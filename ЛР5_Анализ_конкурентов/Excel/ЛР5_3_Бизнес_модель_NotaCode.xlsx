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5_Анализ_конкурентов\Excel\"/>
    </mc:Choice>
  </mc:AlternateContent>
  <xr:revisionPtr revIDLastSave="0" documentId="13_ncr:1_{0AB404B0-E7D4-4E58-BB43-7DDDEAA40B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вод_NotaCode" sheetId="15" r:id="rId1"/>
    <sheet name="00_Паспорт_NotaCode" sheetId="14" r:id="rId2"/>
    <sheet name="13_Справочники" sheetId="1" r:id="rId3"/>
    <sheet name="01_Инструкция" sheetId="2" r:id="rId4"/>
    <sheet name="02_Конкуренты" sheetId="3" r:id="rId5"/>
    <sheet name="03_Факты_сайта" sheetId="4" r:id="rId6"/>
    <sheet name="04_Бизнес_модель" sheetId="5" r:id="rId7"/>
    <sheet name="05_Товар_ценность" sheetId="6" r:id="rId8"/>
    <sheet name="06_Монетизация" sheetId="7" r:id="rId9"/>
    <sheet name="07_Каналы" sheetId="8" r:id="rId10"/>
    <sheet name="08_Операц_модель" sheetId="9" r:id="rId11"/>
    <sheet name="09_Матрица" sheetId="10" r:id="rId12"/>
    <sheet name="10_Стандарт" sheetId="11" r:id="rId13"/>
    <sheet name="11_Преимущества" sheetId="12" r:id="rId14"/>
    <sheet name="12_Сводка" sheetId="13" r:id="rId15"/>
  </sheets>
  <calcPr calcId="191029" refMode="R1C1"/>
</workbook>
</file>

<file path=xl/calcChain.xml><?xml version="1.0" encoding="utf-8"?>
<calcChain xmlns="http://schemas.openxmlformats.org/spreadsheetml/2006/main">
  <c r="E203" i="11" l="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5" i="13"/>
  <c r="E14" i="13"/>
  <c r="E13" i="13"/>
  <c r="E12" i="13"/>
  <c r="E11" i="13"/>
  <c r="B11" i="13"/>
  <c r="E10" i="13"/>
  <c r="E9" i="13"/>
  <c r="E8" i="13"/>
  <c r="E7" i="13"/>
  <c r="E6" i="13"/>
  <c r="B6" i="13"/>
  <c r="B5" i="13"/>
  <c r="L203" i="12"/>
  <c r="K203" i="12"/>
  <c r="B203" i="12"/>
  <c r="L202" i="12"/>
  <c r="K202" i="12"/>
  <c r="B202" i="12"/>
  <c r="L201" i="12"/>
  <c r="K201" i="12"/>
  <c r="B201" i="12"/>
  <c r="L200" i="12"/>
  <c r="K200" i="12"/>
  <c r="B200" i="12"/>
  <c r="L199" i="12"/>
  <c r="K199" i="12"/>
  <c r="B199" i="12"/>
  <c r="L198" i="12"/>
  <c r="K198" i="12"/>
  <c r="B198" i="12"/>
  <c r="L197" i="12"/>
  <c r="K197" i="12"/>
  <c r="B197" i="12"/>
  <c r="L196" i="12"/>
  <c r="K196" i="12"/>
  <c r="B196" i="12"/>
  <c r="L195" i="12"/>
  <c r="K195" i="12"/>
  <c r="B195" i="12"/>
  <c r="L194" i="12"/>
  <c r="K194" i="12"/>
  <c r="B194" i="12"/>
  <c r="L193" i="12"/>
  <c r="K193" i="12"/>
  <c r="B193" i="12"/>
  <c r="L192" i="12"/>
  <c r="K192" i="12"/>
  <c r="B192" i="12"/>
  <c r="L191" i="12"/>
  <c r="K191" i="12"/>
  <c r="B191" i="12"/>
  <c r="L190" i="12"/>
  <c r="K190" i="12"/>
  <c r="B190" i="12"/>
  <c r="L189" i="12"/>
  <c r="K189" i="12"/>
  <c r="B189" i="12"/>
  <c r="L188" i="12"/>
  <c r="K188" i="12"/>
  <c r="B188" i="12"/>
  <c r="L187" i="12"/>
  <c r="K187" i="12"/>
  <c r="B187" i="12"/>
  <c r="L186" i="12"/>
  <c r="K186" i="12"/>
  <c r="B186" i="12"/>
  <c r="L185" i="12"/>
  <c r="K185" i="12"/>
  <c r="B185" i="12"/>
  <c r="L184" i="12"/>
  <c r="K184" i="12"/>
  <c r="B184" i="12"/>
  <c r="L183" i="12"/>
  <c r="K183" i="12"/>
  <c r="B183" i="12"/>
  <c r="L182" i="12"/>
  <c r="K182" i="12"/>
  <c r="B182" i="12"/>
  <c r="L181" i="12"/>
  <c r="K181" i="12"/>
  <c r="B181" i="12"/>
  <c r="L180" i="12"/>
  <c r="K180" i="12"/>
  <c r="B180" i="12"/>
  <c r="L179" i="12"/>
  <c r="K179" i="12"/>
  <c r="B179" i="12"/>
  <c r="L178" i="12"/>
  <c r="K178" i="12"/>
  <c r="B178" i="12"/>
  <c r="L177" i="12"/>
  <c r="K177" i="12"/>
  <c r="B177" i="12"/>
  <c r="L176" i="12"/>
  <c r="K176" i="12"/>
  <c r="B176" i="12"/>
  <c r="L175" i="12"/>
  <c r="K175" i="12"/>
  <c r="B175" i="12"/>
  <c r="L174" i="12"/>
  <c r="K174" i="12"/>
  <c r="B174" i="12"/>
  <c r="L173" i="12"/>
  <c r="K173" i="12"/>
  <c r="B173" i="12"/>
  <c r="L172" i="12"/>
  <c r="K172" i="12"/>
  <c r="B172" i="12"/>
  <c r="L171" i="12"/>
  <c r="K171" i="12"/>
  <c r="B171" i="12"/>
  <c r="L170" i="12"/>
  <c r="K170" i="12"/>
  <c r="B170" i="12"/>
  <c r="L169" i="12"/>
  <c r="K169" i="12"/>
  <c r="B169" i="12"/>
  <c r="L168" i="12"/>
  <c r="K168" i="12"/>
  <c r="B168" i="12"/>
  <c r="L167" i="12"/>
  <c r="K167" i="12"/>
  <c r="B167" i="12"/>
  <c r="L166" i="12"/>
  <c r="K166" i="12"/>
  <c r="B166" i="12"/>
  <c r="L165" i="12"/>
  <c r="K165" i="12"/>
  <c r="B165" i="12"/>
  <c r="L164" i="12"/>
  <c r="K164" i="12"/>
  <c r="B164" i="12"/>
  <c r="L163" i="12"/>
  <c r="K163" i="12"/>
  <c r="B163" i="12"/>
  <c r="L162" i="12"/>
  <c r="K162" i="12"/>
  <c r="B162" i="12"/>
  <c r="L161" i="12"/>
  <c r="K161" i="12"/>
  <c r="B161" i="12"/>
  <c r="L160" i="12"/>
  <c r="K160" i="12"/>
  <c r="B160" i="12"/>
  <c r="L159" i="12"/>
  <c r="K159" i="12"/>
  <c r="B159" i="12"/>
  <c r="L158" i="12"/>
  <c r="K158" i="12"/>
  <c r="B158" i="12"/>
  <c r="L157" i="12"/>
  <c r="K157" i="12"/>
  <c r="B157" i="12"/>
  <c r="L156" i="12"/>
  <c r="K156" i="12"/>
  <c r="B156" i="12"/>
  <c r="L155" i="12"/>
  <c r="K155" i="12"/>
  <c r="B155" i="12"/>
  <c r="L154" i="12"/>
  <c r="K154" i="12"/>
  <c r="B154" i="12"/>
  <c r="L153" i="12"/>
  <c r="K153" i="12"/>
  <c r="B153" i="12"/>
  <c r="L152" i="12"/>
  <c r="K152" i="12"/>
  <c r="B152" i="12"/>
  <c r="L151" i="12"/>
  <c r="K151" i="12"/>
  <c r="B151" i="12"/>
  <c r="L150" i="12"/>
  <c r="K150" i="12"/>
  <c r="B150" i="12"/>
  <c r="L149" i="12"/>
  <c r="K149" i="12"/>
  <c r="B149" i="12"/>
  <c r="L148" i="12"/>
  <c r="K148" i="12"/>
  <c r="B148" i="12"/>
  <c r="L147" i="12"/>
  <c r="K147" i="12"/>
  <c r="B147" i="12"/>
  <c r="L146" i="12"/>
  <c r="K146" i="12"/>
  <c r="B146" i="12"/>
  <c r="L145" i="12"/>
  <c r="K145" i="12"/>
  <c r="B145" i="12"/>
  <c r="L144" i="12"/>
  <c r="K144" i="12"/>
  <c r="B144" i="12"/>
  <c r="L143" i="12"/>
  <c r="K143" i="12"/>
  <c r="B143" i="12"/>
  <c r="L142" i="12"/>
  <c r="K142" i="12"/>
  <c r="B142" i="12"/>
  <c r="L141" i="12"/>
  <c r="K141" i="12"/>
  <c r="B141" i="12"/>
  <c r="L140" i="12"/>
  <c r="K140" i="12"/>
  <c r="B140" i="12"/>
  <c r="L139" i="12"/>
  <c r="K139" i="12"/>
  <c r="B139" i="12"/>
  <c r="L138" i="12"/>
  <c r="K138" i="12"/>
  <c r="B138" i="12"/>
  <c r="L137" i="12"/>
  <c r="K137" i="12"/>
  <c r="B137" i="12"/>
  <c r="L136" i="12"/>
  <c r="K136" i="12"/>
  <c r="B136" i="12"/>
  <c r="L135" i="12"/>
  <c r="K135" i="12"/>
  <c r="B135" i="12"/>
  <c r="L134" i="12"/>
  <c r="K134" i="12"/>
  <c r="B134" i="12"/>
  <c r="L133" i="12"/>
  <c r="K133" i="12"/>
  <c r="B133" i="12"/>
  <c r="L132" i="12"/>
  <c r="K132" i="12"/>
  <c r="B132" i="12"/>
  <c r="L131" i="12"/>
  <c r="K131" i="12"/>
  <c r="B131" i="12"/>
  <c r="L130" i="12"/>
  <c r="K130" i="12"/>
  <c r="B130" i="12"/>
  <c r="L129" i="12"/>
  <c r="K129" i="12"/>
  <c r="B129" i="12"/>
  <c r="L128" i="12"/>
  <c r="K128" i="12"/>
  <c r="B128" i="12"/>
  <c r="L127" i="12"/>
  <c r="K127" i="12"/>
  <c r="B127" i="12"/>
  <c r="L126" i="12"/>
  <c r="K126" i="12"/>
  <c r="B126" i="12"/>
  <c r="L125" i="12"/>
  <c r="K125" i="12"/>
  <c r="B125" i="12"/>
  <c r="L124" i="12"/>
  <c r="K124" i="12"/>
  <c r="B124" i="12"/>
  <c r="L123" i="12"/>
  <c r="K123" i="12"/>
  <c r="B123" i="12"/>
  <c r="L122" i="12"/>
  <c r="K122" i="12"/>
  <c r="B122" i="12"/>
  <c r="L121" i="12"/>
  <c r="K121" i="12"/>
  <c r="B121" i="12"/>
  <c r="L120" i="12"/>
  <c r="K120" i="12"/>
  <c r="B120" i="12"/>
  <c r="L119" i="12"/>
  <c r="K119" i="12"/>
  <c r="B119" i="12"/>
  <c r="L118" i="12"/>
  <c r="K118" i="12"/>
  <c r="B118" i="12"/>
  <c r="L117" i="12"/>
  <c r="K117" i="12"/>
  <c r="B117" i="12"/>
  <c r="L116" i="12"/>
  <c r="K116" i="12"/>
  <c r="B116" i="12"/>
  <c r="L115" i="12"/>
  <c r="K115" i="12"/>
  <c r="B115" i="12"/>
  <c r="L114" i="12"/>
  <c r="K114" i="12"/>
  <c r="B114" i="12"/>
  <c r="L113" i="12"/>
  <c r="K113" i="12"/>
  <c r="B113" i="12"/>
  <c r="L112" i="12"/>
  <c r="K112" i="12"/>
  <c r="B112" i="12"/>
  <c r="L111" i="12"/>
  <c r="K111" i="12"/>
  <c r="B111" i="12"/>
  <c r="L110" i="12"/>
  <c r="K110" i="12"/>
  <c r="B110" i="12"/>
  <c r="L109" i="12"/>
  <c r="K109" i="12"/>
  <c r="B109" i="12"/>
  <c r="L108" i="12"/>
  <c r="K108" i="12"/>
  <c r="B108" i="12"/>
  <c r="L107" i="12"/>
  <c r="K107" i="12"/>
  <c r="B107" i="12"/>
  <c r="L106" i="12"/>
  <c r="K106" i="12"/>
  <c r="B106" i="12"/>
  <c r="L105" i="12"/>
  <c r="K105" i="12"/>
  <c r="B105" i="12"/>
  <c r="L104" i="12"/>
  <c r="K104" i="12"/>
  <c r="B104" i="12"/>
  <c r="L103" i="12"/>
  <c r="K103" i="12"/>
  <c r="B103" i="12"/>
  <c r="L102" i="12"/>
  <c r="K102" i="12"/>
  <c r="B102" i="12"/>
  <c r="L101" i="12"/>
  <c r="K101" i="12"/>
  <c r="B101" i="12"/>
  <c r="L100" i="12"/>
  <c r="K100" i="12"/>
  <c r="B100" i="12"/>
  <c r="L99" i="12"/>
  <c r="K99" i="12"/>
  <c r="B99" i="12"/>
  <c r="L98" i="12"/>
  <c r="K98" i="12"/>
  <c r="B98" i="12"/>
  <c r="L97" i="12"/>
  <c r="K97" i="12"/>
  <c r="B97" i="12"/>
  <c r="L96" i="12"/>
  <c r="K96" i="12"/>
  <c r="B96" i="12"/>
  <c r="L95" i="12"/>
  <c r="K95" i="12"/>
  <c r="B95" i="12"/>
  <c r="L94" i="12"/>
  <c r="K94" i="12"/>
  <c r="B94" i="12"/>
  <c r="L93" i="12"/>
  <c r="K93" i="12"/>
  <c r="B93" i="12"/>
  <c r="L92" i="12"/>
  <c r="K92" i="12"/>
  <c r="B92" i="12"/>
  <c r="L91" i="12"/>
  <c r="K91" i="12"/>
  <c r="B91" i="12"/>
  <c r="L90" i="12"/>
  <c r="K90" i="12"/>
  <c r="B90" i="12"/>
  <c r="L89" i="12"/>
  <c r="K89" i="12"/>
  <c r="B89" i="12"/>
  <c r="L88" i="12"/>
  <c r="K88" i="12"/>
  <c r="B88" i="12"/>
  <c r="L87" i="12"/>
  <c r="K87" i="12"/>
  <c r="B87" i="12"/>
  <c r="L86" i="12"/>
  <c r="K86" i="12"/>
  <c r="B86" i="12"/>
  <c r="L85" i="12"/>
  <c r="K85" i="12"/>
  <c r="B85" i="12"/>
  <c r="L84" i="12"/>
  <c r="K84" i="12"/>
  <c r="B84" i="12"/>
  <c r="L83" i="12"/>
  <c r="K83" i="12"/>
  <c r="B83" i="12"/>
  <c r="L82" i="12"/>
  <c r="K82" i="12"/>
  <c r="B82" i="12"/>
  <c r="L81" i="12"/>
  <c r="K81" i="12"/>
  <c r="B81" i="12"/>
  <c r="L80" i="12"/>
  <c r="K80" i="12"/>
  <c r="B80" i="12"/>
  <c r="L79" i="12"/>
  <c r="K79" i="12"/>
  <c r="B79" i="12"/>
  <c r="L78" i="12"/>
  <c r="K78" i="12"/>
  <c r="B78" i="12"/>
  <c r="L77" i="12"/>
  <c r="K77" i="12"/>
  <c r="B77" i="12"/>
  <c r="L76" i="12"/>
  <c r="K76" i="12"/>
  <c r="B76" i="12"/>
  <c r="L75" i="12"/>
  <c r="K75" i="12"/>
  <c r="B75" i="12"/>
  <c r="L74" i="12"/>
  <c r="K74" i="12"/>
  <c r="B74" i="12"/>
  <c r="L73" i="12"/>
  <c r="K73" i="12"/>
  <c r="B73" i="12"/>
  <c r="L72" i="12"/>
  <c r="K72" i="12"/>
  <c r="B72" i="12"/>
  <c r="L71" i="12"/>
  <c r="K71" i="12"/>
  <c r="B71" i="12"/>
  <c r="L70" i="12"/>
  <c r="K70" i="12"/>
  <c r="B70" i="12"/>
  <c r="L69" i="12"/>
  <c r="K69" i="12"/>
  <c r="B69" i="12"/>
  <c r="L68" i="12"/>
  <c r="K68" i="12"/>
  <c r="B68" i="12"/>
  <c r="L67" i="12"/>
  <c r="K67" i="12"/>
  <c r="B67" i="12"/>
  <c r="L66" i="12"/>
  <c r="K66" i="12"/>
  <c r="B66" i="12"/>
  <c r="L65" i="12"/>
  <c r="K65" i="12"/>
  <c r="B65" i="12"/>
  <c r="L64" i="12"/>
  <c r="K64" i="12"/>
  <c r="B64" i="12"/>
  <c r="L63" i="12"/>
  <c r="K63" i="12"/>
  <c r="B63" i="12"/>
  <c r="L62" i="12"/>
  <c r="K62" i="12"/>
  <c r="B62" i="12"/>
  <c r="L61" i="12"/>
  <c r="K61" i="12"/>
  <c r="B61" i="12"/>
  <c r="L60" i="12"/>
  <c r="K60" i="12"/>
  <c r="B60" i="12"/>
  <c r="L59" i="12"/>
  <c r="K59" i="12"/>
  <c r="B59" i="12"/>
  <c r="L58" i="12"/>
  <c r="K58" i="12"/>
  <c r="B58" i="12"/>
  <c r="L57" i="12"/>
  <c r="K57" i="12"/>
  <c r="B57" i="12"/>
  <c r="L56" i="12"/>
  <c r="K56" i="12"/>
  <c r="B56" i="12"/>
  <c r="L55" i="12"/>
  <c r="K55" i="12"/>
  <c r="B55" i="12"/>
  <c r="L54" i="12"/>
  <c r="K54" i="12"/>
  <c r="B54" i="12"/>
  <c r="L53" i="12"/>
  <c r="K53" i="12"/>
  <c r="B53" i="12"/>
  <c r="L52" i="12"/>
  <c r="K52" i="12"/>
  <c r="B52" i="12"/>
  <c r="L51" i="12"/>
  <c r="K51" i="12"/>
  <c r="B51" i="12"/>
  <c r="L50" i="12"/>
  <c r="K50" i="12"/>
  <c r="B50" i="12"/>
  <c r="L49" i="12"/>
  <c r="K49" i="12"/>
  <c r="B49" i="12"/>
  <c r="L48" i="12"/>
  <c r="K48" i="12"/>
  <c r="B48" i="12"/>
  <c r="L47" i="12"/>
  <c r="K47" i="12"/>
  <c r="B47" i="12"/>
  <c r="L46" i="12"/>
  <c r="K46" i="12"/>
  <c r="B46" i="12"/>
  <c r="L45" i="12"/>
  <c r="K45" i="12"/>
  <c r="B45" i="12"/>
  <c r="L44" i="12"/>
  <c r="K44" i="12"/>
  <c r="B44" i="12"/>
  <c r="L43" i="12"/>
  <c r="K43" i="12"/>
  <c r="B43" i="12"/>
  <c r="L42" i="12"/>
  <c r="K42" i="12"/>
  <c r="B42" i="12"/>
  <c r="L41" i="12"/>
  <c r="K41" i="12"/>
  <c r="B41" i="12"/>
  <c r="L40" i="12"/>
  <c r="K40" i="12"/>
  <c r="B40" i="12"/>
  <c r="L39" i="12"/>
  <c r="K39" i="12"/>
  <c r="B39" i="12"/>
  <c r="L38" i="12"/>
  <c r="K38" i="12"/>
  <c r="B38" i="12"/>
  <c r="L37" i="12"/>
  <c r="K37" i="12"/>
  <c r="B37" i="12"/>
  <c r="L36" i="12"/>
  <c r="K36" i="12"/>
  <c r="B36" i="12"/>
  <c r="L35" i="12"/>
  <c r="K35" i="12"/>
  <c r="B35" i="12"/>
  <c r="L34" i="12"/>
  <c r="K34" i="12"/>
  <c r="B34" i="12"/>
  <c r="L33" i="12"/>
  <c r="K33" i="12"/>
  <c r="B33" i="12"/>
  <c r="L32" i="12"/>
  <c r="K32" i="12"/>
  <c r="B32" i="12"/>
  <c r="L31" i="12"/>
  <c r="K31" i="12"/>
  <c r="B31" i="12"/>
  <c r="L30" i="12"/>
  <c r="K30" i="12"/>
  <c r="B30" i="12"/>
  <c r="L29" i="12"/>
  <c r="K29" i="12"/>
  <c r="B29" i="12"/>
  <c r="L28" i="12"/>
  <c r="K28" i="12"/>
  <c r="B28" i="12"/>
  <c r="L27" i="12"/>
  <c r="K27" i="12"/>
  <c r="B27" i="12"/>
  <c r="L26" i="12"/>
  <c r="K26" i="12"/>
  <c r="B26" i="12"/>
  <c r="L25" i="12"/>
  <c r="K25" i="12"/>
  <c r="B25" i="12"/>
  <c r="L24" i="12"/>
  <c r="K24" i="12"/>
  <c r="B24" i="12"/>
  <c r="L23" i="12"/>
  <c r="K23" i="12"/>
  <c r="B23" i="12"/>
  <c r="L22" i="12"/>
  <c r="K22" i="12"/>
  <c r="B22" i="12"/>
  <c r="L21" i="12"/>
  <c r="K21" i="12"/>
  <c r="B21" i="12"/>
  <c r="L20" i="12"/>
  <c r="K20" i="12"/>
  <c r="B20" i="12"/>
  <c r="L19" i="12"/>
  <c r="K19" i="12"/>
  <c r="B19" i="12"/>
  <c r="L18" i="12"/>
  <c r="K18" i="12"/>
  <c r="B18" i="12"/>
  <c r="L17" i="12"/>
  <c r="K17" i="12"/>
  <c r="B17" i="12"/>
  <c r="L16" i="12"/>
  <c r="K16" i="12"/>
  <c r="B16" i="12"/>
  <c r="L15" i="12"/>
  <c r="K15" i="12"/>
  <c r="B15" i="12"/>
  <c r="L14" i="12"/>
  <c r="K14" i="12"/>
  <c r="B14" i="12"/>
  <c r="L13" i="12"/>
  <c r="K13" i="12"/>
  <c r="B13" i="12"/>
  <c r="L12" i="12"/>
  <c r="K12" i="12"/>
  <c r="B12" i="12"/>
  <c r="K11" i="12"/>
  <c r="L11" i="12" s="1"/>
  <c r="B11" i="12"/>
  <c r="K10" i="12"/>
  <c r="L10" i="12" s="1"/>
  <c r="B10" i="12"/>
  <c r="K9" i="12"/>
  <c r="L9" i="12" s="1"/>
  <c r="B9" i="12"/>
  <c r="K8" i="12"/>
  <c r="L8" i="12" s="1"/>
  <c r="B8" i="12"/>
  <c r="K7" i="12"/>
  <c r="L7" i="12" s="1"/>
  <c r="B7" i="12"/>
  <c r="K6" i="12"/>
  <c r="L6" i="12" s="1"/>
  <c r="B6" i="12"/>
  <c r="K5" i="12"/>
  <c r="L5" i="12" s="1"/>
  <c r="B5" i="12"/>
  <c r="K4" i="12"/>
  <c r="L4" i="12" s="1"/>
  <c r="B4" i="12"/>
  <c r="G203" i="11"/>
  <c r="F203" i="11"/>
  <c r="G202" i="11"/>
  <c r="F202" i="11"/>
  <c r="G201" i="11"/>
  <c r="F201" i="11"/>
  <c r="G200" i="11"/>
  <c r="F200" i="11"/>
  <c r="G199" i="11"/>
  <c r="F199" i="11"/>
  <c r="G198" i="11"/>
  <c r="F198" i="11"/>
  <c r="G197" i="11"/>
  <c r="F197" i="11"/>
  <c r="G196" i="11"/>
  <c r="F196" i="11"/>
  <c r="G195" i="11"/>
  <c r="F195" i="11"/>
  <c r="G194" i="11"/>
  <c r="F194" i="11"/>
  <c r="G193" i="11"/>
  <c r="F193" i="11"/>
  <c r="G192" i="11"/>
  <c r="F192" i="11"/>
  <c r="G191" i="11"/>
  <c r="F191" i="11"/>
  <c r="G190" i="11"/>
  <c r="F190" i="11"/>
  <c r="G189" i="11"/>
  <c r="F189" i="11"/>
  <c r="G188" i="11"/>
  <c r="F188" i="11"/>
  <c r="G187" i="11"/>
  <c r="F187" i="11"/>
  <c r="G186" i="11"/>
  <c r="F186" i="11"/>
  <c r="G185" i="11"/>
  <c r="F185" i="11"/>
  <c r="G184" i="11"/>
  <c r="F184" i="11"/>
  <c r="G183" i="11"/>
  <c r="F183" i="11"/>
  <c r="G182" i="11"/>
  <c r="F182" i="11"/>
  <c r="G181" i="11"/>
  <c r="F181" i="11"/>
  <c r="G180" i="11"/>
  <c r="F180" i="11"/>
  <c r="G179" i="11"/>
  <c r="F179" i="11"/>
  <c r="G178" i="11"/>
  <c r="F178" i="11"/>
  <c r="G177" i="11"/>
  <c r="F177" i="11"/>
  <c r="G176" i="11"/>
  <c r="F176" i="11"/>
  <c r="G175" i="11"/>
  <c r="F175" i="11"/>
  <c r="G174" i="11"/>
  <c r="F174" i="11"/>
  <c r="G173" i="11"/>
  <c r="F173" i="11"/>
  <c r="G172" i="11"/>
  <c r="F172" i="11"/>
  <c r="G171" i="11"/>
  <c r="F171" i="11"/>
  <c r="G170" i="11"/>
  <c r="F170" i="11"/>
  <c r="G169" i="11"/>
  <c r="F169" i="11"/>
  <c r="G168" i="11"/>
  <c r="F168" i="11"/>
  <c r="G167" i="11"/>
  <c r="F167" i="11"/>
  <c r="G166" i="11"/>
  <c r="F166" i="11"/>
  <c r="G165" i="11"/>
  <c r="F165" i="11"/>
  <c r="G164" i="11"/>
  <c r="F164" i="11"/>
  <c r="G163" i="11"/>
  <c r="F163" i="11"/>
  <c r="G162" i="11"/>
  <c r="F162" i="11"/>
  <c r="G161" i="11"/>
  <c r="F161" i="11"/>
  <c r="G160" i="11"/>
  <c r="F160" i="11"/>
  <c r="G159" i="11"/>
  <c r="F159" i="11"/>
  <c r="G158" i="11"/>
  <c r="F158" i="11"/>
  <c r="G157" i="11"/>
  <c r="F157" i="11"/>
  <c r="G156" i="11"/>
  <c r="F156" i="11"/>
  <c r="G155" i="11"/>
  <c r="F155" i="11"/>
  <c r="G154" i="11"/>
  <c r="F154" i="11"/>
  <c r="G153" i="11"/>
  <c r="F153" i="11"/>
  <c r="G152" i="11"/>
  <c r="F152" i="11"/>
  <c r="G151" i="11"/>
  <c r="F151" i="11"/>
  <c r="G150" i="11"/>
  <c r="F150" i="11"/>
  <c r="G149" i="11"/>
  <c r="F149" i="11"/>
  <c r="G148" i="11"/>
  <c r="F148" i="11"/>
  <c r="G147" i="11"/>
  <c r="F147" i="11"/>
  <c r="G146" i="11"/>
  <c r="F146" i="11"/>
  <c r="G145" i="11"/>
  <c r="F145" i="11"/>
  <c r="G144" i="11"/>
  <c r="F144" i="11"/>
  <c r="G143" i="11"/>
  <c r="F143" i="11"/>
  <c r="G142" i="11"/>
  <c r="F142" i="11"/>
  <c r="G141" i="11"/>
  <c r="F141" i="11"/>
  <c r="G140" i="11"/>
  <c r="F140" i="11"/>
  <c r="G139" i="11"/>
  <c r="F139" i="11"/>
  <c r="G138" i="11"/>
  <c r="F138" i="11"/>
  <c r="G137" i="11"/>
  <c r="F137" i="11"/>
  <c r="G136" i="11"/>
  <c r="F136" i="11"/>
  <c r="G135" i="11"/>
  <c r="F135" i="11"/>
  <c r="G134" i="11"/>
  <c r="F134" i="11"/>
  <c r="G133" i="11"/>
  <c r="F133" i="11"/>
  <c r="G132" i="11"/>
  <c r="F132" i="11"/>
  <c r="G131" i="11"/>
  <c r="F131" i="11"/>
  <c r="G130" i="11"/>
  <c r="F130" i="11"/>
  <c r="G129" i="11"/>
  <c r="F129" i="11"/>
  <c r="G128" i="11"/>
  <c r="F128" i="11"/>
  <c r="G127" i="11"/>
  <c r="F127" i="11"/>
  <c r="G126" i="11"/>
  <c r="F126" i="11"/>
  <c r="G125" i="11"/>
  <c r="F125" i="11"/>
  <c r="G124" i="11"/>
  <c r="F124" i="11"/>
  <c r="G123" i="11"/>
  <c r="F123" i="11"/>
  <c r="G122" i="11"/>
  <c r="F122" i="11"/>
  <c r="G121" i="11"/>
  <c r="F121" i="11"/>
  <c r="G120" i="11"/>
  <c r="F120" i="11"/>
  <c r="G119" i="11"/>
  <c r="F119" i="11"/>
  <c r="G118" i="11"/>
  <c r="F118" i="11"/>
  <c r="G117" i="11"/>
  <c r="F117" i="11"/>
  <c r="G116" i="11"/>
  <c r="F116" i="11"/>
  <c r="G115" i="11"/>
  <c r="F115" i="11"/>
  <c r="G114" i="11"/>
  <c r="F114" i="11"/>
  <c r="G113" i="11"/>
  <c r="F113" i="11"/>
  <c r="G112" i="11"/>
  <c r="F112" i="11"/>
  <c r="G111" i="11"/>
  <c r="F111" i="11"/>
  <c r="G110" i="11"/>
  <c r="F110" i="11"/>
  <c r="G109" i="11"/>
  <c r="F109" i="11"/>
  <c r="G108" i="11"/>
  <c r="F108" i="11"/>
  <c r="G107" i="11"/>
  <c r="F107" i="11"/>
  <c r="G106" i="11"/>
  <c r="F106" i="11"/>
  <c r="G105" i="11"/>
  <c r="F105" i="11"/>
  <c r="G104" i="11"/>
  <c r="F104" i="11"/>
  <c r="G103" i="1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G67" i="11"/>
  <c r="F67" i="11"/>
  <c r="G66" i="11"/>
  <c r="F66" i="11"/>
  <c r="G65" i="11"/>
  <c r="F65" i="11"/>
  <c r="G64" i="11"/>
  <c r="F64" i="11"/>
  <c r="G63" i="11"/>
  <c r="F63" i="11"/>
  <c r="G62" i="11"/>
  <c r="F62" i="11"/>
  <c r="G61" i="11"/>
  <c r="F61" i="11"/>
  <c r="G60" i="11"/>
  <c r="F60" i="11"/>
  <c r="G59" i="11"/>
  <c r="F59" i="11"/>
  <c r="G58" i="11"/>
  <c r="F58" i="11"/>
  <c r="G57" i="11"/>
  <c r="F57" i="11"/>
  <c r="G56" i="11"/>
  <c r="F56" i="11"/>
  <c r="G55" i="11"/>
  <c r="F55" i="11"/>
  <c r="G54" i="11"/>
  <c r="F54" i="11"/>
  <c r="G53" i="11"/>
  <c r="F53" i="11"/>
  <c r="G52" i="11"/>
  <c r="F52" i="11"/>
  <c r="G51" i="11"/>
  <c r="F51" i="11"/>
  <c r="G50" i="11"/>
  <c r="F50" i="11"/>
  <c r="G49" i="11"/>
  <c r="F49" i="11"/>
  <c r="G48" i="11"/>
  <c r="F48" i="11"/>
  <c r="G47" i="11"/>
  <c r="F47" i="11"/>
  <c r="G46" i="11"/>
  <c r="F46" i="11"/>
  <c r="G45" i="11"/>
  <c r="F45" i="11"/>
  <c r="G44" i="11"/>
  <c r="F44" i="11"/>
  <c r="G43" i="11"/>
  <c r="F43" i="11"/>
  <c r="G42" i="11"/>
  <c r="F42" i="11"/>
  <c r="G41" i="11"/>
  <c r="F41" i="11"/>
  <c r="G40" i="11"/>
  <c r="F40" i="11"/>
  <c r="G39" i="11"/>
  <c r="F39" i="11"/>
  <c r="G38" i="11"/>
  <c r="F38" i="11"/>
  <c r="G37" i="11"/>
  <c r="F37" i="11"/>
  <c r="G36" i="11"/>
  <c r="F36" i="11"/>
  <c r="G35" i="11"/>
  <c r="F35" i="11"/>
  <c r="G34" i="11"/>
  <c r="F34" i="11"/>
  <c r="G33" i="11"/>
  <c r="F33" i="11"/>
  <c r="G32" i="11"/>
  <c r="F32" i="11"/>
  <c r="G31" i="11"/>
  <c r="F31" i="11"/>
  <c r="G30" i="11"/>
  <c r="F30" i="11"/>
  <c r="G29" i="11"/>
  <c r="F29" i="11"/>
  <c r="G28" i="11"/>
  <c r="F28" i="11"/>
  <c r="G27" i="11"/>
  <c r="F27" i="11"/>
  <c r="G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Q203" i="10"/>
  <c r="P203" i="10"/>
  <c r="O203" i="10"/>
  <c r="N203" i="10"/>
  <c r="B203" i="10"/>
  <c r="Q202" i="10"/>
  <c r="P202" i="10"/>
  <c r="O202" i="10"/>
  <c r="N202" i="10"/>
  <c r="B202" i="10"/>
  <c r="Q201" i="10"/>
  <c r="P201" i="10"/>
  <c r="O201" i="10"/>
  <c r="N201" i="10"/>
  <c r="B201" i="10"/>
  <c r="Q200" i="10"/>
  <c r="P200" i="10"/>
  <c r="O200" i="10"/>
  <c r="N200" i="10"/>
  <c r="B200" i="10"/>
  <c r="Q199" i="10"/>
  <c r="P199" i="10"/>
  <c r="O199" i="10"/>
  <c r="N199" i="10"/>
  <c r="B199" i="10"/>
  <c r="Q198" i="10"/>
  <c r="P198" i="10"/>
  <c r="O198" i="10"/>
  <c r="N198" i="10"/>
  <c r="B198" i="10"/>
  <c r="Q197" i="10"/>
  <c r="P197" i="10"/>
  <c r="O197" i="10"/>
  <c r="N197" i="10"/>
  <c r="B197" i="10"/>
  <c r="Q196" i="10"/>
  <c r="P196" i="10"/>
  <c r="O196" i="10"/>
  <c r="N196" i="10"/>
  <c r="B196" i="10"/>
  <c r="Q195" i="10"/>
  <c r="P195" i="10"/>
  <c r="O195" i="10"/>
  <c r="N195" i="10"/>
  <c r="B195" i="10"/>
  <c r="Q194" i="10"/>
  <c r="P194" i="10"/>
  <c r="O194" i="10"/>
  <c r="N194" i="10"/>
  <c r="B194" i="10"/>
  <c r="Q193" i="10"/>
  <c r="P193" i="10"/>
  <c r="O193" i="10"/>
  <c r="N193" i="10"/>
  <c r="B193" i="10"/>
  <c r="Q192" i="10"/>
  <c r="P192" i="10"/>
  <c r="O192" i="10"/>
  <c r="N192" i="10"/>
  <c r="B192" i="10"/>
  <c r="Q191" i="10"/>
  <c r="P191" i="10"/>
  <c r="O191" i="10"/>
  <c r="N191" i="10"/>
  <c r="B191" i="10"/>
  <c r="Q190" i="10"/>
  <c r="P190" i="10"/>
  <c r="O190" i="10"/>
  <c r="N190" i="10"/>
  <c r="B190" i="10"/>
  <c r="Q189" i="10"/>
  <c r="P189" i="10"/>
  <c r="O189" i="10"/>
  <c r="N189" i="10"/>
  <c r="B189" i="10"/>
  <c r="Q188" i="10"/>
  <c r="P188" i="10"/>
  <c r="O188" i="10"/>
  <c r="N188" i="10"/>
  <c r="B188" i="10"/>
  <c r="Q187" i="10"/>
  <c r="P187" i="10"/>
  <c r="O187" i="10"/>
  <c r="N187" i="10"/>
  <c r="B187" i="10"/>
  <c r="Q186" i="10"/>
  <c r="P186" i="10"/>
  <c r="O186" i="10"/>
  <c r="N186" i="10"/>
  <c r="B186" i="10"/>
  <c r="Q185" i="10"/>
  <c r="P185" i="10"/>
  <c r="O185" i="10"/>
  <c r="N185" i="10"/>
  <c r="B185" i="10"/>
  <c r="Q184" i="10"/>
  <c r="P184" i="10"/>
  <c r="O184" i="10"/>
  <c r="N184" i="10"/>
  <c r="B184" i="10"/>
  <c r="Q183" i="10"/>
  <c r="P183" i="10"/>
  <c r="O183" i="10"/>
  <c r="N183" i="10"/>
  <c r="B183" i="10"/>
  <c r="Q182" i="10"/>
  <c r="P182" i="10"/>
  <c r="O182" i="10"/>
  <c r="N182" i="10"/>
  <c r="B182" i="10"/>
  <c r="Q181" i="10"/>
  <c r="P181" i="10"/>
  <c r="O181" i="10"/>
  <c r="N181" i="10"/>
  <c r="B181" i="10"/>
  <c r="Q180" i="10"/>
  <c r="P180" i="10"/>
  <c r="O180" i="10"/>
  <c r="N180" i="10"/>
  <c r="B180" i="10"/>
  <c r="Q179" i="10"/>
  <c r="P179" i="10"/>
  <c r="O179" i="10"/>
  <c r="N179" i="10"/>
  <c r="B179" i="10"/>
  <c r="Q178" i="10"/>
  <c r="P178" i="10"/>
  <c r="O178" i="10"/>
  <c r="N178" i="10"/>
  <c r="B178" i="10"/>
  <c r="Q177" i="10"/>
  <c r="P177" i="10"/>
  <c r="O177" i="10"/>
  <c r="N177" i="10"/>
  <c r="B177" i="10"/>
  <c r="Q176" i="10"/>
  <c r="P176" i="10"/>
  <c r="O176" i="10"/>
  <c r="N176" i="10"/>
  <c r="B176" i="10"/>
  <c r="Q175" i="10"/>
  <c r="P175" i="10"/>
  <c r="O175" i="10"/>
  <c r="N175" i="10"/>
  <c r="B175" i="10"/>
  <c r="Q174" i="10"/>
  <c r="P174" i="10"/>
  <c r="O174" i="10"/>
  <c r="N174" i="10"/>
  <c r="B174" i="10"/>
  <c r="Q173" i="10"/>
  <c r="P173" i="10"/>
  <c r="O173" i="10"/>
  <c r="N173" i="10"/>
  <c r="B173" i="10"/>
  <c r="Q172" i="10"/>
  <c r="P172" i="10"/>
  <c r="O172" i="10"/>
  <c r="N172" i="10"/>
  <c r="B172" i="10"/>
  <c r="Q171" i="10"/>
  <c r="P171" i="10"/>
  <c r="O171" i="10"/>
  <c r="N171" i="10"/>
  <c r="B171" i="10"/>
  <c r="Q170" i="10"/>
  <c r="P170" i="10"/>
  <c r="O170" i="10"/>
  <c r="N170" i="10"/>
  <c r="B170" i="10"/>
  <c r="Q169" i="10"/>
  <c r="P169" i="10"/>
  <c r="O169" i="10"/>
  <c r="N169" i="10"/>
  <c r="B169" i="10"/>
  <c r="Q168" i="10"/>
  <c r="P168" i="10"/>
  <c r="O168" i="10"/>
  <c r="N168" i="10"/>
  <c r="B168" i="10"/>
  <c r="Q167" i="10"/>
  <c r="P167" i="10"/>
  <c r="O167" i="10"/>
  <c r="N167" i="10"/>
  <c r="B167" i="10"/>
  <c r="Q166" i="10"/>
  <c r="P166" i="10"/>
  <c r="O166" i="10"/>
  <c r="N166" i="10"/>
  <c r="B166" i="10"/>
  <c r="Q165" i="10"/>
  <c r="P165" i="10"/>
  <c r="O165" i="10"/>
  <c r="N165" i="10"/>
  <c r="B165" i="10"/>
  <c r="Q164" i="10"/>
  <c r="P164" i="10"/>
  <c r="O164" i="10"/>
  <c r="N164" i="10"/>
  <c r="B164" i="10"/>
  <c r="Q163" i="10"/>
  <c r="P163" i="10"/>
  <c r="O163" i="10"/>
  <c r="N163" i="10"/>
  <c r="B163" i="10"/>
  <c r="Q162" i="10"/>
  <c r="P162" i="10"/>
  <c r="O162" i="10"/>
  <c r="N162" i="10"/>
  <c r="B162" i="10"/>
  <c r="Q161" i="10"/>
  <c r="P161" i="10"/>
  <c r="O161" i="10"/>
  <c r="N161" i="10"/>
  <c r="B161" i="10"/>
  <c r="Q160" i="10"/>
  <c r="P160" i="10"/>
  <c r="O160" i="10"/>
  <c r="N160" i="10"/>
  <c r="B160" i="10"/>
  <c r="Q159" i="10"/>
  <c r="P159" i="10"/>
  <c r="O159" i="10"/>
  <c r="N159" i="10"/>
  <c r="B159" i="10"/>
  <c r="Q158" i="10"/>
  <c r="P158" i="10"/>
  <c r="O158" i="10"/>
  <c r="N158" i="10"/>
  <c r="B158" i="10"/>
  <c r="Q157" i="10"/>
  <c r="P157" i="10"/>
  <c r="O157" i="10"/>
  <c r="N157" i="10"/>
  <c r="B157" i="10"/>
  <c r="Q156" i="10"/>
  <c r="P156" i="10"/>
  <c r="O156" i="10"/>
  <c r="N156" i="10"/>
  <c r="B156" i="10"/>
  <c r="Q155" i="10"/>
  <c r="P155" i="10"/>
  <c r="O155" i="10"/>
  <c r="N155" i="10"/>
  <c r="B155" i="10"/>
  <c r="Q154" i="10"/>
  <c r="P154" i="10"/>
  <c r="O154" i="10"/>
  <c r="N154" i="10"/>
  <c r="B154" i="10"/>
  <c r="Q153" i="10"/>
  <c r="P153" i="10"/>
  <c r="O153" i="10"/>
  <c r="N153" i="10"/>
  <c r="B153" i="10"/>
  <c r="Q152" i="10"/>
  <c r="P152" i="10"/>
  <c r="O152" i="10"/>
  <c r="N152" i="10"/>
  <c r="B152" i="10"/>
  <c r="Q151" i="10"/>
  <c r="P151" i="10"/>
  <c r="O151" i="10"/>
  <c r="N151" i="10"/>
  <c r="B151" i="10"/>
  <c r="Q150" i="10"/>
  <c r="P150" i="10"/>
  <c r="O150" i="10"/>
  <c r="N150" i="10"/>
  <c r="B150" i="10"/>
  <c r="Q149" i="10"/>
  <c r="P149" i="10"/>
  <c r="O149" i="10"/>
  <c r="N149" i="10"/>
  <c r="B149" i="10"/>
  <c r="Q148" i="10"/>
  <c r="P148" i="10"/>
  <c r="O148" i="10"/>
  <c r="N148" i="10"/>
  <c r="B148" i="10"/>
  <c r="Q147" i="10"/>
  <c r="P147" i="10"/>
  <c r="O147" i="10"/>
  <c r="N147" i="10"/>
  <c r="B147" i="10"/>
  <c r="Q146" i="10"/>
  <c r="P146" i="10"/>
  <c r="O146" i="10"/>
  <c r="N146" i="10"/>
  <c r="B146" i="10"/>
  <c r="Q145" i="10"/>
  <c r="P145" i="10"/>
  <c r="O145" i="10"/>
  <c r="N145" i="10"/>
  <c r="B145" i="10"/>
  <c r="Q144" i="10"/>
  <c r="P144" i="10"/>
  <c r="O144" i="10"/>
  <c r="N144" i="10"/>
  <c r="B144" i="10"/>
  <c r="Q143" i="10"/>
  <c r="P143" i="10"/>
  <c r="O143" i="10"/>
  <c r="N143" i="10"/>
  <c r="B143" i="10"/>
  <c r="Q142" i="10"/>
  <c r="P142" i="10"/>
  <c r="O142" i="10"/>
  <c r="N142" i="10"/>
  <c r="B142" i="10"/>
  <c r="Q141" i="10"/>
  <c r="P141" i="10"/>
  <c r="O141" i="10"/>
  <c r="N141" i="10"/>
  <c r="B141" i="10"/>
  <c r="Q140" i="10"/>
  <c r="P140" i="10"/>
  <c r="O140" i="10"/>
  <c r="N140" i="10"/>
  <c r="B140" i="10"/>
  <c r="Q139" i="10"/>
  <c r="P139" i="10"/>
  <c r="O139" i="10"/>
  <c r="N139" i="10"/>
  <c r="B139" i="10"/>
  <c r="Q138" i="10"/>
  <c r="P138" i="10"/>
  <c r="O138" i="10"/>
  <c r="N138" i="10"/>
  <c r="B138" i="10"/>
  <c r="Q137" i="10"/>
  <c r="P137" i="10"/>
  <c r="O137" i="10"/>
  <c r="N137" i="10"/>
  <c r="B137" i="10"/>
  <c r="Q136" i="10"/>
  <c r="P136" i="10"/>
  <c r="O136" i="10"/>
  <c r="N136" i="10"/>
  <c r="B136" i="10"/>
  <c r="Q135" i="10"/>
  <c r="P135" i="10"/>
  <c r="O135" i="10"/>
  <c r="N135" i="10"/>
  <c r="B135" i="10"/>
  <c r="Q134" i="10"/>
  <c r="P134" i="10"/>
  <c r="O134" i="10"/>
  <c r="N134" i="10"/>
  <c r="B134" i="10"/>
  <c r="Q133" i="10"/>
  <c r="P133" i="10"/>
  <c r="O133" i="10"/>
  <c r="N133" i="10"/>
  <c r="B133" i="10"/>
  <c r="Q132" i="10"/>
  <c r="P132" i="10"/>
  <c r="O132" i="10"/>
  <c r="N132" i="10"/>
  <c r="B132" i="10"/>
  <c r="Q131" i="10"/>
  <c r="P131" i="10"/>
  <c r="O131" i="10"/>
  <c r="N131" i="10"/>
  <c r="B131" i="10"/>
  <c r="Q130" i="10"/>
  <c r="P130" i="10"/>
  <c r="O130" i="10"/>
  <c r="N130" i="10"/>
  <c r="B130" i="10"/>
  <c r="Q129" i="10"/>
  <c r="P129" i="10"/>
  <c r="O129" i="10"/>
  <c r="N129" i="10"/>
  <c r="B129" i="10"/>
  <c r="Q128" i="10"/>
  <c r="P128" i="10"/>
  <c r="O128" i="10"/>
  <c r="N128" i="10"/>
  <c r="B128" i="10"/>
  <c r="Q127" i="10"/>
  <c r="P127" i="10"/>
  <c r="O127" i="10"/>
  <c r="N127" i="10"/>
  <c r="B127" i="10"/>
  <c r="Q126" i="10"/>
  <c r="P126" i="10"/>
  <c r="O126" i="10"/>
  <c r="N126" i="10"/>
  <c r="B126" i="10"/>
  <c r="Q125" i="10"/>
  <c r="P125" i="10"/>
  <c r="O125" i="10"/>
  <c r="N125" i="10"/>
  <c r="B125" i="10"/>
  <c r="Q124" i="10"/>
  <c r="P124" i="10"/>
  <c r="O124" i="10"/>
  <c r="N124" i="10"/>
  <c r="B124" i="10"/>
  <c r="Q123" i="10"/>
  <c r="P123" i="10"/>
  <c r="O123" i="10"/>
  <c r="N123" i="10"/>
  <c r="B123" i="10"/>
  <c r="Q122" i="10"/>
  <c r="P122" i="10"/>
  <c r="O122" i="10"/>
  <c r="N122" i="10"/>
  <c r="B122" i="10"/>
  <c r="Q121" i="10"/>
  <c r="P121" i="10"/>
  <c r="O121" i="10"/>
  <c r="N121" i="10"/>
  <c r="B121" i="10"/>
  <c r="Q120" i="10"/>
  <c r="P120" i="10"/>
  <c r="O120" i="10"/>
  <c r="N120" i="10"/>
  <c r="B120" i="10"/>
  <c r="Q119" i="10"/>
  <c r="P119" i="10"/>
  <c r="O119" i="10"/>
  <c r="N119" i="10"/>
  <c r="B119" i="10"/>
  <c r="Q118" i="10"/>
  <c r="P118" i="10"/>
  <c r="O118" i="10"/>
  <c r="N118" i="10"/>
  <c r="B118" i="10"/>
  <c r="Q117" i="10"/>
  <c r="P117" i="10"/>
  <c r="O117" i="10"/>
  <c r="N117" i="10"/>
  <c r="B117" i="10"/>
  <c r="Q116" i="10"/>
  <c r="P116" i="10"/>
  <c r="O116" i="10"/>
  <c r="N116" i="10"/>
  <c r="B116" i="10"/>
  <c r="Q115" i="10"/>
  <c r="P115" i="10"/>
  <c r="O115" i="10"/>
  <c r="N115" i="10"/>
  <c r="B115" i="10"/>
  <c r="Q114" i="10"/>
  <c r="P114" i="10"/>
  <c r="O114" i="10"/>
  <c r="N114" i="10"/>
  <c r="B114" i="10"/>
  <c r="Q113" i="10"/>
  <c r="P113" i="10"/>
  <c r="O113" i="10"/>
  <c r="N113" i="10"/>
  <c r="B113" i="10"/>
  <c r="Q112" i="10"/>
  <c r="P112" i="10"/>
  <c r="O112" i="10"/>
  <c r="N112" i="10"/>
  <c r="B112" i="10"/>
  <c r="Q111" i="10"/>
  <c r="P111" i="10"/>
  <c r="O111" i="10"/>
  <c r="N111" i="10"/>
  <c r="B111" i="10"/>
  <c r="Q110" i="10"/>
  <c r="P110" i="10"/>
  <c r="O110" i="10"/>
  <c r="N110" i="10"/>
  <c r="B110" i="10"/>
  <c r="Q109" i="10"/>
  <c r="P109" i="10"/>
  <c r="O109" i="10"/>
  <c r="N109" i="10"/>
  <c r="B109" i="10"/>
  <c r="Q108" i="10"/>
  <c r="P108" i="10"/>
  <c r="O108" i="10"/>
  <c r="N108" i="10"/>
  <c r="B108" i="10"/>
  <c r="Q107" i="10"/>
  <c r="P107" i="10"/>
  <c r="O107" i="10"/>
  <c r="N107" i="10"/>
  <c r="B107" i="10"/>
  <c r="Q106" i="10"/>
  <c r="P106" i="10"/>
  <c r="O106" i="10"/>
  <c r="N106" i="10"/>
  <c r="B106" i="10"/>
  <c r="Q105" i="10"/>
  <c r="P105" i="10"/>
  <c r="O105" i="10"/>
  <c r="N105" i="10"/>
  <c r="B105" i="10"/>
  <c r="Q104" i="10"/>
  <c r="P104" i="10"/>
  <c r="O104" i="10"/>
  <c r="N104" i="10"/>
  <c r="B104" i="10"/>
  <c r="Q103" i="10"/>
  <c r="P103" i="10"/>
  <c r="O103" i="10"/>
  <c r="N103" i="10"/>
  <c r="B103" i="10"/>
  <c r="Q102" i="10"/>
  <c r="P102" i="10"/>
  <c r="O102" i="10"/>
  <c r="N102" i="10"/>
  <c r="B102" i="10"/>
  <c r="Q101" i="10"/>
  <c r="P101" i="10"/>
  <c r="O101" i="10"/>
  <c r="N101" i="10"/>
  <c r="B101" i="10"/>
  <c r="Q100" i="10"/>
  <c r="P100" i="10"/>
  <c r="O100" i="10"/>
  <c r="N100" i="10"/>
  <c r="B100" i="10"/>
  <c r="Q99" i="10"/>
  <c r="P99" i="10"/>
  <c r="O99" i="10"/>
  <c r="N99" i="10"/>
  <c r="B99" i="10"/>
  <c r="Q98" i="10"/>
  <c r="P98" i="10"/>
  <c r="O98" i="10"/>
  <c r="N98" i="10"/>
  <c r="B98" i="10"/>
  <c r="Q97" i="10"/>
  <c r="P97" i="10"/>
  <c r="O97" i="10"/>
  <c r="N97" i="10"/>
  <c r="B97" i="10"/>
  <c r="Q96" i="10"/>
  <c r="P96" i="10"/>
  <c r="O96" i="10"/>
  <c r="N96" i="10"/>
  <c r="B96" i="10"/>
  <c r="Q95" i="10"/>
  <c r="P95" i="10"/>
  <c r="O95" i="10"/>
  <c r="N95" i="10"/>
  <c r="B95" i="10"/>
  <c r="Q94" i="10"/>
  <c r="P94" i="10"/>
  <c r="O94" i="10"/>
  <c r="N94" i="10"/>
  <c r="B94" i="10"/>
  <c r="Q93" i="10"/>
  <c r="P93" i="10"/>
  <c r="O93" i="10"/>
  <c r="N93" i="10"/>
  <c r="B93" i="10"/>
  <c r="Q92" i="10"/>
  <c r="P92" i="10"/>
  <c r="O92" i="10"/>
  <c r="N92" i="10"/>
  <c r="B92" i="10"/>
  <c r="Q91" i="10"/>
  <c r="P91" i="10"/>
  <c r="O91" i="10"/>
  <c r="N91" i="10"/>
  <c r="B91" i="10"/>
  <c r="Q90" i="10"/>
  <c r="P90" i="10"/>
  <c r="O90" i="10"/>
  <c r="N90" i="10"/>
  <c r="B90" i="10"/>
  <c r="Q89" i="10"/>
  <c r="P89" i="10"/>
  <c r="O89" i="10"/>
  <c r="N89" i="10"/>
  <c r="B89" i="10"/>
  <c r="Q88" i="10"/>
  <c r="P88" i="10"/>
  <c r="O88" i="10"/>
  <c r="N88" i="10"/>
  <c r="B88" i="10"/>
  <c r="Q87" i="10"/>
  <c r="P87" i="10"/>
  <c r="O87" i="10"/>
  <c r="N87" i="10"/>
  <c r="B87" i="10"/>
  <c r="Q86" i="10"/>
  <c r="P86" i="10"/>
  <c r="O86" i="10"/>
  <c r="N86" i="10"/>
  <c r="B86" i="10"/>
  <c r="Q85" i="10"/>
  <c r="P85" i="10"/>
  <c r="O85" i="10"/>
  <c r="N85" i="10"/>
  <c r="B85" i="10"/>
  <c r="Q84" i="10"/>
  <c r="P84" i="10"/>
  <c r="O84" i="10"/>
  <c r="N84" i="10"/>
  <c r="B84" i="10"/>
  <c r="Q83" i="10"/>
  <c r="P83" i="10"/>
  <c r="O83" i="10"/>
  <c r="N83" i="10"/>
  <c r="B83" i="10"/>
  <c r="Q82" i="10"/>
  <c r="P82" i="10"/>
  <c r="O82" i="10"/>
  <c r="N82" i="10"/>
  <c r="B82" i="10"/>
  <c r="Q81" i="10"/>
  <c r="P81" i="10"/>
  <c r="O81" i="10"/>
  <c r="N81" i="10"/>
  <c r="B81" i="10"/>
  <c r="Q80" i="10"/>
  <c r="P80" i="10"/>
  <c r="O80" i="10"/>
  <c r="N80" i="10"/>
  <c r="B80" i="10"/>
  <c r="Q79" i="10"/>
  <c r="P79" i="10"/>
  <c r="O79" i="10"/>
  <c r="N79" i="10"/>
  <c r="B79" i="10"/>
  <c r="Q78" i="10"/>
  <c r="P78" i="10"/>
  <c r="O78" i="10"/>
  <c r="N78" i="10"/>
  <c r="B78" i="10"/>
  <c r="Q77" i="10"/>
  <c r="P77" i="10"/>
  <c r="O77" i="10"/>
  <c r="N77" i="10"/>
  <c r="B77" i="10"/>
  <c r="Q76" i="10"/>
  <c r="P76" i="10"/>
  <c r="O76" i="10"/>
  <c r="N76" i="10"/>
  <c r="B76" i="10"/>
  <c r="Q75" i="10"/>
  <c r="P75" i="10"/>
  <c r="O75" i="10"/>
  <c r="N75" i="10"/>
  <c r="B75" i="10"/>
  <c r="Q74" i="10"/>
  <c r="P74" i="10"/>
  <c r="O74" i="10"/>
  <c r="N74" i="10"/>
  <c r="B74" i="10"/>
  <c r="Q73" i="10"/>
  <c r="P73" i="10"/>
  <c r="O73" i="10"/>
  <c r="N73" i="10"/>
  <c r="B73" i="10"/>
  <c r="Q72" i="10"/>
  <c r="P72" i="10"/>
  <c r="O72" i="10"/>
  <c r="N72" i="10"/>
  <c r="B72" i="10"/>
  <c r="Q71" i="10"/>
  <c r="P71" i="10"/>
  <c r="O71" i="10"/>
  <c r="N71" i="10"/>
  <c r="B71" i="10"/>
  <c r="Q70" i="10"/>
  <c r="P70" i="10"/>
  <c r="O70" i="10"/>
  <c r="N70" i="10"/>
  <c r="B70" i="10"/>
  <c r="Q69" i="10"/>
  <c r="P69" i="10"/>
  <c r="O69" i="10"/>
  <c r="N69" i="10"/>
  <c r="B69" i="10"/>
  <c r="Q68" i="10"/>
  <c r="P68" i="10"/>
  <c r="O68" i="10"/>
  <c r="N68" i="10"/>
  <c r="B68" i="10"/>
  <c r="Q67" i="10"/>
  <c r="P67" i="10"/>
  <c r="O67" i="10"/>
  <c r="N67" i="10"/>
  <c r="B67" i="10"/>
  <c r="Q66" i="10"/>
  <c r="P66" i="10"/>
  <c r="O66" i="10"/>
  <c r="N66" i="10"/>
  <c r="B66" i="10"/>
  <c r="Q65" i="10"/>
  <c r="P65" i="10"/>
  <c r="O65" i="10"/>
  <c r="N65" i="10"/>
  <c r="B65" i="10"/>
  <c r="Q64" i="10"/>
  <c r="P64" i="10"/>
  <c r="O64" i="10"/>
  <c r="N64" i="10"/>
  <c r="B64" i="10"/>
  <c r="Q63" i="10"/>
  <c r="P63" i="10"/>
  <c r="O63" i="10"/>
  <c r="N63" i="10"/>
  <c r="B63" i="10"/>
  <c r="Q62" i="10"/>
  <c r="P62" i="10"/>
  <c r="O62" i="10"/>
  <c r="N62" i="10"/>
  <c r="B62" i="10"/>
  <c r="Q61" i="10"/>
  <c r="P61" i="10"/>
  <c r="O61" i="10"/>
  <c r="N61" i="10"/>
  <c r="B61" i="10"/>
  <c r="Q60" i="10"/>
  <c r="P60" i="10"/>
  <c r="O60" i="10"/>
  <c r="N60" i="10"/>
  <c r="B60" i="10"/>
  <c r="Q59" i="10"/>
  <c r="P59" i="10"/>
  <c r="O59" i="10"/>
  <c r="N59" i="10"/>
  <c r="B59" i="10"/>
  <c r="Q58" i="10"/>
  <c r="P58" i="10"/>
  <c r="O58" i="10"/>
  <c r="N58" i="10"/>
  <c r="B58" i="10"/>
  <c r="Q57" i="10"/>
  <c r="P57" i="10"/>
  <c r="O57" i="10"/>
  <c r="N57" i="10"/>
  <c r="B57" i="10"/>
  <c r="Q56" i="10"/>
  <c r="P56" i="10"/>
  <c r="O56" i="10"/>
  <c r="N56" i="10"/>
  <c r="B56" i="10"/>
  <c r="Q55" i="10"/>
  <c r="P55" i="10"/>
  <c r="O55" i="10"/>
  <c r="N55" i="10"/>
  <c r="B55" i="10"/>
  <c r="Q54" i="10"/>
  <c r="P54" i="10"/>
  <c r="O54" i="10"/>
  <c r="N54" i="10"/>
  <c r="B54" i="10"/>
  <c r="Q53" i="10"/>
  <c r="P53" i="10"/>
  <c r="O53" i="10"/>
  <c r="N53" i="10"/>
  <c r="B53" i="10"/>
  <c r="Q52" i="10"/>
  <c r="P52" i="10"/>
  <c r="O52" i="10"/>
  <c r="N52" i="10"/>
  <c r="B52" i="10"/>
  <c r="Q51" i="10"/>
  <c r="P51" i="10"/>
  <c r="O51" i="10"/>
  <c r="N51" i="10"/>
  <c r="B51" i="10"/>
  <c r="Q50" i="10"/>
  <c r="P50" i="10"/>
  <c r="O50" i="10"/>
  <c r="N50" i="10"/>
  <c r="B50" i="10"/>
  <c r="Q49" i="10"/>
  <c r="P49" i="10"/>
  <c r="O49" i="10"/>
  <c r="N49" i="10"/>
  <c r="B49" i="10"/>
  <c r="Q48" i="10"/>
  <c r="P48" i="10"/>
  <c r="O48" i="10"/>
  <c r="N48" i="10"/>
  <c r="B48" i="10"/>
  <c r="Q47" i="10"/>
  <c r="P47" i="10"/>
  <c r="O47" i="10"/>
  <c r="N47" i="10"/>
  <c r="B47" i="10"/>
  <c r="Q46" i="10"/>
  <c r="P46" i="10"/>
  <c r="O46" i="10"/>
  <c r="N46" i="10"/>
  <c r="B46" i="10"/>
  <c r="Q45" i="10"/>
  <c r="P45" i="10"/>
  <c r="O45" i="10"/>
  <c r="N45" i="10"/>
  <c r="B45" i="10"/>
  <c r="Q44" i="10"/>
  <c r="P44" i="10"/>
  <c r="O44" i="10"/>
  <c r="N44" i="10"/>
  <c r="B44" i="10"/>
  <c r="Q43" i="10"/>
  <c r="P43" i="10"/>
  <c r="O43" i="10"/>
  <c r="N43" i="10"/>
  <c r="B43" i="10"/>
  <c r="Q42" i="10"/>
  <c r="P42" i="10"/>
  <c r="O42" i="10"/>
  <c r="N42" i="10"/>
  <c r="B42" i="10"/>
  <c r="Q41" i="10"/>
  <c r="P41" i="10"/>
  <c r="O41" i="10"/>
  <c r="N41" i="10"/>
  <c r="B41" i="10"/>
  <c r="Q40" i="10"/>
  <c r="P40" i="10"/>
  <c r="O40" i="10"/>
  <c r="N40" i="10"/>
  <c r="B40" i="10"/>
  <c r="Q39" i="10"/>
  <c r="P39" i="10"/>
  <c r="O39" i="10"/>
  <c r="N39" i="10"/>
  <c r="B39" i="10"/>
  <c r="Q38" i="10"/>
  <c r="P38" i="10"/>
  <c r="O38" i="10"/>
  <c r="N38" i="10"/>
  <c r="B38" i="10"/>
  <c r="Q37" i="10"/>
  <c r="P37" i="10"/>
  <c r="O37" i="10"/>
  <c r="N37" i="10"/>
  <c r="B37" i="10"/>
  <c r="Q36" i="10"/>
  <c r="P36" i="10"/>
  <c r="O36" i="10"/>
  <c r="N36" i="10"/>
  <c r="B36" i="10"/>
  <c r="Q35" i="10"/>
  <c r="P35" i="10"/>
  <c r="O35" i="10"/>
  <c r="N35" i="10"/>
  <c r="B35" i="10"/>
  <c r="Q34" i="10"/>
  <c r="P34" i="10"/>
  <c r="O34" i="10"/>
  <c r="N34" i="10"/>
  <c r="B34" i="10"/>
  <c r="Q33" i="10"/>
  <c r="P33" i="10"/>
  <c r="O33" i="10"/>
  <c r="N33" i="10"/>
  <c r="B33" i="10"/>
  <c r="Q32" i="10"/>
  <c r="P32" i="10"/>
  <c r="O32" i="10"/>
  <c r="N32" i="10"/>
  <c r="B32" i="10"/>
  <c r="Q31" i="10"/>
  <c r="P31" i="10"/>
  <c r="O31" i="10"/>
  <c r="N31" i="10"/>
  <c r="B31" i="10"/>
  <c r="Q30" i="10"/>
  <c r="P30" i="10"/>
  <c r="O30" i="10"/>
  <c r="N30" i="10"/>
  <c r="B30" i="10"/>
  <c r="Q29" i="10"/>
  <c r="P29" i="10"/>
  <c r="O29" i="10"/>
  <c r="N29" i="10"/>
  <c r="B29" i="10"/>
  <c r="Q28" i="10"/>
  <c r="P28" i="10"/>
  <c r="O28" i="10"/>
  <c r="N28" i="10"/>
  <c r="B28" i="10"/>
  <c r="Q27" i="10"/>
  <c r="P27" i="10"/>
  <c r="O27" i="10"/>
  <c r="N27" i="10"/>
  <c r="B27" i="10"/>
  <c r="Q26" i="10"/>
  <c r="P26" i="10"/>
  <c r="O26" i="10"/>
  <c r="N26" i="10"/>
  <c r="B26" i="10"/>
  <c r="Q25" i="10"/>
  <c r="P25" i="10"/>
  <c r="O25" i="10"/>
  <c r="N25" i="10"/>
  <c r="B25" i="10"/>
  <c r="Q24" i="10"/>
  <c r="P24" i="10"/>
  <c r="O24" i="10"/>
  <c r="N24" i="10"/>
  <c r="B24" i="10"/>
  <c r="Q23" i="10"/>
  <c r="P23" i="10"/>
  <c r="O23" i="10"/>
  <c r="N23" i="10"/>
  <c r="B23" i="10"/>
  <c r="Q22" i="10"/>
  <c r="P22" i="10"/>
  <c r="O22" i="10"/>
  <c r="N22" i="10"/>
  <c r="B22" i="10"/>
  <c r="Q21" i="10"/>
  <c r="P21" i="10"/>
  <c r="O21" i="10"/>
  <c r="N21" i="10"/>
  <c r="B21" i="10"/>
  <c r="Q20" i="10"/>
  <c r="P20" i="10"/>
  <c r="O20" i="10"/>
  <c r="N20" i="10"/>
  <c r="B20" i="10"/>
  <c r="Q19" i="10"/>
  <c r="P19" i="10"/>
  <c r="O19" i="10"/>
  <c r="N19" i="10"/>
  <c r="B19" i="10"/>
  <c r="Q18" i="10"/>
  <c r="P18" i="10"/>
  <c r="O18" i="10"/>
  <c r="N18" i="10"/>
  <c r="B18" i="10"/>
  <c r="Q17" i="10"/>
  <c r="P17" i="10"/>
  <c r="O17" i="10"/>
  <c r="N17" i="10"/>
  <c r="B17" i="10"/>
  <c r="Q16" i="10"/>
  <c r="P16" i="10"/>
  <c r="O16" i="10"/>
  <c r="N16" i="10"/>
  <c r="B16" i="10"/>
  <c r="Q15" i="10"/>
  <c r="P15" i="10"/>
  <c r="O15" i="10"/>
  <c r="N15" i="10"/>
  <c r="B15" i="10"/>
  <c r="Q14" i="10"/>
  <c r="P14" i="10"/>
  <c r="O14" i="10"/>
  <c r="N14" i="10"/>
  <c r="B14" i="10"/>
  <c r="Q13" i="10"/>
  <c r="P13" i="10"/>
  <c r="O13" i="10"/>
  <c r="N13" i="10"/>
  <c r="B13" i="10"/>
  <c r="Q12" i="10"/>
  <c r="P12" i="10"/>
  <c r="O12" i="10"/>
  <c r="N12" i="10"/>
  <c r="B12" i="10"/>
  <c r="P11" i="10"/>
  <c r="O11" i="10"/>
  <c r="N11" i="10"/>
  <c r="Q11" i="10" s="1"/>
  <c r="B11" i="10"/>
  <c r="N10" i="10"/>
  <c r="B10" i="10"/>
  <c r="N9" i="10"/>
  <c r="B9" i="10"/>
  <c r="N8" i="10"/>
  <c r="B8" i="10"/>
  <c r="N7" i="10"/>
  <c r="B7" i="10"/>
  <c r="N6" i="10"/>
  <c r="B6" i="10"/>
  <c r="N5" i="10"/>
  <c r="B5" i="10"/>
  <c r="N4" i="10"/>
  <c r="B4" i="10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B140" i="8"/>
  <c r="B139" i="8"/>
  <c r="B138" i="8"/>
  <c r="B137" i="8"/>
  <c r="B136" i="8"/>
  <c r="B135" i="8"/>
  <c r="B134" i="8"/>
  <c r="B133" i="8"/>
  <c r="B132" i="8"/>
  <c r="B131" i="8"/>
  <c r="B130" i="8"/>
  <c r="B129" i="8"/>
  <c r="B128" i="8"/>
  <c r="B127" i="8"/>
  <c r="B126" i="8"/>
  <c r="B125" i="8"/>
  <c r="B124" i="8"/>
  <c r="B123" i="8"/>
  <c r="B122" i="8"/>
  <c r="B121" i="8"/>
  <c r="B120" i="8"/>
  <c r="B119" i="8"/>
  <c r="B118" i="8"/>
  <c r="B117" i="8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Q203" i="5"/>
  <c r="P203" i="5"/>
  <c r="O203" i="5"/>
  <c r="B203" i="5"/>
  <c r="Q202" i="5"/>
  <c r="P202" i="5"/>
  <c r="O202" i="5"/>
  <c r="B202" i="5"/>
  <c r="Q201" i="5"/>
  <c r="P201" i="5"/>
  <c r="O201" i="5"/>
  <c r="B201" i="5"/>
  <c r="Q200" i="5"/>
  <c r="P200" i="5"/>
  <c r="O200" i="5"/>
  <c r="B200" i="5"/>
  <c r="Q199" i="5"/>
  <c r="P199" i="5"/>
  <c r="O199" i="5"/>
  <c r="B199" i="5"/>
  <c r="Q198" i="5"/>
  <c r="P198" i="5"/>
  <c r="O198" i="5"/>
  <c r="B198" i="5"/>
  <c r="Q197" i="5"/>
  <c r="P197" i="5"/>
  <c r="O197" i="5"/>
  <c r="B197" i="5"/>
  <c r="Q196" i="5"/>
  <c r="P196" i="5"/>
  <c r="O196" i="5"/>
  <c r="B196" i="5"/>
  <c r="Q195" i="5"/>
  <c r="P195" i="5"/>
  <c r="O195" i="5"/>
  <c r="B195" i="5"/>
  <c r="Q194" i="5"/>
  <c r="P194" i="5"/>
  <c r="O194" i="5"/>
  <c r="B194" i="5"/>
  <c r="Q193" i="5"/>
  <c r="P193" i="5"/>
  <c r="O193" i="5"/>
  <c r="B193" i="5"/>
  <c r="Q192" i="5"/>
  <c r="P192" i="5"/>
  <c r="O192" i="5"/>
  <c r="B192" i="5"/>
  <c r="Q191" i="5"/>
  <c r="P191" i="5"/>
  <c r="O191" i="5"/>
  <c r="B191" i="5"/>
  <c r="Q190" i="5"/>
  <c r="P190" i="5"/>
  <c r="O190" i="5"/>
  <c r="B190" i="5"/>
  <c r="Q189" i="5"/>
  <c r="P189" i="5"/>
  <c r="O189" i="5"/>
  <c r="B189" i="5"/>
  <c r="Q188" i="5"/>
  <c r="P188" i="5"/>
  <c r="O188" i="5"/>
  <c r="B188" i="5"/>
  <c r="Q187" i="5"/>
  <c r="P187" i="5"/>
  <c r="O187" i="5"/>
  <c r="B187" i="5"/>
  <c r="Q186" i="5"/>
  <c r="P186" i="5"/>
  <c r="O186" i="5"/>
  <c r="B186" i="5"/>
  <c r="Q185" i="5"/>
  <c r="P185" i="5"/>
  <c r="O185" i="5"/>
  <c r="B185" i="5"/>
  <c r="Q184" i="5"/>
  <c r="P184" i="5"/>
  <c r="O184" i="5"/>
  <c r="B184" i="5"/>
  <c r="Q183" i="5"/>
  <c r="P183" i="5"/>
  <c r="O183" i="5"/>
  <c r="B183" i="5"/>
  <c r="Q182" i="5"/>
  <c r="P182" i="5"/>
  <c r="O182" i="5"/>
  <c r="B182" i="5"/>
  <c r="Q181" i="5"/>
  <c r="P181" i="5"/>
  <c r="O181" i="5"/>
  <c r="B181" i="5"/>
  <c r="Q180" i="5"/>
  <c r="P180" i="5"/>
  <c r="O180" i="5"/>
  <c r="B180" i="5"/>
  <c r="Q179" i="5"/>
  <c r="P179" i="5"/>
  <c r="O179" i="5"/>
  <c r="B179" i="5"/>
  <c r="Q178" i="5"/>
  <c r="P178" i="5"/>
  <c r="O178" i="5"/>
  <c r="B178" i="5"/>
  <c r="Q177" i="5"/>
  <c r="P177" i="5"/>
  <c r="O177" i="5"/>
  <c r="B177" i="5"/>
  <c r="Q176" i="5"/>
  <c r="P176" i="5"/>
  <c r="O176" i="5"/>
  <c r="B176" i="5"/>
  <c r="Q175" i="5"/>
  <c r="P175" i="5"/>
  <c r="O175" i="5"/>
  <c r="B175" i="5"/>
  <c r="Q174" i="5"/>
  <c r="P174" i="5"/>
  <c r="O174" i="5"/>
  <c r="B174" i="5"/>
  <c r="Q173" i="5"/>
  <c r="P173" i="5"/>
  <c r="O173" i="5"/>
  <c r="B173" i="5"/>
  <c r="Q172" i="5"/>
  <c r="P172" i="5"/>
  <c r="O172" i="5"/>
  <c r="B172" i="5"/>
  <c r="Q171" i="5"/>
  <c r="P171" i="5"/>
  <c r="O171" i="5"/>
  <c r="B171" i="5"/>
  <c r="Q170" i="5"/>
  <c r="P170" i="5"/>
  <c r="O170" i="5"/>
  <c r="B170" i="5"/>
  <c r="Q169" i="5"/>
  <c r="P169" i="5"/>
  <c r="O169" i="5"/>
  <c r="B169" i="5"/>
  <c r="Q168" i="5"/>
  <c r="P168" i="5"/>
  <c r="O168" i="5"/>
  <c r="B168" i="5"/>
  <c r="Q167" i="5"/>
  <c r="P167" i="5"/>
  <c r="O167" i="5"/>
  <c r="B167" i="5"/>
  <c r="Q166" i="5"/>
  <c r="P166" i="5"/>
  <c r="O166" i="5"/>
  <c r="B166" i="5"/>
  <c r="Q165" i="5"/>
  <c r="P165" i="5"/>
  <c r="O165" i="5"/>
  <c r="B165" i="5"/>
  <c r="Q164" i="5"/>
  <c r="P164" i="5"/>
  <c r="O164" i="5"/>
  <c r="B164" i="5"/>
  <c r="Q163" i="5"/>
  <c r="P163" i="5"/>
  <c r="O163" i="5"/>
  <c r="B163" i="5"/>
  <c r="Q162" i="5"/>
  <c r="P162" i="5"/>
  <c r="O162" i="5"/>
  <c r="B162" i="5"/>
  <c r="Q161" i="5"/>
  <c r="P161" i="5"/>
  <c r="O161" i="5"/>
  <c r="B161" i="5"/>
  <c r="Q160" i="5"/>
  <c r="P160" i="5"/>
  <c r="O160" i="5"/>
  <c r="B160" i="5"/>
  <c r="Q159" i="5"/>
  <c r="P159" i="5"/>
  <c r="O159" i="5"/>
  <c r="B159" i="5"/>
  <c r="Q158" i="5"/>
  <c r="P158" i="5"/>
  <c r="O158" i="5"/>
  <c r="B158" i="5"/>
  <c r="Q157" i="5"/>
  <c r="P157" i="5"/>
  <c r="O157" i="5"/>
  <c r="B157" i="5"/>
  <c r="Q156" i="5"/>
  <c r="P156" i="5"/>
  <c r="O156" i="5"/>
  <c r="B156" i="5"/>
  <c r="Q155" i="5"/>
  <c r="P155" i="5"/>
  <c r="O155" i="5"/>
  <c r="B155" i="5"/>
  <c r="Q154" i="5"/>
  <c r="P154" i="5"/>
  <c r="O154" i="5"/>
  <c r="B154" i="5"/>
  <c r="Q153" i="5"/>
  <c r="P153" i="5"/>
  <c r="O153" i="5"/>
  <c r="B153" i="5"/>
  <c r="Q152" i="5"/>
  <c r="P152" i="5"/>
  <c r="O152" i="5"/>
  <c r="B152" i="5"/>
  <c r="Q151" i="5"/>
  <c r="P151" i="5"/>
  <c r="O151" i="5"/>
  <c r="B151" i="5"/>
  <c r="Q150" i="5"/>
  <c r="P150" i="5"/>
  <c r="O150" i="5"/>
  <c r="B150" i="5"/>
  <c r="Q149" i="5"/>
  <c r="P149" i="5"/>
  <c r="O149" i="5"/>
  <c r="B149" i="5"/>
  <c r="Q148" i="5"/>
  <c r="P148" i="5"/>
  <c r="O148" i="5"/>
  <c r="B148" i="5"/>
  <c r="Q147" i="5"/>
  <c r="P147" i="5"/>
  <c r="O147" i="5"/>
  <c r="B147" i="5"/>
  <c r="Q146" i="5"/>
  <c r="P146" i="5"/>
  <c r="O146" i="5"/>
  <c r="B146" i="5"/>
  <c r="Q145" i="5"/>
  <c r="P145" i="5"/>
  <c r="O145" i="5"/>
  <c r="B145" i="5"/>
  <c r="Q144" i="5"/>
  <c r="P144" i="5"/>
  <c r="O144" i="5"/>
  <c r="B144" i="5"/>
  <c r="Q143" i="5"/>
  <c r="P143" i="5"/>
  <c r="O143" i="5"/>
  <c r="B143" i="5"/>
  <c r="Q142" i="5"/>
  <c r="P142" i="5"/>
  <c r="O142" i="5"/>
  <c r="B142" i="5"/>
  <c r="Q141" i="5"/>
  <c r="P141" i="5"/>
  <c r="O141" i="5"/>
  <c r="B141" i="5"/>
  <c r="Q140" i="5"/>
  <c r="P140" i="5"/>
  <c r="O140" i="5"/>
  <c r="B140" i="5"/>
  <c r="Q139" i="5"/>
  <c r="P139" i="5"/>
  <c r="O139" i="5"/>
  <c r="B139" i="5"/>
  <c r="Q138" i="5"/>
  <c r="P138" i="5"/>
  <c r="O138" i="5"/>
  <c r="B138" i="5"/>
  <c r="Q137" i="5"/>
  <c r="P137" i="5"/>
  <c r="O137" i="5"/>
  <c r="B137" i="5"/>
  <c r="Q136" i="5"/>
  <c r="P136" i="5"/>
  <c r="O136" i="5"/>
  <c r="B136" i="5"/>
  <c r="Q135" i="5"/>
  <c r="P135" i="5"/>
  <c r="O135" i="5"/>
  <c r="B135" i="5"/>
  <c r="Q134" i="5"/>
  <c r="P134" i="5"/>
  <c r="O134" i="5"/>
  <c r="B134" i="5"/>
  <c r="Q133" i="5"/>
  <c r="P133" i="5"/>
  <c r="O133" i="5"/>
  <c r="B133" i="5"/>
  <c r="Q132" i="5"/>
  <c r="P132" i="5"/>
  <c r="O132" i="5"/>
  <c r="B132" i="5"/>
  <c r="Q131" i="5"/>
  <c r="P131" i="5"/>
  <c r="O131" i="5"/>
  <c r="B131" i="5"/>
  <c r="Q130" i="5"/>
  <c r="P130" i="5"/>
  <c r="O130" i="5"/>
  <c r="B130" i="5"/>
  <c r="Q129" i="5"/>
  <c r="P129" i="5"/>
  <c r="O129" i="5"/>
  <c r="B129" i="5"/>
  <c r="Q128" i="5"/>
  <c r="P128" i="5"/>
  <c r="O128" i="5"/>
  <c r="B128" i="5"/>
  <c r="Q127" i="5"/>
  <c r="P127" i="5"/>
  <c r="O127" i="5"/>
  <c r="B127" i="5"/>
  <c r="Q126" i="5"/>
  <c r="P126" i="5"/>
  <c r="O126" i="5"/>
  <c r="B126" i="5"/>
  <c r="Q125" i="5"/>
  <c r="P125" i="5"/>
  <c r="O125" i="5"/>
  <c r="B125" i="5"/>
  <c r="Q124" i="5"/>
  <c r="P124" i="5"/>
  <c r="O124" i="5"/>
  <c r="B124" i="5"/>
  <c r="Q123" i="5"/>
  <c r="P123" i="5"/>
  <c r="O123" i="5"/>
  <c r="B123" i="5"/>
  <c r="Q122" i="5"/>
  <c r="P122" i="5"/>
  <c r="O122" i="5"/>
  <c r="B122" i="5"/>
  <c r="Q121" i="5"/>
  <c r="P121" i="5"/>
  <c r="O121" i="5"/>
  <c r="B121" i="5"/>
  <c r="Q120" i="5"/>
  <c r="P120" i="5"/>
  <c r="O120" i="5"/>
  <c r="B120" i="5"/>
  <c r="Q119" i="5"/>
  <c r="P119" i="5"/>
  <c r="O119" i="5"/>
  <c r="B119" i="5"/>
  <c r="Q118" i="5"/>
  <c r="P118" i="5"/>
  <c r="O118" i="5"/>
  <c r="B118" i="5"/>
  <c r="Q117" i="5"/>
  <c r="P117" i="5"/>
  <c r="O117" i="5"/>
  <c r="B117" i="5"/>
  <c r="Q116" i="5"/>
  <c r="P116" i="5"/>
  <c r="O116" i="5"/>
  <c r="B116" i="5"/>
  <c r="Q115" i="5"/>
  <c r="P115" i="5"/>
  <c r="O115" i="5"/>
  <c r="B115" i="5"/>
  <c r="Q114" i="5"/>
  <c r="P114" i="5"/>
  <c r="O114" i="5"/>
  <c r="B114" i="5"/>
  <c r="Q113" i="5"/>
  <c r="P113" i="5"/>
  <c r="O113" i="5"/>
  <c r="B113" i="5"/>
  <c r="Q112" i="5"/>
  <c r="P112" i="5"/>
  <c r="O112" i="5"/>
  <c r="B112" i="5"/>
  <c r="Q111" i="5"/>
  <c r="P111" i="5"/>
  <c r="O111" i="5"/>
  <c r="B111" i="5"/>
  <c r="Q110" i="5"/>
  <c r="P110" i="5"/>
  <c r="O110" i="5"/>
  <c r="B110" i="5"/>
  <c r="Q109" i="5"/>
  <c r="P109" i="5"/>
  <c r="O109" i="5"/>
  <c r="B109" i="5"/>
  <c r="Q108" i="5"/>
  <c r="P108" i="5"/>
  <c r="O108" i="5"/>
  <c r="B108" i="5"/>
  <c r="Q107" i="5"/>
  <c r="P107" i="5"/>
  <c r="O107" i="5"/>
  <c r="B107" i="5"/>
  <c r="Q106" i="5"/>
  <c r="P106" i="5"/>
  <c r="O106" i="5"/>
  <c r="B106" i="5"/>
  <c r="Q105" i="5"/>
  <c r="P105" i="5"/>
  <c r="O105" i="5"/>
  <c r="B105" i="5"/>
  <c r="Q104" i="5"/>
  <c r="P104" i="5"/>
  <c r="O104" i="5"/>
  <c r="B104" i="5"/>
  <c r="Q103" i="5"/>
  <c r="P103" i="5"/>
  <c r="O103" i="5"/>
  <c r="B103" i="5"/>
  <c r="Q102" i="5"/>
  <c r="P102" i="5"/>
  <c r="O102" i="5"/>
  <c r="B102" i="5"/>
  <c r="Q101" i="5"/>
  <c r="P101" i="5"/>
  <c r="O101" i="5"/>
  <c r="B101" i="5"/>
  <c r="Q100" i="5"/>
  <c r="P100" i="5"/>
  <c r="O100" i="5"/>
  <c r="B100" i="5"/>
  <c r="Q99" i="5"/>
  <c r="P99" i="5"/>
  <c r="O99" i="5"/>
  <c r="B99" i="5"/>
  <c r="Q98" i="5"/>
  <c r="P98" i="5"/>
  <c r="O98" i="5"/>
  <c r="B98" i="5"/>
  <c r="Q97" i="5"/>
  <c r="P97" i="5"/>
  <c r="O97" i="5"/>
  <c r="B97" i="5"/>
  <c r="Q96" i="5"/>
  <c r="P96" i="5"/>
  <c r="O96" i="5"/>
  <c r="B96" i="5"/>
  <c r="Q95" i="5"/>
  <c r="P95" i="5"/>
  <c r="O95" i="5"/>
  <c r="B95" i="5"/>
  <c r="Q94" i="5"/>
  <c r="P94" i="5"/>
  <c r="O94" i="5"/>
  <c r="B94" i="5"/>
  <c r="Q93" i="5"/>
  <c r="P93" i="5"/>
  <c r="O93" i="5"/>
  <c r="B93" i="5"/>
  <c r="Q92" i="5"/>
  <c r="P92" i="5"/>
  <c r="O92" i="5"/>
  <c r="B92" i="5"/>
  <c r="Q91" i="5"/>
  <c r="P91" i="5"/>
  <c r="O91" i="5"/>
  <c r="B91" i="5"/>
  <c r="Q90" i="5"/>
  <c r="P90" i="5"/>
  <c r="O90" i="5"/>
  <c r="B90" i="5"/>
  <c r="Q89" i="5"/>
  <c r="P89" i="5"/>
  <c r="O89" i="5"/>
  <c r="B89" i="5"/>
  <c r="Q88" i="5"/>
  <c r="P88" i="5"/>
  <c r="O88" i="5"/>
  <c r="B88" i="5"/>
  <c r="Q87" i="5"/>
  <c r="P87" i="5"/>
  <c r="O87" i="5"/>
  <c r="B87" i="5"/>
  <c r="Q86" i="5"/>
  <c r="P86" i="5"/>
  <c r="O86" i="5"/>
  <c r="B86" i="5"/>
  <c r="Q85" i="5"/>
  <c r="P85" i="5"/>
  <c r="O85" i="5"/>
  <c r="B85" i="5"/>
  <c r="Q84" i="5"/>
  <c r="P84" i="5"/>
  <c r="O84" i="5"/>
  <c r="B84" i="5"/>
  <c r="Q83" i="5"/>
  <c r="P83" i="5"/>
  <c r="O83" i="5"/>
  <c r="B83" i="5"/>
  <c r="Q82" i="5"/>
  <c r="P82" i="5"/>
  <c r="O82" i="5"/>
  <c r="B82" i="5"/>
  <c r="Q81" i="5"/>
  <c r="P81" i="5"/>
  <c r="O81" i="5"/>
  <c r="B81" i="5"/>
  <c r="Q80" i="5"/>
  <c r="P80" i="5"/>
  <c r="O80" i="5"/>
  <c r="B80" i="5"/>
  <c r="Q79" i="5"/>
  <c r="P79" i="5"/>
  <c r="O79" i="5"/>
  <c r="B79" i="5"/>
  <c r="Q78" i="5"/>
  <c r="P78" i="5"/>
  <c r="O78" i="5"/>
  <c r="B78" i="5"/>
  <c r="Q77" i="5"/>
  <c r="P77" i="5"/>
  <c r="O77" i="5"/>
  <c r="B77" i="5"/>
  <c r="Q76" i="5"/>
  <c r="P76" i="5"/>
  <c r="O76" i="5"/>
  <c r="B76" i="5"/>
  <c r="Q75" i="5"/>
  <c r="P75" i="5"/>
  <c r="O75" i="5"/>
  <c r="B75" i="5"/>
  <c r="Q74" i="5"/>
  <c r="P74" i="5"/>
  <c r="O74" i="5"/>
  <c r="B74" i="5"/>
  <c r="Q73" i="5"/>
  <c r="P73" i="5"/>
  <c r="O73" i="5"/>
  <c r="B73" i="5"/>
  <c r="Q72" i="5"/>
  <c r="P72" i="5"/>
  <c r="O72" i="5"/>
  <c r="B72" i="5"/>
  <c r="Q71" i="5"/>
  <c r="P71" i="5"/>
  <c r="O71" i="5"/>
  <c r="B71" i="5"/>
  <c r="Q70" i="5"/>
  <c r="P70" i="5"/>
  <c r="O70" i="5"/>
  <c r="B70" i="5"/>
  <c r="Q69" i="5"/>
  <c r="P69" i="5"/>
  <c r="O69" i="5"/>
  <c r="B69" i="5"/>
  <c r="Q68" i="5"/>
  <c r="P68" i="5"/>
  <c r="O68" i="5"/>
  <c r="B68" i="5"/>
  <c r="Q67" i="5"/>
  <c r="P67" i="5"/>
  <c r="O67" i="5"/>
  <c r="B67" i="5"/>
  <c r="Q66" i="5"/>
  <c r="P66" i="5"/>
  <c r="O66" i="5"/>
  <c r="B66" i="5"/>
  <c r="Q65" i="5"/>
  <c r="P65" i="5"/>
  <c r="O65" i="5"/>
  <c r="B65" i="5"/>
  <c r="Q64" i="5"/>
  <c r="P64" i="5"/>
  <c r="O64" i="5"/>
  <c r="B64" i="5"/>
  <c r="Q63" i="5"/>
  <c r="P63" i="5"/>
  <c r="O63" i="5"/>
  <c r="B63" i="5"/>
  <c r="Q62" i="5"/>
  <c r="P62" i="5"/>
  <c r="O62" i="5"/>
  <c r="B62" i="5"/>
  <c r="Q61" i="5"/>
  <c r="P61" i="5"/>
  <c r="O61" i="5"/>
  <c r="B61" i="5"/>
  <c r="Q60" i="5"/>
  <c r="P60" i="5"/>
  <c r="O60" i="5"/>
  <c r="B60" i="5"/>
  <c r="Q59" i="5"/>
  <c r="P59" i="5"/>
  <c r="O59" i="5"/>
  <c r="B59" i="5"/>
  <c r="Q58" i="5"/>
  <c r="P58" i="5"/>
  <c r="O58" i="5"/>
  <c r="B58" i="5"/>
  <c r="Q57" i="5"/>
  <c r="P57" i="5"/>
  <c r="O57" i="5"/>
  <c r="B57" i="5"/>
  <c r="Q56" i="5"/>
  <c r="P56" i="5"/>
  <c r="O56" i="5"/>
  <c r="B56" i="5"/>
  <c r="Q55" i="5"/>
  <c r="P55" i="5"/>
  <c r="O55" i="5"/>
  <c r="B55" i="5"/>
  <c r="Q54" i="5"/>
  <c r="P54" i="5"/>
  <c r="O54" i="5"/>
  <c r="B54" i="5"/>
  <c r="Q53" i="5"/>
  <c r="P53" i="5"/>
  <c r="O53" i="5"/>
  <c r="B53" i="5"/>
  <c r="Q52" i="5"/>
  <c r="P52" i="5"/>
  <c r="O52" i="5"/>
  <c r="B52" i="5"/>
  <c r="Q51" i="5"/>
  <c r="P51" i="5"/>
  <c r="O51" i="5"/>
  <c r="B51" i="5"/>
  <c r="Q50" i="5"/>
  <c r="P50" i="5"/>
  <c r="O50" i="5"/>
  <c r="B50" i="5"/>
  <c r="Q49" i="5"/>
  <c r="P49" i="5"/>
  <c r="O49" i="5"/>
  <c r="B49" i="5"/>
  <c r="Q48" i="5"/>
  <c r="P48" i="5"/>
  <c r="O48" i="5"/>
  <c r="B48" i="5"/>
  <c r="Q47" i="5"/>
  <c r="P47" i="5"/>
  <c r="O47" i="5"/>
  <c r="B47" i="5"/>
  <c r="Q46" i="5"/>
  <c r="P46" i="5"/>
  <c r="O46" i="5"/>
  <c r="B46" i="5"/>
  <c r="Q45" i="5"/>
  <c r="P45" i="5"/>
  <c r="O45" i="5"/>
  <c r="B45" i="5"/>
  <c r="Q44" i="5"/>
  <c r="P44" i="5"/>
  <c r="O44" i="5"/>
  <c r="B44" i="5"/>
  <c r="Q43" i="5"/>
  <c r="P43" i="5"/>
  <c r="O43" i="5"/>
  <c r="B43" i="5"/>
  <c r="Q42" i="5"/>
  <c r="P42" i="5"/>
  <c r="O42" i="5"/>
  <c r="B42" i="5"/>
  <c r="Q41" i="5"/>
  <c r="P41" i="5"/>
  <c r="O41" i="5"/>
  <c r="B41" i="5"/>
  <c r="Q40" i="5"/>
  <c r="P40" i="5"/>
  <c r="O40" i="5"/>
  <c r="B40" i="5"/>
  <c r="Q39" i="5"/>
  <c r="P39" i="5"/>
  <c r="O39" i="5"/>
  <c r="B39" i="5"/>
  <c r="Q38" i="5"/>
  <c r="P38" i="5"/>
  <c r="O38" i="5"/>
  <c r="B38" i="5"/>
  <c r="Q37" i="5"/>
  <c r="P37" i="5"/>
  <c r="O37" i="5"/>
  <c r="B37" i="5"/>
  <c r="Q36" i="5"/>
  <c r="P36" i="5"/>
  <c r="O36" i="5"/>
  <c r="B36" i="5"/>
  <c r="Q35" i="5"/>
  <c r="P35" i="5"/>
  <c r="O35" i="5"/>
  <c r="B35" i="5"/>
  <c r="Q34" i="5"/>
  <c r="P34" i="5"/>
  <c r="O34" i="5"/>
  <c r="B34" i="5"/>
  <c r="Q33" i="5"/>
  <c r="P33" i="5"/>
  <c r="O33" i="5"/>
  <c r="B33" i="5"/>
  <c r="Q32" i="5"/>
  <c r="P32" i="5"/>
  <c r="O32" i="5"/>
  <c r="B32" i="5"/>
  <c r="Q31" i="5"/>
  <c r="P31" i="5"/>
  <c r="O31" i="5"/>
  <c r="B31" i="5"/>
  <c r="Q30" i="5"/>
  <c r="P30" i="5"/>
  <c r="O30" i="5"/>
  <c r="B30" i="5"/>
  <c r="Q29" i="5"/>
  <c r="P29" i="5"/>
  <c r="O29" i="5"/>
  <c r="B29" i="5"/>
  <c r="Q28" i="5"/>
  <c r="P28" i="5"/>
  <c r="O28" i="5"/>
  <c r="B28" i="5"/>
  <c r="Q27" i="5"/>
  <c r="P27" i="5"/>
  <c r="O27" i="5"/>
  <c r="B27" i="5"/>
  <c r="Q26" i="5"/>
  <c r="P26" i="5"/>
  <c r="O26" i="5"/>
  <c r="B26" i="5"/>
  <c r="Q25" i="5"/>
  <c r="P25" i="5"/>
  <c r="O25" i="5"/>
  <c r="B25" i="5"/>
  <c r="Q24" i="5"/>
  <c r="P24" i="5"/>
  <c r="O24" i="5"/>
  <c r="B24" i="5"/>
  <c r="Q23" i="5"/>
  <c r="P23" i="5"/>
  <c r="O23" i="5"/>
  <c r="B23" i="5"/>
  <c r="Q22" i="5"/>
  <c r="P22" i="5"/>
  <c r="O22" i="5"/>
  <c r="B22" i="5"/>
  <c r="Q21" i="5"/>
  <c r="P21" i="5"/>
  <c r="O21" i="5"/>
  <c r="B21" i="5"/>
  <c r="Q20" i="5"/>
  <c r="P20" i="5"/>
  <c r="O20" i="5"/>
  <c r="B20" i="5"/>
  <c r="Q19" i="5"/>
  <c r="P19" i="5"/>
  <c r="O19" i="5"/>
  <c r="B19" i="5"/>
  <c r="Q18" i="5"/>
  <c r="P18" i="5"/>
  <c r="O18" i="5"/>
  <c r="B18" i="5"/>
  <c r="Q17" i="5"/>
  <c r="P17" i="5"/>
  <c r="O17" i="5"/>
  <c r="B17" i="5"/>
  <c r="Q16" i="5"/>
  <c r="P16" i="5"/>
  <c r="O16" i="5"/>
  <c r="B16" i="5"/>
  <c r="Q15" i="5"/>
  <c r="P15" i="5"/>
  <c r="O15" i="5"/>
  <c r="B15" i="5"/>
  <c r="Q14" i="5"/>
  <c r="P14" i="5"/>
  <c r="O14" i="5"/>
  <c r="B14" i="5"/>
  <c r="Q13" i="5"/>
  <c r="P13" i="5"/>
  <c r="O13" i="5"/>
  <c r="B13" i="5"/>
  <c r="Q12" i="5"/>
  <c r="P12" i="5"/>
  <c r="O12" i="5"/>
  <c r="B12" i="5"/>
  <c r="P11" i="5"/>
  <c r="O11" i="5"/>
  <c r="Q11" i="5" s="1"/>
  <c r="B11" i="5"/>
  <c r="P10" i="5"/>
  <c r="O10" i="10" s="1"/>
  <c r="O10" i="5"/>
  <c r="B10" i="5"/>
  <c r="P9" i="5"/>
  <c r="O9" i="10" s="1"/>
  <c r="O9" i="5"/>
  <c r="B9" i="5"/>
  <c r="P8" i="5"/>
  <c r="O8" i="10" s="1"/>
  <c r="O8" i="5"/>
  <c r="B8" i="5"/>
  <c r="P7" i="5"/>
  <c r="O7" i="10" s="1"/>
  <c r="O7" i="5"/>
  <c r="B7" i="5"/>
  <c r="P6" i="5"/>
  <c r="O6" i="10" s="1"/>
  <c r="O6" i="5"/>
  <c r="B6" i="5"/>
  <c r="P5" i="5"/>
  <c r="O5" i="10" s="1"/>
  <c r="O5" i="5"/>
  <c r="B5" i="5"/>
  <c r="P4" i="5"/>
  <c r="O4" i="10" s="1"/>
  <c r="Q4" i="10" s="1"/>
  <c r="O4" i="5"/>
  <c r="P4" i="10" s="1"/>
  <c r="B4" i="5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B9" i="13" l="1"/>
  <c r="Q10" i="5"/>
  <c r="P10" i="10"/>
  <c r="Q10" i="10" s="1"/>
  <c r="Q9" i="5"/>
  <c r="P9" i="10"/>
  <c r="Q9" i="10" s="1"/>
  <c r="Q8" i="5"/>
  <c r="P8" i="10"/>
  <c r="Q8" i="10" s="1"/>
  <c r="Q7" i="5"/>
  <c r="P7" i="10"/>
  <c r="Q7" i="10" s="1"/>
  <c r="Q6" i="5"/>
  <c r="P6" i="10"/>
  <c r="Q6" i="10" s="1"/>
  <c r="Q5" i="5"/>
  <c r="P5" i="10"/>
  <c r="Q5" i="10" s="1"/>
  <c r="B7" i="13"/>
  <c r="E16" i="11"/>
  <c r="F16" i="11" s="1"/>
  <c r="G16" i="11" s="1"/>
  <c r="E15" i="11"/>
  <c r="F15" i="11" s="1"/>
  <c r="G15" i="11" s="1"/>
  <c r="E14" i="11"/>
  <c r="F14" i="11" s="1"/>
  <c r="G14" i="11" s="1"/>
  <c r="E13" i="11"/>
  <c r="F13" i="11" s="1"/>
  <c r="G13" i="11" s="1"/>
  <c r="E12" i="11"/>
  <c r="F12" i="11" s="1"/>
  <c r="G12" i="11" s="1"/>
  <c r="E11" i="11"/>
  <c r="F11" i="11" s="1"/>
  <c r="G11" i="11" s="1"/>
  <c r="E10" i="11"/>
  <c r="F10" i="11" s="1"/>
  <c r="G10" i="11" s="1"/>
  <c r="E9" i="11"/>
  <c r="F9" i="11" s="1"/>
  <c r="G9" i="11" s="1"/>
  <c r="E8" i="11"/>
  <c r="F8" i="11" s="1"/>
  <c r="G8" i="11" s="1"/>
  <c r="E7" i="11"/>
  <c r="F7" i="11" s="1"/>
  <c r="G7" i="11" s="1"/>
  <c r="E6" i="11"/>
  <c r="F6" i="11" s="1"/>
  <c r="G6" i="11" s="1"/>
  <c r="E5" i="11"/>
  <c r="F5" i="11" s="1"/>
  <c r="G5" i="11" s="1"/>
  <c r="E4" i="11"/>
  <c r="F4" i="11" s="1"/>
  <c r="G7" i="13"/>
  <c r="F8" i="13"/>
  <c r="G8" i="13"/>
  <c r="F9" i="13"/>
  <c r="G9" i="13"/>
  <c r="B10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B8" i="13"/>
  <c r="Q4" i="5"/>
  <c r="F6" i="13" l="1"/>
  <c r="G6" i="13"/>
  <c r="F7" i="13"/>
  <c r="G4" i="11"/>
  <c r="B16" i="13"/>
  <c r="B17" i="13"/>
  <c r="B18" i="13"/>
  <c r="B19" i="13"/>
</calcChain>
</file>

<file path=xl/sharedStrings.xml><?xml version="1.0" encoding="utf-8"?>
<sst xmlns="http://schemas.openxmlformats.org/spreadsheetml/2006/main" count="1325" uniqueCount="819">
  <si>
    <t>Справочники для раскрывающихся списков</t>
  </si>
  <si>
    <t>Используйте эти значения в рабочих листах, чтобы результаты можно было сопоставлять между конкурентами.</t>
  </si>
  <si>
    <t>Тип конкурента</t>
  </si>
  <si>
    <t>Приоритет</t>
  </si>
  <si>
    <t>Статус анализа</t>
  </si>
  <si>
    <t>Элемент бизнес-модели</t>
  </si>
  <si>
    <t>Уровень доказательности</t>
  </si>
  <si>
    <t>Модель монетизации</t>
  </si>
  <si>
    <t>Тип воронки</t>
  </si>
  <si>
    <t>Классификация практики</t>
  </si>
  <si>
    <t>Тип преимущества</t>
  </si>
  <si>
    <t>прямой</t>
  </si>
  <si>
    <t>высокий</t>
  </si>
  <si>
    <t>не начат</t>
  </si>
  <si>
    <t>целевые сегменты</t>
  </si>
  <si>
    <t>1</t>
  </si>
  <si>
    <t>подписка</t>
  </si>
  <si>
    <t>самостоятельная покупка</t>
  </si>
  <si>
    <t>рыночный стандарт</t>
  </si>
  <si>
    <t>товарное</t>
  </si>
  <si>
    <t>косвенный</t>
  </si>
  <si>
    <t>средний</t>
  </si>
  <si>
    <t>в работе</t>
  </si>
  <si>
    <t>ценностное предложение</t>
  </si>
  <si>
    <t>2</t>
  </si>
  <si>
    <t>разовая покупка</t>
  </si>
  <si>
    <t>заявка на консультацию</t>
  </si>
  <si>
    <t>формирующийся стандарт</t>
  </si>
  <si>
    <t>ценовое</t>
  </si>
  <si>
    <t>заменитель</t>
  </si>
  <si>
    <t>низкий</t>
  </si>
  <si>
    <t>требует проверки</t>
  </si>
  <si>
    <t>цифровой товар</t>
  </si>
  <si>
    <t>3</t>
  </si>
  <si>
    <t>комиссия</t>
  </si>
  <si>
    <t>демонстрация продукта</t>
  </si>
  <si>
    <t>зона дифференциации</t>
  </si>
  <si>
    <t>канальное</t>
  </si>
  <si>
    <t>эталон лучшей практики</t>
  </si>
  <si>
    <t>завершен</t>
  </si>
  <si>
    <t>каналы</t>
  </si>
  <si>
    <t>4</t>
  </si>
  <si>
    <t>транзакционная оплата</t>
  </si>
  <si>
    <t>регистрация</t>
  </si>
  <si>
    <t>нишевой признак</t>
  </si>
  <si>
    <t>технологическое</t>
  </si>
  <si>
    <t>смежная модель</t>
  </si>
  <si>
    <t>отношения с клиентами</t>
  </si>
  <si>
    <t>5</t>
  </si>
  <si>
    <t>условно-бесплатная модель</t>
  </si>
  <si>
    <t>пробный доступ</t>
  </si>
  <si>
    <t>слабый сигнал</t>
  </si>
  <si>
    <t>данные</t>
  </si>
  <si>
    <t>потоки доходов</t>
  </si>
  <si>
    <t>лицензия</t>
  </si>
  <si>
    <t>контентная воронка</t>
  </si>
  <si>
    <t>партнерское</t>
  </si>
  <si>
    <t>ключевые ресурсы</t>
  </si>
  <si>
    <t>реклама</t>
  </si>
  <si>
    <t>корпоративные продажи</t>
  </si>
  <si>
    <t>брендовое</t>
  </si>
  <si>
    <t>ключевые виды деятельности</t>
  </si>
  <si>
    <t>оплата за использование</t>
  </si>
  <si>
    <t>маркетплейс</t>
  </si>
  <si>
    <t>сервисное</t>
  </si>
  <si>
    <t>ключевые партнеры</t>
  </si>
  <si>
    <t>пакетная продажа</t>
  </si>
  <si>
    <t>операционное</t>
  </si>
  <si>
    <t>структура затрат</t>
  </si>
  <si>
    <t>смешанная</t>
  </si>
  <si>
    <t>данные и сетевые эффекты</t>
  </si>
  <si>
    <t>масштабирование</t>
  </si>
  <si>
    <t>Методика анализа бизнес-модели конкурентов по их сайтам</t>
  </si>
  <si>
    <t>Рабочая книга предназначена для восстановления бизнес-модели конкурента по публичным данным сайта: продукт, ценность, монетизация, каналы, ресурсы, партнерства, данные, масштабируемость и конкурентные преимущества.</t>
  </si>
  <si>
    <t>Этап</t>
  </si>
  <si>
    <t>Что сделать</t>
  </si>
  <si>
    <t>Где заполнять</t>
  </si>
  <si>
    <t>Результат</t>
  </si>
  <si>
    <t>Шкала</t>
  </si>
  <si>
    <t>Интерпретация</t>
  </si>
  <si>
    <t>1. Сформировать контур анализа</t>
  </si>
  <si>
    <t>Внести список конкурентов, тип конкурента, географию, сегмент, приоритет и статус анализа.</t>
  </si>
  <si>
    <t>02_Конкуренты</t>
  </si>
  <si>
    <t>Единый перечень объектов наблюдения.</t>
  </si>
  <si>
    <t>Слабый косвенный признак: предположение без прямого подтверждения на сайте.</t>
  </si>
  <si>
    <t>2. Собрать факты с сайтов</t>
  </si>
  <si>
    <t>Фиксировать URL, раздел сайта, наблюдаемый факт, элемент бизнес-модели, уровень доказательности и вывод.</t>
  </si>
  <si>
    <t>03_Факты_сайта</t>
  </si>
  <si>
    <t>Проверяемая база фактов, на которой строятся гипотезы.</t>
  </si>
  <si>
    <t>Косвенное подтверждение: факт есть, но связь с блоком бизнес-модели неочевидна.</t>
  </si>
  <si>
    <t>3. Восстановить бизнес-модель</t>
  </si>
  <si>
    <t>По каждому конкуренту заполнить блоки бизнес-модели: сегменты, ценность, цифровой товар, каналы, отношения, доходы, ресурсы, деятельность, партнеры, издержки, данные.</t>
  </si>
  <si>
    <t>04_Бизнес_модель</t>
  </si>
  <si>
    <t>Профиль бизнес-модели конкурента с оценкой полноты и доказательности.</t>
  </si>
  <si>
    <t>Достаточное подтверждение: факт прямо указывает на элемент бизнес-модели.</t>
  </si>
  <si>
    <t>4. Уточнить товар и ценность</t>
  </si>
  <si>
    <t>Разложить предложение на ядро цифрового товара, ожидаемый уровень, расширенный уровень, потенциальное развитие и клиентский результат.</t>
  </si>
  <si>
    <t>05_Товар_ценность</t>
  </si>
  <si>
    <t>Понимание того, что фактически продается и за счет чего создается ценность.</t>
  </si>
  <si>
    <t>Сильное подтверждение: несколько страниц или блоков сайта подтверждают один вывод.</t>
  </si>
  <si>
    <t>5. Оценить монетизацию</t>
  </si>
  <si>
    <t>Зафиксировать признаки ценовой модели, тарифы, пробный доступ, ограничения, платежные условия и логику получения выручки.</t>
  </si>
  <si>
    <t>06_Монетизация</t>
  </si>
  <si>
    <t>Вывод о потоках доходов и зрелости коммерческой модели.</t>
  </si>
  <si>
    <t>Высокая доказательность: прямое описание, тариф, оферта, демонстрация, кейс или документация подтверждают вывод.</t>
  </si>
  <si>
    <t>6. Описать каналы и воронку</t>
  </si>
  <si>
    <t>Выявить источники привлечения, точки конверсии, призывы к действию, контент, регистрацию, демонстрацию, заявки и продажи.</t>
  </si>
  <si>
    <t>07_Каналы</t>
  </si>
  <si>
    <t>Понимание способа выхода на рынок и механики превращения посетителя в клиента.</t>
  </si>
  <si>
    <t>7. Описать операционную основу</t>
  </si>
  <si>
    <t>Оценить ресурсы, процессы, данные, интеграции, партнеров, поддержку, признаки масштабируемости и операционных ограничений.</t>
  </si>
  <si>
    <t>08_Операц_модель</t>
  </si>
  <si>
    <t>Оценка устойчивости и воспроизводимости бизнес-модели.</t>
  </si>
  <si>
    <t>8. Сравнить конкурентов</t>
  </si>
  <si>
    <t>Поставить оценки по ключевым блокам, использовать веса и получить итоговый индекс силы бизнес-модели.</t>
  </si>
  <si>
    <t>09_Матрица</t>
  </si>
  <si>
    <t>Рейтинг бизнес-моделей конкурентов.</t>
  </si>
  <si>
    <t>9. Определить рыночный стандарт</t>
  </si>
  <si>
    <t>Сгруппировать повторяющиеся практики и рассчитать долю конкурентов, у которых они присутствуют.</t>
  </si>
  <si>
    <t>10_Стандарт</t>
  </si>
  <si>
    <t>Отделение обязательного рыночного минимума от зон дифференциации.</t>
  </si>
  <si>
    <t>10. Сформулировать преимущества</t>
  </si>
  <si>
    <t>Выделить преимущества конкурентов и оценить силу, трудность копирования, коммерческую значимость и доказательность.</t>
  </si>
  <si>
    <t>11_Преимущества</t>
  </si>
  <si>
    <t>Список проверяемых преимуществ и угроз.</t>
  </si>
  <si>
    <t>11. Подготовить итог</t>
  </si>
  <si>
    <t>Использовать сводный лист для контроля заполнения, рейтинга и общей интерпретации.</t>
  </si>
  <si>
    <t>12_Сводка</t>
  </si>
  <si>
    <t>Сводная картина рынка и рекомендации к дальнейшему анализу.</t>
  </si>
  <si>
    <t>Реестр конкурентов</t>
  </si>
  <si>
    <t>Заполняется первым. Один конкурент — одна строка. ID используется во всех остальных листах.</t>
  </si>
  <si>
    <t>ID</t>
  </si>
  <si>
    <t>Название конкурента</t>
  </si>
  <si>
    <t>Сайт</t>
  </si>
  <si>
    <t>Сегмент</t>
  </si>
  <si>
    <t>География</t>
  </si>
  <si>
    <t>Дата фиксации</t>
  </si>
  <si>
    <t>Ответственный</t>
  </si>
  <si>
    <t>Примечание</t>
  </si>
  <si>
    <t>Факты, извлеченные с сайтов конкурентов</t>
  </si>
  <si>
    <t>Каждый вывод по бизнес-модели должен иметь источник: URL, наблюдаемый факт и уровень доказательности.</t>
  </si>
  <si>
    <t>Факт_ID</t>
  </si>
  <si>
    <t>ID конкурента</t>
  </si>
  <si>
    <t>Название</t>
  </si>
  <si>
    <t>Раздел сайта</t>
  </si>
  <si>
    <t>URL</t>
  </si>
  <si>
    <t>Блок/страница</t>
  </si>
  <si>
    <t>Наблюдаемый факт</t>
  </si>
  <si>
    <t>Доказательность 1-5</t>
  </si>
  <si>
    <t>Цитата/скриншот</t>
  </si>
  <si>
    <t>Аналитический вывод</t>
  </si>
  <si>
    <t>Профиль бизнес-модели конкурента</t>
  </si>
  <si>
    <t>Заполняется на основе фактов с сайта. Полнота и доказательность рассчитываются автоматически.</t>
  </si>
  <si>
    <t>Целевые сегменты</t>
  </si>
  <si>
    <t>Ценностное предложение</t>
  </si>
  <si>
    <t>Цифровой товар</t>
  </si>
  <si>
    <t>Каналы</t>
  </si>
  <si>
    <t>Отношения с клиентами</t>
  </si>
  <si>
    <t>Потоки доходов</t>
  </si>
  <si>
    <t>Ключевые ресурсы</t>
  </si>
  <si>
    <t>Ключевые виды деятельности</t>
  </si>
  <si>
    <t>Ключевые партнеры</t>
  </si>
  <si>
    <t>Структура затрат</t>
  </si>
  <si>
    <t>Данные и сетевые эффекты</t>
  </si>
  <si>
    <t>Главная гипотеза бизнес-модели</t>
  </si>
  <si>
    <t>Полнота профиля</t>
  </si>
  <si>
    <t>Средняя доказательность</t>
  </si>
  <si>
    <t>Качество профиля</t>
  </si>
  <si>
    <t>Примечание: сначала заполните ID конкурента, затем восстановите блоки бизнес-модели на основе листа 03_Факты_сайта. Не заполняйте гипотезу без ссылок на доказательства.</t>
  </si>
  <si>
    <t>Цифровой товар и ценностное предложение</t>
  </si>
  <si>
    <t>Лист помогает отделить сам цифровой товар от упаковки, сервиса, каналов продажи и обещаний на сайте.</t>
  </si>
  <si>
    <t>Ядро цифрового товара</t>
  </si>
  <si>
    <t>Базовое предложение</t>
  </si>
  <si>
    <t>Ожидаемый уровень</t>
  </si>
  <si>
    <t>Расширенный уровень</t>
  </si>
  <si>
    <t>Потенциальное развитие</t>
  </si>
  <si>
    <t>Клиентская проблема</t>
  </si>
  <si>
    <t>Клиентский результат</t>
  </si>
  <si>
    <t>Задача клиента</t>
  </si>
  <si>
    <t>Отличие от рынка</t>
  </si>
  <si>
    <t>Подтверждающие страницы</t>
  </si>
  <si>
    <t>Вывод о роли товара в бизнес-модели</t>
  </si>
  <si>
    <t>Монетизация и потоки доходов</t>
  </si>
  <si>
    <t>Фиксируются признаки получения выручки: тарифы, пробный доступ, условия оплаты, ограничения и коммерческая логика.</t>
  </si>
  <si>
    <t>Страница с тарифами/ценой</t>
  </si>
  <si>
    <t>Наличие бесплатного уровня</t>
  </si>
  <si>
    <t>Пробный доступ</t>
  </si>
  <si>
    <t>Тарифные уровни</t>
  </si>
  <si>
    <t>Единица оплаты</t>
  </si>
  <si>
    <t>Ограничения тарифа</t>
  </si>
  <si>
    <t>Платежная периодичность</t>
  </si>
  <si>
    <t>Признаки корпоративных продаж</t>
  </si>
  <si>
    <t>Прозрачность цены 1-5</t>
  </si>
  <si>
    <t>Гибкость модели 1-5</t>
  </si>
  <si>
    <t>Вывод о потоках доходов</t>
  </si>
  <si>
    <t>Каналы, воронка и механика продаж</t>
  </si>
  <si>
    <t>Анализируется, как сайт превращает посетителя в пользователя, лид или покупателя.</t>
  </si>
  <si>
    <t>Главные каналы привлечения</t>
  </si>
  <si>
    <t>Контентная стратегия</t>
  </si>
  <si>
    <t>Поисковая видимость по сайту</t>
  </si>
  <si>
    <t>Призыв к действию</t>
  </si>
  <si>
    <t>Первичная конверсия</t>
  </si>
  <si>
    <t>Регистрация/заявка</t>
  </si>
  <si>
    <t>Демонстрация/пробный доступ</t>
  </si>
  <si>
    <t>Доверительные элементы</t>
  </si>
  <si>
    <t>Сложность пути клиента 1-5</t>
  </si>
  <si>
    <t>Сила воронки 1-5</t>
  </si>
  <si>
    <t>Вывод о рынке и каналах</t>
  </si>
  <si>
    <t>Операционная основа бизнес-модели</t>
  </si>
  <si>
    <t>Лист фиксирует, за счет каких ресурсов, процессов, партнерств и данных конкурент поддерживает цифровой товар.</t>
  </si>
  <si>
    <t>Ключевые процессы</t>
  </si>
  <si>
    <t>Технологические признаки на сайте</t>
  </si>
  <si>
    <t>Использование данных</t>
  </si>
  <si>
    <t>Интеграции</t>
  </si>
  <si>
    <t>Партнеры</t>
  </si>
  <si>
    <t>Поддержка и сервис</t>
  </si>
  <si>
    <t>Признаки структуры затрат</t>
  </si>
  <si>
    <t>Масштабируемость 1-5</t>
  </si>
  <si>
    <t>Трудность копирования 1-5</t>
  </si>
  <si>
    <t>Операционный риск</t>
  </si>
  <si>
    <t>Вывод об устойчивости модели</t>
  </si>
  <si>
    <t>Сравнительная матрица бизнес-моделей</t>
  </si>
  <si>
    <t>Вес</t>
  </si>
  <si>
    <t>Сегменты</t>
  </si>
  <si>
    <t>Ценность</t>
  </si>
  <si>
    <t>Товар</t>
  </si>
  <si>
    <t>Отношения</t>
  </si>
  <si>
    <t>Доходы</t>
  </si>
  <si>
    <t>Ресурсы</t>
  </si>
  <si>
    <t>Данные/сеть</t>
  </si>
  <si>
    <t>Масштаб</t>
  </si>
  <si>
    <t>Защищенность</t>
  </si>
  <si>
    <t>Индекс силы</t>
  </si>
  <si>
    <t>Доказательность</t>
  </si>
  <si>
    <t>Полнота</t>
  </si>
  <si>
    <t>Итог с учетом надежности</t>
  </si>
  <si>
    <t>Определение рыночного стандарта бизнес-модели</t>
  </si>
  <si>
    <t>Повторяющиеся практики отделяются от настоящих конкурентных преимуществ. Порог стандарта можно корректировать в методике, базово используется 70%.</t>
  </si>
  <si>
    <t>Практика/элемент</t>
  </si>
  <si>
    <t>Блок бизнес-модели</t>
  </si>
  <si>
    <t>Описание признака</t>
  </si>
  <si>
    <t>Кол-во конкурентов с признаком</t>
  </si>
  <si>
    <t>Доля конкурентов</t>
  </si>
  <si>
    <t>Статус</t>
  </si>
  <si>
    <t>Управленческий вывод</t>
  </si>
  <si>
    <t>Подтверждающие URL/факты</t>
  </si>
  <si>
    <t>Конкурентные преимущества по бизнес-модели</t>
  </si>
  <si>
    <t>Оцениваются только преимущества, которые подтверждаются публичными фактами сайта или устойчивой совокупностью признаков.</t>
  </si>
  <si>
    <t>Гипотеза преимущества</t>
  </si>
  <si>
    <t>Связанный блок бизнес-модели</t>
  </si>
  <si>
    <t>Сила 1-5</t>
  </si>
  <si>
    <t>Коммерческая значимость 1-5</t>
  </si>
  <si>
    <t>Итоговый балл</t>
  </si>
  <si>
    <t>Риск для нашей модели</t>
  </si>
  <si>
    <t>Сводка анализа бизнес-моделей конкурентов</t>
  </si>
  <si>
    <t>Контроль заполнения, надежности выводов и рейтинга бизнес-моделей. Данные подтягиваются из рабочих листов.</t>
  </si>
  <si>
    <t>Показатель</t>
  </si>
  <si>
    <t>Значение</t>
  </si>
  <si>
    <t>Рейтинг конкурентов</t>
  </si>
  <si>
    <t>Конкурентов в реестре</t>
  </si>
  <si>
    <t>Сколько объектов анализа внесено на лист 02_Конкуренты.</t>
  </si>
  <si>
    <t>Место</t>
  </si>
  <si>
    <t>Конкурент</t>
  </si>
  <si>
    <t>Конкурентов со статусом «завершен»</t>
  </si>
  <si>
    <t>Сколько профилей можно использовать для итоговых выводов.</t>
  </si>
  <si>
    <t>Доля завершенных профилей</t>
  </si>
  <si>
    <t>Контроль готовности исследования.</t>
  </si>
  <si>
    <t>Средняя полнота бизнес-модели</t>
  </si>
  <si>
    <t>Насколько полно заполнены ключевые блоки бизнес-модели.</t>
  </si>
  <si>
    <t>Средняя доказательность выводов</t>
  </si>
  <si>
    <t>Насколько выводы подтверждены фактами с сайта.</t>
  </si>
  <si>
    <t>Средний индекс силы бизнес-модели</t>
  </si>
  <si>
    <t>Сопоставимая оценка по матрице бизнес-модели.</t>
  </si>
  <si>
    <t>Количество зафиксированных преимуществ</t>
  </si>
  <si>
    <t>Сколько гипотез преимуществ внесено на лист 11_Преимущества.</t>
  </si>
  <si>
    <t>Классификация практик бизнес-модели</t>
  </si>
  <si>
    <t>Количество</t>
  </si>
  <si>
    <t>Что означает</t>
  </si>
  <si>
    <t>Минимальный уровень, без которого товар или модель воспринимаются слабее рынка.</t>
  </si>
  <si>
    <t>Практика уже заметна, но еще не стала обязательной.</t>
  </si>
  <si>
    <t>Поле, где можно отличаться от конкурентов.</t>
  </si>
  <si>
    <t>Требует дополнительной проверки до управленческого вывода.</t>
  </si>
  <si>
    <t>Шаблон итогового вывода</t>
  </si>
  <si>
    <t>1. Рыночный стандарт бизнес-модели</t>
  </si>
  <si>
    <t>Опишите элементы, которые встречаются у большинства конкурентов и поэтому должны рассматриваться как минимально приемлемые.</t>
  </si>
  <si>
    <t>2. Доминирующая логика получения выручки</t>
  </si>
  <si>
    <t>Укажите, какая модель монетизации чаще всего подтверждается сайтами конкурентов.</t>
  </si>
  <si>
    <t>3. Зоны конкурентной дифференциации</t>
  </si>
  <si>
    <t>Перечислите элементы, которые встречаются не у всех, но могут создавать значимое преимущество.</t>
  </si>
  <si>
    <t>4. Наиболее сильные конкуренты</t>
  </si>
  <si>
    <t>Используйте рейтинг на этом листе и проверьте доказательность профилей.</t>
  </si>
  <si>
    <t>5. Риски копирования чужой модели</t>
  </si>
  <si>
    <t>Отделите видимые элементы сайта от глубинных ресурсов, партнерств, данных и процессов, которые труднее воспроизвести.</t>
  </si>
  <si>
    <t>C01</t>
  </si>
  <si>
    <t>PlantUML</t>
  </si>
  <si>
    <t>https://plantuml.com</t>
  </si>
  <si>
    <t>Разработчики, студенты</t>
  </si>
  <si>
    <t>Международный (RU-трафик 9,07 %)</t>
  </si>
  <si>
    <t>2026-09-17</t>
  </si>
  <si>
    <t>Хаджинова К.</t>
  </si>
  <si>
    <t>Open source (GPL-3.0)</t>
  </si>
  <si>
    <t>C02</t>
  </si>
  <si>
    <t>Eraser (DiagramGPT)</t>
  </si>
  <si>
    <t>https://www.eraser.io</t>
  </si>
  <si>
    <t>Команды разработки</t>
  </si>
  <si>
    <t>Международный (Индия 40,81 %)</t>
  </si>
  <si>
    <t>2026-09-23</t>
  </si>
  <si>
    <t>Freemium + подписка по местам</t>
  </si>
  <si>
    <t>C03</t>
  </si>
  <si>
    <t>Mermaid (open source)</t>
  </si>
  <si>
    <t>https://mermaid.js.org</t>
  </si>
  <si>
    <t>Разработчики, техписатели</t>
  </si>
  <si>
    <t>Международный</t>
  </si>
  <si>
    <t>MIT, GitHub Sponsors</t>
  </si>
  <si>
    <t>C04</t>
  </si>
  <si>
    <t>D2</t>
  </si>
  <si>
    <t>https://d2lang.com</t>
  </si>
  <si>
    <t>Разработчики</t>
  </si>
  <si>
    <t>MPL-2.0, Hack Club</t>
  </si>
  <si>
    <t>C05</t>
  </si>
  <si>
    <t>Gleek</t>
  </si>
  <si>
    <t>https://www.gleek.io</t>
  </si>
  <si>
    <t>Разработчики, аналитики</t>
  </si>
  <si>
    <t>🔲 дата просмотра</t>
  </si>
  <si>
    <t>Freemium — 🔲 проверить</t>
  </si>
  <si>
    <t>C07</t>
  </si>
  <si>
    <t>draw.io / diagrams.net</t>
  </si>
  <si>
    <t>https://www.drawio.com</t>
  </si>
  <si>
    <t>Все сегменты</t>
  </si>
  <si>
    <t>Apache 2.0, «Not VC-funded»</t>
  </si>
  <si>
    <t>C08</t>
  </si>
  <si>
    <t>Ramus (Educational)</t>
  </si>
  <si>
    <t>🔲 URL Ramus</t>
  </si>
  <si>
    <t>Студенты СНГ</t>
  </si>
  <si>
    <t>СНГ</t>
  </si>
  <si>
    <t>Настольная лицензия</t>
  </si>
  <si>
    <t>C09</t>
  </si>
  <si>
    <t>Lucidchart</t>
  </si>
  <si>
    <t>https://www.lucidchart.com</t>
  </si>
  <si>
    <t>Аналитики, корпоративные команды</t>
  </si>
  <si>
    <t>SaaS-подписка</t>
  </si>
  <si>
    <t>F001</t>
  </si>
  <si>
    <t>Главная</t>
  </si>
  <si>
    <t>Первый экран</t>
  </si>
  <si>
    <t>«No server. No tokens. No tracking»</t>
  </si>
  <si>
    <t>цитата; Рисунки/scr_05</t>
  </si>
  <si>
    <t>Ценность — приватность и локальная работа</t>
  </si>
  <si>
    <t>F002</t>
  </si>
  <si>
    <t>Лицензия</t>
  </si>
  <si>
    <t>Загрузка</t>
  </si>
  <si>
    <t>GPL-3.0, open source</t>
  </si>
  <si>
    <t>kursach.md</t>
  </si>
  <si>
    <t>Прямой выручки от товара нет</t>
  </si>
  <si>
    <t>F003</t>
  </si>
  <si>
    <t>IDE/CI</t>
  </si>
  <si>
    <t>Плагины IntelliJ, VS Code; расширение для GitHub</t>
  </si>
  <si>
    <t>архив ЛР5</t>
  </si>
  <si>
    <t>Канал — экосистема IDE</t>
  </si>
  <si>
    <t>F004</t>
  </si>
  <si>
    <t>SimilarWeb</t>
  </si>
  <si>
    <t>https://www.similarweb.com/website/plantuml.com/</t>
  </si>
  <si>
    <t>Трафик</t>
  </si>
  <si>
    <t>≈507 тыс. визитов; РФ 9,07 %</t>
  </si>
  <si>
    <t>Рисунки/scr_06</t>
  </si>
  <si>
    <t>Русскоязычная аудитория</t>
  </si>
  <si>
    <t>F005</t>
  </si>
  <si>
    <t>Тарифы</t>
  </si>
  <si>
    <t>—</t>
  </si>
  <si>
    <t>Страницы тарифов нет (отрицательный признак)</t>
  </si>
  <si>
    <t>Модель не коммерческая</t>
  </si>
  <si>
    <t>F006</t>
  </si>
  <si>
    <t>🔲 URL тарифов Eraser</t>
  </si>
  <si>
    <t>Тарифная сетка</t>
  </si>
  <si>
    <t>Free/Starter 15–20/Business 45–60 USD/Enterprise по запросу; лимиты AI 3/40/250/∞</t>
  </si>
  <si>
    <t>Рисунки/scr_10</t>
  </si>
  <si>
    <t>Подписка по местам с лимитом AI</t>
  </si>
  <si>
    <t>F007</t>
  </si>
  <si>
    <t>Enterprise</t>
  </si>
  <si>
    <t>SSO, usage reporting на старших тарифах</t>
  </si>
  <si>
    <t>Переход к корпоративным продажам</t>
  </si>
  <si>
    <t>F008</t>
  </si>
  <si>
    <t>Продукт</t>
  </si>
  <si>
    <t>https://www.eraser.io/product/ai-diagrams</t>
  </si>
  <si>
    <t>AI</t>
  </si>
  <si>
    <t>AI-генерация, MCP-сервер для агентов, git-синхронизация</t>
  </si>
  <si>
    <t>00-competitive-analysis.md</t>
  </si>
  <si>
    <t>Ядро — AI + DSL</t>
  </si>
  <si>
    <t>F009</t>
  </si>
  <si>
    <t>GitHub, Notion, Confluence, VS Code</t>
  </si>
  <si>
    <t>Платформенные партнёрства</t>
  </si>
  <si>
    <t>F010</t>
  </si>
  <si>
    <t>https://www.similarweb.com/website/eraser.io/</t>
  </si>
  <si>
    <t>678,5 тыс. визитов; прямые заходы 49,05 %</t>
  </si>
  <si>
    <t>Рисунки/scr_12</t>
  </si>
  <si>
    <t>PLG + бренд</t>
  </si>
  <si>
    <t>F011</t>
  </si>
  <si>
    <t>Нативный рендер в GitHub/GitLab/Notion</t>
  </si>
  <si>
    <t>Рисунки/scr_07</t>
  </si>
  <si>
    <t>Стандарт де-факто — сетевой эффект платформ</t>
  </si>
  <si>
    <t>F012</t>
  </si>
  <si>
    <t>Команда</t>
  </si>
  <si>
    <t>🔲 URL Meet the Team</t>
  </si>
  <si>
    <t>Спонсоры</t>
  </si>
  <si>
    <t>Кнопки GitHub Sponsors</t>
  </si>
  <si>
    <t>Донаты</t>
  </si>
  <si>
    <t>F013</t>
  </si>
  <si>
    <t>MIT</t>
  </si>
  <si>
    <t>Открытый код — ресурс сообщества</t>
  </si>
  <si>
    <t>F014</t>
  </si>
  <si>
    <t>Коммерческий слой</t>
  </si>
  <si>
    <t>https://www.mermaidchart.com</t>
  </si>
  <si>
    <t>Прайсинг Mermaid Chart скрыт без регистрации</t>
  </si>
  <si>
    <t>Монетизация через отдельный SaaS</t>
  </si>
  <si>
    <t>F015</t>
  </si>
  <si>
    <t>«A modern language that turns text to diagrams»</t>
  </si>
  <si>
    <t>Рисунки/scr_13</t>
  </si>
  <si>
    <t>Ценность — скорость</t>
  </si>
  <si>
    <t>F016</t>
  </si>
  <si>
    <t>FAQ</t>
  </si>
  <si>
    <t>https://d2lang.com/tour/faq/</t>
  </si>
  <si>
    <t>Финансирование</t>
  </si>
  <si>
    <t>Fiscal sponsor Hack Club, не венчурный</t>
  </si>
  <si>
    <t>Низкие затраты, донаты</t>
  </si>
  <si>
    <t>F017</t>
  </si>
  <si>
    <t>Документация</t>
  </si>
  <si>
    <t>Экспорт</t>
  </si>
  <si>
    <t>SVG/PNG/PDF/PPTX/GIF/ASCII; 3 движка раскладки</t>
  </si>
  <si>
    <t>Технология раскладки</t>
  </si>
  <si>
    <t>F018</t>
  </si>
  <si>
    <t>Сообщество</t>
  </si>
  <si>
    <t>Homebrew/Winget, GitHub, Discord, playground</t>
  </si>
  <si>
    <t>Open-source дистрибуция</t>
  </si>
  <si>
    <t>F019</t>
  </si>
  <si>
    <t>Собственный DSL, UML-подобные, ER, flowchart</t>
  </si>
  <si>
    <t>🔲 проверить</t>
  </si>
  <si>
    <t>F020</t>
  </si>
  <si>
    <t>🔲 URL тарифов Gleek</t>
  </si>
  <si>
    <t>Freemium, есть Free (цены 🔲)</t>
  </si>
  <si>
    <t>🔲 проверить цены</t>
  </si>
  <si>
    <t>F021</t>
  </si>
  <si>
    <t>«Professional diagramming without the enterprise price tag or privacy compromises»</t>
  </si>
  <si>
    <t>Рисунки/scr_18</t>
  </si>
  <si>
    <t>Ценность — бесплатно и приватно</t>
  </si>
  <si>
    <t>F022</t>
  </si>
  <si>
    <t>Доступ</t>
  </si>
  <si>
    <t>«No account required. No credit card»</t>
  </si>
  <si>
    <t>Нулевой барьер входа</t>
  </si>
  <si>
    <t>F023</t>
  </si>
  <si>
    <t>О компании</t>
  </si>
  <si>
    <t>Модель</t>
  </si>
  <si>
    <t>«No artificial scarcity, no Enterprise tier for SSO»; «Not VC-funded»</t>
  </si>
  <si>
    <t>Нет платного тарифа редактора</t>
  </si>
  <si>
    <t>F024</t>
  </si>
  <si>
    <t>Google, Microsoft, Atlassian, GitHub, VS Code, Notion; плагины Atlassian Marketplace</t>
  </si>
  <si>
    <t>Интеграции — канал и партнёрства (платность плагинов 🔲)</t>
  </si>
  <si>
    <t>F025</t>
  </si>
  <si>
    <t>«100M+ users worldwide», история с 2005 г.</t>
  </si>
  <si>
    <t>Заявление компании, не проверено</t>
  </si>
  <si>
    <t>F026</t>
  </si>
  <si>
    <t>Нотации</t>
  </si>
  <si>
    <t>IDEF0/IDEF1X/IDEF3, курсы СНГ, устаревший UX</t>
  </si>
  <si>
    <t>Нишевой учебный товар</t>
  </si>
  <si>
    <t>F027</t>
  </si>
  <si>
    <t>Настольное приложение, платная лицензия, без текста и Git</t>
  </si>
  <si>
    <t>01-project-concept.md</t>
  </si>
  <si>
    <t>Лицензионная модель</t>
  </si>
  <si>
    <t>F028</t>
  </si>
  <si>
    <t>Функции</t>
  </si>
  <si>
    <t>Совместная работа — сильная сторона; AI-генерация по описанию</t>
  </si>
  <si>
    <t>Ценность — команда</t>
  </si>
  <si>
    <t>F029</t>
  </si>
  <si>
    <t>🔲 URL тарифов Lucidchart</t>
  </si>
  <si>
    <t>SaaS-подписка (цены 🔲)</t>
  </si>
  <si>
    <t>Разработчики, студенты, техписатели; РФ — 1-я страна трафика</t>
  </si>
  <si>
    <t>Бесплатные UML-диаграммы из текста, локально и без слежки</t>
  </si>
  <si>
    <t>DSL + рендер (онлайн-сервер, jar, плагины IDE)</t>
  </si>
  <si>
    <t>Поиск, IDE-плагины, GitHub-расширение</t>
  </si>
  <si>
    <t>Самообслуживание, сообщество</t>
  </si>
  <si>
    <t>Нет прямой выручки (open source)</t>
  </si>
  <si>
    <t>Язык PlantUML, документация, сообщество</t>
  </si>
  <si>
    <t>Развитие языка и рендера силами автора и сообщества</t>
  </si>
  <si>
    <t>IDE и CI-инструменты (встраивание)</t>
  </si>
  <si>
    <t>Низкие: хостинг сервера, поддержка кода</t>
  </si>
  <si>
    <t>Сетевой эффект — встроенность в инструменты</t>
  </si>
  <si>
    <t>Некоммерческий стандарт де-факто для UML-as-code</t>
  </si>
  <si>
    <t>Команды разработки от индивидуальных до Enterprise</t>
  </si>
  <si>
    <t>AI + diagram as code в одном рабочем пространстве</t>
  </si>
  <si>
    <t>SaaS: DSL, AI, канвас, заметки</t>
  </si>
  <si>
    <t>PLG через Free (3 AI-диаграммы), прямые заходы 49 %</t>
  </si>
  <si>
    <t>Самообслуживание → корпоративные продажи (SSO)</t>
  </si>
  <si>
    <t>Подписка по местам 15–60 USD; Enterprise по запросу</t>
  </si>
  <si>
    <t>Собственная AI-генерация, интеграции</t>
  </si>
  <si>
    <t>Разработка AI, продажи Enterprise</t>
  </si>
  <si>
    <t>Разработка AI, инференс, продажи</t>
  </si>
  <si>
    <t>История пользователя, git-синхронизация</t>
  </si>
  <si>
    <t>Freemium с апгрейдом по лимиту AI-кредитов</t>
  </si>
  <si>
    <t>Разработчики и техписатели в GitHub/GitLab/Notion</t>
  </si>
  <si>
    <t>Диаграммы в Markdown без плагинов</t>
  </si>
  <si>
    <t>JS-библиотека + Live Editor</t>
  </si>
  <si>
    <t>Нативно в платформах документации</t>
  </si>
  <si>
    <t>Донаты (GitHub Sponsors) + отдельный SaaS Mermaid Chart</t>
  </si>
  <si>
    <t>Открытый код MIT, сообщество</t>
  </si>
  <si>
    <t>Развитие библиотеки</t>
  </si>
  <si>
    <t>GitHub, GitLab, Notion</t>
  </si>
  <si>
    <t>Низкие</t>
  </si>
  <si>
    <t>Сетевой эффект платформ-хостов</t>
  </si>
  <si>
    <t>Стандарт де-факто, монетизируемый через SaaS-надстройку</t>
  </si>
  <si>
    <t>Быстрый современный язык диаграмм</t>
  </si>
  <si>
    <t>DSL + CLI + playground</t>
  </si>
  <si>
    <t>Open-source дистрибуция, Discord</t>
  </si>
  <si>
    <t>Нет (fiscal sponsor Hack Club)</t>
  </si>
  <si>
    <t>Язык D2, 3 движка раскладки</t>
  </si>
  <si>
    <t>Развитие языка</t>
  </si>
  <si>
    <t>Плагины VS Code/Vim</t>
  </si>
  <si>
    <t>Низкие, не венчурные</t>
  </si>
  <si>
    <t>Некоммерческий проект с технологическим отличием в раскладке</t>
  </si>
  <si>
    <t>Разработчики, аналитики (🔲)</t>
  </si>
  <si>
    <t>Диаграммы из текста в вебе (🔲)</t>
  </si>
  <si>
    <t>SaaS с DSL</t>
  </si>
  <si>
    <t>Freemium (🔲 цены)</t>
  </si>
  <si>
    <t>Freemium SaaS — модель, близкая к NotaCode (🔲)</t>
  </si>
  <si>
    <t>Все: от индивидуальных пользователей до команд</t>
  </si>
  <si>
    <t>Профессионально, бесплатно, приватно</t>
  </si>
  <si>
    <t>Web/desktop-редактор, библиотеки фигур</t>
  </si>
  <si>
    <t>Прямые заходы 68,65 %, интеграции как канал</t>
  </si>
  <si>
    <t>Самообслуживание</t>
  </si>
  <si>
    <t>Нет платного тарифа редактора; плагины Atlassian Marketplace (🔲 платность)</t>
  </si>
  <si>
    <t>20-летняя история, совместимость файлов</t>
  </si>
  <si>
    <t>Развитие редактора и интеграций</t>
  </si>
  <si>
    <t>Google, Microsoft, Atlassian, GitHub</t>
  </si>
  <si>
    <t>Разработка; инфраструктура — хранилище у пользователя</t>
  </si>
  <si>
    <t>Хранение у пользователя, «100M+ users» (заявление)</t>
  </si>
  <si>
    <t>Бесплатный стандарт GUI-редактора, монетизация через интеграции (🔲)</t>
  </si>
  <si>
    <t>Студенты методологических курсов СНГ</t>
  </si>
  <si>
    <t>IDEF0/DFD-моделирование</t>
  </si>
  <si>
    <t>Настольное CASE-приложение</t>
  </si>
  <si>
    <t>Лицензия (Educational — 🔲)</t>
  </si>
  <si>
    <t>Нишевая лицензионная модель для вузов (🔲)</t>
  </si>
  <si>
    <t>Совместная визуальная работа</t>
  </si>
  <si>
    <t>SaaS-редактор + AI</t>
  </si>
  <si>
    <t>🔲</t>
  </si>
  <si>
    <t>Подписка (🔲 цены)</t>
  </si>
  <si>
    <t>SaaS-подписка для команд (🔲)</t>
  </si>
  <si>
    <t>Рендер UML из текста</t>
  </si>
  <si>
    <t>Онлайн-сервер и jar</t>
  </si>
  <si>
    <t>Плагины IDE, документация</t>
  </si>
  <si>
    <t>GitHub-расширение</t>
  </si>
  <si>
    <t>Не заявлено</t>
  </si>
  <si>
    <t>Ручное рисование UML</t>
  </si>
  <si>
    <t>Диаграмма в документации за минуты</t>
  </si>
  <si>
    <t>Документировать ПО</t>
  </si>
  <si>
    <t>Бесплатен, работает локально</t>
  </si>
  <si>
    <t>Главная, загрузка</t>
  </si>
  <si>
    <t>Товар — ядро некоммерческой экосистемы</t>
  </si>
  <si>
    <t>Диаграмма из текста/AI</t>
  </si>
  <si>
    <t>Free: канвас + DSL + 3 AI</t>
  </si>
  <si>
    <t>Интеграции, история версий</t>
  </si>
  <si>
    <t>SSO, API, usage reporting</t>
  </si>
  <si>
    <t>MCP-агенты, git-синхронизация</t>
  </si>
  <si>
    <t>Долго рисовать архитектуру</t>
  </si>
  <si>
    <t>Диаграммы для документации команды</t>
  </si>
  <si>
    <t>Документировать архитектуру</t>
  </si>
  <si>
    <t>AI + DSL + канвас</t>
  </si>
  <si>
    <t>Тарифы, AI diagrams</t>
  </si>
  <si>
    <t>Товар — драйвер подписки</t>
  </si>
  <si>
    <t>Диаграмма в Markdown</t>
  </si>
  <si>
    <t>Библиотека + Live Editor</t>
  </si>
  <si>
    <t>Встроенность в GitHub/GitLab/Notion</t>
  </si>
  <si>
    <t>Mermaid Chart для команд</t>
  </si>
  <si>
    <t>Развитие сообществом</t>
  </si>
  <si>
    <t>Диаграммы отдельно от документации</t>
  </si>
  <si>
    <t>Диаграмма живёт в репозитории</t>
  </si>
  <si>
    <t>Документировать в Markdown</t>
  </si>
  <si>
    <t>Нативность в платформах</t>
  </si>
  <si>
    <t>Главная, интеграции</t>
  </si>
  <si>
    <t>Товар — стандарт, монетизируемый надстройкой</t>
  </si>
  <si>
    <t>Текст → диаграмма</t>
  </si>
  <si>
    <t>CLI + playground</t>
  </si>
  <si>
    <t>Экспорт 6 форматов</t>
  </si>
  <si>
    <t>Плагины редакторов</t>
  </si>
  <si>
    <t>UML class/sequence</t>
  </si>
  <si>
    <t>Некрасивые авто-схемы</t>
  </si>
  <si>
    <t>Красивая раскладка</t>
  </si>
  <si>
    <t>Архитектурные схемы</t>
  </si>
  <si>
    <t>3 движка раскладки</t>
  </si>
  <si>
    <t>Главная, FAQ</t>
  </si>
  <si>
    <t>Товар — технология раскладки</t>
  </si>
  <si>
    <t>Текст → диаграмма (🔲)</t>
  </si>
  <si>
    <t>Free-план (🔲)</t>
  </si>
  <si>
    <t>Pro (🔲)</t>
  </si>
  <si>
    <t>Собственный DSL</t>
  </si>
  <si>
    <t>Главная (🔲)</t>
  </si>
  <si>
    <t>Нарисовать любую диаграмму</t>
  </si>
  <si>
    <t>Бесплатный редактор</t>
  </si>
  <si>
    <t>Без регистрации, хранение у пользователя</t>
  </si>
  <si>
    <t>Интеграции с офисными платформами</t>
  </si>
  <si>
    <t>Без VC — стабильность</t>
  </si>
  <si>
    <t>Дорогие корпоративные редакторы</t>
  </si>
  <si>
    <t>Профессиональная схема бесплатно</t>
  </si>
  <si>
    <t>Нарисовать схему</t>
  </si>
  <si>
    <t>Цена 0 и приватность</t>
  </si>
  <si>
    <t>Товар — бесплатный стандарт GUI</t>
  </si>
  <si>
    <t>IDEF0/DFD-модель</t>
  </si>
  <si>
    <t>Настольное приложение</t>
  </si>
  <si>
    <t>Не обнаружено</t>
  </si>
  <si>
    <t>Нет инструмента IDEF</t>
  </si>
  <si>
    <t>Сдать учебную модель</t>
  </si>
  <si>
    <t>Лабораторные по IDEF</t>
  </si>
  <si>
    <t>IDEF на русском</t>
  </si>
  <si>
    <t>Совместная диаграмма</t>
  </si>
  <si>
    <t>SaaS-редактор</t>
  </si>
  <si>
    <t>Шаблоны, совместная работа</t>
  </si>
  <si>
    <t>AI-генерация</t>
  </si>
  <si>
    <t>Разрозненная командная работа</t>
  </si>
  <si>
    <t>Схема в команде</t>
  </si>
  <si>
    <t>Командная работа</t>
  </si>
  <si>
    <t>Совместное редактирование</t>
  </si>
  <si>
    <t>Товар — командная подписка</t>
  </si>
  <si>
    <t>нет (бесплатно)</t>
  </si>
  <si>
    <t>да, полностью</t>
  </si>
  <si>
    <t>не требуется</t>
  </si>
  <si>
    <t>нет</t>
  </si>
  <si>
    <t>Выручки от товара нет; конкурирует ценой 0</t>
  </si>
  <si>
    <t>да</t>
  </si>
  <si>
    <t>да, Free</t>
  </si>
  <si>
    <t>Free-тариф</t>
  </si>
  <si>
    <t>4 уровня</t>
  </si>
  <si>
    <t>участник/мес</t>
  </si>
  <si>
    <t>лимит AI 3/40/250/∞, история 90 дней → безлимит</t>
  </si>
  <si>
    <t>мес/год (скидка за год)</t>
  </si>
  <si>
    <t>Enterprise по запросу, SSO</t>
  </si>
  <si>
    <t>нет (Mermaid Chart — скрыто)</t>
  </si>
  <si>
    <t>Донаты + отдельный SaaS</t>
  </si>
  <si>
    <t>Некоммерческий</t>
  </si>
  <si>
    <t>да (kursach.md)</t>
  </si>
  <si>
    <t>«no artificial scarcity»</t>
  </si>
  <si>
    <t>нет Enterprise-тарифа</t>
  </si>
  <si>
    <t>Бесплатный редактор; доход — 🔲 (Atlassian Marketplace)</t>
  </si>
  <si>
    <t>Educational (🔲)</t>
  </si>
  <si>
    <t>разово (🔲)</t>
  </si>
  <si>
    <t>Поиск, IDE, GitHub</t>
  </si>
  <si>
    <t>Документация, примеры</t>
  </si>
  <si>
    <t>Высокая (РФ 9,07 %)</t>
  </si>
  <si>
    <t>Попробовать онлайн</t>
  </si>
  <si>
    <t>Первая диаграмма без регистрации</t>
  </si>
  <si>
    <t>онлайн-сервер</t>
  </si>
  <si>
    <t>open source, «no tracking»</t>
  </si>
  <si>
    <t>Контентно-продуктовая воронка без оплаты</t>
  </si>
  <si>
    <t>Прямые заходы 49 %, поиск</t>
  </si>
  <si>
    <t>Блог, AI-лендинги</t>
  </si>
  <si>
    <t>Средняя (Индия 40,81 %)</t>
  </si>
  <si>
    <t>Try for free / Book demo</t>
  </si>
  <si>
    <t>Регистрация во Free</t>
  </si>
  <si>
    <t>клиенты, интеграции</t>
  </si>
  <si>
    <t>PLG + корпоративные продажи</t>
  </si>
  <si>
    <t>GitHub/GitLab/Notion</t>
  </si>
  <si>
    <t>Высокая</t>
  </si>
  <si>
    <t>Live Editor</t>
  </si>
  <si>
    <t>Использование в Markdown</t>
  </si>
  <si>
    <t>список контрибьюторов</t>
  </si>
  <si>
    <t>Воронка через платформы</t>
  </si>
  <si>
    <t>GitHub, Discord, Homebrew</t>
  </si>
  <si>
    <t>Документация, tour</t>
  </si>
  <si>
    <t>Playground</t>
  </si>
  <si>
    <t>Установка CLI</t>
  </si>
  <si>
    <t>playground</t>
  </si>
  <si>
    <t>open source</t>
  </si>
  <si>
    <t>Прямые заходы 68,65 %, интеграции</t>
  </si>
  <si>
    <t>Очень высокая (7,8 млн визитов)</t>
  </si>
  <si>
    <t>Start now</t>
  </si>
  <si>
    <t>Диаграмма без регистрации</t>
  </si>
  <si>
    <t>сразу редактор</t>
  </si>
  <si>
    <t>100M+ users, open source</t>
  </si>
  <si>
    <t>Нулевой барьер и интеграции</t>
  </si>
  <si>
    <t>Методички вузов (🔲)</t>
  </si>
  <si>
    <t>Низкая (🔲)</t>
  </si>
  <si>
    <t>Скачать (🔲)</t>
  </si>
  <si>
    <t>Установка</t>
  </si>
  <si>
    <t>Канал — рекомендации преподавателей (🔲)</t>
  </si>
  <si>
    <t>Регистрация (🔲)</t>
  </si>
  <si>
    <t>да (🔲)</t>
  </si>
  <si>
    <t>Язык, рендер, документация</t>
  </si>
  <si>
    <t>Поддержка языка</t>
  </si>
  <si>
    <t>Java, JS-рендер</t>
  </si>
  <si>
    <t>Не собирает («no tracking»)</t>
  </si>
  <si>
    <t>IDE, CI, GitHub</t>
  </si>
  <si>
    <t>Экосистема IDE</t>
  </si>
  <si>
    <t>Сообщество, документация</t>
  </si>
  <si>
    <t>Хостинг сервера</t>
  </si>
  <si>
    <t>Зависимость от автора</t>
  </si>
  <si>
    <t>Устойчив как стандарт, без выручки</t>
  </si>
  <si>
    <t>AI-модель, интеграции</t>
  </si>
  <si>
    <t>Разработка AI, продажи</t>
  </si>
  <si>
    <t>AI, MCP</t>
  </si>
  <si>
    <t>История диаграмм пользователей</t>
  </si>
  <si>
    <t>Платформы</t>
  </si>
  <si>
    <t>Поддержка по тарифам</t>
  </si>
  <si>
    <t>Инференс AI, продажи</t>
  </si>
  <si>
    <t>Стоимость инференса</t>
  </si>
  <si>
    <t>Сильная, но дорогая модель</t>
  </si>
  <si>
    <t>Код, сообщество</t>
  </si>
  <si>
    <t>Мейнтейнинг</t>
  </si>
  <si>
    <t>JS</t>
  </si>
  <si>
    <t>Платформы-хосты</t>
  </si>
  <si>
    <t>Зависимость от волонтёров</t>
  </si>
  <si>
    <t>Очень устойчив за счёт встроенности</t>
  </si>
  <si>
    <t>Язык, раскладка</t>
  </si>
  <si>
    <t>Разработка</t>
  </si>
  <si>
    <t>Go, 3 движка</t>
  </si>
  <si>
    <t>VS Code, Vim</t>
  </si>
  <si>
    <t>Hack Club</t>
  </si>
  <si>
    <t>Discord</t>
  </si>
  <si>
    <t>Финансирование донатами</t>
  </si>
  <si>
    <t>Технологически сильный, коммерчески слабый</t>
  </si>
  <si>
    <t>История, бренд, совместимость</t>
  </si>
  <si>
    <t>JS, desktop</t>
  </si>
  <si>
    <t>Хранение у пользователя</t>
  </si>
  <si>
    <t>Atlassian и др.</t>
  </si>
  <si>
    <t>Нет прямой выручки (🔲)</t>
  </si>
  <si>
    <t>Устойчив благодаря интеграциям</t>
  </si>
  <si>
    <t>Desktop</t>
  </si>
  <si>
    <t>Вузы (🔲)</t>
  </si>
  <si>
    <t>Устаревание</t>
  </si>
  <si>
    <t>SaaS, AI</t>
  </si>
  <si>
    <t>Бесплатный доступ к основной функции</t>
  </si>
  <si>
    <t>Free-тариф или open source</t>
  </si>
  <si>
    <t>PlantUML, Eraser Free, Mermaid, D2, Gleek Free, draw.io, (Lucidchart 🔲); Ramus — лицензия</t>
  </si>
  <si>
    <t>Самостоятельный старт без продажника</t>
  </si>
  <si>
    <t>Регистрация/вход без заявки</t>
  </si>
  <si>
    <t>Все, кроме Ramus (установка, 🔲)</t>
  </si>
  <si>
    <t>Первый результат без регистрации</t>
  </si>
  <si>
    <t>Редактор доступен сразу</t>
  </si>
  <si>
    <t>PlantUML, Mermaid Live, D2 playground, draw.io</t>
  </si>
  <si>
    <t>Открытый исходный код</t>
  </si>
  <si>
    <t>Лицензия GPL/MIT/MPL/Apache</t>
  </si>
  <si>
    <t>PlantUML, Mermaid, D2, draw.io</t>
  </si>
  <si>
    <t>Документация / база знаний</t>
  </si>
  <si>
    <t>Публичная документация синтаксиса</t>
  </si>
  <si>
    <t>Все, кроме Ramus (🔲)</t>
  </si>
  <si>
    <t>Интеграции с платформами разработки (GitHub, IDE)</t>
  </si>
  <si>
    <t>GitHub/IDE/Confluence</t>
  </si>
  <si>
    <t>PlantUML, Eraser, Mermaid, D2, draw.io</t>
  </si>
  <si>
    <t>Сообщество как канал поддержки</t>
  </si>
  <si>
    <t>Форум, Discord, GitHub</t>
  </si>
  <si>
    <t>Платная подписка</t>
  </si>
  <si>
    <t>Помесячная/годовая оплата</t>
  </si>
  <si>
    <t>Eraser, Lucidchart (🔲), Gleek (🔲)</t>
  </si>
  <si>
    <t>Лимиты тарифа как стимул апгрейда</t>
  </si>
  <si>
    <t>Лимит AI/версий/диаграмм</t>
  </si>
  <si>
    <t>Eraser (AI 3/40/250, история 90 дней)</t>
  </si>
  <si>
    <t>AI-генерация как часть товара</t>
  </si>
  <si>
    <t>Диаграмма по описанию</t>
  </si>
  <si>
    <t>Eraser, Lucidchart</t>
  </si>
  <si>
    <t>Корпоративные продажи (SSO, по запросу)</t>
  </si>
  <si>
    <t>Enterprise-тариф</t>
  </si>
  <si>
    <t>Eraser, Lucidchart (🔲)</t>
  </si>
  <si>
    <t>Сетевой эффект платформы-хоста</t>
  </si>
  <si>
    <t>Рендер внутри чужой платформы</t>
  </si>
  <si>
    <t>Mermaid</t>
  </si>
  <si>
    <t>Строгие нотации IDEF/DFD</t>
  </si>
  <si>
    <t>Профили методологических нотаций</t>
  </si>
  <si>
    <t>Ramus</t>
  </si>
  <si>
    <t>Встроенность в GitHub/GitLab/Notion (стандарт де-факто)</t>
  </si>
  <si>
    <t>NotaCode не сможет стать рендером платформ — нужен экспорт в Mermaid</t>
  </si>
  <si>
    <t>Нулевой барьер: бесплатно, без регистрации, 100M+ пользователей</t>
  </si>
  <si>
    <t>Студенты по умолчанию идут в draw.io — нужен короткий путь «открыл → диаграмма»</t>
  </si>
  <si>
    <t>AI + DSL + подписка с лимитом AI-кредитов</t>
  </si>
  <si>
    <t>https://www.eraser.io/diagramgpt; тарифы</t>
  </si>
  <si>
    <t>Задаёт ожидание AI; но цена 15–20 USD — окно для NotaCode</t>
  </si>
  <si>
    <t>Экосистема IDE-плагинов и локальная работа</t>
  </si>
  <si>
    <t>Разработчики остаются в IDE — нужен импорт PlantUML</t>
  </si>
  <si>
    <t>Технология раскладки (3 движка)</t>
  </si>
  <si>
    <t>Качество раскладки elkjs — риск для сложных схем</t>
  </si>
  <si>
    <t>Присутствие в учебных программах IDEF в СНГ</t>
  </si>
  <si>
    <t>Преподаватели требуют Ramus — нужен экспорт/совместимость и шаблоны заданий</t>
  </si>
  <si>
    <t>Совместная работа и корпоративные подписки</t>
  </si>
  <si>
    <t>Для S-02 совместная работа — ожидание (после MVP)</t>
  </si>
  <si>
    <t>Freemium-модель с собственным DSL</t>
  </si>
  <si>
    <t>Прямой аналог модели — 🔲 проверить цены и нотации</t>
  </si>
  <si>
    <t>Стандарт (доля ≥ 0,7 из 8): бесплатный доступ к основной функции, самостоятельный старт без продажника, публичная документация. Их NotaCode включает в минимальное предложение: Free-тариф, вход без заявки, вкладка документации.</t>
  </si>
  <si>
    <t>Преобладают условно-бесплатные open-source модели (PlantUML, Mermaid, D2, draw.io — 4 из 8, выручки от товара нет); платную подписку подтверждает только Eraser (15–60 USD/участник), у Lucidchart и Gleek — 🔲 проверить. Freemium NotaCode (Free + Pro 4 USD) — промежуточная позиция.</t>
  </si>
  <si>
    <t>Формирующийся стандарт (доля 0,4–0,7): первый результат без регистрации, открытый код, интеграции с GitHub/IDE, сообщество; зона дифференциации (0,2–0,4): платная подписка, AI-генерация, корпоративные продажи; слабые сигналы (1 из 8): лимиты тарифа как стимул апгрейда, сетевой эффект платформы-хоста, строгие нотации IDEF/DFD — последнее и есть поле позиционирования NotaCode.</t>
  </si>
  <si>
    <t>Сильнейшие модели по итогу с учётом надёжности: Eraser, draw.io, Mermaid (высокая доказательность, полные профили); Lucidchart, Gleek и Ramus имеют низкую доказательность — выводы по ним предварительные.</t>
  </si>
  <si>
    <t>Риски копирования: видимые элементы (тарифы Eraser, бесплатность draw.io) опираются на невидимые ресурсы — венчурные деньги и инференс AI у Eraser, 20-летнюю базу и интеграции у draw.io, встроенность Mermaid в GitHub. NotaCode копирует только freemium-логику и лимиты, но не цену и не Enterprise-продажи.</t>
  </si>
  <si>
    <t>Паспорт исследования бизнес-моделей конкурентов (NotaCode)</t>
  </si>
  <si>
    <t>Поле</t>
  </si>
  <si>
    <t>Содержание</t>
  </si>
  <si>
    <t>Цель исследования</t>
  </si>
  <si>
    <t>Выбрать элементы бизнес-модели NotaCode (freemium Free/Pro 4 USD) для запуска MVP к 06.12.2026: стандарт рынка, модель доходов, путь первой покупки</t>
  </si>
  <si>
    <t>Рынок</t>
  </si>
  <si>
    <t>Инструменты построения диаграмм (diagram as code и графические редакторы), Беларусь/СНГ, B2C (студенты) + B2B-лайт (аналитики, архитекторы)</t>
  </si>
  <si>
    <t>Единица анализа</t>
  </si>
  <si>
    <t>Конкретное предложение: веб-/настольный доступ к редактору диаграмм и его платные расширения</t>
  </si>
  <si>
    <t>Период сбора данных</t>
  </si>
  <si>
    <t>2026-09-17 — 2026-09-25 (архив) + 🔲 ДОСНЯТЬ: повторный просмотр сайтов (даты фиксировать)</t>
  </si>
  <si>
    <t>Список конкурентов</t>
  </si>
  <si>
    <t>8: PlantUML, Eraser, Mermaid, D2, Gleek, draw.io, Ramus, Lucidchart (прямые и косвенные из части A)</t>
  </si>
  <si>
    <t>Источники</t>
  </si>
  <si>
    <t>Главная, продукт, тарифы, регистрация/демо, документация, интеграции, FAQ/лицензия, команда/спонсоры; вакансии — 🔲</t>
  </si>
  <si>
    <t>№</t>
  </si>
  <si>
    <t>Что снять / проверить</t>
  </si>
  <si>
    <t>Где и как</t>
  </si>
  <si>
    <t>Куда вписать</t>
  </si>
  <si>
    <t>Значение (заполнить)</t>
  </si>
  <si>
    <t>Даты повторного просмотра сайтов и скриншоты (C05, C08, C09)</t>
  </si>
  <si>
    <t>Сайт → тарифы, продукт, регистрация</t>
  </si>
  <si>
    <t>02_Конкуренты: I; 03_Факты_сайта: J, K</t>
  </si>
  <si>
    <t>🔲 не сделано</t>
  </si>
  <si>
    <t>Цены и лимиты Gleek, Lucidchart; условия Ramus Educational</t>
  </si>
  <si>
    <t>Страницы тарифов/лицензии</t>
  </si>
  <si>
    <t>06_Монетизация; 03_Факты_сайта (новые строки)</t>
  </si>
  <si>
    <t>Платность плагинов draw.io в Atlassian Marketplace</t>
  </si>
  <si>
    <t>marketplace.atlassian.com → draw.io</t>
  </si>
  <si>
    <t>03_Факты_сайта; 06_Монетизация: N</t>
  </si>
  <si>
    <t>Вакансии конкурентов (ключевые процессы)</t>
  </si>
  <si>
    <t>Раздел Careers/Jobs</t>
  </si>
  <si>
    <t>03_Факты_сайта (элемент «ключевые виды деятельности»)</t>
  </si>
  <si>
    <t>После дозаполнения сменить статус на «завершен»</t>
  </si>
  <si>
    <t>02_Конкуренты: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</si>
</sst>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2">
    <font>
      <sz val="11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sz val="11"/>
      <color rgb="FF111827"/>
      <name val="Carlito"/>
    </font>
    <font>
      <i/>
      <sz val="11"/>
      <color rgb="FF78350F"/>
      <name val="Carlito"/>
    </font>
    <font>
      <b/>
      <i/>
      <sz val="11"/>
      <color rgb="FF1F2937"/>
      <name val="Carlito"/>
    </font>
    <font>
      <b/>
      <sz val="12"/>
      <color rgb="FF1F2937"/>
      <name val="Carlito"/>
    </font>
    <font>
      <b/>
      <sz val="11"/>
      <color rgb="FF1F2937"/>
      <name val="Carlito"/>
    </font>
    <font>
      <sz val="11"/>
      <color rgb="FF78350F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CCFB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23">
    <xf numFmtId="0" fontId="0" fillId="0" borderId="0" xfId="0"/>
    <xf numFmtId="0" fontId="2" fillId="4" borderId="0" xfId="1" applyFont="1" applyFill="1" applyAlignment="1">
      <alignment horizontal="center" vertical="center" wrapText="1"/>
    </xf>
    <xf numFmtId="0" fontId="3" fillId="5" borderId="0" xfId="1" applyFont="1" applyFill="1" applyAlignment="1">
      <alignment vertical="top" wrapText="1"/>
    </xf>
    <xf numFmtId="49" fontId="3" fillId="5" borderId="0" xfId="1" applyNumberFormat="1" applyFont="1" applyFill="1" applyAlignment="1">
      <alignment vertical="top" wrapText="1"/>
    </xf>
    <xf numFmtId="164" fontId="3" fillId="5" borderId="0" xfId="1" applyNumberFormat="1" applyFont="1" applyFill="1" applyAlignment="1">
      <alignment vertical="top" wrapText="1"/>
    </xf>
    <xf numFmtId="0" fontId="3" fillId="7" borderId="0" xfId="1" applyFont="1" applyFill="1" applyAlignment="1">
      <alignment vertical="top" wrapText="1"/>
    </xf>
    <xf numFmtId="9" fontId="3" fillId="7" borderId="0" xfId="1" applyNumberFormat="1" applyFont="1" applyFill="1" applyAlignment="1">
      <alignment vertical="top" wrapText="1"/>
    </xf>
    <xf numFmtId="165" fontId="3" fillId="7" borderId="0" xfId="1" applyNumberFormat="1" applyFont="1" applyFill="1" applyAlignment="1">
      <alignment vertical="top" wrapText="1"/>
    </xf>
    <xf numFmtId="0" fontId="5" fillId="8" borderId="0" xfId="1" applyFont="1" applyFill="1" applyAlignment="1">
      <alignment vertical="top" wrapText="1"/>
    </xf>
    <xf numFmtId="9" fontId="5" fillId="8" borderId="0" xfId="1" applyNumberFormat="1" applyFont="1" applyFill="1" applyAlignment="1">
      <alignment vertical="top" wrapText="1"/>
    </xf>
    <xf numFmtId="0" fontId="6" fillId="9" borderId="0" xfId="1" applyFont="1" applyFill="1" applyAlignment="1">
      <alignment horizontal="center" vertical="center" wrapText="1"/>
    </xf>
    <xf numFmtId="9" fontId="6" fillId="9" borderId="0" xfId="1" applyNumberFormat="1" applyFont="1" applyFill="1" applyAlignment="1">
      <alignment horizontal="center" vertical="center" wrapText="1"/>
    </xf>
    <xf numFmtId="165" fontId="6" fillId="9" borderId="0" xfId="1" applyNumberFormat="1" applyFont="1" applyFill="1" applyAlignment="1">
      <alignment horizontal="center" vertical="center" wrapText="1"/>
    </xf>
    <xf numFmtId="0" fontId="7" fillId="8" borderId="0" xfId="1" applyFont="1" applyFill="1" applyAlignment="1">
      <alignment vertical="top" wrapText="1"/>
    </xf>
    <xf numFmtId="165" fontId="3" fillId="5" borderId="0" xfId="1" applyNumberFormat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10" fillId="0" borderId="0" xfId="1" applyFont="1"/>
    <xf numFmtId="0" fontId="9" fillId="2" borderId="0" xfId="1" applyFont="1" applyFill="1" applyAlignment="1">
      <alignment horizontal="left" vertical="center"/>
    </xf>
    <xf numFmtId="0" fontId="4" fillId="6" borderId="0" xfId="1" applyFont="1" applyFill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8" fillId="6" borderId="0" xfId="1" applyFont="1" applyFill="1" applyAlignment="1">
      <alignment vertical="top" wrapText="1"/>
    </xf>
    <xf numFmtId="0" fontId="2" fillId="4" borderId="0" xfId="1" applyFont="1" applyFill="1" applyAlignment="1">
      <alignment horizontal="center" vertical="center" wrapText="1"/>
    </xf>
    <xf numFmtId="49" fontId="0" fillId="0" borderId="0" xfId="0" applyNumberForma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Итоговый балл</c:v>
          </c:tx>
          <c:invertIfNegative val="1"/>
          <c:cat>
            <c:strRef>
              <c:f>'12_Сводка'!$F$6:$F$15</c:f>
              <c:strCache>
                <c:ptCount val="8"/>
                <c:pt idx="0">
                  <c:v>Eraser (DiagramGPT)</c:v>
                </c:pt>
                <c:pt idx="1">
                  <c:v>draw.io / diagrams.net</c:v>
                </c:pt>
                <c:pt idx="2">
                  <c:v>Mermaid (open source)</c:v>
                </c:pt>
                <c:pt idx="3">
                  <c:v>PlantUML</c:v>
                </c:pt>
                <c:pt idx="4">
                  <c:v>D2</c:v>
                </c:pt>
                <c:pt idx="5">
                  <c:v>Lucidchart</c:v>
                </c:pt>
                <c:pt idx="6">
                  <c:v>Gleek</c:v>
                </c:pt>
                <c:pt idx="7">
                  <c:v>Ramus (Educational)</c:v>
                </c:pt>
              </c:strCache>
            </c:strRef>
          </c:cat>
          <c:val>
            <c:numRef>
              <c:f>'12_Сводка'!$G$6:$G$15</c:f>
              <c:numCache>
                <c:formatCode>0.0</c:formatCode>
                <c:ptCount val="10"/>
                <c:pt idx="0">
                  <c:v>4.49</c:v>
                </c:pt>
                <c:pt idx="1">
                  <c:v>4.34</c:v>
                </c:pt>
                <c:pt idx="2">
                  <c:v>3.9674999999999998</c:v>
                </c:pt>
                <c:pt idx="3">
                  <c:v>3.88</c:v>
                </c:pt>
                <c:pt idx="4">
                  <c:v>3.58</c:v>
                </c:pt>
                <c:pt idx="5">
                  <c:v>3.34</c:v>
                </c:pt>
                <c:pt idx="6">
                  <c:v>2.4674999999999998</c:v>
                </c:pt>
                <c:pt idx="7">
                  <c:v>2.3825000000000003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C-45CD-8293-5D606FA65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D15">
  <tableColumns count="4">
    <tableColumn id="1" xr3:uid="{00000000-0010-0000-0000-000001000000}" name="Этап"/>
    <tableColumn id="2" xr3:uid="{00000000-0010-0000-0000-000002000000}" name="Что сделать"/>
    <tableColumn id="3" xr3:uid="{00000000-0010-0000-0000-000003000000}" name="Где заполнять"/>
    <tableColumn id="4" xr3:uid="{00000000-0010-0000-0000-000004000000}" name="Результа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etitorsTable" displayName="CompetitorsTable" ref="A3:K203">
  <tableColumns count="11">
    <tableColumn id="1" xr3:uid="{00000000-0010-0000-0100-000001000000}" name="ID"/>
    <tableColumn id="2" xr3:uid="{00000000-0010-0000-0100-000002000000}" name="Название конкурента"/>
    <tableColumn id="3" xr3:uid="{00000000-0010-0000-0100-000003000000}" name="Сайт"/>
    <tableColumn id="4" xr3:uid="{00000000-0010-0000-0100-000004000000}" name="Сегмент"/>
    <tableColumn id="5" xr3:uid="{00000000-0010-0000-0100-000005000000}" name="Тип конкурента"/>
    <tableColumn id="6" xr3:uid="{00000000-0010-0000-0100-000006000000}" name="География"/>
    <tableColumn id="7" xr3:uid="{00000000-0010-0000-0100-000007000000}" name="Приоритет"/>
    <tableColumn id="8" xr3:uid="{00000000-0010-0000-0100-000008000000}" name="Статус анализа"/>
    <tableColumn id="9" xr3:uid="{00000000-0010-0000-0100-000009000000}" name="Дата фиксации"/>
    <tableColumn id="10" xr3:uid="{00000000-0010-0000-0100-00000A000000}" name="Ответственный"/>
    <tableColumn id="11" xr3:uid="{00000000-0010-0000-0100-00000B000000}" name="Примеч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sTable" displayName="FactsTable" ref="A3:L503">
  <tableColumns count="12">
    <tableColumn id="1" xr3:uid="{00000000-0010-0000-0200-000001000000}" name="Факт_ID"/>
    <tableColumn id="2" xr3:uid="{00000000-0010-0000-0200-000002000000}" name="ID конкурента"/>
    <tableColumn id="3" xr3:uid="{00000000-0010-0000-0200-000003000000}" name="Название"/>
    <tableColumn id="4" xr3:uid="{00000000-0010-0000-0200-000004000000}" name="Раздел сайта"/>
    <tableColumn id="5" xr3:uid="{00000000-0010-0000-0200-000005000000}" name="URL"/>
    <tableColumn id="6" xr3:uid="{00000000-0010-0000-0200-000006000000}" name="Блок/страница"/>
    <tableColumn id="7" xr3:uid="{00000000-0010-0000-0200-000007000000}" name="Наблюдаемый факт"/>
    <tableColumn id="8" xr3:uid="{00000000-0010-0000-0200-000008000000}" name="Элемент бизнес-модели"/>
    <tableColumn id="9" xr3:uid="{00000000-0010-0000-0200-000009000000}" name="Доказательность 1-5"/>
    <tableColumn id="10" xr3:uid="{00000000-0010-0000-0200-00000A000000}" name="Дата фиксации"/>
    <tableColumn id="11" xr3:uid="{00000000-0010-0000-0200-00000B000000}" name="Цитата/скриншот"/>
    <tableColumn id="12" xr3:uid="{00000000-0010-0000-0200-00000C000000}" name="Аналитический вывод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sinessModelTable" displayName="BusinessModelTable" ref="A3:Q203">
  <tableColumns count="17">
    <tableColumn id="1" xr3:uid="{00000000-0010-0000-0300-000001000000}" name="ID конкурента"/>
    <tableColumn id="2" xr3:uid="{00000000-0010-0000-0300-000002000000}" name="Название"/>
    <tableColumn id="3" xr3:uid="{00000000-0010-0000-0300-000003000000}" name="Целевые сегменты"/>
    <tableColumn id="4" xr3:uid="{00000000-0010-0000-0300-000004000000}" name="Ценностное предложение"/>
    <tableColumn id="5" xr3:uid="{00000000-0010-0000-0300-000005000000}" name="Цифровой товар"/>
    <tableColumn id="6" xr3:uid="{00000000-0010-0000-0300-000006000000}" name="Каналы"/>
    <tableColumn id="7" xr3:uid="{00000000-0010-0000-0300-000007000000}" name="Отношения с клиентами"/>
    <tableColumn id="8" xr3:uid="{00000000-0010-0000-0300-000008000000}" name="Потоки доходов"/>
    <tableColumn id="9" xr3:uid="{00000000-0010-0000-0300-000009000000}" name="Ключевые ресурсы"/>
    <tableColumn id="10" xr3:uid="{00000000-0010-0000-0300-00000A000000}" name="Ключевые виды деятельности"/>
    <tableColumn id="11" xr3:uid="{00000000-0010-0000-0300-00000B000000}" name="Ключевые партнеры"/>
    <tableColumn id="12" xr3:uid="{00000000-0010-0000-0300-00000C000000}" name="Структура затрат"/>
    <tableColumn id="13" xr3:uid="{00000000-0010-0000-0300-00000D000000}" name="Данные и сетевые эффекты"/>
    <tableColumn id="14" xr3:uid="{00000000-0010-0000-0300-00000E000000}" name="Главная гипотеза бизнес-модели"/>
    <tableColumn id="15" xr3:uid="{00000000-0010-0000-0300-00000F000000}" name="Полнота профиля"/>
    <tableColumn id="16" xr3:uid="{00000000-0010-0000-0300-000010000000}" name="Средняя доказательность"/>
    <tableColumn id="17" xr3:uid="{00000000-0010-0000-0300-000011000000}" name="Качество профил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ValueTable" displayName="ProductValueTable" ref="A3:M203">
  <tableColumns count="13">
    <tableColumn id="1" xr3:uid="{00000000-0010-0000-0400-000001000000}" name="ID конкурента"/>
    <tableColumn id="2" xr3:uid="{00000000-0010-0000-0400-000002000000}" name="Название"/>
    <tableColumn id="3" xr3:uid="{00000000-0010-0000-0400-000003000000}" name="Ядро цифрового товара"/>
    <tableColumn id="4" xr3:uid="{00000000-0010-0000-0400-000004000000}" name="Базовое предложение"/>
    <tableColumn id="5" xr3:uid="{00000000-0010-0000-0400-000005000000}" name="Ожидаемый уровень"/>
    <tableColumn id="6" xr3:uid="{00000000-0010-0000-0400-000006000000}" name="Расширенный уровень"/>
    <tableColumn id="7" xr3:uid="{00000000-0010-0000-0400-000007000000}" name="Потенциальное развитие"/>
    <tableColumn id="8" xr3:uid="{00000000-0010-0000-0400-000008000000}" name="Клиентская проблема"/>
    <tableColumn id="9" xr3:uid="{00000000-0010-0000-0400-000009000000}" name="Клиентский результат"/>
    <tableColumn id="10" xr3:uid="{00000000-0010-0000-0400-00000A000000}" name="Задача клиента"/>
    <tableColumn id="11" xr3:uid="{00000000-0010-0000-0400-00000B000000}" name="Отличие от рынка"/>
    <tableColumn id="12" xr3:uid="{00000000-0010-0000-0400-00000C000000}" name="Подтверждающие страницы"/>
    <tableColumn id="13" xr3:uid="{00000000-0010-0000-0400-00000D000000}" name="Вывод о роли товара в бизнес-модел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3:N203">
  <tableColumns count="14">
    <tableColumn id="1" xr3:uid="{00000000-0010-0000-0500-000001000000}" name="ID конкурента"/>
    <tableColumn id="2" xr3:uid="{00000000-0010-0000-0500-000002000000}" name="Название"/>
    <tableColumn id="3" xr3:uid="{00000000-0010-0000-0500-000003000000}" name="Модель монетизации"/>
    <tableColumn id="4" xr3:uid="{00000000-0010-0000-0500-000004000000}" name="Страница с тарифами/ценой"/>
    <tableColumn id="5" xr3:uid="{00000000-0010-0000-0500-000005000000}" name="Наличие бесплатного уровня"/>
    <tableColumn id="6" xr3:uid="{00000000-0010-0000-0500-000006000000}" name="Пробный доступ"/>
    <tableColumn id="7" xr3:uid="{00000000-0010-0000-0500-000007000000}" name="Тарифные уровни"/>
    <tableColumn id="8" xr3:uid="{00000000-0010-0000-0500-000008000000}" name="Единица оплаты"/>
    <tableColumn id="9" xr3:uid="{00000000-0010-0000-0500-000009000000}" name="Ограничения тарифа"/>
    <tableColumn id="10" xr3:uid="{00000000-0010-0000-0500-00000A000000}" name="Платежная периодичность"/>
    <tableColumn id="11" xr3:uid="{00000000-0010-0000-0500-00000B000000}" name="Признаки корпоративных продаж"/>
    <tableColumn id="12" xr3:uid="{00000000-0010-0000-0500-00000C000000}" name="Прозрачность цены 1-5"/>
    <tableColumn id="13" xr3:uid="{00000000-0010-0000-0500-00000D000000}" name="Гибкость модели 1-5"/>
    <tableColumn id="14" xr3:uid="{00000000-0010-0000-0500-00000E000000}" name="Вывод о потоках доходов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hannelsTable" displayName="ChannelsTable" ref="A3:N203">
  <tableColumns count="14">
    <tableColumn id="1" xr3:uid="{00000000-0010-0000-0600-000001000000}" name="ID конкурента"/>
    <tableColumn id="2" xr3:uid="{00000000-0010-0000-0600-000002000000}" name="Название"/>
    <tableColumn id="3" xr3:uid="{00000000-0010-0000-0600-000003000000}" name="Главные каналы привлечения"/>
    <tableColumn id="4" xr3:uid="{00000000-0010-0000-0600-000004000000}" name="Контентная стратегия"/>
    <tableColumn id="5" xr3:uid="{00000000-0010-0000-0600-000005000000}" name="Поисковая видимость по сайту"/>
    <tableColumn id="6" xr3:uid="{00000000-0010-0000-0600-000006000000}" name="Призыв к действию"/>
    <tableColumn id="7" xr3:uid="{00000000-0010-0000-0600-000007000000}" name="Первичная конверсия"/>
    <tableColumn id="8" xr3:uid="{00000000-0010-0000-0600-000008000000}" name="Тип воронки"/>
    <tableColumn id="9" xr3:uid="{00000000-0010-0000-0600-000009000000}" name="Регистрация/заявка"/>
    <tableColumn id="10" xr3:uid="{00000000-0010-0000-0600-00000A000000}" name="Демонстрация/пробный доступ"/>
    <tableColumn id="11" xr3:uid="{00000000-0010-0000-0600-00000B000000}" name="Доверительные элементы"/>
    <tableColumn id="12" xr3:uid="{00000000-0010-0000-0600-00000C000000}" name="Сложность пути клиента 1-5"/>
    <tableColumn id="13" xr3:uid="{00000000-0010-0000-0600-00000D000000}" name="Сила воронки 1-5"/>
    <tableColumn id="14" xr3:uid="{00000000-0010-0000-0600-00000E000000}" name="Вывод о рынке и каналах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sModelTable" displayName="OpsModelTable" ref="A3:N203">
  <tableColumns count="14">
    <tableColumn id="1" xr3:uid="{00000000-0010-0000-0700-000001000000}" name="ID конкурента"/>
    <tableColumn id="2" xr3:uid="{00000000-0010-0000-0700-000002000000}" name="Название"/>
    <tableColumn id="3" xr3:uid="{00000000-0010-0000-0700-000003000000}" name="Ключевые ресурсы"/>
    <tableColumn id="4" xr3:uid="{00000000-0010-0000-0700-000004000000}" name="Ключевые процессы"/>
    <tableColumn id="5" xr3:uid="{00000000-0010-0000-0700-000005000000}" name="Технологические признаки на сайте"/>
    <tableColumn id="6" xr3:uid="{00000000-0010-0000-0700-000006000000}" name="Использование данных"/>
    <tableColumn id="7" xr3:uid="{00000000-0010-0000-0700-000007000000}" name="Интеграции"/>
    <tableColumn id="8" xr3:uid="{00000000-0010-0000-0700-000008000000}" name="Партнеры"/>
    <tableColumn id="9" xr3:uid="{00000000-0010-0000-0700-000009000000}" name="Поддержка и сервис"/>
    <tableColumn id="10" xr3:uid="{00000000-0010-0000-0700-00000A000000}" name="Признаки структуры затрат"/>
    <tableColumn id="11" xr3:uid="{00000000-0010-0000-0700-00000B000000}" name="Масштабируемость 1-5"/>
    <tableColumn id="12" xr3:uid="{00000000-0010-0000-0700-00000C000000}" name="Трудность копирования 1-5"/>
    <tableColumn id="13" xr3:uid="{00000000-0010-0000-0700-00000D000000}" name="Операционный риск"/>
    <tableColumn id="14" xr3:uid="{00000000-0010-0000-0700-00000E000000}" name="Вывод об устойчивости модели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coreMatrixTable" displayName="ScoreMatrixTable" ref="A3:Q203">
  <tableColumns count="17">
    <tableColumn id="1" xr3:uid="{00000000-0010-0000-0800-000001000000}" name="ID конкурента"/>
    <tableColumn id="2" xr3:uid="{00000000-0010-0000-0800-000002000000}" name="Название"/>
    <tableColumn id="3" xr3:uid="{00000000-0010-0000-0800-000003000000}" name="Сегменты"/>
    <tableColumn id="4" xr3:uid="{00000000-0010-0000-0800-000004000000}" name="Ценность"/>
    <tableColumn id="5" xr3:uid="{00000000-0010-0000-0800-000005000000}" name="Товар"/>
    <tableColumn id="6" xr3:uid="{00000000-0010-0000-0800-000006000000}" name="Каналы"/>
    <tableColumn id="7" xr3:uid="{00000000-0010-0000-0800-000007000000}" name="Отношения"/>
    <tableColumn id="8" xr3:uid="{00000000-0010-0000-0800-000008000000}" name="Доходы"/>
    <tableColumn id="9" xr3:uid="{00000000-0010-0000-0800-000009000000}" name="Ресурсы"/>
    <tableColumn id="10" xr3:uid="{00000000-0010-0000-0800-00000A000000}" name="Партнеры"/>
    <tableColumn id="11" xr3:uid="{00000000-0010-0000-0800-00000B000000}" name="Данные/сеть"/>
    <tableColumn id="12" xr3:uid="{00000000-0010-0000-0800-00000C000000}" name="Масштаб"/>
    <tableColumn id="13" xr3:uid="{00000000-0010-0000-0800-00000D000000}" name="Защищенность"/>
    <tableColumn id="14" xr3:uid="{00000000-0010-0000-0800-00000E000000}" name="Индекс силы"/>
    <tableColumn id="15" xr3:uid="{00000000-0010-0000-0800-00000F000000}" name="Доказательность"/>
    <tableColumn id="16" xr3:uid="{00000000-0010-0000-0800-000010000000}" name="Полнота"/>
    <tableColumn id="17" xr3:uid="{00000000-0010-0000-0800-000011000000}" name="Итог с учетом надежности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MarketStandardTable" displayName="MarketStandardTable" ref="A3:H203">
  <tableColumns count="8">
    <tableColumn id="1" xr3:uid="{00000000-0010-0000-0900-000001000000}" name="Практика/элемент"/>
    <tableColumn id="2" xr3:uid="{00000000-0010-0000-0900-000002000000}" name="Блок бизнес-модели"/>
    <tableColumn id="3" xr3:uid="{00000000-0010-0000-0900-000003000000}" name="Описание признака"/>
    <tableColumn id="4" xr3:uid="{00000000-0010-0000-0900-000004000000}" name="Кол-во конкурентов с признаком"/>
    <tableColumn id="5" xr3:uid="{00000000-0010-0000-0900-000005000000}" name="Доля конкурентов"/>
    <tableColumn id="6" xr3:uid="{00000000-0010-0000-0900-000006000000}" name="Статус"/>
    <tableColumn id="7" xr3:uid="{00000000-0010-0000-0900-000007000000}" name="Управленческий вывод"/>
    <tableColumn id="8" xr3:uid="{00000000-0010-0000-0900-000008000000}" name="Подтверждающие URL/факты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AdvantagesTable" displayName="AdvantagesTable" ref="A3:M203">
  <tableColumns count="13">
    <tableColumn id="1" xr3:uid="{00000000-0010-0000-0A00-000001000000}" name="ID конкурента"/>
    <tableColumn id="2" xr3:uid="{00000000-0010-0000-0A00-000002000000}" name="Название"/>
    <tableColumn id="3" xr3:uid="{00000000-0010-0000-0A00-000003000000}" name="Гипотеза преимущества"/>
    <tableColumn id="4" xr3:uid="{00000000-0010-0000-0A00-000004000000}" name="Тип преимущества"/>
    <tableColumn id="5" xr3:uid="{00000000-0010-0000-0A00-000005000000}" name="Связанный блок бизнес-модели"/>
    <tableColumn id="6" xr3:uid="{00000000-0010-0000-0A00-000006000000}" name="Подтверждающие страницы"/>
    <tableColumn id="7" xr3:uid="{00000000-0010-0000-0A00-000007000000}" name="Сила 1-5"/>
    <tableColumn id="8" xr3:uid="{00000000-0010-0000-0A00-000008000000}" name="Трудность копирования 1-5"/>
    <tableColumn id="9" xr3:uid="{00000000-0010-0000-0A00-000009000000}" name="Коммерческая значимость 1-5"/>
    <tableColumn id="10" xr3:uid="{00000000-0010-0000-0A00-00000A000000}" name="Доказательность 1-5"/>
    <tableColumn id="11" xr3:uid="{00000000-0010-0000-0A00-00000B000000}" name="Итоговый балл"/>
    <tableColumn id="12" xr3:uid="{00000000-0010-0000-0A00-00000C000000}" name="Интерпретация"/>
    <tableColumn id="13" xr3:uid="{00000000-0010-0000-0A00-00000D000000}" name="Риск для нашей модел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BDEE-A8AD-4754-A79F-6C2625D9377F}">
  <dimension ref="A1:F6"/>
  <sheetViews>
    <sheetView tabSelected="1" workbookViewId="0"/>
  </sheetViews>
  <sheetFormatPr defaultRowHeight="14.25"/>
  <sheetData>
    <row r="1" spans="1:6">
      <c r="A1" s="22" t="s">
        <v>799</v>
      </c>
      <c r="B1" s="22" t="s">
        <v>800</v>
      </c>
      <c r="C1" s="22" t="s">
        <v>801</v>
      </c>
      <c r="D1" s="22" t="s">
        <v>802</v>
      </c>
      <c r="E1" s="22" t="s">
        <v>803</v>
      </c>
      <c r="F1" s="22" t="s">
        <v>243</v>
      </c>
    </row>
    <row r="2" spans="1:6">
      <c r="A2">
        <v>1</v>
      </c>
      <c r="B2" s="22" t="s">
        <v>804</v>
      </c>
      <c r="C2" s="22" t="s">
        <v>805</v>
      </c>
      <c r="D2" s="22" t="s">
        <v>806</v>
      </c>
      <c r="F2" s="22" t="s">
        <v>807</v>
      </c>
    </row>
    <row r="3" spans="1:6">
      <c r="A3">
        <v>2</v>
      </c>
      <c r="B3" s="22" t="s">
        <v>808</v>
      </c>
      <c r="C3" s="22" t="s">
        <v>809</v>
      </c>
      <c r="D3" s="22" t="s">
        <v>810</v>
      </c>
      <c r="F3" s="22" t="s">
        <v>807</v>
      </c>
    </row>
    <row r="4" spans="1:6">
      <c r="A4">
        <v>3</v>
      </c>
      <c r="B4" s="22" t="s">
        <v>811</v>
      </c>
      <c r="C4" s="22" t="s">
        <v>812</v>
      </c>
      <c r="D4" s="22" t="s">
        <v>813</v>
      </c>
      <c r="F4" s="22" t="s">
        <v>807</v>
      </c>
    </row>
    <row r="5" spans="1:6">
      <c r="A5">
        <v>4</v>
      </c>
      <c r="B5" s="22" t="s">
        <v>814</v>
      </c>
      <c r="C5" s="22" t="s">
        <v>815</v>
      </c>
      <c r="D5" s="22" t="s">
        <v>816</v>
      </c>
      <c r="F5" s="22" t="s">
        <v>807</v>
      </c>
    </row>
    <row r="6" spans="1:6">
      <c r="A6">
        <v>5</v>
      </c>
      <c r="B6" s="22" t="s">
        <v>817</v>
      </c>
      <c r="C6" s="22" t="s">
        <v>367</v>
      </c>
      <c r="D6" s="22" t="s">
        <v>818</v>
      </c>
      <c r="F6" s="22" t="s">
        <v>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A2E3-973D-499F-9828-477078B6B538}">
  <dimension ref="A1:B8"/>
  <sheetViews>
    <sheetView workbookViewId="0"/>
  </sheetViews>
  <sheetFormatPr defaultRowHeight="14.25"/>
  <sheetData>
    <row r="1" spans="1:2">
      <c r="A1" s="22" t="s">
        <v>784</v>
      </c>
    </row>
    <row r="2" spans="1:2">
      <c r="A2" s="22" t="s">
        <v>785</v>
      </c>
      <c r="B2" s="22" t="s">
        <v>786</v>
      </c>
    </row>
    <row r="3" spans="1:2">
      <c r="A3" s="22" t="s">
        <v>787</v>
      </c>
      <c r="B3" s="22" t="s">
        <v>788</v>
      </c>
    </row>
    <row r="4" spans="1:2">
      <c r="A4" s="22" t="s">
        <v>789</v>
      </c>
      <c r="B4" s="22" t="s">
        <v>790</v>
      </c>
    </row>
    <row r="5" spans="1:2">
      <c r="A5" s="22" t="s">
        <v>791</v>
      </c>
      <c r="B5" s="22" t="s">
        <v>792</v>
      </c>
    </row>
    <row r="6" spans="1:2">
      <c r="A6" s="22" t="s">
        <v>793</v>
      </c>
      <c r="B6" s="22" t="s">
        <v>794</v>
      </c>
    </row>
    <row r="7" spans="1:2">
      <c r="A7" s="22" t="s">
        <v>795</v>
      </c>
      <c r="B7" s="22" t="s">
        <v>796</v>
      </c>
    </row>
    <row r="8" spans="1:2">
      <c r="A8" s="22" t="s">
        <v>797</v>
      </c>
      <c r="B8" s="22" t="s">
        <v>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workbookViewId="0">
      <selection sqref="A1:H1"/>
    </sheetView>
  </sheetViews>
  <sheetFormatPr defaultRowHeight="14.25"/>
  <cols>
    <col min="1" max="9" width="24" customWidth="1"/>
  </cols>
  <sheetData>
    <row r="1" spans="1:26" ht="30" customHeight="1">
      <c r="A1" s="17" t="s">
        <v>0</v>
      </c>
      <c r="B1" s="17"/>
      <c r="C1" s="17"/>
      <c r="D1" s="17"/>
      <c r="E1" s="17"/>
      <c r="F1" s="17"/>
      <c r="G1" s="17"/>
      <c r="H1" s="17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8" t="s">
        <v>1</v>
      </c>
      <c r="B2" s="18"/>
      <c r="C2" s="18"/>
      <c r="D2" s="18"/>
      <c r="E2" s="18"/>
      <c r="F2" s="18"/>
      <c r="G2" s="18"/>
      <c r="H2" s="18"/>
    </row>
    <row r="3" spans="1:26" ht="3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26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1:26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</row>
    <row r="6" spans="1:2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</row>
    <row r="7" spans="1:26">
      <c r="A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</row>
    <row r="8" spans="1:26" ht="28.5">
      <c r="A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</row>
    <row r="9" spans="1:26">
      <c r="D9" s="2" t="s">
        <v>53</v>
      </c>
      <c r="F9" s="2" t="s">
        <v>54</v>
      </c>
      <c r="G9" s="2" t="s">
        <v>55</v>
      </c>
      <c r="I9" s="2" t="s">
        <v>56</v>
      </c>
    </row>
    <row r="10" spans="1:26">
      <c r="D10" s="2" t="s">
        <v>57</v>
      </c>
      <c r="F10" s="2" t="s">
        <v>58</v>
      </c>
      <c r="G10" s="2" t="s">
        <v>59</v>
      </c>
      <c r="I10" s="2" t="s">
        <v>60</v>
      </c>
    </row>
    <row r="11" spans="1:26" ht="28.5">
      <c r="D11" s="2" t="s">
        <v>61</v>
      </c>
      <c r="F11" s="2" t="s">
        <v>62</v>
      </c>
      <c r="G11" s="2" t="s">
        <v>63</v>
      </c>
      <c r="I11" s="2" t="s">
        <v>64</v>
      </c>
    </row>
    <row r="12" spans="1:26">
      <c r="D12" s="2" t="s">
        <v>65</v>
      </c>
      <c r="F12" s="2" t="s">
        <v>66</v>
      </c>
      <c r="I12" s="2" t="s">
        <v>67</v>
      </c>
    </row>
    <row r="13" spans="1:26">
      <c r="D13" s="2" t="s">
        <v>68</v>
      </c>
      <c r="F13" s="2" t="s">
        <v>69</v>
      </c>
    </row>
    <row r="14" spans="1:26" ht="28.5">
      <c r="D14" s="2" t="s">
        <v>70</v>
      </c>
    </row>
    <row r="15" spans="1:26">
      <c r="D15" s="2" t="s">
        <v>71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/>
  </sheetViews>
  <sheetFormatPr defaultRowHeight="14.25"/>
  <cols>
    <col min="1" max="1" width="10" customWidth="1"/>
    <col min="2" max="2" width="48" customWidth="1"/>
    <col min="3" max="3" width="24" customWidth="1"/>
    <col min="4" max="4" width="42" customWidth="1"/>
    <col min="6" max="6" width="10" customWidth="1"/>
    <col min="7" max="7" width="54" customWidth="1"/>
  </cols>
  <sheetData>
    <row r="1" spans="1:26" ht="30" customHeight="1">
      <c r="A1" s="17" t="s">
        <v>72</v>
      </c>
      <c r="B1" s="17"/>
      <c r="C1" s="17"/>
      <c r="D1" s="17"/>
      <c r="E1" s="17"/>
      <c r="F1" s="17"/>
      <c r="G1" s="17"/>
      <c r="H1" s="17"/>
      <c r="I1" s="17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73</v>
      </c>
      <c r="B2" s="19"/>
      <c r="C2" s="19"/>
      <c r="D2" s="19"/>
      <c r="E2" s="19"/>
      <c r="F2" s="19"/>
      <c r="G2" s="19"/>
      <c r="H2" s="19"/>
      <c r="I2" s="19"/>
      <c r="J2" s="19"/>
    </row>
    <row r="4" spans="1:26" ht="15">
      <c r="A4" s="1" t="s">
        <v>74</v>
      </c>
      <c r="B4" s="1" t="s">
        <v>75</v>
      </c>
      <c r="C4" s="1" t="s">
        <v>76</v>
      </c>
      <c r="D4" s="1" t="s">
        <v>77</v>
      </c>
      <c r="F4" s="1" t="s">
        <v>78</v>
      </c>
      <c r="G4" s="1" t="s">
        <v>79</v>
      </c>
    </row>
    <row r="5" spans="1:26" ht="71.25">
      <c r="A5" s="2" t="s">
        <v>80</v>
      </c>
      <c r="B5" s="2" t="s">
        <v>81</v>
      </c>
      <c r="C5" s="2" t="s">
        <v>82</v>
      </c>
      <c r="D5" s="2" t="s">
        <v>83</v>
      </c>
      <c r="F5" s="2" t="s">
        <v>15</v>
      </c>
      <c r="G5" s="2" t="s">
        <v>84</v>
      </c>
    </row>
    <row r="6" spans="1:26" ht="57">
      <c r="A6" s="2" t="s">
        <v>85</v>
      </c>
      <c r="B6" s="2" t="s">
        <v>86</v>
      </c>
      <c r="C6" s="2" t="s">
        <v>87</v>
      </c>
      <c r="D6" s="2" t="s">
        <v>88</v>
      </c>
      <c r="F6" s="2" t="s">
        <v>24</v>
      </c>
      <c r="G6" s="2" t="s">
        <v>89</v>
      </c>
    </row>
    <row r="7" spans="1:26" ht="71.25">
      <c r="A7" s="2" t="s">
        <v>90</v>
      </c>
      <c r="B7" s="2" t="s">
        <v>91</v>
      </c>
      <c r="C7" s="2" t="s">
        <v>92</v>
      </c>
      <c r="D7" s="2" t="s">
        <v>93</v>
      </c>
      <c r="F7" s="2" t="s">
        <v>33</v>
      </c>
      <c r="G7" s="2" t="s">
        <v>94</v>
      </c>
    </row>
    <row r="8" spans="1:26" ht="57">
      <c r="A8" s="2" t="s">
        <v>95</v>
      </c>
      <c r="B8" s="2" t="s">
        <v>96</v>
      </c>
      <c r="C8" s="2" t="s">
        <v>97</v>
      </c>
      <c r="D8" s="2" t="s">
        <v>98</v>
      </c>
      <c r="F8" s="2" t="s">
        <v>41</v>
      </c>
      <c r="G8" s="2" t="s">
        <v>99</v>
      </c>
    </row>
    <row r="9" spans="1:26" ht="57">
      <c r="A9" s="2" t="s">
        <v>100</v>
      </c>
      <c r="B9" s="2" t="s">
        <v>101</v>
      </c>
      <c r="C9" s="2" t="s">
        <v>102</v>
      </c>
      <c r="D9" s="2" t="s">
        <v>103</v>
      </c>
      <c r="F9" s="2" t="s">
        <v>48</v>
      </c>
      <c r="G9" s="2" t="s">
        <v>104</v>
      </c>
    </row>
    <row r="10" spans="1:26" ht="57">
      <c r="A10" s="2" t="s">
        <v>105</v>
      </c>
      <c r="B10" s="2" t="s">
        <v>106</v>
      </c>
      <c r="C10" s="2" t="s">
        <v>107</v>
      </c>
      <c r="D10" s="2" t="s">
        <v>108</v>
      </c>
    </row>
    <row r="11" spans="1:26" ht="71.25">
      <c r="A11" s="2" t="s">
        <v>109</v>
      </c>
      <c r="B11" s="2" t="s">
        <v>110</v>
      </c>
      <c r="C11" s="2" t="s">
        <v>111</v>
      </c>
      <c r="D11" s="2" t="s">
        <v>112</v>
      </c>
    </row>
    <row r="12" spans="1:26" ht="57">
      <c r="A12" s="2" t="s">
        <v>113</v>
      </c>
      <c r="B12" s="2" t="s">
        <v>114</v>
      </c>
      <c r="C12" s="2" t="s">
        <v>115</v>
      </c>
      <c r="D12" s="2" t="s">
        <v>116</v>
      </c>
    </row>
    <row r="13" spans="1:26" ht="71.25">
      <c r="A13" s="2" t="s">
        <v>117</v>
      </c>
      <c r="B13" s="2" t="s">
        <v>118</v>
      </c>
      <c r="C13" s="2" t="s">
        <v>119</v>
      </c>
      <c r="D13" s="2" t="s">
        <v>120</v>
      </c>
    </row>
    <row r="14" spans="1:26" ht="71.25">
      <c r="A14" s="2" t="s">
        <v>121</v>
      </c>
      <c r="B14" s="2" t="s">
        <v>122</v>
      </c>
      <c r="C14" s="2" t="s">
        <v>123</v>
      </c>
      <c r="D14" s="2" t="s">
        <v>124</v>
      </c>
    </row>
    <row r="15" spans="1:26" ht="42.75">
      <c r="A15" s="2" t="s">
        <v>125</v>
      </c>
      <c r="B15" s="2" t="s">
        <v>126</v>
      </c>
      <c r="C15" s="2" t="s">
        <v>127</v>
      </c>
      <c r="D15" s="2" t="s">
        <v>128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workbookViewId="0"/>
  </sheetViews>
  <sheetFormatPr defaultRowHeight="14.25"/>
  <cols>
    <col min="1" max="1" width="10" customWidth="1"/>
    <col min="2" max="2" width="24" customWidth="1"/>
    <col min="3" max="3" width="34" customWidth="1"/>
    <col min="4" max="4" width="22" customWidth="1"/>
    <col min="5" max="5" width="24" customWidth="1"/>
    <col min="6" max="6" width="18" customWidth="1"/>
    <col min="7" max="7" width="14" customWidth="1"/>
    <col min="8" max="8" width="18" customWidth="1"/>
    <col min="9" max="9" width="16" customWidth="1"/>
    <col min="10" max="10" width="18" customWidth="1"/>
    <col min="11" max="11" width="34" customWidth="1"/>
  </cols>
  <sheetData>
    <row r="1" spans="1:26" ht="30" customHeight="1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130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26" ht="36" customHeight="1">
      <c r="A3" s="1" t="s">
        <v>131</v>
      </c>
      <c r="B3" s="1" t="s">
        <v>132</v>
      </c>
      <c r="C3" s="1" t="s">
        <v>133</v>
      </c>
      <c r="D3" s="1" t="s">
        <v>134</v>
      </c>
      <c r="E3" s="1" t="s">
        <v>2</v>
      </c>
      <c r="F3" s="1" t="s">
        <v>135</v>
      </c>
      <c r="G3" s="1" t="s">
        <v>3</v>
      </c>
      <c r="H3" s="1" t="s">
        <v>4</v>
      </c>
      <c r="I3" s="1" t="s">
        <v>136</v>
      </c>
      <c r="J3" s="1" t="s">
        <v>137</v>
      </c>
      <c r="K3" s="1" t="s">
        <v>138</v>
      </c>
    </row>
    <row r="4" spans="1:26" ht="28.5">
      <c r="A4" s="3" t="s">
        <v>293</v>
      </c>
      <c r="B4" s="3" t="s">
        <v>294</v>
      </c>
      <c r="C4" s="3" t="s">
        <v>295</v>
      </c>
      <c r="D4" s="3" t="s">
        <v>296</v>
      </c>
      <c r="E4" s="3" t="s">
        <v>11</v>
      </c>
      <c r="F4" s="3" t="s">
        <v>297</v>
      </c>
      <c r="G4" s="3" t="s">
        <v>12</v>
      </c>
      <c r="H4" s="3" t="s">
        <v>39</v>
      </c>
      <c r="I4" s="3" t="s">
        <v>298</v>
      </c>
      <c r="J4" s="3" t="s">
        <v>299</v>
      </c>
      <c r="K4" s="3" t="s">
        <v>300</v>
      </c>
    </row>
    <row r="5" spans="1:26" ht="28.5">
      <c r="A5" s="3" t="s">
        <v>301</v>
      </c>
      <c r="B5" s="3" t="s">
        <v>302</v>
      </c>
      <c r="C5" s="3" t="s">
        <v>303</v>
      </c>
      <c r="D5" s="3" t="s">
        <v>304</v>
      </c>
      <c r="E5" s="3" t="s">
        <v>11</v>
      </c>
      <c r="F5" s="3" t="s">
        <v>305</v>
      </c>
      <c r="G5" s="3" t="s">
        <v>12</v>
      </c>
      <c r="H5" s="3" t="s">
        <v>39</v>
      </c>
      <c r="I5" s="3" t="s">
        <v>306</v>
      </c>
      <c r="J5" s="3" t="s">
        <v>299</v>
      </c>
      <c r="K5" s="3" t="s">
        <v>307</v>
      </c>
    </row>
    <row r="6" spans="1:26" ht="28.5">
      <c r="A6" s="3" t="s">
        <v>308</v>
      </c>
      <c r="B6" s="3" t="s">
        <v>309</v>
      </c>
      <c r="C6" s="3" t="s">
        <v>310</v>
      </c>
      <c r="D6" s="3" t="s">
        <v>311</v>
      </c>
      <c r="E6" s="3" t="s">
        <v>20</v>
      </c>
      <c r="F6" s="3" t="s">
        <v>312</v>
      </c>
      <c r="G6" s="3" t="s">
        <v>12</v>
      </c>
      <c r="H6" s="3" t="s">
        <v>39</v>
      </c>
      <c r="I6" s="3" t="s">
        <v>298</v>
      </c>
      <c r="J6" s="3" t="s">
        <v>299</v>
      </c>
      <c r="K6" s="3" t="s">
        <v>313</v>
      </c>
    </row>
    <row r="7" spans="1:26">
      <c r="A7" s="3" t="s">
        <v>314</v>
      </c>
      <c r="B7" s="3" t="s">
        <v>315</v>
      </c>
      <c r="C7" s="3" t="s">
        <v>316</v>
      </c>
      <c r="D7" s="3" t="s">
        <v>317</v>
      </c>
      <c r="E7" s="3" t="s">
        <v>20</v>
      </c>
      <c r="F7" s="3" t="s">
        <v>312</v>
      </c>
      <c r="G7" s="3" t="s">
        <v>21</v>
      </c>
      <c r="H7" s="3" t="s">
        <v>39</v>
      </c>
      <c r="I7" s="3" t="s">
        <v>306</v>
      </c>
      <c r="J7" s="3" t="s">
        <v>299</v>
      </c>
      <c r="K7" s="3" t="s">
        <v>318</v>
      </c>
    </row>
    <row r="8" spans="1:26" ht="28.5">
      <c r="A8" s="3" t="s">
        <v>319</v>
      </c>
      <c r="B8" s="3" t="s">
        <v>320</v>
      </c>
      <c r="C8" s="3" t="s">
        <v>321</v>
      </c>
      <c r="D8" s="3" t="s">
        <v>322</v>
      </c>
      <c r="E8" s="3" t="s">
        <v>20</v>
      </c>
      <c r="F8" s="3" t="s">
        <v>312</v>
      </c>
      <c r="G8" s="3" t="s">
        <v>21</v>
      </c>
      <c r="H8" s="3" t="s">
        <v>31</v>
      </c>
      <c r="I8" s="3" t="s">
        <v>323</v>
      </c>
      <c r="J8" s="3" t="s">
        <v>299</v>
      </c>
      <c r="K8" s="3" t="s">
        <v>324</v>
      </c>
    </row>
    <row r="9" spans="1:26">
      <c r="A9" s="3" t="s">
        <v>325</v>
      </c>
      <c r="B9" s="3" t="s">
        <v>326</v>
      </c>
      <c r="C9" s="3" t="s">
        <v>327</v>
      </c>
      <c r="D9" s="3" t="s">
        <v>328</v>
      </c>
      <c r="E9" s="3" t="s">
        <v>29</v>
      </c>
      <c r="F9" s="3" t="s">
        <v>312</v>
      </c>
      <c r="G9" s="3" t="s">
        <v>12</v>
      </c>
      <c r="H9" s="3" t="s">
        <v>39</v>
      </c>
      <c r="I9" s="3" t="s">
        <v>306</v>
      </c>
      <c r="J9" s="3" t="s">
        <v>299</v>
      </c>
      <c r="K9" s="3" t="s">
        <v>329</v>
      </c>
    </row>
    <row r="10" spans="1:26">
      <c r="A10" s="3" t="s">
        <v>330</v>
      </c>
      <c r="B10" s="3" t="s">
        <v>331</v>
      </c>
      <c r="C10" s="3" t="s">
        <v>332</v>
      </c>
      <c r="D10" s="3" t="s">
        <v>333</v>
      </c>
      <c r="E10" s="3" t="s">
        <v>20</v>
      </c>
      <c r="F10" s="3" t="s">
        <v>334</v>
      </c>
      <c r="G10" s="3" t="s">
        <v>21</v>
      </c>
      <c r="H10" s="3" t="s">
        <v>31</v>
      </c>
      <c r="I10" s="3" t="s">
        <v>298</v>
      </c>
      <c r="J10" s="3" t="s">
        <v>299</v>
      </c>
      <c r="K10" s="3" t="s">
        <v>335</v>
      </c>
    </row>
    <row r="11" spans="1:26" ht="42.75">
      <c r="A11" s="3" t="s">
        <v>336</v>
      </c>
      <c r="B11" s="3" t="s">
        <v>337</v>
      </c>
      <c r="C11" s="3" t="s">
        <v>338</v>
      </c>
      <c r="D11" s="3" t="s">
        <v>339</v>
      </c>
      <c r="E11" s="3" t="s">
        <v>29</v>
      </c>
      <c r="F11" s="3" t="s">
        <v>312</v>
      </c>
      <c r="G11" s="3" t="s">
        <v>21</v>
      </c>
      <c r="H11" s="3" t="s">
        <v>31</v>
      </c>
      <c r="I11" s="3" t="s">
        <v>298</v>
      </c>
      <c r="J11" s="3" t="s">
        <v>299</v>
      </c>
      <c r="K11" s="3" t="s">
        <v>340</v>
      </c>
    </row>
    <row r="12" spans="1:26">
      <c r="A12" s="3"/>
      <c r="B12" s="2"/>
      <c r="C12" s="2"/>
      <c r="D12" s="2"/>
      <c r="E12" s="2"/>
      <c r="F12" s="2"/>
      <c r="G12" s="2"/>
      <c r="H12" s="2"/>
      <c r="I12" s="4"/>
      <c r="J12" s="2"/>
      <c r="K12" s="2"/>
    </row>
    <row r="13" spans="1:26">
      <c r="A13" s="3"/>
      <c r="B13" s="2"/>
      <c r="C13" s="2"/>
      <c r="D13" s="2"/>
      <c r="E13" s="2"/>
      <c r="F13" s="2"/>
      <c r="G13" s="2"/>
      <c r="H13" s="2"/>
      <c r="I13" s="4"/>
      <c r="J13" s="2"/>
      <c r="K13" s="2"/>
    </row>
    <row r="14" spans="1:26">
      <c r="A14" s="3"/>
      <c r="B14" s="2"/>
      <c r="C14" s="2"/>
      <c r="D14" s="2"/>
      <c r="E14" s="2"/>
      <c r="F14" s="2"/>
      <c r="G14" s="2"/>
      <c r="H14" s="2"/>
      <c r="I14" s="4"/>
      <c r="J14" s="2"/>
      <c r="K14" s="2"/>
    </row>
    <row r="15" spans="1:26">
      <c r="A15" s="3"/>
      <c r="B15" s="2"/>
      <c r="C15" s="2"/>
      <c r="D15" s="2"/>
      <c r="E15" s="2"/>
      <c r="F15" s="2"/>
      <c r="G15" s="2"/>
      <c r="H15" s="2"/>
      <c r="I15" s="4"/>
      <c r="J15" s="2"/>
      <c r="K15" s="2"/>
    </row>
    <row r="16" spans="1:26">
      <c r="A16" s="3"/>
      <c r="B16" s="2"/>
      <c r="C16" s="2"/>
      <c r="D16" s="2"/>
      <c r="E16" s="2"/>
      <c r="F16" s="2"/>
      <c r="G16" s="2"/>
      <c r="H16" s="2"/>
      <c r="I16" s="4"/>
      <c r="J16" s="2"/>
      <c r="K16" s="2"/>
    </row>
    <row r="17" spans="1:11">
      <c r="A17" s="3"/>
      <c r="B17" s="2"/>
      <c r="C17" s="2"/>
      <c r="D17" s="2"/>
      <c r="E17" s="2"/>
      <c r="F17" s="2"/>
      <c r="G17" s="2"/>
      <c r="H17" s="2"/>
      <c r="I17" s="4"/>
      <c r="J17" s="2"/>
      <c r="K17" s="2"/>
    </row>
    <row r="18" spans="1:11">
      <c r="A18" s="3"/>
      <c r="B18" s="2"/>
      <c r="C18" s="2"/>
      <c r="D18" s="2"/>
      <c r="E18" s="2"/>
      <c r="F18" s="2"/>
      <c r="G18" s="2"/>
      <c r="H18" s="2"/>
      <c r="I18" s="4"/>
      <c r="J18" s="2"/>
      <c r="K18" s="2"/>
    </row>
    <row r="19" spans="1:11">
      <c r="A19" s="3"/>
      <c r="B19" s="2"/>
      <c r="C19" s="2"/>
      <c r="D19" s="2"/>
      <c r="E19" s="2"/>
      <c r="F19" s="2"/>
      <c r="G19" s="2"/>
      <c r="H19" s="2"/>
      <c r="I19" s="4"/>
      <c r="J19" s="2"/>
      <c r="K19" s="2"/>
    </row>
    <row r="20" spans="1:11">
      <c r="A20" s="3"/>
      <c r="B20" s="2"/>
      <c r="C20" s="2"/>
      <c r="D20" s="2"/>
      <c r="E20" s="2"/>
      <c r="F20" s="2"/>
      <c r="G20" s="2"/>
      <c r="H20" s="2"/>
      <c r="I20" s="4"/>
      <c r="J20" s="2"/>
      <c r="K20" s="2"/>
    </row>
    <row r="21" spans="1:11">
      <c r="A21" s="3"/>
      <c r="B21" s="2"/>
      <c r="C21" s="2"/>
      <c r="D21" s="2"/>
      <c r="E21" s="2"/>
      <c r="F21" s="2"/>
      <c r="G21" s="2"/>
      <c r="H21" s="2"/>
      <c r="I21" s="4"/>
      <c r="J21" s="2"/>
      <c r="K21" s="2"/>
    </row>
    <row r="22" spans="1:11">
      <c r="A22" s="3"/>
      <c r="B22" s="2"/>
      <c r="C22" s="2"/>
      <c r="D22" s="2"/>
      <c r="E22" s="2"/>
      <c r="F22" s="2"/>
      <c r="G22" s="2"/>
      <c r="H22" s="2"/>
      <c r="I22" s="4"/>
      <c r="J22" s="2"/>
      <c r="K22" s="2"/>
    </row>
    <row r="23" spans="1:11">
      <c r="A23" s="3"/>
      <c r="B23" s="2"/>
      <c r="C23" s="2"/>
      <c r="D23" s="2"/>
      <c r="E23" s="2"/>
      <c r="F23" s="2"/>
      <c r="G23" s="2"/>
      <c r="H23" s="2"/>
      <c r="I23" s="4"/>
      <c r="J23" s="2"/>
      <c r="K23" s="2"/>
    </row>
    <row r="24" spans="1:11">
      <c r="A24" s="3"/>
      <c r="B24" s="2"/>
      <c r="C24" s="2"/>
      <c r="D24" s="2"/>
      <c r="E24" s="2"/>
      <c r="F24" s="2"/>
      <c r="G24" s="2"/>
      <c r="H24" s="2"/>
      <c r="I24" s="4"/>
      <c r="J24" s="2"/>
      <c r="K24" s="2"/>
    </row>
    <row r="25" spans="1:11">
      <c r="A25" s="3"/>
      <c r="B25" s="2"/>
      <c r="C25" s="2"/>
      <c r="D25" s="2"/>
      <c r="E25" s="2"/>
      <c r="F25" s="2"/>
      <c r="G25" s="2"/>
      <c r="H25" s="2"/>
      <c r="I25" s="4"/>
      <c r="J25" s="2"/>
      <c r="K25" s="2"/>
    </row>
    <row r="26" spans="1:11">
      <c r="A26" s="3"/>
      <c r="B26" s="2"/>
      <c r="C26" s="2"/>
      <c r="D26" s="2"/>
      <c r="E26" s="2"/>
      <c r="F26" s="2"/>
      <c r="G26" s="2"/>
      <c r="H26" s="2"/>
      <c r="I26" s="4"/>
      <c r="J26" s="2"/>
      <c r="K26" s="2"/>
    </row>
    <row r="27" spans="1:11">
      <c r="A27" s="3"/>
      <c r="B27" s="2"/>
      <c r="C27" s="2"/>
      <c r="D27" s="2"/>
      <c r="E27" s="2"/>
      <c r="F27" s="2"/>
      <c r="G27" s="2"/>
      <c r="H27" s="2"/>
      <c r="I27" s="4"/>
      <c r="J27" s="2"/>
      <c r="K27" s="2"/>
    </row>
    <row r="28" spans="1:11">
      <c r="A28" s="3"/>
      <c r="B28" s="2"/>
      <c r="C28" s="2"/>
      <c r="D28" s="2"/>
      <c r="E28" s="2"/>
      <c r="F28" s="2"/>
      <c r="G28" s="2"/>
      <c r="H28" s="2"/>
      <c r="I28" s="4"/>
      <c r="J28" s="2"/>
      <c r="K28" s="2"/>
    </row>
    <row r="29" spans="1:11">
      <c r="A29" s="3"/>
      <c r="B29" s="2"/>
      <c r="C29" s="2"/>
      <c r="D29" s="2"/>
      <c r="E29" s="2"/>
      <c r="F29" s="2"/>
      <c r="G29" s="2"/>
      <c r="H29" s="2"/>
      <c r="I29" s="4"/>
      <c r="J29" s="2"/>
      <c r="K29" s="2"/>
    </row>
    <row r="30" spans="1:11">
      <c r="A30" s="3"/>
      <c r="B30" s="2"/>
      <c r="C30" s="2"/>
      <c r="D30" s="2"/>
      <c r="E30" s="2"/>
      <c r="F30" s="2"/>
      <c r="G30" s="2"/>
      <c r="H30" s="2"/>
      <c r="I30" s="4"/>
      <c r="J30" s="2"/>
      <c r="K30" s="2"/>
    </row>
    <row r="31" spans="1:11">
      <c r="A31" s="3"/>
      <c r="B31" s="2"/>
      <c r="C31" s="2"/>
      <c r="D31" s="2"/>
      <c r="E31" s="2"/>
      <c r="F31" s="2"/>
      <c r="G31" s="2"/>
      <c r="H31" s="2"/>
      <c r="I31" s="4"/>
      <c r="J31" s="2"/>
      <c r="K31" s="2"/>
    </row>
    <row r="32" spans="1:11">
      <c r="A32" s="3"/>
      <c r="B32" s="2"/>
      <c r="C32" s="2"/>
      <c r="D32" s="2"/>
      <c r="E32" s="2"/>
      <c r="F32" s="2"/>
      <c r="G32" s="2"/>
      <c r="H32" s="2"/>
      <c r="I32" s="4"/>
      <c r="J32" s="2"/>
      <c r="K32" s="2"/>
    </row>
    <row r="33" spans="1:11">
      <c r="A33" s="3"/>
      <c r="B33" s="2"/>
      <c r="C33" s="2"/>
      <c r="D33" s="2"/>
      <c r="E33" s="2"/>
      <c r="F33" s="2"/>
      <c r="G33" s="2"/>
      <c r="H33" s="2"/>
      <c r="I33" s="4"/>
      <c r="J33" s="2"/>
      <c r="K33" s="2"/>
    </row>
    <row r="34" spans="1:11">
      <c r="A34" s="3"/>
      <c r="B34" s="2"/>
      <c r="C34" s="2"/>
      <c r="D34" s="2"/>
      <c r="E34" s="2"/>
      <c r="F34" s="2"/>
      <c r="G34" s="2"/>
      <c r="H34" s="2"/>
      <c r="I34" s="4"/>
      <c r="J34" s="2"/>
      <c r="K34" s="2"/>
    </row>
    <row r="35" spans="1:11">
      <c r="A35" s="3"/>
      <c r="B35" s="2"/>
      <c r="C35" s="2"/>
      <c r="D35" s="2"/>
      <c r="E35" s="2"/>
      <c r="F35" s="2"/>
      <c r="G35" s="2"/>
      <c r="H35" s="2"/>
      <c r="I35" s="4"/>
      <c r="J35" s="2"/>
      <c r="K35" s="2"/>
    </row>
    <row r="36" spans="1:11">
      <c r="A36" s="3"/>
      <c r="B36" s="2"/>
      <c r="C36" s="2"/>
      <c r="D36" s="2"/>
      <c r="E36" s="2"/>
      <c r="F36" s="2"/>
      <c r="G36" s="2"/>
      <c r="H36" s="2"/>
      <c r="I36" s="4"/>
      <c r="J36" s="2"/>
      <c r="K36" s="2"/>
    </row>
    <row r="37" spans="1:11">
      <c r="A37" s="3"/>
      <c r="B37" s="2"/>
      <c r="C37" s="2"/>
      <c r="D37" s="2"/>
      <c r="E37" s="2"/>
      <c r="F37" s="2"/>
      <c r="G37" s="2"/>
      <c r="H37" s="2"/>
      <c r="I37" s="4"/>
      <c r="J37" s="2"/>
      <c r="K37" s="2"/>
    </row>
    <row r="38" spans="1:11">
      <c r="A38" s="3"/>
      <c r="B38" s="2"/>
      <c r="C38" s="2"/>
      <c r="D38" s="2"/>
      <c r="E38" s="2"/>
      <c r="F38" s="2"/>
      <c r="G38" s="2"/>
      <c r="H38" s="2"/>
      <c r="I38" s="4"/>
      <c r="J38" s="2"/>
      <c r="K38" s="2"/>
    </row>
    <row r="39" spans="1:11">
      <c r="A39" s="3"/>
      <c r="B39" s="2"/>
      <c r="C39" s="2"/>
      <c r="D39" s="2"/>
      <c r="E39" s="2"/>
      <c r="F39" s="2"/>
      <c r="G39" s="2"/>
      <c r="H39" s="2"/>
      <c r="I39" s="4"/>
      <c r="J39" s="2"/>
      <c r="K39" s="2"/>
    </row>
    <row r="40" spans="1:11">
      <c r="A40" s="3"/>
      <c r="B40" s="2"/>
      <c r="C40" s="2"/>
      <c r="D40" s="2"/>
      <c r="E40" s="2"/>
      <c r="F40" s="2"/>
      <c r="G40" s="2"/>
      <c r="H40" s="2"/>
      <c r="I40" s="4"/>
      <c r="J40" s="2"/>
      <c r="K40" s="2"/>
    </row>
    <row r="41" spans="1:11">
      <c r="A41" s="3"/>
      <c r="B41" s="2"/>
      <c r="C41" s="2"/>
      <c r="D41" s="2"/>
      <c r="E41" s="2"/>
      <c r="F41" s="2"/>
      <c r="G41" s="2"/>
      <c r="H41" s="2"/>
      <c r="I41" s="4"/>
      <c r="J41" s="2"/>
      <c r="K41" s="2"/>
    </row>
    <row r="42" spans="1:11">
      <c r="A42" s="3"/>
      <c r="B42" s="2"/>
      <c r="C42" s="2"/>
      <c r="D42" s="2"/>
      <c r="E42" s="2"/>
      <c r="F42" s="2"/>
      <c r="G42" s="2"/>
      <c r="H42" s="2"/>
      <c r="I42" s="4"/>
      <c r="J42" s="2"/>
      <c r="K42" s="2"/>
    </row>
    <row r="43" spans="1:11">
      <c r="A43" s="3"/>
      <c r="B43" s="2"/>
      <c r="C43" s="2"/>
      <c r="D43" s="2"/>
      <c r="E43" s="2"/>
      <c r="F43" s="2"/>
      <c r="G43" s="2"/>
      <c r="H43" s="2"/>
      <c r="I43" s="4"/>
      <c r="J43" s="2"/>
      <c r="K43" s="2"/>
    </row>
    <row r="44" spans="1:11">
      <c r="A44" s="3"/>
      <c r="B44" s="2"/>
      <c r="C44" s="2"/>
      <c r="D44" s="2"/>
      <c r="E44" s="2"/>
      <c r="F44" s="2"/>
      <c r="G44" s="2"/>
      <c r="H44" s="2"/>
      <c r="I44" s="4"/>
      <c r="J44" s="2"/>
      <c r="K44" s="2"/>
    </row>
    <row r="45" spans="1:11">
      <c r="A45" s="3"/>
      <c r="B45" s="2"/>
      <c r="C45" s="2"/>
      <c r="D45" s="2"/>
      <c r="E45" s="2"/>
      <c r="F45" s="2"/>
      <c r="G45" s="2"/>
      <c r="H45" s="2"/>
      <c r="I45" s="4"/>
      <c r="J45" s="2"/>
      <c r="K45" s="2"/>
    </row>
    <row r="46" spans="1:11">
      <c r="A46" s="3"/>
      <c r="B46" s="2"/>
      <c r="C46" s="2"/>
      <c r="D46" s="2"/>
      <c r="E46" s="2"/>
      <c r="F46" s="2"/>
      <c r="G46" s="2"/>
      <c r="H46" s="2"/>
      <c r="I46" s="4"/>
      <c r="J46" s="2"/>
      <c r="K46" s="2"/>
    </row>
    <row r="47" spans="1:11">
      <c r="A47" s="3"/>
      <c r="B47" s="2"/>
      <c r="C47" s="2"/>
      <c r="D47" s="2"/>
      <c r="E47" s="2"/>
      <c r="F47" s="2"/>
      <c r="G47" s="2"/>
      <c r="H47" s="2"/>
      <c r="I47" s="4"/>
      <c r="J47" s="2"/>
      <c r="K47" s="2"/>
    </row>
    <row r="48" spans="1:11">
      <c r="A48" s="3"/>
      <c r="B48" s="2"/>
      <c r="C48" s="2"/>
      <c r="D48" s="2"/>
      <c r="E48" s="2"/>
      <c r="F48" s="2"/>
      <c r="G48" s="2"/>
      <c r="H48" s="2"/>
      <c r="I48" s="4"/>
      <c r="J48" s="2"/>
      <c r="K48" s="2"/>
    </row>
    <row r="49" spans="1:11">
      <c r="A49" s="3"/>
      <c r="B49" s="2"/>
      <c r="C49" s="2"/>
      <c r="D49" s="2"/>
      <c r="E49" s="2"/>
      <c r="F49" s="2"/>
      <c r="G49" s="2"/>
      <c r="H49" s="2"/>
      <c r="I49" s="4"/>
      <c r="J49" s="2"/>
      <c r="K49" s="2"/>
    </row>
    <row r="50" spans="1:11">
      <c r="A50" s="3"/>
      <c r="B50" s="2"/>
      <c r="C50" s="2"/>
      <c r="D50" s="2"/>
      <c r="E50" s="2"/>
      <c r="F50" s="2"/>
      <c r="G50" s="2"/>
      <c r="H50" s="2"/>
      <c r="I50" s="4"/>
      <c r="J50" s="2"/>
      <c r="K50" s="2"/>
    </row>
    <row r="51" spans="1:11">
      <c r="A51" s="3"/>
      <c r="B51" s="2"/>
      <c r="C51" s="2"/>
      <c r="D51" s="2"/>
      <c r="E51" s="2"/>
      <c r="F51" s="2"/>
      <c r="G51" s="2"/>
      <c r="H51" s="2"/>
      <c r="I51" s="4"/>
      <c r="J51" s="2"/>
      <c r="K51" s="2"/>
    </row>
    <row r="52" spans="1:11">
      <c r="A52" s="3"/>
      <c r="B52" s="2"/>
      <c r="C52" s="2"/>
      <c r="D52" s="2"/>
      <c r="E52" s="2"/>
      <c r="F52" s="2"/>
      <c r="G52" s="2"/>
      <c r="H52" s="2"/>
      <c r="I52" s="4"/>
      <c r="J52" s="2"/>
      <c r="K52" s="2"/>
    </row>
    <row r="53" spans="1:11">
      <c r="A53" s="3"/>
      <c r="B53" s="2"/>
      <c r="C53" s="2"/>
      <c r="D53" s="2"/>
      <c r="E53" s="2"/>
      <c r="F53" s="2"/>
      <c r="G53" s="2"/>
      <c r="H53" s="2"/>
      <c r="I53" s="4"/>
      <c r="J53" s="2"/>
      <c r="K53" s="2"/>
    </row>
    <row r="54" spans="1:11">
      <c r="A54" s="3"/>
      <c r="B54" s="2"/>
      <c r="C54" s="2"/>
      <c r="D54" s="2"/>
      <c r="E54" s="2"/>
      <c r="F54" s="2"/>
      <c r="G54" s="2"/>
      <c r="H54" s="2"/>
      <c r="I54" s="4"/>
      <c r="J54" s="2"/>
      <c r="K54" s="2"/>
    </row>
    <row r="55" spans="1:11">
      <c r="A55" s="3"/>
      <c r="B55" s="2"/>
      <c r="C55" s="2"/>
      <c r="D55" s="2"/>
      <c r="E55" s="2"/>
      <c r="F55" s="2"/>
      <c r="G55" s="2"/>
      <c r="H55" s="2"/>
      <c r="I55" s="4"/>
      <c r="J55" s="2"/>
      <c r="K55" s="2"/>
    </row>
    <row r="56" spans="1:11">
      <c r="A56" s="3"/>
      <c r="B56" s="2"/>
      <c r="C56" s="2"/>
      <c r="D56" s="2"/>
      <c r="E56" s="2"/>
      <c r="F56" s="2"/>
      <c r="G56" s="2"/>
      <c r="H56" s="2"/>
      <c r="I56" s="4"/>
      <c r="J56" s="2"/>
      <c r="K56" s="2"/>
    </row>
    <row r="57" spans="1:11">
      <c r="A57" s="3"/>
      <c r="B57" s="2"/>
      <c r="C57" s="2"/>
      <c r="D57" s="2"/>
      <c r="E57" s="2"/>
      <c r="F57" s="2"/>
      <c r="G57" s="2"/>
      <c r="H57" s="2"/>
      <c r="I57" s="4"/>
      <c r="J57" s="2"/>
      <c r="K57" s="2"/>
    </row>
    <row r="58" spans="1:11">
      <c r="A58" s="3"/>
      <c r="B58" s="2"/>
      <c r="C58" s="2"/>
      <c r="D58" s="2"/>
      <c r="E58" s="2"/>
      <c r="F58" s="2"/>
      <c r="G58" s="2"/>
      <c r="H58" s="2"/>
      <c r="I58" s="4"/>
      <c r="J58" s="2"/>
      <c r="K58" s="2"/>
    </row>
    <row r="59" spans="1:11">
      <c r="A59" s="3"/>
      <c r="B59" s="2"/>
      <c r="C59" s="2"/>
      <c r="D59" s="2"/>
      <c r="E59" s="2"/>
      <c r="F59" s="2"/>
      <c r="G59" s="2"/>
      <c r="H59" s="2"/>
      <c r="I59" s="4"/>
      <c r="J59" s="2"/>
      <c r="K59" s="2"/>
    </row>
    <row r="60" spans="1:11">
      <c r="A60" s="3"/>
      <c r="B60" s="2"/>
      <c r="C60" s="2"/>
      <c r="D60" s="2"/>
      <c r="E60" s="2"/>
      <c r="F60" s="2"/>
      <c r="G60" s="2"/>
      <c r="H60" s="2"/>
      <c r="I60" s="4"/>
      <c r="J60" s="2"/>
      <c r="K60" s="2"/>
    </row>
    <row r="61" spans="1:11">
      <c r="A61" s="3"/>
      <c r="B61" s="2"/>
      <c r="C61" s="2"/>
      <c r="D61" s="2"/>
      <c r="E61" s="2"/>
      <c r="F61" s="2"/>
      <c r="G61" s="2"/>
      <c r="H61" s="2"/>
      <c r="I61" s="4"/>
      <c r="J61" s="2"/>
      <c r="K61" s="2"/>
    </row>
    <row r="62" spans="1:11">
      <c r="A62" s="3"/>
      <c r="B62" s="2"/>
      <c r="C62" s="2"/>
      <c r="D62" s="2"/>
      <c r="E62" s="2"/>
      <c r="F62" s="2"/>
      <c r="G62" s="2"/>
      <c r="H62" s="2"/>
      <c r="I62" s="4"/>
      <c r="J62" s="2"/>
      <c r="K62" s="2"/>
    </row>
    <row r="63" spans="1:11">
      <c r="A63" s="3"/>
      <c r="B63" s="2"/>
      <c r="C63" s="2"/>
      <c r="D63" s="2"/>
      <c r="E63" s="2"/>
      <c r="F63" s="2"/>
      <c r="G63" s="2"/>
      <c r="H63" s="2"/>
      <c r="I63" s="4"/>
      <c r="J63" s="2"/>
      <c r="K63" s="2"/>
    </row>
    <row r="64" spans="1:11">
      <c r="A64" s="3"/>
      <c r="B64" s="2"/>
      <c r="C64" s="2"/>
      <c r="D64" s="2"/>
      <c r="E64" s="2"/>
      <c r="F64" s="2"/>
      <c r="G64" s="2"/>
      <c r="H64" s="2"/>
      <c r="I64" s="4"/>
      <c r="J64" s="2"/>
      <c r="K64" s="2"/>
    </row>
    <row r="65" spans="1:11">
      <c r="A65" s="3"/>
      <c r="B65" s="2"/>
      <c r="C65" s="2"/>
      <c r="D65" s="2"/>
      <c r="E65" s="2"/>
      <c r="F65" s="2"/>
      <c r="G65" s="2"/>
      <c r="H65" s="2"/>
      <c r="I65" s="4"/>
      <c r="J65" s="2"/>
      <c r="K65" s="2"/>
    </row>
    <row r="66" spans="1:11">
      <c r="A66" s="3"/>
      <c r="B66" s="2"/>
      <c r="C66" s="2"/>
      <c r="D66" s="2"/>
      <c r="E66" s="2"/>
      <c r="F66" s="2"/>
      <c r="G66" s="2"/>
      <c r="H66" s="2"/>
      <c r="I66" s="4"/>
      <c r="J66" s="2"/>
      <c r="K66" s="2"/>
    </row>
    <row r="67" spans="1:11">
      <c r="A67" s="3"/>
      <c r="B67" s="2"/>
      <c r="C67" s="2"/>
      <c r="D67" s="2"/>
      <c r="E67" s="2"/>
      <c r="F67" s="2"/>
      <c r="G67" s="2"/>
      <c r="H67" s="2"/>
      <c r="I67" s="4"/>
      <c r="J67" s="2"/>
      <c r="K67" s="2"/>
    </row>
    <row r="68" spans="1:11">
      <c r="A68" s="3"/>
      <c r="B68" s="2"/>
      <c r="C68" s="2"/>
      <c r="D68" s="2"/>
      <c r="E68" s="2"/>
      <c r="F68" s="2"/>
      <c r="G68" s="2"/>
      <c r="H68" s="2"/>
      <c r="I68" s="4"/>
      <c r="J68" s="2"/>
      <c r="K68" s="2"/>
    </row>
    <row r="69" spans="1:11">
      <c r="A69" s="3"/>
      <c r="B69" s="2"/>
      <c r="C69" s="2"/>
      <c r="D69" s="2"/>
      <c r="E69" s="2"/>
      <c r="F69" s="2"/>
      <c r="G69" s="2"/>
      <c r="H69" s="2"/>
      <c r="I69" s="4"/>
      <c r="J69" s="2"/>
      <c r="K69" s="2"/>
    </row>
    <row r="70" spans="1:11">
      <c r="A70" s="3"/>
      <c r="B70" s="2"/>
      <c r="C70" s="2"/>
      <c r="D70" s="2"/>
      <c r="E70" s="2"/>
      <c r="F70" s="2"/>
      <c r="G70" s="2"/>
      <c r="H70" s="2"/>
      <c r="I70" s="4"/>
      <c r="J70" s="2"/>
      <c r="K70" s="2"/>
    </row>
    <row r="71" spans="1:11">
      <c r="A71" s="3"/>
      <c r="B71" s="2"/>
      <c r="C71" s="2"/>
      <c r="D71" s="2"/>
      <c r="E71" s="2"/>
      <c r="F71" s="2"/>
      <c r="G71" s="2"/>
      <c r="H71" s="2"/>
      <c r="I71" s="4"/>
      <c r="J71" s="2"/>
      <c r="K71" s="2"/>
    </row>
    <row r="72" spans="1:11">
      <c r="A72" s="3"/>
      <c r="B72" s="2"/>
      <c r="C72" s="2"/>
      <c r="D72" s="2"/>
      <c r="E72" s="2"/>
      <c r="F72" s="2"/>
      <c r="G72" s="2"/>
      <c r="H72" s="2"/>
      <c r="I72" s="4"/>
      <c r="J72" s="2"/>
      <c r="K72" s="2"/>
    </row>
    <row r="73" spans="1:11">
      <c r="A73" s="3"/>
      <c r="B73" s="2"/>
      <c r="C73" s="2"/>
      <c r="D73" s="2"/>
      <c r="E73" s="2"/>
      <c r="F73" s="2"/>
      <c r="G73" s="2"/>
      <c r="H73" s="2"/>
      <c r="I73" s="4"/>
      <c r="J73" s="2"/>
      <c r="K73" s="2"/>
    </row>
    <row r="74" spans="1:11">
      <c r="A74" s="3"/>
      <c r="B74" s="2"/>
      <c r="C74" s="2"/>
      <c r="D74" s="2"/>
      <c r="E74" s="2"/>
      <c r="F74" s="2"/>
      <c r="G74" s="2"/>
      <c r="H74" s="2"/>
      <c r="I74" s="4"/>
      <c r="J74" s="2"/>
      <c r="K74" s="2"/>
    </row>
    <row r="75" spans="1:11">
      <c r="A75" s="3"/>
      <c r="B75" s="2"/>
      <c r="C75" s="2"/>
      <c r="D75" s="2"/>
      <c r="E75" s="2"/>
      <c r="F75" s="2"/>
      <c r="G75" s="2"/>
      <c r="H75" s="2"/>
      <c r="I75" s="4"/>
      <c r="J75" s="2"/>
      <c r="K75" s="2"/>
    </row>
    <row r="76" spans="1:11">
      <c r="A76" s="3"/>
      <c r="B76" s="2"/>
      <c r="C76" s="2"/>
      <c r="D76" s="2"/>
      <c r="E76" s="2"/>
      <c r="F76" s="2"/>
      <c r="G76" s="2"/>
      <c r="H76" s="2"/>
      <c r="I76" s="4"/>
      <c r="J76" s="2"/>
      <c r="K76" s="2"/>
    </row>
    <row r="77" spans="1:11">
      <c r="A77" s="3"/>
      <c r="B77" s="2"/>
      <c r="C77" s="2"/>
      <c r="D77" s="2"/>
      <c r="E77" s="2"/>
      <c r="F77" s="2"/>
      <c r="G77" s="2"/>
      <c r="H77" s="2"/>
      <c r="I77" s="4"/>
      <c r="J77" s="2"/>
      <c r="K77" s="2"/>
    </row>
    <row r="78" spans="1:11">
      <c r="A78" s="3"/>
      <c r="B78" s="2"/>
      <c r="C78" s="2"/>
      <c r="D78" s="2"/>
      <c r="E78" s="2"/>
      <c r="F78" s="2"/>
      <c r="G78" s="2"/>
      <c r="H78" s="2"/>
      <c r="I78" s="4"/>
      <c r="J78" s="2"/>
      <c r="K78" s="2"/>
    </row>
    <row r="79" spans="1:11">
      <c r="A79" s="3"/>
      <c r="B79" s="2"/>
      <c r="C79" s="2"/>
      <c r="D79" s="2"/>
      <c r="E79" s="2"/>
      <c r="F79" s="2"/>
      <c r="G79" s="2"/>
      <c r="H79" s="2"/>
      <c r="I79" s="4"/>
      <c r="J79" s="2"/>
      <c r="K79" s="2"/>
    </row>
    <row r="80" spans="1:11">
      <c r="A80" s="3"/>
      <c r="B80" s="2"/>
      <c r="C80" s="2"/>
      <c r="D80" s="2"/>
      <c r="E80" s="2"/>
      <c r="F80" s="2"/>
      <c r="G80" s="2"/>
      <c r="H80" s="2"/>
      <c r="I80" s="4"/>
      <c r="J80" s="2"/>
      <c r="K80" s="2"/>
    </row>
    <row r="81" spans="1:11">
      <c r="A81" s="3"/>
      <c r="B81" s="2"/>
      <c r="C81" s="2"/>
      <c r="D81" s="2"/>
      <c r="E81" s="2"/>
      <c r="F81" s="2"/>
      <c r="G81" s="2"/>
      <c r="H81" s="2"/>
      <c r="I81" s="4"/>
      <c r="J81" s="2"/>
      <c r="K81" s="2"/>
    </row>
    <row r="82" spans="1:11">
      <c r="A82" s="3"/>
      <c r="B82" s="2"/>
      <c r="C82" s="2"/>
      <c r="D82" s="2"/>
      <c r="E82" s="2"/>
      <c r="F82" s="2"/>
      <c r="G82" s="2"/>
      <c r="H82" s="2"/>
      <c r="I82" s="4"/>
      <c r="J82" s="2"/>
      <c r="K82" s="2"/>
    </row>
    <row r="83" spans="1:11">
      <c r="A83" s="3"/>
      <c r="B83" s="2"/>
      <c r="C83" s="2"/>
      <c r="D83" s="2"/>
      <c r="E83" s="2"/>
      <c r="F83" s="2"/>
      <c r="G83" s="2"/>
      <c r="H83" s="2"/>
      <c r="I83" s="4"/>
      <c r="J83" s="2"/>
      <c r="K83" s="2"/>
    </row>
    <row r="84" spans="1:11">
      <c r="A84" s="3"/>
      <c r="B84" s="2"/>
      <c r="C84" s="2"/>
      <c r="D84" s="2"/>
      <c r="E84" s="2"/>
      <c r="F84" s="2"/>
      <c r="G84" s="2"/>
      <c r="H84" s="2"/>
      <c r="I84" s="4"/>
      <c r="J84" s="2"/>
      <c r="K84" s="2"/>
    </row>
    <row r="85" spans="1:11">
      <c r="A85" s="3"/>
      <c r="B85" s="2"/>
      <c r="C85" s="2"/>
      <c r="D85" s="2"/>
      <c r="E85" s="2"/>
      <c r="F85" s="2"/>
      <c r="G85" s="2"/>
      <c r="H85" s="2"/>
      <c r="I85" s="4"/>
      <c r="J85" s="2"/>
      <c r="K85" s="2"/>
    </row>
    <row r="86" spans="1:11">
      <c r="A86" s="3"/>
      <c r="B86" s="2"/>
      <c r="C86" s="2"/>
      <c r="D86" s="2"/>
      <c r="E86" s="2"/>
      <c r="F86" s="2"/>
      <c r="G86" s="2"/>
      <c r="H86" s="2"/>
      <c r="I86" s="4"/>
      <c r="J86" s="2"/>
      <c r="K86" s="2"/>
    </row>
    <row r="87" spans="1:11">
      <c r="A87" s="3"/>
      <c r="B87" s="2"/>
      <c r="C87" s="2"/>
      <c r="D87" s="2"/>
      <c r="E87" s="2"/>
      <c r="F87" s="2"/>
      <c r="G87" s="2"/>
      <c r="H87" s="2"/>
      <c r="I87" s="4"/>
      <c r="J87" s="2"/>
      <c r="K87" s="2"/>
    </row>
    <row r="88" spans="1:11">
      <c r="A88" s="3"/>
      <c r="B88" s="2"/>
      <c r="C88" s="2"/>
      <c r="D88" s="2"/>
      <c r="E88" s="2"/>
      <c r="F88" s="2"/>
      <c r="G88" s="2"/>
      <c r="H88" s="2"/>
      <c r="I88" s="4"/>
      <c r="J88" s="2"/>
      <c r="K88" s="2"/>
    </row>
    <row r="89" spans="1:11">
      <c r="A89" s="3"/>
      <c r="B89" s="2"/>
      <c r="C89" s="2"/>
      <c r="D89" s="2"/>
      <c r="E89" s="2"/>
      <c r="F89" s="2"/>
      <c r="G89" s="2"/>
      <c r="H89" s="2"/>
      <c r="I89" s="4"/>
      <c r="J89" s="2"/>
      <c r="K89" s="2"/>
    </row>
    <row r="90" spans="1:11">
      <c r="A90" s="3"/>
      <c r="B90" s="2"/>
      <c r="C90" s="2"/>
      <c r="D90" s="2"/>
      <c r="E90" s="2"/>
      <c r="F90" s="2"/>
      <c r="G90" s="2"/>
      <c r="H90" s="2"/>
      <c r="I90" s="4"/>
      <c r="J90" s="2"/>
      <c r="K90" s="2"/>
    </row>
    <row r="91" spans="1:11">
      <c r="A91" s="3"/>
      <c r="B91" s="2"/>
      <c r="C91" s="2"/>
      <c r="D91" s="2"/>
      <c r="E91" s="2"/>
      <c r="F91" s="2"/>
      <c r="G91" s="2"/>
      <c r="H91" s="2"/>
      <c r="I91" s="4"/>
      <c r="J91" s="2"/>
      <c r="K91" s="2"/>
    </row>
    <row r="92" spans="1:11">
      <c r="A92" s="3"/>
      <c r="B92" s="2"/>
      <c r="C92" s="2"/>
      <c r="D92" s="2"/>
      <c r="E92" s="2"/>
      <c r="F92" s="2"/>
      <c r="G92" s="2"/>
      <c r="H92" s="2"/>
      <c r="I92" s="4"/>
      <c r="J92" s="2"/>
      <c r="K92" s="2"/>
    </row>
    <row r="93" spans="1:11">
      <c r="A93" s="3"/>
      <c r="B93" s="2"/>
      <c r="C93" s="2"/>
      <c r="D93" s="2"/>
      <c r="E93" s="2"/>
      <c r="F93" s="2"/>
      <c r="G93" s="2"/>
      <c r="H93" s="2"/>
      <c r="I93" s="4"/>
      <c r="J93" s="2"/>
      <c r="K93" s="2"/>
    </row>
    <row r="94" spans="1:11">
      <c r="A94" s="3"/>
      <c r="B94" s="2"/>
      <c r="C94" s="2"/>
      <c r="D94" s="2"/>
      <c r="E94" s="2"/>
      <c r="F94" s="2"/>
      <c r="G94" s="2"/>
      <c r="H94" s="2"/>
      <c r="I94" s="4"/>
      <c r="J94" s="2"/>
      <c r="K94" s="2"/>
    </row>
    <row r="95" spans="1:11">
      <c r="A95" s="3"/>
      <c r="B95" s="2"/>
      <c r="C95" s="2"/>
      <c r="D95" s="2"/>
      <c r="E95" s="2"/>
      <c r="F95" s="2"/>
      <c r="G95" s="2"/>
      <c r="H95" s="2"/>
      <c r="I95" s="4"/>
      <c r="J95" s="2"/>
      <c r="K95" s="2"/>
    </row>
    <row r="96" spans="1:11">
      <c r="A96" s="3"/>
      <c r="B96" s="2"/>
      <c r="C96" s="2"/>
      <c r="D96" s="2"/>
      <c r="E96" s="2"/>
      <c r="F96" s="2"/>
      <c r="G96" s="2"/>
      <c r="H96" s="2"/>
      <c r="I96" s="4"/>
      <c r="J96" s="2"/>
      <c r="K96" s="2"/>
    </row>
    <row r="97" spans="1:11">
      <c r="A97" s="3"/>
      <c r="B97" s="2"/>
      <c r="C97" s="2"/>
      <c r="D97" s="2"/>
      <c r="E97" s="2"/>
      <c r="F97" s="2"/>
      <c r="G97" s="2"/>
      <c r="H97" s="2"/>
      <c r="I97" s="4"/>
      <c r="J97" s="2"/>
      <c r="K97" s="2"/>
    </row>
    <row r="98" spans="1:11">
      <c r="A98" s="3"/>
      <c r="B98" s="2"/>
      <c r="C98" s="2"/>
      <c r="D98" s="2"/>
      <c r="E98" s="2"/>
      <c r="F98" s="2"/>
      <c r="G98" s="2"/>
      <c r="H98" s="2"/>
      <c r="I98" s="4"/>
      <c r="J98" s="2"/>
      <c r="K98" s="2"/>
    </row>
    <row r="99" spans="1:11">
      <c r="A99" s="3"/>
      <c r="B99" s="2"/>
      <c r="C99" s="2"/>
      <c r="D99" s="2"/>
      <c r="E99" s="2"/>
      <c r="F99" s="2"/>
      <c r="G99" s="2"/>
      <c r="H99" s="2"/>
      <c r="I99" s="4"/>
      <c r="J99" s="2"/>
      <c r="K99" s="2"/>
    </row>
    <row r="100" spans="1:11">
      <c r="A100" s="3"/>
      <c r="B100" s="2"/>
      <c r="C100" s="2"/>
      <c r="D100" s="2"/>
      <c r="E100" s="2"/>
      <c r="F100" s="2"/>
      <c r="G100" s="2"/>
      <c r="H100" s="2"/>
      <c r="I100" s="4"/>
      <c r="J100" s="2"/>
      <c r="K100" s="2"/>
    </row>
    <row r="101" spans="1:11">
      <c r="A101" s="3"/>
      <c r="B101" s="2"/>
      <c r="C101" s="2"/>
      <c r="D101" s="2"/>
      <c r="E101" s="2"/>
      <c r="F101" s="2"/>
      <c r="G101" s="2"/>
      <c r="H101" s="2"/>
      <c r="I101" s="4"/>
      <c r="J101" s="2"/>
      <c r="K101" s="2"/>
    </row>
    <row r="102" spans="1:11">
      <c r="A102" s="3"/>
      <c r="B102" s="2"/>
      <c r="C102" s="2"/>
      <c r="D102" s="2"/>
      <c r="E102" s="2"/>
      <c r="F102" s="2"/>
      <c r="G102" s="2"/>
      <c r="H102" s="2"/>
      <c r="I102" s="4"/>
      <c r="J102" s="2"/>
      <c r="K102" s="2"/>
    </row>
    <row r="103" spans="1:11">
      <c r="A103" s="3"/>
      <c r="B103" s="2"/>
      <c r="C103" s="2"/>
      <c r="D103" s="2"/>
      <c r="E103" s="2"/>
      <c r="F103" s="2"/>
      <c r="G103" s="2"/>
      <c r="H103" s="2"/>
      <c r="I103" s="4"/>
      <c r="J103" s="2"/>
      <c r="K103" s="2"/>
    </row>
    <row r="104" spans="1:11">
      <c r="A104" s="3"/>
      <c r="B104" s="2"/>
      <c r="C104" s="2"/>
      <c r="D104" s="2"/>
      <c r="E104" s="2"/>
      <c r="F104" s="2"/>
      <c r="G104" s="2"/>
      <c r="H104" s="2"/>
      <c r="I104" s="4"/>
      <c r="J104" s="2"/>
      <c r="K104" s="2"/>
    </row>
    <row r="105" spans="1:11">
      <c r="A105" s="3"/>
      <c r="B105" s="2"/>
      <c r="C105" s="2"/>
      <c r="D105" s="2"/>
      <c r="E105" s="2"/>
      <c r="F105" s="2"/>
      <c r="G105" s="2"/>
      <c r="H105" s="2"/>
      <c r="I105" s="4"/>
      <c r="J105" s="2"/>
      <c r="K105" s="2"/>
    </row>
    <row r="106" spans="1:11">
      <c r="A106" s="3"/>
      <c r="B106" s="2"/>
      <c r="C106" s="2"/>
      <c r="D106" s="2"/>
      <c r="E106" s="2"/>
      <c r="F106" s="2"/>
      <c r="G106" s="2"/>
      <c r="H106" s="2"/>
      <c r="I106" s="4"/>
      <c r="J106" s="2"/>
      <c r="K106" s="2"/>
    </row>
    <row r="107" spans="1:11">
      <c r="A107" s="3"/>
      <c r="B107" s="2"/>
      <c r="C107" s="2"/>
      <c r="D107" s="2"/>
      <c r="E107" s="2"/>
      <c r="F107" s="2"/>
      <c r="G107" s="2"/>
      <c r="H107" s="2"/>
      <c r="I107" s="4"/>
      <c r="J107" s="2"/>
      <c r="K107" s="2"/>
    </row>
    <row r="108" spans="1:11">
      <c r="A108" s="3"/>
      <c r="B108" s="2"/>
      <c r="C108" s="2"/>
      <c r="D108" s="2"/>
      <c r="E108" s="2"/>
      <c r="F108" s="2"/>
      <c r="G108" s="2"/>
      <c r="H108" s="2"/>
      <c r="I108" s="4"/>
      <c r="J108" s="2"/>
      <c r="K108" s="2"/>
    </row>
    <row r="109" spans="1:11">
      <c r="A109" s="3"/>
      <c r="B109" s="2"/>
      <c r="C109" s="2"/>
      <c r="D109" s="2"/>
      <c r="E109" s="2"/>
      <c r="F109" s="2"/>
      <c r="G109" s="2"/>
      <c r="H109" s="2"/>
      <c r="I109" s="4"/>
      <c r="J109" s="2"/>
      <c r="K109" s="2"/>
    </row>
    <row r="110" spans="1:11">
      <c r="A110" s="3"/>
      <c r="B110" s="2"/>
      <c r="C110" s="2"/>
      <c r="D110" s="2"/>
      <c r="E110" s="2"/>
      <c r="F110" s="2"/>
      <c r="G110" s="2"/>
      <c r="H110" s="2"/>
      <c r="I110" s="4"/>
      <c r="J110" s="2"/>
      <c r="K110" s="2"/>
    </row>
    <row r="111" spans="1:11">
      <c r="A111" s="3"/>
      <c r="B111" s="2"/>
      <c r="C111" s="2"/>
      <c r="D111" s="2"/>
      <c r="E111" s="2"/>
      <c r="F111" s="2"/>
      <c r="G111" s="2"/>
      <c r="H111" s="2"/>
      <c r="I111" s="4"/>
      <c r="J111" s="2"/>
      <c r="K111" s="2"/>
    </row>
    <row r="112" spans="1:11">
      <c r="A112" s="3"/>
      <c r="B112" s="2"/>
      <c r="C112" s="2"/>
      <c r="D112" s="2"/>
      <c r="E112" s="2"/>
      <c r="F112" s="2"/>
      <c r="G112" s="2"/>
      <c r="H112" s="2"/>
      <c r="I112" s="4"/>
      <c r="J112" s="2"/>
      <c r="K112" s="2"/>
    </row>
    <row r="113" spans="1:11">
      <c r="A113" s="3"/>
      <c r="B113" s="2"/>
      <c r="C113" s="2"/>
      <c r="D113" s="2"/>
      <c r="E113" s="2"/>
      <c r="F113" s="2"/>
      <c r="G113" s="2"/>
      <c r="H113" s="2"/>
      <c r="I113" s="4"/>
      <c r="J113" s="2"/>
      <c r="K113" s="2"/>
    </row>
    <row r="114" spans="1:11">
      <c r="A114" s="3"/>
      <c r="B114" s="2"/>
      <c r="C114" s="2"/>
      <c r="D114" s="2"/>
      <c r="E114" s="2"/>
      <c r="F114" s="2"/>
      <c r="G114" s="2"/>
      <c r="H114" s="2"/>
      <c r="I114" s="4"/>
      <c r="J114" s="2"/>
      <c r="K114" s="2"/>
    </row>
    <row r="115" spans="1:11">
      <c r="A115" s="3"/>
      <c r="B115" s="2"/>
      <c r="C115" s="2"/>
      <c r="D115" s="2"/>
      <c r="E115" s="2"/>
      <c r="F115" s="2"/>
      <c r="G115" s="2"/>
      <c r="H115" s="2"/>
      <c r="I115" s="4"/>
      <c r="J115" s="2"/>
      <c r="K115" s="2"/>
    </row>
    <row r="116" spans="1:11">
      <c r="A116" s="3"/>
      <c r="B116" s="2"/>
      <c r="C116" s="2"/>
      <c r="D116" s="2"/>
      <c r="E116" s="2"/>
      <c r="F116" s="2"/>
      <c r="G116" s="2"/>
      <c r="H116" s="2"/>
      <c r="I116" s="4"/>
      <c r="J116" s="2"/>
      <c r="K116" s="2"/>
    </row>
    <row r="117" spans="1:11">
      <c r="A117" s="3"/>
      <c r="B117" s="2"/>
      <c r="C117" s="2"/>
      <c r="D117" s="2"/>
      <c r="E117" s="2"/>
      <c r="F117" s="2"/>
      <c r="G117" s="2"/>
      <c r="H117" s="2"/>
      <c r="I117" s="4"/>
      <c r="J117" s="2"/>
      <c r="K117" s="2"/>
    </row>
    <row r="118" spans="1:11">
      <c r="A118" s="3"/>
      <c r="B118" s="2"/>
      <c r="C118" s="2"/>
      <c r="D118" s="2"/>
      <c r="E118" s="2"/>
      <c r="F118" s="2"/>
      <c r="G118" s="2"/>
      <c r="H118" s="2"/>
      <c r="I118" s="4"/>
      <c r="J118" s="2"/>
      <c r="K118" s="2"/>
    </row>
    <row r="119" spans="1:11">
      <c r="A119" s="3"/>
      <c r="B119" s="2"/>
      <c r="C119" s="2"/>
      <c r="D119" s="2"/>
      <c r="E119" s="2"/>
      <c r="F119" s="2"/>
      <c r="G119" s="2"/>
      <c r="H119" s="2"/>
      <c r="I119" s="4"/>
      <c r="J119" s="2"/>
      <c r="K119" s="2"/>
    </row>
    <row r="120" spans="1:11">
      <c r="A120" s="3"/>
      <c r="B120" s="2"/>
      <c r="C120" s="2"/>
      <c r="D120" s="2"/>
      <c r="E120" s="2"/>
      <c r="F120" s="2"/>
      <c r="G120" s="2"/>
      <c r="H120" s="2"/>
      <c r="I120" s="4"/>
      <c r="J120" s="2"/>
      <c r="K120" s="2"/>
    </row>
    <row r="121" spans="1:11">
      <c r="A121" s="3"/>
      <c r="B121" s="2"/>
      <c r="C121" s="2"/>
      <c r="D121" s="2"/>
      <c r="E121" s="2"/>
      <c r="F121" s="2"/>
      <c r="G121" s="2"/>
      <c r="H121" s="2"/>
      <c r="I121" s="4"/>
      <c r="J121" s="2"/>
      <c r="K121" s="2"/>
    </row>
    <row r="122" spans="1:11">
      <c r="A122" s="3"/>
      <c r="B122" s="2"/>
      <c r="C122" s="2"/>
      <c r="D122" s="2"/>
      <c r="E122" s="2"/>
      <c r="F122" s="2"/>
      <c r="G122" s="2"/>
      <c r="H122" s="2"/>
      <c r="I122" s="4"/>
      <c r="J122" s="2"/>
      <c r="K122" s="2"/>
    </row>
    <row r="123" spans="1:11">
      <c r="A123" s="3"/>
      <c r="B123" s="2"/>
      <c r="C123" s="2"/>
      <c r="D123" s="2"/>
      <c r="E123" s="2"/>
      <c r="F123" s="2"/>
      <c r="G123" s="2"/>
      <c r="H123" s="2"/>
      <c r="I123" s="4"/>
      <c r="J123" s="2"/>
      <c r="K123" s="2"/>
    </row>
    <row r="124" spans="1:11">
      <c r="A124" s="3"/>
      <c r="B124" s="2"/>
      <c r="C124" s="2"/>
      <c r="D124" s="2"/>
      <c r="E124" s="2"/>
      <c r="F124" s="2"/>
      <c r="G124" s="2"/>
      <c r="H124" s="2"/>
      <c r="I124" s="4"/>
      <c r="J124" s="2"/>
      <c r="K124" s="2"/>
    </row>
    <row r="125" spans="1:11">
      <c r="A125" s="3"/>
      <c r="B125" s="2"/>
      <c r="C125" s="2"/>
      <c r="D125" s="2"/>
      <c r="E125" s="2"/>
      <c r="F125" s="2"/>
      <c r="G125" s="2"/>
      <c r="H125" s="2"/>
      <c r="I125" s="4"/>
      <c r="J125" s="2"/>
      <c r="K125" s="2"/>
    </row>
    <row r="126" spans="1:11">
      <c r="A126" s="3"/>
      <c r="B126" s="2"/>
      <c r="C126" s="2"/>
      <c r="D126" s="2"/>
      <c r="E126" s="2"/>
      <c r="F126" s="2"/>
      <c r="G126" s="2"/>
      <c r="H126" s="2"/>
      <c r="I126" s="4"/>
      <c r="J126" s="2"/>
      <c r="K126" s="2"/>
    </row>
    <row r="127" spans="1:11">
      <c r="A127" s="3"/>
      <c r="B127" s="2"/>
      <c r="C127" s="2"/>
      <c r="D127" s="2"/>
      <c r="E127" s="2"/>
      <c r="F127" s="2"/>
      <c r="G127" s="2"/>
      <c r="H127" s="2"/>
      <c r="I127" s="4"/>
      <c r="J127" s="2"/>
      <c r="K127" s="2"/>
    </row>
    <row r="128" spans="1:11">
      <c r="A128" s="3"/>
      <c r="B128" s="2"/>
      <c r="C128" s="2"/>
      <c r="D128" s="2"/>
      <c r="E128" s="2"/>
      <c r="F128" s="2"/>
      <c r="G128" s="2"/>
      <c r="H128" s="2"/>
      <c r="I128" s="4"/>
      <c r="J128" s="2"/>
      <c r="K128" s="2"/>
    </row>
    <row r="129" spans="1:11">
      <c r="A129" s="3"/>
      <c r="B129" s="2"/>
      <c r="C129" s="2"/>
      <c r="D129" s="2"/>
      <c r="E129" s="2"/>
      <c r="F129" s="2"/>
      <c r="G129" s="2"/>
      <c r="H129" s="2"/>
      <c r="I129" s="4"/>
      <c r="J129" s="2"/>
      <c r="K129" s="2"/>
    </row>
    <row r="130" spans="1:11">
      <c r="A130" s="3"/>
      <c r="B130" s="2"/>
      <c r="C130" s="2"/>
      <c r="D130" s="2"/>
      <c r="E130" s="2"/>
      <c r="F130" s="2"/>
      <c r="G130" s="2"/>
      <c r="H130" s="2"/>
      <c r="I130" s="4"/>
      <c r="J130" s="2"/>
      <c r="K130" s="2"/>
    </row>
    <row r="131" spans="1:11">
      <c r="A131" s="3"/>
      <c r="B131" s="2"/>
      <c r="C131" s="2"/>
      <c r="D131" s="2"/>
      <c r="E131" s="2"/>
      <c r="F131" s="2"/>
      <c r="G131" s="2"/>
      <c r="H131" s="2"/>
      <c r="I131" s="4"/>
      <c r="J131" s="2"/>
      <c r="K131" s="2"/>
    </row>
    <row r="132" spans="1:11">
      <c r="A132" s="3"/>
      <c r="B132" s="2"/>
      <c r="C132" s="2"/>
      <c r="D132" s="2"/>
      <c r="E132" s="2"/>
      <c r="F132" s="2"/>
      <c r="G132" s="2"/>
      <c r="H132" s="2"/>
      <c r="I132" s="4"/>
      <c r="J132" s="2"/>
      <c r="K132" s="2"/>
    </row>
    <row r="133" spans="1:11">
      <c r="A133" s="3"/>
      <c r="B133" s="2"/>
      <c r="C133" s="2"/>
      <c r="D133" s="2"/>
      <c r="E133" s="2"/>
      <c r="F133" s="2"/>
      <c r="G133" s="2"/>
      <c r="H133" s="2"/>
      <c r="I133" s="4"/>
      <c r="J133" s="2"/>
      <c r="K133" s="2"/>
    </row>
    <row r="134" spans="1:11">
      <c r="A134" s="3"/>
      <c r="B134" s="2"/>
      <c r="C134" s="2"/>
      <c r="D134" s="2"/>
      <c r="E134" s="2"/>
      <c r="F134" s="2"/>
      <c r="G134" s="2"/>
      <c r="H134" s="2"/>
      <c r="I134" s="4"/>
      <c r="J134" s="2"/>
      <c r="K134" s="2"/>
    </row>
    <row r="135" spans="1:11">
      <c r="A135" s="3"/>
      <c r="B135" s="2"/>
      <c r="C135" s="2"/>
      <c r="D135" s="2"/>
      <c r="E135" s="2"/>
      <c r="F135" s="2"/>
      <c r="G135" s="2"/>
      <c r="H135" s="2"/>
      <c r="I135" s="4"/>
      <c r="J135" s="2"/>
      <c r="K135" s="2"/>
    </row>
    <row r="136" spans="1:11">
      <c r="A136" s="3"/>
      <c r="B136" s="2"/>
      <c r="C136" s="2"/>
      <c r="D136" s="2"/>
      <c r="E136" s="2"/>
      <c r="F136" s="2"/>
      <c r="G136" s="2"/>
      <c r="H136" s="2"/>
      <c r="I136" s="4"/>
      <c r="J136" s="2"/>
      <c r="K136" s="2"/>
    </row>
    <row r="137" spans="1:11">
      <c r="A137" s="3"/>
      <c r="B137" s="2"/>
      <c r="C137" s="2"/>
      <c r="D137" s="2"/>
      <c r="E137" s="2"/>
      <c r="F137" s="2"/>
      <c r="G137" s="2"/>
      <c r="H137" s="2"/>
      <c r="I137" s="4"/>
      <c r="J137" s="2"/>
      <c r="K137" s="2"/>
    </row>
    <row r="138" spans="1:11">
      <c r="A138" s="3"/>
      <c r="B138" s="2"/>
      <c r="C138" s="2"/>
      <c r="D138" s="2"/>
      <c r="E138" s="2"/>
      <c r="F138" s="2"/>
      <c r="G138" s="2"/>
      <c r="H138" s="2"/>
      <c r="I138" s="4"/>
      <c r="J138" s="2"/>
      <c r="K138" s="2"/>
    </row>
    <row r="139" spans="1:11">
      <c r="A139" s="3"/>
      <c r="B139" s="2"/>
      <c r="C139" s="2"/>
      <c r="D139" s="2"/>
      <c r="E139" s="2"/>
      <c r="F139" s="2"/>
      <c r="G139" s="2"/>
      <c r="H139" s="2"/>
      <c r="I139" s="4"/>
      <c r="J139" s="2"/>
      <c r="K139" s="2"/>
    </row>
    <row r="140" spans="1:11">
      <c r="A140" s="3"/>
      <c r="B140" s="2"/>
      <c r="C140" s="2"/>
      <c r="D140" s="2"/>
      <c r="E140" s="2"/>
      <c r="F140" s="2"/>
      <c r="G140" s="2"/>
      <c r="H140" s="2"/>
      <c r="I140" s="4"/>
      <c r="J140" s="2"/>
      <c r="K140" s="2"/>
    </row>
    <row r="141" spans="1:11">
      <c r="A141" s="3"/>
      <c r="B141" s="2"/>
      <c r="C141" s="2"/>
      <c r="D141" s="2"/>
      <c r="E141" s="2"/>
      <c r="F141" s="2"/>
      <c r="G141" s="2"/>
      <c r="H141" s="2"/>
      <c r="I141" s="4"/>
      <c r="J141" s="2"/>
      <c r="K141" s="2"/>
    </row>
    <row r="142" spans="1:11">
      <c r="A142" s="3"/>
      <c r="B142" s="2"/>
      <c r="C142" s="2"/>
      <c r="D142" s="2"/>
      <c r="E142" s="2"/>
      <c r="F142" s="2"/>
      <c r="G142" s="2"/>
      <c r="H142" s="2"/>
      <c r="I142" s="4"/>
      <c r="J142" s="2"/>
      <c r="K142" s="2"/>
    </row>
    <row r="143" spans="1:11">
      <c r="A143" s="3"/>
      <c r="B143" s="2"/>
      <c r="C143" s="2"/>
      <c r="D143" s="2"/>
      <c r="E143" s="2"/>
      <c r="F143" s="2"/>
      <c r="G143" s="2"/>
      <c r="H143" s="2"/>
      <c r="I143" s="4"/>
      <c r="J143" s="2"/>
      <c r="K143" s="2"/>
    </row>
    <row r="144" spans="1:11">
      <c r="A144" s="3"/>
      <c r="B144" s="2"/>
      <c r="C144" s="2"/>
      <c r="D144" s="2"/>
      <c r="E144" s="2"/>
      <c r="F144" s="2"/>
      <c r="G144" s="2"/>
      <c r="H144" s="2"/>
      <c r="I144" s="4"/>
      <c r="J144" s="2"/>
      <c r="K144" s="2"/>
    </row>
    <row r="145" spans="1:11">
      <c r="A145" s="3"/>
      <c r="B145" s="2"/>
      <c r="C145" s="2"/>
      <c r="D145" s="2"/>
      <c r="E145" s="2"/>
      <c r="F145" s="2"/>
      <c r="G145" s="2"/>
      <c r="H145" s="2"/>
      <c r="I145" s="4"/>
      <c r="J145" s="2"/>
      <c r="K145" s="2"/>
    </row>
    <row r="146" spans="1:11">
      <c r="A146" s="3"/>
      <c r="B146" s="2"/>
      <c r="C146" s="2"/>
      <c r="D146" s="2"/>
      <c r="E146" s="2"/>
      <c r="F146" s="2"/>
      <c r="G146" s="2"/>
      <c r="H146" s="2"/>
      <c r="I146" s="4"/>
      <c r="J146" s="2"/>
      <c r="K146" s="2"/>
    </row>
    <row r="147" spans="1:11">
      <c r="A147" s="3"/>
      <c r="B147" s="2"/>
      <c r="C147" s="2"/>
      <c r="D147" s="2"/>
      <c r="E147" s="2"/>
      <c r="F147" s="2"/>
      <c r="G147" s="2"/>
      <c r="H147" s="2"/>
      <c r="I147" s="4"/>
      <c r="J147" s="2"/>
      <c r="K147" s="2"/>
    </row>
    <row r="148" spans="1:11">
      <c r="A148" s="3"/>
      <c r="B148" s="2"/>
      <c r="C148" s="2"/>
      <c r="D148" s="2"/>
      <c r="E148" s="2"/>
      <c r="F148" s="2"/>
      <c r="G148" s="2"/>
      <c r="H148" s="2"/>
      <c r="I148" s="4"/>
      <c r="J148" s="2"/>
      <c r="K148" s="2"/>
    </row>
    <row r="149" spans="1:11">
      <c r="A149" s="3"/>
      <c r="B149" s="2"/>
      <c r="C149" s="2"/>
      <c r="D149" s="2"/>
      <c r="E149" s="2"/>
      <c r="F149" s="2"/>
      <c r="G149" s="2"/>
      <c r="H149" s="2"/>
      <c r="I149" s="4"/>
      <c r="J149" s="2"/>
      <c r="K149" s="2"/>
    </row>
    <row r="150" spans="1:11">
      <c r="A150" s="3"/>
      <c r="B150" s="2"/>
      <c r="C150" s="2"/>
      <c r="D150" s="2"/>
      <c r="E150" s="2"/>
      <c r="F150" s="2"/>
      <c r="G150" s="2"/>
      <c r="H150" s="2"/>
      <c r="I150" s="4"/>
      <c r="J150" s="2"/>
      <c r="K150" s="2"/>
    </row>
    <row r="151" spans="1:11">
      <c r="A151" s="3"/>
      <c r="B151" s="2"/>
      <c r="C151" s="2"/>
      <c r="D151" s="2"/>
      <c r="E151" s="2"/>
      <c r="F151" s="2"/>
      <c r="G151" s="2"/>
      <c r="H151" s="2"/>
      <c r="I151" s="4"/>
      <c r="J151" s="2"/>
      <c r="K151" s="2"/>
    </row>
    <row r="152" spans="1:11">
      <c r="A152" s="3"/>
      <c r="B152" s="2"/>
      <c r="C152" s="2"/>
      <c r="D152" s="2"/>
      <c r="E152" s="2"/>
      <c r="F152" s="2"/>
      <c r="G152" s="2"/>
      <c r="H152" s="2"/>
      <c r="I152" s="4"/>
      <c r="J152" s="2"/>
      <c r="K152" s="2"/>
    </row>
    <row r="153" spans="1:11">
      <c r="A153" s="3"/>
      <c r="B153" s="2"/>
      <c r="C153" s="2"/>
      <c r="D153" s="2"/>
      <c r="E153" s="2"/>
      <c r="F153" s="2"/>
      <c r="G153" s="2"/>
      <c r="H153" s="2"/>
      <c r="I153" s="4"/>
      <c r="J153" s="2"/>
      <c r="K153" s="2"/>
    </row>
    <row r="154" spans="1:11">
      <c r="A154" s="3"/>
      <c r="B154" s="2"/>
      <c r="C154" s="2"/>
      <c r="D154" s="2"/>
      <c r="E154" s="2"/>
      <c r="F154" s="2"/>
      <c r="G154" s="2"/>
      <c r="H154" s="2"/>
      <c r="I154" s="4"/>
      <c r="J154" s="2"/>
      <c r="K154" s="2"/>
    </row>
    <row r="155" spans="1:11">
      <c r="A155" s="3"/>
      <c r="B155" s="2"/>
      <c r="C155" s="2"/>
      <c r="D155" s="2"/>
      <c r="E155" s="2"/>
      <c r="F155" s="2"/>
      <c r="G155" s="2"/>
      <c r="H155" s="2"/>
      <c r="I155" s="4"/>
      <c r="J155" s="2"/>
      <c r="K155" s="2"/>
    </row>
    <row r="156" spans="1:11">
      <c r="A156" s="3"/>
      <c r="B156" s="2"/>
      <c r="C156" s="2"/>
      <c r="D156" s="2"/>
      <c r="E156" s="2"/>
      <c r="F156" s="2"/>
      <c r="G156" s="2"/>
      <c r="H156" s="2"/>
      <c r="I156" s="4"/>
      <c r="J156" s="2"/>
      <c r="K156" s="2"/>
    </row>
    <row r="157" spans="1:11">
      <c r="A157" s="3"/>
      <c r="B157" s="2"/>
      <c r="C157" s="2"/>
      <c r="D157" s="2"/>
      <c r="E157" s="2"/>
      <c r="F157" s="2"/>
      <c r="G157" s="2"/>
      <c r="H157" s="2"/>
      <c r="I157" s="4"/>
      <c r="J157" s="2"/>
      <c r="K157" s="2"/>
    </row>
    <row r="158" spans="1:11">
      <c r="A158" s="3"/>
      <c r="B158" s="2"/>
      <c r="C158" s="2"/>
      <c r="D158" s="2"/>
      <c r="E158" s="2"/>
      <c r="F158" s="2"/>
      <c r="G158" s="2"/>
      <c r="H158" s="2"/>
      <c r="I158" s="4"/>
      <c r="J158" s="2"/>
      <c r="K158" s="2"/>
    </row>
    <row r="159" spans="1:11">
      <c r="A159" s="3"/>
      <c r="B159" s="2"/>
      <c r="C159" s="2"/>
      <c r="D159" s="2"/>
      <c r="E159" s="2"/>
      <c r="F159" s="2"/>
      <c r="G159" s="2"/>
      <c r="H159" s="2"/>
      <c r="I159" s="4"/>
      <c r="J159" s="2"/>
      <c r="K159" s="2"/>
    </row>
    <row r="160" spans="1:11">
      <c r="A160" s="3"/>
      <c r="B160" s="2"/>
      <c r="C160" s="2"/>
      <c r="D160" s="2"/>
      <c r="E160" s="2"/>
      <c r="F160" s="2"/>
      <c r="G160" s="2"/>
      <c r="H160" s="2"/>
      <c r="I160" s="4"/>
      <c r="J160" s="2"/>
      <c r="K160" s="2"/>
    </row>
    <row r="161" spans="1:11">
      <c r="A161" s="3"/>
      <c r="B161" s="2"/>
      <c r="C161" s="2"/>
      <c r="D161" s="2"/>
      <c r="E161" s="2"/>
      <c r="F161" s="2"/>
      <c r="G161" s="2"/>
      <c r="H161" s="2"/>
      <c r="I161" s="4"/>
      <c r="J161" s="2"/>
      <c r="K161" s="2"/>
    </row>
    <row r="162" spans="1:11">
      <c r="A162" s="3"/>
      <c r="B162" s="2"/>
      <c r="C162" s="2"/>
      <c r="D162" s="2"/>
      <c r="E162" s="2"/>
      <c r="F162" s="2"/>
      <c r="G162" s="2"/>
      <c r="H162" s="2"/>
      <c r="I162" s="4"/>
      <c r="J162" s="2"/>
      <c r="K162" s="2"/>
    </row>
    <row r="163" spans="1:11">
      <c r="A163" s="3"/>
      <c r="B163" s="2"/>
      <c r="C163" s="2"/>
      <c r="D163" s="2"/>
      <c r="E163" s="2"/>
      <c r="F163" s="2"/>
      <c r="G163" s="2"/>
      <c r="H163" s="2"/>
      <c r="I163" s="4"/>
      <c r="J163" s="2"/>
      <c r="K163" s="2"/>
    </row>
    <row r="164" spans="1:11">
      <c r="A164" s="3"/>
      <c r="B164" s="2"/>
      <c r="C164" s="2"/>
      <c r="D164" s="2"/>
      <c r="E164" s="2"/>
      <c r="F164" s="2"/>
      <c r="G164" s="2"/>
      <c r="H164" s="2"/>
      <c r="I164" s="4"/>
      <c r="J164" s="2"/>
      <c r="K164" s="2"/>
    </row>
    <row r="165" spans="1:11">
      <c r="A165" s="3"/>
      <c r="B165" s="2"/>
      <c r="C165" s="2"/>
      <c r="D165" s="2"/>
      <c r="E165" s="2"/>
      <c r="F165" s="2"/>
      <c r="G165" s="2"/>
      <c r="H165" s="2"/>
      <c r="I165" s="4"/>
      <c r="J165" s="2"/>
      <c r="K165" s="2"/>
    </row>
    <row r="166" spans="1:11">
      <c r="A166" s="3"/>
      <c r="B166" s="2"/>
      <c r="C166" s="2"/>
      <c r="D166" s="2"/>
      <c r="E166" s="2"/>
      <c r="F166" s="2"/>
      <c r="G166" s="2"/>
      <c r="H166" s="2"/>
      <c r="I166" s="4"/>
      <c r="J166" s="2"/>
      <c r="K166" s="2"/>
    </row>
    <row r="167" spans="1:11">
      <c r="A167" s="3"/>
      <c r="B167" s="2"/>
      <c r="C167" s="2"/>
      <c r="D167" s="2"/>
      <c r="E167" s="2"/>
      <c r="F167" s="2"/>
      <c r="G167" s="2"/>
      <c r="H167" s="2"/>
      <c r="I167" s="4"/>
      <c r="J167" s="2"/>
      <c r="K167" s="2"/>
    </row>
    <row r="168" spans="1:11">
      <c r="A168" s="3"/>
      <c r="B168" s="2"/>
      <c r="C168" s="2"/>
      <c r="D168" s="2"/>
      <c r="E168" s="2"/>
      <c r="F168" s="2"/>
      <c r="G168" s="2"/>
      <c r="H168" s="2"/>
      <c r="I168" s="4"/>
      <c r="J168" s="2"/>
      <c r="K168" s="2"/>
    </row>
    <row r="169" spans="1:11">
      <c r="A169" s="3"/>
      <c r="B169" s="2"/>
      <c r="C169" s="2"/>
      <c r="D169" s="2"/>
      <c r="E169" s="2"/>
      <c r="F169" s="2"/>
      <c r="G169" s="2"/>
      <c r="H169" s="2"/>
      <c r="I169" s="4"/>
      <c r="J169" s="2"/>
      <c r="K169" s="2"/>
    </row>
    <row r="170" spans="1:11">
      <c r="A170" s="3"/>
      <c r="B170" s="2"/>
      <c r="C170" s="2"/>
      <c r="D170" s="2"/>
      <c r="E170" s="2"/>
      <c r="F170" s="2"/>
      <c r="G170" s="2"/>
      <c r="H170" s="2"/>
      <c r="I170" s="4"/>
      <c r="J170" s="2"/>
      <c r="K170" s="2"/>
    </row>
    <row r="171" spans="1:11">
      <c r="A171" s="3"/>
      <c r="B171" s="2"/>
      <c r="C171" s="2"/>
      <c r="D171" s="2"/>
      <c r="E171" s="2"/>
      <c r="F171" s="2"/>
      <c r="G171" s="2"/>
      <c r="H171" s="2"/>
      <c r="I171" s="4"/>
      <c r="J171" s="2"/>
      <c r="K171" s="2"/>
    </row>
    <row r="172" spans="1:11">
      <c r="A172" s="3"/>
      <c r="B172" s="2"/>
      <c r="C172" s="2"/>
      <c r="D172" s="2"/>
      <c r="E172" s="2"/>
      <c r="F172" s="2"/>
      <c r="G172" s="2"/>
      <c r="H172" s="2"/>
      <c r="I172" s="4"/>
      <c r="J172" s="2"/>
      <c r="K172" s="2"/>
    </row>
    <row r="173" spans="1:11">
      <c r="A173" s="3"/>
      <c r="B173" s="2"/>
      <c r="C173" s="2"/>
      <c r="D173" s="2"/>
      <c r="E173" s="2"/>
      <c r="F173" s="2"/>
      <c r="G173" s="2"/>
      <c r="H173" s="2"/>
      <c r="I173" s="4"/>
      <c r="J173" s="2"/>
      <c r="K173" s="2"/>
    </row>
    <row r="174" spans="1:11">
      <c r="A174" s="3"/>
      <c r="B174" s="2"/>
      <c r="C174" s="2"/>
      <c r="D174" s="2"/>
      <c r="E174" s="2"/>
      <c r="F174" s="2"/>
      <c r="G174" s="2"/>
      <c r="H174" s="2"/>
      <c r="I174" s="4"/>
      <c r="J174" s="2"/>
      <c r="K174" s="2"/>
    </row>
    <row r="175" spans="1:11">
      <c r="A175" s="3"/>
      <c r="B175" s="2"/>
      <c r="C175" s="2"/>
      <c r="D175" s="2"/>
      <c r="E175" s="2"/>
      <c r="F175" s="2"/>
      <c r="G175" s="2"/>
      <c r="H175" s="2"/>
      <c r="I175" s="4"/>
      <c r="J175" s="2"/>
      <c r="K175" s="2"/>
    </row>
    <row r="176" spans="1:11">
      <c r="A176" s="3"/>
      <c r="B176" s="2"/>
      <c r="C176" s="2"/>
      <c r="D176" s="2"/>
      <c r="E176" s="2"/>
      <c r="F176" s="2"/>
      <c r="G176" s="2"/>
      <c r="H176" s="2"/>
      <c r="I176" s="4"/>
      <c r="J176" s="2"/>
      <c r="K176" s="2"/>
    </row>
    <row r="177" spans="1:11">
      <c r="A177" s="3"/>
      <c r="B177" s="2"/>
      <c r="C177" s="2"/>
      <c r="D177" s="2"/>
      <c r="E177" s="2"/>
      <c r="F177" s="2"/>
      <c r="G177" s="2"/>
      <c r="H177" s="2"/>
      <c r="I177" s="4"/>
      <c r="J177" s="2"/>
      <c r="K177" s="2"/>
    </row>
    <row r="178" spans="1:11">
      <c r="A178" s="3"/>
      <c r="B178" s="2"/>
      <c r="C178" s="2"/>
      <c r="D178" s="2"/>
      <c r="E178" s="2"/>
      <c r="F178" s="2"/>
      <c r="G178" s="2"/>
      <c r="H178" s="2"/>
      <c r="I178" s="4"/>
      <c r="J178" s="2"/>
      <c r="K178" s="2"/>
    </row>
    <row r="179" spans="1:11">
      <c r="A179" s="3"/>
      <c r="B179" s="2"/>
      <c r="C179" s="2"/>
      <c r="D179" s="2"/>
      <c r="E179" s="2"/>
      <c r="F179" s="2"/>
      <c r="G179" s="2"/>
      <c r="H179" s="2"/>
      <c r="I179" s="4"/>
      <c r="J179" s="2"/>
      <c r="K179" s="2"/>
    </row>
    <row r="180" spans="1:11">
      <c r="A180" s="3"/>
      <c r="B180" s="2"/>
      <c r="C180" s="2"/>
      <c r="D180" s="2"/>
      <c r="E180" s="2"/>
      <c r="F180" s="2"/>
      <c r="G180" s="2"/>
      <c r="H180" s="2"/>
      <c r="I180" s="4"/>
      <c r="J180" s="2"/>
      <c r="K180" s="2"/>
    </row>
    <row r="181" spans="1:11">
      <c r="A181" s="3"/>
      <c r="B181" s="2"/>
      <c r="C181" s="2"/>
      <c r="D181" s="2"/>
      <c r="E181" s="2"/>
      <c r="F181" s="2"/>
      <c r="G181" s="2"/>
      <c r="H181" s="2"/>
      <c r="I181" s="4"/>
      <c r="J181" s="2"/>
      <c r="K181" s="2"/>
    </row>
    <row r="182" spans="1:11">
      <c r="A182" s="3"/>
      <c r="B182" s="2"/>
      <c r="C182" s="2"/>
      <c r="D182" s="2"/>
      <c r="E182" s="2"/>
      <c r="F182" s="2"/>
      <c r="G182" s="2"/>
      <c r="H182" s="2"/>
      <c r="I182" s="4"/>
      <c r="J182" s="2"/>
      <c r="K182" s="2"/>
    </row>
    <row r="183" spans="1:11">
      <c r="A183" s="3"/>
      <c r="B183" s="2"/>
      <c r="C183" s="2"/>
      <c r="D183" s="2"/>
      <c r="E183" s="2"/>
      <c r="F183" s="2"/>
      <c r="G183" s="2"/>
      <c r="H183" s="2"/>
      <c r="I183" s="4"/>
      <c r="J183" s="2"/>
      <c r="K183" s="2"/>
    </row>
    <row r="184" spans="1:11">
      <c r="A184" s="3"/>
      <c r="B184" s="2"/>
      <c r="C184" s="2"/>
      <c r="D184" s="2"/>
      <c r="E184" s="2"/>
      <c r="F184" s="2"/>
      <c r="G184" s="2"/>
      <c r="H184" s="2"/>
      <c r="I184" s="4"/>
      <c r="J184" s="2"/>
      <c r="K184" s="2"/>
    </row>
    <row r="185" spans="1:11">
      <c r="A185" s="3"/>
      <c r="B185" s="2"/>
      <c r="C185" s="2"/>
      <c r="D185" s="2"/>
      <c r="E185" s="2"/>
      <c r="F185" s="2"/>
      <c r="G185" s="2"/>
      <c r="H185" s="2"/>
      <c r="I185" s="4"/>
      <c r="J185" s="2"/>
      <c r="K185" s="2"/>
    </row>
    <row r="186" spans="1:11">
      <c r="A186" s="3"/>
      <c r="B186" s="2"/>
      <c r="C186" s="2"/>
      <c r="D186" s="2"/>
      <c r="E186" s="2"/>
      <c r="F186" s="2"/>
      <c r="G186" s="2"/>
      <c r="H186" s="2"/>
      <c r="I186" s="4"/>
      <c r="J186" s="2"/>
      <c r="K186" s="2"/>
    </row>
    <row r="187" spans="1:11">
      <c r="A187" s="3"/>
      <c r="B187" s="2"/>
      <c r="C187" s="2"/>
      <c r="D187" s="2"/>
      <c r="E187" s="2"/>
      <c r="F187" s="2"/>
      <c r="G187" s="2"/>
      <c r="H187" s="2"/>
      <c r="I187" s="4"/>
      <c r="J187" s="2"/>
      <c r="K187" s="2"/>
    </row>
    <row r="188" spans="1:11">
      <c r="A188" s="3"/>
      <c r="B188" s="2"/>
      <c r="C188" s="2"/>
      <c r="D188" s="2"/>
      <c r="E188" s="2"/>
      <c r="F188" s="2"/>
      <c r="G188" s="2"/>
      <c r="H188" s="2"/>
      <c r="I188" s="4"/>
      <c r="J188" s="2"/>
      <c r="K188" s="2"/>
    </row>
    <row r="189" spans="1:11">
      <c r="A189" s="3"/>
      <c r="B189" s="2"/>
      <c r="C189" s="2"/>
      <c r="D189" s="2"/>
      <c r="E189" s="2"/>
      <c r="F189" s="2"/>
      <c r="G189" s="2"/>
      <c r="H189" s="2"/>
      <c r="I189" s="4"/>
      <c r="J189" s="2"/>
      <c r="K189" s="2"/>
    </row>
    <row r="190" spans="1:11">
      <c r="A190" s="3"/>
      <c r="B190" s="2"/>
      <c r="C190" s="2"/>
      <c r="D190" s="2"/>
      <c r="E190" s="2"/>
      <c r="F190" s="2"/>
      <c r="G190" s="2"/>
      <c r="H190" s="2"/>
      <c r="I190" s="4"/>
      <c r="J190" s="2"/>
      <c r="K190" s="2"/>
    </row>
    <row r="191" spans="1:11">
      <c r="A191" s="3"/>
      <c r="B191" s="2"/>
      <c r="C191" s="2"/>
      <c r="D191" s="2"/>
      <c r="E191" s="2"/>
      <c r="F191" s="2"/>
      <c r="G191" s="2"/>
      <c r="H191" s="2"/>
      <c r="I191" s="4"/>
      <c r="J191" s="2"/>
      <c r="K191" s="2"/>
    </row>
    <row r="192" spans="1:11">
      <c r="A192" s="3"/>
      <c r="B192" s="2"/>
      <c r="C192" s="2"/>
      <c r="D192" s="2"/>
      <c r="E192" s="2"/>
      <c r="F192" s="2"/>
      <c r="G192" s="2"/>
      <c r="H192" s="2"/>
      <c r="I192" s="4"/>
      <c r="J192" s="2"/>
      <c r="K192" s="2"/>
    </row>
    <row r="193" spans="1:11">
      <c r="A193" s="3"/>
      <c r="B193" s="2"/>
      <c r="C193" s="2"/>
      <c r="D193" s="2"/>
      <c r="E193" s="2"/>
      <c r="F193" s="2"/>
      <c r="G193" s="2"/>
      <c r="H193" s="2"/>
      <c r="I193" s="4"/>
      <c r="J193" s="2"/>
      <c r="K193" s="2"/>
    </row>
    <row r="194" spans="1:11">
      <c r="A194" s="3"/>
      <c r="B194" s="2"/>
      <c r="C194" s="2"/>
      <c r="D194" s="2"/>
      <c r="E194" s="2"/>
      <c r="F194" s="2"/>
      <c r="G194" s="2"/>
      <c r="H194" s="2"/>
      <c r="I194" s="4"/>
      <c r="J194" s="2"/>
      <c r="K194" s="2"/>
    </row>
    <row r="195" spans="1:11">
      <c r="A195" s="3"/>
      <c r="B195" s="2"/>
      <c r="C195" s="2"/>
      <c r="D195" s="2"/>
      <c r="E195" s="2"/>
      <c r="F195" s="2"/>
      <c r="G195" s="2"/>
      <c r="H195" s="2"/>
      <c r="I195" s="4"/>
      <c r="J195" s="2"/>
      <c r="K195" s="2"/>
    </row>
    <row r="196" spans="1:11">
      <c r="A196" s="3"/>
      <c r="B196" s="2"/>
      <c r="C196" s="2"/>
      <c r="D196" s="2"/>
      <c r="E196" s="2"/>
      <c r="F196" s="2"/>
      <c r="G196" s="2"/>
      <c r="H196" s="2"/>
      <c r="I196" s="4"/>
      <c r="J196" s="2"/>
      <c r="K196" s="2"/>
    </row>
    <row r="197" spans="1:11">
      <c r="A197" s="3"/>
      <c r="B197" s="2"/>
      <c r="C197" s="2"/>
      <c r="D197" s="2"/>
      <c r="E197" s="2"/>
      <c r="F197" s="2"/>
      <c r="G197" s="2"/>
      <c r="H197" s="2"/>
      <c r="I197" s="4"/>
      <c r="J197" s="2"/>
      <c r="K197" s="2"/>
    </row>
    <row r="198" spans="1:11">
      <c r="A198" s="3"/>
      <c r="B198" s="2"/>
      <c r="C198" s="2"/>
      <c r="D198" s="2"/>
      <c r="E198" s="2"/>
      <c r="F198" s="2"/>
      <c r="G198" s="2"/>
      <c r="H198" s="2"/>
      <c r="I198" s="4"/>
      <c r="J198" s="2"/>
      <c r="K198" s="2"/>
    </row>
    <row r="199" spans="1:11">
      <c r="A199" s="3"/>
      <c r="B199" s="2"/>
      <c r="C199" s="2"/>
      <c r="D199" s="2"/>
      <c r="E199" s="2"/>
      <c r="F199" s="2"/>
      <c r="G199" s="2"/>
      <c r="H199" s="2"/>
      <c r="I199" s="4"/>
      <c r="J199" s="2"/>
      <c r="K199" s="2"/>
    </row>
    <row r="200" spans="1:11">
      <c r="A200" s="3"/>
      <c r="B200" s="2"/>
      <c r="C200" s="2"/>
      <c r="D200" s="2"/>
      <c r="E200" s="2"/>
      <c r="F200" s="2"/>
      <c r="G200" s="2"/>
      <c r="H200" s="2"/>
      <c r="I200" s="4"/>
      <c r="J200" s="2"/>
      <c r="K200" s="2"/>
    </row>
    <row r="201" spans="1:11">
      <c r="A201" s="3"/>
      <c r="B201" s="2"/>
      <c r="C201" s="2"/>
      <c r="D201" s="2"/>
      <c r="E201" s="2"/>
      <c r="F201" s="2"/>
      <c r="G201" s="2"/>
      <c r="H201" s="2"/>
      <c r="I201" s="4"/>
      <c r="J201" s="2"/>
      <c r="K201" s="2"/>
    </row>
    <row r="202" spans="1:11">
      <c r="A202" s="3"/>
      <c r="B202" s="2"/>
      <c r="C202" s="2"/>
      <c r="D202" s="2"/>
      <c r="E202" s="2"/>
      <c r="F202" s="2"/>
      <c r="G202" s="2"/>
      <c r="H202" s="2"/>
      <c r="I202" s="4"/>
      <c r="J202" s="2"/>
      <c r="K202" s="2"/>
    </row>
    <row r="203" spans="1:11">
      <c r="A203" s="3"/>
      <c r="B203" s="2"/>
      <c r="C203" s="2"/>
      <c r="D203" s="2"/>
      <c r="E203" s="2"/>
      <c r="F203" s="2"/>
      <c r="G203" s="2"/>
      <c r="H203" s="2"/>
      <c r="I203" s="4"/>
      <c r="J203" s="2"/>
      <c r="K203" s="2"/>
    </row>
  </sheetData>
  <mergeCells count="2">
    <mergeCell ref="A1:K1"/>
    <mergeCell ref="A2:K2"/>
  </mergeCells>
  <dataValidations count="3">
    <dataValidation type="list" sqref="E4:E203" xr:uid="{00000000-0002-0000-0200-000000000000}">
      <formula1>"прямой,косвенный,заменитель,эталон лучшей практики,смежная модель"</formula1>
    </dataValidation>
    <dataValidation type="list" sqref="G4:G203" xr:uid="{00000000-0002-0000-0200-000001000000}">
      <formula1>"высокий,средний,низкий"</formula1>
    </dataValidation>
    <dataValidation type="list" sqref="H4:H203" xr:uid="{00000000-0002-0000-0200-000002000000}">
      <formula1>"не начат,в работе,требует проверки,завершен"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3"/>
  <sheetViews>
    <sheetView workbookViewId="0"/>
  </sheetViews>
  <sheetFormatPr defaultRowHeight="14.25"/>
  <cols>
    <col min="1" max="1" width="12" customWidth="1"/>
    <col min="2" max="2" width="14" customWidth="1"/>
    <col min="3" max="4" width="22" customWidth="1"/>
    <col min="5" max="5" width="34" customWidth="1"/>
    <col min="6" max="6" width="26" customWidth="1"/>
    <col min="7" max="7" width="42" customWidth="1"/>
    <col min="8" max="8" width="26" customWidth="1"/>
    <col min="9" max="10" width="16" customWidth="1"/>
    <col min="11" max="11" width="34" customWidth="1"/>
    <col min="12" max="12" width="42" customWidth="1"/>
  </cols>
  <sheetData>
    <row r="1" spans="1:26" ht="30" customHeight="1">
      <c r="A1" s="17" t="s">
        <v>139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140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26" ht="36" customHeight="1">
      <c r="A3" s="1" t="s">
        <v>141</v>
      </c>
      <c r="B3" s="1" t="s">
        <v>142</v>
      </c>
      <c r="C3" s="1" t="s">
        <v>143</v>
      </c>
      <c r="D3" s="1" t="s">
        <v>144</v>
      </c>
      <c r="E3" s="1" t="s">
        <v>145</v>
      </c>
      <c r="F3" s="1" t="s">
        <v>146</v>
      </c>
      <c r="G3" s="1" t="s">
        <v>147</v>
      </c>
      <c r="H3" s="1" t="s">
        <v>5</v>
      </c>
      <c r="I3" s="1" t="s">
        <v>148</v>
      </c>
      <c r="J3" s="1" t="s">
        <v>136</v>
      </c>
      <c r="K3" s="1" t="s">
        <v>149</v>
      </c>
      <c r="L3" s="1" t="s">
        <v>150</v>
      </c>
    </row>
    <row r="4" spans="1:26">
      <c r="A4" s="3" t="s">
        <v>341</v>
      </c>
      <c r="B4" s="3" t="s">
        <v>293</v>
      </c>
      <c r="C4" s="5" t="str">
        <f>IF($B4="","",IFERROR(VLOOKUP($B4,'02_Конкуренты'!$A$4:$B$203,2,FALSE),"не найдено"))</f>
        <v>PlantUML</v>
      </c>
      <c r="D4" s="3" t="s">
        <v>342</v>
      </c>
      <c r="E4" s="3" t="s">
        <v>295</v>
      </c>
      <c r="F4" s="3" t="s">
        <v>343</v>
      </c>
      <c r="G4" s="3" t="s">
        <v>344</v>
      </c>
      <c r="H4" s="3" t="s">
        <v>23</v>
      </c>
      <c r="I4" s="2">
        <v>5</v>
      </c>
      <c r="J4" s="3" t="s">
        <v>298</v>
      </c>
      <c r="K4" s="3" t="s">
        <v>345</v>
      </c>
      <c r="L4" s="3" t="s">
        <v>346</v>
      </c>
    </row>
    <row r="5" spans="1:26">
      <c r="A5" s="3" t="s">
        <v>347</v>
      </c>
      <c r="B5" s="3" t="s">
        <v>293</v>
      </c>
      <c r="C5" s="5" t="str">
        <f>IF($B5="","",IFERROR(VLOOKUP($B5,'02_Конкуренты'!$A$4:$B$203,2,FALSE),"не найдено"))</f>
        <v>PlantUML</v>
      </c>
      <c r="D5" s="3" t="s">
        <v>348</v>
      </c>
      <c r="E5" s="3" t="s">
        <v>295</v>
      </c>
      <c r="F5" s="3" t="s">
        <v>349</v>
      </c>
      <c r="G5" s="3" t="s">
        <v>350</v>
      </c>
      <c r="H5" s="3" t="s">
        <v>53</v>
      </c>
      <c r="I5" s="2">
        <v>4</v>
      </c>
      <c r="J5" s="3" t="s">
        <v>298</v>
      </c>
      <c r="K5" s="3" t="s">
        <v>351</v>
      </c>
      <c r="L5" s="3" t="s">
        <v>352</v>
      </c>
    </row>
    <row r="6" spans="1:26" ht="28.5">
      <c r="A6" s="3" t="s">
        <v>353</v>
      </c>
      <c r="B6" s="3" t="s">
        <v>293</v>
      </c>
      <c r="C6" s="5" t="str">
        <f>IF($B6="","",IFERROR(VLOOKUP($B6,'02_Конкуренты'!$A$4:$B$203,2,FALSE),"не найдено"))</f>
        <v>PlantUML</v>
      </c>
      <c r="D6" s="3" t="s">
        <v>213</v>
      </c>
      <c r="E6" s="3" t="s">
        <v>295</v>
      </c>
      <c r="F6" s="3" t="s">
        <v>354</v>
      </c>
      <c r="G6" s="3" t="s">
        <v>355</v>
      </c>
      <c r="H6" s="3" t="s">
        <v>40</v>
      </c>
      <c r="I6" s="2">
        <v>4</v>
      </c>
      <c r="J6" s="3" t="s">
        <v>298</v>
      </c>
      <c r="K6" s="3" t="s">
        <v>356</v>
      </c>
      <c r="L6" s="3" t="s">
        <v>357</v>
      </c>
    </row>
    <row r="7" spans="1:26" ht="28.5">
      <c r="A7" s="3" t="s">
        <v>358</v>
      </c>
      <c r="B7" s="3" t="s">
        <v>293</v>
      </c>
      <c r="C7" s="5" t="str">
        <f>IF($B7="","",IFERROR(VLOOKUP($B7,'02_Конкуренты'!$A$4:$B$203,2,FALSE),"не найдено"))</f>
        <v>PlantUML</v>
      </c>
      <c r="D7" s="3" t="s">
        <v>359</v>
      </c>
      <c r="E7" s="3" t="s">
        <v>360</v>
      </c>
      <c r="F7" s="3" t="s">
        <v>361</v>
      </c>
      <c r="G7" s="3" t="s">
        <v>362</v>
      </c>
      <c r="H7" s="3" t="s">
        <v>14</v>
      </c>
      <c r="I7" s="2">
        <v>4</v>
      </c>
      <c r="J7" s="3" t="s">
        <v>298</v>
      </c>
      <c r="K7" s="3" t="s">
        <v>363</v>
      </c>
      <c r="L7" s="3" t="s">
        <v>364</v>
      </c>
    </row>
    <row r="8" spans="1:26" ht="28.5">
      <c r="A8" s="3" t="s">
        <v>365</v>
      </c>
      <c r="B8" s="3" t="s">
        <v>293</v>
      </c>
      <c r="C8" s="5" t="str">
        <f>IF($B8="","",IFERROR(VLOOKUP($B8,'02_Конкуренты'!$A$4:$B$203,2,FALSE),"не найдено"))</f>
        <v>PlantUML</v>
      </c>
      <c r="D8" s="3" t="s">
        <v>366</v>
      </c>
      <c r="E8" s="3" t="s">
        <v>295</v>
      </c>
      <c r="F8" s="3" t="s">
        <v>367</v>
      </c>
      <c r="G8" s="3" t="s">
        <v>368</v>
      </c>
      <c r="H8" s="3" t="s">
        <v>53</v>
      </c>
      <c r="I8" s="2">
        <v>3</v>
      </c>
      <c r="J8" s="3" t="s">
        <v>298</v>
      </c>
      <c r="K8" s="3" t="s">
        <v>367</v>
      </c>
      <c r="L8" s="3" t="s">
        <v>369</v>
      </c>
    </row>
    <row r="9" spans="1:26" ht="42.75">
      <c r="A9" s="3" t="s">
        <v>370</v>
      </c>
      <c r="B9" s="3" t="s">
        <v>301</v>
      </c>
      <c r="C9" s="5" t="str">
        <f>IF($B9="","",IFERROR(VLOOKUP($B9,'02_Конкуренты'!$A$4:$B$203,2,FALSE),"не найдено"))</f>
        <v>Eraser (DiagramGPT)</v>
      </c>
      <c r="D9" s="3" t="s">
        <v>366</v>
      </c>
      <c r="E9" s="3" t="s">
        <v>371</v>
      </c>
      <c r="F9" s="3" t="s">
        <v>372</v>
      </c>
      <c r="G9" s="3" t="s">
        <v>373</v>
      </c>
      <c r="H9" s="3" t="s">
        <v>53</v>
      </c>
      <c r="I9" s="2">
        <v>5</v>
      </c>
      <c r="J9" s="3" t="s">
        <v>298</v>
      </c>
      <c r="K9" s="3" t="s">
        <v>374</v>
      </c>
      <c r="L9" s="3" t="s">
        <v>375</v>
      </c>
    </row>
    <row r="10" spans="1:26">
      <c r="A10" s="3" t="s">
        <v>376</v>
      </c>
      <c r="B10" s="3" t="s">
        <v>301</v>
      </c>
      <c r="C10" s="5" t="str">
        <f>IF($B10="","",IFERROR(VLOOKUP($B10,'02_Конкуренты'!$A$4:$B$203,2,FALSE),"не найдено"))</f>
        <v>Eraser (DiagramGPT)</v>
      </c>
      <c r="D10" s="3" t="s">
        <v>366</v>
      </c>
      <c r="E10" s="3" t="s">
        <v>371</v>
      </c>
      <c r="F10" s="3" t="s">
        <v>377</v>
      </c>
      <c r="G10" s="3" t="s">
        <v>378</v>
      </c>
      <c r="H10" s="3" t="s">
        <v>47</v>
      </c>
      <c r="I10" s="2">
        <v>4</v>
      </c>
      <c r="J10" s="3" t="s">
        <v>298</v>
      </c>
      <c r="K10" s="3" t="s">
        <v>356</v>
      </c>
      <c r="L10" s="3" t="s">
        <v>379</v>
      </c>
    </row>
    <row r="11" spans="1:26" ht="28.5">
      <c r="A11" s="3" t="s">
        <v>380</v>
      </c>
      <c r="B11" s="3" t="s">
        <v>301</v>
      </c>
      <c r="C11" s="5" t="str">
        <f>IF($B11="","",IFERROR(VLOOKUP($B11,'02_Конкуренты'!$A$4:$B$203,2,FALSE),"не найдено"))</f>
        <v>Eraser (DiagramGPT)</v>
      </c>
      <c r="D11" s="3" t="s">
        <v>381</v>
      </c>
      <c r="E11" s="3" t="s">
        <v>382</v>
      </c>
      <c r="F11" s="3" t="s">
        <v>383</v>
      </c>
      <c r="G11" s="3" t="s">
        <v>384</v>
      </c>
      <c r="H11" s="3" t="s">
        <v>32</v>
      </c>
      <c r="I11" s="2">
        <v>5</v>
      </c>
      <c r="J11" s="3" t="s">
        <v>298</v>
      </c>
      <c r="K11" s="3" t="s">
        <v>385</v>
      </c>
      <c r="L11" s="3" t="s">
        <v>386</v>
      </c>
    </row>
    <row r="12" spans="1:26">
      <c r="A12" s="3" t="s">
        <v>387</v>
      </c>
      <c r="B12" s="3" t="s">
        <v>301</v>
      </c>
      <c r="C12" s="5" t="str">
        <f>IF($B12="","",IFERROR(VLOOKUP($B12,'02_Конкуренты'!$A$4:$B$203,2,FALSE),"не найдено"))</f>
        <v>Eraser (DiagramGPT)</v>
      </c>
      <c r="D12" s="3" t="s">
        <v>213</v>
      </c>
      <c r="E12" s="3" t="s">
        <v>303</v>
      </c>
      <c r="F12" s="3" t="s">
        <v>213</v>
      </c>
      <c r="G12" s="3" t="s">
        <v>388</v>
      </c>
      <c r="H12" s="3" t="s">
        <v>65</v>
      </c>
      <c r="I12" s="2">
        <v>4</v>
      </c>
      <c r="J12" s="3" t="s">
        <v>298</v>
      </c>
      <c r="K12" s="3" t="s">
        <v>356</v>
      </c>
      <c r="L12" s="3" t="s">
        <v>389</v>
      </c>
    </row>
    <row r="13" spans="1:26" ht="28.5">
      <c r="A13" s="3" t="s">
        <v>390</v>
      </c>
      <c r="B13" s="3" t="s">
        <v>301</v>
      </c>
      <c r="C13" s="5" t="str">
        <f>IF($B13="","",IFERROR(VLOOKUP($B13,'02_Конкуренты'!$A$4:$B$203,2,FALSE),"не найдено"))</f>
        <v>Eraser (DiagramGPT)</v>
      </c>
      <c r="D13" s="3" t="s">
        <v>359</v>
      </c>
      <c r="E13" s="3" t="s">
        <v>391</v>
      </c>
      <c r="F13" s="3" t="s">
        <v>361</v>
      </c>
      <c r="G13" s="3" t="s">
        <v>392</v>
      </c>
      <c r="H13" s="3" t="s">
        <v>40</v>
      </c>
      <c r="I13" s="2">
        <v>4</v>
      </c>
      <c r="J13" s="3" t="s">
        <v>306</v>
      </c>
      <c r="K13" s="3" t="s">
        <v>393</v>
      </c>
      <c r="L13" s="3" t="s">
        <v>394</v>
      </c>
    </row>
    <row r="14" spans="1:26" ht="28.5">
      <c r="A14" s="3" t="s">
        <v>395</v>
      </c>
      <c r="B14" s="3" t="s">
        <v>308</v>
      </c>
      <c r="C14" s="5" t="str">
        <f>IF($B14="","",IFERROR(VLOOKUP($B14,'02_Конкуренты'!$A$4:$B$203,2,FALSE),"не найдено"))</f>
        <v>Mermaid (open source)</v>
      </c>
      <c r="D14" s="3" t="s">
        <v>342</v>
      </c>
      <c r="E14" s="3" t="s">
        <v>310</v>
      </c>
      <c r="F14" s="3" t="s">
        <v>213</v>
      </c>
      <c r="G14" s="3" t="s">
        <v>396</v>
      </c>
      <c r="H14" s="3" t="s">
        <v>70</v>
      </c>
      <c r="I14" s="2">
        <v>5</v>
      </c>
      <c r="J14" s="3" t="s">
        <v>298</v>
      </c>
      <c r="K14" s="3" t="s">
        <v>397</v>
      </c>
      <c r="L14" s="3" t="s">
        <v>398</v>
      </c>
    </row>
    <row r="15" spans="1:26">
      <c r="A15" s="3" t="s">
        <v>399</v>
      </c>
      <c r="B15" s="3" t="s">
        <v>308</v>
      </c>
      <c r="C15" s="5" t="str">
        <f>IF($B15="","",IFERROR(VLOOKUP($B15,'02_Конкуренты'!$A$4:$B$203,2,FALSE),"не найдено"))</f>
        <v>Mermaid (open source)</v>
      </c>
      <c r="D15" s="3" t="s">
        <v>400</v>
      </c>
      <c r="E15" s="3" t="s">
        <v>401</v>
      </c>
      <c r="F15" s="3" t="s">
        <v>402</v>
      </c>
      <c r="G15" s="3" t="s">
        <v>403</v>
      </c>
      <c r="H15" s="3" t="s">
        <v>53</v>
      </c>
      <c r="I15" s="2">
        <v>4</v>
      </c>
      <c r="J15" s="3" t="s">
        <v>298</v>
      </c>
      <c r="K15" s="3" t="s">
        <v>356</v>
      </c>
      <c r="L15" s="3" t="s">
        <v>404</v>
      </c>
    </row>
    <row r="16" spans="1:26">
      <c r="A16" s="3" t="s">
        <v>405</v>
      </c>
      <c r="B16" s="3" t="s">
        <v>308</v>
      </c>
      <c r="C16" s="5" t="str">
        <f>IF($B16="","",IFERROR(VLOOKUP($B16,'02_Конкуренты'!$A$4:$B$203,2,FALSE),"не найдено"))</f>
        <v>Mermaid (open source)</v>
      </c>
      <c r="D16" s="3" t="s">
        <v>348</v>
      </c>
      <c r="E16" s="3" t="s">
        <v>310</v>
      </c>
      <c r="F16" s="3" t="s">
        <v>367</v>
      </c>
      <c r="G16" s="3" t="s">
        <v>406</v>
      </c>
      <c r="H16" s="3" t="s">
        <v>57</v>
      </c>
      <c r="I16" s="2">
        <v>4</v>
      </c>
      <c r="J16" s="3" t="s">
        <v>298</v>
      </c>
      <c r="K16" s="3" t="s">
        <v>351</v>
      </c>
      <c r="L16" s="3" t="s">
        <v>407</v>
      </c>
    </row>
    <row r="17" spans="1:12" ht="28.5">
      <c r="A17" s="3" t="s">
        <v>408</v>
      </c>
      <c r="B17" s="3" t="s">
        <v>308</v>
      </c>
      <c r="C17" s="5" t="str">
        <f>IF($B17="","",IFERROR(VLOOKUP($B17,'02_Конкуренты'!$A$4:$B$203,2,FALSE),"не найдено"))</f>
        <v>Mermaid (open source)</v>
      </c>
      <c r="D17" s="3" t="s">
        <v>409</v>
      </c>
      <c r="E17" s="3" t="s">
        <v>410</v>
      </c>
      <c r="F17" s="3" t="s">
        <v>366</v>
      </c>
      <c r="G17" s="3" t="s">
        <v>411</v>
      </c>
      <c r="H17" s="3" t="s">
        <v>53</v>
      </c>
      <c r="I17" s="2">
        <v>2</v>
      </c>
      <c r="J17" s="3" t="s">
        <v>298</v>
      </c>
      <c r="K17" s="3" t="s">
        <v>356</v>
      </c>
      <c r="L17" s="3" t="s">
        <v>412</v>
      </c>
    </row>
    <row r="18" spans="1:12">
      <c r="A18" s="3" t="s">
        <v>413</v>
      </c>
      <c r="B18" s="3" t="s">
        <v>314</v>
      </c>
      <c r="C18" s="5" t="str">
        <f>IF($B18="","",IFERROR(VLOOKUP($B18,'02_Конкуренты'!$A$4:$B$203,2,FALSE),"не найдено"))</f>
        <v>D2</v>
      </c>
      <c r="D18" s="3" t="s">
        <v>342</v>
      </c>
      <c r="E18" s="3" t="s">
        <v>316</v>
      </c>
      <c r="F18" s="3" t="s">
        <v>343</v>
      </c>
      <c r="G18" s="3" t="s">
        <v>414</v>
      </c>
      <c r="H18" s="3" t="s">
        <v>23</v>
      </c>
      <c r="I18" s="2">
        <v>5</v>
      </c>
      <c r="J18" s="3" t="s">
        <v>306</v>
      </c>
      <c r="K18" s="3" t="s">
        <v>415</v>
      </c>
      <c r="L18" s="3" t="s">
        <v>416</v>
      </c>
    </row>
    <row r="19" spans="1:12">
      <c r="A19" s="3" t="s">
        <v>417</v>
      </c>
      <c r="B19" s="3" t="s">
        <v>314</v>
      </c>
      <c r="C19" s="5" t="str">
        <f>IF($B19="","",IFERROR(VLOOKUP($B19,'02_Конкуренты'!$A$4:$B$203,2,FALSE),"не найдено"))</f>
        <v>D2</v>
      </c>
      <c r="D19" s="3" t="s">
        <v>418</v>
      </c>
      <c r="E19" s="3" t="s">
        <v>419</v>
      </c>
      <c r="F19" s="3" t="s">
        <v>420</v>
      </c>
      <c r="G19" s="3" t="s">
        <v>421</v>
      </c>
      <c r="H19" s="3" t="s">
        <v>68</v>
      </c>
      <c r="I19" s="2">
        <v>4</v>
      </c>
      <c r="J19" s="3" t="s">
        <v>306</v>
      </c>
      <c r="K19" s="3" t="s">
        <v>356</v>
      </c>
      <c r="L19" s="3" t="s">
        <v>422</v>
      </c>
    </row>
    <row r="20" spans="1:12" ht="28.5">
      <c r="A20" s="3" t="s">
        <v>423</v>
      </c>
      <c r="B20" s="3" t="s">
        <v>314</v>
      </c>
      <c r="C20" s="5" t="str">
        <f>IF($B20="","",IFERROR(VLOOKUP($B20,'02_Конкуренты'!$A$4:$B$203,2,FALSE),"не найдено"))</f>
        <v>D2</v>
      </c>
      <c r="D20" s="3" t="s">
        <v>424</v>
      </c>
      <c r="E20" s="3" t="s">
        <v>419</v>
      </c>
      <c r="F20" s="3" t="s">
        <v>425</v>
      </c>
      <c r="G20" s="3" t="s">
        <v>426</v>
      </c>
      <c r="H20" s="3" t="s">
        <v>57</v>
      </c>
      <c r="I20" s="2">
        <v>4</v>
      </c>
      <c r="J20" s="3" t="s">
        <v>306</v>
      </c>
      <c r="K20" s="3" t="s">
        <v>356</v>
      </c>
      <c r="L20" s="3" t="s">
        <v>427</v>
      </c>
    </row>
    <row r="21" spans="1:12">
      <c r="A21" s="3" t="s">
        <v>428</v>
      </c>
      <c r="B21" s="3" t="s">
        <v>314</v>
      </c>
      <c r="C21" s="5" t="str">
        <f>IF($B21="","",IFERROR(VLOOKUP($B21,'02_Конкуренты'!$A$4:$B$203,2,FALSE),"не найдено"))</f>
        <v>D2</v>
      </c>
      <c r="D21" s="3" t="s">
        <v>156</v>
      </c>
      <c r="E21" s="3" t="s">
        <v>316</v>
      </c>
      <c r="F21" s="3" t="s">
        <v>429</v>
      </c>
      <c r="G21" s="3" t="s">
        <v>430</v>
      </c>
      <c r="H21" s="3" t="s">
        <v>40</v>
      </c>
      <c r="I21" s="2">
        <v>4</v>
      </c>
      <c r="J21" s="3" t="s">
        <v>306</v>
      </c>
      <c r="K21" s="3" t="s">
        <v>356</v>
      </c>
      <c r="L21" s="3" t="s">
        <v>431</v>
      </c>
    </row>
    <row r="22" spans="1:12" ht="28.5">
      <c r="A22" s="3" t="s">
        <v>432</v>
      </c>
      <c r="B22" s="3" t="s">
        <v>319</v>
      </c>
      <c r="C22" s="5" t="str">
        <f>IF($B22="","",IFERROR(VLOOKUP($B22,'02_Конкуренты'!$A$4:$B$203,2,FALSE),"не найдено"))</f>
        <v>Gleek</v>
      </c>
      <c r="D22" s="3" t="s">
        <v>342</v>
      </c>
      <c r="E22" s="3" t="s">
        <v>321</v>
      </c>
      <c r="F22" s="3" t="s">
        <v>381</v>
      </c>
      <c r="G22" s="3" t="s">
        <v>433</v>
      </c>
      <c r="H22" s="3" t="s">
        <v>32</v>
      </c>
      <c r="I22" s="2">
        <v>3</v>
      </c>
      <c r="J22" s="3" t="s">
        <v>323</v>
      </c>
      <c r="K22" s="3" t="s">
        <v>351</v>
      </c>
      <c r="L22" s="3" t="s">
        <v>434</v>
      </c>
    </row>
    <row r="23" spans="1:12" ht="28.5">
      <c r="A23" s="3" t="s">
        <v>435</v>
      </c>
      <c r="B23" s="3" t="s">
        <v>319</v>
      </c>
      <c r="C23" s="5" t="str">
        <f>IF($B23="","",IFERROR(VLOOKUP($B23,'02_Конкуренты'!$A$4:$B$203,2,FALSE),"не найдено"))</f>
        <v>Gleek</v>
      </c>
      <c r="D23" s="3" t="s">
        <v>366</v>
      </c>
      <c r="E23" s="3" t="s">
        <v>436</v>
      </c>
      <c r="F23" s="3" t="s">
        <v>366</v>
      </c>
      <c r="G23" s="3" t="s">
        <v>437</v>
      </c>
      <c r="H23" s="3" t="s">
        <v>53</v>
      </c>
      <c r="I23" s="2">
        <v>2</v>
      </c>
      <c r="J23" s="3" t="s">
        <v>323</v>
      </c>
      <c r="K23" s="3" t="s">
        <v>351</v>
      </c>
      <c r="L23" s="3" t="s">
        <v>438</v>
      </c>
    </row>
    <row r="24" spans="1:12" ht="28.5">
      <c r="A24" s="3" t="s">
        <v>439</v>
      </c>
      <c r="B24" s="3" t="s">
        <v>325</v>
      </c>
      <c r="C24" s="5" t="str">
        <f>IF($B24="","",IFERROR(VLOOKUP($B24,'02_Конкуренты'!$A$4:$B$203,2,FALSE),"не найдено"))</f>
        <v>draw.io / diagrams.net</v>
      </c>
      <c r="D24" s="3" t="s">
        <v>342</v>
      </c>
      <c r="E24" s="3" t="s">
        <v>327</v>
      </c>
      <c r="F24" s="3" t="s">
        <v>343</v>
      </c>
      <c r="G24" s="3" t="s">
        <v>440</v>
      </c>
      <c r="H24" s="3" t="s">
        <v>23</v>
      </c>
      <c r="I24" s="2">
        <v>5</v>
      </c>
      <c r="J24" s="3" t="s">
        <v>306</v>
      </c>
      <c r="K24" s="3" t="s">
        <v>441</v>
      </c>
      <c r="L24" s="3" t="s">
        <v>442</v>
      </c>
    </row>
    <row r="25" spans="1:12">
      <c r="A25" s="3" t="s">
        <v>443</v>
      </c>
      <c r="B25" s="3" t="s">
        <v>325</v>
      </c>
      <c r="C25" s="5" t="str">
        <f>IF($B25="","",IFERROR(VLOOKUP($B25,'02_Конкуренты'!$A$4:$B$203,2,FALSE),"не найдено"))</f>
        <v>draw.io / diagrams.net</v>
      </c>
      <c r="D25" s="3" t="s">
        <v>342</v>
      </c>
      <c r="E25" s="3" t="s">
        <v>327</v>
      </c>
      <c r="F25" s="3" t="s">
        <v>444</v>
      </c>
      <c r="G25" s="3" t="s">
        <v>445</v>
      </c>
      <c r="H25" s="3" t="s">
        <v>40</v>
      </c>
      <c r="I25" s="2">
        <v>5</v>
      </c>
      <c r="J25" s="3" t="s">
        <v>306</v>
      </c>
      <c r="K25" s="3" t="s">
        <v>441</v>
      </c>
      <c r="L25" s="3" t="s">
        <v>446</v>
      </c>
    </row>
    <row r="26" spans="1:12" ht="28.5">
      <c r="A26" s="3" t="s">
        <v>447</v>
      </c>
      <c r="B26" s="3" t="s">
        <v>325</v>
      </c>
      <c r="C26" s="5" t="str">
        <f>IF($B26="","",IFERROR(VLOOKUP($B26,'02_Конкуренты'!$A$4:$B$203,2,FALSE),"не найдено"))</f>
        <v>draw.io / diagrams.net</v>
      </c>
      <c r="D26" s="3" t="s">
        <v>448</v>
      </c>
      <c r="E26" s="3" t="s">
        <v>327</v>
      </c>
      <c r="F26" s="3" t="s">
        <v>449</v>
      </c>
      <c r="G26" s="3" t="s">
        <v>450</v>
      </c>
      <c r="H26" s="3" t="s">
        <v>53</v>
      </c>
      <c r="I26" s="2">
        <v>4</v>
      </c>
      <c r="J26" s="3" t="s">
        <v>306</v>
      </c>
      <c r="K26" s="3" t="s">
        <v>356</v>
      </c>
      <c r="L26" s="3" t="s">
        <v>451</v>
      </c>
    </row>
    <row r="27" spans="1:12" ht="28.5">
      <c r="A27" s="3" t="s">
        <v>452</v>
      </c>
      <c r="B27" s="3" t="s">
        <v>325</v>
      </c>
      <c r="C27" s="5" t="str">
        <f>IF($B27="","",IFERROR(VLOOKUP($B27,'02_Конкуренты'!$A$4:$B$203,2,FALSE),"не найдено"))</f>
        <v>draw.io / diagrams.net</v>
      </c>
      <c r="D27" s="3" t="s">
        <v>213</v>
      </c>
      <c r="E27" s="3" t="s">
        <v>327</v>
      </c>
      <c r="F27" s="3" t="s">
        <v>213</v>
      </c>
      <c r="G27" s="3" t="s">
        <v>453</v>
      </c>
      <c r="H27" s="3" t="s">
        <v>65</v>
      </c>
      <c r="I27" s="2">
        <v>5</v>
      </c>
      <c r="J27" s="3" t="s">
        <v>306</v>
      </c>
      <c r="K27" s="3" t="s">
        <v>356</v>
      </c>
      <c r="L27" s="3" t="s">
        <v>454</v>
      </c>
    </row>
    <row r="28" spans="1:12">
      <c r="A28" s="3" t="s">
        <v>455</v>
      </c>
      <c r="B28" s="3" t="s">
        <v>325</v>
      </c>
      <c r="C28" s="5" t="str">
        <f>IF($B28="","",IFERROR(VLOOKUP($B28,'02_Конкуренты'!$A$4:$B$203,2,FALSE),"не найдено"))</f>
        <v>draw.io / diagrams.net</v>
      </c>
      <c r="D28" s="3" t="s">
        <v>448</v>
      </c>
      <c r="E28" s="3" t="s">
        <v>327</v>
      </c>
      <c r="F28" s="3" t="s">
        <v>230</v>
      </c>
      <c r="G28" s="3" t="s">
        <v>456</v>
      </c>
      <c r="H28" s="3" t="s">
        <v>71</v>
      </c>
      <c r="I28" s="2">
        <v>3</v>
      </c>
      <c r="J28" s="3" t="s">
        <v>306</v>
      </c>
      <c r="K28" s="3" t="s">
        <v>356</v>
      </c>
      <c r="L28" s="3" t="s">
        <v>457</v>
      </c>
    </row>
    <row r="29" spans="1:12" ht="28.5">
      <c r="A29" s="3" t="s">
        <v>458</v>
      </c>
      <c r="B29" s="3" t="s">
        <v>330</v>
      </c>
      <c r="C29" s="5" t="str">
        <f>IF($B29="","",IFERROR(VLOOKUP($B29,'02_Конкуренты'!$A$4:$B$203,2,FALSE),"не найдено"))</f>
        <v>Ramus (Educational)</v>
      </c>
      <c r="D29" s="3" t="s">
        <v>381</v>
      </c>
      <c r="E29" s="3" t="s">
        <v>332</v>
      </c>
      <c r="F29" s="3" t="s">
        <v>459</v>
      </c>
      <c r="G29" s="3" t="s">
        <v>460</v>
      </c>
      <c r="H29" s="3" t="s">
        <v>32</v>
      </c>
      <c r="I29" s="2">
        <v>3</v>
      </c>
      <c r="J29" s="3" t="s">
        <v>298</v>
      </c>
      <c r="K29" s="3" t="s">
        <v>385</v>
      </c>
      <c r="L29" s="3" t="s">
        <v>461</v>
      </c>
    </row>
    <row r="30" spans="1:12" ht="28.5">
      <c r="A30" s="3" t="s">
        <v>462</v>
      </c>
      <c r="B30" s="3" t="s">
        <v>330</v>
      </c>
      <c r="C30" s="5" t="str">
        <f>IF($B30="","",IFERROR(VLOOKUP($B30,'02_Конкуренты'!$A$4:$B$203,2,FALSE),"не найдено"))</f>
        <v>Ramus (Educational)</v>
      </c>
      <c r="D30" s="3" t="s">
        <v>348</v>
      </c>
      <c r="E30" s="3" t="s">
        <v>332</v>
      </c>
      <c r="F30" s="3" t="s">
        <v>348</v>
      </c>
      <c r="G30" s="3" t="s">
        <v>463</v>
      </c>
      <c r="H30" s="3" t="s">
        <v>53</v>
      </c>
      <c r="I30" s="2">
        <v>3</v>
      </c>
      <c r="J30" s="3" t="s">
        <v>298</v>
      </c>
      <c r="K30" s="3" t="s">
        <v>464</v>
      </c>
      <c r="L30" s="3" t="s">
        <v>465</v>
      </c>
    </row>
    <row r="31" spans="1:12" ht="28.5">
      <c r="A31" s="3" t="s">
        <v>466</v>
      </c>
      <c r="B31" s="3" t="s">
        <v>336</v>
      </c>
      <c r="C31" s="5" t="str">
        <f>IF($B31="","",IFERROR(VLOOKUP($B31,'02_Конкуренты'!$A$4:$B$203,2,FALSE),"не найдено"))</f>
        <v>Lucidchart</v>
      </c>
      <c r="D31" s="3" t="s">
        <v>381</v>
      </c>
      <c r="E31" s="3" t="s">
        <v>338</v>
      </c>
      <c r="F31" s="3" t="s">
        <v>467</v>
      </c>
      <c r="G31" s="3" t="s">
        <v>468</v>
      </c>
      <c r="H31" s="3" t="s">
        <v>32</v>
      </c>
      <c r="I31" s="2">
        <v>3</v>
      </c>
      <c r="J31" s="3" t="s">
        <v>298</v>
      </c>
      <c r="K31" s="3" t="s">
        <v>385</v>
      </c>
      <c r="L31" s="3" t="s">
        <v>469</v>
      </c>
    </row>
    <row r="32" spans="1:12">
      <c r="A32" s="3" t="s">
        <v>470</v>
      </c>
      <c r="B32" s="3" t="s">
        <v>336</v>
      </c>
      <c r="C32" s="5" t="str">
        <f>IF($B32="","",IFERROR(VLOOKUP($B32,'02_Конкуренты'!$A$4:$B$203,2,FALSE),"не найдено"))</f>
        <v>Lucidchart</v>
      </c>
      <c r="D32" s="3" t="s">
        <v>366</v>
      </c>
      <c r="E32" s="3" t="s">
        <v>471</v>
      </c>
      <c r="F32" s="3" t="s">
        <v>366</v>
      </c>
      <c r="G32" s="3" t="s">
        <v>472</v>
      </c>
      <c r="H32" s="3" t="s">
        <v>53</v>
      </c>
      <c r="I32" s="2">
        <v>2</v>
      </c>
      <c r="J32" s="3" t="s">
        <v>298</v>
      </c>
      <c r="K32" s="3" t="s">
        <v>356</v>
      </c>
      <c r="L32" s="3" t="s">
        <v>434</v>
      </c>
    </row>
    <row r="33" spans="1:12">
      <c r="A33" s="2"/>
      <c r="B33" s="2"/>
      <c r="C33" s="5" t="str">
        <f>IF($B33="","",IFERROR(VLOOKUP($B33,'02_Конкуренты'!$A$4:$B$203,2,FALSE),"не найдено"))</f>
        <v/>
      </c>
      <c r="D33" s="2"/>
      <c r="E33" s="2"/>
      <c r="F33" s="2"/>
      <c r="G33" s="2"/>
      <c r="H33" s="2"/>
      <c r="I33" s="2"/>
      <c r="J33" s="4"/>
      <c r="K33" s="2"/>
      <c r="L33" s="2"/>
    </row>
    <row r="34" spans="1:12">
      <c r="A34" s="2"/>
      <c r="B34" s="2"/>
      <c r="C34" s="5" t="str">
        <f>IF($B34="","",IFERROR(VLOOKUP($B34,'02_Конкуренты'!$A$4:$B$203,2,FALSE),"не найдено"))</f>
        <v/>
      </c>
      <c r="D34" s="2"/>
      <c r="E34" s="2"/>
      <c r="F34" s="2"/>
      <c r="G34" s="2"/>
      <c r="H34" s="2"/>
      <c r="I34" s="2"/>
      <c r="J34" s="4"/>
      <c r="K34" s="2"/>
      <c r="L34" s="2"/>
    </row>
    <row r="35" spans="1:12">
      <c r="A35" s="2"/>
      <c r="B35" s="2"/>
      <c r="C35" s="5" t="str">
        <f>IF($B35="","",IFERROR(VLOOKUP($B35,'02_Конкуренты'!$A$4:$B$203,2,FALSE),"не найдено"))</f>
        <v/>
      </c>
      <c r="D35" s="2"/>
      <c r="E35" s="2"/>
      <c r="F35" s="2"/>
      <c r="G35" s="2"/>
      <c r="H35" s="2"/>
      <c r="I35" s="2"/>
      <c r="J35" s="4"/>
      <c r="K35" s="2"/>
      <c r="L35" s="2"/>
    </row>
    <row r="36" spans="1:12">
      <c r="A36" s="2"/>
      <c r="B36" s="2"/>
      <c r="C36" s="5" t="str">
        <f>IF($B36="","",IFERROR(VLOOKUP($B36,'02_Конкуренты'!$A$4:$B$203,2,FALSE),"не найдено"))</f>
        <v/>
      </c>
      <c r="D36" s="2"/>
      <c r="E36" s="2"/>
      <c r="F36" s="2"/>
      <c r="G36" s="2"/>
      <c r="H36" s="2"/>
      <c r="I36" s="2"/>
      <c r="J36" s="4"/>
      <c r="K36" s="2"/>
      <c r="L36" s="2"/>
    </row>
    <row r="37" spans="1:12">
      <c r="A37" s="2"/>
      <c r="B37" s="2"/>
      <c r="C37" s="5" t="str">
        <f>IF($B37="","",IFERROR(VLOOKUP($B37,'02_Конкуренты'!$A$4:$B$203,2,FALSE),"не найдено"))</f>
        <v/>
      </c>
      <c r="D37" s="2"/>
      <c r="E37" s="2"/>
      <c r="F37" s="2"/>
      <c r="G37" s="2"/>
      <c r="H37" s="2"/>
      <c r="I37" s="2"/>
      <c r="J37" s="4"/>
      <c r="K37" s="2"/>
      <c r="L37" s="2"/>
    </row>
    <row r="38" spans="1:12">
      <c r="A38" s="2"/>
      <c r="B38" s="2"/>
      <c r="C38" s="5" t="str">
        <f>IF($B38="","",IFERROR(VLOOKUP($B38,'02_Конкуренты'!$A$4:$B$203,2,FALSE),"не найдено"))</f>
        <v/>
      </c>
      <c r="D38" s="2"/>
      <c r="E38" s="2"/>
      <c r="F38" s="2"/>
      <c r="G38" s="2"/>
      <c r="H38" s="2"/>
      <c r="I38" s="2"/>
      <c r="J38" s="4"/>
      <c r="K38" s="2"/>
      <c r="L38" s="2"/>
    </row>
    <row r="39" spans="1:12">
      <c r="A39" s="2"/>
      <c r="B39" s="2"/>
      <c r="C39" s="5" t="str">
        <f>IF($B39="","",IFERROR(VLOOKUP($B39,'02_Конкуренты'!$A$4:$B$203,2,FALSE),"не найдено"))</f>
        <v/>
      </c>
      <c r="D39" s="2"/>
      <c r="E39" s="2"/>
      <c r="F39" s="2"/>
      <c r="G39" s="2"/>
      <c r="H39" s="2"/>
      <c r="I39" s="2"/>
      <c r="J39" s="4"/>
      <c r="K39" s="2"/>
      <c r="L39" s="2"/>
    </row>
    <row r="40" spans="1:12">
      <c r="A40" s="2"/>
      <c r="B40" s="2"/>
      <c r="C40" s="5" t="str">
        <f>IF($B40="","",IFERROR(VLOOKUP($B40,'02_Конкуренты'!$A$4:$B$203,2,FALSE),"не найдено"))</f>
        <v/>
      </c>
      <c r="D40" s="2"/>
      <c r="E40" s="2"/>
      <c r="F40" s="2"/>
      <c r="G40" s="2"/>
      <c r="H40" s="2"/>
      <c r="I40" s="2"/>
      <c r="J40" s="4"/>
      <c r="K40" s="2"/>
      <c r="L40" s="2"/>
    </row>
    <row r="41" spans="1:12">
      <c r="A41" s="2"/>
      <c r="B41" s="2"/>
      <c r="C41" s="5" t="str">
        <f>IF($B41="","",IFERROR(VLOOKUP($B41,'02_Конкуренты'!$A$4:$B$203,2,FALSE),"не найдено"))</f>
        <v/>
      </c>
      <c r="D41" s="2"/>
      <c r="E41" s="2"/>
      <c r="F41" s="2"/>
      <c r="G41" s="2"/>
      <c r="H41" s="2"/>
      <c r="I41" s="2"/>
      <c r="J41" s="4"/>
      <c r="K41" s="2"/>
      <c r="L41" s="2"/>
    </row>
    <row r="42" spans="1:12">
      <c r="A42" s="2"/>
      <c r="B42" s="2"/>
      <c r="C42" s="5" t="str">
        <f>IF($B42="","",IFERROR(VLOOKUP($B42,'02_Конкуренты'!$A$4:$B$203,2,FALSE),"не найдено"))</f>
        <v/>
      </c>
      <c r="D42" s="2"/>
      <c r="E42" s="2"/>
      <c r="F42" s="2"/>
      <c r="G42" s="2"/>
      <c r="H42" s="2"/>
      <c r="I42" s="2"/>
      <c r="J42" s="4"/>
      <c r="K42" s="2"/>
      <c r="L42" s="2"/>
    </row>
    <row r="43" spans="1:12">
      <c r="A43" s="2"/>
      <c r="B43" s="2"/>
      <c r="C43" s="5" t="str">
        <f>IF($B43="","",IFERROR(VLOOKUP($B43,'02_Конкуренты'!$A$4:$B$203,2,FALSE),"не найдено"))</f>
        <v/>
      </c>
      <c r="D43" s="2"/>
      <c r="E43" s="2"/>
      <c r="F43" s="2"/>
      <c r="G43" s="2"/>
      <c r="H43" s="2"/>
      <c r="I43" s="2"/>
      <c r="J43" s="4"/>
      <c r="K43" s="2"/>
      <c r="L43" s="2"/>
    </row>
    <row r="44" spans="1:12">
      <c r="A44" s="2"/>
      <c r="B44" s="2"/>
      <c r="C44" s="5" t="str">
        <f>IF($B44="","",IFERROR(VLOOKUP($B44,'02_Конкуренты'!$A$4:$B$203,2,FALSE),"не найдено"))</f>
        <v/>
      </c>
      <c r="D44" s="2"/>
      <c r="E44" s="2"/>
      <c r="F44" s="2"/>
      <c r="G44" s="2"/>
      <c r="H44" s="2"/>
      <c r="I44" s="2"/>
      <c r="J44" s="4"/>
      <c r="K44" s="2"/>
      <c r="L44" s="2"/>
    </row>
    <row r="45" spans="1:12">
      <c r="A45" s="2"/>
      <c r="B45" s="2"/>
      <c r="C45" s="5" t="str">
        <f>IF($B45="","",IFERROR(VLOOKUP($B45,'02_Конкуренты'!$A$4:$B$203,2,FALSE),"не найдено"))</f>
        <v/>
      </c>
      <c r="D45" s="2"/>
      <c r="E45" s="2"/>
      <c r="F45" s="2"/>
      <c r="G45" s="2"/>
      <c r="H45" s="2"/>
      <c r="I45" s="2"/>
      <c r="J45" s="4"/>
      <c r="K45" s="2"/>
      <c r="L45" s="2"/>
    </row>
    <row r="46" spans="1:12">
      <c r="A46" s="2"/>
      <c r="B46" s="2"/>
      <c r="C46" s="5" t="str">
        <f>IF($B46="","",IFERROR(VLOOKUP($B46,'02_Конкуренты'!$A$4:$B$203,2,FALSE),"не найдено"))</f>
        <v/>
      </c>
      <c r="D46" s="2"/>
      <c r="E46" s="2"/>
      <c r="F46" s="2"/>
      <c r="G46" s="2"/>
      <c r="H46" s="2"/>
      <c r="I46" s="2"/>
      <c r="J46" s="4"/>
      <c r="K46" s="2"/>
      <c r="L46" s="2"/>
    </row>
    <row r="47" spans="1:12">
      <c r="A47" s="2"/>
      <c r="B47" s="2"/>
      <c r="C47" s="5" t="str">
        <f>IF($B47="","",IFERROR(VLOOKUP($B47,'02_Конкуренты'!$A$4:$B$203,2,FALSE),"не найдено"))</f>
        <v/>
      </c>
      <c r="D47" s="2"/>
      <c r="E47" s="2"/>
      <c r="F47" s="2"/>
      <c r="G47" s="2"/>
      <c r="H47" s="2"/>
      <c r="I47" s="2"/>
      <c r="J47" s="4"/>
      <c r="K47" s="2"/>
      <c r="L47" s="2"/>
    </row>
    <row r="48" spans="1:12">
      <c r="A48" s="2"/>
      <c r="B48" s="2"/>
      <c r="C48" s="5" t="str">
        <f>IF($B48="","",IFERROR(VLOOKUP($B48,'02_Конкуренты'!$A$4:$B$203,2,FALSE),"не найдено"))</f>
        <v/>
      </c>
      <c r="D48" s="2"/>
      <c r="E48" s="2"/>
      <c r="F48" s="2"/>
      <c r="G48" s="2"/>
      <c r="H48" s="2"/>
      <c r="I48" s="2"/>
      <c r="J48" s="4"/>
      <c r="K48" s="2"/>
      <c r="L48" s="2"/>
    </row>
    <row r="49" spans="1:12">
      <c r="A49" s="2"/>
      <c r="B49" s="2"/>
      <c r="C49" s="5" t="str">
        <f>IF($B49="","",IFERROR(VLOOKUP($B49,'02_Конкуренты'!$A$4:$B$203,2,FALSE),"не найдено"))</f>
        <v/>
      </c>
      <c r="D49" s="2"/>
      <c r="E49" s="2"/>
      <c r="F49" s="2"/>
      <c r="G49" s="2"/>
      <c r="H49" s="2"/>
      <c r="I49" s="2"/>
      <c r="J49" s="4"/>
      <c r="K49" s="2"/>
      <c r="L49" s="2"/>
    </row>
    <row r="50" spans="1:12">
      <c r="A50" s="2"/>
      <c r="B50" s="2"/>
      <c r="C50" s="5" t="str">
        <f>IF($B50="","",IFERROR(VLOOKUP($B50,'02_Конкуренты'!$A$4:$B$203,2,FALSE),"не найдено"))</f>
        <v/>
      </c>
      <c r="D50" s="2"/>
      <c r="E50" s="2"/>
      <c r="F50" s="2"/>
      <c r="G50" s="2"/>
      <c r="H50" s="2"/>
      <c r="I50" s="2"/>
      <c r="J50" s="4"/>
      <c r="K50" s="2"/>
      <c r="L50" s="2"/>
    </row>
    <row r="51" spans="1:12">
      <c r="A51" s="2"/>
      <c r="B51" s="2"/>
      <c r="C51" s="5" t="str">
        <f>IF($B51="","",IFERROR(VLOOKUP($B51,'02_Конкуренты'!$A$4:$B$203,2,FALSE),"не найдено"))</f>
        <v/>
      </c>
      <c r="D51" s="2"/>
      <c r="E51" s="2"/>
      <c r="F51" s="2"/>
      <c r="G51" s="2"/>
      <c r="H51" s="2"/>
      <c r="I51" s="2"/>
      <c r="J51" s="4"/>
      <c r="K51" s="2"/>
      <c r="L51" s="2"/>
    </row>
    <row r="52" spans="1:12">
      <c r="A52" s="2"/>
      <c r="B52" s="2"/>
      <c r="C52" s="5" t="str">
        <f>IF($B52="","",IFERROR(VLOOKUP($B52,'02_Конкуренты'!$A$4:$B$203,2,FALSE),"не найдено"))</f>
        <v/>
      </c>
      <c r="D52" s="2"/>
      <c r="E52" s="2"/>
      <c r="F52" s="2"/>
      <c r="G52" s="2"/>
      <c r="H52" s="2"/>
      <c r="I52" s="2"/>
      <c r="J52" s="4"/>
      <c r="K52" s="2"/>
      <c r="L52" s="2"/>
    </row>
    <row r="53" spans="1:12">
      <c r="A53" s="2"/>
      <c r="B53" s="2"/>
      <c r="C53" s="5" t="str">
        <f>IF($B53="","",IFERROR(VLOOKUP($B53,'02_Конкуренты'!$A$4:$B$203,2,FALSE),"не найдено"))</f>
        <v/>
      </c>
      <c r="D53" s="2"/>
      <c r="E53" s="2"/>
      <c r="F53" s="2"/>
      <c r="G53" s="2"/>
      <c r="H53" s="2"/>
      <c r="I53" s="2"/>
      <c r="J53" s="4"/>
      <c r="K53" s="2"/>
      <c r="L53" s="2"/>
    </row>
    <row r="54" spans="1:12">
      <c r="A54" s="2"/>
      <c r="B54" s="2"/>
      <c r="C54" s="5" t="str">
        <f>IF($B54="","",IFERROR(VLOOKUP($B54,'02_Конкуренты'!$A$4:$B$203,2,FALSE),"не найдено"))</f>
        <v/>
      </c>
      <c r="D54" s="2"/>
      <c r="E54" s="2"/>
      <c r="F54" s="2"/>
      <c r="G54" s="2"/>
      <c r="H54" s="2"/>
      <c r="I54" s="2"/>
      <c r="J54" s="4"/>
      <c r="K54" s="2"/>
      <c r="L54" s="2"/>
    </row>
    <row r="55" spans="1:12">
      <c r="A55" s="2"/>
      <c r="B55" s="2"/>
      <c r="C55" s="5" t="str">
        <f>IF($B55="","",IFERROR(VLOOKUP($B55,'02_Конкуренты'!$A$4:$B$203,2,FALSE),"не найдено"))</f>
        <v/>
      </c>
      <c r="D55" s="2"/>
      <c r="E55" s="2"/>
      <c r="F55" s="2"/>
      <c r="G55" s="2"/>
      <c r="H55" s="2"/>
      <c r="I55" s="2"/>
      <c r="J55" s="4"/>
      <c r="K55" s="2"/>
      <c r="L55" s="2"/>
    </row>
    <row r="56" spans="1:12">
      <c r="A56" s="2"/>
      <c r="B56" s="2"/>
      <c r="C56" s="5" t="str">
        <f>IF($B56="","",IFERROR(VLOOKUP($B56,'02_Конкуренты'!$A$4:$B$203,2,FALSE),"не найдено"))</f>
        <v/>
      </c>
      <c r="D56" s="2"/>
      <c r="E56" s="2"/>
      <c r="F56" s="2"/>
      <c r="G56" s="2"/>
      <c r="H56" s="2"/>
      <c r="I56" s="2"/>
      <c r="J56" s="4"/>
      <c r="K56" s="2"/>
      <c r="L56" s="2"/>
    </row>
    <row r="57" spans="1:12">
      <c r="A57" s="2"/>
      <c r="B57" s="2"/>
      <c r="C57" s="5" t="str">
        <f>IF($B57="","",IFERROR(VLOOKUP($B57,'02_Конкуренты'!$A$4:$B$203,2,FALSE),"не найдено"))</f>
        <v/>
      </c>
      <c r="D57" s="2"/>
      <c r="E57" s="2"/>
      <c r="F57" s="2"/>
      <c r="G57" s="2"/>
      <c r="H57" s="2"/>
      <c r="I57" s="2"/>
      <c r="J57" s="4"/>
      <c r="K57" s="2"/>
      <c r="L57" s="2"/>
    </row>
    <row r="58" spans="1:12">
      <c r="A58" s="2"/>
      <c r="B58" s="2"/>
      <c r="C58" s="5" t="str">
        <f>IF($B58="","",IFERROR(VLOOKUP($B58,'02_Конкуренты'!$A$4:$B$203,2,FALSE),"не найдено"))</f>
        <v/>
      </c>
      <c r="D58" s="2"/>
      <c r="E58" s="2"/>
      <c r="F58" s="2"/>
      <c r="G58" s="2"/>
      <c r="H58" s="2"/>
      <c r="I58" s="2"/>
      <c r="J58" s="4"/>
      <c r="K58" s="2"/>
      <c r="L58" s="2"/>
    </row>
    <row r="59" spans="1:12">
      <c r="A59" s="2"/>
      <c r="B59" s="2"/>
      <c r="C59" s="5" t="str">
        <f>IF($B59="","",IFERROR(VLOOKUP($B59,'02_Конкуренты'!$A$4:$B$203,2,FALSE),"не найдено"))</f>
        <v/>
      </c>
      <c r="D59" s="2"/>
      <c r="E59" s="2"/>
      <c r="F59" s="2"/>
      <c r="G59" s="2"/>
      <c r="H59" s="2"/>
      <c r="I59" s="2"/>
      <c r="J59" s="4"/>
      <c r="K59" s="2"/>
      <c r="L59" s="2"/>
    </row>
    <row r="60" spans="1:12">
      <c r="A60" s="2"/>
      <c r="B60" s="2"/>
      <c r="C60" s="5" t="str">
        <f>IF($B60="","",IFERROR(VLOOKUP($B60,'02_Конкуренты'!$A$4:$B$203,2,FALSE),"не найдено"))</f>
        <v/>
      </c>
      <c r="D60" s="2"/>
      <c r="E60" s="2"/>
      <c r="F60" s="2"/>
      <c r="G60" s="2"/>
      <c r="H60" s="2"/>
      <c r="I60" s="2"/>
      <c r="J60" s="4"/>
      <c r="K60" s="2"/>
      <c r="L60" s="2"/>
    </row>
    <row r="61" spans="1:12">
      <c r="A61" s="2"/>
      <c r="B61" s="2"/>
      <c r="C61" s="5" t="str">
        <f>IF($B61="","",IFERROR(VLOOKUP($B61,'02_Конкуренты'!$A$4:$B$203,2,FALSE),"не найдено"))</f>
        <v/>
      </c>
      <c r="D61" s="2"/>
      <c r="E61" s="2"/>
      <c r="F61" s="2"/>
      <c r="G61" s="2"/>
      <c r="H61" s="2"/>
      <c r="I61" s="2"/>
      <c r="J61" s="4"/>
      <c r="K61" s="2"/>
      <c r="L61" s="2"/>
    </row>
    <row r="62" spans="1:12">
      <c r="A62" s="2"/>
      <c r="B62" s="2"/>
      <c r="C62" s="5" t="str">
        <f>IF($B62="","",IFERROR(VLOOKUP($B62,'02_Конкуренты'!$A$4:$B$203,2,FALSE),"не найдено"))</f>
        <v/>
      </c>
      <c r="D62" s="2"/>
      <c r="E62" s="2"/>
      <c r="F62" s="2"/>
      <c r="G62" s="2"/>
      <c r="H62" s="2"/>
      <c r="I62" s="2"/>
      <c r="J62" s="4"/>
      <c r="K62" s="2"/>
      <c r="L62" s="2"/>
    </row>
    <row r="63" spans="1:12">
      <c r="A63" s="2"/>
      <c r="B63" s="2"/>
      <c r="C63" s="5" t="str">
        <f>IF($B63="","",IFERROR(VLOOKUP($B63,'02_Конкуренты'!$A$4:$B$203,2,FALSE),"не найдено"))</f>
        <v/>
      </c>
      <c r="D63" s="2"/>
      <c r="E63" s="2"/>
      <c r="F63" s="2"/>
      <c r="G63" s="2"/>
      <c r="H63" s="2"/>
      <c r="I63" s="2"/>
      <c r="J63" s="4"/>
      <c r="K63" s="2"/>
      <c r="L63" s="2"/>
    </row>
    <row r="64" spans="1:12">
      <c r="A64" s="2"/>
      <c r="B64" s="2"/>
      <c r="C64" s="5" t="str">
        <f>IF($B64="","",IFERROR(VLOOKUP($B64,'02_Конкуренты'!$A$4:$B$203,2,FALSE),"не найдено"))</f>
        <v/>
      </c>
      <c r="D64" s="2"/>
      <c r="E64" s="2"/>
      <c r="F64" s="2"/>
      <c r="G64" s="2"/>
      <c r="H64" s="2"/>
      <c r="I64" s="2"/>
      <c r="J64" s="4"/>
      <c r="K64" s="2"/>
      <c r="L64" s="2"/>
    </row>
    <row r="65" spans="1:12">
      <c r="A65" s="2"/>
      <c r="B65" s="2"/>
      <c r="C65" s="5" t="str">
        <f>IF($B65="","",IFERROR(VLOOKUP($B65,'02_Конкуренты'!$A$4:$B$203,2,FALSE),"не найдено"))</f>
        <v/>
      </c>
      <c r="D65" s="2"/>
      <c r="E65" s="2"/>
      <c r="F65" s="2"/>
      <c r="G65" s="2"/>
      <c r="H65" s="2"/>
      <c r="I65" s="2"/>
      <c r="J65" s="4"/>
      <c r="K65" s="2"/>
      <c r="L65" s="2"/>
    </row>
    <row r="66" spans="1:12">
      <c r="A66" s="2"/>
      <c r="B66" s="2"/>
      <c r="C66" s="5" t="str">
        <f>IF($B66="","",IFERROR(VLOOKUP($B66,'02_Конкуренты'!$A$4:$B$203,2,FALSE),"не найдено"))</f>
        <v/>
      </c>
      <c r="D66" s="2"/>
      <c r="E66" s="2"/>
      <c r="F66" s="2"/>
      <c r="G66" s="2"/>
      <c r="H66" s="2"/>
      <c r="I66" s="2"/>
      <c r="J66" s="4"/>
      <c r="K66" s="2"/>
      <c r="L66" s="2"/>
    </row>
    <row r="67" spans="1:12">
      <c r="A67" s="2"/>
      <c r="B67" s="2"/>
      <c r="C67" s="5" t="str">
        <f>IF($B67="","",IFERROR(VLOOKUP($B67,'02_Конкуренты'!$A$4:$B$203,2,FALSE),"не найдено"))</f>
        <v/>
      </c>
      <c r="D67" s="2"/>
      <c r="E67" s="2"/>
      <c r="F67" s="2"/>
      <c r="G67" s="2"/>
      <c r="H67" s="2"/>
      <c r="I67" s="2"/>
      <c r="J67" s="4"/>
      <c r="K67" s="2"/>
      <c r="L67" s="2"/>
    </row>
    <row r="68" spans="1:12">
      <c r="A68" s="2"/>
      <c r="B68" s="2"/>
      <c r="C68" s="5" t="str">
        <f>IF($B68="","",IFERROR(VLOOKUP($B68,'02_Конкуренты'!$A$4:$B$203,2,FALSE),"не найдено"))</f>
        <v/>
      </c>
      <c r="D68" s="2"/>
      <c r="E68" s="2"/>
      <c r="F68" s="2"/>
      <c r="G68" s="2"/>
      <c r="H68" s="2"/>
      <c r="I68" s="2"/>
      <c r="J68" s="4"/>
      <c r="K68" s="2"/>
      <c r="L68" s="2"/>
    </row>
    <row r="69" spans="1:12">
      <c r="A69" s="2"/>
      <c r="B69" s="2"/>
      <c r="C69" s="5" t="str">
        <f>IF($B69="","",IFERROR(VLOOKUP($B69,'02_Конкуренты'!$A$4:$B$203,2,FALSE),"не найдено"))</f>
        <v/>
      </c>
      <c r="D69" s="2"/>
      <c r="E69" s="2"/>
      <c r="F69" s="2"/>
      <c r="G69" s="2"/>
      <c r="H69" s="2"/>
      <c r="I69" s="2"/>
      <c r="J69" s="4"/>
      <c r="K69" s="2"/>
      <c r="L69" s="2"/>
    </row>
    <row r="70" spans="1:12">
      <c r="A70" s="2"/>
      <c r="B70" s="2"/>
      <c r="C70" s="5" t="str">
        <f>IF($B70="","",IFERROR(VLOOKUP($B70,'02_Конкуренты'!$A$4:$B$203,2,FALSE),"не найдено"))</f>
        <v/>
      </c>
      <c r="D70" s="2"/>
      <c r="E70" s="2"/>
      <c r="F70" s="2"/>
      <c r="G70" s="2"/>
      <c r="H70" s="2"/>
      <c r="I70" s="2"/>
      <c r="J70" s="4"/>
      <c r="K70" s="2"/>
      <c r="L70" s="2"/>
    </row>
    <row r="71" spans="1:12">
      <c r="A71" s="2"/>
      <c r="B71" s="2"/>
      <c r="C71" s="5" t="str">
        <f>IF($B71="","",IFERROR(VLOOKUP($B71,'02_Конкуренты'!$A$4:$B$203,2,FALSE),"не найдено"))</f>
        <v/>
      </c>
      <c r="D71" s="2"/>
      <c r="E71" s="2"/>
      <c r="F71" s="2"/>
      <c r="G71" s="2"/>
      <c r="H71" s="2"/>
      <c r="I71" s="2"/>
      <c r="J71" s="4"/>
      <c r="K71" s="2"/>
      <c r="L71" s="2"/>
    </row>
    <row r="72" spans="1:12">
      <c r="A72" s="2"/>
      <c r="B72" s="2"/>
      <c r="C72" s="5" t="str">
        <f>IF($B72="","",IFERROR(VLOOKUP($B72,'02_Конкуренты'!$A$4:$B$203,2,FALSE),"не найдено"))</f>
        <v/>
      </c>
      <c r="D72" s="2"/>
      <c r="E72" s="2"/>
      <c r="F72" s="2"/>
      <c r="G72" s="2"/>
      <c r="H72" s="2"/>
      <c r="I72" s="2"/>
      <c r="J72" s="4"/>
      <c r="K72" s="2"/>
      <c r="L72" s="2"/>
    </row>
    <row r="73" spans="1:12">
      <c r="A73" s="2"/>
      <c r="B73" s="2"/>
      <c r="C73" s="5" t="str">
        <f>IF($B73="","",IFERROR(VLOOKUP($B73,'02_Конкуренты'!$A$4:$B$203,2,FALSE),"не найдено"))</f>
        <v/>
      </c>
      <c r="D73" s="2"/>
      <c r="E73" s="2"/>
      <c r="F73" s="2"/>
      <c r="G73" s="2"/>
      <c r="H73" s="2"/>
      <c r="I73" s="2"/>
      <c r="J73" s="4"/>
      <c r="K73" s="2"/>
      <c r="L73" s="2"/>
    </row>
    <row r="74" spans="1:12">
      <c r="A74" s="2"/>
      <c r="B74" s="2"/>
      <c r="C74" s="5" t="str">
        <f>IF($B74="","",IFERROR(VLOOKUP($B74,'02_Конкуренты'!$A$4:$B$203,2,FALSE),"не найдено"))</f>
        <v/>
      </c>
      <c r="D74" s="2"/>
      <c r="E74" s="2"/>
      <c r="F74" s="2"/>
      <c r="G74" s="2"/>
      <c r="H74" s="2"/>
      <c r="I74" s="2"/>
      <c r="J74" s="4"/>
      <c r="K74" s="2"/>
      <c r="L74" s="2"/>
    </row>
    <row r="75" spans="1:12">
      <c r="A75" s="2"/>
      <c r="B75" s="2"/>
      <c r="C75" s="5" t="str">
        <f>IF($B75="","",IFERROR(VLOOKUP($B75,'02_Конкуренты'!$A$4:$B$203,2,FALSE),"не найдено"))</f>
        <v/>
      </c>
      <c r="D75" s="2"/>
      <c r="E75" s="2"/>
      <c r="F75" s="2"/>
      <c r="G75" s="2"/>
      <c r="H75" s="2"/>
      <c r="I75" s="2"/>
      <c r="J75" s="4"/>
      <c r="K75" s="2"/>
      <c r="L75" s="2"/>
    </row>
    <row r="76" spans="1:12">
      <c r="A76" s="2"/>
      <c r="B76" s="2"/>
      <c r="C76" s="5" t="str">
        <f>IF($B76="","",IFERROR(VLOOKUP($B76,'02_Конкуренты'!$A$4:$B$203,2,FALSE),"не найдено"))</f>
        <v/>
      </c>
      <c r="D76" s="2"/>
      <c r="E76" s="2"/>
      <c r="F76" s="2"/>
      <c r="G76" s="2"/>
      <c r="H76" s="2"/>
      <c r="I76" s="2"/>
      <c r="J76" s="4"/>
      <c r="K76" s="2"/>
      <c r="L76" s="2"/>
    </row>
    <row r="77" spans="1:12">
      <c r="A77" s="2"/>
      <c r="B77" s="2"/>
      <c r="C77" s="5" t="str">
        <f>IF($B77="","",IFERROR(VLOOKUP($B77,'02_Конкуренты'!$A$4:$B$203,2,FALSE),"не найдено"))</f>
        <v/>
      </c>
      <c r="D77" s="2"/>
      <c r="E77" s="2"/>
      <c r="F77" s="2"/>
      <c r="G77" s="2"/>
      <c r="H77" s="2"/>
      <c r="I77" s="2"/>
      <c r="J77" s="4"/>
      <c r="K77" s="2"/>
      <c r="L77" s="2"/>
    </row>
    <row r="78" spans="1:12">
      <c r="A78" s="2"/>
      <c r="B78" s="2"/>
      <c r="C78" s="5" t="str">
        <f>IF($B78="","",IFERROR(VLOOKUP($B78,'02_Конкуренты'!$A$4:$B$203,2,FALSE),"не найдено"))</f>
        <v/>
      </c>
      <c r="D78" s="2"/>
      <c r="E78" s="2"/>
      <c r="F78" s="2"/>
      <c r="G78" s="2"/>
      <c r="H78" s="2"/>
      <c r="I78" s="2"/>
      <c r="J78" s="4"/>
      <c r="K78" s="2"/>
      <c r="L78" s="2"/>
    </row>
    <row r="79" spans="1:12">
      <c r="A79" s="2"/>
      <c r="B79" s="2"/>
      <c r="C79" s="5" t="str">
        <f>IF($B79="","",IFERROR(VLOOKUP($B79,'02_Конкуренты'!$A$4:$B$203,2,FALSE),"не найдено"))</f>
        <v/>
      </c>
      <c r="D79" s="2"/>
      <c r="E79" s="2"/>
      <c r="F79" s="2"/>
      <c r="G79" s="2"/>
      <c r="H79" s="2"/>
      <c r="I79" s="2"/>
      <c r="J79" s="4"/>
      <c r="K79" s="2"/>
      <c r="L79" s="2"/>
    </row>
    <row r="80" spans="1:12">
      <c r="A80" s="2"/>
      <c r="B80" s="2"/>
      <c r="C80" s="5" t="str">
        <f>IF($B80="","",IFERROR(VLOOKUP($B80,'02_Конкуренты'!$A$4:$B$203,2,FALSE),"не найдено"))</f>
        <v/>
      </c>
      <c r="D80" s="2"/>
      <c r="E80" s="2"/>
      <c r="F80" s="2"/>
      <c r="G80" s="2"/>
      <c r="H80" s="2"/>
      <c r="I80" s="2"/>
      <c r="J80" s="4"/>
      <c r="K80" s="2"/>
      <c r="L80" s="2"/>
    </row>
    <row r="81" spans="1:12">
      <c r="A81" s="2"/>
      <c r="B81" s="2"/>
      <c r="C81" s="5" t="str">
        <f>IF($B81="","",IFERROR(VLOOKUP($B81,'02_Конкуренты'!$A$4:$B$203,2,FALSE),"не найдено"))</f>
        <v/>
      </c>
      <c r="D81" s="2"/>
      <c r="E81" s="2"/>
      <c r="F81" s="2"/>
      <c r="G81" s="2"/>
      <c r="H81" s="2"/>
      <c r="I81" s="2"/>
      <c r="J81" s="4"/>
      <c r="K81" s="2"/>
      <c r="L81" s="2"/>
    </row>
    <row r="82" spans="1:12">
      <c r="A82" s="2"/>
      <c r="B82" s="2"/>
      <c r="C82" s="5" t="str">
        <f>IF($B82="","",IFERROR(VLOOKUP($B82,'02_Конкуренты'!$A$4:$B$203,2,FALSE),"не найдено"))</f>
        <v/>
      </c>
      <c r="D82" s="2"/>
      <c r="E82" s="2"/>
      <c r="F82" s="2"/>
      <c r="G82" s="2"/>
      <c r="H82" s="2"/>
      <c r="I82" s="2"/>
      <c r="J82" s="4"/>
      <c r="K82" s="2"/>
      <c r="L82" s="2"/>
    </row>
    <row r="83" spans="1:12">
      <c r="A83" s="2"/>
      <c r="B83" s="2"/>
      <c r="C83" s="5" t="str">
        <f>IF($B83="","",IFERROR(VLOOKUP($B83,'02_Конкуренты'!$A$4:$B$203,2,FALSE),"не найдено"))</f>
        <v/>
      </c>
      <c r="D83" s="2"/>
      <c r="E83" s="2"/>
      <c r="F83" s="2"/>
      <c r="G83" s="2"/>
      <c r="H83" s="2"/>
      <c r="I83" s="2"/>
      <c r="J83" s="4"/>
      <c r="K83" s="2"/>
      <c r="L83" s="2"/>
    </row>
    <row r="84" spans="1:12">
      <c r="A84" s="2"/>
      <c r="B84" s="2"/>
      <c r="C84" s="5" t="str">
        <f>IF($B84="","",IFERROR(VLOOKUP($B84,'02_Конкуренты'!$A$4:$B$203,2,FALSE),"не найдено"))</f>
        <v/>
      </c>
      <c r="D84" s="2"/>
      <c r="E84" s="2"/>
      <c r="F84" s="2"/>
      <c r="G84" s="2"/>
      <c r="H84" s="2"/>
      <c r="I84" s="2"/>
      <c r="J84" s="4"/>
      <c r="K84" s="2"/>
      <c r="L84" s="2"/>
    </row>
    <row r="85" spans="1:12">
      <c r="A85" s="2"/>
      <c r="B85" s="2"/>
      <c r="C85" s="5" t="str">
        <f>IF($B85="","",IFERROR(VLOOKUP($B85,'02_Конкуренты'!$A$4:$B$203,2,FALSE),"не найдено"))</f>
        <v/>
      </c>
      <c r="D85" s="2"/>
      <c r="E85" s="2"/>
      <c r="F85" s="2"/>
      <c r="G85" s="2"/>
      <c r="H85" s="2"/>
      <c r="I85" s="2"/>
      <c r="J85" s="4"/>
      <c r="K85" s="2"/>
      <c r="L85" s="2"/>
    </row>
    <row r="86" spans="1:12">
      <c r="A86" s="2"/>
      <c r="B86" s="2"/>
      <c r="C86" s="5" t="str">
        <f>IF($B86="","",IFERROR(VLOOKUP($B86,'02_Конкуренты'!$A$4:$B$203,2,FALSE),"не найдено"))</f>
        <v/>
      </c>
      <c r="D86" s="2"/>
      <c r="E86" s="2"/>
      <c r="F86" s="2"/>
      <c r="G86" s="2"/>
      <c r="H86" s="2"/>
      <c r="I86" s="2"/>
      <c r="J86" s="4"/>
      <c r="K86" s="2"/>
      <c r="L86" s="2"/>
    </row>
    <row r="87" spans="1:12">
      <c r="A87" s="2"/>
      <c r="B87" s="2"/>
      <c r="C87" s="5" t="str">
        <f>IF($B87="","",IFERROR(VLOOKUP($B87,'02_Конкуренты'!$A$4:$B$203,2,FALSE),"не найдено"))</f>
        <v/>
      </c>
      <c r="D87" s="2"/>
      <c r="E87" s="2"/>
      <c r="F87" s="2"/>
      <c r="G87" s="2"/>
      <c r="H87" s="2"/>
      <c r="I87" s="2"/>
      <c r="J87" s="4"/>
      <c r="K87" s="2"/>
      <c r="L87" s="2"/>
    </row>
    <row r="88" spans="1:12">
      <c r="A88" s="2"/>
      <c r="B88" s="2"/>
      <c r="C88" s="5" t="str">
        <f>IF($B88="","",IFERROR(VLOOKUP($B88,'02_Конкуренты'!$A$4:$B$203,2,FALSE),"не найдено"))</f>
        <v/>
      </c>
      <c r="D88" s="2"/>
      <c r="E88" s="2"/>
      <c r="F88" s="2"/>
      <c r="G88" s="2"/>
      <c r="H88" s="2"/>
      <c r="I88" s="2"/>
      <c r="J88" s="4"/>
      <c r="K88" s="2"/>
      <c r="L88" s="2"/>
    </row>
    <row r="89" spans="1:12">
      <c r="A89" s="2"/>
      <c r="B89" s="2"/>
      <c r="C89" s="5" t="str">
        <f>IF($B89="","",IFERROR(VLOOKUP($B89,'02_Конкуренты'!$A$4:$B$203,2,FALSE),"не найдено"))</f>
        <v/>
      </c>
      <c r="D89" s="2"/>
      <c r="E89" s="2"/>
      <c r="F89" s="2"/>
      <c r="G89" s="2"/>
      <c r="H89" s="2"/>
      <c r="I89" s="2"/>
      <c r="J89" s="4"/>
      <c r="K89" s="2"/>
      <c r="L89" s="2"/>
    </row>
    <row r="90" spans="1:12">
      <c r="A90" s="2"/>
      <c r="B90" s="2"/>
      <c r="C90" s="5" t="str">
        <f>IF($B90="","",IFERROR(VLOOKUP($B90,'02_Конкуренты'!$A$4:$B$203,2,FALSE),"не найдено"))</f>
        <v/>
      </c>
      <c r="D90" s="2"/>
      <c r="E90" s="2"/>
      <c r="F90" s="2"/>
      <c r="G90" s="2"/>
      <c r="H90" s="2"/>
      <c r="I90" s="2"/>
      <c r="J90" s="4"/>
      <c r="K90" s="2"/>
      <c r="L90" s="2"/>
    </row>
    <row r="91" spans="1:12">
      <c r="A91" s="2"/>
      <c r="B91" s="2"/>
      <c r="C91" s="5" t="str">
        <f>IF($B91="","",IFERROR(VLOOKUP($B91,'02_Конкуренты'!$A$4:$B$203,2,FALSE),"не найдено"))</f>
        <v/>
      </c>
      <c r="D91" s="2"/>
      <c r="E91" s="2"/>
      <c r="F91" s="2"/>
      <c r="G91" s="2"/>
      <c r="H91" s="2"/>
      <c r="I91" s="2"/>
      <c r="J91" s="4"/>
      <c r="K91" s="2"/>
      <c r="L91" s="2"/>
    </row>
    <row r="92" spans="1:12">
      <c r="A92" s="2"/>
      <c r="B92" s="2"/>
      <c r="C92" s="5" t="str">
        <f>IF($B92="","",IFERROR(VLOOKUP($B92,'02_Конкуренты'!$A$4:$B$203,2,FALSE),"не найдено"))</f>
        <v/>
      </c>
      <c r="D92" s="2"/>
      <c r="E92" s="2"/>
      <c r="F92" s="2"/>
      <c r="G92" s="2"/>
      <c r="H92" s="2"/>
      <c r="I92" s="2"/>
      <c r="J92" s="4"/>
      <c r="K92" s="2"/>
      <c r="L92" s="2"/>
    </row>
    <row r="93" spans="1:12">
      <c r="A93" s="2"/>
      <c r="B93" s="2"/>
      <c r="C93" s="5" t="str">
        <f>IF($B93="","",IFERROR(VLOOKUP($B93,'02_Конкуренты'!$A$4:$B$203,2,FALSE),"не найдено"))</f>
        <v/>
      </c>
      <c r="D93" s="2"/>
      <c r="E93" s="2"/>
      <c r="F93" s="2"/>
      <c r="G93" s="2"/>
      <c r="H93" s="2"/>
      <c r="I93" s="2"/>
      <c r="J93" s="4"/>
      <c r="K93" s="2"/>
      <c r="L93" s="2"/>
    </row>
    <row r="94" spans="1:12">
      <c r="A94" s="2"/>
      <c r="B94" s="2"/>
      <c r="C94" s="5" t="str">
        <f>IF($B94="","",IFERROR(VLOOKUP($B94,'02_Конкуренты'!$A$4:$B$203,2,FALSE),"не найдено"))</f>
        <v/>
      </c>
      <c r="D94" s="2"/>
      <c r="E94" s="2"/>
      <c r="F94" s="2"/>
      <c r="G94" s="2"/>
      <c r="H94" s="2"/>
      <c r="I94" s="2"/>
      <c r="J94" s="4"/>
      <c r="K94" s="2"/>
      <c r="L94" s="2"/>
    </row>
    <row r="95" spans="1:12">
      <c r="A95" s="2"/>
      <c r="B95" s="2"/>
      <c r="C95" s="5" t="str">
        <f>IF($B95="","",IFERROR(VLOOKUP($B95,'02_Конкуренты'!$A$4:$B$203,2,FALSE),"не найдено"))</f>
        <v/>
      </c>
      <c r="D95" s="2"/>
      <c r="E95" s="2"/>
      <c r="F95" s="2"/>
      <c r="G95" s="2"/>
      <c r="H95" s="2"/>
      <c r="I95" s="2"/>
      <c r="J95" s="4"/>
      <c r="K95" s="2"/>
      <c r="L95" s="2"/>
    </row>
    <row r="96" spans="1:12">
      <c r="A96" s="2"/>
      <c r="B96" s="2"/>
      <c r="C96" s="5" t="str">
        <f>IF($B96="","",IFERROR(VLOOKUP($B96,'02_Конкуренты'!$A$4:$B$203,2,FALSE),"не найдено"))</f>
        <v/>
      </c>
      <c r="D96" s="2"/>
      <c r="E96" s="2"/>
      <c r="F96" s="2"/>
      <c r="G96" s="2"/>
      <c r="H96" s="2"/>
      <c r="I96" s="2"/>
      <c r="J96" s="4"/>
      <c r="K96" s="2"/>
      <c r="L96" s="2"/>
    </row>
    <row r="97" spans="1:12">
      <c r="A97" s="2"/>
      <c r="B97" s="2"/>
      <c r="C97" s="5" t="str">
        <f>IF($B97="","",IFERROR(VLOOKUP($B97,'02_Конкуренты'!$A$4:$B$203,2,FALSE),"не найдено"))</f>
        <v/>
      </c>
      <c r="D97" s="2"/>
      <c r="E97" s="2"/>
      <c r="F97" s="2"/>
      <c r="G97" s="2"/>
      <c r="H97" s="2"/>
      <c r="I97" s="2"/>
      <c r="J97" s="4"/>
      <c r="K97" s="2"/>
      <c r="L97" s="2"/>
    </row>
    <row r="98" spans="1:12">
      <c r="A98" s="2"/>
      <c r="B98" s="2"/>
      <c r="C98" s="5" t="str">
        <f>IF($B98="","",IFERROR(VLOOKUP($B98,'02_Конкуренты'!$A$4:$B$203,2,FALSE),"не найдено"))</f>
        <v/>
      </c>
      <c r="D98" s="2"/>
      <c r="E98" s="2"/>
      <c r="F98" s="2"/>
      <c r="G98" s="2"/>
      <c r="H98" s="2"/>
      <c r="I98" s="2"/>
      <c r="J98" s="4"/>
      <c r="K98" s="2"/>
      <c r="L98" s="2"/>
    </row>
    <row r="99" spans="1:12">
      <c r="A99" s="2"/>
      <c r="B99" s="2"/>
      <c r="C99" s="5" t="str">
        <f>IF($B99="","",IFERROR(VLOOKUP($B99,'02_Конкуренты'!$A$4:$B$203,2,FALSE),"не найдено"))</f>
        <v/>
      </c>
      <c r="D99" s="2"/>
      <c r="E99" s="2"/>
      <c r="F99" s="2"/>
      <c r="G99" s="2"/>
      <c r="H99" s="2"/>
      <c r="I99" s="2"/>
      <c r="J99" s="4"/>
      <c r="K99" s="2"/>
      <c r="L99" s="2"/>
    </row>
    <row r="100" spans="1:12">
      <c r="A100" s="2"/>
      <c r="B100" s="2"/>
      <c r="C100" s="5" t="str">
        <f>IF($B100="","",IFERROR(VLOOKUP($B100,'02_Конкуренты'!$A$4:$B$203,2,FALSE),"не найдено"))</f>
        <v/>
      </c>
      <c r="D100" s="2"/>
      <c r="E100" s="2"/>
      <c r="F100" s="2"/>
      <c r="G100" s="2"/>
      <c r="H100" s="2"/>
      <c r="I100" s="2"/>
      <c r="J100" s="4"/>
      <c r="K100" s="2"/>
      <c r="L100" s="2"/>
    </row>
    <row r="101" spans="1:12">
      <c r="A101" s="2"/>
      <c r="B101" s="2"/>
      <c r="C101" s="5" t="str">
        <f>IF($B101="","",IFERROR(VLOOKUP($B101,'02_Конкуренты'!$A$4:$B$203,2,FALSE),"не найдено"))</f>
        <v/>
      </c>
      <c r="D101" s="2"/>
      <c r="E101" s="2"/>
      <c r="F101" s="2"/>
      <c r="G101" s="2"/>
      <c r="H101" s="2"/>
      <c r="I101" s="2"/>
      <c r="J101" s="4"/>
      <c r="K101" s="2"/>
      <c r="L101" s="2"/>
    </row>
    <row r="102" spans="1:12">
      <c r="A102" s="2"/>
      <c r="B102" s="2"/>
      <c r="C102" s="5" t="str">
        <f>IF($B102="","",IFERROR(VLOOKUP($B102,'02_Конкуренты'!$A$4:$B$203,2,FALSE),"не найдено"))</f>
        <v/>
      </c>
      <c r="D102" s="2"/>
      <c r="E102" s="2"/>
      <c r="F102" s="2"/>
      <c r="G102" s="2"/>
      <c r="H102" s="2"/>
      <c r="I102" s="2"/>
      <c r="J102" s="4"/>
      <c r="K102" s="2"/>
      <c r="L102" s="2"/>
    </row>
    <row r="103" spans="1:12">
      <c r="A103" s="2"/>
      <c r="B103" s="2"/>
      <c r="C103" s="5" t="str">
        <f>IF($B103="","",IFERROR(VLOOKUP($B103,'02_Конкуренты'!$A$4:$B$203,2,FALSE),"не найдено"))</f>
        <v/>
      </c>
      <c r="D103" s="2"/>
      <c r="E103" s="2"/>
      <c r="F103" s="2"/>
      <c r="G103" s="2"/>
      <c r="H103" s="2"/>
      <c r="I103" s="2"/>
      <c r="J103" s="4"/>
      <c r="K103" s="2"/>
      <c r="L103" s="2"/>
    </row>
    <row r="104" spans="1:12">
      <c r="A104" s="2"/>
      <c r="B104" s="2"/>
      <c r="C104" s="5" t="str">
        <f>IF($B104="","",IFERROR(VLOOKUP($B104,'02_Конкуренты'!$A$4:$B$203,2,FALSE),"не найдено"))</f>
        <v/>
      </c>
      <c r="D104" s="2"/>
      <c r="E104" s="2"/>
      <c r="F104" s="2"/>
      <c r="G104" s="2"/>
      <c r="H104" s="2"/>
      <c r="I104" s="2"/>
      <c r="J104" s="4"/>
      <c r="K104" s="2"/>
      <c r="L104" s="2"/>
    </row>
    <row r="105" spans="1:12">
      <c r="A105" s="2"/>
      <c r="B105" s="2"/>
      <c r="C105" s="5" t="str">
        <f>IF($B105="","",IFERROR(VLOOKUP($B105,'02_Конкуренты'!$A$4:$B$203,2,FALSE),"не найдено"))</f>
        <v/>
      </c>
      <c r="D105" s="2"/>
      <c r="E105" s="2"/>
      <c r="F105" s="2"/>
      <c r="G105" s="2"/>
      <c r="H105" s="2"/>
      <c r="I105" s="2"/>
      <c r="J105" s="4"/>
      <c r="K105" s="2"/>
      <c r="L105" s="2"/>
    </row>
    <row r="106" spans="1:12">
      <c r="A106" s="2"/>
      <c r="B106" s="2"/>
      <c r="C106" s="5" t="str">
        <f>IF($B106="","",IFERROR(VLOOKUP($B106,'02_Конкуренты'!$A$4:$B$203,2,FALSE),"не найдено"))</f>
        <v/>
      </c>
      <c r="D106" s="2"/>
      <c r="E106" s="2"/>
      <c r="F106" s="2"/>
      <c r="G106" s="2"/>
      <c r="H106" s="2"/>
      <c r="I106" s="2"/>
      <c r="J106" s="4"/>
      <c r="K106" s="2"/>
      <c r="L106" s="2"/>
    </row>
    <row r="107" spans="1:12">
      <c r="A107" s="2"/>
      <c r="B107" s="2"/>
      <c r="C107" s="5" t="str">
        <f>IF($B107="","",IFERROR(VLOOKUP($B107,'02_Конкуренты'!$A$4:$B$203,2,FALSE),"не найдено"))</f>
        <v/>
      </c>
      <c r="D107" s="2"/>
      <c r="E107" s="2"/>
      <c r="F107" s="2"/>
      <c r="G107" s="2"/>
      <c r="H107" s="2"/>
      <c r="I107" s="2"/>
      <c r="J107" s="4"/>
      <c r="K107" s="2"/>
      <c r="L107" s="2"/>
    </row>
    <row r="108" spans="1:12">
      <c r="A108" s="2"/>
      <c r="B108" s="2"/>
      <c r="C108" s="5" t="str">
        <f>IF($B108="","",IFERROR(VLOOKUP($B108,'02_Конкуренты'!$A$4:$B$203,2,FALSE),"не найдено"))</f>
        <v/>
      </c>
      <c r="D108" s="2"/>
      <c r="E108" s="2"/>
      <c r="F108" s="2"/>
      <c r="G108" s="2"/>
      <c r="H108" s="2"/>
      <c r="I108" s="2"/>
      <c r="J108" s="4"/>
      <c r="K108" s="2"/>
      <c r="L108" s="2"/>
    </row>
    <row r="109" spans="1:12">
      <c r="A109" s="2"/>
      <c r="B109" s="2"/>
      <c r="C109" s="5" t="str">
        <f>IF($B109="","",IFERROR(VLOOKUP($B109,'02_Конкуренты'!$A$4:$B$203,2,FALSE),"не найдено"))</f>
        <v/>
      </c>
      <c r="D109" s="2"/>
      <c r="E109" s="2"/>
      <c r="F109" s="2"/>
      <c r="G109" s="2"/>
      <c r="H109" s="2"/>
      <c r="I109" s="2"/>
      <c r="J109" s="4"/>
      <c r="K109" s="2"/>
      <c r="L109" s="2"/>
    </row>
    <row r="110" spans="1:12">
      <c r="A110" s="2"/>
      <c r="B110" s="2"/>
      <c r="C110" s="5" t="str">
        <f>IF($B110="","",IFERROR(VLOOKUP($B110,'02_Конкуренты'!$A$4:$B$203,2,FALSE),"не найдено"))</f>
        <v/>
      </c>
      <c r="D110" s="2"/>
      <c r="E110" s="2"/>
      <c r="F110" s="2"/>
      <c r="G110" s="2"/>
      <c r="H110" s="2"/>
      <c r="I110" s="2"/>
      <c r="J110" s="4"/>
      <c r="K110" s="2"/>
      <c r="L110" s="2"/>
    </row>
    <row r="111" spans="1:12">
      <c r="A111" s="2"/>
      <c r="B111" s="2"/>
      <c r="C111" s="5" t="str">
        <f>IF($B111="","",IFERROR(VLOOKUP($B111,'02_Конкуренты'!$A$4:$B$203,2,FALSE),"не найдено"))</f>
        <v/>
      </c>
      <c r="D111" s="2"/>
      <c r="E111" s="2"/>
      <c r="F111" s="2"/>
      <c r="G111" s="2"/>
      <c r="H111" s="2"/>
      <c r="I111" s="2"/>
      <c r="J111" s="4"/>
      <c r="K111" s="2"/>
      <c r="L111" s="2"/>
    </row>
    <row r="112" spans="1:12">
      <c r="A112" s="2"/>
      <c r="B112" s="2"/>
      <c r="C112" s="5" t="str">
        <f>IF($B112="","",IFERROR(VLOOKUP($B112,'02_Конкуренты'!$A$4:$B$203,2,FALSE),"не найдено"))</f>
        <v/>
      </c>
      <c r="D112" s="2"/>
      <c r="E112" s="2"/>
      <c r="F112" s="2"/>
      <c r="G112" s="2"/>
      <c r="H112" s="2"/>
      <c r="I112" s="2"/>
      <c r="J112" s="4"/>
      <c r="K112" s="2"/>
      <c r="L112" s="2"/>
    </row>
    <row r="113" spans="1:12">
      <c r="A113" s="2"/>
      <c r="B113" s="2"/>
      <c r="C113" s="5" t="str">
        <f>IF($B113="","",IFERROR(VLOOKUP($B113,'02_Конкуренты'!$A$4:$B$203,2,FALSE),"не найдено"))</f>
        <v/>
      </c>
      <c r="D113" s="2"/>
      <c r="E113" s="2"/>
      <c r="F113" s="2"/>
      <c r="G113" s="2"/>
      <c r="H113" s="2"/>
      <c r="I113" s="2"/>
      <c r="J113" s="4"/>
      <c r="K113" s="2"/>
      <c r="L113" s="2"/>
    </row>
    <row r="114" spans="1:12">
      <c r="A114" s="2"/>
      <c r="B114" s="2"/>
      <c r="C114" s="5" t="str">
        <f>IF($B114="","",IFERROR(VLOOKUP($B114,'02_Конкуренты'!$A$4:$B$203,2,FALSE),"не найдено"))</f>
        <v/>
      </c>
      <c r="D114" s="2"/>
      <c r="E114" s="2"/>
      <c r="F114" s="2"/>
      <c r="G114" s="2"/>
      <c r="H114" s="2"/>
      <c r="I114" s="2"/>
      <c r="J114" s="4"/>
      <c r="K114" s="2"/>
      <c r="L114" s="2"/>
    </row>
    <row r="115" spans="1:12">
      <c r="A115" s="2"/>
      <c r="B115" s="2"/>
      <c r="C115" s="5" t="str">
        <f>IF($B115="","",IFERROR(VLOOKUP($B115,'02_Конкуренты'!$A$4:$B$203,2,FALSE),"не найдено"))</f>
        <v/>
      </c>
      <c r="D115" s="2"/>
      <c r="E115" s="2"/>
      <c r="F115" s="2"/>
      <c r="G115" s="2"/>
      <c r="H115" s="2"/>
      <c r="I115" s="2"/>
      <c r="J115" s="4"/>
      <c r="K115" s="2"/>
      <c r="L115" s="2"/>
    </row>
    <row r="116" spans="1:12">
      <c r="A116" s="2"/>
      <c r="B116" s="2"/>
      <c r="C116" s="5" t="str">
        <f>IF($B116="","",IFERROR(VLOOKUP($B116,'02_Конкуренты'!$A$4:$B$203,2,FALSE),"не найдено"))</f>
        <v/>
      </c>
      <c r="D116" s="2"/>
      <c r="E116" s="2"/>
      <c r="F116" s="2"/>
      <c r="G116" s="2"/>
      <c r="H116" s="2"/>
      <c r="I116" s="2"/>
      <c r="J116" s="4"/>
      <c r="K116" s="2"/>
      <c r="L116" s="2"/>
    </row>
    <row r="117" spans="1:12">
      <c r="A117" s="2"/>
      <c r="B117" s="2"/>
      <c r="C117" s="5" t="str">
        <f>IF($B117="","",IFERROR(VLOOKUP($B117,'02_Конкуренты'!$A$4:$B$203,2,FALSE),"не найдено"))</f>
        <v/>
      </c>
      <c r="D117" s="2"/>
      <c r="E117" s="2"/>
      <c r="F117" s="2"/>
      <c r="G117" s="2"/>
      <c r="H117" s="2"/>
      <c r="I117" s="2"/>
      <c r="J117" s="4"/>
      <c r="K117" s="2"/>
      <c r="L117" s="2"/>
    </row>
    <row r="118" spans="1:12">
      <c r="A118" s="2"/>
      <c r="B118" s="2"/>
      <c r="C118" s="5" t="str">
        <f>IF($B118="","",IFERROR(VLOOKUP($B118,'02_Конкуренты'!$A$4:$B$203,2,FALSE),"не найдено"))</f>
        <v/>
      </c>
      <c r="D118" s="2"/>
      <c r="E118" s="2"/>
      <c r="F118" s="2"/>
      <c r="G118" s="2"/>
      <c r="H118" s="2"/>
      <c r="I118" s="2"/>
      <c r="J118" s="4"/>
      <c r="K118" s="2"/>
      <c r="L118" s="2"/>
    </row>
    <row r="119" spans="1:12">
      <c r="A119" s="2"/>
      <c r="B119" s="2"/>
      <c r="C119" s="5" t="str">
        <f>IF($B119="","",IFERROR(VLOOKUP($B119,'02_Конкуренты'!$A$4:$B$203,2,FALSE),"не найдено"))</f>
        <v/>
      </c>
      <c r="D119" s="2"/>
      <c r="E119" s="2"/>
      <c r="F119" s="2"/>
      <c r="G119" s="2"/>
      <c r="H119" s="2"/>
      <c r="I119" s="2"/>
      <c r="J119" s="4"/>
      <c r="K119" s="2"/>
      <c r="L119" s="2"/>
    </row>
    <row r="120" spans="1:12">
      <c r="A120" s="2"/>
      <c r="B120" s="2"/>
      <c r="C120" s="5" t="str">
        <f>IF($B120="","",IFERROR(VLOOKUP($B120,'02_Конкуренты'!$A$4:$B$203,2,FALSE),"не найдено"))</f>
        <v/>
      </c>
      <c r="D120" s="2"/>
      <c r="E120" s="2"/>
      <c r="F120" s="2"/>
      <c r="G120" s="2"/>
      <c r="H120" s="2"/>
      <c r="I120" s="2"/>
      <c r="J120" s="4"/>
      <c r="K120" s="2"/>
      <c r="L120" s="2"/>
    </row>
    <row r="121" spans="1:12">
      <c r="A121" s="2"/>
      <c r="B121" s="2"/>
      <c r="C121" s="5" t="str">
        <f>IF($B121="","",IFERROR(VLOOKUP($B121,'02_Конкуренты'!$A$4:$B$203,2,FALSE),"не найдено"))</f>
        <v/>
      </c>
      <c r="D121" s="2"/>
      <c r="E121" s="2"/>
      <c r="F121" s="2"/>
      <c r="G121" s="2"/>
      <c r="H121" s="2"/>
      <c r="I121" s="2"/>
      <c r="J121" s="4"/>
      <c r="K121" s="2"/>
      <c r="L121" s="2"/>
    </row>
    <row r="122" spans="1:12">
      <c r="A122" s="2"/>
      <c r="B122" s="2"/>
      <c r="C122" s="5" t="str">
        <f>IF($B122="","",IFERROR(VLOOKUP($B122,'02_Конкуренты'!$A$4:$B$203,2,FALSE),"не найдено"))</f>
        <v/>
      </c>
      <c r="D122" s="2"/>
      <c r="E122" s="2"/>
      <c r="F122" s="2"/>
      <c r="G122" s="2"/>
      <c r="H122" s="2"/>
      <c r="I122" s="2"/>
      <c r="J122" s="4"/>
      <c r="K122" s="2"/>
      <c r="L122" s="2"/>
    </row>
    <row r="123" spans="1:12">
      <c r="A123" s="2"/>
      <c r="B123" s="2"/>
      <c r="C123" s="5" t="str">
        <f>IF($B123="","",IFERROR(VLOOKUP($B123,'02_Конкуренты'!$A$4:$B$203,2,FALSE),"не найдено"))</f>
        <v/>
      </c>
      <c r="D123" s="2"/>
      <c r="E123" s="2"/>
      <c r="F123" s="2"/>
      <c r="G123" s="2"/>
      <c r="H123" s="2"/>
      <c r="I123" s="2"/>
      <c r="J123" s="4"/>
      <c r="K123" s="2"/>
      <c r="L123" s="2"/>
    </row>
    <row r="124" spans="1:12">
      <c r="A124" s="2"/>
      <c r="B124" s="2"/>
      <c r="C124" s="5" t="str">
        <f>IF($B124="","",IFERROR(VLOOKUP($B124,'02_Конкуренты'!$A$4:$B$203,2,FALSE),"не найдено"))</f>
        <v/>
      </c>
      <c r="D124" s="2"/>
      <c r="E124" s="2"/>
      <c r="F124" s="2"/>
      <c r="G124" s="2"/>
      <c r="H124" s="2"/>
      <c r="I124" s="2"/>
      <c r="J124" s="4"/>
      <c r="K124" s="2"/>
      <c r="L124" s="2"/>
    </row>
    <row r="125" spans="1:12">
      <c r="A125" s="2"/>
      <c r="B125" s="2"/>
      <c r="C125" s="5" t="str">
        <f>IF($B125="","",IFERROR(VLOOKUP($B125,'02_Конкуренты'!$A$4:$B$203,2,FALSE),"не найдено"))</f>
        <v/>
      </c>
      <c r="D125" s="2"/>
      <c r="E125" s="2"/>
      <c r="F125" s="2"/>
      <c r="G125" s="2"/>
      <c r="H125" s="2"/>
      <c r="I125" s="2"/>
      <c r="J125" s="4"/>
      <c r="K125" s="2"/>
      <c r="L125" s="2"/>
    </row>
    <row r="126" spans="1:12">
      <c r="A126" s="2"/>
      <c r="B126" s="2"/>
      <c r="C126" s="5" t="str">
        <f>IF($B126="","",IFERROR(VLOOKUP($B126,'02_Конкуренты'!$A$4:$B$203,2,FALSE),"не найдено"))</f>
        <v/>
      </c>
      <c r="D126" s="2"/>
      <c r="E126" s="2"/>
      <c r="F126" s="2"/>
      <c r="G126" s="2"/>
      <c r="H126" s="2"/>
      <c r="I126" s="2"/>
      <c r="J126" s="4"/>
      <c r="K126" s="2"/>
      <c r="L126" s="2"/>
    </row>
    <row r="127" spans="1:12">
      <c r="A127" s="2"/>
      <c r="B127" s="2"/>
      <c r="C127" s="5" t="str">
        <f>IF($B127="","",IFERROR(VLOOKUP($B127,'02_Конкуренты'!$A$4:$B$203,2,FALSE),"не найдено"))</f>
        <v/>
      </c>
      <c r="D127" s="2"/>
      <c r="E127" s="2"/>
      <c r="F127" s="2"/>
      <c r="G127" s="2"/>
      <c r="H127" s="2"/>
      <c r="I127" s="2"/>
      <c r="J127" s="4"/>
      <c r="K127" s="2"/>
      <c r="L127" s="2"/>
    </row>
    <row r="128" spans="1:12">
      <c r="A128" s="2"/>
      <c r="B128" s="2"/>
      <c r="C128" s="5" t="str">
        <f>IF($B128="","",IFERROR(VLOOKUP($B128,'02_Конкуренты'!$A$4:$B$203,2,FALSE),"не найдено"))</f>
        <v/>
      </c>
      <c r="D128" s="2"/>
      <c r="E128" s="2"/>
      <c r="F128" s="2"/>
      <c r="G128" s="2"/>
      <c r="H128" s="2"/>
      <c r="I128" s="2"/>
      <c r="J128" s="4"/>
      <c r="K128" s="2"/>
      <c r="L128" s="2"/>
    </row>
    <row r="129" spans="1:12">
      <c r="A129" s="2"/>
      <c r="B129" s="2"/>
      <c r="C129" s="5" t="str">
        <f>IF($B129="","",IFERROR(VLOOKUP($B129,'02_Конкуренты'!$A$4:$B$203,2,FALSE),"не найдено"))</f>
        <v/>
      </c>
      <c r="D129" s="2"/>
      <c r="E129" s="2"/>
      <c r="F129" s="2"/>
      <c r="G129" s="2"/>
      <c r="H129" s="2"/>
      <c r="I129" s="2"/>
      <c r="J129" s="4"/>
      <c r="K129" s="2"/>
      <c r="L129" s="2"/>
    </row>
    <row r="130" spans="1:12">
      <c r="A130" s="2"/>
      <c r="B130" s="2"/>
      <c r="C130" s="5" t="str">
        <f>IF($B130="","",IFERROR(VLOOKUP($B130,'02_Конкуренты'!$A$4:$B$203,2,FALSE),"не найдено"))</f>
        <v/>
      </c>
      <c r="D130" s="2"/>
      <c r="E130" s="2"/>
      <c r="F130" s="2"/>
      <c r="G130" s="2"/>
      <c r="H130" s="2"/>
      <c r="I130" s="2"/>
      <c r="J130" s="4"/>
      <c r="K130" s="2"/>
      <c r="L130" s="2"/>
    </row>
    <row r="131" spans="1:12">
      <c r="A131" s="2"/>
      <c r="B131" s="2"/>
      <c r="C131" s="5" t="str">
        <f>IF($B131="","",IFERROR(VLOOKUP($B131,'02_Конкуренты'!$A$4:$B$203,2,FALSE),"не найдено"))</f>
        <v/>
      </c>
      <c r="D131" s="2"/>
      <c r="E131" s="2"/>
      <c r="F131" s="2"/>
      <c r="G131" s="2"/>
      <c r="H131" s="2"/>
      <c r="I131" s="2"/>
      <c r="J131" s="4"/>
      <c r="K131" s="2"/>
      <c r="L131" s="2"/>
    </row>
    <row r="132" spans="1:12">
      <c r="A132" s="2"/>
      <c r="B132" s="2"/>
      <c r="C132" s="5" t="str">
        <f>IF($B132="","",IFERROR(VLOOKUP($B132,'02_Конкуренты'!$A$4:$B$203,2,FALSE),"не найдено"))</f>
        <v/>
      </c>
      <c r="D132" s="2"/>
      <c r="E132" s="2"/>
      <c r="F132" s="2"/>
      <c r="G132" s="2"/>
      <c r="H132" s="2"/>
      <c r="I132" s="2"/>
      <c r="J132" s="4"/>
      <c r="K132" s="2"/>
      <c r="L132" s="2"/>
    </row>
    <row r="133" spans="1:12">
      <c r="A133" s="2"/>
      <c r="B133" s="2"/>
      <c r="C133" s="5" t="str">
        <f>IF($B133="","",IFERROR(VLOOKUP($B133,'02_Конкуренты'!$A$4:$B$203,2,FALSE),"не найдено"))</f>
        <v/>
      </c>
      <c r="D133" s="2"/>
      <c r="E133" s="2"/>
      <c r="F133" s="2"/>
      <c r="G133" s="2"/>
      <c r="H133" s="2"/>
      <c r="I133" s="2"/>
      <c r="J133" s="4"/>
      <c r="K133" s="2"/>
      <c r="L133" s="2"/>
    </row>
    <row r="134" spans="1:12">
      <c r="A134" s="2"/>
      <c r="B134" s="2"/>
      <c r="C134" s="5" t="str">
        <f>IF($B134="","",IFERROR(VLOOKUP($B134,'02_Конкуренты'!$A$4:$B$203,2,FALSE),"не найдено"))</f>
        <v/>
      </c>
      <c r="D134" s="2"/>
      <c r="E134" s="2"/>
      <c r="F134" s="2"/>
      <c r="G134" s="2"/>
      <c r="H134" s="2"/>
      <c r="I134" s="2"/>
      <c r="J134" s="4"/>
      <c r="K134" s="2"/>
      <c r="L134" s="2"/>
    </row>
    <row r="135" spans="1:12">
      <c r="A135" s="2"/>
      <c r="B135" s="2"/>
      <c r="C135" s="5" t="str">
        <f>IF($B135="","",IFERROR(VLOOKUP($B135,'02_Конкуренты'!$A$4:$B$203,2,FALSE),"не найдено"))</f>
        <v/>
      </c>
      <c r="D135" s="2"/>
      <c r="E135" s="2"/>
      <c r="F135" s="2"/>
      <c r="G135" s="2"/>
      <c r="H135" s="2"/>
      <c r="I135" s="2"/>
      <c r="J135" s="4"/>
      <c r="K135" s="2"/>
      <c r="L135" s="2"/>
    </row>
    <row r="136" spans="1:12">
      <c r="A136" s="2"/>
      <c r="B136" s="2"/>
      <c r="C136" s="5" t="str">
        <f>IF($B136="","",IFERROR(VLOOKUP($B136,'02_Конкуренты'!$A$4:$B$203,2,FALSE),"не найдено"))</f>
        <v/>
      </c>
      <c r="D136" s="2"/>
      <c r="E136" s="2"/>
      <c r="F136" s="2"/>
      <c r="G136" s="2"/>
      <c r="H136" s="2"/>
      <c r="I136" s="2"/>
      <c r="J136" s="4"/>
      <c r="K136" s="2"/>
      <c r="L136" s="2"/>
    </row>
    <row r="137" spans="1:12">
      <c r="A137" s="2"/>
      <c r="B137" s="2"/>
      <c r="C137" s="5" t="str">
        <f>IF($B137="","",IFERROR(VLOOKUP($B137,'02_Конкуренты'!$A$4:$B$203,2,FALSE),"не найдено"))</f>
        <v/>
      </c>
      <c r="D137" s="2"/>
      <c r="E137" s="2"/>
      <c r="F137" s="2"/>
      <c r="G137" s="2"/>
      <c r="H137" s="2"/>
      <c r="I137" s="2"/>
      <c r="J137" s="4"/>
      <c r="K137" s="2"/>
      <c r="L137" s="2"/>
    </row>
    <row r="138" spans="1:12">
      <c r="A138" s="2"/>
      <c r="B138" s="2"/>
      <c r="C138" s="5" t="str">
        <f>IF($B138="","",IFERROR(VLOOKUP($B138,'02_Конкуренты'!$A$4:$B$203,2,FALSE),"не найдено"))</f>
        <v/>
      </c>
      <c r="D138" s="2"/>
      <c r="E138" s="2"/>
      <c r="F138" s="2"/>
      <c r="G138" s="2"/>
      <c r="H138" s="2"/>
      <c r="I138" s="2"/>
      <c r="J138" s="4"/>
      <c r="K138" s="2"/>
      <c r="L138" s="2"/>
    </row>
    <row r="139" spans="1:12">
      <c r="A139" s="2"/>
      <c r="B139" s="2"/>
      <c r="C139" s="5" t="str">
        <f>IF($B139="","",IFERROR(VLOOKUP($B139,'02_Конкуренты'!$A$4:$B$203,2,FALSE),"не найдено"))</f>
        <v/>
      </c>
      <c r="D139" s="2"/>
      <c r="E139" s="2"/>
      <c r="F139" s="2"/>
      <c r="G139" s="2"/>
      <c r="H139" s="2"/>
      <c r="I139" s="2"/>
      <c r="J139" s="4"/>
      <c r="K139" s="2"/>
      <c r="L139" s="2"/>
    </row>
    <row r="140" spans="1:12">
      <c r="A140" s="2"/>
      <c r="B140" s="2"/>
      <c r="C140" s="5" t="str">
        <f>IF($B140="","",IFERROR(VLOOKUP($B140,'02_Конкуренты'!$A$4:$B$203,2,FALSE),"не найдено"))</f>
        <v/>
      </c>
      <c r="D140" s="2"/>
      <c r="E140" s="2"/>
      <c r="F140" s="2"/>
      <c r="G140" s="2"/>
      <c r="H140" s="2"/>
      <c r="I140" s="2"/>
      <c r="J140" s="4"/>
      <c r="K140" s="2"/>
      <c r="L140" s="2"/>
    </row>
    <row r="141" spans="1:12">
      <c r="A141" s="2"/>
      <c r="B141" s="2"/>
      <c r="C141" s="5" t="str">
        <f>IF($B141="","",IFERROR(VLOOKUP($B141,'02_Конкуренты'!$A$4:$B$203,2,FALSE),"не найдено"))</f>
        <v/>
      </c>
      <c r="D141" s="2"/>
      <c r="E141" s="2"/>
      <c r="F141" s="2"/>
      <c r="G141" s="2"/>
      <c r="H141" s="2"/>
      <c r="I141" s="2"/>
      <c r="J141" s="4"/>
      <c r="K141" s="2"/>
      <c r="L141" s="2"/>
    </row>
    <row r="142" spans="1:12">
      <c r="A142" s="2"/>
      <c r="B142" s="2"/>
      <c r="C142" s="5" t="str">
        <f>IF($B142="","",IFERROR(VLOOKUP($B142,'02_Конкуренты'!$A$4:$B$203,2,FALSE),"не найдено"))</f>
        <v/>
      </c>
      <c r="D142" s="2"/>
      <c r="E142" s="2"/>
      <c r="F142" s="2"/>
      <c r="G142" s="2"/>
      <c r="H142" s="2"/>
      <c r="I142" s="2"/>
      <c r="J142" s="4"/>
      <c r="K142" s="2"/>
      <c r="L142" s="2"/>
    </row>
    <row r="143" spans="1:12">
      <c r="A143" s="2"/>
      <c r="B143" s="2"/>
      <c r="C143" s="5" t="str">
        <f>IF($B143="","",IFERROR(VLOOKUP($B143,'02_Конкуренты'!$A$4:$B$203,2,FALSE),"не найдено"))</f>
        <v/>
      </c>
      <c r="D143" s="2"/>
      <c r="E143" s="2"/>
      <c r="F143" s="2"/>
      <c r="G143" s="2"/>
      <c r="H143" s="2"/>
      <c r="I143" s="2"/>
      <c r="J143" s="4"/>
      <c r="K143" s="2"/>
      <c r="L143" s="2"/>
    </row>
    <row r="144" spans="1:12">
      <c r="A144" s="2"/>
      <c r="B144" s="2"/>
      <c r="C144" s="5" t="str">
        <f>IF($B144="","",IFERROR(VLOOKUP($B144,'02_Конкуренты'!$A$4:$B$203,2,FALSE),"не найдено"))</f>
        <v/>
      </c>
      <c r="D144" s="2"/>
      <c r="E144" s="2"/>
      <c r="F144" s="2"/>
      <c r="G144" s="2"/>
      <c r="H144" s="2"/>
      <c r="I144" s="2"/>
      <c r="J144" s="4"/>
      <c r="K144" s="2"/>
      <c r="L144" s="2"/>
    </row>
    <row r="145" spans="1:12">
      <c r="A145" s="2"/>
      <c r="B145" s="2"/>
      <c r="C145" s="5" t="str">
        <f>IF($B145="","",IFERROR(VLOOKUP($B145,'02_Конкуренты'!$A$4:$B$203,2,FALSE),"не найдено"))</f>
        <v/>
      </c>
      <c r="D145" s="2"/>
      <c r="E145" s="2"/>
      <c r="F145" s="2"/>
      <c r="G145" s="2"/>
      <c r="H145" s="2"/>
      <c r="I145" s="2"/>
      <c r="J145" s="4"/>
      <c r="K145" s="2"/>
      <c r="L145" s="2"/>
    </row>
    <row r="146" spans="1:12">
      <c r="A146" s="2"/>
      <c r="B146" s="2"/>
      <c r="C146" s="5" t="str">
        <f>IF($B146="","",IFERROR(VLOOKUP($B146,'02_Конкуренты'!$A$4:$B$203,2,FALSE),"не найдено"))</f>
        <v/>
      </c>
      <c r="D146" s="2"/>
      <c r="E146" s="2"/>
      <c r="F146" s="2"/>
      <c r="G146" s="2"/>
      <c r="H146" s="2"/>
      <c r="I146" s="2"/>
      <c r="J146" s="4"/>
      <c r="K146" s="2"/>
      <c r="L146" s="2"/>
    </row>
    <row r="147" spans="1:12">
      <c r="A147" s="2"/>
      <c r="B147" s="2"/>
      <c r="C147" s="5" t="str">
        <f>IF($B147="","",IFERROR(VLOOKUP($B147,'02_Конкуренты'!$A$4:$B$203,2,FALSE),"не найдено"))</f>
        <v/>
      </c>
      <c r="D147" s="2"/>
      <c r="E147" s="2"/>
      <c r="F147" s="2"/>
      <c r="G147" s="2"/>
      <c r="H147" s="2"/>
      <c r="I147" s="2"/>
      <c r="J147" s="4"/>
      <c r="K147" s="2"/>
      <c r="L147" s="2"/>
    </row>
    <row r="148" spans="1:12">
      <c r="A148" s="2"/>
      <c r="B148" s="2"/>
      <c r="C148" s="5" t="str">
        <f>IF($B148="","",IFERROR(VLOOKUP($B148,'02_Конкуренты'!$A$4:$B$203,2,FALSE),"не найдено"))</f>
        <v/>
      </c>
      <c r="D148" s="2"/>
      <c r="E148" s="2"/>
      <c r="F148" s="2"/>
      <c r="G148" s="2"/>
      <c r="H148" s="2"/>
      <c r="I148" s="2"/>
      <c r="J148" s="4"/>
      <c r="K148" s="2"/>
      <c r="L148" s="2"/>
    </row>
    <row r="149" spans="1:12">
      <c r="A149" s="2"/>
      <c r="B149" s="2"/>
      <c r="C149" s="5" t="str">
        <f>IF($B149="","",IFERROR(VLOOKUP($B149,'02_Конкуренты'!$A$4:$B$203,2,FALSE),"не найдено"))</f>
        <v/>
      </c>
      <c r="D149" s="2"/>
      <c r="E149" s="2"/>
      <c r="F149" s="2"/>
      <c r="G149" s="2"/>
      <c r="H149" s="2"/>
      <c r="I149" s="2"/>
      <c r="J149" s="4"/>
      <c r="K149" s="2"/>
      <c r="L149" s="2"/>
    </row>
    <row r="150" spans="1:12">
      <c r="A150" s="2"/>
      <c r="B150" s="2"/>
      <c r="C150" s="5" t="str">
        <f>IF($B150="","",IFERROR(VLOOKUP($B150,'02_Конкуренты'!$A$4:$B$203,2,FALSE),"не найдено"))</f>
        <v/>
      </c>
      <c r="D150" s="2"/>
      <c r="E150" s="2"/>
      <c r="F150" s="2"/>
      <c r="G150" s="2"/>
      <c r="H150" s="2"/>
      <c r="I150" s="2"/>
      <c r="J150" s="4"/>
      <c r="K150" s="2"/>
      <c r="L150" s="2"/>
    </row>
    <row r="151" spans="1:12">
      <c r="A151" s="2"/>
      <c r="B151" s="2"/>
      <c r="C151" s="5" t="str">
        <f>IF($B151="","",IFERROR(VLOOKUP($B151,'02_Конкуренты'!$A$4:$B$203,2,FALSE),"не найдено"))</f>
        <v/>
      </c>
      <c r="D151" s="2"/>
      <c r="E151" s="2"/>
      <c r="F151" s="2"/>
      <c r="G151" s="2"/>
      <c r="H151" s="2"/>
      <c r="I151" s="2"/>
      <c r="J151" s="4"/>
      <c r="K151" s="2"/>
      <c r="L151" s="2"/>
    </row>
    <row r="152" spans="1:12">
      <c r="A152" s="2"/>
      <c r="B152" s="2"/>
      <c r="C152" s="5" t="str">
        <f>IF($B152="","",IFERROR(VLOOKUP($B152,'02_Конкуренты'!$A$4:$B$203,2,FALSE),"не найдено"))</f>
        <v/>
      </c>
      <c r="D152" s="2"/>
      <c r="E152" s="2"/>
      <c r="F152" s="2"/>
      <c r="G152" s="2"/>
      <c r="H152" s="2"/>
      <c r="I152" s="2"/>
      <c r="J152" s="4"/>
      <c r="K152" s="2"/>
      <c r="L152" s="2"/>
    </row>
    <row r="153" spans="1:12">
      <c r="A153" s="2"/>
      <c r="B153" s="2"/>
      <c r="C153" s="5" t="str">
        <f>IF($B153="","",IFERROR(VLOOKUP($B153,'02_Конкуренты'!$A$4:$B$203,2,FALSE),"не найдено"))</f>
        <v/>
      </c>
      <c r="D153" s="2"/>
      <c r="E153" s="2"/>
      <c r="F153" s="2"/>
      <c r="G153" s="2"/>
      <c r="H153" s="2"/>
      <c r="I153" s="2"/>
      <c r="J153" s="4"/>
      <c r="K153" s="2"/>
      <c r="L153" s="2"/>
    </row>
    <row r="154" spans="1:12">
      <c r="A154" s="2"/>
      <c r="B154" s="2"/>
      <c r="C154" s="5" t="str">
        <f>IF($B154="","",IFERROR(VLOOKUP($B154,'02_Конкуренты'!$A$4:$B$203,2,FALSE),"не найдено"))</f>
        <v/>
      </c>
      <c r="D154" s="2"/>
      <c r="E154" s="2"/>
      <c r="F154" s="2"/>
      <c r="G154" s="2"/>
      <c r="H154" s="2"/>
      <c r="I154" s="2"/>
      <c r="J154" s="4"/>
      <c r="K154" s="2"/>
      <c r="L154" s="2"/>
    </row>
    <row r="155" spans="1:12">
      <c r="A155" s="2"/>
      <c r="B155" s="2"/>
      <c r="C155" s="5" t="str">
        <f>IF($B155="","",IFERROR(VLOOKUP($B155,'02_Конкуренты'!$A$4:$B$203,2,FALSE),"не найдено"))</f>
        <v/>
      </c>
      <c r="D155" s="2"/>
      <c r="E155" s="2"/>
      <c r="F155" s="2"/>
      <c r="G155" s="2"/>
      <c r="H155" s="2"/>
      <c r="I155" s="2"/>
      <c r="J155" s="4"/>
      <c r="K155" s="2"/>
      <c r="L155" s="2"/>
    </row>
    <row r="156" spans="1:12">
      <c r="A156" s="2"/>
      <c r="B156" s="2"/>
      <c r="C156" s="5" t="str">
        <f>IF($B156="","",IFERROR(VLOOKUP($B156,'02_Конкуренты'!$A$4:$B$203,2,FALSE),"не найдено"))</f>
        <v/>
      </c>
      <c r="D156" s="2"/>
      <c r="E156" s="2"/>
      <c r="F156" s="2"/>
      <c r="G156" s="2"/>
      <c r="H156" s="2"/>
      <c r="I156" s="2"/>
      <c r="J156" s="4"/>
      <c r="K156" s="2"/>
      <c r="L156" s="2"/>
    </row>
    <row r="157" spans="1:12">
      <c r="A157" s="2"/>
      <c r="B157" s="2"/>
      <c r="C157" s="5" t="str">
        <f>IF($B157="","",IFERROR(VLOOKUP($B157,'02_Конкуренты'!$A$4:$B$203,2,FALSE),"не найдено"))</f>
        <v/>
      </c>
      <c r="D157" s="2"/>
      <c r="E157" s="2"/>
      <c r="F157" s="2"/>
      <c r="G157" s="2"/>
      <c r="H157" s="2"/>
      <c r="I157" s="2"/>
      <c r="J157" s="4"/>
      <c r="K157" s="2"/>
      <c r="L157" s="2"/>
    </row>
    <row r="158" spans="1:12">
      <c r="A158" s="2"/>
      <c r="B158" s="2"/>
      <c r="C158" s="5" t="str">
        <f>IF($B158="","",IFERROR(VLOOKUP($B158,'02_Конкуренты'!$A$4:$B$203,2,FALSE),"не найдено"))</f>
        <v/>
      </c>
      <c r="D158" s="2"/>
      <c r="E158" s="2"/>
      <c r="F158" s="2"/>
      <c r="G158" s="2"/>
      <c r="H158" s="2"/>
      <c r="I158" s="2"/>
      <c r="J158" s="4"/>
      <c r="K158" s="2"/>
      <c r="L158" s="2"/>
    </row>
    <row r="159" spans="1:12">
      <c r="A159" s="2"/>
      <c r="B159" s="2"/>
      <c r="C159" s="5" t="str">
        <f>IF($B159="","",IFERROR(VLOOKUP($B159,'02_Конкуренты'!$A$4:$B$203,2,FALSE),"не найдено"))</f>
        <v/>
      </c>
      <c r="D159" s="2"/>
      <c r="E159" s="2"/>
      <c r="F159" s="2"/>
      <c r="G159" s="2"/>
      <c r="H159" s="2"/>
      <c r="I159" s="2"/>
      <c r="J159" s="4"/>
      <c r="K159" s="2"/>
      <c r="L159" s="2"/>
    </row>
    <row r="160" spans="1:12">
      <c r="A160" s="2"/>
      <c r="B160" s="2"/>
      <c r="C160" s="5" t="str">
        <f>IF($B160="","",IFERROR(VLOOKUP($B160,'02_Конкуренты'!$A$4:$B$203,2,FALSE),"не найдено"))</f>
        <v/>
      </c>
      <c r="D160" s="2"/>
      <c r="E160" s="2"/>
      <c r="F160" s="2"/>
      <c r="G160" s="2"/>
      <c r="H160" s="2"/>
      <c r="I160" s="2"/>
      <c r="J160" s="4"/>
      <c r="K160" s="2"/>
      <c r="L160" s="2"/>
    </row>
    <row r="161" spans="1:12">
      <c r="A161" s="2"/>
      <c r="B161" s="2"/>
      <c r="C161" s="5" t="str">
        <f>IF($B161="","",IFERROR(VLOOKUP($B161,'02_Конкуренты'!$A$4:$B$203,2,FALSE),"не найдено"))</f>
        <v/>
      </c>
      <c r="D161" s="2"/>
      <c r="E161" s="2"/>
      <c r="F161" s="2"/>
      <c r="G161" s="2"/>
      <c r="H161" s="2"/>
      <c r="I161" s="2"/>
      <c r="J161" s="4"/>
      <c r="K161" s="2"/>
      <c r="L161" s="2"/>
    </row>
    <row r="162" spans="1:12">
      <c r="A162" s="2"/>
      <c r="B162" s="2"/>
      <c r="C162" s="5" t="str">
        <f>IF($B162="","",IFERROR(VLOOKUP($B162,'02_Конкуренты'!$A$4:$B$203,2,FALSE),"не найдено"))</f>
        <v/>
      </c>
      <c r="D162" s="2"/>
      <c r="E162" s="2"/>
      <c r="F162" s="2"/>
      <c r="G162" s="2"/>
      <c r="H162" s="2"/>
      <c r="I162" s="2"/>
      <c r="J162" s="4"/>
      <c r="K162" s="2"/>
      <c r="L162" s="2"/>
    </row>
    <row r="163" spans="1:12">
      <c r="A163" s="2"/>
      <c r="B163" s="2"/>
      <c r="C163" s="5" t="str">
        <f>IF($B163="","",IFERROR(VLOOKUP($B163,'02_Конкуренты'!$A$4:$B$203,2,FALSE),"не найдено"))</f>
        <v/>
      </c>
      <c r="D163" s="2"/>
      <c r="E163" s="2"/>
      <c r="F163" s="2"/>
      <c r="G163" s="2"/>
      <c r="H163" s="2"/>
      <c r="I163" s="2"/>
      <c r="J163" s="4"/>
      <c r="K163" s="2"/>
      <c r="L163" s="2"/>
    </row>
    <row r="164" spans="1:12">
      <c r="A164" s="2"/>
      <c r="B164" s="2"/>
      <c r="C164" s="5" t="str">
        <f>IF($B164="","",IFERROR(VLOOKUP($B164,'02_Конкуренты'!$A$4:$B$203,2,FALSE),"не найдено"))</f>
        <v/>
      </c>
      <c r="D164" s="2"/>
      <c r="E164" s="2"/>
      <c r="F164" s="2"/>
      <c r="G164" s="2"/>
      <c r="H164" s="2"/>
      <c r="I164" s="2"/>
      <c r="J164" s="4"/>
      <c r="K164" s="2"/>
      <c r="L164" s="2"/>
    </row>
    <row r="165" spans="1:12">
      <c r="A165" s="2"/>
      <c r="B165" s="2"/>
      <c r="C165" s="5" t="str">
        <f>IF($B165="","",IFERROR(VLOOKUP($B165,'02_Конкуренты'!$A$4:$B$203,2,FALSE),"не найдено"))</f>
        <v/>
      </c>
      <c r="D165" s="2"/>
      <c r="E165" s="2"/>
      <c r="F165" s="2"/>
      <c r="G165" s="2"/>
      <c r="H165" s="2"/>
      <c r="I165" s="2"/>
      <c r="J165" s="4"/>
      <c r="K165" s="2"/>
      <c r="L165" s="2"/>
    </row>
    <row r="166" spans="1:12">
      <c r="A166" s="2"/>
      <c r="B166" s="2"/>
      <c r="C166" s="5" t="str">
        <f>IF($B166="","",IFERROR(VLOOKUP($B166,'02_Конкуренты'!$A$4:$B$203,2,FALSE),"не найдено"))</f>
        <v/>
      </c>
      <c r="D166" s="2"/>
      <c r="E166" s="2"/>
      <c r="F166" s="2"/>
      <c r="G166" s="2"/>
      <c r="H166" s="2"/>
      <c r="I166" s="2"/>
      <c r="J166" s="4"/>
      <c r="K166" s="2"/>
      <c r="L166" s="2"/>
    </row>
    <row r="167" spans="1:12">
      <c r="A167" s="2"/>
      <c r="B167" s="2"/>
      <c r="C167" s="5" t="str">
        <f>IF($B167="","",IFERROR(VLOOKUP($B167,'02_Конкуренты'!$A$4:$B$203,2,FALSE),"не найдено"))</f>
        <v/>
      </c>
      <c r="D167" s="2"/>
      <c r="E167" s="2"/>
      <c r="F167" s="2"/>
      <c r="G167" s="2"/>
      <c r="H167" s="2"/>
      <c r="I167" s="2"/>
      <c r="J167" s="4"/>
      <c r="K167" s="2"/>
      <c r="L167" s="2"/>
    </row>
    <row r="168" spans="1:12">
      <c r="A168" s="2"/>
      <c r="B168" s="2"/>
      <c r="C168" s="5" t="str">
        <f>IF($B168="","",IFERROR(VLOOKUP($B168,'02_Конкуренты'!$A$4:$B$203,2,FALSE),"не найдено"))</f>
        <v/>
      </c>
      <c r="D168" s="2"/>
      <c r="E168" s="2"/>
      <c r="F168" s="2"/>
      <c r="G168" s="2"/>
      <c r="H168" s="2"/>
      <c r="I168" s="2"/>
      <c r="J168" s="4"/>
      <c r="K168" s="2"/>
      <c r="L168" s="2"/>
    </row>
    <row r="169" spans="1:12">
      <c r="A169" s="2"/>
      <c r="B169" s="2"/>
      <c r="C169" s="5" t="str">
        <f>IF($B169="","",IFERROR(VLOOKUP($B169,'02_Конкуренты'!$A$4:$B$203,2,FALSE),"не найдено"))</f>
        <v/>
      </c>
      <c r="D169" s="2"/>
      <c r="E169" s="2"/>
      <c r="F169" s="2"/>
      <c r="G169" s="2"/>
      <c r="H169" s="2"/>
      <c r="I169" s="2"/>
      <c r="J169" s="4"/>
      <c r="K169" s="2"/>
      <c r="L169" s="2"/>
    </row>
    <row r="170" spans="1:12">
      <c r="A170" s="2"/>
      <c r="B170" s="2"/>
      <c r="C170" s="5" t="str">
        <f>IF($B170="","",IFERROR(VLOOKUP($B170,'02_Конкуренты'!$A$4:$B$203,2,FALSE),"не найдено"))</f>
        <v/>
      </c>
      <c r="D170" s="2"/>
      <c r="E170" s="2"/>
      <c r="F170" s="2"/>
      <c r="G170" s="2"/>
      <c r="H170" s="2"/>
      <c r="I170" s="2"/>
      <c r="J170" s="4"/>
      <c r="K170" s="2"/>
      <c r="L170" s="2"/>
    </row>
    <row r="171" spans="1:12">
      <c r="A171" s="2"/>
      <c r="B171" s="2"/>
      <c r="C171" s="5" t="str">
        <f>IF($B171="","",IFERROR(VLOOKUP($B171,'02_Конкуренты'!$A$4:$B$203,2,FALSE),"не найдено"))</f>
        <v/>
      </c>
      <c r="D171" s="2"/>
      <c r="E171" s="2"/>
      <c r="F171" s="2"/>
      <c r="G171" s="2"/>
      <c r="H171" s="2"/>
      <c r="I171" s="2"/>
      <c r="J171" s="4"/>
      <c r="K171" s="2"/>
      <c r="L171" s="2"/>
    </row>
    <row r="172" spans="1:12">
      <c r="A172" s="2"/>
      <c r="B172" s="2"/>
      <c r="C172" s="5" t="str">
        <f>IF($B172="","",IFERROR(VLOOKUP($B172,'02_Конкуренты'!$A$4:$B$203,2,FALSE),"не найдено"))</f>
        <v/>
      </c>
      <c r="D172" s="2"/>
      <c r="E172" s="2"/>
      <c r="F172" s="2"/>
      <c r="G172" s="2"/>
      <c r="H172" s="2"/>
      <c r="I172" s="2"/>
      <c r="J172" s="4"/>
      <c r="K172" s="2"/>
      <c r="L172" s="2"/>
    </row>
    <row r="173" spans="1:12">
      <c r="A173" s="2"/>
      <c r="B173" s="2"/>
      <c r="C173" s="5" t="str">
        <f>IF($B173="","",IFERROR(VLOOKUP($B173,'02_Конкуренты'!$A$4:$B$203,2,FALSE),"не найдено"))</f>
        <v/>
      </c>
      <c r="D173" s="2"/>
      <c r="E173" s="2"/>
      <c r="F173" s="2"/>
      <c r="G173" s="2"/>
      <c r="H173" s="2"/>
      <c r="I173" s="2"/>
      <c r="J173" s="4"/>
      <c r="K173" s="2"/>
      <c r="L173" s="2"/>
    </row>
    <row r="174" spans="1:12">
      <c r="A174" s="2"/>
      <c r="B174" s="2"/>
      <c r="C174" s="5" t="str">
        <f>IF($B174="","",IFERROR(VLOOKUP($B174,'02_Конкуренты'!$A$4:$B$203,2,FALSE),"не найдено"))</f>
        <v/>
      </c>
      <c r="D174" s="2"/>
      <c r="E174" s="2"/>
      <c r="F174" s="2"/>
      <c r="G174" s="2"/>
      <c r="H174" s="2"/>
      <c r="I174" s="2"/>
      <c r="J174" s="4"/>
      <c r="K174" s="2"/>
      <c r="L174" s="2"/>
    </row>
    <row r="175" spans="1:12">
      <c r="A175" s="2"/>
      <c r="B175" s="2"/>
      <c r="C175" s="5" t="str">
        <f>IF($B175="","",IFERROR(VLOOKUP($B175,'02_Конкуренты'!$A$4:$B$203,2,FALSE),"не найдено"))</f>
        <v/>
      </c>
      <c r="D175" s="2"/>
      <c r="E175" s="2"/>
      <c r="F175" s="2"/>
      <c r="G175" s="2"/>
      <c r="H175" s="2"/>
      <c r="I175" s="2"/>
      <c r="J175" s="4"/>
      <c r="K175" s="2"/>
      <c r="L175" s="2"/>
    </row>
    <row r="176" spans="1:12">
      <c r="A176" s="2"/>
      <c r="B176" s="2"/>
      <c r="C176" s="5" t="str">
        <f>IF($B176="","",IFERROR(VLOOKUP($B176,'02_Конкуренты'!$A$4:$B$203,2,FALSE),"не найдено"))</f>
        <v/>
      </c>
      <c r="D176" s="2"/>
      <c r="E176" s="2"/>
      <c r="F176" s="2"/>
      <c r="G176" s="2"/>
      <c r="H176" s="2"/>
      <c r="I176" s="2"/>
      <c r="J176" s="4"/>
      <c r="K176" s="2"/>
      <c r="L176" s="2"/>
    </row>
    <row r="177" spans="1:12">
      <c r="A177" s="2"/>
      <c r="B177" s="2"/>
      <c r="C177" s="5" t="str">
        <f>IF($B177="","",IFERROR(VLOOKUP($B177,'02_Конкуренты'!$A$4:$B$203,2,FALSE),"не найдено"))</f>
        <v/>
      </c>
      <c r="D177" s="2"/>
      <c r="E177" s="2"/>
      <c r="F177" s="2"/>
      <c r="G177" s="2"/>
      <c r="H177" s="2"/>
      <c r="I177" s="2"/>
      <c r="J177" s="4"/>
      <c r="K177" s="2"/>
      <c r="L177" s="2"/>
    </row>
    <row r="178" spans="1:12">
      <c r="A178" s="2"/>
      <c r="B178" s="2"/>
      <c r="C178" s="5" t="str">
        <f>IF($B178="","",IFERROR(VLOOKUP($B178,'02_Конкуренты'!$A$4:$B$203,2,FALSE),"не найдено"))</f>
        <v/>
      </c>
      <c r="D178" s="2"/>
      <c r="E178" s="2"/>
      <c r="F178" s="2"/>
      <c r="G178" s="2"/>
      <c r="H178" s="2"/>
      <c r="I178" s="2"/>
      <c r="J178" s="4"/>
      <c r="K178" s="2"/>
      <c r="L178" s="2"/>
    </row>
    <row r="179" spans="1:12">
      <c r="A179" s="2"/>
      <c r="B179" s="2"/>
      <c r="C179" s="5" t="str">
        <f>IF($B179="","",IFERROR(VLOOKUP($B179,'02_Конкуренты'!$A$4:$B$203,2,FALSE),"не найдено"))</f>
        <v/>
      </c>
      <c r="D179" s="2"/>
      <c r="E179" s="2"/>
      <c r="F179" s="2"/>
      <c r="G179" s="2"/>
      <c r="H179" s="2"/>
      <c r="I179" s="2"/>
      <c r="J179" s="4"/>
      <c r="K179" s="2"/>
      <c r="L179" s="2"/>
    </row>
    <row r="180" spans="1:12">
      <c r="A180" s="2"/>
      <c r="B180" s="2"/>
      <c r="C180" s="5" t="str">
        <f>IF($B180="","",IFERROR(VLOOKUP($B180,'02_Конкуренты'!$A$4:$B$203,2,FALSE),"не найдено"))</f>
        <v/>
      </c>
      <c r="D180" s="2"/>
      <c r="E180" s="2"/>
      <c r="F180" s="2"/>
      <c r="G180" s="2"/>
      <c r="H180" s="2"/>
      <c r="I180" s="2"/>
      <c r="J180" s="4"/>
      <c r="K180" s="2"/>
      <c r="L180" s="2"/>
    </row>
    <row r="181" spans="1:12">
      <c r="A181" s="2"/>
      <c r="B181" s="2"/>
      <c r="C181" s="5" t="str">
        <f>IF($B181="","",IFERROR(VLOOKUP($B181,'02_Конкуренты'!$A$4:$B$203,2,FALSE),"не найдено"))</f>
        <v/>
      </c>
      <c r="D181" s="2"/>
      <c r="E181" s="2"/>
      <c r="F181" s="2"/>
      <c r="G181" s="2"/>
      <c r="H181" s="2"/>
      <c r="I181" s="2"/>
      <c r="J181" s="4"/>
      <c r="K181" s="2"/>
      <c r="L181" s="2"/>
    </row>
    <row r="182" spans="1:12">
      <c r="A182" s="2"/>
      <c r="B182" s="2"/>
      <c r="C182" s="5" t="str">
        <f>IF($B182="","",IFERROR(VLOOKUP($B182,'02_Конкуренты'!$A$4:$B$203,2,FALSE),"не найдено"))</f>
        <v/>
      </c>
      <c r="D182" s="2"/>
      <c r="E182" s="2"/>
      <c r="F182" s="2"/>
      <c r="G182" s="2"/>
      <c r="H182" s="2"/>
      <c r="I182" s="2"/>
      <c r="J182" s="4"/>
      <c r="K182" s="2"/>
      <c r="L182" s="2"/>
    </row>
    <row r="183" spans="1:12">
      <c r="A183" s="2"/>
      <c r="B183" s="2"/>
      <c r="C183" s="5" t="str">
        <f>IF($B183="","",IFERROR(VLOOKUP($B183,'02_Конкуренты'!$A$4:$B$203,2,FALSE),"не найдено"))</f>
        <v/>
      </c>
      <c r="D183" s="2"/>
      <c r="E183" s="2"/>
      <c r="F183" s="2"/>
      <c r="G183" s="2"/>
      <c r="H183" s="2"/>
      <c r="I183" s="2"/>
      <c r="J183" s="4"/>
      <c r="K183" s="2"/>
      <c r="L183" s="2"/>
    </row>
    <row r="184" spans="1:12">
      <c r="A184" s="2"/>
      <c r="B184" s="2"/>
      <c r="C184" s="5" t="str">
        <f>IF($B184="","",IFERROR(VLOOKUP($B184,'02_Конкуренты'!$A$4:$B$203,2,FALSE),"не найдено"))</f>
        <v/>
      </c>
      <c r="D184" s="2"/>
      <c r="E184" s="2"/>
      <c r="F184" s="2"/>
      <c r="G184" s="2"/>
      <c r="H184" s="2"/>
      <c r="I184" s="2"/>
      <c r="J184" s="4"/>
      <c r="K184" s="2"/>
      <c r="L184" s="2"/>
    </row>
    <row r="185" spans="1:12">
      <c r="A185" s="2"/>
      <c r="B185" s="2"/>
      <c r="C185" s="5" t="str">
        <f>IF($B185="","",IFERROR(VLOOKUP($B185,'02_Конкуренты'!$A$4:$B$203,2,FALSE),"не найдено"))</f>
        <v/>
      </c>
      <c r="D185" s="2"/>
      <c r="E185" s="2"/>
      <c r="F185" s="2"/>
      <c r="G185" s="2"/>
      <c r="H185" s="2"/>
      <c r="I185" s="2"/>
      <c r="J185" s="4"/>
      <c r="K185" s="2"/>
      <c r="L185" s="2"/>
    </row>
    <row r="186" spans="1:12">
      <c r="A186" s="2"/>
      <c r="B186" s="2"/>
      <c r="C186" s="5" t="str">
        <f>IF($B186="","",IFERROR(VLOOKUP($B186,'02_Конкуренты'!$A$4:$B$203,2,FALSE),"не найдено"))</f>
        <v/>
      </c>
      <c r="D186" s="2"/>
      <c r="E186" s="2"/>
      <c r="F186" s="2"/>
      <c r="G186" s="2"/>
      <c r="H186" s="2"/>
      <c r="I186" s="2"/>
      <c r="J186" s="4"/>
      <c r="K186" s="2"/>
      <c r="L186" s="2"/>
    </row>
    <row r="187" spans="1:12">
      <c r="A187" s="2"/>
      <c r="B187" s="2"/>
      <c r="C187" s="5" t="str">
        <f>IF($B187="","",IFERROR(VLOOKUP($B187,'02_Конкуренты'!$A$4:$B$203,2,FALSE),"не найдено"))</f>
        <v/>
      </c>
      <c r="D187" s="2"/>
      <c r="E187" s="2"/>
      <c r="F187" s="2"/>
      <c r="G187" s="2"/>
      <c r="H187" s="2"/>
      <c r="I187" s="2"/>
      <c r="J187" s="4"/>
      <c r="K187" s="2"/>
      <c r="L187" s="2"/>
    </row>
    <row r="188" spans="1:12">
      <c r="A188" s="2"/>
      <c r="B188" s="2"/>
      <c r="C188" s="5" t="str">
        <f>IF($B188="","",IFERROR(VLOOKUP($B188,'02_Конкуренты'!$A$4:$B$203,2,FALSE),"не найдено"))</f>
        <v/>
      </c>
      <c r="D188" s="2"/>
      <c r="E188" s="2"/>
      <c r="F188" s="2"/>
      <c r="G188" s="2"/>
      <c r="H188" s="2"/>
      <c r="I188" s="2"/>
      <c r="J188" s="4"/>
      <c r="K188" s="2"/>
      <c r="L188" s="2"/>
    </row>
    <row r="189" spans="1:12">
      <c r="A189" s="2"/>
      <c r="B189" s="2"/>
      <c r="C189" s="5" t="str">
        <f>IF($B189="","",IFERROR(VLOOKUP($B189,'02_Конкуренты'!$A$4:$B$203,2,FALSE),"не найдено"))</f>
        <v/>
      </c>
      <c r="D189" s="2"/>
      <c r="E189" s="2"/>
      <c r="F189" s="2"/>
      <c r="G189" s="2"/>
      <c r="H189" s="2"/>
      <c r="I189" s="2"/>
      <c r="J189" s="4"/>
      <c r="K189" s="2"/>
      <c r="L189" s="2"/>
    </row>
    <row r="190" spans="1:12">
      <c r="A190" s="2"/>
      <c r="B190" s="2"/>
      <c r="C190" s="5" t="str">
        <f>IF($B190="","",IFERROR(VLOOKUP($B190,'02_Конкуренты'!$A$4:$B$203,2,FALSE),"не найдено"))</f>
        <v/>
      </c>
      <c r="D190" s="2"/>
      <c r="E190" s="2"/>
      <c r="F190" s="2"/>
      <c r="G190" s="2"/>
      <c r="H190" s="2"/>
      <c r="I190" s="2"/>
      <c r="J190" s="4"/>
      <c r="K190" s="2"/>
      <c r="L190" s="2"/>
    </row>
    <row r="191" spans="1:12">
      <c r="A191" s="2"/>
      <c r="B191" s="2"/>
      <c r="C191" s="5" t="str">
        <f>IF($B191="","",IFERROR(VLOOKUP($B191,'02_Конкуренты'!$A$4:$B$203,2,FALSE),"не найдено"))</f>
        <v/>
      </c>
      <c r="D191" s="2"/>
      <c r="E191" s="2"/>
      <c r="F191" s="2"/>
      <c r="G191" s="2"/>
      <c r="H191" s="2"/>
      <c r="I191" s="2"/>
      <c r="J191" s="4"/>
      <c r="K191" s="2"/>
      <c r="L191" s="2"/>
    </row>
    <row r="192" spans="1:12">
      <c r="A192" s="2"/>
      <c r="B192" s="2"/>
      <c r="C192" s="5" t="str">
        <f>IF($B192="","",IFERROR(VLOOKUP($B192,'02_Конкуренты'!$A$4:$B$203,2,FALSE),"не найдено"))</f>
        <v/>
      </c>
      <c r="D192" s="2"/>
      <c r="E192" s="2"/>
      <c r="F192" s="2"/>
      <c r="G192" s="2"/>
      <c r="H192" s="2"/>
      <c r="I192" s="2"/>
      <c r="J192" s="4"/>
      <c r="K192" s="2"/>
      <c r="L192" s="2"/>
    </row>
    <row r="193" spans="1:12">
      <c r="A193" s="2"/>
      <c r="B193" s="2"/>
      <c r="C193" s="5" t="str">
        <f>IF($B193="","",IFERROR(VLOOKUP($B193,'02_Конкуренты'!$A$4:$B$203,2,FALSE),"не найдено"))</f>
        <v/>
      </c>
      <c r="D193" s="2"/>
      <c r="E193" s="2"/>
      <c r="F193" s="2"/>
      <c r="G193" s="2"/>
      <c r="H193" s="2"/>
      <c r="I193" s="2"/>
      <c r="J193" s="4"/>
      <c r="K193" s="2"/>
      <c r="L193" s="2"/>
    </row>
    <row r="194" spans="1:12">
      <c r="A194" s="2"/>
      <c r="B194" s="2"/>
      <c r="C194" s="5" t="str">
        <f>IF($B194="","",IFERROR(VLOOKUP($B194,'02_Конкуренты'!$A$4:$B$203,2,FALSE),"не найдено"))</f>
        <v/>
      </c>
      <c r="D194" s="2"/>
      <c r="E194" s="2"/>
      <c r="F194" s="2"/>
      <c r="G194" s="2"/>
      <c r="H194" s="2"/>
      <c r="I194" s="2"/>
      <c r="J194" s="4"/>
      <c r="K194" s="2"/>
      <c r="L194" s="2"/>
    </row>
    <row r="195" spans="1:12">
      <c r="A195" s="2"/>
      <c r="B195" s="2"/>
      <c r="C195" s="5" t="str">
        <f>IF($B195="","",IFERROR(VLOOKUP($B195,'02_Конкуренты'!$A$4:$B$203,2,FALSE),"не найдено"))</f>
        <v/>
      </c>
      <c r="D195" s="2"/>
      <c r="E195" s="2"/>
      <c r="F195" s="2"/>
      <c r="G195" s="2"/>
      <c r="H195" s="2"/>
      <c r="I195" s="2"/>
      <c r="J195" s="4"/>
      <c r="K195" s="2"/>
      <c r="L195" s="2"/>
    </row>
    <row r="196" spans="1:12">
      <c r="A196" s="2"/>
      <c r="B196" s="2"/>
      <c r="C196" s="5" t="str">
        <f>IF($B196="","",IFERROR(VLOOKUP($B196,'02_Конкуренты'!$A$4:$B$203,2,FALSE),"не найдено"))</f>
        <v/>
      </c>
      <c r="D196" s="2"/>
      <c r="E196" s="2"/>
      <c r="F196" s="2"/>
      <c r="G196" s="2"/>
      <c r="H196" s="2"/>
      <c r="I196" s="2"/>
      <c r="J196" s="4"/>
      <c r="K196" s="2"/>
      <c r="L196" s="2"/>
    </row>
    <row r="197" spans="1:12">
      <c r="A197" s="2"/>
      <c r="B197" s="2"/>
      <c r="C197" s="5" t="str">
        <f>IF($B197="","",IFERROR(VLOOKUP($B197,'02_Конкуренты'!$A$4:$B$203,2,FALSE),"не найдено"))</f>
        <v/>
      </c>
      <c r="D197" s="2"/>
      <c r="E197" s="2"/>
      <c r="F197" s="2"/>
      <c r="G197" s="2"/>
      <c r="H197" s="2"/>
      <c r="I197" s="2"/>
      <c r="J197" s="4"/>
      <c r="K197" s="2"/>
      <c r="L197" s="2"/>
    </row>
    <row r="198" spans="1:12">
      <c r="A198" s="2"/>
      <c r="B198" s="2"/>
      <c r="C198" s="5" t="str">
        <f>IF($B198="","",IFERROR(VLOOKUP($B198,'02_Конкуренты'!$A$4:$B$203,2,FALSE),"не найдено"))</f>
        <v/>
      </c>
      <c r="D198" s="2"/>
      <c r="E198" s="2"/>
      <c r="F198" s="2"/>
      <c r="G198" s="2"/>
      <c r="H198" s="2"/>
      <c r="I198" s="2"/>
      <c r="J198" s="4"/>
      <c r="K198" s="2"/>
      <c r="L198" s="2"/>
    </row>
    <row r="199" spans="1:12">
      <c r="A199" s="2"/>
      <c r="B199" s="2"/>
      <c r="C199" s="5" t="str">
        <f>IF($B199="","",IFERROR(VLOOKUP($B199,'02_Конкуренты'!$A$4:$B$203,2,FALSE),"не найдено"))</f>
        <v/>
      </c>
      <c r="D199" s="2"/>
      <c r="E199" s="2"/>
      <c r="F199" s="2"/>
      <c r="G199" s="2"/>
      <c r="H199" s="2"/>
      <c r="I199" s="2"/>
      <c r="J199" s="4"/>
      <c r="K199" s="2"/>
      <c r="L199" s="2"/>
    </row>
    <row r="200" spans="1:12">
      <c r="A200" s="2"/>
      <c r="B200" s="2"/>
      <c r="C200" s="5" t="str">
        <f>IF($B200="","",IFERROR(VLOOKUP($B200,'02_Конкуренты'!$A$4:$B$203,2,FALSE),"не найдено"))</f>
        <v/>
      </c>
      <c r="D200" s="2"/>
      <c r="E200" s="2"/>
      <c r="F200" s="2"/>
      <c r="G200" s="2"/>
      <c r="H200" s="2"/>
      <c r="I200" s="2"/>
      <c r="J200" s="4"/>
      <c r="K200" s="2"/>
      <c r="L200" s="2"/>
    </row>
    <row r="201" spans="1:12">
      <c r="A201" s="2"/>
      <c r="B201" s="2"/>
      <c r="C201" s="5" t="str">
        <f>IF($B201="","",IFERROR(VLOOKUP($B201,'02_Конкуренты'!$A$4:$B$203,2,FALSE),"не найдено"))</f>
        <v/>
      </c>
      <c r="D201" s="2"/>
      <c r="E201" s="2"/>
      <c r="F201" s="2"/>
      <c r="G201" s="2"/>
      <c r="H201" s="2"/>
      <c r="I201" s="2"/>
      <c r="J201" s="4"/>
      <c r="K201" s="2"/>
      <c r="L201" s="2"/>
    </row>
    <row r="202" spans="1:12">
      <c r="A202" s="2"/>
      <c r="B202" s="2"/>
      <c r="C202" s="5" t="str">
        <f>IF($B202="","",IFERROR(VLOOKUP($B202,'02_Конкуренты'!$A$4:$B$203,2,FALSE),"не найдено"))</f>
        <v/>
      </c>
      <c r="D202" s="2"/>
      <c r="E202" s="2"/>
      <c r="F202" s="2"/>
      <c r="G202" s="2"/>
      <c r="H202" s="2"/>
      <c r="I202" s="2"/>
      <c r="J202" s="4"/>
      <c r="K202" s="2"/>
      <c r="L202" s="2"/>
    </row>
    <row r="203" spans="1:12">
      <c r="A203" s="2"/>
      <c r="B203" s="2"/>
      <c r="C203" s="5" t="str">
        <f>IF($B203="","",IFERROR(VLOOKUP($B203,'02_Конкуренты'!$A$4:$B$203,2,FALSE),"не найдено"))</f>
        <v/>
      </c>
      <c r="D203" s="2"/>
      <c r="E203" s="2"/>
      <c r="F203" s="2"/>
      <c r="G203" s="2"/>
      <c r="H203" s="2"/>
      <c r="I203" s="2"/>
      <c r="J203" s="4"/>
      <c r="K203" s="2"/>
      <c r="L203" s="2"/>
    </row>
    <row r="204" spans="1:12">
      <c r="A204" s="2"/>
      <c r="B204" s="2"/>
      <c r="C204" s="5" t="str">
        <f>IF($B204="","",IFERROR(VLOOKUP($B204,'02_Конкуренты'!$A$4:$B$203,2,FALSE),"не найдено"))</f>
        <v/>
      </c>
      <c r="D204" s="2"/>
      <c r="E204" s="2"/>
      <c r="F204" s="2"/>
      <c r="G204" s="2"/>
      <c r="H204" s="2"/>
      <c r="I204" s="2"/>
      <c r="J204" s="4"/>
      <c r="K204" s="2"/>
      <c r="L204" s="2"/>
    </row>
    <row r="205" spans="1:12">
      <c r="A205" s="2"/>
      <c r="B205" s="2"/>
      <c r="C205" s="5" t="str">
        <f>IF($B205="","",IFERROR(VLOOKUP($B205,'02_Конкуренты'!$A$4:$B$203,2,FALSE),"не найдено"))</f>
        <v/>
      </c>
      <c r="D205" s="2"/>
      <c r="E205" s="2"/>
      <c r="F205" s="2"/>
      <c r="G205" s="2"/>
      <c r="H205" s="2"/>
      <c r="I205" s="2"/>
      <c r="J205" s="4"/>
      <c r="K205" s="2"/>
      <c r="L205" s="2"/>
    </row>
    <row r="206" spans="1:12">
      <c r="A206" s="2"/>
      <c r="B206" s="2"/>
      <c r="C206" s="5" t="str">
        <f>IF($B206="","",IFERROR(VLOOKUP($B206,'02_Конкуренты'!$A$4:$B$203,2,FALSE),"не найдено"))</f>
        <v/>
      </c>
      <c r="D206" s="2"/>
      <c r="E206" s="2"/>
      <c r="F206" s="2"/>
      <c r="G206" s="2"/>
      <c r="H206" s="2"/>
      <c r="I206" s="2"/>
      <c r="J206" s="4"/>
      <c r="K206" s="2"/>
      <c r="L206" s="2"/>
    </row>
    <row r="207" spans="1:12">
      <c r="A207" s="2"/>
      <c r="B207" s="2"/>
      <c r="C207" s="5" t="str">
        <f>IF($B207="","",IFERROR(VLOOKUP($B207,'02_Конкуренты'!$A$4:$B$203,2,FALSE),"не найдено"))</f>
        <v/>
      </c>
      <c r="D207" s="2"/>
      <c r="E207" s="2"/>
      <c r="F207" s="2"/>
      <c r="G207" s="2"/>
      <c r="H207" s="2"/>
      <c r="I207" s="2"/>
      <c r="J207" s="4"/>
      <c r="K207" s="2"/>
      <c r="L207" s="2"/>
    </row>
    <row r="208" spans="1:12">
      <c r="A208" s="2"/>
      <c r="B208" s="2"/>
      <c r="C208" s="5" t="str">
        <f>IF($B208="","",IFERROR(VLOOKUP($B208,'02_Конкуренты'!$A$4:$B$203,2,FALSE),"не найдено"))</f>
        <v/>
      </c>
      <c r="D208" s="2"/>
      <c r="E208" s="2"/>
      <c r="F208" s="2"/>
      <c r="G208" s="2"/>
      <c r="H208" s="2"/>
      <c r="I208" s="2"/>
      <c r="J208" s="4"/>
      <c r="K208" s="2"/>
      <c r="L208" s="2"/>
    </row>
    <row r="209" spans="1:12">
      <c r="A209" s="2"/>
      <c r="B209" s="2"/>
      <c r="C209" s="5" t="str">
        <f>IF($B209="","",IFERROR(VLOOKUP($B209,'02_Конкуренты'!$A$4:$B$203,2,FALSE),"не найдено"))</f>
        <v/>
      </c>
      <c r="D209" s="2"/>
      <c r="E209" s="2"/>
      <c r="F209" s="2"/>
      <c r="G209" s="2"/>
      <c r="H209" s="2"/>
      <c r="I209" s="2"/>
      <c r="J209" s="4"/>
      <c r="K209" s="2"/>
      <c r="L209" s="2"/>
    </row>
    <row r="210" spans="1:12">
      <c r="A210" s="2"/>
      <c r="B210" s="2"/>
      <c r="C210" s="5" t="str">
        <f>IF($B210="","",IFERROR(VLOOKUP($B210,'02_Конкуренты'!$A$4:$B$203,2,FALSE),"не найдено"))</f>
        <v/>
      </c>
      <c r="D210" s="2"/>
      <c r="E210" s="2"/>
      <c r="F210" s="2"/>
      <c r="G210" s="2"/>
      <c r="H210" s="2"/>
      <c r="I210" s="2"/>
      <c r="J210" s="4"/>
      <c r="K210" s="2"/>
      <c r="L210" s="2"/>
    </row>
    <row r="211" spans="1:12">
      <c r="A211" s="2"/>
      <c r="B211" s="2"/>
      <c r="C211" s="5" t="str">
        <f>IF($B211="","",IFERROR(VLOOKUP($B211,'02_Конкуренты'!$A$4:$B$203,2,FALSE),"не найдено"))</f>
        <v/>
      </c>
      <c r="D211" s="2"/>
      <c r="E211" s="2"/>
      <c r="F211" s="2"/>
      <c r="G211" s="2"/>
      <c r="H211" s="2"/>
      <c r="I211" s="2"/>
      <c r="J211" s="4"/>
      <c r="K211" s="2"/>
      <c r="L211" s="2"/>
    </row>
    <row r="212" spans="1:12">
      <c r="A212" s="2"/>
      <c r="B212" s="2"/>
      <c r="C212" s="5" t="str">
        <f>IF($B212="","",IFERROR(VLOOKUP($B212,'02_Конкуренты'!$A$4:$B$203,2,FALSE),"не найдено"))</f>
        <v/>
      </c>
      <c r="D212" s="2"/>
      <c r="E212" s="2"/>
      <c r="F212" s="2"/>
      <c r="G212" s="2"/>
      <c r="H212" s="2"/>
      <c r="I212" s="2"/>
      <c r="J212" s="4"/>
      <c r="K212" s="2"/>
      <c r="L212" s="2"/>
    </row>
    <row r="213" spans="1:12">
      <c r="A213" s="2"/>
      <c r="B213" s="2"/>
      <c r="C213" s="5" t="str">
        <f>IF($B213="","",IFERROR(VLOOKUP($B213,'02_Конкуренты'!$A$4:$B$203,2,FALSE),"не найдено"))</f>
        <v/>
      </c>
      <c r="D213" s="2"/>
      <c r="E213" s="2"/>
      <c r="F213" s="2"/>
      <c r="G213" s="2"/>
      <c r="H213" s="2"/>
      <c r="I213" s="2"/>
      <c r="J213" s="4"/>
      <c r="K213" s="2"/>
      <c r="L213" s="2"/>
    </row>
    <row r="214" spans="1:12">
      <c r="A214" s="2"/>
      <c r="B214" s="2"/>
      <c r="C214" s="5" t="str">
        <f>IF($B214="","",IFERROR(VLOOKUP($B214,'02_Конкуренты'!$A$4:$B$203,2,FALSE),"не найдено"))</f>
        <v/>
      </c>
      <c r="D214" s="2"/>
      <c r="E214" s="2"/>
      <c r="F214" s="2"/>
      <c r="G214" s="2"/>
      <c r="H214" s="2"/>
      <c r="I214" s="2"/>
      <c r="J214" s="4"/>
      <c r="K214" s="2"/>
      <c r="L214" s="2"/>
    </row>
    <row r="215" spans="1:12">
      <c r="A215" s="2"/>
      <c r="B215" s="2"/>
      <c r="C215" s="5" t="str">
        <f>IF($B215="","",IFERROR(VLOOKUP($B215,'02_Конкуренты'!$A$4:$B$203,2,FALSE),"не найдено"))</f>
        <v/>
      </c>
      <c r="D215" s="2"/>
      <c r="E215" s="2"/>
      <c r="F215" s="2"/>
      <c r="G215" s="2"/>
      <c r="H215" s="2"/>
      <c r="I215" s="2"/>
      <c r="J215" s="4"/>
      <c r="K215" s="2"/>
      <c r="L215" s="2"/>
    </row>
    <row r="216" spans="1:12">
      <c r="A216" s="2"/>
      <c r="B216" s="2"/>
      <c r="C216" s="5" t="str">
        <f>IF($B216="","",IFERROR(VLOOKUP($B216,'02_Конкуренты'!$A$4:$B$203,2,FALSE),"не найдено"))</f>
        <v/>
      </c>
      <c r="D216" s="2"/>
      <c r="E216" s="2"/>
      <c r="F216" s="2"/>
      <c r="G216" s="2"/>
      <c r="H216" s="2"/>
      <c r="I216" s="2"/>
      <c r="J216" s="4"/>
      <c r="K216" s="2"/>
      <c r="L216" s="2"/>
    </row>
    <row r="217" spans="1:12">
      <c r="A217" s="2"/>
      <c r="B217" s="2"/>
      <c r="C217" s="5" t="str">
        <f>IF($B217="","",IFERROR(VLOOKUP($B217,'02_Конкуренты'!$A$4:$B$203,2,FALSE),"не найдено"))</f>
        <v/>
      </c>
      <c r="D217" s="2"/>
      <c r="E217" s="2"/>
      <c r="F217" s="2"/>
      <c r="G217" s="2"/>
      <c r="H217" s="2"/>
      <c r="I217" s="2"/>
      <c r="J217" s="4"/>
      <c r="K217" s="2"/>
      <c r="L217" s="2"/>
    </row>
    <row r="218" spans="1:12">
      <c r="A218" s="2"/>
      <c r="B218" s="2"/>
      <c r="C218" s="5" t="str">
        <f>IF($B218="","",IFERROR(VLOOKUP($B218,'02_Конкуренты'!$A$4:$B$203,2,FALSE),"не найдено"))</f>
        <v/>
      </c>
      <c r="D218" s="2"/>
      <c r="E218" s="2"/>
      <c r="F218" s="2"/>
      <c r="G218" s="2"/>
      <c r="H218" s="2"/>
      <c r="I218" s="2"/>
      <c r="J218" s="4"/>
      <c r="K218" s="2"/>
      <c r="L218" s="2"/>
    </row>
    <row r="219" spans="1:12">
      <c r="A219" s="2"/>
      <c r="B219" s="2"/>
      <c r="C219" s="5" t="str">
        <f>IF($B219="","",IFERROR(VLOOKUP($B219,'02_Конкуренты'!$A$4:$B$203,2,FALSE),"не найдено"))</f>
        <v/>
      </c>
      <c r="D219" s="2"/>
      <c r="E219" s="2"/>
      <c r="F219" s="2"/>
      <c r="G219" s="2"/>
      <c r="H219" s="2"/>
      <c r="I219" s="2"/>
      <c r="J219" s="4"/>
      <c r="K219" s="2"/>
      <c r="L219" s="2"/>
    </row>
    <row r="220" spans="1:12">
      <c r="A220" s="2"/>
      <c r="B220" s="2"/>
      <c r="C220" s="5" t="str">
        <f>IF($B220="","",IFERROR(VLOOKUP($B220,'02_Конкуренты'!$A$4:$B$203,2,FALSE),"не найдено"))</f>
        <v/>
      </c>
      <c r="D220" s="2"/>
      <c r="E220" s="2"/>
      <c r="F220" s="2"/>
      <c r="G220" s="2"/>
      <c r="H220" s="2"/>
      <c r="I220" s="2"/>
      <c r="J220" s="4"/>
      <c r="K220" s="2"/>
      <c r="L220" s="2"/>
    </row>
    <row r="221" spans="1:12">
      <c r="A221" s="2"/>
      <c r="B221" s="2"/>
      <c r="C221" s="5" t="str">
        <f>IF($B221="","",IFERROR(VLOOKUP($B221,'02_Конкуренты'!$A$4:$B$203,2,FALSE),"не найдено"))</f>
        <v/>
      </c>
      <c r="D221" s="2"/>
      <c r="E221" s="2"/>
      <c r="F221" s="2"/>
      <c r="G221" s="2"/>
      <c r="H221" s="2"/>
      <c r="I221" s="2"/>
      <c r="J221" s="4"/>
      <c r="K221" s="2"/>
      <c r="L221" s="2"/>
    </row>
    <row r="222" spans="1:12">
      <c r="A222" s="2"/>
      <c r="B222" s="2"/>
      <c r="C222" s="5" t="str">
        <f>IF($B222="","",IFERROR(VLOOKUP($B222,'02_Конкуренты'!$A$4:$B$203,2,FALSE),"не найдено"))</f>
        <v/>
      </c>
      <c r="D222" s="2"/>
      <c r="E222" s="2"/>
      <c r="F222" s="2"/>
      <c r="G222" s="2"/>
      <c r="H222" s="2"/>
      <c r="I222" s="2"/>
      <c r="J222" s="4"/>
      <c r="K222" s="2"/>
      <c r="L222" s="2"/>
    </row>
    <row r="223" spans="1:12">
      <c r="A223" s="2"/>
      <c r="B223" s="2"/>
      <c r="C223" s="5" t="str">
        <f>IF($B223="","",IFERROR(VLOOKUP($B223,'02_Конкуренты'!$A$4:$B$203,2,FALSE),"не найдено"))</f>
        <v/>
      </c>
      <c r="D223" s="2"/>
      <c r="E223" s="2"/>
      <c r="F223" s="2"/>
      <c r="G223" s="2"/>
      <c r="H223" s="2"/>
      <c r="I223" s="2"/>
      <c r="J223" s="4"/>
      <c r="K223" s="2"/>
      <c r="L223" s="2"/>
    </row>
    <row r="224" spans="1:12">
      <c r="A224" s="2"/>
      <c r="B224" s="2"/>
      <c r="C224" s="5" t="str">
        <f>IF($B224="","",IFERROR(VLOOKUP($B224,'02_Конкуренты'!$A$4:$B$203,2,FALSE),"не найдено"))</f>
        <v/>
      </c>
      <c r="D224" s="2"/>
      <c r="E224" s="2"/>
      <c r="F224" s="2"/>
      <c r="G224" s="2"/>
      <c r="H224" s="2"/>
      <c r="I224" s="2"/>
      <c r="J224" s="4"/>
      <c r="K224" s="2"/>
      <c r="L224" s="2"/>
    </row>
    <row r="225" spans="1:12">
      <c r="A225" s="2"/>
      <c r="B225" s="2"/>
      <c r="C225" s="5" t="str">
        <f>IF($B225="","",IFERROR(VLOOKUP($B225,'02_Конкуренты'!$A$4:$B$203,2,FALSE),"не найдено"))</f>
        <v/>
      </c>
      <c r="D225" s="2"/>
      <c r="E225" s="2"/>
      <c r="F225" s="2"/>
      <c r="G225" s="2"/>
      <c r="H225" s="2"/>
      <c r="I225" s="2"/>
      <c r="J225" s="4"/>
      <c r="K225" s="2"/>
      <c r="L225" s="2"/>
    </row>
    <row r="226" spans="1:12">
      <c r="A226" s="2"/>
      <c r="B226" s="2"/>
      <c r="C226" s="5" t="str">
        <f>IF($B226="","",IFERROR(VLOOKUP($B226,'02_Конкуренты'!$A$4:$B$203,2,FALSE),"не найдено"))</f>
        <v/>
      </c>
      <c r="D226" s="2"/>
      <c r="E226" s="2"/>
      <c r="F226" s="2"/>
      <c r="G226" s="2"/>
      <c r="H226" s="2"/>
      <c r="I226" s="2"/>
      <c r="J226" s="4"/>
      <c r="K226" s="2"/>
      <c r="L226" s="2"/>
    </row>
    <row r="227" spans="1:12">
      <c r="A227" s="2"/>
      <c r="B227" s="2"/>
      <c r="C227" s="5" t="str">
        <f>IF($B227="","",IFERROR(VLOOKUP($B227,'02_Конкуренты'!$A$4:$B$203,2,FALSE),"не найдено"))</f>
        <v/>
      </c>
      <c r="D227" s="2"/>
      <c r="E227" s="2"/>
      <c r="F227" s="2"/>
      <c r="G227" s="2"/>
      <c r="H227" s="2"/>
      <c r="I227" s="2"/>
      <c r="J227" s="4"/>
      <c r="K227" s="2"/>
      <c r="L227" s="2"/>
    </row>
    <row r="228" spans="1:12">
      <c r="A228" s="2"/>
      <c r="B228" s="2"/>
      <c r="C228" s="5" t="str">
        <f>IF($B228="","",IFERROR(VLOOKUP($B228,'02_Конкуренты'!$A$4:$B$203,2,FALSE),"не найдено"))</f>
        <v/>
      </c>
      <c r="D228" s="2"/>
      <c r="E228" s="2"/>
      <c r="F228" s="2"/>
      <c r="G228" s="2"/>
      <c r="H228" s="2"/>
      <c r="I228" s="2"/>
      <c r="J228" s="4"/>
      <c r="K228" s="2"/>
      <c r="L228" s="2"/>
    </row>
    <row r="229" spans="1:12">
      <c r="A229" s="2"/>
      <c r="B229" s="2"/>
      <c r="C229" s="5" t="str">
        <f>IF($B229="","",IFERROR(VLOOKUP($B229,'02_Конкуренты'!$A$4:$B$203,2,FALSE),"не найдено"))</f>
        <v/>
      </c>
      <c r="D229" s="2"/>
      <c r="E229" s="2"/>
      <c r="F229" s="2"/>
      <c r="G229" s="2"/>
      <c r="H229" s="2"/>
      <c r="I229" s="2"/>
      <c r="J229" s="4"/>
      <c r="K229" s="2"/>
      <c r="L229" s="2"/>
    </row>
    <row r="230" spans="1:12">
      <c r="A230" s="2"/>
      <c r="B230" s="2"/>
      <c r="C230" s="5" t="str">
        <f>IF($B230="","",IFERROR(VLOOKUP($B230,'02_Конкуренты'!$A$4:$B$203,2,FALSE),"не найдено"))</f>
        <v/>
      </c>
      <c r="D230" s="2"/>
      <c r="E230" s="2"/>
      <c r="F230" s="2"/>
      <c r="G230" s="2"/>
      <c r="H230" s="2"/>
      <c r="I230" s="2"/>
      <c r="J230" s="4"/>
      <c r="K230" s="2"/>
      <c r="L230" s="2"/>
    </row>
    <row r="231" spans="1:12">
      <c r="A231" s="2"/>
      <c r="B231" s="2"/>
      <c r="C231" s="5" t="str">
        <f>IF($B231="","",IFERROR(VLOOKUP($B231,'02_Конкуренты'!$A$4:$B$203,2,FALSE),"не найдено"))</f>
        <v/>
      </c>
      <c r="D231" s="2"/>
      <c r="E231" s="2"/>
      <c r="F231" s="2"/>
      <c r="G231" s="2"/>
      <c r="H231" s="2"/>
      <c r="I231" s="2"/>
      <c r="J231" s="4"/>
      <c r="K231" s="2"/>
      <c r="L231" s="2"/>
    </row>
    <row r="232" spans="1:12">
      <c r="A232" s="2"/>
      <c r="B232" s="2"/>
      <c r="C232" s="5" t="str">
        <f>IF($B232="","",IFERROR(VLOOKUP($B232,'02_Конкуренты'!$A$4:$B$203,2,FALSE),"не найдено"))</f>
        <v/>
      </c>
      <c r="D232" s="2"/>
      <c r="E232" s="2"/>
      <c r="F232" s="2"/>
      <c r="G232" s="2"/>
      <c r="H232" s="2"/>
      <c r="I232" s="2"/>
      <c r="J232" s="4"/>
      <c r="K232" s="2"/>
      <c r="L232" s="2"/>
    </row>
    <row r="233" spans="1:12">
      <c r="A233" s="2"/>
      <c r="B233" s="2"/>
      <c r="C233" s="5" t="str">
        <f>IF($B233="","",IFERROR(VLOOKUP($B233,'02_Конкуренты'!$A$4:$B$203,2,FALSE),"не найдено"))</f>
        <v/>
      </c>
      <c r="D233" s="2"/>
      <c r="E233" s="2"/>
      <c r="F233" s="2"/>
      <c r="G233" s="2"/>
      <c r="H233" s="2"/>
      <c r="I233" s="2"/>
      <c r="J233" s="4"/>
      <c r="K233" s="2"/>
      <c r="L233" s="2"/>
    </row>
    <row r="234" spans="1:12">
      <c r="A234" s="2"/>
      <c r="B234" s="2"/>
      <c r="C234" s="5" t="str">
        <f>IF($B234="","",IFERROR(VLOOKUP($B234,'02_Конкуренты'!$A$4:$B$203,2,FALSE),"не найдено"))</f>
        <v/>
      </c>
      <c r="D234" s="2"/>
      <c r="E234" s="2"/>
      <c r="F234" s="2"/>
      <c r="G234" s="2"/>
      <c r="H234" s="2"/>
      <c r="I234" s="2"/>
      <c r="J234" s="4"/>
      <c r="K234" s="2"/>
      <c r="L234" s="2"/>
    </row>
    <row r="235" spans="1:12">
      <c r="A235" s="2"/>
      <c r="B235" s="2"/>
      <c r="C235" s="5" t="str">
        <f>IF($B235="","",IFERROR(VLOOKUP($B235,'02_Конкуренты'!$A$4:$B$203,2,FALSE),"не найдено"))</f>
        <v/>
      </c>
      <c r="D235" s="2"/>
      <c r="E235" s="2"/>
      <c r="F235" s="2"/>
      <c r="G235" s="2"/>
      <c r="H235" s="2"/>
      <c r="I235" s="2"/>
      <c r="J235" s="4"/>
      <c r="K235" s="2"/>
      <c r="L235" s="2"/>
    </row>
    <row r="236" spans="1:12">
      <c r="A236" s="2"/>
      <c r="B236" s="2"/>
      <c r="C236" s="5" t="str">
        <f>IF($B236="","",IFERROR(VLOOKUP($B236,'02_Конкуренты'!$A$4:$B$203,2,FALSE),"не найдено"))</f>
        <v/>
      </c>
      <c r="D236" s="2"/>
      <c r="E236" s="2"/>
      <c r="F236" s="2"/>
      <c r="G236" s="2"/>
      <c r="H236" s="2"/>
      <c r="I236" s="2"/>
      <c r="J236" s="4"/>
      <c r="K236" s="2"/>
      <c r="L236" s="2"/>
    </row>
    <row r="237" spans="1:12">
      <c r="A237" s="2"/>
      <c r="B237" s="2"/>
      <c r="C237" s="5" t="str">
        <f>IF($B237="","",IFERROR(VLOOKUP($B237,'02_Конкуренты'!$A$4:$B$203,2,FALSE),"не найдено"))</f>
        <v/>
      </c>
      <c r="D237" s="2"/>
      <c r="E237" s="2"/>
      <c r="F237" s="2"/>
      <c r="G237" s="2"/>
      <c r="H237" s="2"/>
      <c r="I237" s="2"/>
      <c r="J237" s="4"/>
      <c r="K237" s="2"/>
      <c r="L237" s="2"/>
    </row>
    <row r="238" spans="1:12">
      <c r="A238" s="2"/>
      <c r="B238" s="2"/>
      <c r="C238" s="5" t="str">
        <f>IF($B238="","",IFERROR(VLOOKUP($B238,'02_Конкуренты'!$A$4:$B$203,2,FALSE),"не найдено"))</f>
        <v/>
      </c>
      <c r="D238" s="2"/>
      <c r="E238" s="2"/>
      <c r="F238" s="2"/>
      <c r="G238" s="2"/>
      <c r="H238" s="2"/>
      <c r="I238" s="2"/>
      <c r="J238" s="4"/>
      <c r="K238" s="2"/>
      <c r="L238" s="2"/>
    </row>
    <row r="239" spans="1:12">
      <c r="A239" s="2"/>
      <c r="B239" s="2"/>
      <c r="C239" s="5" t="str">
        <f>IF($B239="","",IFERROR(VLOOKUP($B239,'02_Конкуренты'!$A$4:$B$203,2,FALSE),"не найдено"))</f>
        <v/>
      </c>
      <c r="D239" s="2"/>
      <c r="E239" s="2"/>
      <c r="F239" s="2"/>
      <c r="G239" s="2"/>
      <c r="H239" s="2"/>
      <c r="I239" s="2"/>
      <c r="J239" s="4"/>
      <c r="K239" s="2"/>
      <c r="L239" s="2"/>
    </row>
    <row r="240" spans="1:12">
      <c r="A240" s="2"/>
      <c r="B240" s="2"/>
      <c r="C240" s="5" t="str">
        <f>IF($B240="","",IFERROR(VLOOKUP($B240,'02_Конкуренты'!$A$4:$B$203,2,FALSE),"не найдено"))</f>
        <v/>
      </c>
      <c r="D240" s="2"/>
      <c r="E240" s="2"/>
      <c r="F240" s="2"/>
      <c r="G240" s="2"/>
      <c r="H240" s="2"/>
      <c r="I240" s="2"/>
      <c r="J240" s="4"/>
      <c r="K240" s="2"/>
      <c r="L240" s="2"/>
    </row>
    <row r="241" spans="1:12">
      <c r="A241" s="2"/>
      <c r="B241" s="2"/>
      <c r="C241" s="5" t="str">
        <f>IF($B241="","",IFERROR(VLOOKUP($B241,'02_Конкуренты'!$A$4:$B$203,2,FALSE),"не найдено"))</f>
        <v/>
      </c>
      <c r="D241" s="2"/>
      <c r="E241" s="2"/>
      <c r="F241" s="2"/>
      <c r="G241" s="2"/>
      <c r="H241" s="2"/>
      <c r="I241" s="2"/>
      <c r="J241" s="4"/>
      <c r="K241" s="2"/>
      <c r="L241" s="2"/>
    </row>
    <row r="242" spans="1:12">
      <c r="A242" s="2"/>
      <c r="B242" s="2"/>
      <c r="C242" s="5" t="str">
        <f>IF($B242="","",IFERROR(VLOOKUP($B242,'02_Конкуренты'!$A$4:$B$203,2,FALSE),"не найдено"))</f>
        <v/>
      </c>
      <c r="D242" s="2"/>
      <c r="E242" s="2"/>
      <c r="F242" s="2"/>
      <c r="G242" s="2"/>
      <c r="H242" s="2"/>
      <c r="I242" s="2"/>
      <c r="J242" s="4"/>
      <c r="K242" s="2"/>
      <c r="L242" s="2"/>
    </row>
    <row r="243" spans="1:12">
      <c r="A243" s="2"/>
      <c r="B243" s="2"/>
      <c r="C243" s="5" t="str">
        <f>IF($B243="","",IFERROR(VLOOKUP($B243,'02_Конкуренты'!$A$4:$B$203,2,FALSE),"не найдено"))</f>
        <v/>
      </c>
      <c r="D243" s="2"/>
      <c r="E243" s="2"/>
      <c r="F243" s="2"/>
      <c r="G243" s="2"/>
      <c r="H243" s="2"/>
      <c r="I243" s="2"/>
      <c r="J243" s="4"/>
      <c r="K243" s="2"/>
      <c r="L243" s="2"/>
    </row>
    <row r="244" spans="1:12">
      <c r="A244" s="2"/>
      <c r="B244" s="2"/>
      <c r="C244" s="5" t="str">
        <f>IF($B244="","",IFERROR(VLOOKUP($B244,'02_Конкуренты'!$A$4:$B$203,2,FALSE),"не найдено"))</f>
        <v/>
      </c>
      <c r="D244" s="2"/>
      <c r="E244" s="2"/>
      <c r="F244" s="2"/>
      <c r="G244" s="2"/>
      <c r="H244" s="2"/>
      <c r="I244" s="2"/>
      <c r="J244" s="4"/>
      <c r="K244" s="2"/>
      <c r="L244" s="2"/>
    </row>
    <row r="245" spans="1:12">
      <c r="A245" s="2"/>
      <c r="B245" s="2"/>
      <c r="C245" s="5" t="str">
        <f>IF($B245="","",IFERROR(VLOOKUP($B245,'02_Конкуренты'!$A$4:$B$203,2,FALSE),"не найдено"))</f>
        <v/>
      </c>
      <c r="D245" s="2"/>
      <c r="E245" s="2"/>
      <c r="F245" s="2"/>
      <c r="G245" s="2"/>
      <c r="H245" s="2"/>
      <c r="I245" s="2"/>
      <c r="J245" s="4"/>
      <c r="K245" s="2"/>
      <c r="L245" s="2"/>
    </row>
    <row r="246" spans="1:12">
      <c r="A246" s="2"/>
      <c r="B246" s="2"/>
      <c r="C246" s="5" t="str">
        <f>IF($B246="","",IFERROR(VLOOKUP($B246,'02_Конкуренты'!$A$4:$B$203,2,FALSE),"не найдено"))</f>
        <v/>
      </c>
      <c r="D246" s="2"/>
      <c r="E246" s="2"/>
      <c r="F246" s="2"/>
      <c r="G246" s="2"/>
      <c r="H246" s="2"/>
      <c r="I246" s="2"/>
      <c r="J246" s="4"/>
      <c r="K246" s="2"/>
      <c r="L246" s="2"/>
    </row>
    <row r="247" spans="1:12">
      <c r="A247" s="2"/>
      <c r="B247" s="2"/>
      <c r="C247" s="5" t="str">
        <f>IF($B247="","",IFERROR(VLOOKUP($B247,'02_Конкуренты'!$A$4:$B$203,2,FALSE),"не найдено"))</f>
        <v/>
      </c>
      <c r="D247" s="2"/>
      <c r="E247" s="2"/>
      <c r="F247" s="2"/>
      <c r="G247" s="2"/>
      <c r="H247" s="2"/>
      <c r="I247" s="2"/>
      <c r="J247" s="4"/>
      <c r="K247" s="2"/>
      <c r="L247" s="2"/>
    </row>
    <row r="248" spans="1:12">
      <c r="A248" s="2"/>
      <c r="B248" s="2"/>
      <c r="C248" s="5" t="str">
        <f>IF($B248="","",IFERROR(VLOOKUP($B248,'02_Конкуренты'!$A$4:$B$203,2,FALSE),"не найдено"))</f>
        <v/>
      </c>
      <c r="D248" s="2"/>
      <c r="E248" s="2"/>
      <c r="F248" s="2"/>
      <c r="G248" s="2"/>
      <c r="H248" s="2"/>
      <c r="I248" s="2"/>
      <c r="J248" s="4"/>
      <c r="K248" s="2"/>
      <c r="L248" s="2"/>
    </row>
    <row r="249" spans="1:12">
      <c r="A249" s="2"/>
      <c r="B249" s="2"/>
      <c r="C249" s="5" t="str">
        <f>IF($B249="","",IFERROR(VLOOKUP($B249,'02_Конкуренты'!$A$4:$B$203,2,FALSE),"не найдено"))</f>
        <v/>
      </c>
      <c r="D249" s="2"/>
      <c r="E249" s="2"/>
      <c r="F249" s="2"/>
      <c r="G249" s="2"/>
      <c r="H249" s="2"/>
      <c r="I249" s="2"/>
      <c r="J249" s="4"/>
      <c r="K249" s="2"/>
      <c r="L249" s="2"/>
    </row>
    <row r="250" spans="1:12">
      <c r="A250" s="2"/>
      <c r="B250" s="2"/>
      <c r="C250" s="5" t="str">
        <f>IF($B250="","",IFERROR(VLOOKUP($B250,'02_Конкуренты'!$A$4:$B$203,2,FALSE),"не найдено"))</f>
        <v/>
      </c>
      <c r="D250" s="2"/>
      <c r="E250" s="2"/>
      <c r="F250" s="2"/>
      <c r="G250" s="2"/>
      <c r="H250" s="2"/>
      <c r="I250" s="2"/>
      <c r="J250" s="4"/>
      <c r="K250" s="2"/>
      <c r="L250" s="2"/>
    </row>
    <row r="251" spans="1:12">
      <c r="A251" s="2"/>
      <c r="B251" s="2"/>
      <c r="C251" s="5" t="str">
        <f>IF($B251="","",IFERROR(VLOOKUP($B251,'02_Конкуренты'!$A$4:$B$203,2,FALSE),"не найдено"))</f>
        <v/>
      </c>
      <c r="D251" s="2"/>
      <c r="E251" s="2"/>
      <c r="F251" s="2"/>
      <c r="G251" s="2"/>
      <c r="H251" s="2"/>
      <c r="I251" s="2"/>
      <c r="J251" s="4"/>
      <c r="K251" s="2"/>
      <c r="L251" s="2"/>
    </row>
    <row r="252" spans="1:12">
      <c r="A252" s="2"/>
      <c r="B252" s="2"/>
      <c r="C252" s="5" t="str">
        <f>IF($B252="","",IFERROR(VLOOKUP($B252,'02_Конкуренты'!$A$4:$B$203,2,FALSE),"не найдено"))</f>
        <v/>
      </c>
      <c r="D252" s="2"/>
      <c r="E252" s="2"/>
      <c r="F252" s="2"/>
      <c r="G252" s="2"/>
      <c r="H252" s="2"/>
      <c r="I252" s="2"/>
      <c r="J252" s="4"/>
      <c r="K252" s="2"/>
      <c r="L252" s="2"/>
    </row>
    <row r="253" spans="1:12">
      <c r="A253" s="2"/>
      <c r="B253" s="2"/>
      <c r="C253" s="5" t="str">
        <f>IF($B253="","",IFERROR(VLOOKUP($B253,'02_Конкуренты'!$A$4:$B$203,2,FALSE),"не найдено"))</f>
        <v/>
      </c>
      <c r="D253" s="2"/>
      <c r="E253" s="2"/>
      <c r="F253" s="2"/>
      <c r="G253" s="2"/>
      <c r="H253" s="2"/>
      <c r="I253" s="2"/>
      <c r="J253" s="4"/>
      <c r="K253" s="2"/>
      <c r="L253" s="2"/>
    </row>
    <row r="254" spans="1:12">
      <c r="A254" s="2"/>
      <c r="B254" s="2"/>
      <c r="C254" s="5" t="str">
        <f>IF($B254="","",IFERROR(VLOOKUP($B254,'02_Конкуренты'!$A$4:$B$203,2,FALSE),"не найдено"))</f>
        <v/>
      </c>
      <c r="D254" s="2"/>
      <c r="E254" s="2"/>
      <c r="F254" s="2"/>
      <c r="G254" s="2"/>
      <c r="H254" s="2"/>
      <c r="I254" s="2"/>
      <c r="J254" s="4"/>
      <c r="K254" s="2"/>
      <c r="L254" s="2"/>
    </row>
    <row r="255" spans="1:12">
      <c r="A255" s="2"/>
      <c r="B255" s="2"/>
      <c r="C255" s="5" t="str">
        <f>IF($B255="","",IFERROR(VLOOKUP($B255,'02_Конкуренты'!$A$4:$B$203,2,FALSE),"не найдено"))</f>
        <v/>
      </c>
      <c r="D255" s="2"/>
      <c r="E255" s="2"/>
      <c r="F255" s="2"/>
      <c r="G255" s="2"/>
      <c r="H255" s="2"/>
      <c r="I255" s="2"/>
      <c r="J255" s="4"/>
      <c r="K255" s="2"/>
      <c r="L255" s="2"/>
    </row>
    <row r="256" spans="1:12">
      <c r="A256" s="2"/>
      <c r="B256" s="2"/>
      <c r="C256" s="5" t="str">
        <f>IF($B256="","",IFERROR(VLOOKUP($B256,'02_Конкуренты'!$A$4:$B$203,2,FALSE),"не найдено"))</f>
        <v/>
      </c>
      <c r="D256" s="2"/>
      <c r="E256" s="2"/>
      <c r="F256" s="2"/>
      <c r="G256" s="2"/>
      <c r="H256" s="2"/>
      <c r="I256" s="2"/>
      <c r="J256" s="4"/>
      <c r="K256" s="2"/>
      <c r="L256" s="2"/>
    </row>
    <row r="257" spans="1:12">
      <c r="A257" s="2"/>
      <c r="B257" s="2"/>
      <c r="C257" s="5" t="str">
        <f>IF($B257="","",IFERROR(VLOOKUP($B257,'02_Конкуренты'!$A$4:$B$203,2,FALSE),"не найдено"))</f>
        <v/>
      </c>
      <c r="D257" s="2"/>
      <c r="E257" s="2"/>
      <c r="F257" s="2"/>
      <c r="G257" s="2"/>
      <c r="H257" s="2"/>
      <c r="I257" s="2"/>
      <c r="J257" s="4"/>
      <c r="K257" s="2"/>
      <c r="L257" s="2"/>
    </row>
    <row r="258" spans="1:12">
      <c r="A258" s="2"/>
      <c r="B258" s="2"/>
      <c r="C258" s="5" t="str">
        <f>IF($B258="","",IFERROR(VLOOKUP($B258,'02_Конкуренты'!$A$4:$B$203,2,FALSE),"не найдено"))</f>
        <v/>
      </c>
      <c r="D258" s="2"/>
      <c r="E258" s="2"/>
      <c r="F258" s="2"/>
      <c r="G258" s="2"/>
      <c r="H258" s="2"/>
      <c r="I258" s="2"/>
      <c r="J258" s="4"/>
      <c r="K258" s="2"/>
      <c r="L258" s="2"/>
    </row>
    <row r="259" spans="1:12">
      <c r="A259" s="2"/>
      <c r="B259" s="2"/>
      <c r="C259" s="5" t="str">
        <f>IF($B259="","",IFERROR(VLOOKUP($B259,'02_Конкуренты'!$A$4:$B$203,2,FALSE),"не найдено"))</f>
        <v/>
      </c>
      <c r="D259" s="2"/>
      <c r="E259" s="2"/>
      <c r="F259" s="2"/>
      <c r="G259" s="2"/>
      <c r="H259" s="2"/>
      <c r="I259" s="2"/>
      <c r="J259" s="4"/>
      <c r="K259" s="2"/>
      <c r="L259" s="2"/>
    </row>
    <row r="260" spans="1:12">
      <c r="A260" s="2"/>
      <c r="B260" s="2"/>
      <c r="C260" s="5" t="str">
        <f>IF($B260="","",IFERROR(VLOOKUP($B260,'02_Конкуренты'!$A$4:$B$203,2,FALSE),"не найдено"))</f>
        <v/>
      </c>
      <c r="D260" s="2"/>
      <c r="E260" s="2"/>
      <c r="F260" s="2"/>
      <c r="G260" s="2"/>
      <c r="H260" s="2"/>
      <c r="I260" s="2"/>
      <c r="J260" s="4"/>
      <c r="K260" s="2"/>
      <c r="L260" s="2"/>
    </row>
    <row r="261" spans="1:12">
      <c r="A261" s="2"/>
      <c r="B261" s="2"/>
      <c r="C261" s="5" t="str">
        <f>IF($B261="","",IFERROR(VLOOKUP($B261,'02_Конкуренты'!$A$4:$B$203,2,FALSE),"не найдено"))</f>
        <v/>
      </c>
      <c r="D261" s="2"/>
      <c r="E261" s="2"/>
      <c r="F261" s="2"/>
      <c r="G261" s="2"/>
      <c r="H261" s="2"/>
      <c r="I261" s="2"/>
      <c r="J261" s="4"/>
      <c r="K261" s="2"/>
      <c r="L261" s="2"/>
    </row>
    <row r="262" spans="1:12">
      <c r="A262" s="2"/>
      <c r="B262" s="2"/>
      <c r="C262" s="5" t="str">
        <f>IF($B262="","",IFERROR(VLOOKUP($B262,'02_Конкуренты'!$A$4:$B$203,2,FALSE),"не найдено"))</f>
        <v/>
      </c>
      <c r="D262" s="2"/>
      <c r="E262" s="2"/>
      <c r="F262" s="2"/>
      <c r="G262" s="2"/>
      <c r="H262" s="2"/>
      <c r="I262" s="2"/>
      <c r="J262" s="4"/>
      <c r="K262" s="2"/>
      <c r="L262" s="2"/>
    </row>
    <row r="263" spans="1:12">
      <c r="A263" s="2"/>
      <c r="B263" s="2"/>
      <c r="C263" s="5" t="str">
        <f>IF($B263="","",IFERROR(VLOOKUP($B263,'02_Конкуренты'!$A$4:$B$203,2,FALSE),"не найдено"))</f>
        <v/>
      </c>
      <c r="D263" s="2"/>
      <c r="E263" s="2"/>
      <c r="F263" s="2"/>
      <c r="G263" s="2"/>
      <c r="H263" s="2"/>
      <c r="I263" s="2"/>
      <c r="J263" s="4"/>
      <c r="K263" s="2"/>
      <c r="L263" s="2"/>
    </row>
    <row r="264" spans="1:12">
      <c r="A264" s="2"/>
      <c r="B264" s="2"/>
      <c r="C264" s="5" t="str">
        <f>IF($B264="","",IFERROR(VLOOKUP($B264,'02_Конкуренты'!$A$4:$B$203,2,FALSE),"не найдено"))</f>
        <v/>
      </c>
      <c r="D264" s="2"/>
      <c r="E264" s="2"/>
      <c r="F264" s="2"/>
      <c r="G264" s="2"/>
      <c r="H264" s="2"/>
      <c r="I264" s="2"/>
      <c r="J264" s="4"/>
      <c r="K264" s="2"/>
      <c r="L264" s="2"/>
    </row>
    <row r="265" spans="1:12">
      <c r="A265" s="2"/>
      <c r="B265" s="2"/>
      <c r="C265" s="5" t="str">
        <f>IF($B265="","",IFERROR(VLOOKUP($B265,'02_Конкуренты'!$A$4:$B$203,2,FALSE),"не найдено"))</f>
        <v/>
      </c>
      <c r="D265" s="2"/>
      <c r="E265" s="2"/>
      <c r="F265" s="2"/>
      <c r="G265" s="2"/>
      <c r="H265" s="2"/>
      <c r="I265" s="2"/>
      <c r="J265" s="4"/>
      <c r="K265" s="2"/>
      <c r="L265" s="2"/>
    </row>
    <row r="266" spans="1:12">
      <c r="A266" s="2"/>
      <c r="B266" s="2"/>
      <c r="C266" s="5" t="str">
        <f>IF($B266="","",IFERROR(VLOOKUP($B266,'02_Конкуренты'!$A$4:$B$203,2,FALSE),"не найдено"))</f>
        <v/>
      </c>
      <c r="D266" s="2"/>
      <c r="E266" s="2"/>
      <c r="F266" s="2"/>
      <c r="G266" s="2"/>
      <c r="H266" s="2"/>
      <c r="I266" s="2"/>
      <c r="J266" s="4"/>
      <c r="K266" s="2"/>
      <c r="L266" s="2"/>
    </row>
    <row r="267" spans="1:12">
      <c r="A267" s="2"/>
      <c r="B267" s="2"/>
      <c r="C267" s="5" t="str">
        <f>IF($B267="","",IFERROR(VLOOKUP($B267,'02_Конкуренты'!$A$4:$B$203,2,FALSE),"не найдено"))</f>
        <v/>
      </c>
      <c r="D267" s="2"/>
      <c r="E267" s="2"/>
      <c r="F267" s="2"/>
      <c r="G267" s="2"/>
      <c r="H267" s="2"/>
      <c r="I267" s="2"/>
      <c r="J267" s="4"/>
      <c r="K267" s="2"/>
      <c r="L267" s="2"/>
    </row>
    <row r="268" spans="1:12">
      <c r="A268" s="2"/>
      <c r="B268" s="2"/>
      <c r="C268" s="5" t="str">
        <f>IF($B268="","",IFERROR(VLOOKUP($B268,'02_Конкуренты'!$A$4:$B$203,2,FALSE),"не найдено"))</f>
        <v/>
      </c>
      <c r="D268" s="2"/>
      <c r="E268" s="2"/>
      <c r="F268" s="2"/>
      <c r="G268" s="2"/>
      <c r="H268" s="2"/>
      <c r="I268" s="2"/>
      <c r="J268" s="4"/>
      <c r="K268" s="2"/>
      <c r="L268" s="2"/>
    </row>
    <row r="269" spans="1:12">
      <c r="A269" s="2"/>
      <c r="B269" s="2"/>
      <c r="C269" s="5" t="str">
        <f>IF($B269="","",IFERROR(VLOOKUP($B269,'02_Конкуренты'!$A$4:$B$203,2,FALSE),"не найдено"))</f>
        <v/>
      </c>
      <c r="D269" s="2"/>
      <c r="E269" s="2"/>
      <c r="F269" s="2"/>
      <c r="G269" s="2"/>
      <c r="H269" s="2"/>
      <c r="I269" s="2"/>
      <c r="J269" s="4"/>
      <c r="K269" s="2"/>
      <c r="L269" s="2"/>
    </row>
    <row r="270" spans="1:12">
      <c r="A270" s="2"/>
      <c r="B270" s="2"/>
      <c r="C270" s="5" t="str">
        <f>IF($B270="","",IFERROR(VLOOKUP($B270,'02_Конкуренты'!$A$4:$B$203,2,FALSE),"не найдено"))</f>
        <v/>
      </c>
      <c r="D270" s="2"/>
      <c r="E270" s="2"/>
      <c r="F270" s="2"/>
      <c r="G270" s="2"/>
      <c r="H270" s="2"/>
      <c r="I270" s="2"/>
      <c r="J270" s="4"/>
      <c r="K270" s="2"/>
      <c r="L270" s="2"/>
    </row>
    <row r="271" spans="1:12">
      <c r="A271" s="2"/>
      <c r="B271" s="2"/>
      <c r="C271" s="5" t="str">
        <f>IF($B271="","",IFERROR(VLOOKUP($B271,'02_Конкуренты'!$A$4:$B$203,2,FALSE),"не найдено"))</f>
        <v/>
      </c>
      <c r="D271" s="2"/>
      <c r="E271" s="2"/>
      <c r="F271" s="2"/>
      <c r="G271" s="2"/>
      <c r="H271" s="2"/>
      <c r="I271" s="2"/>
      <c r="J271" s="4"/>
      <c r="K271" s="2"/>
      <c r="L271" s="2"/>
    </row>
    <row r="272" spans="1:12">
      <c r="A272" s="2"/>
      <c r="B272" s="2"/>
      <c r="C272" s="5" t="str">
        <f>IF($B272="","",IFERROR(VLOOKUP($B272,'02_Конкуренты'!$A$4:$B$203,2,FALSE),"не найдено"))</f>
        <v/>
      </c>
      <c r="D272" s="2"/>
      <c r="E272" s="2"/>
      <c r="F272" s="2"/>
      <c r="G272" s="2"/>
      <c r="H272" s="2"/>
      <c r="I272" s="2"/>
      <c r="J272" s="4"/>
      <c r="K272" s="2"/>
      <c r="L272" s="2"/>
    </row>
    <row r="273" spans="1:12">
      <c r="A273" s="2"/>
      <c r="B273" s="2"/>
      <c r="C273" s="5" t="str">
        <f>IF($B273="","",IFERROR(VLOOKUP($B273,'02_Конкуренты'!$A$4:$B$203,2,FALSE),"не найдено"))</f>
        <v/>
      </c>
      <c r="D273" s="2"/>
      <c r="E273" s="2"/>
      <c r="F273" s="2"/>
      <c r="G273" s="2"/>
      <c r="H273" s="2"/>
      <c r="I273" s="2"/>
      <c r="J273" s="4"/>
      <c r="K273" s="2"/>
      <c r="L273" s="2"/>
    </row>
    <row r="274" spans="1:12">
      <c r="A274" s="2"/>
      <c r="B274" s="2"/>
      <c r="C274" s="5" t="str">
        <f>IF($B274="","",IFERROR(VLOOKUP($B274,'02_Конкуренты'!$A$4:$B$203,2,FALSE),"не найдено"))</f>
        <v/>
      </c>
      <c r="D274" s="2"/>
      <c r="E274" s="2"/>
      <c r="F274" s="2"/>
      <c r="G274" s="2"/>
      <c r="H274" s="2"/>
      <c r="I274" s="2"/>
      <c r="J274" s="4"/>
      <c r="K274" s="2"/>
      <c r="L274" s="2"/>
    </row>
    <row r="275" spans="1:12">
      <c r="A275" s="2"/>
      <c r="B275" s="2"/>
      <c r="C275" s="5" t="str">
        <f>IF($B275="","",IFERROR(VLOOKUP($B275,'02_Конкуренты'!$A$4:$B$203,2,FALSE),"не найдено"))</f>
        <v/>
      </c>
      <c r="D275" s="2"/>
      <c r="E275" s="2"/>
      <c r="F275" s="2"/>
      <c r="G275" s="2"/>
      <c r="H275" s="2"/>
      <c r="I275" s="2"/>
      <c r="J275" s="4"/>
      <c r="K275" s="2"/>
      <c r="L275" s="2"/>
    </row>
    <row r="276" spans="1:12">
      <c r="A276" s="2"/>
      <c r="B276" s="2"/>
      <c r="C276" s="5" t="str">
        <f>IF($B276="","",IFERROR(VLOOKUP($B276,'02_Конкуренты'!$A$4:$B$203,2,FALSE),"не найдено"))</f>
        <v/>
      </c>
      <c r="D276" s="2"/>
      <c r="E276" s="2"/>
      <c r="F276" s="2"/>
      <c r="G276" s="2"/>
      <c r="H276" s="2"/>
      <c r="I276" s="2"/>
      <c r="J276" s="4"/>
      <c r="K276" s="2"/>
      <c r="L276" s="2"/>
    </row>
    <row r="277" spans="1:12">
      <c r="A277" s="2"/>
      <c r="B277" s="2"/>
      <c r="C277" s="5" t="str">
        <f>IF($B277="","",IFERROR(VLOOKUP($B277,'02_Конкуренты'!$A$4:$B$203,2,FALSE),"не найдено"))</f>
        <v/>
      </c>
      <c r="D277" s="2"/>
      <c r="E277" s="2"/>
      <c r="F277" s="2"/>
      <c r="G277" s="2"/>
      <c r="H277" s="2"/>
      <c r="I277" s="2"/>
      <c r="J277" s="4"/>
      <c r="K277" s="2"/>
      <c r="L277" s="2"/>
    </row>
    <row r="278" spans="1:12">
      <c r="A278" s="2"/>
      <c r="B278" s="2"/>
      <c r="C278" s="5" t="str">
        <f>IF($B278="","",IFERROR(VLOOKUP($B278,'02_Конкуренты'!$A$4:$B$203,2,FALSE),"не найдено"))</f>
        <v/>
      </c>
      <c r="D278" s="2"/>
      <c r="E278" s="2"/>
      <c r="F278" s="2"/>
      <c r="G278" s="2"/>
      <c r="H278" s="2"/>
      <c r="I278" s="2"/>
      <c r="J278" s="4"/>
      <c r="K278" s="2"/>
      <c r="L278" s="2"/>
    </row>
    <row r="279" spans="1:12">
      <c r="A279" s="2"/>
      <c r="B279" s="2"/>
      <c r="C279" s="5" t="str">
        <f>IF($B279="","",IFERROR(VLOOKUP($B279,'02_Конкуренты'!$A$4:$B$203,2,FALSE),"не найдено"))</f>
        <v/>
      </c>
      <c r="D279" s="2"/>
      <c r="E279" s="2"/>
      <c r="F279" s="2"/>
      <c r="G279" s="2"/>
      <c r="H279" s="2"/>
      <c r="I279" s="2"/>
      <c r="J279" s="4"/>
      <c r="K279" s="2"/>
      <c r="L279" s="2"/>
    </row>
    <row r="280" spans="1:12">
      <c r="A280" s="2"/>
      <c r="B280" s="2"/>
      <c r="C280" s="5" t="str">
        <f>IF($B280="","",IFERROR(VLOOKUP($B280,'02_Конкуренты'!$A$4:$B$203,2,FALSE),"не найдено"))</f>
        <v/>
      </c>
      <c r="D280" s="2"/>
      <c r="E280" s="2"/>
      <c r="F280" s="2"/>
      <c r="G280" s="2"/>
      <c r="H280" s="2"/>
      <c r="I280" s="2"/>
      <c r="J280" s="4"/>
      <c r="K280" s="2"/>
      <c r="L280" s="2"/>
    </row>
    <row r="281" spans="1:12">
      <c r="A281" s="2"/>
      <c r="B281" s="2"/>
      <c r="C281" s="5" t="str">
        <f>IF($B281="","",IFERROR(VLOOKUP($B281,'02_Конкуренты'!$A$4:$B$203,2,FALSE),"не найдено"))</f>
        <v/>
      </c>
      <c r="D281" s="2"/>
      <c r="E281" s="2"/>
      <c r="F281" s="2"/>
      <c r="G281" s="2"/>
      <c r="H281" s="2"/>
      <c r="I281" s="2"/>
      <c r="J281" s="4"/>
      <c r="K281" s="2"/>
      <c r="L281" s="2"/>
    </row>
    <row r="282" spans="1:12">
      <c r="A282" s="2"/>
      <c r="B282" s="2"/>
      <c r="C282" s="5" t="str">
        <f>IF($B282="","",IFERROR(VLOOKUP($B282,'02_Конкуренты'!$A$4:$B$203,2,FALSE),"не найдено"))</f>
        <v/>
      </c>
      <c r="D282" s="2"/>
      <c r="E282" s="2"/>
      <c r="F282" s="2"/>
      <c r="G282" s="2"/>
      <c r="H282" s="2"/>
      <c r="I282" s="2"/>
      <c r="J282" s="4"/>
      <c r="K282" s="2"/>
      <c r="L282" s="2"/>
    </row>
    <row r="283" spans="1:12">
      <c r="A283" s="2"/>
      <c r="B283" s="2"/>
      <c r="C283" s="5" t="str">
        <f>IF($B283="","",IFERROR(VLOOKUP($B283,'02_Конкуренты'!$A$4:$B$203,2,FALSE),"не найдено"))</f>
        <v/>
      </c>
      <c r="D283" s="2"/>
      <c r="E283" s="2"/>
      <c r="F283" s="2"/>
      <c r="G283" s="2"/>
      <c r="H283" s="2"/>
      <c r="I283" s="2"/>
      <c r="J283" s="4"/>
      <c r="K283" s="2"/>
      <c r="L283" s="2"/>
    </row>
    <row r="284" spans="1:12">
      <c r="A284" s="2"/>
      <c r="B284" s="2"/>
      <c r="C284" s="5" t="str">
        <f>IF($B284="","",IFERROR(VLOOKUP($B284,'02_Конкуренты'!$A$4:$B$203,2,FALSE),"не найдено"))</f>
        <v/>
      </c>
      <c r="D284" s="2"/>
      <c r="E284" s="2"/>
      <c r="F284" s="2"/>
      <c r="G284" s="2"/>
      <c r="H284" s="2"/>
      <c r="I284" s="2"/>
      <c r="J284" s="4"/>
      <c r="K284" s="2"/>
      <c r="L284" s="2"/>
    </row>
    <row r="285" spans="1:12">
      <c r="A285" s="2"/>
      <c r="B285" s="2"/>
      <c r="C285" s="5" t="str">
        <f>IF($B285="","",IFERROR(VLOOKUP($B285,'02_Конкуренты'!$A$4:$B$203,2,FALSE),"не найдено"))</f>
        <v/>
      </c>
      <c r="D285" s="2"/>
      <c r="E285" s="2"/>
      <c r="F285" s="2"/>
      <c r="G285" s="2"/>
      <c r="H285" s="2"/>
      <c r="I285" s="2"/>
      <c r="J285" s="4"/>
      <c r="K285" s="2"/>
      <c r="L285" s="2"/>
    </row>
    <row r="286" spans="1:12">
      <c r="A286" s="2"/>
      <c r="B286" s="2"/>
      <c r="C286" s="5" t="str">
        <f>IF($B286="","",IFERROR(VLOOKUP($B286,'02_Конкуренты'!$A$4:$B$203,2,FALSE),"не найдено"))</f>
        <v/>
      </c>
      <c r="D286" s="2"/>
      <c r="E286" s="2"/>
      <c r="F286" s="2"/>
      <c r="G286" s="2"/>
      <c r="H286" s="2"/>
      <c r="I286" s="2"/>
      <c r="J286" s="4"/>
      <c r="K286" s="2"/>
      <c r="L286" s="2"/>
    </row>
    <row r="287" spans="1:12">
      <c r="A287" s="2"/>
      <c r="B287" s="2"/>
      <c r="C287" s="5" t="str">
        <f>IF($B287="","",IFERROR(VLOOKUP($B287,'02_Конкуренты'!$A$4:$B$203,2,FALSE),"не найдено"))</f>
        <v/>
      </c>
      <c r="D287" s="2"/>
      <c r="E287" s="2"/>
      <c r="F287" s="2"/>
      <c r="G287" s="2"/>
      <c r="H287" s="2"/>
      <c r="I287" s="2"/>
      <c r="J287" s="4"/>
      <c r="K287" s="2"/>
      <c r="L287" s="2"/>
    </row>
    <row r="288" spans="1:12">
      <c r="A288" s="2"/>
      <c r="B288" s="2"/>
      <c r="C288" s="5" t="str">
        <f>IF($B288="","",IFERROR(VLOOKUP($B288,'02_Конкуренты'!$A$4:$B$203,2,FALSE),"не найдено"))</f>
        <v/>
      </c>
      <c r="D288" s="2"/>
      <c r="E288" s="2"/>
      <c r="F288" s="2"/>
      <c r="G288" s="2"/>
      <c r="H288" s="2"/>
      <c r="I288" s="2"/>
      <c r="J288" s="4"/>
      <c r="K288" s="2"/>
      <c r="L288" s="2"/>
    </row>
    <row r="289" spans="1:12">
      <c r="A289" s="2"/>
      <c r="B289" s="2"/>
      <c r="C289" s="5" t="str">
        <f>IF($B289="","",IFERROR(VLOOKUP($B289,'02_Конкуренты'!$A$4:$B$203,2,FALSE),"не найдено"))</f>
        <v/>
      </c>
      <c r="D289" s="2"/>
      <c r="E289" s="2"/>
      <c r="F289" s="2"/>
      <c r="G289" s="2"/>
      <c r="H289" s="2"/>
      <c r="I289" s="2"/>
      <c r="J289" s="4"/>
      <c r="K289" s="2"/>
      <c r="L289" s="2"/>
    </row>
    <row r="290" spans="1:12">
      <c r="A290" s="2"/>
      <c r="B290" s="2"/>
      <c r="C290" s="5" t="str">
        <f>IF($B290="","",IFERROR(VLOOKUP($B290,'02_Конкуренты'!$A$4:$B$203,2,FALSE),"не найдено"))</f>
        <v/>
      </c>
      <c r="D290" s="2"/>
      <c r="E290" s="2"/>
      <c r="F290" s="2"/>
      <c r="G290" s="2"/>
      <c r="H290" s="2"/>
      <c r="I290" s="2"/>
      <c r="J290" s="4"/>
      <c r="K290" s="2"/>
      <c r="L290" s="2"/>
    </row>
    <row r="291" spans="1:12">
      <c r="A291" s="2"/>
      <c r="B291" s="2"/>
      <c r="C291" s="5" t="str">
        <f>IF($B291="","",IFERROR(VLOOKUP($B291,'02_Конкуренты'!$A$4:$B$203,2,FALSE),"не найдено"))</f>
        <v/>
      </c>
      <c r="D291" s="2"/>
      <c r="E291" s="2"/>
      <c r="F291" s="2"/>
      <c r="G291" s="2"/>
      <c r="H291" s="2"/>
      <c r="I291" s="2"/>
      <c r="J291" s="4"/>
      <c r="K291" s="2"/>
      <c r="L291" s="2"/>
    </row>
    <row r="292" spans="1:12">
      <c r="A292" s="2"/>
      <c r="B292" s="2"/>
      <c r="C292" s="5" t="str">
        <f>IF($B292="","",IFERROR(VLOOKUP($B292,'02_Конкуренты'!$A$4:$B$203,2,FALSE),"не найдено"))</f>
        <v/>
      </c>
      <c r="D292" s="2"/>
      <c r="E292" s="2"/>
      <c r="F292" s="2"/>
      <c r="G292" s="2"/>
      <c r="H292" s="2"/>
      <c r="I292" s="2"/>
      <c r="J292" s="4"/>
      <c r="K292" s="2"/>
      <c r="L292" s="2"/>
    </row>
    <row r="293" spans="1:12">
      <c r="A293" s="2"/>
      <c r="B293" s="2"/>
      <c r="C293" s="5" t="str">
        <f>IF($B293="","",IFERROR(VLOOKUP($B293,'02_Конкуренты'!$A$4:$B$203,2,FALSE),"не найдено"))</f>
        <v/>
      </c>
      <c r="D293" s="2"/>
      <c r="E293" s="2"/>
      <c r="F293" s="2"/>
      <c r="G293" s="2"/>
      <c r="H293" s="2"/>
      <c r="I293" s="2"/>
      <c r="J293" s="4"/>
      <c r="K293" s="2"/>
      <c r="L293" s="2"/>
    </row>
    <row r="294" spans="1:12">
      <c r="A294" s="2"/>
      <c r="B294" s="2"/>
      <c r="C294" s="5" t="str">
        <f>IF($B294="","",IFERROR(VLOOKUP($B294,'02_Конкуренты'!$A$4:$B$203,2,FALSE),"не найдено"))</f>
        <v/>
      </c>
      <c r="D294" s="2"/>
      <c r="E294" s="2"/>
      <c r="F294" s="2"/>
      <c r="G294" s="2"/>
      <c r="H294" s="2"/>
      <c r="I294" s="2"/>
      <c r="J294" s="4"/>
      <c r="K294" s="2"/>
      <c r="L294" s="2"/>
    </row>
    <row r="295" spans="1:12">
      <c r="A295" s="2"/>
      <c r="B295" s="2"/>
      <c r="C295" s="5" t="str">
        <f>IF($B295="","",IFERROR(VLOOKUP($B295,'02_Конкуренты'!$A$4:$B$203,2,FALSE),"не найдено"))</f>
        <v/>
      </c>
      <c r="D295" s="2"/>
      <c r="E295" s="2"/>
      <c r="F295" s="2"/>
      <c r="G295" s="2"/>
      <c r="H295" s="2"/>
      <c r="I295" s="2"/>
      <c r="J295" s="4"/>
      <c r="K295" s="2"/>
      <c r="L295" s="2"/>
    </row>
    <row r="296" spans="1:12">
      <c r="A296" s="2"/>
      <c r="B296" s="2"/>
      <c r="C296" s="5" t="str">
        <f>IF($B296="","",IFERROR(VLOOKUP($B296,'02_Конкуренты'!$A$4:$B$203,2,FALSE),"не найдено"))</f>
        <v/>
      </c>
      <c r="D296" s="2"/>
      <c r="E296" s="2"/>
      <c r="F296" s="2"/>
      <c r="G296" s="2"/>
      <c r="H296" s="2"/>
      <c r="I296" s="2"/>
      <c r="J296" s="4"/>
      <c r="K296" s="2"/>
      <c r="L296" s="2"/>
    </row>
    <row r="297" spans="1:12">
      <c r="A297" s="2"/>
      <c r="B297" s="2"/>
      <c r="C297" s="5" t="str">
        <f>IF($B297="","",IFERROR(VLOOKUP($B297,'02_Конкуренты'!$A$4:$B$203,2,FALSE),"не найдено"))</f>
        <v/>
      </c>
      <c r="D297" s="2"/>
      <c r="E297" s="2"/>
      <c r="F297" s="2"/>
      <c r="G297" s="2"/>
      <c r="H297" s="2"/>
      <c r="I297" s="2"/>
      <c r="J297" s="4"/>
      <c r="K297" s="2"/>
      <c r="L297" s="2"/>
    </row>
    <row r="298" spans="1:12">
      <c r="A298" s="2"/>
      <c r="B298" s="2"/>
      <c r="C298" s="5" t="str">
        <f>IF($B298="","",IFERROR(VLOOKUP($B298,'02_Конкуренты'!$A$4:$B$203,2,FALSE),"не найдено"))</f>
        <v/>
      </c>
      <c r="D298" s="2"/>
      <c r="E298" s="2"/>
      <c r="F298" s="2"/>
      <c r="G298" s="2"/>
      <c r="H298" s="2"/>
      <c r="I298" s="2"/>
      <c r="J298" s="4"/>
      <c r="K298" s="2"/>
      <c r="L298" s="2"/>
    </row>
    <row r="299" spans="1:12">
      <c r="A299" s="2"/>
      <c r="B299" s="2"/>
      <c r="C299" s="5" t="str">
        <f>IF($B299="","",IFERROR(VLOOKUP($B299,'02_Конкуренты'!$A$4:$B$203,2,FALSE),"не найдено"))</f>
        <v/>
      </c>
      <c r="D299" s="2"/>
      <c r="E299" s="2"/>
      <c r="F299" s="2"/>
      <c r="G299" s="2"/>
      <c r="H299" s="2"/>
      <c r="I299" s="2"/>
      <c r="J299" s="4"/>
      <c r="K299" s="2"/>
      <c r="L299" s="2"/>
    </row>
    <row r="300" spans="1:12">
      <c r="A300" s="2"/>
      <c r="B300" s="2"/>
      <c r="C300" s="5" t="str">
        <f>IF($B300="","",IFERROR(VLOOKUP($B300,'02_Конкуренты'!$A$4:$B$203,2,FALSE),"не найдено"))</f>
        <v/>
      </c>
      <c r="D300" s="2"/>
      <c r="E300" s="2"/>
      <c r="F300" s="2"/>
      <c r="G300" s="2"/>
      <c r="H300" s="2"/>
      <c r="I300" s="2"/>
      <c r="J300" s="4"/>
      <c r="K300" s="2"/>
      <c r="L300" s="2"/>
    </row>
    <row r="301" spans="1:12">
      <c r="A301" s="2"/>
      <c r="B301" s="2"/>
      <c r="C301" s="5" t="str">
        <f>IF($B301="","",IFERROR(VLOOKUP($B301,'02_Конкуренты'!$A$4:$B$203,2,FALSE),"не найдено"))</f>
        <v/>
      </c>
      <c r="D301" s="2"/>
      <c r="E301" s="2"/>
      <c r="F301" s="2"/>
      <c r="G301" s="2"/>
      <c r="H301" s="2"/>
      <c r="I301" s="2"/>
      <c r="J301" s="4"/>
      <c r="K301" s="2"/>
      <c r="L301" s="2"/>
    </row>
    <row r="302" spans="1:12">
      <c r="A302" s="2"/>
      <c r="B302" s="2"/>
      <c r="C302" s="5" t="str">
        <f>IF($B302="","",IFERROR(VLOOKUP($B302,'02_Конкуренты'!$A$4:$B$203,2,FALSE),"не найдено"))</f>
        <v/>
      </c>
      <c r="D302" s="2"/>
      <c r="E302" s="2"/>
      <c r="F302" s="2"/>
      <c r="G302" s="2"/>
      <c r="H302" s="2"/>
      <c r="I302" s="2"/>
      <c r="J302" s="4"/>
      <c r="K302" s="2"/>
      <c r="L302" s="2"/>
    </row>
    <row r="303" spans="1:12">
      <c r="A303" s="2"/>
      <c r="B303" s="2"/>
      <c r="C303" s="5" t="str">
        <f>IF($B303="","",IFERROR(VLOOKUP($B303,'02_Конкуренты'!$A$4:$B$203,2,FALSE),"не найдено"))</f>
        <v/>
      </c>
      <c r="D303" s="2"/>
      <c r="E303" s="2"/>
      <c r="F303" s="2"/>
      <c r="G303" s="2"/>
      <c r="H303" s="2"/>
      <c r="I303" s="2"/>
      <c r="J303" s="4"/>
      <c r="K303" s="2"/>
      <c r="L303" s="2"/>
    </row>
    <row r="304" spans="1:12">
      <c r="A304" s="2"/>
      <c r="B304" s="2"/>
      <c r="C304" s="5" t="str">
        <f>IF($B304="","",IFERROR(VLOOKUP($B304,'02_Конкуренты'!$A$4:$B$203,2,FALSE),"не найдено"))</f>
        <v/>
      </c>
      <c r="D304" s="2"/>
      <c r="E304" s="2"/>
      <c r="F304" s="2"/>
      <c r="G304" s="2"/>
      <c r="H304" s="2"/>
      <c r="I304" s="2"/>
      <c r="J304" s="4"/>
      <c r="K304" s="2"/>
      <c r="L304" s="2"/>
    </row>
    <row r="305" spans="1:12">
      <c r="A305" s="2"/>
      <c r="B305" s="2"/>
      <c r="C305" s="5" t="str">
        <f>IF($B305="","",IFERROR(VLOOKUP($B305,'02_Конкуренты'!$A$4:$B$203,2,FALSE),"не найдено"))</f>
        <v/>
      </c>
      <c r="D305" s="2"/>
      <c r="E305" s="2"/>
      <c r="F305" s="2"/>
      <c r="G305" s="2"/>
      <c r="H305" s="2"/>
      <c r="I305" s="2"/>
      <c r="J305" s="4"/>
      <c r="K305" s="2"/>
      <c r="L305" s="2"/>
    </row>
    <row r="306" spans="1:12">
      <c r="A306" s="2"/>
      <c r="B306" s="2"/>
      <c r="C306" s="5" t="str">
        <f>IF($B306="","",IFERROR(VLOOKUP($B306,'02_Конкуренты'!$A$4:$B$203,2,FALSE),"не найдено"))</f>
        <v/>
      </c>
      <c r="D306" s="2"/>
      <c r="E306" s="2"/>
      <c r="F306" s="2"/>
      <c r="G306" s="2"/>
      <c r="H306" s="2"/>
      <c r="I306" s="2"/>
      <c r="J306" s="4"/>
      <c r="K306" s="2"/>
      <c r="L306" s="2"/>
    </row>
    <row r="307" spans="1:12">
      <c r="A307" s="2"/>
      <c r="B307" s="2"/>
      <c r="C307" s="5" t="str">
        <f>IF($B307="","",IFERROR(VLOOKUP($B307,'02_Конкуренты'!$A$4:$B$203,2,FALSE),"не найдено"))</f>
        <v/>
      </c>
      <c r="D307" s="2"/>
      <c r="E307" s="2"/>
      <c r="F307" s="2"/>
      <c r="G307" s="2"/>
      <c r="H307" s="2"/>
      <c r="I307" s="2"/>
      <c r="J307" s="4"/>
      <c r="K307" s="2"/>
      <c r="L307" s="2"/>
    </row>
    <row r="308" spans="1:12">
      <c r="A308" s="2"/>
      <c r="B308" s="2"/>
      <c r="C308" s="5" t="str">
        <f>IF($B308="","",IFERROR(VLOOKUP($B308,'02_Конкуренты'!$A$4:$B$203,2,FALSE),"не найдено"))</f>
        <v/>
      </c>
      <c r="D308" s="2"/>
      <c r="E308" s="2"/>
      <c r="F308" s="2"/>
      <c r="G308" s="2"/>
      <c r="H308" s="2"/>
      <c r="I308" s="2"/>
      <c r="J308" s="4"/>
      <c r="K308" s="2"/>
      <c r="L308" s="2"/>
    </row>
    <row r="309" spans="1:12">
      <c r="A309" s="2"/>
      <c r="B309" s="2"/>
      <c r="C309" s="5" t="str">
        <f>IF($B309="","",IFERROR(VLOOKUP($B309,'02_Конкуренты'!$A$4:$B$203,2,FALSE),"не найдено"))</f>
        <v/>
      </c>
      <c r="D309" s="2"/>
      <c r="E309" s="2"/>
      <c r="F309" s="2"/>
      <c r="G309" s="2"/>
      <c r="H309" s="2"/>
      <c r="I309" s="2"/>
      <c r="J309" s="4"/>
      <c r="K309" s="2"/>
      <c r="L309" s="2"/>
    </row>
    <row r="310" spans="1:12">
      <c r="A310" s="2"/>
      <c r="B310" s="2"/>
      <c r="C310" s="5" t="str">
        <f>IF($B310="","",IFERROR(VLOOKUP($B310,'02_Конкуренты'!$A$4:$B$203,2,FALSE),"не найдено"))</f>
        <v/>
      </c>
      <c r="D310" s="2"/>
      <c r="E310" s="2"/>
      <c r="F310" s="2"/>
      <c r="G310" s="2"/>
      <c r="H310" s="2"/>
      <c r="I310" s="2"/>
      <c r="J310" s="4"/>
      <c r="K310" s="2"/>
      <c r="L310" s="2"/>
    </row>
    <row r="311" spans="1:12">
      <c r="A311" s="2"/>
      <c r="B311" s="2"/>
      <c r="C311" s="5" t="str">
        <f>IF($B311="","",IFERROR(VLOOKUP($B311,'02_Конкуренты'!$A$4:$B$203,2,FALSE),"не найдено"))</f>
        <v/>
      </c>
      <c r="D311" s="2"/>
      <c r="E311" s="2"/>
      <c r="F311" s="2"/>
      <c r="G311" s="2"/>
      <c r="H311" s="2"/>
      <c r="I311" s="2"/>
      <c r="J311" s="4"/>
      <c r="K311" s="2"/>
      <c r="L311" s="2"/>
    </row>
    <row r="312" spans="1:12">
      <c r="A312" s="2"/>
      <c r="B312" s="2"/>
      <c r="C312" s="5" t="str">
        <f>IF($B312="","",IFERROR(VLOOKUP($B312,'02_Конкуренты'!$A$4:$B$203,2,FALSE),"не найдено"))</f>
        <v/>
      </c>
      <c r="D312" s="2"/>
      <c r="E312" s="2"/>
      <c r="F312" s="2"/>
      <c r="G312" s="2"/>
      <c r="H312" s="2"/>
      <c r="I312" s="2"/>
      <c r="J312" s="4"/>
      <c r="K312" s="2"/>
      <c r="L312" s="2"/>
    </row>
    <row r="313" spans="1:12">
      <c r="A313" s="2"/>
      <c r="B313" s="2"/>
      <c r="C313" s="5" t="str">
        <f>IF($B313="","",IFERROR(VLOOKUP($B313,'02_Конкуренты'!$A$4:$B$203,2,FALSE),"не найдено"))</f>
        <v/>
      </c>
      <c r="D313" s="2"/>
      <c r="E313" s="2"/>
      <c r="F313" s="2"/>
      <c r="G313" s="2"/>
      <c r="H313" s="2"/>
      <c r="I313" s="2"/>
      <c r="J313" s="4"/>
      <c r="K313" s="2"/>
      <c r="L313" s="2"/>
    </row>
    <row r="314" spans="1:12">
      <c r="A314" s="2"/>
      <c r="B314" s="2"/>
      <c r="C314" s="5" t="str">
        <f>IF($B314="","",IFERROR(VLOOKUP($B314,'02_Конкуренты'!$A$4:$B$203,2,FALSE),"не найдено"))</f>
        <v/>
      </c>
      <c r="D314" s="2"/>
      <c r="E314" s="2"/>
      <c r="F314" s="2"/>
      <c r="G314" s="2"/>
      <c r="H314" s="2"/>
      <c r="I314" s="2"/>
      <c r="J314" s="4"/>
      <c r="K314" s="2"/>
      <c r="L314" s="2"/>
    </row>
    <row r="315" spans="1:12">
      <c r="A315" s="2"/>
      <c r="B315" s="2"/>
      <c r="C315" s="5" t="str">
        <f>IF($B315="","",IFERROR(VLOOKUP($B315,'02_Конкуренты'!$A$4:$B$203,2,FALSE),"не найдено"))</f>
        <v/>
      </c>
      <c r="D315" s="2"/>
      <c r="E315" s="2"/>
      <c r="F315" s="2"/>
      <c r="G315" s="2"/>
      <c r="H315" s="2"/>
      <c r="I315" s="2"/>
      <c r="J315" s="4"/>
      <c r="K315" s="2"/>
      <c r="L315" s="2"/>
    </row>
    <row r="316" spans="1:12">
      <c r="A316" s="2"/>
      <c r="B316" s="2"/>
      <c r="C316" s="5" t="str">
        <f>IF($B316="","",IFERROR(VLOOKUP($B316,'02_Конкуренты'!$A$4:$B$203,2,FALSE),"не найдено"))</f>
        <v/>
      </c>
      <c r="D316" s="2"/>
      <c r="E316" s="2"/>
      <c r="F316" s="2"/>
      <c r="G316" s="2"/>
      <c r="H316" s="2"/>
      <c r="I316" s="2"/>
      <c r="J316" s="4"/>
      <c r="K316" s="2"/>
      <c r="L316" s="2"/>
    </row>
    <row r="317" spans="1:12">
      <c r="A317" s="2"/>
      <c r="B317" s="2"/>
      <c r="C317" s="5" t="str">
        <f>IF($B317="","",IFERROR(VLOOKUP($B317,'02_Конкуренты'!$A$4:$B$203,2,FALSE),"не найдено"))</f>
        <v/>
      </c>
      <c r="D317" s="2"/>
      <c r="E317" s="2"/>
      <c r="F317" s="2"/>
      <c r="G317" s="2"/>
      <c r="H317" s="2"/>
      <c r="I317" s="2"/>
      <c r="J317" s="4"/>
      <c r="K317" s="2"/>
      <c r="L317" s="2"/>
    </row>
    <row r="318" spans="1:12">
      <c r="A318" s="2"/>
      <c r="B318" s="2"/>
      <c r="C318" s="5" t="str">
        <f>IF($B318="","",IFERROR(VLOOKUP($B318,'02_Конкуренты'!$A$4:$B$203,2,FALSE),"не найдено"))</f>
        <v/>
      </c>
      <c r="D318" s="2"/>
      <c r="E318" s="2"/>
      <c r="F318" s="2"/>
      <c r="G318" s="2"/>
      <c r="H318" s="2"/>
      <c r="I318" s="2"/>
      <c r="J318" s="4"/>
      <c r="K318" s="2"/>
      <c r="L318" s="2"/>
    </row>
    <row r="319" spans="1:12">
      <c r="A319" s="2"/>
      <c r="B319" s="2"/>
      <c r="C319" s="5" t="str">
        <f>IF($B319="","",IFERROR(VLOOKUP($B319,'02_Конкуренты'!$A$4:$B$203,2,FALSE),"не найдено"))</f>
        <v/>
      </c>
      <c r="D319" s="2"/>
      <c r="E319" s="2"/>
      <c r="F319" s="2"/>
      <c r="G319" s="2"/>
      <c r="H319" s="2"/>
      <c r="I319" s="2"/>
      <c r="J319" s="4"/>
      <c r="K319" s="2"/>
      <c r="L319" s="2"/>
    </row>
    <row r="320" spans="1:12">
      <c r="A320" s="2"/>
      <c r="B320" s="2"/>
      <c r="C320" s="5" t="str">
        <f>IF($B320="","",IFERROR(VLOOKUP($B320,'02_Конкуренты'!$A$4:$B$203,2,FALSE),"не найдено"))</f>
        <v/>
      </c>
      <c r="D320" s="2"/>
      <c r="E320" s="2"/>
      <c r="F320" s="2"/>
      <c r="G320" s="2"/>
      <c r="H320" s="2"/>
      <c r="I320" s="2"/>
      <c r="J320" s="4"/>
      <c r="K320" s="2"/>
      <c r="L320" s="2"/>
    </row>
    <row r="321" spans="1:12">
      <c r="A321" s="2"/>
      <c r="B321" s="2"/>
      <c r="C321" s="5" t="str">
        <f>IF($B321="","",IFERROR(VLOOKUP($B321,'02_Конкуренты'!$A$4:$B$203,2,FALSE),"не найдено"))</f>
        <v/>
      </c>
      <c r="D321" s="2"/>
      <c r="E321" s="2"/>
      <c r="F321" s="2"/>
      <c r="G321" s="2"/>
      <c r="H321" s="2"/>
      <c r="I321" s="2"/>
      <c r="J321" s="4"/>
      <c r="K321" s="2"/>
      <c r="L321" s="2"/>
    </row>
    <row r="322" spans="1:12">
      <c r="A322" s="2"/>
      <c r="B322" s="2"/>
      <c r="C322" s="5" t="str">
        <f>IF($B322="","",IFERROR(VLOOKUP($B322,'02_Конкуренты'!$A$4:$B$203,2,FALSE),"не найдено"))</f>
        <v/>
      </c>
      <c r="D322" s="2"/>
      <c r="E322" s="2"/>
      <c r="F322" s="2"/>
      <c r="G322" s="2"/>
      <c r="H322" s="2"/>
      <c r="I322" s="2"/>
      <c r="J322" s="4"/>
      <c r="K322" s="2"/>
      <c r="L322" s="2"/>
    </row>
    <row r="323" spans="1:12">
      <c r="A323" s="2"/>
      <c r="B323" s="2"/>
      <c r="C323" s="5" t="str">
        <f>IF($B323="","",IFERROR(VLOOKUP($B323,'02_Конкуренты'!$A$4:$B$203,2,FALSE),"не найдено"))</f>
        <v/>
      </c>
      <c r="D323" s="2"/>
      <c r="E323" s="2"/>
      <c r="F323" s="2"/>
      <c r="G323" s="2"/>
      <c r="H323" s="2"/>
      <c r="I323" s="2"/>
      <c r="J323" s="4"/>
      <c r="K323" s="2"/>
      <c r="L323" s="2"/>
    </row>
    <row r="324" spans="1:12">
      <c r="A324" s="2"/>
      <c r="B324" s="2"/>
      <c r="C324" s="5" t="str">
        <f>IF($B324="","",IFERROR(VLOOKUP($B324,'02_Конкуренты'!$A$4:$B$203,2,FALSE),"не найдено"))</f>
        <v/>
      </c>
      <c r="D324" s="2"/>
      <c r="E324" s="2"/>
      <c r="F324" s="2"/>
      <c r="G324" s="2"/>
      <c r="H324" s="2"/>
      <c r="I324" s="2"/>
      <c r="J324" s="4"/>
      <c r="K324" s="2"/>
      <c r="L324" s="2"/>
    </row>
    <row r="325" spans="1:12">
      <c r="A325" s="2"/>
      <c r="B325" s="2"/>
      <c r="C325" s="5" t="str">
        <f>IF($B325="","",IFERROR(VLOOKUP($B325,'02_Конкуренты'!$A$4:$B$203,2,FALSE),"не найдено"))</f>
        <v/>
      </c>
      <c r="D325" s="2"/>
      <c r="E325" s="2"/>
      <c r="F325" s="2"/>
      <c r="G325" s="2"/>
      <c r="H325" s="2"/>
      <c r="I325" s="2"/>
      <c r="J325" s="4"/>
      <c r="K325" s="2"/>
      <c r="L325" s="2"/>
    </row>
    <row r="326" spans="1:12">
      <c r="A326" s="2"/>
      <c r="B326" s="2"/>
      <c r="C326" s="5" t="str">
        <f>IF($B326="","",IFERROR(VLOOKUP($B326,'02_Конкуренты'!$A$4:$B$203,2,FALSE),"не найдено"))</f>
        <v/>
      </c>
      <c r="D326" s="2"/>
      <c r="E326" s="2"/>
      <c r="F326" s="2"/>
      <c r="G326" s="2"/>
      <c r="H326" s="2"/>
      <c r="I326" s="2"/>
      <c r="J326" s="4"/>
      <c r="K326" s="2"/>
      <c r="L326" s="2"/>
    </row>
    <row r="327" spans="1:12">
      <c r="A327" s="2"/>
      <c r="B327" s="2"/>
      <c r="C327" s="5" t="str">
        <f>IF($B327="","",IFERROR(VLOOKUP($B327,'02_Конкуренты'!$A$4:$B$203,2,FALSE),"не найдено"))</f>
        <v/>
      </c>
      <c r="D327" s="2"/>
      <c r="E327" s="2"/>
      <c r="F327" s="2"/>
      <c r="G327" s="2"/>
      <c r="H327" s="2"/>
      <c r="I327" s="2"/>
      <c r="J327" s="4"/>
      <c r="K327" s="2"/>
      <c r="L327" s="2"/>
    </row>
    <row r="328" spans="1:12">
      <c r="A328" s="2"/>
      <c r="B328" s="2"/>
      <c r="C328" s="5" t="str">
        <f>IF($B328="","",IFERROR(VLOOKUP($B328,'02_Конкуренты'!$A$4:$B$203,2,FALSE),"не найдено"))</f>
        <v/>
      </c>
      <c r="D328" s="2"/>
      <c r="E328" s="2"/>
      <c r="F328" s="2"/>
      <c r="G328" s="2"/>
      <c r="H328" s="2"/>
      <c r="I328" s="2"/>
      <c r="J328" s="4"/>
      <c r="K328" s="2"/>
      <c r="L328" s="2"/>
    </row>
    <row r="329" spans="1:12">
      <c r="A329" s="2"/>
      <c r="B329" s="2"/>
      <c r="C329" s="5" t="str">
        <f>IF($B329="","",IFERROR(VLOOKUP($B329,'02_Конкуренты'!$A$4:$B$203,2,FALSE),"не найдено"))</f>
        <v/>
      </c>
      <c r="D329" s="2"/>
      <c r="E329" s="2"/>
      <c r="F329" s="2"/>
      <c r="G329" s="2"/>
      <c r="H329" s="2"/>
      <c r="I329" s="2"/>
      <c r="J329" s="4"/>
      <c r="K329" s="2"/>
      <c r="L329" s="2"/>
    </row>
    <row r="330" spans="1:12">
      <c r="A330" s="2"/>
      <c r="B330" s="2"/>
      <c r="C330" s="5" t="str">
        <f>IF($B330="","",IFERROR(VLOOKUP($B330,'02_Конкуренты'!$A$4:$B$203,2,FALSE),"не найдено"))</f>
        <v/>
      </c>
      <c r="D330" s="2"/>
      <c r="E330" s="2"/>
      <c r="F330" s="2"/>
      <c r="G330" s="2"/>
      <c r="H330" s="2"/>
      <c r="I330" s="2"/>
      <c r="J330" s="4"/>
      <c r="K330" s="2"/>
      <c r="L330" s="2"/>
    </row>
    <row r="331" spans="1:12">
      <c r="A331" s="2"/>
      <c r="B331" s="2"/>
      <c r="C331" s="5" t="str">
        <f>IF($B331="","",IFERROR(VLOOKUP($B331,'02_Конкуренты'!$A$4:$B$203,2,FALSE),"не найдено"))</f>
        <v/>
      </c>
      <c r="D331" s="2"/>
      <c r="E331" s="2"/>
      <c r="F331" s="2"/>
      <c r="G331" s="2"/>
      <c r="H331" s="2"/>
      <c r="I331" s="2"/>
      <c r="J331" s="4"/>
      <c r="K331" s="2"/>
      <c r="L331" s="2"/>
    </row>
    <row r="332" spans="1:12">
      <c r="A332" s="2"/>
      <c r="B332" s="2"/>
      <c r="C332" s="5" t="str">
        <f>IF($B332="","",IFERROR(VLOOKUP($B332,'02_Конкуренты'!$A$4:$B$203,2,FALSE),"не найдено"))</f>
        <v/>
      </c>
      <c r="D332" s="2"/>
      <c r="E332" s="2"/>
      <c r="F332" s="2"/>
      <c r="G332" s="2"/>
      <c r="H332" s="2"/>
      <c r="I332" s="2"/>
      <c r="J332" s="4"/>
      <c r="K332" s="2"/>
      <c r="L332" s="2"/>
    </row>
    <row r="333" spans="1:12">
      <c r="A333" s="2"/>
      <c r="B333" s="2"/>
      <c r="C333" s="5" t="str">
        <f>IF($B333="","",IFERROR(VLOOKUP($B333,'02_Конкуренты'!$A$4:$B$203,2,FALSE),"не найдено"))</f>
        <v/>
      </c>
      <c r="D333" s="2"/>
      <c r="E333" s="2"/>
      <c r="F333" s="2"/>
      <c r="G333" s="2"/>
      <c r="H333" s="2"/>
      <c r="I333" s="2"/>
      <c r="J333" s="4"/>
      <c r="K333" s="2"/>
      <c r="L333" s="2"/>
    </row>
    <row r="334" spans="1:12">
      <c r="A334" s="2"/>
      <c r="B334" s="2"/>
      <c r="C334" s="5" t="str">
        <f>IF($B334="","",IFERROR(VLOOKUP($B334,'02_Конкуренты'!$A$4:$B$203,2,FALSE),"не найдено"))</f>
        <v/>
      </c>
      <c r="D334" s="2"/>
      <c r="E334" s="2"/>
      <c r="F334" s="2"/>
      <c r="G334" s="2"/>
      <c r="H334" s="2"/>
      <c r="I334" s="2"/>
      <c r="J334" s="4"/>
      <c r="K334" s="2"/>
      <c r="L334" s="2"/>
    </row>
    <row r="335" spans="1:12">
      <c r="A335" s="2"/>
      <c r="B335" s="2"/>
      <c r="C335" s="5" t="str">
        <f>IF($B335="","",IFERROR(VLOOKUP($B335,'02_Конкуренты'!$A$4:$B$203,2,FALSE),"не найдено"))</f>
        <v/>
      </c>
      <c r="D335" s="2"/>
      <c r="E335" s="2"/>
      <c r="F335" s="2"/>
      <c r="G335" s="2"/>
      <c r="H335" s="2"/>
      <c r="I335" s="2"/>
      <c r="J335" s="4"/>
      <c r="K335" s="2"/>
      <c r="L335" s="2"/>
    </row>
    <row r="336" spans="1:12">
      <c r="A336" s="2"/>
      <c r="B336" s="2"/>
      <c r="C336" s="5" t="str">
        <f>IF($B336="","",IFERROR(VLOOKUP($B336,'02_Конкуренты'!$A$4:$B$203,2,FALSE),"не найдено"))</f>
        <v/>
      </c>
      <c r="D336" s="2"/>
      <c r="E336" s="2"/>
      <c r="F336" s="2"/>
      <c r="G336" s="2"/>
      <c r="H336" s="2"/>
      <c r="I336" s="2"/>
      <c r="J336" s="4"/>
      <c r="K336" s="2"/>
      <c r="L336" s="2"/>
    </row>
    <row r="337" spans="1:12">
      <c r="A337" s="2"/>
      <c r="B337" s="2"/>
      <c r="C337" s="5" t="str">
        <f>IF($B337="","",IFERROR(VLOOKUP($B337,'02_Конкуренты'!$A$4:$B$203,2,FALSE),"не найдено"))</f>
        <v/>
      </c>
      <c r="D337" s="2"/>
      <c r="E337" s="2"/>
      <c r="F337" s="2"/>
      <c r="G337" s="2"/>
      <c r="H337" s="2"/>
      <c r="I337" s="2"/>
      <c r="J337" s="4"/>
      <c r="K337" s="2"/>
      <c r="L337" s="2"/>
    </row>
    <row r="338" spans="1:12">
      <c r="A338" s="2"/>
      <c r="B338" s="2"/>
      <c r="C338" s="5" t="str">
        <f>IF($B338="","",IFERROR(VLOOKUP($B338,'02_Конкуренты'!$A$4:$B$203,2,FALSE),"не найдено"))</f>
        <v/>
      </c>
      <c r="D338" s="2"/>
      <c r="E338" s="2"/>
      <c r="F338" s="2"/>
      <c r="G338" s="2"/>
      <c r="H338" s="2"/>
      <c r="I338" s="2"/>
      <c r="J338" s="4"/>
      <c r="K338" s="2"/>
      <c r="L338" s="2"/>
    </row>
    <row r="339" spans="1:12">
      <c r="A339" s="2"/>
      <c r="B339" s="2"/>
      <c r="C339" s="5" t="str">
        <f>IF($B339="","",IFERROR(VLOOKUP($B339,'02_Конкуренты'!$A$4:$B$203,2,FALSE),"не найдено"))</f>
        <v/>
      </c>
      <c r="D339" s="2"/>
      <c r="E339" s="2"/>
      <c r="F339" s="2"/>
      <c r="G339" s="2"/>
      <c r="H339" s="2"/>
      <c r="I339" s="2"/>
      <c r="J339" s="4"/>
      <c r="K339" s="2"/>
      <c r="L339" s="2"/>
    </row>
    <row r="340" spans="1:12">
      <c r="A340" s="2"/>
      <c r="B340" s="2"/>
      <c r="C340" s="5" t="str">
        <f>IF($B340="","",IFERROR(VLOOKUP($B340,'02_Конкуренты'!$A$4:$B$203,2,FALSE),"не найдено"))</f>
        <v/>
      </c>
      <c r="D340" s="2"/>
      <c r="E340" s="2"/>
      <c r="F340" s="2"/>
      <c r="G340" s="2"/>
      <c r="H340" s="2"/>
      <c r="I340" s="2"/>
      <c r="J340" s="4"/>
      <c r="K340" s="2"/>
      <c r="L340" s="2"/>
    </row>
    <row r="341" spans="1:12">
      <c r="A341" s="2"/>
      <c r="B341" s="2"/>
      <c r="C341" s="5" t="str">
        <f>IF($B341="","",IFERROR(VLOOKUP($B341,'02_Конкуренты'!$A$4:$B$203,2,FALSE),"не найдено"))</f>
        <v/>
      </c>
      <c r="D341" s="2"/>
      <c r="E341" s="2"/>
      <c r="F341" s="2"/>
      <c r="G341" s="2"/>
      <c r="H341" s="2"/>
      <c r="I341" s="2"/>
      <c r="J341" s="4"/>
      <c r="K341" s="2"/>
      <c r="L341" s="2"/>
    </row>
    <row r="342" spans="1:12">
      <c r="A342" s="2"/>
      <c r="B342" s="2"/>
      <c r="C342" s="5" t="str">
        <f>IF($B342="","",IFERROR(VLOOKUP($B342,'02_Конкуренты'!$A$4:$B$203,2,FALSE),"не найдено"))</f>
        <v/>
      </c>
      <c r="D342" s="2"/>
      <c r="E342" s="2"/>
      <c r="F342" s="2"/>
      <c r="G342" s="2"/>
      <c r="H342" s="2"/>
      <c r="I342" s="2"/>
      <c r="J342" s="4"/>
      <c r="K342" s="2"/>
      <c r="L342" s="2"/>
    </row>
    <row r="343" spans="1:12">
      <c r="A343" s="2"/>
      <c r="B343" s="2"/>
      <c r="C343" s="5" t="str">
        <f>IF($B343="","",IFERROR(VLOOKUP($B343,'02_Конкуренты'!$A$4:$B$203,2,FALSE),"не найдено"))</f>
        <v/>
      </c>
      <c r="D343" s="2"/>
      <c r="E343" s="2"/>
      <c r="F343" s="2"/>
      <c r="G343" s="2"/>
      <c r="H343" s="2"/>
      <c r="I343" s="2"/>
      <c r="J343" s="4"/>
      <c r="K343" s="2"/>
      <c r="L343" s="2"/>
    </row>
    <row r="344" spans="1:12">
      <c r="A344" s="2"/>
      <c r="B344" s="2"/>
      <c r="C344" s="5" t="str">
        <f>IF($B344="","",IFERROR(VLOOKUP($B344,'02_Конкуренты'!$A$4:$B$203,2,FALSE),"не найдено"))</f>
        <v/>
      </c>
      <c r="D344" s="2"/>
      <c r="E344" s="2"/>
      <c r="F344" s="2"/>
      <c r="G344" s="2"/>
      <c r="H344" s="2"/>
      <c r="I344" s="2"/>
      <c r="J344" s="4"/>
      <c r="K344" s="2"/>
      <c r="L344" s="2"/>
    </row>
    <row r="345" spans="1:12">
      <c r="A345" s="2"/>
      <c r="B345" s="2"/>
      <c r="C345" s="5" t="str">
        <f>IF($B345="","",IFERROR(VLOOKUP($B345,'02_Конкуренты'!$A$4:$B$203,2,FALSE),"не найдено"))</f>
        <v/>
      </c>
      <c r="D345" s="2"/>
      <c r="E345" s="2"/>
      <c r="F345" s="2"/>
      <c r="G345" s="2"/>
      <c r="H345" s="2"/>
      <c r="I345" s="2"/>
      <c r="J345" s="4"/>
      <c r="K345" s="2"/>
      <c r="L345" s="2"/>
    </row>
    <row r="346" spans="1:12">
      <c r="A346" s="2"/>
      <c r="B346" s="2"/>
      <c r="C346" s="5" t="str">
        <f>IF($B346="","",IFERROR(VLOOKUP($B346,'02_Конкуренты'!$A$4:$B$203,2,FALSE),"не найдено"))</f>
        <v/>
      </c>
      <c r="D346" s="2"/>
      <c r="E346" s="2"/>
      <c r="F346" s="2"/>
      <c r="G346" s="2"/>
      <c r="H346" s="2"/>
      <c r="I346" s="2"/>
      <c r="J346" s="4"/>
      <c r="K346" s="2"/>
      <c r="L346" s="2"/>
    </row>
    <row r="347" spans="1:12">
      <c r="A347" s="2"/>
      <c r="B347" s="2"/>
      <c r="C347" s="5" t="str">
        <f>IF($B347="","",IFERROR(VLOOKUP($B347,'02_Конкуренты'!$A$4:$B$203,2,FALSE),"не найдено"))</f>
        <v/>
      </c>
      <c r="D347" s="2"/>
      <c r="E347" s="2"/>
      <c r="F347" s="2"/>
      <c r="G347" s="2"/>
      <c r="H347" s="2"/>
      <c r="I347" s="2"/>
      <c r="J347" s="4"/>
      <c r="K347" s="2"/>
      <c r="L347" s="2"/>
    </row>
    <row r="348" spans="1:12">
      <c r="A348" s="2"/>
      <c r="B348" s="2"/>
      <c r="C348" s="5" t="str">
        <f>IF($B348="","",IFERROR(VLOOKUP($B348,'02_Конкуренты'!$A$4:$B$203,2,FALSE),"не найдено"))</f>
        <v/>
      </c>
      <c r="D348" s="2"/>
      <c r="E348" s="2"/>
      <c r="F348" s="2"/>
      <c r="G348" s="2"/>
      <c r="H348" s="2"/>
      <c r="I348" s="2"/>
      <c r="J348" s="4"/>
      <c r="K348" s="2"/>
      <c r="L348" s="2"/>
    </row>
    <row r="349" spans="1:12">
      <c r="A349" s="2"/>
      <c r="B349" s="2"/>
      <c r="C349" s="5" t="str">
        <f>IF($B349="","",IFERROR(VLOOKUP($B349,'02_Конкуренты'!$A$4:$B$203,2,FALSE),"не найдено"))</f>
        <v/>
      </c>
      <c r="D349" s="2"/>
      <c r="E349" s="2"/>
      <c r="F349" s="2"/>
      <c r="G349" s="2"/>
      <c r="H349" s="2"/>
      <c r="I349" s="2"/>
      <c r="J349" s="4"/>
      <c r="K349" s="2"/>
      <c r="L349" s="2"/>
    </row>
    <row r="350" spans="1:12">
      <c r="A350" s="2"/>
      <c r="B350" s="2"/>
      <c r="C350" s="5" t="str">
        <f>IF($B350="","",IFERROR(VLOOKUP($B350,'02_Конкуренты'!$A$4:$B$203,2,FALSE),"не найдено"))</f>
        <v/>
      </c>
      <c r="D350" s="2"/>
      <c r="E350" s="2"/>
      <c r="F350" s="2"/>
      <c r="G350" s="2"/>
      <c r="H350" s="2"/>
      <c r="I350" s="2"/>
      <c r="J350" s="4"/>
      <c r="K350" s="2"/>
      <c r="L350" s="2"/>
    </row>
    <row r="351" spans="1:12">
      <c r="A351" s="2"/>
      <c r="B351" s="2"/>
      <c r="C351" s="5" t="str">
        <f>IF($B351="","",IFERROR(VLOOKUP($B351,'02_Конкуренты'!$A$4:$B$203,2,FALSE),"не найдено"))</f>
        <v/>
      </c>
      <c r="D351" s="2"/>
      <c r="E351" s="2"/>
      <c r="F351" s="2"/>
      <c r="G351" s="2"/>
      <c r="H351" s="2"/>
      <c r="I351" s="2"/>
      <c r="J351" s="4"/>
      <c r="K351" s="2"/>
      <c r="L351" s="2"/>
    </row>
    <row r="352" spans="1:12">
      <c r="A352" s="2"/>
      <c r="B352" s="2"/>
      <c r="C352" s="5" t="str">
        <f>IF($B352="","",IFERROR(VLOOKUP($B352,'02_Конкуренты'!$A$4:$B$203,2,FALSE),"не найдено"))</f>
        <v/>
      </c>
      <c r="D352" s="2"/>
      <c r="E352" s="2"/>
      <c r="F352" s="2"/>
      <c r="G352" s="2"/>
      <c r="H352" s="2"/>
      <c r="I352" s="2"/>
      <c r="J352" s="4"/>
      <c r="K352" s="2"/>
      <c r="L352" s="2"/>
    </row>
    <row r="353" spans="1:12">
      <c r="A353" s="2"/>
      <c r="B353" s="2"/>
      <c r="C353" s="5" t="str">
        <f>IF($B353="","",IFERROR(VLOOKUP($B353,'02_Конкуренты'!$A$4:$B$203,2,FALSE),"не найдено"))</f>
        <v/>
      </c>
      <c r="D353" s="2"/>
      <c r="E353" s="2"/>
      <c r="F353" s="2"/>
      <c r="G353" s="2"/>
      <c r="H353" s="2"/>
      <c r="I353" s="2"/>
      <c r="J353" s="4"/>
      <c r="K353" s="2"/>
      <c r="L353" s="2"/>
    </row>
    <row r="354" spans="1:12">
      <c r="A354" s="2"/>
      <c r="B354" s="2"/>
      <c r="C354" s="5" t="str">
        <f>IF($B354="","",IFERROR(VLOOKUP($B354,'02_Конкуренты'!$A$4:$B$203,2,FALSE),"не найдено"))</f>
        <v/>
      </c>
      <c r="D354" s="2"/>
      <c r="E354" s="2"/>
      <c r="F354" s="2"/>
      <c r="G354" s="2"/>
      <c r="H354" s="2"/>
      <c r="I354" s="2"/>
      <c r="J354" s="4"/>
      <c r="K354" s="2"/>
      <c r="L354" s="2"/>
    </row>
    <row r="355" spans="1:12">
      <c r="A355" s="2"/>
      <c r="B355" s="2"/>
      <c r="C355" s="5" t="str">
        <f>IF($B355="","",IFERROR(VLOOKUP($B355,'02_Конкуренты'!$A$4:$B$203,2,FALSE),"не найдено"))</f>
        <v/>
      </c>
      <c r="D355" s="2"/>
      <c r="E355" s="2"/>
      <c r="F355" s="2"/>
      <c r="G355" s="2"/>
      <c r="H355" s="2"/>
      <c r="I355" s="2"/>
      <c r="J355" s="4"/>
      <c r="K355" s="2"/>
      <c r="L355" s="2"/>
    </row>
    <row r="356" spans="1:12">
      <c r="A356" s="2"/>
      <c r="B356" s="2"/>
      <c r="C356" s="5" t="str">
        <f>IF($B356="","",IFERROR(VLOOKUP($B356,'02_Конкуренты'!$A$4:$B$203,2,FALSE),"не найдено"))</f>
        <v/>
      </c>
      <c r="D356" s="2"/>
      <c r="E356" s="2"/>
      <c r="F356" s="2"/>
      <c r="G356" s="2"/>
      <c r="H356" s="2"/>
      <c r="I356" s="2"/>
      <c r="J356" s="4"/>
      <c r="K356" s="2"/>
      <c r="L356" s="2"/>
    </row>
    <row r="357" spans="1:12">
      <c r="A357" s="2"/>
      <c r="B357" s="2"/>
      <c r="C357" s="5" t="str">
        <f>IF($B357="","",IFERROR(VLOOKUP($B357,'02_Конкуренты'!$A$4:$B$203,2,FALSE),"не найдено"))</f>
        <v/>
      </c>
      <c r="D357" s="2"/>
      <c r="E357" s="2"/>
      <c r="F357" s="2"/>
      <c r="G357" s="2"/>
      <c r="H357" s="2"/>
      <c r="I357" s="2"/>
      <c r="J357" s="4"/>
      <c r="K357" s="2"/>
      <c r="L357" s="2"/>
    </row>
    <row r="358" spans="1:12">
      <c r="A358" s="2"/>
      <c r="B358" s="2"/>
      <c r="C358" s="5" t="str">
        <f>IF($B358="","",IFERROR(VLOOKUP($B358,'02_Конкуренты'!$A$4:$B$203,2,FALSE),"не найдено"))</f>
        <v/>
      </c>
      <c r="D358" s="2"/>
      <c r="E358" s="2"/>
      <c r="F358" s="2"/>
      <c r="G358" s="2"/>
      <c r="H358" s="2"/>
      <c r="I358" s="2"/>
      <c r="J358" s="4"/>
      <c r="K358" s="2"/>
      <c r="L358" s="2"/>
    </row>
    <row r="359" spans="1:12">
      <c r="A359" s="2"/>
      <c r="B359" s="2"/>
      <c r="C359" s="5" t="str">
        <f>IF($B359="","",IFERROR(VLOOKUP($B359,'02_Конкуренты'!$A$4:$B$203,2,FALSE),"не найдено"))</f>
        <v/>
      </c>
      <c r="D359" s="2"/>
      <c r="E359" s="2"/>
      <c r="F359" s="2"/>
      <c r="G359" s="2"/>
      <c r="H359" s="2"/>
      <c r="I359" s="2"/>
      <c r="J359" s="4"/>
      <c r="K359" s="2"/>
      <c r="L359" s="2"/>
    </row>
    <row r="360" spans="1:12">
      <c r="A360" s="2"/>
      <c r="B360" s="2"/>
      <c r="C360" s="5" t="str">
        <f>IF($B360="","",IFERROR(VLOOKUP($B360,'02_Конкуренты'!$A$4:$B$203,2,FALSE),"не найдено"))</f>
        <v/>
      </c>
      <c r="D360" s="2"/>
      <c r="E360" s="2"/>
      <c r="F360" s="2"/>
      <c r="G360" s="2"/>
      <c r="H360" s="2"/>
      <c r="I360" s="2"/>
      <c r="J360" s="4"/>
      <c r="K360" s="2"/>
      <c r="L360" s="2"/>
    </row>
    <row r="361" spans="1:12">
      <c r="A361" s="2"/>
      <c r="B361" s="2"/>
      <c r="C361" s="5" t="str">
        <f>IF($B361="","",IFERROR(VLOOKUP($B361,'02_Конкуренты'!$A$4:$B$203,2,FALSE),"не найдено"))</f>
        <v/>
      </c>
      <c r="D361" s="2"/>
      <c r="E361" s="2"/>
      <c r="F361" s="2"/>
      <c r="G361" s="2"/>
      <c r="H361" s="2"/>
      <c r="I361" s="2"/>
      <c r="J361" s="4"/>
      <c r="K361" s="2"/>
      <c r="L361" s="2"/>
    </row>
    <row r="362" spans="1:12">
      <c r="A362" s="2"/>
      <c r="B362" s="2"/>
      <c r="C362" s="5" t="str">
        <f>IF($B362="","",IFERROR(VLOOKUP($B362,'02_Конкуренты'!$A$4:$B$203,2,FALSE),"не найдено"))</f>
        <v/>
      </c>
      <c r="D362" s="2"/>
      <c r="E362" s="2"/>
      <c r="F362" s="2"/>
      <c r="G362" s="2"/>
      <c r="H362" s="2"/>
      <c r="I362" s="2"/>
      <c r="J362" s="4"/>
      <c r="K362" s="2"/>
      <c r="L362" s="2"/>
    </row>
    <row r="363" spans="1:12">
      <c r="A363" s="2"/>
      <c r="B363" s="2"/>
      <c r="C363" s="5" t="str">
        <f>IF($B363="","",IFERROR(VLOOKUP($B363,'02_Конкуренты'!$A$4:$B$203,2,FALSE),"не найдено"))</f>
        <v/>
      </c>
      <c r="D363" s="2"/>
      <c r="E363" s="2"/>
      <c r="F363" s="2"/>
      <c r="G363" s="2"/>
      <c r="H363" s="2"/>
      <c r="I363" s="2"/>
      <c r="J363" s="4"/>
      <c r="K363" s="2"/>
      <c r="L363" s="2"/>
    </row>
    <row r="364" spans="1:12">
      <c r="A364" s="2"/>
      <c r="B364" s="2"/>
      <c r="C364" s="5" t="str">
        <f>IF($B364="","",IFERROR(VLOOKUP($B364,'02_Конкуренты'!$A$4:$B$203,2,FALSE),"не найдено"))</f>
        <v/>
      </c>
      <c r="D364" s="2"/>
      <c r="E364" s="2"/>
      <c r="F364" s="2"/>
      <c r="G364" s="2"/>
      <c r="H364" s="2"/>
      <c r="I364" s="2"/>
      <c r="J364" s="4"/>
      <c r="K364" s="2"/>
      <c r="L364" s="2"/>
    </row>
    <row r="365" spans="1:12">
      <c r="A365" s="2"/>
      <c r="B365" s="2"/>
      <c r="C365" s="5" t="str">
        <f>IF($B365="","",IFERROR(VLOOKUP($B365,'02_Конкуренты'!$A$4:$B$203,2,FALSE),"не найдено"))</f>
        <v/>
      </c>
      <c r="D365" s="2"/>
      <c r="E365" s="2"/>
      <c r="F365" s="2"/>
      <c r="G365" s="2"/>
      <c r="H365" s="2"/>
      <c r="I365" s="2"/>
      <c r="J365" s="4"/>
      <c r="K365" s="2"/>
      <c r="L365" s="2"/>
    </row>
    <row r="366" spans="1:12">
      <c r="A366" s="2"/>
      <c r="B366" s="2"/>
      <c r="C366" s="5" t="str">
        <f>IF($B366="","",IFERROR(VLOOKUP($B366,'02_Конкуренты'!$A$4:$B$203,2,FALSE),"не найдено"))</f>
        <v/>
      </c>
      <c r="D366" s="2"/>
      <c r="E366" s="2"/>
      <c r="F366" s="2"/>
      <c r="G366" s="2"/>
      <c r="H366" s="2"/>
      <c r="I366" s="2"/>
      <c r="J366" s="4"/>
      <c r="K366" s="2"/>
      <c r="L366" s="2"/>
    </row>
    <row r="367" spans="1:12">
      <c r="A367" s="2"/>
      <c r="B367" s="2"/>
      <c r="C367" s="5" t="str">
        <f>IF($B367="","",IFERROR(VLOOKUP($B367,'02_Конкуренты'!$A$4:$B$203,2,FALSE),"не найдено"))</f>
        <v/>
      </c>
      <c r="D367" s="2"/>
      <c r="E367" s="2"/>
      <c r="F367" s="2"/>
      <c r="G367" s="2"/>
      <c r="H367" s="2"/>
      <c r="I367" s="2"/>
      <c r="J367" s="4"/>
      <c r="K367" s="2"/>
      <c r="L367" s="2"/>
    </row>
    <row r="368" spans="1:12">
      <c r="A368" s="2"/>
      <c r="B368" s="2"/>
      <c r="C368" s="5" t="str">
        <f>IF($B368="","",IFERROR(VLOOKUP($B368,'02_Конкуренты'!$A$4:$B$203,2,FALSE),"не найдено"))</f>
        <v/>
      </c>
      <c r="D368" s="2"/>
      <c r="E368" s="2"/>
      <c r="F368" s="2"/>
      <c r="G368" s="2"/>
      <c r="H368" s="2"/>
      <c r="I368" s="2"/>
      <c r="J368" s="4"/>
      <c r="K368" s="2"/>
      <c r="L368" s="2"/>
    </row>
    <row r="369" spans="1:12">
      <c r="A369" s="2"/>
      <c r="B369" s="2"/>
      <c r="C369" s="5" t="str">
        <f>IF($B369="","",IFERROR(VLOOKUP($B369,'02_Конкуренты'!$A$4:$B$203,2,FALSE),"не найдено"))</f>
        <v/>
      </c>
      <c r="D369" s="2"/>
      <c r="E369" s="2"/>
      <c r="F369" s="2"/>
      <c r="G369" s="2"/>
      <c r="H369" s="2"/>
      <c r="I369" s="2"/>
      <c r="J369" s="4"/>
      <c r="K369" s="2"/>
      <c r="L369" s="2"/>
    </row>
    <row r="370" spans="1:12">
      <c r="A370" s="2"/>
      <c r="B370" s="2"/>
      <c r="C370" s="5" t="str">
        <f>IF($B370="","",IFERROR(VLOOKUP($B370,'02_Конкуренты'!$A$4:$B$203,2,FALSE),"не найдено"))</f>
        <v/>
      </c>
      <c r="D370" s="2"/>
      <c r="E370" s="2"/>
      <c r="F370" s="2"/>
      <c r="G370" s="2"/>
      <c r="H370" s="2"/>
      <c r="I370" s="2"/>
      <c r="J370" s="4"/>
      <c r="K370" s="2"/>
      <c r="L370" s="2"/>
    </row>
    <row r="371" spans="1:12">
      <c r="A371" s="2"/>
      <c r="B371" s="2"/>
      <c r="C371" s="5" t="str">
        <f>IF($B371="","",IFERROR(VLOOKUP($B371,'02_Конкуренты'!$A$4:$B$203,2,FALSE),"не найдено"))</f>
        <v/>
      </c>
      <c r="D371" s="2"/>
      <c r="E371" s="2"/>
      <c r="F371" s="2"/>
      <c r="G371" s="2"/>
      <c r="H371" s="2"/>
      <c r="I371" s="2"/>
      <c r="J371" s="4"/>
      <c r="K371" s="2"/>
      <c r="L371" s="2"/>
    </row>
    <row r="372" spans="1:12">
      <c r="A372" s="2"/>
      <c r="B372" s="2"/>
      <c r="C372" s="5" t="str">
        <f>IF($B372="","",IFERROR(VLOOKUP($B372,'02_Конкуренты'!$A$4:$B$203,2,FALSE),"не найдено"))</f>
        <v/>
      </c>
      <c r="D372" s="2"/>
      <c r="E372" s="2"/>
      <c r="F372" s="2"/>
      <c r="G372" s="2"/>
      <c r="H372" s="2"/>
      <c r="I372" s="2"/>
      <c r="J372" s="4"/>
      <c r="K372" s="2"/>
      <c r="L372" s="2"/>
    </row>
    <row r="373" spans="1:12">
      <c r="A373" s="2"/>
      <c r="B373" s="2"/>
      <c r="C373" s="5" t="str">
        <f>IF($B373="","",IFERROR(VLOOKUP($B373,'02_Конкуренты'!$A$4:$B$203,2,FALSE),"не найдено"))</f>
        <v/>
      </c>
      <c r="D373" s="2"/>
      <c r="E373" s="2"/>
      <c r="F373" s="2"/>
      <c r="G373" s="2"/>
      <c r="H373" s="2"/>
      <c r="I373" s="2"/>
      <c r="J373" s="4"/>
      <c r="K373" s="2"/>
      <c r="L373" s="2"/>
    </row>
    <row r="374" spans="1:12">
      <c r="A374" s="2"/>
      <c r="B374" s="2"/>
      <c r="C374" s="5" t="str">
        <f>IF($B374="","",IFERROR(VLOOKUP($B374,'02_Конкуренты'!$A$4:$B$203,2,FALSE),"не найдено"))</f>
        <v/>
      </c>
      <c r="D374" s="2"/>
      <c r="E374" s="2"/>
      <c r="F374" s="2"/>
      <c r="G374" s="2"/>
      <c r="H374" s="2"/>
      <c r="I374" s="2"/>
      <c r="J374" s="4"/>
      <c r="K374" s="2"/>
      <c r="L374" s="2"/>
    </row>
    <row r="375" spans="1:12">
      <c r="A375" s="2"/>
      <c r="B375" s="2"/>
      <c r="C375" s="5" t="str">
        <f>IF($B375="","",IFERROR(VLOOKUP($B375,'02_Конкуренты'!$A$4:$B$203,2,FALSE),"не найдено"))</f>
        <v/>
      </c>
      <c r="D375" s="2"/>
      <c r="E375" s="2"/>
      <c r="F375" s="2"/>
      <c r="G375" s="2"/>
      <c r="H375" s="2"/>
      <c r="I375" s="2"/>
      <c r="J375" s="4"/>
      <c r="K375" s="2"/>
      <c r="L375" s="2"/>
    </row>
    <row r="376" spans="1:12">
      <c r="A376" s="2"/>
      <c r="B376" s="2"/>
      <c r="C376" s="5" t="str">
        <f>IF($B376="","",IFERROR(VLOOKUP($B376,'02_Конкуренты'!$A$4:$B$203,2,FALSE),"не найдено"))</f>
        <v/>
      </c>
      <c r="D376" s="2"/>
      <c r="E376" s="2"/>
      <c r="F376" s="2"/>
      <c r="G376" s="2"/>
      <c r="H376" s="2"/>
      <c r="I376" s="2"/>
      <c r="J376" s="4"/>
      <c r="K376" s="2"/>
      <c r="L376" s="2"/>
    </row>
    <row r="377" spans="1:12">
      <c r="A377" s="2"/>
      <c r="B377" s="2"/>
      <c r="C377" s="5" t="str">
        <f>IF($B377="","",IFERROR(VLOOKUP($B377,'02_Конкуренты'!$A$4:$B$203,2,FALSE),"не найдено"))</f>
        <v/>
      </c>
      <c r="D377" s="2"/>
      <c r="E377" s="2"/>
      <c r="F377" s="2"/>
      <c r="G377" s="2"/>
      <c r="H377" s="2"/>
      <c r="I377" s="2"/>
      <c r="J377" s="4"/>
      <c r="K377" s="2"/>
      <c r="L377" s="2"/>
    </row>
    <row r="378" spans="1:12">
      <c r="A378" s="2"/>
      <c r="B378" s="2"/>
      <c r="C378" s="5" t="str">
        <f>IF($B378="","",IFERROR(VLOOKUP($B378,'02_Конкуренты'!$A$4:$B$203,2,FALSE),"не найдено"))</f>
        <v/>
      </c>
      <c r="D378" s="2"/>
      <c r="E378" s="2"/>
      <c r="F378" s="2"/>
      <c r="G378" s="2"/>
      <c r="H378" s="2"/>
      <c r="I378" s="2"/>
      <c r="J378" s="4"/>
      <c r="K378" s="2"/>
      <c r="L378" s="2"/>
    </row>
    <row r="379" spans="1:12">
      <c r="A379" s="2"/>
      <c r="B379" s="2"/>
      <c r="C379" s="5" t="str">
        <f>IF($B379="","",IFERROR(VLOOKUP($B379,'02_Конкуренты'!$A$4:$B$203,2,FALSE),"не найдено"))</f>
        <v/>
      </c>
      <c r="D379" s="2"/>
      <c r="E379" s="2"/>
      <c r="F379" s="2"/>
      <c r="G379" s="2"/>
      <c r="H379" s="2"/>
      <c r="I379" s="2"/>
      <c r="J379" s="4"/>
      <c r="K379" s="2"/>
      <c r="L379" s="2"/>
    </row>
    <row r="380" spans="1:12">
      <c r="A380" s="2"/>
      <c r="B380" s="2"/>
      <c r="C380" s="5" t="str">
        <f>IF($B380="","",IFERROR(VLOOKUP($B380,'02_Конкуренты'!$A$4:$B$203,2,FALSE),"не найдено"))</f>
        <v/>
      </c>
      <c r="D380" s="2"/>
      <c r="E380" s="2"/>
      <c r="F380" s="2"/>
      <c r="G380" s="2"/>
      <c r="H380" s="2"/>
      <c r="I380" s="2"/>
      <c r="J380" s="4"/>
      <c r="K380" s="2"/>
      <c r="L380" s="2"/>
    </row>
    <row r="381" spans="1:12">
      <c r="A381" s="2"/>
      <c r="B381" s="2"/>
      <c r="C381" s="5" t="str">
        <f>IF($B381="","",IFERROR(VLOOKUP($B381,'02_Конкуренты'!$A$4:$B$203,2,FALSE),"не найдено"))</f>
        <v/>
      </c>
      <c r="D381" s="2"/>
      <c r="E381" s="2"/>
      <c r="F381" s="2"/>
      <c r="G381" s="2"/>
      <c r="H381" s="2"/>
      <c r="I381" s="2"/>
      <c r="J381" s="4"/>
      <c r="K381" s="2"/>
      <c r="L381" s="2"/>
    </row>
    <row r="382" spans="1:12">
      <c r="A382" s="2"/>
      <c r="B382" s="2"/>
      <c r="C382" s="5" t="str">
        <f>IF($B382="","",IFERROR(VLOOKUP($B382,'02_Конкуренты'!$A$4:$B$203,2,FALSE),"не найдено"))</f>
        <v/>
      </c>
      <c r="D382" s="2"/>
      <c r="E382" s="2"/>
      <c r="F382" s="2"/>
      <c r="G382" s="2"/>
      <c r="H382" s="2"/>
      <c r="I382" s="2"/>
      <c r="J382" s="4"/>
      <c r="K382" s="2"/>
      <c r="L382" s="2"/>
    </row>
    <row r="383" spans="1:12">
      <c r="A383" s="2"/>
      <c r="B383" s="2"/>
      <c r="C383" s="5" t="str">
        <f>IF($B383="","",IFERROR(VLOOKUP($B383,'02_Конкуренты'!$A$4:$B$203,2,FALSE),"не найдено"))</f>
        <v/>
      </c>
      <c r="D383" s="2"/>
      <c r="E383" s="2"/>
      <c r="F383" s="2"/>
      <c r="G383" s="2"/>
      <c r="H383" s="2"/>
      <c r="I383" s="2"/>
      <c r="J383" s="4"/>
      <c r="K383" s="2"/>
      <c r="L383" s="2"/>
    </row>
    <row r="384" spans="1:12">
      <c r="A384" s="2"/>
      <c r="B384" s="2"/>
      <c r="C384" s="5" t="str">
        <f>IF($B384="","",IFERROR(VLOOKUP($B384,'02_Конкуренты'!$A$4:$B$203,2,FALSE),"не найдено"))</f>
        <v/>
      </c>
      <c r="D384" s="2"/>
      <c r="E384" s="2"/>
      <c r="F384" s="2"/>
      <c r="G384" s="2"/>
      <c r="H384" s="2"/>
      <c r="I384" s="2"/>
      <c r="J384" s="4"/>
      <c r="K384" s="2"/>
      <c r="L384" s="2"/>
    </row>
    <row r="385" spans="1:12">
      <c r="A385" s="2"/>
      <c r="B385" s="2"/>
      <c r="C385" s="5" t="str">
        <f>IF($B385="","",IFERROR(VLOOKUP($B385,'02_Конкуренты'!$A$4:$B$203,2,FALSE),"не найдено"))</f>
        <v/>
      </c>
      <c r="D385" s="2"/>
      <c r="E385" s="2"/>
      <c r="F385" s="2"/>
      <c r="G385" s="2"/>
      <c r="H385" s="2"/>
      <c r="I385" s="2"/>
      <c r="J385" s="4"/>
      <c r="K385" s="2"/>
      <c r="L385" s="2"/>
    </row>
    <row r="386" spans="1:12">
      <c r="A386" s="2"/>
      <c r="B386" s="2"/>
      <c r="C386" s="5" t="str">
        <f>IF($B386="","",IFERROR(VLOOKUP($B386,'02_Конкуренты'!$A$4:$B$203,2,FALSE),"не найдено"))</f>
        <v/>
      </c>
      <c r="D386" s="2"/>
      <c r="E386" s="2"/>
      <c r="F386" s="2"/>
      <c r="G386" s="2"/>
      <c r="H386" s="2"/>
      <c r="I386" s="2"/>
      <c r="J386" s="4"/>
      <c r="K386" s="2"/>
      <c r="L386" s="2"/>
    </row>
    <row r="387" spans="1:12">
      <c r="A387" s="2"/>
      <c r="B387" s="2"/>
      <c r="C387" s="5" t="str">
        <f>IF($B387="","",IFERROR(VLOOKUP($B387,'02_Конкуренты'!$A$4:$B$203,2,FALSE),"не найдено"))</f>
        <v/>
      </c>
      <c r="D387" s="2"/>
      <c r="E387" s="2"/>
      <c r="F387" s="2"/>
      <c r="G387" s="2"/>
      <c r="H387" s="2"/>
      <c r="I387" s="2"/>
      <c r="J387" s="4"/>
      <c r="K387" s="2"/>
      <c r="L387" s="2"/>
    </row>
    <row r="388" spans="1:12">
      <c r="A388" s="2"/>
      <c r="B388" s="2"/>
      <c r="C388" s="5" t="str">
        <f>IF($B388="","",IFERROR(VLOOKUP($B388,'02_Конкуренты'!$A$4:$B$203,2,FALSE),"не найдено"))</f>
        <v/>
      </c>
      <c r="D388" s="2"/>
      <c r="E388" s="2"/>
      <c r="F388" s="2"/>
      <c r="G388" s="2"/>
      <c r="H388" s="2"/>
      <c r="I388" s="2"/>
      <c r="J388" s="4"/>
      <c r="K388" s="2"/>
      <c r="L388" s="2"/>
    </row>
    <row r="389" spans="1:12">
      <c r="A389" s="2"/>
      <c r="B389" s="2"/>
      <c r="C389" s="5" t="str">
        <f>IF($B389="","",IFERROR(VLOOKUP($B389,'02_Конкуренты'!$A$4:$B$203,2,FALSE),"не найдено"))</f>
        <v/>
      </c>
      <c r="D389" s="2"/>
      <c r="E389" s="2"/>
      <c r="F389" s="2"/>
      <c r="G389" s="2"/>
      <c r="H389" s="2"/>
      <c r="I389" s="2"/>
      <c r="J389" s="4"/>
      <c r="K389" s="2"/>
      <c r="L389" s="2"/>
    </row>
    <row r="390" spans="1:12">
      <c r="A390" s="2"/>
      <c r="B390" s="2"/>
      <c r="C390" s="5" t="str">
        <f>IF($B390="","",IFERROR(VLOOKUP($B390,'02_Конкуренты'!$A$4:$B$203,2,FALSE),"не найдено"))</f>
        <v/>
      </c>
      <c r="D390" s="2"/>
      <c r="E390" s="2"/>
      <c r="F390" s="2"/>
      <c r="G390" s="2"/>
      <c r="H390" s="2"/>
      <c r="I390" s="2"/>
      <c r="J390" s="4"/>
      <c r="K390" s="2"/>
      <c r="L390" s="2"/>
    </row>
    <row r="391" spans="1:12">
      <c r="A391" s="2"/>
      <c r="B391" s="2"/>
      <c r="C391" s="5" t="str">
        <f>IF($B391="","",IFERROR(VLOOKUP($B391,'02_Конкуренты'!$A$4:$B$203,2,FALSE),"не найдено"))</f>
        <v/>
      </c>
      <c r="D391" s="2"/>
      <c r="E391" s="2"/>
      <c r="F391" s="2"/>
      <c r="G391" s="2"/>
      <c r="H391" s="2"/>
      <c r="I391" s="2"/>
      <c r="J391" s="4"/>
      <c r="K391" s="2"/>
      <c r="L391" s="2"/>
    </row>
    <row r="392" spans="1:12">
      <c r="A392" s="2"/>
      <c r="B392" s="2"/>
      <c r="C392" s="5" t="str">
        <f>IF($B392="","",IFERROR(VLOOKUP($B392,'02_Конкуренты'!$A$4:$B$203,2,FALSE),"не найдено"))</f>
        <v/>
      </c>
      <c r="D392" s="2"/>
      <c r="E392" s="2"/>
      <c r="F392" s="2"/>
      <c r="G392" s="2"/>
      <c r="H392" s="2"/>
      <c r="I392" s="2"/>
      <c r="J392" s="4"/>
      <c r="K392" s="2"/>
      <c r="L392" s="2"/>
    </row>
    <row r="393" spans="1:12">
      <c r="A393" s="2"/>
      <c r="B393" s="2"/>
      <c r="C393" s="5" t="str">
        <f>IF($B393="","",IFERROR(VLOOKUP($B393,'02_Конкуренты'!$A$4:$B$203,2,FALSE),"не найдено"))</f>
        <v/>
      </c>
      <c r="D393" s="2"/>
      <c r="E393" s="2"/>
      <c r="F393" s="2"/>
      <c r="G393" s="2"/>
      <c r="H393" s="2"/>
      <c r="I393" s="2"/>
      <c r="J393" s="4"/>
      <c r="K393" s="2"/>
      <c r="L393" s="2"/>
    </row>
    <row r="394" spans="1:12">
      <c r="A394" s="2"/>
      <c r="B394" s="2"/>
      <c r="C394" s="5" t="str">
        <f>IF($B394="","",IFERROR(VLOOKUP($B394,'02_Конкуренты'!$A$4:$B$203,2,FALSE),"не найдено"))</f>
        <v/>
      </c>
      <c r="D394" s="2"/>
      <c r="E394" s="2"/>
      <c r="F394" s="2"/>
      <c r="G394" s="2"/>
      <c r="H394" s="2"/>
      <c r="I394" s="2"/>
      <c r="J394" s="4"/>
      <c r="K394" s="2"/>
      <c r="L394" s="2"/>
    </row>
    <row r="395" spans="1:12">
      <c r="A395" s="2"/>
      <c r="B395" s="2"/>
      <c r="C395" s="5" t="str">
        <f>IF($B395="","",IFERROR(VLOOKUP($B395,'02_Конкуренты'!$A$4:$B$203,2,FALSE),"не найдено"))</f>
        <v/>
      </c>
      <c r="D395" s="2"/>
      <c r="E395" s="2"/>
      <c r="F395" s="2"/>
      <c r="G395" s="2"/>
      <c r="H395" s="2"/>
      <c r="I395" s="2"/>
      <c r="J395" s="4"/>
      <c r="K395" s="2"/>
      <c r="L395" s="2"/>
    </row>
    <row r="396" spans="1:12">
      <c r="A396" s="2"/>
      <c r="B396" s="2"/>
      <c r="C396" s="5" t="str">
        <f>IF($B396="","",IFERROR(VLOOKUP($B396,'02_Конкуренты'!$A$4:$B$203,2,FALSE),"не найдено"))</f>
        <v/>
      </c>
      <c r="D396" s="2"/>
      <c r="E396" s="2"/>
      <c r="F396" s="2"/>
      <c r="G396" s="2"/>
      <c r="H396" s="2"/>
      <c r="I396" s="2"/>
      <c r="J396" s="4"/>
      <c r="K396" s="2"/>
      <c r="L396" s="2"/>
    </row>
    <row r="397" spans="1:12">
      <c r="A397" s="2"/>
      <c r="B397" s="2"/>
      <c r="C397" s="5" t="str">
        <f>IF($B397="","",IFERROR(VLOOKUP($B397,'02_Конкуренты'!$A$4:$B$203,2,FALSE),"не найдено"))</f>
        <v/>
      </c>
      <c r="D397" s="2"/>
      <c r="E397" s="2"/>
      <c r="F397" s="2"/>
      <c r="G397" s="2"/>
      <c r="H397" s="2"/>
      <c r="I397" s="2"/>
      <c r="J397" s="4"/>
      <c r="K397" s="2"/>
      <c r="L397" s="2"/>
    </row>
    <row r="398" spans="1:12">
      <c r="A398" s="2"/>
      <c r="B398" s="2"/>
      <c r="C398" s="5" t="str">
        <f>IF($B398="","",IFERROR(VLOOKUP($B398,'02_Конкуренты'!$A$4:$B$203,2,FALSE),"не найдено"))</f>
        <v/>
      </c>
      <c r="D398" s="2"/>
      <c r="E398" s="2"/>
      <c r="F398" s="2"/>
      <c r="G398" s="2"/>
      <c r="H398" s="2"/>
      <c r="I398" s="2"/>
      <c r="J398" s="4"/>
      <c r="K398" s="2"/>
      <c r="L398" s="2"/>
    </row>
    <row r="399" spans="1:12">
      <c r="A399" s="2"/>
      <c r="B399" s="2"/>
      <c r="C399" s="5" t="str">
        <f>IF($B399="","",IFERROR(VLOOKUP($B399,'02_Конкуренты'!$A$4:$B$203,2,FALSE),"не найдено"))</f>
        <v/>
      </c>
      <c r="D399" s="2"/>
      <c r="E399" s="2"/>
      <c r="F399" s="2"/>
      <c r="G399" s="2"/>
      <c r="H399" s="2"/>
      <c r="I399" s="2"/>
      <c r="J399" s="4"/>
      <c r="K399" s="2"/>
      <c r="L399" s="2"/>
    </row>
    <row r="400" spans="1:12">
      <c r="A400" s="2"/>
      <c r="B400" s="2"/>
      <c r="C400" s="5" t="str">
        <f>IF($B400="","",IFERROR(VLOOKUP($B400,'02_Конкуренты'!$A$4:$B$203,2,FALSE),"не найдено"))</f>
        <v/>
      </c>
      <c r="D400" s="2"/>
      <c r="E400" s="2"/>
      <c r="F400" s="2"/>
      <c r="G400" s="2"/>
      <c r="H400" s="2"/>
      <c r="I400" s="2"/>
      <c r="J400" s="4"/>
      <c r="K400" s="2"/>
      <c r="L400" s="2"/>
    </row>
    <row r="401" spans="1:12">
      <c r="A401" s="2"/>
      <c r="B401" s="2"/>
      <c r="C401" s="5" t="str">
        <f>IF($B401="","",IFERROR(VLOOKUP($B401,'02_Конкуренты'!$A$4:$B$203,2,FALSE),"не найдено"))</f>
        <v/>
      </c>
      <c r="D401" s="2"/>
      <c r="E401" s="2"/>
      <c r="F401" s="2"/>
      <c r="G401" s="2"/>
      <c r="H401" s="2"/>
      <c r="I401" s="2"/>
      <c r="J401" s="4"/>
      <c r="K401" s="2"/>
      <c r="L401" s="2"/>
    </row>
    <row r="402" spans="1:12">
      <c r="A402" s="2"/>
      <c r="B402" s="2"/>
      <c r="C402" s="5" t="str">
        <f>IF($B402="","",IFERROR(VLOOKUP($B402,'02_Конкуренты'!$A$4:$B$203,2,FALSE),"не найдено"))</f>
        <v/>
      </c>
      <c r="D402" s="2"/>
      <c r="E402" s="2"/>
      <c r="F402" s="2"/>
      <c r="G402" s="2"/>
      <c r="H402" s="2"/>
      <c r="I402" s="2"/>
      <c r="J402" s="4"/>
      <c r="K402" s="2"/>
      <c r="L402" s="2"/>
    </row>
    <row r="403" spans="1:12">
      <c r="A403" s="2"/>
      <c r="B403" s="2"/>
      <c r="C403" s="5" t="str">
        <f>IF($B403="","",IFERROR(VLOOKUP($B403,'02_Конкуренты'!$A$4:$B$203,2,FALSE),"не найдено"))</f>
        <v/>
      </c>
      <c r="D403" s="2"/>
      <c r="E403" s="2"/>
      <c r="F403" s="2"/>
      <c r="G403" s="2"/>
      <c r="H403" s="2"/>
      <c r="I403" s="2"/>
      <c r="J403" s="4"/>
      <c r="K403" s="2"/>
      <c r="L403" s="2"/>
    </row>
    <row r="404" spans="1:12">
      <c r="A404" s="2"/>
      <c r="B404" s="2"/>
      <c r="C404" s="5" t="str">
        <f>IF($B404="","",IFERROR(VLOOKUP($B404,'02_Конкуренты'!$A$4:$B$203,2,FALSE),"не найдено"))</f>
        <v/>
      </c>
      <c r="D404" s="2"/>
      <c r="E404" s="2"/>
      <c r="F404" s="2"/>
      <c r="G404" s="2"/>
      <c r="H404" s="2"/>
      <c r="I404" s="2"/>
      <c r="J404" s="4"/>
      <c r="K404" s="2"/>
      <c r="L404" s="2"/>
    </row>
    <row r="405" spans="1:12">
      <c r="A405" s="2"/>
      <c r="B405" s="2"/>
      <c r="C405" s="5" t="str">
        <f>IF($B405="","",IFERROR(VLOOKUP($B405,'02_Конкуренты'!$A$4:$B$203,2,FALSE),"не найдено"))</f>
        <v/>
      </c>
      <c r="D405" s="2"/>
      <c r="E405" s="2"/>
      <c r="F405" s="2"/>
      <c r="G405" s="2"/>
      <c r="H405" s="2"/>
      <c r="I405" s="2"/>
      <c r="J405" s="4"/>
      <c r="K405" s="2"/>
      <c r="L405" s="2"/>
    </row>
    <row r="406" spans="1:12">
      <c r="A406" s="2"/>
      <c r="B406" s="2"/>
      <c r="C406" s="5" t="str">
        <f>IF($B406="","",IFERROR(VLOOKUP($B406,'02_Конкуренты'!$A$4:$B$203,2,FALSE),"не найдено"))</f>
        <v/>
      </c>
      <c r="D406" s="2"/>
      <c r="E406" s="2"/>
      <c r="F406" s="2"/>
      <c r="G406" s="2"/>
      <c r="H406" s="2"/>
      <c r="I406" s="2"/>
      <c r="J406" s="4"/>
      <c r="K406" s="2"/>
      <c r="L406" s="2"/>
    </row>
    <row r="407" spans="1:12">
      <c r="A407" s="2"/>
      <c r="B407" s="2"/>
      <c r="C407" s="5" t="str">
        <f>IF($B407="","",IFERROR(VLOOKUP($B407,'02_Конкуренты'!$A$4:$B$203,2,FALSE),"не найдено"))</f>
        <v/>
      </c>
      <c r="D407" s="2"/>
      <c r="E407" s="2"/>
      <c r="F407" s="2"/>
      <c r="G407" s="2"/>
      <c r="H407" s="2"/>
      <c r="I407" s="2"/>
      <c r="J407" s="4"/>
      <c r="K407" s="2"/>
      <c r="L407" s="2"/>
    </row>
    <row r="408" spans="1:12">
      <c r="A408" s="2"/>
      <c r="B408" s="2"/>
      <c r="C408" s="5" t="str">
        <f>IF($B408="","",IFERROR(VLOOKUP($B408,'02_Конкуренты'!$A$4:$B$203,2,FALSE),"не найдено"))</f>
        <v/>
      </c>
      <c r="D408" s="2"/>
      <c r="E408" s="2"/>
      <c r="F408" s="2"/>
      <c r="G408" s="2"/>
      <c r="H408" s="2"/>
      <c r="I408" s="2"/>
      <c r="J408" s="4"/>
      <c r="K408" s="2"/>
      <c r="L408" s="2"/>
    </row>
    <row r="409" spans="1:12">
      <c r="A409" s="2"/>
      <c r="B409" s="2"/>
      <c r="C409" s="5" t="str">
        <f>IF($B409="","",IFERROR(VLOOKUP($B409,'02_Конкуренты'!$A$4:$B$203,2,FALSE),"не найдено"))</f>
        <v/>
      </c>
      <c r="D409" s="2"/>
      <c r="E409" s="2"/>
      <c r="F409" s="2"/>
      <c r="G409" s="2"/>
      <c r="H409" s="2"/>
      <c r="I409" s="2"/>
      <c r="J409" s="4"/>
      <c r="K409" s="2"/>
      <c r="L409" s="2"/>
    </row>
    <row r="410" spans="1:12">
      <c r="A410" s="2"/>
      <c r="B410" s="2"/>
      <c r="C410" s="5" t="str">
        <f>IF($B410="","",IFERROR(VLOOKUP($B410,'02_Конкуренты'!$A$4:$B$203,2,FALSE),"не найдено"))</f>
        <v/>
      </c>
      <c r="D410" s="2"/>
      <c r="E410" s="2"/>
      <c r="F410" s="2"/>
      <c r="G410" s="2"/>
      <c r="H410" s="2"/>
      <c r="I410" s="2"/>
      <c r="J410" s="4"/>
      <c r="K410" s="2"/>
      <c r="L410" s="2"/>
    </row>
    <row r="411" spans="1:12">
      <c r="A411" s="2"/>
      <c r="B411" s="2"/>
      <c r="C411" s="5" t="str">
        <f>IF($B411="","",IFERROR(VLOOKUP($B411,'02_Конкуренты'!$A$4:$B$203,2,FALSE),"не найдено"))</f>
        <v/>
      </c>
      <c r="D411" s="2"/>
      <c r="E411" s="2"/>
      <c r="F411" s="2"/>
      <c r="G411" s="2"/>
      <c r="H411" s="2"/>
      <c r="I411" s="2"/>
      <c r="J411" s="4"/>
      <c r="K411" s="2"/>
      <c r="L411" s="2"/>
    </row>
    <row r="412" spans="1:12">
      <c r="A412" s="2"/>
      <c r="B412" s="2"/>
      <c r="C412" s="5" t="str">
        <f>IF($B412="","",IFERROR(VLOOKUP($B412,'02_Конкуренты'!$A$4:$B$203,2,FALSE),"не найдено"))</f>
        <v/>
      </c>
      <c r="D412" s="2"/>
      <c r="E412" s="2"/>
      <c r="F412" s="2"/>
      <c r="G412" s="2"/>
      <c r="H412" s="2"/>
      <c r="I412" s="2"/>
      <c r="J412" s="4"/>
      <c r="K412" s="2"/>
      <c r="L412" s="2"/>
    </row>
    <row r="413" spans="1:12">
      <c r="A413" s="2"/>
      <c r="B413" s="2"/>
      <c r="C413" s="5" t="str">
        <f>IF($B413="","",IFERROR(VLOOKUP($B413,'02_Конкуренты'!$A$4:$B$203,2,FALSE),"не найдено"))</f>
        <v/>
      </c>
      <c r="D413" s="2"/>
      <c r="E413" s="2"/>
      <c r="F413" s="2"/>
      <c r="G413" s="2"/>
      <c r="H413" s="2"/>
      <c r="I413" s="2"/>
      <c r="J413" s="4"/>
      <c r="K413" s="2"/>
      <c r="L413" s="2"/>
    </row>
    <row r="414" spans="1:12">
      <c r="A414" s="2"/>
      <c r="B414" s="2"/>
      <c r="C414" s="5" t="str">
        <f>IF($B414="","",IFERROR(VLOOKUP($B414,'02_Конкуренты'!$A$4:$B$203,2,FALSE),"не найдено"))</f>
        <v/>
      </c>
      <c r="D414" s="2"/>
      <c r="E414" s="2"/>
      <c r="F414" s="2"/>
      <c r="G414" s="2"/>
      <c r="H414" s="2"/>
      <c r="I414" s="2"/>
      <c r="J414" s="4"/>
      <c r="K414" s="2"/>
      <c r="L414" s="2"/>
    </row>
    <row r="415" spans="1:12">
      <c r="A415" s="2"/>
      <c r="B415" s="2"/>
      <c r="C415" s="5" t="str">
        <f>IF($B415="","",IFERROR(VLOOKUP($B415,'02_Конкуренты'!$A$4:$B$203,2,FALSE),"не найдено"))</f>
        <v/>
      </c>
      <c r="D415" s="2"/>
      <c r="E415" s="2"/>
      <c r="F415" s="2"/>
      <c r="G415" s="2"/>
      <c r="H415" s="2"/>
      <c r="I415" s="2"/>
      <c r="J415" s="4"/>
      <c r="K415" s="2"/>
      <c r="L415" s="2"/>
    </row>
    <row r="416" spans="1:12">
      <c r="A416" s="2"/>
      <c r="B416" s="2"/>
      <c r="C416" s="5" t="str">
        <f>IF($B416="","",IFERROR(VLOOKUP($B416,'02_Конкуренты'!$A$4:$B$203,2,FALSE),"не найдено"))</f>
        <v/>
      </c>
      <c r="D416" s="2"/>
      <c r="E416" s="2"/>
      <c r="F416" s="2"/>
      <c r="G416" s="2"/>
      <c r="H416" s="2"/>
      <c r="I416" s="2"/>
      <c r="J416" s="4"/>
      <c r="K416" s="2"/>
      <c r="L416" s="2"/>
    </row>
    <row r="417" spans="1:12">
      <c r="A417" s="2"/>
      <c r="B417" s="2"/>
      <c r="C417" s="5" t="str">
        <f>IF($B417="","",IFERROR(VLOOKUP($B417,'02_Конкуренты'!$A$4:$B$203,2,FALSE),"не найдено"))</f>
        <v/>
      </c>
      <c r="D417" s="2"/>
      <c r="E417" s="2"/>
      <c r="F417" s="2"/>
      <c r="G417" s="2"/>
      <c r="H417" s="2"/>
      <c r="I417" s="2"/>
      <c r="J417" s="4"/>
      <c r="K417" s="2"/>
      <c r="L417" s="2"/>
    </row>
    <row r="418" spans="1:12">
      <c r="A418" s="2"/>
      <c r="B418" s="2"/>
      <c r="C418" s="5" t="str">
        <f>IF($B418="","",IFERROR(VLOOKUP($B418,'02_Конкуренты'!$A$4:$B$203,2,FALSE),"не найдено"))</f>
        <v/>
      </c>
      <c r="D418" s="2"/>
      <c r="E418" s="2"/>
      <c r="F418" s="2"/>
      <c r="G418" s="2"/>
      <c r="H418" s="2"/>
      <c r="I418" s="2"/>
      <c r="J418" s="4"/>
      <c r="K418" s="2"/>
      <c r="L418" s="2"/>
    </row>
    <row r="419" spans="1:12">
      <c r="A419" s="2"/>
      <c r="B419" s="2"/>
      <c r="C419" s="5" t="str">
        <f>IF($B419="","",IFERROR(VLOOKUP($B419,'02_Конкуренты'!$A$4:$B$203,2,FALSE),"не найдено"))</f>
        <v/>
      </c>
      <c r="D419" s="2"/>
      <c r="E419" s="2"/>
      <c r="F419" s="2"/>
      <c r="G419" s="2"/>
      <c r="H419" s="2"/>
      <c r="I419" s="2"/>
      <c r="J419" s="4"/>
      <c r="K419" s="2"/>
      <c r="L419" s="2"/>
    </row>
    <row r="420" spans="1:12">
      <c r="A420" s="2"/>
      <c r="B420" s="2"/>
      <c r="C420" s="5" t="str">
        <f>IF($B420="","",IFERROR(VLOOKUP($B420,'02_Конкуренты'!$A$4:$B$203,2,FALSE),"не найдено"))</f>
        <v/>
      </c>
      <c r="D420" s="2"/>
      <c r="E420" s="2"/>
      <c r="F420" s="2"/>
      <c r="G420" s="2"/>
      <c r="H420" s="2"/>
      <c r="I420" s="2"/>
      <c r="J420" s="4"/>
      <c r="K420" s="2"/>
      <c r="L420" s="2"/>
    </row>
    <row r="421" spans="1:12">
      <c r="A421" s="2"/>
      <c r="B421" s="2"/>
      <c r="C421" s="5" t="str">
        <f>IF($B421="","",IFERROR(VLOOKUP($B421,'02_Конкуренты'!$A$4:$B$203,2,FALSE),"не найдено"))</f>
        <v/>
      </c>
      <c r="D421" s="2"/>
      <c r="E421" s="2"/>
      <c r="F421" s="2"/>
      <c r="G421" s="2"/>
      <c r="H421" s="2"/>
      <c r="I421" s="2"/>
      <c r="J421" s="4"/>
      <c r="K421" s="2"/>
      <c r="L421" s="2"/>
    </row>
    <row r="422" spans="1:12">
      <c r="A422" s="2"/>
      <c r="B422" s="2"/>
      <c r="C422" s="5" t="str">
        <f>IF($B422="","",IFERROR(VLOOKUP($B422,'02_Конкуренты'!$A$4:$B$203,2,FALSE),"не найдено"))</f>
        <v/>
      </c>
      <c r="D422" s="2"/>
      <c r="E422" s="2"/>
      <c r="F422" s="2"/>
      <c r="G422" s="2"/>
      <c r="H422" s="2"/>
      <c r="I422" s="2"/>
      <c r="J422" s="4"/>
      <c r="K422" s="2"/>
      <c r="L422" s="2"/>
    </row>
    <row r="423" spans="1:12">
      <c r="A423" s="2"/>
      <c r="B423" s="2"/>
      <c r="C423" s="5" t="str">
        <f>IF($B423="","",IFERROR(VLOOKUP($B423,'02_Конкуренты'!$A$4:$B$203,2,FALSE),"не найдено"))</f>
        <v/>
      </c>
      <c r="D423" s="2"/>
      <c r="E423" s="2"/>
      <c r="F423" s="2"/>
      <c r="G423" s="2"/>
      <c r="H423" s="2"/>
      <c r="I423" s="2"/>
      <c r="J423" s="4"/>
      <c r="K423" s="2"/>
      <c r="L423" s="2"/>
    </row>
    <row r="424" spans="1:12">
      <c r="A424" s="2"/>
      <c r="B424" s="2"/>
      <c r="C424" s="5" t="str">
        <f>IF($B424="","",IFERROR(VLOOKUP($B424,'02_Конкуренты'!$A$4:$B$203,2,FALSE),"не найдено"))</f>
        <v/>
      </c>
      <c r="D424" s="2"/>
      <c r="E424" s="2"/>
      <c r="F424" s="2"/>
      <c r="G424" s="2"/>
      <c r="H424" s="2"/>
      <c r="I424" s="2"/>
      <c r="J424" s="4"/>
      <c r="K424" s="2"/>
      <c r="L424" s="2"/>
    </row>
    <row r="425" spans="1:12">
      <c r="A425" s="2"/>
      <c r="B425" s="2"/>
      <c r="C425" s="5" t="str">
        <f>IF($B425="","",IFERROR(VLOOKUP($B425,'02_Конкуренты'!$A$4:$B$203,2,FALSE),"не найдено"))</f>
        <v/>
      </c>
      <c r="D425" s="2"/>
      <c r="E425" s="2"/>
      <c r="F425" s="2"/>
      <c r="G425" s="2"/>
      <c r="H425" s="2"/>
      <c r="I425" s="2"/>
      <c r="J425" s="4"/>
      <c r="K425" s="2"/>
      <c r="L425" s="2"/>
    </row>
    <row r="426" spans="1:12">
      <c r="A426" s="2"/>
      <c r="B426" s="2"/>
      <c r="C426" s="5" t="str">
        <f>IF($B426="","",IFERROR(VLOOKUP($B426,'02_Конкуренты'!$A$4:$B$203,2,FALSE),"не найдено"))</f>
        <v/>
      </c>
      <c r="D426" s="2"/>
      <c r="E426" s="2"/>
      <c r="F426" s="2"/>
      <c r="G426" s="2"/>
      <c r="H426" s="2"/>
      <c r="I426" s="2"/>
      <c r="J426" s="4"/>
      <c r="K426" s="2"/>
      <c r="L426" s="2"/>
    </row>
    <row r="427" spans="1:12">
      <c r="A427" s="2"/>
      <c r="B427" s="2"/>
      <c r="C427" s="5" t="str">
        <f>IF($B427="","",IFERROR(VLOOKUP($B427,'02_Конкуренты'!$A$4:$B$203,2,FALSE),"не найдено"))</f>
        <v/>
      </c>
      <c r="D427" s="2"/>
      <c r="E427" s="2"/>
      <c r="F427" s="2"/>
      <c r="G427" s="2"/>
      <c r="H427" s="2"/>
      <c r="I427" s="2"/>
      <c r="J427" s="4"/>
      <c r="K427" s="2"/>
      <c r="L427" s="2"/>
    </row>
    <row r="428" spans="1:12">
      <c r="A428" s="2"/>
      <c r="B428" s="2"/>
      <c r="C428" s="5" t="str">
        <f>IF($B428="","",IFERROR(VLOOKUP($B428,'02_Конкуренты'!$A$4:$B$203,2,FALSE),"не найдено"))</f>
        <v/>
      </c>
      <c r="D428" s="2"/>
      <c r="E428" s="2"/>
      <c r="F428" s="2"/>
      <c r="G428" s="2"/>
      <c r="H428" s="2"/>
      <c r="I428" s="2"/>
      <c r="J428" s="4"/>
      <c r="K428" s="2"/>
      <c r="L428" s="2"/>
    </row>
    <row r="429" spans="1:12">
      <c r="A429" s="2"/>
      <c r="B429" s="2"/>
      <c r="C429" s="5" t="str">
        <f>IF($B429="","",IFERROR(VLOOKUP($B429,'02_Конкуренты'!$A$4:$B$203,2,FALSE),"не найдено"))</f>
        <v/>
      </c>
      <c r="D429" s="2"/>
      <c r="E429" s="2"/>
      <c r="F429" s="2"/>
      <c r="G429" s="2"/>
      <c r="H429" s="2"/>
      <c r="I429" s="2"/>
      <c r="J429" s="4"/>
      <c r="K429" s="2"/>
      <c r="L429" s="2"/>
    </row>
    <row r="430" spans="1:12">
      <c r="A430" s="2"/>
      <c r="B430" s="2"/>
      <c r="C430" s="5" t="str">
        <f>IF($B430="","",IFERROR(VLOOKUP($B430,'02_Конкуренты'!$A$4:$B$203,2,FALSE),"не найдено"))</f>
        <v/>
      </c>
      <c r="D430" s="2"/>
      <c r="E430" s="2"/>
      <c r="F430" s="2"/>
      <c r="G430" s="2"/>
      <c r="H430" s="2"/>
      <c r="I430" s="2"/>
      <c r="J430" s="4"/>
      <c r="K430" s="2"/>
      <c r="L430" s="2"/>
    </row>
    <row r="431" spans="1:12">
      <c r="A431" s="2"/>
      <c r="B431" s="2"/>
      <c r="C431" s="5" t="str">
        <f>IF($B431="","",IFERROR(VLOOKUP($B431,'02_Конкуренты'!$A$4:$B$203,2,FALSE),"не найдено"))</f>
        <v/>
      </c>
      <c r="D431" s="2"/>
      <c r="E431" s="2"/>
      <c r="F431" s="2"/>
      <c r="G431" s="2"/>
      <c r="H431" s="2"/>
      <c r="I431" s="2"/>
      <c r="J431" s="4"/>
      <c r="K431" s="2"/>
      <c r="L431" s="2"/>
    </row>
    <row r="432" spans="1:12">
      <c r="A432" s="2"/>
      <c r="B432" s="2"/>
      <c r="C432" s="5" t="str">
        <f>IF($B432="","",IFERROR(VLOOKUP($B432,'02_Конкуренты'!$A$4:$B$203,2,FALSE),"не найдено"))</f>
        <v/>
      </c>
      <c r="D432" s="2"/>
      <c r="E432" s="2"/>
      <c r="F432" s="2"/>
      <c r="G432" s="2"/>
      <c r="H432" s="2"/>
      <c r="I432" s="2"/>
      <c r="J432" s="4"/>
      <c r="K432" s="2"/>
      <c r="L432" s="2"/>
    </row>
    <row r="433" spans="1:12">
      <c r="A433" s="2"/>
      <c r="B433" s="2"/>
      <c r="C433" s="5" t="str">
        <f>IF($B433="","",IFERROR(VLOOKUP($B433,'02_Конкуренты'!$A$4:$B$203,2,FALSE),"не найдено"))</f>
        <v/>
      </c>
      <c r="D433" s="2"/>
      <c r="E433" s="2"/>
      <c r="F433" s="2"/>
      <c r="G433" s="2"/>
      <c r="H433" s="2"/>
      <c r="I433" s="2"/>
      <c r="J433" s="4"/>
      <c r="K433" s="2"/>
      <c r="L433" s="2"/>
    </row>
    <row r="434" spans="1:12">
      <c r="A434" s="2"/>
      <c r="B434" s="2"/>
      <c r="C434" s="5" t="str">
        <f>IF($B434="","",IFERROR(VLOOKUP($B434,'02_Конкуренты'!$A$4:$B$203,2,FALSE),"не найдено"))</f>
        <v/>
      </c>
      <c r="D434" s="2"/>
      <c r="E434" s="2"/>
      <c r="F434" s="2"/>
      <c r="G434" s="2"/>
      <c r="H434" s="2"/>
      <c r="I434" s="2"/>
      <c r="J434" s="4"/>
      <c r="K434" s="2"/>
      <c r="L434" s="2"/>
    </row>
    <row r="435" spans="1:12">
      <c r="A435" s="2"/>
      <c r="B435" s="2"/>
      <c r="C435" s="5" t="str">
        <f>IF($B435="","",IFERROR(VLOOKUP($B435,'02_Конкуренты'!$A$4:$B$203,2,FALSE),"не найдено"))</f>
        <v/>
      </c>
      <c r="D435" s="2"/>
      <c r="E435" s="2"/>
      <c r="F435" s="2"/>
      <c r="G435" s="2"/>
      <c r="H435" s="2"/>
      <c r="I435" s="2"/>
      <c r="J435" s="4"/>
      <c r="K435" s="2"/>
      <c r="L435" s="2"/>
    </row>
    <row r="436" spans="1:12">
      <c r="A436" s="2"/>
      <c r="B436" s="2"/>
      <c r="C436" s="5" t="str">
        <f>IF($B436="","",IFERROR(VLOOKUP($B436,'02_Конкуренты'!$A$4:$B$203,2,FALSE),"не найдено"))</f>
        <v/>
      </c>
      <c r="D436" s="2"/>
      <c r="E436" s="2"/>
      <c r="F436" s="2"/>
      <c r="G436" s="2"/>
      <c r="H436" s="2"/>
      <c r="I436" s="2"/>
      <c r="J436" s="4"/>
      <c r="K436" s="2"/>
      <c r="L436" s="2"/>
    </row>
    <row r="437" spans="1:12">
      <c r="A437" s="2"/>
      <c r="B437" s="2"/>
      <c r="C437" s="5" t="str">
        <f>IF($B437="","",IFERROR(VLOOKUP($B437,'02_Конкуренты'!$A$4:$B$203,2,FALSE),"не найдено"))</f>
        <v/>
      </c>
      <c r="D437" s="2"/>
      <c r="E437" s="2"/>
      <c r="F437" s="2"/>
      <c r="G437" s="2"/>
      <c r="H437" s="2"/>
      <c r="I437" s="2"/>
      <c r="J437" s="4"/>
      <c r="K437" s="2"/>
      <c r="L437" s="2"/>
    </row>
    <row r="438" spans="1:12">
      <c r="A438" s="2"/>
      <c r="B438" s="2"/>
      <c r="C438" s="5" t="str">
        <f>IF($B438="","",IFERROR(VLOOKUP($B438,'02_Конкуренты'!$A$4:$B$203,2,FALSE),"не найдено"))</f>
        <v/>
      </c>
      <c r="D438" s="2"/>
      <c r="E438" s="2"/>
      <c r="F438" s="2"/>
      <c r="G438" s="2"/>
      <c r="H438" s="2"/>
      <c r="I438" s="2"/>
      <c r="J438" s="4"/>
      <c r="K438" s="2"/>
      <c r="L438" s="2"/>
    </row>
    <row r="439" spans="1:12">
      <c r="A439" s="2"/>
      <c r="B439" s="2"/>
      <c r="C439" s="5" t="str">
        <f>IF($B439="","",IFERROR(VLOOKUP($B439,'02_Конкуренты'!$A$4:$B$203,2,FALSE),"не найдено"))</f>
        <v/>
      </c>
      <c r="D439" s="2"/>
      <c r="E439" s="2"/>
      <c r="F439" s="2"/>
      <c r="G439" s="2"/>
      <c r="H439" s="2"/>
      <c r="I439" s="2"/>
      <c r="J439" s="4"/>
      <c r="K439" s="2"/>
      <c r="L439" s="2"/>
    </row>
    <row r="440" spans="1:12">
      <c r="A440" s="2"/>
      <c r="B440" s="2"/>
      <c r="C440" s="5" t="str">
        <f>IF($B440="","",IFERROR(VLOOKUP($B440,'02_Конкуренты'!$A$4:$B$203,2,FALSE),"не найдено"))</f>
        <v/>
      </c>
      <c r="D440" s="2"/>
      <c r="E440" s="2"/>
      <c r="F440" s="2"/>
      <c r="G440" s="2"/>
      <c r="H440" s="2"/>
      <c r="I440" s="2"/>
      <c r="J440" s="4"/>
      <c r="K440" s="2"/>
      <c r="L440" s="2"/>
    </row>
    <row r="441" spans="1:12">
      <c r="A441" s="2"/>
      <c r="B441" s="2"/>
      <c r="C441" s="5" t="str">
        <f>IF($B441="","",IFERROR(VLOOKUP($B441,'02_Конкуренты'!$A$4:$B$203,2,FALSE),"не найдено"))</f>
        <v/>
      </c>
      <c r="D441" s="2"/>
      <c r="E441" s="2"/>
      <c r="F441" s="2"/>
      <c r="G441" s="2"/>
      <c r="H441" s="2"/>
      <c r="I441" s="2"/>
      <c r="J441" s="4"/>
      <c r="K441" s="2"/>
      <c r="L441" s="2"/>
    </row>
    <row r="442" spans="1:12">
      <c r="A442" s="2"/>
      <c r="B442" s="2"/>
      <c r="C442" s="5" t="str">
        <f>IF($B442="","",IFERROR(VLOOKUP($B442,'02_Конкуренты'!$A$4:$B$203,2,FALSE),"не найдено"))</f>
        <v/>
      </c>
      <c r="D442" s="2"/>
      <c r="E442" s="2"/>
      <c r="F442" s="2"/>
      <c r="G442" s="2"/>
      <c r="H442" s="2"/>
      <c r="I442" s="2"/>
      <c r="J442" s="4"/>
      <c r="K442" s="2"/>
      <c r="L442" s="2"/>
    </row>
    <row r="443" spans="1:12">
      <c r="A443" s="2"/>
      <c r="B443" s="2"/>
      <c r="C443" s="5" t="str">
        <f>IF($B443="","",IFERROR(VLOOKUP($B443,'02_Конкуренты'!$A$4:$B$203,2,FALSE),"не найдено"))</f>
        <v/>
      </c>
      <c r="D443" s="2"/>
      <c r="E443" s="2"/>
      <c r="F443" s="2"/>
      <c r="G443" s="2"/>
      <c r="H443" s="2"/>
      <c r="I443" s="2"/>
      <c r="J443" s="4"/>
      <c r="K443" s="2"/>
      <c r="L443" s="2"/>
    </row>
    <row r="444" spans="1:12">
      <c r="A444" s="2"/>
      <c r="B444" s="2"/>
      <c r="C444" s="5" t="str">
        <f>IF($B444="","",IFERROR(VLOOKUP($B444,'02_Конкуренты'!$A$4:$B$203,2,FALSE),"не найдено"))</f>
        <v/>
      </c>
      <c r="D444" s="2"/>
      <c r="E444" s="2"/>
      <c r="F444" s="2"/>
      <c r="G444" s="2"/>
      <c r="H444" s="2"/>
      <c r="I444" s="2"/>
      <c r="J444" s="4"/>
      <c r="K444" s="2"/>
      <c r="L444" s="2"/>
    </row>
    <row r="445" spans="1:12">
      <c r="A445" s="2"/>
      <c r="B445" s="2"/>
      <c r="C445" s="5" t="str">
        <f>IF($B445="","",IFERROR(VLOOKUP($B445,'02_Конкуренты'!$A$4:$B$203,2,FALSE),"не найдено"))</f>
        <v/>
      </c>
      <c r="D445" s="2"/>
      <c r="E445" s="2"/>
      <c r="F445" s="2"/>
      <c r="G445" s="2"/>
      <c r="H445" s="2"/>
      <c r="I445" s="2"/>
      <c r="J445" s="4"/>
      <c r="K445" s="2"/>
      <c r="L445" s="2"/>
    </row>
    <row r="446" spans="1:12">
      <c r="A446" s="2"/>
      <c r="B446" s="2"/>
      <c r="C446" s="5" t="str">
        <f>IF($B446="","",IFERROR(VLOOKUP($B446,'02_Конкуренты'!$A$4:$B$203,2,FALSE),"не найдено"))</f>
        <v/>
      </c>
      <c r="D446" s="2"/>
      <c r="E446" s="2"/>
      <c r="F446" s="2"/>
      <c r="G446" s="2"/>
      <c r="H446" s="2"/>
      <c r="I446" s="2"/>
      <c r="J446" s="4"/>
      <c r="K446" s="2"/>
      <c r="L446" s="2"/>
    </row>
    <row r="447" spans="1:12">
      <c r="A447" s="2"/>
      <c r="B447" s="2"/>
      <c r="C447" s="5" t="str">
        <f>IF($B447="","",IFERROR(VLOOKUP($B447,'02_Конкуренты'!$A$4:$B$203,2,FALSE),"не найдено"))</f>
        <v/>
      </c>
      <c r="D447" s="2"/>
      <c r="E447" s="2"/>
      <c r="F447" s="2"/>
      <c r="G447" s="2"/>
      <c r="H447" s="2"/>
      <c r="I447" s="2"/>
      <c r="J447" s="4"/>
      <c r="K447" s="2"/>
      <c r="L447" s="2"/>
    </row>
    <row r="448" spans="1:12">
      <c r="A448" s="2"/>
      <c r="B448" s="2"/>
      <c r="C448" s="5" t="str">
        <f>IF($B448="","",IFERROR(VLOOKUP($B448,'02_Конкуренты'!$A$4:$B$203,2,FALSE),"не найдено"))</f>
        <v/>
      </c>
      <c r="D448" s="2"/>
      <c r="E448" s="2"/>
      <c r="F448" s="2"/>
      <c r="G448" s="2"/>
      <c r="H448" s="2"/>
      <c r="I448" s="2"/>
      <c r="J448" s="4"/>
      <c r="K448" s="2"/>
      <c r="L448" s="2"/>
    </row>
    <row r="449" spans="1:12">
      <c r="A449" s="2"/>
      <c r="B449" s="2"/>
      <c r="C449" s="5" t="str">
        <f>IF($B449="","",IFERROR(VLOOKUP($B449,'02_Конкуренты'!$A$4:$B$203,2,FALSE),"не найдено"))</f>
        <v/>
      </c>
      <c r="D449" s="2"/>
      <c r="E449" s="2"/>
      <c r="F449" s="2"/>
      <c r="G449" s="2"/>
      <c r="H449" s="2"/>
      <c r="I449" s="2"/>
      <c r="J449" s="4"/>
      <c r="K449" s="2"/>
      <c r="L449" s="2"/>
    </row>
    <row r="450" spans="1:12">
      <c r="A450" s="2"/>
      <c r="B450" s="2"/>
      <c r="C450" s="5" t="str">
        <f>IF($B450="","",IFERROR(VLOOKUP($B450,'02_Конкуренты'!$A$4:$B$203,2,FALSE),"не найдено"))</f>
        <v/>
      </c>
      <c r="D450" s="2"/>
      <c r="E450" s="2"/>
      <c r="F450" s="2"/>
      <c r="G450" s="2"/>
      <c r="H450" s="2"/>
      <c r="I450" s="2"/>
      <c r="J450" s="4"/>
      <c r="K450" s="2"/>
      <c r="L450" s="2"/>
    </row>
    <row r="451" spans="1:12">
      <c r="A451" s="2"/>
      <c r="B451" s="2"/>
      <c r="C451" s="5" t="str">
        <f>IF($B451="","",IFERROR(VLOOKUP($B451,'02_Конкуренты'!$A$4:$B$203,2,FALSE),"не найдено"))</f>
        <v/>
      </c>
      <c r="D451" s="2"/>
      <c r="E451" s="2"/>
      <c r="F451" s="2"/>
      <c r="G451" s="2"/>
      <c r="H451" s="2"/>
      <c r="I451" s="2"/>
      <c r="J451" s="4"/>
      <c r="K451" s="2"/>
      <c r="L451" s="2"/>
    </row>
    <row r="452" spans="1:12">
      <c r="A452" s="2"/>
      <c r="B452" s="2"/>
      <c r="C452" s="5" t="str">
        <f>IF($B452="","",IFERROR(VLOOKUP($B452,'02_Конкуренты'!$A$4:$B$203,2,FALSE),"не найдено"))</f>
        <v/>
      </c>
      <c r="D452" s="2"/>
      <c r="E452" s="2"/>
      <c r="F452" s="2"/>
      <c r="G452" s="2"/>
      <c r="H452" s="2"/>
      <c r="I452" s="2"/>
      <c r="J452" s="4"/>
      <c r="K452" s="2"/>
      <c r="L452" s="2"/>
    </row>
    <row r="453" spans="1:12">
      <c r="A453" s="2"/>
      <c r="B453" s="2"/>
      <c r="C453" s="5" t="str">
        <f>IF($B453="","",IFERROR(VLOOKUP($B453,'02_Конкуренты'!$A$4:$B$203,2,FALSE),"не найдено"))</f>
        <v/>
      </c>
      <c r="D453" s="2"/>
      <c r="E453" s="2"/>
      <c r="F453" s="2"/>
      <c r="G453" s="2"/>
      <c r="H453" s="2"/>
      <c r="I453" s="2"/>
      <c r="J453" s="4"/>
      <c r="K453" s="2"/>
      <c r="L453" s="2"/>
    </row>
    <row r="454" spans="1:12">
      <c r="A454" s="2"/>
      <c r="B454" s="2"/>
      <c r="C454" s="5" t="str">
        <f>IF($B454="","",IFERROR(VLOOKUP($B454,'02_Конкуренты'!$A$4:$B$203,2,FALSE),"не найдено"))</f>
        <v/>
      </c>
      <c r="D454" s="2"/>
      <c r="E454" s="2"/>
      <c r="F454" s="2"/>
      <c r="G454" s="2"/>
      <c r="H454" s="2"/>
      <c r="I454" s="2"/>
      <c r="J454" s="4"/>
      <c r="K454" s="2"/>
      <c r="L454" s="2"/>
    </row>
    <row r="455" spans="1:12">
      <c r="A455" s="2"/>
      <c r="B455" s="2"/>
      <c r="C455" s="5" t="str">
        <f>IF($B455="","",IFERROR(VLOOKUP($B455,'02_Конкуренты'!$A$4:$B$203,2,FALSE),"не найдено"))</f>
        <v/>
      </c>
      <c r="D455" s="2"/>
      <c r="E455" s="2"/>
      <c r="F455" s="2"/>
      <c r="G455" s="2"/>
      <c r="H455" s="2"/>
      <c r="I455" s="2"/>
      <c r="J455" s="4"/>
      <c r="K455" s="2"/>
      <c r="L455" s="2"/>
    </row>
    <row r="456" spans="1:12">
      <c r="A456" s="2"/>
      <c r="B456" s="2"/>
      <c r="C456" s="5" t="str">
        <f>IF($B456="","",IFERROR(VLOOKUP($B456,'02_Конкуренты'!$A$4:$B$203,2,FALSE),"не найдено"))</f>
        <v/>
      </c>
      <c r="D456" s="2"/>
      <c r="E456" s="2"/>
      <c r="F456" s="2"/>
      <c r="G456" s="2"/>
      <c r="H456" s="2"/>
      <c r="I456" s="2"/>
      <c r="J456" s="4"/>
      <c r="K456" s="2"/>
      <c r="L456" s="2"/>
    </row>
    <row r="457" spans="1:12">
      <c r="A457" s="2"/>
      <c r="B457" s="2"/>
      <c r="C457" s="5" t="str">
        <f>IF($B457="","",IFERROR(VLOOKUP($B457,'02_Конкуренты'!$A$4:$B$203,2,FALSE),"не найдено"))</f>
        <v/>
      </c>
      <c r="D457" s="2"/>
      <c r="E457" s="2"/>
      <c r="F457" s="2"/>
      <c r="G457" s="2"/>
      <c r="H457" s="2"/>
      <c r="I457" s="2"/>
      <c r="J457" s="4"/>
      <c r="K457" s="2"/>
      <c r="L457" s="2"/>
    </row>
    <row r="458" spans="1:12">
      <c r="A458" s="2"/>
      <c r="B458" s="2"/>
      <c r="C458" s="5" t="str">
        <f>IF($B458="","",IFERROR(VLOOKUP($B458,'02_Конкуренты'!$A$4:$B$203,2,FALSE),"не найдено"))</f>
        <v/>
      </c>
      <c r="D458" s="2"/>
      <c r="E458" s="2"/>
      <c r="F458" s="2"/>
      <c r="G458" s="2"/>
      <c r="H458" s="2"/>
      <c r="I458" s="2"/>
      <c r="J458" s="4"/>
      <c r="K458" s="2"/>
      <c r="L458" s="2"/>
    </row>
    <row r="459" spans="1:12">
      <c r="A459" s="2"/>
      <c r="B459" s="2"/>
      <c r="C459" s="5" t="str">
        <f>IF($B459="","",IFERROR(VLOOKUP($B459,'02_Конкуренты'!$A$4:$B$203,2,FALSE),"не найдено"))</f>
        <v/>
      </c>
      <c r="D459" s="2"/>
      <c r="E459" s="2"/>
      <c r="F459" s="2"/>
      <c r="G459" s="2"/>
      <c r="H459" s="2"/>
      <c r="I459" s="2"/>
      <c r="J459" s="4"/>
      <c r="K459" s="2"/>
      <c r="L459" s="2"/>
    </row>
    <row r="460" spans="1:12">
      <c r="A460" s="2"/>
      <c r="B460" s="2"/>
      <c r="C460" s="5" t="str">
        <f>IF($B460="","",IFERROR(VLOOKUP($B460,'02_Конкуренты'!$A$4:$B$203,2,FALSE),"не найдено"))</f>
        <v/>
      </c>
      <c r="D460" s="2"/>
      <c r="E460" s="2"/>
      <c r="F460" s="2"/>
      <c r="G460" s="2"/>
      <c r="H460" s="2"/>
      <c r="I460" s="2"/>
      <c r="J460" s="4"/>
      <c r="K460" s="2"/>
      <c r="L460" s="2"/>
    </row>
    <row r="461" spans="1:12">
      <c r="A461" s="2"/>
      <c r="B461" s="2"/>
      <c r="C461" s="5" t="str">
        <f>IF($B461="","",IFERROR(VLOOKUP($B461,'02_Конкуренты'!$A$4:$B$203,2,FALSE),"не найдено"))</f>
        <v/>
      </c>
      <c r="D461" s="2"/>
      <c r="E461" s="2"/>
      <c r="F461" s="2"/>
      <c r="G461" s="2"/>
      <c r="H461" s="2"/>
      <c r="I461" s="2"/>
      <c r="J461" s="4"/>
      <c r="K461" s="2"/>
      <c r="L461" s="2"/>
    </row>
    <row r="462" spans="1:12">
      <c r="A462" s="2"/>
      <c r="B462" s="2"/>
      <c r="C462" s="5" t="str">
        <f>IF($B462="","",IFERROR(VLOOKUP($B462,'02_Конкуренты'!$A$4:$B$203,2,FALSE),"не найдено"))</f>
        <v/>
      </c>
      <c r="D462" s="2"/>
      <c r="E462" s="2"/>
      <c r="F462" s="2"/>
      <c r="G462" s="2"/>
      <c r="H462" s="2"/>
      <c r="I462" s="2"/>
      <c r="J462" s="4"/>
      <c r="K462" s="2"/>
      <c r="L462" s="2"/>
    </row>
    <row r="463" spans="1:12">
      <c r="A463" s="2"/>
      <c r="B463" s="2"/>
      <c r="C463" s="5" t="str">
        <f>IF($B463="","",IFERROR(VLOOKUP($B463,'02_Конкуренты'!$A$4:$B$203,2,FALSE),"не найдено"))</f>
        <v/>
      </c>
      <c r="D463" s="2"/>
      <c r="E463" s="2"/>
      <c r="F463" s="2"/>
      <c r="G463" s="2"/>
      <c r="H463" s="2"/>
      <c r="I463" s="2"/>
      <c r="J463" s="4"/>
      <c r="K463" s="2"/>
      <c r="L463" s="2"/>
    </row>
    <row r="464" spans="1:12">
      <c r="A464" s="2"/>
      <c r="B464" s="2"/>
      <c r="C464" s="5" t="str">
        <f>IF($B464="","",IFERROR(VLOOKUP($B464,'02_Конкуренты'!$A$4:$B$203,2,FALSE),"не найдено"))</f>
        <v/>
      </c>
      <c r="D464" s="2"/>
      <c r="E464" s="2"/>
      <c r="F464" s="2"/>
      <c r="G464" s="2"/>
      <c r="H464" s="2"/>
      <c r="I464" s="2"/>
      <c r="J464" s="4"/>
      <c r="K464" s="2"/>
      <c r="L464" s="2"/>
    </row>
    <row r="465" spans="1:12">
      <c r="A465" s="2"/>
      <c r="B465" s="2"/>
      <c r="C465" s="5" t="str">
        <f>IF($B465="","",IFERROR(VLOOKUP($B465,'02_Конкуренты'!$A$4:$B$203,2,FALSE),"не найдено"))</f>
        <v/>
      </c>
      <c r="D465" s="2"/>
      <c r="E465" s="2"/>
      <c r="F465" s="2"/>
      <c r="G465" s="2"/>
      <c r="H465" s="2"/>
      <c r="I465" s="2"/>
      <c r="J465" s="4"/>
      <c r="K465" s="2"/>
      <c r="L465" s="2"/>
    </row>
    <row r="466" spans="1:12">
      <c r="A466" s="2"/>
      <c r="B466" s="2"/>
      <c r="C466" s="5" t="str">
        <f>IF($B466="","",IFERROR(VLOOKUP($B466,'02_Конкуренты'!$A$4:$B$203,2,FALSE),"не найдено"))</f>
        <v/>
      </c>
      <c r="D466" s="2"/>
      <c r="E466" s="2"/>
      <c r="F466" s="2"/>
      <c r="G466" s="2"/>
      <c r="H466" s="2"/>
      <c r="I466" s="2"/>
      <c r="J466" s="4"/>
      <c r="K466" s="2"/>
      <c r="L466" s="2"/>
    </row>
    <row r="467" spans="1:12">
      <c r="A467" s="2"/>
      <c r="B467" s="2"/>
      <c r="C467" s="5" t="str">
        <f>IF($B467="","",IFERROR(VLOOKUP($B467,'02_Конкуренты'!$A$4:$B$203,2,FALSE),"не найдено"))</f>
        <v/>
      </c>
      <c r="D467" s="2"/>
      <c r="E467" s="2"/>
      <c r="F467" s="2"/>
      <c r="G467" s="2"/>
      <c r="H467" s="2"/>
      <c r="I467" s="2"/>
      <c r="J467" s="4"/>
      <c r="K467" s="2"/>
      <c r="L467" s="2"/>
    </row>
    <row r="468" spans="1:12">
      <c r="A468" s="2"/>
      <c r="B468" s="2"/>
      <c r="C468" s="5" t="str">
        <f>IF($B468="","",IFERROR(VLOOKUP($B468,'02_Конкуренты'!$A$4:$B$203,2,FALSE),"не найдено"))</f>
        <v/>
      </c>
      <c r="D468" s="2"/>
      <c r="E468" s="2"/>
      <c r="F468" s="2"/>
      <c r="G468" s="2"/>
      <c r="H468" s="2"/>
      <c r="I468" s="2"/>
      <c r="J468" s="4"/>
      <c r="K468" s="2"/>
      <c r="L468" s="2"/>
    </row>
    <row r="469" spans="1:12">
      <c r="A469" s="2"/>
      <c r="B469" s="2"/>
      <c r="C469" s="5" t="str">
        <f>IF($B469="","",IFERROR(VLOOKUP($B469,'02_Конкуренты'!$A$4:$B$203,2,FALSE),"не найдено"))</f>
        <v/>
      </c>
      <c r="D469" s="2"/>
      <c r="E469" s="2"/>
      <c r="F469" s="2"/>
      <c r="G469" s="2"/>
      <c r="H469" s="2"/>
      <c r="I469" s="2"/>
      <c r="J469" s="4"/>
      <c r="K469" s="2"/>
      <c r="L469" s="2"/>
    </row>
    <row r="470" spans="1:12">
      <c r="A470" s="2"/>
      <c r="B470" s="2"/>
      <c r="C470" s="5" t="str">
        <f>IF($B470="","",IFERROR(VLOOKUP($B470,'02_Конкуренты'!$A$4:$B$203,2,FALSE),"не найдено"))</f>
        <v/>
      </c>
      <c r="D470" s="2"/>
      <c r="E470" s="2"/>
      <c r="F470" s="2"/>
      <c r="G470" s="2"/>
      <c r="H470" s="2"/>
      <c r="I470" s="2"/>
      <c r="J470" s="4"/>
      <c r="K470" s="2"/>
      <c r="L470" s="2"/>
    </row>
    <row r="471" spans="1:12">
      <c r="A471" s="2"/>
      <c r="B471" s="2"/>
      <c r="C471" s="5" t="str">
        <f>IF($B471="","",IFERROR(VLOOKUP($B471,'02_Конкуренты'!$A$4:$B$203,2,FALSE),"не найдено"))</f>
        <v/>
      </c>
      <c r="D471" s="2"/>
      <c r="E471" s="2"/>
      <c r="F471" s="2"/>
      <c r="G471" s="2"/>
      <c r="H471" s="2"/>
      <c r="I471" s="2"/>
      <c r="J471" s="4"/>
      <c r="K471" s="2"/>
      <c r="L471" s="2"/>
    </row>
    <row r="472" spans="1:12">
      <c r="A472" s="2"/>
      <c r="B472" s="2"/>
      <c r="C472" s="5" t="str">
        <f>IF($B472="","",IFERROR(VLOOKUP($B472,'02_Конкуренты'!$A$4:$B$203,2,FALSE),"не найдено"))</f>
        <v/>
      </c>
      <c r="D472" s="2"/>
      <c r="E472" s="2"/>
      <c r="F472" s="2"/>
      <c r="G472" s="2"/>
      <c r="H472" s="2"/>
      <c r="I472" s="2"/>
      <c r="J472" s="4"/>
      <c r="K472" s="2"/>
      <c r="L472" s="2"/>
    </row>
    <row r="473" spans="1:12">
      <c r="A473" s="2"/>
      <c r="B473" s="2"/>
      <c r="C473" s="5" t="str">
        <f>IF($B473="","",IFERROR(VLOOKUP($B473,'02_Конкуренты'!$A$4:$B$203,2,FALSE),"не найдено"))</f>
        <v/>
      </c>
      <c r="D473" s="2"/>
      <c r="E473" s="2"/>
      <c r="F473" s="2"/>
      <c r="G473" s="2"/>
      <c r="H473" s="2"/>
      <c r="I473" s="2"/>
      <c r="J473" s="4"/>
      <c r="K473" s="2"/>
      <c r="L473" s="2"/>
    </row>
    <row r="474" spans="1:12">
      <c r="A474" s="2"/>
      <c r="B474" s="2"/>
      <c r="C474" s="5" t="str">
        <f>IF($B474="","",IFERROR(VLOOKUP($B474,'02_Конкуренты'!$A$4:$B$203,2,FALSE),"не найдено"))</f>
        <v/>
      </c>
      <c r="D474" s="2"/>
      <c r="E474" s="2"/>
      <c r="F474" s="2"/>
      <c r="G474" s="2"/>
      <c r="H474" s="2"/>
      <c r="I474" s="2"/>
      <c r="J474" s="4"/>
      <c r="K474" s="2"/>
      <c r="L474" s="2"/>
    </row>
    <row r="475" spans="1:12">
      <c r="A475" s="2"/>
      <c r="B475" s="2"/>
      <c r="C475" s="5" t="str">
        <f>IF($B475="","",IFERROR(VLOOKUP($B475,'02_Конкуренты'!$A$4:$B$203,2,FALSE),"не найдено"))</f>
        <v/>
      </c>
      <c r="D475" s="2"/>
      <c r="E475" s="2"/>
      <c r="F475" s="2"/>
      <c r="G475" s="2"/>
      <c r="H475" s="2"/>
      <c r="I475" s="2"/>
      <c r="J475" s="4"/>
      <c r="K475" s="2"/>
      <c r="L475" s="2"/>
    </row>
    <row r="476" spans="1:12">
      <c r="A476" s="2"/>
      <c r="B476" s="2"/>
      <c r="C476" s="5" t="str">
        <f>IF($B476="","",IFERROR(VLOOKUP($B476,'02_Конкуренты'!$A$4:$B$203,2,FALSE),"не найдено"))</f>
        <v/>
      </c>
      <c r="D476" s="2"/>
      <c r="E476" s="2"/>
      <c r="F476" s="2"/>
      <c r="G476" s="2"/>
      <c r="H476" s="2"/>
      <c r="I476" s="2"/>
      <c r="J476" s="4"/>
      <c r="K476" s="2"/>
      <c r="L476" s="2"/>
    </row>
    <row r="477" spans="1:12">
      <c r="A477" s="2"/>
      <c r="B477" s="2"/>
      <c r="C477" s="5" t="str">
        <f>IF($B477="","",IFERROR(VLOOKUP($B477,'02_Конкуренты'!$A$4:$B$203,2,FALSE),"не найдено"))</f>
        <v/>
      </c>
      <c r="D477" s="2"/>
      <c r="E477" s="2"/>
      <c r="F477" s="2"/>
      <c r="G477" s="2"/>
      <c r="H477" s="2"/>
      <c r="I477" s="2"/>
      <c r="J477" s="4"/>
      <c r="K477" s="2"/>
      <c r="L477" s="2"/>
    </row>
    <row r="478" spans="1:12">
      <c r="A478" s="2"/>
      <c r="B478" s="2"/>
      <c r="C478" s="5" t="str">
        <f>IF($B478="","",IFERROR(VLOOKUP($B478,'02_Конкуренты'!$A$4:$B$203,2,FALSE),"не найдено"))</f>
        <v/>
      </c>
      <c r="D478" s="2"/>
      <c r="E478" s="2"/>
      <c r="F478" s="2"/>
      <c r="G478" s="2"/>
      <c r="H478" s="2"/>
      <c r="I478" s="2"/>
      <c r="J478" s="4"/>
      <c r="K478" s="2"/>
      <c r="L478" s="2"/>
    </row>
    <row r="479" spans="1:12">
      <c r="A479" s="2"/>
      <c r="B479" s="2"/>
      <c r="C479" s="5" t="str">
        <f>IF($B479="","",IFERROR(VLOOKUP($B479,'02_Конкуренты'!$A$4:$B$203,2,FALSE),"не найдено"))</f>
        <v/>
      </c>
      <c r="D479" s="2"/>
      <c r="E479" s="2"/>
      <c r="F479" s="2"/>
      <c r="G479" s="2"/>
      <c r="H479" s="2"/>
      <c r="I479" s="2"/>
      <c r="J479" s="4"/>
      <c r="K479" s="2"/>
      <c r="L479" s="2"/>
    </row>
    <row r="480" spans="1:12">
      <c r="A480" s="2"/>
      <c r="B480" s="2"/>
      <c r="C480" s="5" t="str">
        <f>IF($B480="","",IFERROR(VLOOKUP($B480,'02_Конкуренты'!$A$4:$B$203,2,FALSE),"не найдено"))</f>
        <v/>
      </c>
      <c r="D480" s="2"/>
      <c r="E480" s="2"/>
      <c r="F480" s="2"/>
      <c r="G480" s="2"/>
      <c r="H480" s="2"/>
      <c r="I480" s="2"/>
      <c r="J480" s="4"/>
      <c r="K480" s="2"/>
      <c r="L480" s="2"/>
    </row>
    <row r="481" spans="1:12">
      <c r="A481" s="2"/>
      <c r="B481" s="2"/>
      <c r="C481" s="5" t="str">
        <f>IF($B481="","",IFERROR(VLOOKUP($B481,'02_Конкуренты'!$A$4:$B$203,2,FALSE),"не найдено"))</f>
        <v/>
      </c>
      <c r="D481" s="2"/>
      <c r="E481" s="2"/>
      <c r="F481" s="2"/>
      <c r="G481" s="2"/>
      <c r="H481" s="2"/>
      <c r="I481" s="2"/>
      <c r="J481" s="4"/>
      <c r="K481" s="2"/>
      <c r="L481" s="2"/>
    </row>
    <row r="482" spans="1:12">
      <c r="A482" s="2"/>
      <c r="B482" s="2"/>
      <c r="C482" s="5" t="str">
        <f>IF($B482="","",IFERROR(VLOOKUP($B482,'02_Конкуренты'!$A$4:$B$203,2,FALSE),"не найдено"))</f>
        <v/>
      </c>
      <c r="D482" s="2"/>
      <c r="E482" s="2"/>
      <c r="F482" s="2"/>
      <c r="G482" s="2"/>
      <c r="H482" s="2"/>
      <c r="I482" s="2"/>
      <c r="J482" s="4"/>
      <c r="K482" s="2"/>
      <c r="L482" s="2"/>
    </row>
    <row r="483" spans="1:12">
      <c r="A483" s="2"/>
      <c r="B483" s="2"/>
      <c r="C483" s="5" t="str">
        <f>IF($B483="","",IFERROR(VLOOKUP($B483,'02_Конкуренты'!$A$4:$B$203,2,FALSE),"не найдено"))</f>
        <v/>
      </c>
      <c r="D483" s="2"/>
      <c r="E483" s="2"/>
      <c r="F483" s="2"/>
      <c r="G483" s="2"/>
      <c r="H483" s="2"/>
      <c r="I483" s="2"/>
      <c r="J483" s="4"/>
      <c r="K483" s="2"/>
      <c r="L483" s="2"/>
    </row>
    <row r="484" spans="1:12">
      <c r="A484" s="2"/>
      <c r="B484" s="2"/>
      <c r="C484" s="5" t="str">
        <f>IF($B484="","",IFERROR(VLOOKUP($B484,'02_Конкуренты'!$A$4:$B$203,2,FALSE),"не найдено"))</f>
        <v/>
      </c>
      <c r="D484" s="2"/>
      <c r="E484" s="2"/>
      <c r="F484" s="2"/>
      <c r="G484" s="2"/>
      <c r="H484" s="2"/>
      <c r="I484" s="2"/>
      <c r="J484" s="4"/>
      <c r="K484" s="2"/>
      <c r="L484" s="2"/>
    </row>
    <row r="485" spans="1:12">
      <c r="A485" s="2"/>
      <c r="B485" s="2"/>
      <c r="C485" s="5" t="str">
        <f>IF($B485="","",IFERROR(VLOOKUP($B485,'02_Конкуренты'!$A$4:$B$203,2,FALSE),"не найдено"))</f>
        <v/>
      </c>
      <c r="D485" s="2"/>
      <c r="E485" s="2"/>
      <c r="F485" s="2"/>
      <c r="G485" s="2"/>
      <c r="H485" s="2"/>
      <c r="I485" s="2"/>
      <c r="J485" s="4"/>
      <c r="K485" s="2"/>
      <c r="L485" s="2"/>
    </row>
    <row r="486" spans="1:12">
      <c r="A486" s="2"/>
      <c r="B486" s="2"/>
      <c r="C486" s="5" t="str">
        <f>IF($B486="","",IFERROR(VLOOKUP($B486,'02_Конкуренты'!$A$4:$B$203,2,FALSE),"не найдено"))</f>
        <v/>
      </c>
      <c r="D486" s="2"/>
      <c r="E486" s="2"/>
      <c r="F486" s="2"/>
      <c r="G486" s="2"/>
      <c r="H486" s="2"/>
      <c r="I486" s="2"/>
      <c r="J486" s="4"/>
      <c r="K486" s="2"/>
      <c r="L486" s="2"/>
    </row>
    <row r="487" spans="1:12">
      <c r="A487" s="2"/>
      <c r="B487" s="2"/>
      <c r="C487" s="5" t="str">
        <f>IF($B487="","",IFERROR(VLOOKUP($B487,'02_Конкуренты'!$A$4:$B$203,2,FALSE),"не найдено"))</f>
        <v/>
      </c>
      <c r="D487" s="2"/>
      <c r="E487" s="2"/>
      <c r="F487" s="2"/>
      <c r="G487" s="2"/>
      <c r="H487" s="2"/>
      <c r="I487" s="2"/>
      <c r="J487" s="4"/>
      <c r="K487" s="2"/>
      <c r="L487" s="2"/>
    </row>
    <row r="488" spans="1:12">
      <c r="A488" s="2"/>
      <c r="B488" s="2"/>
      <c r="C488" s="5" t="str">
        <f>IF($B488="","",IFERROR(VLOOKUP($B488,'02_Конкуренты'!$A$4:$B$203,2,FALSE),"не найдено"))</f>
        <v/>
      </c>
      <c r="D488" s="2"/>
      <c r="E488" s="2"/>
      <c r="F488" s="2"/>
      <c r="G488" s="2"/>
      <c r="H488" s="2"/>
      <c r="I488" s="2"/>
      <c r="J488" s="4"/>
      <c r="K488" s="2"/>
      <c r="L488" s="2"/>
    </row>
    <row r="489" spans="1:12">
      <c r="A489" s="2"/>
      <c r="B489" s="2"/>
      <c r="C489" s="5" t="str">
        <f>IF($B489="","",IFERROR(VLOOKUP($B489,'02_Конкуренты'!$A$4:$B$203,2,FALSE),"не найдено"))</f>
        <v/>
      </c>
      <c r="D489" s="2"/>
      <c r="E489" s="2"/>
      <c r="F489" s="2"/>
      <c r="G489" s="2"/>
      <c r="H489" s="2"/>
      <c r="I489" s="2"/>
      <c r="J489" s="4"/>
      <c r="K489" s="2"/>
      <c r="L489" s="2"/>
    </row>
    <row r="490" spans="1:12">
      <c r="A490" s="2"/>
      <c r="B490" s="2"/>
      <c r="C490" s="5" t="str">
        <f>IF($B490="","",IFERROR(VLOOKUP($B490,'02_Конкуренты'!$A$4:$B$203,2,FALSE),"не найдено"))</f>
        <v/>
      </c>
      <c r="D490" s="2"/>
      <c r="E490" s="2"/>
      <c r="F490" s="2"/>
      <c r="G490" s="2"/>
      <c r="H490" s="2"/>
      <c r="I490" s="2"/>
      <c r="J490" s="4"/>
      <c r="K490" s="2"/>
      <c r="L490" s="2"/>
    </row>
    <row r="491" spans="1:12">
      <c r="A491" s="2"/>
      <c r="B491" s="2"/>
      <c r="C491" s="5" t="str">
        <f>IF($B491="","",IFERROR(VLOOKUP($B491,'02_Конкуренты'!$A$4:$B$203,2,FALSE),"не найдено"))</f>
        <v/>
      </c>
      <c r="D491" s="2"/>
      <c r="E491" s="2"/>
      <c r="F491" s="2"/>
      <c r="G491" s="2"/>
      <c r="H491" s="2"/>
      <c r="I491" s="2"/>
      <c r="J491" s="4"/>
      <c r="K491" s="2"/>
      <c r="L491" s="2"/>
    </row>
    <row r="492" spans="1:12">
      <c r="A492" s="2"/>
      <c r="B492" s="2"/>
      <c r="C492" s="5" t="str">
        <f>IF($B492="","",IFERROR(VLOOKUP($B492,'02_Конкуренты'!$A$4:$B$203,2,FALSE),"не найдено"))</f>
        <v/>
      </c>
      <c r="D492" s="2"/>
      <c r="E492" s="2"/>
      <c r="F492" s="2"/>
      <c r="G492" s="2"/>
      <c r="H492" s="2"/>
      <c r="I492" s="2"/>
      <c r="J492" s="4"/>
      <c r="K492" s="2"/>
      <c r="L492" s="2"/>
    </row>
    <row r="493" spans="1:12">
      <c r="A493" s="2"/>
      <c r="B493" s="2"/>
      <c r="C493" s="5" t="str">
        <f>IF($B493="","",IFERROR(VLOOKUP($B493,'02_Конкуренты'!$A$4:$B$203,2,FALSE),"не найдено"))</f>
        <v/>
      </c>
      <c r="D493" s="2"/>
      <c r="E493" s="2"/>
      <c r="F493" s="2"/>
      <c r="G493" s="2"/>
      <c r="H493" s="2"/>
      <c r="I493" s="2"/>
      <c r="J493" s="4"/>
      <c r="K493" s="2"/>
      <c r="L493" s="2"/>
    </row>
    <row r="494" spans="1:12">
      <c r="A494" s="2"/>
      <c r="B494" s="2"/>
      <c r="C494" s="5" t="str">
        <f>IF($B494="","",IFERROR(VLOOKUP($B494,'02_Конкуренты'!$A$4:$B$203,2,FALSE),"не найдено"))</f>
        <v/>
      </c>
      <c r="D494" s="2"/>
      <c r="E494" s="2"/>
      <c r="F494" s="2"/>
      <c r="G494" s="2"/>
      <c r="H494" s="2"/>
      <c r="I494" s="2"/>
      <c r="J494" s="4"/>
      <c r="K494" s="2"/>
      <c r="L494" s="2"/>
    </row>
    <row r="495" spans="1:12">
      <c r="A495" s="2"/>
      <c r="B495" s="2"/>
      <c r="C495" s="5" t="str">
        <f>IF($B495="","",IFERROR(VLOOKUP($B495,'02_Конкуренты'!$A$4:$B$203,2,FALSE),"не найдено"))</f>
        <v/>
      </c>
      <c r="D495" s="2"/>
      <c r="E495" s="2"/>
      <c r="F495" s="2"/>
      <c r="G495" s="2"/>
      <c r="H495" s="2"/>
      <c r="I495" s="2"/>
      <c r="J495" s="4"/>
      <c r="K495" s="2"/>
      <c r="L495" s="2"/>
    </row>
    <row r="496" spans="1:12">
      <c r="A496" s="2"/>
      <c r="B496" s="2"/>
      <c r="C496" s="5" t="str">
        <f>IF($B496="","",IFERROR(VLOOKUP($B496,'02_Конкуренты'!$A$4:$B$203,2,FALSE),"не найдено"))</f>
        <v/>
      </c>
      <c r="D496" s="2"/>
      <c r="E496" s="2"/>
      <c r="F496" s="2"/>
      <c r="G496" s="2"/>
      <c r="H496" s="2"/>
      <c r="I496" s="2"/>
      <c r="J496" s="4"/>
      <c r="K496" s="2"/>
      <c r="L496" s="2"/>
    </row>
    <row r="497" spans="1:12">
      <c r="A497" s="2"/>
      <c r="B497" s="2"/>
      <c r="C497" s="5" t="str">
        <f>IF($B497="","",IFERROR(VLOOKUP($B497,'02_Конкуренты'!$A$4:$B$203,2,FALSE),"не найдено"))</f>
        <v/>
      </c>
      <c r="D497" s="2"/>
      <c r="E497" s="2"/>
      <c r="F497" s="2"/>
      <c r="G497" s="2"/>
      <c r="H497" s="2"/>
      <c r="I497" s="2"/>
      <c r="J497" s="4"/>
      <c r="K497" s="2"/>
      <c r="L497" s="2"/>
    </row>
    <row r="498" spans="1:12">
      <c r="A498" s="2"/>
      <c r="B498" s="2"/>
      <c r="C498" s="5" t="str">
        <f>IF($B498="","",IFERROR(VLOOKUP($B498,'02_Конкуренты'!$A$4:$B$203,2,FALSE),"не найдено"))</f>
        <v/>
      </c>
      <c r="D498" s="2"/>
      <c r="E498" s="2"/>
      <c r="F498" s="2"/>
      <c r="G498" s="2"/>
      <c r="H498" s="2"/>
      <c r="I498" s="2"/>
      <c r="J498" s="4"/>
      <c r="K498" s="2"/>
      <c r="L498" s="2"/>
    </row>
    <row r="499" spans="1:12">
      <c r="A499" s="2"/>
      <c r="B499" s="2"/>
      <c r="C499" s="5" t="str">
        <f>IF($B499="","",IFERROR(VLOOKUP($B499,'02_Конкуренты'!$A$4:$B$203,2,FALSE),"не найдено"))</f>
        <v/>
      </c>
      <c r="D499" s="2"/>
      <c r="E499" s="2"/>
      <c r="F499" s="2"/>
      <c r="G499" s="2"/>
      <c r="H499" s="2"/>
      <c r="I499" s="2"/>
      <c r="J499" s="4"/>
      <c r="K499" s="2"/>
      <c r="L499" s="2"/>
    </row>
    <row r="500" spans="1:12">
      <c r="A500" s="2"/>
      <c r="B500" s="2"/>
      <c r="C500" s="5" t="str">
        <f>IF($B500="","",IFERROR(VLOOKUP($B500,'02_Конкуренты'!$A$4:$B$203,2,FALSE),"не найдено"))</f>
        <v/>
      </c>
      <c r="D500" s="2"/>
      <c r="E500" s="2"/>
      <c r="F500" s="2"/>
      <c r="G500" s="2"/>
      <c r="H500" s="2"/>
      <c r="I500" s="2"/>
      <c r="J500" s="4"/>
      <c r="K500" s="2"/>
      <c r="L500" s="2"/>
    </row>
    <row r="501" spans="1:12">
      <c r="A501" s="2"/>
      <c r="B501" s="2"/>
      <c r="C501" s="5" t="str">
        <f>IF($B501="","",IFERROR(VLOOKUP($B501,'02_Конкуренты'!$A$4:$B$203,2,FALSE),"не найдено"))</f>
        <v/>
      </c>
      <c r="D501" s="2"/>
      <c r="E501" s="2"/>
      <c r="F501" s="2"/>
      <c r="G501" s="2"/>
      <c r="H501" s="2"/>
      <c r="I501" s="2"/>
      <c r="J501" s="4"/>
      <c r="K501" s="2"/>
      <c r="L501" s="2"/>
    </row>
    <row r="502" spans="1:12">
      <c r="A502" s="2"/>
      <c r="B502" s="2"/>
      <c r="C502" s="5" t="str">
        <f>IF($B502="","",IFERROR(VLOOKUP($B502,'02_Конкуренты'!$A$4:$B$203,2,FALSE),"не найдено"))</f>
        <v/>
      </c>
      <c r="D502" s="2"/>
      <c r="E502" s="2"/>
      <c r="F502" s="2"/>
      <c r="G502" s="2"/>
      <c r="H502" s="2"/>
      <c r="I502" s="2"/>
      <c r="J502" s="4"/>
      <c r="K502" s="2"/>
      <c r="L502" s="2"/>
    </row>
    <row r="503" spans="1:12">
      <c r="A503" s="2"/>
      <c r="B503" s="2"/>
      <c r="C503" s="5" t="str">
        <f>IF($B503="","",IFERROR(VLOOKUP($B503,'02_Конкуренты'!$A$4:$B$203,2,FALSE),"не найдено"))</f>
        <v/>
      </c>
      <c r="D503" s="2"/>
      <c r="E503" s="2"/>
      <c r="F503" s="2"/>
      <c r="G503" s="2"/>
      <c r="H503" s="2"/>
      <c r="I503" s="2"/>
      <c r="J503" s="4"/>
      <c r="K503" s="2"/>
      <c r="L503" s="2"/>
    </row>
  </sheetData>
  <mergeCells count="2">
    <mergeCell ref="A1:L1"/>
    <mergeCell ref="A2:L2"/>
  </mergeCells>
  <conditionalFormatting sqref="I4:I5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503" xr:uid="{00000000-0002-0000-03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I4:I503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5"/>
  <sheetViews>
    <sheetView workbookViewId="0"/>
  </sheetViews>
  <sheetFormatPr defaultRowHeight="14.25"/>
  <cols>
    <col min="1" max="1" width="14" customWidth="1"/>
    <col min="2" max="2" width="24" customWidth="1"/>
    <col min="3" max="3" width="32" customWidth="1"/>
    <col min="4" max="4" width="36" customWidth="1"/>
    <col min="5" max="5" width="32" customWidth="1"/>
    <col min="6" max="6" width="28" customWidth="1"/>
    <col min="7" max="7" width="30" customWidth="1"/>
    <col min="8" max="8" width="28" customWidth="1"/>
    <col min="9" max="9" width="30" customWidth="1"/>
    <col min="10" max="10" width="32" customWidth="1"/>
    <col min="11" max="12" width="30" customWidth="1"/>
    <col min="13" max="13" width="34" customWidth="1"/>
    <col min="14" max="14" width="42" customWidth="1"/>
    <col min="15" max="15" width="16" customWidth="1"/>
    <col min="16" max="16" width="18" customWidth="1"/>
    <col min="17" max="17" width="32" customWidth="1"/>
  </cols>
  <sheetData>
    <row r="1" spans="1:26" ht="30" customHeight="1">
      <c r="A1" s="17" t="s">
        <v>151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152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26" ht="36" customHeight="1">
      <c r="A3" s="1" t="s">
        <v>142</v>
      </c>
      <c r="B3" s="1" t="s">
        <v>143</v>
      </c>
      <c r="C3" s="1" t="s">
        <v>153</v>
      </c>
      <c r="D3" s="1" t="s">
        <v>154</v>
      </c>
      <c r="E3" s="1" t="s">
        <v>155</v>
      </c>
      <c r="F3" s="1" t="s">
        <v>156</v>
      </c>
      <c r="G3" s="1" t="s">
        <v>157</v>
      </c>
      <c r="H3" s="1" t="s">
        <v>158</v>
      </c>
      <c r="I3" s="1" t="s">
        <v>159</v>
      </c>
      <c r="J3" s="1" t="s">
        <v>160</v>
      </c>
      <c r="K3" s="1" t="s">
        <v>161</v>
      </c>
      <c r="L3" s="1" t="s">
        <v>162</v>
      </c>
      <c r="M3" s="1" t="s">
        <v>163</v>
      </c>
      <c r="N3" s="1" t="s">
        <v>164</v>
      </c>
      <c r="O3" s="1" t="s">
        <v>165</v>
      </c>
      <c r="P3" s="1" t="s">
        <v>166</v>
      </c>
      <c r="Q3" s="1" t="s">
        <v>167</v>
      </c>
    </row>
    <row r="4" spans="1:26" ht="42.75">
      <c r="A4" s="3" t="s">
        <v>293</v>
      </c>
      <c r="B4" s="5" t="str">
        <f>IF($A4="","",IFERROR(VLOOKUP($A4,'02_Конкуренты'!$A$4:$B$203,2,FALSE),"не найдено"))</f>
        <v>PlantUML</v>
      </c>
      <c r="C4" s="3" t="s">
        <v>473</v>
      </c>
      <c r="D4" s="3" t="s">
        <v>474</v>
      </c>
      <c r="E4" s="3" t="s">
        <v>475</v>
      </c>
      <c r="F4" s="3" t="s">
        <v>476</v>
      </c>
      <c r="G4" s="3" t="s">
        <v>477</v>
      </c>
      <c r="H4" s="3" t="s">
        <v>478</v>
      </c>
      <c r="I4" s="3" t="s">
        <v>479</v>
      </c>
      <c r="J4" s="3" t="s">
        <v>480</v>
      </c>
      <c r="K4" s="3" t="s">
        <v>481</v>
      </c>
      <c r="L4" s="3" t="s">
        <v>482</v>
      </c>
      <c r="M4" s="3" t="s">
        <v>483</v>
      </c>
      <c r="N4" s="3" t="s">
        <v>484</v>
      </c>
      <c r="O4" s="6">
        <f t="shared" ref="O4:O35" si="0">IF($A4="","",COUNTA($C4:$N4)/12)</f>
        <v>1</v>
      </c>
      <c r="P4" s="7">
        <f>IF($A4="","",IFERROR(AVERAGEIF('03_Факты_сайта'!$B$4:$B$503,$A4,'03_Факты_сайта'!$I$4:$I$503),0))</f>
        <v>4</v>
      </c>
      <c r="Q4" s="5" t="str">
        <f t="shared" ref="Q4:Q35" si="1">IF($A4="","",IF($O4&lt;0.5,"недостаточно данных",IF($P4&lt;3,"низкая доказательность",IF($O4&gt;=0.85,"готов к сравнению","требует дополнения"))))</f>
        <v>готов к сравнению</v>
      </c>
    </row>
    <row r="5" spans="1:26" ht="42.75">
      <c r="A5" s="3" t="s">
        <v>301</v>
      </c>
      <c r="B5" s="5" t="str">
        <f>IF($A5="","",IFERROR(VLOOKUP($A5,'02_Конкуренты'!$A$4:$B$203,2,FALSE),"не найдено"))</f>
        <v>Eraser (DiagramGPT)</v>
      </c>
      <c r="C5" s="3" t="s">
        <v>485</v>
      </c>
      <c r="D5" s="3" t="s">
        <v>486</v>
      </c>
      <c r="E5" s="3" t="s">
        <v>487</v>
      </c>
      <c r="F5" s="3" t="s">
        <v>488</v>
      </c>
      <c r="G5" s="3" t="s">
        <v>489</v>
      </c>
      <c r="H5" s="3" t="s">
        <v>490</v>
      </c>
      <c r="I5" s="3" t="s">
        <v>491</v>
      </c>
      <c r="J5" s="3" t="s">
        <v>492</v>
      </c>
      <c r="K5" s="3" t="s">
        <v>388</v>
      </c>
      <c r="L5" s="3" t="s">
        <v>493</v>
      </c>
      <c r="M5" s="3" t="s">
        <v>494</v>
      </c>
      <c r="N5" s="3" t="s">
        <v>495</v>
      </c>
      <c r="O5" s="6">
        <f t="shared" si="0"/>
        <v>1</v>
      </c>
      <c r="P5" s="7">
        <f>IF($A5="","",IFERROR(AVERAGEIF('03_Факты_сайта'!$B$4:$B$503,$A5,'03_Факты_сайта'!$I$4:$I$503),0))</f>
        <v>4.4000000000000004</v>
      </c>
      <c r="Q5" s="5" t="str">
        <f t="shared" si="1"/>
        <v>готов к сравнению</v>
      </c>
    </row>
    <row r="6" spans="1:26" ht="42.75">
      <c r="A6" s="3" t="s">
        <v>308</v>
      </c>
      <c r="B6" s="5" t="str">
        <f>IF($A6="","",IFERROR(VLOOKUP($A6,'02_Конкуренты'!$A$4:$B$203,2,FALSE),"не найдено"))</f>
        <v>Mermaid (open source)</v>
      </c>
      <c r="C6" s="3" t="s">
        <v>496</v>
      </c>
      <c r="D6" s="3" t="s">
        <v>497</v>
      </c>
      <c r="E6" s="3" t="s">
        <v>498</v>
      </c>
      <c r="F6" s="3" t="s">
        <v>499</v>
      </c>
      <c r="G6" s="3" t="s">
        <v>429</v>
      </c>
      <c r="H6" s="3" t="s">
        <v>500</v>
      </c>
      <c r="I6" s="3" t="s">
        <v>501</v>
      </c>
      <c r="J6" s="3" t="s">
        <v>502</v>
      </c>
      <c r="K6" s="3" t="s">
        <v>503</v>
      </c>
      <c r="L6" s="3" t="s">
        <v>504</v>
      </c>
      <c r="M6" s="3" t="s">
        <v>505</v>
      </c>
      <c r="N6" s="3" t="s">
        <v>506</v>
      </c>
      <c r="O6" s="6">
        <f t="shared" si="0"/>
        <v>1</v>
      </c>
      <c r="P6" s="7">
        <f>IF($A6="","",IFERROR(AVERAGEIF('03_Факты_сайта'!$B$4:$B$503,$A6,'03_Факты_сайта'!$I$4:$I$503),0))</f>
        <v>3.75</v>
      </c>
      <c r="Q6" s="5" t="str">
        <f t="shared" si="1"/>
        <v>готов к сравнению</v>
      </c>
    </row>
    <row r="7" spans="1:26" ht="28.5">
      <c r="A7" s="3" t="s">
        <v>314</v>
      </c>
      <c r="B7" s="5" t="str">
        <f>IF($A7="","",IFERROR(VLOOKUP($A7,'02_Конкуренты'!$A$4:$B$203,2,FALSE),"не найдено"))</f>
        <v>D2</v>
      </c>
      <c r="C7" s="3" t="s">
        <v>317</v>
      </c>
      <c r="D7" s="3" t="s">
        <v>507</v>
      </c>
      <c r="E7" s="3" t="s">
        <v>508</v>
      </c>
      <c r="F7" s="3" t="s">
        <v>509</v>
      </c>
      <c r="G7" s="3" t="s">
        <v>429</v>
      </c>
      <c r="H7" s="3" t="s">
        <v>510</v>
      </c>
      <c r="I7" s="3" t="s">
        <v>511</v>
      </c>
      <c r="J7" s="3" t="s">
        <v>512</v>
      </c>
      <c r="K7" s="3" t="s">
        <v>513</v>
      </c>
      <c r="L7" s="3" t="s">
        <v>514</v>
      </c>
      <c r="M7" s="2"/>
      <c r="N7" s="3" t="s">
        <v>515</v>
      </c>
      <c r="O7" s="6">
        <f t="shared" si="0"/>
        <v>0.91666666666666663</v>
      </c>
      <c r="P7" s="7">
        <f>IF($A7="","",IFERROR(AVERAGEIF('03_Факты_сайта'!$B$4:$B$503,$A7,'03_Факты_сайта'!$I$4:$I$503),0))</f>
        <v>4.25</v>
      </c>
      <c r="Q7" s="5" t="str">
        <f t="shared" si="1"/>
        <v>готов к сравнению</v>
      </c>
    </row>
    <row r="8" spans="1:26" ht="28.5">
      <c r="A8" s="3" t="s">
        <v>319</v>
      </c>
      <c r="B8" s="5" t="str">
        <f>IF($A8="","",IFERROR(VLOOKUP($A8,'02_Конкуренты'!$A$4:$B$203,2,FALSE),"не найдено"))</f>
        <v>Gleek</v>
      </c>
      <c r="C8" s="3" t="s">
        <v>516</v>
      </c>
      <c r="D8" s="3" t="s">
        <v>517</v>
      </c>
      <c r="E8" s="3" t="s">
        <v>518</v>
      </c>
      <c r="F8" s="2"/>
      <c r="G8" s="2"/>
      <c r="H8" s="3" t="s">
        <v>519</v>
      </c>
      <c r="I8" s="2"/>
      <c r="J8" s="2"/>
      <c r="K8" s="2"/>
      <c r="L8" s="2"/>
      <c r="M8" s="2"/>
      <c r="N8" s="3" t="s">
        <v>520</v>
      </c>
      <c r="O8" s="6">
        <f t="shared" si="0"/>
        <v>0.41666666666666669</v>
      </c>
      <c r="P8" s="7">
        <f>IF($A8="","",IFERROR(AVERAGEIF('03_Факты_сайта'!$B$4:$B$503,$A8,'03_Факты_сайта'!$I$4:$I$503),0))</f>
        <v>2.5</v>
      </c>
      <c r="Q8" s="5" t="str">
        <f t="shared" si="1"/>
        <v>недостаточно данных</v>
      </c>
    </row>
    <row r="9" spans="1:26" ht="42.75">
      <c r="A9" s="3" t="s">
        <v>325</v>
      </c>
      <c r="B9" s="5" t="str">
        <f>IF($A9="","",IFERROR(VLOOKUP($A9,'02_Конкуренты'!$A$4:$B$203,2,FALSE),"не найдено"))</f>
        <v>draw.io / diagrams.net</v>
      </c>
      <c r="C9" s="3" t="s">
        <v>521</v>
      </c>
      <c r="D9" s="3" t="s">
        <v>522</v>
      </c>
      <c r="E9" s="3" t="s">
        <v>523</v>
      </c>
      <c r="F9" s="3" t="s">
        <v>524</v>
      </c>
      <c r="G9" s="3" t="s">
        <v>525</v>
      </c>
      <c r="H9" s="3" t="s">
        <v>526</v>
      </c>
      <c r="I9" s="3" t="s">
        <v>527</v>
      </c>
      <c r="J9" s="3" t="s">
        <v>528</v>
      </c>
      <c r="K9" s="3" t="s">
        <v>529</v>
      </c>
      <c r="L9" s="3" t="s">
        <v>530</v>
      </c>
      <c r="M9" s="3" t="s">
        <v>531</v>
      </c>
      <c r="N9" s="3" t="s">
        <v>532</v>
      </c>
      <c r="O9" s="6">
        <f t="shared" si="0"/>
        <v>1</v>
      </c>
      <c r="P9" s="7">
        <f>IF($A9="","",IFERROR(AVERAGEIF('03_Факты_сайта'!$B$4:$B$503,$A9,'03_Факты_сайта'!$I$4:$I$503),0))</f>
        <v>4.4000000000000004</v>
      </c>
      <c r="Q9" s="5" t="str">
        <f t="shared" si="1"/>
        <v>готов к сравнению</v>
      </c>
    </row>
    <row r="10" spans="1:26" ht="28.5">
      <c r="A10" s="3" t="s">
        <v>330</v>
      </c>
      <c r="B10" s="5" t="str">
        <f>IF($A10="","",IFERROR(VLOOKUP($A10,'02_Конкуренты'!$A$4:$B$203,2,FALSE),"не найдено"))</f>
        <v>Ramus (Educational)</v>
      </c>
      <c r="C10" s="3" t="s">
        <v>533</v>
      </c>
      <c r="D10" s="3" t="s">
        <v>534</v>
      </c>
      <c r="E10" s="3" t="s">
        <v>535</v>
      </c>
      <c r="F10" s="2"/>
      <c r="G10" s="2"/>
      <c r="H10" s="3" t="s">
        <v>536</v>
      </c>
      <c r="I10" s="2"/>
      <c r="J10" s="2"/>
      <c r="K10" s="2"/>
      <c r="L10" s="2"/>
      <c r="M10" s="2"/>
      <c r="N10" s="3" t="s">
        <v>537</v>
      </c>
      <c r="O10" s="6">
        <f t="shared" si="0"/>
        <v>0.41666666666666669</v>
      </c>
      <c r="P10" s="7">
        <f>IF($A10="","",IFERROR(AVERAGEIF('03_Факты_сайта'!$B$4:$B$503,$A10,'03_Факты_сайта'!$I$4:$I$503),0))</f>
        <v>3</v>
      </c>
      <c r="Q10" s="5" t="str">
        <f t="shared" si="1"/>
        <v>недостаточно данных</v>
      </c>
    </row>
    <row r="11" spans="1:26" ht="28.5">
      <c r="A11" s="3" t="s">
        <v>336</v>
      </c>
      <c r="B11" s="5" t="str">
        <f>IF($A11="","",IFERROR(VLOOKUP($A11,'02_Конкуренты'!$A$4:$B$203,2,FALSE),"не найдено"))</f>
        <v>Lucidchart</v>
      </c>
      <c r="C11" s="3" t="s">
        <v>339</v>
      </c>
      <c r="D11" s="3" t="s">
        <v>538</v>
      </c>
      <c r="E11" s="3" t="s">
        <v>539</v>
      </c>
      <c r="F11" s="3" t="s">
        <v>540</v>
      </c>
      <c r="G11" s="2"/>
      <c r="H11" s="3" t="s">
        <v>541</v>
      </c>
      <c r="I11" s="2"/>
      <c r="J11" s="2"/>
      <c r="K11" s="2"/>
      <c r="L11" s="2"/>
      <c r="M11" s="2"/>
      <c r="N11" s="3" t="s">
        <v>542</v>
      </c>
      <c r="O11" s="6">
        <f t="shared" si="0"/>
        <v>0.5</v>
      </c>
      <c r="P11" s="7">
        <f>IF($A11="","",IFERROR(AVERAGEIF('03_Факты_сайта'!$B$4:$B$503,$A11,'03_Факты_сайта'!$I$4:$I$503),0))</f>
        <v>2.5</v>
      </c>
      <c r="Q11" s="5" t="str">
        <f t="shared" si="1"/>
        <v>низкая доказательность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6" t="str">
        <f t="shared" si="0"/>
        <v/>
      </c>
      <c r="P12" s="7" t="str">
        <f>IF($A12="","",IFERROR(AVERAGEIF('03_Факты_сайта'!$B$4:$B$503,$A12,'03_Факты_сайта'!$I$4:$I$503),0))</f>
        <v/>
      </c>
      <c r="Q12" s="5" t="str">
        <f t="shared" si="1"/>
        <v/>
      </c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6" t="str">
        <f t="shared" si="0"/>
        <v/>
      </c>
      <c r="P13" s="7" t="str">
        <f>IF($A13="","",IFERROR(AVERAGEIF('03_Факты_сайта'!$B$4:$B$503,$A13,'03_Факты_сайта'!$I$4:$I$503),0))</f>
        <v/>
      </c>
      <c r="Q13" s="5" t="str">
        <f t="shared" si="1"/>
        <v/>
      </c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6" t="str">
        <f t="shared" si="0"/>
        <v/>
      </c>
      <c r="P14" s="7" t="str">
        <f>IF($A14="","",IFERROR(AVERAGEIF('03_Факты_сайта'!$B$4:$B$503,$A14,'03_Факты_сайта'!$I$4:$I$503),0))</f>
        <v/>
      </c>
      <c r="Q14" s="5" t="str">
        <f t="shared" si="1"/>
        <v/>
      </c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6" t="str">
        <f t="shared" si="0"/>
        <v/>
      </c>
      <c r="P15" s="7" t="str">
        <f>IF($A15="","",IFERROR(AVERAGEIF('03_Факты_сайта'!$B$4:$B$503,$A15,'03_Факты_сайта'!$I$4:$I$503),0))</f>
        <v/>
      </c>
      <c r="Q15" s="5" t="str">
        <f t="shared" si="1"/>
        <v/>
      </c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6" t="str">
        <f t="shared" si="0"/>
        <v/>
      </c>
      <c r="P16" s="7" t="str">
        <f>IF($A16="","",IFERROR(AVERAGEIF('03_Факты_сайта'!$B$4:$B$503,$A16,'03_Факты_сайта'!$I$4:$I$503),0))</f>
        <v/>
      </c>
      <c r="Q16" s="5" t="str">
        <f t="shared" si="1"/>
        <v/>
      </c>
    </row>
    <row r="17" spans="1:17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6" t="str">
        <f t="shared" si="0"/>
        <v/>
      </c>
      <c r="P17" s="7" t="str">
        <f>IF($A17="","",IFERROR(AVERAGEIF('03_Факты_сайта'!$B$4:$B$503,$A17,'03_Факты_сайта'!$I$4:$I$503),0))</f>
        <v/>
      </c>
      <c r="Q17" s="5" t="str">
        <f t="shared" si="1"/>
        <v/>
      </c>
    </row>
    <row r="18" spans="1:17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6" t="str">
        <f t="shared" si="0"/>
        <v/>
      </c>
      <c r="P18" s="7" t="str">
        <f>IF($A18="","",IFERROR(AVERAGEIF('03_Факты_сайта'!$B$4:$B$503,$A18,'03_Факты_сайта'!$I$4:$I$503),0))</f>
        <v/>
      </c>
      <c r="Q18" s="5" t="str">
        <f t="shared" si="1"/>
        <v/>
      </c>
    </row>
    <row r="19" spans="1:17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6" t="str">
        <f t="shared" si="0"/>
        <v/>
      </c>
      <c r="P19" s="7" t="str">
        <f>IF($A19="","",IFERROR(AVERAGEIF('03_Факты_сайта'!$B$4:$B$503,$A19,'03_Факты_сайта'!$I$4:$I$503),0))</f>
        <v/>
      </c>
      <c r="Q19" s="5" t="str">
        <f t="shared" si="1"/>
        <v/>
      </c>
    </row>
    <row r="20" spans="1:17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6" t="str">
        <f t="shared" si="0"/>
        <v/>
      </c>
      <c r="P20" s="7" t="str">
        <f>IF($A20="","",IFERROR(AVERAGEIF('03_Факты_сайта'!$B$4:$B$503,$A20,'03_Факты_сайта'!$I$4:$I$503),0))</f>
        <v/>
      </c>
      <c r="Q20" s="5" t="str">
        <f t="shared" si="1"/>
        <v/>
      </c>
    </row>
    <row r="21" spans="1:17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6" t="str">
        <f t="shared" si="0"/>
        <v/>
      </c>
      <c r="P21" s="7" t="str">
        <f>IF($A21="","",IFERROR(AVERAGEIF('03_Факты_сайта'!$B$4:$B$503,$A21,'03_Факты_сайта'!$I$4:$I$503),0))</f>
        <v/>
      </c>
      <c r="Q21" s="5" t="str">
        <f t="shared" si="1"/>
        <v/>
      </c>
    </row>
    <row r="22" spans="1:17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6" t="str">
        <f t="shared" si="0"/>
        <v/>
      </c>
      <c r="P22" s="7" t="str">
        <f>IF($A22="","",IFERROR(AVERAGEIF('03_Факты_сайта'!$B$4:$B$503,$A22,'03_Факты_сайта'!$I$4:$I$503),0))</f>
        <v/>
      </c>
      <c r="Q22" s="5" t="str">
        <f t="shared" si="1"/>
        <v/>
      </c>
    </row>
    <row r="23" spans="1:17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6" t="str">
        <f t="shared" si="0"/>
        <v/>
      </c>
      <c r="P23" s="7" t="str">
        <f>IF($A23="","",IFERROR(AVERAGEIF('03_Факты_сайта'!$B$4:$B$503,$A23,'03_Факты_сайта'!$I$4:$I$503),0))</f>
        <v/>
      </c>
      <c r="Q23" s="5" t="str">
        <f t="shared" si="1"/>
        <v/>
      </c>
    </row>
    <row r="24" spans="1:17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6" t="str">
        <f t="shared" si="0"/>
        <v/>
      </c>
      <c r="P24" s="7" t="str">
        <f>IF($A24="","",IFERROR(AVERAGEIF('03_Факты_сайта'!$B$4:$B$503,$A24,'03_Факты_сайта'!$I$4:$I$503),0))</f>
        <v/>
      </c>
      <c r="Q24" s="5" t="str">
        <f t="shared" si="1"/>
        <v/>
      </c>
    </row>
    <row r="25" spans="1:17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 t="str">
        <f t="shared" si="0"/>
        <v/>
      </c>
      <c r="P25" s="7" t="str">
        <f>IF($A25="","",IFERROR(AVERAGEIF('03_Факты_сайта'!$B$4:$B$503,$A25,'03_Факты_сайта'!$I$4:$I$503),0))</f>
        <v/>
      </c>
      <c r="Q25" s="5" t="str">
        <f t="shared" si="1"/>
        <v/>
      </c>
    </row>
    <row r="26" spans="1:17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 t="str">
        <f t="shared" si="0"/>
        <v/>
      </c>
      <c r="P26" s="7" t="str">
        <f>IF($A26="","",IFERROR(AVERAGEIF('03_Факты_сайта'!$B$4:$B$503,$A26,'03_Факты_сайта'!$I$4:$I$503),0))</f>
        <v/>
      </c>
      <c r="Q26" s="5" t="str">
        <f t="shared" si="1"/>
        <v/>
      </c>
    </row>
    <row r="27" spans="1:17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 t="str">
        <f t="shared" si="0"/>
        <v/>
      </c>
      <c r="P27" s="7" t="str">
        <f>IF($A27="","",IFERROR(AVERAGEIF('03_Факты_сайта'!$B$4:$B$503,$A27,'03_Факты_сайта'!$I$4:$I$503),0))</f>
        <v/>
      </c>
      <c r="Q27" s="5" t="str">
        <f t="shared" si="1"/>
        <v/>
      </c>
    </row>
    <row r="28" spans="1:17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" t="str">
        <f t="shared" si="0"/>
        <v/>
      </c>
      <c r="P28" s="7" t="str">
        <f>IF($A28="","",IFERROR(AVERAGEIF('03_Факты_сайта'!$B$4:$B$503,$A28,'03_Факты_сайта'!$I$4:$I$503),0))</f>
        <v/>
      </c>
      <c r="Q28" s="5" t="str">
        <f t="shared" si="1"/>
        <v/>
      </c>
    </row>
    <row r="29" spans="1:17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6" t="str">
        <f t="shared" si="0"/>
        <v/>
      </c>
      <c r="P29" s="7" t="str">
        <f>IF($A29="","",IFERROR(AVERAGEIF('03_Факты_сайта'!$B$4:$B$503,$A29,'03_Факты_сайта'!$I$4:$I$503),0))</f>
        <v/>
      </c>
      <c r="Q29" s="5" t="str">
        <f t="shared" si="1"/>
        <v/>
      </c>
    </row>
    <row r="30" spans="1:17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6" t="str">
        <f t="shared" si="0"/>
        <v/>
      </c>
      <c r="P30" s="7" t="str">
        <f>IF($A30="","",IFERROR(AVERAGEIF('03_Факты_сайта'!$B$4:$B$503,$A30,'03_Факты_сайта'!$I$4:$I$503),0))</f>
        <v/>
      </c>
      <c r="Q30" s="5" t="str">
        <f t="shared" si="1"/>
        <v/>
      </c>
    </row>
    <row r="31" spans="1:17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6" t="str">
        <f t="shared" si="0"/>
        <v/>
      </c>
      <c r="P31" s="7" t="str">
        <f>IF($A31="","",IFERROR(AVERAGEIF('03_Факты_сайта'!$B$4:$B$503,$A31,'03_Факты_сайта'!$I$4:$I$503),0))</f>
        <v/>
      </c>
      <c r="Q31" s="5" t="str">
        <f t="shared" si="1"/>
        <v/>
      </c>
    </row>
    <row r="32" spans="1:17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" t="str">
        <f t="shared" si="0"/>
        <v/>
      </c>
      <c r="P32" s="7" t="str">
        <f>IF($A32="","",IFERROR(AVERAGEIF('03_Факты_сайта'!$B$4:$B$503,$A32,'03_Факты_сайта'!$I$4:$I$503),0))</f>
        <v/>
      </c>
      <c r="Q32" s="5" t="str">
        <f t="shared" si="1"/>
        <v/>
      </c>
    </row>
    <row r="33" spans="1:17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6" t="str">
        <f t="shared" si="0"/>
        <v/>
      </c>
      <c r="P33" s="7" t="str">
        <f>IF($A33="","",IFERROR(AVERAGEIF('03_Факты_сайта'!$B$4:$B$503,$A33,'03_Факты_сайта'!$I$4:$I$503),0))</f>
        <v/>
      </c>
      <c r="Q33" s="5" t="str">
        <f t="shared" si="1"/>
        <v/>
      </c>
    </row>
    <row r="34" spans="1:17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6" t="str">
        <f t="shared" si="0"/>
        <v/>
      </c>
      <c r="P34" s="7" t="str">
        <f>IF($A34="","",IFERROR(AVERAGEIF('03_Факты_сайта'!$B$4:$B$503,$A34,'03_Факты_сайта'!$I$4:$I$503),0))</f>
        <v/>
      </c>
      <c r="Q34" s="5" t="str">
        <f t="shared" si="1"/>
        <v/>
      </c>
    </row>
    <row r="35" spans="1:17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6" t="str">
        <f t="shared" si="0"/>
        <v/>
      </c>
      <c r="P35" s="7" t="str">
        <f>IF($A35="","",IFERROR(AVERAGEIF('03_Факты_сайта'!$B$4:$B$503,$A35,'03_Факты_сайта'!$I$4:$I$503),0))</f>
        <v/>
      </c>
      <c r="Q35" s="5" t="str">
        <f t="shared" si="1"/>
        <v/>
      </c>
    </row>
    <row r="36" spans="1:17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6" t="str">
        <f t="shared" ref="O36:O67" si="2">IF($A36="","",COUNTA($C36:$N36)/12)</f>
        <v/>
      </c>
      <c r="P36" s="7" t="str">
        <f>IF($A36="","",IFERROR(AVERAGEIF('03_Факты_сайта'!$B$4:$B$503,$A36,'03_Факты_сайта'!$I$4:$I$503),0))</f>
        <v/>
      </c>
      <c r="Q36" s="5" t="str">
        <f t="shared" ref="Q36:Q67" si="3">IF($A36="","",IF($O36&lt;0.5,"недостаточно данных",IF($P36&lt;3,"низкая доказательность",IF($O36&gt;=0.85,"готов к сравнению","требует дополнения"))))</f>
        <v/>
      </c>
    </row>
    <row r="37" spans="1:17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6" t="str">
        <f t="shared" si="2"/>
        <v/>
      </c>
      <c r="P37" s="7" t="str">
        <f>IF($A37="","",IFERROR(AVERAGEIF('03_Факты_сайта'!$B$4:$B$503,$A37,'03_Факты_сайта'!$I$4:$I$503),0))</f>
        <v/>
      </c>
      <c r="Q37" s="5" t="str">
        <f t="shared" si="3"/>
        <v/>
      </c>
    </row>
    <row r="38" spans="1:17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6" t="str">
        <f t="shared" si="2"/>
        <v/>
      </c>
      <c r="P38" s="7" t="str">
        <f>IF($A38="","",IFERROR(AVERAGEIF('03_Факты_сайта'!$B$4:$B$503,$A38,'03_Факты_сайта'!$I$4:$I$503),0))</f>
        <v/>
      </c>
      <c r="Q38" s="5" t="str">
        <f t="shared" si="3"/>
        <v/>
      </c>
    </row>
    <row r="39" spans="1:17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6" t="str">
        <f t="shared" si="2"/>
        <v/>
      </c>
      <c r="P39" s="7" t="str">
        <f>IF($A39="","",IFERROR(AVERAGEIF('03_Факты_сайта'!$B$4:$B$503,$A39,'03_Факты_сайта'!$I$4:$I$503),0))</f>
        <v/>
      </c>
      <c r="Q39" s="5" t="str">
        <f t="shared" si="3"/>
        <v/>
      </c>
    </row>
    <row r="40" spans="1:17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6" t="str">
        <f t="shared" si="2"/>
        <v/>
      </c>
      <c r="P40" s="7" t="str">
        <f>IF($A40="","",IFERROR(AVERAGEIF('03_Факты_сайта'!$B$4:$B$503,$A40,'03_Факты_сайта'!$I$4:$I$503),0))</f>
        <v/>
      </c>
      <c r="Q40" s="5" t="str">
        <f t="shared" si="3"/>
        <v/>
      </c>
    </row>
    <row r="41" spans="1:17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6" t="str">
        <f t="shared" si="2"/>
        <v/>
      </c>
      <c r="P41" s="7" t="str">
        <f>IF($A41="","",IFERROR(AVERAGEIF('03_Факты_сайта'!$B$4:$B$503,$A41,'03_Факты_сайта'!$I$4:$I$503),0))</f>
        <v/>
      </c>
      <c r="Q41" s="5" t="str">
        <f t="shared" si="3"/>
        <v/>
      </c>
    </row>
    <row r="42" spans="1:17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6" t="str">
        <f t="shared" si="2"/>
        <v/>
      </c>
      <c r="P42" s="7" t="str">
        <f>IF($A42="","",IFERROR(AVERAGEIF('03_Факты_сайта'!$B$4:$B$503,$A42,'03_Факты_сайта'!$I$4:$I$503),0))</f>
        <v/>
      </c>
      <c r="Q42" s="5" t="str">
        <f t="shared" si="3"/>
        <v/>
      </c>
    </row>
    <row r="43" spans="1:17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6" t="str">
        <f t="shared" si="2"/>
        <v/>
      </c>
      <c r="P43" s="7" t="str">
        <f>IF($A43="","",IFERROR(AVERAGEIF('03_Факты_сайта'!$B$4:$B$503,$A43,'03_Факты_сайта'!$I$4:$I$503),0))</f>
        <v/>
      </c>
      <c r="Q43" s="5" t="str">
        <f t="shared" si="3"/>
        <v/>
      </c>
    </row>
    <row r="44" spans="1:17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6" t="str">
        <f t="shared" si="2"/>
        <v/>
      </c>
      <c r="P44" s="7" t="str">
        <f>IF($A44="","",IFERROR(AVERAGEIF('03_Факты_сайта'!$B$4:$B$503,$A44,'03_Факты_сайта'!$I$4:$I$503),0))</f>
        <v/>
      </c>
      <c r="Q44" s="5" t="str">
        <f t="shared" si="3"/>
        <v/>
      </c>
    </row>
    <row r="45" spans="1:17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6" t="str">
        <f t="shared" si="2"/>
        <v/>
      </c>
      <c r="P45" s="7" t="str">
        <f>IF($A45="","",IFERROR(AVERAGEIF('03_Факты_сайта'!$B$4:$B$503,$A45,'03_Факты_сайта'!$I$4:$I$503),0))</f>
        <v/>
      </c>
      <c r="Q45" s="5" t="str">
        <f t="shared" si="3"/>
        <v/>
      </c>
    </row>
    <row r="46" spans="1:17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6" t="str">
        <f t="shared" si="2"/>
        <v/>
      </c>
      <c r="P46" s="7" t="str">
        <f>IF($A46="","",IFERROR(AVERAGEIF('03_Факты_сайта'!$B$4:$B$503,$A46,'03_Факты_сайта'!$I$4:$I$503),0))</f>
        <v/>
      </c>
      <c r="Q46" s="5" t="str">
        <f t="shared" si="3"/>
        <v/>
      </c>
    </row>
    <row r="47" spans="1:17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6" t="str">
        <f t="shared" si="2"/>
        <v/>
      </c>
      <c r="P47" s="7" t="str">
        <f>IF($A47="","",IFERROR(AVERAGEIF('03_Факты_сайта'!$B$4:$B$503,$A47,'03_Факты_сайта'!$I$4:$I$503),0))</f>
        <v/>
      </c>
      <c r="Q47" s="5" t="str">
        <f t="shared" si="3"/>
        <v/>
      </c>
    </row>
    <row r="48" spans="1:17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6" t="str">
        <f t="shared" si="2"/>
        <v/>
      </c>
      <c r="P48" s="7" t="str">
        <f>IF($A48="","",IFERROR(AVERAGEIF('03_Факты_сайта'!$B$4:$B$503,$A48,'03_Факты_сайта'!$I$4:$I$503),0))</f>
        <v/>
      </c>
      <c r="Q48" s="5" t="str">
        <f t="shared" si="3"/>
        <v/>
      </c>
    </row>
    <row r="49" spans="1:17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6" t="str">
        <f t="shared" si="2"/>
        <v/>
      </c>
      <c r="P49" s="7" t="str">
        <f>IF($A49="","",IFERROR(AVERAGEIF('03_Факты_сайта'!$B$4:$B$503,$A49,'03_Факты_сайта'!$I$4:$I$503),0))</f>
        <v/>
      </c>
      <c r="Q49" s="5" t="str">
        <f t="shared" si="3"/>
        <v/>
      </c>
    </row>
    <row r="50" spans="1:17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6" t="str">
        <f t="shared" si="2"/>
        <v/>
      </c>
      <c r="P50" s="7" t="str">
        <f>IF($A50="","",IFERROR(AVERAGEIF('03_Факты_сайта'!$B$4:$B$503,$A50,'03_Факты_сайта'!$I$4:$I$503),0))</f>
        <v/>
      </c>
      <c r="Q50" s="5" t="str">
        <f t="shared" si="3"/>
        <v/>
      </c>
    </row>
    <row r="51" spans="1:17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6" t="str">
        <f t="shared" si="2"/>
        <v/>
      </c>
      <c r="P51" s="7" t="str">
        <f>IF($A51="","",IFERROR(AVERAGEIF('03_Факты_сайта'!$B$4:$B$503,$A51,'03_Факты_сайта'!$I$4:$I$503),0))</f>
        <v/>
      </c>
      <c r="Q51" s="5" t="str">
        <f t="shared" si="3"/>
        <v/>
      </c>
    </row>
    <row r="52" spans="1:17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6" t="str">
        <f t="shared" si="2"/>
        <v/>
      </c>
      <c r="P52" s="7" t="str">
        <f>IF($A52="","",IFERROR(AVERAGEIF('03_Факты_сайта'!$B$4:$B$503,$A52,'03_Факты_сайта'!$I$4:$I$503),0))</f>
        <v/>
      </c>
      <c r="Q52" s="5" t="str">
        <f t="shared" si="3"/>
        <v/>
      </c>
    </row>
    <row r="53" spans="1:17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6" t="str">
        <f t="shared" si="2"/>
        <v/>
      </c>
      <c r="P53" s="7" t="str">
        <f>IF($A53="","",IFERROR(AVERAGEIF('03_Факты_сайта'!$B$4:$B$503,$A53,'03_Факты_сайта'!$I$4:$I$503),0))</f>
        <v/>
      </c>
      <c r="Q53" s="5" t="str">
        <f t="shared" si="3"/>
        <v/>
      </c>
    </row>
    <row r="54" spans="1:17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6" t="str">
        <f t="shared" si="2"/>
        <v/>
      </c>
      <c r="P54" s="7" t="str">
        <f>IF($A54="","",IFERROR(AVERAGEIF('03_Факты_сайта'!$B$4:$B$503,$A54,'03_Факты_сайта'!$I$4:$I$503),0))</f>
        <v/>
      </c>
      <c r="Q54" s="5" t="str">
        <f t="shared" si="3"/>
        <v/>
      </c>
    </row>
    <row r="55" spans="1:17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" t="str">
        <f t="shared" si="2"/>
        <v/>
      </c>
      <c r="P55" s="7" t="str">
        <f>IF($A55="","",IFERROR(AVERAGEIF('03_Факты_сайта'!$B$4:$B$503,$A55,'03_Факты_сайта'!$I$4:$I$503),0))</f>
        <v/>
      </c>
      <c r="Q55" s="5" t="str">
        <f t="shared" si="3"/>
        <v/>
      </c>
    </row>
    <row r="56" spans="1:17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" t="str">
        <f t="shared" si="2"/>
        <v/>
      </c>
      <c r="P56" s="7" t="str">
        <f>IF($A56="","",IFERROR(AVERAGEIF('03_Факты_сайта'!$B$4:$B$503,$A56,'03_Факты_сайта'!$I$4:$I$503),0))</f>
        <v/>
      </c>
      <c r="Q56" s="5" t="str">
        <f t="shared" si="3"/>
        <v/>
      </c>
    </row>
    <row r="57" spans="1:17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" t="str">
        <f t="shared" si="2"/>
        <v/>
      </c>
      <c r="P57" s="7" t="str">
        <f>IF($A57="","",IFERROR(AVERAGEIF('03_Факты_сайта'!$B$4:$B$503,$A57,'03_Факты_сайта'!$I$4:$I$503),0))</f>
        <v/>
      </c>
      <c r="Q57" s="5" t="str">
        <f t="shared" si="3"/>
        <v/>
      </c>
    </row>
    <row r="58" spans="1:17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" t="str">
        <f t="shared" si="2"/>
        <v/>
      </c>
      <c r="P58" s="7" t="str">
        <f>IF($A58="","",IFERROR(AVERAGEIF('03_Факты_сайта'!$B$4:$B$503,$A58,'03_Факты_сайта'!$I$4:$I$503),0))</f>
        <v/>
      </c>
      <c r="Q58" s="5" t="str">
        <f t="shared" si="3"/>
        <v/>
      </c>
    </row>
    <row r="59" spans="1:17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6" t="str">
        <f t="shared" si="2"/>
        <v/>
      </c>
      <c r="P59" s="7" t="str">
        <f>IF($A59="","",IFERROR(AVERAGEIF('03_Факты_сайта'!$B$4:$B$503,$A59,'03_Факты_сайта'!$I$4:$I$503),0))</f>
        <v/>
      </c>
      <c r="Q59" s="5" t="str">
        <f t="shared" si="3"/>
        <v/>
      </c>
    </row>
    <row r="60" spans="1:17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6" t="str">
        <f t="shared" si="2"/>
        <v/>
      </c>
      <c r="P60" s="7" t="str">
        <f>IF($A60="","",IFERROR(AVERAGEIF('03_Факты_сайта'!$B$4:$B$503,$A60,'03_Факты_сайта'!$I$4:$I$503),0))</f>
        <v/>
      </c>
      <c r="Q60" s="5" t="str">
        <f t="shared" si="3"/>
        <v/>
      </c>
    </row>
    <row r="61" spans="1:17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6" t="str">
        <f t="shared" si="2"/>
        <v/>
      </c>
      <c r="P61" s="7" t="str">
        <f>IF($A61="","",IFERROR(AVERAGEIF('03_Факты_сайта'!$B$4:$B$503,$A61,'03_Факты_сайта'!$I$4:$I$503),0))</f>
        <v/>
      </c>
      <c r="Q61" s="5" t="str">
        <f t="shared" si="3"/>
        <v/>
      </c>
    </row>
    <row r="62" spans="1:17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6" t="str">
        <f t="shared" si="2"/>
        <v/>
      </c>
      <c r="P62" s="7" t="str">
        <f>IF($A62="","",IFERROR(AVERAGEIF('03_Факты_сайта'!$B$4:$B$503,$A62,'03_Факты_сайта'!$I$4:$I$503),0))</f>
        <v/>
      </c>
      <c r="Q62" s="5" t="str">
        <f t="shared" si="3"/>
        <v/>
      </c>
    </row>
    <row r="63" spans="1:17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6" t="str">
        <f t="shared" si="2"/>
        <v/>
      </c>
      <c r="P63" s="7" t="str">
        <f>IF($A63="","",IFERROR(AVERAGEIF('03_Факты_сайта'!$B$4:$B$503,$A63,'03_Факты_сайта'!$I$4:$I$503),0))</f>
        <v/>
      </c>
      <c r="Q63" s="5" t="str">
        <f t="shared" si="3"/>
        <v/>
      </c>
    </row>
    <row r="64" spans="1:17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6" t="str">
        <f t="shared" si="2"/>
        <v/>
      </c>
      <c r="P64" s="7" t="str">
        <f>IF($A64="","",IFERROR(AVERAGEIF('03_Факты_сайта'!$B$4:$B$503,$A64,'03_Факты_сайта'!$I$4:$I$503),0))</f>
        <v/>
      </c>
      <c r="Q64" s="5" t="str">
        <f t="shared" si="3"/>
        <v/>
      </c>
    </row>
    <row r="65" spans="1:17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6" t="str">
        <f t="shared" si="2"/>
        <v/>
      </c>
      <c r="P65" s="7" t="str">
        <f>IF($A65="","",IFERROR(AVERAGEIF('03_Факты_сайта'!$B$4:$B$503,$A65,'03_Факты_сайта'!$I$4:$I$503),0))</f>
        <v/>
      </c>
      <c r="Q65" s="5" t="str">
        <f t="shared" si="3"/>
        <v/>
      </c>
    </row>
    <row r="66" spans="1:17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6" t="str">
        <f t="shared" si="2"/>
        <v/>
      </c>
      <c r="P66" s="7" t="str">
        <f>IF($A66="","",IFERROR(AVERAGEIF('03_Факты_сайта'!$B$4:$B$503,$A66,'03_Факты_сайта'!$I$4:$I$503),0))</f>
        <v/>
      </c>
      <c r="Q66" s="5" t="str">
        <f t="shared" si="3"/>
        <v/>
      </c>
    </row>
    <row r="67" spans="1:17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6" t="str">
        <f t="shared" si="2"/>
        <v/>
      </c>
      <c r="P67" s="7" t="str">
        <f>IF($A67="","",IFERROR(AVERAGEIF('03_Факты_сайта'!$B$4:$B$503,$A67,'03_Факты_сайта'!$I$4:$I$503),0))</f>
        <v/>
      </c>
      <c r="Q67" s="5" t="str">
        <f t="shared" si="3"/>
        <v/>
      </c>
    </row>
    <row r="68" spans="1:17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6" t="str">
        <f t="shared" ref="O68:O99" si="4">IF($A68="","",COUNTA($C68:$N68)/12)</f>
        <v/>
      </c>
      <c r="P68" s="7" t="str">
        <f>IF($A68="","",IFERROR(AVERAGEIF('03_Факты_сайта'!$B$4:$B$503,$A68,'03_Факты_сайта'!$I$4:$I$503),0))</f>
        <v/>
      </c>
      <c r="Q68" s="5" t="str">
        <f t="shared" ref="Q68:Q99" si="5">IF($A68="","",IF($O68&lt;0.5,"недостаточно данных",IF($P68&lt;3,"низкая доказательность",IF($O68&gt;=0.85,"готов к сравнению","требует дополнения"))))</f>
        <v/>
      </c>
    </row>
    <row r="69" spans="1:17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6" t="str">
        <f t="shared" si="4"/>
        <v/>
      </c>
      <c r="P69" s="7" t="str">
        <f>IF($A69="","",IFERROR(AVERAGEIF('03_Факты_сайта'!$B$4:$B$503,$A69,'03_Факты_сайта'!$I$4:$I$503),0))</f>
        <v/>
      </c>
      <c r="Q69" s="5" t="str">
        <f t="shared" si="5"/>
        <v/>
      </c>
    </row>
    <row r="70" spans="1:17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6" t="str">
        <f t="shared" si="4"/>
        <v/>
      </c>
      <c r="P70" s="7" t="str">
        <f>IF($A70="","",IFERROR(AVERAGEIF('03_Факты_сайта'!$B$4:$B$503,$A70,'03_Факты_сайта'!$I$4:$I$503),0))</f>
        <v/>
      </c>
      <c r="Q70" s="5" t="str">
        <f t="shared" si="5"/>
        <v/>
      </c>
    </row>
    <row r="71" spans="1:17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6" t="str">
        <f t="shared" si="4"/>
        <v/>
      </c>
      <c r="P71" s="7" t="str">
        <f>IF($A71="","",IFERROR(AVERAGEIF('03_Факты_сайта'!$B$4:$B$503,$A71,'03_Факты_сайта'!$I$4:$I$503),0))</f>
        <v/>
      </c>
      <c r="Q71" s="5" t="str">
        <f t="shared" si="5"/>
        <v/>
      </c>
    </row>
    <row r="72" spans="1:17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6" t="str">
        <f t="shared" si="4"/>
        <v/>
      </c>
      <c r="P72" s="7" t="str">
        <f>IF($A72="","",IFERROR(AVERAGEIF('03_Факты_сайта'!$B$4:$B$503,$A72,'03_Факты_сайта'!$I$4:$I$503),0))</f>
        <v/>
      </c>
      <c r="Q72" s="5" t="str">
        <f t="shared" si="5"/>
        <v/>
      </c>
    </row>
    <row r="73" spans="1:17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6" t="str">
        <f t="shared" si="4"/>
        <v/>
      </c>
      <c r="P73" s="7" t="str">
        <f>IF($A73="","",IFERROR(AVERAGEIF('03_Факты_сайта'!$B$4:$B$503,$A73,'03_Факты_сайта'!$I$4:$I$503),0))</f>
        <v/>
      </c>
      <c r="Q73" s="5" t="str">
        <f t="shared" si="5"/>
        <v/>
      </c>
    </row>
    <row r="74" spans="1:17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6" t="str">
        <f t="shared" si="4"/>
        <v/>
      </c>
      <c r="P74" s="7" t="str">
        <f>IF($A74="","",IFERROR(AVERAGEIF('03_Факты_сайта'!$B$4:$B$503,$A74,'03_Факты_сайта'!$I$4:$I$503),0))</f>
        <v/>
      </c>
      <c r="Q74" s="5" t="str">
        <f t="shared" si="5"/>
        <v/>
      </c>
    </row>
    <row r="75" spans="1:17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" t="str">
        <f t="shared" si="4"/>
        <v/>
      </c>
      <c r="P75" s="7" t="str">
        <f>IF($A75="","",IFERROR(AVERAGEIF('03_Факты_сайта'!$B$4:$B$503,$A75,'03_Факты_сайта'!$I$4:$I$503),0))</f>
        <v/>
      </c>
      <c r="Q75" s="5" t="str">
        <f t="shared" si="5"/>
        <v/>
      </c>
    </row>
    <row r="76" spans="1:17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6" t="str">
        <f t="shared" si="4"/>
        <v/>
      </c>
      <c r="P76" s="7" t="str">
        <f>IF($A76="","",IFERROR(AVERAGEIF('03_Факты_сайта'!$B$4:$B$503,$A76,'03_Факты_сайта'!$I$4:$I$503),0))</f>
        <v/>
      </c>
      <c r="Q76" s="5" t="str">
        <f t="shared" si="5"/>
        <v/>
      </c>
    </row>
    <row r="77" spans="1:17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6" t="str">
        <f t="shared" si="4"/>
        <v/>
      </c>
      <c r="P77" s="7" t="str">
        <f>IF($A77="","",IFERROR(AVERAGEIF('03_Факты_сайта'!$B$4:$B$503,$A77,'03_Факты_сайта'!$I$4:$I$503),0))</f>
        <v/>
      </c>
      <c r="Q77" s="5" t="str">
        <f t="shared" si="5"/>
        <v/>
      </c>
    </row>
    <row r="78" spans="1:17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6" t="str">
        <f t="shared" si="4"/>
        <v/>
      </c>
      <c r="P78" s="7" t="str">
        <f>IF($A78="","",IFERROR(AVERAGEIF('03_Факты_сайта'!$B$4:$B$503,$A78,'03_Факты_сайта'!$I$4:$I$503),0))</f>
        <v/>
      </c>
      <c r="Q78" s="5" t="str">
        <f t="shared" si="5"/>
        <v/>
      </c>
    </row>
    <row r="79" spans="1:17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6" t="str">
        <f t="shared" si="4"/>
        <v/>
      </c>
      <c r="P79" s="7" t="str">
        <f>IF($A79="","",IFERROR(AVERAGEIF('03_Факты_сайта'!$B$4:$B$503,$A79,'03_Факты_сайта'!$I$4:$I$503),0))</f>
        <v/>
      </c>
      <c r="Q79" s="5" t="str">
        <f t="shared" si="5"/>
        <v/>
      </c>
    </row>
    <row r="80" spans="1:17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6" t="str">
        <f t="shared" si="4"/>
        <v/>
      </c>
      <c r="P80" s="7" t="str">
        <f>IF($A80="","",IFERROR(AVERAGEIF('03_Факты_сайта'!$B$4:$B$503,$A80,'03_Факты_сайта'!$I$4:$I$503),0))</f>
        <v/>
      </c>
      <c r="Q80" s="5" t="str">
        <f t="shared" si="5"/>
        <v/>
      </c>
    </row>
    <row r="81" spans="1:17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6" t="str">
        <f t="shared" si="4"/>
        <v/>
      </c>
      <c r="P81" s="7" t="str">
        <f>IF($A81="","",IFERROR(AVERAGEIF('03_Факты_сайта'!$B$4:$B$503,$A81,'03_Факты_сайта'!$I$4:$I$503),0))</f>
        <v/>
      </c>
      <c r="Q81" s="5" t="str">
        <f t="shared" si="5"/>
        <v/>
      </c>
    </row>
    <row r="82" spans="1:17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6" t="str">
        <f t="shared" si="4"/>
        <v/>
      </c>
      <c r="P82" s="7" t="str">
        <f>IF($A82="","",IFERROR(AVERAGEIF('03_Факты_сайта'!$B$4:$B$503,$A82,'03_Факты_сайта'!$I$4:$I$503),0))</f>
        <v/>
      </c>
      <c r="Q82" s="5" t="str">
        <f t="shared" si="5"/>
        <v/>
      </c>
    </row>
    <row r="83" spans="1:17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6" t="str">
        <f t="shared" si="4"/>
        <v/>
      </c>
      <c r="P83" s="7" t="str">
        <f>IF($A83="","",IFERROR(AVERAGEIF('03_Факты_сайта'!$B$4:$B$503,$A83,'03_Факты_сайта'!$I$4:$I$503),0))</f>
        <v/>
      </c>
      <c r="Q83" s="5" t="str">
        <f t="shared" si="5"/>
        <v/>
      </c>
    </row>
    <row r="84" spans="1:17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6" t="str">
        <f t="shared" si="4"/>
        <v/>
      </c>
      <c r="P84" s="7" t="str">
        <f>IF($A84="","",IFERROR(AVERAGEIF('03_Факты_сайта'!$B$4:$B$503,$A84,'03_Факты_сайта'!$I$4:$I$503),0))</f>
        <v/>
      </c>
      <c r="Q84" s="5" t="str">
        <f t="shared" si="5"/>
        <v/>
      </c>
    </row>
    <row r="85" spans="1:17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6" t="str">
        <f t="shared" si="4"/>
        <v/>
      </c>
      <c r="P85" s="7" t="str">
        <f>IF($A85="","",IFERROR(AVERAGEIF('03_Факты_сайта'!$B$4:$B$503,$A85,'03_Факты_сайта'!$I$4:$I$503),0))</f>
        <v/>
      </c>
      <c r="Q85" s="5" t="str">
        <f t="shared" si="5"/>
        <v/>
      </c>
    </row>
    <row r="86" spans="1:17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6" t="str">
        <f t="shared" si="4"/>
        <v/>
      </c>
      <c r="P86" s="7" t="str">
        <f>IF($A86="","",IFERROR(AVERAGEIF('03_Факты_сайта'!$B$4:$B$503,$A86,'03_Факты_сайта'!$I$4:$I$503),0))</f>
        <v/>
      </c>
      <c r="Q86" s="5" t="str">
        <f t="shared" si="5"/>
        <v/>
      </c>
    </row>
    <row r="87" spans="1:17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6" t="str">
        <f t="shared" si="4"/>
        <v/>
      </c>
      <c r="P87" s="7" t="str">
        <f>IF($A87="","",IFERROR(AVERAGEIF('03_Факты_сайта'!$B$4:$B$503,$A87,'03_Факты_сайта'!$I$4:$I$503),0))</f>
        <v/>
      </c>
      <c r="Q87" s="5" t="str">
        <f t="shared" si="5"/>
        <v/>
      </c>
    </row>
    <row r="88" spans="1:17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6" t="str">
        <f t="shared" si="4"/>
        <v/>
      </c>
      <c r="P88" s="7" t="str">
        <f>IF($A88="","",IFERROR(AVERAGEIF('03_Факты_сайта'!$B$4:$B$503,$A88,'03_Факты_сайта'!$I$4:$I$503),0))</f>
        <v/>
      </c>
      <c r="Q88" s="5" t="str">
        <f t="shared" si="5"/>
        <v/>
      </c>
    </row>
    <row r="89" spans="1:17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6" t="str">
        <f t="shared" si="4"/>
        <v/>
      </c>
      <c r="P89" s="7" t="str">
        <f>IF($A89="","",IFERROR(AVERAGEIF('03_Факты_сайта'!$B$4:$B$503,$A89,'03_Факты_сайта'!$I$4:$I$503),0))</f>
        <v/>
      </c>
      <c r="Q89" s="5" t="str">
        <f t="shared" si="5"/>
        <v/>
      </c>
    </row>
    <row r="90" spans="1:17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6" t="str">
        <f t="shared" si="4"/>
        <v/>
      </c>
      <c r="P90" s="7" t="str">
        <f>IF($A90="","",IFERROR(AVERAGEIF('03_Факты_сайта'!$B$4:$B$503,$A90,'03_Факты_сайта'!$I$4:$I$503),0))</f>
        <v/>
      </c>
      <c r="Q90" s="5" t="str">
        <f t="shared" si="5"/>
        <v/>
      </c>
    </row>
    <row r="91" spans="1:17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6" t="str">
        <f t="shared" si="4"/>
        <v/>
      </c>
      <c r="P91" s="7" t="str">
        <f>IF($A91="","",IFERROR(AVERAGEIF('03_Факты_сайта'!$B$4:$B$503,$A91,'03_Факты_сайта'!$I$4:$I$503),0))</f>
        <v/>
      </c>
      <c r="Q91" s="5" t="str">
        <f t="shared" si="5"/>
        <v/>
      </c>
    </row>
    <row r="92" spans="1:17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6" t="str">
        <f t="shared" si="4"/>
        <v/>
      </c>
      <c r="P92" s="7" t="str">
        <f>IF($A92="","",IFERROR(AVERAGEIF('03_Факты_сайта'!$B$4:$B$503,$A92,'03_Факты_сайта'!$I$4:$I$503),0))</f>
        <v/>
      </c>
      <c r="Q92" s="5" t="str">
        <f t="shared" si="5"/>
        <v/>
      </c>
    </row>
    <row r="93" spans="1:17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6" t="str">
        <f t="shared" si="4"/>
        <v/>
      </c>
      <c r="P93" s="7" t="str">
        <f>IF($A93="","",IFERROR(AVERAGEIF('03_Факты_сайта'!$B$4:$B$503,$A93,'03_Факты_сайта'!$I$4:$I$503),0))</f>
        <v/>
      </c>
      <c r="Q93" s="5" t="str">
        <f t="shared" si="5"/>
        <v/>
      </c>
    </row>
    <row r="94" spans="1:17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6" t="str">
        <f t="shared" si="4"/>
        <v/>
      </c>
      <c r="P94" s="7" t="str">
        <f>IF($A94="","",IFERROR(AVERAGEIF('03_Факты_сайта'!$B$4:$B$503,$A94,'03_Факты_сайта'!$I$4:$I$503),0))</f>
        <v/>
      </c>
      <c r="Q94" s="5" t="str">
        <f t="shared" si="5"/>
        <v/>
      </c>
    </row>
    <row r="95" spans="1:17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6" t="str">
        <f t="shared" si="4"/>
        <v/>
      </c>
      <c r="P95" s="7" t="str">
        <f>IF($A95="","",IFERROR(AVERAGEIF('03_Факты_сайта'!$B$4:$B$503,$A95,'03_Факты_сайта'!$I$4:$I$503),0))</f>
        <v/>
      </c>
      <c r="Q95" s="5" t="str">
        <f t="shared" si="5"/>
        <v/>
      </c>
    </row>
    <row r="96" spans="1:17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6" t="str">
        <f t="shared" si="4"/>
        <v/>
      </c>
      <c r="P96" s="7" t="str">
        <f>IF($A96="","",IFERROR(AVERAGEIF('03_Факты_сайта'!$B$4:$B$503,$A96,'03_Факты_сайта'!$I$4:$I$503),0))</f>
        <v/>
      </c>
      <c r="Q96" s="5" t="str">
        <f t="shared" si="5"/>
        <v/>
      </c>
    </row>
    <row r="97" spans="1:17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6" t="str">
        <f t="shared" si="4"/>
        <v/>
      </c>
      <c r="P97" s="7" t="str">
        <f>IF($A97="","",IFERROR(AVERAGEIF('03_Факты_сайта'!$B$4:$B$503,$A97,'03_Факты_сайта'!$I$4:$I$503),0))</f>
        <v/>
      </c>
      <c r="Q97" s="5" t="str">
        <f t="shared" si="5"/>
        <v/>
      </c>
    </row>
    <row r="98" spans="1:17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6" t="str">
        <f t="shared" si="4"/>
        <v/>
      </c>
      <c r="P98" s="7" t="str">
        <f>IF($A98="","",IFERROR(AVERAGEIF('03_Факты_сайта'!$B$4:$B$503,$A98,'03_Факты_сайта'!$I$4:$I$503),0))</f>
        <v/>
      </c>
      <c r="Q98" s="5" t="str">
        <f t="shared" si="5"/>
        <v/>
      </c>
    </row>
    <row r="99" spans="1:17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6" t="str">
        <f t="shared" si="4"/>
        <v/>
      </c>
      <c r="P99" s="7" t="str">
        <f>IF($A99="","",IFERROR(AVERAGEIF('03_Факты_сайта'!$B$4:$B$503,$A99,'03_Факты_сайта'!$I$4:$I$503),0))</f>
        <v/>
      </c>
      <c r="Q99" s="5" t="str">
        <f t="shared" si="5"/>
        <v/>
      </c>
    </row>
    <row r="100" spans="1:17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6" t="str">
        <f t="shared" ref="O100:O131" si="6">IF($A100="","",COUNTA($C100:$N100)/12)</f>
        <v/>
      </c>
      <c r="P100" s="7" t="str">
        <f>IF($A100="","",IFERROR(AVERAGEIF('03_Факты_сайта'!$B$4:$B$503,$A100,'03_Факты_сайта'!$I$4:$I$503),0))</f>
        <v/>
      </c>
      <c r="Q100" s="5" t="str">
        <f t="shared" ref="Q100:Q131" si="7">IF($A100="","",IF($O100&lt;0.5,"недостаточно данных",IF($P100&lt;3,"низкая доказательность",IF($O100&gt;=0.85,"готов к сравнению","требует дополнения"))))</f>
        <v/>
      </c>
    </row>
    <row r="101" spans="1:17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6" t="str">
        <f t="shared" si="6"/>
        <v/>
      </c>
      <c r="P101" s="7" t="str">
        <f>IF($A101="","",IFERROR(AVERAGEIF('03_Факты_сайта'!$B$4:$B$503,$A101,'03_Факты_сайта'!$I$4:$I$503),0))</f>
        <v/>
      </c>
      <c r="Q101" s="5" t="str">
        <f t="shared" si="7"/>
        <v/>
      </c>
    </row>
    <row r="102" spans="1:17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6" t="str">
        <f t="shared" si="6"/>
        <v/>
      </c>
      <c r="P102" s="7" t="str">
        <f>IF($A102="","",IFERROR(AVERAGEIF('03_Факты_сайта'!$B$4:$B$503,$A102,'03_Факты_сайта'!$I$4:$I$503),0))</f>
        <v/>
      </c>
      <c r="Q102" s="5" t="str">
        <f t="shared" si="7"/>
        <v/>
      </c>
    </row>
    <row r="103" spans="1:17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6" t="str">
        <f t="shared" si="6"/>
        <v/>
      </c>
      <c r="P103" s="7" t="str">
        <f>IF($A103="","",IFERROR(AVERAGEIF('03_Факты_сайта'!$B$4:$B$503,$A103,'03_Факты_сайта'!$I$4:$I$503),0))</f>
        <v/>
      </c>
      <c r="Q103" s="5" t="str">
        <f t="shared" si="7"/>
        <v/>
      </c>
    </row>
    <row r="104" spans="1:17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6" t="str">
        <f t="shared" si="6"/>
        <v/>
      </c>
      <c r="P104" s="7" t="str">
        <f>IF($A104="","",IFERROR(AVERAGEIF('03_Факты_сайта'!$B$4:$B$503,$A104,'03_Факты_сайта'!$I$4:$I$503),0))</f>
        <v/>
      </c>
      <c r="Q104" s="5" t="str">
        <f t="shared" si="7"/>
        <v/>
      </c>
    </row>
    <row r="105" spans="1:17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6" t="str">
        <f t="shared" si="6"/>
        <v/>
      </c>
      <c r="P105" s="7" t="str">
        <f>IF($A105="","",IFERROR(AVERAGEIF('03_Факты_сайта'!$B$4:$B$503,$A105,'03_Факты_сайта'!$I$4:$I$503),0))</f>
        <v/>
      </c>
      <c r="Q105" s="5" t="str">
        <f t="shared" si="7"/>
        <v/>
      </c>
    </row>
    <row r="106" spans="1:17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6" t="str">
        <f t="shared" si="6"/>
        <v/>
      </c>
      <c r="P106" s="7" t="str">
        <f>IF($A106="","",IFERROR(AVERAGEIF('03_Факты_сайта'!$B$4:$B$503,$A106,'03_Факты_сайта'!$I$4:$I$503),0))</f>
        <v/>
      </c>
      <c r="Q106" s="5" t="str">
        <f t="shared" si="7"/>
        <v/>
      </c>
    </row>
    <row r="107" spans="1:17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6" t="str">
        <f t="shared" si="6"/>
        <v/>
      </c>
      <c r="P107" s="7" t="str">
        <f>IF($A107="","",IFERROR(AVERAGEIF('03_Факты_сайта'!$B$4:$B$503,$A107,'03_Факты_сайта'!$I$4:$I$503),0))</f>
        <v/>
      </c>
      <c r="Q107" s="5" t="str">
        <f t="shared" si="7"/>
        <v/>
      </c>
    </row>
    <row r="108" spans="1:17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6" t="str">
        <f t="shared" si="6"/>
        <v/>
      </c>
      <c r="P108" s="7" t="str">
        <f>IF($A108="","",IFERROR(AVERAGEIF('03_Факты_сайта'!$B$4:$B$503,$A108,'03_Факты_сайта'!$I$4:$I$503),0))</f>
        <v/>
      </c>
      <c r="Q108" s="5" t="str">
        <f t="shared" si="7"/>
        <v/>
      </c>
    </row>
    <row r="109" spans="1:17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6" t="str">
        <f t="shared" si="6"/>
        <v/>
      </c>
      <c r="P109" s="7" t="str">
        <f>IF($A109="","",IFERROR(AVERAGEIF('03_Факты_сайта'!$B$4:$B$503,$A109,'03_Факты_сайта'!$I$4:$I$503),0))</f>
        <v/>
      </c>
      <c r="Q109" s="5" t="str">
        <f t="shared" si="7"/>
        <v/>
      </c>
    </row>
    <row r="110" spans="1:17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6" t="str">
        <f t="shared" si="6"/>
        <v/>
      </c>
      <c r="P110" s="7" t="str">
        <f>IF($A110="","",IFERROR(AVERAGEIF('03_Факты_сайта'!$B$4:$B$503,$A110,'03_Факты_сайта'!$I$4:$I$503),0))</f>
        <v/>
      </c>
      <c r="Q110" s="5" t="str">
        <f t="shared" si="7"/>
        <v/>
      </c>
    </row>
    <row r="111" spans="1:17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6" t="str">
        <f t="shared" si="6"/>
        <v/>
      </c>
      <c r="P111" s="7" t="str">
        <f>IF($A111="","",IFERROR(AVERAGEIF('03_Факты_сайта'!$B$4:$B$503,$A111,'03_Факты_сайта'!$I$4:$I$503),0))</f>
        <v/>
      </c>
      <c r="Q111" s="5" t="str">
        <f t="shared" si="7"/>
        <v/>
      </c>
    </row>
    <row r="112" spans="1:17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6" t="str">
        <f t="shared" si="6"/>
        <v/>
      </c>
      <c r="P112" s="7" t="str">
        <f>IF($A112="","",IFERROR(AVERAGEIF('03_Факты_сайта'!$B$4:$B$503,$A112,'03_Факты_сайта'!$I$4:$I$503),0))</f>
        <v/>
      </c>
      <c r="Q112" s="5" t="str">
        <f t="shared" si="7"/>
        <v/>
      </c>
    </row>
    <row r="113" spans="1:17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6" t="str">
        <f t="shared" si="6"/>
        <v/>
      </c>
      <c r="P113" s="7" t="str">
        <f>IF($A113="","",IFERROR(AVERAGEIF('03_Факты_сайта'!$B$4:$B$503,$A113,'03_Факты_сайта'!$I$4:$I$503),0))</f>
        <v/>
      </c>
      <c r="Q113" s="5" t="str">
        <f t="shared" si="7"/>
        <v/>
      </c>
    </row>
    <row r="114" spans="1:17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6" t="str">
        <f t="shared" si="6"/>
        <v/>
      </c>
      <c r="P114" s="7" t="str">
        <f>IF($A114="","",IFERROR(AVERAGEIF('03_Факты_сайта'!$B$4:$B$503,$A114,'03_Факты_сайта'!$I$4:$I$503),0))</f>
        <v/>
      </c>
      <c r="Q114" s="5" t="str">
        <f t="shared" si="7"/>
        <v/>
      </c>
    </row>
    <row r="115" spans="1:17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6" t="str">
        <f t="shared" si="6"/>
        <v/>
      </c>
      <c r="P115" s="7" t="str">
        <f>IF($A115="","",IFERROR(AVERAGEIF('03_Факты_сайта'!$B$4:$B$503,$A115,'03_Факты_сайта'!$I$4:$I$503),0))</f>
        <v/>
      </c>
      <c r="Q115" s="5" t="str">
        <f t="shared" si="7"/>
        <v/>
      </c>
    </row>
    <row r="116" spans="1:17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6" t="str">
        <f t="shared" si="6"/>
        <v/>
      </c>
      <c r="P116" s="7" t="str">
        <f>IF($A116="","",IFERROR(AVERAGEIF('03_Факты_сайта'!$B$4:$B$503,$A116,'03_Факты_сайта'!$I$4:$I$503),0))</f>
        <v/>
      </c>
      <c r="Q116" s="5" t="str">
        <f t="shared" si="7"/>
        <v/>
      </c>
    </row>
    <row r="117" spans="1:17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6" t="str">
        <f t="shared" si="6"/>
        <v/>
      </c>
      <c r="P117" s="7" t="str">
        <f>IF($A117="","",IFERROR(AVERAGEIF('03_Факты_сайта'!$B$4:$B$503,$A117,'03_Факты_сайта'!$I$4:$I$503),0))</f>
        <v/>
      </c>
      <c r="Q117" s="5" t="str">
        <f t="shared" si="7"/>
        <v/>
      </c>
    </row>
    <row r="118" spans="1:17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6" t="str">
        <f t="shared" si="6"/>
        <v/>
      </c>
      <c r="P118" s="7" t="str">
        <f>IF($A118="","",IFERROR(AVERAGEIF('03_Факты_сайта'!$B$4:$B$503,$A118,'03_Факты_сайта'!$I$4:$I$503),0))</f>
        <v/>
      </c>
      <c r="Q118" s="5" t="str">
        <f t="shared" si="7"/>
        <v/>
      </c>
    </row>
    <row r="119" spans="1:17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6" t="str">
        <f t="shared" si="6"/>
        <v/>
      </c>
      <c r="P119" s="7" t="str">
        <f>IF($A119="","",IFERROR(AVERAGEIF('03_Факты_сайта'!$B$4:$B$503,$A119,'03_Факты_сайта'!$I$4:$I$503),0))</f>
        <v/>
      </c>
      <c r="Q119" s="5" t="str">
        <f t="shared" si="7"/>
        <v/>
      </c>
    </row>
    <row r="120" spans="1:17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6" t="str">
        <f t="shared" si="6"/>
        <v/>
      </c>
      <c r="P120" s="7" t="str">
        <f>IF($A120="","",IFERROR(AVERAGEIF('03_Факты_сайта'!$B$4:$B$503,$A120,'03_Факты_сайта'!$I$4:$I$503),0))</f>
        <v/>
      </c>
      <c r="Q120" s="5" t="str">
        <f t="shared" si="7"/>
        <v/>
      </c>
    </row>
    <row r="121" spans="1:17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6" t="str">
        <f t="shared" si="6"/>
        <v/>
      </c>
      <c r="P121" s="7" t="str">
        <f>IF($A121="","",IFERROR(AVERAGEIF('03_Факты_сайта'!$B$4:$B$503,$A121,'03_Факты_сайта'!$I$4:$I$503),0))</f>
        <v/>
      </c>
      <c r="Q121" s="5" t="str">
        <f t="shared" si="7"/>
        <v/>
      </c>
    </row>
    <row r="122" spans="1:17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6" t="str">
        <f t="shared" si="6"/>
        <v/>
      </c>
      <c r="P122" s="7" t="str">
        <f>IF($A122="","",IFERROR(AVERAGEIF('03_Факты_сайта'!$B$4:$B$503,$A122,'03_Факты_сайта'!$I$4:$I$503),0))</f>
        <v/>
      </c>
      <c r="Q122" s="5" t="str">
        <f t="shared" si="7"/>
        <v/>
      </c>
    </row>
    <row r="123" spans="1:17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6" t="str">
        <f t="shared" si="6"/>
        <v/>
      </c>
      <c r="P123" s="7" t="str">
        <f>IF($A123="","",IFERROR(AVERAGEIF('03_Факты_сайта'!$B$4:$B$503,$A123,'03_Факты_сайта'!$I$4:$I$503),0))</f>
        <v/>
      </c>
      <c r="Q123" s="5" t="str">
        <f t="shared" si="7"/>
        <v/>
      </c>
    </row>
    <row r="124" spans="1:17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6" t="str">
        <f t="shared" si="6"/>
        <v/>
      </c>
      <c r="P124" s="7" t="str">
        <f>IF($A124="","",IFERROR(AVERAGEIF('03_Факты_сайта'!$B$4:$B$503,$A124,'03_Факты_сайта'!$I$4:$I$503),0))</f>
        <v/>
      </c>
      <c r="Q124" s="5" t="str">
        <f t="shared" si="7"/>
        <v/>
      </c>
    </row>
    <row r="125" spans="1:17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6" t="str">
        <f t="shared" si="6"/>
        <v/>
      </c>
      <c r="P125" s="7" t="str">
        <f>IF($A125="","",IFERROR(AVERAGEIF('03_Факты_сайта'!$B$4:$B$503,$A125,'03_Факты_сайта'!$I$4:$I$503),0))</f>
        <v/>
      </c>
      <c r="Q125" s="5" t="str">
        <f t="shared" si="7"/>
        <v/>
      </c>
    </row>
    <row r="126" spans="1:17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6" t="str">
        <f t="shared" si="6"/>
        <v/>
      </c>
      <c r="P126" s="7" t="str">
        <f>IF($A126="","",IFERROR(AVERAGEIF('03_Факты_сайта'!$B$4:$B$503,$A126,'03_Факты_сайта'!$I$4:$I$503),0))</f>
        <v/>
      </c>
      <c r="Q126" s="5" t="str">
        <f t="shared" si="7"/>
        <v/>
      </c>
    </row>
    <row r="127" spans="1:17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6" t="str">
        <f t="shared" si="6"/>
        <v/>
      </c>
      <c r="P127" s="7" t="str">
        <f>IF($A127="","",IFERROR(AVERAGEIF('03_Факты_сайта'!$B$4:$B$503,$A127,'03_Факты_сайта'!$I$4:$I$503),0))</f>
        <v/>
      </c>
      <c r="Q127" s="5" t="str">
        <f t="shared" si="7"/>
        <v/>
      </c>
    </row>
    <row r="128" spans="1:17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6" t="str">
        <f t="shared" si="6"/>
        <v/>
      </c>
      <c r="P128" s="7" t="str">
        <f>IF($A128="","",IFERROR(AVERAGEIF('03_Факты_сайта'!$B$4:$B$503,$A128,'03_Факты_сайта'!$I$4:$I$503),0))</f>
        <v/>
      </c>
      <c r="Q128" s="5" t="str">
        <f t="shared" si="7"/>
        <v/>
      </c>
    </row>
    <row r="129" spans="1:17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6" t="str">
        <f t="shared" si="6"/>
        <v/>
      </c>
      <c r="P129" s="7" t="str">
        <f>IF($A129="","",IFERROR(AVERAGEIF('03_Факты_сайта'!$B$4:$B$503,$A129,'03_Факты_сайта'!$I$4:$I$503),0))</f>
        <v/>
      </c>
      <c r="Q129" s="5" t="str">
        <f t="shared" si="7"/>
        <v/>
      </c>
    </row>
    <row r="130" spans="1:17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6" t="str">
        <f t="shared" si="6"/>
        <v/>
      </c>
      <c r="P130" s="7" t="str">
        <f>IF($A130="","",IFERROR(AVERAGEIF('03_Факты_сайта'!$B$4:$B$503,$A130,'03_Факты_сайта'!$I$4:$I$503),0))</f>
        <v/>
      </c>
      <c r="Q130" s="5" t="str">
        <f t="shared" si="7"/>
        <v/>
      </c>
    </row>
    <row r="131" spans="1:17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6" t="str">
        <f t="shared" si="6"/>
        <v/>
      </c>
      <c r="P131" s="7" t="str">
        <f>IF($A131="","",IFERROR(AVERAGEIF('03_Факты_сайта'!$B$4:$B$503,$A131,'03_Факты_сайта'!$I$4:$I$503),0))</f>
        <v/>
      </c>
      <c r="Q131" s="5" t="str">
        <f t="shared" si="7"/>
        <v/>
      </c>
    </row>
    <row r="132" spans="1:17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6" t="str">
        <f t="shared" ref="O132:O163" si="8">IF($A132="","",COUNTA($C132:$N132)/12)</f>
        <v/>
      </c>
      <c r="P132" s="7" t="str">
        <f>IF($A132="","",IFERROR(AVERAGEIF('03_Факты_сайта'!$B$4:$B$503,$A132,'03_Факты_сайта'!$I$4:$I$503),0))</f>
        <v/>
      </c>
      <c r="Q132" s="5" t="str">
        <f t="shared" ref="Q132:Q163" si="9">IF($A132="","",IF($O132&lt;0.5,"недостаточно данных",IF($P132&lt;3,"низкая доказательность",IF($O132&gt;=0.85,"готов к сравнению","требует дополнения"))))</f>
        <v/>
      </c>
    </row>
    <row r="133" spans="1:17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6" t="str">
        <f t="shared" si="8"/>
        <v/>
      </c>
      <c r="P133" s="7" t="str">
        <f>IF($A133="","",IFERROR(AVERAGEIF('03_Факты_сайта'!$B$4:$B$503,$A133,'03_Факты_сайта'!$I$4:$I$503),0))</f>
        <v/>
      </c>
      <c r="Q133" s="5" t="str">
        <f t="shared" si="9"/>
        <v/>
      </c>
    </row>
    <row r="134" spans="1:17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6" t="str">
        <f t="shared" si="8"/>
        <v/>
      </c>
      <c r="P134" s="7" t="str">
        <f>IF($A134="","",IFERROR(AVERAGEIF('03_Факты_сайта'!$B$4:$B$503,$A134,'03_Факты_сайта'!$I$4:$I$503),0))</f>
        <v/>
      </c>
      <c r="Q134" s="5" t="str">
        <f t="shared" si="9"/>
        <v/>
      </c>
    </row>
    <row r="135" spans="1:17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6" t="str">
        <f t="shared" si="8"/>
        <v/>
      </c>
      <c r="P135" s="7" t="str">
        <f>IF($A135="","",IFERROR(AVERAGEIF('03_Факты_сайта'!$B$4:$B$503,$A135,'03_Факты_сайта'!$I$4:$I$503),0))</f>
        <v/>
      </c>
      <c r="Q135" s="5" t="str">
        <f t="shared" si="9"/>
        <v/>
      </c>
    </row>
    <row r="136" spans="1:17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6" t="str">
        <f t="shared" si="8"/>
        <v/>
      </c>
      <c r="P136" s="7" t="str">
        <f>IF($A136="","",IFERROR(AVERAGEIF('03_Факты_сайта'!$B$4:$B$503,$A136,'03_Факты_сайта'!$I$4:$I$503),0))</f>
        <v/>
      </c>
      <c r="Q136" s="5" t="str">
        <f t="shared" si="9"/>
        <v/>
      </c>
    </row>
    <row r="137" spans="1:17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6" t="str">
        <f t="shared" si="8"/>
        <v/>
      </c>
      <c r="P137" s="7" t="str">
        <f>IF($A137="","",IFERROR(AVERAGEIF('03_Факты_сайта'!$B$4:$B$503,$A137,'03_Факты_сайта'!$I$4:$I$503),0))</f>
        <v/>
      </c>
      <c r="Q137" s="5" t="str">
        <f t="shared" si="9"/>
        <v/>
      </c>
    </row>
    <row r="138" spans="1:17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6" t="str">
        <f t="shared" si="8"/>
        <v/>
      </c>
      <c r="P138" s="7" t="str">
        <f>IF($A138="","",IFERROR(AVERAGEIF('03_Факты_сайта'!$B$4:$B$503,$A138,'03_Факты_сайта'!$I$4:$I$503),0))</f>
        <v/>
      </c>
      <c r="Q138" s="5" t="str">
        <f t="shared" si="9"/>
        <v/>
      </c>
    </row>
    <row r="139" spans="1:17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6" t="str">
        <f t="shared" si="8"/>
        <v/>
      </c>
      <c r="P139" s="7" t="str">
        <f>IF($A139="","",IFERROR(AVERAGEIF('03_Факты_сайта'!$B$4:$B$503,$A139,'03_Факты_сайта'!$I$4:$I$503),0))</f>
        <v/>
      </c>
      <c r="Q139" s="5" t="str">
        <f t="shared" si="9"/>
        <v/>
      </c>
    </row>
    <row r="140" spans="1:17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6" t="str">
        <f t="shared" si="8"/>
        <v/>
      </c>
      <c r="P140" s="7" t="str">
        <f>IF($A140="","",IFERROR(AVERAGEIF('03_Факты_сайта'!$B$4:$B$503,$A140,'03_Факты_сайта'!$I$4:$I$503),0))</f>
        <v/>
      </c>
      <c r="Q140" s="5" t="str">
        <f t="shared" si="9"/>
        <v/>
      </c>
    </row>
    <row r="141" spans="1:17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6" t="str">
        <f t="shared" si="8"/>
        <v/>
      </c>
      <c r="P141" s="7" t="str">
        <f>IF($A141="","",IFERROR(AVERAGEIF('03_Факты_сайта'!$B$4:$B$503,$A141,'03_Факты_сайта'!$I$4:$I$503),0))</f>
        <v/>
      </c>
      <c r="Q141" s="5" t="str">
        <f t="shared" si="9"/>
        <v/>
      </c>
    </row>
    <row r="142" spans="1:17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6" t="str">
        <f t="shared" si="8"/>
        <v/>
      </c>
      <c r="P142" s="7" t="str">
        <f>IF($A142="","",IFERROR(AVERAGEIF('03_Факты_сайта'!$B$4:$B$503,$A142,'03_Факты_сайта'!$I$4:$I$503),0))</f>
        <v/>
      </c>
      <c r="Q142" s="5" t="str">
        <f t="shared" si="9"/>
        <v/>
      </c>
    </row>
    <row r="143" spans="1:17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6" t="str">
        <f t="shared" si="8"/>
        <v/>
      </c>
      <c r="P143" s="7" t="str">
        <f>IF($A143="","",IFERROR(AVERAGEIF('03_Факты_сайта'!$B$4:$B$503,$A143,'03_Факты_сайта'!$I$4:$I$503),0))</f>
        <v/>
      </c>
      <c r="Q143" s="5" t="str">
        <f t="shared" si="9"/>
        <v/>
      </c>
    </row>
    <row r="144" spans="1:17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6" t="str">
        <f t="shared" si="8"/>
        <v/>
      </c>
      <c r="P144" s="7" t="str">
        <f>IF($A144="","",IFERROR(AVERAGEIF('03_Факты_сайта'!$B$4:$B$503,$A144,'03_Факты_сайта'!$I$4:$I$503),0))</f>
        <v/>
      </c>
      <c r="Q144" s="5" t="str">
        <f t="shared" si="9"/>
        <v/>
      </c>
    </row>
    <row r="145" spans="1:17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6" t="str">
        <f t="shared" si="8"/>
        <v/>
      </c>
      <c r="P145" s="7" t="str">
        <f>IF($A145="","",IFERROR(AVERAGEIF('03_Факты_сайта'!$B$4:$B$503,$A145,'03_Факты_сайта'!$I$4:$I$503),0))</f>
        <v/>
      </c>
      <c r="Q145" s="5" t="str">
        <f t="shared" si="9"/>
        <v/>
      </c>
    </row>
    <row r="146" spans="1:17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6" t="str">
        <f t="shared" si="8"/>
        <v/>
      </c>
      <c r="P146" s="7" t="str">
        <f>IF($A146="","",IFERROR(AVERAGEIF('03_Факты_сайта'!$B$4:$B$503,$A146,'03_Факты_сайта'!$I$4:$I$503),0))</f>
        <v/>
      </c>
      <c r="Q146" s="5" t="str">
        <f t="shared" si="9"/>
        <v/>
      </c>
    </row>
    <row r="147" spans="1:17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6" t="str">
        <f t="shared" si="8"/>
        <v/>
      </c>
      <c r="P147" s="7" t="str">
        <f>IF($A147="","",IFERROR(AVERAGEIF('03_Факты_сайта'!$B$4:$B$503,$A147,'03_Факты_сайта'!$I$4:$I$503),0))</f>
        <v/>
      </c>
      <c r="Q147" s="5" t="str">
        <f t="shared" si="9"/>
        <v/>
      </c>
    </row>
    <row r="148" spans="1:17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6" t="str">
        <f t="shared" si="8"/>
        <v/>
      </c>
      <c r="P148" s="7" t="str">
        <f>IF($A148="","",IFERROR(AVERAGEIF('03_Факты_сайта'!$B$4:$B$503,$A148,'03_Факты_сайта'!$I$4:$I$503),0))</f>
        <v/>
      </c>
      <c r="Q148" s="5" t="str">
        <f t="shared" si="9"/>
        <v/>
      </c>
    </row>
    <row r="149" spans="1:17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6" t="str">
        <f t="shared" si="8"/>
        <v/>
      </c>
      <c r="P149" s="7" t="str">
        <f>IF($A149="","",IFERROR(AVERAGEIF('03_Факты_сайта'!$B$4:$B$503,$A149,'03_Факты_сайта'!$I$4:$I$503),0))</f>
        <v/>
      </c>
      <c r="Q149" s="5" t="str">
        <f t="shared" si="9"/>
        <v/>
      </c>
    </row>
    <row r="150" spans="1:17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6" t="str">
        <f t="shared" si="8"/>
        <v/>
      </c>
      <c r="P150" s="7" t="str">
        <f>IF($A150="","",IFERROR(AVERAGEIF('03_Факты_сайта'!$B$4:$B$503,$A150,'03_Факты_сайта'!$I$4:$I$503),0))</f>
        <v/>
      </c>
      <c r="Q150" s="5" t="str">
        <f t="shared" si="9"/>
        <v/>
      </c>
    </row>
    <row r="151" spans="1:17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6" t="str">
        <f t="shared" si="8"/>
        <v/>
      </c>
      <c r="P151" s="7" t="str">
        <f>IF($A151="","",IFERROR(AVERAGEIF('03_Факты_сайта'!$B$4:$B$503,$A151,'03_Факты_сайта'!$I$4:$I$503),0))</f>
        <v/>
      </c>
      <c r="Q151" s="5" t="str">
        <f t="shared" si="9"/>
        <v/>
      </c>
    </row>
    <row r="152" spans="1:17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6" t="str">
        <f t="shared" si="8"/>
        <v/>
      </c>
      <c r="P152" s="7" t="str">
        <f>IF($A152="","",IFERROR(AVERAGEIF('03_Факты_сайта'!$B$4:$B$503,$A152,'03_Факты_сайта'!$I$4:$I$503),0))</f>
        <v/>
      </c>
      <c r="Q152" s="5" t="str">
        <f t="shared" si="9"/>
        <v/>
      </c>
    </row>
    <row r="153" spans="1:17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6" t="str">
        <f t="shared" si="8"/>
        <v/>
      </c>
      <c r="P153" s="7" t="str">
        <f>IF($A153="","",IFERROR(AVERAGEIF('03_Факты_сайта'!$B$4:$B$503,$A153,'03_Факты_сайта'!$I$4:$I$503),0))</f>
        <v/>
      </c>
      <c r="Q153" s="5" t="str">
        <f t="shared" si="9"/>
        <v/>
      </c>
    </row>
    <row r="154" spans="1:17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6" t="str">
        <f t="shared" si="8"/>
        <v/>
      </c>
      <c r="P154" s="7" t="str">
        <f>IF($A154="","",IFERROR(AVERAGEIF('03_Факты_сайта'!$B$4:$B$503,$A154,'03_Факты_сайта'!$I$4:$I$503),0))</f>
        <v/>
      </c>
      <c r="Q154" s="5" t="str">
        <f t="shared" si="9"/>
        <v/>
      </c>
    </row>
    <row r="155" spans="1:17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6" t="str">
        <f t="shared" si="8"/>
        <v/>
      </c>
      <c r="P155" s="7" t="str">
        <f>IF($A155="","",IFERROR(AVERAGEIF('03_Факты_сайта'!$B$4:$B$503,$A155,'03_Факты_сайта'!$I$4:$I$503),0))</f>
        <v/>
      </c>
      <c r="Q155" s="5" t="str">
        <f t="shared" si="9"/>
        <v/>
      </c>
    </row>
    <row r="156" spans="1:17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6" t="str">
        <f t="shared" si="8"/>
        <v/>
      </c>
      <c r="P156" s="7" t="str">
        <f>IF($A156="","",IFERROR(AVERAGEIF('03_Факты_сайта'!$B$4:$B$503,$A156,'03_Факты_сайта'!$I$4:$I$503),0))</f>
        <v/>
      </c>
      <c r="Q156" s="5" t="str">
        <f t="shared" si="9"/>
        <v/>
      </c>
    </row>
    <row r="157" spans="1:17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6" t="str">
        <f t="shared" si="8"/>
        <v/>
      </c>
      <c r="P157" s="7" t="str">
        <f>IF($A157="","",IFERROR(AVERAGEIF('03_Факты_сайта'!$B$4:$B$503,$A157,'03_Факты_сайта'!$I$4:$I$503),0))</f>
        <v/>
      </c>
      <c r="Q157" s="5" t="str">
        <f t="shared" si="9"/>
        <v/>
      </c>
    </row>
    <row r="158" spans="1:17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6" t="str">
        <f t="shared" si="8"/>
        <v/>
      </c>
      <c r="P158" s="7" t="str">
        <f>IF($A158="","",IFERROR(AVERAGEIF('03_Факты_сайта'!$B$4:$B$503,$A158,'03_Факты_сайта'!$I$4:$I$503),0))</f>
        <v/>
      </c>
      <c r="Q158" s="5" t="str">
        <f t="shared" si="9"/>
        <v/>
      </c>
    </row>
    <row r="159" spans="1:17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6" t="str">
        <f t="shared" si="8"/>
        <v/>
      </c>
      <c r="P159" s="7" t="str">
        <f>IF($A159="","",IFERROR(AVERAGEIF('03_Факты_сайта'!$B$4:$B$503,$A159,'03_Факты_сайта'!$I$4:$I$503),0))</f>
        <v/>
      </c>
      <c r="Q159" s="5" t="str">
        <f t="shared" si="9"/>
        <v/>
      </c>
    </row>
    <row r="160" spans="1:17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6" t="str">
        <f t="shared" si="8"/>
        <v/>
      </c>
      <c r="P160" s="7" t="str">
        <f>IF($A160="","",IFERROR(AVERAGEIF('03_Факты_сайта'!$B$4:$B$503,$A160,'03_Факты_сайта'!$I$4:$I$503),0))</f>
        <v/>
      </c>
      <c r="Q160" s="5" t="str">
        <f t="shared" si="9"/>
        <v/>
      </c>
    </row>
    <row r="161" spans="1:17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6" t="str">
        <f t="shared" si="8"/>
        <v/>
      </c>
      <c r="P161" s="7" t="str">
        <f>IF($A161="","",IFERROR(AVERAGEIF('03_Факты_сайта'!$B$4:$B$503,$A161,'03_Факты_сайта'!$I$4:$I$503),0))</f>
        <v/>
      </c>
      <c r="Q161" s="5" t="str">
        <f t="shared" si="9"/>
        <v/>
      </c>
    </row>
    <row r="162" spans="1:17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6" t="str">
        <f t="shared" si="8"/>
        <v/>
      </c>
      <c r="P162" s="7" t="str">
        <f>IF($A162="","",IFERROR(AVERAGEIF('03_Факты_сайта'!$B$4:$B$503,$A162,'03_Факты_сайта'!$I$4:$I$503),0))</f>
        <v/>
      </c>
      <c r="Q162" s="5" t="str">
        <f t="shared" si="9"/>
        <v/>
      </c>
    </row>
    <row r="163" spans="1:17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6" t="str">
        <f t="shared" si="8"/>
        <v/>
      </c>
      <c r="P163" s="7" t="str">
        <f>IF($A163="","",IFERROR(AVERAGEIF('03_Факты_сайта'!$B$4:$B$503,$A163,'03_Факты_сайта'!$I$4:$I$503),0))</f>
        <v/>
      </c>
      <c r="Q163" s="5" t="str">
        <f t="shared" si="9"/>
        <v/>
      </c>
    </row>
    <row r="164" spans="1:17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6" t="str">
        <f t="shared" ref="O164:O195" si="10">IF($A164="","",COUNTA($C164:$N164)/12)</f>
        <v/>
      </c>
      <c r="P164" s="7" t="str">
        <f>IF($A164="","",IFERROR(AVERAGEIF('03_Факты_сайта'!$B$4:$B$503,$A164,'03_Факты_сайта'!$I$4:$I$503),0))</f>
        <v/>
      </c>
      <c r="Q164" s="5" t="str">
        <f t="shared" ref="Q164:Q195" si="11">IF($A164="","",IF($O164&lt;0.5,"недостаточно данных",IF($P164&lt;3,"низкая доказательность",IF($O164&gt;=0.85,"готов к сравнению","требует дополнения"))))</f>
        <v/>
      </c>
    </row>
    <row r="165" spans="1:17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6" t="str">
        <f t="shared" si="10"/>
        <v/>
      </c>
      <c r="P165" s="7" t="str">
        <f>IF($A165="","",IFERROR(AVERAGEIF('03_Факты_сайта'!$B$4:$B$503,$A165,'03_Факты_сайта'!$I$4:$I$503),0))</f>
        <v/>
      </c>
      <c r="Q165" s="5" t="str">
        <f t="shared" si="11"/>
        <v/>
      </c>
    </row>
    <row r="166" spans="1:17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6" t="str">
        <f t="shared" si="10"/>
        <v/>
      </c>
      <c r="P166" s="7" t="str">
        <f>IF($A166="","",IFERROR(AVERAGEIF('03_Факты_сайта'!$B$4:$B$503,$A166,'03_Факты_сайта'!$I$4:$I$503),0))</f>
        <v/>
      </c>
      <c r="Q166" s="5" t="str">
        <f t="shared" si="11"/>
        <v/>
      </c>
    </row>
    <row r="167" spans="1:17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6" t="str">
        <f t="shared" si="10"/>
        <v/>
      </c>
      <c r="P167" s="7" t="str">
        <f>IF($A167="","",IFERROR(AVERAGEIF('03_Факты_сайта'!$B$4:$B$503,$A167,'03_Факты_сайта'!$I$4:$I$503),0))</f>
        <v/>
      </c>
      <c r="Q167" s="5" t="str">
        <f t="shared" si="11"/>
        <v/>
      </c>
    </row>
    <row r="168" spans="1:17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6" t="str">
        <f t="shared" si="10"/>
        <v/>
      </c>
      <c r="P168" s="7" t="str">
        <f>IF($A168="","",IFERROR(AVERAGEIF('03_Факты_сайта'!$B$4:$B$503,$A168,'03_Факты_сайта'!$I$4:$I$503),0))</f>
        <v/>
      </c>
      <c r="Q168" s="5" t="str">
        <f t="shared" si="11"/>
        <v/>
      </c>
    </row>
    <row r="169" spans="1:17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6" t="str">
        <f t="shared" si="10"/>
        <v/>
      </c>
      <c r="P169" s="7" t="str">
        <f>IF($A169="","",IFERROR(AVERAGEIF('03_Факты_сайта'!$B$4:$B$503,$A169,'03_Факты_сайта'!$I$4:$I$503),0))</f>
        <v/>
      </c>
      <c r="Q169" s="5" t="str">
        <f t="shared" si="11"/>
        <v/>
      </c>
    </row>
    <row r="170" spans="1:17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6" t="str">
        <f t="shared" si="10"/>
        <v/>
      </c>
      <c r="P170" s="7" t="str">
        <f>IF($A170="","",IFERROR(AVERAGEIF('03_Факты_сайта'!$B$4:$B$503,$A170,'03_Факты_сайта'!$I$4:$I$503),0))</f>
        <v/>
      </c>
      <c r="Q170" s="5" t="str">
        <f t="shared" si="11"/>
        <v/>
      </c>
    </row>
    <row r="171" spans="1:17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6" t="str">
        <f t="shared" si="10"/>
        <v/>
      </c>
      <c r="P171" s="7" t="str">
        <f>IF($A171="","",IFERROR(AVERAGEIF('03_Факты_сайта'!$B$4:$B$503,$A171,'03_Факты_сайта'!$I$4:$I$503),0))</f>
        <v/>
      </c>
      <c r="Q171" s="5" t="str">
        <f t="shared" si="11"/>
        <v/>
      </c>
    </row>
    <row r="172" spans="1:17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6" t="str">
        <f t="shared" si="10"/>
        <v/>
      </c>
      <c r="P172" s="7" t="str">
        <f>IF($A172="","",IFERROR(AVERAGEIF('03_Факты_сайта'!$B$4:$B$503,$A172,'03_Факты_сайта'!$I$4:$I$503),0))</f>
        <v/>
      </c>
      <c r="Q172" s="5" t="str">
        <f t="shared" si="11"/>
        <v/>
      </c>
    </row>
    <row r="173" spans="1:17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6" t="str">
        <f t="shared" si="10"/>
        <v/>
      </c>
      <c r="P173" s="7" t="str">
        <f>IF($A173="","",IFERROR(AVERAGEIF('03_Факты_сайта'!$B$4:$B$503,$A173,'03_Факты_сайта'!$I$4:$I$503),0))</f>
        <v/>
      </c>
      <c r="Q173" s="5" t="str">
        <f t="shared" si="11"/>
        <v/>
      </c>
    </row>
    <row r="174" spans="1:17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6" t="str">
        <f t="shared" si="10"/>
        <v/>
      </c>
      <c r="P174" s="7" t="str">
        <f>IF($A174="","",IFERROR(AVERAGEIF('03_Факты_сайта'!$B$4:$B$503,$A174,'03_Факты_сайта'!$I$4:$I$503),0))</f>
        <v/>
      </c>
      <c r="Q174" s="5" t="str">
        <f t="shared" si="11"/>
        <v/>
      </c>
    </row>
    <row r="175" spans="1:17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6" t="str">
        <f t="shared" si="10"/>
        <v/>
      </c>
      <c r="P175" s="7" t="str">
        <f>IF($A175="","",IFERROR(AVERAGEIF('03_Факты_сайта'!$B$4:$B$503,$A175,'03_Факты_сайта'!$I$4:$I$503),0))</f>
        <v/>
      </c>
      <c r="Q175" s="5" t="str">
        <f t="shared" si="11"/>
        <v/>
      </c>
    </row>
    <row r="176" spans="1:17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6" t="str">
        <f t="shared" si="10"/>
        <v/>
      </c>
      <c r="P176" s="7" t="str">
        <f>IF($A176="","",IFERROR(AVERAGEIF('03_Факты_сайта'!$B$4:$B$503,$A176,'03_Факты_сайта'!$I$4:$I$503),0))</f>
        <v/>
      </c>
      <c r="Q176" s="5" t="str">
        <f t="shared" si="11"/>
        <v/>
      </c>
    </row>
    <row r="177" spans="1:17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6" t="str">
        <f t="shared" si="10"/>
        <v/>
      </c>
      <c r="P177" s="7" t="str">
        <f>IF($A177="","",IFERROR(AVERAGEIF('03_Факты_сайта'!$B$4:$B$503,$A177,'03_Факты_сайта'!$I$4:$I$503),0))</f>
        <v/>
      </c>
      <c r="Q177" s="5" t="str">
        <f t="shared" si="11"/>
        <v/>
      </c>
    </row>
    <row r="178" spans="1:17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6" t="str">
        <f t="shared" si="10"/>
        <v/>
      </c>
      <c r="P178" s="7" t="str">
        <f>IF($A178="","",IFERROR(AVERAGEIF('03_Факты_сайта'!$B$4:$B$503,$A178,'03_Факты_сайта'!$I$4:$I$503),0))</f>
        <v/>
      </c>
      <c r="Q178" s="5" t="str">
        <f t="shared" si="11"/>
        <v/>
      </c>
    </row>
    <row r="179" spans="1:17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6" t="str">
        <f t="shared" si="10"/>
        <v/>
      </c>
      <c r="P179" s="7" t="str">
        <f>IF($A179="","",IFERROR(AVERAGEIF('03_Факты_сайта'!$B$4:$B$503,$A179,'03_Факты_сайта'!$I$4:$I$503),0))</f>
        <v/>
      </c>
      <c r="Q179" s="5" t="str">
        <f t="shared" si="11"/>
        <v/>
      </c>
    </row>
    <row r="180" spans="1:17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6" t="str">
        <f t="shared" si="10"/>
        <v/>
      </c>
      <c r="P180" s="7" t="str">
        <f>IF($A180="","",IFERROR(AVERAGEIF('03_Факты_сайта'!$B$4:$B$503,$A180,'03_Факты_сайта'!$I$4:$I$503),0))</f>
        <v/>
      </c>
      <c r="Q180" s="5" t="str">
        <f t="shared" si="11"/>
        <v/>
      </c>
    </row>
    <row r="181" spans="1:17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6" t="str">
        <f t="shared" si="10"/>
        <v/>
      </c>
      <c r="P181" s="7" t="str">
        <f>IF($A181="","",IFERROR(AVERAGEIF('03_Факты_сайта'!$B$4:$B$503,$A181,'03_Факты_сайта'!$I$4:$I$503),0))</f>
        <v/>
      </c>
      <c r="Q181" s="5" t="str">
        <f t="shared" si="11"/>
        <v/>
      </c>
    </row>
    <row r="182" spans="1:17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6" t="str">
        <f t="shared" si="10"/>
        <v/>
      </c>
      <c r="P182" s="7" t="str">
        <f>IF($A182="","",IFERROR(AVERAGEIF('03_Факты_сайта'!$B$4:$B$503,$A182,'03_Факты_сайта'!$I$4:$I$503),0))</f>
        <v/>
      </c>
      <c r="Q182" s="5" t="str">
        <f t="shared" si="11"/>
        <v/>
      </c>
    </row>
    <row r="183" spans="1:17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6" t="str">
        <f t="shared" si="10"/>
        <v/>
      </c>
      <c r="P183" s="7" t="str">
        <f>IF($A183="","",IFERROR(AVERAGEIF('03_Факты_сайта'!$B$4:$B$503,$A183,'03_Факты_сайта'!$I$4:$I$503),0))</f>
        <v/>
      </c>
      <c r="Q183" s="5" t="str">
        <f t="shared" si="11"/>
        <v/>
      </c>
    </row>
    <row r="184" spans="1:17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6" t="str">
        <f t="shared" si="10"/>
        <v/>
      </c>
      <c r="P184" s="7" t="str">
        <f>IF($A184="","",IFERROR(AVERAGEIF('03_Факты_сайта'!$B$4:$B$503,$A184,'03_Факты_сайта'!$I$4:$I$503),0))</f>
        <v/>
      </c>
      <c r="Q184" s="5" t="str">
        <f t="shared" si="11"/>
        <v/>
      </c>
    </row>
    <row r="185" spans="1:17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6" t="str">
        <f t="shared" si="10"/>
        <v/>
      </c>
      <c r="P185" s="7" t="str">
        <f>IF($A185="","",IFERROR(AVERAGEIF('03_Факты_сайта'!$B$4:$B$503,$A185,'03_Факты_сайта'!$I$4:$I$503),0))</f>
        <v/>
      </c>
      <c r="Q185" s="5" t="str">
        <f t="shared" si="11"/>
        <v/>
      </c>
    </row>
    <row r="186" spans="1:17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6" t="str">
        <f t="shared" si="10"/>
        <v/>
      </c>
      <c r="P186" s="7" t="str">
        <f>IF($A186="","",IFERROR(AVERAGEIF('03_Факты_сайта'!$B$4:$B$503,$A186,'03_Факты_сайта'!$I$4:$I$503),0))</f>
        <v/>
      </c>
      <c r="Q186" s="5" t="str">
        <f t="shared" si="11"/>
        <v/>
      </c>
    </row>
    <row r="187" spans="1:17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6" t="str">
        <f t="shared" si="10"/>
        <v/>
      </c>
      <c r="P187" s="7" t="str">
        <f>IF($A187="","",IFERROR(AVERAGEIF('03_Факты_сайта'!$B$4:$B$503,$A187,'03_Факты_сайта'!$I$4:$I$503),0))</f>
        <v/>
      </c>
      <c r="Q187" s="5" t="str">
        <f t="shared" si="11"/>
        <v/>
      </c>
    </row>
    <row r="188" spans="1:17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6" t="str">
        <f t="shared" si="10"/>
        <v/>
      </c>
      <c r="P188" s="7" t="str">
        <f>IF($A188="","",IFERROR(AVERAGEIF('03_Факты_сайта'!$B$4:$B$503,$A188,'03_Факты_сайта'!$I$4:$I$503),0))</f>
        <v/>
      </c>
      <c r="Q188" s="5" t="str">
        <f t="shared" si="11"/>
        <v/>
      </c>
    </row>
    <row r="189" spans="1:17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6" t="str">
        <f t="shared" si="10"/>
        <v/>
      </c>
      <c r="P189" s="7" t="str">
        <f>IF($A189="","",IFERROR(AVERAGEIF('03_Факты_сайта'!$B$4:$B$503,$A189,'03_Факты_сайта'!$I$4:$I$503),0))</f>
        <v/>
      </c>
      <c r="Q189" s="5" t="str">
        <f t="shared" si="11"/>
        <v/>
      </c>
    </row>
    <row r="190" spans="1:17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6" t="str">
        <f t="shared" si="10"/>
        <v/>
      </c>
      <c r="P190" s="7" t="str">
        <f>IF($A190="","",IFERROR(AVERAGEIF('03_Факты_сайта'!$B$4:$B$503,$A190,'03_Факты_сайта'!$I$4:$I$503),0))</f>
        <v/>
      </c>
      <c r="Q190" s="5" t="str">
        <f t="shared" si="11"/>
        <v/>
      </c>
    </row>
    <row r="191" spans="1:17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6" t="str">
        <f t="shared" si="10"/>
        <v/>
      </c>
      <c r="P191" s="7" t="str">
        <f>IF($A191="","",IFERROR(AVERAGEIF('03_Факты_сайта'!$B$4:$B$503,$A191,'03_Факты_сайта'!$I$4:$I$503),0))</f>
        <v/>
      </c>
      <c r="Q191" s="5" t="str">
        <f t="shared" si="11"/>
        <v/>
      </c>
    </row>
    <row r="192" spans="1:17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6" t="str">
        <f t="shared" si="10"/>
        <v/>
      </c>
      <c r="P192" s="7" t="str">
        <f>IF($A192="","",IFERROR(AVERAGEIF('03_Факты_сайта'!$B$4:$B$503,$A192,'03_Факты_сайта'!$I$4:$I$503),0))</f>
        <v/>
      </c>
      <c r="Q192" s="5" t="str">
        <f t="shared" si="11"/>
        <v/>
      </c>
    </row>
    <row r="193" spans="1:17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6" t="str">
        <f t="shared" si="10"/>
        <v/>
      </c>
      <c r="P193" s="7" t="str">
        <f>IF($A193="","",IFERROR(AVERAGEIF('03_Факты_сайта'!$B$4:$B$503,$A193,'03_Факты_сайта'!$I$4:$I$503),0))</f>
        <v/>
      </c>
      <c r="Q193" s="5" t="str">
        <f t="shared" si="11"/>
        <v/>
      </c>
    </row>
    <row r="194" spans="1:17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6" t="str">
        <f t="shared" si="10"/>
        <v/>
      </c>
      <c r="P194" s="7" t="str">
        <f>IF($A194="","",IFERROR(AVERAGEIF('03_Факты_сайта'!$B$4:$B$503,$A194,'03_Факты_сайта'!$I$4:$I$503),0))</f>
        <v/>
      </c>
      <c r="Q194" s="5" t="str">
        <f t="shared" si="11"/>
        <v/>
      </c>
    </row>
    <row r="195" spans="1:17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6" t="str">
        <f t="shared" si="10"/>
        <v/>
      </c>
      <c r="P195" s="7" t="str">
        <f>IF($A195="","",IFERROR(AVERAGEIF('03_Факты_сайта'!$B$4:$B$503,$A195,'03_Факты_сайта'!$I$4:$I$503),0))</f>
        <v/>
      </c>
      <c r="Q195" s="5" t="str">
        <f t="shared" si="11"/>
        <v/>
      </c>
    </row>
    <row r="196" spans="1:17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6" t="str">
        <f t="shared" ref="O196:O203" si="12">IF($A196="","",COUNTA($C196:$N196)/12)</f>
        <v/>
      </c>
      <c r="P196" s="7" t="str">
        <f>IF($A196="","",IFERROR(AVERAGEIF('03_Факты_сайта'!$B$4:$B$503,$A196,'03_Факты_сайта'!$I$4:$I$503),0))</f>
        <v/>
      </c>
      <c r="Q196" s="5" t="str">
        <f t="shared" ref="Q196:Q203" si="13">IF($A196="","",IF($O196&lt;0.5,"недостаточно данных",IF($P196&lt;3,"низкая доказательность",IF($O196&gt;=0.85,"готов к сравнению","требует дополнения"))))</f>
        <v/>
      </c>
    </row>
    <row r="197" spans="1:17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6" t="str">
        <f t="shared" si="12"/>
        <v/>
      </c>
      <c r="P197" s="7" t="str">
        <f>IF($A197="","",IFERROR(AVERAGEIF('03_Факты_сайта'!$B$4:$B$503,$A197,'03_Факты_сайта'!$I$4:$I$503),0))</f>
        <v/>
      </c>
      <c r="Q197" s="5" t="str">
        <f t="shared" si="13"/>
        <v/>
      </c>
    </row>
    <row r="198" spans="1:17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6" t="str">
        <f t="shared" si="12"/>
        <v/>
      </c>
      <c r="P198" s="7" t="str">
        <f>IF($A198="","",IFERROR(AVERAGEIF('03_Факты_сайта'!$B$4:$B$503,$A198,'03_Факты_сайта'!$I$4:$I$503),0))</f>
        <v/>
      </c>
      <c r="Q198" s="5" t="str">
        <f t="shared" si="13"/>
        <v/>
      </c>
    </row>
    <row r="199" spans="1:17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6" t="str">
        <f t="shared" si="12"/>
        <v/>
      </c>
      <c r="P199" s="7" t="str">
        <f>IF($A199="","",IFERROR(AVERAGEIF('03_Факты_сайта'!$B$4:$B$503,$A199,'03_Факты_сайта'!$I$4:$I$503),0))</f>
        <v/>
      </c>
      <c r="Q199" s="5" t="str">
        <f t="shared" si="13"/>
        <v/>
      </c>
    </row>
    <row r="200" spans="1:17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6" t="str">
        <f t="shared" si="12"/>
        <v/>
      </c>
      <c r="P200" s="7" t="str">
        <f>IF($A200="","",IFERROR(AVERAGEIF('03_Факты_сайта'!$B$4:$B$503,$A200,'03_Факты_сайта'!$I$4:$I$503),0))</f>
        <v/>
      </c>
      <c r="Q200" s="5" t="str">
        <f t="shared" si="13"/>
        <v/>
      </c>
    </row>
    <row r="201" spans="1:17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6" t="str">
        <f t="shared" si="12"/>
        <v/>
      </c>
      <c r="P201" s="7" t="str">
        <f>IF($A201="","",IFERROR(AVERAGEIF('03_Факты_сайта'!$B$4:$B$503,$A201,'03_Факты_сайта'!$I$4:$I$503),0))</f>
        <v/>
      </c>
      <c r="Q201" s="5" t="str">
        <f t="shared" si="13"/>
        <v/>
      </c>
    </row>
    <row r="202" spans="1:17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6" t="str">
        <f t="shared" si="12"/>
        <v/>
      </c>
      <c r="P202" s="7" t="str">
        <f>IF($A202="","",IFERROR(AVERAGEIF('03_Факты_сайта'!$B$4:$B$503,$A202,'03_Факты_сайта'!$I$4:$I$503),0))</f>
        <v/>
      </c>
      <c r="Q202" s="5" t="str">
        <f t="shared" si="13"/>
        <v/>
      </c>
    </row>
    <row r="203" spans="1:17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6" t="str">
        <f t="shared" si="12"/>
        <v/>
      </c>
      <c r="P203" s="7" t="str">
        <f>IF($A203="","",IFERROR(AVERAGEIF('03_Факты_сайта'!$B$4:$B$503,$A203,'03_Факты_сайта'!$I$4:$I$503),0))</f>
        <v/>
      </c>
      <c r="Q203" s="5" t="str">
        <f t="shared" si="13"/>
        <v/>
      </c>
    </row>
    <row r="205" spans="1:17">
      <c r="A205" s="20" t="s">
        <v>168</v>
      </c>
      <c r="B205" s="20" t="s">
        <v>168</v>
      </c>
      <c r="C205" s="20" t="s">
        <v>168</v>
      </c>
      <c r="D205" s="20" t="s">
        <v>168</v>
      </c>
      <c r="E205" s="20" t="s">
        <v>168</v>
      </c>
      <c r="F205" s="20" t="s">
        <v>168</v>
      </c>
      <c r="G205" s="20" t="s">
        <v>168</v>
      </c>
      <c r="H205" s="20" t="s">
        <v>168</v>
      </c>
      <c r="I205" s="20" t="s">
        <v>168</v>
      </c>
      <c r="J205" s="20" t="s">
        <v>168</v>
      </c>
      <c r="K205" s="20" t="s">
        <v>168</v>
      </c>
      <c r="L205" s="20" t="s">
        <v>168</v>
      </c>
      <c r="M205" s="20" t="s">
        <v>168</v>
      </c>
      <c r="N205" s="20" t="s">
        <v>168</v>
      </c>
      <c r="O205" s="20" t="s">
        <v>168</v>
      </c>
      <c r="P205" s="20" t="s">
        <v>168</v>
      </c>
      <c r="Q205" s="20" t="s">
        <v>168</v>
      </c>
    </row>
  </sheetData>
  <mergeCells count="3">
    <mergeCell ref="A1:Q1"/>
    <mergeCell ref="A2:Q2"/>
    <mergeCell ref="A205:Q205"/>
  </mergeCells>
  <conditionalFormatting sqref="O4:P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3" width="32" customWidth="1"/>
    <col min="4" max="7" width="30" customWidth="1"/>
    <col min="8" max="9" width="34" customWidth="1"/>
    <col min="10" max="10" width="30" customWidth="1"/>
    <col min="11" max="12" width="34" customWidth="1"/>
    <col min="13" max="13" width="42" customWidth="1"/>
  </cols>
  <sheetData>
    <row r="1" spans="1:26" ht="30" customHeight="1">
      <c r="A1" s="17" t="s">
        <v>169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170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ht="36" customHeight="1">
      <c r="A3" s="1" t="s">
        <v>142</v>
      </c>
      <c r="B3" s="1" t="s">
        <v>143</v>
      </c>
      <c r="C3" s="1" t="s">
        <v>171</v>
      </c>
      <c r="D3" s="1" t="s">
        <v>172</v>
      </c>
      <c r="E3" s="1" t="s">
        <v>173</v>
      </c>
      <c r="F3" s="1" t="s">
        <v>174</v>
      </c>
      <c r="G3" s="1" t="s">
        <v>175</v>
      </c>
      <c r="H3" s="1" t="s">
        <v>176</v>
      </c>
      <c r="I3" s="1" t="s">
        <v>177</v>
      </c>
      <c r="J3" s="1" t="s">
        <v>178</v>
      </c>
      <c r="K3" s="1" t="s">
        <v>179</v>
      </c>
      <c r="L3" s="1" t="s">
        <v>180</v>
      </c>
      <c r="M3" s="1" t="s">
        <v>181</v>
      </c>
    </row>
    <row r="4" spans="1:26" ht="28.5">
      <c r="A4" s="3" t="s">
        <v>293</v>
      </c>
      <c r="B4" s="5" t="str">
        <f>IF($A4="","",IFERROR(VLOOKUP($A4,'02_Конкуренты'!$A$4:$B$203,2,FALSE),"не найдено"))</f>
        <v>PlantUML</v>
      </c>
      <c r="C4" s="3" t="s">
        <v>543</v>
      </c>
      <c r="D4" s="3" t="s">
        <v>544</v>
      </c>
      <c r="E4" s="3" t="s">
        <v>545</v>
      </c>
      <c r="F4" s="3" t="s">
        <v>546</v>
      </c>
      <c r="G4" s="3" t="s">
        <v>547</v>
      </c>
      <c r="H4" s="3" t="s">
        <v>548</v>
      </c>
      <c r="I4" s="3" t="s">
        <v>549</v>
      </c>
      <c r="J4" s="3" t="s">
        <v>550</v>
      </c>
      <c r="K4" s="3" t="s">
        <v>551</v>
      </c>
      <c r="L4" s="3" t="s">
        <v>552</v>
      </c>
      <c r="M4" s="3" t="s">
        <v>553</v>
      </c>
    </row>
    <row r="5" spans="1:26" ht="28.5">
      <c r="A5" s="3" t="s">
        <v>301</v>
      </c>
      <c r="B5" s="5" t="str">
        <f>IF($A5="","",IFERROR(VLOOKUP($A5,'02_Конкуренты'!$A$4:$B$203,2,FALSE),"не найдено"))</f>
        <v>Eraser (DiagramGPT)</v>
      </c>
      <c r="C5" s="3" t="s">
        <v>554</v>
      </c>
      <c r="D5" s="3" t="s">
        <v>555</v>
      </c>
      <c r="E5" s="3" t="s">
        <v>556</v>
      </c>
      <c r="F5" s="3" t="s">
        <v>557</v>
      </c>
      <c r="G5" s="3" t="s">
        <v>558</v>
      </c>
      <c r="H5" s="3" t="s">
        <v>559</v>
      </c>
      <c r="I5" s="3" t="s">
        <v>560</v>
      </c>
      <c r="J5" s="3" t="s">
        <v>561</v>
      </c>
      <c r="K5" s="3" t="s">
        <v>562</v>
      </c>
      <c r="L5" s="3" t="s">
        <v>563</v>
      </c>
      <c r="M5" s="3" t="s">
        <v>564</v>
      </c>
    </row>
    <row r="6" spans="1:26" ht="28.5">
      <c r="A6" s="3" t="s">
        <v>308</v>
      </c>
      <c r="B6" s="5" t="str">
        <f>IF($A6="","",IFERROR(VLOOKUP($A6,'02_Конкуренты'!$A$4:$B$203,2,FALSE),"не найдено"))</f>
        <v>Mermaid (open source)</v>
      </c>
      <c r="C6" s="3" t="s">
        <v>565</v>
      </c>
      <c r="D6" s="3" t="s">
        <v>566</v>
      </c>
      <c r="E6" s="3" t="s">
        <v>567</v>
      </c>
      <c r="F6" s="3" t="s">
        <v>568</v>
      </c>
      <c r="G6" s="3" t="s">
        <v>569</v>
      </c>
      <c r="H6" s="3" t="s">
        <v>570</v>
      </c>
      <c r="I6" s="3" t="s">
        <v>571</v>
      </c>
      <c r="J6" s="3" t="s">
        <v>572</v>
      </c>
      <c r="K6" s="3" t="s">
        <v>573</v>
      </c>
      <c r="L6" s="3" t="s">
        <v>574</v>
      </c>
      <c r="M6" s="3" t="s">
        <v>575</v>
      </c>
    </row>
    <row r="7" spans="1:26">
      <c r="A7" s="3" t="s">
        <v>314</v>
      </c>
      <c r="B7" s="5" t="str">
        <f>IF($A7="","",IFERROR(VLOOKUP($A7,'02_Конкуренты'!$A$4:$B$203,2,FALSE),"не найдено"))</f>
        <v>D2</v>
      </c>
      <c r="C7" s="3" t="s">
        <v>576</v>
      </c>
      <c r="D7" s="3" t="s">
        <v>577</v>
      </c>
      <c r="E7" s="3" t="s">
        <v>578</v>
      </c>
      <c r="F7" s="3" t="s">
        <v>579</v>
      </c>
      <c r="G7" s="3" t="s">
        <v>580</v>
      </c>
      <c r="H7" s="3" t="s">
        <v>581</v>
      </c>
      <c r="I7" s="3" t="s">
        <v>582</v>
      </c>
      <c r="J7" s="3" t="s">
        <v>583</v>
      </c>
      <c r="K7" s="3" t="s">
        <v>584</v>
      </c>
      <c r="L7" s="3" t="s">
        <v>585</v>
      </c>
      <c r="M7" s="3" t="s">
        <v>586</v>
      </c>
    </row>
    <row r="8" spans="1:26">
      <c r="A8" s="3" t="s">
        <v>319</v>
      </c>
      <c r="B8" s="5" t="str">
        <f>IF($A8="","",IFERROR(VLOOKUP($A8,'02_Конкуренты'!$A$4:$B$203,2,FALSE),"не найдено"))</f>
        <v>Gleek</v>
      </c>
      <c r="C8" s="3" t="s">
        <v>587</v>
      </c>
      <c r="D8" s="3" t="s">
        <v>588</v>
      </c>
      <c r="E8" s="3" t="s">
        <v>540</v>
      </c>
      <c r="F8" s="3" t="s">
        <v>589</v>
      </c>
      <c r="G8" s="3" t="s">
        <v>540</v>
      </c>
      <c r="H8" s="3" t="s">
        <v>540</v>
      </c>
      <c r="I8" s="3" t="s">
        <v>540</v>
      </c>
      <c r="J8" s="3" t="s">
        <v>540</v>
      </c>
      <c r="K8" s="3" t="s">
        <v>590</v>
      </c>
      <c r="L8" s="3" t="s">
        <v>591</v>
      </c>
      <c r="M8" s="3" t="s">
        <v>540</v>
      </c>
    </row>
    <row r="9" spans="1:26" ht="28.5">
      <c r="A9" s="3" t="s">
        <v>325</v>
      </c>
      <c r="B9" s="5" t="str">
        <f>IF($A9="","",IFERROR(VLOOKUP($A9,'02_Конкуренты'!$A$4:$B$203,2,FALSE),"не найдено"))</f>
        <v>draw.io / diagrams.net</v>
      </c>
      <c r="C9" s="3" t="s">
        <v>592</v>
      </c>
      <c r="D9" s="3" t="s">
        <v>593</v>
      </c>
      <c r="E9" s="3" t="s">
        <v>594</v>
      </c>
      <c r="F9" s="3" t="s">
        <v>595</v>
      </c>
      <c r="G9" s="3" t="s">
        <v>596</v>
      </c>
      <c r="H9" s="3" t="s">
        <v>597</v>
      </c>
      <c r="I9" s="3" t="s">
        <v>598</v>
      </c>
      <c r="J9" s="3" t="s">
        <v>599</v>
      </c>
      <c r="K9" s="3" t="s">
        <v>600</v>
      </c>
      <c r="L9" s="3" t="s">
        <v>342</v>
      </c>
      <c r="M9" s="3" t="s">
        <v>601</v>
      </c>
    </row>
    <row r="10" spans="1:26">
      <c r="A10" s="3" t="s">
        <v>330</v>
      </c>
      <c r="B10" s="5" t="str">
        <f>IF($A10="","",IFERROR(VLOOKUP($A10,'02_Конкуренты'!$A$4:$B$203,2,FALSE),"не найдено"))</f>
        <v>Ramus (Educational)</v>
      </c>
      <c r="C10" s="3" t="s">
        <v>602</v>
      </c>
      <c r="D10" s="3" t="s">
        <v>603</v>
      </c>
      <c r="E10" s="3" t="s">
        <v>540</v>
      </c>
      <c r="F10" s="3" t="s">
        <v>540</v>
      </c>
      <c r="G10" s="3" t="s">
        <v>604</v>
      </c>
      <c r="H10" s="3" t="s">
        <v>605</v>
      </c>
      <c r="I10" s="3" t="s">
        <v>606</v>
      </c>
      <c r="J10" s="3" t="s">
        <v>607</v>
      </c>
      <c r="K10" s="3" t="s">
        <v>608</v>
      </c>
      <c r="L10" s="3" t="s">
        <v>540</v>
      </c>
      <c r="M10" s="3" t="s">
        <v>461</v>
      </c>
    </row>
    <row r="11" spans="1:26">
      <c r="A11" s="3" t="s">
        <v>336</v>
      </c>
      <c r="B11" s="5" t="str">
        <f>IF($A11="","",IFERROR(VLOOKUP($A11,'02_Конкуренты'!$A$4:$B$203,2,FALSE),"не найдено"))</f>
        <v>Lucidchart</v>
      </c>
      <c r="C11" s="3" t="s">
        <v>609</v>
      </c>
      <c r="D11" s="3" t="s">
        <v>610</v>
      </c>
      <c r="E11" s="3" t="s">
        <v>611</v>
      </c>
      <c r="F11" s="3" t="s">
        <v>612</v>
      </c>
      <c r="G11" s="3" t="s">
        <v>540</v>
      </c>
      <c r="H11" s="3" t="s">
        <v>613</v>
      </c>
      <c r="I11" s="3" t="s">
        <v>614</v>
      </c>
      <c r="J11" s="3" t="s">
        <v>615</v>
      </c>
      <c r="K11" s="3" t="s">
        <v>616</v>
      </c>
      <c r="L11" s="3" t="s">
        <v>540</v>
      </c>
      <c r="M11" s="3" t="s">
        <v>617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3"/>
  <sheetViews>
    <sheetView workbookViewId="0"/>
  </sheetViews>
  <sheetFormatPr defaultRowHeight="14.25"/>
  <cols>
    <col min="1" max="1" width="14" customWidth="1"/>
    <col min="2" max="3" width="24" customWidth="1"/>
    <col min="4" max="4" width="34" customWidth="1"/>
    <col min="5" max="5" width="20" customWidth="1"/>
    <col min="6" max="6" width="18" customWidth="1"/>
    <col min="7" max="7" width="24" customWidth="1"/>
    <col min="8" max="8" width="22" customWidth="1"/>
    <col min="9" max="9" width="30" customWidth="1"/>
    <col min="10" max="10" width="22" customWidth="1"/>
    <col min="11" max="11" width="30" customWidth="1"/>
    <col min="12" max="13" width="18" customWidth="1"/>
    <col min="14" max="14" width="42" customWidth="1"/>
  </cols>
  <sheetData>
    <row r="1" spans="1:26" ht="30" customHeight="1">
      <c r="A1" s="17" t="s">
        <v>182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183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26" ht="36" customHeight="1">
      <c r="A3" s="1" t="s">
        <v>142</v>
      </c>
      <c r="B3" s="1" t="s">
        <v>143</v>
      </c>
      <c r="C3" s="1" t="s">
        <v>7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188</v>
      </c>
      <c r="I3" s="1" t="s">
        <v>189</v>
      </c>
      <c r="J3" s="1" t="s">
        <v>190</v>
      </c>
      <c r="K3" s="1" t="s">
        <v>191</v>
      </c>
      <c r="L3" s="1" t="s">
        <v>192</v>
      </c>
      <c r="M3" s="1" t="s">
        <v>193</v>
      </c>
      <c r="N3" s="1" t="s">
        <v>194</v>
      </c>
    </row>
    <row r="4" spans="1:26" ht="28.5">
      <c r="A4" s="3" t="s">
        <v>293</v>
      </c>
      <c r="B4" s="5" t="str">
        <f>IF($A4="","",IFERROR(VLOOKUP($A4,'02_Конкуренты'!$A$4:$B$203,2,FALSE),"не найдено"))</f>
        <v>PlantUML</v>
      </c>
      <c r="C4" s="3" t="s">
        <v>49</v>
      </c>
      <c r="D4" s="3" t="s">
        <v>618</v>
      </c>
      <c r="E4" s="3" t="s">
        <v>619</v>
      </c>
      <c r="F4" s="3" t="s">
        <v>620</v>
      </c>
      <c r="G4" s="3" t="s">
        <v>621</v>
      </c>
      <c r="H4" s="3" t="s">
        <v>367</v>
      </c>
      <c r="I4" s="3" t="s">
        <v>621</v>
      </c>
      <c r="J4" s="3" t="s">
        <v>367</v>
      </c>
      <c r="K4" s="3" t="s">
        <v>621</v>
      </c>
      <c r="L4" s="2">
        <v>5</v>
      </c>
      <c r="M4" s="2">
        <v>1</v>
      </c>
      <c r="N4" s="3" t="s">
        <v>622</v>
      </c>
    </row>
    <row r="5" spans="1:26" ht="28.5">
      <c r="A5" s="3" t="s">
        <v>301</v>
      </c>
      <c r="B5" s="5" t="str">
        <f>IF($A5="","",IFERROR(VLOOKUP($A5,'02_Конкуренты'!$A$4:$B$203,2,FALSE),"не найдено"))</f>
        <v>Eraser (DiagramGPT)</v>
      </c>
      <c r="C5" s="3" t="s">
        <v>16</v>
      </c>
      <c r="D5" s="3" t="s">
        <v>623</v>
      </c>
      <c r="E5" s="3" t="s">
        <v>624</v>
      </c>
      <c r="F5" s="3" t="s">
        <v>625</v>
      </c>
      <c r="G5" s="3" t="s">
        <v>626</v>
      </c>
      <c r="H5" s="3" t="s">
        <v>627</v>
      </c>
      <c r="I5" s="3" t="s">
        <v>628</v>
      </c>
      <c r="J5" s="3" t="s">
        <v>629</v>
      </c>
      <c r="K5" s="3" t="s">
        <v>630</v>
      </c>
      <c r="L5" s="2">
        <v>5</v>
      </c>
      <c r="M5" s="2">
        <v>4</v>
      </c>
      <c r="N5" s="3" t="s">
        <v>375</v>
      </c>
    </row>
    <row r="6" spans="1:26">
      <c r="A6" s="3" t="s">
        <v>308</v>
      </c>
      <c r="B6" s="5" t="str">
        <f>IF($A6="","",IFERROR(VLOOKUP($A6,'02_Конкуренты'!$A$4:$B$203,2,FALSE),"не найдено"))</f>
        <v>Mermaid (open source)</v>
      </c>
      <c r="C6" s="3" t="s">
        <v>69</v>
      </c>
      <c r="D6" s="3" t="s">
        <v>631</v>
      </c>
      <c r="E6" s="3" t="s">
        <v>623</v>
      </c>
      <c r="F6" s="3" t="s">
        <v>620</v>
      </c>
      <c r="G6" s="3" t="s">
        <v>621</v>
      </c>
      <c r="H6" s="3" t="s">
        <v>367</v>
      </c>
      <c r="I6" s="3" t="s">
        <v>621</v>
      </c>
      <c r="J6" s="3" t="s">
        <v>367</v>
      </c>
      <c r="K6" s="3" t="s">
        <v>621</v>
      </c>
      <c r="L6" s="2">
        <v>2</v>
      </c>
      <c r="M6" s="2">
        <v>2</v>
      </c>
      <c r="N6" s="3" t="s">
        <v>632</v>
      </c>
    </row>
    <row r="7" spans="1:26" ht="28.5">
      <c r="A7" s="3" t="s">
        <v>314</v>
      </c>
      <c r="B7" s="5" t="str">
        <f>IF($A7="","",IFERROR(VLOOKUP($A7,'02_Конкуренты'!$A$4:$B$203,2,FALSE),"не найдено"))</f>
        <v>D2</v>
      </c>
      <c r="C7" s="3" t="s">
        <v>49</v>
      </c>
      <c r="D7" s="3" t="s">
        <v>621</v>
      </c>
      <c r="E7" s="3" t="s">
        <v>623</v>
      </c>
      <c r="F7" s="3" t="s">
        <v>620</v>
      </c>
      <c r="G7" s="3" t="s">
        <v>621</v>
      </c>
      <c r="H7" s="3" t="s">
        <v>367</v>
      </c>
      <c r="I7" s="3" t="s">
        <v>621</v>
      </c>
      <c r="J7" s="3" t="s">
        <v>367</v>
      </c>
      <c r="K7" s="3" t="s">
        <v>621</v>
      </c>
      <c r="L7" s="2">
        <v>5</v>
      </c>
      <c r="M7" s="2">
        <v>1</v>
      </c>
      <c r="N7" s="3" t="s">
        <v>633</v>
      </c>
    </row>
    <row r="8" spans="1:26" ht="28.5">
      <c r="A8" s="3" t="s">
        <v>319</v>
      </c>
      <c r="B8" s="5" t="str">
        <f>IF($A8="","",IFERROR(VLOOKUP($A8,'02_Конкуренты'!$A$4:$B$203,2,FALSE),"не найдено"))</f>
        <v>Gleek</v>
      </c>
      <c r="C8" s="3" t="s">
        <v>49</v>
      </c>
      <c r="D8" s="3" t="s">
        <v>540</v>
      </c>
      <c r="E8" s="3" t="s">
        <v>634</v>
      </c>
      <c r="F8" s="3" t="s">
        <v>540</v>
      </c>
      <c r="G8" s="3" t="s">
        <v>540</v>
      </c>
      <c r="H8" s="3" t="s">
        <v>540</v>
      </c>
      <c r="I8" s="3" t="s">
        <v>540</v>
      </c>
      <c r="J8" s="3" t="s">
        <v>540</v>
      </c>
      <c r="K8" s="3" t="s">
        <v>540</v>
      </c>
      <c r="L8" s="2">
        <v>2</v>
      </c>
      <c r="M8" s="2">
        <v>3</v>
      </c>
      <c r="N8" s="3" t="s">
        <v>434</v>
      </c>
    </row>
    <row r="9" spans="1:26" ht="28.5">
      <c r="A9" s="3" t="s">
        <v>325</v>
      </c>
      <c r="B9" s="5" t="str">
        <f>IF($A9="","",IFERROR(VLOOKUP($A9,'02_Конкуренты'!$A$4:$B$203,2,FALSE),"не найдено"))</f>
        <v>draw.io / diagrams.net</v>
      </c>
      <c r="C9" s="3" t="s">
        <v>49</v>
      </c>
      <c r="D9" s="3" t="s">
        <v>621</v>
      </c>
      <c r="E9" s="3" t="s">
        <v>619</v>
      </c>
      <c r="F9" s="3" t="s">
        <v>620</v>
      </c>
      <c r="G9" s="3" t="s">
        <v>621</v>
      </c>
      <c r="H9" s="3" t="s">
        <v>367</v>
      </c>
      <c r="I9" s="3" t="s">
        <v>635</v>
      </c>
      <c r="J9" s="3" t="s">
        <v>367</v>
      </c>
      <c r="K9" s="3" t="s">
        <v>636</v>
      </c>
      <c r="L9" s="2">
        <v>5</v>
      </c>
      <c r="M9" s="2">
        <v>2</v>
      </c>
      <c r="N9" s="3" t="s">
        <v>637</v>
      </c>
    </row>
    <row r="10" spans="1:26">
      <c r="A10" s="3" t="s">
        <v>330</v>
      </c>
      <c r="B10" s="5" t="str">
        <f>IF($A10="","",IFERROR(VLOOKUP($A10,'02_Конкуренты'!$A$4:$B$203,2,FALSE),"не найдено"))</f>
        <v>Ramus (Educational)</v>
      </c>
      <c r="C10" s="3" t="s">
        <v>54</v>
      </c>
      <c r="D10" s="3" t="s">
        <v>540</v>
      </c>
      <c r="E10" s="3" t="s">
        <v>638</v>
      </c>
      <c r="F10" s="3" t="s">
        <v>540</v>
      </c>
      <c r="G10" s="3" t="s">
        <v>540</v>
      </c>
      <c r="H10" s="3" t="s">
        <v>54</v>
      </c>
      <c r="I10" s="3" t="s">
        <v>540</v>
      </c>
      <c r="J10" s="3" t="s">
        <v>639</v>
      </c>
      <c r="K10" s="3" t="s">
        <v>540</v>
      </c>
      <c r="L10" s="2">
        <v>1</v>
      </c>
      <c r="M10" s="2">
        <v>1</v>
      </c>
      <c r="N10" s="3" t="s">
        <v>434</v>
      </c>
    </row>
    <row r="11" spans="1:26">
      <c r="A11" s="3" t="s">
        <v>336</v>
      </c>
      <c r="B11" s="5" t="str">
        <f>IF($A11="","",IFERROR(VLOOKUP($A11,'02_Конкуренты'!$A$4:$B$203,2,FALSE),"не найдено"))</f>
        <v>Lucidchart</v>
      </c>
      <c r="C11" s="3" t="s">
        <v>16</v>
      </c>
      <c r="D11" s="3" t="s">
        <v>540</v>
      </c>
      <c r="E11" s="3" t="s">
        <v>540</v>
      </c>
      <c r="F11" s="3" t="s">
        <v>540</v>
      </c>
      <c r="G11" s="3" t="s">
        <v>540</v>
      </c>
      <c r="H11" s="3" t="s">
        <v>540</v>
      </c>
      <c r="I11" s="3" t="s">
        <v>540</v>
      </c>
      <c r="J11" s="3" t="s">
        <v>540</v>
      </c>
      <c r="K11" s="3" t="s">
        <v>540</v>
      </c>
      <c r="L11" s="2">
        <v>2</v>
      </c>
      <c r="M11" s="2">
        <v>3</v>
      </c>
      <c r="N11" s="3" t="s">
        <v>434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C4:C203" xr:uid="{00000000-0002-0000-0600-000000000000}">
      <formula1>"подписка,разовая покупка,комиссия,транзакционная оплата,условно-бесплатная модель,лицензия,реклама,оплата за использование,пакетная продажа,смешанная"</formula1>
    </dataValidation>
    <dataValidation type="list" sqref="L4:M203" xr:uid="{00000000-0002-0000-06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4" width="32" customWidth="1"/>
    <col min="5" max="7" width="28" customWidth="1"/>
    <col min="8" max="8" width="26" customWidth="1"/>
    <col min="9" max="9" width="24" customWidth="1"/>
    <col min="10" max="10" width="28" customWidth="1"/>
    <col min="11" max="11" width="30" customWidth="1"/>
    <col min="12" max="12" width="20" customWidth="1"/>
    <col min="13" max="13" width="18" customWidth="1"/>
    <col min="14" max="14" width="42" customWidth="1"/>
  </cols>
  <sheetData>
    <row r="1" spans="1:26" ht="30" customHeight="1">
      <c r="A1" s="17" t="s">
        <v>195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196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26" ht="36" customHeight="1">
      <c r="A3" s="1" t="s">
        <v>142</v>
      </c>
      <c r="B3" s="1" t="s">
        <v>143</v>
      </c>
      <c r="C3" s="1" t="s">
        <v>197</v>
      </c>
      <c r="D3" s="1" t="s">
        <v>198</v>
      </c>
      <c r="E3" s="1" t="s">
        <v>199</v>
      </c>
      <c r="F3" s="1" t="s">
        <v>200</v>
      </c>
      <c r="G3" s="1" t="s">
        <v>201</v>
      </c>
      <c r="H3" s="1" t="s">
        <v>8</v>
      </c>
      <c r="I3" s="1" t="s">
        <v>202</v>
      </c>
      <c r="J3" s="1" t="s">
        <v>203</v>
      </c>
      <c r="K3" s="1" t="s">
        <v>204</v>
      </c>
      <c r="L3" s="1" t="s">
        <v>205</v>
      </c>
      <c r="M3" s="1" t="s">
        <v>206</v>
      </c>
      <c r="N3" s="1" t="s">
        <v>207</v>
      </c>
    </row>
    <row r="4" spans="1:26" ht="28.5">
      <c r="A4" s="3" t="s">
        <v>293</v>
      </c>
      <c r="B4" s="5" t="str">
        <f>IF($A4="","",IFERROR(VLOOKUP($A4,'02_Конкуренты'!$A$4:$B$203,2,FALSE),"не найдено"))</f>
        <v>PlantUML</v>
      </c>
      <c r="C4" s="3" t="s">
        <v>640</v>
      </c>
      <c r="D4" s="3" t="s">
        <v>641</v>
      </c>
      <c r="E4" s="3" t="s">
        <v>642</v>
      </c>
      <c r="F4" s="3" t="s">
        <v>643</v>
      </c>
      <c r="G4" s="3" t="s">
        <v>644</v>
      </c>
      <c r="H4" s="3" t="s">
        <v>17</v>
      </c>
      <c r="I4" s="3" t="s">
        <v>620</v>
      </c>
      <c r="J4" s="3" t="s">
        <v>645</v>
      </c>
      <c r="K4" s="3" t="s">
        <v>646</v>
      </c>
      <c r="L4" s="2">
        <v>1</v>
      </c>
      <c r="M4" s="2">
        <v>4</v>
      </c>
      <c r="N4" s="3" t="s">
        <v>647</v>
      </c>
    </row>
    <row r="5" spans="1:26">
      <c r="A5" s="3" t="s">
        <v>301</v>
      </c>
      <c r="B5" s="5" t="str">
        <f>IF($A5="","",IFERROR(VLOOKUP($A5,'02_Конкуренты'!$A$4:$B$203,2,FALSE),"не найдено"))</f>
        <v>Eraser (DiagramGPT)</v>
      </c>
      <c r="C5" s="3" t="s">
        <v>648</v>
      </c>
      <c r="D5" s="3" t="s">
        <v>649</v>
      </c>
      <c r="E5" s="3" t="s">
        <v>650</v>
      </c>
      <c r="F5" s="3" t="s">
        <v>651</v>
      </c>
      <c r="G5" s="3" t="s">
        <v>652</v>
      </c>
      <c r="H5" s="3" t="s">
        <v>50</v>
      </c>
      <c r="I5" s="3" t="s">
        <v>623</v>
      </c>
      <c r="J5" s="3" t="s">
        <v>625</v>
      </c>
      <c r="K5" s="3" t="s">
        <v>653</v>
      </c>
      <c r="L5" s="2">
        <v>2</v>
      </c>
      <c r="M5" s="2">
        <v>5</v>
      </c>
      <c r="N5" s="3" t="s">
        <v>654</v>
      </c>
    </row>
    <row r="6" spans="1:26">
      <c r="A6" s="3" t="s">
        <v>308</v>
      </c>
      <c r="B6" s="5" t="str">
        <f>IF($A6="","",IFERROR(VLOOKUP($A6,'02_Конкуренты'!$A$4:$B$203,2,FALSE),"не найдено"))</f>
        <v>Mermaid (open source)</v>
      </c>
      <c r="C6" s="3" t="s">
        <v>655</v>
      </c>
      <c r="D6" s="3" t="s">
        <v>424</v>
      </c>
      <c r="E6" s="3" t="s">
        <v>656</v>
      </c>
      <c r="F6" s="3" t="s">
        <v>657</v>
      </c>
      <c r="G6" s="3" t="s">
        <v>658</v>
      </c>
      <c r="H6" s="3" t="s">
        <v>55</v>
      </c>
      <c r="I6" s="3" t="s">
        <v>620</v>
      </c>
      <c r="J6" s="3" t="s">
        <v>657</v>
      </c>
      <c r="K6" s="3" t="s">
        <v>659</v>
      </c>
      <c r="L6" s="2">
        <v>1</v>
      </c>
      <c r="M6" s="2">
        <v>4</v>
      </c>
      <c r="N6" s="3" t="s">
        <v>660</v>
      </c>
    </row>
    <row r="7" spans="1:26">
      <c r="A7" s="3" t="s">
        <v>314</v>
      </c>
      <c r="B7" s="5" t="str">
        <f>IF($A7="","",IFERROR(VLOOKUP($A7,'02_Конкуренты'!$A$4:$B$203,2,FALSE),"не найдено"))</f>
        <v>D2</v>
      </c>
      <c r="C7" s="3" t="s">
        <v>661</v>
      </c>
      <c r="D7" s="3" t="s">
        <v>662</v>
      </c>
      <c r="E7" s="3" t="s">
        <v>540</v>
      </c>
      <c r="F7" s="3" t="s">
        <v>663</v>
      </c>
      <c r="G7" s="3" t="s">
        <v>664</v>
      </c>
      <c r="H7" s="3" t="s">
        <v>17</v>
      </c>
      <c r="I7" s="3" t="s">
        <v>620</v>
      </c>
      <c r="J7" s="3" t="s">
        <v>665</v>
      </c>
      <c r="K7" s="3" t="s">
        <v>666</v>
      </c>
      <c r="L7" s="2">
        <v>2</v>
      </c>
      <c r="M7" s="2">
        <v>3</v>
      </c>
      <c r="N7" s="3" t="s">
        <v>431</v>
      </c>
    </row>
    <row r="8" spans="1:26">
      <c r="A8" s="3" t="s">
        <v>319</v>
      </c>
      <c r="B8" s="5" t="str">
        <f>IF($A8="","",IFERROR(VLOOKUP($A8,'02_Конкуренты'!$A$4:$B$203,2,FALSE),"не найдено"))</f>
        <v>Gleek</v>
      </c>
      <c r="C8" s="3" t="s">
        <v>540</v>
      </c>
      <c r="D8" s="3" t="s">
        <v>540</v>
      </c>
      <c r="E8" s="3" t="s">
        <v>540</v>
      </c>
      <c r="F8" s="3" t="s">
        <v>540</v>
      </c>
      <c r="G8" s="3" t="s">
        <v>540</v>
      </c>
      <c r="H8" s="3" t="s">
        <v>43</v>
      </c>
      <c r="I8" s="3" t="s">
        <v>540</v>
      </c>
      <c r="J8" s="3" t="s">
        <v>540</v>
      </c>
      <c r="K8" s="3" t="s">
        <v>540</v>
      </c>
      <c r="L8" s="2">
        <v>3</v>
      </c>
      <c r="M8" s="2">
        <v>2</v>
      </c>
      <c r="N8" s="3" t="s">
        <v>540</v>
      </c>
    </row>
    <row r="9" spans="1:26" ht="28.5">
      <c r="A9" s="3" t="s">
        <v>325</v>
      </c>
      <c r="B9" s="5" t="str">
        <f>IF($A9="","",IFERROR(VLOOKUP($A9,'02_Конкуренты'!$A$4:$B$203,2,FALSE),"не найдено"))</f>
        <v>draw.io / diagrams.net</v>
      </c>
      <c r="C9" s="3" t="s">
        <v>667</v>
      </c>
      <c r="D9" s="3" t="s">
        <v>424</v>
      </c>
      <c r="E9" s="3" t="s">
        <v>668</v>
      </c>
      <c r="F9" s="3" t="s">
        <v>669</v>
      </c>
      <c r="G9" s="3" t="s">
        <v>670</v>
      </c>
      <c r="H9" s="3" t="s">
        <v>17</v>
      </c>
      <c r="I9" s="3" t="s">
        <v>620</v>
      </c>
      <c r="J9" s="3" t="s">
        <v>671</v>
      </c>
      <c r="K9" s="3" t="s">
        <v>672</v>
      </c>
      <c r="L9" s="2">
        <v>1</v>
      </c>
      <c r="M9" s="2">
        <v>5</v>
      </c>
      <c r="N9" s="3" t="s">
        <v>673</v>
      </c>
    </row>
    <row r="10" spans="1:26">
      <c r="A10" s="3" t="s">
        <v>330</v>
      </c>
      <c r="B10" s="5" t="str">
        <f>IF($A10="","",IFERROR(VLOOKUP($A10,'02_Конкуренты'!$A$4:$B$203,2,FALSE),"не найдено"))</f>
        <v>Ramus (Educational)</v>
      </c>
      <c r="C10" s="3" t="s">
        <v>674</v>
      </c>
      <c r="D10" s="3" t="s">
        <v>540</v>
      </c>
      <c r="E10" s="3" t="s">
        <v>675</v>
      </c>
      <c r="F10" s="3" t="s">
        <v>676</v>
      </c>
      <c r="G10" s="3" t="s">
        <v>677</v>
      </c>
      <c r="H10" s="3" t="s">
        <v>17</v>
      </c>
      <c r="I10" s="3" t="s">
        <v>540</v>
      </c>
      <c r="J10" s="3" t="s">
        <v>540</v>
      </c>
      <c r="K10" s="3" t="s">
        <v>540</v>
      </c>
      <c r="L10" s="2">
        <v>4</v>
      </c>
      <c r="M10" s="2">
        <v>2</v>
      </c>
      <c r="N10" s="3" t="s">
        <v>678</v>
      </c>
    </row>
    <row r="11" spans="1:26">
      <c r="A11" s="3" t="s">
        <v>336</v>
      </c>
      <c r="B11" s="5" t="str">
        <f>IF($A11="","",IFERROR(VLOOKUP($A11,'02_Конкуренты'!$A$4:$B$203,2,FALSE),"не найдено"))</f>
        <v>Lucidchart</v>
      </c>
      <c r="C11" s="3" t="s">
        <v>540</v>
      </c>
      <c r="D11" s="3" t="s">
        <v>540</v>
      </c>
      <c r="E11" s="3" t="s">
        <v>540</v>
      </c>
      <c r="F11" s="3" t="s">
        <v>540</v>
      </c>
      <c r="G11" s="3" t="s">
        <v>679</v>
      </c>
      <c r="H11" s="3" t="s">
        <v>43</v>
      </c>
      <c r="I11" s="3" t="s">
        <v>680</v>
      </c>
      <c r="J11" s="3" t="s">
        <v>540</v>
      </c>
      <c r="K11" s="3" t="s">
        <v>540</v>
      </c>
      <c r="L11" s="2">
        <v>3</v>
      </c>
      <c r="M11" s="2">
        <v>4</v>
      </c>
      <c r="N11" s="3" t="s">
        <v>540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L4:M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H4:H203" xr:uid="{00000000-0002-0000-0700-000000000000}">
      <formula1>"самостоятельная покупка,заявка на консультацию,демонстрация продукта,регистрация,пробный доступ,контентная воронка,корпоративные продажи,маркетплейс"</formula1>
    </dataValidation>
    <dataValidation type="list" sqref="L4:M203" xr:uid="{00000000-0002-0000-07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4" width="32" customWidth="1"/>
    <col min="5" max="5" width="34" customWidth="1"/>
    <col min="6" max="6" width="30" customWidth="1"/>
    <col min="7" max="8" width="28" customWidth="1"/>
    <col min="9" max="9" width="30" customWidth="1"/>
    <col min="10" max="10" width="32" customWidth="1"/>
    <col min="11" max="11" width="20" customWidth="1"/>
    <col min="12" max="12" width="22" customWidth="1"/>
    <col min="13" max="13" width="28" customWidth="1"/>
    <col min="14" max="14" width="42" customWidth="1"/>
  </cols>
  <sheetData>
    <row r="1" spans="1:26" ht="30" customHeight="1">
      <c r="A1" s="17" t="s">
        <v>208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209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26" ht="36" customHeight="1">
      <c r="A3" s="1" t="s">
        <v>142</v>
      </c>
      <c r="B3" s="1" t="s">
        <v>143</v>
      </c>
      <c r="C3" s="1" t="s">
        <v>159</v>
      </c>
      <c r="D3" s="1" t="s">
        <v>210</v>
      </c>
      <c r="E3" s="1" t="s">
        <v>211</v>
      </c>
      <c r="F3" s="1" t="s">
        <v>212</v>
      </c>
      <c r="G3" s="1" t="s">
        <v>213</v>
      </c>
      <c r="H3" s="1" t="s">
        <v>214</v>
      </c>
      <c r="I3" s="1" t="s">
        <v>215</v>
      </c>
      <c r="J3" s="1" t="s">
        <v>216</v>
      </c>
      <c r="K3" s="1" t="s">
        <v>217</v>
      </c>
      <c r="L3" s="1" t="s">
        <v>218</v>
      </c>
      <c r="M3" s="1" t="s">
        <v>219</v>
      </c>
      <c r="N3" s="1" t="s">
        <v>220</v>
      </c>
    </row>
    <row r="4" spans="1:26">
      <c r="A4" s="3" t="s">
        <v>293</v>
      </c>
      <c r="B4" s="5" t="str">
        <f>IF($A4="","",IFERROR(VLOOKUP($A4,'02_Конкуренты'!$A$4:$B$203,2,FALSE),"не найдено"))</f>
        <v>PlantUML</v>
      </c>
      <c r="C4" s="3" t="s">
        <v>681</v>
      </c>
      <c r="D4" s="3" t="s">
        <v>682</v>
      </c>
      <c r="E4" s="3" t="s">
        <v>683</v>
      </c>
      <c r="F4" s="3" t="s">
        <v>684</v>
      </c>
      <c r="G4" s="3" t="s">
        <v>685</v>
      </c>
      <c r="H4" s="3" t="s">
        <v>686</v>
      </c>
      <c r="I4" s="3" t="s">
        <v>687</v>
      </c>
      <c r="J4" s="3" t="s">
        <v>688</v>
      </c>
      <c r="K4" s="2">
        <v>5</v>
      </c>
      <c r="L4" s="2">
        <v>3</v>
      </c>
      <c r="M4" s="3" t="s">
        <v>689</v>
      </c>
      <c r="N4" s="3" t="s">
        <v>690</v>
      </c>
    </row>
    <row r="5" spans="1:26" ht="28.5">
      <c r="A5" s="3" t="s">
        <v>301</v>
      </c>
      <c r="B5" s="5" t="str">
        <f>IF($A5="","",IFERROR(VLOOKUP($A5,'02_Конкуренты'!$A$4:$B$203,2,FALSE),"не найдено"))</f>
        <v>Eraser (DiagramGPT)</v>
      </c>
      <c r="C5" s="3" t="s">
        <v>691</v>
      </c>
      <c r="D5" s="3" t="s">
        <v>692</v>
      </c>
      <c r="E5" s="3" t="s">
        <v>693</v>
      </c>
      <c r="F5" s="3" t="s">
        <v>694</v>
      </c>
      <c r="G5" s="3" t="s">
        <v>388</v>
      </c>
      <c r="H5" s="3" t="s">
        <v>695</v>
      </c>
      <c r="I5" s="3" t="s">
        <v>696</v>
      </c>
      <c r="J5" s="3" t="s">
        <v>697</v>
      </c>
      <c r="K5" s="2">
        <v>4</v>
      </c>
      <c r="L5" s="2">
        <v>4</v>
      </c>
      <c r="M5" s="3" t="s">
        <v>698</v>
      </c>
      <c r="N5" s="3" t="s">
        <v>699</v>
      </c>
    </row>
    <row r="6" spans="1:26">
      <c r="A6" s="3" t="s">
        <v>308</v>
      </c>
      <c r="B6" s="5" t="str">
        <f>IF($A6="","",IFERROR(VLOOKUP($A6,'02_Конкуренты'!$A$4:$B$203,2,FALSE),"не найдено"))</f>
        <v>Mermaid (open source)</v>
      </c>
      <c r="C6" s="3" t="s">
        <v>700</v>
      </c>
      <c r="D6" s="3" t="s">
        <v>701</v>
      </c>
      <c r="E6" s="3" t="s">
        <v>702</v>
      </c>
      <c r="F6" s="3" t="s">
        <v>367</v>
      </c>
      <c r="G6" s="3" t="s">
        <v>503</v>
      </c>
      <c r="H6" s="3" t="s">
        <v>703</v>
      </c>
      <c r="I6" s="3" t="s">
        <v>429</v>
      </c>
      <c r="J6" s="3" t="s">
        <v>504</v>
      </c>
      <c r="K6" s="2">
        <v>5</v>
      </c>
      <c r="L6" s="2">
        <v>5</v>
      </c>
      <c r="M6" s="3" t="s">
        <v>704</v>
      </c>
      <c r="N6" s="3" t="s">
        <v>705</v>
      </c>
    </row>
    <row r="7" spans="1:26" ht="28.5">
      <c r="A7" s="3" t="s">
        <v>314</v>
      </c>
      <c r="B7" s="5" t="str">
        <f>IF($A7="","",IFERROR(VLOOKUP($A7,'02_Конкуренты'!$A$4:$B$203,2,FALSE),"не найдено"))</f>
        <v>D2</v>
      </c>
      <c r="C7" s="3" t="s">
        <v>706</v>
      </c>
      <c r="D7" s="3" t="s">
        <v>707</v>
      </c>
      <c r="E7" s="3" t="s">
        <v>708</v>
      </c>
      <c r="F7" s="3" t="s">
        <v>367</v>
      </c>
      <c r="G7" s="3" t="s">
        <v>709</v>
      </c>
      <c r="H7" s="3" t="s">
        <v>710</v>
      </c>
      <c r="I7" s="3" t="s">
        <v>711</v>
      </c>
      <c r="J7" s="3" t="s">
        <v>504</v>
      </c>
      <c r="K7" s="2">
        <v>4</v>
      </c>
      <c r="L7" s="2">
        <v>3</v>
      </c>
      <c r="M7" s="3" t="s">
        <v>712</v>
      </c>
      <c r="N7" s="3" t="s">
        <v>713</v>
      </c>
    </row>
    <row r="8" spans="1:26">
      <c r="A8" s="3" t="s">
        <v>319</v>
      </c>
      <c r="B8" s="5" t="str">
        <f>IF($A8="","",IFERROR(VLOOKUP($A8,'02_Конкуренты'!$A$4:$B$203,2,FALSE),"не найдено"))</f>
        <v>Gleek</v>
      </c>
      <c r="C8" s="3" t="s">
        <v>540</v>
      </c>
      <c r="D8" s="3" t="s">
        <v>540</v>
      </c>
      <c r="E8" s="3" t="s">
        <v>540</v>
      </c>
      <c r="F8" s="3" t="s">
        <v>540</v>
      </c>
      <c r="G8" s="3" t="s">
        <v>540</v>
      </c>
      <c r="H8" s="3" t="s">
        <v>540</v>
      </c>
      <c r="I8" s="3" t="s">
        <v>540</v>
      </c>
      <c r="J8" s="3" t="s">
        <v>540</v>
      </c>
      <c r="K8" s="2">
        <v>3</v>
      </c>
      <c r="L8" s="2">
        <v>2</v>
      </c>
      <c r="M8" s="3" t="s">
        <v>540</v>
      </c>
      <c r="N8" s="3" t="s">
        <v>540</v>
      </c>
    </row>
    <row r="9" spans="1:26" ht="28.5">
      <c r="A9" s="3" t="s">
        <v>325</v>
      </c>
      <c r="B9" s="5" t="str">
        <f>IF($A9="","",IFERROR(VLOOKUP($A9,'02_Конкуренты'!$A$4:$B$203,2,FALSE),"не найдено"))</f>
        <v>draw.io / diagrams.net</v>
      </c>
      <c r="C9" s="3" t="s">
        <v>714</v>
      </c>
      <c r="D9" s="3" t="s">
        <v>707</v>
      </c>
      <c r="E9" s="3" t="s">
        <v>715</v>
      </c>
      <c r="F9" s="3" t="s">
        <v>716</v>
      </c>
      <c r="G9" s="3" t="s">
        <v>529</v>
      </c>
      <c r="H9" s="3" t="s">
        <v>717</v>
      </c>
      <c r="I9" s="3" t="s">
        <v>424</v>
      </c>
      <c r="J9" s="3" t="s">
        <v>707</v>
      </c>
      <c r="K9" s="2">
        <v>5</v>
      </c>
      <c r="L9" s="2">
        <v>4</v>
      </c>
      <c r="M9" s="3" t="s">
        <v>718</v>
      </c>
      <c r="N9" s="3" t="s">
        <v>719</v>
      </c>
    </row>
    <row r="10" spans="1:26">
      <c r="A10" s="3" t="s">
        <v>330</v>
      </c>
      <c r="B10" s="5" t="str">
        <f>IF($A10="","",IFERROR(VLOOKUP($A10,'02_Конкуренты'!$A$4:$B$203,2,FALSE),"не найдено"))</f>
        <v>Ramus (Educational)</v>
      </c>
      <c r="C10" s="3" t="s">
        <v>540</v>
      </c>
      <c r="D10" s="3" t="s">
        <v>540</v>
      </c>
      <c r="E10" s="3" t="s">
        <v>720</v>
      </c>
      <c r="F10" s="3" t="s">
        <v>540</v>
      </c>
      <c r="G10" s="3" t="s">
        <v>540</v>
      </c>
      <c r="H10" s="3" t="s">
        <v>721</v>
      </c>
      <c r="I10" s="3" t="s">
        <v>540</v>
      </c>
      <c r="J10" s="3" t="s">
        <v>540</v>
      </c>
      <c r="K10" s="2">
        <v>2</v>
      </c>
      <c r="L10" s="2">
        <v>2</v>
      </c>
      <c r="M10" s="3" t="s">
        <v>722</v>
      </c>
      <c r="N10" s="3" t="s">
        <v>540</v>
      </c>
    </row>
    <row r="11" spans="1:26">
      <c r="A11" s="3" t="s">
        <v>336</v>
      </c>
      <c r="B11" s="5" t="str">
        <f>IF($A11="","",IFERROR(VLOOKUP($A11,'02_Конкуренты'!$A$4:$B$203,2,FALSE),"не найдено"))</f>
        <v>Lucidchart</v>
      </c>
      <c r="C11" s="3" t="s">
        <v>540</v>
      </c>
      <c r="D11" s="3" t="s">
        <v>540</v>
      </c>
      <c r="E11" s="3" t="s">
        <v>723</v>
      </c>
      <c r="F11" s="3" t="s">
        <v>540</v>
      </c>
      <c r="G11" s="3" t="s">
        <v>540</v>
      </c>
      <c r="H11" s="3" t="s">
        <v>540</v>
      </c>
      <c r="I11" s="3" t="s">
        <v>540</v>
      </c>
      <c r="J11" s="3" t="s">
        <v>540</v>
      </c>
      <c r="K11" s="2">
        <v>4</v>
      </c>
      <c r="L11" s="2">
        <v>3</v>
      </c>
      <c r="M11" s="3" t="s">
        <v>540</v>
      </c>
      <c r="N11" s="3" t="s">
        <v>540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</sheetData>
  <mergeCells count="2">
    <mergeCell ref="A1:N1"/>
    <mergeCell ref="A2:N2"/>
  </mergeCells>
  <conditionalFormatting sqref="K4:L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K4:L203" xr:uid="{00000000-0002-0000-08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6" width="12" customWidth="1"/>
    <col min="7" max="7" width="14" customWidth="1"/>
    <col min="8" max="10" width="12" customWidth="1"/>
    <col min="11" max="11" width="14" customWidth="1"/>
    <col min="12" max="12" width="12" customWidth="1"/>
    <col min="13" max="14" width="14" customWidth="1"/>
    <col min="15" max="15" width="16" customWidth="1"/>
    <col min="16" max="16" width="12" customWidth="1"/>
    <col min="17" max="17" width="18" customWidth="1"/>
  </cols>
  <sheetData>
    <row r="1" spans="1:26" ht="30" customHeight="1">
      <c r="A1" s="17" t="s">
        <v>221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8" t="s">
        <v>222</v>
      </c>
      <c r="B2" s="8"/>
      <c r="C2" s="9">
        <v>10</v>
      </c>
      <c r="D2" s="9">
        <v>15</v>
      </c>
      <c r="E2" s="9">
        <v>15</v>
      </c>
      <c r="F2" s="9">
        <v>10</v>
      </c>
      <c r="G2" s="9">
        <v>5</v>
      </c>
      <c r="H2" s="9">
        <v>15</v>
      </c>
      <c r="I2" s="9">
        <v>5</v>
      </c>
      <c r="J2" s="9">
        <v>5</v>
      </c>
      <c r="K2" s="9">
        <v>5</v>
      </c>
      <c r="L2" s="9">
        <v>10</v>
      </c>
      <c r="M2" s="9">
        <v>5</v>
      </c>
      <c r="N2" s="8"/>
      <c r="O2" s="8"/>
      <c r="P2" s="8"/>
      <c r="Q2" s="8"/>
    </row>
    <row r="3" spans="1:26" ht="30">
      <c r="A3" s="1" t="s">
        <v>142</v>
      </c>
      <c r="B3" s="1" t="s">
        <v>143</v>
      </c>
      <c r="C3" s="1" t="s">
        <v>223</v>
      </c>
      <c r="D3" s="1" t="s">
        <v>224</v>
      </c>
      <c r="E3" s="1" t="s">
        <v>225</v>
      </c>
      <c r="F3" s="1" t="s">
        <v>156</v>
      </c>
      <c r="G3" s="1" t="s">
        <v>226</v>
      </c>
      <c r="H3" s="1" t="s">
        <v>227</v>
      </c>
      <c r="I3" s="1" t="s">
        <v>228</v>
      </c>
      <c r="J3" s="1" t="s">
        <v>214</v>
      </c>
      <c r="K3" s="1" t="s">
        <v>229</v>
      </c>
      <c r="L3" s="1" t="s">
        <v>230</v>
      </c>
      <c r="M3" s="1" t="s">
        <v>231</v>
      </c>
      <c r="N3" s="1" t="s">
        <v>232</v>
      </c>
      <c r="O3" s="1" t="s">
        <v>233</v>
      </c>
      <c r="P3" s="1" t="s">
        <v>234</v>
      </c>
      <c r="Q3" s="1" t="s">
        <v>235</v>
      </c>
    </row>
    <row r="4" spans="1:26">
      <c r="A4" s="3" t="s">
        <v>293</v>
      </c>
      <c r="B4" s="5" t="str">
        <f>IF($A4="","",IFERROR(VLOOKUP($A4,'02_Конкуренты'!$A$4:$B$203,2,FALSE),"не найдено"))</f>
        <v>PlantUML</v>
      </c>
      <c r="C4" s="2">
        <v>4</v>
      </c>
      <c r="D4" s="2">
        <v>4</v>
      </c>
      <c r="E4" s="2">
        <v>4</v>
      </c>
      <c r="F4" s="2">
        <v>4</v>
      </c>
      <c r="G4" s="2">
        <v>3</v>
      </c>
      <c r="H4" s="2">
        <v>1</v>
      </c>
      <c r="I4" s="2">
        <v>4</v>
      </c>
      <c r="J4" s="2">
        <v>4</v>
      </c>
      <c r="K4" s="2">
        <v>3</v>
      </c>
      <c r="L4" s="2">
        <v>5</v>
      </c>
      <c r="M4" s="2">
        <v>4</v>
      </c>
      <c r="N4" s="7">
        <f t="shared" ref="N4:N35" si="0">IF($A4="","",SUMPRODUCT($C4:$M4,$C$2:$M$2)/SUM($C$2:$M$2))</f>
        <v>3.55</v>
      </c>
      <c r="O4" s="7">
        <f>IF($A4="","",IFERROR(VLOOKUP($A4,'04_Бизнес_модель'!$A$4:$P$203,16,FALSE),0))</f>
        <v>4</v>
      </c>
      <c r="P4" s="6">
        <f>IF($A4="","",IFERROR(VLOOKUP($A4,'04_Бизнес_модель'!$A$4:$O$203,15,FALSE),0))</f>
        <v>1</v>
      </c>
      <c r="Q4" s="7">
        <f t="shared" ref="Q4:Q35" si="1">IF($A4="","",$N4*0.6+$O4*0.25+$P4*5*0.15)</f>
        <v>3.88</v>
      </c>
    </row>
    <row r="5" spans="1:26">
      <c r="A5" s="3" t="s">
        <v>301</v>
      </c>
      <c r="B5" s="5" t="str">
        <f>IF($A5="","",IFERROR(VLOOKUP($A5,'02_Конкуренты'!$A$4:$B$203,2,FALSE),"не найдено"))</f>
        <v>Eraser (DiagramGPT)</v>
      </c>
      <c r="C5" s="2">
        <v>4</v>
      </c>
      <c r="D5" s="2">
        <v>5</v>
      </c>
      <c r="E5" s="2">
        <v>5</v>
      </c>
      <c r="F5" s="2">
        <v>4</v>
      </c>
      <c r="G5" s="2">
        <v>4</v>
      </c>
      <c r="H5" s="2">
        <v>5</v>
      </c>
      <c r="I5" s="2">
        <v>4</v>
      </c>
      <c r="J5" s="2">
        <v>4</v>
      </c>
      <c r="K5" s="2">
        <v>3</v>
      </c>
      <c r="L5" s="2">
        <v>4</v>
      </c>
      <c r="M5" s="2">
        <v>4</v>
      </c>
      <c r="N5" s="7">
        <f t="shared" si="0"/>
        <v>4.4000000000000004</v>
      </c>
      <c r="O5" s="7">
        <f>IF($A5="","",IFERROR(VLOOKUP($A5,'04_Бизнес_модель'!$A$4:$P$203,16,FALSE),0))</f>
        <v>4.4000000000000004</v>
      </c>
      <c r="P5" s="6">
        <f>IF($A5="","",IFERROR(VLOOKUP($A5,'04_Бизнес_модель'!$A$4:$O$203,15,FALSE),0))</f>
        <v>1</v>
      </c>
      <c r="Q5" s="7">
        <f t="shared" si="1"/>
        <v>4.49</v>
      </c>
    </row>
    <row r="6" spans="1:26">
      <c r="A6" s="3" t="s">
        <v>308</v>
      </c>
      <c r="B6" s="5" t="str">
        <f>IF($A6="","",IFERROR(VLOOKUP($A6,'02_Конкуренты'!$A$4:$B$203,2,FALSE),"не найдено"))</f>
        <v>Mermaid (open source)</v>
      </c>
      <c r="C6" s="2">
        <v>4</v>
      </c>
      <c r="D6" s="2">
        <v>4</v>
      </c>
      <c r="E6" s="2">
        <v>4</v>
      </c>
      <c r="F6" s="2">
        <v>5</v>
      </c>
      <c r="G6" s="2">
        <v>3</v>
      </c>
      <c r="H6" s="2">
        <v>1</v>
      </c>
      <c r="I6" s="2">
        <v>4</v>
      </c>
      <c r="J6" s="2">
        <v>5</v>
      </c>
      <c r="K6" s="2">
        <v>4</v>
      </c>
      <c r="L6" s="2">
        <v>5</v>
      </c>
      <c r="M6" s="2">
        <v>5</v>
      </c>
      <c r="N6" s="7">
        <f t="shared" si="0"/>
        <v>3.8</v>
      </c>
      <c r="O6" s="7">
        <f>IF($A6="","",IFERROR(VLOOKUP($A6,'04_Бизнес_модель'!$A$4:$P$203,16,FALSE),0))</f>
        <v>3.75</v>
      </c>
      <c r="P6" s="6">
        <f>IF($A6="","",IFERROR(VLOOKUP($A6,'04_Бизнес_модель'!$A$4:$O$203,15,FALSE),0))</f>
        <v>1</v>
      </c>
      <c r="Q6" s="7">
        <f t="shared" si="1"/>
        <v>3.9674999999999998</v>
      </c>
    </row>
    <row r="7" spans="1:26">
      <c r="A7" s="3" t="s">
        <v>314</v>
      </c>
      <c r="B7" s="5" t="str">
        <f>IF($A7="","",IFERROR(VLOOKUP($A7,'02_Конкуренты'!$A$4:$B$203,2,FALSE),"не найдено"))</f>
        <v>D2</v>
      </c>
      <c r="C7" s="2">
        <v>3</v>
      </c>
      <c r="D7" s="2">
        <v>4</v>
      </c>
      <c r="E7" s="2">
        <v>4</v>
      </c>
      <c r="F7" s="2">
        <v>3</v>
      </c>
      <c r="G7" s="2">
        <v>3</v>
      </c>
      <c r="H7" s="2">
        <v>1</v>
      </c>
      <c r="I7" s="2">
        <v>3</v>
      </c>
      <c r="J7" s="2">
        <v>3</v>
      </c>
      <c r="K7" s="2">
        <v>2</v>
      </c>
      <c r="L7" s="2">
        <v>4</v>
      </c>
      <c r="M7" s="2">
        <v>3</v>
      </c>
      <c r="N7" s="7">
        <f t="shared" si="0"/>
        <v>3.05</v>
      </c>
      <c r="O7" s="7">
        <f>IF($A7="","",IFERROR(VLOOKUP($A7,'04_Бизнес_модель'!$A$4:$P$203,16,FALSE),0))</f>
        <v>4.25</v>
      </c>
      <c r="P7" s="6">
        <f>IF($A7="","",IFERROR(VLOOKUP($A7,'04_Бизнес_модель'!$A$4:$O$203,15,FALSE),0))</f>
        <v>0.91666666666666663</v>
      </c>
      <c r="Q7" s="7">
        <f t="shared" si="1"/>
        <v>3.58</v>
      </c>
    </row>
    <row r="8" spans="1:26">
      <c r="A8" s="3" t="s">
        <v>319</v>
      </c>
      <c r="B8" s="5" t="str">
        <f>IF($A8="","",IFERROR(VLOOKUP($A8,'02_Конкуренты'!$A$4:$B$203,2,FALSE),"не найдено"))</f>
        <v>Gleek</v>
      </c>
      <c r="C8" s="2">
        <v>3</v>
      </c>
      <c r="D8" s="2">
        <v>3</v>
      </c>
      <c r="E8" s="2">
        <v>3</v>
      </c>
      <c r="F8" s="2">
        <v>2</v>
      </c>
      <c r="G8" s="2">
        <v>2</v>
      </c>
      <c r="H8" s="2">
        <v>3</v>
      </c>
      <c r="I8" s="2">
        <v>2</v>
      </c>
      <c r="J8" s="2">
        <v>1</v>
      </c>
      <c r="K8" s="2">
        <v>1</v>
      </c>
      <c r="L8" s="2">
        <v>3</v>
      </c>
      <c r="M8" s="2">
        <v>2</v>
      </c>
      <c r="N8" s="7">
        <f t="shared" si="0"/>
        <v>2.5499999999999998</v>
      </c>
      <c r="O8" s="7">
        <f>IF($A8="","",IFERROR(VLOOKUP($A8,'04_Бизнес_модель'!$A$4:$P$203,16,FALSE),0))</f>
        <v>2.5</v>
      </c>
      <c r="P8" s="6">
        <f>IF($A8="","",IFERROR(VLOOKUP($A8,'04_Бизнес_модель'!$A$4:$O$203,15,FALSE),0))</f>
        <v>0.41666666666666669</v>
      </c>
      <c r="Q8" s="7">
        <f t="shared" si="1"/>
        <v>2.4674999999999998</v>
      </c>
    </row>
    <row r="9" spans="1:26">
      <c r="A9" s="3" t="s">
        <v>325</v>
      </c>
      <c r="B9" s="5" t="str">
        <f>IF($A9="","",IFERROR(VLOOKUP($A9,'02_Конкуренты'!$A$4:$B$203,2,FALSE),"не найдено"))</f>
        <v>draw.io / diagrams.net</v>
      </c>
      <c r="C9" s="2">
        <v>5</v>
      </c>
      <c r="D9" s="2">
        <v>5</v>
      </c>
      <c r="E9" s="2">
        <v>4</v>
      </c>
      <c r="F9" s="2">
        <v>5</v>
      </c>
      <c r="G9" s="2">
        <v>3</v>
      </c>
      <c r="H9" s="2">
        <v>2</v>
      </c>
      <c r="I9" s="2">
        <v>5</v>
      </c>
      <c r="J9" s="2">
        <v>5</v>
      </c>
      <c r="K9" s="2">
        <v>3</v>
      </c>
      <c r="L9" s="2">
        <v>5</v>
      </c>
      <c r="M9" s="2">
        <v>4</v>
      </c>
      <c r="N9" s="7">
        <f t="shared" si="0"/>
        <v>4.1500000000000004</v>
      </c>
      <c r="O9" s="7">
        <f>IF($A9="","",IFERROR(VLOOKUP($A9,'04_Бизнес_модель'!$A$4:$P$203,16,FALSE),0))</f>
        <v>4.4000000000000004</v>
      </c>
      <c r="P9" s="6">
        <f>IF($A9="","",IFERROR(VLOOKUP($A9,'04_Бизнес_модель'!$A$4:$O$203,15,FALSE),0))</f>
        <v>1</v>
      </c>
      <c r="Q9" s="7">
        <f t="shared" si="1"/>
        <v>4.34</v>
      </c>
    </row>
    <row r="10" spans="1:26">
      <c r="A10" s="3" t="s">
        <v>330</v>
      </c>
      <c r="B10" s="5" t="str">
        <f>IF($A10="","",IFERROR(VLOOKUP($A10,'02_Конкуренты'!$A$4:$B$203,2,FALSE),"не найдено"))</f>
        <v>Ramus (Educational)</v>
      </c>
      <c r="C10" s="2">
        <v>3</v>
      </c>
      <c r="D10" s="2">
        <v>3</v>
      </c>
      <c r="E10" s="2">
        <v>3</v>
      </c>
      <c r="F10" s="2">
        <v>1</v>
      </c>
      <c r="G10" s="2">
        <v>2</v>
      </c>
      <c r="H10" s="2">
        <v>2</v>
      </c>
      <c r="I10" s="2">
        <v>2</v>
      </c>
      <c r="J10" s="2">
        <v>1</v>
      </c>
      <c r="K10" s="2">
        <v>1</v>
      </c>
      <c r="L10" s="2">
        <v>2</v>
      </c>
      <c r="M10" s="2">
        <v>2</v>
      </c>
      <c r="N10" s="7">
        <f t="shared" si="0"/>
        <v>2.2000000000000002</v>
      </c>
      <c r="O10" s="7">
        <f>IF($A10="","",IFERROR(VLOOKUP($A10,'04_Бизнес_модель'!$A$4:$P$203,16,FALSE),0))</f>
        <v>3</v>
      </c>
      <c r="P10" s="6">
        <f>IF($A10="","",IFERROR(VLOOKUP($A10,'04_Бизнес_модель'!$A$4:$O$203,15,FALSE),0))</f>
        <v>0.41666666666666669</v>
      </c>
      <c r="Q10" s="7">
        <f t="shared" si="1"/>
        <v>2.3825000000000003</v>
      </c>
    </row>
    <row r="11" spans="1:26">
      <c r="A11" s="3" t="s">
        <v>336</v>
      </c>
      <c r="B11" s="5" t="str">
        <f>IF($A11="","",IFERROR(VLOOKUP($A11,'02_Конкуренты'!$A$4:$B$203,2,FALSE),"не найдено"))</f>
        <v>Lucidchart</v>
      </c>
      <c r="C11" s="2">
        <v>4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3</v>
      </c>
      <c r="K11" s="2">
        <v>3</v>
      </c>
      <c r="L11" s="2">
        <v>4</v>
      </c>
      <c r="M11" s="2">
        <v>4</v>
      </c>
      <c r="N11" s="7">
        <f t="shared" si="0"/>
        <v>3.9</v>
      </c>
      <c r="O11" s="7">
        <f>IF($A11="","",IFERROR(VLOOKUP($A11,'04_Бизнес_модель'!$A$4:$P$203,16,FALSE),0))</f>
        <v>2.5</v>
      </c>
      <c r="P11" s="6">
        <f>IF($A11="","",IFERROR(VLOOKUP($A11,'04_Бизнес_модель'!$A$4:$O$203,15,FALSE),0))</f>
        <v>0.5</v>
      </c>
      <c r="Q11" s="7">
        <f t="shared" si="1"/>
        <v>3.34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7" t="str">
        <f t="shared" si="0"/>
        <v/>
      </c>
      <c r="O12" s="7" t="str">
        <f>IF($A12="","",IFERROR(VLOOKUP($A12,'04_Бизнес_модель'!$A$4:$P$203,16,FALSE),0))</f>
        <v/>
      </c>
      <c r="P12" s="6" t="str">
        <f>IF($A12="","",IFERROR(VLOOKUP($A12,'04_Бизнес_модель'!$A$4:$O$203,15,FALSE),0))</f>
        <v/>
      </c>
      <c r="Q12" s="7" t="str">
        <f t="shared" si="1"/>
        <v/>
      </c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" t="str">
        <f t="shared" si="0"/>
        <v/>
      </c>
      <c r="O13" s="7" t="str">
        <f>IF($A13="","",IFERROR(VLOOKUP($A13,'04_Бизнес_модель'!$A$4:$P$203,16,FALSE),0))</f>
        <v/>
      </c>
      <c r="P13" s="6" t="str">
        <f>IF($A13="","",IFERROR(VLOOKUP($A13,'04_Бизнес_модель'!$A$4:$O$203,15,FALSE),0))</f>
        <v/>
      </c>
      <c r="Q13" s="7" t="str">
        <f t="shared" si="1"/>
        <v/>
      </c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7" t="str">
        <f t="shared" si="0"/>
        <v/>
      </c>
      <c r="O14" s="7" t="str">
        <f>IF($A14="","",IFERROR(VLOOKUP($A14,'04_Бизнес_модель'!$A$4:$P$203,16,FALSE),0))</f>
        <v/>
      </c>
      <c r="P14" s="6" t="str">
        <f>IF($A14="","",IFERROR(VLOOKUP($A14,'04_Бизнес_модель'!$A$4:$O$203,15,FALSE),0))</f>
        <v/>
      </c>
      <c r="Q14" s="7" t="str">
        <f t="shared" si="1"/>
        <v/>
      </c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7" t="str">
        <f t="shared" si="0"/>
        <v/>
      </c>
      <c r="O15" s="7" t="str">
        <f>IF($A15="","",IFERROR(VLOOKUP($A15,'04_Бизнес_модель'!$A$4:$P$203,16,FALSE),0))</f>
        <v/>
      </c>
      <c r="P15" s="6" t="str">
        <f>IF($A15="","",IFERROR(VLOOKUP($A15,'04_Бизнес_модель'!$A$4:$O$203,15,FALSE),0))</f>
        <v/>
      </c>
      <c r="Q15" s="7" t="str">
        <f t="shared" si="1"/>
        <v/>
      </c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7" t="str">
        <f t="shared" si="0"/>
        <v/>
      </c>
      <c r="O16" s="7" t="str">
        <f>IF($A16="","",IFERROR(VLOOKUP($A16,'04_Бизнес_модель'!$A$4:$P$203,16,FALSE),0))</f>
        <v/>
      </c>
      <c r="P16" s="6" t="str">
        <f>IF($A16="","",IFERROR(VLOOKUP($A16,'04_Бизнес_модель'!$A$4:$O$203,15,FALSE),0))</f>
        <v/>
      </c>
      <c r="Q16" s="7" t="str">
        <f t="shared" si="1"/>
        <v/>
      </c>
    </row>
    <row r="17" spans="1:17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7" t="str">
        <f t="shared" si="0"/>
        <v/>
      </c>
      <c r="O17" s="7" t="str">
        <f>IF($A17="","",IFERROR(VLOOKUP($A17,'04_Бизнес_модель'!$A$4:$P$203,16,FALSE),0))</f>
        <v/>
      </c>
      <c r="P17" s="6" t="str">
        <f>IF($A17="","",IFERROR(VLOOKUP($A17,'04_Бизнес_модель'!$A$4:$O$203,15,FALSE),0))</f>
        <v/>
      </c>
      <c r="Q17" s="7" t="str">
        <f t="shared" si="1"/>
        <v/>
      </c>
    </row>
    <row r="18" spans="1:17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7" t="str">
        <f t="shared" si="0"/>
        <v/>
      </c>
      <c r="O18" s="7" t="str">
        <f>IF($A18="","",IFERROR(VLOOKUP($A18,'04_Бизнес_модель'!$A$4:$P$203,16,FALSE),0))</f>
        <v/>
      </c>
      <c r="P18" s="6" t="str">
        <f>IF($A18="","",IFERROR(VLOOKUP($A18,'04_Бизнес_модель'!$A$4:$O$203,15,FALSE),0))</f>
        <v/>
      </c>
      <c r="Q18" s="7" t="str">
        <f t="shared" si="1"/>
        <v/>
      </c>
    </row>
    <row r="19" spans="1:17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7" t="str">
        <f t="shared" si="0"/>
        <v/>
      </c>
      <c r="O19" s="7" t="str">
        <f>IF($A19="","",IFERROR(VLOOKUP($A19,'04_Бизнес_модель'!$A$4:$P$203,16,FALSE),0))</f>
        <v/>
      </c>
      <c r="P19" s="6" t="str">
        <f>IF($A19="","",IFERROR(VLOOKUP($A19,'04_Бизнес_модель'!$A$4:$O$203,15,FALSE),0))</f>
        <v/>
      </c>
      <c r="Q19" s="7" t="str">
        <f t="shared" si="1"/>
        <v/>
      </c>
    </row>
    <row r="20" spans="1:17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7" t="str">
        <f t="shared" si="0"/>
        <v/>
      </c>
      <c r="O20" s="7" t="str">
        <f>IF($A20="","",IFERROR(VLOOKUP($A20,'04_Бизнес_модель'!$A$4:$P$203,16,FALSE),0))</f>
        <v/>
      </c>
      <c r="P20" s="6" t="str">
        <f>IF($A20="","",IFERROR(VLOOKUP($A20,'04_Бизнес_модель'!$A$4:$O$203,15,FALSE),0))</f>
        <v/>
      </c>
      <c r="Q20" s="7" t="str">
        <f t="shared" si="1"/>
        <v/>
      </c>
    </row>
    <row r="21" spans="1:17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7" t="str">
        <f t="shared" si="0"/>
        <v/>
      </c>
      <c r="O21" s="7" t="str">
        <f>IF($A21="","",IFERROR(VLOOKUP($A21,'04_Бизнес_модель'!$A$4:$P$203,16,FALSE),0))</f>
        <v/>
      </c>
      <c r="P21" s="6" t="str">
        <f>IF($A21="","",IFERROR(VLOOKUP($A21,'04_Бизнес_модель'!$A$4:$O$203,15,FALSE),0))</f>
        <v/>
      </c>
      <c r="Q21" s="7" t="str">
        <f t="shared" si="1"/>
        <v/>
      </c>
    </row>
    <row r="22" spans="1:17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7" t="str">
        <f t="shared" si="0"/>
        <v/>
      </c>
      <c r="O22" s="7" t="str">
        <f>IF($A22="","",IFERROR(VLOOKUP($A22,'04_Бизнес_модель'!$A$4:$P$203,16,FALSE),0))</f>
        <v/>
      </c>
      <c r="P22" s="6" t="str">
        <f>IF($A22="","",IFERROR(VLOOKUP($A22,'04_Бизнес_модель'!$A$4:$O$203,15,FALSE),0))</f>
        <v/>
      </c>
      <c r="Q22" s="7" t="str">
        <f t="shared" si="1"/>
        <v/>
      </c>
    </row>
    <row r="23" spans="1:17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7" t="str">
        <f t="shared" si="0"/>
        <v/>
      </c>
      <c r="O23" s="7" t="str">
        <f>IF($A23="","",IFERROR(VLOOKUP($A23,'04_Бизнес_модель'!$A$4:$P$203,16,FALSE),0))</f>
        <v/>
      </c>
      <c r="P23" s="6" t="str">
        <f>IF($A23="","",IFERROR(VLOOKUP($A23,'04_Бизнес_модель'!$A$4:$O$203,15,FALSE),0))</f>
        <v/>
      </c>
      <c r="Q23" s="7" t="str">
        <f t="shared" si="1"/>
        <v/>
      </c>
    </row>
    <row r="24" spans="1:17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7" t="str">
        <f t="shared" si="0"/>
        <v/>
      </c>
      <c r="O24" s="7" t="str">
        <f>IF($A24="","",IFERROR(VLOOKUP($A24,'04_Бизнес_модель'!$A$4:$P$203,16,FALSE),0))</f>
        <v/>
      </c>
      <c r="P24" s="6" t="str">
        <f>IF($A24="","",IFERROR(VLOOKUP($A24,'04_Бизнес_модель'!$A$4:$O$203,15,FALSE),0))</f>
        <v/>
      </c>
      <c r="Q24" s="7" t="str">
        <f t="shared" si="1"/>
        <v/>
      </c>
    </row>
    <row r="25" spans="1:17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7" t="str">
        <f t="shared" si="0"/>
        <v/>
      </c>
      <c r="O25" s="7" t="str">
        <f>IF($A25="","",IFERROR(VLOOKUP($A25,'04_Бизнес_модель'!$A$4:$P$203,16,FALSE),0))</f>
        <v/>
      </c>
      <c r="P25" s="6" t="str">
        <f>IF($A25="","",IFERROR(VLOOKUP($A25,'04_Бизнес_модель'!$A$4:$O$203,15,FALSE),0))</f>
        <v/>
      </c>
      <c r="Q25" s="7" t="str">
        <f t="shared" si="1"/>
        <v/>
      </c>
    </row>
    <row r="26" spans="1:17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7" t="str">
        <f t="shared" si="0"/>
        <v/>
      </c>
      <c r="O26" s="7" t="str">
        <f>IF($A26="","",IFERROR(VLOOKUP($A26,'04_Бизнес_модель'!$A$4:$P$203,16,FALSE),0))</f>
        <v/>
      </c>
      <c r="P26" s="6" t="str">
        <f>IF($A26="","",IFERROR(VLOOKUP($A26,'04_Бизнес_модель'!$A$4:$O$203,15,FALSE),0))</f>
        <v/>
      </c>
      <c r="Q26" s="7" t="str">
        <f t="shared" si="1"/>
        <v/>
      </c>
    </row>
    <row r="27" spans="1:17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7" t="str">
        <f t="shared" si="0"/>
        <v/>
      </c>
      <c r="O27" s="7" t="str">
        <f>IF($A27="","",IFERROR(VLOOKUP($A27,'04_Бизнес_модель'!$A$4:$P$203,16,FALSE),0))</f>
        <v/>
      </c>
      <c r="P27" s="6" t="str">
        <f>IF($A27="","",IFERROR(VLOOKUP($A27,'04_Бизнес_модель'!$A$4:$O$203,15,FALSE),0))</f>
        <v/>
      </c>
      <c r="Q27" s="7" t="str">
        <f t="shared" si="1"/>
        <v/>
      </c>
    </row>
    <row r="28" spans="1:17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7" t="str">
        <f t="shared" si="0"/>
        <v/>
      </c>
      <c r="O28" s="7" t="str">
        <f>IF($A28="","",IFERROR(VLOOKUP($A28,'04_Бизнес_модель'!$A$4:$P$203,16,FALSE),0))</f>
        <v/>
      </c>
      <c r="P28" s="6" t="str">
        <f>IF($A28="","",IFERROR(VLOOKUP($A28,'04_Бизнес_модель'!$A$4:$O$203,15,FALSE),0))</f>
        <v/>
      </c>
      <c r="Q28" s="7" t="str">
        <f t="shared" si="1"/>
        <v/>
      </c>
    </row>
    <row r="29" spans="1:17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7" t="str">
        <f t="shared" si="0"/>
        <v/>
      </c>
      <c r="O29" s="7" t="str">
        <f>IF($A29="","",IFERROR(VLOOKUP($A29,'04_Бизнес_модель'!$A$4:$P$203,16,FALSE),0))</f>
        <v/>
      </c>
      <c r="P29" s="6" t="str">
        <f>IF($A29="","",IFERROR(VLOOKUP($A29,'04_Бизнес_модель'!$A$4:$O$203,15,FALSE),0))</f>
        <v/>
      </c>
      <c r="Q29" s="7" t="str">
        <f t="shared" si="1"/>
        <v/>
      </c>
    </row>
    <row r="30" spans="1:17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7" t="str">
        <f t="shared" si="0"/>
        <v/>
      </c>
      <c r="O30" s="7" t="str">
        <f>IF($A30="","",IFERROR(VLOOKUP($A30,'04_Бизнес_модель'!$A$4:$P$203,16,FALSE),0))</f>
        <v/>
      </c>
      <c r="P30" s="6" t="str">
        <f>IF($A30="","",IFERROR(VLOOKUP($A30,'04_Бизнес_модель'!$A$4:$O$203,15,FALSE),0))</f>
        <v/>
      </c>
      <c r="Q30" s="7" t="str">
        <f t="shared" si="1"/>
        <v/>
      </c>
    </row>
    <row r="31" spans="1:17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7" t="str">
        <f t="shared" si="0"/>
        <v/>
      </c>
      <c r="O31" s="7" t="str">
        <f>IF($A31="","",IFERROR(VLOOKUP($A31,'04_Бизнес_модель'!$A$4:$P$203,16,FALSE),0))</f>
        <v/>
      </c>
      <c r="P31" s="6" t="str">
        <f>IF($A31="","",IFERROR(VLOOKUP($A31,'04_Бизнес_модель'!$A$4:$O$203,15,FALSE),0))</f>
        <v/>
      </c>
      <c r="Q31" s="7" t="str">
        <f t="shared" si="1"/>
        <v/>
      </c>
    </row>
    <row r="32" spans="1:17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 t="str">
        <f t="shared" si="0"/>
        <v/>
      </c>
      <c r="O32" s="7" t="str">
        <f>IF($A32="","",IFERROR(VLOOKUP($A32,'04_Бизнес_модель'!$A$4:$P$203,16,FALSE),0))</f>
        <v/>
      </c>
      <c r="P32" s="6" t="str">
        <f>IF($A32="","",IFERROR(VLOOKUP($A32,'04_Бизнес_модель'!$A$4:$O$203,15,FALSE),0))</f>
        <v/>
      </c>
      <c r="Q32" s="7" t="str">
        <f t="shared" si="1"/>
        <v/>
      </c>
    </row>
    <row r="33" spans="1:17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7" t="str">
        <f t="shared" si="0"/>
        <v/>
      </c>
      <c r="O33" s="7" t="str">
        <f>IF($A33="","",IFERROR(VLOOKUP($A33,'04_Бизнес_модель'!$A$4:$P$203,16,FALSE),0))</f>
        <v/>
      </c>
      <c r="P33" s="6" t="str">
        <f>IF($A33="","",IFERROR(VLOOKUP($A33,'04_Бизнес_модель'!$A$4:$O$203,15,FALSE),0))</f>
        <v/>
      </c>
      <c r="Q33" s="7" t="str">
        <f t="shared" si="1"/>
        <v/>
      </c>
    </row>
    <row r="34" spans="1:17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7" t="str">
        <f t="shared" si="0"/>
        <v/>
      </c>
      <c r="O34" s="7" t="str">
        <f>IF($A34="","",IFERROR(VLOOKUP($A34,'04_Бизнес_модель'!$A$4:$P$203,16,FALSE),0))</f>
        <v/>
      </c>
      <c r="P34" s="6" t="str">
        <f>IF($A34="","",IFERROR(VLOOKUP($A34,'04_Бизнес_модель'!$A$4:$O$203,15,FALSE),0))</f>
        <v/>
      </c>
      <c r="Q34" s="7" t="str">
        <f t="shared" si="1"/>
        <v/>
      </c>
    </row>
    <row r="35" spans="1:17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7" t="str">
        <f t="shared" si="0"/>
        <v/>
      </c>
      <c r="O35" s="7" t="str">
        <f>IF($A35="","",IFERROR(VLOOKUP($A35,'04_Бизнес_модель'!$A$4:$P$203,16,FALSE),0))</f>
        <v/>
      </c>
      <c r="P35" s="6" t="str">
        <f>IF($A35="","",IFERROR(VLOOKUP($A35,'04_Бизнес_модель'!$A$4:$O$203,15,FALSE),0))</f>
        <v/>
      </c>
      <c r="Q35" s="7" t="str">
        <f t="shared" si="1"/>
        <v/>
      </c>
    </row>
    <row r="36" spans="1:17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7" t="str">
        <f t="shared" ref="N36:N67" si="2">IF($A36="","",SUMPRODUCT($C36:$M36,$C$2:$M$2)/SUM($C$2:$M$2))</f>
        <v/>
      </c>
      <c r="O36" s="7" t="str">
        <f>IF($A36="","",IFERROR(VLOOKUP($A36,'04_Бизнес_модель'!$A$4:$P$203,16,FALSE),0))</f>
        <v/>
      </c>
      <c r="P36" s="6" t="str">
        <f>IF($A36="","",IFERROR(VLOOKUP($A36,'04_Бизнес_модель'!$A$4:$O$203,15,FALSE),0))</f>
        <v/>
      </c>
      <c r="Q36" s="7" t="str">
        <f t="shared" ref="Q36:Q67" si="3">IF($A36="","",$N36*0.6+$O36*0.25+$P36*5*0.15)</f>
        <v/>
      </c>
    </row>
    <row r="37" spans="1:17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7" t="str">
        <f t="shared" si="2"/>
        <v/>
      </c>
      <c r="O37" s="7" t="str">
        <f>IF($A37="","",IFERROR(VLOOKUP($A37,'04_Бизнес_модель'!$A$4:$P$203,16,FALSE),0))</f>
        <v/>
      </c>
      <c r="P37" s="6" t="str">
        <f>IF($A37="","",IFERROR(VLOOKUP($A37,'04_Бизнес_модель'!$A$4:$O$203,15,FALSE),0))</f>
        <v/>
      </c>
      <c r="Q37" s="7" t="str">
        <f t="shared" si="3"/>
        <v/>
      </c>
    </row>
    <row r="38" spans="1:17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7" t="str">
        <f t="shared" si="2"/>
        <v/>
      </c>
      <c r="O38" s="7" t="str">
        <f>IF($A38="","",IFERROR(VLOOKUP($A38,'04_Бизнес_модель'!$A$4:$P$203,16,FALSE),0))</f>
        <v/>
      </c>
      <c r="P38" s="6" t="str">
        <f>IF($A38="","",IFERROR(VLOOKUP($A38,'04_Бизнес_модель'!$A$4:$O$203,15,FALSE),0))</f>
        <v/>
      </c>
      <c r="Q38" s="7" t="str">
        <f t="shared" si="3"/>
        <v/>
      </c>
    </row>
    <row r="39" spans="1:17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7" t="str">
        <f t="shared" si="2"/>
        <v/>
      </c>
      <c r="O39" s="7" t="str">
        <f>IF($A39="","",IFERROR(VLOOKUP($A39,'04_Бизнес_модель'!$A$4:$P$203,16,FALSE),0))</f>
        <v/>
      </c>
      <c r="P39" s="6" t="str">
        <f>IF($A39="","",IFERROR(VLOOKUP($A39,'04_Бизнес_модель'!$A$4:$O$203,15,FALSE),0))</f>
        <v/>
      </c>
      <c r="Q39" s="7" t="str">
        <f t="shared" si="3"/>
        <v/>
      </c>
    </row>
    <row r="40" spans="1:17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7" t="str">
        <f t="shared" si="2"/>
        <v/>
      </c>
      <c r="O40" s="7" t="str">
        <f>IF($A40="","",IFERROR(VLOOKUP($A40,'04_Бизнес_модель'!$A$4:$P$203,16,FALSE),0))</f>
        <v/>
      </c>
      <c r="P40" s="6" t="str">
        <f>IF($A40="","",IFERROR(VLOOKUP($A40,'04_Бизнес_модель'!$A$4:$O$203,15,FALSE),0))</f>
        <v/>
      </c>
      <c r="Q40" s="7" t="str">
        <f t="shared" si="3"/>
        <v/>
      </c>
    </row>
    <row r="41" spans="1:17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7" t="str">
        <f t="shared" si="2"/>
        <v/>
      </c>
      <c r="O41" s="7" t="str">
        <f>IF($A41="","",IFERROR(VLOOKUP($A41,'04_Бизнес_модель'!$A$4:$P$203,16,FALSE),0))</f>
        <v/>
      </c>
      <c r="P41" s="6" t="str">
        <f>IF($A41="","",IFERROR(VLOOKUP($A41,'04_Бизнес_модель'!$A$4:$O$203,15,FALSE),0))</f>
        <v/>
      </c>
      <c r="Q41" s="7" t="str">
        <f t="shared" si="3"/>
        <v/>
      </c>
    </row>
    <row r="42" spans="1:17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 t="str">
        <f t="shared" si="2"/>
        <v/>
      </c>
      <c r="O42" s="7" t="str">
        <f>IF($A42="","",IFERROR(VLOOKUP($A42,'04_Бизнес_модель'!$A$4:$P$203,16,FALSE),0))</f>
        <v/>
      </c>
      <c r="P42" s="6" t="str">
        <f>IF($A42="","",IFERROR(VLOOKUP($A42,'04_Бизнес_модель'!$A$4:$O$203,15,FALSE),0))</f>
        <v/>
      </c>
      <c r="Q42" s="7" t="str">
        <f t="shared" si="3"/>
        <v/>
      </c>
    </row>
    <row r="43" spans="1:17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7" t="str">
        <f t="shared" si="2"/>
        <v/>
      </c>
      <c r="O43" s="7" t="str">
        <f>IF($A43="","",IFERROR(VLOOKUP($A43,'04_Бизнес_модель'!$A$4:$P$203,16,FALSE),0))</f>
        <v/>
      </c>
      <c r="P43" s="6" t="str">
        <f>IF($A43="","",IFERROR(VLOOKUP($A43,'04_Бизнес_модель'!$A$4:$O$203,15,FALSE),0))</f>
        <v/>
      </c>
      <c r="Q43" s="7" t="str">
        <f t="shared" si="3"/>
        <v/>
      </c>
    </row>
    <row r="44" spans="1:17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7" t="str">
        <f t="shared" si="2"/>
        <v/>
      </c>
      <c r="O44" s="7" t="str">
        <f>IF($A44="","",IFERROR(VLOOKUP($A44,'04_Бизнес_модель'!$A$4:$P$203,16,FALSE),0))</f>
        <v/>
      </c>
      <c r="P44" s="6" t="str">
        <f>IF($A44="","",IFERROR(VLOOKUP($A44,'04_Бизнес_модель'!$A$4:$O$203,15,FALSE),0))</f>
        <v/>
      </c>
      <c r="Q44" s="7" t="str">
        <f t="shared" si="3"/>
        <v/>
      </c>
    </row>
    <row r="45" spans="1:17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7" t="str">
        <f t="shared" si="2"/>
        <v/>
      </c>
      <c r="O45" s="7" t="str">
        <f>IF($A45="","",IFERROR(VLOOKUP($A45,'04_Бизнес_модель'!$A$4:$P$203,16,FALSE),0))</f>
        <v/>
      </c>
      <c r="P45" s="6" t="str">
        <f>IF($A45="","",IFERROR(VLOOKUP($A45,'04_Бизнес_модель'!$A$4:$O$203,15,FALSE),0))</f>
        <v/>
      </c>
      <c r="Q45" s="7" t="str">
        <f t="shared" si="3"/>
        <v/>
      </c>
    </row>
    <row r="46" spans="1:17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7" t="str">
        <f t="shared" si="2"/>
        <v/>
      </c>
      <c r="O46" s="7" t="str">
        <f>IF($A46="","",IFERROR(VLOOKUP($A46,'04_Бизнес_модель'!$A$4:$P$203,16,FALSE),0))</f>
        <v/>
      </c>
      <c r="P46" s="6" t="str">
        <f>IF($A46="","",IFERROR(VLOOKUP($A46,'04_Бизнес_модель'!$A$4:$O$203,15,FALSE),0))</f>
        <v/>
      </c>
      <c r="Q46" s="7" t="str">
        <f t="shared" si="3"/>
        <v/>
      </c>
    </row>
    <row r="47" spans="1:17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7" t="str">
        <f t="shared" si="2"/>
        <v/>
      </c>
      <c r="O47" s="7" t="str">
        <f>IF($A47="","",IFERROR(VLOOKUP($A47,'04_Бизнес_модель'!$A$4:$P$203,16,FALSE),0))</f>
        <v/>
      </c>
      <c r="P47" s="6" t="str">
        <f>IF($A47="","",IFERROR(VLOOKUP($A47,'04_Бизнес_модель'!$A$4:$O$203,15,FALSE),0))</f>
        <v/>
      </c>
      <c r="Q47" s="7" t="str">
        <f t="shared" si="3"/>
        <v/>
      </c>
    </row>
    <row r="48" spans="1:17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7" t="str">
        <f t="shared" si="2"/>
        <v/>
      </c>
      <c r="O48" s="7" t="str">
        <f>IF($A48="","",IFERROR(VLOOKUP($A48,'04_Бизнес_модель'!$A$4:$P$203,16,FALSE),0))</f>
        <v/>
      </c>
      <c r="P48" s="6" t="str">
        <f>IF($A48="","",IFERROR(VLOOKUP($A48,'04_Бизнес_модель'!$A$4:$O$203,15,FALSE),0))</f>
        <v/>
      </c>
      <c r="Q48" s="7" t="str">
        <f t="shared" si="3"/>
        <v/>
      </c>
    </row>
    <row r="49" spans="1:17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7" t="str">
        <f t="shared" si="2"/>
        <v/>
      </c>
      <c r="O49" s="7" t="str">
        <f>IF($A49="","",IFERROR(VLOOKUP($A49,'04_Бизнес_модель'!$A$4:$P$203,16,FALSE),0))</f>
        <v/>
      </c>
      <c r="P49" s="6" t="str">
        <f>IF($A49="","",IFERROR(VLOOKUP($A49,'04_Бизнес_модель'!$A$4:$O$203,15,FALSE),0))</f>
        <v/>
      </c>
      <c r="Q49" s="7" t="str">
        <f t="shared" si="3"/>
        <v/>
      </c>
    </row>
    <row r="50" spans="1:17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7" t="str">
        <f t="shared" si="2"/>
        <v/>
      </c>
      <c r="O50" s="7" t="str">
        <f>IF($A50="","",IFERROR(VLOOKUP($A50,'04_Бизнес_модель'!$A$4:$P$203,16,FALSE),0))</f>
        <v/>
      </c>
      <c r="P50" s="6" t="str">
        <f>IF($A50="","",IFERROR(VLOOKUP($A50,'04_Бизнес_модель'!$A$4:$O$203,15,FALSE),0))</f>
        <v/>
      </c>
      <c r="Q50" s="7" t="str">
        <f t="shared" si="3"/>
        <v/>
      </c>
    </row>
    <row r="51" spans="1:17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7" t="str">
        <f t="shared" si="2"/>
        <v/>
      </c>
      <c r="O51" s="7" t="str">
        <f>IF($A51="","",IFERROR(VLOOKUP($A51,'04_Бизнес_модель'!$A$4:$P$203,16,FALSE),0))</f>
        <v/>
      </c>
      <c r="P51" s="6" t="str">
        <f>IF($A51="","",IFERROR(VLOOKUP($A51,'04_Бизнес_модель'!$A$4:$O$203,15,FALSE),0))</f>
        <v/>
      </c>
      <c r="Q51" s="7" t="str">
        <f t="shared" si="3"/>
        <v/>
      </c>
    </row>
    <row r="52" spans="1:17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7" t="str">
        <f t="shared" si="2"/>
        <v/>
      </c>
      <c r="O52" s="7" t="str">
        <f>IF($A52="","",IFERROR(VLOOKUP($A52,'04_Бизнес_модель'!$A$4:$P$203,16,FALSE),0))</f>
        <v/>
      </c>
      <c r="P52" s="6" t="str">
        <f>IF($A52="","",IFERROR(VLOOKUP($A52,'04_Бизнес_модель'!$A$4:$O$203,15,FALSE),0))</f>
        <v/>
      </c>
      <c r="Q52" s="7" t="str">
        <f t="shared" si="3"/>
        <v/>
      </c>
    </row>
    <row r="53" spans="1:17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7" t="str">
        <f t="shared" si="2"/>
        <v/>
      </c>
      <c r="O53" s="7" t="str">
        <f>IF($A53="","",IFERROR(VLOOKUP($A53,'04_Бизнес_модель'!$A$4:$P$203,16,FALSE),0))</f>
        <v/>
      </c>
      <c r="P53" s="6" t="str">
        <f>IF($A53="","",IFERROR(VLOOKUP($A53,'04_Бизнес_модель'!$A$4:$O$203,15,FALSE),0))</f>
        <v/>
      </c>
      <c r="Q53" s="7" t="str">
        <f t="shared" si="3"/>
        <v/>
      </c>
    </row>
    <row r="54" spans="1:17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7" t="str">
        <f t="shared" si="2"/>
        <v/>
      </c>
      <c r="O54" s="7" t="str">
        <f>IF($A54="","",IFERROR(VLOOKUP($A54,'04_Бизнес_модель'!$A$4:$P$203,16,FALSE),0))</f>
        <v/>
      </c>
      <c r="P54" s="6" t="str">
        <f>IF($A54="","",IFERROR(VLOOKUP($A54,'04_Бизнес_модель'!$A$4:$O$203,15,FALSE),0))</f>
        <v/>
      </c>
      <c r="Q54" s="7" t="str">
        <f t="shared" si="3"/>
        <v/>
      </c>
    </row>
    <row r="55" spans="1:17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7" t="str">
        <f t="shared" si="2"/>
        <v/>
      </c>
      <c r="O55" s="7" t="str">
        <f>IF($A55="","",IFERROR(VLOOKUP($A55,'04_Бизнес_модель'!$A$4:$P$203,16,FALSE),0))</f>
        <v/>
      </c>
      <c r="P55" s="6" t="str">
        <f>IF($A55="","",IFERROR(VLOOKUP($A55,'04_Бизнес_модель'!$A$4:$O$203,15,FALSE),0))</f>
        <v/>
      </c>
      <c r="Q55" s="7" t="str">
        <f t="shared" si="3"/>
        <v/>
      </c>
    </row>
    <row r="56" spans="1:17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7" t="str">
        <f t="shared" si="2"/>
        <v/>
      </c>
      <c r="O56" s="7" t="str">
        <f>IF($A56="","",IFERROR(VLOOKUP($A56,'04_Бизнес_модель'!$A$4:$P$203,16,FALSE),0))</f>
        <v/>
      </c>
      <c r="P56" s="6" t="str">
        <f>IF($A56="","",IFERROR(VLOOKUP($A56,'04_Бизнес_модель'!$A$4:$O$203,15,FALSE),0))</f>
        <v/>
      </c>
      <c r="Q56" s="7" t="str">
        <f t="shared" si="3"/>
        <v/>
      </c>
    </row>
    <row r="57" spans="1:17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7" t="str">
        <f t="shared" si="2"/>
        <v/>
      </c>
      <c r="O57" s="7" t="str">
        <f>IF($A57="","",IFERROR(VLOOKUP($A57,'04_Бизнес_модель'!$A$4:$P$203,16,FALSE),0))</f>
        <v/>
      </c>
      <c r="P57" s="6" t="str">
        <f>IF($A57="","",IFERROR(VLOOKUP($A57,'04_Бизнес_модель'!$A$4:$O$203,15,FALSE),0))</f>
        <v/>
      </c>
      <c r="Q57" s="7" t="str">
        <f t="shared" si="3"/>
        <v/>
      </c>
    </row>
    <row r="58" spans="1:17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7" t="str">
        <f t="shared" si="2"/>
        <v/>
      </c>
      <c r="O58" s="7" t="str">
        <f>IF($A58="","",IFERROR(VLOOKUP($A58,'04_Бизнес_модель'!$A$4:$P$203,16,FALSE),0))</f>
        <v/>
      </c>
      <c r="P58" s="6" t="str">
        <f>IF($A58="","",IFERROR(VLOOKUP($A58,'04_Бизнес_модель'!$A$4:$O$203,15,FALSE),0))</f>
        <v/>
      </c>
      <c r="Q58" s="7" t="str">
        <f t="shared" si="3"/>
        <v/>
      </c>
    </row>
    <row r="59" spans="1:17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7" t="str">
        <f t="shared" si="2"/>
        <v/>
      </c>
      <c r="O59" s="7" t="str">
        <f>IF($A59="","",IFERROR(VLOOKUP($A59,'04_Бизнес_модель'!$A$4:$P$203,16,FALSE),0))</f>
        <v/>
      </c>
      <c r="P59" s="6" t="str">
        <f>IF($A59="","",IFERROR(VLOOKUP($A59,'04_Бизнес_модель'!$A$4:$O$203,15,FALSE),0))</f>
        <v/>
      </c>
      <c r="Q59" s="7" t="str">
        <f t="shared" si="3"/>
        <v/>
      </c>
    </row>
    <row r="60" spans="1:17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7" t="str">
        <f t="shared" si="2"/>
        <v/>
      </c>
      <c r="O60" s="7" t="str">
        <f>IF($A60="","",IFERROR(VLOOKUP($A60,'04_Бизнес_модель'!$A$4:$P$203,16,FALSE),0))</f>
        <v/>
      </c>
      <c r="P60" s="6" t="str">
        <f>IF($A60="","",IFERROR(VLOOKUP($A60,'04_Бизнес_модель'!$A$4:$O$203,15,FALSE),0))</f>
        <v/>
      </c>
      <c r="Q60" s="7" t="str">
        <f t="shared" si="3"/>
        <v/>
      </c>
    </row>
    <row r="61" spans="1:17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7" t="str">
        <f t="shared" si="2"/>
        <v/>
      </c>
      <c r="O61" s="7" t="str">
        <f>IF($A61="","",IFERROR(VLOOKUP($A61,'04_Бизнес_модель'!$A$4:$P$203,16,FALSE),0))</f>
        <v/>
      </c>
      <c r="P61" s="6" t="str">
        <f>IF($A61="","",IFERROR(VLOOKUP($A61,'04_Бизнес_модель'!$A$4:$O$203,15,FALSE),0))</f>
        <v/>
      </c>
      <c r="Q61" s="7" t="str">
        <f t="shared" si="3"/>
        <v/>
      </c>
    </row>
    <row r="62" spans="1:17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7" t="str">
        <f t="shared" si="2"/>
        <v/>
      </c>
      <c r="O62" s="7" t="str">
        <f>IF($A62="","",IFERROR(VLOOKUP($A62,'04_Бизнес_модель'!$A$4:$P$203,16,FALSE),0))</f>
        <v/>
      </c>
      <c r="P62" s="6" t="str">
        <f>IF($A62="","",IFERROR(VLOOKUP($A62,'04_Бизнес_модель'!$A$4:$O$203,15,FALSE),0))</f>
        <v/>
      </c>
      <c r="Q62" s="7" t="str">
        <f t="shared" si="3"/>
        <v/>
      </c>
    </row>
    <row r="63" spans="1:17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7" t="str">
        <f t="shared" si="2"/>
        <v/>
      </c>
      <c r="O63" s="7" t="str">
        <f>IF($A63="","",IFERROR(VLOOKUP($A63,'04_Бизнес_модель'!$A$4:$P$203,16,FALSE),0))</f>
        <v/>
      </c>
      <c r="P63" s="6" t="str">
        <f>IF($A63="","",IFERROR(VLOOKUP($A63,'04_Бизнес_модель'!$A$4:$O$203,15,FALSE),0))</f>
        <v/>
      </c>
      <c r="Q63" s="7" t="str">
        <f t="shared" si="3"/>
        <v/>
      </c>
    </row>
    <row r="64" spans="1:17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7" t="str">
        <f t="shared" si="2"/>
        <v/>
      </c>
      <c r="O64" s="7" t="str">
        <f>IF($A64="","",IFERROR(VLOOKUP($A64,'04_Бизнес_модель'!$A$4:$P$203,16,FALSE),0))</f>
        <v/>
      </c>
      <c r="P64" s="6" t="str">
        <f>IF($A64="","",IFERROR(VLOOKUP($A64,'04_Бизнес_модель'!$A$4:$O$203,15,FALSE),0))</f>
        <v/>
      </c>
      <c r="Q64" s="7" t="str">
        <f t="shared" si="3"/>
        <v/>
      </c>
    </row>
    <row r="65" spans="1:17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7" t="str">
        <f t="shared" si="2"/>
        <v/>
      </c>
      <c r="O65" s="7" t="str">
        <f>IF($A65="","",IFERROR(VLOOKUP($A65,'04_Бизнес_модель'!$A$4:$P$203,16,FALSE),0))</f>
        <v/>
      </c>
      <c r="P65" s="6" t="str">
        <f>IF($A65="","",IFERROR(VLOOKUP($A65,'04_Бизнес_модель'!$A$4:$O$203,15,FALSE),0))</f>
        <v/>
      </c>
      <c r="Q65" s="7" t="str">
        <f t="shared" si="3"/>
        <v/>
      </c>
    </row>
    <row r="66" spans="1:17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7" t="str">
        <f t="shared" si="2"/>
        <v/>
      </c>
      <c r="O66" s="7" t="str">
        <f>IF($A66="","",IFERROR(VLOOKUP($A66,'04_Бизнес_модель'!$A$4:$P$203,16,FALSE),0))</f>
        <v/>
      </c>
      <c r="P66" s="6" t="str">
        <f>IF($A66="","",IFERROR(VLOOKUP($A66,'04_Бизнес_модель'!$A$4:$O$203,15,FALSE),0))</f>
        <v/>
      </c>
      <c r="Q66" s="7" t="str">
        <f t="shared" si="3"/>
        <v/>
      </c>
    </row>
    <row r="67" spans="1:17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7" t="str">
        <f t="shared" si="2"/>
        <v/>
      </c>
      <c r="O67" s="7" t="str">
        <f>IF($A67="","",IFERROR(VLOOKUP($A67,'04_Бизнес_модель'!$A$4:$P$203,16,FALSE),0))</f>
        <v/>
      </c>
      <c r="P67" s="6" t="str">
        <f>IF($A67="","",IFERROR(VLOOKUP($A67,'04_Бизнес_модель'!$A$4:$O$203,15,FALSE),0))</f>
        <v/>
      </c>
      <c r="Q67" s="7" t="str">
        <f t="shared" si="3"/>
        <v/>
      </c>
    </row>
    <row r="68" spans="1:17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7" t="str">
        <f t="shared" ref="N68:N99" si="4">IF($A68="","",SUMPRODUCT($C68:$M68,$C$2:$M$2)/SUM($C$2:$M$2))</f>
        <v/>
      </c>
      <c r="O68" s="7" t="str">
        <f>IF($A68="","",IFERROR(VLOOKUP($A68,'04_Бизнес_модель'!$A$4:$P$203,16,FALSE),0))</f>
        <v/>
      </c>
      <c r="P68" s="6" t="str">
        <f>IF($A68="","",IFERROR(VLOOKUP($A68,'04_Бизнес_модель'!$A$4:$O$203,15,FALSE),0))</f>
        <v/>
      </c>
      <c r="Q68" s="7" t="str">
        <f t="shared" ref="Q68:Q99" si="5">IF($A68="","",$N68*0.6+$O68*0.25+$P68*5*0.15)</f>
        <v/>
      </c>
    </row>
    <row r="69" spans="1:17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7" t="str">
        <f t="shared" si="4"/>
        <v/>
      </c>
      <c r="O69" s="7" t="str">
        <f>IF($A69="","",IFERROR(VLOOKUP($A69,'04_Бизнес_модель'!$A$4:$P$203,16,FALSE),0))</f>
        <v/>
      </c>
      <c r="P69" s="6" t="str">
        <f>IF($A69="","",IFERROR(VLOOKUP($A69,'04_Бизнес_модель'!$A$4:$O$203,15,FALSE),0))</f>
        <v/>
      </c>
      <c r="Q69" s="7" t="str">
        <f t="shared" si="5"/>
        <v/>
      </c>
    </row>
    <row r="70" spans="1:17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7" t="str">
        <f t="shared" si="4"/>
        <v/>
      </c>
      <c r="O70" s="7" t="str">
        <f>IF($A70="","",IFERROR(VLOOKUP($A70,'04_Бизнес_модель'!$A$4:$P$203,16,FALSE),0))</f>
        <v/>
      </c>
      <c r="P70" s="6" t="str">
        <f>IF($A70="","",IFERROR(VLOOKUP($A70,'04_Бизнес_модель'!$A$4:$O$203,15,FALSE),0))</f>
        <v/>
      </c>
      <c r="Q70" s="7" t="str">
        <f t="shared" si="5"/>
        <v/>
      </c>
    </row>
    <row r="71" spans="1:17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7" t="str">
        <f t="shared" si="4"/>
        <v/>
      </c>
      <c r="O71" s="7" t="str">
        <f>IF($A71="","",IFERROR(VLOOKUP($A71,'04_Бизнес_модель'!$A$4:$P$203,16,FALSE),0))</f>
        <v/>
      </c>
      <c r="P71" s="6" t="str">
        <f>IF($A71="","",IFERROR(VLOOKUP($A71,'04_Бизнес_модель'!$A$4:$O$203,15,FALSE),0))</f>
        <v/>
      </c>
      <c r="Q71" s="7" t="str">
        <f t="shared" si="5"/>
        <v/>
      </c>
    </row>
    <row r="72" spans="1:17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7" t="str">
        <f t="shared" si="4"/>
        <v/>
      </c>
      <c r="O72" s="7" t="str">
        <f>IF($A72="","",IFERROR(VLOOKUP($A72,'04_Бизнес_модель'!$A$4:$P$203,16,FALSE),0))</f>
        <v/>
      </c>
      <c r="P72" s="6" t="str">
        <f>IF($A72="","",IFERROR(VLOOKUP($A72,'04_Бизнес_модель'!$A$4:$O$203,15,FALSE),0))</f>
        <v/>
      </c>
      <c r="Q72" s="7" t="str">
        <f t="shared" si="5"/>
        <v/>
      </c>
    </row>
    <row r="73" spans="1:17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7" t="str">
        <f t="shared" si="4"/>
        <v/>
      </c>
      <c r="O73" s="7" t="str">
        <f>IF($A73="","",IFERROR(VLOOKUP($A73,'04_Бизнес_модель'!$A$4:$P$203,16,FALSE),0))</f>
        <v/>
      </c>
      <c r="P73" s="6" t="str">
        <f>IF($A73="","",IFERROR(VLOOKUP($A73,'04_Бизнес_модель'!$A$4:$O$203,15,FALSE),0))</f>
        <v/>
      </c>
      <c r="Q73" s="7" t="str">
        <f t="shared" si="5"/>
        <v/>
      </c>
    </row>
    <row r="74" spans="1:17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7" t="str">
        <f t="shared" si="4"/>
        <v/>
      </c>
      <c r="O74" s="7" t="str">
        <f>IF($A74="","",IFERROR(VLOOKUP($A74,'04_Бизнес_модель'!$A$4:$P$203,16,FALSE),0))</f>
        <v/>
      </c>
      <c r="P74" s="6" t="str">
        <f>IF($A74="","",IFERROR(VLOOKUP($A74,'04_Бизнес_модель'!$A$4:$O$203,15,FALSE),0))</f>
        <v/>
      </c>
      <c r="Q74" s="7" t="str">
        <f t="shared" si="5"/>
        <v/>
      </c>
    </row>
    <row r="75" spans="1:17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7" t="str">
        <f t="shared" si="4"/>
        <v/>
      </c>
      <c r="O75" s="7" t="str">
        <f>IF($A75="","",IFERROR(VLOOKUP($A75,'04_Бизнес_модель'!$A$4:$P$203,16,FALSE),0))</f>
        <v/>
      </c>
      <c r="P75" s="6" t="str">
        <f>IF($A75="","",IFERROR(VLOOKUP($A75,'04_Бизнес_модель'!$A$4:$O$203,15,FALSE),0))</f>
        <v/>
      </c>
      <c r="Q75" s="7" t="str">
        <f t="shared" si="5"/>
        <v/>
      </c>
    </row>
    <row r="76" spans="1:17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7" t="str">
        <f t="shared" si="4"/>
        <v/>
      </c>
      <c r="O76" s="7" t="str">
        <f>IF($A76="","",IFERROR(VLOOKUP($A76,'04_Бизнес_модель'!$A$4:$P$203,16,FALSE),0))</f>
        <v/>
      </c>
      <c r="P76" s="6" t="str">
        <f>IF($A76="","",IFERROR(VLOOKUP($A76,'04_Бизнес_модель'!$A$4:$O$203,15,FALSE),0))</f>
        <v/>
      </c>
      <c r="Q76" s="7" t="str">
        <f t="shared" si="5"/>
        <v/>
      </c>
    </row>
    <row r="77" spans="1:17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7" t="str">
        <f t="shared" si="4"/>
        <v/>
      </c>
      <c r="O77" s="7" t="str">
        <f>IF($A77="","",IFERROR(VLOOKUP($A77,'04_Бизнес_модель'!$A$4:$P$203,16,FALSE),0))</f>
        <v/>
      </c>
      <c r="P77" s="6" t="str">
        <f>IF($A77="","",IFERROR(VLOOKUP($A77,'04_Бизнес_модель'!$A$4:$O$203,15,FALSE),0))</f>
        <v/>
      </c>
      <c r="Q77" s="7" t="str">
        <f t="shared" si="5"/>
        <v/>
      </c>
    </row>
    <row r="78" spans="1:17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7" t="str">
        <f t="shared" si="4"/>
        <v/>
      </c>
      <c r="O78" s="7" t="str">
        <f>IF($A78="","",IFERROR(VLOOKUP($A78,'04_Бизнес_модель'!$A$4:$P$203,16,FALSE),0))</f>
        <v/>
      </c>
      <c r="P78" s="6" t="str">
        <f>IF($A78="","",IFERROR(VLOOKUP($A78,'04_Бизнес_модель'!$A$4:$O$203,15,FALSE),0))</f>
        <v/>
      </c>
      <c r="Q78" s="7" t="str">
        <f t="shared" si="5"/>
        <v/>
      </c>
    </row>
    <row r="79" spans="1:17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7" t="str">
        <f t="shared" si="4"/>
        <v/>
      </c>
      <c r="O79" s="7" t="str">
        <f>IF($A79="","",IFERROR(VLOOKUP($A79,'04_Бизнес_модель'!$A$4:$P$203,16,FALSE),0))</f>
        <v/>
      </c>
      <c r="P79" s="6" t="str">
        <f>IF($A79="","",IFERROR(VLOOKUP($A79,'04_Бизнес_модель'!$A$4:$O$203,15,FALSE),0))</f>
        <v/>
      </c>
      <c r="Q79" s="7" t="str">
        <f t="shared" si="5"/>
        <v/>
      </c>
    </row>
    <row r="80" spans="1:17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7" t="str">
        <f t="shared" si="4"/>
        <v/>
      </c>
      <c r="O80" s="7" t="str">
        <f>IF($A80="","",IFERROR(VLOOKUP($A80,'04_Бизнес_модель'!$A$4:$P$203,16,FALSE),0))</f>
        <v/>
      </c>
      <c r="P80" s="6" t="str">
        <f>IF($A80="","",IFERROR(VLOOKUP($A80,'04_Бизнес_модель'!$A$4:$O$203,15,FALSE),0))</f>
        <v/>
      </c>
      <c r="Q80" s="7" t="str">
        <f t="shared" si="5"/>
        <v/>
      </c>
    </row>
    <row r="81" spans="1:17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7" t="str">
        <f t="shared" si="4"/>
        <v/>
      </c>
      <c r="O81" s="7" t="str">
        <f>IF($A81="","",IFERROR(VLOOKUP($A81,'04_Бизнес_модель'!$A$4:$P$203,16,FALSE),0))</f>
        <v/>
      </c>
      <c r="P81" s="6" t="str">
        <f>IF($A81="","",IFERROR(VLOOKUP($A81,'04_Бизнес_модель'!$A$4:$O$203,15,FALSE),0))</f>
        <v/>
      </c>
      <c r="Q81" s="7" t="str">
        <f t="shared" si="5"/>
        <v/>
      </c>
    </row>
    <row r="82" spans="1:17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7" t="str">
        <f t="shared" si="4"/>
        <v/>
      </c>
      <c r="O82" s="7" t="str">
        <f>IF($A82="","",IFERROR(VLOOKUP($A82,'04_Бизнес_модель'!$A$4:$P$203,16,FALSE),0))</f>
        <v/>
      </c>
      <c r="P82" s="6" t="str">
        <f>IF($A82="","",IFERROR(VLOOKUP($A82,'04_Бизнес_модель'!$A$4:$O$203,15,FALSE),0))</f>
        <v/>
      </c>
      <c r="Q82" s="7" t="str">
        <f t="shared" si="5"/>
        <v/>
      </c>
    </row>
    <row r="83" spans="1:17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7" t="str">
        <f t="shared" si="4"/>
        <v/>
      </c>
      <c r="O83" s="7" t="str">
        <f>IF($A83="","",IFERROR(VLOOKUP($A83,'04_Бизнес_модель'!$A$4:$P$203,16,FALSE),0))</f>
        <v/>
      </c>
      <c r="P83" s="6" t="str">
        <f>IF($A83="","",IFERROR(VLOOKUP($A83,'04_Бизнес_модель'!$A$4:$O$203,15,FALSE),0))</f>
        <v/>
      </c>
      <c r="Q83" s="7" t="str">
        <f t="shared" si="5"/>
        <v/>
      </c>
    </row>
    <row r="84" spans="1:17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7" t="str">
        <f t="shared" si="4"/>
        <v/>
      </c>
      <c r="O84" s="7" t="str">
        <f>IF($A84="","",IFERROR(VLOOKUP($A84,'04_Бизнес_модель'!$A$4:$P$203,16,FALSE),0))</f>
        <v/>
      </c>
      <c r="P84" s="6" t="str">
        <f>IF($A84="","",IFERROR(VLOOKUP($A84,'04_Бизнес_модель'!$A$4:$O$203,15,FALSE),0))</f>
        <v/>
      </c>
      <c r="Q84" s="7" t="str">
        <f t="shared" si="5"/>
        <v/>
      </c>
    </row>
    <row r="85" spans="1:17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7" t="str">
        <f t="shared" si="4"/>
        <v/>
      </c>
      <c r="O85" s="7" t="str">
        <f>IF($A85="","",IFERROR(VLOOKUP($A85,'04_Бизнес_модель'!$A$4:$P$203,16,FALSE),0))</f>
        <v/>
      </c>
      <c r="P85" s="6" t="str">
        <f>IF($A85="","",IFERROR(VLOOKUP($A85,'04_Бизнес_модель'!$A$4:$O$203,15,FALSE),0))</f>
        <v/>
      </c>
      <c r="Q85" s="7" t="str">
        <f t="shared" si="5"/>
        <v/>
      </c>
    </row>
    <row r="86" spans="1:17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7" t="str">
        <f t="shared" si="4"/>
        <v/>
      </c>
      <c r="O86" s="7" t="str">
        <f>IF($A86="","",IFERROR(VLOOKUP($A86,'04_Бизнес_модель'!$A$4:$P$203,16,FALSE),0))</f>
        <v/>
      </c>
      <c r="P86" s="6" t="str">
        <f>IF($A86="","",IFERROR(VLOOKUP($A86,'04_Бизнес_модель'!$A$4:$O$203,15,FALSE),0))</f>
        <v/>
      </c>
      <c r="Q86" s="7" t="str">
        <f t="shared" si="5"/>
        <v/>
      </c>
    </row>
    <row r="87" spans="1:17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7" t="str">
        <f t="shared" si="4"/>
        <v/>
      </c>
      <c r="O87" s="7" t="str">
        <f>IF($A87="","",IFERROR(VLOOKUP($A87,'04_Бизнес_модель'!$A$4:$P$203,16,FALSE),0))</f>
        <v/>
      </c>
      <c r="P87" s="6" t="str">
        <f>IF($A87="","",IFERROR(VLOOKUP($A87,'04_Бизнес_модель'!$A$4:$O$203,15,FALSE),0))</f>
        <v/>
      </c>
      <c r="Q87" s="7" t="str">
        <f t="shared" si="5"/>
        <v/>
      </c>
    </row>
    <row r="88" spans="1:17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7" t="str">
        <f t="shared" si="4"/>
        <v/>
      </c>
      <c r="O88" s="7" t="str">
        <f>IF($A88="","",IFERROR(VLOOKUP($A88,'04_Бизнес_модель'!$A$4:$P$203,16,FALSE),0))</f>
        <v/>
      </c>
      <c r="P88" s="6" t="str">
        <f>IF($A88="","",IFERROR(VLOOKUP($A88,'04_Бизнес_модель'!$A$4:$O$203,15,FALSE),0))</f>
        <v/>
      </c>
      <c r="Q88" s="7" t="str">
        <f t="shared" si="5"/>
        <v/>
      </c>
    </row>
    <row r="89" spans="1:17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7" t="str">
        <f t="shared" si="4"/>
        <v/>
      </c>
      <c r="O89" s="7" t="str">
        <f>IF($A89="","",IFERROR(VLOOKUP($A89,'04_Бизнес_модель'!$A$4:$P$203,16,FALSE),0))</f>
        <v/>
      </c>
      <c r="P89" s="6" t="str">
        <f>IF($A89="","",IFERROR(VLOOKUP($A89,'04_Бизнес_модель'!$A$4:$O$203,15,FALSE),0))</f>
        <v/>
      </c>
      <c r="Q89" s="7" t="str">
        <f t="shared" si="5"/>
        <v/>
      </c>
    </row>
    <row r="90" spans="1:17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7" t="str">
        <f t="shared" si="4"/>
        <v/>
      </c>
      <c r="O90" s="7" t="str">
        <f>IF($A90="","",IFERROR(VLOOKUP($A90,'04_Бизнес_модель'!$A$4:$P$203,16,FALSE),0))</f>
        <v/>
      </c>
      <c r="P90" s="6" t="str">
        <f>IF($A90="","",IFERROR(VLOOKUP($A90,'04_Бизнес_модель'!$A$4:$O$203,15,FALSE),0))</f>
        <v/>
      </c>
      <c r="Q90" s="7" t="str">
        <f t="shared" si="5"/>
        <v/>
      </c>
    </row>
    <row r="91" spans="1:17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7" t="str">
        <f t="shared" si="4"/>
        <v/>
      </c>
      <c r="O91" s="7" t="str">
        <f>IF($A91="","",IFERROR(VLOOKUP($A91,'04_Бизнес_модель'!$A$4:$P$203,16,FALSE),0))</f>
        <v/>
      </c>
      <c r="P91" s="6" t="str">
        <f>IF($A91="","",IFERROR(VLOOKUP($A91,'04_Бизнес_модель'!$A$4:$O$203,15,FALSE),0))</f>
        <v/>
      </c>
      <c r="Q91" s="7" t="str">
        <f t="shared" si="5"/>
        <v/>
      </c>
    </row>
    <row r="92" spans="1:17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7" t="str">
        <f t="shared" si="4"/>
        <v/>
      </c>
      <c r="O92" s="7" t="str">
        <f>IF($A92="","",IFERROR(VLOOKUP($A92,'04_Бизнес_модель'!$A$4:$P$203,16,FALSE),0))</f>
        <v/>
      </c>
      <c r="P92" s="6" t="str">
        <f>IF($A92="","",IFERROR(VLOOKUP($A92,'04_Бизнес_модель'!$A$4:$O$203,15,FALSE),0))</f>
        <v/>
      </c>
      <c r="Q92" s="7" t="str">
        <f t="shared" si="5"/>
        <v/>
      </c>
    </row>
    <row r="93" spans="1:17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7" t="str">
        <f t="shared" si="4"/>
        <v/>
      </c>
      <c r="O93" s="7" t="str">
        <f>IF($A93="","",IFERROR(VLOOKUP($A93,'04_Бизнес_модель'!$A$4:$P$203,16,FALSE),0))</f>
        <v/>
      </c>
      <c r="P93" s="6" t="str">
        <f>IF($A93="","",IFERROR(VLOOKUP($A93,'04_Бизнес_модель'!$A$4:$O$203,15,FALSE),0))</f>
        <v/>
      </c>
      <c r="Q93" s="7" t="str">
        <f t="shared" si="5"/>
        <v/>
      </c>
    </row>
    <row r="94" spans="1:17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7" t="str">
        <f t="shared" si="4"/>
        <v/>
      </c>
      <c r="O94" s="7" t="str">
        <f>IF($A94="","",IFERROR(VLOOKUP($A94,'04_Бизнес_модель'!$A$4:$P$203,16,FALSE),0))</f>
        <v/>
      </c>
      <c r="P94" s="6" t="str">
        <f>IF($A94="","",IFERROR(VLOOKUP($A94,'04_Бизнес_модель'!$A$4:$O$203,15,FALSE),0))</f>
        <v/>
      </c>
      <c r="Q94" s="7" t="str">
        <f t="shared" si="5"/>
        <v/>
      </c>
    </row>
    <row r="95" spans="1:17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7" t="str">
        <f t="shared" si="4"/>
        <v/>
      </c>
      <c r="O95" s="7" t="str">
        <f>IF($A95="","",IFERROR(VLOOKUP($A95,'04_Бизнес_модель'!$A$4:$P$203,16,FALSE),0))</f>
        <v/>
      </c>
      <c r="P95" s="6" t="str">
        <f>IF($A95="","",IFERROR(VLOOKUP($A95,'04_Бизнес_модель'!$A$4:$O$203,15,FALSE),0))</f>
        <v/>
      </c>
      <c r="Q95" s="7" t="str">
        <f t="shared" si="5"/>
        <v/>
      </c>
    </row>
    <row r="96" spans="1:17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7" t="str">
        <f t="shared" si="4"/>
        <v/>
      </c>
      <c r="O96" s="7" t="str">
        <f>IF($A96="","",IFERROR(VLOOKUP($A96,'04_Бизнес_модель'!$A$4:$P$203,16,FALSE),0))</f>
        <v/>
      </c>
      <c r="P96" s="6" t="str">
        <f>IF($A96="","",IFERROR(VLOOKUP($A96,'04_Бизнес_модель'!$A$4:$O$203,15,FALSE),0))</f>
        <v/>
      </c>
      <c r="Q96" s="7" t="str">
        <f t="shared" si="5"/>
        <v/>
      </c>
    </row>
    <row r="97" spans="1:17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7" t="str">
        <f t="shared" si="4"/>
        <v/>
      </c>
      <c r="O97" s="7" t="str">
        <f>IF($A97="","",IFERROR(VLOOKUP($A97,'04_Бизнес_модель'!$A$4:$P$203,16,FALSE),0))</f>
        <v/>
      </c>
      <c r="P97" s="6" t="str">
        <f>IF($A97="","",IFERROR(VLOOKUP($A97,'04_Бизнес_модель'!$A$4:$O$203,15,FALSE),0))</f>
        <v/>
      </c>
      <c r="Q97" s="7" t="str">
        <f t="shared" si="5"/>
        <v/>
      </c>
    </row>
    <row r="98" spans="1:17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7" t="str">
        <f t="shared" si="4"/>
        <v/>
      </c>
      <c r="O98" s="7" t="str">
        <f>IF($A98="","",IFERROR(VLOOKUP($A98,'04_Бизнес_модель'!$A$4:$P$203,16,FALSE),0))</f>
        <v/>
      </c>
      <c r="P98" s="6" t="str">
        <f>IF($A98="","",IFERROR(VLOOKUP($A98,'04_Бизнес_модель'!$A$4:$O$203,15,FALSE),0))</f>
        <v/>
      </c>
      <c r="Q98" s="7" t="str">
        <f t="shared" si="5"/>
        <v/>
      </c>
    </row>
    <row r="99" spans="1:17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7" t="str">
        <f t="shared" si="4"/>
        <v/>
      </c>
      <c r="O99" s="7" t="str">
        <f>IF($A99="","",IFERROR(VLOOKUP($A99,'04_Бизнес_модель'!$A$4:$P$203,16,FALSE),0))</f>
        <v/>
      </c>
      <c r="P99" s="6" t="str">
        <f>IF($A99="","",IFERROR(VLOOKUP($A99,'04_Бизнес_модель'!$A$4:$O$203,15,FALSE),0))</f>
        <v/>
      </c>
      <c r="Q99" s="7" t="str">
        <f t="shared" si="5"/>
        <v/>
      </c>
    </row>
    <row r="100" spans="1:17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7" t="str">
        <f t="shared" ref="N100:N131" si="6">IF($A100="","",SUMPRODUCT($C100:$M100,$C$2:$M$2)/SUM($C$2:$M$2))</f>
        <v/>
      </c>
      <c r="O100" s="7" t="str">
        <f>IF($A100="","",IFERROR(VLOOKUP($A100,'04_Бизнес_модель'!$A$4:$P$203,16,FALSE),0))</f>
        <v/>
      </c>
      <c r="P100" s="6" t="str">
        <f>IF($A100="","",IFERROR(VLOOKUP($A100,'04_Бизнес_модель'!$A$4:$O$203,15,FALSE),0))</f>
        <v/>
      </c>
      <c r="Q100" s="7" t="str">
        <f t="shared" ref="Q100:Q131" si="7">IF($A100="","",$N100*0.6+$O100*0.25+$P100*5*0.15)</f>
        <v/>
      </c>
    </row>
    <row r="101" spans="1:17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7" t="str">
        <f t="shared" si="6"/>
        <v/>
      </c>
      <c r="O101" s="7" t="str">
        <f>IF($A101="","",IFERROR(VLOOKUP($A101,'04_Бизнес_модель'!$A$4:$P$203,16,FALSE),0))</f>
        <v/>
      </c>
      <c r="P101" s="6" t="str">
        <f>IF($A101="","",IFERROR(VLOOKUP($A101,'04_Бизнес_модель'!$A$4:$O$203,15,FALSE),0))</f>
        <v/>
      </c>
      <c r="Q101" s="7" t="str">
        <f t="shared" si="7"/>
        <v/>
      </c>
    </row>
    <row r="102" spans="1:17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7" t="str">
        <f t="shared" si="6"/>
        <v/>
      </c>
      <c r="O102" s="7" t="str">
        <f>IF($A102="","",IFERROR(VLOOKUP($A102,'04_Бизнес_модель'!$A$4:$P$203,16,FALSE),0))</f>
        <v/>
      </c>
      <c r="P102" s="6" t="str">
        <f>IF($A102="","",IFERROR(VLOOKUP($A102,'04_Бизнес_модель'!$A$4:$O$203,15,FALSE),0))</f>
        <v/>
      </c>
      <c r="Q102" s="7" t="str">
        <f t="shared" si="7"/>
        <v/>
      </c>
    </row>
    <row r="103" spans="1:17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7" t="str">
        <f t="shared" si="6"/>
        <v/>
      </c>
      <c r="O103" s="7" t="str">
        <f>IF($A103="","",IFERROR(VLOOKUP($A103,'04_Бизнес_модель'!$A$4:$P$203,16,FALSE),0))</f>
        <v/>
      </c>
      <c r="P103" s="6" t="str">
        <f>IF($A103="","",IFERROR(VLOOKUP($A103,'04_Бизнес_модель'!$A$4:$O$203,15,FALSE),0))</f>
        <v/>
      </c>
      <c r="Q103" s="7" t="str">
        <f t="shared" si="7"/>
        <v/>
      </c>
    </row>
    <row r="104" spans="1:17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7" t="str">
        <f t="shared" si="6"/>
        <v/>
      </c>
      <c r="O104" s="7" t="str">
        <f>IF($A104="","",IFERROR(VLOOKUP($A104,'04_Бизнес_модель'!$A$4:$P$203,16,FALSE),0))</f>
        <v/>
      </c>
      <c r="P104" s="6" t="str">
        <f>IF($A104="","",IFERROR(VLOOKUP($A104,'04_Бизнес_модель'!$A$4:$O$203,15,FALSE),0))</f>
        <v/>
      </c>
      <c r="Q104" s="7" t="str">
        <f t="shared" si="7"/>
        <v/>
      </c>
    </row>
    <row r="105" spans="1:17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7" t="str">
        <f t="shared" si="6"/>
        <v/>
      </c>
      <c r="O105" s="7" t="str">
        <f>IF($A105="","",IFERROR(VLOOKUP($A105,'04_Бизнес_модель'!$A$4:$P$203,16,FALSE),0))</f>
        <v/>
      </c>
      <c r="P105" s="6" t="str">
        <f>IF($A105="","",IFERROR(VLOOKUP($A105,'04_Бизнес_модель'!$A$4:$O$203,15,FALSE),0))</f>
        <v/>
      </c>
      <c r="Q105" s="7" t="str">
        <f t="shared" si="7"/>
        <v/>
      </c>
    </row>
    <row r="106" spans="1:17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7" t="str">
        <f t="shared" si="6"/>
        <v/>
      </c>
      <c r="O106" s="7" t="str">
        <f>IF($A106="","",IFERROR(VLOOKUP($A106,'04_Бизнес_модель'!$A$4:$P$203,16,FALSE),0))</f>
        <v/>
      </c>
      <c r="P106" s="6" t="str">
        <f>IF($A106="","",IFERROR(VLOOKUP($A106,'04_Бизнес_модель'!$A$4:$O$203,15,FALSE),0))</f>
        <v/>
      </c>
      <c r="Q106" s="7" t="str">
        <f t="shared" si="7"/>
        <v/>
      </c>
    </row>
    <row r="107" spans="1:17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7" t="str">
        <f t="shared" si="6"/>
        <v/>
      </c>
      <c r="O107" s="7" t="str">
        <f>IF($A107="","",IFERROR(VLOOKUP($A107,'04_Бизнес_модель'!$A$4:$P$203,16,FALSE),0))</f>
        <v/>
      </c>
      <c r="P107" s="6" t="str">
        <f>IF($A107="","",IFERROR(VLOOKUP($A107,'04_Бизнес_модель'!$A$4:$O$203,15,FALSE),0))</f>
        <v/>
      </c>
      <c r="Q107" s="7" t="str">
        <f t="shared" si="7"/>
        <v/>
      </c>
    </row>
    <row r="108" spans="1:17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7" t="str">
        <f t="shared" si="6"/>
        <v/>
      </c>
      <c r="O108" s="7" t="str">
        <f>IF($A108="","",IFERROR(VLOOKUP($A108,'04_Бизнес_модель'!$A$4:$P$203,16,FALSE),0))</f>
        <v/>
      </c>
      <c r="P108" s="6" t="str">
        <f>IF($A108="","",IFERROR(VLOOKUP($A108,'04_Бизнес_модель'!$A$4:$O$203,15,FALSE),0))</f>
        <v/>
      </c>
      <c r="Q108" s="7" t="str">
        <f t="shared" si="7"/>
        <v/>
      </c>
    </row>
    <row r="109" spans="1:17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7" t="str">
        <f t="shared" si="6"/>
        <v/>
      </c>
      <c r="O109" s="7" t="str">
        <f>IF($A109="","",IFERROR(VLOOKUP($A109,'04_Бизнес_модель'!$A$4:$P$203,16,FALSE),0))</f>
        <v/>
      </c>
      <c r="P109" s="6" t="str">
        <f>IF($A109="","",IFERROR(VLOOKUP($A109,'04_Бизнес_модель'!$A$4:$O$203,15,FALSE),0))</f>
        <v/>
      </c>
      <c r="Q109" s="7" t="str">
        <f t="shared" si="7"/>
        <v/>
      </c>
    </row>
    <row r="110" spans="1:17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7" t="str">
        <f t="shared" si="6"/>
        <v/>
      </c>
      <c r="O110" s="7" t="str">
        <f>IF($A110="","",IFERROR(VLOOKUP($A110,'04_Бизнес_модель'!$A$4:$P$203,16,FALSE),0))</f>
        <v/>
      </c>
      <c r="P110" s="6" t="str">
        <f>IF($A110="","",IFERROR(VLOOKUP($A110,'04_Бизнес_модель'!$A$4:$O$203,15,FALSE),0))</f>
        <v/>
      </c>
      <c r="Q110" s="7" t="str">
        <f t="shared" si="7"/>
        <v/>
      </c>
    </row>
    <row r="111" spans="1:17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7" t="str">
        <f t="shared" si="6"/>
        <v/>
      </c>
      <c r="O111" s="7" t="str">
        <f>IF($A111="","",IFERROR(VLOOKUP($A111,'04_Бизнес_модель'!$A$4:$P$203,16,FALSE),0))</f>
        <v/>
      </c>
      <c r="P111" s="6" t="str">
        <f>IF($A111="","",IFERROR(VLOOKUP($A111,'04_Бизнес_модель'!$A$4:$O$203,15,FALSE),0))</f>
        <v/>
      </c>
      <c r="Q111" s="7" t="str">
        <f t="shared" si="7"/>
        <v/>
      </c>
    </row>
    <row r="112" spans="1:17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7" t="str">
        <f t="shared" si="6"/>
        <v/>
      </c>
      <c r="O112" s="7" t="str">
        <f>IF($A112="","",IFERROR(VLOOKUP($A112,'04_Бизнес_модель'!$A$4:$P$203,16,FALSE),0))</f>
        <v/>
      </c>
      <c r="P112" s="6" t="str">
        <f>IF($A112="","",IFERROR(VLOOKUP($A112,'04_Бизнес_модель'!$A$4:$O$203,15,FALSE),0))</f>
        <v/>
      </c>
      <c r="Q112" s="7" t="str">
        <f t="shared" si="7"/>
        <v/>
      </c>
    </row>
    <row r="113" spans="1:17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7" t="str">
        <f t="shared" si="6"/>
        <v/>
      </c>
      <c r="O113" s="7" t="str">
        <f>IF($A113="","",IFERROR(VLOOKUP($A113,'04_Бизнес_модель'!$A$4:$P$203,16,FALSE),0))</f>
        <v/>
      </c>
      <c r="P113" s="6" t="str">
        <f>IF($A113="","",IFERROR(VLOOKUP($A113,'04_Бизнес_модель'!$A$4:$O$203,15,FALSE),0))</f>
        <v/>
      </c>
      <c r="Q113" s="7" t="str">
        <f t="shared" si="7"/>
        <v/>
      </c>
    </row>
    <row r="114" spans="1:17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7" t="str">
        <f t="shared" si="6"/>
        <v/>
      </c>
      <c r="O114" s="7" t="str">
        <f>IF($A114="","",IFERROR(VLOOKUP($A114,'04_Бизнес_модель'!$A$4:$P$203,16,FALSE),0))</f>
        <v/>
      </c>
      <c r="P114" s="6" t="str">
        <f>IF($A114="","",IFERROR(VLOOKUP($A114,'04_Бизнес_модель'!$A$4:$O$203,15,FALSE),0))</f>
        <v/>
      </c>
      <c r="Q114" s="7" t="str">
        <f t="shared" si="7"/>
        <v/>
      </c>
    </row>
    <row r="115" spans="1:17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7" t="str">
        <f t="shared" si="6"/>
        <v/>
      </c>
      <c r="O115" s="7" t="str">
        <f>IF($A115="","",IFERROR(VLOOKUP($A115,'04_Бизнес_модель'!$A$4:$P$203,16,FALSE),0))</f>
        <v/>
      </c>
      <c r="P115" s="6" t="str">
        <f>IF($A115="","",IFERROR(VLOOKUP($A115,'04_Бизнес_модель'!$A$4:$O$203,15,FALSE),0))</f>
        <v/>
      </c>
      <c r="Q115" s="7" t="str">
        <f t="shared" si="7"/>
        <v/>
      </c>
    </row>
    <row r="116" spans="1:17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7" t="str">
        <f t="shared" si="6"/>
        <v/>
      </c>
      <c r="O116" s="7" t="str">
        <f>IF($A116="","",IFERROR(VLOOKUP($A116,'04_Бизнес_модель'!$A$4:$P$203,16,FALSE),0))</f>
        <v/>
      </c>
      <c r="P116" s="6" t="str">
        <f>IF($A116="","",IFERROR(VLOOKUP($A116,'04_Бизнес_модель'!$A$4:$O$203,15,FALSE),0))</f>
        <v/>
      </c>
      <c r="Q116" s="7" t="str">
        <f t="shared" si="7"/>
        <v/>
      </c>
    </row>
    <row r="117" spans="1:17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7" t="str">
        <f t="shared" si="6"/>
        <v/>
      </c>
      <c r="O117" s="7" t="str">
        <f>IF($A117="","",IFERROR(VLOOKUP($A117,'04_Бизнес_модель'!$A$4:$P$203,16,FALSE),0))</f>
        <v/>
      </c>
      <c r="P117" s="6" t="str">
        <f>IF($A117="","",IFERROR(VLOOKUP($A117,'04_Бизнес_модель'!$A$4:$O$203,15,FALSE),0))</f>
        <v/>
      </c>
      <c r="Q117" s="7" t="str">
        <f t="shared" si="7"/>
        <v/>
      </c>
    </row>
    <row r="118" spans="1:17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7" t="str">
        <f t="shared" si="6"/>
        <v/>
      </c>
      <c r="O118" s="7" t="str">
        <f>IF($A118="","",IFERROR(VLOOKUP($A118,'04_Бизнес_модель'!$A$4:$P$203,16,FALSE),0))</f>
        <v/>
      </c>
      <c r="P118" s="6" t="str">
        <f>IF($A118="","",IFERROR(VLOOKUP($A118,'04_Бизнес_модель'!$A$4:$O$203,15,FALSE),0))</f>
        <v/>
      </c>
      <c r="Q118" s="7" t="str">
        <f t="shared" si="7"/>
        <v/>
      </c>
    </row>
    <row r="119" spans="1:17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7" t="str">
        <f t="shared" si="6"/>
        <v/>
      </c>
      <c r="O119" s="7" t="str">
        <f>IF($A119="","",IFERROR(VLOOKUP($A119,'04_Бизнес_модель'!$A$4:$P$203,16,FALSE),0))</f>
        <v/>
      </c>
      <c r="P119" s="6" t="str">
        <f>IF($A119="","",IFERROR(VLOOKUP($A119,'04_Бизнес_модель'!$A$4:$O$203,15,FALSE),0))</f>
        <v/>
      </c>
      <c r="Q119" s="7" t="str">
        <f t="shared" si="7"/>
        <v/>
      </c>
    </row>
    <row r="120" spans="1:17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7" t="str">
        <f t="shared" si="6"/>
        <v/>
      </c>
      <c r="O120" s="7" t="str">
        <f>IF($A120="","",IFERROR(VLOOKUP($A120,'04_Бизнес_модель'!$A$4:$P$203,16,FALSE),0))</f>
        <v/>
      </c>
      <c r="P120" s="6" t="str">
        <f>IF($A120="","",IFERROR(VLOOKUP($A120,'04_Бизнес_модель'!$A$4:$O$203,15,FALSE),0))</f>
        <v/>
      </c>
      <c r="Q120" s="7" t="str">
        <f t="shared" si="7"/>
        <v/>
      </c>
    </row>
    <row r="121" spans="1:17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7" t="str">
        <f t="shared" si="6"/>
        <v/>
      </c>
      <c r="O121" s="7" t="str">
        <f>IF($A121="","",IFERROR(VLOOKUP($A121,'04_Бизнес_модель'!$A$4:$P$203,16,FALSE),0))</f>
        <v/>
      </c>
      <c r="P121" s="6" t="str">
        <f>IF($A121="","",IFERROR(VLOOKUP($A121,'04_Бизнес_модель'!$A$4:$O$203,15,FALSE),0))</f>
        <v/>
      </c>
      <c r="Q121" s="7" t="str">
        <f t="shared" si="7"/>
        <v/>
      </c>
    </row>
    <row r="122" spans="1:17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7" t="str">
        <f t="shared" si="6"/>
        <v/>
      </c>
      <c r="O122" s="7" t="str">
        <f>IF($A122="","",IFERROR(VLOOKUP($A122,'04_Бизнес_модель'!$A$4:$P$203,16,FALSE),0))</f>
        <v/>
      </c>
      <c r="P122" s="6" t="str">
        <f>IF($A122="","",IFERROR(VLOOKUP($A122,'04_Бизнес_модель'!$A$4:$O$203,15,FALSE),0))</f>
        <v/>
      </c>
      <c r="Q122" s="7" t="str">
        <f t="shared" si="7"/>
        <v/>
      </c>
    </row>
    <row r="123" spans="1:17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7" t="str">
        <f t="shared" si="6"/>
        <v/>
      </c>
      <c r="O123" s="7" t="str">
        <f>IF($A123="","",IFERROR(VLOOKUP($A123,'04_Бизнес_модель'!$A$4:$P$203,16,FALSE),0))</f>
        <v/>
      </c>
      <c r="P123" s="6" t="str">
        <f>IF($A123="","",IFERROR(VLOOKUP($A123,'04_Бизнес_модель'!$A$4:$O$203,15,FALSE),0))</f>
        <v/>
      </c>
      <c r="Q123" s="7" t="str">
        <f t="shared" si="7"/>
        <v/>
      </c>
    </row>
    <row r="124" spans="1:17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7" t="str">
        <f t="shared" si="6"/>
        <v/>
      </c>
      <c r="O124" s="7" t="str">
        <f>IF($A124="","",IFERROR(VLOOKUP($A124,'04_Бизнес_модель'!$A$4:$P$203,16,FALSE),0))</f>
        <v/>
      </c>
      <c r="P124" s="6" t="str">
        <f>IF($A124="","",IFERROR(VLOOKUP($A124,'04_Бизнес_модель'!$A$4:$O$203,15,FALSE),0))</f>
        <v/>
      </c>
      <c r="Q124" s="7" t="str">
        <f t="shared" si="7"/>
        <v/>
      </c>
    </row>
    <row r="125" spans="1:17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7" t="str">
        <f t="shared" si="6"/>
        <v/>
      </c>
      <c r="O125" s="7" t="str">
        <f>IF($A125="","",IFERROR(VLOOKUP($A125,'04_Бизнес_модель'!$A$4:$P$203,16,FALSE),0))</f>
        <v/>
      </c>
      <c r="P125" s="6" t="str">
        <f>IF($A125="","",IFERROR(VLOOKUP($A125,'04_Бизнес_модель'!$A$4:$O$203,15,FALSE),0))</f>
        <v/>
      </c>
      <c r="Q125" s="7" t="str">
        <f t="shared" si="7"/>
        <v/>
      </c>
    </row>
    <row r="126" spans="1:17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7" t="str">
        <f t="shared" si="6"/>
        <v/>
      </c>
      <c r="O126" s="7" t="str">
        <f>IF($A126="","",IFERROR(VLOOKUP($A126,'04_Бизнес_модель'!$A$4:$P$203,16,FALSE),0))</f>
        <v/>
      </c>
      <c r="P126" s="6" t="str">
        <f>IF($A126="","",IFERROR(VLOOKUP($A126,'04_Бизнес_модель'!$A$4:$O$203,15,FALSE),0))</f>
        <v/>
      </c>
      <c r="Q126" s="7" t="str">
        <f t="shared" si="7"/>
        <v/>
      </c>
    </row>
    <row r="127" spans="1:17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7" t="str">
        <f t="shared" si="6"/>
        <v/>
      </c>
      <c r="O127" s="7" t="str">
        <f>IF($A127="","",IFERROR(VLOOKUP($A127,'04_Бизнес_модель'!$A$4:$P$203,16,FALSE),0))</f>
        <v/>
      </c>
      <c r="P127" s="6" t="str">
        <f>IF($A127="","",IFERROR(VLOOKUP($A127,'04_Бизнес_модель'!$A$4:$O$203,15,FALSE),0))</f>
        <v/>
      </c>
      <c r="Q127" s="7" t="str">
        <f t="shared" si="7"/>
        <v/>
      </c>
    </row>
    <row r="128" spans="1:17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7" t="str">
        <f t="shared" si="6"/>
        <v/>
      </c>
      <c r="O128" s="7" t="str">
        <f>IF($A128="","",IFERROR(VLOOKUP($A128,'04_Бизнес_модель'!$A$4:$P$203,16,FALSE),0))</f>
        <v/>
      </c>
      <c r="P128" s="6" t="str">
        <f>IF($A128="","",IFERROR(VLOOKUP($A128,'04_Бизнес_модель'!$A$4:$O$203,15,FALSE),0))</f>
        <v/>
      </c>
      <c r="Q128" s="7" t="str">
        <f t="shared" si="7"/>
        <v/>
      </c>
    </row>
    <row r="129" spans="1:17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7" t="str">
        <f t="shared" si="6"/>
        <v/>
      </c>
      <c r="O129" s="7" t="str">
        <f>IF($A129="","",IFERROR(VLOOKUP($A129,'04_Бизнес_модель'!$A$4:$P$203,16,FALSE),0))</f>
        <v/>
      </c>
      <c r="P129" s="6" t="str">
        <f>IF($A129="","",IFERROR(VLOOKUP($A129,'04_Бизнес_модель'!$A$4:$O$203,15,FALSE),0))</f>
        <v/>
      </c>
      <c r="Q129" s="7" t="str">
        <f t="shared" si="7"/>
        <v/>
      </c>
    </row>
    <row r="130" spans="1:17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7" t="str">
        <f t="shared" si="6"/>
        <v/>
      </c>
      <c r="O130" s="7" t="str">
        <f>IF($A130="","",IFERROR(VLOOKUP($A130,'04_Бизнес_модель'!$A$4:$P$203,16,FALSE),0))</f>
        <v/>
      </c>
      <c r="P130" s="6" t="str">
        <f>IF($A130="","",IFERROR(VLOOKUP($A130,'04_Бизнес_модель'!$A$4:$O$203,15,FALSE),0))</f>
        <v/>
      </c>
      <c r="Q130" s="7" t="str">
        <f t="shared" si="7"/>
        <v/>
      </c>
    </row>
    <row r="131" spans="1:17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7" t="str">
        <f t="shared" si="6"/>
        <v/>
      </c>
      <c r="O131" s="7" t="str">
        <f>IF($A131="","",IFERROR(VLOOKUP($A131,'04_Бизнес_модель'!$A$4:$P$203,16,FALSE),0))</f>
        <v/>
      </c>
      <c r="P131" s="6" t="str">
        <f>IF($A131="","",IFERROR(VLOOKUP($A131,'04_Бизнес_модель'!$A$4:$O$203,15,FALSE),0))</f>
        <v/>
      </c>
      <c r="Q131" s="7" t="str">
        <f t="shared" si="7"/>
        <v/>
      </c>
    </row>
    <row r="132" spans="1:17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7" t="str">
        <f t="shared" ref="N132:N163" si="8">IF($A132="","",SUMPRODUCT($C132:$M132,$C$2:$M$2)/SUM($C$2:$M$2))</f>
        <v/>
      </c>
      <c r="O132" s="7" t="str">
        <f>IF($A132="","",IFERROR(VLOOKUP($A132,'04_Бизнес_модель'!$A$4:$P$203,16,FALSE),0))</f>
        <v/>
      </c>
      <c r="P132" s="6" t="str">
        <f>IF($A132="","",IFERROR(VLOOKUP($A132,'04_Бизнес_модель'!$A$4:$O$203,15,FALSE),0))</f>
        <v/>
      </c>
      <c r="Q132" s="7" t="str">
        <f t="shared" ref="Q132:Q163" si="9">IF($A132="","",$N132*0.6+$O132*0.25+$P132*5*0.15)</f>
        <v/>
      </c>
    </row>
    <row r="133" spans="1:17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7" t="str">
        <f t="shared" si="8"/>
        <v/>
      </c>
      <c r="O133" s="7" t="str">
        <f>IF($A133="","",IFERROR(VLOOKUP($A133,'04_Бизнес_модель'!$A$4:$P$203,16,FALSE),0))</f>
        <v/>
      </c>
      <c r="P133" s="6" t="str">
        <f>IF($A133="","",IFERROR(VLOOKUP($A133,'04_Бизнес_модель'!$A$4:$O$203,15,FALSE),0))</f>
        <v/>
      </c>
      <c r="Q133" s="7" t="str">
        <f t="shared" si="9"/>
        <v/>
      </c>
    </row>
    <row r="134" spans="1:17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7" t="str">
        <f t="shared" si="8"/>
        <v/>
      </c>
      <c r="O134" s="7" t="str">
        <f>IF($A134="","",IFERROR(VLOOKUP($A134,'04_Бизнес_модель'!$A$4:$P$203,16,FALSE),0))</f>
        <v/>
      </c>
      <c r="P134" s="6" t="str">
        <f>IF($A134="","",IFERROR(VLOOKUP($A134,'04_Бизнес_модель'!$A$4:$O$203,15,FALSE),0))</f>
        <v/>
      </c>
      <c r="Q134" s="7" t="str">
        <f t="shared" si="9"/>
        <v/>
      </c>
    </row>
    <row r="135" spans="1:17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7" t="str">
        <f t="shared" si="8"/>
        <v/>
      </c>
      <c r="O135" s="7" t="str">
        <f>IF($A135="","",IFERROR(VLOOKUP($A135,'04_Бизнес_модель'!$A$4:$P$203,16,FALSE),0))</f>
        <v/>
      </c>
      <c r="P135" s="6" t="str">
        <f>IF($A135="","",IFERROR(VLOOKUP($A135,'04_Бизнес_модель'!$A$4:$O$203,15,FALSE),0))</f>
        <v/>
      </c>
      <c r="Q135" s="7" t="str">
        <f t="shared" si="9"/>
        <v/>
      </c>
    </row>
    <row r="136" spans="1:17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7" t="str">
        <f t="shared" si="8"/>
        <v/>
      </c>
      <c r="O136" s="7" t="str">
        <f>IF($A136="","",IFERROR(VLOOKUP($A136,'04_Бизнес_модель'!$A$4:$P$203,16,FALSE),0))</f>
        <v/>
      </c>
      <c r="P136" s="6" t="str">
        <f>IF($A136="","",IFERROR(VLOOKUP($A136,'04_Бизнес_модель'!$A$4:$O$203,15,FALSE),0))</f>
        <v/>
      </c>
      <c r="Q136" s="7" t="str">
        <f t="shared" si="9"/>
        <v/>
      </c>
    </row>
    <row r="137" spans="1:17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7" t="str">
        <f t="shared" si="8"/>
        <v/>
      </c>
      <c r="O137" s="7" t="str">
        <f>IF($A137="","",IFERROR(VLOOKUP($A137,'04_Бизнес_модель'!$A$4:$P$203,16,FALSE),0))</f>
        <v/>
      </c>
      <c r="P137" s="6" t="str">
        <f>IF($A137="","",IFERROR(VLOOKUP($A137,'04_Бизнес_модель'!$A$4:$O$203,15,FALSE),0))</f>
        <v/>
      </c>
      <c r="Q137" s="7" t="str">
        <f t="shared" si="9"/>
        <v/>
      </c>
    </row>
    <row r="138" spans="1:17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7" t="str">
        <f t="shared" si="8"/>
        <v/>
      </c>
      <c r="O138" s="7" t="str">
        <f>IF($A138="","",IFERROR(VLOOKUP($A138,'04_Бизнес_модель'!$A$4:$P$203,16,FALSE),0))</f>
        <v/>
      </c>
      <c r="P138" s="6" t="str">
        <f>IF($A138="","",IFERROR(VLOOKUP($A138,'04_Бизнес_модель'!$A$4:$O$203,15,FALSE),0))</f>
        <v/>
      </c>
      <c r="Q138" s="7" t="str">
        <f t="shared" si="9"/>
        <v/>
      </c>
    </row>
    <row r="139" spans="1:17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7" t="str">
        <f t="shared" si="8"/>
        <v/>
      </c>
      <c r="O139" s="7" t="str">
        <f>IF($A139="","",IFERROR(VLOOKUP($A139,'04_Бизнес_модель'!$A$4:$P$203,16,FALSE),0))</f>
        <v/>
      </c>
      <c r="P139" s="6" t="str">
        <f>IF($A139="","",IFERROR(VLOOKUP($A139,'04_Бизнес_модель'!$A$4:$O$203,15,FALSE),0))</f>
        <v/>
      </c>
      <c r="Q139" s="7" t="str">
        <f t="shared" si="9"/>
        <v/>
      </c>
    </row>
    <row r="140" spans="1:17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7" t="str">
        <f t="shared" si="8"/>
        <v/>
      </c>
      <c r="O140" s="7" t="str">
        <f>IF($A140="","",IFERROR(VLOOKUP($A140,'04_Бизнес_модель'!$A$4:$P$203,16,FALSE),0))</f>
        <v/>
      </c>
      <c r="P140" s="6" t="str">
        <f>IF($A140="","",IFERROR(VLOOKUP($A140,'04_Бизнес_модель'!$A$4:$O$203,15,FALSE),0))</f>
        <v/>
      </c>
      <c r="Q140" s="7" t="str">
        <f t="shared" si="9"/>
        <v/>
      </c>
    </row>
    <row r="141" spans="1:17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7" t="str">
        <f t="shared" si="8"/>
        <v/>
      </c>
      <c r="O141" s="7" t="str">
        <f>IF($A141="","",IFERROR(VLOOKUP($A141,'04_Бизнес_модель'!$A$4:$P$203,16,FALSE),0))</f>
        <v/>
      </c>
      <c r="P141" s="6" t="str">
        <f>IF($A141="","",IFERROR(VLOOKUP($A141,'04_Бизнес_модель'!$A$4:$O$203,15,FALSE),0))</f>
        <v/>
      </c>
      <c r="Q141" s="7" t="str">
        <f t="shared" si="9"/>
        <v/>
      </c>
    </row>
    <row r="142" spans="1:17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7" t="str">
        <f t="shared" si="8"/>
        <v/>
      </c>
      <c r="O142" s="7" t="str">
        <f>IF($A142="","",IFERROR(VLOOKUP($A142,'04_Бизнес_модель'!$A$4:$P$203,16,FALSE),0))</f>
        <v/>
      </c>
      <c r="P142" s="6" t="str">
        <f>IF($A142="","",IFERROR(VLOOKUP($A142,'04_Бизнес_модель'!$A$4:$O$203,15,FALSE),0))</f>
        <v/>
      </c>
      <c r="Q142" s="7" t="str">
        <f t="shared" si="9"/>
        <v/>
      </c>
    </row>
    <row r="143" spans="1:17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7" t="str">
        <f t="shared" si="8"/>
        <v/>
      </c>
      <c r="O143" s="7" t="str">
        <f>IF($A143="","",IFERROR(VLOOKUP($A143,'04_Бизнес_модель'!$A$4:$P$203,16,FALSE),0))</f>
        <v/>
      </c>
      <c r="P143" s="6" t="str">
        <f>IF($A143="","",IFERROR(VLOOKUP($A143,'04_Бизнес_модель'!$A$4:$O$203,15,FALSE),0))</f>
        <v/>
      </c>
      <c r="Q143" s="7" t="str">
        <f t="shared" si="9"/>
        <v/>
      </c>
    </row>
    <row r="144" spans="1:17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7" t="str">
        <f t="shared" si="8"/>
        <v/>
      </c>
      <c r="O144" s="7" t="str">
        <f>IF($A144="","",IFERROR(VLOOKUP($A144,'04_Бизнес_модель'!$A$4:$P$203,16,FALSE),0))</f>
        <v/>
      </c>
      <c r="P144" s="6" t="str">
        <f>IF($A144="","",IFERROR(VLOOKUP($A144,'04_Бизнес_модель'!$A$4:$O$203,15,FALSE),0))</f>
        <v/>
      </c>
      <c r="Q144" s="7" t="str">
        <f t="shared" si="9"/>
        <v/>
      </c>
    </row>
    <row r="145" spans="1:17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7" t="str">
        <f t="shared" si="8"/>
        <v/>
      </c>
      <c r="O145" s="7" t="str">
        <f>IF($A145="","",IFERROR(VLOOKUP($A145,'04_Бизнес_модель'!$A$4:$P$203,16,FALSE),0))</f>
        <v/>
      </c>
      <c r="P145" s="6" t="str">
        <f>IF($A145="","",IFERROR(VLOOKUP($A145,'04_Бизнес_модель'!$A$4:$O$203,15,FALSE),0))</f>
        <v/>
      </c>
      <c r="Q145" s="7" t="str">
        <f t="shared" si="9"/>
        <v/>
      </c>
    </row>
    <row r="146" spans="1:17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7" t="str">
        <f t="shared" si="8"/>
        <v/>
      </c>
      <c r="O146" s="7" t="str">
        <f>IF($A146="","",IFERROR(VLOOKUP($A146,'04_Бизнес_модель'!$A$4:$P$203,16,FALSE),0))</f>
        <v/>
      </c>
      <c r="P146" s="6" t="str">
        <f>IF($A146="","",IFERROR(VLOOKUP($A146,'04_Бизнес_модель'!$A$4:$O$203,15,FALSE),0))</f>
        <v/>
      </c>
      <c r="Q146" s="7" t="str">
        <f t="shared" si="9"/>
        <v/>
      </c>
    </row>
    <row r="147" spans="1:17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7" t="str">
        <f t="shared" si="8"/>
        <v/>
      </c>
      <c r="O147" s="7" t="str">
        <f>IF($A147="","",IFERROR(VLOOKUP($A147,'04_Бизнес_модель'!$A$4:$P$203,16,FALSE),0))</f>
        <v/>
      </c>
      <c r="P147" s="6" t="str">
        <f>IF($A147="","",IFERROR(VLOOKUP($A147,'04_Бизнес_модель'!$A$4:$O$203,15,FALSE),0))</f>
        <v/>
      </c>
      <c r="Q147" s="7" t="str">
        <f t="shared" si="9"/>
        <v/>
      </c>
    </row>
    <row r="148" spans="1:17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7" t="str">
        <f t="shared" si="8"/>
        <v/>
      </c>
      <c r="O148" s="7" t="str">
        <f>IF($A148="","",IFERROR(VLOOKUP($A148,'04_Бизнес_модель'!$A$4:$P$203,16,FALSE),0))</f>
        <v/>
      </c>
      <c r="P148" s="6" t="str">
        <f>IF($A148="","",IFERROR(VLOOKUP($A148,'04_Бизнес_модель'!$A$4:$O$203,15,FALSE),0))</f>
        <v/>
      </c>
      <c r="Q148" s="7" t="str">
        <f t="shared" si="9"/>
        <v/>
      </c>
    </row>
    <row r="149" spans="1:17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7" t="str">
        <f t="shared" si="8"/>
        <v/>
      </c>
      <c r="O149" s="7" t="str">
        <f>IF($A149="","",IFERROR(VLOOKUP($A149,'04_Бизнес_модель'!$A$4:$P$203,16,FALSE),0))</f>
        <v/>
      </c>
      <c r="P149" s="6" t="str">
        <f>IF($A149="","",IFERROR(VLOOKUP($A149,'04_Бизнес_модель'!$A$4:$O$203,15,FALSE),0))</f>
        <v/>
      </c>
      <c r="Q149" s="7" t="str">
        <f t="shared" si="9"/>
        <v/>
      </c>
    </row>
    <row r="150" spans="1:17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7" t="str">
        <f t="shared" si="8"/>
        <v/>
      </c>
      <c r="O150" s="7" t="str">
        <f>IF($A150="","",IFERROR(VLOOKUP($A150,'04_Бизнес_модель'!$A$4:$P$203,16,FALSE),0))</f>
        <v/>
      </c>
      <c r="P150" s="6" t="str">
        <f>IF($A150="","",IFERROR(VLOOKUP($A150,'04_Бизнес_модель'!$A$4:$O$203,15,FALSE),0))</f>
        <v/>
      </c>
      <c r="Q150" s="7" t="str">
        <f t="shared" si="9"/>
        <v/>
      </c>
    </row>
    <row r="151" spans="1:17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7" t="str">
        <f t="shared" si="8"/>
        <v/>
      </c>
      <c r="O151" s="7" t="str">
        <f>IF($A151="","",IFERROR(VLOOKUP($A151,'04_Бизнес_модель'!$A$4:$P$203,16,FALSE),0))</f>
        <v/>
      </c>
      <c r="P151" s="6" t="str">
        <f>IF($A151="","",IFERROR(VLOOKUP($A151,'04_Бизнес_модель'!$A$4:$O$203,15,FALSE),0))</f>
        <v/>
      </c>
      <c r="Q151" s="7" t="str">
        <f t="shared" si="9"/>
        <v/>
      </c>
    </row>
    <row r="152" spans="1:17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7" t="str">
        <f t="shared" si="8"/>
        <v/>
      </c>
      <c r="O152" s="7" t="str">
        <f>IF($A152="","",IFERROR(VLOOKUP($A152,'04_Бизнес_модель'!$A$4:$P$203,16,FALSE),0))</f>
        <v/>
      </c>
      <c r="P152" s="6" t="str">
        <f>IF($A152="","",IFERROR(VLOOKUP($A152,'04_Бизнес_модель'!$A$4:$O$203,15,FALSE),0))</f>
        <v/>
      </c>
      <c r="Q152" s="7" t="str">
        <f t="shared" si="9"/>
        <v/>
      </c>
    </row>
    <row r="153" spans="1:17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7" t="str">
        <f t="shared" si="8"/>
        <v/>
      </c>
      <c r="O153" s="7" t="str">
        <f>IF($A153="","",IFERROR(VLOOKUP($A153,'04_Бизнес_модель'!$A$4:$P$203,16,FALSE),0))</f>
        <v/>
      </c>
      <c r="P153" s="6" t="str">
        <f>IF($A153="","",IFERROR(VLOOKUP($A153,'04_Бизнес_модель'!$A$4:$O$203,15,FALSE),0))</f>
        <v/>
      </c>
      <c r="Q153" s="7" t="str">
        <f t="shared" si="9"/>
        <v/>
      </c>
    </row>
    <row r="154" spans="1:17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7" t="str">
        <f t="shared" si="8"/>
        <v/>
      </c>
      <c r="O154" s="7" t="str">
        <f>IF($A154="","",IFERROR(VLOOKUP($A154,'04_Бизнес_модель'!$A$4:$P$203,16,FALSE),0))</f>
        <v/>
      </c>
      <c r="P154" s="6" t="str">
        <f>IF($A154="","",IFERROR(VLOOKUP($A154,'04_Бизнес_модель'!$A$4:$O$203,15,FALSE),0))</f>
        <v/>
      </c>
      <c r="Q154" s="7" t="str">
        <f t="shared" si="9"/>
        <v/>
      </c>
    </row>
    <row r="155" spans="1:17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7" t="str">
        <f t="shared" si="8"/>
        <v/>
      </c>
      <c r="O155" s="7" t="str">
        <f>IF($A155="","",IFERROR(VLOOKUP($A155,'04_Бизнес_модель'!$A$4:$P$203,16,FALSE),0))</f>
        <v/>
      </c>
      <c r="P155" s="6" t="str">
        <f>IF($A155="","",IFERROR(VLOOKUP($A155,'04_Бизнес_модель'!$A$4:$O$203,15,FALSE),0))</f>
        <v/>
      </c>
      <c r="Q155" s="7" t="str">
        <f t="shared" si="9"/>
        <v/>
      </c>
    </row>
    <row r="156" spans="1:17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7" t="str">
        <f t="shared" si="8"/>
        <v/>
      </c>
      <c r="O156" s="7" t="str">
        <f>IF($A156="","",IFERROR(VLOOKUP($A156,'04_Бизнес_модель'!$A$4:$P$203,16,FALSE),0))</f>
        <v/>
      </c>
      <c r="P156" s="6" t="str">
        <f>IF($A156="","",IFERROR(VLOOKUP($A156,'04_Бизнес_модель'!$A$4:$O$203,15,FALSE),0))</f>
        <v/>
      </c>
      <c r="Q156" s="7" t="str">
        <f t="shared" si="9"/>
        <v/>
      </c>
    </row>
    <row r="157" spans="1:17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7" t="str">
        <f t="shared" si="8"/>
        <v/>
      </c>
      <c r="O157" s="7" t="str">
        <f>IF($A157="","",IFERROR(VLOOKUP($A157,'04_Бизнес_модель'!$A$4:$P$203,16,FALSE),0))</f>
        <v/>
      </c>
      <c r="P157" s="6" t="str">
        <f>IF($A157="","",IFERROR(VLOOKUP($A157,'04_Бизнес_модель'!$A$4:$O$203,15,FALSE),0))</f>
        <v/>
      </c>
      <c r="Q157" s="7" t="str">
        <f t="shared" si="9"/>
        <v/>
      </c>
    </row>
    <row r="158" spans="1:17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7" t="str">
        <f t="shared" si="8"/>
        <v/>
      </c>
      <c r="O158" s="7" t="str">
        <f>IF($A158="","",IFERROR(VLOOKUP($A158,'04_Бизнес_модель'!$A$4:$P$203,16,FALSE),0))</f>
        <v/>
      </c>
      <c r="P158" s="6" t="str">
        <f>IF($A158="","",IFERROR(VLOOKUP($A158,'04_Бизнес_модель'!$A$4:$O$203,15,FALSE),0))</f>
        <v/>
      </c>
      <c r="Q158" s="7" t="str">
        <f t="shared" si="9"/>
        <v/>
      </c>
    </row>
    <row r="159" spans="1:17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7" t="str">
        <f t="shared" si="8"/>
        <v/>
      </c>
      <c r="O159" s="7" t="str">
        <f>IF($A159="","",IFERROR(VLOOKUP($A159,'04_Бизнес_модель'!$A$4:$P$203,16,FALSE),0))</f>
        <v/>
      </c>
      <c r="P159" s="6" t="str">
        <f>IF($A159="","",IFERROR(VLOOKUP($A159,'04_Бизнес_модель'!$A$4:$O$203,15,FALSE),0))</f>
        <v/>
      </c>
      <c r="Q159" s="7" t="str">
        <f t="shared" si="9"/>
        <v/>
      </c>
    </row>
    <row r="160" spans="1:17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7" t="str">
        <f t="shared" si="8"/>
        <v/>
      </c>
      <c r="O160" s="7" t="str">
        <f>IF($A160="","",IFERROR(VLOOKUP($A160,'04_Бизнес_модель'!$A$4:$P$203,16,FALSE),0))</f>
        <v/>
      </c>
      <c r="P160" s="6" t="str">
        <f>IF($A160="","",IFERROR(VLOOKUP($A160,'04_Бизнес_модель'!$A$4:$O$203,15,FALSE),0))</f>
        <v/>
      </c>
      <c r="Q160" s="7" t="str">
        <f t="shared" si="9"/>
        <v/>
      </c>
    </row>
    <row r="161" spans="1:17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7" t="str">
        <f t="shared" si="8"/>
        <v/>
      </c>
      <c r="O161" s="7" t="str">
        <f>IF($A161="","",IFERROR(VLOOKUP($A161,'04_Бизнес_модель'!$A$4:$P$203,16,FALSE),0))</f>
        <v/>
      </c>
      <c r="P161" s="6" t="str">
        <f>IF($A161="","",IFERROR(VLOOKUP($A161,'04_Бизнес_модель'!$A$4:$O$203,15,FALSE),0))</f>
        <v/>
      </c>
      <c r="Q161" s="7" t="str">
        <f t="shared" si="9"/>
        <v/>
      </c>
    </row>
    <row r="162" spans="1:17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7" t="str">
        <f t="shared" si="8"/>
        <v/>
      </c>
      <c r="O162" s="7" t="str">
        <f>IF($A162="","",IFERROR(VLOOKUP($A162,'04_Бизнес_модель'!$A$4:$P$203,16,FALSE),0))</f>
        <v/>
      </c>
      <c r="P162" s="6" t="str">
        <f>IF($A162="","",IFERROR(VLOOKUP($A162,'04_Бизнес_модель'!$A$4:$O$203,15,FALSE),0))</f>
        <v/>
      </c>
      <c r="Q162" s="7" t="str">
        <f t="shared" si="9"/>
        <v/>
      </c>
    </row>
    <row r="163" spans="1:17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7" t="str">
        <f t="shared" si="8"/>
        <v/>
      </c>
      <c r="O163" s="7" t="str">
        <f>IF($A163="","",IFERROR(VLOOKUP($A163,'04_Бизнес_модель'!$A$4:$P$203,16,FALSE),0))</f>
        <v/>
      </c>
      <c r="P163" s="6" t="str">
        <f>IF($A163="","",IFERROR(VLOOKUP($A163,'04_Бизнес_модель'!$A$4:$O$203,15,FALSE),0))</f>
        <v/>
      </c>
      <c r="Q163" s="7" t="str">
        <f t="shared" si="9"/>
        <v/>
      </c>
    </row>
    <row r="164" spans="1:17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7" t="str">
        <f t="shared" ref="N164:N195" si="10">IF($A164="","",SUMPRODUCT($C164:$M164,$C$2:$M$2)/SUM($C$2:$M$2))</f>
        <v/>
      </c>
      <c r="O164" s="7" t="str">
        <f>IF($A164="","",IFERROR(VLOOKUP($A164,'04_Бизнес_модель'!$A$4:$P$203,16,FALSE),0))</f>
        <v/>
      </c>
      <c r="P164" s="6" t="str">
        <f>IF($A164="","",IFERROR(VLOOKUP($A164,'04_Бизнес_модель'!$A$4:$O$203,15,FALSE),0))</f>
        <v/>
      </c>
      <c r="Q164" s="7" t="str">
        <f t="shared" ref="Q164:Q195" si="11">IF($A164="","",$N164*0.6+$O164*0.25+$P164*5*0.15)</f>
        <v/>
      </c>
    </row>
    <row r="165" spans="1:17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7" t="str">
        <f t="shared" si="10"/>
        <v/>
      </c>
      <c r="O165" s="7" t="str">
        <f>IF($A165="","",IFERROR(VLOOKUP($A165,'04_Бизнес_модель'!$A$4:$P$203,16,FALSE),0))</f>
        <v/>
      </c>
      <c r="P165" s="6" t="str">
        <f>IF($A165="","",IFERROR(VLOOKUP($A165,'04_Бизнес_модель'!$A$4:$O$203,15,FALSE),0))</f>
        <v/>
      </c>
      <c r="Q165" s="7" t="str">
        <f t="shared" si="11"/>
        <v/>
      </c>
    </row>
    <row r="166" spans="1:17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7" t="str">
        <f t="shared" si="10"/>
        <v/>
      </c>
      <c r="O166" s="7" t="str">
        <f>IF($A166="","",IFERROR(VLOOKUP($A166,'04_Бизнес_модель'!$A$4:$P$203,16,FALSE),0))</f>
        <v/>
      </c>
      <c r="P166" s="6" t="str">
        <f>IF($A166="","",IFERROR(VLOOKUP($A166,'04_Бизнес_модель'!$A$4:$O$203,15,FALSE),0))</f>
        <v/>
      </c>
      <c r="Q166" s="7" t="str">
        <f t="shared" si="11"/>
        <v/>
      </c>
    </row>
    <row r="167" spans="1:17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7" t="str">
        <f t="shared" si="10"/>
        <v/>
      </c>
      <c r="O167" s="7" t="str">
        <f>IF($A167="","",IFERROR(VLOOKUP($A167,'04_Бизнес_модель'!$A$4:$P$203,16,FALSE),0))</f>
        <v/>
      </c>
      <c r="P167" s="6" t="str">
        <f>IF($A167="","",IFERROR(VLOOKUP($A167,'04_Бизнес_модель'!$A$4:$O$203,15,FALSE),0))</f>
        <v/>
      </c>
      <c r="Q167" s="7" t="str">
        <f t="shared" si="11"/>
        <v/>
      </c>
    </row>
    <row r="168" spans="1:17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7" t="str">
        <f t="shared" si="10"/>
        <v/>
      </c>
      <c r="O168" s="7" t="str">
        <f>IF($A168="","",IFERROR(VLOOKUP($A168,'04_Бизнес_модель'!$A$4:$P$203,16,FALSE),0))</f>
        <v/>
      </c>
      <c r="P168" s="6" t="str">
        <f>IF($A168="","",IFERROR(VLOOKUP($A168,'04_Бизнес_модель'!$A$4:$O$203,15,FALSE),0))</f>
        <v/>
      </c>
      <c r="Q168" s="7" t="str">
        <f t="shared" si="11"/>
        <v/>
      </c>
    </row>
    <row r="169" spans="1:17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7" t="str">
        <f t="shared" si="10"/>
        <v/>
      </c>
      <c r="O169" s="7" t="str">
        <f>IF($A169="","",IFERROR(VLOOKUP($A169,'04_Бизнес_модель'!$A$4:$P$203,16,FALSE),0))</f>
        <v/>
      </c>
      <c r="P169" s="6" t="str">
        <f>IF($A169="","",IFERROR(VLOOKUP($A169,'04_Бизнес_модель'!$A$4:$O$203,15,FALSE),0))</f>
        <v/>
      </c>
      <c r="Q169" s="7" t="str">
        <f t="shared" si="11"/>
        <v/>
      </c>
    </row>
    <row r="170" spans="1:17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7" t="str">
        <f t="shared" si="10"/>
        <v/>
      </c>
      <c r="O170" s="7" t="str">
        <f>IF($A170="","",IFERROR(VLOOKUP($A170,'04_Бизнес_модель'!$A$4:$P$203,16,FALSE),0))</f>
        <v/>
      </c>
      <c r="P170" s="6" t="str">
        <f>IF($A170="","",IFERROR(VLOOKUP($A170,'04_Бизнес_модель'!$A$4:$O$203,15,FALSE),0))</f>
        <v/>
      </c>
      <c r="Q170" s="7" t="str">
        <f t="shared" si="11"/>
        <v/>
      </c>
    </row>
    <row r="171" spans="1:17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7" t="str">
        <f t="shared" si="10"/>
        <v/>
      </c>
      <c r="O171" s="7" t="str">
        <f>IF($A171="","",IFERROR(VLOOKUP($A171,'04_Бизнес_модель'!$A$4:$P$203,16,FALSE),0))</f>
        <v/>
      </c>
      <c r="P171" s="6" t="str">
        <f>IF($A171="","",IFERROR(VLOOKUP($A171,'04_Бизнес_модель'!$A$4:$O$203,15,FALSE),0))</f>
        <v/>
      </c>
      <c r="Q171" s="7" t="str">
        <f t="shared" si="11"/>
        <v/>
      </c>
    </row>
    <row r="172" spans="1:17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7" t="str">
        <f t="shared" si="10"/>
        <v/>
      </c>
      <c r="O172" s="7" t="str">
        <f>IF($A172="","",IFERROR(VLOOKUP($A172,'04_Бизнес_модель'!$A$4:$P$203,16,FALSE),0))</f>
        <v/>
      </c>
      <c r="P172" s="6" t="str">
        <f>IF($A172="","",IFERROR(VLOOKUP($A172,'04_Бизнес_модель'!$A$4:$O$203,15,FALSE),0))</f>
        <v/>
      </c>
      <c r="Q172" s="7" t="str">
        <f t="shared" si="11"/>
        <v/>
      </c>
    </row>
    <row r="173" spans="1:17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7" t="str">
        <f t="shared" si="10"/>
        <v/>
      </c>
      <c r="O173" s="7" t="str">
        <f>IF($A173="","",IFERROR(VLOOKUP($A173,'04_Бизнес_модель'!$A$4:$P$203,16,FALSE),0))</f>
        <v/>
      </c>
      <c r="P173" s="6" t="str">
        <f>IF($A173="","",IFERROR(VLOOKUP($A173,'04_Бизнес_модель'!$A$4:$O$203,15,FALSE),0))</f>
        <v/>
      </c>
      <c r="Q173" s="7" t="str">
        <f t="shared" si="11"/>
        <v/>
      </c>
    </row>
    <row r="174" spans="1:17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7" t="str">
        <f t="shared" si="10"/>
        <v/>
      </c>
      <c r="O174" s="7" t="str">
        <f>IF($A174="","",IFERROR(VLOOKUP($A174,'04_Бизнес_модель'!$A$4:$P$203,16,FALSE),0))</f>
        <v/>
      </c>
      <c r="P174" s="6" t="str">
        <f>IF($A174="","",IFERROR(VLOOKUP($A174,'04_Бизнес_модель'!$A$4:$O$203,15,FALSE),0))</f>
        <v/>
      </c>
      <c r="Q174" s="7" t="str">
        <f t="shared" si="11"/>
        <v/>
      </c>
    </row>
    <row r="175" spans="1:17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7" t="str">
        <f t="shared" si="10"/>
        <v/>
      </c>
      <c r="O175" s="7" t="str">
        <f>IF($A175="","",IFERROR(VLOOKUP($A175,'04_Бизнес_модель'!$A$4:$P$203,16,FALSE),0))</f>
        <v/>
      </c>
      <c r="P175" s="6" t="str">
        <f>IF($A175="","",IFERROR(VLOOKUP($A175,'04_Бизнес_модель'!$A$4:$O$203,15,FALSE),0))</f>
        <v/>
      </c>
      <c r="Q175" s="7" t="str">
        <f t="shared" si="11"/>
        <v/>
      </c>
    </row>
    <row r="176" spans="1:17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7" t="str">
        <f t="shared" si="10"/>
        <v/>
      </c>
      <c r="O176" s="7" t="str">
        <f>IF($A176="","",IFERROR(VLOOKUP($A176,'04_Бизнес_модель'!$A$4:$P$203,16,FALSE),0))</f>
        <v/>
      </c>
      <c r="P176" s="6" t="str">
        <f>IF($A176="","",IFERROR(VLOOKUP($A176,'04_Бизнес_модель'!$A$4:$O$203,15,FALSE),0))</f>
        <v/>
      </c>
      <c r="Q176" s="7" t="str">
        <f t="shared" si="11"/>
        <v/>
      </c>
    </row>
    <row r="177" spans="1:17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7" t="str">
        <f t="shared" si="10"/>
        <v/>
      </c>
      <c r="O177" s="7" t="str">
        <f>IF($A177="","",IFERROR(VLOOKUP($A177,'04_Бизнес_модель'!$A$4:$P$203,16,FALSE),0))</f>
        <v/>
      </c>
      <c r="P177" s="6" t="str">
        <f>IF($A177="","",IFERROR(VLOOKUP($A177,'04_Бизнес_модель'!$A$4:$O$203,15,FALSE),0))</f>
        <v/>
      </c>
      <c r="Q177" s="7" t="str">
        <f t="shared" si="11"/>
        <v/>
      </c>
    </row>
    <row r="178" spans="1:17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7" t="str">
        <f t="shared" si="10"/>
        <v/>
      </c>
      <c r="O178" s="7" t="str">
        <f>IF($A178="","",IFERROR(VLOOKUP($A178,'04_Бизнес_модель'!$A$4:$P$203,16,FALSE),0))</f>
        <v/>
      </c>
      <c r="P178" s="6" t="str">
        <f>IF($A178="","",IFERROR(VLOOKUP($A178,'04_Бизнес_модель'!$A$4:$O$203,15,FALSE),0))</f>
        <v/>
      </c>
      <c r="Q178" s="7" t="str">
        <f t="shared" si="11"/>
        <v/>
      </c>
    </row>
    <row r="179" spans="1:17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7" t="str">
        <f t="shared" si="10"/>
        <v/>
      </c>
      <c r="O179" s="7" t="str">
        <f>IF($A179="","",IFERROR(VLOOKUP($A179,'04_Бизнес_модель'!$A$4:$P$203,16,FALSE),0))</f>
        <v/>
      </c>
      <c r="P179" s="6" t="str">
        <f>IF($A179="","",IFERROR(VLOOKUP($A179,'04_Бизнес_модель'!$A$4:$O$203,15,FALSE),0))</f>
        <v/>
      </c>
      <c r="Q179" s="7" t="str">
        <f t="shared" si="11"/>
        <v/>
      </c>
    </row>
    <row r="180" spans="1:17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7" t="str">
        <f t="shared" si="10"/>
        <v/>
      </c>
      <c r="O180" s="7" t="str">
        <f>IF($A180="","",IFERROR(VLOOKUP($A180,'04_Бизнес_модель'!$A$4:$P$203,16,FALSE),0))</f>
        <v/>
      </c>
      <c r="P180" s="6" t="str">
        <f>IF($A180="","",IFERROR(VLOOKUP($A180,'04_Бизнес_модель'!$A$4:$O$203,15,FALSE),0))</f>
        <v/>
      </c>
      <c r="Q180" s="7" t="str">
        <f t="shared" si="11"/>
        <v/>
      </c>
    </row>
    <row r="181" spans="1:17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7" t="str">
        <f t="shared" si="10"/>
        <v/>
      </c>
      <c r="O181" s="7" t="str">
        <f>IF($A181="","",IFERROR(VLOOKUP($A181,'04_Бизнес_модель'!$A$4:$P$203,16,FALSE),0))</f>
        <v/>
      </c>
      <c r="P181" s="6" t="str">
        <f>IF($A181="","",IFERROR(VLOOKUP($A181,'04_Бизнес_модель'!$A$4:$O$203,15,FALSE),0))</f>
        <v/>
      </c>
      <c r="Q181" s="7" t="str">
        <f t="shared" si="11"/>
        <v/>
      </c>
    </row>
    <row r="182" spans="1:17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7" t="str">
        <f t="shared" si="10"/>
        <v/>
      </c>
      <c r="O182" s="7" t="str">
        <f>IF($A182="","",IFERROR(VLOOKUP($A182,'04_Бизнес_модель'!$A$4:$P$203,16,FALSE),0))</f>
        <v/>
      </c>
      <c r="P182" s="6" t="str">
        <f>IF($A182="","",IFERROR(VLOOKUP($A182,'04_Бизнес_модель'!$A$4:$O$203,15,FALSE),0))</f>
        <v/>
      </c>
      <c r="Q182" s="7" t="str">
        <f t="shared" si="11"/>
        <v/>
      </c>
    </row>
    <row r="183" spans="1:17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7" t="str">
        <f t="shared" si="10"/>
        <v/>
      </c>
      <c r="O183" s="7" t="str">
        <f>IF($A183="","",IFERROR(VLOOKUP($A183,'04_Бизнес_модель'!$A$4:$P$203,16,FALSE),0))</f>
        <v/>
      </c>
      <c r="P183" s="6" t="str">
        <f>IF($A183="","",IFERROR(VLOOKUP($A183,'04_Бизнес_модель'!$A$4:$O$203,15,FALSE),0))</f>
        <v/>
      </c>
      <c r="Q183" s="7" t="str">
        <f t="shared" si="11"/>
        <v/>
      </c>
    </row>
    <row r="184" spans="1:17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7" t="str">
        <f t="shared" si="10"/>
        <v/>
      </c>
      <c r="O184" s="7" t="str">
        <f>IF($A184="","",IFERROR(VLOOKUP($A184,'04_Бизнес_модель'!$A$4:$P$203,16,FALSE),0))</f>
        <v/>
      </c>
      <c r="P184" s="6" t="str">
        <f>IF($A184="","",IFERROR(VLOOKUP($A184,'04_Бизнес_модель'!$A$4:$O$203,15,FALSE),0))</f>
        <v/>
      </c>
      <c r="Q184" s="7" t="str">
        <f t="shared" si="11"/>
        <v/>
      </c>
    </row>
    <row r="185" spans="1:17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7" t="str">
        <f t="shared" si="10"/>
        <v/>
      </c>
      <c r="O185" s="7" t="str">
        <f>IF($A185="","",IFERROR(VLOOKUP($A185,'04_Бизнес_модель'!$A$4:$P$203,16,FALSE),0))</f>
        <v/>
      </c>
      <c r="P185" s="6" t="str">
        <f>IF($A185="","",IFERROR(VLOOKUP($A185,'04_Бизнес_модель'!$A$4:$O$203,15,FALSE),0))</f>
        <v/>
      </c>
      <c r="Q185" s="7" t="str">
        <f t="shared" si="11"/>
        <v/>
      </c>
    </row>
    <row r="186" spans="1:17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7" t="str">
        <f t="shared" si="10"/>
        <v/>
      </c>
      <c r="O186" s="7" t="str">
        <f>IF($A186="","",IFERROR(VLOOKUP($A186,'04_Бизнес_модель'!$A$4:$P$203,16,FALSE),0))</f>
        <v/>
      </c>
      <c r="P186" s="6" t="str">
        <f>IF($A186="","",IFERROR(VLOOKUP($A186,'04_Бизнес_модель'!$A$4:$O$203,15,FALSE),0))</f>
        <v/>
      </c>
      <c r="Q186" s="7" t="str">
        <f t="shared" si="11"/>
        <v/>
      </c>
    </row>
    <row r="187" spans="1:17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7" t="str">
        <f t="shared" si="10"/>
        <v/>
      </c>
      <c r="O187" s="7" t="str">
        <f>IF($A187="","",IFERROR(VLOOKUP($A187,'04_Бизнес_модель'!$A$4:$P$203,16,FALSE),0))</f>
        <v/>
      </c>
      <c r="P187" s="6" t="str">
        <f>IF($A187="","",IFERROR(VLOOKUP($A187,'04_Бизнес_модель'!$A$4:$O$203,15,FALSE),0))</f>
        <v/>
      </c>
      <c r="Q187" s="7" t="str">
        <f t="shared" si="11"/>
        <v/>
      </c>
    </row>
    <row r="188" spans="1:17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7" t="str">
        <f t="shared" si="10"/>
        <v/>
      </c>
      <c r="O188" s="7" t="str">
        <f>IF($A188="","",IFERROR(VLOOKUP($A188,'04_Бизнес_модель'!$A$4:$P$203,16,FALSE),0))</f>
        <v/>
      </c>
      <c r="P188" s="6" t="str">
        <f>IF($A188="","",IFERROR(VLOOKUP($A188,'04_Бизнес_модель'!$A$4:$O$203,15,FALSE),0))</f>
        <v/>
      </c>
      <c r="Q188" s="7" t="str">
        <f t="shared" si="11"/>
        <v/>
      </c>
    </row>
    <row r="189" spans="1:17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7" t="str">
        <f t="shared" si="10"/>
        <v/>
      </c>
      <c r="O189" s="7" t="str">
        <f>IF($A189="","",IFERROR(VLOOKUP($A189,'04_Бизнес_модель'!$A$4:$P$203,16,FALSE),0))</f>
        <v/>
      </c>
      <c r="P189" s="6" t="str">
        <f>IF($A189="","",IFERROR(VLOOKUP($A189,'04_Бизнес_модель'!$A$4:$O$203,15,FALSE),0))</f>
        <v/>
      </c>
      <c r="Q189" s="7" t="str">
        <f t="shared" si="11"/>
        <v/>
      </c>
    </row>
    <row r="190" spans="1:17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7" t="str">
        <f t="shared" si="10"/>
        <v/>
      </c>
      <c r="O190" s="7" t="str">
        <f>IF($A190="","",IFERROR(VLOOKUP($A190,'04_Бизнес_модель'!$A$4:$P$203,16,FALSE),0))</f>
        <v/>
      </c>
      <c r="P190" s="6" t="str">
        <f>IF($A190="","",IFERROR(VLOOKUP($A190,'04_Бизнес_модель'!$A$4:$O$203,15,FALSE),0))</f>
        <v/>
      </c>
      <c r="Q190" s="7" t="str">
        <f t="shared" si="11"/>
        <v/>
      </c>
    </row>
    <row r="191" spans="1:17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7" t="str">
        <f t="shared" si="10"/>
        <v/>
      </c>
      <c r="O191" s="7" t="str">
        <f>IF($A191="","",IFERROR(VLOOKUP($A191,'04_Бизнес_модель'!$A$4:$P$203,16,FALSE),0))</f>
        <v/>
      </c>
      <c r="P191" s="6" t="str">
        <f>IF($A191="","",IFERROR(VLOOKUP($A191,'04_Бизнес_модель'!$A$4:$O$203,15,FALSE),0))</f>
        <v/>
      </c>
      <c r="Q191" s="7" t="str">
        <f t="shared" si="11"/>
        <v/>
      </c>
    </row>
    <row r="192" spans="1:17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7" t="str">
        <f t="shared" si="10"/>
        <v/>
      </c>
      <c r="O192" s="7" t="str">
        <f>IF($A192="","",IFERROR(VLOOKUP($A192,'04_Бизнес_модель'!$A$4:$P$203,16,FALSE),0))</f>
        <v/>
      </c>
      <c r="P192" s="6" t="str">
        <f>IF($A192="","",IFERROR(VLOOKUP($A192,'04_Бизнес_модель'!$A$4:$O$203,15,FALSE),0))</f>
        <v/>
      </c>
      <c r="Q192" s="7" t="str">
        <f t="shared" si="11"/>
        <v/>
      </c>
    </row>
    <row r="193" spans="1:17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7" t="str">
        <f t="shared" si="10"/>
        <v/>
      </c>
      <c r="O193" s="7" t="str">
        <f>IF($A193="","",IFERROR(VLOOKUP($A193,'04_Бизнес_модель'!$A$4:$P$203,16,FALSE),0))</f>
        <v/>
      </c>
      <c r="P193" s="6" t="str">
        <f>IF($A193="","",IFERROR(VLOOKUP($A193,'04_Бизнес_модель'!$A$4:$O$203,15,FALSE),0))</f>
        <v/>
      </c>
      <c r="Q193" s="7" t="str">
        <f t="shared" si="11"/>
        <v/>
      </c>
    </row>
    <row r="194" spans="1:17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7" t="str">
        <f t="shared" si="10"/>
        <v/>
      </c>
      <c r="O194" s="7" t="str">
        <f>IF($A194="","",IFERROR(VLOOKUP($A194,'04_Бизнес_модель'!$A$4:$P$203,16,FALSE),0))</f>
        <v/>
      </c>
      <c r="P194" s="6" t="str">
        <f>IF($A194="","",IFERROR(VLOOKUP($A194,'04_Бизнес_модель'!$A$4:$O$203,15,FALSE),0))</f>
        <v/>
      </c>
      <c r="Q194" s="7" t="str">
        <f t="shared" si="11"/>
        <v/>
      </c>
    </row>
    <row r="195" spans="1:17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7" t="str">
        <f t="shared" si="10"/>
        <v/>
      </c>
      <c r="O195" s="7" t="str">
        <f>IF($A195="","",IFERROR(VLOOKUP($A195,'04_Бизнес_модель'!$A$4:$P$203,16,FALSE),0))</f>
        <v/>
      </c>
      <c r="P195" s="6" t="str">
        <f>IF($A195="","",IFERROR(VLOOKUP($A195,'04_Бизнес_модель'!$A$4:$O$203,15,FALSE),0))</f>
        <v/>
      </c>
      <c r="Q195" s="7" t="str">
        <f t="shared" si="11"/>
        <v/>
      </c>
    </row>
    <row r="196" spans="1:17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7" t="str">
        <f t="shared" ref="N196:N203" si="12">IF($A196="","",SUMPRODUCT($C196:$M196,$C$2:$M$2)/SUM($C$2:$M$2))</f>
        <v/>
      </c>
      <c r="O196" s="7" t="str">
        <f>IF($A196="","",IFERROR(VLOOKUP($A196,'04_Бизнес_модель'!$A$4:$P$203,16,FALSE),0))</f>
        <v/>
      </c>
      <c r="P196" s="6" t="str">
        <f>IF($A196="","",IFERROR(VLOOKUP($A196,'04_Бизнес_модель'!$A$4:$O$203,15,FALSE),0))</f>
        <v/>
      </c>
      <c r="Q196" s="7" t="str">
        <f t="shared" ref="Q196:Q203" si="13">IF($A196="","",$N196*0.6+$O196*0.25+$P196*5*0.15)</f>
        <v/>
      </c>
    </row>
    <row r="197" spans="1:17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7" t="str">
        <f t="shared" si="12"/>
        <v/>
      </c>
      <c r="O197" s="7" t="str">
        <f>IF($A197="","",IFERROR(VLOOKUP($A197,'04_Бизнес_модель'!$A$4:$P$203,16,FALSE),0))</f>
        <v/>
      </c>
      <c r="P197" s="6" t="str">
        <f>IF($A197="","",IFERROR(VLOOKUP($A197,'04_Бизнес_модель'!$A$4:$O$203,15,FALSE),0))</f>
        <v/>
      </c>
      <c r="Q197" s="7" t="str">
        <f t="shared" si="13"/>
        <v/>
      </c>
    </row>
    <row r="198" spans="1:17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7" t="str">
        <f t="shared" si="12"/>
        <v/>
      </c>
      <c r="O198" s="7" t="str">
        <f>IF($A198="","",IFERROR(VLOOKUP($A198,'04_Бизнес_модель'!$A$4:$P$203,16,FALSE),0))</f>
        <v/>
      </c>
      <c r="P198" s="6" t="str">
        <f>IF($A198="","",IFERROR(VLOOKUP($A198,'04_Бизнес_модель'!$A$4:$O$203,15,FALSE),0))</f>
        <v/>
      </c>
      <c r="Q198" s="7" t="str">
        <f t="shared" si="13"/>
        <v/>
      </c>
    </row>
    <row r="199" spans="1:17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7" t="str">
        <f t="shared" si="12"/>
        <v/>
      </c>
      <c r="O199" s="7" t="str">
        <f>IF($A199="","",IFERROR(VLOOKUP($A199,'04_Бизнес_модель'!$A$4:$P$203,16,FALSE),0))</f>
        <v/>
      </c>
      <c r="P199" s="6" t="str">
        <f>IF($A199="","",IFERROR(VLOOKUP($A199,'04_Бизнес_модель'!$A$4:$O$203,15,FALSE),0))</f>
        <v/>
      </c>
      <c r="Q199" s="7" t="str">
        <f t="shared" si="13"/>
        <v/>
      </c>
    </row>
    <row r="200" spans="1:17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7" t="str">
        <f t="shared" si="12"/>
        <v/>
      </c>
      <c r="O200" s="7" t="str">
        <f>IF($A200="","",IFERROR(VLOOKUP($A200,'04_Бизнес_модель'!$A$4:$P$203,16,FALSE),0))</f>
        <v/>
      </c>
      <c r="P200" s="6" t="str">
        <f>IF($A200="","",IFERROR(VLOOKUP($A200,'04_Бизнес_модель'!$A$4:$O$203,15,FALSE),0))</f>
        <v/>
      </c>
      <c r="Q200" s="7" t="str">
        <f t="shared" si="13"/>
        <v/>
      </c>
    </row>
    <row r="201" spans="1:17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7" t="str">
        <f t="shared" si="12"/>
        <v/>
      </c>
      <c r="O201" s="7" t="str">
        <f>IF($A201="","",IFERROR(VLOOKUP($A201,'04_Бизнес_модель'!$A$4:$P$203,16,FALSE),0))</f>
        <v/>
      </c>
      <c r="P201" s="6" t="str">
        <f>IF($A201="","",IFERROR(VLOOKUP($A201,'04_Бизнес_модель'!$A$4:$O$203,15,FALSE),0))</f>
        <v/>
      </c>
      <c r="Q201" s="7" t="str">
        <f t="shared" si="13"/>
        <v/>
      </c>
    </row>
    <row r="202" spans="1:17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7" t="str">
        <f t="shared" si="12"/>
        <v/>
      </c>
      <c r="O202" s="7" t="str">
        <f>IF($A202="","",IFERROR(VLOOKUP($A202,'04_Бизнес_модель'!$A$4:$P$203,16,FALSE),0))</f>
        <v/>
      </c>
      <c r="P202" s="6" t="str">
        <f>IF($A202="","",IFERROR(VLOOKUP($A202,'04_Бизнес_модель'!$A$4:$O$203,15,FALSE),0))</f>
        <v/>
      </c>
      <c r="Q202" s="7" t="str">
        <f t="shared" si="13"/>
        <v/>
      </c>
    </row>
    <row r="203" spans="1:17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7" t="str">
        <f t="shared" si="12"/>
        <v/>
      </c>
      <c r="O203" s="7" t="str">
        <f>IF($A203="","",IFERROR(VLOOKUP($A203,'04_Бизнес_модель'!$A$4:$P$203,16,FALSE),0))</f>
        <v/>
      </c>
      <c r="P203" s="6" t="str">
        <f>IF($A203="","",IFERROR(VLOOKUP($A203,'04_Бизнес_модель'!$A$4:$O$203,15,FALSE),0))</f>
        <v/>
      </c>
      <c r="Q203" s="7" t="str">
        <f t="shared" si="13"/>
        <v/>
      </c>
    </row>
  </sheetData>
  <mergeCells count="1">
    <mergeCell ref="A1:Q1"/>
  </mergeCells>
  <conditionalFormatting sqref="N4:Q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C4:M203" xr:uid="{00000000-0002-0000-09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3"/>
  <sheetViews>
    <sheetView workbookViewId="0"/>
  </sheetViews>
  <sheetFormatPr defaultRowHeight="14.25"/>
  <cols>
    <col min="1" max="1" width="30" customWidth="1"/>
    <col min="2" max="2" width="26" customWidth="1"/>
    <col min="3" max="3" width="42" customWidth="1"/>
    <col min="4" max="5" width="18" customWidth="1"/>
    <col min="6" max="6" width="24" customWidth="1"/>
    <col min="7" max="8" width="42" customWidth="1"/>
  </cols>
  <sheetData>
    <row r="1" spans="1:26" ht="30" customHeight="1">
      <c r="A1" s="17" t="s">
        <v>236</v>
      </c>
      <c r="B1" s="17"/>
      <c r="C1" s="17"/>
      <c r="D1" s="17"/>
      <c r="E1" s="17"/>
      <c r="F1" s="17"/>
      <c r="G1" s="17"/>
      <c r="H1" s="17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237</v>
      </c>
      <c r="B2" s="19"/>
      <c r="C2" s="19"/>
      <c r="D2" s="19"/>
      <c r="E2" s="19"/>
      <c r="F2" s="19"/>
      <c r="G2" s="19"/>
      <c r="H2" s="19"/>
    </row>
    <row r="3" spans="1:26" ht="36" customHeight="1">
      <c r="A3" s="1" t="s">
        <v>238</v>
      </c>
      <c r="B3" s="1" t="s">
        <v>239</v>
      </c>
      <c r="C3" s="1" t="s">
        <v>240</v>
      </c>
      <c r="D3" s="1" t="s">
        <v>241</v>
      </c>
      <c r="E3" s="1" t="s">
        <v>242</v>
      </c>
      <c r="F3" s="1" t="s">
        <v>243</v>
      </c>
      <c r="G3" s="1" t="s">
        <v>244</v>
      </c>
      <c r="H3" s="1" t="s">
        <v>245</v>
      </c>
    </row>
    <row r="4" spans="1:26" ht="42.75">
      <c r="A4" s="3" t="s">
        <v>724</v>
      </c>
      <c r="B4" s="3" t="s">
        <v>53</v>
      </c>
      <c r="C4" s="3" t="s">
        <v>725</v>
      </c>
      <c r="D4" s="2">
        <v>7</v>
      </c>
      <c r="E4" s="6">
        <f>IF($D4="","",IFERROR($D4/'12_Сводка'!$B$5,0))</f>
        <v>0.875</v>
      </c>
      <c r="F4" s="5" t="str">
        <f t="shared" ref="F4:F35" si="0">IF($A4="","",IF($E4&gt;=0.7,"рыночный стандарт",IF($E4&gt;=0.4,"формирующийся стандарт",IF($E4&gt;=0.2,"зона дифференциации","слабый сигнал"))))</f>
        <v>рыночный стандарт</v>
      </c>
      <c r="G4" s="5" t="str">
        <f t="shared" ref="G4:G35" si="1">IF($A4="","",IF($F4="рыночный стандарт","необходимо включить в минимально приемлемое предложение",IF($F4="формирующийся стандарт","проверить значимость для клиента и вероятность закрепления",IF($F4="зона дифференциации","может использоваться как поле позиционирования","не использовать без дополнительной проверки"))))</f>
        <v>необходимо включить в минимально приемлемое предложение</v>
      </c>
      <c r="H4" s="3" t="s">
        <v>726</v>
      </c>
    </row>
    <row r="5" spans="1:26" ht="28.5">
      <c r="A5" s="3" t="s">
        <v>727</v>
      </c>
      <c r="B5" s="3" t="s">
        <v>40</v>
      </c>
      <c r="C5" s="3" t="s">
        <v>728</v>
      </c>
      <c r="D5" s="2">
        <v>7</v>
      </c>
      <c r="E5" s="6">
        <f>IF($D5="","",IFERROR($D5/'12_Сводка'!$B$5,0))</f>
        <v>0.875</v>
      </c>
      <c r="F5" s="5" t="str">
        <f t="shared" si="0"/>
        <v>рыночный стандарт</v>
      </c>
      <c r="G5" s="5" t="str">
        <f t="shared" si="1"/>
        <v>необходимо включить в минимально приемлемое предложение</v>
      </c>
      <c r="H5" s="3" t="s">
        <v>729</v>
      </c>
    </row>
    <row r="6" spans="1:26" ht="28.5">
      <c r="A6" s="3" t="s">
        <v>730</v>
      </c>
      <c r="B6" s="3" t="s">
        <v>40</v>
      </c>
      <c r="C6" s="3" t="s">
        <v>731</v>
      </c>
      <c r="D6" s="2">
        <v>4</v>
      </c>
      <c r="E6" s="6">
        <f>IF($D6="","",IFERROR($D6/'12_Сводка'!$B$5,0))</f>
        <v>0.5</v>
      </c>
      <c r="F6" s="5" t="str">
        <f t="shared" si="0"/>
        <v>формирующийся стандарт</v>
      </c>
      <c r="G6" s="5" t="str">
        <f t="shared" si="1"/>
        <v>проверить значимость для клиента и вероятность закрепления</v>
      </c>
      <c r="H6" s="3" t="s">
        <v>732</v>
      </c>
    </row>
    <row r="7" spans="1:26">
      <c r="A7" s="3" t="s">
        <v>733</v>
      </c>
      <c r="B7" s="3" t="s">
        <v>57</v>
      </c>
      <c r="C7" s="3" t="s">
        <v>734</v>
      </c>
      <c r="D7" s="2">
        <v>4</v>
      </c>
      <c r="E7" s="6">
        <f>IF($D7="","",IFERROR($D7/'12_Сводка'!$B$5,0))</f>
        <v>0.5</v>
      </c>
      <c r="F7" s="5" t="str">
        <f t="shared" si="0"/>
        <v>формирующийся стандарт</v>
      </c>
      <c r="G7" s="5" t="str">
        <f t="shared" si="1"/>
        <v>проверить значимость для клиента и вероятность закрепления</v>
      </c>
      <c r="H7" s="3" t="s">
        <v>735</v>
      </c>
    </row>
    <row r="8" spans="1:26">
      <c r="A8" s="3" t="s">
        <v>736</v>
      </c>
      <c r="B8" s="3" t="s">
        <v>47</v>
      </c>
      <c r="C8" s="3" t="s">
        <v>737</v>
      </c>
      <c r="D8" s="2">
        <v>7</v>
      </c>
      <c r="E8" s="6">
        <f>IF($D8="","",IFERROR($D8/'12_Сводка'!$B$5,0))</f>
        <v>0.875</v>
      </c>
      <c r="F8" s="5" t="str">
        <f t="shared" si="0"/>
        <v>рыночный стандарт</v>
      </c>
      <c r="G8" s="5" t="str">
        <f t="shared" si="1"/>
        <v>необходимо включить в минимально приемлемое предложение</v>
      </c>
      <c r="H8" s="3" t="s">
        <v>738</v>
      </c>
    </row>
    <row r="9" spans="1:26" ht="28.5">
      <c r="A9" s="3" t="s">
        <v>739</v>
      </c>
      <c r="B9" s="3" t="s">
        <v>65</v>
      </c>
      <c r="C9" s="3" t="s">
        <v>740</v>
      </c>
      <c r="D9" s="2">
        <v>5</v>
      </c>
      <c r="E9" s="6">
        <f>IF($D9="","",IFERROR($D9/'12_Сводка'!$B$5,0))</f>
        <v>0.625</v>
      </c>
      <c r="F9" s="5" t="str">
        <f t="shared" si="0"/>
        <v>формирующийся стандарт</v>
      </c>
      <c r="G9" s="5" t="str">
        <f t="shared" si="1"/>
        <v>проверить значимость для клиента и вероятность закрепления</v>
      </c>
      <c r="H9" s="3" t="s">
        <v>741</v>
      </c>
    </row>
    <row r="10" spans="1:26" ht="28.5">
      <c r="A10" s="3" t="s">
        <v>742</v>
      </c>
      <c r="B10" s="3" t="s">
        <v>47</v>
      </c>
      <c r="C10" s="3" t="s">
        <v>743</v>
      </c>
      <c r="D10" s="2">
        <v>4</v>
      </c>
      <c r="E10" s="6">
        <f>IF($D10="","",IFERROR($D10/'12_Сводка'!$B$5,0))</f>
        <v>0.5</v>
      </c>
      <c r="F10" s="5" t="str">
        <f t="shared" si="0"/>
        <v>формирующийся стандарт</v>
      </c>
      <c r="G10" s="5" t="str">
        <f t="shared" si="1"/>
        <v>проверить значимость для клиента и вероятность закрепления</v>
      </c>
      <c r="H10" s="3" t="s">
        <v>735</v>
      </c>
    </row>
    <row r="11" spans="1:26">
      <c r="A11" s="3" t="s">
        <v>744</v>
      </c>
      <c r="B11" s="3" t="s">
        <v>53</v>
      </c>
      <c r="C11" s="3" t="s">
        <v>745</v>
      </c>
      <c r="D11" s="2">
        <v>3</v>
      </c>
      <c r="E11" s="6">
        <f>IF($D11="","",IFERROR($D11/'12_Сводка'!$B$5,0))</f>
        <v>0.375</v>
      </c>
      <c r="F11" s="5" t="str">
        <f t="shared" si="0"/>
        <v>зона дифференциации</v>
      </c>
      <c r="G11" s="5" t="str">
        <f t="shared" si="1"/>
        <v>может использоваться как поле позиционирования</v>
      </c>
      <c r="H11" s="3" t="s">
        <v>746</v>
      </c>
    </row>
    <row r="12" spans="1:26" ht="28.5">
      <c r="A12" s="3" t="s">
        <v>747</v>
      </c>
      <c r="B12" s="3" t="s">
        <v>53</v>
      </c>
      <c r="C12" s="3" t="s">
        <v>748</v>
      </c>
      <c r="D12" s="2">
        <v>1</v>
      </c>
      <c r="E12" s="6">
        <f>IF($D12="","",IFERROR($D12/'12_Сводка'!$B$5,0))</f>
        <v>0.125</v>
      </c>
      <c r="F12" s="5" t="str">
        <f t="shared" si="0"/>
        <v>слабый сигнал</v>
      </c>
      <c r="G12" s="5" t="str">
        <f t="shared" si="1"/>
        <v>не использовать без дополнительной проверки</v>
      </c>
      <c r="H12" s="3" t="s">
        <v>749</v>
      </c>
    </row>
    <row r="13" spans="1:26">
      <c r="A13" s="3" t="s">
        <v>750</v>
      </c>
      <c r="B13" s="3" t="s">
        <v>32</v>
      </c>
      <c r="C13" s="3" t="s">
        <v>751</v>
      </c>
      <c r="D13" s="2">
        <v>2</v>
      </c>
      <c r="E13" s="6">
        <f>IF($D13="","",IFERROR($D13/'12_Сводка'!$B$5,0))</f>
        <v>0.25</v>
      </c>
      <c r="F13" s="5" t="str">
        <f t="shared" si="0"/>
        <v>зона дифференциации</v>
      </c>
      <c r="G13" s="5" t="str">
        <f t="shared" si="1"/>
        <v>может использоваться как поле позиционирования</v>
      </c>
      <c r="H13" s="3" t="s">
        <v>752</v>
      </c>
    </row>
    <row r="14" spans="1:26" ht="28.5">
      <c r="A14" s="3" t="s">
        <v>753</v>
      </c>
      <c r="B14" s="3" t="s">
        <v>40</v>
      </c>
      <c r="C14" s="3" t="s">
        <v>754</v>
      </c>
      <c r="D14" s="2">
        <v>2</v>
      </c>
      <c r="E14" s="6">
        <f>IF($D14="","",IFERROR($D14/'12_Сводка'!$B$5,0))</f>
        <v>0.25</v>
      </c>
      <c r="F14" s="5" t="str">
        <f t="shared" si="0"/>
        <v>зона дифференциации</v>
      </c>
      <c r="G14" s="5" t="str">
        <f t="shared" si="1"/>
        <v>может использоваться как поле позиционирования</v>
      </c>
      <c r="H14" s="3" t="s">
        <v>755</v>
      </c>
    </row>
    <row r="15" spans="1:26" ht="28.5">
      <c r="A15" s="3" t="s">
        <v>756</v>
      </c>
      <c r="B15" s="3" t="s">
        <v>70</v>
      </c>
      <c r="C15" s="3" t="s">
        <v>757</v>
      </c>
      <c r="D15" s="2">
        <v>1</v>
      </c>
      <c r="E15" s="6">
        <f>IF($D15="","",IFERROR($D15/'12_Сводка'!$B$5,0))</f>
        <v>0.125</v>
      </c>
      <c r="F15" s="5" t="str">
        <f t="shared" si="0"/>
        <v>слабый сигнал</v>
      </c>
      <c r="G15" s="5" t="str">
        <f t="shared" si="1"/>
        <v>не использовать без дополнительной проверки</v>
      </c>
      <c r="H15" s="3" t="s">
        <v>758</v>
      </c>
    </row>
    <row r="16" spans="1:26">
      <c r="A16" s="3" t="s">
        <v>759</v>
      </c>
      <c r="B16" s="3" t="s">
        <v>32</v>
      </c>
      <c r="C16" s="3" t="s">
        <v>760</v>
      </c>
      <c r="D16" s="2">
        <v>1</v>
      </c>
      <c r="E16" s="6">
        <f>IF($D16="","",IFERROR($D16/'12_Сводка'!$B$5,0))</f>
        <v>0.125</v>
      </c>
      <c r="F16" s="5" t="str">
        <f t="shared" si="0"/>
        <v>слабый сигнал</v>
      </c>
      <c r="G16" s="5" t="str">
        <f t="shared" si="1"/>
        <v>не использовать без дополнительной проверки</v>
      </c>
      <c r="H16" s="3" t="s">
        <v>761</v>
      </c>
    </row>
    <row r="17" spans="1:8">
      <c r="A17" s="2"/>
      <c r="B17" s="2"/>
      <c r="C17" s="2"/>
      <c r="D17" s="2"/>
      <c r="E17" s="6" t="str">
        <f>IF($D17="","",IFERROR($D17/'12_Сводка'!$B$5,0))</f>
        <v/>
      </c>
      <c r="F17" s="5" t="str">
        <f t="shared" si="0"/>
        <v/>
      </c>
      <c r="G17" s="5" t="str">
        <f t="shared" si="1"/>
        <v/>
      </c>
      <c r="H17" s="2"/>
    </row>
    <row r="18" spans="1:8">
      <c r="A18" s="2"/>
      <c r="B18" s="2"/>
      <c r="C18" s="2"/>
      <c r="D18" s="2"/>
      <c r="E18" s="6" t="str">
        <f>IF($D18="","",IFERROR($D18/'12_Сводка'!$B$5,0))</f>
        <v/>
      </c>
      <c r="F18" s="5" t="str">
        <f t="shared" si="0"/>
        <v/>
      </c>
      <c r="G18" s="5" t="str">
        <f t="shared" si="1"/>
        <v/>
      </c>
      <c r="H18" s="2"/>
    </row>
    <row r="19" spans="1:8">
      <c r="A19" s="2"/>
      <c r="B19" s="2"/>
      <c r="C19" s="2"/>
      <c r="D19" s="2"/>
      <c r="E19" s="6" t="str">
        <f>IF($D19="","",IFERROR($D19/'12_Сводка'!$B$5,0))</f>
        <v/>
      </c>
      <c r="F19" s="5" t="str">
        <f t="shared" si="0"/>
        <v/>
      </c>
      <c r="G19" s="5" t="str">
        <f t="shared" si="1"/>
        <v/>
      </c>
      <c r="H19" s="2"/>
    </row>
    <row r="20" spans="1:8">
      <c r="A20" s="2"/>
      <c r="B20" s="2"/>
      <c r="C20" s="2"/>
      <c r="D20" s="2"/>
      <c r="E20" s="6" t="str">
        <f>IF($D20="","",IFERROR($D20/'12_Сводка'!$B$5,0))</f>
        <v/>
      </c>
      <c r="F20" s="5" t="str">
        <f t="shared" si="0"/>
        <v/>
      </c>
      <c r="G20" s="5" t="str">
        <f t="shared" si="1"/>
        <v/>
      </c>
      <c r="H20" s="2"/>
    </row>
    <row r="21" spans="1:8">
      <c r="A21" s="2"/>
      <c r="B21" s="2"/>
      <c r="C21" s="2"/>
      <c r="D21" s="2"/>
      <c r="E21" s="6" t="str">
        <f>IF($D21="","",IFERROR($D21/'12_Сводка'!$B$5,0))</f>
        <v/>
      </c>
      <c r="F21" s="5" t="str">
        <f t="shared" si="0"/>
        <v/>
      </c>
      <c r="G21" s="5" t="str">
        <f t="shared" si="1"/>
        <v/>
      </c>
      <c r="H21" s="2"/>
    </row>
    <row r="22" spans="1:8">
      <c r="A22" s="2"/>
      <c r="B22" s="2"/>
      <c r="C22" s="2"/>
      <c r="D22" s="2"/>
      <c r="E22" s="6" t="str">
        <f>IF($D22="","",IFERROR($D22/'12_Сводка'!$B$5,0))</f>
        <v/>
      </c>
      <c r="F22" s="5" t="str">
        <f t="shared" si="0"/>
        <v/>
      </c>
      <c r="G22" s="5" t="str">
        <f t="shared" si="1"/>
        <v/>
      </c>
      <c r="H22" s="2"/>
    </row>
    <row r="23" spans="1:8">
      <c r="A23" s="2"/>
      <c r="B23" s="2"/>
      <c r="C23" s="2"/>
      <c r="D23" s="2"/>
      <c r="E23" s="6" t="str">
        <f>IF($D23="","",IFERROR($D23/'12_Сводка'!$B$5,0))</f>
        <v/>
      </c>
      <c r="F23" s="5" t="str">
        <f t="shared" si="0"/>
        <v/>
      </c>
      <c r="G23" s="5" t="str">
        <f t="shared" si="1"/>
        <v/>
      </c>
      <c r="H23" s="2"/>
    </row>
    <row r="24" spans="1:8">
      <c r="A24" s="2"/>
      <c r="B24" s="2"/>
      <c r="C24" s="2"/>
      <c r="D24" s="2"/>
      <c r="E24" s="6" t="str">
        <f>IF($D24="","",IFERROR($D24/'12_Сводка'!$B$5,0))</f>
        <v/>
      </c>
      <c r="F24" s="5" t="str">
        <f t="shared" si="0"/>
        <v/>
      </c>
      <c r="G24" s="5" t="str">
        <f t="shared" si="1"/>
        <v/>
      </c>
      <c r="H24" s="2"/>
    </row>
    <row r="25" spans="1:8">
      <c r="A25" s="2"/>
      <c r="B25" s="2"/>
      <c r="C25" s="2"/>
      <c r="D25" s="2"/>
      <c r="E25" s="6" t="str">
        <f>IF($D25="","",IFERROR($D25/'12_Сводка'!$B$5,0))</f>
        <v/>
      </c>
      <c r="F25" s="5" t="str">
        <f t="shared" si="0"/>
        <v/>
      </c>
      <c r="G25" s="5" t="str">
        <f t="shared" si="1"/>
        <v/>
      </c>
      <c r="H25" s="2"/>
    </row>
    <row r="26" spans="1:8">
      <c r="A26" s="2"/>
      <c r="B26" s="2"/>
      <c r="C26" s="2"/>
      <c r="D26" s="2"/>
      <c r="E26" s="6" t="str">
        <f>IF($D26="","",IFERROR($D26/'12_Сводка'!$B$5,0))</f>
        <v/>
      </c>
      <c r="F26" s="5" t="str">
        <f t="shared" si="0"/>
        <v/>
      </c>
      <c r="G26" s="5" t="str">
        <f t="shared" si="1"/>
        <v/>
      </c>
      <c r="H26" s="2"/>
    </row>
    <row r="27" spans="1:8">
      <c r="A27" s="2"/>
      <c r="B27" s="2"/>
      <c r="C27" s="2"/>
      <c r="D27" s="2"/>
      <c r="E27" s="6" t="str">
        <f>IF($D27="","",IFERROR($D27/'12_Сводка'!$B$5,0))</f>
        <v/>
      </c>
      <c r="F27" s="5" t="str">
        <f t="shared" si="0"/>
        <v/>
      </c>
      <c r="G27" s="5" t="str">
        <f t="shared" si="1"/>
        <v/>
      </c>
      <c r="H27" s="2"/>
    </row>
    <row r="28" spans="1:8">
      <c r="A28" s="2"/>
      <c r="B28" s="2"/>
      <c r="C28" s="2"/>
      <c r="D28" s="2"/>
      <c r="E28" s="6" t="str">
        <f>IF($D28="","",IFERROR($D28/'12_Сводка'!$B$5,0))</f>
        <v/>
      </c>
      <c r="F28" s="5" t="str">
        <f t="shared" si="0"/>
        <v/>
      </c>
      <c r="G28" s="5" t="str">
        <f t="shared" si="1"/>
        <v/>
      </c>
      <c r="H28" s="2"/>
    </row>
    <row r="29" spans="1:8">
      <c r="A29" s="2"/>
      <c r="B29" s="2"/>
      <c r="C29" s="2"/>
      <c r="D29" s="2"/>
      <c r="E29" s="6" t="str">
        <f>IF($D29="","",IFERROR($D29/'12_Сводка'!$B$5,0))</f>
        <v/>
      </c>
      <c r="F29" s="5" t="str">
        <f t="shared" si="0"/>
        <v/>
      </c>
      <c r="G29" s="5" t="str">
        <f t="shared" si="1"/>
        <v/>
      </c>
      <c r="H29" s="2"/>
    </row>
    <row r="30" spans="1:8">
      <c r="A30" s="2"/>
      <c r="B30" s="2"/>
      <c r="C30" s="2"/>
      <c r="D30" s="2"/>
      <c r="E30" s="6" t="str">
        <f>IF($D30="","",IFERROR($D30/'12_Сводка'!$B$5,0))</f>
        <v/>
      </c>
      <c r="F30" s="5" t="str">
        <f t="shared" si="0"/>
        <v/>
      </c>
      <c r="G30" s="5" t="str">
        <f t="shared" si="1"/>
        <v/>
      </c>
      <c r="H30" s="2"/>
    </row>
    <row r="31" spans="1:8">
      <c r="A31" s="2"/>
      <c r="B31" s="2"/>
      <c r="C31" s="2"/>
      <c r="D31" s="2"/>
      <c r="E31" s="6" t="str">
        <f>IF($D31="","",IFERROR($D31/'12_Сводка'!$B$5,0))</f>
        <v/>
      </c>
      <c r="F31" s="5" t="str">
        <f t="shared" si="0"/>
        <v/>
      </c>
      <c r="G31" s="5" t="str">
        <f t="shared" si="1"/>
        <v/>
      </c>
      <c r="H31" s="2"/>
    </row>
    <row r="32" spans="1:8">
      <c r="A32" s="2"/>
      <c r="B32" s="2"/>
      <c r="C32" s="2"/>
      <c r="D32" s="2"/>
      <c r="E32" s="6" t="str">
        <f>IF($D32="","",IFERROR($D32/'12_Сводка'!$B$5,0))</f>
        <v/>
      </c>
      <c r="F32" s="5" t="str">
        <f t="shared" si="0"/>
        <v/>
      </c>
      <c r="G32" s="5" t="str">
        <f t="shared" si="1"/>
        <v/>
      </c>
      <c r="H32" s="2"/>
    </row>
    <row r="33" spans="1:8">
      <c r="A33" s="2"/>
      <c r="B33" s="2"/>
      <c r="C33" s="2"/>
      <c r="D33" s="2"/>
      <c r="E33" s="6" t="str">
        <f>IF($D33="","",IFERROR($D33/'12_Сводка'!$B$5,0))</f>
        <v/>
      </c>
      <c r="F33" s="5" t="str">
        <f t="shared" si="0"/>
        <v/>
      </c>
      <c r="G33" s="5" t="str">
        <f t="shared" si="1"/>
        <v/>
      </c>
      <c r="H33" s="2"/>
    </row>
    <row r="34" spans="1:8">
      <c r="A34" s="2"/>
      <c r="B34" s="2"/>
      <c r="C34" s="2"/>
      <c r="D34" s="2"/>
      <c r="E34" s="6" t="str">
        <f>IF($D34="","",IFERROR($D34/'12_Сводка'!$B$5,0))</f>
        <v/>
      </c>
      <c r="F34" s="5" t="str">
        <f t="shared" si="0"/>
        <v/>
      </c>
      <c r="G34" s="5" t="str">
        <f t="shared" si="1"/>
        <v/>
      </c>
      <c r="H34" s="2"/>
    </row>
    <row r="35" spans="1:8">
      <c r="A35" s="2"/>
      <c r="B35" s="2"/>
      <c r="C35" s="2"/>
      <c r="D35" s="2"/>
      <c r="E35" s="6" t="str">
        <f>IF($D35="","",IFERROR($D35/'12_Сводка'!$B$5,0))</f>
        <v/>
      </c>
      <c r="F35" s="5" t="str">
        <f t="shared" si="0"/>
        <v/>
      </c>
      <c r="G35" s="5" t="str">
        <f t="shared" si="1"/>
        <v/>
      </c>
      <c r="H35" s="2"/>
    </row>
    <row r="36" spans="1:8">
      <c r="A36" s="2"/>
      <c r="B36" s="2"/>
      <c r="C36" s="2"/>
      <c r="D36" s="2"/>
      <c r="E36" s="6" t="str">
        <f>IF($D36="","",IFERROR($D36/'12_Сводка'!$B$5,0))</f>
        <v/>
      </c>
      <c r="F36" s="5" t="str">
        <f t="shared" ref="F36:F67" si="2">IF($A36="","",IF($E36&gt;=0.7,"рыночный стандарт",IF($E36&gt;=0.4,"формирующийся стандарт",IF($E36&gt;=0.2,"зона дифференциации","слабый сигнал"))))</f>
        <v/>
      </c>
      <c r="G36" s="5" t="str">
        <f t="shared" ref="G36:G67" si="3">IF($A36="","",IF($F36="рыночный стандарт","необходимо включить в минимально приемлемое предложение",IF($F36="формирующийся стандарт","проверить значимость для клиента и вероятность закрепления",IF($F36="зона дифференциации","может использоваться как поле позиционирования","не использовать без дополнительной проверки"))))</f>
        <v/>
      </c>
      <c r="H36" s="2"/>
    </row>
    <row r="37" spans="1:8">
      <c r="A37" s="2"/>
      <c r="B37" s="2"/>
      <c r="C37" s="2"/>
      <c r="D37" s="2"/>
      <c r="E37" s="6" t="str">
        <f>IF($D37="","",IFERROR($D37/'12_Сводка'!$B$5,0))</f>
        <v/>
      </c>
      <c r="F37" s="5" t="str">
        <f t="shared" si="2"/>
        <v/>
      </c>
      <c r="G37" s="5" t="str">
        <f t="shared" si="3"/>
        <v/>
      </c>
      <c r="H37" s="2"/>
    </row>
    <row r="38" spans="1:8">
      <c r="A38" s="2"/>
      <c r="B38" s="2"/>
      <c r="C38" s="2"/>
      <c r="D38" s="2"/>
      <c r="E38" s="6" t="str">
        <f>IF($D38="","",IFERROR($D38/'12_Сводка'!$B$5,0))</f>
        <v/>
      </c>
      <c r="F38" s="5" t="str">
        <f t="shared" si="2"/>
        <v/>
      </c>
      <c r="G38" s="5" t="str">
        <f t="shared" si="3"/>
        <v/>
      </c>
      <c r="H38" s="2"/>
    </row>
    <row r="39" spans="1:8">
      <c r="A39" s="2"/>
      <c r="B39" s="2"/>
      <c r="C39" s="2"/>
      <c r="D39" s="2"/>
      <c r="E39" s="6" t="str">
        <f>IF($D39="","",IFERROR($D39/'12_Сводка'!$B$5,0))</f>
        <v/>
      </c>
      <c r="F39" s="5" t="str">
        <f t="shared" si="2"/>
        <v/>
      </c>
      <c r="G39" s="5" t="str">
        <f t="shared" si="3"/>
        <v/>
      </c>
      <c r="H39" s="2"/>
    </row>
    <row r="40" spans="1:8">
      <c r="A40" s="2"/>
      <c r="B40" s="2"/>
      <c r="C40" s="2"/>
      <c r="D40" s="2"/>
      <c r="E40" s="6" t="str">
        <f>IF($D40="","",IFERROR($D40/'12_Сводка'!$B$5,0))</f>
        <v/>
      </c>
      <c r="F40" s="5" t="str">
        <f t="shared" si="2"/>
        <v/>
      </c>
      <c r="G40" s="5" t="str">
        <f t="shared" si="3"/>
        <v/>
      </c>
      <c r="H40" s="2"/>
    </row>
    <row r="41" spans="1:8">
      <c r="A41" s="2"/>
      <c r="B41" s="2"/>
      <c r="C41" s="2"/>
      <c r="D41" s="2"/>
      <c r="E41" s="6" t="str">
        <f>IF($D41="","",IFERROR($D41/'12_Сводка'!$B$5,0))</f>
        <v/>
      </c>
      <c r="F41" s="5" t="str">
        <f t="shared" si="2"/>
        <v/>
      </c>
      <c r="G41" s="5" t="str">
        <f t="shared" si="3"/>
        <v/>
      </c>
      <c r="H41" s="2"/>
    </row>
    <row r="42" spans="1:8">
      <c r="A42" s="2"/>
      <c r="B42" s="2"/>
      <c r="C42" s="2"/>
      <c r="D42" s="2"/>
      <c r="E42" s="6" t="str">
        <f>IF($D42="","",IFERROR($D42/'12_Сводка'!$B$5,0))</f>
        <v/>
      </c>
      <c r="F42" s="5" t="str">
        <f t="shared" si="2"/>
        <v/>
      </c>
      <c r="G42" s="5" t="str">
        <f t="shared" si="3"/>
        <v/>
      </c>
      <c r="H42" s="2"/>
    </row>
    <row r="43" spans="1:8">
      <c r="A43" s="2"/>
      <c r="B43" s="2"/>
      <c r="C43" s="2"/>
      <c r="D43" s="2"/>
      <c r="E43" s="6" t="str">
        <f>IF($D43="","",IFERROR($D43/'12_Сводка'!$B$5,0))</f>
        <v/>
      </c>
      <c r="F43" s="5" t="str">
        <f t="shared" si="2"/>
        <v/>
      </c>
      <c r="G43" s="5" t="str">
        <f t="shared" si="3"/>
        <v/>
      </c>
      <c r="H43" s="2"/>
    </row>
    <row r="44" spans="1:8">
      <c r="A44" s="2"/>
      <c r="B44" s="2"/>
      <c r="C44" s="2"/>
      <c r="D44" s="2"/>
      <c r="E44" s="6" t="str">
        <f>IF($D44="","",IFERROR($D44/'12_Сводка'!$B$5,0))</f>
        <v/>
      </c>
      <c r="F44" s="5" t="str">
        <f t="shared" si="2"/>
        <v/>
      </c>
      <c r="G44" s="5" t="str">
        <f t="shared" si="3"/>
        <v/>
      </c>
      <c r="H44" s="2"/>
    </row>
    <row r="45" spans="1:8">
      <c r="A45" s="2"/>
      <c r="B45" s="2"/>
      <c r="C45" s="2"/>
      <c r="D45" s="2"/>
      <c r="E45" s="6" t="str">
        <f>IF($D45="","",IFERROR($D45/'12_Сводка'!$B$5,0))</f>
        <v/>
      </c>
      <c r="F45" s="5" t="str">
        <f t="shared" si="2"/>
        <v/>
      </c>
      <c r="G45" s="5" t="str">
        <f t="shared" si="3"/>
        <v/>
      </c>
      <c r="H45" s="2"/>
    </row>
    <row r="46" spans="1:8">
      <c r="A46" s="2"/>
      <c r="B46" s="2"/>
      <c r="C46" s="2"/>
      <c r="D46" s="2"/>
      <c r="E46" s="6" t="str">
        <f>IF($D46="","",IFERROR($D46/'12_Сводка'!$B$5,0))</f>
        <v/>
      </c>
      <c r="F46" s="5" t="str">
        <f t="shared" si="2"/>
        <v/>
      </c>
      <c r="G46" s="5" t="str">
        <f t="shared" si="3"/>
        <v/>
      </c>
      <c r="H46" s="2"/>
    </row>
    <row r="47" spans="1:8">
      <c r="A47" s="2"/>
      <c r="B47" s="2"/>
      <c r="C47" s="2"/>
      <c r="D47" s="2"/>
      <c r="E47" s="6" t="str">
        <f>IF($D47="","",IFERROR($D47/'12_Сводка'!$B$5,0))</f>
        <v/>
      </c>
      <c r="F47" s="5" t="str">
        <f t="shared" si="2"/>
        <v/>
      </c>
      <c r="G47" s="5" t="str">
        <f t="shared" si="3"/>
        <v/>
      </c>
      <c r="H47" s="2"/>
    </row>
    <row r="48" spans="1:8">
      <c r="A48" s="2"/>
      <c r="B48" s="2"/>
      <c r="C48" s="2"/>
      <c r="D48" s="2"/>
      <c r="E48" s="6" t="str">
        <f>IF($D48="","",IFERROR($D48/'12_Сводка'!$B$5,0))</f>
        <v/>
      </c>
      <c r="F48" s="5" t="str">
        <f t="shared" si="2"/>
        <v/>
      </c>
      <c r="G48" s="5" t="str">
        <f t="shared" si="3"/>
        <v/>
      </c>
      <c r="H48" s="2"/>
    </row>
    <row r="49" spans="1:8">
      <c r="A49" s="2"/>
      <c r="B49" s="2"/>
      <c r="C49" s="2"/>
      <c r="D49" s="2"/>
      <c r="E49" s="6" t="str">
        <f>IF($D49="","",IFERROR($D49/'12_Сводка'!$B$5,0))</f>
        <v/>
      </c>
      <c r="F49" s="5" t="str">
        <f t="shared" si="2"/>
        <v/>
      </c>
      <c r="G49" s="5" t="str">
        <f t="shared" si="3"/>
        <v/>
      </c>
      <c r="H49" s="2"/>
    </row>
    <row r="50" spans="1:8">
      <c r="A50" s="2"/>
      <c r="B50" s="2"/>
      <c r="C50" s="2"/>
      <c r="D50" s="2"/>
      <c r="E50" s="6" t="str">
        <f>IF($D50="","",IFERROR($D50/'12_Сводка'!$B$5,0))</f>
        <v/>
      </c>
      <c r="F50" s="5" t="str">
        <f t="shared" si="2"/>
        <v/>
      </c>
      <c r="G50" s="5" t="str">
        <f t="shared" si="3"/>
        <v/>
      </c>
      <c r="H50" s="2"/>
    </row>
    <row r="51" spans="1:8">
      <c r="A51" s="2"/>
      <c r="B51" s="2"/>
      <c r="C51" s="2"/>
      <c r="D51" s="2"/>
      <c r="E51" s="6" t="str">
        <f>IF($D51="","",IFERROR($D51/'12_Сводка'!$B$5,0))</f>
        <v/>
      </c>
      <c r="F51" s="5" t="str">
        <f t="shared" si="2"/>
        <v/>
      </c>
      <c r="G51" s="5" t="str">
        <f t="shared" si="3"/>
        <v/>
      </c>
      <c r="H51" s="2"/>
    </row>
    <row r="52" spans="1:8">
      <c r="A52" s="2"/>
      <c r="B52" s="2"/>
      <c r="C52" s="2"/>
      <c r="D52" s="2"/>
      <c r="E52" s="6" t="str">
        <f>IF($D52="","",IFERROR($D52/'12_Сводка'!$B$5,0))</f>
        <v/>
      </c>
      <c r="F52" s="5" t="str">
        <f t="shared" si="2"/>
        <v/>
      </c>
      <c r="G52" s="5" t="str">
        <f t="shared" si="3"/>
        <v/>
      </c>
      <c r="H52" s="2"/>
    </row>
    <row r="53" spans="1:8">
      <c r="A53" s="2"/>
      <c r="B53" s="2"/>
      <c r="C53" s="2"/>
      <c r="D53" s="2"/>
      <c r="E53" s="6" t="str">
        <f>IF($D53="","",IFERROR($D53/'12_Сводка'!$B$5,0))</f>
        <v/>
      </c>
      <c r="F53" s="5" t="str">
        <f t="shared" si="2"/>
        <v/>
      </c>
      <c r="G53" s="5" t="str">
        <f t="shared" si="3"/>
        <v/>
      </c>
      <c r="H53" s="2"/>
    </row>
    <row r="54" spans="1:8">
      <c r="A54" s="2"/>
      <c r="B54" s="2"/>
      <c r="C54" s="2"/>
      <c r="D54" s="2"/>
      <c r="E54" s="6" t="str">
        <f>IF($D54="","",IFERROR($D54/'12_Сводка'!$B$5,0))</f>
        <v/>
      </c>
      <c r="F54" s="5" t="str">
        <f t="shared" si="2"/>
        <v/>
      </c>
      <c r="G54" s="5" t="str">
        <f t="shared" si="3"/>
        <v/>
      </c>
      <c r="H54" s="2"/>
    </row>
    <row r="55" spans="1:8">
      <c r="A55" s="2"/>
      <c r="B55" s="2"/>
      <c r="C55" s="2"/>
      <c r="D55" s="2"/>
      <c r="E55" s="6" t="str">
        <f>IF($D55="","",IFERROR($D55/'12_Сводка'!$B$5,0))</f>
        <v/>
      </c>
      <c r="F55" s="5" t="str">
        <f t="shared" si="2"/>
        <v/>
      </c>
      <c r="G55" s="5" t="str">
        <f t="shared" si="3"/>
        <v/>
      </c>
      <c r="H55" s="2"/>
    </row>
    <row r="56" spans="1:8">
      <c r="A56" s="2"/>
      <c r="B56" s="2"/>
      <c r="C56" s="2"/>
      <c r="D56" s="2"/>
      <c r="E56" s="6" t="str">
        <f>IF($D56="","",IFERROR($D56/'12_Сводка'!$B$5,0))</f>
        <v/>
      </c>
      <c r="F56" s="5" t="str">
        <f t="shared" si="2"/>
        <v/>
      </c>
      <c r="G56" s="5" t="str">
        <f t="shared" si="3"/>
        <v/>
      </c>
      <c r="H56" s="2"/>
    </row>
    <row r="57" spans="1:8">
      <c r="A57" s="2"/>
      <c r="B57" s="2"/>
      <c r="C57" s="2"/>
      <c r="D57" s="2"/>
      <c r="E57" s="6" t="str">
        <f>IF($D57="","",IFERROR($D57/'12_Сводка'!$B$5,0))</f>
        <v/>
      </c>
      <c r="F57" s="5" t="str">
        <f t="shared" si="2"/>
        <v/>
      </c>
      <c r="G57" s="5" t="str">
        <f t="shared" si="3"/>
        <v/>
      </c>
      <c r="H57" s="2"/>
    </row>
    <row r="58" spans="1:8">
      <c r="A58" s="2"/>
      <c r="B58" s="2"/>
      <c r="C58" s="2"/>
      <c r="D58" s="2"/>
      <c r="E58" s="6" t="str">
        <f>IF($D58="","",IFERROR($D58/'12_Сводка'!$B$5,0))</f>
        <v/>
      </c>
      <c r="F58" s="5" t="str">
        <f t="shared" si="2"/>
        <v/>
      </c>
      <c r="G58" s="5" t="str">
        <f t="shared" si="3"/>
        <v/>
      </c>
      <c r="H58" s="2"/>
    </row>
    <row r="59" spans="1:8">
      <c r="A59" s="2"/>
      <c r="B59" s="2"/>
      <c r="C59" s="2"/>
      <c r="D59" s="2"/>
      <c r="E59" s="6" t="str">
        <f>IF($D59="","",IFERROR($D59/'12_Сводка'!$B$5,0))</f>
        <v/>
      </c>
      <c r="F59" s="5" t="str">
        <f t="shared" si="2"/>
        <v/>
      </c>
      <c r="G59" s="5" t="str">
        <f t="shared" si="3"/>
        <v/>
      </c>
      <c r="H59" s="2"/>
    </row>
    <row r="60" spans="1:8">
      <c r="A60" s="2"/>
      <c r="B60" s="2"/>
      <c r="C60" s="2"/>
      <c r="D60" s="2"/>
      <c r="E60" s="6" t="str">
        <f>IF($D60="","",IFERROR($D60/'12_Сводка'!$B$5,0))</f>
        <v/>
      </c>
      <c r="F60" s="5" t="str">
        <f t="shared" si="2"/>
        <v/>
      </c>
      <c r="G60" s="5" t="str">
        <f t="shared" si="3"/>
        <v/>
      </c>
      <c r="H60" s="2"/>
    </row>
    <row r="61" spans="1:8">
      <c r="A61" s="2"/>
      <c r="B61" s="2"/>
      <c r="C61" s="2"/>
      <c r="D61" s="2"/>
      <c r="E61" s="6" t="str">
        <f>IF($D61="","",IFERROR($D61/'12_Сводка'!$B$5,0))</f>
        <v/>
      </c>
      <c r="F61" s="5" t="str">
        <f t="shared" si="2"/>
        <v/>
      </c>
      <c r="G61" s="5" t="str">
        <f t="shared" si="3"/>
        <v/>
      </c>
      <c r="H61" s="2"/>
    </row>
    <row r="62" spans="1:8">
      <c r="A62" s="2"/>
      <c r="B62" s="2"/>
      <c r="C62" s="2"/>
      <c r="D62" s="2"/>
      <c r="E62" s="6" t="str">
        <f>IF($D62="","",IFERROR($D62/'12_Сводка'!$B$5,0))</f>
        <v/>
      </c>
      <c r="F62" s="5" t="str">
        <f t="shared" si="2"/>
        <v/>
      </c>
      <c r="G62" s="5" t="str">
        <f t="shared" si="3"/>
        <v/>
      </c>
      <c r="H62" s="2"/>
    </row>
    <row r="63" spans="1:8">
      <c r="A63" s="2"/>
      <c r="B63" s="2"/>
      <c r="C63" s="2"/>
      <c r="D63" s="2"/>
      <c r="E63" s="6" t="str">
        <f>IF($D63="","",IFERROR($D63/'12_Сводка'!$B$5,0))</f>
        <v/>
      </c>
      <c r="F63" s="5" t="str">
        <f t="shared" si="2"/>
        <v/>
      </c>
      <c r="G63" s="5" t="str">
        <f t="shared" si="3"/>
        <v/>
      </c>
      <c r="H63" s="2"/>
    </row>
    <row r="64" spans="1:8">
      <c r="A64" s="2"/>
      <c r="B64" s="2"/>
      <c r="C64" s="2"/>
      <c r="D64" s="2"/>
      <c r="E64" s="6" t="str">
        <f>IF($D64="","",IFERROR($D64/'12_Сводка'!$B$5,0))</f>
        <v/>
      </c>
      <c r="F64" s="5" t="str">
        <f t="shared" si="2"/>
        <v/>
      </c>
      <c r="G64" s="5" t="str">
        <f t="shared" si="3"/>
        <v/>
      </c>
      <c r="H64" s="2"/>
    </row>
    <row r="65" spans="1:8">
      <c r="A65" s="2"/>
      <c r="B65" s="2"/>
      <c r="C65" s="2"/>
      <c r="D65" s="2"/>
      <c r="E65" s="6" t="str">
        <f>IF($D65="","",IFERROR($D65/'12_Сводка'!$B$5,0))</f>
        <v/>
      </c>
      <c r="F65" s="5" t="str">
        <f t="shared" si="2"/>
        <v/>
      </c>
      <c r="G65" s="5" t="str">
        <f t="shared" si="3"/>
        <v/>
      </c>
      <c r="H65" s="2"/>
    </row>
    <row r="66" spans="1:8">
      <c r="A66" s="2"/>
      <c r="B66" s="2"/>
      <c r="C66" s="2"/>
      <c r="D66" s="2"/>
      <c r="E66" s="6" t="str">
        <f>IF($D66="","",IFERROR($D66/'12_Сводка'!$B$5,0))</f>
        <v/>
      </c>
      <c r="F66" s="5" t="str">
        <f t="shared" si="2"/>
        <v/>
      </c>
      <c r="G66" s="5" t="str">
        <f t="shared" si="3"/>
        <v/>
      </c>
      <c r="H66" s="2"/>
    </row>
    <row r="67" spans="1:8">
      <c r="A67" s="2"/>
      <c r="B67" s="2"/>
      <c r="C67" s="2"/>
      <c r="D67" s="2"/>
      <c r="E67" s="6" t="str">
        <f>IF($D67="","",IFERROR($D67/'12_Сводка'!$B$5,0))</f>
        <v/>
      </c>
      <c r="F67" s="5" t="str">
        <f t="shared" si="2"/>
        <v/>
      </c>
      <c r="G67" s="5" t="str">
        <f t="shared" si="3"/>
        <v/>
      </c>
      <c r="H67" s="2"/>
    </row>
    <row r="68" spans="1:8">
      <c r="A68" s="2"/>
      <c r="B68" s="2"/>
      <c r="C68" s="2"/>
      <c r="D68" s="2"/>
      <c r="E68" s="6" t="str">
        <f>IF($D68="","",IFERROR($D68/'12_Сводка'!$B$5,0))</f>
        <v/>
      </c>
      <c r="F68" s="5" t="str">
        <f t="shared" ref="F68:F99" si="4">IF($A68="","",IF($E68&gt;=0.7,"рыночный стандарт",IF($E68&gt;=0.4,"формирующийся стандарт",IF($E68&gt;=0.2,"зона дифференциации","слабый сигнал"))))</f>
        <v/>
      </c>
      <c r="G68" s="5" t="str">
        <f t="shared" ref="G68:G99" si="5">IF($A68="","",IF($F68="рыночный стандарт","необходимо включить в минимально приемлемое предложение",IF($F68="формирующийся стандарт","проверить значимость для клиента и вероятность закрепления",IF($F68="зона дифференциации","может использоваться как поле позиционирования","не использовать без дополнительной проверки"))))</f>
        <v/>
      </c>
      <c r="H68" s="2"/>
    </row>
    <row r="69" spans="1:8">
      <c r="A69" s="2"/>
      <c r="B69" s="2"/>
      <c r="C69" s="2"/>
      <c r="D69" s="2"/>
      <c r="E69" s="6" t="str">
        <f>IF($D69="","",IFERROR($D69/'12_Сводка'!$B$5,0))</f>
        <v/>
      </c>
      <c r="F69" s="5" t="str">
        <f t="shared" si="4"/>
        <v/>
      </c>
      <c r="G69" s="5" t="str">
        <f t="shared" si="5"/>
        <v/>
      </c>
      <c r="H69" s="2"/>
    </row>
    <row r="70" spans="1:8">
      <c r="A70" s="2"/>
      <c r="B70" s="2"/>
      <c r="C70" s="2"/>
      <c r="D70" s="2"/>
      <c r="E70" s="6" t="str">
        <f>IF($D70="","",IFERROR($D70/'12_Сводка'!$B$5,0))</f>
        <v/>
      </c>
      <c r="F70" s="5" t="str">
        <f t="shared" si="4"/>
        <v/>
      </c>
      <c r="G70" s="5" t="str">
        <f t="shared" si="5"/>
        <v/>
      </c>
      <c r="H70" s="2"/>
    </row>
    <row r="71" spans="1:8">
      <c r="A71" s="2"/>
      <c r="B71" s="2"/>
      <c r="C71" s="2"/>
      <c r="D71" s="2"/>
      <c r="E71" s="6" t="str">
        <f>IF($D71="","",IFERROR($D71/'12_Сводка'!$B$5,0))</f>
        <v/>
      </c>
      <c r="F71" s="5" t="str">
        <f t="shared" si="4"/>
        <v/>
      </c>
      <c r="G71" s="5" t="str">
        <f t="shared" si="5"/>
        <v/>
      </c>
      <c r="H71" s="2"/>
    </row>
    <row r="72" spans="1:8">
      <c r="A72" s="2"/>
      <c r="B72" s="2"/>
      <c r="C72" s="2"/>
      <c r="D72" s="2"/>
      <c r="E72" s="6" t="str">
        <f>IF($D72="","",IFERROR($D72/'12_Сводка'!$B$5,0))</f>
        <v/>
      </c>
      <c r="F72" s="5" t="str">
        <f t="shared" si="4"/>
        <v/>
      </c>
      <c r="G72" s="5" t="str">
        <f t="shared" si="5"/>
        <v/>
      </c>
      <c r="H72" s="2"/>
    </row>
    <row r="73" spans="1:8">
      <c r="A73" s="2"/>
      <c r="B73" s="2"/>
      <c r="C73" s="2"/>
      <c r="D73" s="2"/>
      <c r="E73" s="6" t="str">
        <f>IF($D73="","",IFERROR($D73/'12_Сводка'!$B$5,0))</f>
        <v/>
      </c>
      <c r="F73" s="5" t="str">
        <f t="shared" si="4"/>
        <v/>
      </c>
      <c r="G73" s="5" t="str">
        <f t="shared" si="5"/>
        <v/>
      </c>
      <c r="H73" s="2"/>
    </row>
    <row r="74" spans="1:8">
      <c r="A74" s="2"/>
      <c r="B74" s="2"/>
      <c r="C74" s="2"/>
      <c r="D74" s="2"/>
      <c r="E74" s="6" t="str">
        <f>IF($D74="","",IFERROR($D74/'12_Сводка'!$B$5,0))</f>
        <v/>
      </c>
      <c r="F74" s="5" t="str">
        <f t="shared" si="4"/>
        <v/>
      </c>
      <c r="G74" s="5" t="str">
        <f t="shared" si="5"/>
        <v/>
      </c>
      <c r="H74" s="2"/>
    </row>
    <row r="75" spans="1:8">
      <c r="A75" s="2"/>
      <c r="B75" s="2"/>
      <c r="C75" s="2"/>
      <c r="D75" s="2"/>
      <c r="E75" s="6" t="str">
        <f>IF($D75="","",IFERROR($D75/'12_Сводка'!$B$5,0))</f>
        <v/>
      </c>
      <c r="F75" s="5" t="str">
        <f t="shared" si="4"/>
        <v/>
      </c>
      <c r="G75" s="5" t="str">
        <f t="shared" si="5"/>
        <v/>
      </c>
      <c r="H75" s="2"/>
    </row>
    <row r="76" spans="1:8">
      <c r="A76" s="2"/>
      <c r="B76" s="2"/>
      <c r="C76" s="2"/>
      <c r="D76" s="2"/>
      <c r="E76" s="6" t="str">
        <f>IF($D76="","",IFERROR($D76/'12_Сводка'!$B$5,0))</f>
        <v/>
      </c>
      <c r="F76" s="5" t="str">
        <f t="shared" si="4"/>
        <v/>
      </c>
      <c r="G76" s="5" t="str">
        <f t="shared" si="5"/>
        <v/>
      </c>
      <c r="H76" s="2"/>
    </row>
    <row r="77" spans="1:8">
      <c r="A77" s="2"/>
      <c r="B77" s="2"/>
      <c r="C77" s="2"/>
      <c r="D77" s="2"/>
      <c r="E77" s="6" t="str">
        <f>IF($D77="","",IFERROR($D77/'12_Сводка'!$B$5,0))</f>
        <v/>
      </c>
      <c r="F77" s="5" t="str">
        <f t="shared" si="4"/>
        <v/>
      </c>
      <c r="G77" s="5" t="str">
        <f t="shared" si="5"/>
        <v/>
      </c>
      <c r="H77" s="2"/>
    </row>
    <row r="78" spans="1:8">
      <c r="A78" s="2"/>
      <c r="B78" s="2"/>
      <c r="C78" s="2"/>
      <c r="D78" s="2"/>
      <c r="E78" s="6" t="str">
        <f>IF($D78="","",IFERROR($D78/'12_Сводка'!$B$5,0))</f>
        <v/>
      </c>
      <c r="F78" s="5" t="str">
        <f t="shared" si="4"/>
        <v/>
      </c>
      <c r="G78" s="5" t="str">
        <f t="shared" si="5"/>
        <v/>
      </c>
      <c r="H78" s="2"/>
    </row>
    <row r="79" spans="1:8">
      <c r="A79" s="2"/>
      <c r="B79" s="2"/>
      <c r="C79" s="2"/>
      <c r="D79" s="2"/>
      <c r="E79" s="6" t="str">
        <f>IF($D79="","",IFERROR($D79/'12_Сводка'!$B$5,0))</f>
        <v/>
      </c>
      <c r="F79" s="5" t="str">
        <f t="shared" si="4"/>
        <v/>
      </c>
      <c r="G79" s="5" t="str">
        <f t="shared" si="5"/>
        <v/>
      </c>
      <c r="H79" s="2"/>
    </row>
    <row r="80" spans="1:8">
      <c r="A80" s="2"/>
      <c r="B80" s="2"/>
      <c r="C80" s="2"/>
      <c r="D80" s="2"/>
      <c r="E80" s="6" t="str">
        <f>IF($D80="","",IFERROR($D80/'12_Сводка'!$B$5,0))</f>
        <v/>
      </c>
      <c r="F80" s="5" t="str">
        <f t="shared" si="4"/>
        <v/>
      </c>
      <c r="G80" s="5" t="str">
        <f t="shared" si="5"/>
        <v/>
      </c>
      <c r="H80" s="2"/>
    </row>
    <row r="81" spans="1:8">
      <c r="A81" s="2"/>
      <c r="B81" s="2"/>
      <c r="C81" s="2"/>
      <c r="D81" s="2"/>
      <c r="E81" s="6" t="str">
        <f>IF($D81="","",IFERROR($D81/'12_Сводка'!$B$5,0))</f>
        <v/>
      </c>
      <c r="F81" s="5" t="str">
        <f t="shared" si="4"/>
        <v/>
      </c>
      <c r="G81" s="5" t="str">
        <f t="shared" si="5"/>
        <v/>
      </c>
      <c r="H81" s="2"/>
    </row>
    <row r="82" spans="1:8">
      <c r="A82" s="2"/>
      <c r="B82" s="2"/>
      <c r="C82" s="2"/>
      <c r="D82" s="2"/>
      <c r="E82" s="6" t="str">
        <f>IF($D82="","",IFERROR($D82/'12_Сводка'!$B$5,0))</f>
        <v/>
      </c>
      <c r="F82" s="5" t="str">
        <f t="shared" si="4"/>
        <v/>
      </c>
      <c r="G82" s="5" t="str">
        <f t="shared" si="5"/>
        <v/>
      </c>
      <c r="H82" s="2"/>
    </row>
    <row r="83" spans="1:8">
      <c r="A83" s="2"/>
      <c r="B83" s="2"/>
      <c r="C83" s="2"/>
      <c r="D83" s="2"/>
      <c r="E83" s="6" t="str">
        <f>IF($D83="","",IFERROR($D83/'12_Сводка'!$B$5,0))</f>
        <v/>
      </c>
      <c r="F83" s="5" t="str">
        <f t="shared" si="4"/>
        <v/>
      </c>
      <c r="G83" s="5" t="str">
        <f t="shared" si="5"/>
        <v/>
      </c>
      <c r="H83" s="2"/>
    </row>
    <row r="84" spans="1:8">
      <c r="A84" s="2"/>
      <c r="B84" s="2"/>
      <c r="C84" s="2"/>
      <c r="D84" s="2"/>
      <c r="E84" s="6" t="str">
        <f>IF($D84="","",IFERROR($D84/'12_Сводка'!$B$5,0))</f>
        <v/>
      </c>
      <c r="F84" s="5" t="str">
        <f t="shared" si="4"/>
        <v/>
      </c>
      <c r="G84" s="5" t="str">
        <f t="shared" si="5"/>
        <v/>
      </c>
      <c r="H84" s="2"/>
    </row>
    <row r="85" spans="1:8">
      <c r="A85" s="2"/>
      <c r="B85" s="2"/>
      <c r="C85" s="2"/>
      <c r="D85" s="2"/>
      <c r="E85" s="6" t="str">
        <f>IF($D85="","",IFERROR($D85/'12_Сводка'!$B$5,0))</f>
        <v/>
      </c>
      <c r="F85" s="5" t="str">
        <f t="shared" si="4"/>
        <v/>
      </c>
      <c r="G85" s="5" t="str">
        <f t="shared" si="5"/>
        <v/>
      </c>
      <c r="H85" s="2"/>
    </row>
    <row r="86" spans="1:8">
      <c r="A86" s="2"/>
      <c r="B86" s="2"/>
      <c r="C86" s="2"/>
      <c r="D86" s="2"/>
      <c r="E86" s="6" t="str">
        <f>IF($D86="","",IFERROR($D86/'12_Сводка'!$B$5,0))</f>
        <v/>
      </c>
      <c r="F86" s="5" t="str">
        <f t="shared" si="4"/>
        <v/>
      </c>
      <c r="G86" s="5" t="str">
        <f t="shared" si="5"/>
        <v/>
      </c>
      <c r="H86" s="2"/>
    </row>
    <row r="87" spans="1:8">
      <c r="A87" s="2"/>
      <c r="B87" s="2"/>
      <c r="C87" s="2"/>
      <c r="D87" s="2"/>
      <c r="E87" s="6" t="str">
        <f>IF($D87="","",IFERROR($D87/'12_Сводка'!$B$5,0))</f>
        <v/>
      </c>
      <c r="F87" s="5" t="str">
        <f t="shared" si="4"/>
        <v/>
      </c>
      <c r="G87" s="5" t="str">
        <f t="shared" si="5"/>
        <v/>
      </c>
      <c r="H87" s="2"/>
    </row>
    <row r="88" spans="1:8">
      <c r="A88" s="2"/>
      <c r="B88" s="2"/>
      <c r="C88" s="2"/>
      <c r="D88" s="2"/>
      <c r="E88" s="6" t="str">
        <f>IF($D88="","",IFERROR($D88/'12_Сводка'!$B$5,0))</f>
        <v/>
      </c>
      <c r="F88" s="5" t="str">
        <f t="shared" si="4"/>
        <v/>
      </c>
      <c r="G88" s="5" t="str">
        <f t="shared" si="5"/>
        <v/>
      </c>
      <c r="H88" s="2"/>
    </row>
    <row r="89" spans="1:8">
      <c r="A89" s="2"/>
      <c r="B89" s="2"/>
      <c r="C89" s="2"/>
      <c r="D89" s="2"/>
      <c r="E89" s="6" t="str">
        <f>IF($D89="","",IFERROR($D89/'12_Сводка'!$B$5,0))</f>
        <v/>
      </c>
      <c r="F89" s="5" t="str">
        <f t="shared" si="4"/>
        <v/>
      </c>
      <c r="G89" s="5" t="str">
        <f t="shared" si="5"/>
        <v/>
      </c>
      <c r="H89" s="2"/>
    </row>
    <row r="90" spans="1:8">
      <c r="A90" s="2"/>
      <c r="B90" s="2"/>
      <c r="C90" s="2"/>
      <c r="D90" s="2"/>
      <c r="E90" s="6" t="str">
        <f>IF($D90="","",IFERROR($D90/'12_Сводка'!$B$5,0))</f>
        <v/>
      </c>
      <c r="F90" s="5" t="str">
        <f t="shared" si="4"/>
        <v/>
      </c>
      <c r="G90" s="5" t="str">
        <f t="shared" si="5"/>
        <v/>
      </c>
      <c r="H90" s="2"/>
    </row>
    <row r="91" spans="1:8">
      <c r="A91" s="2"/>
      <c r="B91" s="2"/>
      <c r="C91" s="2"/>
      <c r="D91" s="2"/>
      <c r="E91" s="6" t="str">
        <f>IF($D91="","",IFERROR($D91/'12_Сводка'!$B$5,0))</f>
        <v/>
      </c>
      <c r="F91" s="5" t="str">
        <f t="shared" si="4"/>
        <v/>
      </c>
      <c r="G91" s="5" t="str">
        <f t="shared" si="5"/>
        <v/>
      </c>
      <c r="H91" s="2"/>
    </row>
    <row r="92" spans="1:8">
      <c r="A92" s="2"/>
      <c r="B92" s="2"/>
      <c r="C92" s="2"/>
      <c r="D92" s="2"/>
      <c r="E92" s="6" t="str">
        <f>IF($D92="","",IFERROR($D92/'12_Сводка'!$B$5,0))</f>
        <v/>
      </c>
      <c r="F92" s="5" t="str">
        <f t="shared" si="4"/>
        <v/>
      </c>
      <c r="G92" s="5" t="str">
        <f t="shared" si="5"/>
        <v/>
      </c>
      <c r="H92" s="2"/>
    </row>
    <row r="93" spans="1:8">
      <c r="A93" s="2"/>
      <c r="B93" s="2"/>
      <c r="C93" s="2"/>
      <c r="D93" s="2"/>
      <c r="E93" s="6" t="str">
        <f>IF($D93="","",IFERROR($D93/'12_Сводка'!$B$5,0))</f>
        <v/>
      </c>
      <c r="F93" s="5" t="str">
        <f t="shared" si="4"/>
        <v/>
      </c>
      <c r="G93" s="5" t="str">
        <f t="shared" si="5"/>
        <v/>
      </c>
      <c r="H93" s="2"/>
    </row>
    <row r="94" spans="1:8">
      <c r="A94" s="2"/>
      <c r="B94" s="2"/>
      <c r="C94" s="2"/>
      <c r="D94" s="2"/>
      <c r="E94" s="6" t="str">
        <f>IF($D94="","",IFERROR($D94/'12_Сводка'!$B$5,0))</f>
        <v/>
      </c>
      <c r="F94" s="5" t="str">
        <f t="shared" si="4"/>
        <v/>
      </c>
      <c r="G94" s="5" t="str">
        <f t="shared" si="5"/>
        <v/>
      </c>
      <c r="H94" s="2"/>
    </row>
    <row r="95" spans="1:8">
      <c r="A95" s="2"/>
      <c r="B95" s="2"/>
      <c r="C95" s="2"/>
      <c r="D95" s="2"/>
      <c r="E95" s="6" t="str">
        <f>IF($D95="","",IFERROR($D95/'12_Сводка'!$B$5,0))</f>
        <v/>
      </c>
      <c r="F95" s="5" t="str">
        <f t="shared" si="4"/>
        <v/>
      </c>
      <c r="G95" s="5" t="str">
        <f t="shared" si="5"/>
        <v/>
      </c>
      <c r="H95" s="2"/>
    </row>
    <row r="96" spans="1:8">
      <c r="A96" s="2"/>
      <c r="B96" s="2"/>
      <c r="C96" s="2"/>
      <c r="D96" s="2"/>
      <c r="E96" s="6" t="str">
        <f>IF($D96="","",IFERROR($D96/'12_Сводка'!$B$5,0))</f>
        <v/>
      </c>
      <c r="F96" s="5" t="str">
        <f t="shared" si="4"/>
        <v/>
      </c>
      <c r="G96" s="5" t="str">
        <f t="shared" si="5"/>
        <v/>
      </c>
      <c r="H96" s="2"/>
    </row>
    <row r="97" spans="1:8">
      <c r="A97" s="2"/>
      <c r="B97" s="2"/>
      <c r="C97" s="2"/>
      <c r="D97" s="2"/>
      <c r="E97" s="6" t="str">
        <f>IF($D97="","",IFERROR($D97/'12_Сводка'!$B$5,0))</f>
        <v/>
      </c>
      <c r="F97" s="5" t="str">
        <f t="shared" si="4"/>
        <v/>
      </c>
      <c r="G97" s="5" t="str">
        <f t="shared" si="5"/>
        <v/>
      </c>
      <c r="H97" s="2"/>
    </row>
    <row r="98" spans="1:8">
      <c r="A98" s="2"/>
      <c r="B98" s="2"/>
      <c r="C98" s="2"/>
      <c r="D98" s="2"/>
      <c r="E98" s="6" t="str">
        <f>IF($D98="","",IFERROR($D98/'12_Сводка'!$B$5,0))</f>
        <v/>
      </c>
      <c r="F98" s="5" t="str">
        <f t="shared" si="4"/>
        <v/>
      </c>
      <c r="G98" s="5" t="str">
        <f t="shared" si="5"/>
        <v/>
      </c>
      <c r="H98" s="2"/>
    </row>
    <row r="99" spans="1:8">
      <c r="A99" s="2"/>
      <c r="B99" s="2"/>
      <c r="C99" s="2"/>
      <c r="D99" s="2"/>
      <c r="E99" s="6" t="str">
        <f>IF($D99="","",IFERROR($D99/'12_Сводка'!$B$5,0))</f>
        <v/>
      </c>
      <c r="F99" s="5" t="str">
        <f t="shared" si="4"/>
        <v/>
      </c>
      <c r="G99" s="5" t="str">
        <f t="shared" si="5"/>
        <v/>
      </c>
      <c r="H99" s="2"/>
    </row>
    <row r="100" spans="1:8">
      <c r="A100" s="2"/>
      <c r="B100" s="2"/>
      <c r="C100" s="2"/>
      <c r="D100" s="2"/>
      <c r="E100" s="6" t="str">
        <f>IF($D100="","",IFERROR($D100/'12_Сводка'!$B$5,0))</f>
        <v/>
      </c>
      <c r="F100" s="5" t="str">
        <f t="shared" ref="F100:F131" si="6">IF($A100="","",IF($E100&gt;=0.7,"рыночный стандарт",IF($E100&gt;=0.4,"формирующийся стандарт",IF($E100&gt;=0.2,"зона дифференциации","слабый сигнал"))))</f>
        <v/>
      </c>
      <c r="G100" s="5" t="str">
        <f t="shared" ref="G100:G131" si="7">IF($A100="","",IF($F100="рыночный стандарт","необходимо включить в минимально приемлемое предложение",IF($F100="формирующийся стандарт","проверить значимость для клиента и вероятность закрепления",IF($F100="зона дифференциации","может использоваться как поле позиционирования","не использовать без дополнительной проверки"))))</f>
        <v/>
      </c>
      <c r="H100" s="2"/>
    </row>
    <row r="101" spans="1:8">
      <c r="A101" s="2"/>
      <c r="B101" s="2"/>
      <c r="C101" s="2"/>
      <c r="D101" s="2"/>
      <c r="E101" s="6" t="str">
        <f>IF($D101="","",IFERROR($D101/'12_Сводка'!$B$5,0))</f>
        <v/>
      </c>
      <c r="F101" s="5" t="str">
        <f t="shared" si="6"/>
        <v/>
      </c>
      <c r="G101" s="5" t="str">
        <f t="shared" si="7"/>
        <v/>
      </c>
      <c r="H101" s="2"/>
    </row>
    <row r="102" spans="1:8">
      <c r="A102" s="2"/>
      <c r="B102" s="2"/>
      <c r="C102" s="2"/>
      <c r="D102" s="2"/>
      <c r="E102" s="6" t="str">
        <f>IF($D102="","",IFERROR($D102/'12_Сводка'!$B$5,0))</f>
        <v/>
      </c>
      <c r="F102" s="5" t="str">
        <f t="shared" si="6"/>
        <v/>
      </c>
      <c r="G102" s="5" t="str">
        <f t="shared" si="7"/>
        <v/>
      </c>
      <c r="H102" s="2"/>
    </row>
    <row r="103" spans="1:8">
      <c r="A103" s="2"/>
      <c r="B103" s="2"/>
      <c r="C103" s="2"/>
      <c r="D103" s="2"/>
      <c r="E103" s="6" t="str">
        <f>IF($D103="","",IFERROR($D103/'12_Сводка'!$B$5,0))</f>
        <v/>
      </c>
      <c r="F103" s="5" t="str">
        <f t="shared" si="6"/>
        <v/>
      </c>
      <c r="G103" s="5" t="str">
        <f t="shared" si="7"/>
        <v/>
      </c>
      <c r="H103" s="2"/>
    </row>
    <row r="104" spans="1:8">
      <c r="A104" s="2"/>
      <c r="B104" s="2"/>
      <c r="C104" s="2"/>
      <c r="D104" s="2"/>
      <c r="E104" s="6" t="str">
        <f>IF($D104="","",IFERROR($D104/'12_Сводка'!$B$5,0))</f>
        <v/>
      </c>
      <c r="F104" s="5" t="str">
        <f t="shared" si="6"/>
        <v/>
      </c>
      <c r="G104" s="5" t="str">
        <f t="shared" si="7"/>
        <v/>
      </c>
      <c r="H104" s="2"/>
    </row>
    <row r="105" spans="1:8">
      <c r="A105" s="2"/>
      <c r="B105" s="2"/>
      <c r="C105" s="2"/>
      <c r="D105" s="2"/>
      <c r="E105" s="6" t="str">
        <f>IF($D105="","",IFERROR($D105/'12_Сводка'!$B$5,0))</f>
        <v/>
      </c>
      <c r="F105" s="5" t="str">
        <f t="shared" si="6"/>
        <v/>
      </c>
      <c r="G105" s="5" t="str">
        <f t="shared" si="7"/>
        <v/>
      </c>
      <c r="H105" s="2"/>
    </row>
    <row r="106" spans="1:8">
      <c r="A106" s="2"/>
      <c r="B106" s="2"/>
      <c r="C106" s="2"/>
      <c r="D106" s="2"/>
      <c r="E106" s="6" t="str">
        <f>IF($D106="","",IFERROR($D106/'12_Сводка'!$B$5,0))</f>
        <v/>
      </c>
      <c r="F106" s="5" t="str">
        <f t="shared" si="6"/>
        <v/>
      </c>
      <c r="G106" s="5" t="str">
        <f t="shared" si="7"/>
        <v/>
      </c>
      <c r="H106" s="2"/>
    </row>
    <row r="107" spans="1:8">
      <c r="A107" s="2"/>
      <c r="B107" s="2"/>
      <c r="C107" s="2"/>
      <c r="D107" s="2"/>
      <c r="E107" s="6" t="str">
        <f>IF($D107="","",IFERROR($D107/'12_Сводка'!$B$5,0))</f>
        <v/>
      </c>
      <c r="F107" s="5" t="str">
        <f t="shared" si="6"/>
        <v/>
      </c>
      <c r="G107" s="5" t="str">
        <f t="shared" si="7"/>
        <v/>
      </c>
      <c r="H107" s="2"/>
    </row>
    <row r="108" spans="1:8">
      <c r="A108" s="2"/>
      <c r="B108" s="2"/>
      <c r="C108" s="2"/>
      <c r="D108" s="2"/>
      <c r="E108" s="6" t="str">
        <f>IF($D108="","",IFERROR($D108/'12_Сводка'!$B$5,0))</f>
        <v/>
      </c>
      <c r="F108" s="5" t="str">
        <f t="shared" si="6"/>
        <v/>
      </c>
      <c r="G108" s="5" t="str">
        <f t="shared" si="7"/>
        <v/>
      </c>
      <c r="H108" s="2"/>
    </row>
    <row r="109" spans="1:8">
      <c r="A109" s="2"/>
      <c r="B109" s="2"/>
      <c r="C109" s="2"/>
      <c r="D109" s="2"/>
      <c r="E109" s="6" t="str">
        <f>IF($D109="","",IFERROR($D109/'12_Сводка'!$B$5,0))</f>
        <v/>
      </c>
      <c r="F109" s="5" t="str">
        <f t="shared" si="6"/>
        <v/>
      </c>
      <c r="G109" s="5" t="str">
        <f t="shared" si="7"/>
        <v/>
      </c>
      <c r="H109" s="2"/>
    </row>
    <row r="110" spans="1:8">
      <c r="A110" s="2"/>
      <c r="B110" s="2"/>
      <c r="C110" s="2"/>
      <c r="D110" s="2"/>
      <c r="E110" s="6" t="str">
        <f>IF($D110="","",IFERROR($D110/'12_Сводка'!$B$5,0))</f>
        <v/>
      </c>
      <c r="F110" s="5" t="str">
        <f t="shared" si="6"/>
        <v/>
      </c>
      <c r="G110" s="5" t="str">
        <f t="shared" si="7"/>
        <v/>
      </c>
      <c r="H110" s="2"/>
    </row>
    <row r="111" spans="1:8">
      <c r="A111" s="2"/>
      <c r="B111" s="2"/>
      <c r="C111" s="2"/>
      <c r="D111" s="2"/>
      <c r="E111" s="6" t="str">
        <f>IF($D111="","",IFERROR($D111/'12_Сводка'!$B$5,0))</f>
        <v/>
      </c>
      <c r="F111" s="5" t="str">
        <f t="shared" si="6"/>
        <v/>
      </c>
      <c r="G111" s="5" t="str">
        <f t="shared" si="7"/>
        <v/>
      </c>
      <c r="H111" s="2"/>
    </row>
    <row r="112" spans="1:8">
      <c r="A112" s="2"/>
      <c r="B112" s="2"/>
      <c r="C112" s="2"/>
      <c r="D112" s="2"/>
      <c r="E112" s="6" t="str">
        <f>IF($D112="","",IFERROR($D112/'12_Сводка'!$B$5,0))</f>
        <v/>
      </c>
      <c r="F112" s="5" t="str">
        <f t="shared" si="6"/>
        <v/>
      </c>
      <c r="G112" s="5" t="str">
        <f t="shared" si="7"/>
        <v/>
      </c>
      <c r="H112" s="2"/>
    </row>
    <row r="113" spans="1:8">
      <c r="A113" s="2"/>
      <c r="B113" s="2"/>
      <c r="C113" s="2"/>
      <c r="D113" s="2"/>
      <c r="E113" s="6" t="str">
        <f>IF($D113="","",IFERROR($D113/'12_Сводка'!$B$5,0))</f>
        <v/>
      </c>
      <c r="F113" s="5" t="str">
        <f t="shared" si="6"/>
        <v/>
      </c>
      <c r="G113" s="5" t="str">
        <f t="shared" si="7"/>
        <v/>
      </c>
      <c r="H113" s="2"/>
    </row>
    <row r="114" spans="1:8">
      <c r="A114" s="2"/>
      <c r="B114" s="2"/>
      <c r="C114" s="2"/>
      <c r="D114" s="2"/>
      <c r="E114" s="6" t="str">
        <f>IF($D114="","",IFERROR($D114/'12_Сводка'!$B$5,0))</f>
        <v/>
      </c>
      <c r="F114" s="5" t="str">
        <f t="shared" si="6"/>
        <v/>
      </c>
      <c r="G114" s="5" t="str">
        <f t="shared" si="7"/>
        <v/>
      </c>
      <c r="H114" s="2"/>
    </row>
    <row r="115" spans="1:8">
      <c r="A115" s="2"/>
      <c r="B115" s="2"/>
      <c r="C115" s="2"/>
      <c r="D115" s="2"/>
      <c r="E115" s="6" t="str">
        <f>IF($D115="","",IFERROR($D115/'12_Сводка'!$B$5,0))</f>
        <v/>
      </c>
      <c r="F115" s="5" t="str">
        <f t="shared" si="6"/>
        <v/>
      </c>
      <c r="G115" s="5" t="str">
        <f t="shared" si="7"/>
        <v/>
      </c>
      <c r="H115" s="2"/>
    </row>
    <row r="116" spans="1:8">
      <c r="A116" s="2"/>
      <c r="B116" s="2"/>
      <c r="C116" s="2"/>
      <c r="D116" s="2"/>
      <c r="E116" s="6" t="str">
        <f>IF($D116="","",IFERROR($D116/'12_Сводка'!$B$5,0))</f>
        <v/>
      </c>
      <c r="F116" s="5" t="str">
        <f t="shared" si="6"/>
        <v/>
      </c>
      <c r="G116" s="5" t="str">
        <f t="shared" si="7"/>
        <v/>
      </c>
      <c r="H116" s="2"/>
    </row>
    <row r="117" spans="1:8">
      <c r="A117" s="2"/>
      <c r="B117" s="2"/>
      <c r="C117" s="2"/>
      <c r="D117" s="2"/>
      <c r="E117" s="6" t="str">
        <f>IF($D117="","",IFERROR($D117/'12_Сводка'!$B$5,0))</f>
        <v/>
      </c>
      <c r="F117" s="5" t="str">
        <f t="shared" si="6"/>
        <v/>
      </c>
      <c r="G117" s="5" t="str">
        <f t="shared" si="7"/>
        <v/>
      </c>
      <c r="H117" s="2"/>
    </row>
    <row r="118" spans="1:8">
      <c r="A118" s="2"/>
      <c r="B118" s="2"/>
      <c r="C118" s="2"/>
      <c r="D118" s="2"/>
      <c r="E118" s="6" t="str">
        <f>IF($D118="","",IFERROR($D118/'12_Сводка'!$B$5,0))</f>
        <v/>
      </c>
      <c r="F118" s="5" t="str">
        <f t="shared" si="6"/>
        <v/>
      </c>
      <c r="G118" s="5" t="str">
        <f t="shared" si="7"/>
        <v/>
      </c>
      <c r="H118" s="2"/>
    </row>
    <row r="119" spans="1:8">
      <c r="A119" s="2"/>
      <c r="B119" s="2"/>
      <c r="C119" s="2"/>
      <c r="D119" s="2"/>
      <c r="E119" s="6" t="str">
        <f>IF($D119="","",IFERROR($D119/'12_Сводка'!$B$5,0))</f>
        <v/>
      </c>
      <c r="F119" s="5" t="str">
        <f t="shared" si="6"/>
        <v/>
      </c>
      <c r="G119" s="5" t="str">
        <f t="shared" si="7"/>
        <v/>
      </c>
      <c r="H119" s="2"/>
    </row>
    <row r="120" spans="1:8">
      <c r="A120" s="2"/>
      <c r="B120" s="2"/>
      <c r="C120" s="2"/>
      <c r="D120" s="2"/>
      <c r="E120" s="6" t="str">
        <f>IF($D120="","",IFERROR($D120/'12_Сводка'!$B$5,0))</f>
        <v/>
      </c>
      <c r="F120" s="5" t="str">
        <f t="shared" si="6"/>
        <v/>
      </c>
      <c r="G120" s="5" t="str">
        <f t="shared" si="7"/>
        <v/>
      </c>
      <c r="H120" s="2"/>
    </row>
    <row r="121" spans="1:8">
      <c r="A121" s="2"/>
      <c r="B121" s="2"/>
      <c r="C121" s="2"/>
      <c r="D121" s="2"/>
      <c r="E121" s="6" t="str">
        <f>IF($D121="","",IFERROR($D121/'12_Сводка'!$B$5,0))</f>
        <v/>
      </c>
      <c r="F121" s="5" t="str">
        <f t="shared" si="6"/>
        <v/>
      </c>
      <c r="G121" s="5" t="str">
        <f t="shared" si="7"/>
        <v/>
      </c>
      <c r="H121" s="2"/>
    </row>
    <row r="122" spans="1:8">
      <c r="A122" s="2"/>
      <c r="B122" s="2"/>
      <c r="C122" s="2"/>
      <c r="D122" s="2"/>
      <c r="E122" s="6" t="str">
        <f>IF($D122="","",IFERROR($D122/'12_Сводка'!$B$5,0))</f>
        <v/>
      </c>
      <c r="F122" s="5" t="str">
        <f t="shared" si="6"/>
        <v/>
      </c>
      <c r="G122" s="5" t="str">
        <f t="shared" si="7"/>
        <v/>
      </c>
      <c r="H122" s="2"/>
    </row>
    <row r="123" spans="1:8">
      <c r="A123" s="2"/>
      <c r="B123" s="2"/>
      <c r="C123" s="2"/>
      <c r="D123" s="2"/>
      <c r="E123" s="6" t="str">
        <f>IF($D123="","",IFERROR($D123/'12_Сводка'!$B$5,0))</f>
        <v/>
      </c>
      <c r="F123" s="5" t="str">
        <f t="shared" si="6"/>
        <v/>
      </c>
      <c r="G123" s="5" t="str">
        <f t="shared" si="7"/>
        <v/>
      </c>
      <c r="H123" s="2"/>
    </row>
    <row r="124" spans="1:8">
      <c r="A124" s="2"/>
      <c r="B124" s="2"/>
      <c r="C124" s="2"/>
      <c r="D124" s="2"/>
      <c r="E124" s="6" t="str">
        <f>IF($D124="","",IFERROR($D124/'12_Сводка'!$B$5,0))</f>
        <v/>
      </c>
      <c r="F124" s="5" t="str">
        <f t="shared" si="6"/>
        <v/>
      </c>
      <c r="G124" s="5" t="str">
        <f t="shared" si="7"/>
        <v/>
      </c>
      <c r="H124" s="2"/>
    </row>
    <row r="125" spans="1:8">
      <c r="A125" s="2"/>
      <c r="B125" s="2"/>
      <c r="C125" s="2"/>
      <c r="D125" s="2"/>
      <c r="E125" s="6" t="str">
        <f>IF($D125="","",IFERROR($D125/'12_Сводка'!$B$5,0))</f>
        <v/>
      </c>
      <c r="F125" s="5" t="str">
        <f t="shared" si="6"/>
        <v/>
      </c>
      <c r="G125" s="5" t="str">
        <f t="shared" si="7"/>
        <v/>
      </c>
      <c r="H125" s="2"/>
    </row>
    <row r="126" spans="1:8">
      <c r="A126" s="2"/>
      <c r="B126" s="2"/>
      <c r="C126" s="2"/>
      <c r="D126" s="2"/>
      <c r="E126" s="6" t="str">
        <f>IF($D126="","",IFERROR($D126/'12_Сводка'!$B$5,0))</f>
        <v/>
      </c>
      <c r="F126" s="5" t="str">
        <f t="shared" si="6"/>
        <v/>
      </c>
      <c r="G126" s="5" t="str">
        <f t="shared" si="7"/>
        <v/>
      </c>
      <c r="H126" s="2"/>
    </row>
    <row r="127" spans="1:8">
      <c r="A127" s="2"/>
      <c r="B127" s="2"/>
      <c r="C127" s="2"/>
      <c r="D127" s="2"/>
      <c r="E127" s="6" t="str">
        <f>IF($D127="","",IFERROR($D127/'12_Сводка'!$B$5,0))</f>
        <v/>
      </c>
      <c r="F127" s="5" t="str">
        <f t="shared" si="6"/>
        <v/>
      </c>
      <c r="G127" s="5" t="str">
        <f t="shared" si="7"/>
        <v/>
      </c>
      <c r="H127" s="2"/>
    </row>
    <row r="128" spans="1:8">
      <c r="A128" s="2"/>
      <c r="B128" s="2"/>
      <c r="C128" s="2"/>
      <c r="D128" s="2"/>
      <c r="E128" s="6" t="str">
        <f>IF($D128="","",IFERROR($D128/'12_Сводка'!$B$5,0))</f>
        <v/>
      </c>
      <c r="F128" s="5" t="str">
        <f t="shared" si="6"/>
        <v/>
      </c>
      <c r="G128" s="5" t="str">
        <f t="shared" si="7"/>
        <v/>
      </c>
      <c r="H128" s="2"/>
    </row>
    <row r="129" spans="1:8">
      <c r="A129" s="2"/>
      <c r="B129" s="2"/>
      <c r="C129" s="2"/>
      <c r="D129" s="2"/>
      <c r="E129" s="6" t="str">
        <f>IF($D129="","",IFERROR($D129/'12_Сводка'!$B$5,0))</f>
        <v/>
      </c>
      <c r="F129" s="5" t="str">
        <f t="shared" si="6"/>
        <v/>
      </c>
      <c r="G129" s="5" t="str">
        <f t="shared" si="7"/>
        <v/>
      </c>
      <c r="H129" s="2"/>
    </row>
    <row r="130" spans="1:8">
      <c r="A130" s="2"/>
      <c r="B130" s="2"/>
      <c r="C130" s="2"/>
      <c r="D130" s="2"/>
      <c r="E130" s="6" t="str">
        <f>IF($D130="","",IFERROR($D130/'12_Сводка'!$B$5,0))</f>
        <v/>
      </c>
      <c r="F130" s="5" t="str">
        <f t="shared" si="6"/>
        <v/>
      </c>
      <c r="G130" s="5" t="str">
        <f t="shared" si="7"/>
        <v/>
      </c>
      <c r="H130" s="2"/>
    </row>
    <row r="131" spans="1:8">
      <c r="A131" s="2"/>
      <c r="B131" s="2"/>
      <c r="C131" s="2"/>
      <c r="D131" s="2"/>
      <c r="E131" s="6" t="str">
        <f>IF($D131="","",IFERROR($D131/'12_Сводка'!$B$5,0))</f>
        <v/>
      </c>
      <c r="F131" s="5" t="str">
        <f t="shared" si="6"/>
        <v/>
      </c>
      <c r="G131" s="5" t="str">
        <f t="shared" si="7"/>
        <v/>
      </c>
      <c r="H131" s="2"/>
    </row>
    <row r="132" spans="1:8">
      <c r="A132" s="2"/>
      <c r="B132" s="2"/>
      <c r="C132" s="2"/>
      <c r="D132" s="2"/>
      <c r="E132" s="6" t="str">
        <f>IF($D132="","",IFERROR($D132/'12_Сводка'!$B$5,0))</f>
        <v/>
      </c>
      <c r="F132" s="5" t="str">
        <f t="shared" ref="F132:F163" si="8">IF($A132="","",IF($E132&gt;=0.7,"рыночный стандарт",IF($E132&gt;=0.4,"формирующийся стандарт",IF($E132&gt;=0.2,"зона дифференциации","слабый сигнал"))))</f>
        <v/>
      </c>
      <c r="G132" s="5" t="str">
        <f t="shared" ref="G132:G163" si="9">IF($A132="","",IF($F132="рыночный стандарт","необходимо включить в минимально приемлемое предложение",IF($F132="формирующийся стандарт","проверить значимость для клиента и вероятность закрепления",IF($F132="зона дифференциации","может использоваться как поле позиционирования","не использовать без дополнительной проверки"))))</f>
        <v/>
      </c>
      <c r="H132" s="2"/>
    </row>
    <row r="133" spans="1:8">
      <c r="A133" s="2"/>
      <c r="B133" s="2"/>
      <c r="C133" s="2"/>
      <c r="D133" s="2"/>
      <c r="E133" s="6" t="str">
        <f>IF($D133="","",IFERROR($D133/'12_Сводка'!$B$5,0))</f>
        <v/>
      </c>
      <c r="F133" s="5" t="str">
        <f t="shared" si="8"/>
        <v/>
      </c>
      <c r="G133" s="5" t="str">
        <f t="shared" si="9"/>
        <v/>
      </c>
      <c r="H133" s="2"/>
    </row>
    <row r="134" spans="1:8">
      <c r="A134" s="2"/>
      <c r="B134" s="2"/>
      <c r="C134" s="2"/>
      <c r="D134" s="2"/>
      <c r="E134" s="6" t="str">
        <f>IF($D134="","",IFERROR($D134/'12_Сводка'!$B$5,0))</f>
        <v/>
      </c>
      <c r="F134" s="5" t="str">
        <f t="shared" si="8"/>
        <v/>
      </c>
      <c r="G134" s="5" t="str">
        <f t="shared" si="9"/>
        <v/>
      </c>
      <c r="H134" s="2"/>
    </row>
    <row r="135" spans="1:8">
      <c r="A135" s="2"/>
      <c r="B135" s="2"/>
      <c r="C135" s="2"/>
      <c r="D135" s="2"/>
      <c r="E135" s="6" t="str">
        <f>IF($D135="","",IFERROR($D135/'12_Сводка'!$B$5,0))</f>
        <v/>
      </c>
      <c r="F135" s="5" t="str">
        <f t="shared" si="8"/>
        <v/>
      </c>
      <c r="G135" s="5" t="str">
        <f t="shared" si="9"/>
        <v/>
      </c>
      <c r="H135" s="2"/>
    </row>
    <row r="136" spans="1:8">
      <c r="A136" s="2"/>
      <c r="B136" s="2"/>
      <c r="C136" s="2"/>
      <c r="D136" s="2"/>
      <c r="E136" s="6" t="str">
        <f>IF($D136="","",IFERROR($D136/'12_Сводка'!$B$5,0))</f>
        <v/>
      </c>
      <c r="F136" s="5" t="str">
        <f t="shared" si="8"/>
        <v/>
      </c>
      <c r="G136" s="5" t="str">
        <f t="shared" si="9"/>
        <v/>
      </c>
      <c r="H136" s="2"/>
    </row>
    <row r="137" spans="1:8">
      <c r="A137" s="2"/>
      <c r="B137" s="2"/>
      <c r="C137" s="2"/>
      <c r="D137" s="2"/>
      <c r="E137" s="6" t="str">
        <f>IF($D137="","",IFERROR($D137/'12_Сводка'!$B$5,0))</f>
        <v/>
      </c>
      <c r="F137" s="5" t="str">
        <f t="shared" si="8"/>
        <v/>
      </c>
      <c r="G137" s="5" t="str">
        <f t="shared" si="9"/>
        <v/>
      </c>
      <c r="H137" s="2"/>
    </row>
    <row r="138" spans="1:8">
      <c r="A138" s="2"/>
      <c r="B138" s="2"/>
      <c r="C138" s="2"/>
      <c r="D138" s="2"/>
      <c r="E138" s="6" t="str">
        <f>IF($D138="","",IFERROR($D138/'12_Сводка'!$B$5,0))</f>
        <v/>
      </c>
      <c r="F138" s="5" t="str">
        <f t="shared" si="8"/>
        <v/>
      </c>
      <c r="G138" s="5" t="str">
        <f t="shared" si="9"/>
        <v/>
      </c>
      <c r="H138" s="2"/>
    </row>
    <row r="139" spans="1:8">
      <c r="A139" s="2"/>
      <c r="B139" s="2"/>
      <c r="C139" s="2"/>
      <c r="D139" s="2"/>
      <c r="E139" s="6" t="str">
        <f>IF($D139="","",IFERROR($D139/'12_Сводка'!$B$5,0))</f>
        <v/>
      </c>
      <c r="F139" s="5" t="str">
        <f t="shared" si="8"/>
        <v/>
      </c>
      <c r="G139" s="5" t="str">
        <f t="shared" si="9"/>
        <v/>
      </c>
      <c r="H139" s="2"/>
    </row>
    <row r="140" spans="1:8">
      <c r="A140" s="2"/>
      <c r="B140" s="2"/>
      <c r="C140" s="2"/>
      <c r="D140" s="2"/>
      <c r="E140" s="6" t="str">
        <f>IF($D140="","",IFERROR($D140/'12_Сводка'!$B$5,0))</f>
        <v/>
      </c>
      <c r="F140" s="5" t="str">
        <f t="shared" si="8"/>
        <v/>
      </c>
      <c r="G140" s="5" t="str">
        <f t="shared" si="9"/>
        <v/>
      </c>
      <c r="H140" s="2"/>
    </row>
    <row r="141" spans="1:8">
      <c r="A141" s="2"/>
      <c r="B141" s="2"/>
      <c r="C141" s="2"/>
      <c r="D141" s="2"/>
      <c r="E141" s="6" t="str">
        <f>IF($D141="","",IFERROR($D141/'12_Сводка'!$B$5,0))</f>
        <v/>
      </c>
      <c r="F141" s="5" t="str">
        <f t="shared" si="8"/>
        <v/>
      </c>
      <c r="G141" s="5" t="str">
        <f t="shared" si="9"/>
        <v/>
      </c>
      <c r="H141" s="2"/>
    </row>
    <row r="142" spans="1:8">
      <c r="A142" s="2"/>
      <c r="B142" s="2"/>
      <c r="C142" s="2"/>
      <c r="D142" s="2"/>
      <c r="E142" s="6" t="str">
        <f>IF($D142="","",IFERROR($D142/'12_Сводка'!$B$5,0))</f>
        <v/>
      </c>
      <c r="F142" s="5" t="str">
        <f t="shared" si="8"/>
        <v/>
      </c>
      <c r="G142" s="5" t="str">
        <f t="shared" si="9"/>
        <v/>
      </c>
      <c r="H142" s="2"/>
    </row>
    <row r="143" spans="1:8">
      <c r="A143" s="2"/>
      <c r="B143" s="2"/>
      <c r="C143" s="2"/>
      <c r="D143" s="2"/>
      <c r="E143" s="6" t="str">
        <f>IF($D143="","",IFERROR($D143/'12_Сводка'!$B$5,0))</f>
        <v/>
      </c>
      <c r="F143" s="5" t="str">
        <f t="shared" si="8"/>
        <v/>
      </c>
      <c r="G143" s="5" t="str">
        <f t="shared" si="9"/>
        <v/>
      </c>
      <c r="H143" s="2"/>
    </row>
    <row r="144" spans="1:8">
      <c r="A144" s="2"/>
      <c r="B144" s="2"/>
      <c r="C144" s="2"/>
      <c r="D144" s="2"/>
      <c r="E144" s="6" t="str">
        <f>IF($D144="","",IFERROR($D144/'12_Сводка'!$B$5,0))</f>
        <v/>
      </c>
      <c r="F144" s="5" t="str">
        <f t="shared" si="8"/>
        <v/>
      </c>
      <c r="G144" s="5" t="str">
        <f t="shared" si="9"/>
        <v/>
      </c>
      <c r="H144" s="2"/>
    </row>
    <row r="145" spans="1:8">
      <c r="A145" s="2"/>
      <c r="B145" s="2"/>
      <c r="C145" s="2"/>
      <c r="D145" s="2"/>
      <c r="E145" s="6" t="str">
        <f>IF($D145="","",IFERROR($D145/'12_Сводка'!$B$5,0))</f>
        <v/>
      </c>
      <c r="F145" s="5" t="str">
        <f t="shared" si="8"/>
        <v/>
      </c>
      <c r="G145" s="5" t="str">
        <f t="shared" si="9"/>
        <v/>
      </c>
      <c r="H145" s="2"/>
    </row>
    <row r="146" spans="1:8">
      <c r="A146" s="2"/>
      <c r="B146" s="2"/>
      <c r="C146" s="2"/>
      <c r="D146" s="2"/>
      <c r="E146" s="6" t="str">
        <f>IF($D146="","",IFERROR($D146/'12_Сводка'!$B$5,0))</f>
        <v/>
      </c>
      <c r="F146" s="5" t="str">
        <f t="shared" si="8"/>
        <v/>
      </c>
      <c r="G146" s="5" t="str">
        <f t="shared" si="9"/>
        <v/>
      </c>
      <c r="H146" s="2"/>
    </row>
    <row r="147" spans="1:8">
      <c r="A147" s="2"/>
      <c r="B147" s="2"/>
      <c r="C147" s="2"/>
      <c r="D147" s="2"/>
      <c r="E147" s="6" t="str">
        <f>IF($D147="","",IFERROR($D147/'12_Сводка'!$B$5,0))</f>
        <v/>
      </c>
      <c r="F147" s="5" t="str">
        <f t="shared" si="8"/>
        <v/>
      </c>
      <c r="G147" s="5" t="str">
        <f t="shared" si="9"/>
        <v/>
      </c>
      <c r="H147" s="2"/>
    </row>
    <row r="148" spans="1:8">
      <c r="A148" s="2"/>
      <c r="B148" s="2"/>
      <c r="C148" s="2"/>
      <c r="D148" s="2"/>
      <c r="E148" s="6" t="str">
        <f>IF($D148="","",IFERROR($D148/'12_Сводка'!$B$5,0))</f>
        <v/>
      </c>
      <c r="F148" s="5" t="str">
        <f t="shared" si="8"/>
        <v/>
      </c>
      <c r="G148" s="5" t="str">
        <f t="shared" si="9"/>
        <v/>
      </c>
      <c r="H148" s="2"/>
    </row>
    <row r="149" spans="1:8">
      <c r="A149" s="2"/>
      <c r="B149" s="2"/>
      <c r="C149" s="2"/>
      <c r="D149" s="2"/>
      <c r="E149" s="6" t="str">
        <f>IF($D149="","",IFERROR($D149/'12_Сводка'!$B$5,0))</f>
        <v/>
      </c>
      <c r="F149" s="5" t="str">
        <f t="shared" si="8"/>
        <v/>
      </c>
      <c r="G149" s="5" t="str">
        <f t="shared" si="9"/>
        <v/>
      </c>
      <c r="H149" s="2"/>
    </row>
    <row r="150" spans="1:8">
      <c r="A150" s="2"/>
      <c r="B150" s="2"/>
      <c r="C150" s="2"/>
      <c r="D150" s="2"/>
      <c r="E150" s="6" t="str">
        <f>IF($D150="","",IFERROR($D150/'12_Сводка'!$B$5,0))</f>
        <v/>
      </c>
      <c r="F150" s="5" t="str">
        <f t="shared" si="8"/>
        <v/>
      </c>
      <c r="G150" s="5" t="str">
        <f t="shared" si="9"/>
        <v/>
      </c>
      <c r="H150" s="2"/>
    </row>
    <row r="151" spans="1:8">
      <c r="A151" s="2"/>
      <c r="B151" s="2"/>
      <c r="C151" s="2"/>
      <c r="D151" s="2"/>
      <c r="E151" s="6" t="str">
        <f>IF($D151="","",IFERROR($D151/'12_Сводка'!$B$5,0))</f>
        <v/>
      </c>
      <c r="F151" s="5" t="str">
        <f t="shared" si="8"/>
        <v/>
      </c>
      <c r="G151" s="5" t="str">
        <f t="shared" si="9"/>
        <v/>
      </c>
      <c r="H151" s="2"/>
    </row>
    <row r="152" spans="1:8">
      <c r="A152" s="2"/>
      <c r="B152" s="2"/>
      <c r="C152" s="2"/>
      <c r="D152" s="2"/>
      <c r="E152" s="6" t="str">
        <f>IF($D152="","",IFERROR($D152/'12_Сводка'!$B$5,0))</f>
        <v/>
      </c>
      <c r="F152" s="5" t="str">
        <f t="shared" si="8"/>
        <v/>
      </c>
      <c r="G152" s="5" t="str">
        <f t="shared" si="9"/>
        <v/>
      </c>
      <c r="H152" s="2"/>
    </row>
    <row r="153" spans="1:8">
      <c r="A153" s="2"/>
      <c r="B153" s="2"/>
      <c r="C153" s="2"/>
      <c r="D153" s="2"/>
      <c r="E153" s="6" t="str">
        <f>IF($D153="","",IFERROR($D153/'12_Сводка'!$B$5,0))</f>
        <v/>
      </c>
      <c r="F153" s="5" t="str">
        <f t="shared" si="8"/>
        <v/>
      </c>
      <c r="G153" s="5" t="str">
        <f t="shared" si="9"/>
        <v/>
      </c>
      <c r="H153" s="2"/>
    </row>
    <row r="154" spans="1:8">
      <c r="A154" s="2"/>
      <c r="B154" s="2"/>
      <c r="C154" s="2"/>
      <c r="D154" s="2"/>
      <c r="E154" s="6" t="str">
        <f>IF($D154="","",IFERROR($D154/'12_Сводка'!$B$5,0))</f>
        <v/>
      </c>
      <c r="F154" s="5" t="str">
        <f t="shared" si="8"/>
        <v/>
      </c>
      <c r="G154" s="5" t="str">
        <f t="shared" si="9"/>
        <v/>
      </c>
      <c r="H154" s="2"/>
    </row>
    <row r="155" spans="1:8">
      <c r="A155" s="2"/>
      <c r="B155" s="2"/>
      <c r="C155" s="2"/>
      <c r="D155" s="2"/>
      <c r="E155" s="6" t="str">
        <f>IF($D155="","",IFERROR($D155/'12_Сводка'!$B$5,0))</f>
        <v/>
      </c>
      <c r="F155" s="5" t="str">
        <f t="shared" si="8"/>
        <v/>
      </c>
      <c r="G155" s="5" t="str">
        <f t="shared" si="9"/>
        <v/>
      </c>
      <c r="H155" s="2"/>
    </row>
    <row r="156" spans="1:8">
      <c r="A156" s="2"/>
      <c r="B156" s="2"/>
      <c r="C156" s="2"/>
      <c r="D156" s="2"/>
      <c r="E156" s="6" t="str">
        <f>IF($D156="","",IFERROR($D156/'12_Сводка'!$B$5,0))</f>
        <v/>
      </c>
      <c r="F156" s="5" t="str">
        <f t="shared" si="8"/>
        <v/>
      </c>
      <c r="G156" s="5" t="str">
        <f t="shared" si="9"/>
        <v/>
      </c>
      <c r="H156" s="2"/>
    </row>
    <row r="157" spans="1:8">
      <c r="A157" s="2"/>
      <c r="B157" s="2"/>
      <c r="C157" s="2"/>
      <c r="D157" s="2"/>
      <c r="E157" s="6" t="str">
        <f>IF($D157="","",IFERROR($D157/'12_Сводка'!$B$5,0))</f>
        <v/>
      </c>
      <c r="F157" s="5" t="str">
        <f t="shared" si="8"/>
        <v/>
      </c>
      <c r="G157" s="5" t="str">
        <f t="shared" si="9"/>
        <v/>
      </c>
      <c r="H157" s="2"/>
    </row>
    <row r="158" spans="1:8">
      <c r="A158" s="2"/>
      <c r="B158" s="2"/>
      <c r="C158" s="2"/>
      <c r="D158" s="2"/>
      <c r="E158" s="6" t="str">
        <f>IF($D158="","",IFERROR($D158/'12_Сводка'!$B$5,0))</f>
        <v/>
      </c>
      <c r="F158" s="5" t="str">
        <f t="shared" si="8"/>
        <v/>
      </c>
      <c r="G158" s="5" t="str">
        <f t="shared" si="9"/>
        <v/>
      </c>
      <c r="H158" s="2"/>
    </row>
    <row r="159" spans="1:8">
      <c r="A159" s="2"/>
      <c r="B159" s="2"/>
      <c r="C159" s="2"/>
      <c r="D159" s="2"/>
      <c r="E159" s="6" t="str">
        <f>IF($D159="","",IFERROR($D159/'12_Сводка'!$B$5,0))</f>
        <v/>
      </c>
      <c r="F159" s="5" t="str">
        <f t="shared" si="8"/>
        <v/>
      </c>
      <c r="G159" s="5" t="str">
        <f t="shared" si="9"/>
        <v/>
      </c>
      <c r="H159" s="2"/>
    </row>
    <row r="160" spans="1:8">
      <c r="A160" s="2"/>
      <c r="B160" s="2"/>
      <c r="C160" s="2"/>
      <c r="D160" s="2"/>
      <c r="E160" s="6" t="str">
        <f>IF($D160="","",IFERROR($D160/'12_Сводка'!$B$5,0))</f>
        <v/>
      </c>
      <c r="F160" s="5" t="str">
        <f t="shared" si="8"/>
        <v/>
      </c>
      <c r="G160" s="5" t="str">
        <f t="shared" si="9"/>
        <v/>
      </c>
      <c r="H160" s="2"/>
    </row>
    <row r="161" spans="1:8">
      <c r="A161" s="2"/>
      <c r="B161" s="2"/>
      <c r="C161" s="2"/>
      <c r="D161" s="2"/>
      <c r="E161" s="6" t="str">
        <f>IF($D161="","",IFERROR($D161/'12_Сводка'!$B$5,0))</f>
        <v/>
      </c>
      <c r="F161" s="5" t="str">
        <f t="shared" si="8"/>
        <v/>
      </c>
      <c r="G161" s="5" t="str">
        <f t="shared" si="9"/>
        <v/>
      </c>
      <c r="H161" s="2"/>
    </row>
    <row r="162" spans="1:8">
      <c r="A162" s="2"/>
      <c r="B162" s="2"/>
      <c r="C162" s="2"/>
      <c r="D162" s="2"/>
      <c r="E162" s="6" t="str">
        <f>IF($D162="","",IFERROR($D162/'12_Сводка'!$B$5,0))</f>
        <v/>
      </c>
      <c r="F162" s="5" t="str">
        <f t="shared" si="8"/>
        <v/>
      </c>
      <c r="G162" s="5" t="str">
        <f t="shared" si="9"/>
        <v/>
      </c>
      <c r="H162" s="2"/>
    </row>
    <row r="163" spans="1:8">
      <c r="A163" s="2"/>
      <c r="B163" s="2"/>
      <c r="C163" s="2"/>
      <c r="D163" s="2"/>
      <c r="E163" s="6" t="str">
        <f>IF($D163="","",IFERROR($D163/'12_Сводка'!$B$5,0))</f>
        <v/>
      </c>
      <c r="F163" s="5" t="str">
        <f t="shared" si="8"/>
        <v/>
      </c>
      <c r="G163" s="5" t="str">
        <f t="shared" si="9"/>
        <v/>
      </c>
      <c r="H163" s="2"/>
    </row>
    <row r="164" spans="1:8">
      <c r="A164" s="2"/>
      <c r="B164" s="2"/>
      <c r="C164" s="2"/>
      <c r="D164" s="2"/>
      <c r="E164" s="6" t="str">
        <f>IF($D164="","",IFERROR($D164/'12_Сводка'!$B$5,0))</f>
        <v/>
      </c>
      <c r="F164" s="5" t="str">
        <f t="shared" ref="F164:F195" si="10">IF($A164="","",IF($E164&gt;=0.7,"рыночный стандарт",IF($E164&gt;=0.4,"формирующийся стандарт",IF($E164&gt;=0.2,"зона дифференциации","слабый сигнал"))))</f>
        <v/>
      </c>
      <c r="G164" s="5" t="str">
        <f t="shared" ref="G164:G195" si="11">IF($A164="","",IF($F164="рыночный стандарт","необходимо включить в минимально приемлемое предложение",IF($F164="формирующийся стандарт","проверить значимость для клиента и вероятность закрепления",IF($F164="зона дифференциации","может использоваться как поле позиционирования","не использовать без дополнительной проверки"))))</f>
        <v/>
      </c>
      <c r="H164" s="2"/>
    </row>
    <row r="165" spans="1:8">
      <c r="A165" s="2"/>
      <c r="B165" s="2"/>
      <c r="C165" s="2"/>
      <c r="D165" s="2"/>
      <c r="E165" s="6" t="str">
        <f>IF($D165="","",IFERROR($D165/'12_Сводка'!$B$5,0))</f>
        <v/>
      </c>
      <c r="F165" s="5" t="str">
        <f t="shared" si="10"/>
        <v/>
      </c>
      <c r="G165" s="5" t="str">
        <f t="shared" si="11"/>
        <v/>
      </c>
      <c r="H165" s="2"/>
    </row>
    <row r="166" spans="1:8">
      <c r="A166" s="2"/>
      <c r="B166" s="2"/>
      <c r="C166" s="2"/>
      <c r="D166" s="2"/>
      <c r="E166" s="6" t="str">
        <f>IF($D166="","",IFERROR($D166/'12_Сводка'!$B$5,0))</f>
        <v/>
      </c>
      <c r="F166" s="5" t="str">
        <f t="shared" si="10"/>
        <v/>
      </c>
      <c r="G166" s="5" t="str">
        <f t="shared" si="11"/>
        <v/>
      </c>
      <c r="H166" s="2"/>
    </row>
    <row r="167" spans="1:8">
      <c r="A167" s="2"/>
      <c r="B167" s="2"/>
      <c r="C167" s="2"/>
      <c r="D167" s="2"/>
      <c r="E167" s="6" t="str">
        <f>IF($D167="","",IFERROR($D167/'12_Сводка'!$B$5,0))</f>
        <v/>
      </c>
      <c r="F167" s="5" t="str">
        <f t="shared" si="10"/>
        <v/>
      </c>
      <c r="G167" s="5" t="str">
        <f t="shared" si="11"/>
        <v/>
      </c>
      <c r="H167" s="2"/>
    </row>
    <row r="168" spans="1:8">
      <c r="A168" s="2"/>
      <c r="B168" s="2"/>
      <c r="C168" s="2"/>
      <c r="D168" s="2"/>
      <c r="E168" s="6" t="str">
        <f>IF($D168="","",IFERROR($D168/'12_Сводка'!$B$5,0))</f>
        <v/>
      </c>
      <c r="F168" s="5" t="str">
        <f t="shared" si="10"/>
        <v/>
      </c>
      <c r="G168" s="5" t="str">
        <f t="shared" si="11"/>
        <v/>
      </c>
      <c r="H168" s="2"/>
    </row>
    <row r="169" spans="1:8">
      <c r="A169" s="2"/>
      <c r="B169" s="2"/>
      <c r="C169" s="2"/>
      <c r="D169" s="2"/>
      <c r="E169" s="6" t="str">
        <f>IF($D169="","",IFERROR($D169/'12_Сводка'!$B$5,0))</f>
        <v/>
      </c>
      <c r="F169" s="5" t="str">
        <f t="shared" si="10"/>
        <v/>
      </c>
      <c r="G169" s="5" t="str">
        <f t="shared" si="11"/>
        <v/>
      </c>
      <c r="H169" s="2"/>
    </row>
    <row r="170" spans="1:8">
      <c r="A170" s="2"/>
      <c r="B170" s="2"/>
      <c r="C170" s="2"/>
      <c r="D170" s="2"/>
      <c r="E170" s="6" t="str">
        <f>IF($D170="","",IFERROR($D170/'12_Сводка'!$B$5,0))</f>
        <v/>
      </c>
      <c r="F170" s="5" t="str">
        <f t="shared" si="10"/>
        <v/>
      </c>
      <c r="G170" s="5" t="str">
        <f t="shared" si="11"/>
        <v/>
      </c>
      <c r="H170" s="2"/>
    </row>
    <row r="171" spans="1:8">
      <c r="A171" s="2"/>
      <c r="B171" s="2"/>
      <c r="C171" s="2"/>
      <c r="D171" s="2"/>
      <c r="E171" s="6" t="str">
        <f>IF($D171="","",IFERROR($D171/'12_Сводка'!$B$5,0))</f>
        <v/>
      </c>
      <c r="F171" s="5" t="str">
        <f t="shared" si="10"/>
        <v/>
      </c>
      <c r="G171" s="5" t="str">
        <f t="shared" si="11"/>
        <v/>
      </c>
      <c r="H171" s="2"/>
    </row>
    <row r="172" spans="1:8">
      <c r="A172" s="2"/>
      <c r="B172" s="2"/>
      <c r="C172" s="2"/>
      <c r="D172" s="2"/>
      <c r="E172" s="6" t="str">
        <f>IF($D172="","",IFERROR($D172/'12_Сводка'!$B$5,0))</f>
        <v/>
      </c>
      <c r="F172" s="5" t="str">
        <f t="shared" si="10"/>
        <v/>
      </c>
      <c r="G172" s="5" t="str">
        <f t="shared" si="11"/>
        <v/>
      </c>
      <c r="H172" s="2"/>
    </row>
    <row r="173" spans="1:8">
      <c r="A173" s="2"/>
      <c r="B173" s="2"/>
      <c r="C173" s="2"/>
      <c r="D173" s="2"/>
      <c r="E173" s="6" t="str">
        <f>IF($D173="","",IFERROR($D173/'12_Сводка'!$B$5,0))</f>
        <v/>
      </c>
      <c r="F173" s="5" t="str">
        <f t="shared" si="10"/>
        <v/>
      </c>
      <c r="G173" s="5" t="str">
        <f t="shared" si="11"/>
        <v/>
      </c>
      <c r="H173" s="2"/>
    </row>
    <row r="174" spans="1:8">
      <c r="A174" s="2"/>
      <c r="B174" s="2"/>
      <c r="C174" s="2"/>
      <c r="D174" s="2"/>
      <c r="E174" s="6" t="str">
        <f>IF($D174="","",IFERROR($D174/'12_Сводка'!$B$5,0))</f>
        <v/>
      </c>
      <c r="F174" s="5" t="str">
        <f t="shared" si="10"/>
        <v/>
      </c>
      <c r="G174" s="5" t="str">
        <f t="shared" si="11"/>
        <v/>
      </c>
      <c r="H174" s="2"/>
    </row>
    <row r="175" spans="1:8">
      <c r="A175" s="2"/>
      <c r="B175" s="2"/>
      <c r="C175" s="2"/>
      <c r="D175" s="2"/>
      <c r="E175" s="6" t="str">
        <f>IF($D175="","",IFERROR($D175/'12_Сводка'!$B$5,0))</f>
        <v/>
      </c>
      <c r="F175" s="5" t="str">
        <f t="shared" si="10"/>
        <v/>
      </c>
      <c r="G175" s="5" t="str">
        <f t="shared" si="11"/>
        <v/>
      </c>
      <c r="H175" s="2"/>
    </row>
    <row r="176" spans="1:8">
      <c r="A176" s="2"/>
      <c r="B176" s="2"/>
      <c r="C176" s="2"/>
      <c r="D176" s="2"/>
      <c r="E176" s="6" t="str">
        <f>IF($D176="","",IFERROR($D176/'12_Сводка'!$B$5,0))</f>
        <v/>
      </c>
      <c r="F176" s="5" t="str">
        <f t="shared" si="10"/>
        <v/>
      </c>
      <c r="G176" s="5" t="str">
        <f t="shared" si="11"/>
        <v/>
      </c>
      <c r="H176" s="2"/>
    </row>
    <row r="177" spans="1:8">
      <c r="A177" s="2"/>
      <c r="B177" s="2"/>
      <c r="C177" s="2"/>
      <c r="D177" s="2"/>
      <c r="E177" s="6" t="str">
        <f>IF($D177="","",IFERROR($D177/'12_Сводка'!$B$5,0))</f>
        <v/>
      </c>
      <c r="F177" s="5" t="str">
        <f t="shared" si="10"/>
        <v/>
      </c>
      <c r="G177" s="5" t="str">
        <f t="shared" si="11"/>
        <v/>
      </c>
      <c r="H177" s="2"/>
    </row>
    <row r="178" spans="1:8">
      <c r="A178" s="2"/>
      <c r="B178" s="2"/>
      <c r="C178" s="2"/>
      <c r="D178" s="2"/>
      <c r="E178" s="6" t="str">
        <f>IF($D178="","",IFERROR($D178/'12_Сводка'!$B$5,0))</f>
        <v/>
      </c>
      <c r="F178" s="5" t="str">
        <f t="shared" si="10"/>
        <v/>
      </c>
      <c r="G178" s="5" t="str">
        <f t="shared" si="11"/>
        <v/>
      </c>
      <c r="H178" s="2"/>
    </row>
    <row r="179" spans="1:8">
      <c r="A179" s="2"/>
      <c r="B179" s="2"/>
      <c r="C179" s="2"/>
      <c r="D179" s="2"/>
      <c r="E179" s="6" t="str">
        <f>IF($D179="","",IFERROR($D179/'12_Сводка'!$B$5,0))</f>
        <v/>
      </c>
      <c r="F179" s="5" t="str">
        <f t="shared" si="10"/>
        <v/>
      </c>
      <c r="G179" s="5" t="str">
        <f t="shared" si="11"/>
        <v/>
      </c>
      <c r="H179" s="2"/>
    </row>
    <row r="180" spans="1:8">
      <c r="A180" s="2"/>
      <c r="B180" s="2"/>
      <c r="C180" s="2"/>
      <c r="D180" s="2"/>
      <c r="E180" s="6" t="str">
        <f>IF($D180="","",IFERROR($D180/'12_Сводка'!$B$5,0))</f>
        <v/>
      </c>
      <c r="F180" s="5" t="str">
        <f t="shared" si="10"/>
        <v/>
      </c>
      <c r="G180" s="5" t="str">
        <f t="shared" si="11"/>
        <v/>
      </c>
      <c r="H180" s="2"/>
    </row>
    <row r="181" spans="1:8">
      <c r="A181" s="2"/>
      <c r="B181" s="2"/>
      <c r="C181" s="2"/>
      <c r="D181" s="2"/>
      <c r="E181" s="6" t="str">
        <f>IF($D181="","",IFERROR($D181/'12_Сводка'!$B$5,0))</f>
        <v/>
      </c>
      <c r="F181" s="5" t="str">
        <f t="shared" si="10"/>
        <v/>
      </c>
      <c r="G181" s="5" t="str">
        <f t="shared" si="11"/>
        <v/>
      </c>
      <c r="H181" s="2"/>
    </row>
    <row r="182" spans="1:8">
      <c r="A182" s="2"/>
      <c r="B182" s="2"/>
      <c r="C182" s="2"/>
      <c r="D182" s="2"/>
      <c r="E182" s="6" t="str">
        <f>IF($D182="","",IFERROR($D182/'12_Сводка'!$B$5,0))</f>
        <v/>
      </c>
      <c r="F182" s="5" t="str">
        <f t="shared" si="10"/>
        <v/>
      </c>
      <c r="G182" s="5" t="str">
        <f t="shared" si="11"/>
        <v/>
      </c>
      <c r="H182" s="2"/>
    </row>
    <row r="183" spans="1:8">
      <c r="A183" s="2"/>
      <c r="B183" s="2"/>
      <c r="C183" s="2"/>
      <c r="D183" s="2"/>
      <c r="E183" s="6" t="str">
        <f>IF($D183="","",IFERROR($D183/'12_Сводка'!$B$5,0))</f>
        <v/>
      </c>
      <c r="F183" s="5" t="str">
        <f t="shared" si="10"/>
        <v/>
      </c>
      <c r="G183" s="5" t="str">
        <f t="shared" si="11"/>
        <v/>
      </c>
      <c r="H183" s="2"/>
    </row>
    <row r="184" spans="1:8">
      <c r="A184" s="2"/>
      <c r="B184" s="2"/>
      <c r="C184" s="2"/>
      <c r="D184" s="2"/>
      <c r="E184" s="6" t="str">
        <f>IF($D184="","",IFERROR($D184/'12_Сводка'!$B$5,0))</f>
        <v/>
      </c>
      <c r="F184" s="5" t="str">
        <f t="shared" si="10"/>
        <v/>
      </c>
      <c r="G184" s="5" t="str">
        <f t="shared" si="11"/>
        <v/>
      </c>
      <c r="H184" s="2"/>
    </row>
    <row r="185" spans="1:8">
      <c r="A185" s="2"/>
      <c r="B185" s="2"/>
      <c r="C185" s="2"/>
      <c r="D185" s="2"/>
      <c r="E185" s="6" t="str">
        <f>IF($D185="","",IFERROR($D185/'12_Сводка'!$B$5,0))</f>
        <v/>
      </c>
      <c r="F185" s="5" t="str">
        <f t="shared" si="10"/>
        <v/>
      </c>
      <c r="G185" s="5" t="str">
        <f t="shared" si="11"/>
        <v/>
      </c>
      <c r="H185" s="2"/>
    </row>
    <row r="186" spans="1:8">
      <c r="A186" s="2"/>
      <c r="B186" s="2"/>
      <c r="C186" s="2"/>
      <c r="D186" s="2"/>
      <c r="E186" s="6" t="str">
        <f>IF($D186="","",IFERROR($D186/'12_Сводка'!$B$5,0))</f>
        <v/>
      </c>
      <c r="F186" s="5" t="str">
        <f t="shared" si="10"/>
        <v/>
      </c>
      <c r="G186" s="5" t="str">
        <f t="shared" si="11"/>
        <v/>
      </c>
      <c r="H186" s="2"/>
    </row>
    <row r="187" spans="1:8">
      <c r="A187" s="2"/>
      <c r="B187" s="2"/>
      <c r="C187" s="2"/>
      <c r="D187" s="2"/>
      <c r="E187" s="6" t="str">
        <f>IF($D187="","",IFERROR($D187/'12_Сводка'!$B$5,0))</f>
        <v/>
      </c>
      <c r="F187" s="5" t="str">
        <f t="shared" si="10"/>
        <v/>
      </c>
      <c r="G187" s="5" t="str">
        <f t="shared" si="11"/>
        <v/>
      </c>
      <c r="H187" s="2"/>
    </row>
    <row r="188" spans="1:8">
      <c r="A188" s="2"/>
      <c r="B188" s="2"/>
      <c r="C188" s="2"/>
      <c r="D188" s="2"/>
      <c r="E188" s="6" t="str">
        <f>IF($D188="","",IFERROR($D188/'12_Сводка'!$B$5,0))</f>
        <v/>
      </c>
      <c r="F188" s="5" t="str">
        <f t="shared" si="10"/>
        <v/>
      </c>
      <c r="G188" s="5" t="str">
        <f t="shared" si="11"/>
        <v/>
      </c>
      <c r="H188" s="2"/>
    </row>
    <row r="189" spans="1:8">
      <c r="A189" s="2"/>
      <c r="B189" s="2"/>
      <c r="C189" s="2"/>
      <c r="D189" s="2"/>
      <c r="E189" s="6" t="str">
        <f>IF($D189="","",IFERROR($D189/'12_Сводка'!$B$5,0))</f>
        <v/>
      </c>
      <c r="F189" s="5" t="str">
        <f t="shared" si="10"/>
        <v/>
      </c>
      <c r="G189" s="5" t="str">
        <f t="shared" si="11"/>
        <v/>
      </c>
      <c r="H189" s="2"/>
    </row>
    <row r="190" spans="1:8">
      <c r="A190" s="2"/>
      <c r="B190" s="2"/>
      <c r="C190" s="2"/>
      <c r="D190" s="2"/>
      <c r="E190" s="6" t="str">
        <f>IF($D190="","",IFERROR($D190/'12_Сводка'!$B$5,0))</f>
        <v/>
      </c>
      <c r="F190" s="5" t="str">
        <f t="shared" si="10"/>
        <v/>
      </c>
      <c r="G190" s="5" t="str">
        <f t="shared" si="11"/>
        <v/>
      </c>
      <c r="H190" s="2"/>
    </row>
    <row r="191" spans="1:8">
      <c r="A191" s="2"/>
      <c r="B191" s="2"/>
      <c r="C191" s="2"/>
      <c r="D191" s="2"/>
      <c r="E191" s="6" t="str">
        <f>IF($D191="","",IFERROR($D191/'12_Сводка'!$B$5,0))</f>
        <v/>
      </c>
      <c r="F191" s="5" t="str">
        <f t="shared" si="10"/>
        <v/>
      </c>
      <c r="G191" s="5" t="str">
        <f t="shared" si="11"/>
        <v/>
      </c>
      <c r="H191" s="2"/>
    </row>
    <row r="192" spans="1:8">
      <c r="A192" s="2"/>
      <c r="B192" s="2"/>
      <c r="C192" s="2"/>
      <c r="D192" s="2"/>
      <c r="E192" s="6" t="str">
        <f>IF($D192="","",IFERROR($D192/'12_Сводка'!$B$5,0))</f>
        <v/>
      </c>
      <c r="F192" s="5" t="str">
        <f t="shared" si="10"/>
        <v/>
      </c>
      <c r="G192" s="5" t="str">
        <f t="shared" si="11"/>
        <v/>
      </c>
      <c r="H192" s="2"/>
    </row>
    <row r="193" spans="1:8">
      <c r="A193" s="2"/>
      <c r="B193" s="2"/>
      <c r="C193" s="2"/>
      <c r="D193" s="2"/>
      <c r="E193" s="6" t="str">
        <f>IF($D193="","",IFERROR($D193/'12_Сводка'!$B$5,0))</f>
        <v/>
      </c>
      <c r="F193" s="5" t="str">
        <f t="shared" si="10"/>
        <v/>
      </c>
      <c r="G193" s="5" t="str">
        <f t="shared" si="11"/>
        <v/>
      </c>
      <c r="H193" s="2"/>
    </row>
    <row r="194" spans="1:8">
      <c r="A194" s="2"/>
      <c r="B194" s="2"/>
      <c r="C194" s="2"/>
      <c r="D194" s="2"/>
      <c r="E194" s="6" t="str">
        <f>IF($D194="","",IFERROR($D194/'12_Сводка'!$B$5,0))</f>
        <v/>
      </c>
      <c r="F194" s="5" t="str">
        <f t="shared" si="10"/>
        <v/>
      </c>
      <c r="G194" s="5" t="str">
        <f t="shared" si="11"/>
        <v/>
      </c>
      <c r="H194" s="2"/>
    </row>
    <row r="195" spans="1:8">
      <c r="A195" s="2"/>
      <c r="B195" s="2"/>
      <c r="C195" s="2"/>
      <c r="D195" s="2"/>
      <c r="E195" s="6" t="str">
        <f>IF($D195="","",IFERROR($D195/'12_Сводка'!$B$5,0))</f>
        <v/>
      </c>
      <c r="F195" s="5" t="str">
        <f t="shared" si="10"/>
        <v/>
      </c>
      <c r="G195" s="5" t="str">
        <f t="shared" si="11"/>
        <v/>
      </c>
      <c r="H195" s="2"/>
    </row>
    <row r="196" spans="1:8">
      <c r="A196" s="2"/>
      <c r="B196" s="2"/>
      <c r="C196" s="2"/>
      <c r="D196" s="2"/>
      <c r="E196" s="6" t="str">
        <f>IF($D196="","",IFERROR($D196/'12_Сводка'!$B$5,0))</f>
        <v/>
      </c>
      <c r="F196" s="5" t="str">
        <f t="shared" ref="F196:F203" si="12">IF($A196="","",IF($E196&gt;=0.7,"рыночный стандарт",IF($E196&gt;=0.4,"формирующийся стандарт",IF($E196&gt;=0.2,"зона дифференциации","слабый сигнал"))))</f>
        <v/>
      </c>
      <c r="G196" s="5" t="str">
        <f t="shared" ref="G196:G203" si="13">IF($A196="","",IF($F196="рыночный стандарт","необходимо включить в минимально приемлемое предложение",IF($F196="формирующийся стандарт","проверить значимость для клиента и вероятность закрепления",IF($F196="зона дифференциации","может использоваться как поле позиционирования","не использовать без дополнительной проверки"))))</f>
        <v/>
      </c>
      <c r="H196" s="2"/>
    </row>
    <row r="197" spans="1:8">
      <c r="A197" s="2"/>
      <c r="B197" s="2"/>
      <c r="C197" s="2"/>
      <c r="D197" s="2"/>
      <c r="E197" s="6" t="str">
        <f>IF($D197="","",IFERROR($D197/'12_Сводка'!$B$5,0))</f>
        <v/>
      </c>
      <c r="F197" s="5" t="str">
        <f t="shared" si="12"/>
        <v/>
      </c>
      <c r="G197" s="5" t="str">
        <f t="shared" si="13"/>
        <v/>
      </c>
      <c r="H197" s="2"/>
    </row>
    <row r="198" spans="1:8">
      <c r="A198" s="2"/>
      <c r="B198" s="2"/>
      <c r="C198" s="2"/>
      <c r="D198" s="2"/>
      <c r="E198" s="6" t="str">
        <f>IF($D198="","",IFERROR($D198/'12_Сводка'!$B$5,0))</f>
        <v/>
      </c>
      <c r="F198" s="5" t="str">
        <f t="shared" si="12"/>
        <v/>
      </c>
      <c r="G198" s="5" t="str">
        <f t="shared" si="13"/>
        <v/>
      </c>
      <c r="H198" s="2"/>
    </row>
    <row r="199" spans="1:8">
      <c r="A199" s="2"/>
      <c r="B199" s="2"/>
      <c r="C199" s="2"/>
      <c r="D199" s="2"/>
      <c r="E199" s="6" t="str">
        <f>IF($D199="","",IFERROR($D199/'12_Сводка'!$B$5,0))</f>
        <v/>
      </c>
      <c r="F199" s="5" t="str">
        <f t="shared" si="12"/>
        <v/>
      </c>
      <c r="G199" s="5" t="str">
        <f t="shared" si="13"/>
        <v/>
      </c>
      <c r="H199" s="2"/>
    </row>
    <row r="200" spans="1:8">
      <c r="A200" s="2"/>
      <c r="B200" s="2"/>
      <c r="C200" s="2"/>
      <c r="D200" s="2"/>
      <c r="E200" s="6" t="str">
        <f>IF($D200="","",IFERROR($D200/'12_Сводка'!$B$5,0))</f>
        <v/>
      </c>
      <c r="F200" s="5" t="str">
        <f t="shared" si="12"/>
        <v/>
      </c>
      <c r="G200" s="5" t="str">
        <f t="shared" si="13"/>
        <v/>
      </c>
      <c r="H200" s="2"/>
    </row>
    <row r="201" spans="1:8">
      <c r="A201" s="2"/>
      <c r="B201" s="2"/>
      <c r="C201" s="2"/>
      <c r="D201" s="2"/>
      <c r="E201" s="6" t="str">
        <f>IF($D201="","",IFERROR($D201/'12_Сводка'!$B$5,0))</f>
        <v/>
      </c>
      <c r="F201" s="5" t="str">
        <f t="shared" si="12"/>
        <v/>
      </c>
      <c r="G201" s="5" t="str">
        <f t="shared" si="13"/>
        <v/>
      </c>
      <c r="H201" s="2"/>
    </row>
    <row r="202" spans="1:8">
      <c r="A202" s="2"/>
      <c r="B202" s="2"/>
      <c r="C202" s="2"/>
      <c r="D202" s="2"/>
      <c r="E202" s="6" t="str">
        <f>IF($D202="","",IFERROR($D202/'12_Сводка'!$B$5,0))</f>
        <v/>
      </c>
      <c r="F202" s="5" t="str">
        <f t="shared" si="12"/>
        <v/>
      </c>
      <c r="G202" s="5" t="str">
        <f t="shared" si="13"/>
        <v/>
      </c>
      <c r="H202" s="2"/>
    </row>
    <row r="203" spans="1:8">
      <c r="A203" s="2"/>
      <c r="B203" s="2"/>
      <c r="C203" s="2"/>
      <c r="D203" s="2"/>
      <c r="E203" s="6" t="str">
        <f>IF($D203="","",IFERROR($D203/'12_Сводка'!$B$5,0))</f>
        <v/>
      </c>
      <c r="F203" s="5" t="str">
        <f t="shared" si="12"/>
        <v/>
      </c>
      <c r="G203" s="5" t="str">
        <f t="shared" si="13"/>
        <v/>
      </c>
      <c r="H203" s="2"/>
    </row>
  </sheetData>
  <mergeCells count="2">
    <mergeCell ref="A1:H1"/>
    <mergeCell ref="A2:H2"/>
  </mergeCells>
  <conditionalFormatting sqref="E4:E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1">
    <dataValidation type="list" sqref="B4:B203" xr:uid="{00000000-0002-0000-0A00-000000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3" width="42" customWidth="1"/>
    <col min="4" max="4" width="24" customWidth="1"/>
    <col min="5" max="5" width="28" customWidth="1"/>
    <col min="6" max="6" width="36" customWidth="1"/>
    <col min="7" max="7" width="14" customWidth="1"/>
    <col min="8" max="9" width="22" customWidth="1"/>
    <col min="10" max="10" width="18" customWidth="1"/>
    <col min="11" max="11" width="16" customWidth="1"/>
    <col min="12" max="12" width="32" customWidth="1"/>
    <col min="13" max="13" width="42" customWidth="1"/>
  </cols>
  <sheetData>
    <row r="1" spans="1:26" ht="30" customHeight="1">
      <c r="A1" s="17" t="s">
        <v>246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247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26" ht="36" customHeight="1">
      <c r="A3" s="1" t="s">
        <v>142</v>
      </c>
      <c r="B3" s="1" t="s">
        <v>143</v>
      </c>
      <c r="C3" s="1" t="s">
        <v>248</v>
      </c>
      <c r="D3" s="1" t="s">
        <v>10</v>
      </c>
      <c r="E3" s="1" t="s">
        <v>249</v>
      </c>
      <c r="F3" s="1" t="s">
        <v>180</v>
      </c>
      <c r="G3" s="1" t="s">
        <v>250</v>
      </c>
      <c r="H3" s="1" t="s">
        <v>218</v>
      </c>
      <c r="I3" s="1" t="s">
        <v>251</v>
      </c>
      <c r="J3" s="1" t="s">
        <v>148</v>
      </c>
      <c r="K3" s="1" t="s">
        <v>252</v>
      </c>
      <c r="L3" s="1" t="s">
        <v>79</v>
      </c>
      <c r="M3" s="1" t="s">
        <v>253</v>
      </c>
    </row>
    <row r="4" spans="1:26" ht="28.5">
      <c r="A4" s="3" t="s">
        <v>308</v>
      </c>
      <c r="B4" s="5" t="str">
        <f>IF($A4="","",IFERROR(VLOOKUP($A4,'02_Конкуренты'!$A$4:$B$203,2,FALSE),"не найдено"))</f>
        <v>Mermaid (open source)</v>
      </c>
      <c r="C4" s="3" t="s">
        <v>762</v>
      </c>
      <c r="D4" s="3" t="s">
        <v>56</v>
      </c>
      <c r="E4" s="3" t="s">
        <v>70</v>
      </c>
      <c r="F4" s="3" t="s">
        <v>310</v>
      </c>
      <c r="G4" s="2">
        <v>5</v>
      </c>
      <c r="H4" s="2">
        <v>5</v>
      </c>
      <c r="I4" s="2">
        <v>3</v>
      </c>
      <c r="J4" s="2">
        <v>5</v>
      </c>
      <c r="K4" s="7">
        <f t="shared" ref="K4:K35" si="0">IF($A4="","",$G4*0.3+$H4*0.25+$I4*0.25+$J4*0.2)</f>
        <v>4.5</v>
      </c>
      <c r="L4" s="5" t="str">
        <f t="shared" ref="L4:L35" si="1">IF($A4="","",IF($K4&gt;=4,"сильное преимущество",IF($K4&gt;=3,"умеренное преимущество",IF($K4&gt;=2,"слабое преимущество","недостаточно подтверждений"))))</f>
        <v>сильное преимущество</v>
      </c>
      <c r="M4" s="3" t="s">
        <v>763</v>
      </c>
    </row>
    <row r="5" spans="1:26" ht="28.5">
      <c r="A5" s="3" t="s">
        <v>325</v>
      </c>
      <c r="B5" s="5" t="str">
        <f>IF($A5="","",IFERROR(VLOOKUP($A5,'02_Конкуренты'!$A$4:$B$203,2,FALSE),"не найдено"))</f>
        <v>draw.io / diagrams.net</v>
      </c>
      <c r="C5" s="3" t="s">
        <v>764</v>
      </c>
      <c r="D5" s="3" t="s">
        <v>28</v>
      </c>
      <c r="E5" s="3" t="s">
        <v>40</v>
      </c>
      <c r="F5" s="3" t="s">
        <v>327</v>
      </c>
      <c r="G5" s="2">
        <v>5</v>
      </c>
      <c r="H5" s="2">
        <v>4</v>
      </c>
      <c r="I5" s="2">
        <v>4</v>
      </c>
      <c r="J5" s="2">
        <v>4</v>
      </c>
      <c r="K5" s="7">
        <f t="shared" si="0"/>
        <v>4.3</v>
      </c>
      <c r="L5" s="5" t="str">
        <f t="shared" si="1"/>
        <v>сильное преимущество</v>
      </c>
      <c r="M5" s="3" t="s">
        <v>765</v>
      </c>
    </row>
    <row r="6" spans="1:26" ht="28.5">
      <c r="A6" s="3" t="s">
        <v>301</v>
      </c>
      <c r="B6" s="5" t="str">
        <f>IF($A6="","",IFERROR(VLOOKUP($A6,'02_Конкуренты'!$A$4:$B$203,2,FALSE),"не найдено"))</f>
        <v>Eraser (DiagramGPT)</v>
      </c>
      <c r="C6" s="3" t="s">
        <v>766</v>
      </c>
      <c r="D6" s="3" t="s">
        <v>45</v>
      </c>
      <c r="E6" s="3" t="s">
        <v>53</v>
      </c>
      <c r="F6" s="3" t="s">
        <v>767</v>
      </c>
      <c r="G6" s="2">
        <v>4</v>
      </c>
      <c r="H6" s="2">
        <v>3</v>
      </c>
      <c r="I6" s="2">
        <v>5</v>
      </c>
      <c r="J6" s="2">
        <v>5</v>
      </c>
      <c r="K6" s="7">
        <f t="shared" si="0"/>
        <v>4.2</v>
      </c>
      <c r="L6" s="5" t="str">
        <f t="shared" si="1"/>
        <v>сильное преимущество</v>
      </c>
      <c r="M6" s="3" t="s">
        <v>768</v>
      </c>
    </row>
    <row r="7" spans="1:26" ht="28.5">
      <c r="A7" s="3" t="s">
        <v>293</v>
      </c>
      <c r="B7" s="5" t="str">
        <f>IF($A7="","",IFERROR(VLOOKUP($A7,'02_Конкуренты'!$A$4:$B$203,2,FALSE),"не найдено"))</f>
        <v>PlantUML</v>
      </c>
      <c r="C7" s="3" t="s">
        <v>769</v>
      </c>
      <c r="D7" s="3" t="s">
        <v>37</v>
      </c>
      <c r="E7" s="3" t="s">
        <v>40</v>
      </c>
      <c r="F7" s="3" t="s">
        <v>295</v>
      </c>
      <c r="G7" s="2">
        <v>4</v>
      </c>
      <c r="H7" s="2">
        <v>4</v>
      </c>
      <c r="I7" s="2">
        <v>2</v>
      </c>
      <c r="J7" s="2">
        <v>4</v>
      </c>
      <c r="K7" s="7">
        <f t="shared" si="0"/>
        <v>3.5</v>
      </c>
      <c r="L7" s="5" t="str">
        <f t="shared" si="1"/>
        <v>умеренное преимущество</v>
      </c>
      <c r="M7" s="3" t="s">
        <v>770</v>
      </c>
    </row>
    <row r="8" spans="1:26" ht="28.5">
      <c r="A8" s="3" t="s">
        <v>314</v>
      </c>
      <c r="B8" s="5" t="str">
        <f>IF($A8="","",IFERROR(VLOOKUP($A8,'02_Конкуренты'!$A$4:$B$203,2,FALSE),"не найдено"))</f>
        <v>D2</v>
      </c>
      <c r="C8" s="3" t="s">
        <v>771</v>
      </c>
      <c r="D8" s="3" t="s">
        <v>45</v>
      </c>
      <c r="E8" s="3" t="s">
        <v>57</v>
      </c>
      <c r="F8" s="3" t="s">
        <v>419</v>
      </c>
      <c r="G8" s="2">
        <v>3</v>
      </c>
      <c r="H8" s="2">
        <v>4</v>
      </c>
      <c r="I8" s="2">
        <v>2</v>
      </c>
      <c r="J8" s="2">
        <v>4</v>
      </c>
      <c r="K8" s="7">
        <f t="shared" si="0"/>
        <v>3.2</v>
      </c>
      <c r="L8" s="5" t="str">
        <f t="shared" si="1"/>
        <v>умеренное преимущество</v>
      </c>
      <c r="M8" s="3" t="s">
        <v>772</v>
      </c>
    </row>
    <row r="9" spans="1:26" ht="28.5">
      <c r="A9" s="3" t="s">
        <v>330</v>
      </c>
      <c r="B9" s="5" t="str">
        <f>IF($A9="","",IFERROR(VLOOKUP($A9,'02_Конкуренты'!$A$4:$B$203,2,FALSE),"не найдено"))</f>
        <v>Ramus (Educational)</v>
      </c>
      <c r="C9" s="3" t="s">
        <v>773</v>
      </c>
      <c r="D9" s="3" t="s">
        <v>60</v>
      </c>
      <c r="E9" s="3" t="s">
        <v>14</v>
      </c>
      <c r="F9" s="3" t="s">
        <v>332</v>
      </c>
      <c r="G9" s="2">
        <v>3</v>
      </c>
      <c r="H9" s="2">
        <v>3</v>
      </c>
      <c r="I9" s="2">
        <v>3</v>
      </c>
      <c r="J9" s="2">
        <v>2</v>
      </c>
      <c r="K9" s="7">
        <f t="shared" si="0"/>
        <v>2.8</v>
      </c>
      <c r="L9" s="5" t="str">
        <f t="shared" si="1"/>
        <v>слабое преимущество</v>
      </c>
      <c r="M9" s="3" t="s">
        <v>774</v>
      </c>
    </row>
    <row r="10" spans="1:26" ht="28.5">
      <c r="A10" s="3" t="s">
        <v>336</v>
      </c>
      <c r="B10" s="5" t="str">
        <f>IF($A10="","",IFERROR(VLOOKUP($A10,'02_Конкуренты'!$A$4:$B$203,2,FALSE),"не найдено"))</f>
        <v>Lucidchart</v>
      </c>
      <c r="C10" s="3" t="s">
        <v>775</v>
      </c>
      <c r="D10" s="3" t="s">
        <v>64</v>
      </c>
      <c r="E10" s="3" t="s">
        <v>47</v>
      </c>
      <c r="F10" s="3" t="s">
        <v>338</v>
      </c>
      <c r="G10" s="2">
        <v>4</v>
      </c>
      <c r="H10" s="2">
        <v>3</v>
      </c>
      <c r="I10" s="2">
        <v>4</v>
      </c>
      <c r="J10" s="2">
        <v>2</v>
      </c>
      <c r="K10" s="7">
        <f t="shared" si="0"/>
        <v>3.35</v>
      </c>
      <c r="L10" s="5" t="str">
        <f t="shared" si="1"/>
        <v>умеренное преимущество</v>
      </c>
      <c r="M10" s="3" t="s">
        <v>776</v>
      </c>
    </row>
    <row r="11" spans="1:26" ht="28.5">
      <c r="A11" s="3" t="s">
        <v>319</v>
      </c>
      <c r="B11" s="5" t="str">
        <f>IF($A11="","",IFERROR(VLOOKUP($A11,'02_Конкуренты'!$A$4:$B$203,2,FALSE),"не найдено"))</f>
        <v>Gleek</v>
      </c>
      <c r="C11" s="3" t="s">
        <v>777</v>
      </c>
      <c r="D11" s="3" t="s">
        <v>19</v>
      </c>
      <c r="E11" s="3" t="s">
        <v>53</v>
      </c>
      <c r="F11" s="3" t="s">
        <v>321</v>
      </c>
      <c r="G11" s="2">
        <v>2</v>
      </c>
      <c r="H11" s="2">
        <v>2</v>
      </c>
      <c r="I11" s="2">
        <v>3</v>
      </c>
      <c r="J11" s="2">
        <v>2</v>
      </c>
      <c r="K11" s="7">
        <f t="shared" si="0"/>
        <v>2.25</v>
      </c>
      <c r="L11" s="5" t="str">
        <f t="shared" si="1"/>
        <v>слабое преимущество</v>
      </c>
      <c r="M11" s="3" t="s">
        <v>778</v>
      </c>
    </row>
    <row r="12" spans="1:26">
      <c r="A12" s="2"/>
      <c r="B12" s="5" t="str">
        <f>IF($A12="","",IFERROR(VLOOKUP($A12,'02_Конкуренты'!$A$4:$B$203,2,FALSE),"не найдено"))</f>
        <v/>
      </c>
      <c r="C12" s="2"/>
      <c r="D12" s="2"/>
      <c r="E12" s="2"/>
      <c r="F12" s="2"/>
      <c r="G12" s="2"/>
      <c r="H12" s="2"/>
      <c r="I12" s="2"/>
      <c r="J12" s="2"/>
      <c r="K12" s="7" t="str">
        <f t="shared" si="0"/>
        <v/>
      </c>
      <c r="L12" s="5" t="str">
        <f t="shared" si="1"/>
        <v/>
      </c>
      <c r="M12" s="2"/>
    </row>
    <row r="13" spans="1:26">
      <c r="A13" s="2"/>
      <c r="B13" s="5" t="str">
        <f>IF($A13="","",IFERROR(VLOOKUP($A13,'02_Конкуренты'!$A$4:$B$203,2,FALSE),"не найдено"))</f>
        <v/>
      </c>
      <c r="C13" s="2"/>
      <c r="D13" s="2"/>
      <c r="E13" s="2"/>
      <c r="F13" s="2"/>
      <c r="G13" s="2"/>
      <c r="H13" s="2"/>
      <c r="I13" s="2"/>
      <c r="J13" s="2"/>
      <c r="K13" s="7" t="str">
        <f t="shared" si="0"/>
        <v/>
      </c>
      <c r="L13" s="5" t="str">
        <f t="shared" si="1"/>
        <v/>
      </c>
      <c r="M13" s="2"/>
    </row>
    <row r="14" spans="1:26">
      <c r="A14" s="2"/>
      <c r="B14" s="5" t="str">
        <f>IF($A14="","",IFERROR(VLOOKUP($A14,'02_Конкуренты'!$A$4:$B$203,2,FALSE),"не найдено"))</f>
        <v/>
      </c>
      <c r="C14" s="2"/>
      <c r="D14" s="2"/>
      <c r="E14" s="2"/>
      <c r="F14" s="2"/>
      <c r="G14" s="2"/>
      <c r="H14" s="2"/>
      <c r="I14" s="2"/>
      <c r="J14" s="2"/>
      <c r="K14" s="7" t="str">
        <f t="shared" si="0"/>
        <v/>
      </c>
      <c r="L14" s="5" t="str">
        <f t="shared" si="1"/>
        <v/>
      </c>
      <c r="M14" s="2"/>
    </row>
    <row r="15" spans="1:26">
      <c r="A15" s="2"/>
      <c r="B15" s="5" t="str">
        <f>IF($A15="","",IFERROR(VLOOKUP($A15,'02_Конкуренты'!$A$4:$B$203,2,FALSE),"не найдено"))</f>
        <v/>
      </c>
      <c r="C15" s="2"/>
      <c r="D15" s="2"/>
      <c r="E15" s="2"/>
      <c r="F15" s="2"/>
      <c r="G15" s="2"/>
      <c r="H15" s="2"/>
      <c r="I15" s="2"/>
      <c r="J15" s="2"/>
      <c r="K15" s="7" t="str">
        <f t="shared" si="0"/>
        <v/>
      </c>
      <c r="L15" s="5" t="str">
        <f t="shared" si="1"/>
        <v/>
      </c>
      <c r="M15" s="2"/>
    </row>
    <row r="16" spans="1:26">
      <c r="A16" s="2"/>
      <c r="B16" s="5" t="str">
        <f>IF($A16="","",IFERROR(VLOOKUP($A16,'02_Конкуренты'!$A$4:$B$203,2,FALSE),"не найдено"))</f>
        <v/>
      </c>
      <c r="C16" s="2"/>
      <c r="D16" s="2"/>
      <c r="E16" s="2"/>
      <c r="F16" s="2"/>
      <c r="G16" s="2"/>
      <c r="H16" s="2"/>
      <c r="I16" s="2"/>
      <c r="J16" s="2"/>
      <c r="K16" s="7" t="str">
        <f t="shared" si="0"/>
        <v/>
      </c>
      <c r="L16" s="5" t="str">
        <f t="shared" si="1"/>
        <v/>
      </c>
      <c r="M16" s="2"/>
    </row>
    <row r="17" spans="1:13">
      <c r="A17" s="2"/>
      <c r="B17" s="5" t="str">
        <f>IF($A17="","",IFERROR(VLOOKUP($A17,'02_Конкуренты'!$A$4:$B$203,2,FALSE),"не найдено"))</f>
        <v/>
      </c>
      <c r="C17" s="2"/>
      <c r="D17" s="2"/>
      <c r="E17" s="2"/>
      <c r="F17" s="2"/>
      <c r="G17" s="2"/>
      <c r="H17" s="2"/>
      <c r="I17" s="2"/>
      <c r="J17" s="2"/>
      <c r="K17" s="7" t="str">
        <f t="shared" si="0"/>
        <v/>
      </c>
      <c r="L17" s="5" t="str">
        <f t="shared" si="1"/>
        <v/>
      </c>
      <c r="M17" s="2"/>
    </row>
    <row r="18" spans="1:13">
      <c r="A18" s="2"/>
      <c r="B18" s="5" t="str">
        <f>IF($A18="","",IFERROR(VLOOKUP($A18,'02_Конкуренты'!$A$4:$B$203,2,FALSE),"не найдено"))</f>
        <v/>
      </c>
      <c r="C18" s="2"/>
      <c r="D18" s="2"/>
      <c r="E18" s="2"/>
      <c r="F18" s="2"/>
      <c r="G18" s="2"/>
      <c r="H18" s="2"/>
      <c r="I18" s="2"/>
      <c r="J18" s="2"/>
      <c r="K18" s="7" t="str">
        <f t="shared" si="0"/>
        <v/>
      </c>
      <c r="L18" s="5" t="str">
        <f t="shared" si="1"/>
        <v/>
      </c>
      <c r="M18" s="2"/>
    </row>
    <row r="19" spans="1:13">
      <c r="A19" s="2"/>
      <c r="B19" s="5" t="str">
        <f>IF($A19="","",IFERROR(VLOOKUP($A19,'02_Конкуренты'!$A$4:$B$203,2,FALSE),"не найдено"))</f>
        <v/>
      </c>
      <c r="C19" s="2"/>
      <c r="D19" s="2"/>
      <c r="E19" s="2"/>
      <c r="F19" s="2"/>
      <c r="G19" s="2"/>
      <c r="H19" s="2"/>
      <c r="I19" s="2"/>
      <c r="J19" s="2"/>
      <c r="K19" s="7" t="str">
        <f t="shared" si="0"/>
        <v/>
      </c>
      <c r="L19" s="5" t="str">
        <f t="shared" si="1"/>
        <v/>
      </c>
      <c r="M19" s="2"/>
    </row>
    <row r="20" spans="1:13">
      <c r="A20" s="2"/>
      <c r="B20" s="5" t="str">
        <f>IF($A20="","",IFERROR(VLOOKUP($A20,'02_Конкуренты'!$A$4:$B$203,2,FALSE),"не найдено"))</f>
        <v/>
      </c>
      <c r="C20" s="2"/>
      <c r="D20" s="2"/>
      <c r="E20" s="2"/>
      <c r="F20" s="2"/>
      <c r="G20" s="2"/>
      <c r="H20" s="2"/>
      <c r="I20" s="2"/>
      <c r="J20" s="2"/>
      <c r="K20" s="7" t="str">
        <f t="shared" si="0"/>
        <v/>
      </c>
      <c r="L20" s="5" t="str">
        <f t="shared" si="1"/>
        <v/>
      </c>
      <c r="M20" s="2"/>
    </row>
    <row r="21" spans="1:13">
      <c r="A21" s="2"/>
      <c r="B21" s="5" t="str">
        <f>IF($A21="","",IFERROR(VLOOKUP($A21,'02_Конкуренты'!$A$4:$B$203,2,FALSE),"не найдено"))</f>
        <v/>
      </c>
      <c r="C21" s="2"/>
      <c r="D21" s="2"/>
      <c r="E21" s="2"/>
      <c r="F21" s="2"/>
      <c r="G21" s="2"/>
      <c r="H21" s="2"/>
      <c r="I21" s="2"/>
      <c r="J21" s="2"/>
      <c r="K21" s="7" t="str">
        <f t="shared" si="0"/>
        <v/>
      </c>
      <c r="L21" s="5" t="str">
        <f t="shared" si="1"/>
        <v/>
      </c>
      <c r="M21" s="2"/>
    </row>
    <row r="22" spans="1:13">
      <c r="A22" s="2"/>
      <c r="B22" s="5" t="str">
        <f>IF($A22="","",IFERROR(VLOOKUP($A22,'02_Конкуренты'!$A$4:$B$203,2,FALSE),"не найдено"))</f>
        <v/>
      </c>
      <c r="C22" s="2"/>
      <c r="D22" s="2"/>
      <c r="E22" s="2"/>
      <c r="F22" s="2"/>
      <c r="G22" s="2"/>
      <c r="H22" s="2"/>
      <c r="I22" s="2"/>
      <c r="J22" s="2"/>
      <c r="K22" s="7" t="str">
        <f t="shared" si="0"/>
        <v/>
      </c>
      <c r="L22" s="5" t="str">
        <f t="shared" si="1"/>
        <v/>
      </c>
      <c r="M22" s="2"/>
    </row>
    <row r="23" spans="1:13">
      <c r="A23" s="2"/>
      <c r="B23" s="5" t="str">
        <f>IF($A23="","",IFERROR(VLOOKUP($A23,'02_Конкуренты'!$A$4:$B$203,2,FALSE),"не найдено"))</f>
        <v/>
      </c>
      <c r="C23" s="2"/>
      <c r="D23" s="2"/>
      <c r="E23" s="2"/>
      <c r="F23" s="2"/>
      <c r="G23" s="2"/>
      <c r="H23" s="2"/>
      <c r="I23" s="2"/>
      <c r="J23" s="2"/>
      <c r="K23" s="7" t="str">
        <f t="shared" si="0"/>
        <v/>
      </c>
      <c r="L23" s="5" t="str">
        <f t="shared" si="1"/>
        <v/>
      </c>
      <c r="M23" s="2"/>
    </row>
    <row r="24" spans="1:13">
      <c r="A24" s="2"/>
      <c r="B24" s="5" t="str">
        <f>IF($A24="","",IFERROR(VLOOKUP($A24,'02_Конкуренты'!$A$4:$B$203,2,FALSE),"не найдено"))</f>
        <v/>
      </c>
      <c r="C24" s="2"/>
      <c r="D24" s="2"/>
      <c r="E24" s="2"/>
      <c r="F24" s="2"/>
      <c r="G24" s="2"/>
      <c r="H24" s="2"/>
      <c r="I24" s="2"/>
      <c r="J24" s="2"/>
      <c r="K24" s="7" t="str">
        <f t="shared" si="0"/>
        <v/>
      </c>
      <c r="L24" s="5" t="str">
        <f t="shared" si="1"/>
        <v/>
      </c>
      <c r="M24" s="2"/>
    </row>
    <row r="25" spans="1:13">
      <c r="A25" s="2"/>
      <c r="B25" s="5" t="str">
        <f>IF($A25="","",IFERROR(VLOOKUP($A25,'02_Конкуренты'!$A$4:$B$203,2,FALSE),"не найдено"))</f>
        <v/>
      </c>
      <c r="C25" s="2"/>
      <c r="D25" s="2"/>
      <c r="E25" s="2"/>
      <c r="F25" s="2"/>
      <c r="G25" s="2"/>
      <c r="H25" s="2"/>
      <c r="I25" s="2"/>
      <c r="J25" s="2"/>
      <c r="K25" s="7" t="str">
        <f t="shared" si="0"/>
        <v/>
      </c>
      <c r="L25" s="5" t="str">
        <f t="shared" si="1"/>
        <v/>
      </c>
      <c r="M25" s="2"/>
    </row>
    <row r="26" spans="1:13">
      <c r="A26" s="2"/>
      <c r="B26" s="5" t="str">
        <f>IF($A26="","",IFERROR(VLOOKUP($A26,'02_Конкуренты'!$A$4:$B$203,2,FALSE),"не найдено"))</f>
        <v/>
      </c>
      <c r="C26" s="2"/>
      <c r="D26" s="2"/>
      <c r="E26" s="2"/>
      <c r="F26" s="2"/>
      <c r="G26" s="2"/>
      <c r="H26" s="2"/>
      <c r="I26" s="2"/>
      <c r="J26" s="2"/>
      <c r="K26" s="7" t="str">
        <f t="shared" si="0"/>
        <v/>
      </c>
      <c r="L26" s="5" t="str">
        <f t="shared" si="1"/>
        <v/>
      </c>
      <c r="M26" s="2"/>
    </row>
    <row r="27" spans="1:13">
      <c r="A27" s="2"/>
      <c r="B27" s="5" t="str">
        <f>IF($A27="","",IFERROR(VLOOKUP($A27,'02_Конкуренты'!$A$4:$B$203,2,FALSE),"не найдено"))</f>
        <v/>
      </c>
      <c r="C27" s="2"/>
      <c r="D27" s="2"/>
      <c r="E27" s="2"/>
      <c r="F27" s="2"/>
      <c r="G27" s="2"/>
      <c r="H27" s="2"/>
      <c r="I27" s="2"/>
      <c r="J27" s="2"/>
      <c r="K27" s="7" t="str">
        <f t="shared" si="0"/>
        <v/>
      </c>
      <c r="L27" s="5" t="str">
        <f t="shared" si="1"/>
        <v/>
      </c>
      <c r="M27" s="2"/>
    </row>
    <row r="28" spans="1:13">
      <c r="A28" s="2"/>
      <c r="B28" s="5" t="str">
        <f>IF($A28="","",IFERROR(VLOOKUP($A28,'02_Конкуренты'!$A$4:$B$203,2,FALSE),"не найдено"))</f>
        <v/>
      </c>
      <c r="C28" s="2"/>
      <c r="D28" s="2"/>
      <c r="E28" s="2"/>
      <c r="F28" s="2"/>
      <c r="G28" s="2"/>
      <c r="H28" s="2"/>
      <c r="I28" s="2"/>
      <c r="J28" s="2"/>
      <c r="K28" s="7" t="str">
        <f t="shared" si="0"/>
        <v/>
      </c>
      <c r="L28" s="5" t="str">
        <f t="shared" si="1"/>
        <v/>
      </c>
      <c r="M28" s="2"/>
    </row>
    <row r="29" spans="1:13">
      <c r="A29" s="2"/>
      <c r="B29" s="5" t="str">
        <f>IF($A29="","",IFERROR(VLOOKUP($A29,'02_Конкуренты'!$A$4:$B$203,2,FALSE),"не найдено"))</f>
        <v/>
      </c>
      <c r="C29" s="2"/>
      <c r="D29" s="2"/>
      <c r="E29" s="2"/>
      <c r="F29" s="2"/>
      <c r="G29" s="2"/>
      <c r="H29" s="2"/>
      <c r="I29" s="2"/>
      <c r="J29" s="2"/>
      <c r="K29" s="7" t="str">
        <f t="shared" si="0"/>
        <v/>
      </c>
      <c r="L29" s="5" t="str">
        <f t="shared" si="1"/>
        <v/>
      </c>
      <c r="M29" s="2"/>
    </row>
    <row r="30" spans="1:13">
      <c r="A30" s="2"/>
      <c r="B30" s="5" t="str">
        <f>IF($A30="","",IFERROR(VLOOKUP($A30,'02_Конкуренты'!$A$4:$B$203,2,FALSE),"не найдено"))</f>
        <v/>
      </c>
      <c r="C30" s="2"/>
      <c r="D30" s="2"/>
      <c r="E30" s="2"/>
      <c r="F30" s="2"/>
      <c r="G30" s="2"/>
      <c r="H30" s="2"/>
      <c r="I30" s="2"/>
      <c r="J30" s="2"/>
      <c r="K30" s="7" t="str">
        <f t="shared" si="0"/>
        <v/>
      </c>
      <c r="L30" s="5" t="str">
        <f t="shared" si="1"/>
        <v/>
      </c>
      <c r="M30" s="2"/>
    </row>
    <row r="31" spans="1:13">
      <c r="A31" s="2"/>
      <c r="B31" s="5" t="str">
        <f>IF($A31="","",IFERROR(VLOOKUP($A31,'02_Конкуренты'!$A$4:$B$203,2,FALSE),"не найдено"))</f>
        <v/>
      </c>
      <c r="C31" s="2"/>
      <c r="D31" s="2"/>
      <c r="E31" s="2"/>
      <c r="F31" s="2"/>
      <c r="G31" s="2"/>
      <c r="H31" s="2"/>
      <c r="I31" s="2"/>
      <c r="J31" s="2"/>
      <c r="K31" s="7" t="str">
        <f t="shared" si="0"/>
        <v/>
      </c>
      <c r="L31" s="5" t="str">
        <f t="shared" si="1"/>
        <v/>
      </c>
      <c r="M31" s="2"/>
    </row>
    <row r="32" spans="1:13">
      <c r="A32" s="2"/>
      <c r="B32" s="5" t="str">
        <f>IF($A32="","",IFERROR(VLOOKUP($A32,'02_Конкуренты'!$A$4:$B$203,2,FALSE),"не найдено"))</f>
        <v/>
      </c>
      <c r="C32" s="2"/>
      <c r="D32" s="2"/>
      <c r="E32" s="2"/>
      <c r="F32" s="2"/>
      <c r="G32" s="2"/>
      <c r="H32" s="2"/>
      <c r="I32" s="2"/>
      <c r="J32" s="2"/>
      <c r="K32" s="7" t="str">
        <f t="shared" si="0"/>
        <v/>
      </c>
      <c r="L32" s="5" t="str">
        <f t="shared" si="1"/>
        <v/>
      </c>
      <c r="M32" s="2"/>
    </row>
    <row r="33" spans="1:13">
      <c r="A33" s="2"/>
      <c r="B33" s="5" t="str">
        <f>IF($A33="","",IFERROR(VLOOKUP($A33,'02_Конкуренты'!$A$4:$B$203,2,FALSE),"не найдено"))</f>
        <v/>
      </c>
      <c r="C33" s="2"/>
      <c r="D33" s="2"/>
      <c r="E33" s="2"/>
      <c r="F33" s="2"/>
      <c r="G33" s="2"/>
      <c r="H33" s="2"/>
      <c r="I33" s="2"/>
      <c r="J33" s="2"/>
      <c r="K33" s="7" t="str">
        <f t="shared" si="0"/>
        <v/>
      </c>
      <c r="L33" s="5" t="str">
        <f t="shared" si="1"/>
        <v/>
      </c>
      <c r="M33" s="2"/>
    </row>
    <row r="34" spans="1:13">
      <c r="A34" s="2"/>
      <c r="B34" s="5" t="str">
        <f>IF($A34="","",IFERROR(VLOOKUP($A34,'02_Конкуренты'!$A$4:$B$203,2,FALSE),"не найдено"))</f>
        <v/>
      </c>
      <c r="C34" s="2"/>
      <c r="D34" s="2"/>
      <c r="E34" s="2"/>
      <c r="F34" s="2"/>
      <c r="G34" s="2"/>
      <c r="H34" s="2"/>
      <c r="I34" s="2"/>
      <c r="J34" s="2"/>
      <c r="K34" s="7" t="str">
        <f t="shared" si="0"/>
        <v/>
      </c>
      <c r="L34" s="5" t="str">
        <f t="shared" si="1"/>
        <v/>
      </c>
      <c r="M34" s="2"/>
    </row>
    <row r="35" spans="1:13">
      <c r="A35" s="2"/>
      <c r="B35" s="5" t="str">
        <f>IF($A35="","",IFERROR(VLOOKUP($A35,'02_Конкуренты'!$A$4:$B$203,2,FALSE),"не найдено"))</f>
        <v/>
      </c>
      <c r="C35" s="2"/>
      <c r="D35" s="2"/>
      <c r="E35" s="2"/>
      <c r="F35" s="2"/>
      <c r="G35" s="2"/>
      <c r="H35" s="2"/>
      <c r="I35" s="2"/>
      <c r="J35" s="2"/>
      <c r="K35" s="7" t="str">
        <f t="shared" si="0"/>
        <v/>
      </c>
      <c r="L35" s="5" t="str">
        <f t="shared" si="1"/>
        <v/>
      </c>
      <c r="M35" s="2"/>
    </row>
    <row r="36" spans="1:13">
      <c r="A36" s="2"/>
      <c r="B36" s="5" t="str">
        <f>IF($A36="","",IFERROR(VLOOKUP($A36,'02_Конкуренты'!$A$4:$B$203,2,FALSE),"не найдено"))</f>
        <v/>
      </c>
      <c r="C36" s="2"/>
      <c r="D36" s="2"/>
      <c r="E36" s="2"/>
      <c r="F36" s="2"/>
      <c r="G36" s="2"/>
      <c r="H36" s="2"/>
      <c r="I36" s="2"/>
      <c r="J36" s="2"/>
      <c r="K36" s="7" t="str">
        <f t="shared" ref="K36:K67" si="2">IF($A36="","",$G36*0.3+$H36*0.25+$I36*0.25+$J36*0.2)</f>
        <v/>
      </c>
      <c r="L36" s="5" t="str">
        <f t="shared" ref="L36:L67" si="3">IF($A36="","",IF($K36&gt;=4,"сильное преимущество",IF($K36&gt;=3,"умеренное преимущество",IF($K36&gt;=2,"слабое преимущество","недостаточно подтверждений"))))</f>
        <v/>
      </c>
      <c r="M36" s="2"/>
    </row>
    <row r="37" spans="1:13">
      <c r="A37" s="2"/>
      <c r="B37" s="5" t="str">
        <f>IF($A37="","",IFERROR(VLOOKUP($A37,'02_Конкуренты'!$A$4:$B$203,2,FALSE),"не найдено"))</f>
        <v/>
      </c>
      <c r="C37" s="2"/>
      <c r="D37" s="2"/>
      <c r="E37" s="2"/>
      <c r="F37" s="2"/>
      <c r="G37" s="2"/>
      <c r="H37" s="2"/>
      <c r="I37" s="2"/>
      <c r="J37" s="2"/>
      <c r="K37" s="7" t="str">
        <f t="shared" si="2"/>
        <v/>
      </c>
      <c r="L37" s="5" t="str">
        <f t="shared" si="3"/>
        <v/>
      </c>
      <c r="M37" s="2"/>
    </row>
    <row r="38" spans="1:13">
      <c r="A38" s="2"/>
      <c r="B38" s="5" t="str">
        <f>IF($A38="","",IFERROR(VLOOKUP($A38,'02_Конкуренты'!$A$4:$B$203,2,FALSE),"не найдено"))</f>
        <v/>
      </c>
      <c r="C38" s="2"/>
      <c r="D38" s="2"/>
      <c r="E38" s="2"/>
      <c r="F38" s="2"/>
      <c r="G38" s="2"/>
      <c r="H38" s="2"/>
      <c r="I38" s="2"/>
      <c r="J38" s="2"/>
      <c r="K38" s="7" t="str">
        <f t="shared" si="2"/>
        <v/>
      </c>
      <c r="L38" s="5" t="str">
        <f t="shared" si="3"/>
        <v/>
      </c>
      <c r="M38" s="2"/>
    </row>
    <row r="39" spans="1:13">
      <c r="A39" s="2"/>
      <c r="B39" s="5" t="str">
        <f>IF($A39="","",IFERROR(VLOOKUP($A39,'02_Конкуренты'!$A$4:$B$203,2,FALSE),"не найдено"))</f>
        <v/>
      </c>
      <c r="C39" s="2"/>
      <c r="D39" s="2"/>
      <c r="E39" s="2"/>
      <c r="F39" s="2"/>
      <c r="G39" s="2"/>
      <c r="H39" s="2"/>
      <c r="I39" s="2"/>
      <c r="J39" s="2"/>
      <c r="K39" s="7" t="str">
        <f t="shared" si="2"/>
        <v/>
      </c>
      <c r="L39" s="5" t="str">
        <f t="shared" si="3"/>
        <v/>
      </c>
      <c r="M39" s="2"/>
    </row>
    <row r="40" spans="1:13">
      <c r="A40" s="2"/>
      <c r="B40" s="5" t="str">
        <f>IF($A40="","",IFERROR(VLOOKUP($A40,'02_Конкуренты'!$A$4:$B$203,2,FALSE),"не найдено"))</f>
        <v/>
      </c>
      <c r="C40" s="2"/>
      <c r="D40" s="2"/>
      <c r="E40" s="2"/>
      <c r="F40" s="2"/>
      <c r="G40" s="2"/>
      <c r="H40" s="2"/>
      <c r="I40" s="2"/>
      <c r="J40" s="2"/>
      <c r="K40" s="7" t="str">
        <f t="shared" si="2"/>
        <v/>
      </c>
      <c r="L40" s="5" t="str">
        <f t="shared" si="3"/>
        <v/>
      </c>
      <c r="M40" s="2"/>
    </row>
    <row r="41" spans="1:13">
      <c r="A41" s="2"/>
      <c r="B41" s="5" t="str">
        <f>IF($A41="","",IFERROR(VLOOKUP($A41,'02_Конкуренты'!$A$4:$B$203,2,FALSE),"не найдено"))</f>
        <v/>
      </c>
      <c r="C41" s="2"/>
      <c r="D41" s="2"/>
      <c r="E41" s="2"/>
      <c r="F41" s="2"/>
      <c r="G41" s="2"/>
      <c r="H41" s="2"/>
      <c r="I41" s="2"/>
      <c r="J41" s="2"/>
      <c r="K41" s="7" t="str">
        <f t="shared" si="2"/>
        <v/>
      </c>
      <c r="L41" s="5" t="str">
        <f t="shared" si="3"/>
        <v/>
      </c>
      <c r="M41" s="2"/>
    </row>
    <row r="42" spans="1:13">
      <c r="A42" s="2"/>
      <c r="B42" s="5" t="str">
        <f>IF($A42="","",IFERROR(VLOOKUP($A42,'02_Конкуренты'!$A$4:$B$203,2,FALSE),"не найдено"))</f>
        <v/>
      </c>
      <c r="C42" s="2"/>
      <c r="D42" s="2"/>
      <c r="E42" s="2"/>
      <c r="F42" s="2"/>
      <c r="G42" s="2"/>
      <c r="H42" s="2"/>
      <c r="I42" s="2"/>
      <c r="J42" s="2"/>
      <c r="K42" s="7" t="str">
        <f t="shared" si="2"/>
        <v/>
      </c>
      <c r="L42" s="5" t="str">
        <f t="shared" si="3"/>
        <v/>
      </c>
      <c r="M42" s="2"/>
    </row>
    <row r="43" spans="1:13">
      <c r="A43" s="2"/>
      <c r="B43" s="5" t="str">
        <f>IF($A43="","",IFERROR(VLOOKUP($A43,'02_Конкуренты'!$A$4:$B$203,2,FALSE),"не найдено"))</f>
        <v/>
      </c>
      <c r="C43" s="2"/>
      <c r="D43" s="2"/>
      <c r="E43" s="2"/>
      <c r="F43" s="2"/>
      <c r="G43" s="2"/>
      <c r="H43" s="2"/>
      <c r="I43" s="2"/>
      <c r="J43" s="2"/>
      <c r="K43" s="7" t="str">
        <f t="shared" si="2"/>
        <v/>
      </c>
      <c r="L43" s="5" t="str">
        <f t="shared" si="3"/>
        <v/>
      </c>
      <c r="M43" s="2"/>
    </row>
    <row r="44" spans="1:13">
      <c r="A44" s="2"/>
      <c r="B44" s="5" t="str">
        <f>IF($A44="","",IFERROR(VLOOKUP($A44,'02_Конкуренты'!$A$4:$B$203,2,FALSE),"не найдено"))</f>
        <v/>
      </c>
      <c r="C44" s="2"/>
      <c r="D44" s="2"/>
      <c r="E44" s="2"/>
      <c r="F44" s="2"/>
      <c r="G44" s="2"/>
      <c r="H44" s="2"/>
      <c r="I44" s="2"/>
      <c r="J44" s="2"/>
      <c r="K44" s="7" t="str">
        <f t="shared" si="2"/>
        <v/>
      </c>
      <c r="L44" s="5" t="str">
        <f t="shared" si="3"/>
        <v/>
      </c>
      <c r="M44" s="2"/>
    </row>
    <row r="45" spans="1:13">
      <c r="A45" s="2"/>
      <c r="B45" s="5" t="str">
        <f>IF($A45="","",IFERROR(VLOOKUP($A45,'02_Конкуренты'!$A$4:$B$203,2,FALSE),"не найдено"))</f>
        <v/>
      </c>
      <c r="C45" s="2"/>
      <c r="D45" s="2"/>
      <c r="E45" s="2"/>
      <c r="F45" s="2"/>
      <c r="G45" s="2"/>
      <c r="H45" s="2"/>
      <c r="I45" s="2"/>
      <c r="J45" s="2"/>
      <c r="K45" s="7" t="str">
        <f t="shared" si="2"/>
        <v/>
      </c>
      <c r="L45" s="5" t="str">
        <f t="shared" si="3"/>
        <v/>
      </c>
      <c r="M45" s="2"/>
    </row>
    <row r="46" spans="1:13">
      <c r="A46" s="2"/>
      <c r="B46" s="5" t="str">
        <f>IF($A46="","",IFERROR(VLOOKUP($A46,'02_Конкуренты'!$A$4:$B$203,2,FALSE),"не найдено"))</f>
        <v/>
      </c>
      <c r="C46" s="2"/>
      <c r="D46" s="2"/>
      <c r="E46" s="2"/>
      <c r="F46" s="2"/>
      <c r="G46" s="2"/>
      <c r="H46" s="2"/>
      <c r="I46" s="2"/>
      <c r="J46" s="2"/>
      <c r="K46" s="7" t="str">
        <f t="shared" si="2"/>
        <v/>
      </c>
      <c r="L46" s="5" t="str">
        <f t="shared" si="3"/>
        <v/>
      </c>
      <c r="M46" s="2"/>
    </row>
    <row r="47" spans="1:13">
      <c r="A47" s="2"/>
      <c r="B47" s="5" t="str">
        <f>IF($A47="","",IFERROR(VLOOKUP($A47,'02_Конкуренты'!$A$4:$B$203,2,FALSE),"не найдено"))</f>
        <v/>
      </c>
      <c r="C47" s="2"/>
      <c r="D47" s="2"/>
      <c r="E47" s="2"/>
      <c r="F47" s="2"/>
      <c r="G47" s="2"/>
      <c r="H47" s="2"/>
      <c r="I47" s="2"/>
      <c r="J47" s="2"/>
      <c r="K47" s="7" t="str">
        <f t="shared" si="2"/>
        <v/>
      </c>
      <c r="L47" s="5" t="str">
        <f t="shared" si="3"/>
        <v/>
      </c>
      <c r="M47" s="2"/>
    </row>
    <row r="48" spans="1:13">
      <c r="A48" s="2"/>
      <c r="B48" s="5" t="str">
        <f>IF($A48="","",IFERROR(VLOOKUP($A48,'02_Конкуренты'!$A$4:$B$203,2,FALSE),"не найдено"))</f>
        <v/>
      </c>
      <c r="C48" s="2"/>
      <c r="D48" s="2"/>
      <c r="E48" s="2"/>
      <c r="F48" s="2"/>
      <c r="G48" s="2"/>
      <c r="H48" s="2"/>
      <c r="I48" s="2"/>
      <c r="J48" s="2"/>
      <c r="K48" s="7" t="str">
        <f t="shared" si="2"/>
        <v/>
      </c>
      <c r="L48" s="5" t="str">
        <f t="shared" si="3"/>
        <v/>
      </c>
      <c r="M48" s="2"/>
    </row>
    <row r="49" spans="1:13">
      <c r="A49" s="2"/>
      <c r="B49" s="5" t="str">
        <f>IF($A49="","",IFERROR(VLOOKUP($A49,'02_Конкуренты'!$A$4:$B$203,2,FALSE),"не найдено"))</f>
        <v/>
      </c>
      <c r="C49" s="2"/>
      <c r="D49" s="2"/>
      <c r="E49" s="2"/>
      <c r="F49" s="2"/>
      <c r="G49" s="2"/>
      <c r="H49" s="2"/>
      <c r="I49" s="2"/>
      <c r="J49" s="2"/>
      <c r="K49" s="7" t="str">
        <f t="shared" si="2"/>
        <v/>
      </c>
      <c r="L49" s="5" t="str">
        <f t="shared" si="3"/>
        <v/>
      </c>
      <c r="M49" s="2"/>
    </row>
    <row r="50" spans="1:13">
      <c r="A50" s="2"/>
      <c r="B50" s="5" t="str">
        <f>IF($A50="","",IFERROR(VLOOKUP($A50,'02_Конкуренты'!$A$4:$B$203,2,FALSE),"не найдено"))</f>
        <v/>
      </c>
      <c r="C50" s="2"/>
      <c r="D50" s="2"/>
      <c r="E50" s="2"/>
      <c r="F50" s="2"/>
      <c r="G50" s="2"/>
      <c r="H50" s="2"/>
      <c r="I50" s="2"/>
      <c r="J50" s="2"/>
      <c r="K50" s="7" t="str">
        <f t="shared" si="2"/>
        <v/>
      </c>
      <c r="L50" s="5" t="str">
        <f t="shared" si="3"/>
        <v/>
      </c>
      <c r="M50" s="2"/>
    </row>
    <row r="51" spans="1:13">
      <c r="A51" s="2"/>
      <c r="B51" s="5" t="str">
        <f>IF($A51="","",IFERROR(VLOOKUP($A51,'02_Конкуренты'!$A$4:$B$203,2,FALSE),"не найдено"))</f>
        <v/>
      </c>
      <c r="C51" s="2"/>
      <c r="D51" s="2"/>
      <c r="E51" s="2"/>
      <c r="F51" s="2"/>
      <c r="G51" s="2"/>
      <c r="H51" s="2"/>
      <c r="I51" s="2"/>
      <c r="J51" s="2"/>
      <c r="K51" s="7" t="str">
        <f t="shared" si="2"/>
        <v/>
      </c>
      <c r="L51" s="5" t="str">
        <f t="shared" si="3"/>
        <v/>
      </c>
      <c r="M51" s="2"/>
    </row>
    <row r="52" spans="1:13">
      <c r="A52" s="2"/>
      <c r="B52" s="5" t="str">
        <f>IF($A52="","",IFERROR(VLOOKUP($A52,'02_Конкуренты'!$A$4:$B$203,2,FALSE),"не найдено"))</f>
        <v/>
      </c>
      <c r="C52" s="2"/>
      <c r="D52" s="2"/>
      <c r="E52" s="2"/>
      <c r="F52" s="2"/>
      <c r="G52" s="2"/>
      <c r="H52" s="2"/>
      <c r="I52" s="2"/>
      <c r="J52" s="2"/>
      <c r="K52" s="7" t="str">
        <f t="shared" si="2"/>
        <v/>
      </c>
      <c r="L52" s="5" t="str">
        <f t="shared" si="3"/>
        <v/>
      </c>
      <c r="M52" s="2"/>
    </row>
    <row r="53" spans="1:13">
      <c r="A53" s="2"/>
      <c r="B53" s="5" t="str">
        <f>IF($A53="","",IFERROR(VLOOKUP($A53,'02_Конкуренты'!$A$4:$B$203,2,FALSE),"не найдено"))</f>
        <v/>
      </c>
      <c r="C53" s="2"/>
      <c r="D53" s="2"/>
      <c r="E53" s="2"/>
      <c r="F53" s="2"/>
      <c r="G53" s="2"/>
      <c r="H53" s="2"/>
      <c r="I53" s="2"/>
      <c r="J53" s="2"/>
      <c r="K53" s="7" t="str">
        <f t="shared" si="2"/>
        <v/>
      </c>
      <c r="L53" s="5" t="str">
        <f t="shared" si="3"/>
        <v/>
      </c>
      <c r="M53" s="2"/>
    </row>
    <row r="54" spans="1:13">
      <c r="A54" s="2"/>
      <c r="B54" s="5" t="str">
        <f>IF($A54="","",IFERROR(VLOOKUP($A54,'02_Конкуренты'!$A$4:$B$203,2,FALSE),"не найдено"))</f>
        <v/>
      </c>
      <c r="C54" s="2"/>
      <c r="D54" s="2"/>
      <c r="E54" s="2"/>
      <c r="F54" s="2"/>
      <c r="G54" s="2"/>
      <c r="H54" s="2"/>
      <c r="I54" s="2"/>
      <c r="J54" s="2"/>
      <c r="K54" s="7" t="str">
        <f t="shared" si="2"/>
        <v/>
      </c>
      <c r="L54" s="5" t="str">
        <f t="shared" si="3"/>
        <v/>
      </c>
      <c r="M54" s="2"/>
    </row>
    <row r="55" spans="1:13">
      <c r="A55" s="2"/>
      <c r="B55" s="5" t="str">
        <f>IF($A55="","",IFERROR(VLOOKUP($A55,'02_Конкуренты'!$A$4:$B$203,2,FALSE),"не найдено"))</f>
        <v/>
      </c>
      <c r="C55" s="2"/>
      <c r="D55" s="2"/>
      <c r="E55" s="2"/>
      <c r="F55" s="2"/>
      <c r="G55" s="2"/>
      <c r="H55" s="2"/>
      <c r="I55" s="2"/>
      <c r="J55" s="2"/>
      <c r="K55" s="7" t="str">
        <f t="shared" si="2"/>
        <v/>
      </c>
      <c r="L55" s="5" t="str">
        <f t="shared" si="3"/>
        <v/>
      </c>
      <c r="M55" s="2"/>
    </row>
    <row r="56" spans="1:13">
      <c r="A56" s="2"/>
      <c r="B56" s="5" t="str">
        <f>IF($A56="","",IFERROR(VLOOKUP($A56,'02_Конкуренты'!$A$4:$B$203,2,FALSE),"не найдено"))</f>
        <v/>
      </c>
      <c r="C56" s="2"/>
      <c r="D56" s="2"/>
      <c r="E56" s="2"/>
      <c r="F56" s="2"/>
      <c r="G56" s="2"/>
      <c r="H56" s="2"/>
      <c r="I56" s="2"/>
      <c r="J56" s="2"/>
      <c r="K56" s="7" t="str">
        <f t="shared" si="2"/>
        <v/>
      </c>
      <c r="L56" s="5" t="str">
        <f t="shared" si="3"/>
        <v/>
      </c>
      <c r="M56" s="2"/>
    </row>
    <row r="57" spans="1:13">
      <c r="A57" s="2"/>
      <c r="B57" s="5" t="str">
        <f>IF($A57="","",IFERROR(VLOOKUP($A57,'02_Конкуренты'!$A$4:$B$203,2,FALSE),"не найдено"))</f>
        <v/>
      </c>
      <c r="C57" s="2"/>
      <c r="D57" s="2"/>
      <c r="E57" s="2"/>
      <c r="F57" s="2"/>
      <c r="G57" s="2"/>
      <c r="H57" s="2"/>
      <c r="I57" s="2"/>
      <c r="J57" s="2"/>
      <c r="K57" s="7" t="str">
        <f t="shared" si="2"/>
        <v/>
      </c>
      <c r="L57" s="5" t="str">
        <f t="shared" si="3"/>
        <v/>
      </c>
      <c r="M57" s="2"/>
    </row>
    <row r="58" spans="1:13">
      <c r="A58" s="2"/>
      <c r="B58" s="5" t="str">
        <f>IF($A58="","",IFERROR(VLOOKUP($A58,'02_Конкуренты'!$A$4:$B$203,2,FALSE),"не найдено"))</f>
        <v/>
      </c>
      <c r="C58" s="2"/>
      <c r="D58" s="2"/>
      <c r="E58" s="2"/>
      <c r="F58" s="2"/>
      <c r="G58" s="2"/>
      <c r="H58" s="2"/>
      <c r="I58" s="2"/>
      <c r="J58" s="2"/>
      <c r="K58" s="7" t="str">
        <f t="shared" si="2"/>
        <v/>
      </c>
      <c r="L58" s="5" t="str">
        <f t="shared" si="3"/>
        <v/>
      </c>
      <c r="M58" s="2"/>
    </row>
    <row r="59" spans="1:13">
      <c r="A59" s="2"/>
      <c r="B59" s="5" t="str">
        <f>IF($A59="","",IFERROR(VLOOKUP($A59,'02_Конкуренты'!$A$4:$B$203,2,FALSE),"не найдено"))</f>
        <v/>
      </c>
      <c r="C59" s="2"/>
      <c r="D59" s="2"/>
      <c r="E59" s="2"/>
      <c r="F59" s="2"/>
      <c r="G59" s="2"/>
      <c r="H59" s="2"/>
      <c r="I59" s="2"/>
      <c r="J59" s="2"/>
      <c r="K59" s="7" t="str">
        <f t="shared" si="2"/>
        <v/>
      </c>
      <c r="L59" s="5" t="str">
        <f t="shared" si="3"/>
        <v/>
      </c>
      <c r="M59" s="2"/>
    </row>
    <row r="60" spans="1:13">
      <c r="A60" s="2"/>
      <c r="B60" s="5" t="str">
        <f>IF($A60="","",IFERROR(VLOOKUP($A60,'02_Конкуренты'!$A$4:$B$203,2,FALSE),"не найдено"))</f>
        <v/>
      </c>
      <c r="C60" s="2"/>
      <c r="D60" s="2"/>
      <c r="E60" s="2"/>
      <c r="F60" s="2"/>
      <c r="G60" s="2"/>
      <c r="H60" s="2"/>
      <c r="I60" s="2"/>
      <c r="J60" s="2"/>
      <c r="K60" s="7" t="str">
        <f t="shared" si="2"/>
        <v/>
      </c>
      <c r="L60" s="5" t="str">
        <f t="shared" si="3"/>
        <v/>
      </c>
      <c r="M60" s="2"/>
    </row>
    <row r="61" spans="1:13">
      <c r="A61" s="2"/>
      <c r="B61" s="5" t="str">
        <f>IF($A61="","",IFERROR(VLOOKUP($A61,'02_Конкуренты'!$A$4:$B$203,2,FALSE),"не найдено"))</f>
        <v/>
      </c>
      <c r="C61" s="2"/>
      <c r="D61" s="2"/>
      <c r="E61" s="2"/>
      <c r="F61" s="2"/>
      <c r="G61" s="2"/>
      <c r="H61" s="2"/>
      <c r="I61" s="2"/>
      <c r="J61" s="2"/>
      <c r="K61" s="7" t="str">
        <f t="shared" si="2"/>
        <v/>
      </c>
      <c r="L61" s="5" t="str">
        <f t="shared" si="3"/>
        <v/>
      </c>
      <c r="M61" s="2"/>
    </row>
    <row r="62" spans="1:13">
      <c r="A62" s="2"/>
      <c r="B62" s="5" t="str">
        <f>IF($A62="","",IFERROR(VLOOKUP($A62,'02_Конкуренты'!$A$4:$B$203,2,FALSE),"не найдено"))</f>
        <v/>
      </c>
      <c r="C62" s="2"/>
      <c r="D62" s="2"/>
      <c r="E62" s="2"/>
      <c r="F62" s="2"/>
      <c r="G62" s="2"/>
      <c r="H62" s="2"/>
      <c r="I62" s="2"/>
      <c r="J62" s="2"/>
      <c r="K62" s="7" t="str">
        <f t="shared" si="2"/>
        <v/>
      </c>
      <c r="L62" s="5" t="str">
        <f t="shared" si="3"/>
        <v/>
      </c>
      <c r="M62" s="2"/>
    </row>
    <row r="63" spans="1:13">
      <c r="A63" s="2"/>
      <c r="B63" s="5" t="str">
        <f>IF($A63="","",IFERROR(VLOOKUP($A63,'02_Конкуренты'!$A$4:$B$203,2,FALSE),"не найдено"))</f>
        <v/>
      </c>
      <c r="C63" s="2"/>
      <c r="D63" s="2"/>
      <c r="E63" s="2"/>
      <c r="F63" s="2"/>
      <c r="G63" s="2"/>
      <c r="H63" s="2"/>
      <c r="I63" s="2"/>
      <c r="J63" s="2"/>
      <c r="K63" s="7" t="str">
        <f t="shared" si="2"/>
        <v/>
      </c>
      <c r="L63" s="5" t="str">
        <f t="shared" si="3"/>
        <v/>
      </c>
      <c r="M63" s="2"/>
    </row>
    <row r="64" spans="1:13">
      <c r="A64" s="2"/>
      <c r="B64" s="5" t="str">
        <f>IF($A64="","",IFERROR(VLOOKUP($A64,'02_Конкуренты'!$A$4:$B$203,2,FALSE),"не найдено"))</f>
        <v/>
      </c>
      <c r="C64" s="2"/>
      <c r="D64" s="2"/>
      <c r="E64" s="2"/>
      <c r="F64" s="2"/>
      <c r="G64" s="2"/>
      <c r="H64" s="2"/>
      <c r="I64" s="2"/>
      <c r="J64" s="2"/>
      <c r="K64" s="7" t="str">
        <f t="shared" si="2"/>
        <v/>
      </c>
      <c r="L64" s="5" t="str">
        <f t="shared" si="3"/>
        <v/>
      </c>
      <c r="M64" s="2"/>
    </row>
    <row r="65" spans="1:13">
      <c r="A65" s="2"/>
      <c r="B65" s="5" t="str">
        <f>IF($A65="","",IFERROR(VLOOKUP($A65,'02_Конкуренты'!$A$4:$B$203,2,FALSE),"не найдено"))</f>
        <v/>
      </c>
      <c r="C65" s="2"/>
      <c r="D65" s="2"/>
      <c r="E65" s="2"/>
      <c r="F65" s="2"/>
      <c r="G65" s="2"/>
      <c r="H65" s="2"/>
      <c r="I65" s="2"/>
      <c r="J65" s="2"/>
      <c r="K65" s="7" t="str">
        <f t="shared" si="2"/>
        <v/>
      </c>
      <c r="L65" s="5" t="str">
        <f t="shared" si="3"/>
        <v/>
      </c>
      <c r="M65" s="2"/>
    </row>
    <row r="66" spans="1:13">
      <c r="A66" s="2"/>
      <c r="B66" s="5" t="str">
        <f>IF($A66="","",IFERROR(VLOOKUP($A66,'02_Конкуренты'!$A$4:$B$203,2,FALSE),"не найдено"))</f>
        <v/>
      </c>
      <c r="C66" s="2"/>
      <c r="D66" s="2"/>
      <c r="E66" s="2"/>
      <c r="F66" s="2"/>
      <c r="G66" s="2"/>
      <c r="H66" s="2"/>
      <c r="I66" s="2"/>
      <c r="J66" s="2"/>
      <c r="K66" s="7" t="str">
        <f t="shared" si="2"/>
        <v/>
      </c>
      <c r="L66" s="5" t="str">
        <f t="shared" si="3"/>
        <v/>
      </c>
      <c r="M66" s="2"/>
    </row>
    <row r="67" spans="1:13">
      <c r="A67" s="2"/>
      <c r="B67" s="5" t="str">
        <f>IF($A67="","",IFERROR(VLOOKUP($A67,'02_Конкуренты'!$A$4:$B$203,2,FALSE),"не найдено"))</f>
        <v/>
      </c>
      <c r="C67" s="2"/>
      <c r="D67" s="2"/>
      <c r="E67" s="2"/>
      <c r="F67" s="2"/>
      <c r="G67" s="2"/>
      <c r="H67" s="2"/>
      <c r="I67" s="2"/>
      <c r="J67" s="2"/>
      <c r="K67" s="7" t="str">
        <f t="shared" si="2"/>
        <v/>
      </c>
      <c r="L67" s="5" t="str">
        <f t="shared" si="3"/>
        <v/>
      </c>
      <c r="M67" s="2"/>
    </row>
    <row r="68" spans="1:13">
      <c r="A68" s="2"/>
      <c r="B68" s="5" t="str">
        <f>IF($A68="","",IFERROR(VLOOKUP($A68,'02_Конкуренты'!$A$4:$B$203,2,FALSE),"не найдено"))</f>
        <v/>
      </c>
      <c r="C68" s="2"/>
      <c r="D68" s="2"/>
      <c r="E68" s="2"/>
      <c r="F68" s="2"/>
      <c r="G68" s="2"/>
      <c r="H68" s="2"/>
      <c r="I68" s="2"/>
      <c r="J68" s="2"/>
      <c r="K68" s="7" t="str">
        <f t="shared" ref="K68:K99" si="4">IF($A68="","",$G68*0.3+$H68*0.25+$I68*0.25+$J68*0.2)</f>
        <v/>
      </c>
      <c r="L68" s="5" t="str">
        <f t="shared" ref="L68:L99" si="5">IF($A68="","",IF($K68&gt;=4,"сильное преимущество",IF($K68&gt;=3,"умеренное преимущество",IF($K68&gt;=2,"слабое преимущество","недостаточно подтверждений"))))</f>
        <v/>
      </c>
      <c r="M68" s="2"/>
    </row>
    <row r="69" spans="1:13">
      <c r="A69" s="2"/>
      <c r="B69" s="5" t="str">
        <f>IF($A69="","",IFERROR(VLOOKUP($A69,'02_Конкуренты'!$A$4:$B$203,2,FALSE),"не найдено"))</f>
        <v/>
      </c>
      <c r="C69" s="2"/>
      <c r="D69" s="2"/>
      <c r="E69" s="2"/>
      <c r="F69" s="2"/>
      <c r="G69" s="2"/>
      <c r="H69" s="2"/>
      <c r="I69" s="2"/>
      <c r="J69" s="2"/>
      <c r="K69" s="7" t="str">
        <f t="shared" si="4"/>
        <v/>
      </c>
      <c r="L69" s="5" t="str">
        <f t="shared" si="5"/>
        <v/>
      </c>
      <c r="M69" s="2"/>
    </row>
    <row r="70" spans="1:13">
      <c r="A70" s="2"/>
      <c r="B70" s="5" t="str">
        <f>IF($A70="","",IFERROR(VLOOKUP($A70,'02_Конкуренты'!$A$4:$B$203,2,FALSE),"не найдено"))</f>
        <v/>
      </c>
      <c r="C70" s="2"/>
      <c r="D70" s="2"/>
      <c r="E70" s="2"/>
      <c r="F70" s="2"/>
      <c r="G70" s="2"/>
      <c r="H70" s="2"/>
      <c r="I70" s="2"/>
      <c r="J70" s="2"/>
      <c r="K70" s="7" t="str">
        <f t="shared" si="4"/>
        <v/>
      </c>
      <c r="L70" s="5" t="str">
        <f t="shared" si="5"/>
        <v/>
      </c>
      <c r="M70" s="2"/>
    </row>
    <row r="71" spans="1:13">
      <c r="A71" s="2"/>
      <c r="B71" s="5" t="str">
        <f>IF($A71="","",IFERROR(VLOOKUP($A71,'02_Конкуренты'!$A$4:$B$203,2,FALSE),"не найдено"))</f>
        <v/>
      </c>
      <c r="C71" s="2"/>
      <c r="D71" s="2"/>
      <c r="E71" s="2"/>
      <c r="F71" s="2"/>
      <c r="G71" s="2"/>
      <c r="H71" s="2"/>
      <c r="I71" s="2"/>
      <c r="J71" s="2"/>
      <c r="K71" s="7" t="str">
        <f t="shared" si="4"/>
        <v/>
      </c>
      <c r="L71" s="5" t="str">
        <f t="shared" si="5"/>
        <v/>
      </c>
      <c r="M71" s="2"/>
    </row>
    <row r="72" spans="1:13">
      <c r="A72" s="2"/>
      <c r="B72" s="5" t="str">
        <f>IF($A72="","",IFERROR(VLOOKUP($A72,'02_Конкуренты'!$A$4:$B$203,2,FALSE),"не найдено"))</f>
        <v/>
      </c>
      <c r="C72" s="2"/>
      <c r="D72" s="2"/>
      <c r="E72" s="2"/>
      <c r="F72" s="2"/>
      <c r="G72" s="2"/>
      <c r="H72" s="2"/>
      <c r="I72" s="2"/>
      <c r="J72" s="2"/>
      <c r="K72" s="7" t="str">
        <f t="shared" si="4"/>
        <v/>
      </c>
      <c r="L72" s="5" t="str">
        <f t="shared" si="5"/>
        <v/>
      </c>
      <c r="M72" s="2"/>
    </row>
    <row r="73" spans="1:13">
      <c r="A73" s="2"/>
      <c r="B73" s="5" t="str">
        <f>IF($A73="","",IFERROR(VLOOKUP($A73,'02_Конкуренты'!$A$4:$B$203,2,FALSE),"не найдено"))</f>
        <v/>
      </c>
      <c r="C73" s="2"/>
      <c r="D73" s="2"/>
      <c r="E73" s="2"/>
      <c r="F73" s="2"/>
      <c r="G73" s="2"/>
      <c r="H73" s="2"/>
      <c r="I73" s="2"/>
      <c r="J73" s="2"/>
      <c r="K73" s="7" t="str">
        <f t="shared" si="4"/>
        <v/>
      </c>
      <c r="L73" s="5" t="str">
        <f t="shared" si="5"/>
        <v/>
      </c>
      <c r="M73" s="2"/>
    </row>
    <row r="74" spans="1:13">
      <c r="A74" s="2"/>
      <c r="B74" s="5" t="str">
        <f>IF($A74="","",IFERROR(VLOOKUP($A74,'02_Конкуренты'!$A$4:$B$203,2,FALSE),"не найдено"))</f>
        <v/>
      </c>
      <c r="C74" s="2"/>
      <c r="D74" s="2"/>
      <c r="E74" s="2"/>
      <c r="F74" s="2"/>
      <c r="G74" s="2"/>
      <c r="H74" s="2"/>
      <c r="I74" s="2"/>
      <c r="J74" s="2"/>
      <c r="K74" s="7" t="str">
        <f t="shared" si="4"/>
        <v/>
      </c>
      <c r="L74" s="5" t="str">
        <f t="shared" si="5"/>
        <v/>
      </c>
      <c r="M74" s="2"/>
    </row>
    <row r="75" spans="1:13">
      <c r="A75" s="2"/>
      <c r="B75" s="5" t="str">
        <f>IF($A75="","",IFERROR(VLOOKUP($A75,'02_Конкуренты'!$A$4:$B$203,2,FALSE),"не найдено"))</f>
        <v/>
      </c>
      <c r="C75" s="2"/>
      <c r="D75" s="2"/>
      <c r="E75" s="2"/>
      <c r="F75" s="2"/>
      <c r="G75" s="2"/>
      <c r="H75" s="2"/>
      <c r="I75" s="2"/>
      <c r="J75" s="2"/>
      <c r="K75" s="7" t="str">
        <f t="shared" si="4"/>
        <v/>
      </c>
      <c r="L75" s="5" t="str">
        <f t="shared" si="5"/>
        <v/>
      </c>
      <c r="M75" s="2"/>
    </row>
    <row r="76" spans="1:13">
      <c r="A76" s="2"/>
      <c r="B76" s="5" t="str">
        <f>IF($A76="","",IFERROR(VLOOKUP($A76,'02_Конкуренты'!$A$4:$B$203,2,FALSE),"не найдено"))</f>
        <v/>
      </c>
      <c r="C76" s="2"/>
      <c r="D76" s="2"/>
      <c r="E76" s="2"/>
      <c r="F76" s="2"/>
      <c r="G76" s="2"/>
      <c r="H76" s="2"/>
      <c r="I76" s="2"/>
      <c r="J76" s="2"/>
      <c r="K76" s="7" t="str">
        <f t="shared" si="4"/>
        <v/>
      </c>
      <c r="L76" s="5" t="str">
        <f t="shared" si="5"/>
        <v/>
      </c>
      <c r="M76" s="2"/>
    </row>
    <row r="77" spans="1:13">
      <c r="A77" s="2"/>
      <c r="B77" s="5" t="str">
        <f>IF($A77="","",IFERROR(VLOOKUP($A77,'02_Конкуренты'!$A$4:$B$203,2,FALSE),"не найдено"))</f>
        <v/>
      </c>
      <c r="C77" s="2"/>
      <c r="D77" s="2"/>
      <c r="E77" s="2"/>
      <c r="F77" s="2"/>
      <c r="G77" s="2"/>
      <c r="H77" s="2"/>
      <c r="I77" s="2"/>
      <c r="J77" s="2"/>
      <c r="K77" s="7" t="str">
        <f t="shared" si="4"/>
        <v/>
      </c>
      <c r="L77" s="5" t="str">
        <f t="shared" si="5"/>
        <v/>
      </c>
      <c r="M77" s="2"/>
    </row>
    <row r="78" spans="1:13">
      <c r="A78" s="2"/>
      <c r="B78" s="5" t="str">
        <f>IF($A78="","",IFERROR(VLOOKUP($A78,'02_Конкуренты'!$A$4:$B$203,2,FALSE),"не найдено"))</f>
        <v/>
      </c>
      <c r="C78" s="2"/>
      <c r="D78" s="2"/>
      <c r="E78" s="2"/>
      <c r="F78" s="2"/>
      <c r="G78" s="2"/>
      <c r="H78" s="2"/>
      <c r="I78" s="2"/>
      <c r="J78" s="2"/>
      <c r="K78" s="7" t="str">
        <f t="shared" si="4"/>
        <v/>
      </c>
      <c r="L78" s="5" t="str">
        <f t="shared" si="5"/>
        <v/>
      </c>
      <c r="M78" s="2"/>
    </row>
    <row r="79" spans="1:13">
      <c r="A79" s="2"/>
      <c r="B79" s="5" t="str">
        <f>IF($A79="","",IFERROR(VLOOKUP($A79,'02_Конкуренты'!$A$4:$B$203,2,FALSE),"не найдено"))</f>
        <v/>
      </c>
      <c r="C79" s="2"/>
      <c r="D79" s="2"/>
      <c r="E79" s="2"/>
      <c r="F79" s="2"/>
      <c r="G79" s="2"/>
      <c r="H79" s="2"/>
      <c r="I79" s="2"/>
      <c r="J79" s="2"/>
      <c r="K79" s="7" t="str">
        <f t="shared" si="4"/>
        <v/>
      </c>
      <c r="L79" s="5" t="str">
        <f t="shared" si="5"/>
        <v/>
      </c>
      <c r="M79" s="2"/>
    </row>
    <row r="80" spans="1:13">
      <c r="A80" s="2"/>
      <c r="B80" s="5" t="str">
        <f>IF($A80="","",IFERROR(VLOOKUP($A80,'02_Конкуренты'!$A$4:$B$203,2,FALSE),"не найдено"))</f>
        <v/>
      </c>
      <c r="C80" s="2"/>
      <c r="D80" s="2"/>
      <c r="E80" s="2"/>
      <c r="F80" s="2"/>
      <c r="G80" s="2"/>
      <c r="H80" s="2"/>
      <c r="I80" s="2"/>
      <c r="J80" s="2"/>
      <c r="K80" s="7" t="str">
        <f t="shared" si="4"/>
        <v/>
      </c>
      <c r="L80" s="5" t="str">
        <f t="shared" si="5"/>
        <v/>
      </c>
      <c r="M80" s="2"/>
    </row>
    <row r="81" spans="1:13">
      <c r="A81" s="2"/>
      <c r="B81" s="5" t="str">
        <f>IF($A81="","",IFERROR(VLOOKUP($A81,'02_Конкуренты'!$A$4:$B$203,2,FALSE),"не найдено"))</f>
        <v/>
      </c>
      <c r="C81" s="2"/>
      <c r="D81" s="2"/>
      <c r="E81" s="2"/>
      <c r="F81" s="2"/>
      <c r="G81" s="2"/>
      <c r="H81" s="2"/>
      <c r="I81" s="2"/>
      <c r="J81" s="2"/>
      <c r="K81" s="7" t="str">
        <f t="shared" si="4"/>
        <v/>
      </c>
      <c r="L81" s="5" t="str">
        <f t="shared" si="5"/>
        <v/>
      </c>
      <c r="M81" s="2"/>
    </row>
    <row r="82" spans="1:13">
      <c r="A82" s="2"/>
      <c r="B82" s="5" t="str">
        <f>IF($A82="","",IFERROR(VLOOKUP($A82,'02_Конкуренты'!$A$4:$B$203,2,FALSE),"не найдено"))</f>
        <v/>
      </c>
      <c r="C82" s="2"/>
      <c r="D82" s="2"/>
      <c r="E82" s="2"/>
      <c r="F82" s="2"/>
      <c r="G82" s="2"/>
      <c r="H82" s="2"/>
      <c r="I82" s="2"/>
      <c r="J82" s="2"/>
      <c r="K82" s="7" t="str">
        <f t="shared" si="4"/>
        <v/>
      </c>
      <c r="L82" s="5" t="str">
        <f t="shared" si="5"/>
        <v/>
      </c>
      <c r="M82" s="2"/>
    </row>
    <row r="83" spans="1:13">
      <c r="A83" s="2"/>
      <c r="B83" s="5" t="str">
        <f>IF($A83="","",IFERROR(VLOOKUP($A83,'02_Конкуренты'!$A$4:$B$203,2,FALSE),"не найдено"))</f>
        <v/>
      </c>
      <c r="C83" s="2"/>
      <c r="D83" s="2"/>
      <c r="E83" s="2"/>
      <c r="F83" s="2"/>
      <c r="G83" s="2"/>
      <c r="H83" s="2"/>
      <c r="I83" s="2"/>
      <c r="J83" s="2"/>
      <c r="K83" s="7" t="str">
        <f t="shared" si="4"/>
        <v/>
      </c>
      <c r="L83" s="5" t="str">
        <f t="shared" si="5"/>
        <v/>
      </c>
      <c r="M83" s="2"/>
    </row>
    <row r="84" spans="1:13">
      <c r="A84" s="2"/>
      <c r="B84" s="5" t="str">
        <f>IF($A84="","",IFERROR(VLOOKUP($A84,'02_Конкуренты'!$A$4:$B$203,2,FALSE),"не найдено"))</f>
        <v/>
      </c>
      <c r="C84" s="2"/>
      <c r="D84" s="2"/>
      <c r="E84" s="2"/>
      <c r="F84" s="2"/>
      <c r="G84" s="2"/>
      <c r="H84" s="2"/>
      <c r="I84" s="2"/>
      <c r="J84" s="2"/>
      <c r="K84" s="7" t="str">
        <f t="shared" si="4"/>
        <v/>
      </c>
      <c r="L84" s="5" t="str">
        <f t="shared" si="5"/>
        <v/>
      </c>
      <c r="M84" s="2"/>
    </row>
    <row r="85" spans="1:13">
      <c r="A85" s="2"/>
      <c r="B85" s="5" t="str">
        <f>IF($A85="","",IFERROR(VLOOKUP($A85,'02_Конкуренты'!$A$4:$B$203,2,FALSE),"не найдено"))</f>
        <v/>
      </c>
      <c r="C85" s="2"/>
      <c r="D85" s="2"/>
      <c r="E85" s="2"/>
      <c r="F85" s="2"/>
      <c r="G85" s="2"/>
      <c r="H85" s="2"/>
      <c r="I85" s="2"/>
      <c r="J85" s="2"/>
      <c r="K85" s="7" t="str">
        <f t="shared" si="4"/>
        <v/>
      </c>
      <c r="L85" s="5" t="str">
        <f t="shared" si="5"/>
        <v/>
      </c>
      <c r="M85" s="2"/>
    </row>
    <row r="86" spans="1:13">
      <c r="A86" s="2"/>
      <c r="B86" s="5" t="str">
        <f>IF($A86="","",IFERROR(VLOOKUP($A86,'02_Конкуренты'!$A$4:$B$203,2,FALSE),"не найдено"))</f>
        <v/>
      </c>
      <c r="C86" s="2"/>
      <c r="D86" s="2"/>
      <c r="E86" s="2"/>
      <c r="F86" s="2"/>
      <c r="G86" s="2"/>
      <c r="H86" s="2"/>
      <c r="I86" s="2"/>
      <c r="J86" s="2"/>
      <c r="K86" s="7" t="str">
        <f t="shared" si="4"/>
        <v/>
      </c>
      <c r="L86" s="5" t="str">
        <f t="shared" si="5"/>
        <v/>
      </c>
      <c r="M86" s="2"/>
    </row>
    <row r="87" spans="1:13">
      <c r="A87" s="2"/>
      <c r="B87" s="5" t="str">
        <f>IF($A87="","",IFERROR(VLOOKUP($A87,'02_Конкуренты'!$A$4:$B$203,2,FALSE),"не найдено"))</f>
        <v/>
      </c>
      <c r="C87" s="2"/>
      <c r="D87" s="2"/>
      <c r="E87" s="2"/>
      <c r="F87" s="2"/>
      <c r="G87" s="2"/>
      <c r="H87" s="2"/>
      <c r="I87" s="2"/>
      <c r="J87" s="2"/>
      <c r="K87" s="7" t="str">
        <f t="shared" si="4"/>
        <v/>
      </c>
      <c r="L87" s="5" t="str">
        <f t="shared" si="5"/>
        <v/>
      </c>
      <c r="M87" s="2"/>
    </row>
    <row r="88" spans="1:13">
      <c r="A88" s="2"/>
      <c r="B88" s="5" t="str">
        <f>IF($A88="","",IFERROR(VLOOKUP($A88,'02_Конкуренты'!$A$4:$B$203,2,FALSE),"не найдено"))</f>
        <v/>
      </c>
      <c r="C88" s="2"/>
      <c r="D88" s="2"/>
      <c r="E88" s="2"/>
      <c r="F88" s="2"/>
      <c r="G88" s="2"/>
      <c r="H88" s="2"/>
      <c r="I88" s="2"/>
      <c r="J88" s="2"/>
      <c r="K88" s="7" t="str">
        <f t="shared" si="4"/>
        <v/>
      </c>
      <c r="L88" s="5" t="str">
        <f t="shared" si="5"/>
        <v/>
      </c>
      <c r="M88" s="2"/>
    </row>
    <row r="89" spans="1:13">
      <c r="A89" s="2"/>
      <c r="B89" s="5" t="str">
        <f>IF($A89="","",IFERROR(VLOOKUP($A89,'02_Конкуренты'!$A$4:$B$203,2,FALSE),"не найдено"))</f>
        <v/>
      </c>
      <c r="C89" s="2"/>
      <c r="D89" s="2"/>
      <c r="E89" s="2"/>
      <c r="F89" s="2"/>
      <c r="G89" s="2"/>
      <c r="H89" s="2"/>
      <c r="I89" s="2"/>
      <c r="J89" s="2"/>
      <c r="K89" s="7" t="str">
        <f t="shared" si="4"/>
        <v/>
      </c>
      <c r="L89" s="5" t="str">
        <f t="shared" si="5"/>
        <v/>
      </c>
      <c r="M89" s="2"/>
    </row>
    <row r="90" spans="1:13">
      <c r="A90" s="2"/>
      <c r="B90" s="5" t="str">
        <f>IF($A90="","",IFERROR(VLOOKUP($A90,'02_Конкуренты'!$A$4:$B$203,2,FALSE),"не найдено"))</f>
        <v/>
      </c>
      <c r="C90" s="2"/>
      <c r="D90" s="2"/>
      <c r="E90" s="2"/>
      <c r="F90" s="2"/>
      <c r="G90" s="2"/>
      <c r="H90" s="2"/>
      <c r="I90" s="2"/>
      <c r="J90" s="2"/>
      <c r="K90" s="7" t="str">
        <f t="shared" si="4"/>
        <v/>
      </c>
      <c r="L90" s="5" t="str">
        <f t="shared" si="5"/>
        <v/>
      </c>
      <c r="M90" s="2"/>
    </row>
    <row r="91" spans="1:13">
      <c r="A91" s="2"/>
      <c r="B91" s="5" t="str">
        <f>IF($A91="","",IFERROR(VLOOKUP($A91,'02_Конкуренты'!$A$4:$B$203,2,FALSE),"не найдено"))</f>
        <v/>
      </c>
      <c r="C91" s="2"/>
      <c r="D91" s="2"/>
      <c r="E91" s="2"/>
      <c r="F91" s="2"/>
      <c r="G91" s="2"/>
      <c r="H91" s="2"/>
      <c r="I91" s="2"/>
      <c r="J91" s="2"/>
      <c r="K91" s="7" t="str">
        <f t="shared" si="4"/>
        <v/>
      </c>
      <c r="L91" s="5" t="str">
        <f t="shared" si="5"/>
        <v/>
      </c>
      <c r="M91" s="2"/>
    </row>
    <row r="92" spans="1:13">
      <c r="A92" s="2"/>
      <c r="B92" s="5" t="str">
        <f>IF($A92="","",IFERROR(VLOOKUP($A92,'02_Конкуренты'!$A$4:$B$203,2,FALSE),"не найдено"))</f>
        <v/>
      </c>
      <c r="C92" s="2"/>
      <c r="D92" s="2"/>
      <c r="E92" s="2"/>
      <c r="F92" s="2"/>
      <c r="G92" s="2"/>
      <c r="H92" s="2"/>
      <c r="I92" s="2"/>
      <c r="J92" s="2"/>
      <c r="K92" s="7" t="str">
        <f t="shared" si="4"/>
        <v/>
      </c>
      <c r="L92" s="5" t="str">
        <f t="shared" si="5"/>
        <v/>
      </c>
      <c r="M92" s="2"/>
    </row>
    <row r="93" spans="1:13">
      <c r="A93" s="2"/>
      <c r="B93" s="5" t="str">
        <f>IF($A93="","",IFERROR(VLOOKUP($A93,'02_Конкуренты'!$A$4:$B$203,2,FALSE),"не найдено"))</f>
        <v/>
      </c>
      <c r="C93" s="2"/>
      <c r="D93" s="2"/>
      <c r="E93" s="2"/>
      <c r="F93" s="2"/>
      <c r="G93" s="2"/>
      <c r="H93" s="2"/>
      <c r="I93" s="2"/>
      <c r="J93" s="2"/>
      <c r="K93" s="7" t="str">
        <f t="shared" si="4"/>
        <v/>
      </c>
      <c r="L93" s="5" t="str">
        <f t="shared" si="5"/>
        <v/>
      </c>
      <c r="M93" s="2"/>
    </row>
    <row r="94" spans="1:13">
      <c r="A94" s="2"/>
      <c r="B94" s="5" t="str">
        <f>IF($A94="","",IFERROR(VLOOKUP($A94,'02_Конкуренты'!$A$4:$B$203,2,FALSE),"не найдено"))</f>
        <v/>
      </c>
      <c r="C94" s="2"/>
      <c r="D94" s="2"/>
      <c r="E94" s="2"/>
      <c r="F94" s="2"/>
      <c r="G94" s="2"/>
      <c r="H94" s="2"/>
      <c r="I94" s="2"/>
      <c r="J94" s="2"/>
      <c r="K94" s="7" t="str">
        <f t="shared" si="4"/>
        <v/>
      </c>
      <c r="L94" s="5" t="str">
        <f t="shared" si="5"/>
        <v/>
      </c>
      <c r="M94" s="2"/>
    </row>
    <row r="95" spans="1:13">
      <c r="A95" s="2"/>
      <c r="B95" s="5" t="str">
        <f>IF($A95="","",IFERROR(VLOOKUP($A95,'02_Конкуренты'!$A$4:$B$203,2,FALSE),"не найдено"))</f>
        <v/>
      </c>
      <c r="C95" s="2"/>
      <c r="D95" s="2"/>
      <c r="E95" s="2"/>
      <c r="F95" s="2"/>
      <c r="G95" s="2"/>
      <c r="H95" s="2"/>
      <c r="I95" s="2"/>
      <c r="J95" s="2"/>
      <c r="K95" s="7" t="str">
        <f t="shared" si="4"/>
        <v/>
      </c>
      <c r="L95" s="5" t="str">
        <f t="shared" si="5"/>
        <v/>
      </c>
      <c r="M95" s="2"/>
    </row>
    <row r="96" spans="1:13">
      <c r="A96" s="2"/>
      <c r="B96" s="5" t="str">
        <f>IF($A96="","",IFERROR(VLOOKUP($A96,'02_Конкуренты'!$A$4:$B$203,2,FALSE),"не найдено"))</f>
        <v/>
      </c>
      <c r="C96" s="2"/>
      <c r="D96" s="2"/>
      <c r="E96" s="2"/>
      <c r="F96" s="2"/>
      <c r="G96" s="2"/>
      <c r="H96" s="2"/>
      <c r="I96" s="2"/>
      <c r="J96" s="2"/>
      <c r="K96" s="7" t="str">
        <f t="shared" si="4"/>
        <v/>
      </c>
      <c r="L96" s="5" t="str">
        <f t="shared" si="5"/>
        <v/>
      </c>
      <c r="M96" s="2"/>
    </row>
    <row r="97" spans="1:13">
      <c r="A97" s="2"/>
      <c r="B97" s="5" t="str">
        <f>IF($A97="","",IFERROR(VLOOKUP($A97,'02_Конкуренты'!$A$4:$B$203,2,FALSE),"не найдено"))</f>
        <v/>
      </c>
      <c r="C97" s="2"/>
      <c r="D97" s="2"/>
      <c r="E97" s="2"/>
      <c r="F97" s="2"/>
      <c r="G97" s="2"/>
      <c r="H97" s="2"/>
      <c r="I97" s="2"/>
      <c r="J97" s="2"/>
      <c r="K97" s="7" t="str">
        <f t="shared" si="4"/>
        <v/>
      </c>
      <c r="L97" s="5" t="str">
        <f t="shared" si="5"/>
        <v/>
      </c>
      <c r="M97" s="2"/>
    </row>
    <row r="98" spans="1:13">
      <c r="A98" s="2"/>
      <c r="B98" s="5" t="str">
        <f>IF($A98="","",IFERROR(VLOOKUP($A98,'02_Конкуренты'!$A$4:$B$203,2,FALSE),"не найдено"))</f>
        <v/>
      </c>
      <c r="C98" s="2"/>
      <c r="D98" s="2"/>
      <c r="E98" s="2"/>
      <c r="F98" s="2"/>
      <c r="G98" s="2"/>
      <c r="H98" s="2"/>
      <c r="I98" s="2"/>
      <c r="J98" s="2"/>
      <c r="K98" s="7" t="str">
        <f t="shared" si="4"/>
        <v/>
      </c>
      <c r="L98" s="5" t="str">
        <f t="shared" si="5"/>
        <v/>
      </c>
      <c r="M98" s="2"/>
    </row>
    <row r="99" spans="1:13">
      <c r="A99" s="2"/>
      <c r="B99" s="5" t="str">
        <f>IF($A99="","",IFERROR(VLOOKUP($A99,'02_Конкуренты'!$A$4:$B$203,2,FALSE),"не найдено"))</f>
        <v/>
      </c>
      <c r="C99" s="2"/>
      <c r="D99" s="2"/>
      <c r="E99" s="2"/>
      <c r="F99" s="2"/>
      <c r="G99" s="2"/>
      <c r="H99" s="2"/>
      <c r="I99" s="2"/>
      <c r="J99" s="2"/>
      <c r="K99" s="7" t="str">
        <f t="shared" si="4"/>
        <v/>
      </c>
      <c r="L99" s="5" t="str">
        <f t="shared" si="5"/>
        <v/>
      </c>
      <c r="M99" s="2"/>
    </row>
    <row r="100" spans="1:13">
      <c r="A100" s="2"/>
      <c r="B100" s="5" t="str">
        <f>IF($A100="","",IFERROR(VLOOKUP($A100,'02_Конкуренты'!$A$4:$B$203,2,FALSE),"не найдено"))</f>
        <v/>
      </c>
      <c r="C100" s="2"/>
      <c r="D100" s="2"/>
      <c r="E100" s="2"/>
      <c r="F100" s="2"/>
      <c r="G100" s="2"/>
      <c r="H100" s="2"/>
      <c r="I100" s="2"/>
      <c r="J100" s="2"/>
      <c r="K100" s="7" t="str">
        <f t="shared" ref="K100:K131" si="6">IF($A100="","",$G100*0.3+$H100*0.25+$I100*0.25+$J100*0.2)</f>
        <v/>
      </c>
      <c r="L100" s="5" t="str">
        <f t="shared" ref="L100:L131" si="7">IF($A100="","",IF($K100&gt;=4,"сильное преимущество",IF($K100&gt;=3,"умеренное преимущество",IF($K100&gt;=2,"слабое преимущество","недостаточно подтверждений"))))</f>
        <v/>
      </c>
      <c r="M100" s="2"/>
    </row>
    <row r="101" spans="1:13">
      <c r="A101" s="2"/>
      <c r="B101" s="5" t="str">
        <f>IF($A101="","",IFERROR(VLOOKUP($A101,'02_Конкуренты'!$A$4:$B$203,2,FALSE),"не найдено"))</f>
        <v/>
      </c>
      <c r="C101" s="2"/>
      <c r="D101" s="2"/>
      <c r="E101" s="2"/>
      <c r="F101" s="2"/>
      <c r="G101" s="2"/>
      <c r="H101" s="2"/>
      <c r="I101" s="2"/>
      <c r="J101" s="2"/>
      <c r="K101" s="7" t="str">
        <f t="shared" si="6"/>
        <v/>
      </c>
      <c r="L101" s="5" t="str">
        <f t="shared" si="7"/>
        <v/>
      </c>
      <c r="M101" s="2"/>
    </row>
    <row r="102" spans="1:13">
      <c r="A102" s="2"/>
      <c r="B102" s="5" t="str">
        <f>IF($A102="","",IFERROR(VLOOKUP($A102,'02_Конкуренты'!$A$4:$B$203,2,FALSE),"не найдено"))</f>
        <v/>
      </c>
      <c r="C102" s="2"/>
      <c r="D102" s="2"/>
      <c r="E102" s="2"/>
      <c r="F102" s="2"/>
      <c r="G102" s="2"/>
      <c r="H102" s="2"/>
      <c r="I102" s="2"/>
      <c r="J102" s="2"/>
      <c r="K102" s="7" t="str">
        <f t="shared" si="6"/>
        <v/>
      </c>
      <c r="L102" s="5" t="str">
        <f t="shared" si="7"/>
        <v/>
      </c>
      <c r="M102" s="2"/>
    </row>
    <row r="103" spans="1:13">
      <c r="A103" s="2"/>
      <c r="B103" s="5" t="str">
        <f>IF($A103="","",IFERROR(VLOOKUP($A103,'02_Конкуренты'!$A$4:$B$203,2,FALSE),"не найдено"))</f>
        <v/>
      </c>
      <c r="C103" s="2"/>
      <c r="D103" s="2"/>
      <c r="E103" s="2"/>
      <c r="F103" s="2"/>
      <c r="G103" s="2"/>
      <c r="H103" s="2"/>
      <c r="I103" s="2"/>
      <c r="J103" s="2"/>
      <c r="K103" s="7" t="str">
        <f t="shared" si="6"/>
        <v/>
      </c>
      <c r="L103" s="5" t="str">
        <f t="shared" si="7"/>
        <v/>
      </c>
      <c r="M103" s="2"/>
    </row>
    <row r="104" spans="1:13">
      <c r="A104" s="2"/>
      <c r="B104" s="5" t="str">
        <f>IF($A104="","",IFERROR(VLOOKUP($A104,'02_Конкуренты'!$A$4:$B$203,2,FALSE),"не найдено"))</f>
        <v/>
      </c>
      <c r="C104" s="2"/>
      <c r="D104" s="2"/>
      <c r="E104" s="2"/>
      <c r="F104" s="2"/>
      <c r="G104" s="2"/>
      <c r="H104" s="2"/>
      <c r="I104" s="2"/>
      <c r="J104" s="2"/>
      <c r="K104" s="7" t="str">
        <f t="shared" si="6"/>
        <v/>
      </c>
      <c r="L104" s="5" t="str">
        <f t="shared" si="7"/>
        <v/>
      </c>
      <c r="M104" s="2"/>
    </row>
    <row r="105" spans="1:13">
      <c r="A105" s="2"/>
      <c r="B105" s="5" t="str">
        <f>IF($A105="","",IFERROR(VLOOKUP($A105,'02_Конкуренты'!$A$4:$B$203,2,FALSE),"не найдено"))</f>
        <v/>
      </c>
      <c r="C105" s="2"/>
      <c r="D105" s="2"/>
      <c r="E105" s="2"/>
      <c r="F105" s="2"/>
      <c r="G105" s="2"/>
      <c r="H105" s="2"/>
      <c r="I105" s="2"/>
      <c r="J105" s="2"/>
      <c r="K105" s="7" t="str">
        <f t="shared" si="6"/>
        <v/>
      </c>
      <c r="L105" s="5" t="str">
        <f t="shared" si="7"/>
        <v/>
      </c>
      <c r="M105" s="2"/>
    </row>
    <row r="106" spans="1:13">
      <c r="A106" s="2"/>
      <c r="B106" s="5" t="str">
        <f>IF($A106="","",IFERROR(VLOOKUP($A106,'02_Конкуренты'!$A$4:$B$203,2,FALSE),"не найдено"))</f>
        <v/>
      </c>
      <c r="C106" s="2"/>
      <c r="D106" s="2"/>
      <c r="E106" s="2"/>
      <c r="F106" s="2"/>
      <c r="G106" s="2"/>
      <c r="H106" s="2"/>
      <c r="I106" s="2"/>
      <c r="J106" s="2"/>
      <c r="K106" s="7" t="str">
        <f t="shared" si="6"/>
        <v/>
      </c>
      <c r="L106" s="5" t="str">
        <f t="shared" si="7"/>
        <v/>
      </c>
      <c r="M106" s="2"/>
    </row>
    <row r="107" spans="1:13">
      <c r="A107" s="2"/>
      <c r="B107" s="5" t="str">
        <f>IF($A107="","",IFERROR(VLOOKUP($A107,'02_Конкуренты'!$A$4:$B$203,2,FALSE),"не найдено"))</f>
        <v/>
      </c>
      <c r="C107" s="2"/>
      <c r="D107" s="2"/>
      <c r="E107" s="2"/>
      <c r="F107" s="2"/>
      <c r="G107" s="2"/>
      <c r="H107" s="2"/>
      <c r="I107" s="2"/>
      <c r="J107" s="2"/>
      <c r="K107" s="7" t="str">
        <f t="shared" si="6"/>
        <v/>
      </c>
      <c r="L107" s="5" t="str">
        <f t="shared" si="7"/>
        <v/>
      </c>
      <c r="M107" s="2"/>
    </row>
    <row r="108" spans="1:13">
      <c r="A108" s="2"/>
      <c r="B108" s="5" t="str">
        <f>IF($A108="","",IFERROR(VLOOKUP($A108,'02_Конкуренты'!$A$4:$B$203,2,FALSE),"не найдено"))</f>
        <v/>
      </c>
      <c r="C108" s="2"/>
      <c r="D108" s="2"/>
      <c r="E108" s="2"/>
      <c r="F108" s="2"/>
      <c r="G108" s="2"/>
      <c r="H108" s="2"/>
      <c r="I108" s="2"/>
      <c r="J108" s="2"/>
      <c r="K108" s="7" t="str">
        <f t="shared" si="6"/>
        <v/>
      </c>
      <c r="L108" s="5" t="str">
        <f t="shared" si="7"/>
        <v/>
      </c>
      <c r="M108" s="2"/>
    </row>
    <row r="109" spans="1:13">
      <c r="A109" s="2"/>
      <c r="B109" s="5" t="str">
        <f>IF($A109="","",IFERROR(VLOOKUP($A109,'02_Конкуренты'!$A$4:$B$203,2,FALSE),"не найдено"))</f>
        <v/>
      </c>
      <c r="C109" s="2"/>
      <c r="D109" s="2"/>
      <c r="E109" s="2"/>
      <c r="F109" s="2"/>
      <c r="G109" s="2"/>
      <c r="H109" s="2"/>
      <c r="I109" s="2"/>
      <c r="J109" s="2"/>
      <c r="K109" s="7" t="str">
        <f t="shared" si="6"/>
        <v/>
      </c>
      <c r="L109" s="5" t="str">
        <f t="shared" si="7"/>
        <v/>
      </c>
      <c r="M109" s="2"/>
    </row>
    <row r="110" spans="1:13">
      <c r="A110" s="2"/>
      <c r="B110" s="5" t="str">
        <f>IF($A110="","",IFERROR(VLOOKUP($A110,'02_Конкуренты'!$A$4:$B$203,2,FALSE),"не найдено"))</f>
        <v/>
      </c>
      <c r="C110" s="2"/>
      <c r="D110" s="2"/>
      <c r="E110" s="2"/>
      <c r="F110" s="2"/>
      <c r="G110" s="2"/>
      <c r="H110" s="2"/>
      <c r="I110" s="2"/>
      <c r="J110" s="2"/>
      <c r="K110" s="7" t="str">
        <f t="shared" si="6"/>
        <v/>
      </c>
      <c r="L110" s="5" t="str">
        <f t="shared" si="7"/>
        <v/>
      </c>
      <c r="M110" s="2"/>
    </row>
    <row r="111" spans="1:13">
      <c r="A111" s="2"/>
      <c r="B111" s="5" t="str">
        <f>IF($A111="","",IFERROR(VLOOKUP($A111,'02_Конкуренты'!$A$4:$B$203,2,FALSE),"не найдено"))</f>
        <v/>
      </c>
      <c r="C111" s="2"/>
      <c r="D111" s="2"/>
      <c r="E111" s="2"/>
      <c r="F111" s="2"/>
      <c r="G111" s="2"/>
      <c r="H111" s="2"/>
      <c r="I111" s="2"/>
      <c r="J111" s="2"/>
      <c r="K111" s="7" t="str">
        <f t="shared" si="6"/>
        <v/>
      </c>
      <c r="L111" s="5" t="str">
        <f t="shared" si="7"/>
        <v/>
      </c>
      <c r="M111" s="2"/>
    </row>
    <row r="112" spans="1:13">
      <c r="A112" s="2"/>
      <c r="B112" s="5" t="str">
        <f>IF($A112="","",IFERROR(VLOOKUP($A112,'02_Конкуренты'!$A$4:$B$203,2,FALSE),"не найдено"))</f>
        <v/>
      </c>
      <c r="C112" s="2"/>
      <c r="D112" s="2"/>
      <c r="E112" s="2"/>
      <c r="F112" s="2"/>
      <c r="G112" s="2"/>
      <c r="H112" s="2"/>
      <c r="I112" s="2"/>
      <c r="J112" s="2"/>
      <c r="K112" s="7" t="str">
        <f t="shared" si="6"/>
        <v/>
      </c>
      <c r="L112" s="5" t="str">
        <f t="shared" si="7"/>
        <v/>
      </c>
      <c r="M112" s="2"/>
    </row>
    <row r="113" spans="1:13">
      <c r="A113" s="2"/>
      <c r="B113" s="5" t="str">
        <f>IF($A113="","",IFERROR(VLOOKUP($A113,'02_Конкуренты'!$A$4:$B$203,2,FALSE),"не найдено"))</f>
        <v/>
      </c>
      <c r="C113" s="2"/>
      <c r="D113" s="2"/>
      <c r="E113" s="2"/>
      <c r="F113" s="2"/>
      <c r="G113" s="2"/>
      <c r="H113" s="2"/>
      <c r="I113" s="2"/>
      <c r="J113" s="2"/>
      <c r="K113" s="7" t="str">
        <f t="shared" si="6"/>
        <v/>
      </c>
      <c r="L113" s="5" t="str">
        <f t="shared" si="7"/>
        <v/>
      </c>
      <c r="M113" s="2"/>
    </row>
    <row r="114" spans="1:13">
      <c r="A114" s="2"/>
      <c r="B114" s="5" t="str">
        <f>IF($A114="","",IFERROR(VLOOKUP($A114,'02_Конкуренты'!$A$4:$B$203,2,FALSE),"не найдено"))</f>
        <v/>
      </c>
      <c r="C114" s="2"/>
      <c r="D114" s="2"/>
      <c r="E114" s="2"/>
      <c r="F114" s="2"/>
      <c r="G114" s="2"/>
      <c r="H114" s="2"/>
      <c r="I114" s="2"/>
      <c r="J114" s="2"/>
      <c r="K114" s="7" t="str">
        <f t="shared" si="6"/>
        <v/>
      </c>
      <c r="L114" s="5" t="str">
        <f t="shared" si="7"/>
        <v/>
      </c>
      <c r="M114" s="2"/>
    </row>
    <row r="115" spans="1:13">
      <c r="A115" s="2"/>
      <c r="B115" s="5" t="str">
        <f>IF($A115="","",IFERROR(VLOOKUP($A115,'02_Конкуренты'!$A$4:$B$203,2,FALSE),"не найдено"))</f>
        <v/>
      </c>
      <c r="C115" s="2"/>
      <c r="D115" s="2"/>
      <c r="E115" s="2"/>
      <c r="F115" s="2"/>
      <c r="G115" s="2"/>
      <c r="H115" s="2"/>
      <c r="I115" s="2"/>
      <c r="J115" s="2"/>
      <c r="K115" s="7" t="str">
        <f t="shared" si="6"/>
        <v/>
      </c>
      <c r="L115" s="5" t="str">
        <f t="shared" si="7"/>
        <v/>
      </c>
      <c r="M115" s="2"/>
    </row>
    <row r="116" spans="1:13">
      <c r="A116" s="2"/>
      <c r="B116" s="5" t="str">
        <f>IF($A116="","",IFERROR(VLOOKUP($A116,'02_Конкуренты'!$A$4:$B$203,2,FALSE),"не найдено"))</f>
        <v/>
      </c>
      <c r="C116" s="2"/>
      <c r="D116" s="2"/>
      <c r="E116" s="2"/>
      <c r="F116" s="2"/>
      <c r="G116" s="2"/>
      <c r="H116" s="2"/>
      <c r="I116" s="2"/>
      <c r="J116" s="2"/>
      <c r="K116" s="7" t="str">
        <f t="shared" si="6"/>
        <v/>
      </c>
      <c r="L116" s="5" t="str">
        <f t="shared" si="7"/>
        <v/>
      </c>
      <c r="M116" s="2"/>
    </row>
    <row r="117" spans="1:13">
      <c r="A117" s="2"/>
      <c r="B117" s="5" t="str">
        <f>IF($A117="","",IFERROR(VLOOKUP($A117,'02_Конкуренты'!$A$4:$B$203,2,FALSE),"не найдено"))</f>
        <v/>
      </c>
      <c r="C117" s="2"/>
      <c r="D117" s="2"/>
      <c r="E117" s="2"/>
      <c r="F117" s="2"/>
      <c r="G117" s="2"/>
      <c r="H117" s="2"/>
      <c r="I117" s="2"/>
      <c r="J117" s="2"/>
      <c r="K117" s="7" t="str">
        <f t="shared" si="6"/>
        <v/>
      </c>
      <c r="L117" s="5" t="str">
        <f t="shared" si="7"/>
        <v/>
      </c>
      <c r="M117" s="2"/>
    </row>
    <row r="118" spans="1:13">
      <c r="A118" s="2"/>
      <c r="B118" s="5" t="str">
        <f>IF($A118="","",IFERROR(VLOOKUP($A118,'02_Конкуренты'!$A$4:$B$203,2,FALSE),"не найдено"))</f>
        <v/>
      </c>
      <c r="C118" s="2"/>
      <c r="D118" s="2"/>
      <c r="E118" s="2"/>
      <c r="F118" s="2"/>
      <c r="G118" s="2"/>
      <c r="H118" s="2"/>
      <c r="I118" s="2"/>
      <c r="J118" s="2"/>
      <c r="K118" s="7" t="str">
        <f t="shared" si="6"/>
        <v/>
      </c>
      <c r="L118" s="5" t="str">
        <f t="shared" si="7"/>
        <v/>
      </c>
      <c r="M118" s="2"/>
    </row>
    <row r="119" spans="1:13">
      <c r="A119" s="2"/>
      <c r="B119" s="5" t="str">
        <f>IF($A119="","",IFERROR(VLOOKUP($A119,'02_Конкуренты'!$A$4:$B$203,2,FALSE),"не найдено"))</f>
        <v/>
      </c>
      <c r="C119" s="2"/>
      <c r="D119" s="2"/>
      <c r="E119" s="2"/>
      <c r="F119" s="2"/>
      <c r="G119" s="2"/>
      <c r="H119" s="2"/>
      <c r="I119" s="2"/>
      <c r="J119" s="2"/>
      <c r="K119" s="7" t="str">
        <f t="shared" si="6"/>
        <v/>
      </c>
      <c r="L119" s="5" t="str">
        <f t="shared" si="7"/>
        <v/>
      </c>
      <c r="M119" s="2"/>
    </row>
    <row r="120" spans="1:13">
      <c r="A120" s="2"/>
      <c r="B120" s="5" t="str">
        <f>IF($A120="","",IFERROR(VLOOKUP($A120,'02_Конкуренты'!$A$4:$B$203,2,FALSE),"не найдено"))</f>
        <v/>
      </c>
      <c r="C120" s="2"/>
      <c r="D120" s="2"/>
      <c r="E120" s="2"/>
      <c r="F120" s="2"/>
      <c r="G120" s="2"/>
      <c r="H120" s="2"/>
      <c r="I120" s="2"/>
      <c r="J120" s="2"/>
      <c r="K120" s="7" t="str">
        <f t="shared" si="6"/>
        <v/>
      </c>
      <c r="L120" s="5" t="str">
        <f t="shared" si="7"/>
        <v/>
      </c>
      <c r="M120" s="2"/>
    </row>
    <row r="121" spans="1:13">
      <c r="A121" s="2"/>
      <c r="B121" s="5" t="str">
        <f>IF($A121="","",IFERROR(VLOOKUP($A121,'02_Конкуренты'!$A$4:$B$203,2,FALSE),"не найдено"))</f>
        <v/>
      </c>
      <c r="C121" s="2"/>
      <c r="D121" s="2"/>
      <c r="E121" s="2"/>
      <c r="F121" s="2"/>
      <c r="G121" s="2"/>
      <c r="H121" s="2"/>
      <c r="I121" s="2"/>
      <c r="J121" s="2"/>
      <c r="K121" s="7" t="str">
        <f t="shared" si="6"/>
        <v/>
      </c>
      <c r="L121" s="5" t="str">
        <f t="shared" si="7"/>
        <v/>
      </c>
      <c r="M121" s="2"/>
    </row>
    <row r="122" spans="1:13">
      <c r="A122" s="2"/>
      <c r="B122" s="5" t="str">
        <f>IF($A122="","",IFERROR(VLOOKUP($A122,'02_Конкуренты'!$A$4:$B$203,2,FALSE),"не найдено"))</f>
        <v/>
      </c>
      <c r="C122" s="2"/>
      <c r="D122" s="2"/>
      <c r="E122" s="2"/>
      <c r="F122" s="2"/>
      <c r="G122" s="2"/>
      <c r="H122" s="2"/>
      <c r="I122" s="2"/>
      <c r="J122" s="2"/>
      <c r="K122" s="7" t="str">
        <f t="shared" si="6"/>
        <v/>
      </c>
      <c r="L122" s="5" t="str">
        <f t="shared" si="7"/>
        <v/>
      </c>
      <c r="M122" s="2"/>
    </row>
    <row r="123" spans="1:13">
      <c r="A123" s="2"/>
      <c r="B123" s="5" t="str">
        <f>IF($A123="","",IFERROR(VLOOKUP($A123,'02_Конкуренты'!$A$4:$B$203,2,FALSE),"не найдено"))</f>
        <v/>
      </c>
      <c r="C123" s="2"/>
      <c r="D123" s="2"/>
      <c r="E123" s="2"/>
      <c r="F123" s="2"/>
      <c r="G123" s="2"/>
      <c r="H123" s="2"/>
      <c r="I123" s="2"/>
      <c r="J123" s="2"/>
      <c r="K123" s="7" t="str">
        <f t="shared" si="6"/>
        <v/>
      </c>
      <c r="L123" s="5" t="str">
        <f t="shared" si="7"/>
        <v/>
      </c>
      <c r="M123" s="2"/>
    </row>
    <row r="124" spans="1:13">
      <c r="A124" s="2"/>
      <c r="B124" s="5" t="str">
        <f>IF($A124="","",IFERROR(VLOOKUP($A124,'02_Конкуренты'!$A$4:$B$203,2,FALSE),"не найдено"))</f>
        <v/>
      </c>
      <c r="C124" s="2"/>
      <c r="D124" s="2"/>
      <c r="E124" s="2"/>
      <c r="F124" s="2"/>
      <c r="G124" s="2"/>
      <c r="H124" s="2"/>
      <c r="I124" s="2"/>
      <c r="J124" s="2"/>
      <c r="K124" s="7" t="str">
        <f t="shared" si="6"/>
        <v/>
      </c>
      <c r="L124" s="5" t="str">
        <f t="shared" si="7"/>
        <v/>
      </c>
      <c r="M124" s="2"/>
    </row>
    <row r="125" spans="1:13">
      <c r="A125" s="2"/>
      <c r="B125" s="5" t="str">
        <f>IF($A125="","",IFERROR(VLOOKUP($A125,'02_Конкуренты'!$A$4:$B$203,2,FALSE),"не найдено"))</f>
        <v/>
      </c>
      <c r="C125" s="2"/>
      <c r="D125" s="2"/>
      <c r="E125" s="2"/>
      <c r="F125" s="2"/>
      <c r="G125" s="2"/>
      <c r="H125" s="2"/>
      <c r="I125" s="2"/>
      <c r="J125" s="2"/>
      <c r="K125" s="7" t="str">
        <f t="shared" si="6"/>
        <v/>
      </c>
      <c r="L125" s="5" t="str">
        <f t="shared" si="7"/>
        <v/>
      </c>
      <c r="M125" s="2"/>
    </row>
    <row r="126" spans="1:13">
      <c r="A126" s="2"/>
      <c r="B126" s="5" t="str">
        <f>IF($A126="","",IFERROR(VLOOKUP($A126,'02_Конкуренты'!$A$4:$B$203,2,FALSE),"не найдено"))</f>
        <v/>
      </c>
      <c r="C126" s="2"/>
      <c r="D126" s="2"/>
      <c r="E126" s="2"/>
      <c r="F126" s="2"/>
      <c r="G126" s="2"/>
      <c r="H126" s="2"/>
      <c r="I126" s="2"/>
      <c r="J126" s="2"/>
      <c r="K126" s="7" t="str">
        <f t="shared" si="6"/>
        <v/>
      </c>
      <c r="L126" s="5" t="str">
        <f t="shared" si="7"/>
        <v/>
      </c>
      <c r="M126" s="2"/>
    </row>
    <row r="127" spans="1:13">
      <c r="A127" s="2"/>
      <c r="B127" s="5" t="str">
        <f>IF($A127="","",IFERROR(VLOOKUP($A127,'02_Конкуренты'!$A$4:$B$203,2,FALSE),"не найдено"))</f>
        <v/>
      </c>
      <c r="C127" s="2"/>
      <c r="D127" s="2"/>
      <c r="E127" s="2"/>
      <c r="F127" s="2"/>
      <c r="G127" s="2"/>
      <c r="H127" s="2"/>
      <c r="I127" s="2"/>
      <c r="J127" s="2"/>
      <c r="K127" s="7" t="str">
        <f t="shared" si="6"/>
        <v/>
      </c>
      <c r="L127" s="5" t="str">
        <f t="shared" si="7"/>
        <v/>
      </c>
      <c r="M127" s="2"/>
    </row>
    <row r="128" spans="1:13">
      <c r="A128" s="2"/>
      <c r="B128" s="5" t="str">
        <f>IF($A128="","",IFERROR(VLOOKUP($A128,'02_Конкуренты'!$A$4:$B$203,2,FALSE),"не найдено"))</f>
        <v/>
      </c>
      <c r="C128" s="2"/>
      <c r="D128" s="2"/>
      <c r="E128" s="2"/>
      <c r="F128" s="2"/>
      <c r="G128" s="2"/>
      <c r="H128" s="2"/>
      <c r="I128" s="2"/>
      <c r="J128" s="2"/>
      <c r="K128" s="7" t="str">
        <f t="shared" si="6"/>
        <v/>
      </c>
      <c r="L128" s="5" t="str">
        <f t="shared" si="7"/>
        <v/>
      </c>
      <c r="M128" s="2"/>
    </row>
    <row r="129" spans="1:13">
      <c r="A129" s="2"/>
      <c r="B129" s="5" t="str">
        <f>IF($A129="","",IFERROR(VLOOKUP($A129,'02_Конкуренты'!$A$4:$B$203,2,FALSE),"не найдено"))</f>
        <v/>
      </c>
      <c r="C129" s="2"/>
      <c r="D129" s="2"/>
      <c r="E129" s="2"/>
      <c r="F129" s="2"/>
      <c r="G129" s="2"/>
      <c r="H129" s="2"/>
      <c r="I129" s="2"/>
      <c r="J129" s="2"/>
      <c r="K129" s="7" t="str">
        <f t="shared" si="6"/>
        <v/>
      </c>
      <c r="L129" s="5" t="str">
        <f t="shared" si="7"/>
        <v/>
      </c>
      <c r="M129" s="2"/>
    </row>
    <row r="130" spans="1:13">
      <c r="A130" s="2"/>
      <c r="B130" s="5" t="str">
        <f>IF($A130="","",IFERROR(VLOOKUP($A130,'02_Конкуренты'!$A$4:$B$203,2,FALSE),"не найдено"))</f>
        <v/>
      </c>
      <c r="C130" s="2"/>
      <c r="D130" s="2"/>
      <c r="E130" s="2"/>
      <c r="F130" s="2"/>
      <c r="G130" s="2"/>
      <c r="H130" s="2"/>
      <c r="I130" s="2"/>
      <c r="J130" s="2"/>
      <c r="K130" s="7" t="str">
        <f t="shared" si="6"/>
        <v/>
      </c>
      <c r="L130" s="5" t="str">
        <f t="shared" si="7"/>
        <v/>
      </c>
      <c r="M130" s="2"/>
    </row>
    <row r="131" spans="1:13">
      <c r="A131" s="2"/>
      <c r="B131" s="5" t="str">
        <f>IF($A131="","",IFERROR(VLOOKUP($A131,'02_Конкуренты'!$A$4:$B$203,2,FALSE),"не найдено"))</f>
        <v/>
      </c>
      <c r="C131" s="2"/>
      <c r="D131" s="2"/>
      <c r="E131" s="2"/>
      <c r="F131" s="2"/>
      <c r="G131" s="2"/>
      <c r="H131" s="2"/>
      <c r="I131" s="2"/>
      <c r="J131" s="2"/>
      <c r="K131" s="7" t="str">
        <f t="shared" si="6"/>
        <v/>
      </c>
      <c r="L131" s="5" t="str">
        <f t="shared" si="7"/>
        <v/>
      </c>
      <c r="M131" s="2"/>
    </row>
    <row r="132" spans="1:13">
      <c r="A132" s="2"/>
      <c r="B132" s="5" t="str">
        <f>IF($A132="","",IFERROR(VLOOKUP($A132,'02_Конкуренты'!$A$4:$B$203,2,FALSE),"не найдено"))</f>
        <v/>
      </c>
      <c r="C132" s="2"/>
      <c r="D132" s="2"/>
      <c r="E132" s="2"/>
      <c r="F132" s="2"/>
      <c r="G132" s="2"/>
      <c r="H132" s="2"/>
      <c r="I132" s="2"/>
      <c r="J132" s="2"/>
      <c r="K132" s="7" t="str">
        <f t="shared" ref="K132:K163" si="8">IF($A132="","",$G132*0.3+$H132*0.25+$I132*0.25+$J132*0.2)</f>
        <v/>
      </c>
      <c r="L132" s="5" t="str">
        <f t="shared" ref="L132:L163" si="9">IF($A132="","",IF($K132&gt;=4,"сильное преимущество",IF($K132&gt;=3,"умеренное преимущество",IF($K132&gt;=2,"слабое преимущество","недостаточно подтверждений"))))</f>
        <v/>
      </c>
      <c r="M132" s="2"/>
    </row>
    <row r="133" spans="1:13">
      <c r="A133" s="2"/>
      <c r="B133" s="5" t="str">
        <f>IF($A133="","",IFERROR(VLOOKUP($A133,'02_Конкуренты'!$A$4:$B$203,2,FALSE),"не найдено"))</f>
        <v/>
      </c>
      <c r="C133" s="2"/>
      <c r="D133" s="2"/>
      <c r="E133" s="2"/>
      <c r="F133" s="2"/>
      <c r="G133" s="2"/>
      <c r="H133" s="2"/>
      <c r="I133" s="2"/>
      <c r="J133" s="2"/>
      <c r="K133" s="7" t="str">
        <f t="shared" si="8"/>
        <v/>
      </c>
      <c r="L133" s="5" t="str">
        <f t="shared" si="9"/>
        <v/>
      </c>
      <c r="M133" s="2"/>
    </row>
    <row r="134" spans="1:13">
      <c r="A134" s="2"/>
      <c r="B134" s="5" t="str">
        <f>IF($A134="","",IFERROR(VLOOKUP($A134,'02_Конкуренты'!$A$4:$B$203,2,FALSE),"не найдено"))</f>
        <v/>
      </c>
      <c r="C134" s="2"/>
      <c r="D134" s="2"/>
      <c r="E134" s="2"/>
      <c r="F134" s="2"/>
      <c r="G134" s="2"/>
      <c r="H134" s="2"/>
      <c r="I134" s="2"/>
      <c r="J134" s="2"/>
      <c r="K134" s="7" t="str">
        <f t="shared" si="8"/>
        <v/>
      </c>
      <c r="L134" s="5" t="str">
        <f t="shared" si="9"/>
        <v/>
      </c>
      <c r="M134" s="2"/>
    </row>
    <row r="135" spans="1:13">
      <c r="A135" s="2"/>
      <c r="B135" s="5" t="str">
        <f>IF($A135="","",IFERROR(VLOOKUP($A135,'02_Конкуренты'!$A$4:$B$203,2,FALSE),"не найдено"))</f>
        <v/>
      </c>
      <c r="C135" s="2"/>
      <c r="D135" s="2"/>
      <c r="E135" s="2"/>
      <c r="F135" s="2"/>
      <c r="G135" s="2"/>
      <c r="H135" s="2"/>
      <c r="I135" s="2"/>
      <c r="J135" s="2"/>
      <c r="K135" s="7" t="str">
        <f t="shared" si="8"/>
        <v/>
      </c>
      <c r="L135" s="5" t="str">
        <f t="shared" si="9"/>
        <v/>
      </c>
      <c r="M135" s="2"/>
    </row>
    <row r="136" spans="1:13">
      <c r="A136" s="2"/>
      <c r="B136" s="5" t="str">
        <f>IF($A136="","",IFERROR(VLOOKUP($A136,'02_Конкуренты'!$A$4:$B$203,2,FALSE),"не найдено"))</f>
        <v/>
      </c>
      <c r="C136" s="2"/>
      <c r="D136" s="2"/>
      <c r="E136" s="2"/>
      <c r="F136" s="2"/>
      <c r="G136" s="2"/>
      <c r="H136" s="2"/>
      <c r="I136" s="2"/>
      <c r="J136" s="2"/>
      <c r="K136" s="7" t="str">
        <f t="shared" si="8"/>
        <v/>
      </c>
      <c r="L136" s="5" t="str">
        <f t="shared" si="9"/>
        <v/>
      </c>
      <c r="M136" s="2"/>
    </row>
    <row r="137" spans="1:13">
      <c r="A137" s="2"/>
      <c r="B137" s="5" t="str">
        <f>IF($A137="","",IFERROR(VLOOKUP($A137,'02_Конкуренты'!$A$4:$B$203,2,FALSE),"не найдено"))</f>
        <v/>
      </c>
      <c r="C137" s="2"/>
      <c r="D137" s="2"/>
      <c r="E137" s="2"/>
      <c r="F137" s="2"/>
      <c r="G137" s="2"/>
      <c r="H137" s="2"/>
      <c r="I137" s="2"/>
      <c r="J137" s="2"/>
      <c r="K137" s="7" t="str">
        <f t="shared" si="8"/>
        <v/>
      </c>
      <c r="L137" s="5" t="str">
        <f t="shared" si="9"/>
        <v/>
      </c>
      <c r="M137" s="2"/>
    </row>
    <row r="138" spans="1:13">
      <c r="A138" s="2"/>
      <c r="B138" s="5" t="str">
        <f>IF($A138="","",IFERROR(VLOOKUP($A138,'02_Конкуренты'!$A$4:$B$203,2,FALSE),"не найдено"))</f>
        <v/>
      </c>
      <c r="C138" s="2"/>
      <c r="D138" s="2"/>
      <c r="E138" s="2"/>
      <c r="F138" s="2"/>
      <c r="G138" s="2"/>
      <c r="H138" s="2"/>
      <c r="I138" s="2"/>
      <c r="J138" s="2"/>
      <c r="K138" s="7" t="str">
        <f t="shared" si="8"/>
        <v/>
      </c>
      <c r="L138" s="5" t="str">
        <f t="shared" si="9"/>
        <v/>
      </c>
      <c r="M138" s="2"/>
    </row>
    <row r="139" spans="1:13">
      <c r="A139" s="2"/>
      <c r="B139" s="5" t="str">
        <f>IF($A139="","",IFERROR(VLOOKUP($A139,'02_Конкуренты'!$A$4:$B$203,2,FALSE),"не найдено"))</f>
        <v/>
      </c>
      <c r="C139" s="2"/>
      <c r="D139" s="2"/>
      <c r="E139" s="2"/>
      <c r="F139" s="2"/>
      <c r="G139" s="2"/>
      <c r="H139" s="2"/>
      <c r="I139" s="2"/>
      <c r="J139" s="2"/>
      <c r="K139" s="7" t="str">
        <f t="shared" si="8"/>
        <v/>
      </c>
      <c r="L139" s="5" t="str">
        <f t="shared" si="9"/>
        <v/>
      </c>
      <c r="M139" s="2"/>
    </row>
    <row r="140" spans="1:13">
      <c r="A140" s="2"/>
      <c r="B140" s="5" t="str">
        <f>IF($A140="","",IFERROR(VLOOKUP($A140,'02_Конкуренты'!$A$4:$B$203,2,FALSE),"не найдено"))</f>
        <v/>
      </c>
      <c r="C140" s="2"/>
      <c r="D140" s="2"/>
      <c r="E140" s="2"/>
      <c r="F140" s="2"/>
      <c r="G140" s="2"/>
      <c r="H140" s="2"/>
      <c r="I140" s="2"/>
      <c r="J140" s="2"/>
      <c r="K140" s="7" t="str">
        <f t="shared" si="8"/>
        <v/>
      </c>
      <c r="L140" s="5" t="str">
        <f t="shared" si="9"/>
        <v/>
      </c>
      <c r="M140" s="2"/>
    </row>
    <row r="141" spans="1:13">
      <c r="A141" s="2"/>
      <c r="B141" s="5" t="str">
        <f>IF($A141="","",IFERROR(VLOOKUP($A141,'02_Конкуренты'!$A$4:$B$203,2,FALSE),"не найдено"))</f>
        <v/>
      </c>
      <c r="C141" s="2"/>
      <c r="D141" s="2"/>
      <c r="E141" s="2"/>
      <c r="F141" s="2"/>
      <c r="G141" s="2"/>
      <c r="H141" s="2"/>
      <c r="I141" s="2"/>
      <c r="J141" s="2"/>
      <c r="K141" s="7" t="str">
        <f t="shared" si="8"/>
        <v/>
      </c>
      <c r="L141" s="5" t="str">
        <f t="shared" si="9"/>
        <v/>
      </c>
      <c r="M141" s="2"/>
    </row>
    <row r="142" spans="1:13">
      <c r="A142" s="2"/>
      <c r="B142" s="5" t="str">
        <f>IF($A142="","",IFERROR(VLOOKUP($A142,'02_Конкуренты'!$A$4:$B$203,2,FALSE),"не найдено"))</f>
        <v/>
      </c>
      <c r="C142" s="2"/>
      <c r="D142" s="2"/>
      <c r="E142" s="2"/>
      <c r="F142" s="2"/>
      <c r="G142" s="2"/>
      <c r="H142" s="2"/>
      <c r="I142" s="2"/>
      <c r="J142" s="2"/>
      <c r="K142" s="7" t="str">
        <f t="shared" si="8"/>
        <v/>
      </c>
      <c r="L142" s="5" t="str">
        <f t="shared" si="9"/>
        <v/>
      </c>
      <c r="M142" s="2"/>
    </row>
    <row r="143" spans="1:13">
      <c r="A143" s="2"/>
      <c r="B143" s="5" t="str">
        <f>IF($A143="","",IFERROR(VLOOKUP($A143,'02_Конкуренты'!$A$4:$B$203,2,FALSE),"не найдено"))</f>
        <v/>
      </c>
      <c r="C143" s="2"/>
      <c r="D143" s="2"/>
      <c r="E143" s="2"/>
      <c r="F143" s="2"/>
      <c r="G143" s="2"/>
      <c r="H143" s="2"/>
      <c r="I143" s="2"/>
      <c r="J143" s="2"/>
      <c r="K143" s="7" t="str">
        <f t="shared" si="8"/>
        <v/>
      </c>
      <c r="L143" s="5" t="str">
        <f t="shared" si="9"/>
        <v/>
      </c>
      <c r="M143" s="2"/>
    </row>
    <row r="144" spans="1:13">
      <c r="A144" s="2"/>
      <c r="B144" s="5" t="str">
        <f>IF($A144="","",IFERROR(VLOOKUP($A144,'02_Конкуренты'!$A$4:$B$203,2,FALSE),"не найдено"))</f>
        <v/>
      </c>
      <c r="C144" s="2"/>
      <c r="D144" s="2"/>
      <c r="E144" s="2"/>
      <c r="F144" s="2"/>
      <c r="G144" s="2"/>
      <c r="H144" s="2"/>
      <c r="I144" s="2"/>
      <c r="J144" s="2"/>
      <c r="K144" s="7" t="str">
        <f t="shared" si="8"/>
        <v/>
      </c>
      <c r="L144" s="5" t="str">
        <f t="shared" si="9"/>
        <v/>
      </c>
      <c r="M144" s="2"/>
    </row>
    <row r="145" spans="1:13">
      <c r="A145" s="2"/>
      <c r="B145" s="5" t="str">
        <f>IF($A145="","",IFERROR(VLOOKUP($A145,'02_Конкуренты'!$A$4:$B$203,2,FALSE),"не найдено"))</f>
        <v/>
      </c>
      <c r="C145" s="2"/>
      <c r="D145" s="2"/>
      <c r="E145" s="2"/>
      <c r="F145" s="2"/>
      <c r="G145" s="2"/>
      <c r="H145" s="2"/>
      <c r="I145" s="2"/>
      <c r="J145" s="2"/>
      <c r="K145" s="7" t="str">
        <f t="shared" si="8"/>
        <v/>
      </c>
      <c r="L145" s="5" t="str">
        <f t="shared" si="9"/>
        <v/>
      </c>
      <c r="M145" s="2"/>
    </row>
    <row r="146" spans="1:13">
      <c r="A146" s="2"/>
      <c r="B146" s="5" t="str">
        <f>IF($A146="","",IFERROR(VLOOKUP($A146,'02_Конкуренты'!$A$4:$B$203,2,FALSE),"не найдено"))</f>
        <v/>
      </c>
      <c r="C146" s="2"/>
      <c r="D146" s="2"/>
      <c r="E146" s="2"/>
      <c r="F146" s="2"/>
      <c r="G146" s="2"/>
      <c r="H146" s="2"/>
      <c r="I146" s="2"/>
      <c r="J146" s="2"/>
      <c r="K146" s="7" t="str">
        <f t="shared" si="8"/>
        <v/>
      </c>
      <c r="L146" s="5" t="str">
        <f t="shared" si="9"/>
        <v/>
      </c>
      <c r="M146" s="2"/>
    </row>
    <row r="147" spans="1:13">
      <c r="A147" s="2"/>
      <c r="B147" s="5" t="str">
        <f>IF($A147="","",IFERROR(VLOOKUP($A147,'02_Конкуренты'!$A$4:$B$203,2,FALSE),"не найдено"))</f>
        <v/>
      </c>
      <c r="C147" s="2"/>
      <c r="D147" s="2"/>
      <c r="E147" s="2"/>
      <c r="F147" s="2"/>
      <c r="G147" s="2"/>
      <c r="H147" s="2"/>
      <c r="I147" s="2"/>
      <c r="J147" s="2"/>
      <c r="K147" s="7" t="str">
        <f t="shared" si="8"/>
        <v/>
      </c>
      <c r="L147" s="5" t="str">
        <f t="shared" si="9"/>
        <v/>
      </c>
      <c r="M147" s="2"/>
    </row>
    <row r="148" spans="1:13">
      <c r="A148" s="2"/>
      <c r="B148" s="5" t="str">
        <f>IF($A148="","",IFERROR(VLOOKUP($A148,'02_Конкуренты'!$A$4:$B$203,2,FALSE),"не найдено"))</f>
        <v/>
      </c>
      <c r="C148" s="2"/>
      <c r="D148" s="2"/>
      <c r="E148" s="2"/>
      <c r="F148" s="2"/>
      <c r="G148" s="2"/>
      <c r="H148" s="2"/>
      <c r="I148" s="2"/>
      <c r="J148" s="2"/>
      <c r="K148" s="7" t="str">
        <f t="shared" si="8"/>
        <v/>
      </c>
      <c r="L148" s="5" t="str">
        <f t="shared" si="9"/>
        <v/>
      </c>
      <c r="M148" s="2"/>
    </row>
    <row r="149" spans="1:13">
      <c r="A149" s="2"/>
      <c r="B149" s="5" t="str">
        <f>IF($A149="","",IFERROR(VLOOKUP($A149,'02_Конкуренты'!$A$4:$B$203,2,FALSE),"не найдено"))</f>
        <v/>
      </c>
      <c r="C149" s="2"/>
      <c r="D149" s="2"/>
      <c r="E149" s="2"/>
      <c r="F149" s="2"/>
      <c r="G149" s="2"/>
      <c r="H149" s="2"/>
      <c r="I149" s="2"/>
      <c r="J149" s="2"/>
      <c r="K149" s="7" t="str">
        <f t="shared" si="8"/>
        <v/>
      </c>
      <c r="L149" s="5" t="str">
        <f t="shared" si="9"/>
        <v/>
      </c>
      <c r="M149" s="2"/>
    </row>
    <row r="150" spans="1:13">
      <c r="A150" s="2"/>
      <c r="B150" s="5" t="str">
        <f>IF($A150="","",IFERROR(VLOOKUP($A150,'02_Конкуренты'!$A$4:$B$203,2,FALSE),"не найдено"))</f>
        <v/>
      </c>
      <c r="C150" s="2"/>
      <c r="D150" s="2"/>
      <c r="E150" s="2"/>
      <c r="F150" s="2"/>
      <c r="G150" s="2"/>
      <c r="H150" s="2"/>
      <c r="I150" s="2"/>
      <c r="J150" s="2"/>
      <c r="K150" s="7" t="str">
        <f t="shared" si="8"/>
        <v/>
      </c>
      <c r="L150" s="5" t="str">
        <f t="shared" si="9"/>
        <v/>
      </c>
      <c r="M150" s="2"/>
    </row>
    <row r="151" spans="1:13">
      <c r="A151" s="2"/>
      <c r="B151" s="5" t="str">
        <f>IF($A151="","",IFERROR(VLOOKUP($A151,'02_Конкуренты'!$A$4:$B$203,2,FALSE),"не найдено"))</f>
        <v/>
      </c>
      <c r="C151" s="2"/>
      <c r="D151" s="2"/>
      <c r="E151" s="2"/>
      <c r="F151" s="2"/>
      <c r="G151" s="2"/>
      <c r="H151" s="2"/>
      <c r="I151" s="2"/>
      <c r="J151" s="2"/>
      <c r="K151" s="7" t="str">
        <f t="shared" si="8"/>
        <v/>
      </c>
      <c r="L151" s="5" t="str">
        <f t="shared" si="9"/>
        <v/>
      </c>
      <c r="M151" s="2"/>
    </row>
    <row r="152" spans="1:13">
      <c r="A152" s="2"/>
      <c r="B152" s="5" t="str">
        <f>IF($A152="","",IFERROR(VLOOKUP($A152,'02_Конкуренты'!$A$4:$B$203,2,FALSE),"не найдено"))</f>
        <v/>
      </c>
      <c r="C152" s="2"/>
      <c r="D152" s="2"/>
      <c r="E152" s="2"/>
      <c r="F152" s="2"/>
      <c r="G152" s="2"/>
      <c r="H152" s="2"/>
      <c r="I152" s="2"/>
      <c r="J152" s="2"/>
      <c r="K152" s="7" t="str">
        <f t="shared" si="8"/>
        <v/>
      </c>
      <c r="L152" s="5" t="str">
        <f t="shared" si="9"/>
        <v/>
      </c>
      <c r="M152" s="2"/>
    </row>
    <row r="153" spans="1:13">
      <c r="A153" s="2"/>
      <c r="B153" s="5" t="str">
        <f>IF($A153="","",IFERROR(VLOOKUP($A153,'02_Конкуренты'!$A$4:$B$203,2,FALSE),"не найдено"))</f>
        <v/>
      </c>
      <c r="C153" s="2"/>
      <c r="D153" s="2"/>
      <c r="E153" s="2"/>
      <c r="F153" s="2"/>
      <c r="G153" s="2"/>
      <c r="H153" s="2"/>
      <c r="I153" s="2"/>
      <c r="J153" s="2"/>
      <c r="K153" s="7" t="str">
        <f t="shared" si="8"/>
        <v/>
      </c>
      <c r="L153" s="5" t="str">
        <f t="shared" si="9"/>
        <v/>
      </c>
      <c r="M153" s="2"/>
    </row>
    <row r="154" spans="1:13">
      <c r="A154" s="2"/>
      <c r="B154" s="5" t="str">
        <f>IF($A154="","",IFERROR(VLOOKUP($A154,'02_Конкуренты'!$A$4:$B$203,2,FALSE),"не найдено"))</f>
        <v/>
      </c>
      <c r="C154" s="2"/>
      <c r="D154" s="2"/>
      <c r="E154" s="2"/>
      <c r="F154" s="2"/>
      <c r="G154" s="2"/>
      <c r="H154" s="2"/>
      <c r="I154" s="2"/>
      <c r="J154" s="2"/>
      <c r="K154" s="7" t="str">
        <f t="shared" si="8"/>
        <v/>
      </c>
      <c r="L154" s="5" t="str">
        <f t="shared" si="9"/>
        <v/>
      </c>
      <c r="M154" s="2"/>
    </row>
    <row r="155" spans="1:13">
      <c r="A155" s="2"/>
      <c r="B155" s="5" t="str">
        <f>IF($A155="","",IFERROR(VLOOKUP($A155,'02_Конкуренты'!$A$4:$B$203,2,FALSE),"не найдено"))</f>
        <v/>
      </c>
      <c r="C155" s="2"/>
      <c r="D155" s="2"/>
      <c r="E155" s="2"/>
      <c r="F155" s="2"/>
      <c r="G155" s="2"/>
      <c r="H155" s="2"/>
      <c r="I155" s="2"/>
      <c r="J155" s="2"/>
      <c r="K155" s="7" t="str">
        <f t="shared" si="8"/>
        <v/>
      </c>
      <c r="L155" s="5" t="str">
        <f t="shared" si="9"/>
        <v/>
      </c>
      <c r="M155" s="2"/>
    </row>
    <row r="156" spans="1:13">
      <c r="A156" s="2"/>
      <c r="B156" s="5" t="str">
        <f>IF($A156="","",IFERROR(VLOOKUP($A156,'02_Конкуренты'!$A$4:$B$203,2,FALSE),"не найдено"))</f>
        <v/>
      </c>
      <c r="C156" s="2"/>
      <c r="D156" s="2"/>
      <c r="E156" s="2"/>
      <c r="F156" s="2"/>
      <c r="G156" s="2"/>
      <c r="H156" s="2"/>
      <c r="I156" s="2"/>
      <c r="J156" s="2"/>
      <c r="K156" s="7" t="str">
        <f t="shared" si="8"/>
        <v/>
      </c>
      <c r="L156" s="5" t="str">
        <f t="shared" si="9"/>
        <v/>
      </c>
      <c r="M156" s="2"/>
    </row>
    <row r="157" spans="1:13">
      <c r="A157" s="2"/>
      <c r="B157" s="5" t="str">
        <f>IF($A157="","",IFERROR(VLOOKUP($A157,'02_Конкуренты'!$A$4:$B$203,2,FALSE),"не найдено"))</f>
        <v/>
      </c>
      <c r="C157" s="2"/>
      <c r="D157" s="2"/>
      <c r="E157" s="2"/>
      <c r="F157" s="2"/>
      <c r="G157" s="2"/>
      <c r="H157" s="2"/>
      <c r="I157" s="2"/>
      <c r="J157" s="2"/>
      <c r="K157" s="7" t="str">
        <f t="shared" si="8"/>
        <v/>
      </c>
      <c r="L157" s="5" t="str">
        <f t="shared" si="9"/>
        <v/>
      </c>
      <c r="M157" s="2"/>
    </row>
    <row r="158" spans="1:13">
      <c r="A158" s="2"/>
      <c r="B158" s="5" t="str">
        <f>IF($A158="","",IFERROR(VLOOKUP($A158,'02_Конкуренты'!$A$4:$B$203,2,FALSE),"не найдено"))</f>
        <v/>
      </c>
      <c r="C158" s="2"/>
      <c r="D158" s="2"/>
      <c r="E158" s="2"/>
      <c r="F158" s="2"/>
      <c r="G158" s="2"/>
      <c r="H158" s="2"/>
      <c r="I158" s="2"/>
      <c r="J158" s="2"/>
      <c r="K158" s="7" t="str">
        <f t="shared" si="8"/>
        <v/>
      </c>
      <c r="L158" s="5" t="str">
        <f t="shared" si="9"/>
        <v/>
      </c>
      <c r="M158" s="2"/>
    </row>
    <row r="159" spans="1:13">
      <c r="A159" s="2"/>
      <c r="B159" s="5" t="str">
        <f>IF($A159="","",IFERROR(VLOOKUP($A159,'02_Конкуренты'!$A$4:$B$203,2,FALSE),"не найдено"))</f>
        <v/>
      </c>
      <c r="C159" s="2"/>
      <c r="D159" s="2"/>
      <c r="E159" s="2"/>
      <c r="F159" s="2"/>
      <c r="G159" s="2"/>
      <c r="H159" s="2"/>
      <c r="I159" s="2"/>
      <c r="J159" s="2"/>
      <c r="K159" s="7" t="str">
        <f t="shared" si="8"/>
        <v/>
      </c>
      <c r="L159" s="5" t="str">
        <f t="shared" si="9"/>
        <v/>
      </c>
      <c r="M159" s="2"/>
    </row>
    <row r="160" spans="1:13">
      <c r="A160" s="2"/>
      <c r="B160" s="5" t="str">
        <f>IF($A160="","",IFERROR(VLOOKUP($A160,'02_Конкуренты'!$A$4:$B$203,2,FALSE),"не найдено"))</f>
        <v/>
      </c>
      <c r="C160" s="2"/>
      <c r="D160" s="2"/>
      <c r="E160" s="2"/>
      <c r="F160" s="2"/>
      <c r="G160" s="2"/>
      <c r="H160" s="2"/>
      <c r="I160" s="2"/>
      <c r="J160" s="2"/>
      <c r="K160" s="7" t="str">
        <f t="shared" si="8"/>
        <v/>
      </c>
      <c r="L160" s="5" t="str">
        <f t="shared" si="9"/>
        <v/>
      </c>
      <c r="M160" s="2"/>
    </row>
    <row r="161" spans="1:13">
      <c r="A161" s="2"/>
      <c r="B161" s="5" t="str">
        <f>IF($A161="","",IFERROR(VLOOKUP($A161,'02_Конкуренты'!$A$4:$B$203,2,FALSE),"не найдено"))</f>
        <v/>
      </c>
      <c r="C161" s="2"/>
      <c r="D161" s="2"/>
      <c r="E161" s="2"/>
      <c r="F161" s="2"/>
      <c r="G161" s="2"/>
      <c r="H161" s="2"/>
      <c r="I161" s="2"/>
      <c r="J161" s="2"/>
      <c r="K161" s="7" t="str">
        <f t="shared" si="8"/>
        <v/>
      </c>
      <c r="L161" s="5" t="str">
        <f t="shared" si="9"/>
        <v/>
      </c>
      <c r="M161" s="2"/>
    </row>
    <row r="162" spans="1:13">
      <c r="A162" s="2"/>
      <c r="B162" s="5" t="str">
        <f>IF($A162="","",IFERROR(VLOOKUP($A162,'02_Конкуренты'!$A$4:$B$203,2,FALSE),"не найдено"))</f>
        <v/>
      </c>
      <c r="C162" s="2"/>
      <c r="D162" s="2"/>
      <c r="E162" s="2"/>
      <c r="F162" s="2"/>
      <c r="G162" s="2"/>
      <c r="H162" s="2"/>
      <c r="I162" s="2"/>
      <c r="J162" s="2"/>
      <c r="K162" s="7" t="str">
        <f t="shared" si="8"/>
        <v/>
      </c>
      <c r="L162" s="5" t="str">
        <f t="shared" si="9"/>
        <v/>
      </c>
      <c r="M162" s="2"/>
    </row>
    <row r="163" spans="1:13">
      <c r="A163" s="2"/>
      <c r="B163" s="5" t="str">
        <f>IF($A163="","",IFERROR(VLOOKUP($A163,'02_Конкуренты'!$A$4:$B$203,2,FALSE),"не найдено"))</f>
        <v/>
      </c>
      <c r="C163" s="2"/>
      <c r="D163" s="2"/>
      <c r="E163" s="2"/>
      <c r="F163" s="2"/>
      <c r="G163" s="2"/>
      <c r="H163" s="2"/>
      <c r="I163" s="2"/>
      <c r="J163" s="2"/>
      <c r="K163" s="7" t="str">
        <f t="shared" si="8"/>
        <v/>
      </c>
      <c r="L163" s="5" t="str">
        <f t="shared" si="9"/>
        <v/>
      </c>
      <c r="M163" s="2"/>
    </row>
    <row r="164" spans="1:13">
      <c r="A164" s="2"/>
      <c r="B164" s="5" t="str">
        <f>IF($A164="","",IFERROR(VLOOKUP($A164,'02_Конкуренты'!$A$4:$B$203,2,FALSE),"не найдено"))</f>
        <v/>
      </c>
      <c r="C164" s="2"/>
      <c r="D164" s="2"/>
      <c r="E164" s="2"/>
      <c r="F164" s="2"/>
      <c r="G164" s="2"/>
      <c r="H164" s="2"/>
      <c r="I164" s="2"/>
      <c r="J164" s="2"/>
      <c r="K164" s="7" t="str">
        <f t="shared" ref="K164:K195" si="10">IF($A164="","",$G164*0.3+$H164*0.25+$I164*0.25+$J164*0.2)</f>
        <v/>
      </c>
      <c r="L164" s="5" t="str">
        <f t="shared" ref="L164:L195" si="11">IF($A164="","",IF($K164&gt;=4,"сильное преимущество",IF($K164&gt;=3,"умеренное преимущество",IF($K164&gt;=2,"слабое преимущество","недостаточно подтверждений"))))</f>
        <v/>
      </c>
      <c r="M164" s="2"/>
    </row>
    <row r="165" spans="1:13">
      <c r="A165" s="2"/>
      <c r="B165" s="5" t="str">
        <f>IF($A165="","",IFERROR(VLOOKUP($A165,'02_Конкуренты'!$A$4:$B$203,2,FALSE),"не найдено"))</f>
        <v/>
      </c>
      <c r="C165" s="2"/>
      <c r="D165" s="2"/>
      <c r="E165" s="2"/>
      <c r="F165" s="2"/>
      <c r="G165" s="2"/>
      <c r="H165" s="2"/>
      <c r="I165" s="2"/>
      <c r="J165" s="2"/>
      <c r="K165" s="7" t="str">
        <f t="shared" si="10"/>
        <v/>
      </c>
      <c r="L165" s="5" t="str">
        <f t="shared" si="11"/>
        <v/>
      </c>
      <c r="M165" s="2"/>
    </row>
    <row r="166" spans="1:13">
      <c r="A166" s="2"/>
      <c r="B166" s="5" t="str">
        <f>IF($A166="","",IFERROR(VLOOKUP($A166,'02_Конкуренты'!$A$4:$B$203,2,FALSE),"не найдено"))</f>
        <v/>
      </c>
      <c r="C166" s="2"/>
      <c r="D166" s="2"/>
      <c r="E166" s="2"/>
      <c r="F166" s="2"/>
      <c r="G166" s="2"/>
      <c r="H166" s="2"/>
      <c r="I166" s="2"/>
      <c r="J166" s="2"/>
      <c r="K166" s="7" t="str">
        <f t="shared" si="10"/>
        <v/>
      </c>
      <c r="L166" s="5" t="str">
        <f t="shared" si="11"/>
        <v/>
      </c>
      <c r="M166" s="2"/>
    </row>
    <row r="167" spans="1:13">
      <c r="A167" s="2"/>
      <c r="B167" s="5" t="str">
        <f>IF($A167="","",IFERROR(VLOOKUP($A167,'02_Конкуренты'!$A$4:$B$203,2,FALSE),"не найдено"))</f>
        <v/>
      </c>
      <c r="C167" s="2"/>
      <c r="D167" s="2"/>
      <c r="E167" s="2"/>
      <c r="F167" s="2"/>
      <c r="G167" s="2"/>
      <c r="H167" s="2"/>
      <c r="I167" s="2"/>
      <c r="J167" s="2"/>
      <c r="K167" s="7" t="str">
        <f t="shared" si="10"/>
        <v/>
      </c>
      <c r="L167" s="5" t="str">
        <f t="shared" si="11"/>
        <v/>
      </c>
      <c r="M167" s="2"/>
    </row>
    <row r="168" spans="1:13">
      <c r="A168" s="2"/>
      <c r="B168" s="5" t="str">
        <f>IF($A168="","",IFERROR(VLOOKUP($A168,'02_Конкуренты'!$A$4:$B$203,2,FALSE),"не найдено"))</f>
        <v/>
      </c>
      <c r="C168" s="2"/>
      <c r="D168" s="2"/>
      <c r="E168" s="2"/>
      <c r="F168" s="2"/>
      <c r="G168" s="2"/>
      <c r="H168" s="2"/>
      <c r="I168" s="2"/>
      <c r="J168" s="2"/>
      <c r="K168" s="7" t="str">
        <f t="shared" si="10"/>
        <v/>
      </c>
      <c r="L168" s="5" t="str">
        <f t="shared" si="11"/>
        <v/>
      </c>
      <c r="M168" s="2"/>
    </row>
    <row r="169" spans="1:13">
      <c r="A169" s="2"/>
      <c r="B169" s="5" t="str">
        <f>IF($A169="","",IFERROR(VLOOKUP($A169,'02_Конкуренты'!$A$4:$B$203,2,FALSE),"не найдено"))</f>
        <v/>
      </c>
      <c r="C169" s="2"/>
      <c r="D169" s="2"/>
      <c r="E169" s="2"/>
      <c r="F169" s="2"/>
      <c r="G169" s="2"/>
      <c r="H169" s="2"/>
      <c r="I169" s="2"/>
      <c r="J169" s="2"/>
      <c r="K169" s="7" t="str">
        <f t="shared" si="10"/>
        <v/>
      </c>
      <c r="L169" s="5" t="str">
        <f t="shared" si="11"/>
        <v/>
      </c>
      <c r="M169" s="2"/>
    </row>
    <row r="170" spans="1:13">
      <c r="A170" s="2"/>
      <c r="B170" s="5" t="str">
        <f>IF($A170="","",IFERROR(VLOOKUP($A170,'02_Конкуренты'!$A$4:$B$203,2,FALSE),"не найдено"))</f>
        <v/>
      </c>
      <c r="C170" s="2"/>
      <c r="D170" s="2"/>
      <c r="E170" s="2"/>
      <c r="F170" s="2"/>
      <c r="G170" s="2"/>
      <c r="H170" s="2"/>
      <c r="I170" s="2"/>
      <c r="J170" s="2"/>
      <c r="K170" s="7" t="str">
        <f t="shared" si="10"/>
        <v/>
      </c>
      <c r="L170" s="5" t="str">
        <f t="shared" si="11"/>
        <v/>
      </c>
      <c r="M170" s="2"/>
    </row>
    <row r="171" spans="1:13">
      <c r="A171" s="2"/>
      <c r="B171" s="5" t="str">
        <f>IF($A171="","",IFERROR(VLOOKUP($A171,'02_Конкуренты'!$A$4:$B$203,2,FALSE),"не найдено"))</f>
        <v/>
      </c>
      <c r="C171" s="2"/>
      <c r="D171" s="2"/>
      <c r="E171" s="2"/>
      <c r="F171" s="2"/>
      <c r="G171" s="2"/>
      <c r="H171" s="2"/>
      <c r="I171" s="2"/>
      <c r="J171" s="2"/>
      <c r="K171" s="7" t="str">
        <f t="shared" si="10"/>
        <v/>
      </c>
      <c r="L171" s="5" t="str">
        <f t="shared" si="11"/>
        <v/>
      </c>
      <c r="M171" s="2"/>
    </row>
    <row r="172" spans="1:13">
      <c r="A172" s="2"/>
      <c r="B172" s="5" t="str">
        <f>IF($A172="","",IFERROR(VLOOKUP($A172,'02_Конкуренты'!$A$4:$B$203,2,FALSE),"не найдено"))</f>
        <v/>
      </c>
      <c r="C172" s="2"/>
      <c r="D172" s="2"/>
      <c r="E172" s="2"/>
      <c r="F172" s="2"/>
      <c r="G172" s="2"/>
      <c r="H172" s="2"/>
      <c r="I172" s="2"/>
      <c r="J172" s="2"/>
      <c r="K172" s="7" t="str">
        <f t="shared" si="10"/>
        <v/>
      </c>
      <c r="L172" s="5" t="str">
        <f t="shared" si="11"/>
        <v/>
      </c>
      <c r="M172" s="2"/>
    </row>
    <row r="173" spans="1:13">
      <c r="A173" s="2"/>
      <c r="B173" s="5" t="str">
        <f>IF($A173="","",IFERROR(VLOOKUP($A173,'02_Конкуренты'!$A$4:$B$203,2,FALSE),"не найдено"))</f>
        <v/>
      </c>
      <c r="C173" s="2"/>
      <c r="D173" s="2"/>
      <c r="E173" s="2"/>
      <c r="F173" s="2"/>
      <c r="G173" s="2"/>
      <c r="H173" s="2"/>
      <c r="I173" s="2"/>
      <c r="J173" s="2"/>
      <c r="K173" s="7" t="str">
        <f t="shared" si="10"/>
        <v/>
      </c>
      <c r="L173" s="5" t="str">
        <f t="shared" si="11"/>
        <v/>
      </c>
      <c r="M173" s="2"/>
    </row>
    <row r="174" spans="1:13">
      <c r="A174" s="2"/>
      <c r="B174" s="5" t="str">
        <f>IF($A174="","",IFERROR(VLOOKUP($A174,'02_Конкуренты'!$A$4:$B$203,2,FALSE),"не найдено"))</f>
        <v/>
      </c>
      <c r="C174" s="2"/>
      <c r="D174" s="2"/>
      <c r="E174" s="2"/>
      <c r="F174" s="2"/>
      <c r="G174" s="2"/>
      <c r="H174" s="2"/>
      <c r="I174" s="2"/>
      <c r="J174" s="2"/>
      <c r="K174" s="7" t="str">
        <f t="shared" si="10"/>
        <v/>
      </c>
      <c r="L174" s="5" t="str">
        <f t="shared" si="11"/>
        <v/>
      </c>
      <c r="M174" s="2"/>
    </row>
    <row r="175" spans="1:13">
      <c r="A175" s="2"/>
      <c r="B175" s="5" t="str">
        <f>IF($A175="","",IFERROR(VLOOKUP($A175,'02_Конкуренты'!$A$4:$B$203,2,FALSE),"не найдено"))</f>
        <v/>
      </c>
      <c r="C175" s="2"/>
      <c r="D175" s="2"/>
      <c r="E175" s="2"/>
      <c r="F175" s="2"/>
      <c r="G175" s="2"/>
      <c r="H175" s="2"/>
      <c r="I175" s="2"/>
      <c r="J175" s="2"/>
      <c r="K175" s="7" t="str">
        <f t="shared" si="10"/>
        <v/>
      </c>
      <c r="L175" s="5" t="str">
        <f t="shared" si="11"/>
        <v/>
      </c>
      <c r="M175" s="2"/>
    </row>
    <row r="176" spans="1:13">
      <c r="A176" s="2"/>
      <c r="B176" s="5" t="str">
        <f>IF($A176="","",IFERROR(VLOOKUP($A176,'02_Конкуренты'!$A$4:$B$203,2,FALSE),"не найдено"))</f>
        <v/>
      </c>
      <c r="C176" s="2"/>
      <c r="D176" s="2"/>
      <c r="E176" s="2"/>
      <c r="F176" s="2"/>
      <c r="G176" s="2"/>
      <c r="H176" s="2"/>
      <c r="I176" s="2"/>
      <c r="J176" s="2"/>
      <c r="K176" s="7" t="str">
        <f t="shared" si="10"/>
        <v/>
      </c>
      <c r="L176" s="5" t="str">
        <f t="shared" si="11"/>
        <v/>
      </c>
      <c r="M176" s="2"/>
    </row>
    <row r="177" spans="1:13">
      <c r="A177" s="2"/>
      <c r="B177" s="5" t="str">
        <f>IF($A177="","",IFERROR(VLOOKUP($A177,'02_Конкуренты'!$A$4:$B$203,2,FALSE),"не найдено"))</f>
        <v/>
      </c>
      <c r="C177" s="2"/>
      <c r="D177" s="2"/>
      <c r="E177" s="2"/>
      <c r="F177" s="2"/>
      <c r="G177" s="2"/>
      <c r="H177" s="2"/>
      <c r="I177" s="2"/>
      <c r="J177" s="2"/>
      <c r="K177" s="7" t="str">
        <f t="shared" si="10"/>
        <v/>
      </c>
      <c r="L177" s="5" t="str">
        <f t="shared" si="11"/>
        <v/>
      </c>
      <c r="M177" s="2"/>
    </row>
    <row r="178" spans="1:13">
      <c r="A178" s="2"/>
      <c r="B178" s="5" t="str">
        <f>IF($A178="","",IFERROR(VLOOKUP($A178,'02_Конкуренты'!$A$4:$B$203,2,FALSE),"не найдено"))</f>
        <v/>
      </c>
      <c r="C178" s="2"/>
      <c r="D178" s="2"/>
      <c r="E178" s="2"/>
      <c r="F178" s="2"/>
      <c r="G178" s="2"/>
      <c r="H178" s="2"/>
      <c r="I178" s="2"/>
      <c r="J178" s="2"/>
      <c r="K178" s="7" t="str">
        <f t="shared" si="10"/>
        <v/>
      </c>
      <c r="L178" s="5" t="str">
        <f t="shared" si="11"/>
        <v/>
      </c>
      <c r="M178" s="2"/>
    </row>
    <row r="179" spans="1:13">
      <c r="A179" s="2"/>
      <c r="B179" s="5" t="str">
        <f>IF($A179="","",IFERROR(VLOOKUP($A179,'02_Конкуренты'!$A$4:$B$203,2,FALSE),"не найдено"))</f>
        <v/>
      </c>
      <c r="C179" s="2"/>
      <c r="D179" s="2"/>
      <c r="E179" s="2"/>
      <c r="F179" s="2"/>
      <c r="G179" s="2"/>
      <c r="H179" s="2"/>
      <c r="I179" s="2"/>
      <c r="J179" s="2"/>
      <c r="K179" s="7" t="str">
        <f t="shared" si="10"/>
        <v/>
      </c>
      <c r="L179" s="5" t="str">
        <f t="shared" si="11"/>
        <v/>
      </c>
      <c r="M179" s="2"/>
    </row>
    <row r="180" spans="1:13">
      <c r="A180" s="2"/>
      <c r="B180" s="5" t="str">
        <f>IF($A180="","",IFERROR(VLOOKUP($A180,'02_Конкуренты'!$A$4:$B$203,2,FALSE),"не найдено"))</f>
        <v/>
      </c>
      <c r="C180" s="2"/>
      <c r="D180" s="2"/>
      <c r="E180" s="2"/>
      <c r="F180" s="2"/>
      <c r="G180" s="2"/>
      <c r="H180" s="2"/>
      <c r="I180" s="2"/>
      <c r="J180" s="2"/>
      <c r="K180" s="7" t="str">
        <f t="shared" si="10"/>
        <v/>
      </c>
      <c r="L180" s="5" t="str">
        <f t="shared" si="11"/>
        <v/>
      </c>
      <c r="M180" s="2"/>
    </row>
    <row r="181" spans="1:13">
      <c r="A181" s="2"/>
      <c r="B181" s="5" t="str">
        <f>IF($A181="","",IFERROR(VLOOKUP($A181,'02_Конкуренты'!$A$4:$B$203,2,FALSE),"не найдено"))</f>
        <v/>
      </c>
      <c r="C181" s="2"/>
      <c r="D181" s="2"/>
      <c r="E181" s="2"/>
      <c r="F181" s="2"/>
      <c r="G181" s="2"/>
      <c r="H181" s="2"/>
      <c r="I181" s="2"/>
      <c r="J181" s="2"/>
      <c r="K181" s="7" t="str">
        <f t="shared" si="10"/>
        <v/>
      </c>
      <c r="L181" s="5" t="str">
        <f t="shared" si="11"/>
        <v/>
      </c>
      <c r="M181" s="2"/>
    </row>
    <row r="182" spans="1:13">
      <c r="A182" s="2"/>
      <c r="B182" s="5" t="str">
        <f>IF($A182="","",IFERROR(VLOOKUP($A182,'02_Конкуренты'!$A$4:$B$203,2,FALSE),"не найдено"))</f>
        <v/>
      </c>
      <c r="C182" s="2"/>
      <c r="D182" s="2"/>
      <c r="E182" s="2"/>
      <c r="F182" s="2"/>
      <c r="G182" s="2"/>
      <c r="H182" s="2"/>
      <c r="I182" s="2"/>
      <c r="J182" s="2"/>
      <c r="K182" s="7" t="str">
        <f t="shared" si="10"/>
        <v/>
      </c>
      <c r="L182" s="5" t="str">
        <f t="shared" si="11"/>
        <v/>
      </c>
      <c r="M182" s="2"/>
    </row>
    <row r="183" spans="1:13">
      <c r="A183" s="2"/>
      <c r="B183" s="5" t="str">
        <f>IF($A183="","",IFERROR(VLOOKUP($A183,'02_Конкуренты'!$A$4:$B$203,2,FALSE),"не найдено"))</f>
        <v/>
      </c>
      <c r="C183" s="2"/>
      <c r="D183" s="2"/>
      <c r="E183" s="2"/>
      <c r="F183" s="2"/>
      <c r="G183" s="2"/>
      <c r="H183" s="2"/>
      <c r="I183" s="2"/>
      <c r="J183" s="2"/>
      <c r="K183" s="7" t="str">
        <f t="shared" si="10"/>
        <v/>
      </c>
      <c r="L183" s="5" t="str">
        <f t="shared" si="11"/>
        <v/>
      </c>
      <c r="M183" s="2"/>
    </row>
    <row r="184" spans="1:13">
      <c r="A184" s="2"/>
      <c r="B184" s="5" t="str">
        <f>IF($A184="","",IFERROR(VLOOKUP($A184,'02_Конкуренты'!$A$4:$B$203,2,FALSE),"не найдено"))</f>
        <v/>
      </c>
      <c r="C184" s="2"/>
      <c r="D184" s="2"/>
      <c r="E184" s="2"/>
      <c r="F184" s="2"/>
      <c r="G184" s="2"/>
      <c r="H184" s="2"/>
      <c r="I184" s="2"/>
      <c r="J184" s="2"/>
      <c r="K184" s="7" t="str">
        <f t="shared" si="10"/>
        <v/>
      </c>
      <c r="L184" s="5" t="str">
        <f t="shared" si="11"/>
        <v/>
      </c>
      <c r="M184" s="2"/>
    </row>
    <row r="185" spans="1:13">
      <c r="A185" s="2"/>
      <c r="B185" s="5" t="str">
        <f>IF($A185="","",IFERROR(VLOOKUP($A185,'02_Конкуренты'!$A$4:$B$203,2,FALSE),"не найдено"))</f>
        <v/>
      </c>
      <c r="C185" s="2"/>
      <c r="D185" s="2"/>
      <c r="E185" s="2"/>
      <c r="F185" s="2"/>
      <c r="G185" s="2"/>
      <c r="H185" s="2"/>
      <c r="I185" s="2"/>
      <c r="J185" s="2"/>
      <c r="K185" s="7" t="str">
        <f t="shared" si="10"/>
        <v/>
      </c>
      <c r="L185" s="5" t="str">
        <f t="shared" si="11"/>
        <v/>
      </c>
      <c r="M185" s="2"/>
    </row>
    <row r="186" spans="1:13">
      <c r="A186" s="2"/>
      <c r="B186" s="5" t="str">
        <f>IF($A186="","",IFERROR(VLOOKUP($A186,'02_Конкуренты'!$A$4:$B$203,2,FALSE),"не найдено"))</f>
        <v/>
      </c>
      <c r="C186" s="2"/>
      <c r="D186" s="2"/>
      <c r="E186" s="2"/>
      <c r="F186" s="2"/>
      <c r="G186" s="2"/>
      <c r="H186" s="2"/>
      <c r="I186" s="2"/>
      <c r="J186" s="2"/>
      <c r="K186" s="7" t="str">
        <f t="shared" si="10"/>
        <v/>
      </c>
      <c r="L186" s="5" t="str">
        <f t="shared" si="11"/>
        <v/>
      </c>
      <c r="M186" s="2"/>
    </row>
    <row r="187" spans="1:13">
      <c r="A187" s="2"/>
      <c r="B187" s="5" t="str">
        <f>IF($A187="","",IFERROR(VLOOKUP($A187,'02_Конкуренты'!$A$4:$B$203,2,FALSE),"не найдено"))</f>
        <v/>
      </c>
      <c r="C187" s="2"/>
      <c r="D187" s="2"/>
      <c r="E187" s="2"/>
      <c r="F187" s="2"/>
      <c r="G187" s="2"/>
      <c r="H187" s="2"/>
      <c r="I187" s="2"/>
      <c r="J187" s="2"/>
      <c r="K187" s="7" t="str">
        <f t="shared" si="10"/>
        <v/>
      </c>
      <c r="L187" s="5" t="str">
        <f t="shared" si="11"/>
        <v/>
      </c>
      <c r="M187" s="2"/>
    </row>
    <row r="188" spans="1:13">
      <c r="A188" s="2"/>
      <c r="B188" s="5" t="str">
        <f>IF($A188="","",IFERROR(VLOOKUP($A188,'02_Конкуренты'!$A$4:$B$203,2,FALSE),"не найдено"))</f>
        <v/>
      </c>
      <c r="C188" s="2"/>
      <c r="D188" s="2"/>
      <c r="E188" s="2"/>
      <c r="F188" s="2"/>
      <c r="G188" s="2"/>
      <c r="H188" s="2"/>
      <c r="I188" s="2"/>
      <c r="J188" s="2"/>
      <c r="K188" s="7" t="str">
        <f t="shared" si="10"/>
        <v/>
      </c>
      <c r="L188" s="5" t="str">
        <f t="shared" si="11"/>
        <v/>
      </c>
      <c r="M188" s="2"/>
    </row>
    <row r="189" spans="1:13">
      <c r="A189" s="2"/>
      <c r="B189" s="5" t="str">
        <f>IF($A189="","",IFERROR(VLOOKUP($A189,'02_Конкуренты'!$A$4:$B$203,2,FALSE),"не найдено"))</f>
        <v/>
      </c>
      <c r="C189" s="2"/>
      <c r="D189" s="2"/>
      <c r="E189" s="2"/>
      <c r="F189" s="2"/>
      <c r="G189" s="2"/>
      <c r="H189" s="2"/>
      <c r="I189" s="2"/>
      <c r="J189" s="2"/>
      <c r="K189" s="7" t="str">
        <f t="shared" si="10"/>
        <v/>
      </c>
      <c r="L189" s="5" t="str">
        <f t="shared" si="11"/>
        <v/>
      </c>
      <c r="M189" s="2"/>
    </row>
    <row r="190" spans="1:13">
      <c r="A190" s="2"/>
      <c r="B190" s="5" t="str">
        <f>IF($A190="","",IFERROR(VLOOKUP($A190,'02_Конкуренты'!$A$4:$B$203,2,FALSE),"не найдено"))</f>
        <v/>
      </c>
      <c r="C190" s="2"/>
      <c r="D190" s="2"/>
      <c r="E190" s="2"/>
      <c r="F190" s="2"/>
      <c r="G190" s="2"/>
      <c r="H190" s="2"/>
      <c r="I190" s="2"/>
      <c r="J190" s="2"/>
      <c r="K190" s="7" t="str">
        <f t="shared" si="10"/>
        <v/>
      </c>
      <c r="L190" s="5" t="str">
        <f t="shared" si="11"/>
        <v/>
      </c>
      <c r="M190" s="2"/>
    </row>
    <row r="191" spans="1:13">
      <c r="A191" s="2"/>
      <c r="B191" s="5" t="str">
        <f>IF($A191="","",IFERROR(VLOOKUP($A191,'02_Конкуренты'!$A$4:$B$203,2,FALSE),"не найдено"))</f>
        <v/>
      </c>
      <c r="C191" s="2"/>
      <c r="D191" s="2"/>
      <c r="E191" s="2"/>
      <c r="F191" s="2"/>
      <c r="G191" s="2"/>
      <c r="H191" s="2"/>
      <c r="I191" s="2"/>
      <c r="J191" s="2"/>
      <c r="K191" s="7" t="str">
        <f t="shared" si="10"/>
        <v/>
      </c>
      <c r="L191" s="5" t="str">
        <f t="shared" si="11"/>
        <v/>
      </c>
      <c r="M191" s="2"/>
    </row>
    <row r="192" spans="1:13">
      <c r="A192" s="2"/>
      <c r="B192" s="5" t="str">
        <f>IF($A192="","",IFERROR(VLOOKUP($A192,'02_Конкуренты'!$A$4:$B$203,2,FALSE),"не найдено"))</f>
        <v/>
      </c>
      <c r="C192" s="2"/>
      <c r="D192" s="2"/>
      <c r="E192" s="2"/>
      <c r="F192" s="2"/>
      <c r="G192" s="2"/>
      <c r="H192" s="2"/>
      <c r="I192" s="2"/>
      <c r="J192" s="2"/>
      <c r="K192" s="7" t="str">
        <f t="shared" si="10"/>
        <v/>
      </c>
      <c r="L192" s="5" t="str">
        <f t="shared" si="11"/>
        <v/>
      </c>
      <c r="M192" s="2"/>
    </row>
    <row r="193" spans="1:13">
      <c r="A193" s="2"/>
      <c r="B193" s="5" t="str">
        <f>IF($A193="","",IFERROR(VLOOKUP($A193,'02_Конкуренты'!$A$4:$B$203,2,FALSE),"не найдено"))</f>
        <v/>
      </c>
      <c r="C193" s="2"/>
      <c r="D193" s="2"/>
      <c r="E193" s="2"/>
      <c r="F193" s="2"/>
      <c r="G193" s="2"/>
      <c r="H193" s="2"/>
      <c r="I193" s="2"/>
      <c r="J193" s="2"/>
      <c r="K193" s="7" t="str">
        <f t="shared" si="10"/>
        <v/>
      </c>
      <c r="L193" s="5" t="str">
        <f t="shared" si="11"/>
        <v/>
      </c>
      <c r="M193" s="2"/>
    </row>
    <row r="194" spans="1:13">
      <c r="A194" s="2"/>
      <c r="B194" s="5" t="str">
        <f>IF($A194="","",IFERROR(VLOOKUP($A194,'02_Конкуренты'!$A$4:$B$203,2,FALSE),"не найдено"))</f>
        <v/>
      </c>
      <c r="C194" s="2"/>
      <c r="D194" s="2"/>
      <c r="E194" s="2"/>
      <c r="F194" s="2"/>
      <c r="G194" s="2"/>
      <c r="H194" s="2"/>
      <c r="I194" s="2"/>
      <c r="J194" s="2"/>
      <c r="K194" s="7" t="str">
        <f t="shared" si="10"/>
        <v/>
      </c>
      <c r="L194" s="5" t="str">
        <f t="shared" si="11"/>
        <v/>
      </c>
      <c r="M194" s="2"/>
    </row>
    <row r="195" spans="1:13">
      <c r="A195" s="2"/>
      <c r="B195" s="5" t="str">
        <f>IF($A195="","",IFERROR(VLOOKUP($A195,'02_Конкуренты'!$A$4:$B$203,2,FALSE),"не найдено"))</f>
        <v/>
      </c>
      <c r="C195" s="2"/>
      <c r="D195" s="2"/>
      <c r="E195" s="2"/>
      <c r="F195" s="2"/>
      <c r="G195" s="2"/>
      <c r="H195" s="2"/>
      <c r="I195" s="2"/>
      <c r="J195" s="2"/>
      <c r="K195" s="7" t="str">
        <f t="shared" si="10"/>
        <v/>
      </c>
      <c r="L195" s="5" t="str">
        <f t="shared" si="11"/>
        <v/>
      </c>
      <c r="M195" s="2"/>
    </row>
    <row r="196" spans="1:13">
      <c r="A196" s="2"/>
      <c r="B196" s="5" t="str">
        <f>IF($A196="","",IFERROR(VLOOKUP($A196,'02_Конкуренты'!$A$4:$B$203,2,FALSE),"не найдено"))</f>
        <v/>
      </c>
      <c r="C196" s="2"/>
      <c r="D196" s="2"/>
      <c r="E196" s="2"/>
      <c r="F196" s="2"/>
      <c r="G196" s="2"/>
      <c r="H196" s="2"/>
      <c r="I196" s="2"/>
      <c r="J196" s="2"/>
      <c r="K196" s="7" t="str">
        <f t="shared" ref="K196:K203" si="12">IF($A196="","",$G196*0.3+$H196*0.25+$I196*0.25+$J196*0.2)</f>
        <v/>
      </c>
      <c r="L196" s="5" t="str">
        <f t="shared" ref="L196:L203" si="13">IF($A196="","",IF($K196&gt;=4,"сильное преимущество",IF($K196&gt;=3,"умеренное преимущество",IF($K196&gt;=2,"слабое преимущество","недостаточно подтверждений"))))</f>
        <v/>
      </c>
      <c r="M196" s="2"/>
    </row>
    <row r="197" spans="1:13">
      <c r="A197" s="2"/>
      <c r="B197" s="5" t="str">
        <f>IF($A197="","",IFERROR(VLOOKUP($A197,'02_Конкуренты'!$A$4:$B$203,2,FALSE),"не найдено"))</f>
        <v/>
      </c>
      <c r="C197" s="2"/>
      <c r="D197" s="2"/>
      <c r="E197" s="2"/>
      <c r="F197" s="2"/>
      <c r="G197" s="2"/>
      <c r="H197" s="2"/>
      <c r="I197" s="2"/>
      <c r="J197" s="2"/>
      <c r="K197" s="7" t="str">
        <f t="shared" si="12"/>
        <v/>
      </c>
      <c r="L197" s="5" t="str">
        <f t="shared" si="13"/>
        <v/>
      </c>
      <c r="M197" s="2"/>
    </row>
    <row r="198" spans="1:13">
      <c r="A198" s="2"/>
      <c r="B198" s="5" t="str">
        <f>IF($A198="","",IFERROR(VLOOKUP($A198,'02_Конкуренты'!$A$4:$B$203,2,FALSE),"не найдено"))</f>
        <v/>
      </c>
      <c r="C198" s="2"/>
      <c r="D198" s="2"/>
      <c r="E198" s="2"/>
      <c r="F198" s="2"/>
      <c r="G198" s="2"/>
      <c r="H198" s="2"/>
      <c r="I198" s="2"/>
      <c r="J198" s="2"/>
      <c r="K198" s="7" t="str">
        <f t="shared" si="12"/>
        <v/>
      </c>
      <c r="L198" s="5" t="str">
        <f t="shared" si="13"/>
        <v/>
      </c>
      <c r="M198" s="2"/>
    </row>
    <row r="199" spans="1:13">
      <c r="A199" s="2"/>
      <c r="B199" s="5" t="str">
        <f>IF($A199="","",IFERROR(VLOOKUP($A199,'02_Конкуренты'!$A$4:$B$203,2,FALSE),"не найдено"))</f>
        <v/>
      </c>
      <c r="C199" s="2"/>
      <c r="D199" s="2"/>
      <c r="E199" s="2"/>
      <c r="F199" s="2"/>
      <c r="G199" s="2"/>
      <c r="H199" s="2"/>
      <c r="I199" s="2"/>
      <c r="J199" s="2"/>
      <c r="K199" s="7" t="str">
        <f t="shared" si="12"/>
        <v/>
      </c>
      <c r="L199" s="5" t="str">
        <f t="shared" si="13"/>
        <v/>
      </c>
      <c r="M199" s="2"/>
    </row>
    <row r="200" spans="1:13">
      <c r="A200" s="2"/>
      <c r="B200" s="5" t="str">
        <f>IF($A200="","",IFERROR(VLOOKUP($A200,'02_Конкуренты'!$A$4:$B$203,2,FALSE),"не найдено"))</f>
        <v/>
      </c>
      <c r="C200" s="2"/>
      <c r="D200" s="2"/>
      <c r="E200" s="2"/>
      <c r="F200" s="2"/>
      <c r="G200" s="2"/>
      <c r="H200" s="2"/>
      <c r="I200" s="2"/>
      <c r="J200" s="2"/>
      <c r="K200" s="7" t="str">
        <f t="shared" si="12"/>
        <v/>
      </c>
      <c r="L200" s="5" t="str">
        <f t="shared" si="13"/>
        <v/>
      </c>
      <c r="M200" s="2"/>
    </row>
    <row r="201" spans="1:13">
      <c r="A201" s="2"/>
      <c r="B201" s="5" t="str">
        <f>IF($A201="","",IFERROR(VLOOKUP($A201,'02_Конкуренты'!$A$4:$B$203,2,FALSE),"не найдено"))</f>
        <v/>
      </c>
      <c r="C201" s="2"/>
      <c r="D201" s="2"/>
      <c r="E201" s="2"/>
      <c r="F201" s="2"/>
      <c r="G201" s="2"/>
      <c r="H201" s="2"/>
      <c r="I201" s="2"/>
      <c r="J201" s="2"/>
      <c r="K201" s="7" t="str">
        <f t="shared" si="12"/>
        <v/>
      </c>
      <c r="L201" s="5" t="str">
        <f t="shared" si="13"/>
        <v/>
      </c>
      <c r="M201" s="2"/>
    </row>
    <row r="202" spans="1:13">
      <c r="A202" s="2"/>
      <c r="B202" s="5" t="str">
        <f>IF($A202="","",IFERROR(VLOOKUP($A202,'02_Конкуренты'!$A$4:$B$203,2,FALSE),"не найдено"))</f>
        <v/>
      </c>
      <c r="C202" s="2"/>
      <c r="D202" s="2"/>
      <c r="E202" s="2"/>
      <c r="F202" s="2"/>
      <c r="G202" s="2"/>
      <c r="H202" s="2"/>
      <c r="I202" s="2"/>
      <c r="J202" s="2"/>
      <c r="K202" s="7" t="str">
        <f t="shared" si="12"/>
        <v/>
      </c>
      <c r="L202" s="5" t="str">
        <f t="shared" si="13"/>
        <v/>
      </c>
      <c r="M202" s="2"/>
    </row>
    <row r="203" spans="1:13">
      <c r="A203" s="2"/>
      <c r="B203" s="5" t="str">
        <f>IF($A203="","",IFERROR(VLOOKUP($A203,'02_Конкуренты'!$A$4:$B$203,2,FALSE),"не найдено"))</f>
        <v/>
      </c>
      <c r="C203" s="2"/>
      <c r="D203" s="2"/>
      <c r="E203" s="2"/>
      <c r="F203" s="2"/>
      <c r="G203" s="2"/>
      <c r="H203" s="2"/>
      <c r="I203" s="2"/>
      <c r="J203" s="2"/>
      <c r="K203" s="7" t="str">
        <f t="shared" si="12"/>
        <v/>
      </c>
      <c r="L203" s="5" t="str">
        <f t="shared" si="13"/>
        <v/>
      </c>
      <c r="M203" s="2"/>
    </row>
  </sheetData>
  <mergeCells count="2">
    <mergeCell ref="A1:M1"/>
    <mergeCell ref="A2:M2"/>
  </mergeCells>
  <conditionalFormatting sqref="K4:K2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3">
    <dataValidation type="list" sqref="D4:D203" xr:uid="{00000000-0002-0000-0B00-000000000000}">
      <formula1>"товарное,ценовое,канальное,технологическое,данные,партнерское,брендовое,сервисное,операционное"</formula1>
    </dataValidation>
    <dataValidation type="list" sqref="E4:E203" xr:uid="{00000000-0002-0000-0B00-000001000000}">
      <formula1>"целевые сегменты,ценностное предложение,цифровой товар,каналы,отношения с клиентами,потоки доходов,ключевые ресурсы,ключевые виды деятельности,ключевые партнеры,структура затрат,данные и сетевые эффекты,масштабирование"</formula1>
    </dataValidation>
    <dataValidation type="list" sqref="G4:J203" xr:uid="{00000000-0002-0000-0B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7"/>
  <sheetViews>
    <sheetView workbookViewId="0"/>
  </sheetViews>
  <sheetFormatPr defaultRowHeight="14.25"/>
  <cols>
    <col min="1" max="1" width="34" customWidth="1"/>
    <col min="2" max="2" width="86" customWidth="1"/>
    <col min="3" max="3" width="52" customWidth="1"/>
    <col min="5" max="5" width="10" customWidth="1"/>
    <col min="6" max="6" width="32" customWidth="1"/>
    <col min="7" max="7" width="16" customWidth="1"/>
  </cols>
  <sheetData>
    <row r="1" spans="1:26" ht="30" customHeight="1">
      <c r="A1" s="17" t="s">
        <v>254</v>
      </c>
      <c r="B1" s="17"/>
      <c r="C1" s="17"/>
      <c r="D1" s="17"/>
      <c r="E1" s="17"/>
      <c r="F1" s="17"/>
      <c r="G1" s="17"/>
      <c r="H1" s="17"/>
      <c r="I1" s="17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38.1" customHeight="1">
      <c r="A2" s="19" t="s">
        <v>255</v>
      </c>
      <c r="B2" s="19"/>
      <c r="C2" s="19"/>
      <c r="D2" s="19"/>
      <c r="E2" s="19"/>
      <c r="F2" s="19"/>
      <c r="G2" s="19"/>
      <c r="H2" s="19"/>
      <c r="I2" s="19"/>
      <c r="J2" s="19"/>
    </row>
    <row r="4" spans="1:26" ht="45">
      <c r="A4" s="1" t="s">
        <v>256</v>
      </c>
      <c r="B4" s="1" t="s">
        <v>257</v>
      </c>
      <c r="C4" s="1" t="s">
        <v>79</v>
      </c>
      <c r="E4" s="1" t="s">
        <v>258</v>
      </c>
      <c r="F4" s="1"/>
      <c r="G4" s="1"/>
    </row>
    <row r="5" spans="1:26" ht="31.5">
      <c r="A5" s="10" t="s">
        <v>259</v>
      </c>
      <c r="B5" s="10">
        <f>COUNTA('02_Конкуренты'!$A$4:$A$203)</f>
        <v>8</v>
      </c>
      <c r="C5" s="10" t="s">
        <v>260</v>
      </c>
      <c r="E5" s="13" t="s">
        <v>261</v>
      </c>
      <c r="F5" s="13" t="s">
        <v>262</v>
      </c>
      <c r="G5" s="13" t="s">
        <v>252</v>
      </c>
    </row>
    <row r="6" spans="1:26" ht="31.5">
      <c r="A6" s="10" t="s">
        <v>263</v>
      </c>
      <c r="B6" s="10">
        <f>COUNTIF('02_Конкуренты'!$H$4:$H$203,"завершен")</f>
        <v>5</v>
      </c>
      <c r="C6" s="10" t="s">
        <v>264</v>
      </c>
      <c r="E6" s="2">
        <f>1</f>
        <v>1</v>
      </c>
      <c r="F6" s="2" t="str">
        <f>IFERROR(INDEX('09_Матрица'!$B$4:$B$203,MATCH(LARGE('09_Матрица'!$Q$4:$Q$203,ROW(A1)),'09_Матрица'!$Q$4:$Q$203,0)),"")</f>
        <v>Eraser (DiagramGPT)</v>
      </c>
      <c r="G6" s="14">
        <f>IFERROR(LARGE('09_Матрица'!$Q$4:$Q$203,ROW(A1)),"")</f>
        <v>4.49</v>
      </c>
    </row>
    <row r="7" spans="1:26" ht="15.75">
      <c r="A7" s="10" t="s">
        <v>265</v>
      </c>
      <c r="B7" s="11">
        <f>IFERROR($B$6/$B$5,0)</f>
        <v>0.625</v>
      </c>
      <c r="C7" s="10" t="s">
        <v>266</v>
      </c>
      <c r="E7" s="2">
        <f>2</f>
        <v>2</v>
      </c>
      <c r="F7" s="2" t="str">
        <f>IFERROR(INDEX('09_Матрица'!$B$4:$B$203,MATCH(LARGE('09_Матрица'!$Q$4:$Q$203,ROW(A2)),'09_Матрица'!$Q$4:$Q$203,0)),"")</f>
        <v>draw.io / diagrams.net</v>
      </c>
      <c r="G7" s="14">
        <f>IFERROR(LARGE('09_Матрица'!$Q$4:$Q$203,ROW(A2)),"")</f>
        <v>4.34</v>
      </c>
    </row>
    <row r="8" spans="1:26" ht="31.5">
      <c r="A8" s="10" t="s">
        <v>267</v>
      </c>
      <c r="B8" s="11">
        <f>IFERROR(AVERAGE('04_Бизнес_модель'!$O$4:$O$203),0)</f>
        <v>0.78125</v>
      </c>
      <c r="C8" s="10" t="s">
        <v>268</v>
      </c>
      <c r="E8" s="2">
        <f>3</f>
        <v>3</v>
      </c>
      <c r="F8" s="2" t="str">
        <f>IFERROR(INDEX('09_Матрица'!$B$4:$B$203,MATCH(LARGE('09_Матрица'!$Q$4:$Q$203,ROW(A3)),'09_Матрица'!$Q$4:$Q$203,0)),"")</f>
        <v>Mermaid (open source)</v>
      </c>
      <c r="G8" s="14">
        <f>IFERROR(LARGE('09_Матрица'!$Q$4:$Q$203,ROW(A3)),"")</f>
        <v>3.9674999999999998</v>
      </c>
    </row>
    <row r="9" spans="1:26" ht="31.5">
      <c r="A9" s="10" t="s">
        <v>269</v>
      </c>
      <c r="B9" s="12">
        <f>IFERROR(AVERAGE('04_Бизнес_модель'!$P$4:$P$203),0)</f>
        <v>3.5999999999999996</v>
      </c>
      <c r="C9" s="10" t="s">
        <v>270</v>
      </c>
      <c r="E9" s="2">
        <f>4</f>
        <v>4</v>
      </c>
      <c r="F9" s="2" t="str">
        <f>IFERROR(INDEX('09_Матрица'!$B$4:$B$203,MATCH(LARGE('09_Матрица'!$Q$4:$Q$203,ROW(A4)),'09_Матрица'!$Q$4:$Q$203,0)),"")</f>
        <v>PlantUML</v>
      </c>
      <c r="G9" s="14">
        <f>IFERROR(LARGE('09_Матрица'!$Q$4:$Q$203,ROW(A4)),"")</f>
        <v>3.88</v>
      </c>
    </row>
    <row r="10" spans="1:26" ht="31.5">
      <c r="A10" s="10" t="s">
        <v>271</v>
      </c>
      <c r="B10" s="12">
        <f>IFERROR(AVERAGE('09_Матрица'!$Q$4:$Q$203),0)</f>
        <v>3.5559375000000002</v>
      </c>
      <c r="C10" s="10" t="s">
        <v>272</v>
      </c>
      <c r="E10" s="2">
        <f>5</f>
        <v>5</v>
      </c>
      <c r="F10" s="2" t="str">
        <f>IFERROR(INDEX('09_Матрица'!$B$4:$B$203,MATCH(LARGE('09_Матрица'!$Q$4:$Q$203,ROW(A5)),'09_Матрица'!$Q$4:$Q$203,0)),"")</f>
        <v>D2</v>
      </c>
      <c r="G10" s="14">
        <f>IFERROR(LARGE('09_Матрица'!$Q$4:$Q$203,ROW(A5)),"")</f>
        <v>3.58</v>
      </c>
    </row>
    <row r="11" spans="1:26" ht="31.5">
      <c r="A11" s="10" t="s">
        <v>273</v>
      </c>
      <c r="B11" s="10">
        <f>COUNTIF('11_Преимущества'!$A$4:$A$203,"&lt;&gt;")</f>
        <v>8</v>
      </c>
      <c r="C11" s="10" t="s">
        <v>274</v>
      </c>
      <c r="E11" s="2">
        <f>6</f>
        <v>6</v>
      </c>
      <c r="F11" s="2" t="str">
        <f>IFERROR(INDEX('09_Матрица'!$B$4:$B$203,MATCH(LARGE('09_Матрица'!$Q$4:$Q$203,ROW(A6)),'09_Матрица'!$Q$4:$Q$203,0)),"")</f>
        <v>Lucidchart</v>
      </c>
      <c r="G11" s="14">
        <f>IFERROR(LARGE('09_Матрица'!$Q$4:$Q$203,ROW(A6)),"")</f>
        <v>3.34</v>
      </c>
    </row>
    <row r="12" spans="1:26">
      <c r="E12" s="2">
        <f>7</f>
        <v>7</v>
      </c>
      <c r="F12" s="2" t="str">
        <f>IFERROR(INDEX('09_Матрица'!$B$4:$B$203,MATCH(LARGE('09_Матрица'!$Q$4:$Q$203,ROW(A7)),'09_Матрица'!$Q$4:$Q$203,0)),"")</f>
        <v>Gleek</v>
      </c>
      <c r="G12" s="14">
        <f>IFERROR(LARGE('09_Матрица'!$Q$4:$Q$203,ROW(A7)),"")</f>
        <v>2.4674999999999998</v>
      </c>
    </row>
    <row r="13" spans="1:26">
      <c r="E13" s="2">
        <f>8</f>
        <v>8</v>
      </c>
      <c r="F13" s="2" t="str">
        <f>IFERROR(INDEX('09_Матрица'!$B$4:$B$203,MATCH(LARGE('09_Матрица'!$Q$4:$Q$203,ROW(A8)),'09_Матрица'!$Q$4:$Q$203,0)),"")</f>
        <v>Ramus (Educational)</v>
      </c>
      <c r="G13" s="14">
        <f>IFERROR(LARGE('09_Матрица'!$Q$4:$Q$203,ROW(A8)),"")</f>
        <v>2.3825000000000003</v>
      </c>
    </row>
    <row r="14" spans="1:26" ht="30">
      <c r="A14" s="1" t="s">
        <v>275</v>
      </c>
      <c r="B14" s="1"/>
      <c r="C14" s="1"/>
      <c r="E14" s="2">
        <f>9</f>
        <v>9</v>
      </c>
      <c r="F14" s="2" t="str">
        <f>IFERROR(INDEX('09_Матрица'!$B$4:$B$203,MATCH(LARGE('09_Матрица'!$Q$4:$Q$203,ROW(A9)),'09_Матрица'!$Q$4:$Q$203,0)),"")</f>
        <v/>
      </c>
      <c r="G14" s="14" t="str">
        <f>IFERROR(LARGE('09_Матрица'!$Q$4:$Q$203,ROW(A9)),"")</f>
        <v/>
      </c>
    </row>
    <row r="15" spans="1:26" ht="15">
      <c r="A15" s="13" t="s">
        <v>243</v>
      </c>
      <c r="B15" s="13" t="s">
        <v>276</v>
      </c>
      <c r="C15" s="13" t="s">
        <v>277</v>
      </c>
      <c r="E15" s="2">
        <f>10</f>
        <v>10</v>
      </c>
      <c r="F15" s="2" t="str">
        <f>IFERROR(INDEX('09_Матрица'!$B$4:$B$203,MATCH(LARGE('09_Матрица'!$Q$4:$Q$203,ROW(A10)),'09_Матрица'!$Q$4:$Q$203,0)),"")</f>
        <v/>
      </c>
      <c r="G15" s="14" t="str">
        <f>IFERROR(LARGE('09_Матрица'!$Q$4:$Q$203,ROW(A10)),"")</f>
        <v/>
      </c>
    </row>
    <row r="16" spans="1:26" ht="28.5">
      <c r="A16" s="2" t="s">
        <v>18</v>
      </c>
      <c r="B16" s="2">
        <f>COUNTIF('10_Стандарт'!$F$4:$F$203,"рыночный стандарт")</f>
        <v>3</v>
      </c>
      <c r="C16" s="2" t="s">
        <v>278</v>
      </c>
    </row>
    <row r="17" spans="1:10">
      <c r="A17" s="2" t="s">
        <v>27</v>
      </c>
      <c r="B17" s="2">
        <f>COUNTIF('10_Стандарт'!$F$4:$F$203,"формирующийся стандарт")</f>
        <v>4</v>
      </c>
      <c r="C17" s="2" t="s">
        <v>279</v>
      </c>
    </row>
    <row r="18" spans="1:10">
      <c r="A18" s="2" t="s">
        <v>36</v>
      </c>
      <c r="B18" s="2">
        <f>COUNTIF('10_Стандарт'!$F$4:$F$203,"зона дифференциации")</f>
        <v>3</v>
      </c>
      <c r="C18" s="2" t="s">
        <v>280</v>
      </c>
    </row>
    <row r="19" spans="1:10" ht="28.5">
      <c r="A19" s="2" t="s">
        <v>51</v>
      </c>
      <c r="B19" s="2">
        <f>COUNTIF('10_Стандарт'!$F$4:$F$203,"слабый сигнал")</f>
        <v>3</v>
      </c>
      <c r="C19" s="2" t="s">
        <v>281</v>
      </c>
    </row>
    <row r="22" spans="1:10" ht="15">
      <c r="A22" s="21" t="s">
        <v>282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ht="28.5">
      <c r="A23" s="15" t="s">
        <v>283</v>
      </c>
      <c r="B23" s="15" t="s">
        <v>284</v>
      </c>
      <c r="C23" s="22" t="s">
        <v>779</v>
      </c>
    </row>
    <row r="24" spans="1:10" ht="28.5">
      <c r="A24" s="15" t="s">
        <v>285</v>
      </c>
      <c r="B24" s="15" t="s">
        <v>286</v>
      </c>
      <c r="C24" s="22" t="s">
        <v>780</v>
      </c>
    </row>
    <row r="25" spans="1:10" ht="28.5">
      <c r="A25" s="15" t="s">
        <v>287</v>
      </c>
      <c r="B25" s="15" t="s">
        <v>288</v>
      </c>
      <c r="C25" s="22" t="s">
        <v>781</v>
      </c>
    </row>
    <row r="26" spans="1:10">
      <c r="A26" s="15" t="s">
        <v>289</v>
      </c>
      <c r="B26" s="15" t="s">
        <v>290</v>
      </c>
      <c r="C26" s="22" t="s">
        <v>782</v>
      </c>
    </row>
    <row r="27" spans="1:10" ht="28.5">
      <c r="A27" s="15" t="s">
        <v>291</v>
      </c>
      <c r="B27" s="15" t="s">
        <v>292</v>
      </c>
      <c r="C27" s="22" t="s">
        <v>783</v>
      </c>
    </row>
  </sheetData>
  <mergeCells count="3">
    <mergeCell ref="A1:J1"/>
    <mergeCell ref="A2:J2"/>
    <mergeCell ref="A22:J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Ввод_NotaCode</vt:lpstr>
      <vt:lpstr>00_Паспорт_NotaCode</vt:lpstr>
      <vt:lpstr>13_Справочники</vt:lpstr>
      <vt:lpstr>01_Инструкция</vt:lpstr>
      <vt:lpstr>02_Конкуренты</vt:lpstr>
      <vt:lpstr>03_Факты_сайта</vt:lpstr>
      <vt:lpstr>04_Бизнес_модель</vt:lpstr>
      <vt:lpstr>05_Товар_ценность</vt:lpstr>
      <vt:lpstr>06_Монетизация</vt:lpstr>
      <vt:lpstr>07_Каналы</vt:lpstr>
      <vt:lpstr>08_Операц_модель</vt:lpstr>
      <vt:lpstr>09_Матрица</vt:lpstr>
      <vt:lpstr>10_Стандарт</vt:lpstr>
      <vt:lpstr>11_Преимущества</vt:lpstr>
      <vt:lpstr>12_Сводка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Aliaksandr Khajynau</cp:lastModifiedBy>
  <dcterms:modified xsi:type="dcterms:W3CDTF">2026-09-26T13:30:56Z</dcterms:modified>
</cp:coreProperties>
</file>