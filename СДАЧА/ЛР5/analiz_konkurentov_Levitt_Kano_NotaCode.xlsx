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4" activeTab="11" autoFilterDateGrouping="1"/>
  </bookViews>
  <sheets>
    <sheet xmlns:r="http://schemas.openxmlformats.org/officeDocument/2006/relationships" name="00_Инструкция" sheetId="1" state="visible" r:id="rId1"/>
    <sheet xmlns:r="http://schemas.openxmlformats.org/officeDocument/2006/relationships" name="01_Конкуренты" sheetId="2" state="visible" r:id="rId2"/>
    <sheet xmlns:r="http://schemas.openxmlformats.org/officeDocument/2006/relationships" name="02_Карта_сайтов" sheetId="3" state="visible" r:id="rId3"/>
    <sheet xmlns:r="http://schemas.openxmlformats.org/officeDocument/2006/relationships" name="03_Левитт" sheetId="4" state="visible" r:id="rId4"/>
    <sheet xmlns:r="http://schemas.openxmlformats.org/officeDocument/2006/relationships" name="04_Кано" sheetId="5" state="visible" r:id="rId5"/>
    <sheet xmlns:r="http://schemas.openxmlformats.org/officeDocument/2006/relationships" name="05_Матрица_товара" sheetId="6" state="visible" r:id="rId6"/>
    <sheet xmlns:r="http://schemas.openxmlformats.org/officeDocument/2006/relationships" name="06_Сравнение" sheetId="7" state="visible" r:id="rId7"/>
    <sheet xmlns:r="http://schemas.openxmlformats.org/officeDocument/2006/relationships" name="07_Стандарт_рынка" sheetId="8" state="visible" r:id="rId8"/>
    <sheet xmlns:r="http://schemas.openxmlformats.org/officeDocument/2006/relationships" name="08_Преимущества" sheetId="9" state="visible" r:id="rId9"/>
    <sheet xmlns:r="http://schemas.openxmlformats.org/officeDocument/2006/relationships" name="09_Дашборд" sheetId="10" state="visible" r:id="rId10"/>
    <sheet xmlns:r="http://schemas.openxmlformats.org/officeDocument/2006/relationships" name="99_Справочники" sheetId="11" state="visible" r:id="rId11"/>
    <sheet xmlns:r="http://schemas.openxmlformats.org/officeDocument/2006/relationships" name="98_Журнал" sheetId="12" state="visible" r:id="rId12"/>
  </sheets>
  <definedNames/>
  <calcPr calcId="191029" fullCalcOnLoad="1" refMode="R1C1"/>
</workbook>
</file>

<file path=xl/styles.xml><?xml version="1.0" encoding="utf-8"?>
<styleSheet xmlns="http://schemas.openxmlformats.org/spreadsheetml/2006/main">
  <numFmts count="1">
    <numFmt numFmtId="164" formatCode="yyyy\-mm\-dd"/>
  </numFmts>
  <fonts count="14">
    <font>
      <name val="Carlito"/>
      <sz val="11"/>
    </font>
    <font>
      <name val="Carlito"/>
      <b val="1"/>
      <color rgb="FFFFFFFF"/>
      <sz val="16"/>
    </font>
    <font>
      <name val="Carlito"/>
      <color rgb="FF111827"/>
      <sz val="10"/>
    </font>
    <font>
      <name val="Carlito"/>
      <b val="1"/>
      <color rgb="FFFFFFFF"/>
      <sz val="10"/>
    </font>
    <font>
      <name val="Carlito"/>
      <color rgb="FF111827"/>
      <sz val="10"/>
    </font>
    <font>
      <name val="Carlito"/>
      <b val="1"/>
      <color rgb="FFFFFFFF"/>
      <sz val="11"/>
    </font>
    <font>
      <name val="Carlito"/>
      <b val="1"/>
      <color rgb="FF1E3A8A"/>
      <sz val="10"/>
    </font>
    <font>
      <name val="Carlito"/>
      <b val="1"/>
      <color rgb="FF111827"/>
      <sz val="10"/>
    </font>
    <font>
      <name val="Carlito"/>
      <b val="1"/>
      <color rgb="FF111827"/>
      <sz val="12"/>
    </font>
    <font>
      <name val="Carlito"/>
      <sz val="10"/>
    </font>
    <font>
      <name val="Carlito"/>
      <b val="1"/>
      <sz val="12"/>
    </font>
    <font>
      <name val="Carlito"/>
      <sz val="11"/>
    </font>
    <font>
      <name val="Carlito"/>
      <charset val="204"/>
      <b val="1"/>
      <sz val="10"/>
    </font>
    <font>
      <name val="Carlito"/>
      <charset val="204"/>
      <b val="1"/>
      <sz val="12"/>
    </font>
  </fonts>
  <fills count="10">
    <fill>
      <patternFill/>
    </fill>
    <fill>
      <patternFill patternType="gray125"/>
    </fill>
    <fill>
      <patternFill patternType="solid">
        <fgColor rgb="FF1F4E5F"/>
      </patternFill>
    </fill>
    <fill>
      <patternFill patternType="solid">
        <fgColor rgb="FFCCFBF1"/>
      </patternFill>
    </fill>
    <fill>
      <patternFill patternType="solid">
        <fgColor rgb="FF0F766E"/>
      </patternFill>
    </fill>
    <fill>
      <patternFill patternType="solid">
        <fgColor rgb="FFEEF2FF"/>
      </patternFill>
    </fill>
    <fill>
      <patternFill patternType="solid">
        <fgColor rgb="FFDBEAFE"/>
      </patternFill>
    </fill>
    <fill>
      <patternFill patternType="solid">
        <fgColor rgb="FFDCFCE7"/>
      </patternFill>
    </fill>
    <fill>
      <patternFill patternType="solid">
        <fgColor rgb="FFFAFAFA"/>
      </patternFill>
    </fill>
    <fill>
      <patternFill patternType="solid">
        <fgColor rgb="FFF2F2F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11" fillId="0" borderId="0"/>
    <xf numFmtId="0" fontId="11" fillId="0" borderId="0"/>
  </cellStyleXfs>
  <cellXfs count="24">
    <xf numFmtId="0" fontId="0" fillId="0" borderId="0" pivotButton="0" quotePrefix="0" xfId="0"/>
    <xf numFmtId="0" fontId="3" fillId="4" borderId="0" applyAlignment="1" pivotButton="0" quotePrefix="0" xfId="1">
      <alignment horizontal="center" vertical="center" wrapText="1"/>
    </xf>
    <xf numFmtId="0" fontId="4" fillId="0" borderId="0" applyAlignment="1" pivotButton="0" quotePrefix="0" xfId="1">
      <alignment vertical="top" wrapText="1"/>
    </xf>
    <xf numFmtId="0" fontId="6" fillId="5" borderId="0" applyAlignment="1" pivotButton="0" quotePrefix="0" xfId="1">
      <alignment vertical="top" wrapText="1"/>
    </xf>
    <xf numFmtId="164" fontId="4" fillId="0" borderId="0" applyAlignment="1" pivotButton="0" quotePrefix="0" xfId="1">
      <alignment vertical="top" wrapText="1"/>
    </xf>
    <xf numFmtId="9" fontId="4" fillId="0" borderId="0" applyAlignment="1" pivotButton="0" quotePrefix="0" xfId="1">
      <alignment vertical="top" wrapText="1"/>
    </xf>
    <xf numFmtId="0" fontId="5" fillId="2" borderId="0" applyAlignment="1" pivotButton="0" quotePrefix="0" xfId="1">
      <alignment horizontal="center"/>
    </xf>
    <xf numFmtId="0" fontId="7" fillId="2" borderId="0" applyAlignment="1" pivotButton="0" quotePrefix="0" xfId="1">
      <alignment horizontal="center" vertical="top" wrapText="1"/>
    </xf>
    <xf numFmtId="0" fontId="9" fillId="0" borderId="0" applyAlignment="1" pivotButton="0" quotePrefix="0" xfId="1">
      <alignment horizontal="center" wrapText="1"/>
    </xf>
    <xf numFmtId="0" fontId="10" fillId="7" borderId="0" applyAlignment="1" pivotButton="0" quotePrefix="0" xfId="1">
      <alignment horizontal="center" wrapText="1"/>
    </xf>
    <xf numFmtId="0" fontId="9" fillId="0" borderId="0" pivotButton="0" quotePrefix="0" xfId="0"/>
    <xf numFmtId="0" fontId="13" fillId="0" borderId="0" pivotButton="0" quotePrefix="0" xfId="0"/>
    <xf numFmtId="0" fontId="12" fillId="9" borderId="1" pivotButton="0" quotePrefix="0" xfId="0"/>
    <xf numFmtId="0" fontId="9" fillId="0" borderId="1" applyAlignment="1" pivotButton="0" quotePrefix="0" xfId="0">
      <alignment vertical="top" wrapText="1"/>
    </xf>
    <xf numFmtId="0" fontId="1" fillId="2" borderId="0" applyAlignment="1" pivotButton="0" quotePrefix="0" xfId="1">
      <alignment horizontal="left" vertical="center" wrapText="1"/>
    </xf>
    <xf numFmtId="0" fontId="1" fillId="2" borderId="0" applyAlignment="1" pivotButton="0" quotePrefix="0" xfId="1">
      <alignment horizontal="left" vertical="center"/>
    </xf>
    <xf numFmtId="0" fontId="2" fillId="3" borderId="0" applyAlignment="1" pivotButton="0" quotePrefix="0" xfId="1">
      <alignment horizontal="left" vertical="center" wrapText="1"/>
    </xf>
    <xf numFmtId="0" fontId="5" fillId="2" borderId="0" pivotButton="0" quotePrefix="0" xfId="1"/>
    <xf numFmtId="0" fontId="7" fillId="3" borderId="0" applyAlignment="1" pivotButton="0" quotePrefix="0" xfId="1">
      <alignment vertical="center" wrapText="1"/>
    </xf>
    <xf numFmtId="0" fontId="4" fillId="8" borderId="0" applyAlignment="1" pivotButton="0" quotePrefix="0" xfId="1">
      <alignment vertical="center" wrapText="1"/>
    </xf>
    <xf numFmtId="0" fontId="0" fillId="0" borderId="0" applyAlignment="1" pivotButton="0" quotePrefix="0" xfId="0">
      <alignment vertical="center"/>
    </xf>
    <xf numFmtId="0" fontId="4" fillId="0" borderId="0" applyAlignment="1" pivotButton="0" quotePrefix="0" xfId="1">
      <alignment vertical="center"/>
    </xf>
    <xf numFmtId="0" fontId="8" fillId="6" borderId="0" applyAlignment="1" pivotButton="0" quotePrefix="0" xfId="1">
      <alignment horizontal="center" vertical="center"/>
    </xf>
    <xf numFmtId="9" fontId="4" fillId="0" borderId="0" applyAlignment="1" pivotButton="0" quotePrefix="0" xfId="1">
      <alignment vertical="center"/>
    </xf>
  </cellXfs>
  <cellStyles count="2">
    <cellStyle name="Обычный"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ru-RU"/>
              <a:t>Распределение требований по Кано</a:t>
            </a:r>
          </a:p>
        </rich>
      </tx>
      <overlay val="0"/>
    </title>
    <plotArea>
      <layout/>
      <barChart>
        <barDir val="col"/>
        <grouping val="clustered"/>
        <varyColors val="0"/>
        <ser>
          <idx val="0"/>
          <order val="0"/>
          <tx>
            <v>Количество</v>
          </tx>
          <spPr>
            <a:ln xmlns:a="http://schemas.openxmlformats.org/drawingml/2006/main">
              <a:prstDash val="solid"/>
            </a:ln>
          </spPr>
          <invertIfNegative val="1"/>
          <cat>
            <strRef>
              <f>'09_Дашборд'!$F$5:$F$10</f>
              <strCache>
                <ptCount val="6"/>
                <pt idx="0">
                  <v>Обязательное</v>
                </pt>
                <pt idx="1">
                  <v>Линейное</v>
                </pt>
                <pt idx="2">
                  <v>Привлекательное</v>
                </pt>
                <pt idx="3">
                  <v>Безразличное</v>
                </pt>
                <pt idx="4">
                  <v>Обратное</v>
                </pt>
                <pt idx="5">
                  <v>Неясное</v>
                </pt>
              </strCache>
            </strRef>
          </cat>
          <val>
            <numRef>
              <f>'09_Дашборд'!$G$5:$G$10</f>
              <numCache>
                <formatCode>General</formatCode>
                <ptCount val="6"/>
                <pt idx="0">
                  <v>7</v>
                </pt>
                <pt idx="1">
                  <v>11</v>
                </pt>
                <pt idx="2">
                  <v>9</v>
                </pt>
                <pt idx="3">
                  <v>4</v>
                </pt>
                <pt idx="4">
                  <v>0</v>
                </pt>
                <pt idx="5">
                  <v>2</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ru-RU"/>
              <a:t>Итоговые баллы конкурентов</a:t>
            </a:r>
          </a:p>
        </rich>
      </tx>
      <overlay val="0"/>
    </title>
    <plotArea>
      <layout/>
      <barChart>
        <barDir val="col"/>
        <grouping val="clustered"/>
        <varyColors val="0"/>
        <ser>
          <idx val="0"/>
          <order val="0"/>
          <tx>
            <v>C02</v>
          </tx>
          <spPr>
            <a:ln xmlns:a="http://schemas.openxmlformats.org/drawingml/2006/main">
              <a:prstDash val="solid"/>
            </a:ln>
          </spPr>
          <invertIfNegative val="1"/>
          <cat>
            <numRef>
              <f>'09_Дашборд'!$A$16</f>
              <numCache>
                <formatCode>General</formatCode>
                <ptCount val="1"/>
                <pt idx="0">
                  <v>3.28</v>
                </pt>
              </numCache>
            </numRef>
          </cat>
          <val>
            <numRef>
              <f>'09_Дашборд'!$B$16</f>
              <numCache>
                <formatCode>General</formatCode>
                <ptCount val="1"/>
                <pt idx="0">
                  <v>3.35</v>
                </pt>
              </numCache>
            </numRef>
          </val>
        </ser>
        <ser>
          <idx val="1"/>
          <order val="1"/>
          <tx>
            <v>C03</v>
          </tx>
          <spPr>
            <a:ln xmlns:a="http://schemas.openxmlformats.org/drawingml/2006/main">
              <a:prstDash val="solid"/>
            </a:ln>
          </spPr>
          <invertIfNegative val="1"/>
          <cat>
            <numRef>
              <f>'09_Дашборд'!$A$16</f>
              <numCache>
                <formatCode>General</formatCode>
                <ptCount val="1"/>
                <pt idx="0">
                  <v>3.28</v>
                </pt>
              </numCache>
            </numRef>
          </cat>
          <val>
            <numRef>
              <f>'09_Дашборд'!$C$16</f>
              <numCache>
                <formatCode>General</formatCode>
                <ptCount val="1"/>
                <pt idx="0">
                  <v>4.48</v>
                </pt>
              </numCache>
            </numRef>
          </val>
        </ser>
        <ser>
          <idx val="2"/>
          <order val="2"/>
          <tx>
            <v>C04</v>
          </tx>
          <spPr>
            <a:ln xmlns:a="http://schemas.openxmlformats.org/drawingml/2006/main">
              <a:prstDash val="solid"/>
            </a:ln>
          </spPr>
          <invertIfNegative val="1"/>
          <cat>
            <numRef>
              <f>'09_Дашборд'!$A$16</f>
              <numCache>
                <formatCode>General</formatCode>
                <ptCount val="1"/>
                <pt idx="0">
                  <v>3.28</v>
                </pt>
              </numCache>
            </numRef>
          </cat>
          <val>
            <numRef>
              <f>'09_Дашборд'!$D$16</f>
              <numCache>
                <formatCode>General</formatCode>
                <ptCount val="1"/>
                <pt idx="0">
                  <v>4.26</v>
                </pt>
              </numCache>
            </numRef>
          </val>
        </ser>
        <ser>
          <idx val="3"/>
          <order val="3"/>
          <tx>
            <v>C05</v>
          </tx>
          <spPr>
            <a:ln xmlns:a="http://schemas.openxmlformats.org/drawingml/2006/main">
              <a:prstDash val="solid"/>
            </a:ln>
          </spPr>
          <invertIfNegative val="1"/>
          <cat>
            <numRef>
              <f>'09_Дашборд'!$A$16</f>
              <numCache>
                <formatCode>General</formatCode>
                <ptCount val="1"/>
                <pt idx="0">
                  <v>3.28</v>
                </pt>
              </numCache>
            </numRef>
          </cat>
          <val>
            <numRef>
              <f>'09_Дашборд'!$E$16</f>
              <numCache>
                <formatCode>General</formatCode>
                <ptCount val="1"/>
                <pt idx="0">
                  <v>4.01</v>
                </pt>
              </numCache>
            </numRef>
          </val>
        </ser>
        <ser>
          <idx val="4"/>
          <order val="4"/>
          <tx>
            <v>C06</v>
          </tx>
          <spPr>
            <a:ln xmlns:a="http://schemas.openxmlformats.org/drawingml/2006/main">
              <a:prstDash val="solid"/>
            </a:ln>
          </spPr>
          <invertIfNegative val="1"/>
          <cat>
            <numRef>
              <f>'09_Дашборд'!$A$16</f>
              <numCache>
                <formatCode>General</formatCode>
                <ptCount val="1"/>
                <pt idx="0">
                  <v>3.28</v>
                </pt>
              </numCache>
            </numRef>
          </cat>
          <val>
            <numRef>
              <f>'09_Дашборд'!$F$16</f>
              <numCache>
                <formatCode>General</formatCode>
                <ptCount val="1"/>
                <pt idx="0">
                  <v>4.64</v>
                </pt>
              </numCache>
            </numRef>
          </val>
        </ser>
        <ser>
          <idx val="5"/>
          <order val="5"/>
          <tx>
            <v>C07</v>
          </tx>
          <spPr>
            <a:ln xmlns:a="http://schemas.openxmlformats.org/drawingml/2006/main">
              <a:prstDash val="solid"/>
            </a:ln>
          </spPr>
          <invertIfNegative val="1"/>
          <cat>
            <numRef>
              <f>'09_Дашборд'!$A$16</f>
              <numCache>
                <formatCode>General</formatCode>
                <ptCount val="1"/>
                <pt idx="0">
                  <v>3.28</v>
                </pt>
              </numCache>
            </numRef>
          </cat>
          <val>
            <numRef>
              <f>'09_Дашборд'!$G$16</f>
              <numCache>
                <formatCode>General</formatCode>
                <ptCount val="1"/>
                <pt idx="0">
                  <v>4.46</v>
                </pt>
              </numCache>
            </numRef>
          </val>
        </ser>
        <ser>
          <idx val="6"/>
          <order val="6"/>
          <tx>
            <v>C08</v>
          </tx>
          <spPr>
            <a:ln xmlns:a="http://schemas.openxmlformats.org/drawingml/2006/main">
              <a:prstDash val="solid"/>
            </a:ln>
          </spPr>
          <invertIfNegative val="1"/>
          <cat>
            <numRef>
              <f>'09_Дашборд'!$A$16</f>
              <numCache>
                <formatCode>General</formatCode>
                <ptCount val="1"/>
                <pt idx="0">
                  <v>3.28</v>
                </pt>
              </numCache>
            </numRef>
          </cat>
          <val>
            <numRef>
              <f>'09_Дашборд'!$H$16</f>
              <numCache>
                <formatCode>General</formatCode>
                <ptCount val="1"/>
                <pt idx="0">
                  <v>4.05</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from>
      <col>9</col>
      <colOff>323850</colOff>
      <row>27</row>
      <rowOff>0</rowOff>
    </from>
    <to>
      <col>19</col>
      <colOff>19050</colOff>
      <row>45</row>
      <rowOff>133350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0</colOff>
      <row>27</row>
      <rowOff>0</rowOff>
    </from>
    <to>
      <col>8</col>
      <colOff>0</colOff>
      <row>43</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CompetitorsTable" displayName="CompetitorsTable" ref="A6:K36" headerRowCount="1">
  <tableColumns count="11">
    <tableColumn id="1" name="ID"/>
    <tableColumn id="2" name="Наименование конкурента"/>
    <tableColumn id="3" name="Сайт"/>
    <tableColumn id="4" name="Страна/рынок"/>
    <tableColumn id="5" name="Тип конкурента"/>
    <tableColumn id="6" name="Сегмент аудитории"/>
    <tableColumn id="7" name="Модель монетизации"/>
    <tableColumn id="8" name="Цифровой товар по сайту"/>
    <tableColumn id="9" name="Приоритет анализа"/>
    <tableColumn id="10" name="Статус"/>
    <tableColumn id="11" name="Комментарий"/>
  </tableColumns>
  <tableStyleInfo name="TableStyleMedium2" showFirstColumn="0" showLastColumn="0" showRowStripes="1" showColumnStripes="0"/>
</table>
</file>

<file path=xl/tables/table2.xml><?xml version="1.0" encoding="utf-8"?>
<table xmlns="http://schemas.openxmlformats.org/spreadsheetml/2006/main" id="2" name="SiteMapTable" displayName="SiteMapTable" ref="A6:J206" headerRowCount="1">
  <tableColumns count="10">
    <tableColumn id="1" name="ID конкурента"/>
    <tableColumn id="2" name="Раздел/страница"/>
    <tableColumn id="3" name="URL"/>
    <tableColumn id="4" name="Тип страницы"/>
    <tableColumn id="5" name="Цель анализа"/>
    <tableColumn id="6" name="Что извлекаем"/>
    <tableColumn id="7" name="Дата просмотра"/>
    <tableColumn id="8" name="Скриншот/архив"/>
    <tableColumn id="9" name="Достоверность 1–5"/>
    <tableColumn id="10" name="Краткий вывод"/>
  </tableColumns>
  <tableStyleInfo name="TableStyleMedium2" showFirstColumn="0" showLastColumn="0" showRowStripes="1" showColumnStripes="0"/>
</table>
</file>

<file path=xl/tables/table3.xml><?xml version="1.0" encoding="utf-8"?>
<table xmlns="http://schemas.openxmlformats.org/spreadsheetml/2006/main" id="3" name="LevittTable" displayName="LevittTable" ref="A6:N306" headerRowCount="1">
  <tableColumns count="14">
    <tableColumn id="1" name="ID конкурента"/>
    <tableColumn id="2" name="Товар/предложение"/>
    <tableColumn id="3" name="URL/страница"/>
    <tableColumn id="4" name="Уровень товара по Левитту"/>
    <tableColumn id="5" name="Элемент товара / признак"/>
    <tableColumn id="6" name="Как проявлен на сайте"/>
    <tableColumn id="7" name="Доказательство"/>
    <tableColumn id="8" name="Наличие 0/1"/>
    <tableColumn id="9" name="Сила реализации 0–3"/>
    <tableColumn id="10" name="Понятность 0–3"/>
    <tableColumn id="11" name="Влияние на ценность 1–5"/>
    <tableColumn id="12" name="Оценка признака"/>
    <tableColumn id="13" name="Роль признака"/>
    <tableColumn id="14" name="Примечание"/>
  </tableColumns>
  <tableStyleInfo name="TableStyleMedium2" showFirstColumn="0" showLastColumn="0" showRowStripes="1" showColumnStripes="0"/>
</table>
</file>

<file path=xl/tables/table4.xml><?xml version="1.0" encoding="utf-8"?>
<table xmlns="http://schemas.openxmlformats.org/spreadsheetml/2006/main" id="4" name="KanoTable" displayName="KanoTable" ref="A6:M206" headerRowCount="1">
  <tableColumns count="13">
    <tableColumn id="1" name="ID требования"/>
    <tableColumn id="2" name="Функция / признак товара"/>
    <tableColumn id="3" name="Пользовательская задача"/>
    <tableColumn id="4" name="Доказательства с сайтов"/>
    <tableColumn id="5" name="Категория Кано"/>
    <tableColumn id="6" name="Вес 1–5"/>
    <tableColumn id="7" name="Кол-во конкурентов с признаком"/>
    <tableColumn id="8" name="Доля конкурентов"/>
    <tableColumn id="9" name="Средняя сила реализации 0–5"/>
    <tableColumn id="10" name="Интерпретация"/>
    <tableColumn id="11" name="Решение для своего товара"/>
    <tableColumn id="12" name="Ответственный"/>
    <tableColumn id="13" name="Примечание"/>
  </tableColumns>
  <tableStyleInfo name="TableStyleMedium2" showFirstColumn="0" showLastColumn="0" showRowStripes="1" showColumnStripes="0"/>
</table>
</file>

<file path=xl/tables/table5.xml><?xml version="1.0" encoding="utf-8"?>
<table xmlns="http://schemas.openxmlformats.org/spreadsheetml/2006/main" id="5" name="ProductMatrixTable" displayName="ProductMatrixTable" ref="A6:L56" headerRowCount="1">
  <tableColumns count="12">
    <tableColumn id="1" name="Блок определения"/>
    <tableColumn id="2" name="Вопрос для анализа"/>
    <tableColumn id="3" name="Вывод по рынку"/>
    <tableColumn id="4" name="Доказательства"/>
    <tableColumn id="5" name="Связь с Левиттом"/>
    <tableColumn id="6" name="Связь с Кано"/>
    <tableColumn id="7" name="Статус для своего товара"/>
    <tableColumn id="8" name="Минимальная реализация"/>
    <tableColumn id="9" name="Расширенная реализация"/>
    <tableColumn id="10" name="Риск исключения"/>
    <tableColumn id="11" name="Решение"/>
    <tableColumn id="12" name="Комментарий"/>
  </tableColumns>
  <tableStyleInfo name="TableStyleMedium2" showFirstColumn="0" showLastColumn="0" showRowStripes="1" showColumnStripes="0"/>
</table>
</file>

<file path=xl/tables/table6.xml><?xml version="1.0" encoding="utf-8"?>
<table xmlns="http://schemas.openxmlformats.org/spreadsheetml/2006/main" id="6" name="ComparisonTable" displayName="ComparisonTable" ref="A6:O86" headerRowCount="1">
  <tableColumns count="15">
    <tableColumn id="1" name="ID критерия"/>
    <tableColumn id="2" name="Группа"/>
    <tableColumn id="3" name="Критерий"/>
    <tableColumn id="4" name="Вес"/>
    <tableColumn id="5" name="C01"/>
    <tableColumn id="6" name="C02"/>
    <tableColumn id="7" name="C03"/>
    <tableColumn id="8" name="C04"/>
    <tableColumn id="9" name="C05"/>
    <tableColumn id="10" name="C06"/>
    <tableColumn id="11" name="C07"/>
    <tableColumn id="12" name="C08"/>
    <tableColumn id="13" name="Среднее"/>
    <tableColumn id="14" name="Лучший балл"/>
    <tableColumn id="15" name="Лидер"/>
  </tableColumns>
  <tableStyleInfo name="TableStyleMedium2" showFirstColumn="0" showLastColumn="0" showRowStripes="1" showColumnStripes="0"/>
</table>
</file>

<file path=xl/tables/table7.xml><?xml version="1.0" encoding="utf-8"?>
<table xmlns="http://schemas.openxmlformats.org/spreadsheetml/2006/main" id="7" name="MarketStandardTable" displayName="MarketStandardTable" ref="A6:L206" headerRowCount="1">
  <tableColumns count="12">
    <tableColumn id="1" name="ID признака"/>
    <tableColumn id="2" name="Признак / требование"/>
    <tableColumn id="3" name="Источник"/>
    <tableColumn id="4" name="Уровень Левитта"/>
    <tableColumn id="5" name="Категория Кано"/>
    <tableColumn id="6" name="Кол-во конкурентов"/>
    <tableColumn id="7" name="Доля конкурентов"/>
    <tableColumn id="8" name="Средняя сила 0–5"/>
    <tableColumn id="9" name="Статус"/>
    <tableColumn id="10" name="Минимальная формулировка стандарта"/>
    <tableColumn id="11" name="Что проверить дополнительно"/>
    <tableColumn id="12" name="Комментарий"/>
  </tableColumns>
  <tableStyleInfo name="TableStyleMedium2" showFirstColumn="0" showLastColumn="0" showRowStripes="1" showColumnStripes="0"/>
</table>
</file>

<file path=xl/tables/table8.xml><?xml version="1.0" encoding="utf-8"?>
<table xmlns="http://schemas.openxmlformats.org/spreadsheetml/2006/main" id="8" name="AdvantageTable" displayName="AdvantageTable" ref="A6:N206" headerRowCount="1">
  <tableColumns count="14">
    <tableColumn id="1" name="ID"/>
    <tableColumn id="2" name="ID конкурента"/>
    <tableColumn id="3" name="Признак преимущества"/>
    <tableColumn id="4" name="Доказательство / URL"/>
    <tableColumn id="5" name="Уровень Левитта"/>
    <tableColumn id="6" name="Категория Кано"/>
    <tableColumn id="7" name="Тип преимущества"/>
    <tableColumn id="8" name="Редкость 1–5"/>
    <tableColumn id="9" name="Сила 1–5"/>
    <tableColumn id="10" name="Пользовательская ценность 1–5"/>
    <tableColumn id="11" name="Качество доказательства 1–5"/>
    <tableColumn id="12" name="Индекс преимущества"/>
    <tableColumn id="13" name="Вывод"/>
    <tableColumn id="14" name="Как использовать для своего товара"/>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19"/>
  <sheetViews>
    <sheetView workbookViewId="0">
      <selection activeCell="D19" sqref="D19"/>
    </sheetView>
  </sheetViews>
  <sheetFormatPr baseColWidth="8" defaultRowHeight="14.25"/>
  <cols>
    <col width="24" customWidth="1" min="1" max="1"/>
    <col width="72" customWidth="1" min="2" max="2"/>
    <col width="52" customWidth="1" min="3" max="3"/>
    <col width="14" customWidth="1" min="4" max="7"/>
    <col width="42" customWidth="1" min="8" max="9"/>
  </cols>
  <sheetData>
    <row r="1" ht="24" customHeight="1">
      <c r="A1" s="14" t="inlineStr">
        <is>
          <t>Excel-шаблон анализа конкурентов по сайтам</t>
        </is>
      </c>
    </row>
    <row r="2" ht="21" customHeight="1">
      <c r="A2" s="16" t="inlineStr">
        <is>
          <t>Назначение: определить рыночный стандарт цифрового товара, выделить конкурентные преимущества по товару и сформулировать сам цифровой товар через модель Левитта и модель Кано</t>
        </is>
      </c>
    </row>
    <row r="3"/>
    <row r="4" ht="17.1" customHeight="1">
      <c r="A4" s="1" t="inlineStr">
        <is>
          <t>Раздел</t>
        </is>
      </c>
      <c r="B4" s="1" t="inlineStr">
        <is>
          <t>Что делать</t>
        </is>
      </c>
      <c r="C4" s="1" t="inlineStr">
        <is>
          <t>Результат</t>
        </is>
      </c>
    </row>
    <row r="5" ht="25.5" customHeight="1">
      <c r="A5" s="2" t="inlineStr">
        <is>
          <t>1. Реестр конкурентов</t>
        </is>
      </c>
      <c r="B5" s="2" t="inlineStr">
        <is>
          <t>Заполнить лист «01_Конкуренты»: прямые конкуренты, косвенные конкуренты, эталонные сайты для наблюдения за лучшей практикой</t>
        </is>
      </c>
      <c r="C5" s="2" t="inlineStr">
        <is>
          <t>Сформирован сопоставимый контур анализа</t>
        </is>
      </c>
    </row>
    <row r="6" ht="25.5" customHeight="1">
      <c r="A6" s="2" t="inlineStr">
        <is>
          <t>2. Карта сайта</t>
        </is>
      </c>
      <c r="B6" s="2" t="inlineStr">
        <is>
          <t>Зафиксировать проверенные страницы: главная, лендинг товара, тарифы, функциональные страницы, личный кабинет, поддержка, вопросы и ответы, блог, документация</t>
        </is>
      </c>
      <c r="C6" s="2" t="inlineStr">
        <is>
          <t>Появляется проверяемая база доказательств, а не субъективное впечатление</t>
        </is>
      </c>
    </row>
    <row r="7" ht="25.5" customHeight="1">
      <c r="A7" s="2" t="inlineStr">
        <is>
          <t>3. Модель Левитта</t>
        </is>
      </c>
      <c r="B7" s="2" t="inlineStr">
        <is>
          <t>Разложить цифровой товар на уровни: базовая выгода, родовой товар, ожидаемый товар, расширенный товар, потенциальный товар</t>
        </is>
      </c>
      <c r="C7" s="2" t="inlineStr">
        <is>
          <t>Понятно, что именно продает конкурент и за счет каких уровней формируется ценность</t>
        </is>
      </c>
    </row>
    <row r="8" ht="25.5" customHeight="1">
      <c r="A8" s="2" t="inlineStr">
        <is>
          <t>4. Модель Кано</t>
        </is>
      </c>
      <c r="B8" s="2" t="inlineStr">
        <is>
          <t>Классифицировать функции и признаки товара: обязательные, линейные, привлекательные, безразличные, обратные, неясные</t>
        </is>
      </c>
      <c r="C8" s="2" t="inlineStr">
        <is>
          <t>Понятно, какие признаки должны быть обязательно, какие повышают удовлетворенность, а какие создают отличие</t>
        </is>
      </c>
    </row>
    <row r="9">
      <c r="A9" s="2" t="inlineStr">
        <is>
          <t>5. Сравнение</t>
        </is>
      </c>
      <c r="B9" s="2" t="inlineStr">
        <is>
          <t>Оценить конкурентов по критериям товара, сайта и цифрового сервиса по шкале 0–5</t>
        </is>
      </c>
      <c r="C9" s="2" t="inlineStr">
        <is>
          <t>Получается количественная карта сильных и слабых сторон</t>
        </is>
      </c>
    </row>
    <row r="10" ht="25.5" customHeight="1">
      <c r="A10" s="2" t="inlineStr">
        <is>
          <t>6. Рыночный стандарт</t>
        </is>
      </c>
      <c r="B10" s="2" t="inlineStr">
        <is>
          <t>Определить признаки, встречающиеся у большинства конкурентов, особенно если они относятся к обязательным или линейным требованиям Кано</t>
        </is>
      </c>
      <c r="C10" s="2" t="inlineStr">
        <is>
          <t>Сформулирован минимально приемлемый состав цифрового товара на рынке</t>
        </is>
      </c>
    </row>
    <row r="11" ht="25.5" customHeight="1">
      <c r="A11" s="2" t="inlineStr">
        <is>
          <t>7. Преимущества</t>
        </is>
      </c>
      <c r="B11" s="2" t="inlineStr">
        <is>
          <t>Выделить признаки, которые редки, хорошо реализованы, заметны пользователю и повышают воспринимаемую ценность</t>
        </is>
      </c>
      <c r="C11" s="2" t="inlineStr">
        <is>
          <t>Сформирован список конкурентных преимуществ и гипотез дифференциации</t>
        </is>
      </c>
    </row>
    <row r="12" ht="25.5" customHeight="1">
      <c r="A12" s="2" t="inlineStr">
        <is>
          <t>8. Итоговая формулировка товара</t>
        </is>
      </c>
      <c r="B12" s="2" t="inlineStr">
        <is>
          <t>На листе «05_Матрица_товара» собрать описание целевого цифрового товара: для кого, какую задачу решает, какие функции включает, где границы продукта</t>
        </is>
      </c>
      <c r="C12" s="2" t="inlineStr">
        <is>
          <t>Получено предметное определение цифрового товара и требований к его составу</t>
        </is>
      </c>
    </row>
    <row r="13"/>
    <row r="14" ht="22.5" customHeight="1">
      <c r="A14" s="17" t="inlineStr">
        <is>
          <t>Шкалы оценки</t>
        </is>
      </c>
    </row>
    <row r="15" ht="17.1" customHeight="1">
      <c r="A15" s="1" t="inlineStr">
        <is>
          <t>Шкала</t>
        </is>
      </c>
      <c r="B15" s="1" t="inlineStr">
        <is>
          <t>0</t>
        </is>
      </c>
      <c r="C15" s="1" t="inlineStr">
        <is>
          <t>1</t>
        </is>
      </c>
      <c r="D15" s="1" t="inlineStr">
        <is>
          <t>2</t>
        </is>
      </c>
      <c r="E15" s="1" t="inlineStr">
        <is>
          <t>3</t>
        </is>
      </c>
      <c r="F15" s="1" t="inlineStr">
        <is>
          <t>4</t>
        </is>
      </c>
      <c r="G15" s="1" t="inlineStr">
        <is>
          <t>5</t>
        </is>
      </c>
      <c r="H15" s="1" t="inlineStr">
        <is>
          <t>Когда применять</t>
        </is>
      </c>
      <c r="I15" s="1" t="inlineStr">
        <is>
          <t>Интерпретация</t>
        </is>
      </c>
    </row>
    <row r="16">
      <c r="A16" s="2" t="inlineStr">
        <is>
          <t>Наличие признака</t>
        </is>
      </c>
      <c r="B16" s="2" t="inlineStr">
        <is>
          <t>Нет</t>
        </is>
      </c>
      <c r="C16" s="2" t="inlineStr">
        <is>
          <t>Есть частично</t>
        </is>
      </c>
      <c r="D16" s="2" t="inlineStr">
        <is>
          <t>Есть явно</t>
        </is>
      </c>
      <c r="E16" s="2" t="inlineStr">
        <is>
          <t>Есть полно</t>
        </is>
      </c>
      <c r="F16" s="2" t="n"/>
      <c r="G16" s="2" t="n"/>
      <c r="H16" s="2" t="inlineStr">
        <is>
          <t>Для бинарных и полуколичественных признаков</t>
        </is>
      </c>
      <c r="I16" s="2" t="inlineStr">
        <is>
          <t>0 — отсутствует; 1–3 — степень проявления</t>
        </is>
      </c>
    </row>
    <row r="17" ht="25.5" customHeight="1">
      <c r="A17" s="2" t="inlineStr">
        <is>
          <t>Сила реализации</t>
        </is>
      </c>
      <c r="B17" s="2" t="inlineStr">
        <is>
          <t>Нет</t>
        </is>
      </c>
      <c r="C17" s="2" t="inlineStr">
        <is>
          <t>Слабая</t>
        </is>
      </c>
      <c r="D17" s="2" t="inlineStr">
        <is>
          <t>Средняя</t>
        </is>
      </c>
      <c r="E17" s="2" t="inlineStr">
        <is>
          <t>Сильная</t>
        </is>
      </c>
      <c r="F17" s="2" t="n"/>
      <c r="G17" s="2" t="n"/>
      <c r="H17" s="2" t="inlineStr">
        <is>
          <t>Для уровня Левитта и качества функции</t>
        </is>
      </c>
      <c r="I17" s="2" t="inlineStr">
        <is>
          <t>3 означает, что признак хорошо заметен и функционально раскрыт</t>
        </is>
      </c>
    </row>
    <row r="18" ht="25.5" customHeight="1">
      <c r="A18" s="2" t="inlineStr">
        <is>
          <t>Пользовательская ценность</t>
        </is>
      </c>
      <c r="B18" s="2" t="inlineStr">
        <is>
          <t>Нет</t>
        </is>
      </c>
      <c r="C18" s="2" t="inlineStr">
        <is>
          <t>Низкая</t>
        </is>
      </c>
      <c r="D18" s="2" t="inlineStr">
        <is>
          <t>Умеренная</t>
        </is>
      </c>
      <c r="E18" s="2" t="inlineStr">
        <is>
          <t>Высокая</t>
        </is>
      </c>
      <c r="F18" s="2" t="inlineStr">
        <is>
          <t>Очень высокая</t>
        </is>
      </c>
      <c r="G18" s="2" t="inlineStr">
        <is>
          <t>Критическая</t>
        </is>
      </c>
      <c r="H18" s="2" t="inlineStr">
        <is>
          <t>Для оценки влияния на решение о покупке/регистрации/использовании</t>
        </is>
      </c>
      <c r="I18" s="2" t="inlineStr">
        <is>
          <t>4–5 — признак способен влиять на выбор товара</t>
        </is>
      </c>
    </row>
    <row r="19" ht="25.5" customHeight="1">
      <c r="A19" s="2" t="inlineStr">
        <is>
          <t>Сравнение конкурентов</t>
        </is>
      </c>
      <c r="B19" s="2" t="inlineStr">
        <is>
          <t>Нет</t>
        </is>
      </c>
      <c r="C19" s="2" t="inlineStr">
        <is>
          <t>Очень слабо</t>
        </is>
      </c>
      <c r="D19" s="2" t="inlineStr">
        <is>
          <t>Слабо</t>
        </is>
      </c>
      <c r="E19" s="2" t="inlineStr">
        <is>
          <t>Средне</t>
        </is>
      </c>
      <c r="F19" s="2" t="inlineStr">
        <is>
          <t>Сильно</t>
        </is>
      </c>
      <c r="G19" s="2" t="inlineStr">
        <is>
          <t>Лучший уровень</t>
        </is>
      </c>
      <c r="H19" s="2" t="inlineStr">
        <is>
          <t>Для листа «06_Сравнение»</t>
        </is>
      </c>
      <c r="I19" s="2" t="inlineStr">
        <is>
          <t>Оценки сопоставимы только при одинаковой логике анализа</t>
        </is>
      </c>
    </row>
  </sheetData>
  <mergeCells count="3">
    <mergeCell ref="A1:I1"/>
    <mergeCell ref="A2:I2"/>
    <mergeCell ref="A14:I14"/>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36"/>
  <sheetViews>
    <sheetView topLeftCell="D9" workbookViewId="0">
      <selection activeCell="F9" sqref="F9"/>
    </sheetView>
  </sheetViews>
  <sheetFormatPr baseColWidth="8" defaultRowHeight="14.25"/>
  <cols>
    <col width="9" customWidth="1" min="1" max="1"/>
    <col width="28" customWidth="1" min="2" max="2"/>
    <col width="32" customWidth="1" min="3" max="3"/>
    <col width="18" customWidth="1" min="4" max="4"/>
    <col width="22" customWidth="1" min="5" max="5"/>
    <col width="28" customWidth="1" min="6" max="6"/>
    <col width="26" customWidth="1" min="7" max="7"/>
    <col width="36" customWidth="1" min="8" max="8"/>
    <col width="16" customWidth="1" min="9" max="9"/>
    <col width="18" customWidth="1" min="10" max="10"/>
    <col width="61" customWidth="1" min="11" max="11"/>
  </cols>
  <sheetData>
    <row r="1" ht="16.15" customHeight="1">
      <c r="A1" s="14" t="inlineStr">
        <is>
          <t>01. Реестр конкурентов и сайтов</t>
        </is>
      </c>
    </row>
    <row r="2" ht="21" customHeight="1">
      <c r="A2" s="16" t="inlineStr">
        <is>
          <t>Заполните список конкурентов и базовые параметры. ID конкурента используется в остальных листах для связки данных</t>
        </is>
      </c>
    </row>
    <row r="3"/>
    <row r="4"/>
    <row r="5"/>
    <row r="6" ht="33.75" customHeight="1">
      <c r="A6" s="1" t="inlineStr">
        <is>
          <t>ID</t>
        </is>
      </c>
      <c r="B6" s="1" t="inlineStr">
        <is>
          <t>Наименование конкурента</t>
        </is>
      </c>
      <c r="C6" s="1" t="inlineStr">
        <is>
          <t>Сайт</t>
        </is>
      </c>
      <c r="D6" s="1" t="inlineStr">
        <is>
          <t>Страна/рынок</t>
        </is>
      </c>
      <c r="E6" s="1" t="inlineStr">
        <is>
          <t>Тип конкурента</t>
        </is>
      </c>
      <c r="F6" s="1" t="inlineStr">
        <is>
          <t>Сегмент аудитории</t>
        </is>
      </c>
      <c r="G6" s="1" t="inlineStr">
        <is>
          <t>Модель монетизации</t>
        </is>
      </c>
      <c r="H6" s="1" t="inlineStr">
        <is>
          <t>Цифровой товар по сайту</t>
        </is>
      </c>
      <c r="I6" s="1" t="inlineStr">
        <is>
          <t>Приоритет анализа</t>
        </is>
      </c>
      <c r="J6" s="1" t="inlineStr">
        <is>
          <t>Статус</t>
        </is>
      </c>
      <c r="K6" s="1" t="inlineStr">
        <is>
          <t>Комментарий</t>
        </is>
      </c>
    </row>
    <row r="7" ht="63.75" customHeight="1">
      <c r="A7" s="3" t="inlineStr">
        <is>
          <t>C01</t>
        </is>
      </c>
      <c r="B7" s="2" t="inlineStr">
        <is>
          <t>PlantUML</t>
        </is>
      </c>
      <c r="C7" s="2" t="inlineStr">
        <is>
          <t>plantuml.com</t>
        </is>
      </c>
      <c r="D7" s="2" t="inlineStr">
        <is>
          <t>Весь мир (английский язык)</t>
        </is>
      </c>
      <c r="E7" s="2" t="inlineStr">
        <is>
          <t>Прямой конкурент</t>
        </is>
      </c>
      <c r="F7" s="2" t="inlineStr">
        <is>
          <t>Разработчики, студенты, архитекторы ПО</t>
        </is>
      </c>
      <c r="G7" s="2" t="inlineStr">
        <is>
          <t>Бесплатно, открытый код</t>
        </is>
      </c>
      <c r="H7" s="2" t="inlineStr">
        <is>
          <t>Построение UML-диаграмм из текстового описания, экспорт PNG, LaTeX, EPS, SVG. Главная страница: «Open-source tool that uses simple textual descriptions to draw beautiful UML diagrams»</t>
        </is>
      </c>
      <c r="I7" s="2" t="inlineStr">
        <is>
          <t>Высокий</t>
        </is>
      </c>
      <c r="J7" s="2" t="inlineStr">
        <is>
          <t>Завершён</t>
        </is>
      </c>
      <c r="K7" s="2" t="inlineStr">
        <is>
          <t>Выборка из части A (поле «Переходит в части B и C»); страницы просмотрены 01.10.2026</t>
        </is>
      </c>
    </row>
    <row r="8" ht="51" customHeight="1">
      <c r="A8" s="3" t="inlineStr">
        <is>
          <t>C02</t>
        </is>
      </c>
      <c r="B8" s="2" t="inlineStr">
        <is>
          <t>Mermaid (библиотека)</t>
        </is>
      </c>
      <c r="C8" s="2" t="inlineStr">
        <is>
          <t>mermaid.js.org</t>
        </is>
      </c>
      <c r="D8" s="2" t="inlineStr">
        <is>
          <t>Весь мир (английский язык)</t>
        </is>
      </c>
      <c r="E8" s="2" t="inlineStr">
        <is>
          <t>Близкий альтернативный конкурент</t>
        </is>
      </c>
      <c r="F8" s="2" t="inlineStr">
        <is>
          <t>Разработчики, авторы технической документации</t>
        </is>
      </c>
      <c r="G8" s="2" t="inlineStr">
        <is>
          <t>Бесплатно, открытый код (MIT); платные планы у Mermaid Chart</t>
        </is>
      </c>
      <c r="H8" s="2" t="inlineStr">
        <is>
          <t>Диаграммы и визуализации из текста и кода (JavaScript-библиотека). Главная страница: «Create diagrams and visualizations using text and code»</t>
        </is>
      </c>
      <c r="I8" s="2" t="inlineStr">
        <is>
          <t>Высокий</t>
        </is>
      </c>
      <c r="J8" s="2" t="inlineStr">
        <is>
          <t>Завершён</t>
        </is>
      </c>
      <c r="K8" s="2" t="inlineStr">
        <is>
          <t>Выборка из части A (поле «Переходит в части B и C»); страницы просмотрены 01.10.2026</t>
        </is>
      </c>
    </row>
    <row r="9" ht="63.75" customHeight="1">
      <c r="A9" s="3" t="inlineStr">
        <is>
          <t>C03</t>
        </is>
      </c>
      <c r="B9" s="2" t="inlineStr">
        <is>
          <t>Mermaid Chart</t>
        </is>
      </c>
      <c r="C9" s="2" t="inlineStr">
        <is>
          <t>mermaidchart.com</t>
        </is>
      </c>
      <c r="D9" s="2" t="inlineStr">
        <is>
          <t>Весь мир (США, Великобритания, Япония в топ-странах)</t>
        </is>
      </c>
      <c r="E9" s="2" t="inlineStr">
        <is>
          <t>Близкий альтернативный конкурент</t>
        </is>
      </c>
      <c r="F9" s="2" t="inlineStr">
        <is>
          <t>Команды разработки и документации</t>
        </is>
      </c>
      <c r="G9" s="2" t="inlineStr">
        <is>
          <t>Условно-бесплатная: Free, Plus 10 у.е., Premium 20 у.е., Enterprise</t>
        </is>
      </c>
      <c r="H9" s="2" t="inlineStr">
        <is>
          <t>Облачный редактор диаграмм Mermaid с тарифами Free, Plus, Premium. Главная страница: «Create diagrams, flowcharts, and documentation with Mermaid»; «You already think in systems»</t>
        </is>
      </c>
      <c r="I9" s="2" t="inlineStr">
        <is>
          <t>Высокий</t>
        </is>
      </c>
      <c r="J9" s="2" t="inlineStr">
        <is>
          <t>Завершён</t>
        </is>
      </c>
      <c r="K9" s="2" t="inlineStr">
        <is>
          <t>Выборка из части A (поле «Переходит в части B и C»); страницы просмотрены 01.10.2026</t>
        </is>
      </c>
    </row>
    <row r="10" ht="76.5" customHeight="1">
      <c r="A10" s="3" t="inlineStr">
        <is>
          <t>C04</t>
        </is>
      </c>
      <c r="B10" s="2" t="inlineStr">
        <is>
          <t>Storm (StormBPMN)</t>
        </is>
      </c>
      <c r="C10" s="2" t="inlineStr">
        <is>
          <t>stormbpmn.com</t>
        </is>
      </c>
      <c r="D10" s="2" t="inlineStr">
        <is>
          <t>Россия и СНГ (Россия 62,99 %, Беларусь 2,49 %)</t>
        </is>
      </c>
      <c r="E10" s="2" t="inlineStr">
        <is>
          <t>Смежная или потенциальная конкуренция</t>
        </is>
      </c>
      <c r="F10" s="2" t="inlineStr">
        <is>
          <t>Процессные аналитики, русскоязычный рынок</t>
        </is>
      </c>
      <c r="G10" s="2" t="inlineStr">
        <is>
          <t>Условно-бесплатная: Персональный бесплатно, Команда, Бизнес, Enterprise on-prem (руб.)</t>
        </is>
      </c>
      <c r="H10" s="2" t="inlineStr">
        <is>
          <t>Платформа из семи модулей: редактор, реестр, архитектура, оргструктура, опросы, ИИ, симуляция. Главная страница: «Соберите все процессы компании»; «Одна платформа - девять модулей процессного управления»</t>
        </is>
      </c>
      <c r="I10" s="2" t="inlineStr">
        <is>
          <t>Средний</t>
        </is>
      </c>
      <c r="J10" s="2" t="inlineStr">
        <is>
          <t>Завершён</t>
        </is>
      </c>
      <c r="K10" s="2" t="inlineStr">
        <is>
          <t>Выборка из части A (поле «Переходит в части B и C»); страницы просмотрены 01.10.2026</t>
        </is>
      </c>
    </row>
    <row r="11" ht="63.75" customHeight="1">
      <c r="A11" s="3" t="inlineStr">
        <is>
          <t>C05</t>
        </is>
      </c>
      <c r="B11" s="2" t="inlineStr">
        <is>
          <t>draw.io (diagrams.net)</t>
        </is>
      </c>
      <c r="C11" s="2" t="inlineStr">
        <is>
          <t>app.diagrams.net</t>
        </is>
      </c>
      <c r="D11" s="2" t="inlineStr">
        <is>
          <t>Весь мир (США, Индонезия, Индия, Китай, Россия)</t>
        </is>
      </c>
      <c r="E11" s="2" t="inlineStr">
        <is>
          <t>Косвенный конкурент / заменитель</t>
        </is>
      </c>
      <c r="F11" s="2" t="inlineStr">
        <is>
          <t>Студенты, разработчики, команды</t>
        </is>
      </c>
      <c r="G11" s="2" t="inlineStr">
        <is>
          <t>Бесплатно, открытый код (Apache 2.0)</t>
        </is>
      </c>
      <c r="H11" s="2" t="inlineStr">
        <is>
          <t>Бесплатный онлайн-редактор блок-схем, UML, ER и других диаграмм. Главная страница: «Security-first diagramming for teams»; «Free, open source diagramming application with 100M+ users»</t>
        </is>
      </c>
      <c r="I11" s="2" t="inlineStr">
        <is>
          <t>Высокий</t>
        </is>
      </c>
      <c r="J11" s="2" t="inlineStr">
        <is>
          <t>Завершён</t>
        </is>
      </c>
      <c r="K11" s="2" t="inlineStr">
        <is>
          <t>Выборка из части A (поле «Переходит в части B и C»); страницы просмотрены 01.10.2026</t>
        </is>
      </c>
    </row>
    <row r="12" ht="63.75" customHeight="1">
      <c r="A12" s="3" t="inlineStr">
        <is>
          <t>C06</t>
        </is>
      </c>
      <c r="B12" s="2" t="inlineStr">
        <is>
          <t>Lucidchart</t>
        </is>
      </c>
      <c r="C12" s="2" t="inlineStr">
        <is>
          <t>lucidchart.com</t>
        </is>
      </c>
      <c r="D12" s="2" t="inlineStr">
        <is>
          <t>Весь мир (США, Мексика, Бразилия в топ-странах)</t>
        </is>
      </c>
      <c r="E12" s="2" t="inlineStr">
        <is>
          <t>Косвенный конкурент / заменитель</t>
        </is>
      </c>
      <c r="F12" s="2" t="inlineStr">
        <is>
          <t>Команды, бизнес-пользователи</t>
        </is>
      </c>
      <c r="G12" s="2" t="inlineStr">
        <is>
          <t>Условно-бесплатная: Free, Individual 9 у.е., Team 10 у.е., Enterprise</t>
        </is>
      </c>
      <c r="H12" s="2" t="inlineStr">
        <is>
          <t>Облачный редактор диаграмм с тарифами Free, Individual, Team, Enterprise. Главная страница: «Diagramming powered by intelligence»: диаграммы с ИИ, данными и автоматизацией</t>
        </is>
      </c>
      <c r="I12" s="2" t="inlineStr">
        <is>
          <t>Средний</t>
        </is>
      </c>
      <c r="J12" s="2" t="inlineStr">
        <is>
          <t>Завершён</t>
        </is>
      </c>
      <c r="K12" s="2" t="inlineStr">
        <is>
          <t>Выборка из части A (поле «Переходит в части B и C»); страницы просмотрены 01.10.2026</t>
        </is>
      </c>
    </row>
    <row r="13" ht="51" customHeight="1">
      <c r="A13" s="3" t="inlineStr">
        <is>
          <t>C07</t>
        </is>
      </c>
      <c r="B13" s="2" t="inlineStr">
        <is>
          <t>Eraser</t>
        </is>
      </c>
      <c r="C13" s="2" t="inlineStr">
        <is>
          <t>eraser.io</t>
        </is>
      </c>
      <c r="D13" s="2" t="inlineStr">
        <is>
          <t>Весь мир</t>
        </is>
      </c>
      <c r="E13" s="2" t="inlineStr">
        <is>
          <t>Косвенный конкурент / заменитель</t>
        </is>
      </c>
      <c r="F13" s="2" t="inlineStr">
        <is>
          <t>Инженерные команды, разработчики</t>
        </is>
      </c>
      <c r="G13" s="2" t="inlineStr">
        <is>
          <t>Условно-бесплатная: Free, Starter 15 у.е., Business 45 у.е., Enterprise</t>
        </is>
      </c>
      <c r="H13" s="2" t="inlineStr">
        <is>
          <t>Создание технических диаграмм с помощью ИИ. Главная страница: «AI for diagrams that matter»; «Create technical diagrams using AI»</t>
        </is>
      </c>
      <c r="I13" s="2" t="inlineStr">
        <is>
          <t>Высокий</t>
        </is>
      </c>
      <c r="J13" s="2" t="inlineStr">
        <is>
          <t>Завершён</t>
        </is>
      </c>
      <c r="K13" s="2" t="inlineStr">
        <is>
          <t>Выборка из части A (поле «Переходит в части B и C»); страницы просмотрены 01.10.2026</t>
        </is>
      </c>
    </row>
    <row r="14" ht="76.5" customHeight="1">
      <c r="A14" s="3" t="inlineStr">
        <is>
          <t>C08</t>
        </is>
      </c>
      <c r="B14" s="2" t="inlineStr">
        <is>
          <t>Whimsical</t>
        </is>
      </c>
      <c r="C14" s="2" t="inlineStr">
        <is>
          <t>whimsical.com</t>
        </is>
      </c>
      <c r="D14" s="2" t="inlineStr">
        <is>
          <t>Весь мир</t>
        </is>
      </c>
      <c r="E14" s="2" t="inlineStr">
        <is>
          <t>Смежная или потенциальная конкуренция</t>
        </is>
      </c>
      <c r="F14" s="2" t="inlineStr">
        <is>
          <t>Команды продуктов</t>
        </is>
      </c>
      <c r="G14" s="2" t="inlineStr">
        <is>
          <t>Условно-бесплатная: Free, Pro 10 у.е., Business 20 у.е</t>
        </is>
      </c>
      <c r="H14" s="2" t="inlineStr">
        <is>
          <t>Редактор диаграмм, схем интерфейсов и документов; тарифы Free, Pro, Business (страница тарифов, 01.10.2026). Главная страница: «The whiteboard for product builders»: диаграммы, схемы интерфейсов, документы</t>
        </is>
      </c>
      <c r="I14" s="2" t="inlineStr">
        <is>
          <t>Низкий</t>
        </is>
      </c>
      <c r="J14" s="2" t="inlineStr">
        <is>
          <t>Завершён</t>
        </is>
      </c>
      <c r="K14" s="2" t="inlineStr">
        <is>
          <t>Выборка из части A (поле «Переходит в части B и C»); страницы просмотрены 01.10.2026</t>
        </is>
      </c>
    </row>
    <row r="15">
      <c r="A15" s="3" t="inlineStr">
        <is>
          <t>C09</t>
        </is>
      </c>
      <c r="B15" s="2" t="n"/>
      <c r="C15" s="2" t="n"/>
      <c r="D15" s="2" t="n"/>
      <c r="E15" s="2" t="n"/>
      <c r="F15" s="2" t="n"/>
      <c r="G15" s="2" t="n"/>
      <c r="H15" s="2" t="n"/>
      <c r="I15" s="2" t="n"/>
      <c r="J15" s="2" t="inlineStr">
        <is>
          <t>Не начато</t>
        </is>
      </c>
      <c r="K15" s="2" t="n"/>
    </row>
    <row r="16">
      <c r="A16" s="3" t="inlineStr">
        <is>
          <t>C10</t>
        </is>
      </c>
      <c r="B16" s="2" t="n"/>
      <c r="C16" s="2" t="n"/>
      <c r="D16" s="2" t="n"/>
      <c r="E16" s="2" t="n"/>
      <c r="F16" s="2" t="n"/>
      <c r="G16" s="2" t="n"/>
      <c r="H16" s="2" t="n"/>
      <c r="I16" s="2" t="n"/>
      <c r="J16" s="2" t="inlineStr">
        <is>
          <t>Не начато</t>
        </is>
      </c>
      <c r="K16" s="2" t="n"/>
    </row>
    <row r="17">
      <c r="A17" s="3" t="inlineStr">
        <is>
          <t>C11</t>
        </is>
      </c>
      <c r="B17" s="2" t="n"/>
      <c r="C17" s="2" t="n"/>
      <c r="D17" s="2" t="n"/>
      <c r="E17" s="2" t="n"/>
      <c r="F17" s="2" t="n"/>
      <c r="G17" s="2" t="n"/>
      <c r="H17" s="2" t="n"/>
      <c r="I17" s="2" t="n"/>
      <c r="J17" s="2" t="inlineStr">
        <is>
          <t>Не начато</t>
        </is>
      </c>
      <c r="K17" s="2" t="n"/>
    </row>
    <row r="18">
      <c r="A18" s="3" t="inlineStr">
        <is>
          <t>C12</t>
        </is>
      </c>
      <c r="B18" s="2" t="n"/>
      <c r="C18" s="2" t="n"/>
      <c r="D18" s="2" t="n"/>
      <c r="E18" s="2" t="n"/>
      <c r="F18" s="2" t="n"/>
      <c r="G18" s="2" t="n"/>
      <c r="H18" s="2" t="n"/>
      <c r="I18" s="2" t="n"/>
      <c r="J18" s="2" t="inlineStr">
        <is>
          <t>Не начато</t>
        </is>
      </c>
      <c r="K18" s="2" t="n"/>
    </row>
    <row r="19">
      <c r="A19" s="3" t="inlineStr">
        <is>
          <t>C13</t>
        </is>
      </c>
      <c r="B19" s="2" t="n"/>
      <c r="C19" s="2" t="n"/>
      <c r="D19" s="2" t="n"/>
      <c r="E19" s="2" t="n"/>
      <c r="F19" s="2" t="n"/>
      <c r="G19" s="2" t="n"/>
      <c r="H19" s="2" t="n"/>
      <c r="I19" s="2" t="n"/>
      <c r="J19" s="2" t="inlineStr">
        <is>
          <t>Не начато</t>
        </is>
      </c>
      <c r="K19" s="2" t="n"/>
    </row>
    <row r="20">
      <c r="A20" s="3" t="inlineStr">
        <is>
          <t>C14</t>
        </is>
      </c>
      <c r="B20" s="2" t="n"/>
      <c r="C20" s="2" t="n"/>
      <c r="D20" s="2" t="n"/>
      <c r="E20" s="2" t="n"/>
      <c r="F20" s="2" t="n"/>
      <c r="G20" s="2" t="n"/>
      <c r="H20" s="2" t="n"/>
      <c r="I20" s="2" t="n"/>
      <c r="J20" s="2" t="inlineStr">
        <is>
          <t>Не начато</t>
        </is>
      </c>
      <c r="K20" s="2" t="n"/>
    </row>
    <row r="21">
      <c r="A21" s="3" t="inlineStr">
        <is>
          <t>C15</t>
        </is>
      </c>
      <c r="B21" s="2" t="n"/>
      <c r="C21" s="2" t="n"/>
      <c r="D21" s="2" t="n"/>
      <c r="E21" s="2" t="n"/>
      <c r="F21" s="2" t="n"/>
      <c r="G21" s="2" t="n"/>
      <c r="H21" s="2" t="n"/>
      <c r="I21" s="2" t="n"/>
      <c r="J21" s="2" t="inlineStr">
        <is>
          <t>Не начато</t>
        </is>
      </c>
      <c r="K21" s="2" t="n"/>
    </row>
    <row r="22">
      <c r="A22" s="3" t="inlineStr">
        <is>
          <t>C16</t>
        </is>
      </c>
      <c r="B22" s="2" t="n"/>
      <c r="C22" s="2" t="n"/>
      <c r="D22" s="2" t="n"/>
      <c r="E22" s="2" t="n"/>
      <c r="F22" s="2" t="n"/>
      <c r="G22" s="2" t="n"/>
      <c r="H22" s="2" t="n"/>
      <c r="I22" s="2" t="n"/>
      <c r="J22" s="2" t="inlineStr">
        <is>
          <t>Не начато</t>
        </is>
      </c>
      <c r="K22" s="2" t="n"/>
    </row>
    <row r="23">
      <c r="A23" s="3" t="inlineStr">
        <is>
          <t>C17</t>
        </is>
      </c>
      <c r="B23" s="2" t="n"/>
      <c r="C23" s="2" t="n"/>
      <c r="D23" s="2" t="n"/>
      <c r="E23" s="2" t="n"/>
      <c r="F23" s="2" t="n"/>
      <c r="G23" s="2" t="n"/>
      <c r="H23" s="2" t="n"/>
      <c r="I23" s="2" t="n"/>
      <c r="J23" s="2" t="inlineStr">
        <is>
          <t>Не начато</t>
        </is>
      </c>
      <c r="K23" s="2" t="n"/>
    </row>
    <row r="24">
      <c r="A24" s="3" t="inlineStr">
        <is>
          <t>C18</t>
        </is>
      </c>
      <c r="B24" s="2" t="n"/>
      <c r="C24" s="2" t="n"/>
      <c r="D24" s="2" t="n"/>
      <c r="E24" s="2" t="n"/>
      <c r="F24" s="2" t="n"/>
      <c r="G24" s="2" t="n"/>
      <c r="H24" s="2" t="n"/>
      <c r="I24" s="2" t="n"/>
      <c r="J24" s="2" t="inlineStr">
        <is>
          <t>Не начато</t>
        </is>
      </c>
      <c r="K24" s="2" t="n"/>
    </row>
    <row r="25">
      <c r="A25" s="3" t="inlineStr">
        <is>
          <t>C19</t>
        </is>
      </c>
      <c r="B25" s="2" t="n"/>
      <c r="C25" s="2" t="n"/>
      <c r="D25" s="2" t="n"/>
      <c r="E25" s="2" t="n"/>
      <c r="F25" s="2" t="n"/>
      <c r="G25" s="2" t="n"/>
      <c r="H25" s="2" t="n"/>
      <c r="I25" s="2" t="n"/>
      <c r="J25" s="2" t="inlineStr">
        <is>
          <t>Не начато</t>
        </is>
      </c>
      <c r="K25" s="2" t="n"/>
    </row>
    <row r="26">
      <c r="A26" s="3" t="inlineStr">
        <is>
          <t>C20</t>
        </is>
      </c>
      <c r="B26" s="2" t="n"/>
      <c r="C26" s="2" t="n"/>
      <c r="D26" s="2" t="n"/>
      <c r="E26" s="2" t="n"/>
      <c r="F26" s="2" t="n"/>
      <c r="G26" s="2" t="n"/>
      <c r="H26" s="2" t="n"/>
      <c r="I26" s="2" t="n"/>
      <c r="J26" s="2" t="inlineStr">
        <is>
          <t>Не начато</t>
        </is>
      </c>
      <c r="K26" s="2" t="n"/>
    </row>
    <row r="27">
      <c r="A27" s="3" t="inlineStr">
        <is>
          <t>C21</t>
        </is>
      </c>
      <c r="B27" s="2" t="n"/>
      <c r="C27" s="2" t="n"/>
      <c r="D27" s="2" t="n"/>
      <c r="E27" s="2" t="n"/>
      <c r="F27" s="2" t="n"/>
      <c r="G27" s="2" t="n"/>
      <c r="H27" s="2" t="n"/>
      <c r="I27" s="2" t="n"/>
      <c r="J27" s="2" t="inlineStr">
        <is>
          <t>Не начато</t>
        </is>
      </c>
      <c r="K27" s="2" t="n"/>
    </row>
    <row r="28">
      <c r="A28" s="3" t="inlineStr">
        <is>
          <t>C22</t>
        </is>
      </c>
      <c r="B28" s="2" t="n"/>
      <c r="C28" s="2" t="n"/>
      <c r="D28" s="2" t="n"/>
      <c r="E28" s="2" t="n"/>
      <c r="F28" s="2" t="n"/>
      <c r="G28" s="2" t="n"/>
      <c r="H28" s="2" t="n"/>
      <c r="I28" s="2" t="n"/>
      <c r="J28" s="2" t="inlineStr">
        <is>
          <t>Не начато</t>
        </is>
      </c>
      <c r="K28" s="2" t="n"/>
    </row>
    <row r="29">
      <c r="A29" s="3" t="inlineStr">
        <is>
          <t>C23</t>
        </is>
      </c>
      <c r="B29" s="2" t="n"/>
      <c r="C29" s="2" t="n"/>
      <c r="D29" s="2" t="n"/>
      <c r="E29" s="2" t="n"/>
      <c r="F29" s="2" t="n"/>
      <c r="G29" s="2" t="n"/>
      <c r="H29" s="2" t="n"/>
      <c r="I29" s="2" t="n"/>
      <c r="J29" s="2" t="inlineStr">
        <is>
          <t>Не начато</t>
        </is>
      </c>
      <c r="K29" s="2" t="n"/>
    </row>
    <row r="30">
      <c r="A30" s="3" t="inlineStr">
        <is>
          <t>C24</t>
        </is>
      </c>
      <c r="B30" s="2" t="n"/>
      <c r="C30" s="2" t="n"/>
      <c r="D30" s="2" t="n"/>
      <c r="E30" s="2" t="n"/>
      <c r="F30" s="2" t="n"/>
      <c r="G30" s="2" t="n"/>
      <c r="H30" s="2" t="n"/>
      <c r="I30" s="2" t="n"/>
      <c r="J30" s="2" t="inlineStr">
        <is>
          <t>Не начато</t>
        </is>
      </c>
      <c r="K30" s="2" t="n"/>
    </row>
    <row r="31">
      <c r="A31" s="3" t="inlineStr">
        <is>
          <t>C25</t>
        </is>
      </c>
      <c r="B31" s="2" t="n"/>
      <c r="C31" s="2" t="n"/>
      <c r="D31" s="2" t="n"/>
      <c r="E31" s="2" t="n"/>
      <c r="F31" s="2" t="n"/>
      <c r="G31" s="2" t="n"/>
      <c r="H31" s="2" t="n"/>
      <c r="I31" s="2" t="n"/>
      <c r="J31" s="2" t="inlineStr">
        <is>
          <t>Не начато</t>
        </is>
      </c>
      <c r="K31" s="2" t="n"/>
    </row>
    <row r="32">
      <c r="A32" s="3" t="inlineStr">
        <is>
          <t>C26</t>
        </is>
      </c>
      <c r="B32" s="2" t="n"/>
      <c r="C32" s="2" t="n"/>
      <c r="D32" s="2" t="n"/>
      <c r="E32" s="2" t="n"/>
      <c r="F32" s="2" t="n"/>
      <c r="G32" s="2" t="n"/>
      <c r="H32" s="2" t="n"/>
      <c r="I32" s="2" t="n"/>
      <c r="J32" s="2" t="inlineStr">
        <is>
          <t>Не начато</t>
        </is>
      </c>
      <c r="K32" s="2" t="n"/>
    </row>
    <row r="33">
      <c r="A33" s="3" t="inlineStr">
        <is>
          <t>C27</t>
        </is>
      </c>
      <c r="B33" s="2" t="n"/>
      <c r="C33" s="2" t="n"/>
      <c r="D33" s="2" t="n"/>
      <c r="E33" s="2" t="n"/>
      <c r="F33" s="2" t="n"/>
      <c r="G33" s="2" t="n"/>
      <c r="H33" s="2" t="n"/>
      <c r="I33" s="2" t="n"/>
      <c r="J33" s="2" t="inlineStr">
        <is>
          <t>Не начато</t>
        </is>
      </c>
      <c r="K33" s="2" t="n"/>
    </row>
    <row r="34">
      <c r="A34" s="3" t="inlineStr">
        <is>
          <t>C28</t>
        </is>
      </c>
      <c r="B34" s="2" t="n"/>
      <c r="C34" s="2" t="n"/>
      <c r="D34" s="2" t="n"/>
      <c r="E34" s="2" t="n"/>
      <c r="F34" s="2" t="n"/>
      <c r="G34" s="2" t="n"/>
      <c r="H34" s="2" t="n"/>
      <c r="I34" s="2" t="n"/>
      <c r="J34" s="2" t="inlineStr">
        <is>
          <t>Не начато</t>
        </is>
      </c>
      <c r="K34" s="2" t="n"/>
    </row>
    <row r="35">
      <c r="A35" s="3" t="inlineStr">
        <is>
          <t>C29</t>
        </is>
      </c>
      <c r="B35" s="2" t="n"/>
      <c r="C35" s="2" t="n"/>
      <c r="D35" s="2" t="n"/>
      <c r="E35" s="2" t="n"/>
      <c r="F35" s="2" t="n"/>
      <c r="G35" s="2" t="n"/>
      <c r="H35" s="2" t="n"/>
      <c r="I35" s="2" t="n"/>
      <c r="J35" s="2" t="inlineStr">
        <is>
          <t>Не начато</t>
        </is>
      </c>
      <c r="K35" s="2" t="n"/>
    </row>
    <row r="36">
      <c r="A36" s="3" t="inlineStr">
        <is>
          <t>C30</t>
        </is>
      </c>
      <c r="B36" s="2" t="n"/>
      <c r="C36" s="2" t="n"/>
      <c r="D36" s="2" t="n"/>
      <c r="E36" s="2" t="n"/>
      <c r="F36" s="2" t="n"/>
      <c r="G36" s="2" t="n"/>
      <c r="H36" s="2" t="n"/>
      <c r="I36" s="2" t="n"/>
      <c r="J36" s="2" t="inlineStr">
        <is>
          <t>Не начато</t>
        </is>
      </c>
      <c r="K36" s="2" t="n"/>
    </row>
  </sheetData>
  <mergeCells count="2">
    <mergeCell ref="A2:K2"/>
    <mergeCell ref="A1:K1"/>
  </mergeCells>
  <dataValidations count="4">
    <dataValidation sqref="E7:E36" showDropDown="0" showInputMessage="0" showErrorMessage="0" allowBlank="0" type="list">
      <formula1>"Прямой конкурент,Косвенный конкурент,Заменитель,Эталон лучшей практики,Смежный рынок"</formula1>
    </dataValidation>
    <dataValidation sqref="G7:G36" showDropDown="0" showInputMessage="0" showErrorMessage="0" allowBlank="0" type="list">
      <formula1>"Разовая покупка,Подписка,Комиссия,Бесплатно + платные функции,Реклама,Лидогенерация,Корпоративная лицензия,Смешанная модель"</formula1>
    </dataValidation>
    <dataValidation sqref="I7:I36" showDropDown="0" showInputMessage="0" showErrorMessage="0" allowBlank="0" type="list">
      <formula1>"1,2,3,4,5"</formula1>
    </dataValidation>
    <dataValidation sqref="J7:J36" showDropDown="0" showInputMessage="0" showErrorMessage="0" allowBlank="0" type="list">
      <formula1>"Не начато,В работе,Проверено,Исключено"</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46"/>
  <sheetViews>
    <sheetView topLeftCell="H1" workbookViewId="0">
      <selection activeCell="C13" sqref="C13"/>
    </sheetView>
  </sheetViews>
  <sheetFormatPr baseColWidth="8" defaultRowHeight="14.25"/>
  <cols>
    <col width="12" customWidth="1" min="1" max="1"/>
    <col width="30" customWidth="1" min="2" max="2"/>
    <col width="49.5" customWidth="1" min="3" max="3"/>
    <col width="24" customWidth="1" min="4" max="4"/>
    <col width="36" customWidth="1" min="5" max="5"/>
    <col width="44.375" customWidth="1" min="6" max="6"/>
    <col width="16" customWidth="1" min="7" max="7"/>
    <col width="30" customWidth="1" min="8" max="8"/>
    <col width="16" customWidth="1" min="9" max="9"/>
    <col width="81.875" customWidth="1" min="10" max="10"/>
  </cols>
  <sheetData>
    <row r="1" ht="16.15" customHeight="1">
      <c r="A1" s="14" t="inlineStr">
        <is>
          <t>02. Карта страниц сайта конкурента</t>
        </is>
      </c>
    </row>
    <row r="2" ht="21" customHeight="1">
      <c r="A2" s="16" t="inlineStr">
        <is>
          <t>Фиксируйте каждую страницу, которая стала источником вывода. Это повышает воспроизводимость анализа и качество итоговых решений</t>
        </is>
      </c>
    </row>
    <row r="3"/>
    <row r="4"/>
    <row r="5"/>
    <row r="6" ht="38.25" customHeight="1">
      <c r="A6" s="1" t="inlineStr">
        <is>
          <t>ID конкурента</t>
        </is>
      </c>
      <c r="B6" s="1" t="inlineStr">
        <is>
          <t>Раздел/страница</t>
        </is>
      </c>
      <c r="C6" s="1" t="inlineStr">
        <is>
          <t>URL</t>
        </is>
      </c>
      <c r="D6" s="1" t="inlineStr">
        <is>
          <t>Тип страницы</t>
        </is>
      </c>
      <c r="E6" s="1" t="inlineStr">
        <is>
          <t>Цель анализа</t>
        </is>
      </c>
      <c r="F6" s="1" t="inlineStr">
        <is>
          <t>Что извлекаем</t>
        </is>
      </c>
      <c r="G6" s="1" t="inlineStr">
        <is>
          <t>Дата просмотра</t>
        </is>
      </c>
      <c r="H6" s="1" t="inlineStr">
        <is>
          <t>Скриншот/архив</t>
        </is>
      </c>
      <c r="I6" s="1" t="inlineStr">
        <is>
          <t>Достоверность 1–5</t>
        </is>
      </c>
      <c r="J6" s="1" t="inlineStr">
        <is>
          <t>Краткий вывод</t>
        </is>
      </c>
    </row>
    <row r="7" ht="38.25" customHeight="1">
      <c r="A7" s="2" t="inlineStr">
        <is>
          <t>C01</t>
        </is>
      </c>
      <c r="B7" s="2" t="inlineStr">
        <is>
          <t>Главная</t>
        </is>
      </c>
      <c r="C7" s="2" t="inlineStr">
        <is>
          <t>https://plantuml.com/</t>
        </is>
      </c>
      <c r="D7" s="2" t="inlineStr">
        <is>
          <t>Главная</t>
        </is>
      </c>
      <c r="E7" s="2" t="inlineStr">
        <is>
          <t>Определить обещание и состав товара</t>
        </is>
      </c>
      <c r="F7" s="2" t="inlineStr">
        <is>
          <t>Заголовок, разделы, тарифы, ключевые признаки</t>
        </is>
      </c>
      <c r="G7" s="4" t="n">
        <v>46296</v>
      </c>
      <c r="H7" s="2" t="inlineStr">
        <is>
          <t>Текст страницы, запрос 01.10.2026</t>
        </is>
      </c>
      <c r="I7" s="2" t="n">
        <v>4</v>
      </c>
      <c r="J7" s="2" t="inlineStr">
        <is>
          <t>Заголовок: Open-source tool that uses simple textual descriptions to draw beautif. Признаки в тексте: integr, export, uml, erd</t>
        </is>
      </c>
    </row>
    <row r="8" ht="25.5" customHeight="1">
      <c r="A8" s="2" t="inlineStr">
        <is>
          <t>C01</t>
        </is>
      </c>
      <c r="B8" s="2" t="inlineStr">
        <is>
          <t>Документация</t>
        </is>
      </c>
      <c r="C8" s="2" t="inlineStr">
        <is>
          <t>https://plantuml.com/faq</t>
        </is>
      </c>
      <c r="D8" s="2" t="inlineStr">
        <is>
          <t>Документация</t>
        </is>
      </c>
      <c r="E8" s="2" t="inlineStr">
        <is>
          <t>Глубина документации, поддержка нотаций</t>
        </is>
      </c>
      <c r="F8" s="2" t="inlineStr">
        <is>
          <t>Заголовок, разделы, тарифы, ключевые признаки</t>
        </is>
      </c>
      <c r="G8" s="4" t="n">
        <v>46296</v>
      </c>
      <c r="H8" s="2" t="inlineStr">
        <is>
          <t>Текст страницы, запрос 01.10.2026</t>
        </is>
      </c>
      <c r="I8" s="2" t="n">
        <v>4</v>
      </c>
      <c r="J8" s="2" t="inlineStr">
        <is>
          <t>Заголовок: Frequently Asked Questions. Признаки в тексте: free, integr, export, uml</t>
        </is>
      </c>
    </row>
    <row r="9" ht="25.5" customHeight="1">
      <c r="A9" s="2" t="inlineStr">
        <is>
          <t>C01</t>
        </is>
      </c>
      <c r="B9" s="2" t="inlineStr">
        <is>
          <t>Документация</t>
        </is>
      </c>
      <c r="C9" s="2" t="inlineStr">
        <is>
          <t>https://plantuml.com/running</t>
        </is>
      </c>
      <c r="D9" s="2" t="inlineStr">
        <is>
          <t>Документация</t>
        </is>
      </c>
      <c r="E9" s="2" t="inlineStr">
        <is>
          <t>Глубина документации, поддержка нотаций</t>
        </is>
      </c>
      <c r="F9" s="2" t="inlineStr">
        <is>
          <t>Заголовок, разделы, тарифы, ключевые признаки</t>
        </is>
      </c>
      <c r="G9" s="4" t="n">
        <v>46296</v>
      </c>
      <c r="H9" s="2" t="inlineStr">
        <is>
          <t>Текст страницы, запрос 01.10.2026</t>
        </is>
      </c>
      <c r="I9" s="2" t="n">
        <v>4</v>
      </c>
      <c r="J9" s="2" t="inlineStr">
        <is>
          <t>Заголовок отсутствует. Признаки в тексте: integr, api, export, uml</t>
        </is>
      </c>
    </row>
    <row r="10" ht="25.5" customHeight="1">
      <c r="A10" s="2" t="inlineStr">
        <is>
          <t>C01</t>
        </is>
      </c>
      <c r="B10" s="2" t="inlineStr">
        <is>
          <t>Документация</t>
        </is>
      </c>
      <c r="C10" s="2" t="inlineStr">
        <is>
          <t>https://plantuml.com/download</t>
        </is>
      </c>
      <c r="D10" s="2" t="inlineStr">
        <is>
          <t>Документация</t>
        </is>
      </c>
      <c r="E10" s="2" t="inlineStr">
        <is>
          <t>Глубина документации, поддержка нотаций</t>
        </is>
      </c>
      <c r="F10" s="2" t="inlineStr">
        <is>
          <t>Заголовок, разделы, тарифы, ключевые признаки</t>
        </is>
      </c>
      <c r="G10" s="4" t="n">
        <v>46296</v>
      </c>
      <c r="H10" s="2" t="inlineStr">
        <is>
          <t>Текст страницы, запрос 01.10.2026</t>
        </is>
      </c>
      <c r="I10" s="2" t="n">
        <v>4</v>
      </c>
      <c r="J10" s="2" t="inlineStr">
        <is>
          <t>Заголовок отсутствует. Признаки в тексте: integr, uml</t>
        </is>
      </c>
    </row>
    <row r="11" ht="25.5" customHeight="1">
      <c r="A11" s="2" t="inlineStr">
        <is>
          <t>C01</t>
        </is>
      </c>
      <c r="B11" s="2" t="inlineStr">
        <is>
          <t>Документация</t>
        </is>
      </c>
      <c r="C11" s="2" t="inlineStr">
        <is>
          <t>https://plantuml.com/class-diagram</t>
        </is>
      </c>
      <c r="D11" s="2" t="inlineStr">
        <is>
          <t>Документация</t>
        </is>
      </c>
      <c r="E11" s="2" t="inlineStr">
        <is>
          <t>Глубина документации, поддержка нотаций</t>
        </is>
      </c>
      <c r="F11" s="2" t="inlineStr">
        <is>
          <t>Заголовок, разделы, тарифы, ключевые признаки</t>
        </is>
      </c>
      <c r="G11" s="4" t="n">
        <v>46296</v>
      </c>
      <c r="H11" s="2" t="inlineStr">
        <is>
          <t>Текст страницы, запрос 01.10.2026</t>
        </is>
      </c>
      <c r="I11" s="2" t="n">
        <v>4</v>
      </c>
      <c r="J11" s="2" t="inlineStr">
        <is>
          <t>Заголовок: Class Diagram syntax and features. Признаки в тексте: integr, security, uml</t>
        </is>
      </c>
    </row>
    <row r="12" ht="25.5" customHeight="1">
      <c r="A12" s="2" t="inlineStr">
        <is>
          <t>C01</t>
        </is>
      </c>
      <c r="B12" s="2" t="inlineStr">
        <is>
          <t>Документация</t>
        </is>
      </c>
      <c r="C12" s="2" t="inlineStr">
        <is>
          <t>https://plantuml.com/ie-diagram</t>
        </is>
      </c>
      <c r="D12" s="2" t="inlineStr">
        <is>
          <t>Документация</t>
        </is>
      </c>
      <c r="E12" s="2" t="inlineStr">
        <is>
          <t>Глубина документации, поддержка нотаций</t>
        </is>
      </c>
      <c r="F12" s="2" t="inlineStr">
        <is>
          <t>Заголовок, разделы, тарифы, ключевые признаки</t>
        </is>
      </c>
      <c r="G12" s="4" t="n">
        <v>46296</v>
      </c>
      <c r="H12" s="2" t="inlineStr">
        <is>
          <t>Текст страницы, запрос 01.10.2026</t>
        </is>
      </c>
      <c r="I12" s="2" t="n">
        <v>4</v>
      </c>
      <c r="J12" s="2" t="inlineStr">
        <is>
          <t>Заголовок: Information Engineering diagram syntax and features. Признаки в тексте: integr, erd</t>
        </is>
      </c>
    </row>
    <row r="13" ht="38.25" customHeight="1">
      <c r="A13" s="2" t="inlineStr">
        <is>
          <t>C01</t>
        </is>
      </c>
      <c r="B13" s="2" t="inlineStr">
        <is>
          <t>Документация</t>
        </is>
      </c>
      <c r="C13" s="2" t="inlineStr">
        <is>
          <t>https://plantuml.com/activity-diagram-beta</t>
        </is>
      </c>
      <c r="D13" s="2" t="inlineStr">
        <is>
          <t>Документация</t>
        </is>
      </c>
      <c r="E13" s="2" t="inlineStr">
        <is>
          <t>Глубина документации, поддержка нотаций</t>
        </is>
      </c>
      <c r="F13" s="2" t="inlineStr">
        <is>
          <t>Заголовок, разделы, тарифы, ключевые признаки</t>
        </is>
      </c>
      <c r="G13" s="4" t="n">
        <v>46296</v>
      </c>
      <c r="H13" s="2" t="inlineStr">
        <is>
          <t>Текст страницы, запрос 01.10.2026</t>
        </is>
      </c>
      <c r="I13" s="2" t="n">
        <v>4</v>
      </c>
      <c r="J13" s="2" t="inlineStr">
        <is>
          <t>Заголовок: New Activity Diagram Beta syntax and features. Признаки в тексте: integr, templates, security, uml</t>
        </is>
      </c>
    </row>
    <row r="14" ht="25.5" customHeight="1">
      <c r="A14" s="2" t="inlineStr">
        <is>
          <t>C01</t>
        </is>
      </c>
      <c r="B14" s="2" t="inlineStr">
        <is>
          <t>Репозиторий GitHub</t>
        </is>
      </c>
      <c r="C14" s="2" t="inlineStr">
        <is>
          <t>https://github.com/plantuml/plantuml</t>
        </is>
      </c>
      <c r="D14" s="2" t="inlineStr">
        <is>
          <t>Сообщество</t>
        </is>
      </c>
      <c r="E14" s="2" t="inlineStr">
        <is>
          <t>Открытый код, лицензия, активность</t>
        </is>
      </c>
      <c r="F14" s="2" t="inlineStr">
        <is>
          <t>Звёзды, форки, дата обновления</t>
        </is>
      </c>
      <c r="G14" s="4" t="n">
        <v>46295</v>
      </c>
      <c r="H14" s="2" t="inlineStr">
        <is>
          <t>GitHub API, ЛР4</t>
        </is>
      </c>
      <c r="I14" s="2" t="n">
        <v>5</v>
      </c>
      <c r="J14" s="2" t="inlineStr">
        <is>
          <t>13 346 звёзд, лицензия LGPL-3.0, обновление 2026-09-30</t>
        </is>
      </c>
    </row>
    <row r="15" ht="25.5" customHeight="1">
      <c r="A15" s="2" t="inlineStr">
        <is>
          <t>C02</t>
        </is>
      </c>
      <c r="B15" s="2" t="inlineStr">
        <is>
          <t>Главная</t>
        </is>
      </c>
      <c r="C15" s="2" t="inlineStr">
        <is>
          <t>https://mermaid.js.org/</t>
        </is>
      </c>
      <c r="D15" s="2" t="inlineStr">
        <is>
          <t>Главная</t>
        </is>
      </c>
      <c r="E15" s="2" t="inlineStr">
        <is>
          <t>Определить обещание и состав товара</t>
        </is>
      </c>
      <c r="F15" s="2" t="inlineStr">
        <is>
          <t>Заголовок, разделы, тарифы, ключевые признаки</t>
        </is>
      </c>
      <c r="G15" s="4" t="n">
        <v>46296</v>
      </c>
      <c r="H15" s="2" t="inlineStr">
        <is>
          <t>Текст страницы, запрос 01.10.2026</t>
        </is>
      </c>
      <c r="I15" s="2" t="n">
        <v>4</v>
      </c>
      <c r="J15" s="2" t="inlineStr">
        <is>
          <t>Заголовок: Mermaid | Diagramming and charting tool. Признаки в тексте: ai, integr</t>
        </is>
      </c>
    </row>
    <row r="16" ht="25.5" customHeight="1">
      <c r="A16" s="2" t="inlineStr">
        <is>
          <t>C02</t>
        </is>
      </c>
      <c r="B16" s="2" t="inlineStr">
        <is>
          <t>Документация</t>
        </is>
      </c>
      <c r="C16" s="2" t="inlineStr">
        <is>
          <t>https://mermaid.js.org/intro/</t>
        </is>
      </c>
      <c r="D16" s="2" t="inlineStr">
        <is>
          <t>Документация</t>
        </is>
      </c>
      <c r="E16" s="2" t="inlineStr">
        <is>
          <t>Глубина документации, поддержка нотаций</t>
        </is>
      </c>
      <c r="F16" s="2" t="inlineStr">
        <is>
          <t>Заголовок, разделы, тарифы, ключевые признаки</t>
        </is>
      </c>
      <c r="G16" s="4" t="n">
        <v>46296</v>
      </c>
      <c r="H16" s="2" t="inlineStr">
        <is>
          <t>Текст страницы, запрос 01.10.2026</t>
        </is>
      </c>
      <c r="I16" s="2" t="n">
        <v>4</v>
      </c>
      <c r="J16" s="2" t="inlineStr">
        <is>
          <t>Заголовок: About Mermaid | Mermaid. Признаки в тексте: ai, collab, integr, api, security, erd</t>
        </is>
      </c>
    </row>
    <row r="17" ht="25.5" customHeight="1">
      <c r="A17" s="2" t="inlineStr">
        <is>
          <t>C02</t>
        </is>
      </c>
      <c r="B17" s="2" t="inlineStr">
        <is>
          <t>Документация</t>
        </is>
      </c>
      <c r="C17" s="2" t="inlineStr">
        <is>
          <t>https://mermaid.js.org/intro/getting-started.html</t>
        </is>
      </c>
      <c r="D17" s="2" t="inlineStr">
        <is>
          <t>Документация</t>
        </is>
      </c>
      <c r="E17" s="2" t="inlineStr">
        <is>
          <t>Глубина документации, поддержка нотаций</t>
        </is>
      </c>
      <c r="F17" s="2" t="inlineStr">
        <is>
          <t>Заголовок, разделы, тарифы, ключевые признаки</t>
        </is>
      </c>
      <c r="G17" s="4" t="n">
        <v>46296</v>
      </c>
      <c r="H17" s="2" t="inlineStr">
        <is>
          <t>Текст страницы, запрос 01.10.2026</t>
        </is>
      </c>
      <c r="I17" s="2" t="n">
        <v>4</v>
      </c>
      <c r="J17" s="2" t="inlineStr">
        <is>
          <t>Заголовок: Mermaid User Guide | Mermaid. Признаки в тексте: free, ai, collab, integr, api, export</t>
        </is>
      </c>
    </row>
    <row r="18" ht="25.5" customHeight="1">
      <c r="A18" s="2" t="inlineStr">
        <is>
          <t>C02</t>
        </is>
      </c>
      <c r="B18" s="2" t="inlineStr">
        <is>
          <t>Интеграции</t>
        </is>
      </c>
      <c r="C18" s="2" t="inlineStr">
        <is>
          <t>https://mermaid.js.org/ecosystem/integrations-community.html</t>
        </is>
      </c>
      <c r="D18" s="2" t="inlineStr">
        <is>
          <t>Интеграции</t>
        </is>
      </c>
      <c r="E18" s="2" t="inlineStr">
        <is>
          <t>Интеграции и экосистема</t>
        </is>
      </c>
      <c r="F18" s="2" t="inlineStr">
        <is>
          <t>Заголовок, разделы, тарифы, ключевые признаки</t>
        </is>
      </c>
      <c r="G18" s="4" t="n">
        <v>46296</v>
      </c>
      <c r="H18" s="2" t="inlineStr">
        <is>
          <t>Текст страницы, запрос 01.10.2026</t>
        </is>
      </c>
      <c r="I18" s="2" t="n">
        <v>4</v>
      </c>
      <c r="J18" s="2" t="inlineStr">
        <is>
          <t>Заголовок: Integrations | Mermaid. Признаки в тексте: ai, integr, api, export, security, uml</t>
        </is>
      </c>
    </row>
    <row r="19" ht="25.5" customHeight="1">
      <c r="A19" s="2" t="inlineStr">
        <is>
          <t>C02</t>
        </is>
      </c>
      <c r="B19" s="2" t="inlineStr">
        <is>
          <t>Документация</t>
        </is>
      </c>
      <c r="C19" s="2" t="inlineStr">
        <is>
          <t>https://mermaid.js.org/syntax/classDiagram.html</t>
        </is>
      </c>
      <c r="D19" s="2" t="inlineStr">
        <is>
          <t>Документация</t>
        </is>
      </c>
      <c r="E19" s="2" t="inlineStr">
        <is>
          <t>Глубина документации, поддержка нотаций</t>
        </is>
      </c>
      <c r="F19" s="2" t="inlineStr">
        <is>
          <t>Заголовок, разделы, тарифы, ключевые признаки</t>
        </is>
      </c>
      <c r="G19" s="4" t="n">
        <v>46296</v>
      </c>
      <c r="H19" s="2" t="inlineStr">
        <is>
          <t>Текст страницы, запрос 01.10.2026</t>
        </is>
      </c>
      <c r="I19" s="2" t="n">
        <v>4</v>
      </c>
      <c r="J19" s="2" t="inlineStr">
        <is>
          <t>Заголовок: Class diagrams | Mermaid. Признаки в тексте: ai, integr, api, security, uml, erd</t>
        </is>
      </c>
    </row>
    <row r="20" ht="25.5" customHeight="1">
      <c r="A20" s="2" t="inlineStr">
        <is>
          <t>C02</t>
        </is>
      </c>
      <c r="B20" s="2" t="inlineStr">
        <is>
          <t>Документация</t>
        </is>
      </c>
      <c r="C20" s="2" t="inlineStr">
        <is>
          <t>https://mermaid.js.org/syntax/entityRelationshipDiagram.html</t>
        </is>
      </c>
      <c r="D20" s="2" t="inlineStr">
        <is>
          <t>Документация</t>
        </is>
      </c>
      <c r="E20" s="2" t="inlineStr">
        <is>
          <t>Глубина документации, поддержка нотаций</t>
        </is>
      </c>
      <c r="F20" s="2" t="inlineStr">
        <is>
          <t>Заголовок, разделы, тарифы, ключевые признаки</t>
        </is>
      </c>
      <c r="G20" s="4" t="n">
        <v>46296</v>
      </c>
      <c r="H20" s="2" t="inlineStr">
        <is>
          <t>Текст страницы, запрос 01.10.2026</t>
        </is>
      </c>
      <c r="I20" s="2" t="n">
        <v>4</v>
      </c>
      <c r="J20" s="2" t="inlineStr">
        <is>
          <t>Заголовок: Entity Relationship Diagrams | Mermaid. Признаки в тексте: ai, integr, api, security, erd</t>
        </is>
      </c>
    </row>
    <row r="21" ht="25.5" customHeight="1">
      <c r="A21" s="2" t="inlineStr">
        <is>
          <t>C02</t>
        </is>
      </c>
      <c r="B21" s="2" t="inlineStr">
        <is>
          <t>Документация</t>
        </is>
      </c>
      <c r="C21" s="2" t="inlineStr">
        <is>
          <t>https://mermaid.js.org/syntax/flowchart.html</t>
        </is>
      </c>
      <c r="D21" s="2" t="inlineStr">
        <is>
          <t>Документация</t>
        </is>
      </c>
      <c r="E21" s="2" t="inlineStr">
        <is>
          <t>Глубина документации, поддержка нотаций</t>
        </is>
      </c>
      <c r="F21" s="2" t="inlineStr">
        <is>
          <t>Заголовок, разделы, тарифы, ключевые признаки</t>
        </is>
      </c>
      <c r="G21" s="4" t="n">
        <v>46296</v>
      </c>
      <c r="H21" s="2" t="inlineStr">
        <is>
          <t>Текст страницы, запрос 01.10.2026</t>
        </is>
      </c>
      <c r="I21" s="2" t="n">
        <v>4</v>
      </c>
      <c r="J21" s="2" t="inlineStr">
        <is>
          <t>Заголовок: Flowcharts Syntax | Mermaid. Признаки в тексте: ai, integr, api, security, erd</t>
        </is>
      </c>
    </row>
    <row r="22">
      <c r="A22" s="2" t="inlineStr">
        <is>
          <t>C02</t>
        </is>
      </c>
      <c r="B22" s="2" t="inlineStr">
        <is>
          <t>Репозиторий GitHub</t>
        </is>
      </c>
      <c r="C22" s="2" t="inlineStr">
        <is>
          <t>https://github.com/mermaid-js/mermaid</t>
        </is>
      </c>
      <c r="D22" s="2" t="inlineStr">
        <is>
          <t>Сообщество</t>
        </is>
      </c>
      <c r="E22" s="2" t="inlineStr">
        <is>
          <t>Открытый код, лицензия, активность</t>
        </is>
      </c>
      <c r="F22" s="2" t="inlineStr">
        <is>
          <t>Звёзды, форки, дата обновления</t>
        </is>
      </c>
      <c r="G22" s="4" t="n">
        <v>46295</v>
      </c>
      <c r="H22" s="2" t="inlineStr">
        <is>
          <t>GitHub API, ЛР4</t>
        </is>
      </c>
      <c r="I22" s="2" t="n">
        <v>5</v>
      </c>
      <c r="J22" s="2" t="inlineStr">
        <is>
          <t>90 489 звёзд, лицензия MIT, обновление 2026-09-30</t>
        </is>
      </c>
    </row>
    <row r="23">
      <c r="A23" s="2" t="inlineStr">
        <is>
          <t>C02</t>
        </is>
      </c>
      <c r="B23" s="2" t="inlineStr">
        <is>
          <t>Репозиторий GitHub</t>
        </is>
      </c>
      <c r="C23" s="2" t="inlineStr">
        <is>
          <t>https://github.com/mermaid-js/mermaid-live-editor</t>
        </is>
      </c>
      <c r="D23" s="2" t="inlineStr">
        <is>
          <t>Сообщество</t>
        </is>
      </c>
      <c r="E23" s="2" t="inlineStr">
        <is>
          <t>Открытый код, лицензия, активность</t>
        </is>
      </c>
      <c r="F23" s="2" t="inlineStr">
        <is>
          <t>Звёзды, форки, дата обновления</t>
        </is>
      </c>
      <c r="G23" s="4" t="n">
        <v>46295</v>
      </c>
      <c r="H23" s="2" t="inlineStr">
        <is>
          <t>GitHub API, ЛР4</t>
        </is>
      </c>
      <c r="I23" s="2" t="n">
        <v>5</v>
      </c>
      <c r="J23" s="2" t="inlineStr">
        <is>
          <t>6 836 звёзд, лицензия MIT, обновление 2026-09-30</t>
        </is>
      </c>
    </row>
    <row r="24" ht="25.5" customHeight="1">
      <c r="A24" s="2" t="inlineStr">
        <is>
          <t>C03</t>
        </is>
      </c>
      <c r="B24" s="2" t="inlineStr">
        <is>
          <t>Главная</t>
        </is>
      </c>
      <c r="C24" s="2" t="inlineStr">
        <is>
          <t>https://mermaid.ai/</t>
        </is>
      </c>
      <c r="D24" s="2" t="inlineStr">
        <is>
          <t>Главная</t>
        </is>
      </c>
      <c r="E24" s="2" t="inlineStr">
        <is>
          <t>Определить обещание и состав товара</t>
        </is>
      </c>
      <c r="F24" s="2" t="inlineStr">
        <is>
          <t>Заголовок, разделы, тарифы, ключевые признаки</t>
        </is>
      </c>
      <c r="G24" s="4" t="n">
        <v>46296</v>
      </c>
      <c r="H24" s="2" t="inlineStr">
        <is>
          <t>Текст страницы, запрос 01.10.2026</t>
        </is>
      </c>
      <c r="I24" s="2" t="n">
        <v>4</v>
      </c>
      <c r="J24" s="2" t="inlineStr">
        <is>
          <t>Заголовок: Mermaid. Признаки в тексте: free, pricing, ai, collab, integr, api</t>
        </is>
      </c>
    </row>
    <row r="25" ht="25.5" customHeight="1">
      <c r="A25" s="2" t="inlineStr">
        <is>
          <t>C03</t>
        </is>
      </c>
      <c r="B25" s="2" t="inlineStr">
        <is>
          <t>Документация</t>
        </is>
      </c>
      <c r="C25" s="2" t="inlineStr">
        <is>
          <t>https://mermaid.ai/docs/guides/intro</t>
        </is>
      </c>
      <c r="D25" s="2" t="inlineStr">
        <is>
          <t>Документация</t>
        </is>
      </c>
      <c r="E25" s="2" t="inlineStr">
        <is>
          <t>Глубина документации, поддержка нотаций</t>
        </is>
      </c>
      <c r="F25" s="2" t="inlineStr">
        <is>
          <t>Заголовок, разделы, тарифы, ключевые признаки</t>
        </is>
      </c>
      <c r="G25" s="4" t="n">
        <v>46296</v>
      </c>
      <c r="H25" s="2" t="inlineStr">
        <is>
          <t>Текст страницы, запрос 01.10.2026</t>
        </is>
      </c>
      <c r="I25" s="2" t="n">
        <v>4</v>
      </c>
      <c r="J25" s="2" t="inlineStr">
        <is>
          <t>Заголовок: User guides — Mermaid Chart. Признаки в тексте: free, pricing, ai, collab, integr, api</t>
        </is>
      </c>
    </row>
    <row r="26" ht="25.5" customHeight="1">
      <c r="A26" s="2" t="inlineStr">
        <is>
          <t>C03</t>
        </is>
      </c>
      <c r="B26" s="2" t="inlineStr">
        <is>
          <t>Тарифы</t>
        </is>
      </c>
      <c r="C26" s="2" t="inlineStr">
        <is>
          <t>https://mermaid.ai/pricing/</t>
        </is>
      </c>
      <c r="D26" s="2" t="inlineStr">
        <is>
          <t>Тарифы</t>
        </is>
      </c>
      <c r="E26" s="2" t="inlineStr">
        <is>
          <t>Состав тарифов и условия оплаты</t>
        </is>
      </c>
      <c r="F26" s="2" t="inlineStr">
        <is>
          <t>Заголовок, разделы, тарифы, ключевые признаки</t>
        </is>
      </c>
      <c r="G26" s="4" t="n">
        <v>46296</v>
      </c>
      <c r="H26" s="2" t="inlineStr">
        <is>
          <t>Просмотр во встроенном браузере</t>
        </is>
      </c>
      <c r="I26" s="2" t="n">
        <v>5</v>
      </c>
      <c r="J26" s="2" t="inlineStr">
        <is>
          <t>Тарифы: Basic Free, Plus 10 у.е., Premium 20 у.е., Enterprise по запросу</t>
        </is>
      </c>
    </row>
    <row r="27" ht="25.5" customHeight="1">
      <c r="A27" s="2" t="inlineStr">
        <is>
          <t>C04</t>
        </is>
      </c>
      <c r="B27" s="2" t="inlineStr">
        <is>
          <t>Главная</t>
        </is>
      </c>
      <c r="C27" s="2" t="inlineStr">
        <is>
          <t>https://stormbpmn.com/</t>
        </is>
      </c>
      <c r="D27" s="2" t="inlineStr">
        <is>
          <t>Главная</t>
        </is>
      </c>
      <c r="E27" s="2" t="inlineStr">
        <is>
          <t>Определить обещание и состав товара</t>
        </is>
      </c>
      <c r="F27" s="2" t="inlineStr">
        <is>
          <t>Заголовок, разделы, тарифы, ключевые признаки</t>
        </is>
      </c>
      <c r="G27" s="4" t="n">
        <v>46296</v>
      </c>
      <c r="H27" s="2" t="inlineStr">
        <is>
          <t>Текст страницы, запрос 01.10.2026</t>
        </is>
      </c>
      <c r="I27" s="2" t="n">
        <v>4</v>
      </c>
      <c r="J27" s="2" t="inlineStr">
        <is>
          <t>Заголовок: Storm — платформа процессного управления. Признаки в тексте: ai, security, bpmn</t>
        </is>
      </c>
    </row>
    <row r="28" ht="25.5" customHeight="1">
      <c r="A28" s="2" t="inlineStr">
        <is>
          <t>C04</t>
        </is>
      </c>
      <c r="B28" s="2" t="inlineStr">
        <is>
          <t>Тарифы</t>
        </is>
      </c>
      <c r="C28" s="2" t="inlineStr">
        <is>
          <t>https://stormbpmn.com/pricing</t>
        </is>
      </c>
      <c r="D28" s="2" t="inlineStr">
        <is>
          <t>Тарифы</t>
        </is>
      </c>
      <c r="E28" s="2" t="inlineStr">
        <is>
          <t>Состав тарифов и условия оплаты</t>
        </is>
      </c>
      <c r="F28" s="2" t="inlineStr">
        <is>
          <t>Заголовок, разделы, тарифы, ключевые признаки</t>
        </is>
      </c>
      <c r="G28" s="4" t="n">
        <v>46296</v>
      </c>
      <c r="H28" s="2" t="inlineStr">
        <is>
          <t>Текст страницы, запрос 01.10.2026</t>
        </is>
      </c>
      <c r="I28" s="2" t="n">
        <v>5</v>
      </c>
      <c r="J28" s="2" t="inlineStr">
        <is>
          <t>Заголовок: Все о тарифах Stormbpmn: Team, Business, Enterprise. Признаки в тексте: ai, api, security, bpmn</t>
        </is>
      </c>
    </row>
    <row r="29" ht="25.5" customHeight="1">
      <c r="A29" s="2" t="inlineStr">
        <is>
          <t>C04</t>
        </is>
      </c>
      <c r="B29" s="2" t="inlineStr">
        <is>
          <t>Блог и обновления</t>
        </is>
      </c>
      <c r="C29" s="2" t="inlineStr">
        <is>
          <t>https://stormbpmn.com/blog</t>
        </is>
      </c>
      <c r="D29" s="2" t="inlineStr">
        <is>
          <t>Блог и обновления</t>
        </is>
      </c>
      <c r="E29" s="2" t="inlineStr">
        <is>
          <t>Развитие продукта и контент</t>
        </is>
      </c>
      <c r="F29" s="2" t="inlineStr">
        <is>
          <t>Заголовок, разделы, тарифы, ключевые признаки</t>
        </is>
      </c>
      <c r="G29" s="4" t="n">
        <v>46296</v>
      </c>
      <c r="H29" s="2" t="inlineStr">
        <is>
          <t>Текст страницы, запрос 01.10.2026</t>
        </is>
      </c>
      <c r="I29" s="2" t="n">
        <v>4</v>
      </c>
      <c r="J29" s="2" t="inlineStr">
        <is>
          <t>Заголовок: Блог о бизнес-процессах, BPMN и Camunda. Признаки в тексте: ai, uml, bpmn</t>
        </is>
      </c>
    </row>
    <row r="30" ht="38.25" customHeight="1">
      <c r="A30" s="2" t="inlineStr">
        <is>
          <t>C05</t>
        </is>
      </c>
      <c r="B30" s="2" t="inlineStr">
        <is>
          <t>Главная</t>
        </is>
      </c>
      <c r="C30" s="2" t="inlineStr">
        <is>
          <t>https://www.drawio.com/</t>
        </is>
      </c>
      <c r="D30" s="2" t="inlineStr">
        <is>
          <t>Главная</t>
        </is>
      </c>
      <c r="E30" s="2" t="inlineStr">
        <is>
          <t>Определить обещание и состав товара</t>
        </is>
      </c>
      <c r="F30" s="2" t="inlineStr">
        <is>
          <t>Заголовок, разделы, тарифы, ключевые признаки</t>
        </is>
      </c>
      <c r="G30" s="4" t="n">
        <v>46296</v>
      </c>
      <c r="H30" s="2" t="inlineStr">
        <is>
          <t>Текст страницы, запрос 01.10.2026</t>
        </is>
      </c>
      <c r="I30" s="2" t="n">
        <v>4</v>
      </c>
      <c r="J30" s="2" t="inlineStr">
        <is>
          <t>Заголовок: Security-first diagramming for teams | draw.io. Признаки в тексте: free, pricing, collab, integr, export, security</t>
        </is>
      </c>
    </row>
    <row r="31" ht="25.5" customHeight="1">
      <c r="A31" s="2" t="inlineStr">
        <is>
          <t>C05</t>
        </is>
      </c>
      <c r="B31" s="2" t="inlineStr">
        <is>
          <t>Блог и обновления</t>
        </is>
      </c>
      <c r="C31" s="2" t="inlineStr">
        <is>
          <t>https://www.drawio.com/blog/</t>
        </is>
      </c>
      <c r="D31" s="2" t="inlineStr">
        <is>
          <t>Блог и обновления</t>
        </is>
      </c>
      <c r="E31" s="2" t="inlineStr">
        <is>
          <t>Развитие продукта и контент</t>
        </is>
      </c>
      <c r="F31" s="2" t="inlineStr">
        <is>
          <t>Заголовок, разделы, тарифы, ключевые признаки</t>
        </is>
      </c>
      <c r="G31" s="4" t="n">
        <v>46296</v>
      </c>
      <c r="H31" s="2" t="inlineStr">
        <is>
          <t>Текст страницы, запрос 01.10.2026</t>
        </is>
      </c>
      <c r="I31" s="2" t="n">
        <v>4</v>
      </c>
      <c r="J31" s="2" t="inlineStr">
        <is>
          <t>Заголовок: Blog | draw.io. Признаки в тексте: free, ai, collab, integr, api, export</t>
        </is>
      </c>
    </row>
    <row r="32" ht="25.5" customHeight="1">
      <c r="A32" s="2" t="inlineStr">
        <is>
          <t>C05</t>
        </is>
      </c>
      <c r="B32" s="2" t="inlineStr">
        <is>
          <t>Репозиторий GitHub</t>
        </is>
      </c>
      <c r="C32" s="2" t="inlineStr">
        <is>
          <t>https://github.com/jgraph/drawio</t>
        </is>
      </c>
      <c r="D32" s="2" t="inlineStr">
        <is>
          <t>Сообщество</t>
        </is>
      </c>
      <c r="E32" s="2" t="inlineStr">
        <is>
          <t>Открытый код, лицензия, активность</t>
        </is>
      </c>
      <c r="F32" s="2" t="inlineStr">
        <is>
          <t>Звёзды, форки, дата обновления</t>
        </is>
      </c>
      <c r="G32" s="4" t="n">
        <v>46295</v>
      </c>
      <c r="H32" s="2" t="inlineStr">
        <is>
          <t>GitHub API, ЛР4</t>
        </is>
      </c>
      <c r="I32" s="2" t="n">
        <v>5</v>
      </c>
      <c r="J32" s="2" t="inlineStr">
        <is>
          <t>8 502 звёзд, лицензия Apache-2.0, обновление 2026-09-25</t>
        </is>
      </c>
    </row>
    <row r="33" ht="25.5" customHeight="1">
      <c r="A33" s="2" t="inlineStr">
        <is>
          <t>C05</t>
        </is>
      </c>
      <c r="B33" s="2" t="inlineStr">
        <is>
          <t>Репозиторий GitHub</t>
        </is>
      </c>
      <c r="C33" s="2" t="inlineStr">
        <is>
          <t>https://github.com/jgraph/drawio-desktop</t>
        </is>
      </c>
      <c r="D33" s="2" t="inlineStr">
        <is>
          <t>Сообщество</t>
        </is>
      </c>
      <c r="E33" s="2" t="inlineStr">
        <is>
          <t>Открытый код, лицензия, активность</t>
        </is>
      </c>
      <c r="F33" s="2" t="inlineStr">
        <is>
          <t>Звёзды, форки, дата обновления</t>
        </is>
      </c>
      <c r="G33" s="4" t="n">
        <v>46295</v>
      </c>
      <c r="H33" s="2" t="inlineStr">
        <is>
          <t>GitHub API, ЛР4</t>
        </is>
      </c>
      <c r="I33" s="2" t="n">
        <v>5</v>
      </c>
      <c r="J33" s="2" t="inlineStr">
        <is>
          <t>63 351 звёзд, лицензия GPL-3.0, обновление 2026-09-28</t>
        </is>
      </c>
    </row>
    <row r="34" ht="25.5" customHeight="1">
      <c r="A34" s="2" t="inlineStr">
        <is>
          <t>C06</t>
        </is>
      </c>
      <c r="B34" s="2" t="inlineStr">
        <is>
          <t>Главная</t>
        </is>
      </c>
      <c r="C34" s="2" t="inlineStr">
        <is>
          <t>https://lucid.co/lucidchart</t>
        </is>
      </c>
      <c r="D34" s="2" t="inlineStr">
        <is>
          <t>Главная</t>
        </is>
      </c>
      <c r="E34" s="2" t="inlineStr">
        <is>
          <t>Определить обещание и состав товара</t>
        </is>
      </c>
      <c r="F34" s="2" t="inlineStr">
        <is>
          <t>Заголовок, разделы, тарифы, ключевые признаки</t>
        </is>
      </c>
      <c r="G34" s="4" t="n">
        <v>46296</v>
      </c>
      <c r="H34" s="2" t="inlineStr">
        <is>
          <t>Просмотр во встроенном браузере</t>
        </is>
      </c>
      <c r="I34" s="2" t="n">
        <v>5</v>
      </c>
      <c r="J34" s="2" t="inlineStr">
        <is>
          <t>Главная: «Diagramming powered by intelligence»; ИИ, шаблоны, интеграции</t>
        </is>
      </c>
    </row>
    <row r="35" ht="25.5" customHeight="1">
      <c r="A35" s="2" t="inlineStr">
        <is>
          <t>C06</t>
        </is>
      </c>
      <c r="B35" s="2" t="inlineStr">
        <is>
          <t>Тарифы</t>
        </is>
      </c>
      <c r="C35" s="2" t="inlineStr">
        <is>
          <t>https://lucid.app/pricing/lucidchart</t>
        </is>
      </c>
      <c r="D35" s="2" t="inlineStr">
        <is>
          <t>Тарифы</t>
        </is>
      </c>
      <c r="E35" s="2" t="inlineStr">
        <is>
          <t>Состав тарифов и условия оплаты</t>
        </is>
      </c>
      <c r="F35" s="2" t="inlineStr">
        <is>
          <t>Заголовок, разделы, тарифы, ключевые признаки</t>
        </is>
      </c>
      <c r="G35" s="4" t="n">
        <v>46296</v>
      </c>
      <c r="H35" s="2" t="inlineStr">
        <is>
          <t>Просмотр во встроенном браузере</t>
        </is>
      </c>
      <c r="I35" s="2" t="n">
        <v>5</v>
      </c>
      <c r="J35" s="2" t="inlineStr">
        <is>
          <t>Тарифы: Free 0 у.е., Individual 9 у.е., Team 10 у.е., Enterprise по запросу</t>
        </is>
      </c>
    </row>
    <row r="36" ht="25.5" customHeight="1">
      <c r="A36" s="2" t="inlineStr">
        <is>
          <t>C07</t>
        </is>
      </c>
      <c r="B36" s="2" t="inlineStr">
        <is>
          <t>Главная</t>
        </is>
      </c>
      <c r="C36" s="2" t="inlineStr">
        <is>
          <t>https://www.eraser.io/</t>
        </is>
      </c>
      <c r="D36" s="2" t="inlineStr">
        <is>
          <t>Главная</t>
        </is>
      </c>
      <c r="E36" s="2" t="inlineStr">
        <is>
          <t>Определить обещание и состав товара</t>
        </is>
      </c>
      <c r="F36" s="2" t="inlineStr">
        <is>
          <t>Заголовок, разделы, тарифы, ключевые признаки</t>
        </is>
      </c>
      <c r="G36" s="4" t="n">
        <v>46296</v>
      </c>
      <c r="H36" s="2" t="inlineStr">
        <is>
          <t>Текст страницы, запрос 01.10.2026</t>
        </is>
      </c>
      <c r="I36" s="2" t="n">
        <v>4</v>
      </c>
      <c r="J36" s="2" t="inlineStr">
        <is>
          <t>Заголовок: Eraser – AI for diagrams that matter. Признаки в тексте: free, pricing, ai, integr, api, export</t>
        </is>
      </c>
    </row>
    <row r="37" ht="25.5" customHeight="1">
      <c r="A37" s="2" t="inlineStr">
        <is>
          <t>C07</t>
        </is>
      </c>
      <c r="B37" s="2" t="inlineStr">
        <is>
          <t>Тарифы</t>
        </is>
      </c>
      <c r="C37" s="2" t="inlineStr">
        <is>
          <t>https://www.eraser.io/pricing</t>
        </is>
      </c>
      <c r="D37" s="2" t="inlineStr">
        <is>
          <t>Тарифы</t>
        </is>
      </c>
      <c r="E37" s="2" t="inlineStr">
        <is>
          <t>Состав тарифов и условия оплаты</t>
        </is>
      </c>
      <c r="F37" s="2" t="inlineStr">
        <is>
          <t>Заголовок, разделы, тарифы, ключевые признаки</t>
        </is>
      </c>
      <c r="G37" s="4" t="n">
        <v>46296</v>
      </c>
      <c r="H37" s="2" t="inlineStr">
        <is>
          <t>Текст страницы, запрос 01.10.2026</t>
        </is>
      </c>
      <c r="I37" s="2" t="n">
        <v>5</v>
      </c>
      <c r="J37" s="2" t="inlineStr">
        <is>
          <t>Заголовок: Pricing – Eraser. Признаки в тексте: free, pricing, ai, collab, integr, api</t>
        </is>
      </c>
    </row>
    <row r="38" ht="25.5" customHeight="1">
      <c r="A38" s="2" t="inlineStr">
        <is>
          <t>C07</t>
        </is>
      </c>
      <c r="B38" s="2" t="inlineStr">
        <is>
          <t>ИИ-функции</t>
        </is>
      </c>
      <c r="C38" s="2" t="inlineStr">
        <is>
          <t>https://www.eraser.io/ai</t>
        </is>
      </c>
      <c r="D38" s="2" t="inlineStr">
        <is>
          <t>ИИ-функции</t>
        </is>
      </c>
      <c r="E38" s="2" t="inlineStr">
        <is>
          <t>ИИ-функции товара</t>
        </is>
      </c>
      <c r="F38" s="2" t="inlineStr">
        <is>
          <t>Заголовок, разделы, тарифы, ключевые признаки</t>
        </is>
      </c>
      <c r="G38" s="4" t="n">
        <v>46296</v>
      </c>
      <c r="H38" s="2" t="inlineStr">
        <is>
          <t>Текст страницы, запрос 01.10.2026</t>
        </is>
      </c>
      <c r="I38" s="2" t="n">
        <v>4</v>
      </c>
      <c r="J38" s="2" t="inlineStr">
        <is>
          <t>Заголовок: Eraser AI. Признаки в тексте: free, pricing, ai, collab, integr, api</t>
        </is>
      </c>
    </row>
    <row r="39" ht="38.25" customHeight="1">
      <c r="A39" s="2" t="inlineStr">
        <is>
          <t>C07</t>
        </is>
      </c>
      <c r="B39" s="2" t="inlineStr">
        <is>
          <t>ИИ-функции</t>
        </is>
      </c>
      <c r="C39" s="2" t="inlineStr">
        <is>
          <t>https://www.eraser.io/diagramgpt</t>
        </is>
      </c>
      <c r="D39" s="2" t="inlineStr">
        <is>
          <t>ИИ-функции</t>
        </is>
      </c>
      <c r="E39" s="2" t="inlineStr">
        <is>
          <t>ИИ-функции товара</t>
        </is>
      </c>
      <c r="F39" s="2" t="inlineStr">
        <is>
          <t>Заголовок, разделы, тарифы, ключевые признаки</t>
        </is>
      </c>
      <c r="G39" s="4" t="n">
        <v>46296</v>
      </c>
      <c r="H39" s="2" t="inlineStr">
        <is>
          <t>Текст страницы, запрос 01.10.2026</t>
        </is>
      </c>
      <c r="I39" s="2" t="n">
        <v>4</v>
      </c>
      <c r="J39" s="2" t="inlineStr">
        <is>
          <t>Заголовок: DiagramGPT – AI diagram generator created by Eraser. Признаки в тексте: free, pricing, ai, integr, api, export</t>
        </is>
      </c>
    </row>
    <row r="40" ht="25.5" customHeight="1">
      <c r="A40" s="2" t="inlineStr">
        <is>
          <t>C07</t>
        </is>
      </c>
      <c r="B40" s="2" t="inlineStr">
        <is>
          <t>Документация</t>
        </is>
      </c>
      <c r="C40" s="2" t="inlineStr">
        <is>
          <t>https://docs.eraser.io/</t>
        </is>
      </c>
      <c r="D40" s="2" t="inlineStr">
        <is>
          <t>Документация</t>
        </is>
      </c>
      <c r="E40" s="2" t="inlineStr">
        <is>
          <t>Глубина документации, поддержка нотаций</t>
        </is>
      </c>
      <c r="F40" s="2" t="inlineStr">
        <is>
          <t>Заголовок, разделы, тарифы, ключевые признаки</t>
        </is>
      </c>
      <c r="G40" s="4" t="n">
        <v>46296</v>
      </c>
      <c r="H40" s="2" t="inlineStr">
        <is>
          <t>Текст страницы, запрос 01.10.2026</t>
        </is>
      </c>
      <c r="I40" s="2" t="n">
        <v>4</v>
      </c>
      <c r="J40" s="2" t="inlineStr">
        <is>
          <t>Заголовок: Eraser docs. Признаки в тексте: pricing, ai, collab, integr, api, export</t>
        </is>
      </c>
    </row>
    <row r="41" ht="38.25" customHeight="1">
      <c r="A41" s="2" t="inlineStr">
        <is>
          <t>C08</t>
        </is>
      </c>
      <c r="B41" s="2" t="inlineStr">
        <is>
          <t>Главная</t>
        </is>
      </c>
      <c r="C41" s="2" t="inlineStr">
        <is>
          <t>https://whimsical.com/</t>
        </is>
      </c>
      <c r="D41" s="2" t="inlineStr">
        <is>
          <t>Главная</t>
        </is>
      </c>
      <c r="E41" s="2" t="inlineStr">
        <is>
          <t>Определить обещание и состав товара</t>
        </is>
      </c>
      <c r="F41" s="2" t="inlineStr">
        <is>
          <t>Заголовок, разделы, тарифы, ключевые признаки</t>
        </is>
      </c>
      <c r="G41" s="4" t="n">
        <v>46296</v>
      </c>
      <c r="H41" s="2" t="inlineStr">
        <is>
          <t>Текст страницы, запрос 01.10.2026</t>
        </is>
      </c>
      <c r="I41" s="2" t="n">
        <v>4</v>
      </c>
      <c r="J41" s="2" t="inlineStr">
        <is>
          <t>Заголовок: Whimsical — The whiteboard for product builders. Признаки в тексте: free, pricing, ai, collab, integr, templates</t>
        </is>
      </c>
    </row>
    <row r="42" ht="25.5" customHeight="1">
      <c r="A42" s="2" t="inlineStr">
        <is>
          <t>C08</t>
        </is>
      </c>
      <c r="B42" s="2" t="inlineStr">
        <is>
          <t>Тарифы</t>
        </is>
      </c>
      <c r="C42" s="2" t="inlineStr">
        <is>
          <t>https://whimsical.com/pricing</t>
        </is>
      </c>
      <c r="D42" s="2" t="inlineStr">
        <is>
          <t>Тарифы</t>
        </is>
      </c>
      <c r="E42" s="2" t="inlineStr">
        <is>
          <t>Состав тарифов и условия оплаты</t>
        </is>
      </c>
      <c r="F42" s="2" t="inlineStr">
        <is>
          <t>Заголовок, разделы, тарифы, ключевые признаки</t>
        </is>
      </c>
      <c r="G42" s="4" t="n">
        <v>46296</v>
      </c>
      <c r="H42" s="2" t="inlineStr">
        <is>
          <t>Текст страницы, запрос 01.10.2026</t>
        </is>
      </c>
      <c r="I42" s="2" t="n">
        <v>5</v>
      </c>
      <c r="J42" s="2" t="inlineStr">
        <is>
          <t>Заголовок: Whimsical Pricing - Free &amp; Paid Plans. Признаки в тексте: free, pricing, ai, collab, integr, export</t>
        </is>
      </c>
    </row>
    <row r="43" ht="25.5" customHeight="1">
      <c r="A43" s="2" t="inlineStr">
        <is>
          <t>C08</t>
        </is>
      </c>
      <c r="B43" s="2" t="inlineStr">
        <is>
          <t>Безопасность</t>
        </is>
      </c>
      <c r="C43" s="2" t="inlineStr">
        <is>
          <t>https://whimsical.com/company/security</t>
        </is>
      </c>
      <c r="D43" s="2" t="inlineStr">
        <is>
          <t>Безопасность</t>
        </is>
      </c>
      <c r="E43" s="2" t="inlineStr">
        <is>
          <t>Безопасность и приватность</t>
        </is>
      </c>
      <c r="F43" s="2" t="inlineStr">
        <is>
          <t>Заголовок, разделы, тарифы, ключевые признаки</t>
        </is>
      </c>
      <c r="G43" s="4" t="n">
        <v>46296</v>
      </c>
      <c r="H43" s="2" t="inlineStr">
        <is>
          <t>Текст страницы, запрос 01.10.2026</t>
        </is>
      </c>
      <c r="I43" s="2" t="n">
        <v>4</v>
      </c>
      <c r="J43" s="2" t="inlineStr">
        <is>
          <t>Заголовок: Security | Whimsical. Признаки в тексте: free, pricing, ai, integr, templates, security</t>
        </is>
      </c>
    </row>
    <row r="44" ht="25.5" customHeight="1">
      <c r="A44" s="2" t="inlineStr">
        <is>
          <t>C08</t>
        </is>
      </c>
      <c r="B44" s="2" t="inlineStr">
        <is>
          <t>Шаблоны</t>
        </is>
      </c>
      <c r="C44" s="2" t="inlineStr">
        <is>
          <t>https://whimsical.com/templates</t>
        </is>
      </c>
      <c r="D44" s="2" t="inlineStr">
        <is>
          <t>Шаблоны</t>
        </is>
      </c>
      <c r="E44" s="2" t="inlineStr">
        <is>
          <t>Шаблоны и готовые образцы</t>
        </is>
      </c>
      <c r="F44" s="2" t="inlineStr">
        <is>
          <t>Заголовок, разделы, тарифы, ключевые признаки</t>
        </is>
      </c>
      <c r="G44" s="4" t="n">
        <v>46296</v>
      </c>
      <c r="H44" s="2" t="inlineStr">
        <is>
          <t>Текст страницы, запрос 01.10.2026</t>
        </is>
      </c>
      <c r="I44" s="2" t="n">
        <v>4</v>
      </c>
      <c r="J44" s="2" t="inlineStr">
        <is>
          <t>Заголовок: Templates - Whimsical. Признаки в тексте: free, pricing, ai, integr, templates, security</t>
        </is>
      </c>
    </row>
    <row r="45" ht="25.5" customHeight="1">
      <c r="A45" s="2" t="inlineStr">
        <is>
          <t>C08</t>
        </is>
      </c>
      <c r="B45" s="2" t="inlineStr">
        <is>
          <t>ИИ-функции</t>
        </is>
      </c>
      <c r="C45" s="2" t="inlineStr">
        <is>
          <t>https://whimsical.com/ai</t>
        </is>
      </c>
      <c r="D45" s="2" t="inlineStr">
        <is>
          <t>ИИ-функции</t>
        </is>
      </c>
      <c r="E45" s="2" t="inlineStr">
        <is>
          <t>ИИ-функции товара</t>
        </is>
      </c>
      <c r="F45" s="2" t="inlineStr">
        <is>
          <t>Заголовок, разделы, тарифы, ключевые признаки</t>
        </is>
      </c>
      <c r="G45" s="4" t="n">
        <v>46296</v>
      </c>
      <c r="H45" s="2" t="inlineStr">
        <is>
          <t>Текст страницы, запрос 01.10.2026</t>
        </is>
      </c>
      <c r="I45" s="2" t="n">
        <v>4</v>
      </c>
      <c r="J45" s="2" t="inlineStr">
        <is>
          <t>Заголовок: Whimsical AI. Признаки в тексте: free, pricing, ai, integr, templates, security</t>
        </is>
      </c>
    </row>
    <row r="46" ht="38.25" customHeight="1">
      <c r="A46" s="2" t="inlineStr">
        <is>
          <t>C08</t>
        </is>
      </c>
      <c r="B46" s="2" t="inlineStr">
        <is>
          <t>Документация</t>
        </is>
      </c>
      <c r="C46" s="2" t="inlineStr">
        <is>
          <t>https://whimsical.com/diagrams</t>
        </is>
      </c>
      <c r="D46" s="2" t="inlineStr">
        <is>
          <t>Документация</t>
        </is>
      </c>
      <c r="E46" s="2" t="inlineStr">
        <is>
          <t>Глубина документации, поддержка нотаций</t>
        </is>
      </c>
      <c r="F46" s="2" t="inlineStr">
        <is>
          <t>Заголовок, разделы, тарифы, ключевые признаки</t>
        </is>
      </c>
      <c r="G46" s="4" t="n">
        <v>46296</v>
      </c>
      <c r="H46" s="2" t="inlineStr">
        <is>
          <t>Текст страницы, запрос 01.10.2026</t>
        </is>
      </c>
      <c r="I46" s="2" t="n">
        <v>4</v>
      </c>
      <c r="J46" s="2" t="inlineStr">
        <is>
          <t>Заголовок: Whimsical Diagrams, Flowcharts, and Mind Maps. Признаки в тексте: free, pricing, ai, collab, integr, templates</t>
        </is>
      </c>
    </row>
  </sheetData>
  <mergeCells count="2">
    <mergeCell ref="A1:J1"/>
    <mergeCell ref="A2:J2"/>
  </mergeCells>
  <dataValidations count="2">
    <dataValidation sqref="D7:D206" showDropDown="0" showInputMessage="0" showErrorMessage="0" allowBlank="0" type="list">
      <formula1>"Главная страница,Лендинг товара,Тарифы,Функции,Каталог/карточка,Регистрация,Личный кабинет,Оплата,Поддержка,FAQ,Документация,Блог/медиа,Отзывы/кейсы,Правовые документы"</formula1>
    </dataValidation>
    <dataValidation sqref="I7:I206" showDropDown="0" showInputMessage="0" showErrorMessage="0" allowBlank="0" type="list">
      <formula1>"1,2,3,4,5"</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N306"/>
  <sheetViews>
    <sheetView topLeftCell="F25" workbookViewId="0">
      <selection activeCell="L21" sqref="L21"/>
    </sheetView>
  </sheetViews>
  <sheetFormatPr baseColWidth="8" defaultRowHeight="14.25"/>
  <cols>
    <col width="12" customWidth="1" min="1" max="1"/>
    <col width="28" customWidth="1" min="2" max="2"/>
    <col width="36" customWidth="1" min="3" max="3"/>
    <col width="30" customWidth="1" min="4" max="4"/>
    <col width="34" customWidth="1" min="5" max="5"/>
    <col width="40" customWidth="1" min="6" max="6"/>
    <col width="42" customWidth="1" min="7" max="7"/>
    <col width="13" customWidth="1" min="8" max="8"/>
    <col width="15" customWidth="1" min="9" max="10"/>
    <col width="16" customWidth="1" min="11" max="11"/>
    <col width="15" customWidth="1" min="12" max="12"/>
    <col width="20" customWidth="1" min="13" max="13"/>
    <col width="36" customWidth="1" min="14" max="14"/>
  </cols>
  <sheetData>
    <row r="1" ht="16.15" customHeight="1">
      <c r="A1" s="14" t="inlineStr">
        <is>
          <t>03. Анализ цифрового товара по модели Левитта</t>
        </is>
      </c>
    </row>
    <row r="2" ht="21" customHeight="1">
      <c r="A2" s="16" t="inlineStr">
        <is>
          <t>Разложите товар конкурента на уровни: от базовой выгоды до потенциального развития. Оценка признака рассчитывается автоматически</t>
        </is>
      </c>
    </row>
    <row r="3"/>
    <row r="4"/>
    <row r="5"/>
    <row r="6" ht="28.5" customHeight="1">
      <c r="A6" s="1" t="inlineStr">
        <is>
          <t>ID конкурента</t>
        </is>
      </c>
      <c r="B6" s="1" t="inlineStr">
        <is>
          <t>Товар/предложение</t>
        </is>
      </c>
      <c r="C6" s="1" t="inlineStr">
        <is>
          <t>URL/страница</t>
        </is>
      </c>
      <c r="D6" s="1" t="inlineStr">
        <is>
          <t>Уровень товара по Левитту</t>
        </is>
      </c>
      <c r="E6" s="1" t="inlineStr">
        <is>
          <t>Элемент товара / признак</t>
        </is>
      </c>
      <c r="F6" s="1" t="inlineStr">
        <is>
          <t>Как проявлен на сайте</t>
        </is>
      </c>
      <c r="G6" s="1" t="inlineStr">
        <is>
          <t>Доказательство</t>
        </is>
      </c>
      <c r="H6" s="1" t="inlineStr">
        <is>
          <t>Наличие 0/1</t>
        </is>
      </c>
      <c r="I6" s="1" t="inlineStr">
        <is>
          <t>Сила реализации 0–3</t>
        </is>
      </c>
      <c r="J6" s="1" t="inlineStr">
        <is>
          <t>Понятность 0–3</t>
        </is>
      </c>
      <c r="K6" s="1" t="inlineStr">
        <is>
          <t>Влияние на ценность 1–5</t>
        </is>
      </c>
      <c r="L6" s="1" t="inlineStr">
        <is>
          <t>Оценка признака</t>
        </is>
      </c>
      <c r="M6" s="1" t="inlineStr">
        <is>
          <t>Роль признака</t>
        </is>
      </c>
      <c r="N6" s="1" t="inlineStr">
        <is>
          <t>Примечание</t>
        </is>
      </c>
    </row>
    <row r="7" ht="25.5" customHeight="1">
      <c r="A7" s="2" t="inlineStr">
        <is>
          <t>C01</t>
        </is>
      </c>
      <c r="B7" s="2" t="inlineStr">
        <is>
          <t>PlantUML</t>
        </is>
      </c>
      <c r="C7" s="2" t="inlineStr">
        <is>
          <t>https://plantuml.com/</t>
        </is>
      </c>
      <c r="D7" s="2" t="inlineStr">
        <is>
          <t>1. Базовая выгода</t>
        </is>
      </c>
      <c r="E7" s="2" t="inlineStr">
        <is>
          <t>Основное обещание главной страницы</t>
        </is>
      </c>
      <c r="F7" s="2" t="inlineStr">
        <is>
          <t>«Open-source tool that uses simple textual descriptions to draw beautiful UML diagrams»</t>
        </is>
      </c>
      <c r="G7" s="2" t="inlineStr">
        <is>
          <t>Главная страница, просмотр 01.10.2026</t>
        </is>
      </c>
      <c r="H7" s="2" t="n">
        <v>1</v>
      </c>
      <c r="I7" s="2" t="n">
        <v>3</v>
      </c>
      <c r="J7" s="2" t="n">
        <v>3</v>
      </c>
      <c r="K7" s="2" t="n">
        <v>5</v>
      </c>
      <c r="L7" s="2">
        <f>IF(OR(H7="",I7="",J7="",K7=""),"",ROUND(H7*((I7+J7)/6)*K7,2))</f>
        <v/>
      </c>
      <c r="M7" s="2">
        <f>IF(L7="","",IF(AND(L7&gt;=3.5,H7=1),"Сильный признак",IF(AND(L7&gt;=2,H7=1),"Рабочий признак",IF(H7=1,"Слабый признак","Отсутствует"))))</f>
        <v/>
      </c>
      <c r="N7" s="2" t="inlineStr">
        <is>
          <t>Конкурентная норма с высоким влиянием; включить в минимальный состав NotaCode</t>
        </is>
      </c>
    </row>
    <row r="8" ht="38.25" customHeight="1">
      <c r="A8" s="2" t="inlineStr">
        <is>
          <t>C01</t>
        </is>
      </c>
      <c r="B8" s="2" t="inlineStr">
        <is>
          <t>PlantUML</t>
        </is>
      </c>
      <c r="C8" s="2" t="inlineStr">
        <is>
          <t>https://plantuml.com/</t>
        </is>
      </c>
      <c r="D8" s="2" t="inlineStr">
        <is>
          <t>2. Родовой товар</t>
        </is>
      </c>
      <c r="E8" s="2" t="inlineStr">
        <is>
          <t>Форма поставки товара</t>
        </is>
      </c>
      <c r="F8" s="2" t="inlineStr">
        <is>
          <t>Текстовый DSL, открытый код: Построение UML-диаграмм из текстового описания, экспорт PNG, LaTeX, EPS, SVG</t>
        </is>
      </c>
      <c r="G8" s="2" t="inlineStr">
        <is>
          <t>Страницы сайта, ЛР1 табл. 42, ЛР4</t>
        </is>
      </c>
      <c r="H8" s="2" t="n">
        <v>1</v>
      </c>
      <c r="I8" s="2" t="n">
        <v>3</v>
      </c>
      <c r="J8" s="2" t="n">
        <v>3</v>
      </c>
      <c r="K8" s="2" t="n">
        <v>4</v>
      </c>
      <c r="L8" s="2">
        <f>IF(OR(H8="",I8="",J8="",K8=""),"",ROUND(H8*((I8+J8)/6)*K8,2))</f>
        <v/>
      </c>
      <c r="M8" s="2">
        <f>IF(L8="","",IF(AND(L8&gt;=3.5,H8=1),"Сильный признак",IF(AND(L8&gt;=2,H8=1),"Рабочий признак",IF(H8=1,"Слабый признак","Отсутствует"))))</f>
        <v/>
      </c>
      <c r="N8" s="2" t="inlineStr">
        <is>
          <t>Конкурентная норма с высоким влиянием; включить в минимальный состав NotaCode</t>
        </is>
      </c>
    </row>
    <row r="9" ht="25.5" customHeight="1">
      <c r="A9" s="2" t="inlineStr">
        <is>
          <t>C01</t>
        </is>
      </c>
      <c r="B9" s="2" t="inlineStr">
        <is>
          <t>PlantUML</t>
        </is>
      </c>
      <c r="C9" s="2" t="inlineStr">
        <is>
          <t>https://plantuml.com/</t>
        </is>
      </c>
      <c r="D9" s="2" t="inlineStr">
        <is>
          <t>2. Родовой товар</t>
        </is>
      </c>
      <c r="E9" s="2" t="inlineStr">
        <is>
          <t>Описание диаграммы текстом (DSL)</t>
        </is>
      </c>
      <c r="F9" s="2" t="inlineStr">
        <is>
          <t>Признак найден на просмотренных страницах: описание диаграммы текстом (dsl)</t>
        </is>
      </c>
      <c r="G9" s="2" t="inlineStr">
        <is>
          <t>Страницы сайта, просмотр 01.10.2026</t>
        </is>
      </c>
      <c r="H9" s="2" t="n">
        <v>1</v>
      </c>
      <c r="I9" s="2" t="n">
        <v>3</v>
      </c>
      <c r="J9" s="2" t="n">
        <v>2</v>
      </c>
      <c r="K9" s="2" t="n">
        <v>5</v>
      </c>
      <c r="L9" s="2">
        <f>IF(OR(H9="",I9="",J9="",K9=""),"",ROUND(H9*((I9+J9)/6)*K9,2))</f>
        <v/>
      </c>
      <c r="M9" s="2">
        <f>IF(L9="","",IF(AND(L9&gt;=3.5,H9=1),"Сильный признак",IF(AND(L9&gt;=2,H9=1),"Рабочий признак",IF(H9=1,"Слабый признак","Отсутствует"))))</f>
        <v/>
      </c>
      <c r="N9" s="2" t="inlineStr">
        <is>
          <t>Конкурентная норма с высоким влиянием; включить в минимальный состав NotaCode</t>
        </is>
      </c>
    </row>
    <row r="10" ht="25.5" customHeight="1">
      <c r="A10" s="2" t="inlineStr">
        <is>
          <t>C01</t>
        </is>
      </c>
      <c r="B10" s="2" t="inlineStr">
        <is>
          <t>PlantUML</t>
        </is>
      </c>
      <c r="C10" s="2" t="inlineStr">
        <is>
          <t>https://plantuml.com/</t>
        </is>
      </c>
      <c r="D10" s="2" t="inlineStr">
        <is>
          <t>3. Ожидаемый товар</t>
        </is>
      </c>
      <c r="E10" s="2" t="inlineStr">
        <is>
          <t>Бесплатный доступ или Free-тариф</t>
        </is>
      </c>
      <c r="F10" s="2" t="inlineStr">
        <is>
          <t>Открытый код; раздел лицензирования на странице загрузки</t>
        </is>
      </c>
      <c r="G10" s="2" t="inlineStr">
        <is>
          <t>Страницы сайта, просмотр 01.10.2026</t>
        </is>
      </c>
      <c r="H10" s="2" t="n">
        <v>1</v>
      </c>
      <c r="I10" s="2" t="n">
        <v>3</v>
      </c>
      <c r="J10" s="2" t="n">
        <v>2</v>
      </c>
      <c r="K10" s="2" t="n">
        <v>5</v>
      </c>
      <c r="L10" s="2">
        <f>IF(OR(H10="",I10="",J10="",K10=""),"",ROUND(H10*((I10+J10)/6)*K10,2))</f>
        <v/>
      </c>
      <c r="M10" s="2">
        <f>IF(L10="","",IF(AND(L10&gt;=3.5,H10=1),"Сильный признак",IF(AND(L10&gt;=2,H10=1),"Рабочий признак",IF(H10=1,"Слабый признак","Отсутствует"))))</f>
        <v/>
      </c>
      <c r="N10" s="2" t="inlineStr">
        <is>
          <t>Конкурентная норма с высоким влиянием; включить в минимальный состав NotaCode</t>
        </is>
      </c>
    </row>
    <row r="11" ht="25.5" customHeight="1">
      <c r="A11" s="2" t="inlineStr">
        <is>
          <t>C01</t>
        </is>
      </c>
      <c r="B11" s="2" t="inlineStr">
        <is>
          <t>PlantUML</t>
        </is>
      </c>
      <c r="C11" s="2" t="inlineStr">
        <is>
          <t>https://plantuml.com/</t>
        </is>
      </c>
      <c r="D11" s="2" t="inlineStr">
        <is>
          <t>3. Ожидаемый товар</t>
        </is>
      </c>
      <c r="E11" s="2" t="inlineStr">
        <is>
          <t>Интеграции с другими сервисами</t>
        </is>
      </c>
      <c r="F11" s="2" t="inlineStr">
        <is>
          <t>Признак найден на просмотренных страницах: интеграции с другими сервисами</t>
        </is>
      </c>
      <c r="G11" s="2" t="inlineStr">
        <is>
          <t>Страницы сайта, просмотр 01.10.2026</t>
        </is>
      </c>
      <c r="H11" s="2" t="n">
        <v>1</v>
      </c>
      <c r="I11" s="2" t="n">
        <v>2</v>
      </c>
      <c r="J11" s="2" t="n">
        <v>2</v>
      </c>
      <c r="K11" s="2" t="n">
        <v>4</v>
      </c>
      <c r="L11" s="2">
        <f>IF(OR(H11="",I11="",J11="",K11=""),"",ROUND(H11*((I11+J11)/6)*K11,2))</f>
        <v/>
      </c>
      <c r="M11" s="2">
        <f>IF(L11="","",IF(AND(L11&gt;=3.5,H11=1),"Сильный признак",IF(AND(L11&gt;=2,H11=1),"Рабочий признак",IF(H11=1,"Слабый признак","Отсутствует"))))</f>
        <v/>
      </c>
      <c r="N11" s="2" t="inlineStr">
        <is>
          <t>Конкурентная норма с высоким влиянием; включить в минимальный состав NotaCode</t>
        </is>
      </c>
    </row>
    <row r="12" ht="25.5" customHeight="1">
      <c r="A12" s="2" t="inlineStr">
        <is>
          <t>C01</t>
        </is>
      </c>
      <c r="B12" s="2" t="inlineStr">
        <is>
          <t>PlantUML</t>
        </is>
      </c>
      <c r="C12" s="2" t="inlineStr">
        <is>
          <t>https://plantuml.com/</t>
        </is>
      </c>
      <c r="D12" s="2" t="inlineStr">
        <is>
          <t>4. Расширенный товар</t>
        </is>
      </c>
      <c r="E12" s="2" t="inlineStr">
        <is>
          <t>Открытый код и сообщество</t>
        </is>
      </c>
      <c r="F12" s="2" t="inlineStr">
        <is>
          <t>Признак найден на просмотренных страницах: открытый код и сообщество</t>
        </is>
      </c>
      <c r="G12" s="2" t="inlineStr">
        <is>
          <t>Страницы сайта, просмотр 01.10.2026</t>
        </is>
      </c>
      <c r="H12" s="2" t="n">
        <v>1</v>
      </c>
      <c r="I12" s="2" t="n">
        <v>2</v>
      </c>
      <c r="J12" s="2" t="n">
        <v>2</v>
      </c>
      <c r="K12" s="2" t="n">
        <v>4</v>
      </c>
      <c r="L12" s="2">
        <f>IF(OR(H12="",I12="",J12="",K12=""),"",ROUND(H12*((I12+J12)/6)*K12,2))</f>
        <v/>
      </c>
      <c r="M12" s="2">
        <f>IF(L12="","",IF(AND(L12&gt;=3.5,H12=1),"Сильный признак",IF(AND(L12&gt;=2,H12=1),"Рабочий признак",IF(H12=1,"Слабый признак","Отсутствует"))))</f>
        <v/>
      </c>
      <c r="N12" s="2" t="inlineStr">
        <is>
          <t>Конкурентная норма с высоким влиянием; включить в минимальный состав NotaCode</t>
        </is>
      </c>
    </row>
    <row r="13" ht="25.5" customHeight="1">
      <c r="A13" s="2" t="inlineStr">
        <is>
          <t>C01</t>
        </is>
      </c>
      <c r="B13" s="2" t="inlineStr">
        <is>
          <t>PlantUML</t>
        </is>
      </c>
      <c r="C13" s="2" t="inlineStr">
        <is>
          <t>https://plantuml.com/</t>
        </is>
      </c>
      <c r="D13" s="2" t="inlineStr">
        <is>
          <t>4. Расширенный товар</t>
        </is>
      </c>
      <c r="E13" s="2" t="inlineStr">
        <is>
          <t>Независимые отзывы и оценки</t>
        </is>
      </c>
      <c r="F13" s="2" t="inlineStr">
        <is>
          <t>Признак найден на просмотренных страницах: независимые отзывы и оценки</t>
        </is>
      </c>
      <c r="G13" s="2" t="inlineStr">
        <is>
          <t>Страницы сайта, просмотр 01.10.2026</t>
        </is>
      </c>
      <c r="H13" s="2" t="n">
        <v>1</v>
      </c>
      <c r="I13" s="2" t="n">
        <v>2</v>
      </c>
      <c r="J13" s="2" t="n">
        <v>2</v>
      </c>
      <c r="K13" s="2" t="n">
        <v>3</v>
      </c>
      <c r="L13" s="2">
        <f>IF(OR(H13="",I13="",J13="",K13=""),"",ROUND(H13*((I13+J13)/6)*K13,2))</f>
        <v/>
      </c>
      <c r="M13" s="2">
        <f>IF(L13="","",IF(AND(L13&gt;=3.5,H13=1),"Сильный признак",IF(AND(L13&gt;=2,H13=1),"Рабочий признак",IF(H13=1,"Слабый признак","Отсутствует"))))</f>
        <v/>
      </c>
      <c r="N13" s="2" t="inlineStr">
        <is>
          <t>Конкурентная норма с высоким влиянием; включить в минимальный состав NotaCode</t>
        </is>
      </c>
    </row>
    <row r="14" ht="25.5" customHeight="1">
      <c r="A14" s="2" t="inlineStr">
        <is>
          <t>C01</t>
        </is>
      </c>
      <c r="B14" s="2" t="inlineStr">
        <is>
          <t>PlantUML</t>
        </is>
      </c>
      <c r="C14" s="2" t="inlineStr">
        <is>
          <t>https://plantuml.com/</t>
        </is>
      </c>
      <c r="D14" s="2" t="inlineStr">
        <is>
          <t>3. Ожидаемый товар</t>
        </is>
      </c>
      <c r="E14" s="2" t="inlineStr">
        <is>
          <t>Экспорт диаграмм (PNG, SVG, PDF и др.)</t>
        </is>
      </c>
      <c r="F14" s="2" t="inlineStr">
        <is>
          <t>Признак найден на просмотренных страницах: экспорт диаграмм (png, svg, pdf и др.)</t>
        </is>
      </c>
      <c r="G14" s="2" t="inlineStr">
        <is>
          <t>Страницы сайта, просмотр 01.10.2026</t>
        </is>
      </c>
      <c r="H14" s="2" t="n">
        <v>1</v>
      </c>
      <c r="I14" s="2" t="n">
        <v>3</v>
      </c>
      <c r="J14" s="2" t="n">
        <v>2</v>
      </c>
      <c r="K14" s="2" t="n">
        <v>5</v>
      </c>
      <c r="L14" s="2">
        <f>IF(OR(H14="",I14="",J14="",K14=""),"",ROUND(H14*((I14+J14)/6)*K14,2))</f>
        <v/>
      </c>
      <c r="M14" s="2">
        <f>IF(L14="","",IF(AND(L14&gt;=3.5,H14=1),"Сильный признак",IF(AND(L14&gt;=2,H14=1),"Рабочий признак",IF(H14=1,"Слабый признак","Отсутствует"))))</f>
        <v/>
      </c>
      <c r="N14" s="2" t="inlineStr">
        <is>
          <t>Конкурентная норма с высоким влиянием; включить в минимальный состав NotaCode</t>
        </is>
      </c>
    </row>
    <row r="15" ht="25.5" customHeight="1">
      <c r="A15" s="2" t="inlineStr">
        <is>
          <t>C01</t>
        </is>
      </c>
      <c r="B15" s="2" t="inlineStr">
        <is>
          <t>PlantUML</t>
        </is>
      </c>
      <c r="C15" s="2" t="inlineStr">
        <is>
          <t>https://plantuml.com/</t>
        </is>
      </c>
      <c r="D15" s="2" t="inlineStr">
        <is>
          <t>3. Ожидаемый товар</t>
        </is>
      </c>
      <c r="E15" s="2" t="inlineStr">
        <is>
          <t>Документация и руководства</t>
        </is>
      </c>
      <c r="F15" s="2" t="inlineStr">
        <is>
          <t>Признак найден на просмотренных страницах: документация и руководства</t>
        </is>
      </c>
      <c r="G15" s="2" t="inlineStr">
        <is>
          <t>Страницы сайта, просмотр 01.10.2026</t>
        </is>
      </c>
      <c r="H15" s="2" t="n">
        <v>1</v>
      </c>
      <c r="I15" s="2" t="n">
        <v>3</v>
      </c>
      <c r="J15" s="2" t="n">
        <v>2</v>
      </c>
      <c r="K15" s="2" t="n">
        <v>4</v>
      </c>
      <c r="L15" s="2">
        <f>IF(OR(H15="",I15="",J15="",K15=""),"",ROUND(H15*((I15+J15)/6)*K15,2))</f>
        <v/>
      </c>
      <c r="M15" s="2">
        <f>IF(L15="","",IF(AND(L15&gt;=3.5,H15=1),"Сильный признак",IF(AND(L15&gt;=2,H15=1),"Рабочий признак",IF(H15=1,"Слабый признак","Отсутствует"))))</f>
        <v/>
      </c>
      <c r="N15" s="2" t="inlineStr">
        <is>
          <t>Конкурентная норма с высоким влиянием; включить в минимальный состав NotaCode</t>
        </is>
      </c>
    </row>
    <row r="16" ht="25.5" customHeight="1">
      <c r="A16" s="2" t="inlineStr">
        <is>
          <t>C01</t>
        </is>
      </c>
      <c r="B16" s="2" t="inlineStr">
        <is>
          <t>PlantUML</t>
        </is>
      </c>
      <c r="C16" s="2" t="inlineStr">
        <is>
          <t>https://plantuml.com/</t>
        </is>
      </c>
      <c r="D16" s="2" t="inlineStr">
        <is>
          <t>3. Ожидаемый товар</t>
        </is>
      </c>
      <c r="E16" s="2" t="inlineStr">
        <is>
          <t>Диаграммы UML</t>
        </is>
      </c>
      <c r="F16" s="2" t="inlineStr">
        <is>
          <t>Признак найден на просмотренных страницах: диаграммы uml</t>
        </is>
      </c>
      <c r="G16" s="2" t="inlineStr">
        <is>
          <t>Страницы сайта, просмотр 01.10.2026</t>
        </is>
      </c>
      <c r="H16" s="2" t="n">
        <v>1</v>
      </c>
      <c r="I16" s="2" t="n">
        <v>3</v>
      </c>
      <c r="J16" s="2" t="n">
        <v>2</v>
      </c>
      <c r="K16" s="2" t="n">
        <v>5</v>
      </c>
      <c r="L16" s="2">
        <f>IF(OR(H16="",I16="",J16="",K16=""),"",ROUND(H16*((I16+J16)/6)*K16,2))</f>
        <v/>
      </c>
      <c r="M16" s="2">
        <f>IF(L16="","",IF(AND(L16&gt;=3.5,H16=1),"Сильный признак",IF(AND(L16&gt;=2,H16=1),"Рабочий признак",IF(H16=1,"Слабый признак","Отсутствует"))))</f>
        <v/>
      </c>
      <c r="N16" s="2" t="inlineStr">
        <is>
          <t>Конкурентная норма с высоким влиянием; включить в минимальный состав NotaCode</t>
        </is>
      </c>
    </row>
    <row r="17" ht="25.5" customHeight="1">
      <c r="A17" s="2" t="inlineStr">
        <is>
          <t>C01</t>
        </is>
      </c>
      <c r="B17" s="2" t="inlineStr">
        <is>
          <t>PlantUML</t>
        </is>
      </c>
      <c r="C17" s="2" t="inlineStr">
        <is>
          <t>https://plantuml.com/</t>
        </is>
      </c>
      <c r="D17" s="2" t="inlineStr">
        <is>
          <t>4. Расширенный товар</t>
        </is>
      </c>
      <c r="E17" s="2" t="inlineStr">
        <is>
          <t>Диаграммы ERD</t>
        </is>
      </c>
      <c r="F17" s="2" t="inlineStr">
        <is>
          <t>Признак найден на просмотренных страницах: диаграммы erd</t>
        </is>
      </c>
      <c r="G17" s="2" t="inlineStr">
        <is>
          <t>Страницы сайта, просмотр 01.10.2026</t>
        </is>
      </c>
      <c r="H17" s="2" t="n">
        <v>1</v>
      </c>
      <c r="I17" s="2" t="n">
        <v>3</v>
      </c>
      <c r="J17" s="2" t="n">
        <v>2</v>
      </c>
      <c r="K17" s="2" t="n">
        <v>4</v>
      </c>
      <c r="L17" s="2">
        <f>IF(OR(H17="",I17="",J17="",K17=""),"",ROUND(H17*((I17+J17)/6)*K17,2))</f>
        <v/>
      </c>
      <c r="M17" s="2">
        <f>IF(L17="","",IF(AND(L17&gt;=3.5,H17=1),"Сильный признак",IF(AND(L17&gt;=2,H17=1),"Рабочий признак",IF(H17=1,"Слабый признак","Отсутствует"))))</f>
        <v/>
      </c>
      <c r="N17" s="2" t="inlineStr">
        <is>
          <t>Конкурентная норма с высоким влиянием; включить в минимальный состав NotaCode</t>
        </is>
      </c>
    </row>
    <row r="18" ht="25.5" customHeight="1">
      <c r="A18" s="2" t="inlineStr">
        <is>
          <t>C01</t>
        </is>
      </c>
      <c r="B18" s="2" t="inlineStr">
        <is>
          <t>PlantUML</t>
        </is>
      </c>
      <c r="C18" s="2" t="inlineStr">
        <is>
          <t>https://plantuml.com/</t>
        </is>
      </c>
      <c r="D18" s="2" t="inlineStr">
        <is>
          <t>4. Расширенный товар</t>
        </is>
      </c>
      <c r="E18" s="2" t="inlineStr">
        <is>
          <t>Развёртывание на своём сервере</t>
        </is>
      </c>
      <c r="F18" s="2" t="inlineStr">
        <is>
          <t>Признак найден на просмотренных страницах: развёртывание на своём сервере</t>
        </is>
      </c>
      <c r="G18" s="2" t="inlineStr">
        <is>
          <t>Страницы сайта, просмотр 01.10.2026</t>
        </is>
      </c>
      <c r="H18" s="2" t="n">
        <v>1</v>
      </c>
      <c r="I18" s="2" t="n">
        <v>2</v>
      </c>
      <c r="J18" s="2" t="n">
        <v>2</v>
      </c>
      <c r="K18" s="2" t="n">
        <v>3</v>
      </c>
      <c r="L18" s="2">
        <f>IF(OR(H18="",I18="",J18="",K18=""),"",ROUND(H18*((I18+J18)/6)*K18,2))</f>
        <v/>
      </c>
      <c r="M18" s="2">
        <f>IF(L18="","",IF(AND(L18&gt;=3.5,H18=1),"Сильный признак",IF(AND(L18&gt;=2,H18=1),"Рабочий признак",IF(H18=1,"Слабый признак","Отсутствует"))))</f>
        <v/>
      </c>
      <c r="N18" s="2" t="inlineStr">
        <is>
          <t>Конкурентная норма с высоким влиянием; включить в минимальный состав NotaCode</t>
        </is>
      </c>
    </row>
    <row r="19" ht="25.5" customHeight="1">
      <c r="A19" s="2" t="inlineStr">
        <is>
          <t>C01</t>
        </is>
      </c>
      <c r="B19" s="2" t="inlineStr">
        <is>
          <t>PlantUML</t>
        </is>
      </c>
      <c r="C19" s="2" t="inlineStr">
        <is>
          <t>https://plantuml.com/</t>
        </is>
      </c>
      <c r="D19" s="2" t="inlineStr">
        <is>
          <t>4. Расширенный товар</t>
        </is>
      </c>
      <c r="E19" s="2" t="inlineStr">
        <is>
          <t>Настольное приложение</t>
        </is>
      </c>
      <c r="F19" s="2" t="inlineStr">
        <is>
          <t>Признак найден на просмотренных страницах: настольное приложение</t>
        </is>
      </c>
      <c r="G19" s="2" t="inlineStr">
        <is>
          <t>Страницы сайта, просмотр 01.10.2026</t>
        </is>
      </c>
      <c r="H19" s="2" t="n">
        <v>1</v>
      </c>
      <c r="I19" s="2" t="n">
        <v>2</v>
      </c>
      <c r="J19" s="2" t="n">
        <v>2</v>
      </c>
      <c r="K19" s="2" t="n">
        <v>2</v>
      </c>
      <c r="L19" s="2">
        <f>IF(OR(H19="",I19="",J19="",K19=""),"",ROUND(H19*((I19+J19)/6)*K19,2))</f>
        <v/>
      </c>
      <c r="M19" s="2">
        <f>IF(L19="","",IF(AND(L19&gt;=3.5,H19=1),"Сильный признак",IF(AND(L19&gt;=2,H19=1),"Рабочий признак",IF(H19=1,"Слабый признак","Отсутствует"))))</f>
        <v/>
      </c>
      <c r="N19" s="2" t="inlineStr">
        <is>
          <t>Конкурентная норма с высоким влиянием; включить в минимальный состав NotaCode</t>
        </is>
      </c>
    </row>
    <row r="20" ht="25.5" customHeight="1">
      <c r="A20" s="2" t="inlineStr">
        <is>
          <t>C02</t>
        </is>
      </c>
      <c r="B20" s="2" t="inlineStr">
        <is>
          <t>Mermaid (библиотека)</t>
        </is>
      </c>
      <c r="C20" s="2" t="inlineStr">
        <is>
          <t>https://mermaid.js.org/</t>
        </is>
      </c>
      <c r="D20" s="2" t="inlineStr">
        <is>
          <t>1. Базовая выгода</t>
        </is>
      </c>
      <c r="E20" s="2" t="inlineStr">
        <is>
          <t>Основное обещание главной страницы</t>
        </is>
      </c>
      <c r="F20" s="2" t="inlineStr">
        <is>
          <t>«Create diagrams and visualizations using text and code»</t>
        </is>
      </c>
      <c r="G20" s="2" t="inlineStr">
        <is>
          <t>Главная страница, просмотр 01.10.2026</t>
        </is>
      </c>
      <c r="H20" s="2" t="n">
        <v>1</v>
      </c>
      <c r="I20" s="2" t="n">
        <v>3</v>
      </c>
      <c r="J20" s="2" t="n">
        <v>3</v>
      </c>
      <c r="K20" s="2" t="n">
        <v>5</v>
      </c>
      <c r="L20" s="2">
        <f>IF(OR(H20="",I20="",J20="",K20=""),"",ROUND(H20*((I20+J20)/6)*K20,2))</f>
        <v/>
      </c>
      <c r="M20" s="2">
        <f>IF(L20="","",IF(AND(L20&gt;=3.5,H20=1),"Сильный признак",IF(AND(L20&gt;=2,H20=1),"Рабочий признак",IF(H20=1,"Слабый признак","Отсутствует"))))</f>
        <v/>
      </c>
      <c r="N20" s="2" t="inlineStr">
        <is>
          <t>Конкурентная норма с высоким влиянием; включить в минимальный состав NotaCode</t>
        </is>
      </c>
    </row>
    <row r="21" ht="38.25" customHeight="1">
      <c r="A21" s="2" t="inlineStr">
        <is>
          <t>C02</t>
        </is>
      </c>
      <c r="B21" s="2" t="inlineStr">
        <is>
          <t>Mermaid (библиотека)</t>
        </is>
      </c>
      <c r="C21" s="2" t="inlineStr">
        <is>
          <t>https://mermaid.js.org/</t>
        </is>
      </c>
      <c r="D21" s="2" t="inlineStr">
        <is>
          <t>2. Родовой товар</t>
        </is>
      </c>
      <c r="E21" s="2" t="inlineStr">
        <is>
          <t>Форма поставки товара</t>
        </is>
      </c>
      <c r="F21" s="2" t="inlineStr">
        <is>
          <t>Текстовый DSL, открытый код: Диаграммы и визуализации из текста и кода (JavaScript-библиотека)</t>
        </is>
      </c>
      <c r="G21" s="2" t="inlineStr">
        <is>
          <t>Страницы сайта, ЛР1 табл. 42, ЛР4</t>
        </is>
      </c>
      <c r="H21" s="2" t="n">
        <v>1</v>
      </c>
      <c r="I21" s="2" t="n">
        <v>3</v>
      </c>
      <c r="J21" s="2" t="n">
        <v>3</v>
      </c>
      <c r="K21" s="2" t="n">
        <v>4</v>
      </c>
      <c r="L21" s="2">
        <f>IF(OR(H21="",I21="",J21="",K21=""),"",ROUND(H21*((I21+J21)/6)*K21,2))</f>
        <v/>
      </c>
      <c r="M21" s="2">
        <f>IF(L21="","",IF(AND(L21&gt;=3.5,H21=1),"Сильный признак",IF(AND(L21&gt;=2,H21=1),"Рабочий признак",IF(H21=1,"Слабый признак","Отсутствует"))))</f>
        <v/>
      </c>
      <c r="N21" s="2" t="inlineStr">
        <is>
          <t>Конкурентная норма с высоким влиянием; включить в минимальный состав NotaCode</t>
        </is>
      </c>
    </row>
    <row r="22" ht="25.5" customHeight="1">
      <c r="A22" s="2" t="inlineStr">
        <is>
          <t>C02</t>
        </is>
      </c>
      <c r="B22" s="2" t="inlineStr">
        <is>
          <t>Mermaid (библиотека)</t>
        </is>
      </c>
      <c r="C22" s="2" t="inlineStr">
        <is>
          <t>https://mermaid.js.org/</t>
        </is>
      </c>
      <c r="D22" s="2" t="inlineStr">
        <is>
          <t>2. Родовой товар</t>
        </is>
      </c>
      <c r="E22" s="2" t="inlineStr">
        <is>
          <t>Описание диаграммы текстом (DSL)</t>
        </is>
      </c>
      <c r="F22" s="2" t="inlineStr">
        <is>
          <t>Признак найден на просмотренных страницах: описание диаграммы текстом (dsl)</t>
        </is>
      </c>
      <c r="G22" s="2" t="inlineStr">
        <is>
          <t>Страницы сайта, просмотр 01.10.2026</t>
        </is>
      </c>
      <c r="H22" s="2" t="n">
        <v>1</v>
      </c>
      <c r="I22" s="2" t="n">
        <v>3</v>
      </c>
      <c r="J22" s="2" t="n">
        <v>2</v>
      </c>
      <c r="K22" s="2" t="n">
        <v>5</v>
      </c>
      <c r="L22" s="2">
        <f>IF(OR(H22="",I22="",J22="",K22=""),"",ROUND(H22*((I22+J22)/6)*K22,2))</f>
        <v/>
      </c>
      <c r="M22" s="2">
        <f>IF(L22="","",IF(AND(L22&gt;=3.5,H22=1),"Сильный признак",IF(AND(L22&gt;=2,H22=1),"Рабочий признак",IF(H22=1,"Слабый признак","Отсутствует"))))</f>
        <v/>
      </c>
      <c r="N22" s="2" t="inlineStr">
        <is>
          <t>Конкурентная норма с высоким влиянием; включить в минимальный состав NotaCode</t>
        </is>
      </c>
    </row>
    <row r="23" ht="25.5" customHeight="1">
      <c r="A23" s="2" t="inlineStr">
        <is>
          <t>C02</t>
        </is>
      </c>
      <c r="B23" s="2" t="inlineStr">
        <is>
          <t>Mermaid (библиотека)</t>
        </is>
      </c>
      <c r="C23" s="2" t="inlineStr">
        <is>
          <t>https://mermaid.js.org/</t>
        </is>
      </c>
      <c r="D23" s="2" t="inlineStr">
        <is>
          <t>3. Ожидаемый товар</t>
        </is>
      </c>
      <c r="E23" s="2" t="inlineStr">
        <is>
          <t>Бесплатный доступ или Free-тариф</t>
        </is>
      </c>
      <c r="F23" s="2" t="inlineStr">
        <is>
          <t>Открытый код (MIT); платные планы вынесены в Mermaid Chart</t>
        </is>
      </c>
      <c r="G23" s="2" t="inlineStr">
        <is>
          <t>Страницы сайта, просмотр 01.10.2026</t>
        </is>
      </c>
      <c r="H23" s="2" t="n">
        <v>1</v>
      </c>
      <c r="I23" s="2" t="n">
        <v>3</v>
      </c>
      <c r="J23" s="2" t="n">
        <v>2</v>
      </c>
      <c r="K23" s="2" t="n">
        <v>5</v>
      </c>
      <c r="L23" s="2">
        <f>IF(OR(H23="",I23="",J23="",K23=""),"",ROUND(H23*((I23+J23)/6)*K23,2))</f>
        <v/>
      </c>
      <c r="M23" s="2">
        <f>IF(L23="","",IF(AND(L23&gt;=3.5,H23=1),"Сильный признак",IF(AND(L23&gt;=2,H23=1),"Рабочий признак",IF(H23=1,"Слабый признак","Отсутствует"))))</f>
        <v/>
      </c>
      <c r="N23" s="2" t="inlineStr">
        <is>
          <t>Конкурентная норма с высоким влиянием; включить в минимальный состав NotaCode</t>
        </is>
      </c>
    </row>
    <row r="24" ht="25.5" customHeight="1">
      <c r="A24" s="2" t="inlineStr">
        <is>
          <t>C02</t>
        </is>
      </c>
      <c r="B24" s="2" t="inlineStr">
        <is>
          <t>Mermaid (библиотека)</t>
        </is>
      </c>
      <c r="C24" s="2" t="inlineStr">
        <is>
          <t>https://mermaid.js.org/</t>
        </is>
      </c>
      <c r="D24" s="2" t="inlineStr">
        <is>
          <t>3. Ожидаемый товар</t>
        </is>
      </c>
      <c r="E24" s="2" t="inlineStr">
        <is>
          <t>Интеграции с другими сервисами</t>
        </is>
      </c>
      <c r="F24" s="2" t="inlineStr">
        <is>
          <t>Признак найден на просмотренных страницах: интеграции с другими сервисами</t>
        </is>
      </c>
      <c r="G24" s="2" t="inlineStr">
        <is>
          <t>Страницы сайта, просмотр 01.10.2026</t>
        </is>
      </c>
      <c r="H24" s="2" t="n">
        <v>1</v>
      </c>
      <c r="I24" s="2" t="n">
        <v>2</v>
      </c>
      <c r="J24" s="2" t="n">
        <v>2</v>
      </c>
      <c r="K24" s="2" t="n">
        <v>4</v>
      </c>
      <c r="L24" s="2">
        <f>IF(OR(H24="",I24="",J24="",K24=""),"",ROUND(H24*((I24+J24)/6)*K24,2))</f>
        <v/>
      </c>
      <c r="M24" s="2">
        <f>IF(L24="","",IF(AND(L24&gt;=3.5,H24=1),"Сильный признак",IF(AND(L24&gt;=2,H24=1),"Рабочий признак",IF(H24=1,"Слабый признак","Отсутствует"))))</f>
        <v/>
      </c>
      <c r="N24" s="2" t="inlineStr">
        <is>
          <t>Конкурентная норма с высоким влиянием; включить в минимальный состав NotaCode</t>
        </is>
      </c>
    </row>
    <row r="25" ht="25.5" customHeight="1">
      <c r="A25" s="2" t="inlineStr">
        <is>
          <t>C02</t>
        </is>
      </c>
      <c r="B25" s="2" t="inlineStr">
        <is>
          <t>Mermaid (библиотека)</t>
        </is>
      </c>
      <c r="C25" s="2" t="inlineStr">
        <is>
          <t>https://mermaid.js.org/</t>
        </is>
      </c>
      <c r="D25" s="2" t="inlineStr">
        <is>
          <t>4. Расширенный товар</t>
        </is>
      </c>
      <c r="E25" s="2" t="inlineStr">
        <is>
          <t>API или платформа разработчика</t>
        </is>
      </c>
      <c r="F25" s="2" t="inlineStr">
        <is>
          <t>Признак найден на просмотренных страницах: api или платформа разработчика</t>
        </is>
      </c>
      <c r="G25" s="2" t="inlineStr">
        <is>
          <t>Страницы сайта, просмотр 01.10.2026</t>
        </is>
      </c>
      <c r="H25" s="2" t="n">
        <v>1</v>
      </c>
      <c r="I25" s="2" t="n">
        <v>3</v>
      </c>
      <c r="J25" s="2" t="n">
        <v>2</v>
      </c>
      <c r="K25" s="2" t="n">
        <v>3</v>
      </c>
      <c r="L25" s="2">
        <f>IF(OR(H25="",I25="",J25="",K25=""),"",ROUND(H25*((I25+J25)/6)*K25,2))</f>
        <v/>
      </c>
      <c r="M25" s="2">
        <f>IF(L25="","",IF(AND(L25&gt;=3.5,H25=1),"Сильный признак",IF(AND(L25&gt;=2,H25=1),"Рабочий признак",IF(H25=1,"Слабый признак","Отсутствует"))))</f>
        <v/>
      </c>
      <c r="N25" s="2" t="inlineStr">
        <is>
          <t>Конкурентная норма с высоким влиянием; включить в минимальный состав NotaCode</t>
        </is>
      </c>
    </row>
    <row r="26" ht="25.5" customHeight="1">
      <c r="A26" s="2" t="inlineStr">
        <is>
          <t>C02</t>
        </is>
      </c>
      <c r="B26" s="2" t="inlineStr">
        <is>
          <t>Mermaid (библиотека)</t>
        </is>
      </c>
      <c r="C26" s="2" t="inlineStr">
        <is>
          <t>https://mermaid.js.org/</t>
        </is>
      </c>
      <c r="D26" s="2" t="inlineStr">
        <is>
          <t>4. Расширенный товар</t>
        </is>
      </c>
      <c r="E26" s="2" t="inlineStr">
        <is>
          <t>Открытый код и сообщество</t>
        </is>
      </c>
      <c r="F26" s="2" t="inlineStr">
        <is>
          <t>Признак найден на просмотренных страницах: открытый код и сообщество</t>
        </is>
      </c>
      <c r="G26" s="2" t="inlineStr">
        <is>
          <t>Страницы сайта, просмотр 01.10.2026</t>
        </is>
      </c>
      <c r="H26" s="2" t="n">
        <v>1</v>
      </c>
      <c r="I26" s="2" t="n">
        <v>2</v>
      </c>
      <c r="J26" s="2" t="n">
        <v>2</v>
      </c>
      <c r="K26" s="2" t="n">
        <v>4</v>
      </c>
      <c r="L26" s="2">
        <f>IF(OR(H26="",I26="",J26="",K26=""),"",ROUND(H26*((I26+J26)/6)*K26,2))</f>
        <v/>
      </c>
      <c r="M26" s="2">
        <f>IF(L26="","",IF(AND(L26&gt;=3.5,H26=1),"Сильный признак",IF(AND(L26&gt;=2,H26=1),"Рабочий признак",IF(H26=1,"Слабый признак","Отсутствует"))))</f>
        <v/>
      </c>
      <c r="N26" s="2" t="inlineStr">
        <is>
          <t>Конкурентная норма с высоким влиянием; включить в минимальный состав NotaCode</t>
        </is>
      </c>
    </row>
    <row r="27" ht="25.5" customHeight="1">
      <c r="A27" s="2" t="inlineStr">
        <is>
          <t>C02</t>
        </is>
      </c>
      <c r="B27" s="2" t="inlineStr">
        <is>
          <t>Mermaid (библиотека)</t>
        </is>
      </c>
      <c r="C27" s="2" t="inlineStr">
        <is>
          <t>https://mermaid.js.org/</t>
        </is>
      </c>
      <c r="D27" s="2" t="inlineStr">
        <is>
          <t>4. Расширенный товар</t>
        </is>
      </c>
      <c r="E27" s="2" t="inlineStr">
        <is>
          <t>Независимые отзывы и оценки</t>
        </is>
      </c>
      <c r="F27" s="2" t="inlineStr">
        <is>
          <t>Признак найден на просмотренных страницах: независимые отзывы и оценки</t>
        </is>
      </c>
      <c r="G27" s="2" t="inlineStr">
        <is>
          <t>Страницы сайта, просмотр 01.10.2026</t>
        </is>
      </c>
      <c r="H27" s="2" t="n">
        <v>1</v>
      </c>
      <c r="I27" s="2" t="n">
        <v>2</v>
      </c>
      <c r="J27" s="2" t="n">
        <v>2</v>
      </c>
      <c r="K27" s="2" t="n">
        <v>3</v>
      </c>
      <c r="L27" s="2">
        <f>IF(OR(H27="",I27="",J27="",K27=""),"",ROUND(H27*((I27+J27)/6)*K27,2))</f>
        <v/>
      </c>
      <c r="M27" s="2">
        <f>IF(L27="","",IF(AND(L27&gt;=3.5,H27=1),"Сильный признак",IF(AND(L27&gt;=2,H27=1),"Рабочий признак",IF(H27=1,"Слабый признак","Отсутствует"))))</f>
        <v/>
      </c>
      <c r="N27" s="2" t="inlineStr">
        <is>
          <t>Конкурентная норма с высоким влиянием; включить в минимальный состав NotaCode</t>
        </is>
      </c>
    </row>
    <row r="28" ht="25.5" customHeight="1">
      <c r="A28" s="2" t="inlineStr">
        <is>
          <t>C02</t>
        </is>
      </c>
      <c r="B28" s="2" t="inlineStr">
        <is>
          <t>Mermaid (библиотека)</t>
        </is>
      </c>
      <c r="C28" s="2" t="inlineStr">
        <is>
          <t>https://mermaid.js.org/</t>
        </is>
      </c>
      <c r="D28" s="2" t="inlineStr">
        <is>
          <t>3. Ожидаемый товар</t>
        </is>
      </c>
      <c r="E28" s="2" t="inlineStr">
        <is>
          <t>Экспорт диаграмм (PNG, SVG, PDF и др.)</t>
        </is>
      </c>
      <c r="F28" s="2" t="inlineStr">
        <is>
          <t>Признак найден на просмотренных страницах: экспорт диаграмм (png, svg, pdf и др.)</t>
        </is>
      </c>
      <c r="G28" s="2" t="inlineStr">
        <is>
          <t>Страницы сайта, просмотр 01.10.2026</t>
        </is>
      </c>
      <c r="H28" s="2" t="n">
        <v>1</v>
      </c>
      <c r="I28" s="2" t="n">
        <v>3</v>
      </c>
      <c r="J28" s="2" t="n">
        <v>2</v>
      </c>
      <c r="K28" s="2" t="n">
        <v>5</v>
      </c>
      <c r="L28" s="2">
        <f>IF(OR(H28="",I28="",J28="",K28=""),"",ROUND(H28*((I28+J28)/6)*K28,2))</f>
        <v/>
      </c>
      <c r="M28" s="2">
        <f>IF(L28="","",IF(AND(L28&gt;=3.5,H28=1),"Сильный признак",IF(AND(L28&gt;=2,H28=1),"Рабочий признак",IF(H28=1,"Слабый признак","Отсутствует"))))</f>
        <v/>
      </c>
      <c r="N28" s="2" t="inlineStr">
        <is>
          <t>Конкурентная норма с высоким влиянием; включить в минимальный состав NotaCode</t>
        </is>
      </c>
    </row>
    <row r="29" ht="25.5" customHeight="1">
      <c r="A29" s="2" t="inlineStr">
        <is>
          <t>C02</t>
        </is>
      </c>
      <c r="B29" s="2" t="inlineStr">
        <is>
          <t>Mermaid (библиотека)</t>
        </is>
      </c>
      <c r="C29" s="2" t="inlineStr">
        <is>
          <t>https://mermaid.js.org/</t>
        </is>
      </c>
      <c r="D29" s="2" t="inlineStr">
        <is>
          <t>3. Ожидаемый товар</t>
        </is>
      </c>
      <c r="E29" s="2" t="inlineStr">
        <is>
          <t>Документация и руководства</t>
        </is>
      </c>
      <c r="F29" s="2" t="inlineStr">
        <is>
          <t>Признак найден на просмотренных страницах: документация и руководства</t>
        </is>
      </c>
      <c r="G29" s="2" t="inlineStr">
        <is>
          <t>Страницы сайта, просмотр 01.10.2026</t>
        </is>
      </c>
      <c r="H29" s="2" t="n">
        <v>1</v>
      </c>
      <c r="I29" s="2" t="n">
        <v>3</v>
      </c>
      <c r="J29" s="2" t="n">
        <v>2</v>
      </c>
      <c r="K29" s="2" t="n">
        <v>4</v>
      </c>
      <c r="L29" s="2">
        <f>IF(OR(H29="",I29="",J29="",K29=""),"",ROUND(H29*((I29+J29)/6)*K29,2))</f>
        <v/>
      </c>
      <c r="M29" s="2">
        <f>IF(L29="","",IF(AND(L29&gt;=3.5,H29=1),"Сильный признак",IF(AND(L29&gt;=2,H29=1),"Рабочий признак",IF(H29=1,"Слабый признак","Отсутствует"))))</f>
        <v/>
      </c>
      <c r="N29" s="2" t="inlineStr">
        <is>
          <t>Конкурентная норма с высоким влиянием; включить в минимальный состав NotaCode</t>
        </is>
      </c>
    </row>
    <row r="30" ht="25.5" customHeight="1">
      <c r="A30" s="2" t="inlineStr">
        <is>
          <t>C02</t>
        </is>
      </c>
      <c r="B30" s="2" t="inlineStr">
        <is>
          <t>Mermaid (библиотека)</t>
        </is>
      </c>
      <c r="C30" s="2" t="inlineStr">
        <is>
          <t>https://mermaid.js.org/</t>
        </is>
      </c>
      <c r="D30" s="2" t="inlineStr">
        <is>
          <t>3. Ожидаемый товар</t>
        </is>
      </c>
      <c r="E30" s="2" t="inlineStr">
        <is>
          <t>Диаграммы UML</t>
        </is>
      </c>
      <c r="F30" s="2" t="inlineStr">
        <is>
          <t>Признак найден на просмотренных страницах: диаграммы uml</t>
        </is>
      </c>
      <c r="G30" s="2" t="inlineStr">
        <is>
          <t>Страницы сайта, просмотр 01.10.2026</t>
        </is>
      </c>
      <c r="H30" s="2" t="n">
        <v>1</v>
      </c>
      <c r="I30" s="2" t="n">
        <v>3</v>
      </c>
      <c r="J30" s="2" t="n">
        <v>2</v>
      </c>
      <c r="K30" s="2" t="n">
        <v>5</v>
      </c>
      <c r="L30" s="2">
        <f>IF(OR(H30="",I30="",J30="",K30=""),"",ROUND(H30*((I30+J30)/6)*K30,2))</f>
        <v/>
      </c>
      <c r="M30" s="2">
        <f>IF(L30="","",IF(AND(L30&gt;=3.5,H30=1),"Сильный признак",IF(AND(L30&gt;=2,H30=1),"Рабочий признак",IF(H30=1,"Слабый признак","Отсутствует"))))</f>
        <v/>
      </c>
      <c r="N30" s="2" t="inlineStr">
        <is>
          <t>Конкурентная норма с высоким влиянием; включить в минимальный состав NotaCode</t>
        </is>
      </c>
    </row>
    <row r="31" ht="25.5" customHeight="1">
      <c r="A31" s="2" t="inlineStr">
        <is>
          <t>C02</t>
        </is>
      </c>
      <c r="B31" s="2" t="inlineStr">
        <is>
          <t>Mermaid (библиотека)</t>
        </is>
      </c>
      <c r="C31" s="2" t="inlineStr">
        <is>
          <t>https://mermaid.js.org/</t>
        </is>
      </c>
      <c r="D31" s="2" t="inlineStr">
        <is>
          <t>4. Расширенный товар</t>
        </is>
      </c>
      <c r="E31" s="2" t="inlineStr">
        <is>
          <t>Диаграммы ERD</t>
        </is>
      </c>
      <c r="F31" s="2" t="inlineStr">
        <is>
          <t>Признак найден на просмотренных страницах: диаграммы erd</t>
        </is>
      </c>
      <c r="G31" s="2" t="inlineStr">
        <is>
          <t>Страницы сайта, просмотр 01.10.2026</t>
        </is>
      </c>
      <c r="H31" s="2" t="n">
        <v>1</v>
      </c>
      <c r="I31" s="2" t="n">
        <v>3</v>
      </c>
      <c r="J31" s="2" t="n">
        <v>2</v>
      </c>
      <c r="K31" s="2" t="n">
        <v>4</v>
      </c>
      <c r="L31" s="2">
        <f>IF(OR(H31="",I31="",J31="",K31=""),"",ROUND(H31*((I31+J31)/6)*K31,2))</f>
        <v/>
      </c>
      <c r="M31" s="2">
        <f>IF(L31="","",IF(AND(L31&gt;=3.5,H31=1),"Сильный признак",IF(AND(L31&gt;=2,H31=1),"Рабочий признак",IF(H31=1,"Слабый признак","Отсутствует"))))</f>
        <v/>
      </c>
      <c r="N31" s="2" t="inlineStr">
        <is>
          <t>Конкурентная норма с высоким влиянием; включить в минимальный состав NotaCode</t>
        </is>
      </c>
    </row>
    <row r="32" ht="25.5" customHeight="1">
      <c r="A32" s="2" t="inlineStr">
        <is>
          <t>C02</t>
        </is>
      </c>
      <c r="B32" s="2" t="inlineStr">
        <is>
          <t>Mermaid (библиотека)</t>
        </is>
      </c>
      <c r="C32" s="2" t="inlineStr">
        <is>
          <t>https://mermaid.js.org/</t>
        </is>
      </c>
      <c r="D32" s="2" t="inlineStr">
        <is>
          <t>4. Расширенный товар</t>
        </is>
      </c>
      <c r="E32" s="2" t="inlineStr">
        <is>
          <t>Развёртывание на своём сервере</t>
        </is>
      </c>
      <c r="F32" s="2" t="inlineStr">
        <is>
          <t>Признак найден на просмотренных страницах: развёртывание на своём сервере</t>
        </is>
      </c>
      <c r="G32" s="2" t="inlineStr">
        <is>
          <t>Страницы сайта, просмотр 01.10.2026</t>
        </is>
      </c>
      <c r="H32" s="2" t="n">
        <v>1</v>
      </c>
      <c r="I32" s="2" t="n">
        <v>2</v>
      </c>
      <c r="J32" s="2" t="n">
        <v>2</v>
      </c>
      <c r="K32" s="2" t="n">
        <v>3</v>
      </c>
      <c r="L32" s="2">
        <f>IF(OR(H32="",I32="",J32="",K32=""),"",ROUND(H32*((I32+J32)/6)*K32,2))</f>
        <v/>
      </c>
      <c r="M32" s="2">
        <f>IF(L32="","",IF(AND(L32&gt;=3.5,H32=1),"Сильный признак",IF(AND(L32&gt;=2,H32=1),"Рабочий признак",IF(H32=1,"Слабый признак","Отсутствует"))))</f>
        <v/>
      </c>
      <c r="N32" s="2" t="inlineStr">
        <is>
          <t>Конкурентная норма с высоким влиянием; включить в минимальный состав NotaCode</t>
        </is>
      </c>
    </row>
    <row r="33" ht="25.5" customHeight="1">
      <c r="A33" s="2" t="inlineStr">
        <is>
          <t>C03</t>
        </is>
      </c>
      <c r="B33" s="2" t="inlineStr">
        <is>
          <t>Mermaid Chart</t>
        </is>
      </c>
      <c r="C33" s="2" t="inlineStr">
        <is>
          <t>https://www.mermaidchart.com/</t>
        </is>
      </c>
      <c r="D33" s="2" t="inlineStr">
        <is>
          <t>1. Базовая выгода</t>
        </is>
      </c>
      <c r="E33" s="2" t="inlineStr">
        <is>
          <t>Основное обещание главной страницы</t>
        </is>
      </c>
      <c r="F33" s="2" t="inlineStr">
        <is>
          <t>«Create diagrams, flowcharts, and documentation with Mermaid»; «You already think in systems»</t>
        </is>
      </c>
      <c r="G33" s="2" t="inlineStr">
        <is>
          <t>Главная страница, просмотр 01.10.2026</t>
        </is>
      </c>
      <c r="H33" s="2" t="n">
        <v>1</v>
      </c>
      <c r="I33" s="2" t="n">
        <v>3</v>
      </c>
      <c r="J33" s="2" t="n">
        <v>3</v>
      </c>
      <c r="K33" s="2" t="n">
        <v>5</v>
      </c>
      <c r="L33" s="2">
        <f>IF(OR(H33="",I33="",J33="",K33=""),"",ROUND(H33*((I33+J33)/6)*K33,2))</f>
        <v/>
      </c>
      <c r="M33" s="2">
        <f>IF(L33="","",IF(AND(L33&gt;=3.5,H33=1),"Сильный признак",IF(AND(L33&gt;=2,H33=1),"Рабочий признак",IF(H33=1,"Слабый признак","Отсутствует"))))</f>
        <v/>
      </c>
      <c r="N33" s="2" t="inlineStr">
        <is>
          <t>Конкурентная норма с высоким влиянием; включить в минимальный состав NotaCode</t>
        </is>
      </c>
    </row>
    <row r="34" ht="38.25" customHeight="1">
      <c r="A34" s="2" t="inlineStr">
        <is>
          <t>C03</t>
        </is>
      </c>
      <c r="B34" s="2" t="inlineStr">
        <is>
          <t>Mermaid Chart</t>
        </is>
      </c>
      <c r="C34" s="2" t="inlineStr">
        <is>
          <t>https://www.mermaidchart.com/</t>
        </is>
      </c>
      <c r="D34" s="2" t="inlineStr">
        <is>
          <t>2. Родовой товар</t>
        </is>
      </c>
      <c r="E34" s="2" t="inlineStr">
        <is>
          <t>Форма поставки товара</t>
        </is>
      </c>
      <c r="F34" s="2" t="inlineStr">
        <is>
          <t>Облачный сервис на основе Mermaid: Облачный редактор диаграмм Mermaid с тарифами Free, Plus, Premium</t>
        </is>
      </c>
      <c r="G34" s="2" t="inlineStr">
        <is>
          <t>Страницы сайта, ЛР1 табл. 42, ЛР4</t>
        </is>
      </c>
      <c r="H34" s="2" t="n">
        <v>1</v>
      </c>
      <c r="I34" s="2" t="n">
        <v>3</v>
      </c>
      <c r="J34" s="2" t="n">
        <v>3</v>
      </c>
      <c r="K34" s="2" t="n">
        <v>4</v>
      </c>
      <c r="L34" s="2">
        <f>IF(OR(H34="",I34="",J34="",K34=""),"",ROUND(H34*((I34+J34)/6)*K34,2))</f>
        <v/>
      </c>
      <c r="M34" s="2">
        <f>IF(L34="","",IF(AND(L34&gt;=3.5,H34=1),"Сильный признак",IF(AND(L34&gt;=2,H34=1),"Рабочий признак",IF(H34=1,"Слабый признак","Отсутствует"))))</f>
        <v/>
      </c>
      <c r="N34" s="2" t="inlineStr">
        <is>
          <t>Конкурентная норма с высоким влиянием; включить в минимальный состав NotaCode</t>
        </is>
      </c>
    </row>
    <row r="35" ht="25.5" customHeight="1">
      <c r="A35" s="2" t="inlineStr">
        <is>
          <t>C03</t>
        </is>
      </c>
      <c r="B35" s="2" t="inlineStr">
        <is>
          <t>Mermaid Chart</t>
        </is>
      </c>
      <c r="C35" s="2" t="inlineStr">
        <is>
          <t>https://www.mermaidchart.com/</t>
        </is>
      </c>
      <c r="D35" s="2" t="inlineStr">
        <is>
          <t>2. Родовой товар</t>
        </is>
      </c>
      <c r="E35" s="2" t="inlineStr">
        <is>
          <t>Описание диаграммы текстом (DSL)</t>
        </is>
      </c>
      <c r="F35" s="2" t="inlineStr">
        <is>
          <t>Признак найден на просмотренных страницах: описание диаграммы текстом (dsl)</t>
        </is>
      </c>
      <c r="G35" s="2" t="inlineStr">
        <is>
          <t>Страницы сайта, просмотр 01.10.2026</t>
        </is>
      </c>
      <c r="H35" s="2" t="n">
        <v>1</v>
      </c>
      <c r="I35" s="2" t="n">
        <v>3</v>
      </c>
      <c r="J35" s="2" t="n">
        <v>3</v>
      </c>
      <c r="K35" s="2" t="n">
        <v>5</v>
      </c>
      <c r="L35" s="2">
        <f>IF(OR(H35="",I35="",J35="",K35=""),"",ROUND(H35*((I35+J35)/6)*K35,2))</f>
        <v/>
      </c>
      <c r="M35" s="2">
        <f>IF(L35="","",IF(AND(L35&gt;=3.5,H35=1),"Сильный признак",IF(AND(L35&gt;=2,H35=1),"Рабочий признак",IF(H35=1,"Слабый признак","Отсутствует"))))</f>
        <v/>
      </c>
      <c r="N35" s="2" t="inlineStr">
        <is>
          <t>Конкурентная норма с высоким влиянием; включить в минимальный состав NotaCode</t>
        </is>
      </c>
    </row>
    <row r="36">
      <c r="A36" s="2" t="inlineStr">
        <is>
          <t>C03</t>
        </is>
      </c>
      <c r="B36" s="2" t="inlineStr">
        <is>
          <t>Mermaid Chart</t>
        </is>
      </c>
      <c r="C36" s="2" t="inlineStr">
        <is>
          <t>https://mermaid.ai/pricing/</t>
        </is>
      </c>
      <c r="D36" s="2" t="inlineStr">
        <is>
          <t>3. Ожидаемый товар</t>
        </is>
      </c>
      <c r="E36" s="2" t="inlineStr">
        <is>
          <t>Бесплатный доступ или Free-тариф</t>
        </is>
      </c>
      <c r="F36" s="2" t="inlineStr">
        <is>
          <t>Basic Free: до 6 диаграмм, 15 ИИ-кредитов</t>
        </is>
      </c>
      <c r="G36" s="2" t="inlineStr">
        <is>
          <t>Страницы сайта, просмотр 01.10.2026</t>
        </is>
      </c>
      <c r="H36" s="2" t="n">
        <v>1</v>
      </c>
      <c r="I36" s="2" t="n">
        <v>3</v>
      </c>
      <c r="J36" s="2" t="n">
        <v>3</v>
      </c>
      <c r="K36" s="2" t="n">
        <v>5</v>
      </c>
      <c r="L36" s="2">
        <f>IF(OR(H36="",I36="",J36="",K36=""),"",ROUND(H36*((I36+J36)/6)*K36,2))</f>
        <v/>
      </c>
      <c r="M36" s="2">
        <f>IF(L36="","",IF(AND(L36&gt;=3.5,H36=1),"Сильный признак",IF(AND(L36&gt;=2,H36=1),"Рабочий признак",IF(H36=1,"Слабый признак","Отсутствует"))))</f>
        <v/>
      </c>
      <c r="N36" s="2" t="inlineStr">
        <is>
          <t>Конкурентная норма с высоким влиянием; включить в минимальный состав NotaCode</t>
        </is>
      </c>
    </row>
    <row r="37" ht="25.5" customHeight="1">
      <c r="A37" s="2" t="inlineStr">
        <is>
          <t>C03</t>
        </is>
      </c>
      <c r="B37" s="2" t="inlineStr">
        <is>
          <t>Mermaid Chart</t>
        </is>
      </c>
      <c r="C37" s="2" t="inlineStr">
        <is>
          <t>https://mermaid.ai/pricing/</t>
        </is>
      </c>
      <c r="D37" s="2" t="inlineStr">
        <is>
          <t>3. Ожидаемый товар</t>
        </is>
      </c>
      <c r="E37" s="2" t="inlineStr">
        <is>
          <t>Платная подписка по тарифным уровням</t>
        </is>
      </c>
      <c r="F37" s="2" t="inlineStr">
        <is>
          <t>Plus 10 у.е., Premium 20 у.е. за пользователя в месяц при оплате за год</t>
        </is>
      </c>
      <c r="G37" s="2" t="inlineStr">
        <is>
          <t>Страницы сайта, просмотр 01.10.2026</t>
        </is>
      </c>
      <c r="H37" s="2" t="n">
        <v>1</v>
      </c>
      <c r="I37" s="2" t="n">
        <v>3</v>
      </c>
      <c r="J37" s="2" t="n">
        <v>3</v>
      </c>
      <c r="K37" s="2" t="n">
        <v>4</v>
      </c>
      <c r="L37" s="2">
        <f>IF(OR(H37="",I37="",J37="",K37=""),"",ROUND(H37*((I37+J37)/6)*K37,2))</f>
        <v/>
      </c>
      <c r="M37" s="2">
        <f>IF(L37="","",IF(AND(L37&gt;=3.5,H37=1),"Сильный признак",IF(AND(L37&gt;=2,H37=1),"Рабочий признак",IF(H37=1,"Слабый признак","Отсутствует"))))</f>
        <v/>
      </c>
      <c r="N37" s="2" t="inlineStr">
        <is>
          <t>Конкурентная норма с высоким влиянием; включить в минимальный состав NotaCode</t>
        </is>
      </c>
    </row>
    <row r="38" ht="25.5" customHeight="1">
      <c r="A38" s="2" t="inlineStr">
        <is>
          <t>C03</t>
        </is>
      </c>
      <c r="B38" s="2" t="inlineStr">
        <is>
          <t>Mermaid Chart</t>
        </is>
      </c>
      <c r="C38" s="2" t="inlineStr">
        <is>
          <t>https://mermaid.ai/pricing/</t>
        </is>
      </c>
      <c r="D38" s="2" t="inlineStr">
        <is>
          <t>3. Ожидаемый товар</t>
        </is>
      </c>
      <c r="E38" s="2" t="inlineStr">
        <is>
          <t>Открытая страница тарифов</t>
        </is>
      </c>
      <c r="F38" s="2" t="inlineStr">
        <is>
          <t>Признак найден на просмотренных страницах: открытая страница тарифов</t>
        </is>
      </c>
      <c r="G38" s="2" t="inlineStr">
        <is>
          <t>Страницы сайта, просмотр 01.10.2026</t>
        </is>
      </c>
      <c r="H38" s="2" t="n">
        <v>1</v>
      </c>
      <c r="I38" s="2" t="n">
        <v>3</v>
      </c>
      <c r="J38" s="2" t="n">
        <v>3</v>
      </c>
      <c r="K38" s="2" t="n">
        <v>5</v>
      </c>
      <c r="L38" s="2">
        <f>IF(OR(H38="",I38="",J38="",K38=""),"",ROUND(H38*((I38+J38)/6)*K38,2))</f>
        <v/>
      </c>
      <c r="M38" s="2">
        <f>IF(L38="","",IF(AND(L38&gt;=3.5,H38=1),"Сильный признак",IF(AND(L38&gt;=2,H38=1),"Рабочий признак",IF(H38=1,"Слабый признак","Отсутствует"))))</f>
        <v/>
      </c>
      <c r="N38" s="2" t="inlineStr">
        <is>
          <t>Конкурентная норма с высоким влиянием; включить в минимальный состав NotaCode</t>
        </is>
      </c>
    </row>
    <row r="39" ht="25.5" customHeight="1">
      <c r="A39" s="2" t="inlineStr">
        <is>
          <t>C03</t>
        </is>
      </c>
      <c r="B39" s="2" t="inlineStr">
        <is>
          <t>Mermaid Chart</t>
        </is>
      </c>
      <c r="C39" s="2" t="inlineStr">
        <is>
          <t>https://mermaid.ai/pricing/</t>
        </is>
      </c>
      <c r="D39" s="2" t="inlineStr">
        <is>
          <t>4. Расширенный товар</t>
        </is>
      </c>
      <c r="E39" s="2" t="inlineStr">
        <is>
          <t>Корпоративный тариф (Enterprise или on-prem)</t>
        </is>
      </c>
      <c r="F39" s="2" t="inlineStr">
        <is>
          <t>Признак найден на просмотренных страницах: корпоративный тариф (enterprise или on-prem)</t>
        </is>
      </c>
      <c r="G39" s="2" t="inlineStr">
        <is>
          <t>Страницы сайта, просмотр 01.10.2026</t>
        </is>
      </c>
      <c r="H39" s="2" t="n">
        <v>1</v>
      </c>
      <c r="I39" s="2" t="n">
        <v>3</v>
      </c>
      <c r="J39" s="2" t="n">
        <v>3</v>
      </c>
      <c r="K39" s="2" t="n">
        <v>2</v>
      </c>
      <c r="L39" s="2">
        <f>IF(OR(H39="",I39="",J39="",K39=""),"",ROUND(H39*((I39+J39)/6)*K39,2))</f>
        <v/>
      </c>
      <c r="M39" s="2">
        <f>IF(L39="","",IF(AND(L39&gt;=3.5,H39=1),"Сильный признак",IF(AND(L39&gt;=2,H39=1),"Рабочий признак",IF(H39=1,"Слабый признак","Отсутствует"))))</f>
        <v/>
      </c>
      <c r="N39" s="2" t="inlineStr">
        <is>
          <t>Конкурентная норма с высоким влиянием; включить в минимальный состав NotaCode</t>
        </is>
      </c>
    </row>
    <row r="40" ht="25.5" customHeight="1">
      <c r="A40" s="2" t="inlineStr">
        <is>
          <t>C03</t>
        </is>
      </c>
      <c r="B40" s="2" t="inlineStr">
        <is>
          <t>Mermaid Chart</t>
        </is>
      </c>
      <c r="C40" s="2" t="inlineStr">
        <is>
          <t>https://mermaid.ai/pricing/</t>
        </is>
      </c>
      <c r="D40" s="2" t="inlineStr">
        <is>
          <t>3. Ожидаемый товар</t>
        </is>
      </c>
      <c r="E40" s="2" t="inlineStr">
        <is>
          <t>Скидка или цена при годовой оплате</t>
        </is>
      </c>
      <c r="F40" s="2" t="inlineStr">
        <is>
          <t>Признак найден на просмотренных страницах: скидка или цена при годовой оплате</t>
        </is>
      </c>
      <c r="G40" s="2" t="inlineStr">
        <is>
          <t>Страницы сайта, просмотр 01.10.2026</t>
        </is>
      </c>
      <c r="H40" s="2" t="n">
        <v>1</v>
      </c>
      <c r="I40" s="2" t="n">
        <v>3</v>
      </c>
      <c r="J40" s="2" t="n">
        <v>3</v>
      </c>
      <c r="K40" s="2" t="n">
        <v>3</v>
      </c>
      <c r="L40" s="2">
        <f>IF(OR(H40="",I40="",J40="",K40=""),"",ROUND(H40*((I40+J40)/6)*K40,2))</f>
        <v/>
      </c>
      <c r="M40" s="2">
        <f>IF(L40="","",IF(AND(L40&gt;=3.5,H40=1),"Сильный признак",IF(AND(L40&gt;=2,H40=1),"Рабочий признак",IF(H40=1,"Слабый признак","Отсутствует"))))</f>
        <v/>
      </c>
      <c r="N40" s="2" t="inlineStr">
        <is>
          <t>Конкурентная норма с высоким влиянием; включить в минимальный состав NotaCode</t>
        </is>
      </c>
    </row>
    <row r="41">
      <c r="A41" s="2" t="inlineStr">
        <is>
          <t>C03</t>
        </is>
      </c>
      <c r="B41" s="2" t="inlineStr">
        <is>
          <t>Mermaid Chart</t>
        </is>
      </c>
      <c r="C41" s="2" t="inlineStr">
        <is>
          <t>https://mermaid.ai/pricing/</t>
        </is>
      </c>
      <c r="D41" s="2" t="inlineStr">
        <is>
          <t>4. Расширенный товар</t>
        </is>
      </c>
      <c r="E41" s="2" t="inlineStr">
        <is>
          <t>Бесплатные гости или зрители</t>
        </is>
      </c>
      <c r="F41" s="2" t="inlineStr">
        <is>
          <t>Unlimited free viewer seats в Premium</t>
        </is>
      </c>
      <c r="G41" s="2" t="inlineStr">
        <is>
          <t>Страницы сайта, просмотр 01.10.2026</t>
        </is>
      </c>
      <c r="H41" s="2" t="n">
        <v>1</v>
      </c>
      <c r="I41" s="2" t="n">
        <v>3</v>
      </c>
      <c r="J41" s="2" t="n">
        <v>3</v>
      </c>
      <c r="K41" s="2" t="n">
        <v>3</v>
      </c>
      <c r="L41" s="2">
        <f>IF(OR(H41="",I41="",J41="",K41=""),"",ROUND(H41*((I41+J41)/6)*K41,2))</f>
        <v/>
      </c>
      <c r="M41" s="2">
        <f>IF(L41="","",IF(AND(L41&gt;=3.5,H41=1),"Сильный признак",IF(AND(L41&gt;=2,H41=1),"Рабочий признак",IF(H41=1,"Слабый признак","Отсутствует"))))</f>
        <v/>
      </c>
      <c r="N41" s="2" t="inlineStr">
        <is>
          <t>Конкурентная норма с высоким влиянием; включить в минимальный состав NotaCode</t>
        </is>
      </c>
    </row>
    <row r="42" ht="25.5" customHeight="1">
      <c r="A42" s="2" t="inlineStr">
        <is>
          <t>C03</t>
        </is>
      </c>
      <c r="B42" s="2" t="inlineStr">
        <is>
          <t>Mermaid Chart</t>
        </is>
      </c>
      <c r="C42" s="2" t="inlineStr">
        <is>
          <t>https://www.mermaidchart.com/</t>
        </is>
      </c>
      <c r="D42" s="2" t="inlineStr">
        <is>
          <t>4. Расширенный товар</t>
        </is>
      </c>
      <c r="E42" s="2" t="inlineStr">
        <is>
          <t>ИИ-генерация или ИИ-помощник</t>
        </is>
      </c>
      <c r="F42" s="2" t="inlineStr">
        <is>
          <t>ИИ-кредиты: 15 (Basic), 300 (Plus), 2 000 в год (Premium)</t>
        </is>
      </c>
      <c r="G42" s="2" t="inlineStr">
        <is>
          <t>Страницы сайта, просмотр 01.10.2026</t>
        </is>
      </c>
      <c r="H42" s="2" t="n">
        <v>1</v>
      </c>
      <c r="I42" s="2" t="n">
        <v>3</v>
      </c>
      <c r="J42" s="2" t="n">
        <v>3</v>
      </c>
      <c r="K42" s="2" t="n">
        <v>4</v>
      </c>
      <c r="L42" s="2">
        <f>IF(OR(H42="",I42="",J42="",K42=""),"",ROUND(H42*((I42+J42)/6)*K42,2))</f>
        <v/>
      </c>
      <c r="M42" s="2">
        <f>IF(L42="","",IF(AND(L42&gt;=3.5,H42=1),"Сильный признак",IF(AND(L42&gt;=2,H42=1),"Рабочий признак",IF(H42=1,"Слабый признак","Отсутствует"))))</f>
        <v/>
      </c>
      <c r="N42" s="2" t="inlineStr">
        <is>
          <t>Конкурентная норма с высоким влиянием; включить в минимальный состав NotaCode</t>
        </is>
      </c>
    </row>
    <row r="43" ht="25.5" customHeight="1">
      <c r="A43" s="2" t="inlineStr">
        <is>
          <t>C03</t>
        </is>
      </c>
      <c r="B43" s="2" t="inlineStr">
        <is>
          <t>Mermaid Chart</t>
        </is>
      </c>
      <c r="C43" s="2" t="inlineStr">
        <is>
          <t>https://www.mermaidchart.com/</t>
        </is>
      </c>
      <c r="D43" s="2" t="inlineStr">
        <is>
          <t>3. Ожидаемый товар</t>
        </is>
      </c>
      <c r="E43" s="2" t="inlineStr">
        <is>
          <t>Интеграции с другими сервисами</t>
        </is>
      </c>
      <c r="F43" s="2" t="inlineStr">
        <is>
          <t>Признак найден на просмотренных страницах: интеграции с другими сервисами</t>
        </is>
      </c>
      <c r="G43" s="2" t="inlineStr">
        <is>
          <t>Страницы сайта, просмотр 01.10.2026</t>
        </is>
      </c>
      <c r="H43" s="2" t="n">
        <v>1</v>
      </c>
      <c r="I43" s="2" t="n">
        <v>2</v>
      </c>
      <c r="J43" s="2" t="n">
        <v>3</v>
      </c>
      <c r="K43" s="2" t="n">
        <v>4</v>
      </c>
      <c r="L43" s="2">
        <f>IF(OR(H43="",I43="",J43="",K43=""),"",ROUND(H43*((I43+J43)/6)*K43,2))</f>
        <v/>
      </c>
      <c r="M43" s="2">
        <f>IF(L43="","",IF(AND(L43&gt;=3.5,H43=1),"Сильный признак",IF(AND(L43&gt;=2,H43=1),"Рабочий признак",IF(H43=1,"Слабый признак","Отсутствует"))))</f>
        <v/>
      </c>
      <c r="N43" s="2" t="inlineStr">
        <is>
          <t>Конкурентная норма с высоким влиянием; включить в минимальный состав NotaCode</t>
        </is>
      </c>
    </row>
    <row r="44" ht="25.5" customHeight="1">
      <c r="A44" s="2" t="inlineStr">
        <is>
          <t>C03</t>
        </is>
      </c>
      <c r="B44" s="2" t="inlineStr">
        <is>
          <t>Mermaid Chart</t>
        </is>
      </c>
      <c r="C44" s="2" t="inlineStr">
        <is>
          <t>https://www.mermaidchart.com/</t>
        </is>
      </c>
      <c r="D44" s="2" t="inlineStr">
        <is>
          <t>4. Расширенный товар</t>
        </is>
      </c>
      <c r="E44" s="2" t="inlineStr">
        <is>
          <t>API или платформа разработчика</t>
        </is>
      </c>
      <c r="F44" s="2" t="inlineStr">
        <is>
          <t>Признак найден на просмотренных страницах: api или платформа разработчика</t>
        </is>
      </c>
      <c r="G44" s="2" t="inlineStr">
        <is>
          <t>Страницы сайта, просмотр 01.10.2026</t>
        </is>
      </c>
      <c r="H44" s="2" t="n">
        <v>1</v>
      </c>
      <c r="I44" s="2" t="n">
        <v>3</v>
      </c>
      <c r="J44" s="2" t="n">
        <v>3</v>
      </c>
      <c r="K44" s="2" t="n">
        <v>3</v>
      </c>
      <c r="L44" s="2">
        <f>IF(OR(H44="",I44="",J44="",K44=""),"",ROUND(H44*((I44+J44)/6)*K44,2))</f>
        <v/>
      </c>
      <c r="M44" s="2">
        <f>IF(L44="","",IF(AND(L44&gt;=3.5,H44=1),"Сильный признак",IF(AND(L44&gt;=2,H44=1),"Рабочий признак",IF(H44=1,"Слабый признак","Отсутствует"))))</f>
        <v/>
      </c>
      <c r="N44" s="2" t="inlineStr">
        <is>
          <t>Конкурентная норма с высоким влиянием; включить в минимальный состав NotaCode</t>
        </is>
      </c>
    </row>
    <row r="45" ht="25.5" customHeight="1">
      <c r="A45" s="2" t="inlineStr">
        <is>
          <t>C03</t>
        </is>
      </c>
      <c r="B45" s="2" t="inlineStr">
        <is>
          <t>Mermaid Chart</t>
        </is>
      </c>
      <c r="C45" s="2" t="inlineStr">
        <is>
          <t>https://www.mermaidchart.com/</t>
        </is>
      </c>
      <c r="D45" s="2" t="inlineStr">
        <is>
          <t>4. Расширенный товар</t>
        </is>
      </c>
      <c r="E45" s="2" t="inlineStr">
        <is>
          <t>Независимые отзывы и оценки</t>
        </is>
      </c>
      <c r="F45" s="2" t="inlineStr">
        <is>
          <t>Признак найден на просмотренных страницах: независимые отзывы и оценки</t>
        </is>
      </c>
      <c r="G45" s="2" t="inlineStr">
        <is>
          <t>Страницы сайта, просмотр 01.10.2026</t>
        </is>
      </c>
      <c r="H45" s="2" t="n">
        <v>1</v>
      </c>
      <c r="I45" s="2" t="n">
        <v>2</v>
      </c>
      <c r="J45" s="2" t="n">
        <v>3</v>
      </c>
      <c r="K45" s="2" t="n">
        <v>3</v>
      </c>
      <c r="L45" s="2">
        <f>IF(OR(H45="",I45="",J45="",K45=""),"",ROUND(H45*((I45+J45)/6)*K45,2))</f>
        <v/>
      </c>
      <c r="M45" s="2">
        <f>IF(L45="","",IF(AND(L45&gt;=3.5,H45=1),"Сильный признак",IF(AND(L45&gt;=2,H45=1),"Рабочий признак",IF(H45=1,"Слабый признак","Отсутствует"))))</f>
        <v/>
      </c>
      <c r="N45" s="2" t="inlineStr">
        <is>
          <t>Конкурентная норма с высоким влиянием; включить в минимальный состав NotaCode</t>
        </is>
      </c>
    </row>
    <row r="46" ht="25.5" customHeight="1">
      <c r="A46" s="2" t="inlineStr">
        <is>
          <t>C03</t>
        </is>
      </c>
      <c r="B46" s="2" t="inlineStr">
        <is>
          <t>Mermaid Chart</t>
        </is>
      </c>
      <c r="C46" s="2" t="inlineStr">
        <is>
          <t>https://www.mermaidchart.com/</t>
        </is>
      </c>
      <c r="D46" s="2" t="inlineStr">
        <is>
          <t>4. Расширенный товар</t>
        </is>
      </c>
      <c r="E46" s="2" t="inlineStr">
        <is>
          <t>Данные о числе пользователей или клиентов на сайте</t>
        </is>
      </c>
      <c r="F46" s="2" t="inlineStr">
        <is>
          <t>«trusted by over 5M people and over 200k companies»</t>
        </is>
      </c>
      <c r="G46" s="2" t="inlineStr">
        <is>
          <t>Страницы сайта, просмотр 01.10.2026</t>
        </is>
      </c>
      <c r="H46" s="2" t="n">
        <v>1</v>
      </c>
      <c r="I46" s="2" t="n">
        <v>2</v>
      </c>
      <c r="J46" s="2" t="n">
        <v>3</v>
      </c>
      <c r="K46" s="2" t="n">
        <v>3</v>
      </c>
      <c r="L46" s="2">
        <f>IF(OR(H46="",I46="",J46="",K46=""),"",ROUND(H46*((I46+J46)/6)*K46,2))</f>
        <v/>
      </c>
      <c r="M46" s="2">
        <f>IF(L46="","",IF(AND(L46&gt;=3.5,H46=1),"Сильный признак",IF(AND(L46&gt;=2,H46=1),"Рабочий признак",IF(H46=1,"Слабый признак","Отсутствует"))))</f>
        <v/>
      </c>
      <c r="N46" s="2" t="inlineStr">
        <is>
          <t>Конкурентная норма с высоким влиянием; включить в минимальный состав NotaCode</t>
        </is>
      </c>
    </row>
    <row r="47" ht="38.25" customHeight="1">
      <c r="A47" s="2" t="inlineStr">
        <is>
          <t>C03</t>
        </is>
      </c>
      <c r="B47" s="2" t="inlineStr">
        <is>
          <t>Mermaid Chart</t>
        </is>
      </c>
      <c r="C47" s="2" t="inlineStr">
        <is>
          <t>https://www.mermaidchart.com/</t>
        </is>
      </c>
      <c r="D47" s="2" t="inlineStr">
        <is>
          <t>4. Расширенный товар</t>
        </is>
      </c>
      <c r="E47" s="2" t="inlineStr">
        <is>
          <t>Раздел или упоминание о безопасности и приватности</t>
        </is>
      </c>
      <c r="F47" s="2" t="inlineStr">
        <is>
          <t>Признак найден на просмотренных страницах: раздел или упоминание о безопасности и приватности</t>
        </is>
      </c>
      <c r="G47" s="2" t="inlineStr">
        <is>
          <t>Страницы сайта, просмотр 01.10.2026</t>
        </is>
      </c>
      <c r="H47" s="2" t="n">
        <v>1</v>
      </c>
      <c r="I47" s="2" t="n">
        <v>2</v>
      </c>
      <c r="J47" s="2" t="n">
        <v>3</v>
      </c>
      <c r="K47" s="2" t="n">
        <v>3</v>
      </c>
      <c r="L47" s="2">
        <f>IF(OR(H47="",I47="",J47="",K47=""),"",ROUND(H47*((I47+J47)/6)*K47,2))</f>
        <v/>
      </c>
      <c r="M47" s="2">
        <f>IF(L47="","",IF(AND(L47&gt;=3.5,H47=1),"Сильный признак",IF(AND(L47&gt;=2,H47=1),"Рабочий признак",IF(H47=1,"Слабый признак","Отсутствует"))))</f>
        <v/>
      </c>
      <c r="N47" s="2" t="inlineStr">
        <is>
          <t>Конкурентная норма с высоким влиянием; включить в минимальный состав NotaCode</t>
        </is>
      </c>
    </row>
    <row r="48">
      <c r="A48" s="2" t="inlineStr">
        <is>
          <t>C03</t>
        </is>
      </c>
      <c r="B48" s="2" t="inlineStr">
        <is>
          <t>Mermaid Chart</t>
        </is>
      </c>
      <c r="C48" s="2" t="inlineStr">
        <is>
          <t>https://mermaid.ai/pricing/</t>
        </is>
      </c>
      <c r="D48" s="2" t="inlineStr">
        <is>
          <t>4. Расширенный товар</t>
        </is>
      </c>
      <c r="E48" s="2" t="inlineStr">
        <is>
          <t>Единый вход SSO или SAML</t>
        </is>
      </c>
      <c r="F48" s="2" t="inlineStr">
        <is>
          <t>Строка SSO в таблице сравнения (Enterprise)</t>
        </is>
      </c>
      <c r="G48" s="2" t="inlineStr">
        <is>
          <t>Страницы сайта, просмотр 01.10.2026</t>
        </is>
      </c>
      <c r="H48" s="2" t="n">
        <v>1</v>
      </c>
      <c r="I48" s="2" t="n">
        <v>3</v>
      </c>
      <c r="J48" s="2" t="n">
        <v>3</v>
      </c>
      <c r="K48" s="2" t="n">
        <v>2</v>
      </c>
      <c r="L48" s="2">
        <f>IF(OR(H48="",I48="",J48="",K48=""),"",ROUND(H48*((I48+J48)/6)*K48,2))</f>
        <v/>
      </c>
      <c r="M48" s="2">
        <f>IF(L48="","",IF(AND(L48&gt;=3.5,H48=1),"Сильный признак",IF(AND(L48&gt;=2,H48=1),"Рабочий признак",IF(H48=1,"Слабый признак","Отсутствует"))))</f>
        <v/>
      </c>
      <c r="N48" s="2" t="inlineStr">
        <is>
          <t>Конкурентная норма с высоким влиянием; включить в минимальный состав NotaCode</t>
        </is>
      </c>
    </row>
    <row r="49" ht="25.5" customHeight="1">
      <c r="A49" s="2" t="inlineStr">
        <is>
          <t>C03</t>
        </is>
      </c>
      <c r="B49" s="2" t="inlineStr">
        <is>
          <t>Mermaid Chart</t>
        </is>
      </c>
      <c r="C49" s="2" t="inlineStr">
        <is>
          <t>https://www.mermaidchart.com/</t>
        </is>
      </c>
      <c r="D49" s="2" t="inlineStr">
        <is>
          <t>3. Ожидаемый товар</t>
        </is>
      </c>
      <c r="E49" s="2" t="inlineStr">
        <is>
          <t>Вход и личный кабинет</t>
        </is>
      </c>
      <c r="F49" s="2" t="inlineStr">
        <is>
          <t>Признак найден на просмотренных страницах: вход и личный кабинет</t>
        </is>
      </c>
      <c r="G49" s="2" t="inlineStr">
        <is>
          <t>Страницы сайта, просмотр 01.10.2026</t>
        </is>
      </c>
      <c r="H49" s="2" t="n">
        <v>1</v>
      </c>
      <c r="I49" s="2" t="n">
        <v>2</v>
      </c>
      <c r="J49" s="2" t="n">
        <v>3</v>
      </c>
      <c r="K49" s="2" t="n">
        <v>3</v>
      </c>
      <c r="L49" s="2">
        <f>IF(OR(H49="",I49="",J49="",K49=""),"",ROUND(H49*((I49+J49)/6)*K49,2))</f>
        <v/>
      </c>
      <c r="M49" s="2">
        <f>IF(L49="","",IF(AND(L49&gt;=3.5,H49=1),"Сильный признак",IF(AND(L49&gt;=2,H49=1),"Рабочий признак",IF(H49=1,"Слабый признак","Отсутствует"))))</f>
        <v/>
      </c>
      <c r="N49" s="2" t="inlineStr">
        <is>
          <t>Конкурентная норма с высоким влиянием; включить в минимальный состав NotaCode</t>
        </is>
      </c>
    </row>
    <row r="50" ht="25.5" customHeight="1">
      <c r="A50" s="2" t="inlineStr">
        <is>
          <t>C03</t>
        </is>
      </c>
      <c r="B50" s="2" t="inlineStr">
        <is>
          <t>Mermaid Chart</t>
        </is>
      </c>
      <c r="C50" s="2" t="inlineStr">
        <is>
          <t>https://www.mermaidchart.com/</t>
        </is>
      </c>
      <c r="D50" s="2" t="inlineStr">
        <is>
          <t>3. Ожидаемый товар</t>
        </is>
      </c>
      <c r="E50" s="2" t="inlineStr">
        <is>
          <t>Совместная работа в реальном времени</t>
        </is>
      </c>
      <c r="F50" s="2" t="inlineStr">
        <is>
          <t>Признак найден на просмотренных страницах: совместная работа в реальном времени</t>
        </is>
      </c>
      <c r="G50" s="2" t="inlineStr">
        <is>
          <t>Страницы сайта, просмотр 01.10.2026</t>
        </is>
      </c>
      <c r="H50" s="2" t="n">
        <v>1</v>
      </c>
      <c r="I50" s="2" t="n">
        <v>3</v>
      </c>
      <c r="J50" s="2" t="n">
        <v>3</v>
      </c>
      <c r="K50" s="2" t="n">
        <v>4</v>
      </c>
      <c r="L50" s="2">
        <f>IF(OR(H50="",I50="",J50="",K50=""),"",ROUND(H50*((I50+J50)/6)*K50,2))</f>
        <v/>
      </c>
      <c r="M50" s="2">
        <f>IF(L50="","",IF(AND(L50&gt;=3.5,H50=1),"Сильный признак",IF(AND(L50&gt;=2,H50=1),"Рабочий признак",IF(H50=1,"Слабый признак","Отсутствует"))))</f>
        <v/>
      </c>
      <c r="N50" s="2" t="inlineStr">
        <is>
          <t>Конкурентная норма с высоким влиянием; включить в минимальный состав NotaCode</t>
        </is>
      </c>
    </row>
    <row r="51" ht="25.5" customHeight="1">
      <c r="A51" s="2" t="inlineStr">
        <is>
          <t>C03</t>
        </is>
      </c>
      <c r="B51" s="2" t="inlineStr">
        <is>
          <t>Mermaid Chart</t>
        </is>
      </c>
      <c r="C51" s="2" t="inlineStr">
        <is>
          <t>https://www.mermaidchart.com/</t>
        </is>
      </c>
      <c r="D51" s="2" t="inlineStr">
        <is>
          <t>3. Ожидаемый товар</t>
        </is>
      </c>
      <c r="E51" s="2" t="inlineStr">
        <is>
          <t>Экспорт диаграмм (PNG, SVG, PDF и др.)</t>
        </is>
      </c>
      <c r="F51" s="2" t="inlineStr">
        <is>
          <t>Признак найден на просмотренных страницах: экспорт диаграмм (png, svg, pdf и др.)</t>
        </is>
      </c>
      <c r="G51" s="2" t="inlineStr">
        <is>
          <t>Страницы сайта, просмотр 01.10.2026</t>
        </is>
      </c>
      <c r="H51" s="2" t="n">
        <v>1</v>
      </c>
      <c r="I51" s="2" t="n">
        <v>3</v>
      </c>
      <c r="J51" s="2" t="n">
        <v>3</v>
      </c>
      <c r="K51" s="2" t="n">
        <v>5</v>
      </c>
      <c r="L51" s="2">
        <f>IF(OR(H51="",I51="",J51="",K51=""),"",ROUND(H51*((I51+J51)/6)*K51,2))</f>
        <v/>
      </c>
      <c r="M51" s="2">
        <f>IF(L51="","",IF(AND(L51&gt;=3.5,H51=1),"Сильный признак",IF(AND(L51&gt;=2,H51=1),"Рабочий признак",IF(H51=1,"Слабый признак","Отсутствует"))))</f>
        <v/>
      </c>
      <c r="N51" s="2" t="inlineStr">
        <is>
          <t>Конкурентная норма с высоким влиянием; включить в минимальный состав NotaCode</t>
        </is>
      </c>
    </row>
    <row r="52" ht="25.5" customHeight="1">
      <c r="A52" s="2" t="inlineStr">
        <is>
          <t>C03</t>
        </is>
      </c>
      <c r="B52" s="2" t="inlineStr">
        <is>
          <t>Mermaid Chart</t>
        </is>
      </c>
      <c r="C52" s="2" t="inlineStr">
        <is>
          <t>https://www.mermaidchart.com/</t>
        </is>
      </c>
      <c r="D52" s="2" t="inlineStr">
        <is>
          <t>4. Расширенный товар</t>
        </is>
      </c>
      <c r="E52" s="2" t="inlineStr">
        <is>
          <t>История версий</t>
        </is>
      </c>
      <c r="F52" s="2" t="inlineStr">
        <is>
          <t>Признак найден на просмотренных страницах: история версий</t>
        </is>
      </c>
      <c r="G52" s="2" t="inlineStr">
        <is>
          <t>Страницы сайта, просмотр 01.10.2026</t>
        </is>
      </c>
      <c r="H52" s="2" t="n">
        <v>1</v>
      </c>
      <c r="I52" s="2" t="n">
        <v>3</v>
      </c>
      <c r="J52" s="2" t="n">
        <v>3</v>
      </c>
      <c r="K52" s="2" t="n">
        <v>3</v>
      </c>
      <c r="L52" s="2">
        <f>IF(OR(H52="",I52="",J52="",K52=""),"",ROUND(H52*((I52+J52)/6)*K52,2))</f>
        <v/>
      </c>
      <c r="M52" s="2">
        <f>IF(L52="","",IF(AND(L52&gt;=3.5,H52=1),"Сильный признак",IF(AND(L52&gt;=2,H52=1),"Рабочий признак",IF(H52=1,"Слабый признак","Отсутствует"))))</f>
        <v/>
      </c>
      <c r="N52" s="2" t="inlineStr">
        <is>
          <t>Конкурентная норма с высоким влиянием; включить в минимальный состав NotaCode</t>
        </is>
      </c>
    </row>
    <row r="53" ht="25.5" customHeight="1">
      <c r="A53" s="2" t="inlineStr">
        <is>
          <t>C03</t>
        </is>
      </c>
      <c r="B53" s="2" t="inlineStr">
        <is>
          <t>Mermaid Chart</t>
        </is>
      </c>
      <c r="C53" s="2" t="inlineStr">
        <is>
          <t>https://www.mermaidchart.com/</t>
        </is>
      </c>
      <c r="D53" s="2" t="inlineStr">
        <is>
          <t>3. Ожидаемый товар</t>
        </is>
      </c>
      <c r="E53" s="2" t="inlineStr">
        <is>
          <t>Документация и руководства</t>
        </is>
      </c>
      <c r="F53" s="2" t="inlineStr">
        <is>
          <t>Признак найден на просмотренных страницах: документация и руководства</t>
        </is>
      </c>
      <c r="G53" s="2" t="inlineStr">
        <is>
          <t>Страницы сайта, просмотр 01.10.2026</t>
        </is>
      </c>
      <c r="H53" s="2" t="n">
        <v>1</v>
      </c>
      <c r="I53" s="2" t="n">
        <v>3</v>
      </c>
      <c r="J53" s="2" t="n">
        <v>3</v>
      </c>
      <c r="K53" s="2" t="n">
        <v>4</v>
      </c>
      <c r="L53" s="2">
        <f>IF(OR(H53="",I53="",J53="",K53=""),"",ROUND(H53*((I53+J53)/6)*K53,2))</f>
        <v/>
      </c>
      <c r="M53" s="2">
        <f>IF(L53="","",IF(AND(L53&gt;=3.5,H53=1),"Сильный признак",IF(AND(L53&gt;=2,H53=1),"Рабочий признак",IF(H53=1,"Слабый признак","Отсутствует"))))</f>
        <v/>
      </c>
      <c r="N53" s="2" t="inlineStr">
        <is>
          <t>Конкурентная норма с высоким влиянием; включить в минимальный состав NotaCode</t>
        </is>
      </c>
    </row>
    <row r="54" ht="25.5" customHeight="1">
      <c r="A54" s="2" t="inlineStr">
        <is>
          <t>C03</t>
        </is>
      </c>
      <c r="B54" s="2" t="inlineStr">
        <is>
          <t>Mermaid Chart</t>
        </is>
      </c>
      <c r="C54" s="2" t="inlineStr">
        <is>
          <t>https://www.mermaidchart.com/</t>
        </is>
      </c>
      <c r="D54" s="2" t="inlineStr">
        <is>
          <t>4. Расширенный товар</t>
        </is>
      </c>
      <c r="E54" s="2" t="inlineStr">
        <is>
          <t>Диаграммы ERD</t>
        </is>
      </c>
      <c r="F54" s="2" t="inlineStr">
        <is>
          <t>Признак найден на просмотренных страницах: диаграммы erd</t>
        </is>
      </c>
      <c r="G54" s="2" t="inlineStr">
        <is>
          <t>Страницы сайта, просмотр 01.10.2026</t>
        </is>
      </c>
      <c r="H54" s="2" t="n">
        <v>1</v>
      </c>
      <c r="I54" s="2" t="n">
        <v>3</v>
      </c>
      <c r="J54" s="2" t="n">
        <v>3</v>
      </c>
      <c r="K54" s="2" t="n">
        <v>4</v>
      </c>
      <c r="L54" s="2">
        <f>IF(OR(H54="",I54="",J54="",K54=""),"",ROUND(H54*((I54+J54)/6)*K54,2))</f>
        <v/>
      </c>
      <c r="M54" s="2">
        <f>IF(L54="","",IF(AND(L54&gt;=3.5,H54=1),"Сильный признак",IF(AND(L54&gt;=2,H54=1),"Рабочий признак",IF(H54=1,"Слабый признак","Отсутствует"))))</f>
        <v/>
      </c>
      <c r="N54" s="2" t="inlineStr">
        <is>
          <t>Конкурентная норма с высоким влиянием; включить в минимальный состав NotaCode</t>
        </is>
      </c>
    </row>
    <row r="55" ht="38.25" customHeight="1">
      <c r="A55" s="2" t="inlineStr">
        <is>
          <t>C03</t>
        </is>
      </c>
      <c r="B55" s="2" t="inlineStr">
        <is>
          <t>Mermaid Chart</t>
        </is>
      </c>
      <c r="C55" s="2" t="inlineStr">
        <is>
          <t>https://www.mermaidchart.com/</t>
        </is>
      </c>
      <c r="D55" s="2" t="inlineStr">
        <is>
          <t>5. Потенциальный товар</t>
        </is>
      </c>
      <c r="E55" s="2" t="inlineStr">
        <is>
          <t>Признаки развития (ИИ-помощник, MCP, новые функции)</t>
        </is>
      </c>
      <c r="F55" s="2" t="inlineStr">
        <is>
          <t>Признак найден на просмотренных страницах: признаки развития (ии-помощник, mcp, новые функции)</t>
        </is>
      </c>
      <c r="G55" s="2" t="inlineStr">
        <is>
          <t>Страницы сайта, просмотр 01.10.2026</t>
        </is>
      </c>
      <c r="H55" s="2" t="n">
        <v>1</v>
      </c>
      <c r="I55" s="2" t="n">
        <v>2</v>
      </c>
      <c r="J55" s="2" t="n">
        <v>3</v>
      </c>
      <c r="K55" s="2" t="n">
        <v>3</v>
      </c>
      <c r="L55" s="2">
        <f>IF(OR(H55="",I55="",J55="",K55=""),"",ROUND(H55*((I55+J55)/6)*K55,2))</f>
        <v/>
      </c>
      <c r="M55" s="2">
        <f>IF(L55="","",IF(AND(L55&gt;=3.5,H55=1),"Сильный признак",IF(AND(L55&gt;=2,H55=1),"Рабочий признак",IF(H55=1,"Слабый признак","Отсутствует"))))</f>
        <v/>
      </c>
      <c r="N55" s="2" t="inlineStr">
        <is>
          <t>Конкурентная норма с высоким влиянием; включить в минимальный состав NotaCode</t>
        </is>
      </c>
    </row>
    <row r="56" ht="38.25" customHeight="1">
      <c r="A56" s="2" t="inlineStr">
        <is>
          <t>C04</t>
        </is>
      </c>
      <c r="B56" s="2" t="inlineStr">
        <is>
          <t>Storm (StormBPMN)</t>
        </is>
      </c>
      <c r="C56" s="2" t="inlineStr">
        <is>
          <t>https://stormbpmn.com/</t>
        </is>
      </c>
      <c r="D56" s="2" t="inlineStr">
        <is>
          <t>1. Базовая выгода</t>
        </is>
      </c>
      <c r="E56" s="2" t="inlineStr">
        <is>
          <t>Основное обещание главной страницы</t>
        </is>
      </c>
      <c r="F56" s="2" t="inlineStr">
        <is>
          <t>«Соберите все процессы компании»; «Одна платформа - девять модулей процессного управления»</t>
        </is>
      </c>
      <c r="G56" s="2" t="inlineStr">
        <is>
          <t>Главная страница, просмотр 01.10.2026</t>
        </is>
      </c>
      <c r="H56" s="2" t="n">
        <v>1</v>
      </c>
      <c r="I56" s="2" t="n">
        <v>3</v>
      </c>
      <c r="J56" s="2" t="n">
        <v>3</v>
      </c>
      <c r="K56" s="2" t="n">
        <v>5</v>
      </c>
      <c r="L56" s="2">
        <f>IF(OR(H56="",I56="",J56="",K56=""),"",ROUND(H56*((I56+J56)/6)*K56,2))</f>
        <v/>
      </c>
      <c r="M56" s="2">
        <f>IF(L56="","",IF(AND(L56&gt;=3.5,H56=1),"Сильный признак",IF(AND(L56&gt;=2,H56=1),"Рабочий признак",IF(H56=1,"Слабый признак","Отсутствует"))))</f>
        <v/>
      </c>
      <c r="N56" s="2" t="inlineStr">
        <is>
          <t>Конкурентная норма с высоким влиянием; включить в минимальный состав NotaCode</t>
        </is>
      </c>
    </row>
    <row r="57" ht="38.25" customHeight="1">
      <c r="A57" s="2" t="inlineStr">
        <is>
          <t>C04</t>
        </is>
      </c>
      <c r="B57" s="2" t="inlineStr">
        <is>
          <t>Storm (StormBPMN)</t>
        </is>
      </c>
      <c r="C57" s="2" t="inlineStr">
        <is>
          <t>https://stormbpmn.com/</t>
        </is>
      </c>
      <c r="D57" s="2" t="inlineStr">
        <is>
          <t>2. Родовой товар</t>
        </is>
      </c>
      <c r="E57" s="2" t="inlineStr">
        <is>
          <t>Форма поставки товара</t>
        </is>
      </c>
      <c r="F57" s="2" t="inlineStr">
        <is>
          <t>Платформа процессного управления: Платформа из семи модулей: редактор, реестр, архитектура, оргструктура, опросы, ИИ, симуляция</t>
        </is>
      </c>
      <c r="G57" s="2" t="inlineStr">
        <is>
          <t>Страницы сайта, ЛР1 табл. 42, ЛР4</t>
        </is>
      </c>
      <c r="H57" s="2" t="n">
        <v>1</v>
      </c>
      <c r="I57" s="2" t="n">
        <v>3</v>
      </c>
      <c r="J57" s="2" t="n">
        <v>3</v>
      </c>
      <c r="K57" s="2" t="n">
        <v>4</v>
      </c>
      <c r="L57" s="2">
        <f>IF(OR(H57="",I57="",J57="",K57=""),"",ROUND(H57*((I57+J57)/6)*K57,2))</f>
        <v/>
      </c>
      <c r="M57" s="2">
        <f>IF(L57="","",IF(AND(L57&gt;=3.5,H57=1),"Сильный признак",IF(AND(L57&gt;=2,H57=1),"Рабочий признак",IF(H57=1,"Слабый признак","Отсутствует"))))</f>
        <v/>
      </c>
      <c r="N57" s="2" t="inlineStr">
        <is>
          <t>Конкурентная норма с высоким влиянием; включить в минимальный состав NotaCode</t>
        </is>
      </c>
    </row>
    <row r="58" ht="38.25" customHeight="1">
      <c r="A58" s="2" t="inlineStr">
        <is>
          <t>C04</t>
        </is>
      </c>
      <c r="B58" s="2" t="inlineStr">
        <is>
          <t>Storm (StormBPMN)</t>
        </is>
      </c>
      <c r="C58" s="2" t="inlineStr">
        <is>
          <t>https://stormbpmn.com/pricing</t>
        </is>
      </c>
      <c r="D58" s="2" t="inlineStr">
        <is>
          <t>3. Ожидаемый товар</t>
        </is>
      </c>
      <c r="E58" s="2" t="inlineStr">
        <is>
          <t>Бесплатный доступ или Free-тариф</t>
        </is>
      </c>
      <c r="F58" s="2" t="inlineStr">
        <is>
          <t>Тариф «Персональный» бесплатно: до 50 моделей, ИИ-помощник безлимитно, делиться процессами 5 раз</t>
        </is>
      </c>
      <c r="G58" s="2" t="inlineStr">
        <is>
          <t>Страницы сайта, просмотр 01.10.2026</t>
        </is>
      </c>
      <c r="H58" s="2" t="n">
        <v>1</v>
      </c>
      <c r="I58" s="2" t="n">
        <v>3</v>
      </c>
      <c r="J58" s="2" t="n">
        <v>3</v>
      </c>
      <c r="K58" s="2" t="n">
        <v>5</v>
      </c>
      <c r="L58" s="2">
        <f>IF(OR(H58="",I58="",J58="",K58=""),"",ROUND(H58*((I58+J58)/6)*K58,2))</f>
        <v/>
      </c>
      <c r="M58" s="2">
        <f>IF(L58="","",IF(AND(L58&gt;=3.5,H58=1),"Сильный признак",IF(AND(L58&gt;=2,H58=1),"Рабочий признак",IF(H58=1,"Слабый признак","Отсутствует"))))</f>
        <v/>
      </c>
      <c r="N58" s="2" t="inlineStr">
        <is>
          <t>Конкурентная норма с высоким влиянием; включить в минимальный состав NotaCode</t>
        </is>
      </c>
    </row>
    <row r="59" ht="38.25" customHeight="1">
      <c r="A59" s="2" t="inlineStr">
        <is>
          <t>C04</t>
        </is>
      </c>
      <c r="B59" s="2" t="inlineStr">
        <is>
          <t>Storm (StormBPMN)</t>
        </is>
      </c>
      <c r="C59" s="2" t="inlineStr">
        <is>
          <t>https://stormbpmn.com/pricing</t>
        </is>
      </c>
      <c r="D59" s="2" t="inlineStr">
        <is>
          <t>3. Ожидаемый товар</t>
        </is>
      </c>
      <c r="E59" s="2" t="inlineStr">
        <is>
          <t>Платная подписка по тарифным уровням</t>
        </is>
      </c>
      <c r="F59" s="2" t="inlineStr">
        <is>
          <t>Команда 1 200 BYN. (1 500 BYN. помесячно), Бизнес 4 720 BYN. (5 900 BYN.) за пользователя в месяц</t>
        </is>
      </c>
      <c r="G59" s="2" t="inlineStr">
        <is>
          <t>Страницы сайта, просмотр 01.10.2026</t>
        </is>
      </c>
      <c r="H59" s="2" t="n">
        <v>1</v>
      </c>
      <c r="I59" s="2" t="n">
        <v>3</v>
      </c>
      <c r="J59" s="2" t="n">
        <v>3</v>
      </c>
      <c r="K59" s="2" t="n">
        <v>4</v>
      </c>
      <c r="L59" s="2">
        <f>IF(OR(H59="",I59="",J59="",K59=""),"",ROUND(H59*((I59+J59)/6)*K59,2))</f>
        <v/>
      </c>
      <c r="M59" s="2">
        <f>IF(L59="","",IF(AND(L59&gt;=3.5,H59=1),"Сильный признак",IF(AND(L59&gt;=2,H59=1),"Рабочий признак",IF(H59=1,"Слабый признак","Отсутствует"))))</f>
        <v/>
      </c>
      <c r="N59" s="2" t="inlineStr">
        <is>
          <t>Конкурентная норма с высоким влиянием; включить в минимальный состав NotaCode</t>
        </is>
      </c>
    </row>
    <row r="60" ht="25.5" customHeight="1">
      <c r="A60" s="2" t="inlineStr">
        <is>
          <t>C04</t>
        </is>
      </c>
      <c r="B60" s="2" t="inlineStr">
        <is>
          <t>Storm (StormBPMN)</t>
        </is>
      </c>
      <c r="C60" s="2" t="inlineStr">
        <is>
          <t>https://stormbpmn.com/pricing</t>
        </is>
      </c>
      <c r="D60" s="2" t="inlineStr">
        <is>
          <t>3. Ожидаемый товар</t>
        </is>
      </c>
      <c r="E60" s="2" t="inlineStr">
        <is>
          <t>Открытая страница тарифов</t>
        </is>
      </c>
      <c r="F60" s="2" t="inlineStr">
        <is>
          <t>Признак найден на просмотренных страницах: открытая страница тарифов</t>
        </is>
      </c>
      <c r="G60" s="2" t="inlineStr">
        <is>
          <t>Страницы сайта, просмотр 01.10.2026</t>
        </is>
      </c>
      <c r="H60" s="2" t="n">
        <v>1</v>
      </c>
      <c r="I60" s="2" t="n">
        <v>3</v>
      </c>
      <c r="J60" s="2" t="n">
        <v>3</v>
      </c>
      <c r="K60" s="2" t="n">
        <v>5</v>
      </c>
      <c r="L60" s="2">
        <f>IF(OR(H60="",I60="",J60="",K60=""),"",ROUND(H60*((I60+J60)/6)*K60,2))</f>
        <v/>
      </c>
      <c r="M60" s="2">
        <f>IF(L60="","",IF(AND(L60&gt;=3.5,H60=1),"Сильный признак",IF(AND(L60&gt;=2,H60=1),"Рабочий признак",IF(H60=1,"Слабый признак","Отсутствует"))))</f>
        <v/>
      </c>
      <c r="N60" s="2" t="inlineStr">
        <is>
          <t>Конкурентная норма с высоким влиянием; включить в минимальный состав NotaCode</t>
        </is>
      </c>
    </row>
    <row r="61" ht="25.5" customHeight="1">
      <c r="A61" s="2" t="inlineStr">
        <is>
          <t>C04</t>
        </is>
      </c>
      <c r="B61" s="2" t="inlineStr">
        <is>
          <t>Storm (StormBPMN)</t>
        </is>
      </c>
      <c r="C61" s="2" t="inlineStr">
        <is>
          <t>https://stormbpmn.com/pricing</t>
        </is>
      </c>
      <c r="D61" s="2" t="inlineStr">
        <is>
          <t>4. Расширенный товар</t>
        </is>
      </c>
      <c r="E61" s="2" t="inlineStr">
        <is>
          <t>Корпоративный тариф (Enterprise или on-prem)</t>
        </is>
      </c>
      <c r="F61" s="2" t="inlineStr">
        <is>
          <t>Enterprise на сервере заказчика от 990 тыс. руб. в год: on-prem, SSO, API, аудит</t>
        </is>
      </c>
      <c r="G61" s="2" t="inlineStr">
        <is>
          <t>Страницы сайта, просмотр 01.10.2026</t>
        </is>
      </c>
      <c r="H61" s="2" t="n">
        <v>1</v>
      </c>
      <c r="I61" s="2" t="n">
        <v>3</v>
      </c>
      <c r="J61" s="2" t="n">
        <v>3</v>
      </c>
      <c r="K61" s="2" t="n">
        <v>2</v>
      </c>
      <c r="L61" s="2">
        <f>IF(OR(H61="",I61="",J61="",K61=""),"",ROUND(H61*((I61+J61)/6)*K61,2))</f>
        <v/>
      </c>
      <c r="M61" s="2">
        <f>IF(L61="","",IF(AND(L61&gt;=3.5,H61=1),"Сильный признак",IF(AND(L61&gt;=2,H61=1),"Рабочий признак",IF(H61=1,"Слабый признак","Отсутствует"))))</f>
        <v/>
      </c>
      <c r="N61" s="2" t="inlineStr">
        <is>
          <t>Конкурентная норма с высоким влиянием; включить в минимальный состав NotaCode</t>
        </is>
      </c>
    </row>
    <row r="62" ht="25.5" customHeight="1">
      <c r="A62" s="2" t="inlineStr">
        <is>
          <t>C04</t>
        </is>
      </c>
      <c r="B62" s="2" t="inlineStr">
        <is>
          <t>Storm (StormBPMN)</t>
        </is>
      </c>
      <c r="C62" s="2" t="inlineStr">
        <is>
          <t>https://stormbpmn.com/pricing</t>
        </is>
      </c>
      <c r="D62" s="2" t="inlineStr">
        <is>
          <t>3. Ожидаемый товар</t>
        </is>
      </c>
      <c r="E62" s="2" t="inlineStr">
        <is>
          <t>Скидка или цена при годовой оплате</t>
        </is>
      </c>
      <c r="F62" s="2" t="inlineStr">
        <is>
          <t>Скидка 20 % при годовой оплате; для юридических лиц 1 800 BYN. и 5 900 BYN</t>
        </is>
      </c>
      <c r="G62" s="2" t="inlineStr">
        <is>
          <t>Страницы сайта, просмотр 01.10.2026</t>
        </is>
      </c>
      <c r="H62" s="2" t="n">
        <v>1</v>
      </c>
      <c r="I62" s="2" t="n">
        <v>3</v>
      </c>
      <c r="J62" s="2" t="n">
        <v>3</v>
      </c>
      <c r="K62" s="2" t="n">
        <v>3</v>
      </c>
      <c r="L62" s="2">
        <f>IF(OR(H62="",I62="",J62="",K62=""),"",ROUND(H62*((I62+J62)/6)*K62,2))</f>
        <v/>
      </c>
      <c r="M62" s="2">
        <f>IF(L62="","",IF(AND(L62&gt;=3.5,H62=1),"Сильный признак",IF(AND(L62&gt;=2,H62=1),"Рабочий признак",IF(H62=1,"Слабый признак","Отсутствует"))))</f>
        <v/>
      </c>
      <c r="N62" s="2" t="inlineStr">
        <is>
          <t>Конкурентная норма с высоким влиянием; включить в минимальный состав NotaCode</t>
        </is>
      </c>
    </row>
    <row r="63" ht="25.5" customHeight="1">
      <c r="A63" s="2" t="inlineStr">
        <is>
          <t>C04</t>
        </is>
      </c>
      <c r="B63" s="2" t="inlineStr">
        <is>
          <t>Storm (StormBPMN)</t>
        </is>
      </c>
      <c r="C63" s="2" t="inlineStr">
        <is>
          <t>https://stormbpmn.com/pricing</t>
        </is>
      </c>
      <c r="D63" s="2" t="inlineStr">
        <is>
          <t>4. Расширенный товар</t>
        </is>
      </c>
      <c r="E63" s="2" t="inlineStr">
        <is>
          <t>Бесплатные гости или зрители</t>
        </is>
      </c>
      <c r="F63" s="2" t="inlineStr">
        <is>
          <t>100 бесплатных гостей на участника в тарифе «Команда»</t>
        </is>
      </c>
      <c r="G63" s="2" t="inlineStr">
        <is>
          <t>Страницы сайта, просмотр 01.10.2026</t>
        </is>
      </c>
      <c r="H63" s="2" t="n">
        <v>1</v>
      </c>
      <c r="I63" s="2" t="n">
        <v>3</v>
      </c>
      <c r="J63" s="2" t="n">
        <v>3</v>
      </c>
      <c r="K63" s="2" t="n">
        <v>3</v>
      </c>
      <c r="L63" s="2">
        <f>IF(OR(H63="",I63="",J63="",K63=""),"",ROUND(H63*((I63+J63)/6)*K63,2))</f>
        <v/>
      </c>
      <c r="M63" s="2">
        <f>IF(L63="","",IF(AND(L63&gt;=3.5,H63=1),"Сильный признак",IF(AND(L63&gt;=2,H63=1),"Рабочий признак",IF(H63=1,"Слабый признак","Отсутствует"))))</f>
        <v/>
      </c>
      <c r="N63" s="2" t="inlineStr">
        <is>
          <t>Конкурентная норма с высоким влиянием; включить в минимальный состав NotaCode</t>
        </is>
      </c>
    </row>
    <row r="64" ht="25.5" customHeight="1">
      <c r="A64" s="2" t="inlineStr">
        <is>
          <t>C04</t>
        </is>
      </c>
      <c r="B64" s="2" t="inlineStr">
        <is>
          <t>Storm (StormBPMN)</t>
        </is>
      </c>
      <c r="C64" s="2" t="inlineStr">
        <is>
          <t>https://stormbpmn.com/</t>
        </is>
      </c>
      <c r="D64" s="2" t="inlineStr">
        <is>
          <t>4. Расширенный товар</t>
        </is>
      </c>
      <c r="E64" s="2" t="inlineStr">
        <is>
          <t>ИИ-генерация или ИИ-помощник</t>
        </is>
      </c>
      <c r="F64" s="2" t="inlineStr">
        <is>
          <t>ИИ-ассистент во всех облачных тарифах, включая бесплатный</t>
        </is>
      </c>
      <c r="G64" s="2" t="inlineStr">
        <is>
          <t>Страницы сайта, просмотр 01.10.2026</t>
        </is>
      </c>
      <c r="H64" s="2" t="n">
        <v>1</v>
      </c>
      <c r="I64" s="2" t="n">
        <v>3</v>
      </c>
      <c r="J64" s="2" t="n">
        <v>3</v>
      </c>
      <c r="K64" s="2" t="n">
        <v>4</v>
      </c>
      <c r="L64" s="2">
        <f>IF(OR(H64="",I64="",J64="",K64=""),"",ROUND(H64*((I64+J64)/6)*K64,2))</f>
        <v/>
      </c>
      <c r="M64" s="2">
        <f>IF(L64="","",IF(AND(L64&gt;=3.5,H64=1),"Сильный признак",IF(AND(L64&gt;=2,H64=1),"Рабочий признак",IF(H64=1,"Слабый признак","Отсутствует"))))</f>
        <v/>
      </c>
      <c r="N64" s="2" t="inlineStr">
        <is>
          <t>Конкурентная норма с высоким влиянием; включить в минимальный состав NotaCode</t>
        </is>
      </c>
    </row>
    <row r="65" ht="25.5" customHeight="1">
      <c r="A65" s="2" t="inlineStr">
        <is>
          <t>C04</t>
        </is>
      </c>
      <c r="B65" s="2" t="inlineStr">
        <is>
          <t>Storm (StormBPMN)</t>
        </is>
      </c>
      <c r="C65" s="2" t="inlineStr">
        <is>
          <t>https://stormbpmn.com/</t>
        </is>
      </c>
      <c r="D65" s="2" t="inlineStr">
        <is>
          <t>3. Ожидаемый товар</t>
        </is>
      </c>
      <c r="E65" s="2" t="inlineStr">
        <is>
          <t>Интеграции с другими сервисами</t>
        </is>
      </c>
      <c r="F65" s="2" t="inlineStr">
        <is>
          <t>Признак найден на просмотренных страницах: интеграции с другими сервисами</t>
        </is>
      </c>
      <c r="G65" s="2" t="inlineStr">
        <is>
          <t>Страницы сайта, просмотр 01.10.2026</t>
        </is>
      </c>
      <c r="H65" s="2" t="n">
        <v>1</v>
      </c>
      <c r="I65" s="2" t="n">
        <v>2</v>
      </c>
      <c r="J65" s="2" t="n">
        <v>3</v>
      </c>
      <c r="K65" s="2" t="n">
        <v>4</v>
      </c>
      <c r="L65" s="2">
        <f>IF(OR(H65="",I65="",J65="",K65=""),"",ROUND(H65*((I65+J65)/6)*K65,2))</f>
        <v/>
      </c>
      <c r="M65" s="2">
        <f>IF(L65="","",IF(AND(L65&gt;=3.5,H65=1),"Сильный признак",IF(AND(L65&gt;=2,H65=1),"Рабочий признак",IF(H65=1,"Слабый признак","Отсутствует"))))</f>
        <v/>
      </c>
      <c r="N65" s="2" t="inlineStr">
        <is>
          <t>Конкурентная норма с высоким влиянием; включить в минимальный состав NotaCode</t>
        </is>
      </c>
    </row>
    <row r="66" ht="25.5" customHeight="1">
      <c r="A66" s="2" t="inlineStr">
        <is>
          <t>C04</t>
        </is>
      </c>
      <c r="B66" s="2" t="inlineStr">
        <is>
          <t>Storm (StormBPMN)</t>
        </is>
      </c>
      <c r="C66" s="2" t="inlineStr">
        <is>
          <t>https://stormbpmn.com/</t>
        </is>
      </c>
      <c r="D66" s="2" t="inlineStr">
        <is>
          <t>4. Расширенный товар</t>
        </is>
      </c>
      <c r="E66" s="2" t="inlineStr">
        <is>
          <t>API или платформа разработчика</t>
        </is>
      </c>
      <c r="F66" s="2" t="inlineStr">
        <is>
          <t>Признак найден на просмотренных страницах: api или платформа разработчика</t>
        </is>
      </c>
      <c r="G66" s="2" t="inlineStr">
        <is>
          <t>Страницы сайта, просмотр 01.10.2026</t>
        </is>
      </c>
      <c r="H66" s="2" t="n">
        <v>1</v>
      </c>
      <c r="I66" s="2" t="n">
        <v>3</v>
      </c>
      <c r="J66" s="2" t="n">
        <v>3</v>
      </c>
      <c r="K66" s="2" t="n">
        <v>3</v>
      </c>
      <c r="L66" s="2">
        <f>IF(OR(H66="",I66="",J66="",K66=""),"",ROUND(H66*((I66+J66)/6)*K66,2))</f>
        <v/>
      </c>
      <c r="M66" s="2">
        <f>IF(L66="","",IF(AND(L66&gt;=3.5,H66=1),"Сильный признак",IF(AND(L66&gt;=2,H66=1),"Рабочий признак",IF(H66=1,"Слабый признак","Отсутствует"))))</f>
        <v/>
      </c>
      <c r="N66" s="2" t="inlineStr">
        <is>
          <t>Конкурентная норма с высоким влиянием; включить в минимальный состав NotaCode</t>
        </is>
      </c>
    </row>
    <row r="67" ht="25.5" customHeight="1">
      <c r="A67" s="2" t="inlineStr">
        <is>
          <t>C04</t>
        </is>
      </c>
      <c r="B67" s="2" t="inlineStr">
        <is>
          <t>Storm (StormBPMN)</t>
        </is>
      </c>
      <c r="C67" s="2" t="inlineStr">
        <is>
          <t>https://stormbpmn.com/</t>
        </is>
      </c>
      <c r="D67" s="2" t="inlineStr">
        <is>
          <t>4. Расширенный товар</t>
        </is>
      </c>
      <c r="E67" s="2" t="inlineStr">
        <is>
          <t>Данные о числе пользователей или клиентов на сайте</t>
        </is>
      </c>
      <c r="F67" s="2" t="inlineStr">
        <is>
          <t>«Нам доверяют больше 1 000 клиентов»</t>
        </is>
      </c>
      <c r="G67" s="2" t="inlineStr">
        <is>
          <t>Страницы сайта, просмотр 01.10.2026</t>
        </is>
      </c>
      <c r="H67" s="2" t="n">
        <v>1</v>
      </c>
      <c r="I67" s="2" t="n">
        <v>2</v>
      </c>
      <c r="J67" s="2" t="n">
        <v>3</v>
      </c>
      <c r="K67" s="2" t="n">
        <v>3</v>
      </c>
      <c r="L67" s="2">
        <f>IF(OR(H67="",I67="",J67="",K67=""),"",ROUND(H67*((I67+J67)/6)*K67,2))</f>
        <v/>
      </c>
      <c r="M67" s="2">
        <f>IF(L67="","",IF(AND(L67&gt;=3.5,H67=1),"Сильный признак",IF(AND(L67&gt;=2,H67=1),"Рабочий признак",IF(H67=1,"Слабый признак","Отсутствует"))))</f>
        <v/>
      </c>
      <c r="N67" s="2" t="inlineStr">
        <is>
          <t>Конкурентная норма с высоким влиянием; включить в минимальный состав NotaCode</t>
        </is>
      </c>
    </row>
    <row r="68" ht="38.25" customHeight="1">
      <c r="A68" s="2" t="inlineStr">
        <is>
          <t>C04</t>
        </is>
      </c>
      <c r="B68" s="2" t="inlineStr">
        <is>
          <t>Storm (StormBPMN)</t>
        </is>
      </c>
      <c r="C68" s="2" t="inlineStr">
        <is>
          <t>https://stormbpmn.com/</t>
        </is>
      </c>
      <c r="D68" s="2" t="inlineStr">
        <is>
          <t>4. Расширенный товар</t>
        </is>
      </c>
      <c r="E68" s="2" t="inlineStr">
        <is>
          <t>Раздел или упоминание о безопасности и приватности</t>
        </is>
      </c>
      <c r="F68" s="2" t="inlineStr">
        <is>
          <t>Признак найден на просмотренных страницах: раздел или упоминание о безопасности и приватности</t>
        </is>
      </c>
      <c r="G68" s="2" t="inlineStr">
        <is>
          <t>Страницы сайта, просмотр 01.10.2026</t>
        </is>
      </c>
      <c r="H68" s="2" t="n">
        <v>1</v>
      </c>
      <c r="I68" s="2" t="n">
        <v>2</v>
      </c>
      <c r="J68" s="2" t="n">
        <v>3</v>
      </c>
      <c r="K68" s="2" t="n">
        <v>3</v>
      </c>
      <c r="L68" s="2">
        <f>IF(OR(H68="",I68="",J68="",K68=""),"",ROUND(H68*((I68+J68)/6)*K68,2))</f>
        <v/>
      </c>
      <c r="M68" s="2">
        <f>IF(L68="","",IF(AND(L68&gt;=3.5,H68=1),"Сильный признак",IF(AND(L68&gt;=2,H68=1),"Рабочий признак",IF(H68=1,"Слабый признак","Отсутствует"))))</f>
        <v/>
      </c>
      <c r="N68" s="2" t="inlineStr">
        <is>
          <t>Конкурентная норма с высоким влиянием; включить в минимальный состав NotaCode</t>
        </is>
      </c>
    </row>
    <row r="69" ht="25.5" customHeight="1">
      <c r="A69" s="2" t="inlineStr">
        <is>
          <t>C04</t>
        </is>
      </c>
      <c r="B69" s="2" t="inlineStr">
        <is>
          <t>Storm (StormBPMN)</t>
        </is>
      </c>
      <c r="C69" s="2" t="inlineStr">
        <is>
          <t>https://stormbpmn.com/pricing</t>
        </is>
      </c>
      <c r="D69" s="2" t="inlineStr">
        <is>
          <t>4. Расширенный товар</t>
        </is>
      </c>
      <c r="E69" s="2" t="inlineStr">
        <is>
          <t>Единый вход SSO или SAML</t>
        </is>
      </c>
      <c r="F69" s="2" t="inlineStr">
        <is>
          <t>Признак найден на просмотренных страницах: единый вход sso или saml</t>
        </is>
      </c>
      <c r="G69" s="2" t="inlineStr">
        <is>
          <t>Страницы сайта, просмотр 01.10.2026</t>
        </is>
      </c>
      <c r="H69" s="2" t="n">
        <v>1</v>
      </c>
      <c r="I69" s="2" t="n">
        <v>3</v>
      </c>
      <c r="J69" s="2" t="n">
        <v>3</v>
      </c>
      <c r="K69" s="2" t="n">
        <v>2</v>
      </c>
      <c r="L69" s="2">
        <f>IF(OR(H69="",I69="",J69="",K69=""),"",ROUND(H69*((I69+J69)/6)*K69,2))</f>
        <v/>
      </c>
      <c r="M69" s="2">
        <f>IF(L69="","",IF(AND(L69&gt;=3.5,H69=1),"Сильный признак",IF(AND(L69&gt;=2,H69=1),"Рабочий признак",IF(H69=1,"Слабый признак","Отсутствует"))))</f>
        <v/>
      </c>
      <c r="N69" s="2" t="inlineStr">
        <is>
          <t>Конкурентная норма с высоким влиянием; включить в минимальный состав NotaCode</t>
        </is>
      </c>
    </row>
    <row r="70" ht="25.5" customHeight="1">
      <c r="A70" s="2" t="inlineStr">
        <is>
          <t>C04</t>
        </is>
      </c>
      <c r="B70" s="2" t="inlineStr">
        <is>
          <t>Storm (StormBPMN)</t>
        </is>
      </c>
      <c r="C70" s="2" t="inlineStr">
        <is>
          <t>https://stormbpmn.com/</t>
        </is>
      </c>
      <c r="D70" s="2" t="inlineStr">
        <is>
          <t>3. Ожидаемый товар</t>
        </is>
      </c>
      <c r="E70" s="2" t="inlineStr">
        <is>
          <t>Вход и личный кабинет</t>
        </is>
      </c>
      <c r="F70" s="2" t="inlineStr">
        <is>
          <t>Признак найден на просмотренных страницах: вход и личный кабинет</t>
        </is>
      </c>
      <c r="G70" s="2" t="inlineStr">
        <is>
          <t>Страницы сайта, просмотр 01.10.2026</t>
        </is>
      </c>
      <c r="H70" s="2" t="n">
        <v>1</v>
      </c>
      <c r="I70" s="2" t="n">
        <v>2</v>
      </c>
      <c r="J70" s="2" t="n">
        <v>3</v>
      </c>
      <c r="K70" s="2" t="n">
        <v>3</v>
      </c>
      <c r="L70" s="2">
        <f>IF(OR(H70="",I70="",J70="",K70=""),"",ROUND(H70*((I70+J70)/6)*K70,2))</f>
        <v/>
      </c>
      <c r="M70" s="2">
        <f>IF(L70="","",IF(AND(L70&gt;=3.5,H70=1),"Сильный признак",IF(AND(L70&gt;=2,H70=1),"Рабочий признак",IF(H70=1,"Слабый признак","Отсутствует"))))</f>
        <v/>
      </c>
      <c r="N70" s="2" t="inlineStr">
        <is>
          <t>Конкурентная норма с высоким влиянием; включить в минимальный состав NotaCode</t>
        </is>
      </c>
    </row>
    <row r="71" ht="25.5" customHeight="1">
      <c r="A71" s="2" t="inlineStr">
        <is>
          <t>C04</t>
        </is>
      </c>
      <c r="B71" s="2" t="inlineStr">
        <is>
          <t>Storm (StormBPMN)</t>
        </is>
      </c>
      <c r="C71" s="2" t="inlineStr">
        <is>
          <t>https://stormbpmn.com/</t>
        </is>
      </c>
      <c r="D71" s="2" t="inlineStr">
        <is>
          <t>3. Ожидаемый товар</t>
        </is>
      </c>
      <c r="E71" s="2" t="inlineStr">
        <is>
          <t>Совместная работа в реальном времени</t>
        </is>
      </c>
      <c r="F71" s="2" t="inlineStr">
        <is>
          <t>Признак найден на просмотренных страницах: совместная работа в реальном времени</t>
        </is>
      </c>
      <c r="G71" s="2" t="inlineStr">
        <is>
          <t>Страницы сайта, просмотр 01.10.2026</t>
        </is>
      </c>
      <c r="H71" s="2" t="n">
        <v>1</v>
      </c>
      <c r="I71" s="2" t="n">
        <v>3</v>
      </c>
      <c r="J71" s="2" t="n">
        <v>3</v>
      </c>
      <c r="K71" s="2" t="n">
        <v>4</v>
      </c>
      <c r="L71" s="2">
        <f>IF(OR(H71="",I71="",J71="",K71=""),"",ROUND(H71*((I71+J71)/6)*K71,2))</f>
        <v/>
      </c>
      <c r="M71" s="2">
        <f>IF(L71="","",IF(AND(L71&gt;=3.5,H71=1),"Сильный признак",IF(AND(L71&gt;=2,H71=1),"Рабочий признак",IF(H71=1,"Слабый признак","Отсутствует"))))</f>
        <v/>
      </c>
      <c r="N71" s="2" t="inlineStr">
        <is>
          <t>Конкурентная норма с высоким влиянием; включить в минимальный состав NotaCode</t>
        </is>
      </c>
    </row>
    <row r="72" ht="25.5" customHeight="1">
      <c r="A72" s="2" t="inlineStr">
        <is>
          <t>C04</t>
        </is>
      </c>
      <c r="B72" s="2" t="inlineStr">
        <is>
          <t>Storm (StormBPMN)</t>
        </is>
      </c>
      <c r="C72" s="2" t="inlineStr">
        <is>
          <t>https://stormbpmn.com/</t>
        </is>
      </c>
      <c r="D72" s="2" t="inlineStr">
        <is>
          <t>3. Ожидаемый товар</t>
        </is>
      </c>
      <c r="E72" s="2" t="inlineStr">
        <is>
          <t>Экспорт диаграмм (PNG, SVG, PDF и др.)</t>
        </is>
      </c>
      <c r="F72" s="2" t="inlineStr">
        <is>
          <t>Признак найден на просмотренных страницах: экспорт диаграмм (png, svg, pdf и др.)</t>
        </is>
      </c>
      <c r="G72" s="2" t="inlineStr">
        <is>
          <t>Страницы сайта, просмотр 01.10.2026</t>
        </is>
      </c>
      <c r="H72" s="2" t="n">
        <v>1</v>
      </c>
      <c r="I72" s="2" t="n">
        <v>3</v>
      </c>
      <c r="J72" s="2" t="n">
        <v>3</v>
      </c>
      <c r="K72" s="2" t="n">
        <v>5</v>
      </c>
      <c r="L72" s="2">
        <f>IF(OR(H72="",I72="",J72="",K72=""),"",ROUND(H72*((I72+J72)/6)*K72,2))</f>
        <v/>
      </c>
      <c r="M72" s="2">
        <f>IF(L72="","",IF(AND(L72&gt;=3.5,H72=1),"Сильный признак",IF(AND(L72&gt;=2,H72=1),"Рабочий признак",IF(H72=1,"Слабый признак","Отсутствует"))))</f>
        <v/>
      </c>
      <c r="N72" s="2" t="inlineStr">
        <is>
          <t>Конкурентная норма с высоким влиянием; включить в минимальный состав NotaCode</t>
        </is>
      </c>
    </row>
    <row r="73" ht="25.5" customHeight="1">
      <c r="A73" s="2" t="inlineStr">
        <is>
          <t>C04</t>
        </is>
      </c>
      <c r="B73" s="2" t="inlineStr">
        <is>
          <t>Storm (StormBPMN)</t>
        </is>
      </c>
      <c r="C73" s="2" t="inlineStr">
        <is>
          <t>https://stormbpmn.com/</t>
        </is>
      </c>
      <c r="D73" s="2" t="inlineStr">
        <is>
          <t>4. Расширенный товар</t>
        </is>
      </c>
      <c r="E73" s="2" t="inlineStr">
        <is>
          <t>История версий</t>
        </is>
      </c>
      <c r="F73" s="2" t="inlineStr">
        <is>
          <t>Признак найден на просмотренных страницах: история версий</t>
        </is>
      </c>
      <c r="G73" s="2" t="inlineStr">
        <is>
          <t>Страницы сайта, просмотр 01.10.2026</t>
        </is>
      </c>
      <c r="H73" s="2" t="n">
        <v>1</v>
      </c>
      <c r="I73" s="2" t="n">
        <v>3</v>
      </c>
      <c r="J73" s="2" t="n">
        <v>3</v>
      </c>
      <c r="K73" s="2" t="n">
        <v>3</v>
      </c>
      <c r="L73" s="2">
        <f>IF(OR(H73="",I73="",J73="",K73=""),"",ROUND(H73*((I73+J73)/6)*K73,2))</f>
        <v/>
      </c>
      <c r="M73" s="2">
        <f>IF(L73="","",IF(AND(L73&gt;=3.5,H73=1),"Сильный признак",IF(AND(L73&gt;=2,H73=1),"Рабочий признак",IF(H73=1,"Слабый признак","Отсутствует"))))</f>
        <v/>
      </c>
      <c r="N73" s="2" t="inlineStr">
        <is>
          <t>Конкурентная норма с высоким влиянием; включить в минимальный состав NotaCode</t>
        </is>
      </c>
    </row>
    <row r="74" ht="25.5" customHeight="1">
      <c r="A74" s="2" t="inlineStr">
        <is>
          <t>C04</t>
        </is>
      </c>
      <c r="B74" s="2" t="inlineStr">
        <is>
          <t>Storm (StormBPMN)</t>
        </is>
      </c>
      <c r="C74" s="2" t="inlineStr">
        <is>
          <t>https://stormbpmn.com/</t>
        </is>
      </c>
      <c r="D74" s="2" t="inlineStr">
        <is>
          <t>4. Расширенный товар</t>
        </is>
      </c>
      <c r="E74" s="2" t="inlineStr">
        <is>
          <t>Диаграммы BPMN</t>
        </is>
      </c>
      <c r="F74" s="2" t="inlineStr">
        <is>
          <t>Признак найден на просмотренных страницах: диаграммы bpmn</t>
        </is>
      </c>
      <c r="G74" s="2" t="inlineStr">
        <is>
          <t>Страницы сайта, просмотр 01.10.2026</t>
        </is>
      </c>
      <c r="H74" s="2" t="n">
        <v>1</v>
      </c>
      <c r="I74" s="2" t="n">
        <v>3</v>
      </c>
      <c r="J74" s="2" t="n">
        <v>3</v>
      </c>
      <c r="K74" s="2" t="n">
        <v>4</v>
      </c>
      <c r="L74" s="2">
        <f>IF(OR(H74="",I74="",J74="",K74=""),"",ROUND(H74*((I74+J74)/6)*K74,2))</f>
        <v/>
      </c>
      <c r="M74" s="2">
        <f>IF(L74="","",IF(AND(L74&gt;=3.5,H74=1),"Сильный признак",IF(AND(L74&gt;=2,H74=1),"Рабочий признак",IF(H74=1,"Слабый признак","Отсутствует"))))</f>
        <v/>
      </c>
      <c r="N74" s="2" t="inlineStr">
        <is>
          <t>Конкурентная норма с высоким влиянием; включить в минимальный состав NotaCode</t>
        </is>
      </c>
    </row>
    <row r="75" ht="25.5" customHeight="1">
      <c r="A75" s="2" t="inlineStr">
        <is>
          <t>C04</t>
        </is>
      </c>
      <c r="B75" s="2" t="inlineStr">
        <is>
          <t>Storm (StormBPMN)</t>
        </is>
      </c>
      <c r="C75" s="2" t="inlineStr">
        <is>
          <t>https://stormbpmn.com/</t>
        </is>
      </c>
      <c r="D75" s="2" t="inlineStr">
        <is>
          <t>4. Расширенный товар</t>
        </is>
      </c>
      <c r="E75" s="2" t="inlineStr">
        <is>
          <t>Развёртывание на своём сервере</t>
        </is>
      </c>
      <c r="F75" s="2" t="inlineStr">
        <is>
          <t>Признак найден на просмотренных страницах: развёртывание на своём сервере</t>
        </is>
      </c>
      <c r="G75" s="2" t="inlineStr">
        <is>
          <t>Страницы сайта, просмотр 01.10.2026</t>
        </is>
      </c>
      <c r="H75" s="2" t="n">
        <v>1</v>
      </c>
      <c r="I75" s="2" t="n">
        <v>2</v>
      </c>
      <c r="J75" s="2" t="n">
        <v>3</v>
      </c>
      <c r="K75" s="2" t="n">
        <v>3</v>
      </c>
      <c r="L75" s="2">
        <f>IF(OR(H75="",I75="",J75="",K75=""),"",ROUND(H75*((I75+J75)/6)*K75,2))</f>
        <v/>
      </c>
      <c r="M75" s="2">
        <f>IF(L75="","",IF(AND(L75&gt;=3.5,H75=1),"Сильный признак",IF(AND(L75&gt;=2,H75=1),"Рабочий признак",IF(H75=1,"Слабый признак","Отсутствует"))))</f>
        <v/>
      </c>
      <c r="N75" s="2" t="inlineStr">
        <is>
          <t>Конкурентная норма с высоким влиянием; включить в минимальный состав NotaCode</t>
        </is>
      </c>
    </row>
    <row r="76" ht="25.5" customHeight="1">
      <c r="A76" s="2" t="inlineStr">
        <is>
          <t>C04</t>
        </is>
      </c>
      <c r="B76" s="2" t="inlineStr">
        <is>
          <t>Storm (StormBPMN)</t>
        </is>
      </c>
      <c r="C76" s="2" t="inlineStr">
        <is>
          <t>https://stormbpmn.com/</t>
        </is>
      </c>
      <c r="D76" s="2" t="inlineStr">
        <is>
          <t>4. Расширенный товар</t>
        </is>
      </c>
      <c r="E76" s="2" t="inlineStr">
        <is>
          <t>Русскоязычный интерфейс и тарифы в рублях</t>
        </is>
      </c>
      <c r="F76" s="2" t="inlineStr">
        <is>
          <t>Тарифы в рублях; Россия 62,99 % трафика (Similarweb Pro)</t>
        </is>
      </c>
      <c r="G76" s="2" t="inlineStr">
        <is>
          <t>Страницы сайта, просмотр 01.10.2026</t>
        </is>
      </c>
      <c r="H76" s="2" t="n">
        <v>1</v>
      </c>
      <c r="I76" s="2" t="n">
        <v>2</v>
      </c>
      <c r="J76" s="2" t="n">
        <v>3</v>
      </c>
      <c r="K76" s="2" t="n">
        <v>4</v>
      </c>
      <c r="L76" s="2">
        <f>IF(OR(H76="",I76="",J76="",K76=""),"",ROUND(H76*((I76+J76)/6)*K76,2))</f>
        <v/>
      </c>
      <c r="M76" s="2">
        <f>IF(L76="","",IF(AND(L76&gt;=3.5,H76=1),"Сильный признак",IF(AND(L76&gt;=2,H76=1),"Рабочий признак",IF(H76=1,"Слабый признак","Отсутствует"))))</f>
        <v/>
      </c>
      <c r="N76" s="2" t="inlineStr">
        <is>
          <t>Конкурентная норма с высоким влиянием; включить в минимальный состав NotaCode</t>
        </is>
      </c>
    </row>
    <row r="77" ht="38.25" customHeight="1">
      <c r="A77" s="2" t="inlineStr">
        <is>
          <t>C04</t>
        </is>
      </c>
      <c r="B77" s="2" t="inlineStr">
        <is>
          <t>Storm (StormBPMN)</t>
        </is>
      </c>
      <c r="C77" s="2" t="inlineStr">
        <is>
          <t>https://stormbpmn.com/</t>
        </is>
      </c>
      <c r="D77" s="2" t="inlineStr">
        <is>
          <t>5. Потенциальный товар</t>
        </is>
      </c>
      <c r="E77" s="2" t="inlineStr">
        <is>
          <t>Признаки развития (ИИ-помощник, MCP, новые функции)</t>
        </is>
      </c>
      <c r="F77" s="2" t="inlineStr">
        <is>
          <t>Признак найден на просмотренных страницах: признаки развития (ии-помощник, mcp, новые функции)</t>
        </is>
      </c>
      <c r="G77" s="2" t="inlineStr">
        <is>
          <t>Страницы сайта, просмотр 01.10.2026</t>
        </is>
      </c>
      <c r="H77" s="2" t="n">
        <v>1</v>
      </c>
      <c r="I77" s="2" t="n">
        <v>2</v>
      </c>
      <c r="J77" s="2" t="n">
        <v>3</v>
      </c>
      <c r="K77" s="2" t="n">
        <v>3</v>
      </c>
      <c r="L77" s="2">
        <f>IF(OR(H77="",I77="",J77="",K77=""),"",ROUND(H77*((I77+J77)/6)*K77,2))</f>
        <v/>
      </c>
      <c r="M77" s="2">
        <f>IF(L77="","",IF(AND(L77&gt;=3.5,H77=1),"Сильный признак",IF(AND(L77&gt;=2,H77=1),"Рабочий признак",IF(H77=1,"Слабый признак","Отсутствует"))))</f>
        <v/>
      </c>
      <c r="N77" s="2" t="inlineStr">
        <is>
          <t>Конкурентная норма с высоким влиянием; включить в минимальный состав NotaCode</t>
        </is>
      </c>
    </row>
    <row r="78" ht="25.5" customHeight="1">
      <c r="A78" s="2" t="inlineStr">
        <is>
          <t>C05</t>
        </is>
      </c>
      <c r="B78" s="2" t="inlineStr">
        <is>
          <t>draw.io (diagrams.net)</t>
        </is>
      </c>
      <c r="C78" s="2" t="inlineStr">
        <is>
          <t>https://app.diagrams.net/</t>
        </is>
      </c>
      <c r="D78" s="2" t="inlineStr">
        <is>
          <t>1. Базовая выгода</t>
        </is>
      </c>
      <c r="E78" s="2" t="inlineStr">
        <is>
          <t>Основное обещание главной страницы</t>
        </is>
      </c>
      <c r="F78" s="2" t="inlineStr">
        <is>
          <t>«Security-first diagramming for teams»; «Free, open source diagramming application with 100M+ users»</t>
        </is>
      </c>
      <c r="G78" s="2" t="inlineStr">
        <is>
          <t>Главная страница, просмотр 01.10.2026</t>
        </is>
      </c>
      <c r="H78" s="2" t="n">
        <v>1</v>
      </c>
      <c r="I78" s="2" t="n">
        <v>3</v>
      </c>
      <c r="J78" s="2" t="n">
        <v>3</v>
      </c>
      <c r="K78" s="2" t="n">
        <v>5</v>
      </c>
      <c r="L78" s="2">
        <f>IF(OR(H78="",I78="",J78="",K78=""),"",ROUND(H78*((I78+J78)/6)*K78,2))</f>
        <v/>
      </c>
      <c r="M78" s="2">
        <f>IF(L78="","",IF(AND(L78&gt;=3.5,H78=1),"Сильный признак",IF(AND(L78&gt;=2,H78=1),"Рабочий признак",IF(H78=1,"Слабый признак","Отсутствует"))))</f>
        <v/>
      </c>
      <c r="N78" s="2" t="inlineStr">
        <is>
          <t>Конкурентная норма с высоким влиянием; включить в минимальный состав NotaCode</t>
        </is>
      </c>
    </row>
    <row r="79" ht="38.25" customHeight="1">
      <c r="A79" s="2" t="inlineStr">
        <is>
          <t>C05</t>
        </is>
      </c>
      <c r="B79" s="2" t="inlineStr">
        <is>
          <t>draw.io (diagrams.net)</t>
        </is>
      </c>
      <c r="C79" s="2" t="inlineStr">
        <is>
          <t>https://app.diagrams.net/</t>
        </is>
      </c>
      <c r="D79" s="2" t="inlineStr">
        <is>
          <t>2. Родовой товар</t>
        </is>
      </c>
      <c r="E79" s="2" t="inlineStr">
        <is>
          <t>Форма поставки товара</t>
        </is>
      </c>
      <c r="F79" s="2" t="inlineStr">
        <is>
          <t>Универсальный редактор диаграмм, открытый код: Бесплатный онлайн-редактор блок-схем, UML, ER и других диаграмм</t>
        </is>
      </c>
      <c r="G79" s="2" t="inlineStr">
        <is>
          <t>Страницы сайта, ЛР1 табл. 42, ЛР4</t>
        </is>
      </c>
      <c r="H79" s="2" t="n">
        <v>1</v>
      </c>
      <c r="I79" s="2" t="n">
        <v>3</v>
      </c>
      <c r="J79" s="2" t="n">
        <v>3</v>
      </c>
      <c r="K79" s="2" t="n">
        <v>4</v>
      </c>
      <c r="L79" s="2">
        <f>IF(OR(H79="",I79="",J79="",K79=""),"",ROUND(H79*((I79+J79)/6)*K79,2))</f>
        <v/>
      </c>
      <c r="M79" s="2">
        <f>IF(L79="","",IF(AND(L79&gt;=3.5,H79=1),"Сильный признак",IF(AND(L79&gt;=2,H79=1),"Рабочий признак",IF(H79=1,"Слабый признак","Отсутствует"))))</f>
        <v/>
      </c>
      <c r="N79" s="2" t="inlineStr">
        <is>
          <t>Конкурентная норма с высоким влиянием; включить в минимальный состав NotaCode</t>
        </is>
      </c>
    </row>
    <row r="80" ht="25.5" customHeight="1">
      <c r="A80" s="2" t="inlineStr">
        <is>
          <t>C05</t>
        </is>
      </c>
      <c r="B80" s="2" t="inlineStr">
        <is>
          <t>draw.io (diagrams.net)</t>
        </is>
      </c>
      <c r="C80" s="2" t="inlineStr">
        <is>
          <t>https://app.diagrams.net/</t>
        </is>
      </c>
      <c r="D80" s="2" t="inlineStr">
        <is>
          <t>3. Ожидаемый товар</t>
        </is>
      </c>
      <c r="E80" s="2" t="inlineStr">
        <is>
          <t>Бесплатный доступ или Free-тариф</t>
        </is>
      </c>
      <c r="F80" s="2" t="inlineStr">
        <is>
          <t>Бесплатное приложение с открытым кодом (Apache 2.0): «No enterprise tier for SSO»</t>
        </is>
      </c>
      <c r="G80" s="2" t="inlineStr">
        <is>
          <t>Страницы сайта, просмотр 01.10.2026</t>
        </is>
      </c>
      <c r="H80" s="2" t="n">
        <v>1</v>
      </c>
      <c r="I80" s="2" t="n">
        <v>3</v>
      </c>
      <c r="J80" s="2" t="n">
        <v>2</v>
      </c>
      <c r="K80" s="2" t="n">
        <v>5</v>
      </c>
      <c r="L80" s="2">
        <f>IF(OR(H80="",I80="",J80="",K80=""),"",ROUND(H80*((I80+J80)/6)*K80,2))</f>
        <v/>
      </c>
      <c r="M80" s="2">
        <f>IF(L80="","",IF(AND(L80&gt;=3.5,H80=1),"Сильный признак",IF(AND(L80&gt;=2,H80=1),"Рабочий признак",IF(H80=1,"Слабый признак","Отсутствует"))))</f>
        <v/>
      </c>
      <c r="N80" s="2" t="inlineStr">
        <is>
          <t>Конкурентная норма с высоким влиянием; включить в минимальный состав NotaCode</t>
        </is>
      </c>
    </row>
    <row r="81" ht="25.5" customHeight="1">
      <c r="A81" s="2" t="inlineStr">
        <is>
          <t>C05</t>
        </is>
      </c>
      <c r="B81" s="2" t="inlineStr">
        <is>
          <t>draw.io (diagrams.net)</t>
        </is>
      </c>
      <c r="C81" s="2" t="inlineStr">
        <is>
          <t>https://app.diagrams.net/</t>
        </is>
      </c>
      <c r="D81" s="2" t="inlineStr">
        <is>
          <t>3. Ожидаемый товар</t>
        </is>
      </c>
      <c r="E81" s="2" t="inlineStr">
        <is>
          <t>Интеграции с другими сервисами</t>
        </is>
      </c>
      <c r="F81" s="2" t="inlineStr">
        <is>
          <t>Признак найден на просмотренных страницах: интеграции с другими сервисами</t>
        </is>
      </c>
      <c r="G81" s="2" t="inlineStr">
        <is>
          <t>Страницы сайта, просмотр 01.10.2026</t>
        </is>
      </c>
      <c r="H81" s="2" t="n">
        <v>1</v>
      </c>
      <c r="I81" s="2" t="n">
        <v>2</v>
      </c>
      <c r="J81" s="2" t="n">
        <v>2</v>
      </c>
      <c r="K81" s="2" t="n">
        <v>4</v>
      </c>
      <c r="L81" s="2">
        <f>IF(OR(H81="",I81="",J81="",K81=""),"",ROUND(H81*((I81+J81)/6)*K81,2))</f>
        <v/>
      </c>
      <c r="M81" s="2">
        <f>IF(L81="","",IF(AND(L81&gt;=3.5,H81=1),"Сильный признак",IF(AND(L81&gt;=2,H81=1),"Рабочий признак",IF(H81=1,"Слабый признак","Отсутствует"))))</f>
        <v/>
      </c>
      <c r="N81" s="2" t="inlineStr">
        <is>
          <t>Конкурентная норма с высоким влиянием; включить в минимальный состав NotaCode</t>
        </is>
      </c>
    </row>
    <row r="82" ht="25.5" customHeight="1">
      <c r="A82" s="2" t="inlineStr">
        <is>
          <t>C05</t>
        </is>
      </c>
      <c r="B82" s="2" t="inlineStr">
        <is>
          <t>draw.io (diagrams.net)</t>
        </is>
      </c>
      <c r="C82" s="2" t="inlineStr">
        <is>
          <t>https://app.diagrams.net/</t>
        </is>
      </c>
      <c r="D82" s="2" t="inlineStr">
        <is>
          <t>4. Расширенный товар</t>
        </is>
      </c>
      <c r="E82" s="2" t="inlineStr">
        <is>
          <t>Открытый код и сообщество</t>
        </is>
      </c>
      <c r="F82" s="2" t="inlineStr">
        <is>
          <t>Признак найден на просмотренных страницах: открытый код и сообщество</t>
        </is>
      </c>
      <c r="G82" s="2" t="inlineStr">
        <is>
          <t>Страницы сайта, просмотр 01.10.2026</t>
        </is>
      </c>
      <c r="H82" s="2" t="n">
        <v>1</v>
      </c>
      <c r="I82" s="2" t="n">
        <v>2</v>
      </c>
      <c r="J82" s="2" t="n">
        <v>2</v>
      </c>
      <c r="K82" s="2" t="n">
        <v>4</v>
      </c>
      <c r="L82" s="2">
        <f>IF(OR(H82="",I82="",J82="",K82=""),"",ROUND(H82*((I82+J82)/6)*K82,2))</f>
        <v/>
      </c>
      <c r="M82" s="2">
        <f>IF(L82="","",IF(AND(L82&gt;=3.5,H82=1),"Сильный признак",IF(AND(L82&gt;=2,H82=1),"Рабочий признак",IF(H82=1,"Слабый признак","Отсутствует"))))</f>
        <v/>
      </c>
      <c r="N82" s="2" t="inlineStr">
        <is>
          <t>Конкурентная норма с высоким влиянием; включить в минимальный состав NotaCode</t>
        </is>
      </c>
    </row>
    <row r="83" ht="25.5" customHeight="1">
      <c r="A83" s="2" t="inlineStr">
        <is>
          <t>C05</t>
        </is>
      </c>
      <c r="B83" s="2" t="inlineStr">
        <is>
          <t>draw.io (diagrams.net)</t>
        </is>
      </c>
      <c r="C83" s="2" t="inlineStr">
        <is>
          <t>https://app.diagrams.net/</t>
        </is>
      </c>
      <c r="D83" s="2" t="inlineStr">
        <is>
          <t>4. Расширенный товар</t>
        </is>
      </c>
      <c r="E83" s="2" t="inlineStr">
        <is>
          <t>Независимые отзывы и оценки</t>
        </is>
      </c>
      <c r="F83" s="2" t="inlineStr">
        <is>
          <t>Признак найден на просмотренных страницах: независимые отзывы и оценки</t>
        </is>
      </c>
      <c r="G83" s="2" t="inlineStr">
        <is>
          <t>Страницы сайта, просмотр 01.10.2026</t>
        </is>
      </c>
      <c r="H83" s="2" t="n">
        <v>1</v>
      </c>
      <c r="I83" s="2" t="n">
        <v>2</v>
      </c>
      <c r="J83" s="2" t="n">
        <v>2</v>
      </c>
      <c r="K83" s="2" t="n">
        <v>3</v>
      </c>
      <c r="L83" s="2">
        <f>IF(OR(H83="",I83="",J83="",K83=""),"",ROUND(H83*((I83+J83)/6)*K83,2))</f>
        <v/>
      </c>
      <c r="M83" s="2">
        <f>IF(L83="","",IF(AND(L83&gt;=3.5,H83=1),"Сильный признак",IF(AND(L83&gt;=2,H83=1),"Рабочий признак",IF(H83=1,"Слабый признак","Отсутствует"))))</f>
        <v/>
      </c>
      <c r="N83" s="2" t="inlineStr">
        <is>
          <t>Конкурентная норма с высоким влиянием; включить в минимальный состав NotaCode</t>
        </is>
      </c>
    </row>
    <row r="84" ht="25.5" customHeight="1">
      <c r="A84" s="2" t="inlineStr">
        <is>
          <t>C05</t>
        </is>
      </c>
      <c r="B84" s="2" t="inlineStr">
        <is>
          <t>draw.io (diagrams.net)</t>
        </is>
      </c>
      <c r="C84" s="2" t="inlineStr">
        <is>
          <t>https://app.diagrams.net/</t>
        </is>
      </c>
      <c r="D84" s="2" t="inlineStr">
        <is>
          <t>4. Расширенный товар</t>
        </is>
      </c>
      <c r="E84" s="2" t="inlineStr">
        <is>
          <t>Данные о числе пользователей или клиентов на сайте</t>
        </is>
      </c>
      <c r="F84" s="2" t="inlineStr">
        <is>
          <t>«100M+ users»</t>
        </is>
      </c>
      <c r="G84" s="2" t="inlineStr">
        <is>
          <t>Страницы сайта, просмотр 01.10.2026</t>
        </is>
      </c>
      <c r="H84" s="2" t="n">
        <v>1</v>
      </c>
      <c r="I84" s="2" t="n">
        <v>2</v>
      </c>
      <c r="J84" s="2" t="n">
        <v>2</v>
      </c>
      <c r="K84" s="2" t="n">
        <v>3</v>
      </c>
      <c r="L84" s="2">
        <f>IF(OR(H84="",I84="",J84="",K84=""),"",ROUND(H84*((I84+J84)/6)*K84,2))</f>
        <v/>
      </c>
      <c r="M84" s="2">
        <f>IF(L84="","",IF(AND(L84&gt;=3.5,H84=1),"Сильный признак",IF(AND(L84&gt;=2,H84=1),"Рабочий признак",IF(H84=1,"Слабый признак","Отсутствует"))))</f>
        <v/>
      </c>
      <c r="N84" s="2" t="inlineStr">
        <is>
          <t>Конкурентная норма с высоким влиянием; включить в минимальный состав NotaCode</t>
        </is>
      </c>
    </row>
    <row r="85" ht="38.25" customHeight="1">
      <c r="A85" s="2" t="inlineStr">
        <is>
          <t>C05</t>
        </is>
      </c>
      <c r="B85" s="2" t="inlineStr">
        <is>
          <t>draw.io (diagrams.net)</t>
        </is>
      </c>
      <c r="C85" s="2" t="inlineStr">
        <is>
          <t>https://app.diagrams.net/</t>
        </is>
      </c>
      <c r="D85" s="2" t="inlineStr">
        <is>
          <t>4. Расширенный товар</t>
        </is>
      </c>
      <c r="E85" s="2" t="inlineStr">
        <is>
          <t>Раздел или упоминание о безопасности и приватности</t>
        </is>
      </c>
      <c r="F85" s="2" t="inlineStr">
        <is>
          <t>Признак найден на просмотренных страницах: раздел или упоминание о безопасности и приватности</t>
        </is>
      </c>
      <c r="G85" s="2" t="inlineStr">
        <is>
          <t>Страницы сайта, просмотр 01.10.2026</t>
        </is>
      </c>
      <c r="H85" s="2" t="n">
        <v>1</v>
      </c>
      <c r="I85" s="2" t="n">
        <v>2</v>
      </c>
      <c r="J85" s="2" t="n">
        <v>2</v>
      </c>
      <c r="K85" s="2" t="n">
        <v>3</v>
      </c>
      <c r="L85" s="2">
        <f>IF(OR(H85="",I85="",J85="",K85=""),"",ROUND(H85*((I85+J85)/6)*K85,2))</f>
        <v/>
      </c>
      <c r="M85" s="2">
        <f>IF(L85="","",IF(AND(L85&gt;=3.5,H85=1),"Сильный признак",IF(AND(L85&gt;=2,H85=1),"Рабочий признак",IF(H85=1,"Слабый признак","Отсутствует"))))</f>
        <v/>
      </c>
      <c r="N85" s="2" t="inlineStr">
        <is>
          <t>Конкурентная норма с высоким влиянием; включить в минимальный состав NotaCode</t>
        </is>
      </c>
    </row>
    <row r="86" ht="25.5" customHeight="1">
      <c r="A86" s="2" t="inlineStr">
        <is>
          <t>C05</t>
        </is>
      </c>
      <c r="B86" s="2" t="inlineStr">
        <is>
          <t>draw.io (diagrams.net)</t>
        </is>
      </c>
      <c r="C86" s="2" t="inlineStr">
        <is>
          <t>https://app.diagrams.net/</t>
        </is>
      </c>
      <c r="D86" s="2" t="inlineStr">
        <is>
          <t>3. Ожидаемый товар</t>
        </is>
      </c>
      <c r="E86" s="2" t="inlineStr">
        <is>
          <t>Вход и личный кабинет</t>
        </is>
      </c>
      <c r="F86" s="2" t="inlineStr">
        <is>
          <t>Признак найден на просмотренных страницах: вход и личный кабинет</t>
        </is>
      </c>
      <c r="G86" s="2" t="inlineStr">
        <is>
          <t>Страницы сайта, просмотр 01.10.2026</t>
        </is>
      </c>
      <c r="H86" s="2" t="n">
        <v>1</v>
      </c>
      <c r="I86" s="2" t="n">
        <v>2</v>
      </c>
      <c r="J86" s="2" t="n">
        <v>2</v>
      </c>
      <c r="K86" s="2" t="n">
        <v>3</v>
      </c>
      <c r="L86" s="2">
        <f>IF(OR(H86="",I86="",J86="",K86=""),"",ROUND(H86*((I86+J86)/6)*K86,2))</f>
        <v/>
      </c>
      <c r="M86" s="2">
        <f>IF(L86="","",IF(AND(L86&gt;=3.5,H86=1),"Сильный признак",IF(AND(L86&gt;=2,H86=1),"Рабочий признак",IF(H86=1,"Слабый признак","Отсутствует"))))</f>
        <v/>
      </c>
      <c r="N86" s="2" t="inlineStr">
        <is>
          <t>Конкурентная норма с высоким влиянием; включить в минимальный состав NotaCode</t>
        </is>
      </c>
    </row>
    <row r="87" ht="25.5" customHeight="1">
      <c r="A87" s="2" t="inlineStr">
        <is>
          <t>C05</t>
        </is>
      </c>
      <c r="B87" s="2" t="inlineStr">
        <is>
          <t>draw.io (diagrams.net)</t>
        </is>
      </c>
      <c r="C87" s="2" t="inlineStr">
        <is>
          <t>https://app.diagrams.net/</t>
        </is>
      </c>
      <c r="D87" s="2" t="inlineStr">
        <is>
          <t>3. Ожидаемый товар</t>
        </is>
      </c>
      <c r="E87" s="2" t="inlineStr">
        <is>
          <t>Совместная работа в реальном времени</t>
        </is>
      </c>
      <c r="F87" s="2" t="inlineStr">
        <is>
          <t>Признак найден на просмотренных страницах: совместная работа в реальном времени</t>
        </is>
      </c>
      <c r="G87" s="2" t="inlineStr">
        <is>
          <t>Страницы сайта, просмотр 01.10.2026</t>
        </is>
      </c>
      <c r="H87" s="2" t="n">
        <v>1</v>
      </c>
      <c r="I87" s="2" t="n">
        <v>3</v>
      </c>
      <c r="J87" s="2" t="n">
        <v>2</v>
      </c>
      <c r="K87" s="2" t="n">
        <v>4</v>
      </c>
      <c r="L87" s="2">
        <f>IF(OR(H87="",I87="",J87="",K87=""),"",ROUND(H87*((I87+J87)/6)*K87,2))</f>
        <v/>
      </c>
      <c r="M87" s="2">
        <f>IF(L87="","",IF(AND(L87&gt;=3.5,H87=1),"Сильный признак",IF(AND(L87&gt;=2,H87=1),"Рабочий признак",IF(H87=1,"Слабый признак","Отсутствует"))))</f>
        <v/>
      </c>
      <c r="N87" s="2" t="inlineStr">
        <is>
          <t>Конкурентная норма с высоким влиянием; включить в минимальный состав NotaCode</t>
        </is>
      </c>
    </row>
    <row r="88" ht="25.5" customHeight="1">
      <c r="A88" s="2" t="inlineStr">
        <is>
          <t>C05</t>
        </is>
      </c>
      <c r="B88" s="2" t="inlineStr">
        <is>
          <t>draw.io (diagrams.net)</t>
        </is>
      </c>
      <c r="C88" s="2" t="inlineStr">
        <is>
          <t>https://app.diagrams.net/</t>
        </is>
      </c>
      <c r="D88" s="2" t="inlineStr">
        <is>
          <t>3. Ожидаемый товар</t>
        </is>
      </c>
      <c r="E88" s="2" t="inlineStr">
        <is>
          <t>Экспорт диаграмм (PNG, SVG, PDF и др.)</t>
        </is>
      </c>
      <c r="F88" s="2" t="inlineStr">
        <is>
          <t>Признак найден на просмотренных страницах: экспорт диаграмм (png, svg, pdf и др.)</t>
        </is>
      </c>
      <c r="G88" s="2" t="inlineStr">
        <is>
          <t>Страницы сайта, просмотр 01.10.2026</t>
        </is>
      </c>
      <c r="H88" s="2" t="n">
        <v>1</v>
      </c>
      <c r="I88" s="2" t="n">
        <v>3</v>
      </c>
      <c r="J88" s="2" t="n">
        <v>2</v>
      </c>
      <c r="K88" s="2" t="n">
        <v>5</v>
      </c>
      <c r="L88" s="2">
        <f>IF(OR(H88="",I88="",J88="",K88=""),"",ROUND(H88*((I88+J88)/6)*K88,2))</f>
        <v/>
      </c>
      <c r="M88" s="2">
        <f>IF(L88="","",IF(AND(L88&gt;=3.5,H88=1),"Сильный признак",IF(AND(L88&gt;=2,H88=1),"Рабочий признак",IF(H88=1,"Слабый признак","Отсутствует"))))</f>
        <v/>
      </c>
      <c r="N88" s="2" t="inlineStr">
        <is>
          <t>Конкурентная норма с высоким влиянием; включить в минимальный состав NotaCode</t>
        </is>
      </c>
    </row>
    <row r="89" ht="25.5" customHeight="1">
      <c r="A89" s="2" t="inlineStr">
        <is>
          <t>C05</t>
        </is>
      </c>
      <c r="B89" s="2" t="inlineStr">
        <is>
          <t>draw.io (diagrams.net)</t>
        </is>
      </c>
      <c r="C89" s="2" t="inlineStr">
        <is>
          <t>https://app.diagrams.net/</t>
        </is>
      </c>
      <c r="D89" s="2" t="inlineStr">
        <is>
          <t>3. Ожидаемый товар</t>
        </is>
      </c>
      <c r="E89" s="2" t="inlineStr">
        <is>
          <t>Документация и руководства</t>
        </is>
      </c>
      <c r="F89" s="2" t="inlineStr">
        <is>
          <t>Признак найден на просмотренных страницах: документация и руководства</t>
        </is>
      </c>
      <c r="G89" s="2" t="inlineStr">
        <is>
          <t>Страницы сайта, просмотр 01.10.2026</t>
        </is>
      </c>
      <c r="H89" s="2" t="n">
        <v>1</v>
      </c>
      <c r="I89" s="2" t="n">
        <v>3</v>
      </c>
      <c r="J89" s="2" t="n">
        <v>2</v>
      </c>
      <c r="K89" s="2" t="n">
        <v>4</v>
      </c>
      <c r="L89" s="2">
        <f>IF(OR(H89="",I89="",J89="",K89=""),"",ROUND(H89*((I89+J89)/6)*K89,2))</f>
        <v/>
      </c>
      <c r="M89" s="2">
        <f>IF(L89="","",IF(AND(L89&gt;=3.5,H89=1),"Сильный признак",IF(AND(L89&gt;=2,H89=1),"Рабочий признак",IF(H89=1,"Слабый признак","Отсутствует"))))</f>
        <v/>
      </c>
      <c r="N89" s="2" t="inlineStr">
        <is>
          <t>Конкурентная норма с высоким влиянием; включить в минимальный состав NotaCode</t>
        </is>
      </c>
    </row>
    <row r="90" ht="25.5" customHeight="1">
      <c r="A90" s="2" t="inlineStr">
        <is>
          <t>C05</t>
        </is>
      </c>
      <c r="B90" s="2" t="inlineStr">
        <is>
          <t>draw.io (diagrams.net)</t>
        </is>
      </c>
      <c r="C90" s="2" t="inlineStr">
        <is>
          <t>https://app.diagrams.net/</t>
        </is>
      </c>
      <c r="D90" s="2" t="inlineStr">
        <is>
          <t>3. Ожидаемый товар</t>
        </is>
      </c>
      <c r="E90" s="2" t="inlineStr">
        <is>
          <t>Диаграммы UML</t>
        </is>
      </c>
      <c r="F90" s="2" t="inlineStr">
        <is>
          <t>Признак найден на просмотренных страницах: диаграммы uml</t>
        </is>
      </c>
      <c r="G90" s="2" t="inlineStr">
        <is>
          <t>Страницы сайта, просмотр 01.10.2026</t>
        </is>
      </c>
      <c r="H90" s="2" t="n">
        <v>1</v>
      </c>
      <c r="I90" s="2" t="n">
        <v>3</v>
      </c>
      <c r="J90" s="2" t="n">
        <v>2</v>
      </c>
      <c r="K90" s="2" t="n">
        <v>5</v>
      </c>
      <c r="L90" s="2">
        <f>IF(OR(H90="",I90="",J90="",K90=""),"",ROUND(H90*((I90+J90)/6)*K90,2))</f>
        <v/>
      </c>
      <c r="M90" s="2">
        <f>IF(L90="","",IF(AND(L90&gt;=3.5,H90=1),"Сильный признак",IF(AND(L90&gt;=2,H90=1),"Рабочий признак",IF(H90=1,"Слабый признак","Отсутствует"))))</f>
        <v/>
      </c>
      <c r="N90" s="2" t="inlineStr">
        <is>
          <t>Конкурентная норма с высоким влиянием; включить в минимальный состав NotaCode</t>
        </is>
      </c>
    </row>
    <row r="91" ht="25.5" customHeight="1">
      <c r="A91" s="2" t="inlineStr">
        <is>
          <t>C05</t>
        </is>
      </c>
      <c r="B91" s="2" t="inlineStr">
        <is>
          <t>draw.io (diagrams.net)</t>
        </is>
      </c>
      <c r="C91" s="2" t="inlineStr">
        <is>
          <t>https://app.diagrams.net/</t>
        </is>
      </c>
      <c r="D91" s="2" t="inlineStr">
        <is>
          <t>4. Расширенный товар</t>
        </is>
      </c>
      <c r="E91" s="2" t="inlineStr">
        <is>
          <t>Диаграммы ERD</t>
        </is>
      </c>
      <c r="F91" s="2" t="inlineStr">
        <is>
          <t>Признак найден на просмотренных страницах: диаграммы erd</t>
        </is>
      </c>
      <c r="G91" s="2" t="inlineStr">
        <is>
          <t>Страницы сайта, просмотр 01.10.2026</t>
        </is>
      </c>
      <c r="H91" s="2" t="n">
        <v>1</v>
      </c>
      <c r="I91" s="2" t="n">
        <v>3</v>
      </c>
      <c r="J91" s="2" t="n">
        <v>2</v>
      </c>
      <c r="K91" s="2" t="n">
        <v>4</v>
      </c>
      <c r="L91" s="2">
        <f>IF(OR(H91="",I91="",J91="",K91=""),"",ROUND(H91*((I91+J91)/6)*K91,2))</f>
        <v/>
      </c>
      <c r="M91" s="2">
        <f>IF(L91="","",IF(AND(L91&gt;=3.5,H91=1),"Сильный признак",IF(AND(L91&gt;=2,H91=1),"Рабочий признак",IF(H91=1,"Слабый признак","Отсутствует"))))</f>
        <v/>
      </c>
      <c r="N91" s="2" t="inlineStr">
        <is>
          <t>Конкурентная норма с высоким влиянием; включить в минимальный состав NotaCode</t>
        </is>
      </c>
    </row>
    <row r="92" ht="25.5" customHeight="1">
      <c r="A92" s="2" t="inlineStr">
        <is>
          <t>C05</t>
        </is>
      </c>
      <c r="B92" s="2" t="inlineStr">
        <is>
          <t>draw.io (diagrams.net)</t>
        </is>
      </c>
      <c r="C92" s="2" t="inlineStr">
        <is>
          <t>https://app.diagrams.net/</t>
        </is>
      </c>
      <c r="D92" s="2" t="inlineStr">
        <is>
          <t>4. Расширенный товар</t>
        </is>
      </c>
      <c r="E92" s="2" t="inlineStr">
        <is>
          <t>Настольное приложение</t>
        </is>
      </c>
      <c r="F92" s="2" t="inlineStr">
        <is>
          <t>Признак найден на просмотренных страницах: настольное приложение</t>
        </is>
      </c>
      <c r="G92" s="2" t="inlineStr">
        <is>
          <t>Страницы сайта, просмотр 01.10.2026</t>
        </is>
      </c>
      <c r="H92" s="2" t="n">
        <v>1</v>
      </c>
      <c r="I92" s="2" t="n">
        <v>2</v>
      </c>
      <c r="J92" s="2" t="n">
        <v>2</v>
      </c>
      <c r="K92" s="2" t="n">
        <v>2</v>
      </c>
      <c r="L92" s="2">
        <f>IF(OR(H92="",I92="",J92="",K92=""),"",ROUND(H92*((I92+J92)/6)*K92,2))</f>
        <v/>
      </c>
      <c r="M92" s="2">
        <f>IF(L92="","",IF(AND(L92&gt;=3.5,H92=1),"Сильный признак",IF(AND(L92&gt;=2,H92=1),"Рабочий признак",IF(H92=1,"Слабый признак","Отсутствует"))))</f>
        <v/>
      </c>
      <c r="N92" s="2" t="inlineStr">
        <is>
          <t>Конкурентная норма с высоким влиянием; включить в минимальный состав NotaCode</t>
        </is>
      </c>
    </row>
    <row r="93" ht="25.5" customHeight="1">
      <c r="A93" s="2" t="inlineStr">
        <is>
          <t>C06</t>
        </is>
      </c>
      <c r="B93" s="2" t="inlineStr">
        <is>
          <t>Lucidchart</t>
        </is>
      </c>
      <c r="C93" s="2" t="inlineStr">
        <is>
          <t>https://www.lucidchart.com/</t>
        </is>
      </c>
      <c r="D93" s="2" t="inlineStr">
        <is>
          <t>1. Базовая выгода</t>
        </is>
      </c>
      <c r="E93" s="2" t="inlineStr">
        <is>
          <t>Основное обещание главной страницы</t>
        </is>
      </c>
      <c r="F93" s="2" t="inlineStr">
        <is>
          <t>«Diagramming powered by intelligence»: диаграммы с ИИ, данными и автоматизацией</t>
        </is>
      </c>
      <c r="G93" s="2" t="inlineStr">
        <is>
          <t>Главная страница, просмотр 01.10.2026</t>
        </is>
      </c>
      <c r="H93" s="2" t="n">
        <v>1</v>
      </c>
      <c r="I93" s="2" t="n">
        <v>3</v>
      </c>
      <c r="J93" s="2" t="n">
        <v>3</v>
      </c>
      <c r="K93" s="2" t="n">
        <v>5</v>
      </c>
      <c r="L93" s="2">
        <f>IF(OR(H93="",I93="",J93="",K93=""),"",ROUND(H93*((I93+J93)/6)*K93,2))</f>
        <v/>
      </c>
      <c r="M93" s="2">
        <f>IF(L93="","",IF(AND(L93&gt;=3.5,H93=1),"Сильный признак",IF(AND(L93&gt;=2,H93=1),"Рабочий признак",IF(H93=1,"Слабый признак","Отсутствует"))))</f>
        <v/>
      </c>
      <c r="N93" s="2" t="inlineStr">
        <is>
          <t>Конкурентная норма с высоким влиянием; включить в минимальный состав NotaCode</t>
        </is>
      </c>
    </row>
    <row r="94" ht="38.25" customHeight="1">
      <c r="A94" s="2" t="inlineStr">
        <is>
          <t>C06</t>
        </is>
      </c>
      <c r="B94" s="2" t="inlineStr">
        <is>
          <t>Lucidchart</t>
        </is>
      </c>
      <c r="C94" s="2" t="inlineStr">
        <is>
          <t>https://www.lucidchart.com/</t>
        </is>
      </c>
      <c r="D94" s="2" t="inlineStr">
        <is>
          <t>2. Родовой товар</t>
        </is>
      </c>
      <c r="E94" s="2" t="inlineStr">
        <is>
          <t>Форма поставки товара</t>
        </is>
      </c>
      <c r="F94" s="2" t="inlineStr">
        <is>
          <t>Универсальный редактор диаграмм (подписка): Облачный редактор диаграмм с тарифами Free, Individual, Team, Enterprise</t>
        </is>
      </c>
      <c r="G94" s="2" t="inlineStr">
        <is>
          <t>Страницы сайта, ЛР1 табл. 42, ЛР4</t>
        </is>
      </c>
      <c r="H94" s="2" t="n">
        <v>1</v>
      </c>
      <c r="I94" s="2" t="n">
        <v>3</v>
      </c>
      <c r="J94" s="2" t="n">
        <v>3</v>
      </c>
      <c r="K94" s="2" t="n">
        <v>4</v>
      </c>
      <c r="L94" s="2">
        <f>IF(OR(H94="",I94="",J94="",K94=""),"",ROUND(H94*((I94+J94)/6)*K94,2))</f>
        <v/>
      </c>
      <c r="M94" s="2">
        <f>IF(L94="","",IF(AND(L94&gt;=3.5,H94=1),"Сильный признак",IF(AND(L94&gt;=2,H94=1),"Рабочий признак",IF(H94=1,"Слабый признак","Отсутствует"))))</f>
        <v/>
      </c>
      <c r="N94" s="2" t="inlineStr">
        <is>
          <t>Конкурентная норма с высоким влиянием; включить в минимальный состав NotaCode</t>
        </is>
      </c>
    </row>
    <row r="95" ht="25.5" customHeight="1">
      <c r="A95" s="2" t="inlineStr">
        <is>
          <t>C06</t>
        </is>
      </c>
      <c r="B95" s="2" t="inlineStr">
        <is>
          <t>Lucidchart</t>
        </is>
      </c>
      <c r="C95" s="2" t="inlineStr">
        <is>
          <t>https://www.lucidchart.com/</t>
        </is>
      </c>
      <c r="D95" s="2" t="inlineStr">
        <is>
          <t>2. Родовой товар</t>
        </is>
      </c>
      <c r="E95" s="2" t="inlineStr">
        <is>
          <t>Описание диаграммы текстом (DSL)</t>
        </is>
      </c>
      <c r="F95" s="2" t="inlineStr">
        <is>
          <t>Признак найден на просмотренных страницах: описание диаграммы текстом (dsl)</t>
        </is>
      </c>
      <c r="G95" s="2" t="inlineStr">
        <is>
          <t>Страницы сайта, просмотр 01.10.2026</t>
        </is>
      </c>
      <c r="H95" s="2" t="n">
        <v>1</v>
      </c>
      <c r="I95" s="2" t="n">
        <v>3</v>
      </c>
      <c r="J95" s="2" t="n">
        <v>3</v>
      </c>
      <c r="K95" s="2" t="n">
        <v>5</v>
      </c>
      <c r="L95" s="2">
        <f>IF(OR(H95="",I95="",J95="",K95=""),"",ROUND(H95*((I95+J95)/6)*K95,2))</f>
        <v/>
      </c>
      <c r="M95" s="2">
        <f>IF(L95="","",IF(AND(L95&gt;=3.5,H95=1),"Сильный признак",IF(AND(L95&gt;=2,H95=1),"Рабочий признак",IF(H95=1,"Слабый признак","Отсутствует"))))</f>
        <v/>
      </c>
      <c r="N95" s="2" t="inlineStr">
        <is>
          <t>Конкурентная норма с высоким влиянием; включить в минимальный состав NotaCode</t>
        </is>
      </c>
    </row>
    <row r="96" ht="25.5" customHeight="1">
      <c r="A96" s="2" t="inlineStr">
        <is>
          <t>C06</t>
        </is>
      </c>
      <c r="B96" s="2" t="inlineStr">
        <is>
          <t>Lucidchart</t>
        </is>
      </c>
      <c r="C96" s="2" t="inlineStr">
        <is>
          <t>https://lucid.app/pricing/lucidchart</t>
        </is>
      </c>
      <c r="D96" s="2" t="inlineStr">
        <is>
          <t>3. Ожидаемый товар</t>
        </is>
      </c>
      <c r="E96" s="2" t="inlineStr">
        <is>
          <t>Бесплатный доступ или Free-тариф</t>
        </is>
      </c>
      <c r="F96" s="2" t="inlineStr">
        <is>
          <t>Free 0 у.е.: 3 редактируемых документа, 75 фигур на документ, 100 шаблонов</t>
        </is>
      </c>
      <c r="G96" s="2" t="inlineStr">
        <is>
          <t>Страницы сайта, просмотр 01.10.2026</t>
        </is>
      </c>
      <c r="H96" s="2" t="n">
        <v>1</v>
      </c>
      <c r="I96" s="2" t="n">
        <v>3</v>
      </c>
      <c r="J96" s="2" t="n">
        <v>3</v>
      </c>
      <c r="K96" s="2" t="n">
        <v>5</v>
      </c>
      <c r="L96" s="2">
        <f>IF(OR(H96="",I96="",J96="",K96=""),"",ROUND(H96*((I96+J96)/6)*K96,2))</f>
        <v/>
      </c>
      <c r="M96" s="2">
        <f>IF(L96="","",IF(AND(L96&gt;=3.5,H96=1),"Сильный признак",IF(AND(L96&gt;=2,H96=1),"Рабочий признак",IF(H96=1,"Слабый признак","Отсутствует"))))</f>
        <v/>
      </c>
      <c r="N96" s="2" t="inlineStr">
        <is>
          <t>Конкурентная норма с высоким влиянием; включить в минимальный состав NotaCode</t>
        </is>
      </c>
    </row>
    <row r="97" ht="25.5" customHeight="1">
      <c r="A97" s="2" t="inlineStr">
        <is>
          <t>C06</t>
        </is>
      </c>
      <c r="B97" s="2" t="inlineStr">
        <is>
          <t>Lucidchart</t>
        </is>
      </c>
      <c r="C97" s="2" t="inlineStr">
        <is>
          <t>https://lucid.app/pricing/lucidchart</t>
        </is>
      </c>
      <c r="D97" s="2" t="inlineStr">
        <is>
          <t>3. Ожидаемый товар</t>
        </is>
      </c>
      <c r="E97" s="2" t="inlineStr">
        <is>
          <t>Платная подписка по тарифным уровням</t>
        </is>
      </c>
      <c r="F97" s="2" t="inlineStr">
        <is>
          <t>Individual 9 у.е., Team 10 у.е. за пользователя в месяц при оплате за год</t>
        </is>
      </c>
      <c r="G97" s="2" t="inlineStr">
        <is>
          <t>Страницы сайта, просмотр 01.10.2026</t>
        </is>
      </c>
      <c r="H97" s="2" t="n">
        <v>1</v>
      </c>
      <c r="I97" s="2" t="n">
        <v>3</v>
      </c>
      <c r="J97" s="2" t="n">
        <v>3</v>
      </c>
      <c r="K97" s="2" t="n">
        <v>4</v>
      </c>
      <c r="L97" s="2">
        <f>IF(OR(H97="",I97="",J97="",K97=""),"",ROUND(H97*((I97+J97)/6)*K97,2))</f>
        <v/>
      </c>
      <c r="M97" s="2">
        <f>IF(L97="","",IF(AND(L97&gt;=3.5,H97=1),"Сильный признак",IF(AND(L97&gt;=2,H97=1),"Рабочий признак",IF(H97=1,"Слабый признак","Отсутствует"))))</f>
        <v/>
      </c>
      <c r="N97" s="2" t="inlineStr">
        <is>
          <t>Конкурентная норма с высоким влиянием; включить в минимальный состав NotaCode</t>
        </is>
      </c>
    </row>
    <row r="98" ht="25.5" customHeight="1">
      <c r="A98" s="2" t="inlineStr">
        <is>
          <t>C06</t>
        </is>
      </c>
      <c r="B98" s="2" t="inlineStr">
        <is>
          <t>Lucidchart</t>
        </is>
      </c>
      <c r="C98" s="2" t="inlineStr">
        <is>
          <t>https://lucid.app/pricing/lucidchart</t>
        </is>
      </c>
      <c r="D98" s="2" t="inlineStr">
        <is>
          <t>3. Ожидаемый товар</t>
        </is>
      </c>
      <c r="E98" s="2" t="inlineStr">
        <is>
          <t>Открытая страница тарифов</t>
        </is>
      </c>
      <c r="F98" s="2" t="inlineStr">
        <is>
          <t>Признак найден на просмотренных страницах: открытая страница тарифов</t>
        </is>
      </c>
      <c r="G98" s="2" t="inlineStr">
        <is>
          <t>Страницы сайта, просмотр 01.10.2026</t>
        </is>
      </c>
      <c r="H98" s="2" t="n">
        <v>1</v>
      </c>
      <c r="I98" s="2" t="n">
        <v>3</v>
      </c>
      <c r="J98" s="2" t="n">
        <v>3</v>
      </c>
      <c r="K98" s="2" t="n">
        <v>5</v>
      </c>
      <c r="L98" s="2">
        <f>IF(OR(H98="",I98="",J98="",K98=""),"",ROUND(H98*((I98+J98)/6)*K98,2))</f>
        <v/>
      </c>
      <c r="M98" s="2">
        <f>IF(L98="","",IF(AND(L98&gt;=3.5,H98=1),"Сильный признак",IF(AND(L98&gt;=2,H98=1),"Рабочий признак",IF(H98=1,"Слабый признак","Отсутствует"))))</f>
        <v/>
      </c>
      <c r="N98" s="2" t="inlineStr">
        <is>
          <t>Конкурентная норма с высоким влиянием; включить в минимальный состав NotaCode</t>
        </is>
      </c>
    </row>
    <row r="99" ht="25.5" customHeight="1">
      <c r="A99" s="2" t="inlineStr">
        <is>
          <t>C06</t>
        </is>
      </c>
      <c r="B99" s="2" t="inlineStr">
        <is>
          <t>Lucidchart</t>
        </is>
      </c>
      <c r="C99" s="2" t="inlineStr">
        <is>
          <t>https://lucid.app/pricing/lucidchart</t>
        </is>
      </c>
      <c r="D99" s="2" t="inlineStr">
        <is>
          <t>4. Расширенный товар</t>
        </is>
      </c>
      <c r="E99" s="2" t="inlineStr">
        <is>
          <t>Корпоративный тариф (Enterprise или on-prem)</t>
        </is>
      </c>
      <c r="F99" s="2" t="inlineStr">
        <is>
          <t>Признак найден на просмотренных страницах: корпоративный тариф (enterprise или on-prem)</t>
        </is>
      </c>
      <c r="G99" s="2" t="inlineStr">
        <is>
          <t>Страницы сайта, просмотр 01.10.2026</t>
        </is>
      </c>
      <c r="H99" s="2" t="n">
        <v>1</v>
      </c>
      <c r="I99" s="2" t="n">
        <v>3</v>
      </c>
      <c r="J99" s="2" t="n">
        <v>3</v>
      </c>
      <c r="K99" s="2" t="n">
        <v>2</v>
      </c>
      <c r="L99" s="2">
        <f>IF(OR(H99="",I99="",J99="",K99=""),"",ROUND(H99*((I99+J99)/6)*K99,2))</f>
        <v/>
      </c>
      <c r="M99" s="2">
        <f>IF(L99="","",IF(AND(L99&gt;=3.5,H99=1),"Сильный признак",IF(AND(L99&gt;=2,H99=1),"Рабочий признак",IF(H99=1,"Слабый признак","Отсутствует"))))</f>
        <v/>
      </c>
      <c r="N99" s="2" t="inlineStr">
        <is>
          <t>Конкурентная норма с высоким влиянием; включить в минимальный состав NotaCode</t>
        </is>
      </c>
    </row>
    <row r="100" ht="25.5" customHeight="1">
      <c r="A100" s="2" t="inlineStr">
        <is>
          <t>C06</t>
        </is>
      </c>
      <c r="B100" s="2" t="inlineStr">
        <is>
          <t>Lucidchart</t>
        </is>
      </c>
      <c r="C100" s="2" t="inlineStr">
        <is>
          <t>https://lucid.app/pricing/lucidchart</t>
        </is>
      </c>
      <c r="D100" s="2" t="inlineStr">
        <is>
          <t>3. Ожидаемый товар</t>
        </is>
      </c>
      <c r="E100" s="2" t="inlineStr">
        <is>
          <t>Скидка или цена при годовой оплате</t>
        </is>
      </c>
      <c r="F100" s="2" t="inlineStr">
        <is>
          <t>Признак найден на просмотренных страницах: скидка или цена при годовой оплате</t>
        </is>
      </c>
      <c r="G100" s="2" t="inlineStr">
        <is>
          <t>Страницы сайта, просмотр 01.10.2026</t>
        </is>
      </c>
      <c r="H100" s="2" t="n">
        <v>1</v>
      </c>
      <c r="I100" s="2" t="n">
        <v>3</v>
      </c>
      <c r="J100" s="2" t="n">
        <v>3</v>
      </c>
      <c r="K100" s="2" t="n">
        <v>3</v>
      </c>
      <c r="L100" s="2">
        <f>IF(OR(H100="",I100="",J100="",K100=""),"",ROUND(H100*((I100+J100)/6)*K100,2))</f>
        <v/>
      </c>
      <c r="M100" s="2">
        <f>IF(L100="","",IF(AND(L100&gt;=3.5,H100=1),"Сильный признак",IF(AND(L100&gt;=2,H100=1),"Рабочий признак",IF(H100=1,"Слабый признак","Отсутствует"))))</f>
        <v/>
      </c>
      <c r="N100" s="2" t="inlineStr">
        <is>
          <t>Конкурентная норма с высоким влиянием; включить в минимальный состав NotaCode</t>
        </is>
      </c>
    </row>
    <row r="101" ht="25.5" customHeight="1">
      <c r="A101" s="2" t="inlineStr">
        <is>
          <t>C06</t>
        </is>
      </c>
      <c r="B101" s="2" t="inlineStr">
        <is>
          <t>Lucidchart</t>
        </is>
      </c>
      <c r="C101" s="2" t="inlineStr">
        <is>
          <t>https://lucid.app/pricing/lucidchart</t>
        </is>
      </c>
      <c r="D101" s="2" t="inlineStr">
        <is>
          <t>3. Ожидаемый товар</t>
        </is>
      </c>
      <c r="E101" s="2" t="inlineStr">
        <is>
          <t>Пробный период платного тарифа</t>
        </is>
      </c>
      <c r="F101" s="2" t="inlineStr">
        <is>
          <t>Пробный период 7 дней со всеми платными функциями, карта нужна при регистрации</t>
        </is>
      </c>
      <c r="G101" s="2" t="inlineStr">
        <is>
          <t>Страницы сайта, просмотр 01.10.2026</t>
        </is>
      </c>
      <c r="H101" s="2" t="n">
        <v>1</v>
      </c>
      <c r="I101" s="2" t="n">
        <v>3</v>
      </c>
      <c r="J101" s="2" t="n">
        <v>3</v>
      </c>
      <c r="K101" s="2" t="n">
        <v>2</v>
      </c>
      <c r="L101" s="2">
        <f>IF(OR(H101="",I101="",J101="",K101=""),"",ROUND(H101*((I101+J101)/6)*K101,2))</f>
        <v/>
      </c>
      <c r="M101" s="2">
        <f>IF(L101="","",IF(AND(L101&gt;=3.5,H101=1),"Сильный признак",IF(AND(L101&gt;=2,H101=1),"Рабочий признак",IF(H101=1,"Слабый признак","Отсутствует"))))</f>
        <v/>
      </c>
      <c r="N101" s="2" t="inlineStr">
        <is>
          <t>Конкурентная норма с высоким влиянием; включить в минимальный состав NotaCode</t>
        </is>
      </c>
    </row>
    <row r="102" ht="25.5" customHeight="1">
      <c r="A102" s="2" t="inlineStr">
        <is>
          <t>C06</t>
        </is>
      </c>
      <c r="B102" s="2" t="inlineStr">
        <is>
          <t>Lucidchart</t>
        </is>
      </c>
      <c r="C102" s="2" t="inlineStr">
        <is>
          <t>https://www.lucidchart.com/</t>
        </is>
      </c>
      <c r="D102" s="2" t="inlineStr">
        <is>
          <t>4. Расширенный товар</t>
        </is>
      </c>
      <c r="E102" s="2" t="inlineStr">
        <is>
          <t>ИИ-генерация или ИИ-помощник</t>
        </is>
      </c>
      <c r="F102" s="2" t="inlineStr">
        <is>
          <t>Признак найден на просмотренных страницах: ии-генерация или ии-помощник</t>
        </is>
      </c>
      <c r="G102" s="2" t="inlineStr">
        <is>
          <t>Страницы сайта, просмотр 01.10.2026</t>
        </is>
      </c>
      <c r="H102" s="2" t="n">
        <v>1</v>
      </c>
      <c r="I102" s="2" t="n">
        <v>3</v>
      </c>
      <c r="J102" s="2" t="n">
        <v>3</v>
      </c>
      <c r="K102" s="2" t="n">
        <v>4</v>
      </c>
      <c r="L102" s="2">
        <f>IF(OR(H102="",I102="",J102="",K102=""),"",ROUND(H102*((I102+J102)/6)*K102,2))</f>
        <v/>
      </c>
      <c r="M102" s="2">
        <f>IF(L102="","",IF(AND(L102&gt;=3.5,H102=1),"Сильный признак",IF(AND(L102&gt;=2,H102=1),"Рабочий признак",IF(H102=1,"Слабый признак","Отсутствует"))))</f>
        <v/>
      </c>
      <c r="N102" s="2" t="inlineStr">
        <is>
          <t>Конкурентная норма с высоким влиянием; включить в минимальный состав NotaCode</t>
        </is>
      </c>
    </row>
    <row r="103" ht="25.5" customHeight="1">
      <c r="A103" s="2" t="inlineStr">
        <is>
          <t>C06</t>
        </is>
      </c>
      <c r="B103" s="2" t="inlineStr">
        <is>
          <t>Lucidchart</t>
        </is>
      </c>
      <c r="C103" s="2" t="inlineStr">
        <is>
          <t>https://www.lucidchart.com/</t>
        </is>
      </c>
      <c r="D103" s="2" t="inlineStr">
        <is>
          <t>3. Ожидаемый товар</t>
        </is>
      </c>
      <c r="E103" s="2" t="inlineStr">
        <is>
          <t>Интеграции с другими сервисами</t>
        </is>
      </c>
      <c r="F103" s="2" t="inlineStr">
        <is>
          <t>Признак найден на просмотренных страницах: интеграции с другими сервисами</t>
        </is>
      </c>
      <c r="G103" s="2" t="inlineStr">
        <is>
          <t>Страницы сайта, просмотр 01.10.2026</t>
        </is>
      </c>
      <c r="H103" s="2" t="n">
        <v>1</v>
      </c>
      <c r="I103" s="2" t="n">
        <v>2</v>
      </c>
      <c r="J103" s="2" t="n">
        <v>3</v>
      </c>
      <c r="K103" s="2" t="n">
        <v>4</v>
      </c>
      <c r="L103" s="2">
        <f>IF(OR(H103="",I103="",J103="",K103=""),"",ROUND(H103*((I103+J103)/6)*K103,2))</f>
        <v/>
      </c>
      <c r="M103" s="2">
        <f>IF(L103="","",IF(AND(L103&gt;=3.5,H103=1),"Сильный признак",IF(AND(L103&gt;=2,H103=1),"Рабочий признак",IF(H103=1,"Слабый признак","Отсутствует"))))</f>
        <v/>
      </c>
      <c r="N103" s="2" t="inlineStr">
        <is>
          <t>Конкурентная норма с высоким влиянием; включить в минимальный состав NotaCode</t>
        </is>
      </c>
    </row>
    <row r="104" ht="25.5" customHeight="1">
      <c r="A104" s="2" t="inlineStr">
        <is>
          <t>C06</t>
        </is>
      </c>
      <c r="B104" s="2" t="inlineStr">
        <is>
          <t>Lucidchart</t>
        </is>
      </c>
      <c r="C104" s="2" t="inlineStr">
        <is>
          <t>https://www.lucidchart.com/</t>
        </is>
      </c>
      <c r="D104" s="2" t="inlineStr">
        <is>
          <t>4. Расширенный товар</t>
        </is>
      </c>
      <c r="E104" s="2" t="inlineStr">
        <is>
          <t>API или платформа разработчика</t>
        </is>
      </c>
      <c r="F104" s="2" t="inlineStr">
        <is>
          <t>Признак найден на просмотренных страницах: api или платформа разработчика</t>
        </is>
      </c>
      <c r="G104" s="2" t="inlineStr">
        <is>
          <t>Страницы сайта, просмотр 01.10.2026</t>
        </is>
      </c>
      <c r="H104" s="2" t="n">
        <v>1</v>
      </c>
      <c r="I104" s="2" t="n">
        <v>3</v>
      </c>
      <c r="J104" s="2" t="n">
        <v>3</v>
      </c>
      <c r="K104" s="2" t="n">
        <v>3</v>
      </c>
      <c r="L104" s="2">
        <f>IF(OR(H104="",I104="",J104="",K104=""),"",ROUND(H104*((I104+J104)/6)*K104,2))</f>
        <v/>
      </c>
      <c r="M104" s="2">
        <f>IF(L104="","",IF(AND(L104&gt;=3.5,H104=1),"Сильный признак",IF(AND(L104&gt;=2,H104=1),"Рабочий признак",IF(H104=1,"Слабый признак","Отсутствует"))))</f>
        <v/>
      </c>
      <c r="N104" s="2" t="inlineStr">
        <is>
          <t>Конкурентная норма с высоким влиянием; включить в минимальный состав NotaCode</t>
        </is>
      </c>
    </row>
    <row r="105" ht="25.5" customHeight="1">
      <c r="A105" s="2" t="inlineStr">
        <is>
          <t>C06</t>
        </is>
      </c>
      <c r="B105" s="2" t="inlineStr">
        <is>
          <t>Lucidchart</t>
        </is>
      </c>
      <c r="C105" s="2" t="inlineStr">
        <is>
          <t>https://www.lucidchart.com/</t>
        </is>
      </c>
      <c r="D105" s="2" t="inlineStr">
        <is>
          <t>4. Расширенный товар</t>
        </is>
      </c>
      <c r="E105" s="2" t="inlineStr">
        <is>
          <t>Независимые отзывы и оценки</t>
        </is>
      </c>
      <c r="F105" s="2" t="inlineStr">
        <is>
          <t>Признак найден на просмотренных страницах: независимые отзывы и оценки</t>
        </is>
      </c>
      <c r="G105" s="2" t="inlineStr">
        <is>
          <t>Страницы сайта, просмотр 01.10.2026</t>
        </is>
      </c>
      <c r="H105" s="2" t="n">
        <v>1</v>
      </c>
      <c r="I105" s="2" t="n">
        <v>2</v>
      </c>
      <c r="J105" s="2" t="n">
        <v>3</v>
      </c>
      <c r="K105" s="2" t="n">
        <v>3</v>
      </c>
      <c r="L105" s="2">
        <f>IF(OR(H105="",I105="",J105="",K105=""),"",ROUND(H105*((I105+J105)/6)*K105,2))</f>
        <v/>
      </c>
      <c r="M105" s="2">
        <f>IF(L105="","",IF(AND(L105&gt;=3.5,H105=1),"Сильный признак",IF(AND(L105&gt;=2,H105=1),"Рабочий признак",IF(H105=1,"Слабый признак","Отсутствует"))))</f>
        <v/>
      </c>
      <c r="N105" s="2" t="inlineStr">
        <is>
          <t>Конкурентная норма с высоким влиянием; включить в минимальный состав NotaCode</t>
        </is>
      </c>
    </row>
    <row r="106" ht="25.5" customHeight="1">
      <c r="A106" s="2" t="inlineStr">
        <is>
          <t>C06</t>
        </is>
      </c>
      <c r="B106" s="2" t="inlineStr">
        <is>
          <t>Lucidchart</t>
        </is>
      </c>
      <c r="C106" s="2" t="inlineStr">
        <is>
          <t>https://www.lucidchart.com/</t>
        </is>
      </c>
      <c r="D106" s="2" t="inlineStr">
        <is>
          <t>4. Расширенный товар</t>
        </is>
      </c>
      <c r="E106" s="2" t="inlineStr">
        <is>
          <t>Данные о числе пользователей или клиентов на сайте</t>
        </is>
      </c>
      <c r="F106" s="2" t="inlineStr">
        <is>
          <t>«trusted partner of 99% of the Fortune 500»</t>
        </is>
      </c>
      <c r="G106" s="2" t="inlineStr">
        <is>
          <t>Страницы сайта, просмотр 01.10.2026</t>
        </is>
      </c>
      <c r="H106" s="2" t="n">
        <v>1</v>
      </c>
      <c r="I106" s="2" t="n">
        <v>2</v>
      </c>
      <c r="J106" s="2" t="n">
        <v>3</v>
      </c>
      <c r="K106" s="2" t="n">
        <v>3</v>
      </c>
      <c r="L106" s="2">
        <f>IF(OR(H106="",I106="",J106="",K106=""),"",ROUND(H106*((I106+J106)/6)*K106,2))</f>
        <v/>
      </c>
      <c r="M106" s="2">
        <f>IF(L106="","",IF(AND(L106&gt;=3.5,H106=1),"Сильный признак",IF(AND(L106&gt;=2,H106=1),"Рабочий признак",IF(H106=1,"Слабый признак","Отсутствует"))))</f>
        <v/>
      </c>
      <c r="N106" s="2" t="inlineStr">
        <is>
          <t>Конкурентная норма с высоким влиянием; включить в минимальный состав NotaCode</t>
        </is>
      </c>
    </row>
    <row r="107" ht="38.25" customHeight="1">
      <c r="A107" s="2" t="inlineStr">
        <is>
          <t>C06</t>
        </is>
      </c>
      <c r="B107" s="2" t="inlineStr">
        <is>
          <t>Lucidchart</t>
        </is>
      </c>
      <c r="C107" s="2" t="inlineStr">
        <is>
          <t>https://www.lucidchart.com/</t>
        </is>
      </c>
      <c r="D107" s="2" t="inlineStr">
        <is>
          <t>4. Расширенный товар</t>
        </is>
      </c>
      <c r="E107" s="2" t="inlineStr">
        <is>
          <t>Раздел или упоминание о безопасности и приватности</t>
        </is>
      </c>
      <c r="F107" s="2" t="inlineStr">
        <is>
          <t>Признак найден на просмотренных страницах: раздел или упоминание о безопасности и приватности</t>
        </is>
      </c>
      <c r="G107" s="2" t="inlineStr">
        <is>
          <t>Страницы сайта, просмотр 01.10.2026</t>
        </is>
      </c>
      <c r="H107" s="2" t="n">
        <v>1</v>
      </c>
      <c r="I107" s="2" t="n">
        <v>2</v>
      </c>
      <c r="J107" s="2" t="n">
        <v>3</v>
      </c>
      <c r="K107" s="2" t="n">
        <v>3</v>
      </c>
      <c r="L107" s="2">
        <f>IF(OR(H107="",I107="",J107="",K107=""),"",ROUND(H107*((I107+J107)/6)*K107,2))</f>
        <v/>
      </c>
      <c r="M107" s="2">
        <f>IF(L107="","",IF(AND(L107&gt;=3.5,H107=1),"Сильный признак",IF(AND(L107&gt;=2,H107=1),"Рабочий признак",IF(H107=1,"Слабый признак","Отсутствует"))))</f>
        <v/>
      </c>
      <c r="N107" s="2" t="inlineStr">
        <is>
          <t>Конкурентная норма с высоким влиянием; включить в минимальный состав NotaCode</t>
        </is>
      </c>
    </row>
    <row r="108">
      <c r="A108" s="2" t="inlineStr">
        <is>
          <t>C06</t>
        </is>
      </c>
      <c r="B108" s="2" t="inlineStr">
        <is>
          <t>Lucidchart</t>
        </is>
      </c>
      <c r="C108" s="2" t="inlineStr">
        <is>
          <t>https://lucid.app/pricing/lucidchart</t>
        </is>
      </c>
      <c r="D108" s="2" t="inlineStr">
        <is>
          <t>4. Расширенный товар</t>
        </is>
      </c>
      <c r="E108" s="2" t="inlineStr">
        <is>
          <t>Единый вход SSO или SAML</t>
        </is>
      </c>
      <c r="F108" s="2" t="inlineStr">
        <is>
          <t>SAML authentication в тарифе Enterprise</t>
        </is>
      </c>
      <c r="G108" s="2" t="inlineStr">
        <is>
          <t>Страницы сайта, просмотр 01.10.2026</t>
        </is>
      </c>
      <c r="H108" s="2" t="n">
        <v>1</v>
      </c>
      <c r="I108" s="2" t="n">
        <v>3</v>
      </c>
      <c r="J108" s="2" t="n">
        <v>3</v>
      </c>
      <c r="K108" s="2" t="n">
        <v>2</v>
      </c>
      <c r="L108" s="2">
        <f>IF(OR(H108="",I108="",J108="",K108=""),"",ROUND(H108*((I108+J108)/6)*K108,2))</f>
        <v/>
      </c>
      <c r="M108" s="2">
        <f>IF(L108="","",IF(AND(L108&gt;=3.5,H108=1),"Сильный признак",IF(AND(L108&gt;=2,H108=1),"Рабочий признак",IF(H108=1,"Слабый признак","Отсутствует"))))</f>
        <v/>
      </c>
      <c r="N108" s="2" t="inlineStr">
        <is>
          <t>Конкурентная норма с высоким влиянием; включить в минимальный состав NotaCode</t>
        </is>
      </c>
    </row>
    <row r="109" ht="25.5" customHeight="1">
      <c r="A109" s="2" t="inlineStr">
        <is>
          <t>C06</t>
        </is>
      </c>
      <c r="B109" s="2" t="inlineStr">
        <is>
          <t>Lucidchart</t>
        </is>
      </c>
      <c r="C109" s="2" t="inlineStr">
        <is>
          <t>https://www.lucidchart.com/</t>
        </is>
      </c>
      <c r="D109" s="2" t="inlineStr">
        <is>
          <t>3. Ожидаемый товар</t>
        </is>
      </c>
      <c r="E109" s="2" t="inlineStr">
        <is>
          <t>Вход и личный кабинет</t>
        </is>
      </c>
      <c r="F109" s="2" t="inlineStr">
        <is>
          <t>Признак найден на просмотренных страницах: вход и личный кабинет</t>
        </is>
      </c>
      <c r="G109" s="2" t="inlineStr">
        <is>
          <t>Страницы сайта, просмотр 01.10.2026</t>
        </is>
      </c>
      <c r="H109" s="2" t="n">
        <v>1</v>
      </c>
      <c r="I109" s="2" t="n">
        <v>2</v>
      </c>
      <c r="J109" s="2" t="n">
        <v>3</v>
      </c>
      <c r="K109" s="2" t="n">
        <v>3</v>
      </c>
      <c r="L109" s="2">
        <f>IF(OR(H109="",I109="",J109="",K109=""),"",ROUND(H109*((I109+J109)/6)*K109,2))</f>
        <v/>
      </c>
      <c r="M109" s="2">
        <f>IF(L109="","",IF(AND(L109&gt;=3.5,H109=1),"Сильный признак",IF(AND(L109&gt;=2,H109=1),"Рабочий признак",IF(H109=1,"Слабый признак","Отсутствует"))))</f>
        <v/>
      </c>
      <c r="N109" s="2" t="inlineStr">
        <is>
          <t>Конкурентная норма с высоким влиянием; включить в минимальный состав NotaCode</t>
        </is>
      </c>
    </row>
    <row r="110" ht="25.5" customHeight="1">
      <c r="A110" s="2" t="inlineStr">
        <is>
          <t>C06</t>
        </is>
      </c>
      <c r="B110" s="2" t="inlineStr">
        <is>
          <t>Lucidchart</t>
        </is>
      </c>
      <c r="C110" s="2" t="inlineStr">
        <is>
          <t>https://www.lucidchart.com/</t>
        </is>
      </c>
      <c r="D110" s="2" t="inlineStr">
        <is>
          <t>3. Ожидаемый товар</t>
        </is>
      </c>
      <c r="E110" s="2" t="inlineStr">
        <is>
          <t>Шаблоны диаграмм</t>
        </is>
      </c>
      <c r="F110" s="2" t="inlineStr">
        <is>
          <t>100 шаблонов в Free; более 1 000 премиум-шаблонов в платных тарифах</t>
        </is>
      </c>
      <c r="G110" s="2" t="inlineStr">
        <is>
          <t>Страницы сайта, просмотр 01.10.2026</t>
        </is>
      </c>
      <c r="H110" s="2" t="n">
        <v>1</v>
      </c>
      <c r="I110" s="2" t="n">
        <v>3</v>
      </c>
      <c r="J110" s="2" t="n">
        <v>3</v>
      </c>
      <c r="K110" s="2" t="n">
        <v>4</v>
      </c>
      <c r="L110" s="2">
        <f>IF(OR(H110="",I110="",J110="",K110=""),"",ROUND(H110*((I110+J110)/6)*K110,2))</f>
        <v/>
      </c>
      <c r="M110" s="2">
        <f>IF(L110="","",IF(AND(L110&gt;=3.5,H110=1),"Сильный признак",IF(AND(L110&gt;=2,H110=1),"Рабочий признак",IF(H110=1,"Слабый признак","Отсутствует"))))</f>
        <v/>
      </c>
      <c r="N110" s="2" t="inlineStr">
        <is>
          <t>Конкурентная норма с высоким влиянием; включить в минимальный состав NotaCode</t>
        </is>
      </c>
    </row>
    <row r="111" ht="25.5" customHeight="1">
      <c r="A111" s="2" t="inlineStr">
        <is>
          <t>C06</t>
        </is>
      </c>
      <c r="B111" s="2" t="inlineStr">
        <is>
          <t>Lucidchart</t>
        </is>
      </c>
      <c r="C111" s="2" t="inlineStr">
        <is>
          <t>https://www.lucidchart.com/</t>
        </is>
      </c>
      <c r="D111" s="2" t="inlineStr">
        <is>
          <t>3. Ожидаемый товар</t>
        </is>
      </c>
      <c r="E111" s="2" t="inlineStr">
        <is>
          <t>Совместная работа в реальном времени</t>
        </is>
      </c>
      <c r="F111" s="2" t="inlineStr">
        <is>
          <t>Признак найден на просмотренных страницах: совместная работа в реальном времени</t>
        </is>
      </c>
      <c r="G111" s="2" t="inlineStr">
        <is>
          <t>Страницы сайта, просмотр 01.10.2026</t>
        </is>
      </c>
      <c r="H111" s="2" t="n">
        <v>1</v>
      </c>
      <c r="I111" s="2" t="n">
        <v>3</v>
      </c>
      <c r="J111" s="2" t="n">
        <v>3</v>
      </c>
      <c r="K111" s="2" t="n">
        <v>4</v>
      </c>
      <c r="L111" s="2">
        <f>IF(OR(H111="",I111="",J111="",K111=""),"",ROUND(H111*((I111+J111)/6)*K111,2))</f>
        <v/>
      </c>
      <c r="M111" s="2">
        <f>IF(L111="","",IF(AND(L111&gt;=3.5,H111=1),"Сильный признак",IF(AND(L111&gt;=2,H111=1),"Рабочий признак",IF(H111=1,"Слабый признак","Отсутствует"))))</f>
        <v/>
      </c>
      <c r="N111" s="2" t="inlineStr">
        <is>
          <t>Конкурентная норма с высоким влиянием; включить в минимальный состав NotaCode</t>
        </is>
      </c>
    </row>
    <row r="112" ht="25.5" customHeight="1">
      <c r="A112" s="2" t="inlineStr">
        <is>
          <t>C06</t>
        </is>
      </c>
      <c r="B112" s="2" t="inlineStr">
        <is>
          <t>Lucidchart</t>
        </is>
      </c>
      <c r="C112" s="2" t="inlineStr">
        <is>
          <t>https://www.lucidchart.com/</t>
        </is>
      </c>
      <c r="D112" s="2" t="inlineStr">
        <is>
          <t>3. Ожидаемый товар</t>
        </is>
      </c>
      <c r="E112" s="2" t="inlineStr">
        <is>
          <t>Экспорт диаграмм (PNG, SVG, PDF и др.)</t>
        </is>
      </c>
      <c r="F112" s="2" t="inlineStr">
        <is>
          <t>Признак найден на просмотренных страницах: экспорт диаграмм (png, svg, pdf и др.)</t>
        </is>
      </c>
      <c r="G112" s="2" t="inlineStr">
        <is>
          <t>Страницы сайта, просмотр 01.10.2026</t>
        </is>
      </c>
      <c r="H112" s="2" t="n">
        <v>1</v>
      </c>
      <c r="I112" s="2" t="n">
        <v>3</v>
      </c>
      <c r="J112" s="2" t="n">
        <v>3</v>
      </c>
      <c r="K112" s="2" t="n">
        <v>5</v>
      </c>
      <c r="L112" s="2">
        <f>IF(OR(H112="",I112="",J112="",K112=""),"",ROUND(H112*((I112+J112)/6)*K112,2))</f>
        <v/>
      </c>
      <c r="M112" s="2">
        <f>IF(L112="","",IF(AND(L112&gt;=3.5,H112=1),"Сильный признак",IF(AND(L112&gt;=2,H112=1),"Рабочий признак",IF(H112=1,"Слабый признак","Отсутствует"))))</f>
        <v/>
      </c>
      <c r="N112" s="2" t="inlineStr">
        <is>
          <t>Конкурентная норма с высоким влиянием; включить в минимальный состав NotaCode</t>
        </is>
      </c>
    </row>
    <row r="113" ht="25.5" customHeight="1">
      <c r="A113" s="2" t="inlineStr">
        <is>
          <t>C06</t>
        </is>
      </c>
      <c r="B113" s="2" t="inlineStr">
        <is>
          <t>Lucidchart</t>
        </is>
      </c>
      <c r="C113" s="2" t="inlineStr">
        <is>
          <t>https://www.lucidchart.com/</t>
        </is>
      </c>
      <c r="D113" s="2" t="inlineStr">
        <is>
          <t>4. Расширенный товар</t>
        </is>
      </c>
      <c r="E113" s="2" t="inlineStr">
        <is>
          <t>История версий</t>
        </is>
      </c>
      <c r="F113" s="2" t="inlineStr">
        <is>
          <t>Признак найден на просмотренных страницах: история версий</t>
        </is>
      </c>
      <c r="G113" s="2" t="inlineStr">
        <is>
          <t>Страницы сайта, просмотр 01.10.2026</t>
        </is>
      </c>
      <c r="H113" s="2" t="n">
        <v>1</v>
      </c>
      <c r="I113" s="2" t="n">
        <v>3</v>
      </c>
      <c r="J113" s="2" t="n">
        <v>3</v>
      </c>
      <c r="K113" s="2" t="n">
        <v>3</v>
      </c>
      <c r="L113" s="2">
        <f>IF(OR(H113="",I113="",J113="",K113=""),"",ROUND(H113*((I113+J113)/6)*K113,2))</f>
        <v/>
      </c>
      <c r="M113" s="2">
        <f>IF(L113="","",IF(AND(L113&gt;=3.5,H113=1),"Сильный признак",IF(AND(L113&gt;=2,H113=1),"Рабочий признак",IF(H113=1,"Слабый признак","Отсутствует"))))</f>
        <v/>
      </c>
      <c r="N113" s="2" t="inlineStr">
        <is>
          <t>Конкурентная норма с высоким влиянием; включить в минимальный состав NotaCode</t>
        </is>
      </c>
    </row>
    <row r="114" ht="25.5" customHeight="1">
      <c r="A114" s="2" t="inlineStr">
        <is>
          <t>C06</t>
        </is>
      </c>
      <c r="B114" s="2" t="inlineStr">
        <is>
          <t>Lucidchart</t>
        </is>
      </c>
      <c r="C114" s="2" t="inlineStr">
        <is>
          <t>https://www.lucidchart.com/</t>
        </is>
      </c>
      <c r="D114" s="2" t="inlineStr">
        <is>
          <t>3. Ожидаемый товар</t>
        </is>
      </c>
      <c r="E114" s="2" t="inlineStr">
        <is>
          <t>Документация и руководства</t>
        </is>
      </c>
      <c r="F114" s="2" t="inlineStr">
        <is>
          <t>Признак найден на просмотренных страницах: документация и руководства</t>
        </is>
      </c>
      <c r="G114" s="2" t="inlineStr">
        <is>
          <t>Страницы сайта, просмотр 01.10.2026</t>
        </is>
      </c>
      <c r="H114" s="2" t="n">
        <v>1</v>
      </c>
      <c r="I114" s="2" t="n">
        <v>3</v>
      </c>
      <c r="J114" s="2" t="n">
        <v>3</v>
      </c>
      <c r="K114" s="2" t="n">
        <v>4</v>
      </c>
      <c r="L114" s="2">
        <f>IF(OR(H114="",I114="",J114="",K114=""),"",ROUND(H114*((I114+J114)/6)*K114,2))</f>
        <v/>
      </c>
      <c r="M114" s="2">
        <f>IF(L114="","",IF(AND(L114&gt;=3.5,H114=1),"Сильный признак",IF(AND(L114&gt;=2,H114=1),"Рабочий признак",IF(H114=1,"Слабый признак","Отсутствует"))))</f>
        <v/>
      </c>
      <c r="N114" s="2" t="inlineStr">
        <is>
          <t>Конкурентная норма с высоким влиянием; включить в минимальный состав NotaCode</t>
        </is>
      </c>
    </row>
    <row r="115" ht="25.5" customHeight="1">
      <c r="A115" s="2" t="inlineStr">
        <is>
          <t>C06</t>
        </is>
      </c>
      <c r="B115" s="2" t="inlineStr">
        <is>
          <t>Lucidchart</t>
        </is>
      </c>
      <c r="C115" s="2" t="inlineStr">
        <is>
          <t>https://www.lucidchart.com/</t>
        </is>
      </c>
      <c r="D115" s="2" t="inlineStr">
        <is>
          <t>3. Ожидаемый товар</t>
        </is>
      </c>
      <c r="E115" s="2" t="inlineStr">
        <is>
          <t>Диаграммы UML</t>
        </is>
      </c>
      <c r="F115" s="2" t="inlineStr">
        <is>
          <t>Признак найден на просмотренных страницах: диаграммы uml</t>
        </is>
      </c>
      <c r="G115" s="2" t="inlineStr">
        <is>
          <t>Страницы сайта, просмотр 01.10.2026</t>
        </is>
      </c>
      <c r="H115" s="2" t="n">
        <v>1</v>
      </c>
      <c r="I115" s="2" t="n">
        <v>3</v>
      </c>
      <c r="J115" s="2" t="n">
        <v>3</v>
      </c>
      <c r="K115" s="2" t="n">
        <v>5</v>
      </c>
      <c r="L115" s="2">
        <f>IF(OR(H115="",I115="",J115="",K115=""),"",ROUND(H115*((I115+J115)/6)*K115,2))</f>
        <v/>
      </c>
      <c r="M115" s="2">
        <f>IF(L115="","",IF(AND(L115&gt;=3.5,H115=1),"Сильный признак",IF(AND(L115&gt;=2,H115=1),"Рабочий признак",IF(H115=1,"Слабый признак","Отсутствует"))))</f>
        <v/>
      </c>
      <c r="N115" s="2" t="inlineStr">
        <is>
          <t>Конкурентная норма с высоким влиянием; включить в минимальный состав NotaCode</t>
        </is>
      </c>
    </row>
    <row r="116" ht="25.5" customHeight="1">
      <c r="A116" s="2" t="inlineStr">
        <is>
          <t>C06</t>
        </is>
      </c>
      <c r="B116" s="2" t="inlineStr">
        <is>
          <t>Lucidchart</t>
        </is>
      </c>
      <c r="C116" s="2" t="inlineStr">
        <is>
          <t>https://www.lucidchart.com/</t>
        </is>
      </c>
      <c r="D116" s="2" t="inlineStr">
        <is>
          <t>4. Расширенный товар</t>
        </is>
      </c>
      <c r="E116" s="2" t="inlineStr">
        <is>
          <t>Диаграммы BPMN</t>
        </is>
      </c>
      <c r="F116" s="2" t="inlineStr">
        <is>
          <t>Признак найден на просмотренных страницах: диаграммы bpmn</t>
        </is>
      </c>
      <c r="G116" s="2" t="inlineStr">
        <is>
          <t>Страницы сайта, просмотр 01.10.2026</t>
        </is>
      </c>
      <c r="H116" s="2" t="n">
        <v>1</v>
      </c>
      <c r="I116" s="2" t="n">
        <v>3</v>
      </c>
      <c r="J116" s="2" t="n">
        <v>3</v>
      </c>
      <c r="K116" s="2" t="n">
        <v>4</v>
      </c>
      <c r="L116" s="2">
        <f>IF(OR(H116="",I116="",J116="",K116=""),"",ROUND(H116*((I116+J116)/6)*K116,2))</f>
        <v/>
      </c>
      <c r="M116" s="2">
        <f>IF(L116="","",IF(AND(L116&gt;=3.5,H116=1),"Сильный признак",IF(AND(L116&gt;=2,H116=1),"Рабочий признак",IF(H116=1,"Слабый признак","Отсутствует"))))</f>
        <v/>
      </c>
      <c r="N116" s="2" t="inlineStr">
        <is>
          <t>Конкурентная норма с высоким влиянием; включить в минимальный состав NotaCode</t>
        </is>
      </c>
    </row>
    <row r="117" ht="25.5" customHeight="1">
      <c r="A117" s="2" t="inlineStr">
        <is>
          <t>C06</t>
        </is>
      </c>
      <c r="B117" s="2" t="inlineStr">
        <is>
          <t>Lucidchart</t>
        </is>
      </c>
      <c r="C117" s="2" t="inlineStr">
        <is>
          <t>https://www.lucidchart.com/</t>
        </is>
      </c>
      <c r="D117" s="2" t="inlineStr">
        <is>
          <t>4. Расширенный товар</t>
        </is>
      </c>
      <c r="E117" s="2" t="inlineStr">
        <is>
          <t>Диаграммы ERD</t>
        </is>
      </c>
      <c r="F117" s="2" t="inlineStr">
        <is>
          <t>Признак найден на просмотренных страницах: диаграммы erd</t>
        </is>
      </c>
      <c r="G117" s="2" t="inlineStr">
        <is>
          <t>Страницы сайта, просмотр 01.10.2026</t>
        </is>
      </c>
      <c r="H117" s="2" t="n">
        <v>1</v>
      </c>
      <c r="I117" s="2" t="n">
        <v>3</v>
      </c>
      <c r="J117" s="2" t="n">
        <v>3</v>
      </c>
      <c r="K117" s="2" t="n">
        <v>4</v>
      </c>
      <c r="L117" s="2">
        <f>IF(OR(H117="",I117="",J117="",K117=""),"",ROUND(H117*((I117+J117)/6)*K117,2))</f>
        <v/>
      </c>
      <c r="M117" s="2">
        <f>IF(L117="","",IF(AND(L117&gt;=3.5,H117=1),"Сильный признак",IF(AND(L117&gt;=2,H117=1),"Рабочий признак",IF(H117=1,"Слабый признак","Отсутствует"))))</f>
        <v/>
      </c>
      <c r="N117" s="2" t="inlineStr">
        <is>
          <t>Конкурентная норма с высоким влиянием; включить в минимальный состав NotaCode</t>
        </is>
      </c>
    </row>
    <row r="118" ht="38.25" customHeight="1">
      <c r="A118" s="2" t="inlineStr">
        <is>
          <t>C06</t>
        </is>
      </c>
      <c r="B118" s="2" t="inlineStr">
        <is>
          <t>Lucidchart</t>
        </is>
      </c>
      <c r="C118" s="2" t="inlineStr">
        <is>
          <t>https://www.lucidchart.com/</t>
        </is>
      </c>
      <c r="D118" s="2" t="inlineStr">
        <is>
          <t>5. Потенциальный товар</t>
        </is>
      </c>
      <c r="E118" s="2" t="inlineStr">
        <is>
          <t>Признаки развития (ИИ-помощник, MCP, новые функции)</t>
        </is>
      </c>
      <c r="F118" s="2" t="inlineStr">
        <is>
          <t>Признак найден на просмотренных страницах: признаки развития (ии-помощник, mcp, новые функции)</t>
        </is>
      </c>
      <c r="G118" s="2" t="inlineStr">
        <is>
          <t>Страницы сайта, просмотр 01.10.2026</t>
        </is>
      </c>
      <c r="H118" s="2" t="n">
        <v>1</v>
      </c>
      <c r="I118" s="2" t="n">
        <v>2</v>
      </c>
      <c r="J118" s="2" t="n">
        <v>3</v>
      </c>
      <c r="K118" s="2" t="n">
        <v>3</v>
      </c>
      <c r="L118" s="2">
        <f>IF(OR(H118="",I118="",J118="",K118=""),"",ROUND(H118*((I118+J118)/6)*K118,2))</f>
        <v/>
      </c>
      <c r="M118" s="2">
        <f>IF(L118="","",IF(AND(L118&gt;=3.5,H118=1),"Сильный признак",IF(AND(L118&gt;=2,H118=1),"Рабочий признак",IF(H118=1,"Слабый признак","Отсутствует"))))</f>
        <v/>
      </c>
      <c r="N118" s="2" t="inlineStr">
        <is>
          <t>Конкурентная норма с высоким влиянием; включить в минимальный состав NotaCode</t>
        </is>
      </c>
    </row>
    <row r="119" ht="25.5" customHeight="1">
      <c r="A119" s="2" t="inlineStr">
        <is>
          <t>C07</t>
        </is>
      </c>
      <c r="B119" s="2" t="inlineStr">
        <is>
          <t>Eraser</t>
        </is>
      </c>
      <c r="C119" s="2" t="inlineStr">
        <is>
          <t>https://www.eraser.io/</t>
        </is>
      </c>
      <c r="D119" s="2" t="inlineStr">
        <is>
          <t>1. Базовая выгода</t>
        </is>
      </c>
      <c r="E119" s="2" t="inlineStr">
        <is>
          <t>Основное обещание главной страницы</t>
        </is>
      </c>
      <c r="F119" s="2" t="inlineStr">
        <is>
          <t>«AI for diagrams that matter»; «Create technical diagrams using AI»</t>
        </is>
      </c>
      <c r="G119" s="2" t="inlineStr">
        <is>
          <t>Главная страница, просмотр 01.10.2026</t>
        </is>
      </c>
      <c r="H119" s="2" t="n">
        <v>1</v>
      </c>
      <c r="I119" s="2" t="n">
        <v>3</v>
      </c>
      <c r="J119" s="2" t="n">
        <v>3</v>
      </c>
      <c r="K119" s="2" t="n">
        <v>5</v>
      </c>
      <c r="L119" s="2">
        <f>IF(OR(H119="",I119="",J119="",K119=""),"",ROUND(H119*((I119+J119)/6)*K119,2))</f>
        <v/>
      </c>
      <c r="M119" s="2">
        <f>IF(L119="","",IF(AND(L119&gt;=3.5,H119=1),"Сильный признак",IF(AND(L119&gt;=2,H119=1),"Рабочий признак",IF(H119=1,"Слабый признак","Отсутствует"))))</f>
        <v/>
      </c>
      <c r="N119" s="2" t="inlineStr">
        <is>
          <t>Конкурентная норма с высоким влиянием; включить в минимальный состав NotaCode</t>
        </is>
      </c>
    </row>
    <row r="120" ht="25.5" customHeight="1">
      <c r="A120" s="2" t="inlineStr">
        <is>
          <t>C07</t>
        </is>
      </c>
      <c r="B120" s="2" t="inlineStr">
        <is>
          <t>Eraser</t>
        </is>
      </c>
      <c r="C120" s="2" t="inlineStr">
        <is>
          <t>https://www.eraser.io/</t>
        </is>
      </c>
      <c r="D120" s="2" t="inlineStr">
        <is>
          <t>2. Родовой товар</t>
        </is>
      </c>
      <c r="E120" s="2" t="inlineStr">
        <is>
          <t>Форма поставки товара</t>
        </is>
      </c>
      <c r="F120" s="2" t="inlineStr">
        <is>
          <t>ИИ-генерация технических диаграмм: Создание технических диаграмм с помощью ИИ</t>
        </is>
      </c>
      <c r="G120" s="2" t="inlineStr">
        <is>
          <t>Страницы сайта, ЛР1 табл. 42, ЛР4</t>
        </is>
      </c>
      <c r="H120" s="2" t="n">
        <v>1</v>
      </c>
      <c r="I120" s="2" t="n">
        <v>3</v>
      </c>
      <c r="J120" s="2" t="n">
        <v>3</v>
      </c>
      <c r="K120" s="2" t="n">
        <v>4</v>
      </c>
      <c r="L120" s="2">
        <f>IF(OR(H120="",I120="",J120="",K120=""),"",ROUND(H120*((I120+J120)/6)*K120,2))</f>
        <v/>
      </c>
      <c r="M120" s="2">
        <f>IF(L120="","",IF(AND(L120&gt;=3.5,H120=1),"Сильный признак",IF(AND(L120&gt;=2,H120=1),"Рабочий признак",IF(H120=1,"Слабый признак","Отсутствует"))))</f>
        <v/>
      </c>
      <c r="N120" s="2" t="inlineStr">
        <is>
          <t>Конкурентная норма с высоким влиянием; включить в минимальный состав NotaCode</t>
        </is>
      </c>
    </row>
    <row r="121" ht="25.5" customHeight="1">
      <c r="A121" s="2" t="inlineStr">
        <is>
          <t>C07</t>
        </is>
      </c>
      <c r="B121" s="2" t="inlineStr">
        <is>
          <t>Eraser</t>
        </is>
      </c>
      <c r="C121" s="2" t="inlineStr">
        <is>
          <t>https://www.eraser.io/</t>
        </is>
      </c>
      <c r="D121" s="2" t="inlineStr">
        <is>
          <t>2. Родовой товар</t>
        </is>
      </c>
      <c r="E121" s="2" t="inlineStr">
        <is>
          <t>Описание диаграммы текстом (DSL)</t>
        </is>
      </c>
      <c r="F121" s="2" t="inlineStr">
        <is>
          <t>Признак найден на просмотренных страницах: описание диаграммы текстом (dsl)</t>
        </is>
      </c>
      <c r="G121" s="2" t="inlineStr">
        <is>
          <t>Страницы сайта, просмотр 01.10.2026</t>
        </is>
      </c>
      <c r="H121" s="2" t="n">
        <v>1</v>
      </c>
      <c r="I121" s="2" t="n">
        <v>3</v>
      </c>
      <c r="J121" s="2" t="n">
        <v>3</v>
      </c>
      <c r="K121" s="2" t="n">
        <v>5</v>
      </c>
      <c r="L121" s="2">
        <f>IF(OR(H121="",I121="",J121="",K121=""),"",ROUND(H121*((I121+J121)/6)*K121,2))</f>
        <v/>
      </c>
      <c r="M121" s="2">
        <f>IF(L121="","",IF(AND(L121&gt;=3.5,H121=1),"Сильный признак",IF(AND(L121&gt;=2,H121=1),"Рабочий признак",IF(H121=1,"Слабый признак","Отсутствует"))))</f>
        <v/>
      </c>
      <c r="N121" s="2" t="inlineStr">
        <is>
          <t>Конкурентная норма с высоким влиянием; включить в минимальный состав NotaCode</t>
        </is>
      </c>
    </row>
    <row r="122" ht="25.5" customHeight="1">
      <c r="A122" s="2" t="inlineStr">
        <is>
          <t>C07</t>
        </is>
      </c>
      <c r="B122" s="2" t="inlineStr">
        <is>
          <t>Eraser</t>
        </is>
      </c>
      <c r="C122" s="2" t="inlineStr">
        <is>
          <t>https://www.eraser.io/pricing</t>
        </is>
      </c>
      <c r="D122" s="2" t="inlineStr">
        <is>
          <t>3. Ожидаемый товар</t>
        </is>
      </c>
      <c r="E122" s="2" t="inlineStr">
        <is>
          <t>Бесплатный доступ или Free-тариф</t>
        </is>
      </c>
      <c r="F122" s="2" t="inlineStr">
        <is>
          <t>Free 0 у.е. за участника: 3 файла, 3 ИИ-диаграммы, 7 дней истории, diagram-as-code</t>
        </is>
      </c>
      <c r="G122" s="2" t="inlineStr">
        <is>
          <t>Страницы сайта, просмотр 01.10.2026</t>
        </is>
      </c>
      <c r="H122" s="2" t="n">
        <v>1</v>
      </c>
      <c r="I122" s="2" t="n">
        <v>3</v>
      </c>
      <c r="J122" s="2" t="n">
        <v>3</v>
      </c>
      <c r="K122" s="2" t="n">
        <v>5</v>
      </c>
      <c r="L122" s="2">
        <f>IF(OR(H122="",I122="",J122="",K122=""),"",ROUND(H122*((I122+J122)/6)*K122,2))</f>
        <v/>
      </c>
      <c r="M122" s="2">
        <f>IF(L122="","",IF(AND(L122&gt;=3.5,H122=1),"Сильный признак",IF(AND(L122&gt;=2,H122=1),"Рабочий признак",IF(H122=1,"Слабый признак","Отсутствует"))))</f>
        <v/>
      </c>
      <c r="N122" s="2" t="inlineStr">
        <is>
          <t>Конкурентная норма с высоким влиянием; включить в минимальный состав NotaCode</t>
        </is>
      </c>
    </row>
    <row r="123" ht="25.5" customHeight="1">
      <c r="A123" s="2" t="inlineStr">
        <is>
          <t>C07</t>
        </is>
      </c>
      <c r="B123" s="2" t="inlineStr">
        <is>
          <t>Eraser</t>
        </is>
      </c>
      <c r="C123" s="2" t="inlineStr">
        <is>
          <t>https://www.eraser.io/pricing</t>
        </is>
      </c>
      <c r="D123" s="2" t="inlineStr">
        <is>
          <t>3. Ожидаемый товар</t>
        </is>
      </c>
      <c r="E123" s="2" t="inlineStr">
        <is>
          <t>Платная подписка по тарифным уровням</t>
        </is>
      </c>
      <c r="F123" s="2" t="inlineStr">
        <is>
          <t>Starter 15 у.е. (20 у.е. помесячно), Business 45 у.е. (60 у.е.) за участника в месяц</t>
        </is>
      </c>
      <c r="G123" s="2" t="inlineStr">
        <is>
          <t>Страницы сайта, просмотр 01.10.2026</t>
        </is>
      </c>
      <c r="H123" s="2" t="n">
        <v>1</v>
      </c>
      <c r="I123" s="2" t="n">
        <v>3</v>
      </c>
      <c r="J123" s="2" t="n">
        <v>3</v>
      </c>
      <c r="K123" s="2" t="n">
        <v>4</v>
      </c>
      <c r="L123" s="2">
        <f>IF(OR(H123="",I123="",J123="",K123=""),"",ROUND(H123*((I123+J123)/6)*K123,2))</f>
        <v/>
      </c>
      <c r="M123" s="2">
        <f>IF(L123="","",IF(AND(L123&gt;=3.5,H123=1),"Сильный признак",IF(AND(L123&gt;=2,H123=1),"Рабочий признак",IF(H123=1,"Слабый признак","Отсутствует"))))</f>
        <v/>
      </c>
      <c r="N123" s="2" t="inlineStr">
        <is>
          <t>Конкурентная норма с высоким влиянием; включить в минимальный состав NotaCode</t>
        </is>
      </c>
    </row>
    <row r="124" ht="25.5" customHeight="1">
      <c r="A124" s="2" t="inlineStr">
        <is>
          <t>C07</t>
        </is>
      </c>
      <c r="B124" s="2" t="inlineStr">
        <is>
          <t>Eraser</t>
        </is>
      </c>
      <c r="C124" s="2" t="inlineStr">
        <is>
          <t>https://www.eraser.io/pricing</t>
        </is>
      </c>
      <c r="D124" s="2" t="inlineStr">
        <is>
          <t>3. Ожидаемый товар</t>
        </is>
      </c>
      <c r="E124" s="2" t="inlineStr">
        <is>
          <t>Открытая страница тарифов</t>
        </is>
      </c>
      <c r="F124" s="2" t="inlineStr">
        <is>
          <t>Признак найден на просмотренных страницах: открытая страница тарифов</t>
        </is>
      </c>
      <c r="G124" s="2" t="inlineStr">
        <is>
          <t>Страницы сайта, просмотр 01.10.2026</t>
        </is>
      </c>
      <c r="H124" s="2" t="n">
        <v>1</v>
      </c>
      <c r="I124" s="2" t="n">
        <v>3</v>
      </c>
      <c r="J124" s="2" t="n">
        <v>3</v>
      </c>
      <c r="K124" s="2" t="n">
        <v>5</v>
      </c>
      <c r="L124" s="2">
        <f>IF(OR(H124="",I124="",J124="",K124=""),"",ROUND(H124*((I124+J124)/6)*K124,2))</f>
        <v/>
      </c>
      <c r="M124" s="2">
        <f>IF(L124="","",IF(AND(L124&gt;=3.5,H124=1),"Сильный признак",IF(AND(L124&gt;=2,H124=1),"Рабочий признак",IF(H124=1,"Слабый признак","Отсутствует"))))</f>
        <v/>
      </c>
      <c r="N124" s="2" t="inlineStr">
        <is>
          <t>Конкурентная норма с высоким влиянием; включить в минимальный состав NotaCode</t>
        </is>
      </c>
    </row>
    <row r="125" ht="25.5" customHeight="1">
      <c r="A125" s="2" t="inlineStr">
        <is>
          <t>C07</t>
        </is>
      </c>
      <c r="B125" s="2" t="inlineStr">
        <is>
          <t>Eraser</t>
        </is>
      </c>
      <c r="C125" s="2" t="inlineStr">
        <is>
          <t>https://www.eraser.io/pricing</t>
        </is>
      </c>
      <c r="D125" s="2" t="inlineStr">
        <is>
          <t>4. Расширенный товар</t>
        </is>
      </c>
      <c r="E125" s="2" t="inlineStr">
        <is>
          <t>Корпоративный тариф (Enterprise или on-prem)</t>
        </is>
      </c>
      <c r="F125" s="2" t="inlineStr">
        <is>
          <t>Признак найден на просмотренных страницах: корпоративный тариф (enterprise или on-prem)</t>
        </is>
      </c>
      <c r="G125" s="2" t="inlineStr">
        <is>
          <t>Страницы сайта, просмотр 01.10.2026</t>
        </is>
      </c>
      <c r="H125" s="2" t="n">
        <v>1</v>
      </c>
      <c r="I125" s="2" t="n">
        <v>3</v>
      </c>
      <c r="J125" s="2" t="n">
        <v>3</v>
      </c>
      <c r="K125" s="2" t="n">
        <v>2</v>
      </c>
      <c r="L125" s="2">
        <f>IF(OR(H125="",I125="",J125="",K125=""),"",ROUND(H125*((I125+J125)/6)*K125,2))</f>
        <v/>
      </c>
      <c r="M125" s="2">
        <f>IF(L125="","",IF(AND(L125&gt;=3.5,H125=1),"Сильный признак",IF(AND(L125&gt;=2,H125=1),"Рабочий признак",IF(H125=1,"Слабый признак","Отсутствует"))))</f>
        <v/>
      </c>
      <c r="N125" s="2" t="inlineStr">
        <is>
          <t>Конкурентная норма с высоким влиянием; включить в минимальный состав NotaCode</t>
        </is>
      </c>
    </row>
    <row r="126" ht="25.5" customHeight="1">
      <c r="A126" s="2" t="inlineStr">
        <is>
          <t>C07</t>
        </is>
      </c>
      <c r="B126" s="2" t="inlineStr">
        <is>
          <t>Eraser</t>
        </is>
      </c>
      <c r="C126" s="2" t="inlineStr">
        <is>
          <t>https://www.eraser.io/pricing</t>
        </is>
      </c>
      <c r="D126" s="2" t="inlineStr">
        <is>
          <t>3. Ожидаемый товар</t>
        </is>
      </c>
      <c r="E126" s="2" t="inlineStr">
        <is>
          <t>Скидка или цена при годовой оплате</t>
        </is>
      </c>
      <c r="F126" s="2" t="inlineStr">
        <is>
          <t>Starter 15 у.е. при годовой оплате против 20 у.е. помесячно</t>
        </is>
      </c>
      <c r="G126" s="2" t="inlineStr">
        <is>
          <t>Страницы сайта, просмотр 01.10.2026</t>
        </is>
      </c>
      <c r="H126" s="2" t="n">
        <v>1</v>
      </c>
      <c r="I126" s="2" t="n">
        <v>3</v>
      </c>
      <c r="J126" s="2" t="n">
        <v>3</v>
      </c>
      <c r="K126" s="2" t="n">
        <v>3</v>
      </c>
      <c r="L126" s="2">
        <f>IF(OR(H126="",I126="",J126="",K126=""),"",ROUND(H126*((I126+J126)/6)*K126,2))</f>
        <v/>
      </c>
      <c r="M126" s="2">
        <f>IF(L126="","",IF(AND(L126&gt;=3.5,H126=1),"Сильный признак",IF(AND(L126&gt;=2,H126=1),"Рабочий признак",IF(H126=1,"Слабый признак","Отсутствует"))))</f>
        <v/>
      </c>
      <c r="N126" s="2" t="inlineStr">
        <is>
          <t>Конкурентная норма с высоким влиянием; включить в минимальный состав NotaCode</t>
        </is>
      </c>
    </row>
    <row r="127">
      <c r="A127" s="2" t="inlineStr">
        <is>
          <t>C07</t>
        </is>
      </c>
      <c r="B127" s="2" t="inlineStr">
        <is>
          <t>Eraser</t>
        </is>
      </c>
      <c r="C127" s="2" t="inlineStr">
        <is>
          <t>https://www.eraser.io/pricing</t>
        </is>
      </c>
      <c r="D127" s="2" t="inlineStr">
        <is>
          <t>4. Расширенный товар</t>
        </is>
      </c>
      <c r="E127" s="2" t="inlineStr">
        <is>
          <t>Бесплатные гости или зрители</t>
        </is>
      </c>
      <c r="F127" s="2" t="inlineStr">
        <is>
          <t>Unlimited guests на всех тарифах</t>
        </is>
      </c>
      <c r="G127" s="2" t="inlineStr">
        <is>
          <t>Страницы сайта, просмотр 01.10.2026</t>
        </is>
      </c>
      <c r="H127" s="2" t="n">
        <v>1</v>
      </c>
      <c r="I127" s="2" t="n">
        <v>3</v>
      </c>
      <c r="J127" s="2" t="n">
        <v>3</v>
      </c>
      <c r="K127" s="2" t="n">
        <v>3</v>
      </c>
      <c r="L127" s="2">
        <f>IF(OR(H127="",I127="",J127="",K127=""),"",ROUND(H127*((I127+J127)/6)*K127,2))</f>
        <v/>
      </c>
      <c r="M127" s="2">
        <f>IF(L127="","",IF(AND(L127&gt;=3.5,H127=1),"Сильный признак",IF(AND(L127&gt;=2,H127=1),"Рабочий признак",IF(H127=1,"Слабый признак","Отсутствует"))))</f>
        <v/>
      </c>
      <c r="N127" s="2" t="inlineStr">
        <is>
          <t>Конкурентная норма с высоким влиянием; включить в минимальный состав NotaCode</t>
        </is>
      </c>
    </row>
    <row r="128" ht="25.5" customHeight="1">
      <c r="A128" s="2" t="inlineStr">
        <is>
          <t>C07</t>
        </is>
      </c>
      <c r="B128" s="2" t="inlineStr">
        <is>
          <t>Eraser</t>
        </is>
      </c>
      <c r="C128" s="2" t="inlineStr">
        <is>
          <t>https://www.eraser.io/pricing</t>
        </is>
      </c>
      <c r="D128" s="2" t="inlineStr">
        <is>
          <t>4. Расширенный товар</t>
        </is>
      </c>
      <c r="E128" s="2" t="inlineStr">
        <is>
          <t>ИИ-генерация или ИИ-помощник</t>
        </is>
      </c>
      <c r="F128" s="2" t="inlineStr">
        <is>
          <t>ИИ-диаграммы: 3 (Free), 40 (Starter), 250 (Business), без лимита (Enterprise)</t>
        </is>
      </c>
      <c r="G128" s="2" t="inlineStr">
        <is>
          <t>Страницы сайта, просмотр 01.10.2026</t>
        </is>
      </c>
      <c r="H128" s="2" t="n">
        <v>1</v>
      </c>
      <c r="I128" s="2" t="n">
        <v>3</v>
      </c>
      <c r="J128" s="2" t="n">
        <v>3</v>
      </c>
      <c r="K128" s="2" t="n">
        <v>4</v>
      </c>
      <c r="L128" s="2">
        <f>IF(OR(H128="",I128="",J128="",K128=""),"",ROUND(H128*((I128+J128)/6)*K128,2))</f>
        <v/>
      </c>
      <c r="M128" s="2">
        <f>IF(L128="","",IF(AND(L128&gt;=3.5,H128=1),"Сильный признак",IF(AND(L128&gt;=2,H128=1),"Рабочий признак",IF(H128=1,"Слабый признак","Отсутствует"))))</f>
        <v/>
      </c>
      <c r="N128" s="2" t="inlineStr">
        <is>
          <t>Конкурентная норма с высоким влиянием; включить в минимальный состав NotaCode</t>
        </is>
      </c>
    </row>
    <row r="129" ht="25.5" customHeight="1">
      <c r="A129" s="2" t="inlineStr">
        <is>
          <t>C07</t>
        </is>
      </c>
      <c r="B129" s="2" t="inlineStr">
        <is>
          <t>Eraser</t>
        </is>
      </c>
      <c r="C129" s="2" t="inlineStr">
        <is>
          <t>https://www.eraser.io/</t>
        </is>
      </c>
      <c r="D129" s="2" t="inlineStr">
        <is>
          <t>3. Ожидаемый товар</t>
        </is>
      </c>
      <c r="E129" s="2" t="inlineStr">
        <is>
          <t>Интеграции с другими сервисами</t>
        </is>
      </c>
      <c r="F129" s="2" t="inlineStr">
        <is>
          <t>Признак найден на просмотренных страницах: интеграции с другими сервисами</t>
        </is>
      </c>
      <c r="G129" s="2" t="inlineStr">
        <is>
          <t>Страницы сайта, просмотр 01.10.2026</t>
        </is>
      </c>
      <c r="H129" s="2" t="n">
        <v>1</v>
      </c>
      <c r="I129" s="2" t="n">
        <v>2</v>
      </c>
      <c r="J129" s="2" t="n">
        <v>3</v>
      </c>
      <c r="K129" s="2" t="n">
        <v>4</v>
      </c>
      <c r="L129" s="2">
        <f>IF(OR(H129="",I129="",J129="",K129=""),"",ROUND(H129*((I129+J129)/6)*K129,2))</f>
        <v/>
      </c>
      <c r="M129" s="2">
        <f>IF(L129="","",IF(AND(L129&gt;=3.5,H129=1),"Сильный признак",IF(AND(L129&gt;=2,H129=1),"Рабочий признак",IF(H129=1,"Слабый признак","Отсутствует"))))</f>
        <v/>
      </c>
      <c r="N129" s="2" t="inlineStr">
        <is>
          <t>Конкурентная норма с высоким влиянием; включить в минимальный состав NotaCode</t>
        </is>
      </c>
    </row>
    <row r="130" ht="25.5" customHeight="1">
      <c r="A130" s="2" t="inlineStr">
        <is>
          <t>C07</t>
        </is>
      </c>
      <c r="B130" s="2" t="inlineStr">
        <is>
          <t>Eraser</t>
        </is>
      </c>
      <c r="C130" s="2" t="inlineStr">
        <is>
          <t>https://www.eraser.io/</t>
        </is>
      </c>
      <c r="D130" s="2" t="inlineStr">
        <is>
          <t>4. Расширенный товар</t>
        </is>
      </c>
      <c r="E130" s="2" t="inlineStr">
        <is>
          <t>API или платформа разработчика</t>
        </is>
      </c>
      <c r="F130" s="2" t="inlineStr">
        <is>
          <t>Признак найден на просмотренных страницах: api или платформа разработчика</t>
        </is>
      </c>
      <c r="G130" s="2" t="inlineStr">
        <is>
          <t>Страницы сайта, просмотр 01.10.2026</t>
        </is>
      </c>
      <c r="H130" s="2" t="n">
        <v>1</v>
      </c>
      <c r="I130" s="2" t="n">
        <v>3</v>
      </c>
      <c r="J130" s="2" t="n">
        <v>3</v>
      </c>
      <c r="K130" s="2" t="n">
        <v>3</v>
      </c>
      <c r="L130" s="2">
        <f>IF(OR(H130="",I130="",J130="",K130=""),"",ROUND(H130*((I130+J130)/6)*K130,2))</f>
        <v/>
      </c>
      <c r="M130" s="2">
        <f>IF(L130="","",IF(AND(L130&gt;=3.5,H130=1),"Сильный признак",IF(AND(L130&gt;=2,H130=1),"Рабочий признак",IF(H130=1,"Слабый признак","Отсутствует"))))</f>
        <v/>
      </c>
      <c r="N130" s="2" t="inlineStr">
        <is>
          <t>Конкурентная норма с высоким влиянием; включить в минимальный состав NotaCode</t>
        </is>
      </c>
    </row>
    <row r="131" ht="25.5" customHeight="1">
      <c r="A131" s="2" t="inlineStr">
        <is>
          <t>C07</t>
        </is>
      </c>
      <c r="B131" s="2" t="inlineStr">
        <is>
          <t>Eraser</t>
        </is>
      </c>
      <c r="C131" s="2" t="inlineStr">
        <is>
          <t>https://www.eraser.io/</t>
        </is>
      </c>
      <c r="D131" s="2" t="inlineStr">
        <is>
          <t>4. Расширенный товар</t>
        </is>
      </c>
      <c r="E131" s="2" t="inlineStr">
        <is>
          <t>Независимые отзывы и оценки</t>
        </is>
      </c>
      <c r="F131" s="2" t="inlineStr">
        <is>
          <t>Признак найден на просмотренных страницах: независимые отзывы и оценки</t>
        </is>
      </c>
      <c r="G131" s="2" t="inlineStr">
        <is>
          <t>Страницы сайта, просмотр 01.10.2026</t>
        </is>
      </c>
      <c r="H131" s="2" t="n">
        <v>1</v>
      </c>
      <c r="I131" s="2" t="n">
        <v>2</v>
      </c>
      <c r="J131" s="2" t="n">
        <v>3</v>
      </c>
      <c r="K131" s="2" t="n">
        <v>3</v>
      </c>
      <c r="L131" s="2">
        <f>IF(OR(H131="",I131="",J131="",K131=""),"",ROUND(H131*((I131+J131)/6)*K131,2))</f>
        <v/>
      </c>
      <c r="M131" s="2">
        <f>IF(L131="","",IF(AND(L131&gt;=3.5,H131=1),"Сильный признак",IF(AND(L131&gt;=2,H131=1),"Рабочий признак",IF(H131=1,"Слабый признак","Отсутствует"))))</f>
        <v/>
      </c>
      <c r="N131" s="2" t="inlineStr">
        <is>
          <t>Конкурентная норма с высоким влиянием; включить в минимальный состав NotaCode</t>
        </is>
      </c>
    </row>
    <row r="132" ht="38.25" customHeight="1">
      <c r="A132" s="2" t="inlineStr">
        <is>
          <t>C07</t>
        </is>
      </c>
      <c r="B132" s="2" t="inlineStr">
        <is>
          <t>Eraser</t>
        </is>
      </c>
      <c r="C132" s="2" t="inlineStr">
        <is>
          <t>https://www.eraser.io/</t>
        </is>
      </c>
      <c r="D132" s="2" t="inlineStr">
        <is>
          <t>4. Расширенный товар</t>
        </is>
      </c>
      <c r="E132" s="2" t="inlineStr">
        <is>
          <t>Раздел или упоминание о безопасности и приватности</t>
        </is>
      </c>
      <c r="F132" s="2" t="inlineStr">
        <is>
          <t>Признак найден на просмотренных страницах: раздел или упоминание о безопасности и приватности</t>
        </is>
      </c>
      <c r="G132" s="2" t="inlineStr">
        <is>
          <t>Страницы сайта, просмотр 01.10.2026</t>
        </is>
      </c>
      <c r="H132" s="2" t="n">
        <v>1</v>
      </c>
      <c r="I132" s="2" t="n">
        <v>2</v>
      </c>
      <c r="J132" s="2" t="n">
        <v>3</v>
      </c>
      <c r="K132" s="2" t="n">
        <v>3</v>
      </c>
      <c r="L132" s="2">
        <f>IF(OR(H132="",I132="",J132="",K132=""),"",ROUND(H132*((I132+J132)/6)*K132,2))</f>
        <v/>
      </c>
      <c r="M132" s="2">
        <f>IF(L132="","",IF(AND(L132&gt;=3.5,H132=1),"Сильный признак",IF(AND(L132&gt;=2,H132=1),"Рабочий признак",IF(H132=1,"Слабый признак","Отсутствует"))))</f>
        <v/>
      </c>
      <c r="N132" s="2" t="inlineStr">
        <is>
          <t>Конкурентная норма с высоким влиянием; включить в минимальный состав NotaCode</t>
        </is>
      </c>
    </row>
    <row r="133">
      <c r="A133" s="2" t="inlineStr">
        <is>
          <t>C07</t>
        </is>
      </c>
      <c r="B133" s="2" t="inlineStr">
        <is>
          <t>Eraser</t>
        </is>
      </c>
      <c r="C133" s="2" t="inlineStr">
        <is>
          <t>https://www.eraser.io/pricing</t>
        </is>
      </c>
      <c r="D133" s="2" t="inlineStr">
        <is>
          <t>4. Расширенный товар</t>
        </is>
      </c>
      <c r="E133" s="2" t="inlineStr">
        <is>
          <t>Единый вход SSO или SAML</t>
        </is>
      </c>
      <c r="F133" s="2" t="inlineStr">
        <is>
          <t>SAML SSO в тарифе Business</t>
        </is>
      </c>
      <c r="G133" s="2" t="inlineStr">
        <is>
          <t>Страницы сайта, просмотр 01.10.2026</t>
        </is>
      </c>
      <c r="H133" s="2" t="n">
        <v>1</v>
      </c>
      <c r="I133" s="2" t="n">
        <v>3</v>
      </c>
      <c r="J133" s="2" t="n">
        <v>3</v>
      </c>
      <c r="K133" s="2" t="n">
        <v>2</v>
      </c>
      <c r="L133" s="2">
        <f>IF(OR(H133="",I133="",J133="",K133=""),"",ROUND(H133*((I133+J133)/6)*K133,2))</f>
        <v/>
      </c>
      <c r="M133" s="2">
        <f>IF(L133="","",IF(AND(L133&gt;=3.5,H133=1),"Сильный признак",IF(AND(L133&gt;=2,H133=1),"Рабочий признак",IF(H133=1,"Слабый признак","Отсутствует"))))</f>
        <v/>
      </c>
      <c r="N133" s="2" t="inlineStr">
        <is>
          <t>Конкурентная норма с высоким влиянием; включить в минимальный состав NotaCode</t>
        </is>
      </c>
    </row>
    <row r="134" ht="25.5" customHeight="1">
      <c r="A134" s="2" t="inlineStr">
        <is>
          <t>C07</t>
        </is>
      </c>
      <c r="B134" s="2" t="inlineStr">
        <is>
          <t>Eraser</t>
        </is>
      </c>
      <c r="C134" s="2" t="inlineStr">
        <is>
          <t>https://www.eraser.io/</t>
        </is>
      </c>
      <c r="D134" s="2" t="inlineStr">
        <is>
          <t>3. Ожидаемый товар</t>
        </is>
      </c>
      <c r="E134" s="2" t="inlineStr">
        <is>
          <t>Вход и личный кабинет</t>
        </is>
      </c>
      <c r="F134" s="2" t="inlineStr">
        <is>
          <t>Признак найден на просмотренных страницах: вход и личный кабинет</t>
        </is>
      </c>
      <c r="G134" s="2" t="inlineStr">
        <is>
          <t>Страницы сайта, просмотр 01.10.2026</t>
        </is>
      </c>
      <c r="H134" s="2" t="n">
        <v>1</v>
      </c>
      <c r="I134" s="2" t="n">
        <v>2</v>
      </c>
      <c r="J134" s="2" t="n">
        <v>3</v>
      </c>
      <c r="K134" s="2" t="n">
        <v>3</v>
      </c>
      <c r="L134" s="2">
        <f>IF(OR(H134="",I134="",J134="",K134=""),"",ROUND(H134*((I134+J134)/6)*K134,2))</f>
        <v/>
      </c>
      <c r="M134" s="2">
        <f>IF(L134="","",IF(AND(L134&gt;=3.5,H134=1),"Сильный признак",IF(AND(L134&gt;=2,H134=1),"Рабочий признак",IF(H134=1,"Слабый признак","Отсутствует"))))</f>
        <v/>
      </c>
      <c r="N134" s="2" t="inlineStr">
        <is>
          <t>Конкурентная норма с высоким влиянием; включить в минимальный состав NotaCode</t>
        </is>
      </c>
    </row>
    <row r="135" ht="25.5" customHeight="1">
      <c r="A135" s="2" t="inlineStr">
        <is>
          <t>C07</t>
        </is>
      </c>
      <c r="B135" s="2" t="inlineStr">
        <is>
          <t>Eraser</t>
        </is>
      </c>
      <c r="C135" s="2" t="inlineStr">
        <is>
          <t>https://www.eraser.io/</t>
        </is>
      </c>
      <c r="D135" s="2" t="inlineStr">
        <is>
          <t>3. Ожидаемый товар</t>
        </is>
      </c>
      <c r="E135" s="2" t="inlineStr">
        <is>
          <t>Шаблоны диаграмм</t>
        </is>
      </c>
      <c r="F135" s="2" t="inlineStr">
        <is>
          <t>Признак найден на просмотренных страницах: шаблоны диаграмм</t>
        </is>
      </c>
      <c r="G135" s="2" t="inlineStr">
        <is>
          <t>Страницы сайта, просмотр 01.10.2026</t>
        </is>
      </c>
      <c r="H135" s="2" t="n">
        <v>1</v>
      </c>
      <c r="I135" s="2" t="n">
        <v>3</v>
      </c>
      <c r="J135" s="2" t="n">
        <v>3</v>
      </c>
      <c r="K135" s="2" t="n">
        <v>4</v>
      </c>
      <c r="L135" s="2">
        <f>IF(OR(H135="",I135="",J135="",K135=""),"",ROUND(H135*((I135+J135)/6)*K135,2))</f>
        <v/>
      </c>
      <c r="M135" s="2">
        <f>IF(L135="","",IF(AND(L135&gt;=3.5,H135=1),"Сильный признак",IF(AND(L135&gt;=2,H135=1),"Рабочий признак",IF(H135=1,"Слабый признак","Отсутствует"))))</f>
        <v/>
      </c>
      <c r="N135" s="2" t="inlineStr">
        <is>
          <t>Конкурентная норма с высоким влиянием; включить в минимальный состав NotaCode</t>
        </is>
      </c>
    </row>
    <row r="136" ht="25.5" customHeight="1">
      <c r="A136" s="2" t="inlineStr">
        <is>
          <t>C07</t>
        </is>
      </c>
      <c r="B136" s="2" t="inlineStr">
        <is>
          <t>Eraser</t>
        </is>
      </c>
      <c r="C136" s="2" t="inlineStr">
        <is>
          <t>https://www.eraser.io/</t>
        </is>
      </c>
      <c r="D136" s="2" t="inlineStr">
        <is>
          <t>3. Ожидаемый товар</t>
        </is>
      </c>
      <c r="E136" s="2" t="inlineStr">
        <is>
          <t>Совместная работа в реальном времени</t>
        </is>
      </c>
      <c r="F136" s="2" t="inlineStr">
        <is>
          <t>Признак найден на просмотренных страницах: совместная работа в реальном времени</t>
        </is>
      </c>
      <c r="G136" s="2" t="inlineStr">
        <is>
          <t>Страницы сайта, просмотр 01.10.2026</t>
        </is>
      </c>
      <c r="H136" s="2" t="n">
        <v>1</v>
      </c>
      <c r="I136" s="2" t="n">
        <v>3</v>
      </c>
      <c r="J136" s="2" t="n">
        <v>3</v>
      </c>
      <c r="K136" s="2" t="n">
        <v>4</v>
      </c>
      <c r="L136" s="2">
        <f>IF(OR(H136="",I136="",J136="",K136=""),"",ROUND(H136*((I136+J136)/6)*K136,2))</f>
        <v/>
      </c>
      <c r="M136" s="2">
        <f>IF(L136="","",IF(AND(L136&gt;=3.5,H136=1),"Сильный признак",IF(AND(L136&gt;=2,H136=1),"Рабочий признак",IF(H136=1,"Слабый признак","Отсутствует"))))</f>
        <v/>
      </c>
      <c r="N136" s="2" t="inlineStr">
        <is>
          <t>Конкурентная норма с высоким влиянием; включить в минимальный состав NotaCode</t>
        </is>
      </c>
    </row>
    <row r="137" ht="25.5" customHeight="1">
      <c r="A137" s="2" t="inlineStr">
        <is>
          <t>C07</t>
        </is>
      </c>
      <c r="B137" s="2" t="inlineStr">
        <is>
          <t>Eraser</t>
        </is>
      </c>
      <c r="C137" s="2" t="inlineStr">
        <is>
          <t>https://www.eraser.io/</t>
        </is>
      </c>
      <c r="D137" s="2" t="inlineStr">
        <is>
          <t>3. Ожидаемый товар</t>
        </is>
      </c>
      <c r="E137" s="2" t="inlineStr">
        <is>
          <t>Экспорт диаграмм (PNG, SVG, PDF и др.)</t>
        </is>
      </c>
      <c r="F137" s="2" t="inlineStr">
        <is>
          <t>Признак найден на просмотренных страницах: экспорт диаграмм (png, svg, pdf и др.)</t>
        </is>
      </c>
      <c r="G137" s="2" t="inlineStr">
        <is>
          <t>Страницы сайта, просмотр 01.10.2026</t>
        </is>
      </c>
      <c r="H137" s="2" t="n">
        <v>1</v>
      </c>
      <c r="I137" s="2" t="n">
        <v>3</v>
      </c>
      <c r="J137" s="2" t="n">
        <v>3</v>
      </c>
      <c r="K137" s="2" t="n">
        <v>5</v>
      </c>
      <c r="L137" s="2">
        <f>IF(OR(H137="",I137="",J137="",K137=""),"",ROUND(H137*((I137+J137)/6)*K137,2))</f>
        <v/>
      </c>
      <c r="M137" s="2">
        <f>IF(L137="","",IF(AND(L137&gt;=3.5,H137=1),"Сильный признак",IF(AND(L137&gt;=2,H137=1),"Рабочий признак",IF(H137=1,"Слабый признак","Отсутствует"))))</f>
        <v/>
      </c>
      <c r="N137" s="2" t="inlineStr">
        <is>
          <t>Конкурентная норма с высоким влиянием; включить в минимальный состав NotaCode</t>
        </is>
      </c>
    </row>
    <row r="138" ht="25.5" customHeight="1">
      <c r="A138" s="2" t="inlineStr">
        <is>
          <t>C07</t>
        </is>
      </c>
      <c r="B138" s="2" t="inlineStr">
        <is>
          <t>Eraser</t>
        </is>
      </c>
      <c r="C138" s="2" t="inlineStr">
        <is>
          <t>https://www.eraser.io/pricing</t>
        </is>
      </c>
      <c r="D138" s="2" t="inlineStr">
        <is>
          <t>4. Расширенный товар</t>
        </is>
      </c>
      <c r="E138" s="2" t="inlineStr">
        <is>
          <t>История версий</t>
        </is>
      </c>
      <c r="F138" s="2" t="inlineStr">
        <is>
          <t>7 дней (Free), 90 дней (Starter), без ограничений (Business)</t>
        </is>
      </c>
      <c r="G138" s="2" t="inlineStr">
        <is>
          <t>Страницы сайта, просмотр 01.10.2026</t>
        </is>
      </c>
      <c r="H138" s="2" t="n">
        <v>1</v>
      </c>
      <c r="I138" s="2" t="n">
        <v>3</v>
      </c>
      <c r="J138" s="2" t="n">
        <v>3</v>
      </c>
      <c r="K138" s="2" t="n">
        <v>3</v>
      </c>
      <c r="L138" s="2">
        <f>IF(OR(H138="",I138="",J138="",K138=""),"",ROUND(H138*((I138+J138)/6)*K138,2))</f>
        <v/>
      </c>
      <c r="M138" s="2">
        <f>IF(L138="","",IF(AND(L138&gt;=3.5,H138=1),"Сильный признак",IF(AND(L138&gt;=2,H138=1),"Рабочий признак",IF(H138=1,"Слабый признак","Отсутствует"))))</f>
        <v/>
      </c>
      <c r="N138" s="2" t="inlineStr">
        <is>
          <t>Конкурентная норма с высоким влиянием; включить в минимальный состав NotaCode</t>
        </is>
      </c>
    </row>
    <row r="139" ht="25.5" customHeight="1">
      <c r="A139" s="2" t="inlineStr">
        <is>
          <t>C07</t>
        </is>
      </c>
      <c r="B139" s="2" t="inlineStr">
        <is>
          <t>Eraser</t>
        </is>
      </c>
      <c r="C139" s="2" t="inlineStr">
        <is>
          <t>https://www.eraser.io/</t>
        </is>
      </c>
      <c r="D139" s="2" t="inlineStr">
        <is>
          <t>3. Ожидаемый товар</t>
        </is>
      </c>
      <c r="E139" s="2" t="inlineStr">
        <is>
          <t>Документация и руководства</t>
        </is>
      </c>
      <c r="F139" s="2" t="inlineStr">
        <is>
          <t>Признак найден на просмотренных страницах: документация и руководства</t>
        </is>
      </c>
      <c r="G139" s="2" t="inlineStr">
        <is>
          <t>Страницы сайта, просмотр 01.10.2026</t>
        </is>
      </c>
      <c r="H139" s="2" t="n">
        <v>1</v>
      </c>
      <c r="I139" s="2" t="n">
        <v>3</v>
      </c>
      <c r="J139" s="2" t="n">
        <v>3</v>
      </c>
      <c r="K139" s="2" t="n">
        <v>4</v>
      </c>
      <c r="L139" s="2">
        <f>IF(OR(H139="",I139="",J139="",K139=""),"",ROUND(H139*((I139+J139)/6)*K139,2))</f>
        <v/>
      </c>
      <c r="M139" s="2">
        <f>IF(L139="","",IF(AND(L139&gt;=3.5,H139=1),"Сильный признак",IF(AND(L139&gt;=2,H139=1),"Рабочий признак",IF(H139=1,"Слабый признак","Отсутствует"))))</f>
        <v/>
      </c>
      <c r="N139" s="2" t="inlineStr">
        <is>
          <t>Конкурентная норма с высоким влиянием; включить в минимальный состав NotaCode</t>
        </is>
      </c>
    </row>
    <row r="140" ht="25.5" customHeight="1">
      <c r="A140" s="2" t="inlineStr">
        <is>
          <t>C07</t>
        </is>
      </c>
      <c r="B140" s="2" t="inlineStr">
        <is>
          <t>Eraser</t>
        </is>
      </c>
      <c r="C140" s="2" t="inlineStr">
        <is>
          <t>https://www.eraser.io/</t>
        </is>
      </c>
      <c r="D140" s="2" t="inlineStr">
        <is>
          <t>4. Расширенный товар</t>
        </is>
      </c>
      <c r="E140" s="2" t="inlineStr">
        <is>
          <t>Диаграммы BPMN</t>
        </is>
      </c>
      <c r="F140" s="2" t="inlineStr">
        <is>
          <t>Признак найден на просмотренных страницах: диаграммы bpmn</t>
        </is>
      </c>
      <c r="G140" s="2" t="inlineStr">
        <is>
          <t>Страницы сайта, просмотр 01.10.2026</t>
        </is>
      </c>
      <c r="H140" s="2" t="n">
        <v>1</v>
      </c>
      <c r="I140" s="2" t="n">
        <v>3</v>
      </c>
      <c r="J140" s="2" t="n">
        <v>3</v>
      </c>
      <c r="K140" s="2" t="n">
        <v>4</v>
      </c>
      <c r="L140" s="2">
        <f>IF(OR(H140="",I140="",J140="",K140=""),"",ROUND(H140*((I140+J140)/6)*K140,2))</f>
        <v/>
      </c>
      <c r="M140" s="2">
        <f>IF(L140="","",IF(AND(L140&gt;=3.5,H140=1),"Сильный признак",IF(AND(L140&gt;=2,H140=1),"Рабочий признак",IF(H140=1,"Слабый признак","Отсутствует"))))</f>
        <v/>
      </c>
      <c r="N140" s="2" t="inlineStr">
        <is>
          <t>Конкурентная норма с высоким влиянием; включить в минимальный состав NotaCode</t>
        </is>
      </c>
    </row>
    <row r="141" ht="25.5" customHeight="1">
      <c r="A141" s="2" t="inlineStr">
        <is>
          <t>C07</t>
        </is>
      </c>
      <c r="B141" s="2" t="inlineStr">
        <is>
          <t>Eraser</t>
        </is>
      </c>
      <c r="C141" s="2" t="inlineStr">
        <is>
          <t>https://www.eraser.io/</t>
        </is>
      </c>
      <c r="D141" s="2" t="inlineStr">
        <is>
          <t>4. Расширенный товар</t>
        </is>
      </c>
      <c r="E141" s="2" t="inlineStr">
        <is>
          <t>Диаграммы ERD</t>
        </is>
      </c>
      <c r="F141" s="2" t="inlineStr">
        <is>
          <t>Признак найден на просмотренных страницах: диаграммы erd</t>
        </is>
      </c>
      <c r="G141" s="2" t="inlineStr">
        <is>
          <t>Страницы сайта, просмотр 01.10.2026</t>
        </is>
      </c>
      <c r="H141" s="2" t="n">
        <v>1</v>
      </c>
      <c r="I141" s="2" t="n">
        <v>3</v>
      </c>
      <c r="J141" s="2" t="n">
        <v>3</v>
      </c>
      <c r="K141" s="2" t="n">
        <v>4</v>
      </c>
      <c r="L141" s="2">
        <f>IF(OR(H141="",I141="",J141="",K141=""),"",ROUND(H141*((I141+J141)/6)*K141,2))</f>
        <v/>
      </c>
      <c r="M141" s="2">
        <f>IF(L141="","",IF(AND(L141&gt;=3.5,H141=1),"Сильный признак",IF(AND(L141&gt;=2,H141=1),"Рабочий признак",IF(H141=1,"Слабый признак","Отсутствует"))))</f>
        <v/>
      </c>
      <c r="N141" s="2" t="inlineStr">
        <is>
          <t>Конкурентная норма с высоким влиянием; включить в минимальный состав NotaCode</t>
        </is>
      </c>
    </row>
    <row r="142" ht="25.5" customHeight="1">
      <c r="A142" s="2" t="inlineStr">
        <is>
          <t>C07</t>
        </is>
      </c>
      <c r="B142" s="2" t="inlineStr">
        <is>
          <t>Eraser</t>
        </is>
      </c>
      <c r="C142" s="2" t="inlineStr">
        <is>
          <t>https://www.eraser.io/</t>
        </is>
      </c>
      <c r="D142" s="2" t="inlineStr">
        <is>
          <t>4. Расширенный товар</t>
        </is>
      </c>
      <c r="E142" s="2" t="inlineStr">
        <is>
          <t>Развёртывание на своём сервере</t>
        </is>
      </c>
      <c r="F142" s="2" t="inlineStr">
        <is>
          <t>Признак найден на просмотренных страницах: развёртывание на своём сервере</t>
        </is>
      </c>
      <c r="G142" s="2" t="inlineStr">
        <is>
          <t>Страницы сайта, просмотр 01.10.2026</t>
        </is>
      </c>
      <c r="H142" s="2" t="n">
        <v>1</v>
      </c>
      <c r="I142" s="2" t="n">
        <v>2</v>
      </c>
      <c r="J142" s="2" t="n">
        <v>3</v>
      </c>
      <c r="K142" s="2" t="n">
        <v>3</v>
      </c>
      <c r="L142" s="2">
        <f>IF(OR(H142="",I142="",J142="",K142=""),"",ROUND(H142*((I142+J142)/6)*K142,2))</f>
        <v/>
      </c>
      <c r="M142" s="2">
        <f>IF(L142="","",IF(AND(L142&gt;=3.5,H142=1),"Сильный признак",IF(AND(L142&gt;=2,H142=1),"Рабочий признак",IF(H142=1,"Слабый признак","Отсутствует"))))</f>
        <v/>
      </c>
      <c r="N142" s="2" t="inlineStr">
        <is>
          <t>Конкурентная норма с высоким влиянием; включить в минимальный состав NotaCode</t>
        </is>
      </c>
    </row>
    <row r="143" ht="38.25" customHeight="1">
      <c r="A143" s="2" t="inlineStr">
        <is>
          <t>C07</t>
        </is>
      </c>
      <c r="B143" s="2" t="inlineStr">
        <is>
          <t>Eraser</t>
        </is>
      </c>
      <c r="C143" s="2" t="inlineStr">
        <is>
          <t>https://www.eraser.io/</t>
        </is>
      </c>
      <c r="D143" s="2" t="inlineStr">
        <is>
          <t>5. Потенциальный товар</t>
        </is>
      </c>
      <c r="E143" s="2" t="inlineStr">
        <is>
          <t>Признаки развития (ИИ-помощник, MCP, новые функции)</t>
        </is>
      </c>
      <c r="F143" s="2" t="inlineStr">
        <is>
          <t>Признак найден на просмотренных страницах: признаки развития (ии-помощник, mcp, новые функции)</t>
        </is>
      </c>
      <c r="G143" s="2" t="inlineStr">
        <is>
          <t>Страницы сайта, просмотр 01.10.2026</t>
        </is>
      </c>
      <c r="H143" s="2" t="n">
        <v>1</v>
      </c>
      <c r="I143" s="2" t="n">
        <v>2</v>
      </c>
      <c r="J143" s="2" t="n">
        <v>3</v>
      </c>
      <c r="K143" s="2" t="n">
        <v>3</v>
      </c>
      <c r="L143" s="2">
        <f>IF(OR(H143="",I143="",J143="",K143=""),"",ROUND(H143*((I143+J143)/6)*K143,2))</f>
        <v/>
      </c>
      <c r="M143" s="2">
        <f>IF(L143="","",IF(AND(L143&gt;=3.5,H143=1),"Сильный признак",IF(AND(L143&gt;=2,H143=1),"Рабочий признак",IF(H143=1,"Слабый признак","Отсутствует"))))</f>
        <v/>
      </c>
      <c r="N143" s="2" t="inlineStr">
        <is>
          <t>Конкурентная норма с высоким влиянием; включить в минимальный состав NotaCode</t>
        </is>
      </c>
    </row>
    <row r="144" ht="25.5" customHeight="1">
      <c r="A144" s="2" t="inlineStr">
        <is>
          <t>C08</t>
        </is>
      </c>
      <c r="B144" s="2" t="inlineStr">
        <is>
          <t>Whimsical</t>
        </is>
      </c>
      <c r="C144" s="2" t="inlineStr">
        <is>
          <t>https://whimsical.com/</t>
        </is>
      </c>
      <c r="D144" s="2" t="inlineStr">
        <is>
          <t>1. Базовая выгода</t>
        </is>
      </c>
      <c r="E144" s="2" t="inlineStr">
        <is>
          <t>Основное обещание главной страницы</t>
        </is>
      </c>
      <c r="F144" s="2" t="inlineStr">
        <is>
          <t>«The whiteboard for product builders»: диаграммы, схемы интерфейсов, документы</t>
        </is>
      </c>
      <c r="G144" s="2" t="inlineStr">
        <is>
          <t>Главная страница, просмотр 01.10.2026</t>
        </is>
      </c>
      <c r="H144" s="2" t="n">
        <v>1</v>
      </c>
      <c r="I144" s="2" t="n">
        <v>3</v>
      </c>
      <c r="J144" s="2" t="n">
        <v>3</v>
      </c>
      <c r="K144" s="2" t="n">
        <v>5</v>
      </c>
      <c r="L144" s="2">
        <f>IF(OR(H144="",I144="",J144="",K144=""),"",ROUND(H144*((I144+J144)/6)*K144,2))</f>
        <v/>
      </c>
      <c r="M144" s="2">
        <f>IF(L144="","",IF(AND(L144&gt;=3.5,H144=1),"Сильный признак",IF(AND(L144&gt;=2,H144=1),"Рабочий признак",IF(H144=1,"Слабый признак","Отсутствует"))))</f>
        <v/>
      </c>
      <c r="N144" s="2" t="inlineStr">
        <is>
          <t>Конкурентная норма с высоким влиянием; включить в минимальный состав NotaCode</t>
        </is>
      </c>
    </row>
    <row r="145" ht="51" customHeight="1">
      <c r="A145" s="2" t="inlineStr">
        <is>
          <t>C08</t>
        </is>
      </c>
      <c r="B145" s="2" t="inlineStr">
        <is>
          <t>Whimsical</t>
        </is>
      </c>
      <c r="C145" s="2" t="inlineStr">
        <is>
          <t>https://whimsical.com/</t>
        </is>
      </c>
      <c r="D145" s="2" t="inlineStr">
        <is>
          <t>2. Родовой товар</t>
        </is>
      </c>
      <c r="E145" s="2" t="inlineStr">
        <is>
          <t>Форма поставки товара</t>
        </is>
      </c>
      <c r="F145" s="2" t="inlineStr">
        <is>
          <t>Универсальный редактор диаграмм и досок: Редактор диаграмм, схем интерфейсов и документов; тарифы Free, Pro, Business (страница тарифов, 01.10.2026)</t>
        </is>
      </c>
      <c r="G145" s="2" t="inlineStr">
        <is>
          <t>Страницы сайта, ЛР1 табл. 42, ЛР4</t>
        </is>
      </c>
      <c r="H145" s="2" t="n">
        <v>1</v>
      </c>
      <c r="I145" s="2" t="n">
        <v>3</v>
      </c>
      <c r="J145" s="2" t="n">
        <v>3</v>
      </c>
      <c r="K145" s="2" t="n">
        <v>4</v>
      </c>
      <c r="L145" s="2">
        <f>IF(OR(H145="",I145="",J145="",K145=""),"",ROUND(H145*((I145+J145)/6)*K145,2))</f>
        <v/>
      </c>
      <c r="M145" s="2">
        <f>IF(L145="","",IF(AND(L145&gt;=3.5,H145=1),"Сильный признак",IF(AND(L145&gt;=2,H145=1),"Рабочий признак",IF(H145=1,"Слабый признак","Отсутствует"))))</f>
        <v/>
      </c>
      <c r="N145" s="2" t="inlineStr">
        <is>
          <t>Конкурентная норма с высоким влиянием; включить в минимальный состав NotaCode</t>
        </is>
      </c>
    </row>
    <row r="146" ht="25.5" customHeight="1">
      <c r="A146" s="2" t="inlineStr">
        <is>
          <t>C08</t>
        </is>
      </c>
      <c r="B146" s="2" t="inlineStr">
        <is>
          <t>Whimsical</t>
        </is>
      </c>
      <c r="C146" s="2" t="inlineStr">
        <is>
          <t>https://whimsical.com/pricing</t>
        </is>
      </c>
      <c r="D146" s="2" t="inlineStr">
        <is>
          <t>3. Ожидаемый товар</t>
        </is>
      </c>
      <c r="E146" s="2" t="inlineStr">
        <is>
          <t>Бесплатный доступ или Free-тариф</t>
        </is>
      </c>
      <c r="F146" s="2" t="inlineStr">
        <is>
          <t>Free 0 у.е.: 50 объектов доски и 50 блоков документа в месяц, водяной знак при экспорте</t>
        </is>
      </c>
      <c r="G146" s="2" t="inlineStr">
        <is>
          <t>Страницы сайта, просмотр 01.10.2026</t>
        </is>
      </c>
      <c r="H146" s="2" t="n">
        <v>1</v>
      </c>
      <c r="I146" s="2" t="n">
        <v>3</v>
      </c>
      <c r="J146" s="2" t="n">
        <v>3</v>
      </c>
      <c r="K146" s="2" t="n">
        <v>5</v>
      </c>
      <c r="L146" s="2">
        <f>IF(OR(H146="",I146="",J146="",K146=""),"",ROUND(H146*((I146+J146)/6)*K146,2))</f>
        <v/>
      </c>
      <c r="M146" s="2">
        <f>IF(L146="","",IF(AND(L146&gt;=3.5,H146=1),"Сильный признак",IF(AND(L146&gt;=2,H146=1),"Рабочий признак",IF(H146=1,"Слабый признак","Отсутствует"))))</f>
        <v/>
      </c>
      <c r="N146" s="2" t="inlineStr">
        <is>
          <t>Конкурентная норма с высоким влиянием; включить в минимальный состав NotaCode</t>
        </is>
      </c>
    </row>
    <row r="147" ht="25.5" customHeight="1">
      <c r="A147" s="2" t="inlineStr">
        <is>
          <t>C08</t>
        </is>
      </c>
      <c r="B147" s="2" t="inlineStr">
        <is>
          <t>Whimsical</t>
        </is>
      </c>
      <c r="C147" s="2" t="inlineStr">
        <is>
          <t>https://whimsical.com/pricing</t>
        </is>
      </c>
      <c r="D147" s="2" t="inlineStr">
        <is>
          <t>3. Ожидаемый товар</t>
        </is>
      </c>
      <c r="E147" s="2" t="inlineStr">
        <is>
          <t>Платная подписка по тарифным уровням</t>
        </is>
      </c>
      <c r="F147" s="2" t="inlineStr">
        <is>
          <t>Pro 10 у.е., Business 20 у.е. за редактора в месяц</t>
        </is>
      </c>
      <c r="G147" s="2" t="inlineStr">
        <is>
          <t>Страницы сайта, просмотр 01.10.2026</t>
        </is>
      </c>
      <c r="H147" s="2" t="n">
        <v>1</v>
      </c>
      <c r="I147" s="2" t="n">
        <v>3</v>
      </c>
      <c r="J147" s="2" t="n">
        <v>3</v>
      </c>
      <c r="K147" s="2" t="n">
        <v>4</v>
      </c>
      <c r="L147" s="2">
        <f>IF(OR(H147="",I147="",J147="",K147=""),"",ROUND(H147*((I147+J147)/6)*K147,2))</f>
        <v/>
      </c>
      <c r="M147" s="2">
        <f>IF(L147="","",IF(AND(L147&gt;=3.5,H147=1),"Сильный признак",IF(AND(L147&gt;=2,H147=1),"Рабочий признак",IF(H147=1,"Слабый признак","Отсутствует"))))</f>
        <v/>
      </c>
      <c r="N147" s="2" t="inlineStr">
        <is>
          <t>Конкурентная норма с высоким влиянием; включить в минимальный состав NotaCode</t>
        </is>
      </c>
    </row>
    <row r="148" ht="25.5" customHeight="1">
      <c r="A148" s="2" t="inlineStr">
        <is>
          <t>C08</t>
        </is>
      </c>
      <c r="B148" s="2" t="inlineStr">
        <is>
          <t>Whimsical</t>
        </is>
      </c>
      <c r="C148" s="2" t="inlineStr">
        <is>
          <t>https://whimsical.com/pricing</t>
        </is>
      </c>
      <c r="D148" s="2" t="inlineStr">
        <is>
          <t>3. Ожидаемый товар</t>
        </is>
      </c>
      <c r="E148" s="2" t="inlineStr">
        <is>
          <t>Открытая страница тарифов</t>
        </is>
      </c>
      <c r="F148" s="2" t="inlineStr">
        <is>
          <t>Признак найден на просмотренных страницах: открытая страница тарифов</t>
        </is>
      </c>
      <c r="G148" s="2" t="inlineStr">
        <is>
          <t>Страницы сайта, просмотр 01.10.2026</t>
        </is>
      </c>
      <c r="H148" s="2" t="n">
        <v>1</v>
      </c>
      <c r="I148" s="2" t="n">
        <v>3</v>
      </c>
      <c r="J148" s="2" t="n">
        <v>3</v>
      </c>
      <c r="K148" s="2" t="n">
        <v>5</v>
      </c>
      <c r="L148" s="2">
        <f>IF(OR(H148="",I148="",J148="",K148=""),"",ROUND(H148*((I148+J148)/6)*K148,2))</f>
        <v/>
      </c>
      <c r="M148" s="2">
        <f>IF(L148="","",IF(AND(L148&gt;=3.5,H148=1),"Сильный признак",IF(AND(L148&gt;=2,H148=1),"Рабочий признак",IF(H148=1,"Слабый признак","Отсутствует"))))</f>
        <v/>
      </c>
      <c r="N148" s="2" t="inlineStr">
        <is>
          <t>Конкурентная норма с высоким влиянием; включить в минимальный состав NotaCode</t>
        </is>
      </c>
    </row>
    <row r="149">
      <c r="A149" s="2" t="inlineStr">
        <is>
          <t>C08</t>
        </is>
      </c>
      <c r="B149" s="2" t="inlineStr">
        <is>
          <t>Whimsical</t>
        </is>
      </c>
      <c r="C149" s="2" t="inlineStr">
        <is>
          <t>https://whimsical.com/pricing</t>
        </is>
      </c>
      <c r="D149" s="2" t="inlineStr">
        <is>
          <t>4. Расширенный товар</t>
        </is>
      </c>
      <c r="E149" s="2" t="inlineStr">
        <is>
          <t>Бесплатные гости или зрители</t>
        </is>
      </c>
      <c r="F149" s="2" t="inlineStr">
        <is>
          <t>Viewers и Guests: Unlimited на всех тарифах</t>
        </is>
      </c>
      <c r="G149" s="2" t="inlineStr">
        <is>
          <t>Страницы сайта, просмотр 01.10.2026</t>
        </is>
      </c>
      <c r="H149" s="2" t="n">
        <v>1</v>
      </c>
      <c r="I149" s="2" t="n">
        <v>3</v>
      </c>
      <c r="J149" s="2" t="n">
        <v>3</v>
      </c>
      <c r="K149" s="2" t="n">
        <v>3</v>
      </c>
      <c r="L149" s="2">
        <f>IF(OR(H149="",I149="",J149="",K149=""),"",ROUND(H149*((I149+J149)/6)*K149,2))</f>
        <v/>
      </c>
      <c r="M149" s="2">
        <f>IF(L149="","",IF(AND(L149&gt;=3.5,H149=1),"Сильный признак",IF(AND(L149&gt;=2,H149=1),"Рабочий признак",IF(H149=1,"Слабый признак","Отсутствует"))))</f>
        <v/>
      </c>
      <c r="N149" s="2" t="inlineStr">
        <is>
          <t>Конкурентная норма с высоким влиянием; включить в минимальный состав NotaCode</t>
        </is>
      </c>
    </row>
    <row r="150" ht="25.5" customHeight="1">
      <c r="A150" s="2" t="inlineStr">
        <is>
          <t>C08</t>
        </is>
      </c>
      <c r="B150" s="2" t="inlineStr">
        <is>
          <t>Whimsical</t>
        </is>
      </c>
      <c r="C150" s="2" t="inlineStr">
        <is>
          <t>https://whimsical.com/pricing</t>
        </is>
      </c>
      <c r="D150" s="2" t="inlineStr">
        <is>
          <t>4. Расширенный товар</t>
        </is>
      </c>
      <c r="E150" s="2" t="inlineStr">
        <is>
          <t>ИИ-генерация или ИИ-помощник</t>
        </is>
      </c>
      <c r="F150" s="2" t="inlineStr">
        <is>
          <t>Признак найден на просмотренных страницах: ии-генерация или ии-помощник</t>
        </is>
      </c>
      <c r="G150" s="2" t="inlineStr">
        <is>
          <t>Страницы сайта, просмотр 01.10.2026</t>
        </is>
      </c>
      <c r="H150" s="2" t="n">
        <v>1</v>
      </c>
      <c r="I150" s="2" t="n">
        <v>3</v>
      </c>
      <c r="J150" s="2" t="n">
        <v>3</v>
      </c>
      <c r="K150" s="2" t="n">
        <v>4</v>
      </c>
      <c r="L150" s="2">
        <f>IF(OR(H150="",I150="",J150="",K150=""),"",ROUND(H150*((I150+J150)/6)*K150,2))</f>
        <v/>
      </c>
      <c r="M150" s="2">
        <f>IF(L150="","",IF(AND(L150&gt;=3.5,H150=1),"Сильный признак",IF(AND(L150&gt;=2,H150=1),"Рабочий признак",IF(H150=1,"Слабый признак","Отсутствует"))))</f>
        <v/>
      </c>
      <c r="N150" s="2" t="inlineStr">
        <is>
          <t>Конкурентная норма с высоким влиянием; включить в минимальный состав NotaCode</t>
        </is>
      </c>
    </row>
    <row r="151" ht="25.5" customHeight="1">
      <c r="A151" s="2" t="inlineStr">
        <is>
          <t>C08</t>
        </is>
      </c>
      <c r="B151" s="2" t="inlineStr">
        <is>
          <t>Whimsical</t>
        </is>
      </c>
      <c r="C151" s="2" t="inlineStr">
        <is>
          <t>https://whimsical.com/</t>
        </is>
      </c>
      <c r="D151" s="2" t="inlineStr">
        <is>
          <t>3. Ожидаемый товар</t>
        </is>
      </c>
      <c r="E151" s="2" t="inlineStr">
        <is>
          <t>Интеграции с другими сервисами</t>
        </is>
      </c>
      <c r="F151" s="2" t="inlineStr">
        <is>
          <t>Признак найден на просмотренных страницах: интеграции с другими сервисами</t>
        </is>
      </c>
      <c r="G151" s="2" t="inlineStr">
        <is>
          <t>Страницы сайта, просмотр 01.10.2026</t>
        </is>
      </c>
      <c r="H151" s="2" t="n">
        <v>1</v>
      </c>
      <c r="I151" s="2" t="n">
        <v>2</v>
      </c>
      <c r="J151" s="2" t="n">
        <v>3</v>
      </c>
      <c r="K151" s="2" t="n">
        <v>4</v>
      </c>
      <c r="L151" s="2">
        <f>IF(OR(H151="",I151="",J151="",K151=""),"",ROUND(H151*((I151+J151)/6)*K151,2))</f>
        <v/>
      </c>
      <c r="M151" s="2">
        <f>IF(L151="","",IF(AND(L151&gt;=3.5,H151=1),"Сильный признак",IF(AND(L151&gt;=2,H151=1),"Рабочий признак",IF(H151=1,"Слабый признак","Отсутствует"))))</f>
        <v/>
      </c>
      <c r="N151" s="2" t="inlineStr">
        <is>
          <t>Конкурентная норма с высоким влиянием; включить в минимальный состав NotaCode</t>
        </is>
      </c>
    </row>
    <row r="152" ht="25.5" customHeight="1">
      <c r="A152" s="2" t="inlineStr">
        <is>
          <t>C08</t>
        </is>
      </c>
      <c r="B152" s="2" t="inlineStr">
        <is>
          <t>Whimsical</t>
        </is>
      </c>
      <c r="C152" s="2" t="inlineStr">
        <is>
          <t>https://whimsical.com/</t>
        </is>
      </c>
      <c r="D152" s="2" t="inlineStr">
        <is>
          <t>4. Расширенный товар</t>
        </is>
      </c>
      <c r="E152" s="2" t="inlineStr">
        <is>
          <t>Независимые отзывы и оценки</t>
        </is>
      </c>
      <c r="F152" s="2" t="inlineStr">
        <is>
          <t>Признак найден на просмотренных страницах: независимые отзывы и оценки</t>
        </is>
      </c>
      <c r="G152" s="2" t="inlineStr">
        <is>
          <t>Страницы сайта, просмотр 01.10.2026</t>
        </is>
      </c>
      <c r="H152" s="2" t="n">
        <v>1</v>
      </c>
      <c r="I152" s="2" t="n">
        <v>2</v>
      </c>
      <c r="J152" s="2" t="n">
        <v>3</v>
      </c>
      <c r="K152" s="2" t="n">
        <v>3</v>
      </c>
      <c r="L152" s="2">
        <f>IF(OR(H152="",I152="",J152="",K152=""),"",ROUND(H152*((I152+J152)/6)*K152,2))</f>
        <v/>
      </c>
      <c r="M152" s="2">
        <f>IF(L152="","",IF(AND(L152&gt;=3.5,H152=1),"Сильный признак",IF(AND(L152&gt;=2,H152=1),"Рабочий признак",IF(H152=1,"Слабый признак","Отсутствует"))))</f>
        <v/>
      </c>
      <c r="N152" s="2" t="inlineStr">
        <is>
          <t>Конкурентная норма с высоким влиянием; включить в минимальный состав NotaCode</t>
        </is>
      </c>
    </row>
    <row r="153" ht="38.25" customHeight="1">
      <c r="A153" s="2" t="inlineStr">
        <is>
          <t>C08</t>
        </is>
      </c>
      <c r="B153" s="2" t="inlineStr">
        <is>
          <t>Whimsical</t>
        </is>
      </c>
      <c r="C153" s="2" t="inlineStr">
        <is>
          <t>https://whimsical.com/</t>
        </is>
      </c>
      <c r="D153" s="2" t="inlineStr">
        <is>
          <t>4. Расширенный товар</t>
        </is>
      </c>
      <c r="E153" s="2" t="inlineStr">
        <is>
          <t>Раздел или упоминание о безопасности и приватности</t>
        </is>
      </c>
      <c r="F153" s="2" t="inlineStr">
        <is>
          <t>Признак найден на просмотренных страницах: раздел или упоминание о безопасности и приватности</t>
        </is>
      </c>
      <c r="G153" s="2" t="inlineStr">
        <is>
          <t>Страницы сайта, просмотр 01.10.2026</t>
        </is>
      </c>
      <c r="H153" s="2" t="n">
        <v>1</v>
      </c>
      <c r="I153" s="2" t="n">
        <v>2</v>
      </c>
      <c r="J153" s="2" t="n">
        <v>3</v>
      </c>
      <c r="K153" s="2" t="n">
        <v>3</v>
      </c>
      <c r="L153" s="2">
        <f>IF(OR(H153="",I153="",J153="",K153=""),"",ROUND(H153*((I153+J153)/6)*K153,2))</f>
        <v/>
      </c>
      <c r="M153" s="2">
        <f>IF(L153="","",IF(AND(L153&gt;=3.5,H153=1),"Сильный признак",IF(AND(L153&gt;=2,H153=1),"Рабочий признак",IF(H153=1,"Слабый признак","Отсутствует"))))</f>
        <v/>
      </c>
      <c r="N153" s="2" t="inlineStr">
        <is>
          <t>Конкурентная норма с высоким влиянием; включить в минимальный состав NotaCode</t>
        </is>
      </c>
    </row>
    <row r="154">
      <c r="A154" s="2" t="inlineStr">
        <is>
          <t>C08</t>
        </is>
      </c>
      <c r="B154" s="2" t="inlineStr">
        <is>
          <t>Whimsical</t>
        </is>
      </c>
      <c r="C154" s="2" t="inlineStr">
        <is>
          <t>https://whimsical.com/pricing</t>
        </is>
      </c>
      <c r="D154" s="2" t="inlineStr">
        <is>
          <t>4. Расширенный товар</t>
        </is>
      </c>
      <c r="E154" s="2" t="inlineStr">
        <is>
          <t>Единый вход SSO или SAML</t>
        </is>
      </c>
      <c r="F154" s="2" t="inlineStr">
        <is>
          <t>SAML SSO и SCIM в тарифе Business</t>
        </is>
      </c>
      <c r="G154" s="2" t="inlineStr">
        <is>
          <t>Страницы сайта, просмотр 01.10.2026</t>
        </is>
      </c>
      <c r="H154" s="2" t="n">
        <v>1</v>
      </c>
      <c r="I154" s="2" t="n">
        <v>3</v>
      </c>
      <c r="J154" s="2" t="n">
        <v>3</v>
      </c>
      <c r="K154" s="2" t="n">
        <v>2</v>
      </c>
      <c r="L154" s="2">
        <f>IF(OR(H154="",I154="",J154="",K154=""),"",ROUND(H154*((I154+J154)/6)*K154,2))</f>
        <v/>
      </c>
      <c r="M154" s="2">
        <f>IF(L154="","",IF(AND(L154&gt;=3.5,H154=1),"Сильный признак",IF(AND(L154&gt;=2,H154=1),"Рабочий признак",IF(H154=1,"Слабый признак","Отсутствует"))))</f>
        <v/>
      </c>
      <c r="N154" s="2" t="inlineStr">
        <is>
          <t>Конкурентная норма с высоким влиянием; включить в минимальный состав NotaCode</t>
        </is>
      </c>
    </row>
    <row r="155" ht="25.5" customHeight="1">
      <c r="A155" s="2" t="inlineStr">
        <is>
          <t>C08</t>
        </is>
      </c>
      <c r="B155" s="2" t="inlineStr">
        <is>
          <t>Whimsical</t>
        </is>
      </c>
      <c r="C155" s="2" t="inlineStr">
        <is>
          <t>https://whimsical.com/</t>
        </is>
      </c>
      <c r="D155" s="2" t="inlineStr">
        <is>
          <t>3. Ожидаемый товар</t>
        </is>
      </c>
      <c r="E155" s="2" t="inlineStr">
        <is>
          <t>Шаблоны диаграмм</t>
        </is>
      </c>
      <c r="F155" s="2" t="inlineStr">
        <is>
          <t>Признак найден на просмотренных страницах: шаблоны диаграмм</t>
        </is>
      </c>
      <c r="G155" s="2" t="inlineStr">
        <is>
          <t>Страницы сайта, просмотр 01.10.2026</t>
        </is>
      </c>
      <c r="H155" s="2" t="n">
        <v>1</v>
      </c>
      <c r="I155" s="2" t="n">
        <v>3</v>
      </c>
      <c r="J155" s="2" t="n">
        <v>3</v>
      </c>
      <c r="K155" s="2" t="n">
        <v>4</v>
      </c>
      <c r="L155" s="2">
        <f>IF(OR(H155="",I155="",J155="",K155=""),"",ROUND(H155*((I155+J155)/6)*K155,2))</f>
        <v/>
      </c>
      <c r="M155" s="2">
        <f>IF(L155="","",IF(AND(L155&gt;=3.5,H155=1),"Сильный признак",IF(AND(L155&gt;=2,H155=1),"Рабочий признак",IF(H155=1,"Слабый признак","Отсутствует"))))</f>
        <v/>
      </c>
      <c r="N155" s="2" t="inlineStr">
        <is>
          <t>Конкурентная норма с высоким влиянием; включить в минимальный состав NotaCode</t>
        </is>
      </c>
    </row>
    <row r="156" ht="25.5" customHeight="1">
      <c r="A156" s="2" t="inlineStr">
        <is>
          <t>C08</t>
        </is>
      </c>
      <c r="B156" s="2" t="inlineStr">
        <is>
          <t>Whimsical</t>
        </is>
      </c>
      <c r="C156" s="2" t="inlineStr">
        <is>
          <t>https://whimsical.com/</t>
        </is>
      </c>
      <c r="D156" s="2" t="inlineStr">
        <is>
          <t>3. Ожидаемый товар</t>
        </is>
      </c>
      <c r="E156" s="2" t="inlineStr">
        <is>
          <t>Совместная работа в реальном времени</t>
        </is>
      </c>
      <c r="F156" s="2" t="inlineStr">
        <is>
          <t>Признак найден на просмотренных страницах: совместная работа в реальном времени</t>
        </is>
      </c>
      <c r="G156" s="2" t="inlineStr">
        <is>
          <t>Страницы сайта, просмотр 01.10.2026</t>
        </is>
      </c>
      <c r="H156" s="2" t="n">
        <v>1</v>
      </c>
      <c r="I156" s="2" t="n">
        <v>3</v>
      </c>
      <c r="J156" s="2" t="n">
        <v>3</v>
      </c>
      <c r="K156" s="2" t="n">
        <v>4</v>
      </c>
      <c r="L156" s="2">
        <f>IF(OR(H156="",I156="",J156="",K156=""),"",ROUND(H156*((I156+J156)/6)*K156,2))</f>
        <v/>
      </c>
      <c r="M156" s="2">
        <f>IF(L156="","",IF(AND(L156&gt;=3.5,H156=1),"Сильный признак",IF(AND(L156&gt;=2,H156=1),"Рабочий признак",IF(H156=1,"Слабый признак","Отсутствует"))))</f>
        <v/>
      </c>
      <c r="N156" s="2" t="inlineStr">
        <is>
          <t>Конкурентная норма с высоким влиянием; включить в минимальный состав NotaCode</t>
        </is>
      </c>
    </row>
    <row r="157" ht="25.5" customHeight="1">
      <c r="A157" s="2" t="inlineStr">
        <is>
          <t>C08</t>
        </is>
      </c>
      <c r="B157" s="2" t="inlineStr">
        <is>
          <t>Whimsical</t>
        </is>
      </c>
      <c r="C157" s="2" t="inlineStr">
        <is>
          <t>https://whimsical.com/</t>
        </is>
      </c>
      <c r="D157" s="2" t="inlineStr">
        <is>
          <t>3. Ожидаемый товар</t>
        </is>
      </c>
      <c r="E157" s="2" t="inlineStr">
        <is>
          <t>Экспорт диаграмм (PNG, SVG, PDF и др.)</t>
        </is>
      </c>
      <c r="F157" s="2" t="inlineStr">
        <is>
          <t>Признак найден на просмотренных страницах: экспорт диаграмм (png, svg, pdf и др.)</t>
        </is>
      </c>
      <c r="G157" s="2" t="inlineStr">
        <is>
          <t>Страницы сайта, просмотр 01.10.2026</t>
        </is>
      </c>
      <c r="H157" s="2" t="n">
        <v>1</v>
      </c>
      <c r="I157" s="2" t="n">
        <v>3</v>
      </c>
      <c r="J157" s="2" t="n">
        <v>3</v>
      </c>
      <c r="K157" s="2" t="n">
        <v>5</v>
      </c>
      <c r="L157" s="2">
        <f>IF(OR(H157="",I157="",J157="",K157=""),"",ROUND(H157*((I157+J157)/6)*K157,2))</f>
        <v/>
      </c>
      <c r="M157" s="2">
        <f>IF(L157="","",IF(AND(L157&gt;=3.5,H157=1),"Сильный признак",IF(AND(L157&gt;=2,H157=1),"Рабочий признак",IF(H157=1,"Слабый признак","Отсутствует"))))</f>
        <v/>
      </c>
      <c r="N157" s="2" t="inlineStr">
        <is>
          <t>Конкурентная норма с высоким влиянием; включить в минимальный состав NotaCode</t>
        </is>
      </c>
    </row>
    <row r="158" ht="25.5" customHeight="1">
      <c r="A158" s="2" t="inlineStr">
        <is>
          <t>C08</t>
        </is>
      </c>
      <c r="B158" s="2" t="inlineStr">
        <is>
          <t>Whimsical</t>
        </is>
      </c>
      <c r="C158" s="2" t="inlineStr">
        <is>
          <t>https://whimsical.com/pricing</t>
        </is>
      </c>
      <c r="D158" s="2" t="inlineStr">
        <is>
          <t>4. Расширенный товар</t>
        </is>
      </c>
      <c r="E158" s="2" t="inlineStr">
        <is>
          <t>История версий</t>
        </is>
      </c>
      <c r="F158" s="2" t="inlineStr">
        <is>
          <t>7 дней (Free), 90 дней (Pro), без ограничений (Business)</t>
        </is>
      </c>
      <c r="G158" s="2" t="inlineStr">
        <is>
          <t>Страницы сайта, просмотр 01.10.2026</t>
        </is>
      </c>
      <c r="H158" s="2" t="n">
        <v>1</v>
      </c>
      <c r="I158" s="2" t="n">
        <v>3</v>
      </c>
      <c r="J158" s="2" t="n">
        <v>3</v>
      </c>
      <c r="K158" s="2" t="n">
        <v>3</v>
      </c>
      <c r="L158" s="2">
        <f>IF(OR(H158="",I158="",J158="",K158=""),"",ROUND(H158*((I158+J158)/6)*K158,2))</f>
        <v/>
      </c>
      <c r="M158" s="2">
        <f>IF(L158="","",IF(AND(L158&gt;=3.5,H158=1),"Сильный признак",IF(AND(L158&gt;=2,H158=1),"Рабочий признак",IF(H158=1,"Слабый признак","Отсутствует"))))</f>
        <v/>
      </c>
      <c r="N158" s="2" t="inlineStr">
        <is>
          <t>Конкурентная норма с высоким влиянием; включить в минимальный состав NotaCode</t>
        </is>
      </c>
    </row>
    <row r="159" ht="25.5" customHeight="1">
      <c r="A159" s="2" t="inlineStr">
        <is>
          <t>C08</t>
        </is>
      </c>
      <c r="B159" s="2" t="inlineStr">
        <is>
          <t>Whimsical</t>
        </is>
      </c>
      <c r="C159" s="2" t="inlineStr">
        <is>
          <t>https://whimsical.com/</t>
        </is>
      </c>
      <c r="D159" s="2" t="inlineStr">
        <is>
          <t>4. Расширенный товар</t>
        </is>
      </c>
      <c r="E159" s="2" t="inlineStr">
        <is>
          <t>Настольное приложение</t>
        </is>
      </c>
      <c r="F159" s="2" t="inlineStr">
        <is>
          <t>Признак найден на просмотренных страницах: настольное приложение</t>
        </is>
      </c>
      <c r="G159" s="2" t="inlineStr">
        <is>
          <t>Страницы сайта, просмотр 01.10.2026</t>
        </is>
      </c>
      <c r="H159" s="2" t="n">
        <v>1</v>
      </c>
      <c r="I159" s="2" t="n">
        <v>2</v>
      </c>
      <c r="J159" s="2" t="n">
        <v>3</v>
      </c>
      <c r="K159" s="2" t="n">
        <v>2</v>
      </c>
      <c r="L159" s="2">
        <f>IF(OR(H159="",I159="",J159="",K159=""),"",ROUND(H159*((I159+J159)/6)*K159,2))</f>
        <v/>
      </c>
      <c r="M159" s="2">
        <f>IF(L159="","",IF(AND(L159&gt;=3.5,H159=1),"Сильный признак",IF(AND(L159&gt;=2,H159=1),"Рабочий признак",IF(H159=1,"Слабый признак","Отсутствует"))))</f>
        <v/>
      </c>
      <c r="N159" s="2" t="inlineStr">
        <is>
          <t>Конкурентная норма с высоким влиянием; включить в минимальный состав NotaCode</t>
        </is>
      </c>
    </row>
    <row r="160">
      <c r="A160" s="2" t="n"/>
      <c r="B160" s="2" t="n"/>
      <c r="C160" s="2" t="n"/>
      <c r="D160" s="2" t="n"/>
      <c r="E160" s="2" t="n"/>
      <c r="F160" s="2" t="n"/>
      <c r="G160" s="2" t="n"/>
      <c r="H160" s="2" t="n"/>
      <c r="I160" s="2" t="n"/>
      <c r="J160" s="2" t="n"/>
      <c r="K160" s="2" t="n"/>
      <c r="L160" s="2">
        <f>IF(OR(H160="",I160="",J160="",K160=""),"",ROUND(H160*((I160+J160)/6)*K160,2))</f>
        <v/>
      </c>
      <c r="M160" s="2">
        <f>IF(L160="","",IF(AND(L160&gt;=3.5,H160=1),"Сильный признак",IF(AND(L160&gt;=2,H160=1),"Рабочий признак",IF(H160=1,"Слабый признак","Отсутствует"))))</f>
        <v/>
      </c>
      <c r="N160" s="2" t="inlineStr">
        <is>
          <t>Конкурентная норма с высоким влиянием; включить в минимальный состав NotaCode</t>
        </is>
      </c>
    </row>
    <row r="161">
      <c r="A161" s="2" t="n"/>
      <c r="B161" s="2" t="n"/>
      <c r="C161" s="2" t="n"/>
      <c r="D161" s="2" t="n"/>
      <c r="E161" s="2" t="n"/>
      <c r="F161" s="2" t="n"/>
      <c r="G161" s="2" t="n"/>
      <c r="H161" s="2" t="n"/>
      <c r="I161" s="2" t="n"/>
      <c r="J161" s="2" t="n"/>
      <c r="K161" s="2" t="n"/>
      <c r="L161" s="2">
        <f>IF(OR(H161="",I161="",J161="",K161=""),"",ROUND(H161*((I161+J161)/6)*K161,2))</f>
        <v/>
      </c>
      <c r="M161" s="2">
        <f>IF(L161="","",IF(AND(L161&gt;=3.5,H161=1),"Сильный признак",IF(AND(L161&gt;=2,H161=1),"Рабочий признак",IF(H161=1,"Слабый признак","Отсутствует"))))</f>
        <v/>
      </c>
      <c r="N161" s="2" t="inlineStr">
        <is>
          <t>Конкурентная норма с высоким влиянием; включить в минимальный состав NotaCode</t>
        </is>
      </c>
    </row>
    <row r="162">
      <c r="A162" s="2" t="n"/>
      <c r="B162" s="2" t="n"/>
      <c r="C162" s="2" t="n"/>
      <c r="D162" s="2" t="n"/>
      <c r="E162" s="2" t="n"/>
      <c r="F162" s="2" t="n"/>
      <c r="G162" s="2" t="n"/>
      <c r="H162" s="2" t="n"/>
      <c r="I162" s="2" t="n"/>
      <c r="J162" s="2" t="n"/>
      <c r="K162" s="2" t="n"/>
      <c r="L162" s="2">
        <f>IF(OR(H162="",I162="",J162="",K162=""),"",ROUND(H162*((I162+J162)/6)*K162,2))</f>
        <v/>
      </c>
      <c r="M162" s="2">
        <f>IF(L162="","",IF(AND(L162&gt;=3.5,H162=1),"Сильный признак",IF(AND(L162&gt;=2,H162=1),"Рабочий признак",IF(H162=1,"Слабый признак","Отсутствует"))))</f>
        <v/>
      </c>
      <c r="N162" s="2" t="inlineStr">
        <is>
          <t>Конкурентная норма с высоким влиянием; включить в минимальный состав NotaCode</t>
        </is>
      </c>
    </row>
    <row r="163">
      <c r="A163" s="2" t="n"/>
      <c r="B163" s="2" t="n"/>
      <c r="C163" s="2" t="n"/>
      <c r="D163" s="2" t="n"/>
      <c r="E163" s="2" t="n"/>
      <c r="F163" s="2" t="n"/>
      <c r="G163" s="2" t="n"/>
      <c r="H163" s="2" t="n"/>
      <c r="I163" s="2" t="n"/>
      <c r="J163" s="2" t="n"/>
      <c r="K163" s="2" t="n"/>
      <c r="L163" s="2">
        <f>IF(OR(H163="",I163="",J163="",K163=""),"",ROUND(H163*((I163+J163)/6)*K163,2))</f>
        <v/>
      </c>
      <c r="M163" s="2">
        <f>IF(L163="","",IF(AND(L163&gt;=3.5,H163=1),"Сильный признак",IF(AND(L163&gt;=2,H163=1),"Рабочий признак",IF(H163=1,"Слабый признак","Отсутствует"))))</f>
        <v/>
      </c>
      <c r="N163" s="2" t="inlineStr">
        <is>
          <t>Конкурентная норма с высоким влиянием; включить в минимальный состав NotaCode</t>
        </is>
      </c>
    </row>
    <row r="164">
      <c r="A164" s="2" t="n"/>
      <c r="B164" s="2" t="n"/>
      <c r="C164" s="2" t="n"/>
      <c r="D164" s="2" t="n"/>
      <c r="E164" s="2" t="n"/>
      <c r="F164" s="2" t="n"/>
      <c r="G164" s="2" t="n"/>
      <c r="H164" s="2" t="n"/>
      <c r="I164" s="2" t="n"/>
      <c r="J164" s="2" t="n"/>
      <c r="K164" s="2" t="n"/>
      <c r="L164" s="2">
        <f>IF(OR(H164="",I164="",J164="",K164=""),"",ROUND(H164*((I164+J164)/6)*K164,2))</f>
        <v/>
      </c>
      <c r="M164" s="2">
        <f>IF(L164="","",IF(AND(L164&gt;=3.5,H164=1),"Сильный признак",IF(AND(L164&gt;=2,H164=1),"Рабочий признак",IF(H164=1,"Слабый признак","Отсутствует"))))</f>
        <v/>
      </c>
      <c r="N164" s="2" t="inlineStr">
        <is>
          <t>Конкурентная норма с высоким влиянием; включить в минимальный состав NotaCode</t>
        </is>
      </c>
    </row>
    <row r="165">
      <c r="A165" s="2" t="n"/>
      <c r="B165" s="2" t="n"/>
      <c r="C165" s="2" t="n"/>
      <c r="D165" s="2" t="n"/>
      <c r="E165" s="2" t="n"/>
      <c r="F165" s="2" t="n"/>
      <c r="G165" s="2" t="n"/>
      <c r="H165" s="2" t="n"/>
      <c r="I165" s="2" t="n"/>
      <c r="J165" s="2" t="n"/>
      <c r="K165" s="2" t="n"/>
      <c r="L165" s="2">
        <f>IF(OR(H165="",I165="",J165="",K165=""),"",ROUND(H165*((I165+J165)/6)*K165,2))</f>
        <v/>
      </c>
      <c r="M165" s="2">
        <f>IF(L165="","",IF(AND(L165&gt;=3.5,H165=1),"Сильный признак",IF(AND(L165&gt;=2,H165=1),"Рабочий признак",IF(H165=1,"Слабый признак","Отсутствует"))))</f>
        <v/>
      </c>
      <c r="N165" s="2" t="inlineStr">
        <is>
          <t>Конкурентная норма с высоким влиянием; включить в минимальный состав NotaCode</t>
        </is>
      </c>
    </row>
    <row r="166">
      <c r="A166" s="2" t="n"/>
      <c r="B166" s="2" t="n"/>
      <c r="C166" s="2" t="n"/>
      <c r="D166" s="2" t="n"/>
      <c r="E166" s="2" t="n"/>
      <c r="F166" s="2" t="n"/>
      <c r="G166" s="2" t="n"/>
      <c r="H166" s="2" t="n"/>
      <c r="I166" s="2" t="n"/>
      <c r="J166" s="2" t="n"/>
      <c r="K166" s="2" t="n"/>
      <c r="L166" s="2">
        <f>IF(OR(H166="",I166="",J166="",K166=""),"",ROUND(H166*((I166+J166)/6)*K166,2))</f>
        <v/>
      </c>
      <c r="M166" s="2">
        <f>IF(L166="","",IF(AND(L166&gt;=3.5,H166=1),"Сильный признак",IF(AND(L166&gt;=2,H166=1),"Рабочий признак",IF(H166=1,"Слабый признак","Отсутствует"))))</f>
        <v/>
      </c>
      <c r="N166" s="2" t="inlineStr">
        <is>
          <t>Конкурентная норма с высоким влиянием; включить в минимальный состав NotaCode</t>
        </is>
      </c>
    </row>
    <row r="167">
      <c r="A167" s="2" t="n"/>
      <c r="B167" s="2" t="n"/>
      <c r="C167" s="2" t="n"/>
      <c r="D167" s="2" t="n"/>
      <c r="E167" s="2" t="n"/>
      <c r="F167" s="2" t="n"/>
      <c r="G167" s="2" t="n"/>
      <c r="H167" s="2" t="n"/>
      <c r="I167" s="2" t="n"/>
      <c r="J167" s="2" t="n"/>
      <c r="K167" s="2" t="n"/>
      <c r="L167" s="2">
        <f>IF(OR(H167="",I167="",J167="",K167=""),"",ROUND(H167*((I167+J167)/6)*K167,2))</f>
        <v/>
      </c>
      <c r="M167" s="2">
        <f>IF(L167="","",IF(AND(L167&gt;=3.5,H167=1),"Сильный признак",IF(AND(L167&gt;=2,H167=1),"Рабочий признак",IF(H167=1,"Слабый признак","Отсутствует"))))</f>
        <v/>
      </c>
      <c r="N167" s="2" t="inlineStr">
        <is>
          <t>Конкурентная норма с высоким влиянием; включить в минимальный состав NotaCode</t>
        </is>
      </c>
    </row>
    <row r="168">
      <c r="A168" s="2" t="n"/>
      <c r="B168" s="2" t="n"/>
      <c r="C168" s="2" t="n"/>
      <c r="D168" s="2" t="n"/>
      <c r="E168" s="2" t="n"/>
      <c r="F168" s="2" t="n"/>
      <c r="G168" s="2" t="n"/>
      <c r="H168" s="2" t="n"/>
      <c r="I168" s="2" t="n"/>
      <c r="J168" s="2" t="n"/>
      <c r="K168" s="2" t="n"/>
      <c r="L168" s="2">
        <f>IF(OR(H168="",I168="",J168="",K168=""),"",ROUND(H168*((I168+J168)/6)*K168,2))</f>
        <v/>
      </c>
      <c r="M168" s="2">
        <f>IF(L168="","",IF(AND(L168&gt;=3.5,H168=1),"Сильный признак",IF(AND(L168&gt;=2,H168=1),"Рабочий признак",IF(H168=1,"Слабый признак","Отсутствует"))))</f>
        <v/>
      </c>
      <c r="N168" s="2" t="inlineStr">
        <is>
          <t>Конкурентная норма с высоким влиянием; включить в минимальный состав NotaCode</t>
        </is>
      </c>
    </row>
    <row r="169">
      <c r="A169" s="2" t="n"/>
      <c r="B169" s="2" t="n"/>
      <c r="C169" s="2" t="n"/>
      <c r="D169" s="2" t="n"/>
      <c r="E169" s="2" t="n"/>
      <c r="F169" s="2" t="n"/>
      <c r="G169" s="2" t="n"/>
      <c r="H169" s="2" t="n"/>
      <c r="I169" s="2" t="n"/>
      <c r="J169" s="2" t="n"/>
      <c r="K169" s="2" t="n"/>
      <c r="L169" s="2">
        <f>IF(OR(H169="",I169="",J169="",K169=""),"",ROUND(H169*((I169+J169)/6)*K169,2))</f>
        <v/>
      </c>
      <c r="M169" s="2">
        <f>IF(L169="","",IF(AND(L169&gt;=3.5,H169=1),"Сильный признак",IF(AND(L169&gt;=2,H169=1),"Рабочий признак",IF(H169=1,"Слабый признак","Отсутствует"))))</f>
        <v/>
      </c>
      <c r="N169" s="2" t="inlineStr">
        <is>
          <t>Конкурентная норма с высоким влиянием; включить в минимальный состав NotaCode</t>
        </is>
      </c>
    </row>
    <row r="170">
      <c r="A170" s="2" t="n"/>
      <c r="B170" s="2" t="n"/>
      <c r="C170" s="2" t="n"/>
      <c r="D170" s="2" t="n"/>
      <c r="E170" s="2" t="n"/>
      <c r="F170" s="2" t="n"/>
      <c r="G170" s="2" t="n"/>
      <c r="H170" s="2" t="n"/>
      <c r="I170" s="2" t="n"/>
      <c r="J170" s="2" t="n"/>
      <c r="K170" s="2" t="n"/>
      <c r="L170" s="2">
        <f>IF(OR(H170="",I170="",J170="",K170=""),"",ROUND(H170*((I170+J170)/6)*K170,2))</f>
        <v/>
      </c>
      <c r="M170" s="2">
        <f>IF(L170="","",IF(AND(L170&gt;=3.5,H170=1),"Сильный признак",IF(AND(L170&gt;=2,H170=1),"Рабочий признак",IF(H170=1,"Слабый признак","Отсутствует"))))</f>
        <v/>
      </c>
      <c r="N170" s="2" t="inlineStr">
        <is>
          <t>Конкурентная норма с высоким влиянием; включить в минимальный состав NotaCode</t>
        </is>
      </c>
    </row>
    <row r="171">
      <c r="A171" s="2" t="n"/>
      <c r="B171" s="2" t="n"/>
      <c r="C171" s="2" t="n"/>
      <c r="D171" s="2" t="n"/>
      <c r="E171" s="2" t="n"/>
      <c r="F171" s="2" t="n"/>
      <c r="G171" s="2" t="n"/>
      <c r="H171" s="2" t="n"/>
      <c r="I171" s="2" t="n"/>
      <c r="J171" s="2" t="n"/>
      <c r="K171" s="2" t="n"/>
      <c r="L171" s="2">
        <f>IF(OR(H171="",I171="",J171="",K171=""),"",ROUND(H171*((I171+J171)/6)*K171,2))</f>
        <v/>
      </c>
      <c r="M171" s="2">
        <f>IF(L171="","",IF(AND(L171&gt;=3.5,H171=1),"Сильный признак",IF(AND(L171&gt;=2,H171=1),"Рабочий признак",IF(H171=1,"Слабый признак","Отсутствует"))))</f>
        <v/>
      </c>
      <c r="N171" s="2" t="inlineStr">
        <is>
          <t>Конкурентная норма с высоким влиянием; включить в минимальный состав NotaCode</t>
        </is>
      </c>
    </row>
    <row r="172">
      <c r="A172" s="2" t="n"/>
      <c r="B172" s="2" t="n"/>
      <c r="C172" s="2" t="n"/>
      <c r="D172" s="2" t="n"/>
      <c r="E172" s="2" t="n"/>
      <c r="F172" s="2" t="n"/>
      <c r="G172" s="2" t="n"/>
      <c r="H172" s="2" t="n"/>
      <c r="I172" s="2" t="n"/>
      <c r="J172" s="2" t="n"/>
      <c r="K172" s="2" t="n"/>
      <c r="L172" s="2">
        <f>IF(OR(H172="",I172="",J172="",K172=""),"",ROUND(H172*((I172+J172)/6)*K172,2))</f>
        <v/>
      </c>
      <c r="M172" s="2">
        <f>IF(L172="","",IF(AND(L172&gt;=3.5,H172=1),"Сильный признак",IF(AND(L172&gt;=2,H172=1),"Рабочий признак",IF(H172=1,"Слабый признак","Отсутствует"))))</f>
        <v/>
      </c>
      <c r="N172" s="2" t="inlineStr">
        <is>
          <t>Конкурентная норма с высоким влиянием; включить в минимальный состав NotaCode</t>
        </is>
      </c>
    </row>
    <row r="173">
      <c r="A173" s="2" t="n"/>
      <c r="B173" s="2" t="n"/>
      <c r="C173" s="2" t="n"/>
      <c r="D173" s="2" t="n"/>
      <c r="E173" s="2" t="n"/>
      <c r="F173" s="2" t="n"/>
      <c r="G173" s="2" t="n"/>
      <c r="H173" s="2" t="n"/>
      <c r="I173" s="2" t="n"/>
      <c r="J173" s="2" t="n"/>
      <c r="K173" s="2" t="n"/>
      <c r="L173" s="2">
        <f>IF(OR(H173="",I173="",J173="",K173=""),"",ROUND(H173*((I173+J173)/6)*K173,2))</f>
        <v/>
      </c>
      <c r="M173" s="2">
        <f>IF(L173="","",IF(AND(L173&gt;=3.5,H173=1),"Сильный признак",IF(AND(L173&gt;=2,H173=1),"Рабочий признак",IF(H173=1,"Слабый признак","Отсутствует"))))</f>
        <v/>
      </c>
      <c r="N173" s="2" t="inlineStr">
        <is>
          <t>Конкурентная норма с высоким влиянием; включить в минимальный состав NotaCode</t>
        </is>
      </c>
    </row>
    <row r="174">
      <c r="A174" s="2" t="n"/>
      <c r="B174" s="2" t="n"/>
      <c r="C174" s="2" t="n"/>
      <c r="D174" s="2" t="n"/>
      <c r="E174" s="2" t="n"/>
      <c r="F174" s="2" t="n"/>
      <c r="G174" s="2" t="n"/>
      <c r="H174" s="2" t="n"/>
      <c r="I174" s="2" t="n"/>
      <c r="J174" s="2" t="n"/>
      <c r="K174" s="2" t="n"/>
      <c r="L174" s="2">
        <f>IF(OR(H174="",I174="",J174="",K174=""),"",ROUND(H174*((I174+J174)/6)*K174,2))</f>
        <v/>
      </c>
      <c r="M174" s="2">
        <f>IF(L174="","",IF(AND(L174&gt;=3.5,H174=1),"Сильный признак",IF(AND(L174&gt;=2,H174=1),"Рабочий признак",IF(H174=1,"Слабый признак","Отсутствует"))))</f>
        <v/>
      </c>
      <c r="N174" s="2" t="inlineStr">
        <is>
          <t>Конкурентная норма с высоким влиянием; включить в минимальный состав NotaCode</t>
        </is>
      </c>
    </row>
    <row r="175">
      <c r="A175" s="2" t="n"/>
      <c r="B175" s="2" t="n"/>
      <c r="C175" s="2" t="n"/>
      <c r="D175" s="2" t="n"/>
      <c r="E175" s="2" t="n"/>
      <c r="F175" s="2" t="n"/>
      <c r="G175" s="2" t="n"/>
      <c r="H175" s="2" t="n"/>
      <c r="I175" s="2" t="n"/>
      <c r="J175" s="2" t="n"/>
      <c r="K175" s="2" t="n"/>
      <c r="L175" s="2">
        <f>IF(OR(H175="",I175="",J175="",K175=""),"",ROUND(H175*((I175+J175)/6)*K175,2))</f>
        <v/>
      </c>
      <c r="M175" s="2">
        <f>IF(L175="","",IF(AND(L175&gt;=3.5,H175=1),"Сильный признак",IF(AND(L175&gt;=2,H175=1),"Рабочий признак",IF(H175=1,"Слабый признак","Отсутствует"))))</f>
        <v/>
      </c>
      <c r="N175" s="2" t="inlineStr">
        <is>
          <t>Конкурентная норма с высоким влиянием; включить в минимальный состав NotaCode</t>
        </is>
      </c>
    </row>
    <row r="176">
      <c r="A176" s="2" t="n"/>
      <c r="B176" s="2" t="n"/>
      <c r="C176" s="2" t="n"/>
      <c r="D176" s="2" t="n"/>
      <c r="E176" s="2" t="n"/>
      <c r="F176" s="2" t="n"/>
      <c r="G176" s="2" t="n"/>
      <c r="H176" s="2" t="n"/>
      <c r="I176" s="2" t="n"/>
      <c r="J176" s="2" t="n"/>
      <c r="K176" s="2" t="n"/>
      <c r="L176" s="2">
        <f>IF(OR(H176="",I176="",J176="",K176=""),"",ROUND(H176*((I176+J176)/6)*K176,2))</f>
        <v/>
      </c>
      <c r="M176" s="2">
        <f>IF(L176="","",IF(AND(L176&gt;=3.5,H176=1),"Сильный признак",IF(AND(L176&gt;=2,H176=1),"Рабочий признак",IF(H176=1,"Слабый признак","Отсутствует"))))</f>
        <v/>
      </c>
      <c r="N176" s="2" t="inlineStr">
        <is>
          <t>Конкурентная норма с высоким влиянием; включить в минимальный состав NotaCode</t>
        </is>
      </c>
    </row>
    <row r="177">
      <c r="A177" s="2" t="n"/>
      <c r="B177" s="2" t="n"/>
      <c r="C177" s="2" t="n"/>
      <c r="D177" s="2" t="n"/>
      <c r="E177" s="2" t="n"/>
      <c r="F177" s="2" t="n"/>
      <c r="G177" s="2" t="n"/>
      <c r="H177" s="2" t="n"/>
      <c r="I177" s="2" t="n"/>
      <c r="J177" s="2" t="n"/>
      <c r="K177" s="2" t="n"/>
      <c r="L177" s="2">
        <f>IF(OR(H177="",I177="",J177="",K177=""),"",ROUND(H177*((I177+J177)/6)*K177,2))</f>
        <v/>
      </c>
      <c r="M177" s="2">
        <f>IF(L177="","",IF(AND(L177&gt;=3.5,H177=1),"Сильный признак",IF(AND(L177&gt;=2,H177=1),"Рабочий признак",IF(H177=1,"Слабый признак","Отсутствует"))))</f>
        <v/>
      </c>
      <c r="N177" s="2" t="inlineStr">
        <is>
          <t>Конкурентная норма с высоким влиянием; включить в минимальный состав NotaCode</t>
        </is>
      </c>
    </row>
    <row r="178">
      <c r="A178" s="2" t="n"/>
      <c r="B178" s="2" t="n"/>
      <c r="C178" s="2" t="n"/>
      <c r="D178" s="2" t="n"/>
      <c r="E178" s="2" t="n"/>
      <c r="F178" s="2" t="n"/>
      <c r="G178" s="2" t="n"/>
      <c r="H178" s="2" t="n"/>
      <c r="I178" s="2" t="n"/>
      <c r="J178" s="2" t="n"/>
      <c r="K178" s="2" t="n"/>
      <c r="L178" s="2">
        <f>IF(OR(H178="",I178="",J178="",K178=""),"",ROUND(H178*((I178+J178)/6)*K178,2))</f>
        <v/>
      </c>
      <c r="M178" s="2">
        <f>IF(L178="","",IF(AND(L178&gt;=3.5,H178=1),"Сильный признак",IF(AND(L178&gt;=2,H178=1),"Рабочий признак",IF(H178=1,"Слабый признак","Отсутствует"))))</f>
        <v/>
      </c>
      <c r="N178" s="2" t="inlineStr">
        <is>
          <t>Конкурентная норма с высоким влиянием; включить в минимальный состав NotaCode</t>
        </is>
      </c>
    </row>
    <row r="179">
      <c r="A179" s="2" t="n"/>
      <c r="B179" s="2" t="n"/>
      <c r="C179" s="2" t="n"/>
      <c r="D179" s="2" t="n"/>
      <c r="E179" s="2" t="n"/>
      <c r="F179" s="2" t="n"/>
      <c r="G179" s="2" t="n"/>
      <c r="H179" s="2" t="n"/>
      <c r="I179" s="2" t="n"/>
      <c r="J179" s="2" t="n"/>
      <c r="K179" s="2" t="n"/>
      <c r="L179" s="2">
        <f>IF(OR(H179="",I179="",J179="",K179=""),"",ROUND(H179*((I179+J179)/6)*K179,2))</f>
        <v/>
      </c>
      <c r="M179" s="2">
        <f>IF(L179="","",IF(AND(L179&gt;=3.5,H179=1),"Сильный признак",IF(AND(L179&gt;=2,H179=1),"Рабочий признак",IF(H179=1,"Слабый признак","Отсутствует"))))</f>
        <v/>
      </c>
      <c r="N179" s="2" t="inlineStr">
        <is>
          <t>Конкурентная норма с высоким влиянием; включить в минимальный состав NotaCode</t>
        </is>
      </c>
    </row>
    <row r="180">
      <c r="A180" s="2" t="n"/>
      <c r="B180" s="2" t="n"/>
      <c r="C180" s="2" t="n"/>
      <c r="D180" s="2" t="n"/>
      <c r="E180" s="2" t="n"/>
      <c r="F180" s="2" t="n"/>
      <c r="G180" s="2" t="n"/>
      <c r="H180" s="2" t="n"/>
      <c r="I180" s="2" t="n"/>
      <c r="J180" s="2" t="n"/>
      <c r="K180" s="2" t="n"/>
      <c r="L180" s="2">
        <f>IF(OR(H180="",I180="",J180="",K180=""),"",ROUND(H180*((I180+J180)/6)*K180,2))</f>
        <v/>
      </c>
      <c r="M180" s="2">
        <f>IF(L180="","",IF(AND(L180&gt;=3.5,H180=1),"Сильный признак",IF(AND(L180&gt;=2,H180=1),"Рабочий признак",IF(H180=1,"Слабый признак","Отсутствует"))))</f>
        <v/>
      </c>
      <c r="N180" s="2" t="inlineStr">
        <is>
          <t>Конкурентная норма с высоким влиянием; включить в минимальный состав NotaCode</t>
        </is>
      </c>
    </row>
    <row r="181">
      <c r="A181" s="2" t="n"/>
      <c r="B181" s="2" t="n"/>
      <c r="C181" s="2" t="n"/>
      <c r="D181" s="2" t="n"/>
      <c r="E181" s="2" t="n"/>
      <c r="F181" s="2" t="n"/>
      <c r="G181" s="2" t="n"/>
      <c r="H181" s="2" t="n"/>
      <c r="I181" s="2" t="n"/>
      <c r="J181" s="2" t="n"/>
      <c r="K181" s="2" t="n"/>
      <c r="L181" s="2">
        <f>IF(OR(H181="",I181="",J181="",K181=""),"",ROUND(H181*((I181+J181)/6)*K181,2))</f>
        <v/>
      </c>
      <c r="M181" s="2">
        <f>IF(L181="","",IF(AND(L181&gt;=3.5,H181=1),"Сильный признак",IF(AND(L181&gt;=2,H181=1),"Рабочий признак",IF(H181=1,"Слабый признак","Отсутствует"))))</f>
        <v/>
      </c>
      <c r="N181" s="2" t="inlineStr">
        <is>
          <t>Конкурентная норма с высоким влиянием; включить в минимальный состав NotaCode</t>
        </is>
      </c>
    </row>
    <row r="182">
      <c r="A182" s="2" t="n"/>
      <c r="B182" s="2" t="n"/>
      <c r="C182" s="2" t="n"/>
      <c r="D182" s="2" t="n"/>
      <c r="E182" s="2" t="n"/>
      <c r="F182" s="2" t="n"/>
      <c r="G182" s="2" t="n"/>
      <c r="H182" s="2" t="n"/>
      <c r="I182" s="2" t="n"/>
      <c r="J182" s="2" t="n"/>
      <c r="K182" s="2" t="n"/>
      <c r="L182" s="2">
        <f>IF(OR(H182="",I182="",J182="",K182=""),"",ROUND(H182*((I182+J182)/6)*K182,2))</f>
        <v/>
      </c>
      <c r="M182" s="2">
        <f>IF(L182="","",IF(AND(L182&gt;=3.5,H182=1),"Сильный признак",IF(AND(L182&gt;=2,H182=1),"Рабочий признак",IF(H182=1,"Слабый признак","Отсутствует"))))</f>
        <v/>
      </c>
      <c r="N182" s="2" t="inlineStr">
        <is>
          <t>Конкурентная норма с высоким влиянием; включить в минимальный состав NotaCode</t>
        </is>
      </c>
    </row>
    <row r="183">
      <c r="A183" s="2" t="n"/>
      <c r="B183" s="2" t="n"/>
      <c r="C183" s="2" t="n"/>
      <c r="D183" s="2" t="n"/>
      <c r="E183" s="2" t="n"/>
      <c r="F183" s="2" t="n"/>
      <c r="G183" s="2" t="n"/>
      <c r="H183" s="2" t="n"/>
      <c r="I183" s="2" t="n"/>
      <c r="J183" s="2" t="n"/>
      <c r="K183" s="2" t="n"/>
      <c r="L183" s="2">
        <f>IF(OR(H183="",I183="",J183="",K183=""),"",ROUND(H183*((I183+J183)/6)*K183,2))</f>
        <v/>
      </c>
      <c r="M183" s="2">
        <f>IF(L183="","",IF(AND(L183&gt;=3.5,H183=1),"Сильный признак",IF(AND(L183&gt;=2,H183=1),"Рабочий признак",IF(H183=1,"Слабый признак","Отсутствует"))))</f>
        <v/>
      </c>
      <c r="N183" s="2" t="inlineStr">
        <is>
          <t>Конкурентная норма с высоким влиянием; включить в минимальный состав NotaCode</t>
        </is>
      </c>
    </row>
    <row r="184">
      <c r="A184" s="2" t="n"/>
      <c r="B184" s="2" t="n"/>
      <c r="C184" s="2" t="n"/>
      <c r="D184" s="2" t="n"/>
      <c r="E184" s="2" t="n"/>
      <c r="F184" s="2" t="n"/>
      <c r="G184" s="2" t="n"/>
      <c r="H184" s="2" t="n"/>
      <c r="I184" s="2" t="n"/>
      <c r="J184" s="2" t="n"/>
      <c r="K184" s="2" t="n"/>
      <c r="L184" s="2">
        <f>IF(OR(H184="",I184="",J184="",K184=""),"",ROUND(H184*((I184+J184)/6)*K184,2))</f>
        <v/>
      </c>
      <c r="M184" s="2">
        <f>IF(L184="","",IF(AND(L184&gt;=3.5,H184=1),"Сильный признак",IF(AND(L184&gt;=2,H184=1),"Рабочий признак",IF(H184=1,"Слабый признак","Отсутствует"))))</f>
        <v/>
      </c>
      <c r="N184" s="2" t="inlineStr">
        <is>
          <t>Конкурентная норма с высоким влиянием; включить в минимальный состав NotaCode</t>
        </is>
      </c>
    </row>
    <row r="185">
      <c r="A185" s="2" t="n"/>
      <c r="B185" s="2" t="n"/>
      <c r="C185" s="2" t="n"/>
      <c r="D185" s="2" t="n"/>
      <c r="E185" s="2" t="n"/>
      <c r="F185" s="2" t="n"/>
      <c r="G185" s="2" t="n"/>
      <c r="H185" s="2" t="n"/>
      <c r="I185" s="2" t="n"/>
      <c r="J185" s="2" t="n"/>
      <c r="K185" s="2" t="n"/>
      <c r="L185" s="2">
        <f>IF(OR(H185="",I185="",J185="",K185=""),"",ROUND(H185*((I185+J185)/6)*K185,2))</f>
        <v/>
      </c>
      <c r="M185" s="2">
        <f>IF(L185="","",IF(AND(L185&gt;=3.5,H185=1),"Сильный признак",IF(AND(L185&gt;=2,H185=1),"Рабочий признак",IF(H185=1,"Слабый признак","Отсутствует"))))</f>
        <v/>
      </c>
      <c r="N185" s="2" t="inlineStr">
        <is>
          <t>Конкурентная норма с высоким влиянием; включить в минимальный состав NotaCode</t>
        </is>
      </c>
    </row>
    <row r="186">
      <c r="A186" s="2" t="n"/>
      <c r="B186" s="2" t="n"/>
      <c r="C186" s="2" t="n"/>
      <c r="D186" s="2" t="n"/>
      <c r="E186" s="2" t="n"/>
      <c r="F186" s="2" t="n"/>
      <c r="G186" s="2" t="n"/>
      <c r="H186" s="2" t="n"/>
      <c r="I186" s="2" t="n"/>
      <c r="J186" s="2" t="n"/>
      <c r="K186" s="2" t="n"/>
      <c r="L186" s="2">
        <f>IF(OR(H186="",I186="",J186="",K186=""),"",ROUND(H186*((I186+J186)/6)*K186,2))</f>
        <v/>
      </c>
      <c r="M186" s="2">
        <f>IF(L186="","",IF(AND(L186&gt;=3.5,H186=1),"Сильный признак",IF(AND(L186&gt;=2,H186=1),"Рабочий признак",IF(H186=1,"Слабый признак","Отсутствует"))))</f>
        <v/>
      </c>
      <c r="N186" s="2" t="inlineStr">
        <is>
          <t>Конкурентная норма с высоким влиянием; включить в минимальный состав NotaCode</t>
        </is>
      </c>
    </row>
    <row r="187">
      <c r="A187" s="2" t="n"/>
      <c r="B187" s="2" t="n"/>
      <c r="C187" s="2" t="n"/>
      <c r="D187" s="2" t="n"/>
      <c r="E187" s="2" t="n"/>
      <c r="F187" s="2" t="n"/>
      <c r="G187" s="2" t="n"/>
      <c r="H187" s="2" t="n"/>
      <c r="I187" s="2" t="n"/>
      <c r="J187" s="2" t="n"/>
      <c r="K187" s="2" t="n"/>
      <c r="L187" s="2">
        <f>IF(OR(H187="",I187="",J187="",K187=""),"",ROUND(H187*((I187+J187)/6)*K187,2))</f>
        <v/>
      </c>
      <c r="M187" s="2">
        <f>IF(L187="","",IF(AND(L187&gt;=3.5,H187=1),"Сильный признак",IF(AND(L187&gt;=2,H187=1),"Рабочий признак",IF(H187=1,"Слабый признак","Отсутствует"))))</f>
        <v/>
      </c>
      <c r="N187" s="2" t="inlineStr">
        <is>
          <t>Конкурентная норма с высоким влиянием; включить в минимальный состав NotaCode</t>
        </is>
      </c>
    </row>
    <row r="188">
      <c r="A188" s="2" t="n"/>
      <c r="B188" s="2" t="n"/>
      <c r="C188" s="2" t="n"/>
      <c r="D188" s="2" t="n"/>
      <c r="E188" s="2" t="n"/>
      <c r="F188" s="2" t="n"/>
      <c r="G188" s="2" t="n"/>
      <c r="H188" s="2" t="n"/>
      <c r="I188" s="2" t="n"/>
      <c r="J188" s="2" t="n"/>
      <c r="K188" s="2" t="n"/>
      <c r="L188" s="2">
        <f>IF(OR(H188="",I188="",J188="",K188=""),"",ROUND(H188*((I188+J188)/6)*K188,2))</f>
        <v/>
      </c>
      <c r="M188" s="2">
        <f>IF(L188="","",IF(AND(L188&gt;=3.5,H188=1),"Сильный признак",IF(AND(L188&gt;=2,H188=1),"Рабочий признак",IF(H188=1,"Слабый признак","Отсутствует"))))</f>
        <v/>
      </c>
      <c r="N188" s="2" t="inlineStr">
        <is>
          <t>Конкурентная норма с высоким влиянием; включить в минимальный состав NotaCode</t>
        </is>
      </c>
    </row>
    <row r="189">
      <c r="A189" s="2" t="n"/>
      <c r="B189" s="2" t="n"/>
      <c r="C189" s="2" t="n"/>
      <c r="D189" s="2" t="n"/>
      <c r="E189" s="2" t="n"/>
      <c r="F189" s="2" t="n"/>
      <c r="G189" s="2" t="n"/>
      <c r="H189" s="2" t="n"/>
      <c r="I189" s="2" t="n"/>
      <c r="J189" s="2" t="n"/>
      <c r="K189" s="2" t="n"/>
      <c r="L189" s="2">
        <f>IF(OR(H189="",I189="",J189="",K189=""),"",ROUND(H189*((I189+J189)/6)*K189,2))</f>
        <v/>
      </c>
      <c r="M189" s="2">
        <f>IF(L189="","",IF(AND(L189&gt;=3.5,H189=1),"Сильный признак",IF(AND(L189&gt;=2,H189=1),"Рабочий признак",IF(H189=1,"Слабый признак","Отсутствует"))))</f>
        <v/>
      </c>
      <c r="N189" s="2" t="inlineStr">
        <is>
          <t>Конкурентная норма с высоким влиянием; включить в минимальный состав NotaCode</t>
        </is>
      </c>
    </row>
    <row r="190">
      <c r="A190" s="2" t="n"/>
      <c r="B190" s="2" t="n"/>
      <c r="C190" s="2" t="n"/>
      <c r="D190" s="2" t="n"/>
      <c r="E190" s="2" t="n"/>
      <c r="F190" s="2" t="n"/>
      <c r="G190" s="2" t="n"/>
      <c r="H190" s="2" t="n"/>
      <c r="I190" s="2" t="n"/>
      <c r="J190" s="2" t="n"/>
      <c r="K190" s="2" t="n"/>
      <c r="L190" s="2">
        <f>IF(OR(H190="",I190="",J190="",K190=""),"",ROUND(H190*((I190+J190)/6)*K190,2))</f>
        <v/>
      </c>
      <c r="M190" s="2">
        <f>IF(L190="","",IF(AND(L190&gt;=3.5,H190=1),"Сильный признак",IF(AND(L190&gt;=2,H190=1),"Рабочий признак",IF(H190=1,"Слабый признак","Отсутствует"))))</f>
        <v/>
      </c>
      <c r="N190" s="2" t="inlineStr">
        <is>
          <t>Конкурентная норма с высоким влиянием; включить в минимальный состав NotaCode</t>
        </is>
      </c>
    </row>
    <row r="191">
      <c r="A191" s="2" t="n"/>
      <c r="B191" s="2" t="n"/>
      <c r="C191" s="2" t="n"/>
      <c r="D191" s="2" t="n"/>
      <c r="E191" s="2" t="n"/>
      <c r="F191" s="2" t="n"/>
      <c r="G191" s="2" t="n"/>
      <c r="H191" s="2" t="n"/>
      <c r="I191" s="2" t="n"/>
      <c r="J191" s="2" t="n"/>
      <c r="K191" s="2" t="n"/>
      <c r="L191" s="2">
        <f>IF(OR(H191="",I191="",J191="",K191=""),"",ROUND(H191*((I191+J191)/6)*K191,2))</f>
        <v/>
      </c>
      <c r="M191" s="2">
        <f>IF(L191="","",IF(AND(L191&gt;=3.5,H191=1),"Сильный признак",IF(AND(L191&gt;=2,H191=1),"Рабочий признак",IF(H191=1,"Слабый признак","Отсутствует"))))</f>
        <v/>
      </c>
      <c r="N191" s="2" t="inlineStr">
        <is>
          <t>Конкурентная норма с высоким влиянием; включить в минимальный состав NotaCode</t>
        </is>
      </c>
    </row>
    <row r="192">
      <c r="A192" s="2" t="n"/>
      <c r="B192" s="2" t="n"/>
      <c r="C192" s="2" t="n"/>
      <c r="D192" s="2" t="n"/>
      <c r="E192" s="2" t="n"/>
      <c r="F192" s="2" t="n"/>
      <c r="G192" s="2" t="n"/>
      <c r="H192" s="2" t="n"/>
      <c r="I192" s="2" t="n"/>
      <c r="J192" s="2" t="n"/>
      <c r="K192" s="2" t="n"/>
      <c r="L192" s="2">
        <f>IF(OR(H192="",I192="",J192="",K192=""),"",ROUND(H192*((I192+J192)/6)*K192,2))</f>
        <v/>
      </c>
      <c r="M192" s="2">
        <f>IF(L192="","",IF(AND(L192&gt;=3.5,H192=1),"Сильный признак",IF(AND(L192&gt;=2,H192=1),"Рабочий признак",IF(H192=1,"Слабый признак","Отсутствует"))))</f>
        <v/>
      </c>
      <c r="N192" s="2" t="inlineStr">
        <is>
          <t>Конкурентная норма с высоким влиянием; включить в минимальный состав NotaCode</t>
        </is>
      </c>
    </row>
    <row r="193">
      <c r="A193" s="2" t="n"/>
      <c r="B193" s="2" t="n"/>
      <c r="C193" s="2" t="n"/>
      <c r="D193" s="2" t="n"/>
      <c r="E193" s="2" t="n"/>
      <c r="F193" s="2" t="n"/>
      <c r="G193" s="2" t="n"/>
      <c r="H193" s="2" t="n"/>
      <c r="I193" s="2" t="n"/>
      <c r="J193" s="2" t="n"/>
      <c r="K193" s="2" t="n"/>
      <c r="L193" s="2">
        <f>IF(OR(H193="",I193="",J193="",K193=""),"",ROUND(H193*((I193+J193)/6)*K193,2))</f>
        <v/>
      </c>
      <c r="M193" s="2">
        <f>IF(L193="","",IF(AND(L193&gt;=3.5,H193=1),"Сильный признак",IF(AND(L193&gt;=2,H193=1),"Рабочий признак",IF(H193=1,"Слабый признак","Отсутствует"))))</f>
        <v/>
      </c>
      <c r="N193" s="2" t="inlineStr">
        <is>
          <t>Конкурентная норма с высоким влиянием; включить в минимальный состав NotaCode</t>
        </is>
      </c>
    </row>
    <row r="194">
      <c r="A194" s="2" t="n"/>
      <c r="B194" s="2" t="n"/>
      <c r="C194" s="2" t="n"/>
      <c r="D194" s="2" t="n"/>
      <c r="E194" s="2" t="n"/>
      <c r="F194" s="2" t="n"/>
      <c r="G194" s="2" t="n"/>
      <c r="H194" s="2" t="n"/>
      <c r="I194" s="2" t="n"/>
      <c r="J194" s="2" t="n"/>
      <c r="K194" s="2" t="n"/>
      <c r="L194" s="2">
        <f>IF(OR(H194="",I194="",J194="",K194=""),"",ROUND(H194*((I194+J194)/6)*K194,2))</f>
        <v/>
      </c>
      <c r="M194" s="2">
        <f>IF(L194="","",IF(AND(L194&gt;=3.5,H194=1),"Сильный признак",IF(AND(L194&gt;=2,H194=1),"Рабочий признак",IF(H194=1,"Слабый признак","Отсутствует"))))</f>
        <v/>
      </c>
      <c r="N194" s="2" t="inlineStr">
        <is>
          <t>Конкурентная норма с высоким влиянием; включить в минимальный состав NotaCode</t>
        </is>
      </c>
    </row>
    <row r="195">
      <c r="A195" s="2" t="n"/>
      <c r="B195" s="2" t="n"/>
      <c r="C195" s="2" t="n"/>
      <c r="D195" s="2" t="n"/>
      <c r="E195" s="2" t="n"/>
      <c r="F195" s="2" t="n"/>
      <c r="G195" s="2" t="n"/>
      <c r="H195" s="2" t="n"/>
      <c r="I195" s="2" t="n"/>
      <c r="J195" s="2" t="n"/>
      <c r="K195" s="2" t="n"/>
      <c r="L195" s="2">
        <f>IF(OR(H195="",I195="",J195="",K195=""),"",ROUND(H195*((I195+J195)/6)*K195,2))</f>
        <v/>
      </c>
      <c r="M195" s="2">
        <f>IF(L195="","",IF(AND(L195&gt;=3.5,H195=1),"Сильный признак",IF(AND(L195&gt;=2,H195=1),"Рабочий признак",IF(H195=1,"Слабый признак","Отсутствует"))))</f>
        <v/>
      </c>
      <c r="N195" s="2" t="inlineStr">
        <is>
          <t>Конкурентная норма с высоким влиянием; включить в минимальный состав NotaCode</t>
        </is>
      </c>
    </row>
    <row r="196">
      <c r="A196" s="2" t="n"/>
      <c r="B196" s="2" t="n"/>
      <c r="C196" s="2" t="n"/>
      <c r="D196" s="2" t="n"/>
      <c r="E196" s="2" t="n"/>
      <c r="F196" s="2" t="n"/>
      <c r="G196" s="2" t="n"/>
      <c r="H196" s="2" t="n"/>
      <c r="I196" s="2" t="n"/>
      <c r="J196" s="2" t="n"/>
      <c r="K196" s="2" t="n"/>
      <c r="L196" s="2">
        <f>IF(OR(H196="",I196="",J196="",K196=""),"",ROUND(H196*((I196+J196)/6)*K196,2))</f>
        <v/>
      </c>
      <c r="M196" s="2">
        <f>IF(L196="","",IF(AND(L196&gt;=3.5,H196=1),"Сильный признак",IF(AND(L196&gt;=2,H196=1),"Рабочий признак",IF(H196=1,"Слабый признак","Отсутствует"))))</f>
        <v/>
      </c>
      <c r="N196" s="2" t="inlineStr">
        <is>
          <t>Конкурентная норма с высоким влиянием; включить в минимальный состав NotaCode</t>
        </is>
      </c>
    </row>
    <row r="197">
      <c r="A197" s="2" t="n"/>
      <c r="B197" s="2" t="n"/>
      <c r="C197" s="2" t="n"/>
      <c r="D197" s="2" t="n"/>
      <c r="E197" s="2" t="n"/>
      <c r="F197" s="2" t="n"/>
      <c r="G197" s="2" t="n"/>
      <c r="H197" s="2" t="n"/>
      <c r="I197" s="2" t="n"/>
      <c r="J197" s="2" t="n"/>
      <c r="K197" s="2" t="n"/>
      <c r="L197" s="2">
        <f>IF(OR(H197="",I197="",J197="",K197=""),"",ROUND(H197*((I197+J197)/6)*K197,2))</f>
        <v/>
      </c>
      <c r="M197" s="2">
        <f>IF(L197="","",IF(AND(L197&gt;=3.5,H197=1),"Сильный признак",IF(AND(L197&gt;=2,H197=1),"Рабочий признак",IF(H197=1,"Слабый признак","Отсутствует"))))</f>
        <v/>
      </c>
      <c r="N197" s="2" t="inlineStr">
        <is>
          <t>Конкурентная норма с высоким влиянием; включить в минимальный состав NotaCode</t>
        </is>
      </c>
    </row>
    <row r="198">
      <c r="A198" s="2" t="n"/>
      <c r="B198" s="2" t="n"/>
      <c r="C198" s="2" t="n"/>
      <c r="D198" s="2" t="n"/>
      <c r="E198" s="2" t="n"/>
      <c r="F198" s="2" t="n"/>
      <c r="G198" s="2" t="n"/>
      <c r="H198" s="2" t="n"/>
      <c r="I198" s="2" t="n"/>
      <c r="J198" s="2" t="n"/>
      <c r="K198" s="2" t="n"/>
      <c r="L198" s="2">
        <f>IF(OR(H198="",I198="",J198="",K198=""),"",ROUND(H198*((I198+J198)/6)*K198,2))</f>
        <v/>
      </c>
      <c r="M198" s="2">
        <f>IF(L198="","",IF(AND(L198&gt;=3.5,H198=1),"Сильный признак",IF(AND(L198&gt;=2,H198=1),"Рабочий признак",IF(H198=1,"Слабый признак","Отсутствует"))))</f>
        <v/>
      </c>
      <c r="N198" s="2" t="inlineStr">
        <is>
          <t>Конкурентная норма с высоким влиянием; включить в минимальный состав NotaCode</t>
        </is>
      </c>
    </row>
    <row r="199">
      <c r="A199" s="2" t="n"/>
      <c r="B199" s="2" t="n"/>
      <c r="C199" s="2" t="n"/>
      <c r="D199" s="2" t="n"/>
      <c r="E199" s="2" t="n"/>
      <c r="F199" s="2" t="n"/>
      <c r="G199" s="2" t="n"/>
      <c r="H199" s="2" t="n"/>
      <c r="I199" s="2" t="n"/>
      <c r="J199" s="2" t="n"/>
      <c r="K199" s="2" t="n"/>
      <c r="L199" s="2">
        <f>IF(OR(H199="",I199="",J199="",K199=""),"",ROUND(H199*((I199+J199)/6)*K199,2))</f>
        <v/>
      </c>
      <c r="M199" s="2">
        <f>IF(L199="","",IF(AND(L199&gt;=3.5,H199=1),"Сильный признак",IF(AND(L199&gt;=2,H199=1),"Рабочий признак",IF(H199=1,"Слабый признак","Отсутствует"))))</f>
        <v/>
      </c>
      <c r="N199" s="2" t="inlineStr">
        <is>
          <t>Конкурентная норма с высоким влиянием; включить в минимальный состав NotaCode</t>
        </is>
      </c>
    </row>
    <row r="200">
      <c r="A200" s="2" t="n"/>
      <c r="B200" s="2" t="n"/>
      <c r="C200" s="2" t="n"/>
      <c r="D200" s="2" t="n"/>
      <c r="E200" s="2" t="n"/>
      <c r="F200" s="2" t="n"/>
      <c r="G200" s="2" t="n"/>
      <c r="H200" s="2" t="n"/>
      <c r="I200" s="2" t="n"/>
      <c r="J200" s="2" t="n"/>
      <c r="K200" s="2" t="n"/>
      <c r="L200" s="2">
        <f>IF(OR(H200="",I200="",J200="",K200=""),"",ROUND(H200*((I200+J200)/6)*K200,2))</f>
        <v/>
      </c>
      <c r="M200" s="2">
        <f>IF(L200="","",IF(AND(L200&gt;=3.5,H200=1),"Сильный признак",IF(AND(L200&gt;=2,H200=1),"Рабочий признак",IF(H200=1,"Слабый признак","Отсутствует"))))</f>
        <v/>
      </c>
      <c r="N200" s="2" t="inlineStr">
        <is>
          <t>Конкурентная норма с высоким влиянием; включить в минимальный состав NotaCode</t>
        </is>
      </c>
    </row>
    <row r="201">
      <c r="A201" s="2" t="n"/>
      <c r="B201" s="2" t="n"/>
      <c r="C201" s="2" t="n"/>
      <c r="D201" s="2" t="n"/>
      <c r="E201" s="2" t="n"/>
      <c r="F201" s="2" t="n"/>
      <c r="G201" s="2" t="n"/>
      <c r="H201" s="2" t="n"/>
      <c r="I201" s="2" t="n"/>
      <c r="J201" s="2" t="n"/>
      <c r="K201" s="2" t="n"/>
      <c r="L201" s="2">
        <f>IF(OR(H201="",I201="",J201="",K201=""),"",ROUND(H201*((I201+J201)/6)*K201,2))</f>
        <v/>
      </c>
      <c r="M201" s="2">
        <f>IF(L201="","",IF(AND(L201&gt;=3.5,H201=1),"Сильный признак",IF(AND(L201&gt;=2,H201=1),"Рабочий признак",IF(H201=1,"Слабый признак","Отсутствует"))))</f>
        <v/>
      </c>
      <c r="N201" s="2" t="inlineStr">
        <is>
          <t>Конкурентная норма с высоким влиянием; включить в минимальный состав NotaCode</t>
        </is>
      </c>
    </row>
    <row r="202">
      <c r="A202" s="2" t="n"/>
      <c r="B202" s="2" t="n"/>
      <c r="C202" s="2" t="n"/>
      <c r="D202" s="2" t="n"/>
      <c r="E202" s="2" t="n"/>
      <c r="F202" s="2" t="n"/>
      <c r="G202" s="2" t="n"/>
      <c r="H202" s="2" t="n"/>
      <c r="I202" s="2" t="n"/>
      <c r="J202" s="2" t="n"/>
      <c r="K202" s="2" t="n"/>
      <c r="L202" s="2">
        <f>IF(OR(H202="",I202="",J202="",K202=""),"",ROUND(H202*((I202+J202)/6)*K202,2))</f>
        <v/>
      </c>
      <c r="M202" s="2">
        <f>IF(L202="","",IF(AND(L202&gt;=3.5,H202=1),"Сильный признак",IF(AND(L202&gt;=2,H202=1),"Рабочий признак",IF(H202=1,"Слабый признак","Отсутствует"))))</f>
        <v/>
      </c>
      <c r="N202" s="2" t="inlineStr">
        <is>
          <t>Конкурентная норма с высоким влиянием; включить в минимальный состав NotaCode</t>
        </is>
      </c>
    </row>
    <row r="203">
      <c r="A203" s="2" t="n"/>
      <c r="B203" s="2" t="n"/>
      <c r="C203" s="2" t="n"/>
      <c r="D203" s="2" t="n"/>
      <c r="E203" s="2" t="n"/>
      <c r="F203" s="2" t="n"/>
      <c r="G203" s="2" t="n"/>
      <c r="H203" s="2" t="n"/>
      <c r="I203" s="2" t="n"/>
      <c r="J203" s="2" t="n"/>
      <c r="K203" s="2" t="n"/>
      <c r="L203" s="2">
        <f>IF(OR(H203="",I203="",J203="",K203=""),"",ROUND(H203*((I203+J203)/6)*K203,2))</f>
        <v/>
      </c>
      <c r="M203" s="2">
        <f>IF(L203="","",IF(AND(L203&gt;=3.5,H203=1),"Сильный признак",IF(AND(L203&gt;=2,H203=1),"Рабочий признак",IF(H203=1,"Слабый признак","Отсутствует"))))</f>
        <v/>
      </c>
      <c r="N203" s="2" t="inlineStr">
        <is>
          <t>Конкурентная норма с высоким влиянием; включить в минимальный состав NotaCode</t>
        </is>
      </c>
    </row>
    <row r="204">
      <c r="A204" s="2" t="n"/>
      <c r="B204" s="2" t="n"/>
      <c r="C204" s="2" t="n"/>
      <c r="D204" s="2" t="n"/>
      <c r="E204" s="2" t="n"/>
      <c r="F204" s="2" t="n"/>
      <c r="G204" s="2" t="n"/>
      <c r="H204" s="2" t="n"/>
      <c r="I204" s="2" t="n"/>
      <c r="J204" s="2" t="n"/>
      <c r="K204" s="2" t="n"/>
      <c r="L204" s="2">
        <f>IF(OR(H204="",I204="",J204="",K204=""),"",ROUND(H204*((I204+J204)/6)*K204,2))</f>
        <v/>
      </c>
      <c r="M204" s="2">
        <f>IF(L204="","",IF(AND(L204&gt;=3.5,H204=1),"Сильный признак",IF(AND(L204&gt;=2,H204=1),"Рабочий признак",IF(H204=1,"Слабый признак","Отсутствует"))))</f>
        <v/>
      </c>
      <c r="N204" s="2" t="inlineStr">
        <is>
          <t>Конкурентная норма с высоким влиянием; включить в минимальный состав NotaCode</t>
        </is>
      </c>
    </row>
    <row r="205">
      <c r="A205" s="2" t="n"/>
      <c r="B205" s="2" t="n"/>
      <c r="C205" s="2" t="n"/>
      <c r="D205" s="2" t="n"/>
      <c r="E205" s="2" t="n"/>
      <c r="F205" s="2" t="n"/>
      <c r="G205" s="2" t="n"/>
      <c r="H205" s="2" t="n"/>
      <c r="I205" s="2" t="n"/>
      <c r="J205" s="2" t="n"/>
      <c r="K205" s="2" t="n"/>
      <c r="L205" s="2">
        <f>IF(OR(H205="",I205="",J205="",K205=""),"",ROUND(H205*((I205+J205)/6)*K205,2))</f>
        <v/>
      </c>
      <c r="M205" s="2">
        <f>IF(L205="","",IF(AND(L205&gt;=3.5,H205=1),"Сильный признак",IF(AND(L205&gt;=2,H205=1),"Рабочий признак",IF(H205=1,"Слабый признак","Отсутствует"))))</f>
        <v/>
      </c>
      <c r="N205" s="2" t="inlineStr">
        <is>
          <t>Конкурентная норма с высоким влиянием; включить в минимальный состав NotaCode</t>
        </is>
      </c>
    </row>
    <row r="206">
      <c r="A206" s="2" t="n"/>
      <c r="B206" s="2" t="n"/>
      <c r="C206" s="2" t="n"/>
      <c r="D206" s="2" t="n"/>
      <c r="E206" s="2" t="n"/>
      <c r="F206" s="2" t="n"/>
      <c r="G206" s="2" t="n"/>
      <c r="H206" s="2" t="n"/>
      <c r="I206" s="2" t="n"/>
      <c r="J206" s="2" t="n"/>
      <c r="K206" s="2" t="n"/>
      <c r="L206" s="2">
        <f>IF(OR(H206="",I206="",J206="",K206=""),"",ROUND(H206*((I206+J206)/6)*K206,2))</f>
        <v/>
      </c>
      <c r="M206" s="2">
        <f>IF(L206="","",IF(AND(L206&gt;=3.5,H206=1),"Сильный признак",IF(AND(L206&gt;=2,H206=1),"Рабочий признак",IF(H206=1,"Слабый признак","Отсутствует"))))</f>
        <v/>
      </c>
      <c r="N206" s="2" t="inlineStr">
        <is>
          <t>Конкурентная норма с высоким влиянием; включить в минимальный состав NotaCode</t>
        </is>
      </c>
    </row>
    <row r="207">
      <c r="A207" s="2" t="n"/>
      <c r="B207" s="2" t="n"/>
      <c r="C207" s="2" t="n"/>
      <c r="D207" s="2" t="n"/>
      <c r="E207" s="2" t="n"/>
      <c r="F207" s="2" t="n"/>
      <c r="G207" s="2" t="n"/>
      <c r="H207" s="2" t="n"/>
      <c r="I207" s="2" t="n"/>
      <c r="J207" s="2" t="n"/>
      <c r="K207" s="2" t="n"/>
      <c r="L207" s="2">
        <f>IF(OR(H207="",I207="",J207="",K207=""),"",ROUND(H207*((I207+J207)/6)*K207,2))</f>
        <v/>
      </c>
      <c r="M207" s="2">
        <f>IF(L207="","",IF(AND(L207&gt;=3.5,H207=1),"Сильный признак",IF(AND(L207&gt;=2,H207=1),"Рабочий признак",IF(H207=1,"Слабый признак","Отсутствует"))))</f>
        <v/>
      </c>
      <c r="N207" s="2" t="inlineStr">
        <is>
          <t>Конкурентная норма с высоким влиянием; включить в минимальный состав NotaCode</t>
        </is>
      </c>
    </row>
    <row r="208">
      <c r="A208" s="2" t="n"/>
      <c r="B208" s="2" t="n"/>
      <c r="C208" s="2" t="n"/>
      <c r="D208" s="2" t="n"/>
      <c r="E208" s="2" t="n"/>
      <c r="F208" s="2" t="n"/>
      <c r="G208" s="2" t="n"/>
      <c r="H208" s="2" t="n"/>
      <c r="I208" s="2" t="n"/>
      <c r="J208" s="2" t="n"/>
      <c r="K208" s="2" t="n"/>
      <c r="L208" s="2">
        <f>IF(OR(H208="",I208="",J208="",K208=""),"",ROUND(H208*((I208+J208)/6)*K208,2))</f>
        <v/>
      </c>
      <c r="M208" s="2">
        <f>IF(L208="","",IF(AND(L208&gt;=3.5,H208=1),"Сильный признак",IF(AND(L208&gt;=2,H208=1),"Рабочий признак",IF(H208=1,"Слабый признак","Отсутствует"))))</f>
        <v/>
      </c>
      <c r="N208" s="2" t="inlineStr">
        <is>
          <t>Конкурентная норма с высоким влиянием; включить в минимальный состав NotaCode</t>
        </is>
      </c>
    </row>
    <row r="209">
      <c r="A209" s="2" t="n"/>
      <c r="B209" s="2" t="n"/>
      <c r="C209" s="2" t="n"/>
      <c r="D209" s="2" t="n"/>
      <c r="E209" s="2" t="n"/>
      <c r="F209" s="2" t="n"/>
      <c r="G209" s="2" t="n"/>
      <c r="H209" s="2" t="n"/>
      <c r="I209" s="2" t="n"/>
      <c r="J209" s="2" t="n"/>
      <c r="K209" s="2" t="n"/>
      <c r="L209" s="2">
        <f>IF(OR(H209="",I209="",J209="",K209=""),"",ROUND(H209*((I209+J209)/6)*K209,2))</f>
        <v/>
      </c>
      <c r="M209" s="2">
        <f>IF(L209="","",IF(AND(L209&gt;=3.5,H209=1),"Сильный признак",IF(AND(L209&gt;=2,H209=1),"Рабочий признак",IF(H209=1,"Слабый признак","Отсутствует"))))</f>
        <v/>
      </c>
      <c r="N209" s="2" t="inlineStr">
        <is>
          <t>Конкурентная норма с высоким влиянием; включить в минимальный состав NotaCode</t>
        </is>
      </c>
    </row>
    <row r="210">
      <c r="A210" s="2" t="n"/>
      <c r="B210" s="2" t="n"/>
      <c r="C210" s="2" t="n"/>
      <c r="D210" s="2" t="n"/>
      <c r="E210" s="2" t="n"/>
      <c r="F210" s="2" t="n"/>
      <c r="G210" s="2" t="n"/>
      <c r="H210" s="2" t="n"/>
      <c r="I210" s="2" t="n"/>
      <c r="J210" s="2" t="n"/>
      <c r="K210" s="2" t="n"/>
      <c r="L210" s="2">
        <f>IF(OR(H210="",I210="",J210="",K210=""),"",ROUND(H210*((I210+J210)/6)*K210,2))</f>
        <v/>
      </c>
      <c r="M210" s="2">
        <f>IF(L210="","",IF(AND(L210&gt;=3.5,H210=1),"Сильный признак",IF(AND(L210&gt;=2,H210=1),"Рабочий признак",IF(H210=1,"Слабый признак","Отсутствует"))))</f>
        <v/>
      </c>
      <c r="N210" s="2" t="inlineStr">
        <is>
          <t>Конкурентная норма с высоким влиянием; включить в минимальный состав NotaCode</t>
        </is>
      </c>
    </row>
    <row r="211">
      <c r="A211" s="2" t="n"/>
      <c r="B211" s="2" t="n"/>
      <c r="C211" s="2" t="n"/>
      <c r="D211" s="2" t="n"/>
      <c r="E211" s="2" t="n"/>
      <c r="F211" s="2" t="n"/>
      <c r="G211" s="2" t="n"/>
      <c r="H211" s="2" t="n"/>
      <c r="I211" s="2" t="n"/>
      <c r="J211" s="2" t="n"/>
      <c r="K211" s="2" t="n"/>
      <c r="L211" s="2">
        <f>IF(OR(H211="",I211="",J211="",K211=""),"",ROUND(H211*((I211+J211)/6)*K211,2))</f>
        <v/>
      </c>
      <c r="M211" s="2">
        <f>IF(L211="","",IF(AND(L211&gt;=3.5,H211=1),"Сильный признак",IF(AND(L211&gt;=2,H211=1),"Рабочий признак",IF(H211=1,"Слабый признак","Отсутствует"))))</f>
        <v/>
      </c>
      <c r="N211" s="2" t="inlineStr">
        <is>
          <t>Конкурентная норма с высоким влиянием; включить в минимальный состав NotaCode</t>
        </is>
      </c>
    </row>
    <row r="212">
      <c r="A212" s="2" t="n"/>
      <c r="B212" s="2" t="n"/>
      <c r="C212" s="2" t="n"/>
      <c r="D212" s="2" t="n"/>
      <c r="E212" s="2" t="n"/>
      <c r="F212" s="2" t="n"/>
      <c r="G212" s="2" t="n"/>
      <c r="H212" s="2" t="n"/>
      <c r="I212" s="2" t="n"/>
      <c r="J212" s="2" t="n"/>
      <c r="K212" s="2" t="n"/>
      <c r="L212" s="2">
        <f>IF(OR(H212="",I212="",J212="",K212=""),"",ROUND(H212*((I212+J212)/6)*K212,2))</f>
        <v/>
      </c>
      <c r="M212" s="2">
        <f>IF(L212="","",IF(AND(L212&gt;=3.5,H212=1),"Сильный признак",IF(AND(L212&gt;=2,H212=1),"Рабочий признак",IF(H212=1,"Слабый признак","Отсутствует"))))</f>
        <v/>
      </c>
      <c r="N212" s="2" t="inlineStr">
        <is>
          <t>Конкурентная норма с высоким влиянием; включить в минимальный состав NotaCode</t>
        </is>
      </c>
    </row>
    <row r="213">
      <c r="A213" s="2" t="n"/>
      <c r="B213" s="2" t="n"/>
      <c r="C213" s="2" t="n"/>
      <c r="D213" s="2" t="n"/>
      <c r="E213" s="2" t="n"/>
      <c r="F213" s="2" t="n"/>
      <c r="G213" s="2" t="n"/>
      <c r="H213" s="2" t="n"/>
      <c r="I213" s="2" t="n"/>
      <c r="J213" s="2" t="n"/>
      <c r="K213" s="2" t="n"/>
      <c r="L213" s="2">
        <f>IF(OR(H213="",I213="",J213="",K213=""),"",ROUND(H213*((I213+J213)/6)*K213,2))</f>
        <v/>
      </c>
      <c r="M213" s="2">
        <f>IF(L213="","",IF(AND(L213&gt;=3.5,H213=1),"Сильный признак",IF(AND(L213&gt;=2,H213=1),"Рабочий признак",IF(H213=1,"Слабый признак","Отсутствует"))))</f>
        <v/>
      </c>
      <c r="N213" s="2" t="inlineStr">
        <is>
          <t>Конкурентная норма с высоким влиянием; включить в минимальный состав NotaCode</t>
        </is>
      </c>
    </row>
    <row r="214">
      <c r="A214" s="2" t="n"/>
      <c r="B214" s="2" t="n"/>
      <c r="C214" s="2" t="n"/>
      <c r="D214" s="2" t="n"/>
      <c r="E214" s="2" t="n"/>
      <c r="F214" s="2" t="n"/>
      <c r="G214" s="2" t="n"/>
      <c r="H214" s="2" t="n"/>
      <c r="I214" s="2" t="n"/>
      <c r="J214" s="2" t="n"/>
      <c r="K214" s="2" t="n"/>
      <c r="L214" s="2">
        <f>IF(OR(H214="",I214="",J214="",K214=""),"",ROUND(H214*((I214+J214)/6)*K214,2))</f>
        <v/>
      </c>
      <c r="M214" s="2">
        <f>IF(L214="","",IF(AND(L214&gt;=3.5,H214=1),"Сильный признак",IF(AND(L214&gt;=2,H214=1),"Рабочий признак",IF(H214=1,"Слабый признак","Отсутствует"))))</f>
        <v/>
      </c>
      <c r="N214" s="2" t="inlineStr">
        <is>
          <t>Конкурентная норма с высоким влиянием; включить в минимальный состав NotaCode</t>
        </is>
      </c>
    </row>
    <row r="215">
      <c r="A215" s="2" t="n"/>
      <c r="B215" s="2" t="n"/>
      <c r="C215" s="2" t="n"/>
      <c r="D215" s="2" t="n"/>
      <c r="E215" s="2" t="n"/>
      <c r="F215" s="2" t="n"/>
      <c r="G215" s="2" t="n"/>
      <c r="H215" s="2" t="n"/>
      <c r="I215" s="2" t="n"/>
      <c r="J215" s="2" t="n"/>
      <c r="K215" s="2" t="n"/>
      <c r="L215" s="2">
        <f>IF(OR(H215="",I215="",J215="",K215=""),"",ROUND(H215*((I215+J215)/6)*K215,2))</f>
        <v/>
      </c>
      <c r="M215" s="2">
        <f>IF(L215="","",IF(AND(L215&gt;=3.5,H215=1),"Сильный признак",IF(AND(L215&gt;=2,H215=1),"Рабочий признак",IF(H215=1,"Слабый признак","Отсутствует"))))</f>
        <v/>
      </c>
      <c r="N215" s="2" t="inlineStr">
        <is>
          <t>Конкурентная норма с высоким влиянием; включить в минимальный состав NotaCode</t>
        </is>
      </c>
    </row>
    <row r="216">
      <c r="A216" s="2" t="n"/>
      <c r="B216" s="2" t="n"/>
      <c r="C216" s="2" t="n"/>
      <c r="D216" s="2" t="n"/>
      <c r="E216" s="2" t="n"/>
      <c r="F216" s="2" t="n"/>
      <c r="G216" s="2" t="n"/>
      <c r="H216" s="2" t="n"/>
      <c r="I216" s="2" t="n"/>
      <c r="J216" s="2" t="n"/>
      <c r="K216" s="2" t="n"/>
      <c r="L216" s="2">
        <f>IF(OR(H216="",I216="",J216="",K216=""),"",ROUND(H216*((I216+J216)/6)*K216,2))</f>
        <v/>
      </c>
      <c r="M216" s="2">
        <f>IF(L216="","",IF(AND(L216&gt;=3.5,H216=1),"Сильный признак",IF(AND(L216&gt;=2,H216=1),"Рабочий признак",IF(H216=1,"Слабый признак","Отсутствует"))))</f>
        <v/>
      </c>
      <c r="N216" s="2" t="inlineStr">
        <is>
          <t>Конкурентная норма с высоким влиянием; включить в минимальный состав NotaCode</t>
        </is>
      </c>
    </row>
    <row r="217">
      <c r="A217" s="2" t="n"/>
      <c r="B217" s="2" t="n"/>
      <c r="C217" s="2" t="n"/>
      <c r="D217" s="2" t="n"/>
      <c r="E217" s="2" t="n"/>
      <c r="F217" s="2" t="n"/>
      <c r="G217" s="2" t="n"/>
      <c r="H217" s="2" t="n"/>
      <c r="I217" s="2" t="n"/>
      <c r="J217" s="2" t="n"/>
      <c r="K217" s="2" t="n"/>
      <c r="L217" s="2">
        <f>IF(OR(H217="",I217="",J217="",K217=""),"",ROUND(H217*((I217+J217)/6)*K217,2))</f>
        <v/>
      </c>
      <c r="M217" s="2">
        <f>IF(L217="","",IF(AND(L217&gt;=3.5,H217=1),"Сильный признак",IF(AND(L217&gt;=2,H217=1),"Рабочий признак",IF(H217=1,"Слабый признак","Отсутствует"))))</f>
        <v/>
      </c>
      <c r="N217" s="2" t="inlineStr">
        <is>
          <t>Конкурентная норма с высоким влиянием; включить в минимальный состав NotaCode</t>
        </is>
      </c>
    </row>
    <row r="218">
      <c r="A218" s="2" t="n"/>
      <c r="B218" s="2" t="n"/>
      <c r="C218" s="2" t="n"/>
      <c r="D218" s="2" t="n"/>
      <c r="E218" s="2" t="n"/>
      <c r="F218" s="2" t="n"/>
      <c r="G218" s="2" t="n"/>
      <c r="H218" s="2" t="n"/>
      <c r="I218" s="2" t="n"/>
      <c r="J218" s="2" t="n"/>
      <c r="K218" s="2" t="n"/>
      <c r="L218" s="2">
        <f>IF(OR(H218="",I218="",J218="",K218=""),"",ROUND(H218*((I218+J218)/6)*K218,2))</f>
        <v/>
      </c>
      <c r="M218" s="2">
        <f>IF(L218="","",IF(AND(L218&gt;=3.5,H218=1),"Сильный признак",IF(AND(L218&gt;=2,H218=1),"Рабочий признак",IF(H218=1,"Слабый признак","Отсутствует"))))</f>
        <v/>
      </c>
      <c r="N218" s="2" t="inlineStr">
        <is>
          <t>Конкурентная норма с высоким влиянием; включить в минимальный состав NotaCode</t>
        </is>
      </c>
    </row>
    <row r="219">
      <c r="A219" s="2" t="n"/>
      <c r="B219" s="2" t="n"/>
      <c r="C219" s="2" t="n"/>
      <c r="D219" s="2" t="n"/>
      <c r="E219" s="2" t="n"/>
      <c r="F219" s="2" t="n"/>
      <c r="G219" s="2" t="n"/>
      <c r="H219" s="2" t="n"/>
      <c r="I219" s="2" t="n"/>
      <c r="J219" s="2" t="n"/>
      <c r="K219" s="2" t="n"/>
      <c r="L219" s="2">
        <f>IF(OR(H219="",I219="",J219="",K219=""),"",ROUND(H219*((I219+J219)/6)*K219,2))</f>
        <v/>
      </c>
      <c r="M219" s="2">
        <f>IF(L219="","",IF(AND(L219&gt;=3.5,H219=1),"Сильный признак",IF(AND(L219&gt;=2,H219=1),"Рабочий признак",IF(H219=1,"Слабый признак","Отсутствует"))))</f>
        <v/>
      </c>
      <c r="N219" s="2" t="inlineStr">
        <is>
          <t>Конкурентная норма с высоким влиянием; включить в минимальный состав NotaCode</t>
        </is>
      </c>
    </row>
    <row r="220">
      <c r="A220" s="2" t="n"/>
      <c r="B220" s="2" t="n"/>
      <c r="C220" s="2" t="n"/>
      <c r="D220" s="2" t="n"/>
      <c r="E220" s="2" t="n"/>
      <c r="F220" s="2" t="n"/>
      <c r="G220" s="2" t="n"/>
      <c r="H220" s="2" t="n"/>
      <c r="I220" s="2" t="n"/>
      <c r="J220" s="2" t="n"/>
      <c r="K220" s="2" t="n"/>
      <c r="L220" s="2">
        <f>IF(OR(H220="",I220="",J220="",K220=""),"",ROUND(H220*((I220+J220)/6)*K220,2))</f>
        <v/>
      </c>
      <c r="M220" s="2">
        <f>IF(L220="","",IF(AND(L220&gt;=3.5,H220=1),"Сильный признак",IF(AND(L220&gt;=2,H220=1),"Рабочий признак",IF(H220=1,"Слабый признак","Отсутствует"))))</f>
        <v/>
      </c>
      <c r="N220" s="2" t="inlineStr">
        <is>
          <t>Конкурентная норма с высоким влиянием; включить в минимальный состав NotaCode</t>
        </is>
      </c>
    </row>
    <row r="221">
      <c r="A221" s="2" t="n"/>
      <c r="B221" s="2" t="n"/>
      <c r="C221" s="2" t="n"/>
      <c r="D221" s="2" t="n"/>
      <c r="E221" s="2" t="n"/>
      <c r="F221" s="2" t="n"/>
      <c r="G221" s="2" t="n"/>
      <c r="H221" s="2" t="n"/>
      <c r="I221" s="2" t="n"/>
      <c r="J221" s="2" t="n"/>
      <c r="K221" s="2" t="n"/>
      <c r="L221" s="2">
        <f>IF(OR(H221="",I221="",J221="",K221=""),"",ROUND(H221*((I221+J221)/6)*K221,2))</f>
        <v/>
      </c>
      <c r="M221" s="2">
        <f>IF(L221="","",IF(AND(L221&gt;=3.5,H221=1),"Сильный признак",IF(AND(L221&gt;=2,H221=1),"Рабочий признак",IF(H221=1,"Слабый признак","Отсутствует"))))</f>
        <v/>
      </c>
      <c r="N221" s="2" t="inlineStr">
        <is>
          <t>Конкурентная норма с высоким влиянием; включить в минимальный состав NotaCode</t>
        </is>
      </c>
    </row>
    <row r="222">
      <c r="A222" s="2" t="n"/>
      <c r="B222" s="2" t="n"/>
      <c r="C222" s="2" t="n"/>
      <c r="D222" s="2" t="n"/>
      <c r="E222" s="2" t="n"/>
      <c r="F222" s="2" t="n"/>
      <c r="G222" s="2" t="n"/>
      <c r="H222" s="2" t="n"/>
      <c r="I222" s="2" t="n"/>
      <c r="J222" s="2" t="n"/>
      <c r="K222" s="2" t="n"/>
      <c r="L222" s="2">
        <f>IF(OR(H222="",I222="",J222="",K222=""),"",ROUND(H222*((I222+J222)/6)*K222,2))</f>
        <v/>
      </c>
      <c r="M222" s="2">
        <f>IF(L222="","",IF(AND(L222&gt;=3.5,H222=1),"Сильный признак",IF(AND(L222&gt;=2,H222=1),"Рабочий признак",IF(H222=1,"Слабый признак","Отсутствует"))))</f>
        <v/>
      </c>
      <c r="N222" s="2" t="inlineStr">
        <is>
          <t>Конкурентная норма с высоким влиянием; включить в минимальный состав NotaCode</t>
        </is>
      </c>
    </row>
    <row r="223">
      <c r="A223" s="2" t="n"/>
      <c r="B223" s="2" t="n"/>
      <c r="C223" s="2" t="n"/>
      <c r="D223" s="2" t="n"/>
      <c r="E223" s="2" t="n"/>
      <c r="F223" s="2" t="n"/>
      <c r="G223" s="2" t="n"/>
      <c r="H223" s="2" t="n"/>
      <c r="I223" s="2" t="n"/>
      <c r="J223" s="2" t="n"/>
      <c r="K223" s="2" t="n"/>
      <c r="L223" s="2">
        <f>IF(OR(H223="",I223="",J223="",K223=""),"",ROUND(H223*((I223+J223)/6)*K223,2))</f>
        <v/>
      </c>
      <c r="M223" s="2">
        <f>IF(L223="","",IF(AND(L223&gt;=3.5,H223=1),"Сильный признак",IF(AND(L223&gt;=2,H223=1),"Рабочий признак",IF(H223=1,"Слабый признак","Отсутствует"))))</f>
        <v/>
      </c>
      <c r="N223" s="2" t="inlineStr">
        <is>
          <t>Конкурентная норма с высоким влиянием; включить в минимальный состав NotaCode</t>
        </is>
      </c>
    </row>
    <row r="224">
      <c r="A224" s="2" t="n"/>
      <c r="B224" s="2" t="n"/>
      <c r="C224" s="2" t="n"/>
      <c r="D224" s="2" t="n"/>
      <c r="E224" s="2" t="n"/>
      <c r="F224" s="2" t="n"/>
      <c r="G224" s="2" t="n"/>
      <c r="H224" s="2" t="n"/>
      <c r="I224" s="2" t="n"/>
      <c r="J224" s="2" t="n"/>
      <c r="K224" s="2" t="n"/>
      <c r="L224" s="2">
        <f>IF(OR(H224="",I224="",J224="",K224=""),"",ROUND(H224*((I224+J224)/6)*K224,2))</f>
        <v/>
      </c>
      <c r="M224" s="2">
        <f>IF(L224="","",IF(AND(L224&gt;=3.5,H224=1),"Сильный признак",IF(AND(L224&gt;=2,H224=1),"Рабочий признак",IF(H224=1,"Слабый признак","Отсутствует"))))</f>
        <v/>
      </c>
      <c r="N224" s="2" t="inlineStr">
        <is>
          <t>Конкурентная норма с высоким влиянием; включить в минимальный состав NotaCode</t>
        </is>
      </c>
    </row>
    <row r="225">
      <c r="A225" s="2" t="n"/>
      <c r="B225" s="2" t="n"/>
      <c r="C225" s="2" t="n"/>
      <c r="D225" s="2" t="n"/>
      <c r="E225" s="2" t="n"/>
      <c r="F225" s="2" t="n"/>
      <c r="G225" s="2" t="n"/>
      <c r="H225" s="2" t="n"/>
      <c r="I225" s="2" t="n"/>
      <c r="J225" s="2" t="n"/>
      <c r="K225" s="2" t="n"/>
      <c r="L225" s="2">
        <f>IF(OR(H225="",I225="",J225="",K225=""),"",ROUND(H225*((I225+J225)/6)*K225,2))</f>
        <v/>
      </c>
      <c r="M225" s="2">
        <f>IF(L225="","",IF(AND(L225&gt;=3.5,H225=1),"Сильный признак",IF(AND(L225&gt;=2,H225=1),"Рабочий признак",IF(H225=1,"Слабый признак","Отсутствует"))))</f>
        <v/>
      </c>
      <c r="N225" s="2" t="inlineStr">
        <is>
          <t>Конкурентная норма с высоким влиянием; включить в минимальный состав NotaCode</t>
        </is>
      </c>
    </row>
    <row r="226">
      <c r="A226" s="2" t="n"/>
      <c r="B226" s="2" t="n"/>
      <c r="C226" s="2" t="n"/>
      <c r="D226" s="2" t="n"/>
      <c r="E226" s="2" t="n"/>
      <c r="F226" s="2" t="n"/>
      <c r="G226" s="2" t="n"/>
      <c r="H226" s="2" t="n"/>
      <c r="I226" s="2" t="n"/>
      <c r="J226" s="2" t="n"/>
      <c r="K226" s="2" t="n"/>
      <c r="L226" s="2">
        <f>IF(OR(H226="",I226="",J226="",K226=""),"",ROUND(H226*((I226+J226)/6)*K226,2))</f>
        <v/>
      </c>
      <c r="M226" s="2">
        <f>IF(L226="","",IF(AND(L226&gt;=3.5,H226=1),"Сильный признак",IF(AND(L226&gt;=2,H226=1),"Рабочий признак",IF(H226=1,"Слабый признак","Отсутствует"))))</f>
        <v/>
      </c>
      <c r="N226" s="2" t="inlineStr">
        <is>
          <t>Конкурентная норма с высоким влиянием; включить в минимальный состав NotaCode</t>
        </is>
      </c>
    </row>
    <row r="227">
      <c r="A227" s="2" t="n"/>
      <c r="B227" s="2" t="n"/>
      <c r="C227" s="2" t="n"/>
      <c r="D227" s="2" t="n"/>
      <c r="E227" s="2" t="n"/>
      <c r="F227" s="2" t="n"/>
      <c r="G227" s="2" t="n"/>
      <c r="H227" s="2" t="n"/>
      <c r="I227" s="2" t="n"/>
      <c r="J227" s="2" t="n"/>
      <c r="K227" s="2" t="n"/>
      <c r="L227" s="2">
        <f>IF(OR(H227="",I227="",J227="",K227=""),"",ROUND(H227*((I227+J227)/6)*K227,2))</f>
        <v/>
      </c>
      <c r="M227" s="2">
        <f>IF(L227="","",IF(AND(L227&gt;=3.5,H227=1),"Сильный признак",IF(AND(L227&gt;=2,H227=1),"Рабочий признак",IF(H227=1,"Слабый признак","Отсутствует"))))</f>
        <v/>
      </c>
      <c r="N227" s="2" t="inlineStr">
        <is>
          <t>Конкурентная норма с высоким влиянием; включить в минимальный состав NotaCode</t>
        </is>
      </c>
    </row>
    <row r="228">
      <c r="A228" s="2" t="n"/>
      <c r="B228" s="2" t="n"/>
      <c r="C228" s="2" t="n"/>
      <c r="D228" s="2" t="n"/>
      <c r="E228" s="2" t="n"/>
      <c r="F228" s="2" t="n"/>
      <c r="G228" s="2" t="n"/>
      <c r="H228" s="2" t="n"/>
      <c r="I228" s="2" t="n"/>
      <c r="J228" s="2" t="n"/>
      <c r="K228" s="2" t="n"/>
      <c r="L228" s="2">
        <f>IF(OR(H228="",I228="",J228="",K228=""),"",ROUND(H228*((I228+J228)/6)*K228,2))</f>
        <v/>
      </c>
      <c r="M228" s="2">
        <f>IF(L228="","",IF(AND(L228&gt;=3.5,H228=1),"Сильный признак",IF(AND(L228&gt;=2,H228=1),"Рабочий признак",IF(H228=1,"Слабый признак","Отсутствует"))))</f>
        <v/>
      </c>
      <c r="N228" s="2" t="inlineStr">
        <is>
          <t>Конкурентная норма с высоким влиянием; включить в минимальный состав NotaCode</t>
        </is>
      </c>
    </row>
    <row r="229">
      <c r="A229" s="2" t="n"/>
      <c r="B229" s="2" t="n"/>
      <c r="C229" s="2" t="n"/>
      <c r="D229" s="2" t="n"/>
      <c r="E229" s="2" t="n"/>
      <c r="F229" s="2" t="n"/>
      <c r="G229" s="2" t="n"/>
      <c r="H229" s="2" t="n"/>
      <c r="I229" s="2" t="n"/>
      <c r="J229" s="2" t="n"/>
      <c r="K229" s="2" t="n"/>
      <c r="L229" s="2">
        <f>IF(OR(H229="",I229="",J229="",K229=""),"",ROUND(H229*((I229+J229)/6)*K229,2))</f>
        <v/>
      </c>
      <c r="M229" s="2">
        <f>IF(L229="","",IF(AND(L229&gt;=3.5,H229=1),"Сильный признак",IF(AND(L229&gt;=2,H229=1),"Рабочий признак",IF(H229=1,"Слабый признак","Отсутствует"))))</f>
        <v/>
      </c>
      <c r="N229" s="2" t="inlineStr">
        <is>
          <t>Конкурентная норма с высоким влиянием; включить в минимальный состав NotaCode</t>
        </is>
      </c>
    </row>
    <row r="230">
      <c r="A230" s="2" t="n"/>
      <c r="B230" s="2" t="n"/>
      <c r="C230" s="2" t="n"/>
      <c r="D230" s="2" t="n"/>
      <c r="E230" s="2" t="n"/>
      <c r="F230" s="2" t="n"/>
      <c r="G230" s="2" t="n"/>
      <c r="H230" s="2" t="n"/>
      <c r="I230" s="2" t="n"/>
      <c r="J230" s="2" t="n"/>
      <c r="K230" s="2" t="n"/>
      <c r="L230" s="2">
        <f>IF(OR(H230="",I230="",J230="",K230=""),"",ROUND(H230*((I230+J230)/6)*K230,2))</f>
        <v/>
      </c>
      <c r="M230" s="2">
        <f>IF(L230="","",IF(AND(L230&gt;=3.5,H230=1),"Сильный признак",IF(AND(L230&gt;=2,H230=1),"Рабочий признак",IF(H230=1,"Слабый признак","Отсутствует"))))</f>
        <v/>
      </c>
      <c r="N230" s="2" t="inlineStr">
        <is>
          <t>Конкурентная норма с высоким влиянием; включить в минимальный состав NotaCode</t>
        </is>
      </c>
    </row>
    <row r="231">
      <c r="A231" s="2" t="n"/>
      <c r="B231" s="2" t="n"/>
      <c r="C231" s="2" t="n"/>
      <c r="D231" s="2" t="n"/>
      <c r="E231" s="2" t="n"/>
      <c r="F231" s="2" t="n"/>
      <c r="G231" s="2" t="n"/>
      <c r="H231" s="2" t="n"/>
      <c r="I231" s="2" t="n"/>
      <c r="J231" s="2" t="n"/>
      <c r="K231" s="2" t="n"/>
      <c r="L231" s="2">
        <f>IF(OR(H231="",I231="",J231="",K231=""),"",ROUND(H231*((I231+J231)/6)*K231,2))</f>
        <v/>
      </c>
      <c r="M231" s="2">
        <f>IF(L231="","",IF(AND(L231&gt;=3.5,H231=1),"Сильный признак",IF(AND(L231&gt;=2,H231=1),"Рабочий признак",IF(H231=1,"Слабый признак","Отсутствует"))))</f>
        <v/>
      </c>
      <c r="N231" s="2" t="inlineStr">
        <is>
          <t>Конкурентная норма с высоким влиянием; включить в минимальный состав NotaCode</t>
        </is>
      </c>
    </row>
    <row r="232">
      <c r="A232" s="2" t="n"/>
      <c r="B232" s="2" t="n"/>
      <c r="C232" s="2" t="n"/>
      <c r="D232" s="2" t="n"/>
      <c r="E232" s="2" t="n"/>
      <c r="F232" s="2" t="n"/>
      <c r="G232" s="2" t="n"/>
      <c r="H232" s="2" t="n"/>
      <c r="I232" s="2" t="n"/>
      <c r="J232" s="2" t="n"/>
      <c r="K232" s="2" t="n"/>
      <c r="L232" s="2">
        <f>IF(OR(H232="",I232="",J232="",K232=""),"",ROUND(H232*((I232+J232)/6)*K232,2))</f>
        <v/>
      </c>
      <c r="M232" s="2">
        <f>IF(L232="","",IF(AND(L232&gt;=3.5,H232=1),"Сильный признак",IF(AND(L232&gt;=2,H232=1),"Рабочий признак",IF(H232=1,"Слабый признак","Отсутствует"))))</f>
        <v/>
      </c>
      <c r="N232" s="2" t="inlineStr">
        <is>
          <t>Конкурентная норма с высоким влиянием; включить в минимальный состав NotaCode</t>
        </is>
      </c>
    </row>
    <row r="233">
      <c r="A233" s="2" t="n"/>
      <c r="B233" s="2" t="n"/>
      <c r="C233" s="2" t="n"/>
      <c r="D233" s="2" t="n"/>
      <c r="E233" s="2" t="n"/>
      <c r="F233" s="2" t="n"/>
      <c r="G233" s="2" t="n"/>
      <c r="H233" s="2" t="n"/>
      <c r="I233" s="2" t="n"/>
      <c r="J233" s="2" t="n"/>
      <c r="K233" s="2" t="n"/>
      <c r="L233" s="2">
        <f>IF(OR(H233="",I233="",J233="",K233=""),"",ROUND(H233*((I233+J233)/6)*K233,2))</f>
        <v/>
      </c>
      <c r="M233" s="2">
        <f>IF(L233="","",IF(AND(L233&gt;=3.5,H233=1),"Сильный признак",IF(AND(L233&gt;=2,H233=1),"Рабочий признак",IF(H233=1,"Слабый признак","Отсутствует"))))</f>
        <v/>
      </c>
      <c r="N233" s="2" t="inlineStr">
        <is>
          <t>Конкурентная норма с высоким влиянием; включить в минимальный состав NotaCode</t>
        </is>
      </c>
    </row>
    <row r="234">
      <c r="A234" s="2" t="n"/>
      <c r="B234" s="2" t="n"/>
      <c r="C234" s="2" t="n"/>
      <c r="D234" s="2" t="n"/>
      <c r="E234" s="2" t="n"/>
      <c r="F234" s="2" t="n"/>
      <c r="G234" s="2" t="n"/>
      <c r="H234" s="2" t="n"/>
      <c r="I234" s="2" t="n"/>
      <c r="J234" s="2" t="n"/>
      <c r="K234" s="2" t="n"/>
      <c r="L234" s="2">
        <f>IF(OR(H234="",I234="",J234="",K234=""),"",ROUND(H234*((I234+J234)/6)*K234,2))</f>
        <v/>
      </c>
      <c r="M234" s="2">
        <f>IF(L234="","",IF(AND(L234&gt;=3.5,H234=1),"Сильный признак",IF(AND(L234&gt;=2,H234=1),"Рабочий признак",IF(H234=1,"Слабый признак","Отсутствует"))))</f>
        <v/>
      </c>
      <c r="N234" s="2" t="inlineStr">
        <is>
          <t>Конкурентная норма с высоким влиянием; включить в минимальный состав NotaCode</t>
        </is>
      </c>
    </row>
    <row r="235">
      <c r="A235" s="2" t="n"/>
      <c r="B235" s="2" t="n"/>
      <c r="C235" s="2" t="n"/>
      <c r="D235" s="2" t="n"/>
      <c r="E235" s="2" t="n"/>
      <c r="F235" s="2" t="n"/>
      <c r="G235" s="2" t="n"/>
      <c r="H235" s="2" t="n"/>
      <c r="I235" s="2" t="n"/>
      <c r="J235" s="2" t="n"/>
      <c r="K235" s="2" t="n"/>
      <c r="L235" s="2">
        <f>IF(OR(H235="",I235="",J235="",K235=""),"",ROUND(H235*((I235+J235)/6)*K235,2))</f>
        <v/>
      </c>
      <c r="M235" s="2">
        <f>IF(L235="","",IF(AND(L235&gt;=3.5,H235=1),"Сильный признак",IF(AND(L235&gt;=2,H235=1),"Рабочий признак",IF(H235=1,"Слабый признак","Отсутствует"))))</f>
        <v/>
      </c>
      <c r="N235" s="2" t="inlineStr">
        <is>
          <t>Конкурентная норма с высоким влиянием; включить в минимальный состав NotaCode</t>
        </is>
      </c>
    </row>
    <row r="236">
      <c r="A236" s="2" t="n"/>
      <c r="B236" s="2" t="n"/>
      <c r="C236" s="2" t="n"/>
      <c r="D236" s="2" t="n"/>
      <c r="E236" s="2" t="n"/>
      <c r="F236" s="2" t="n"/>
      <c r="G236" s="2" t="n"/>
      <c r="H236" s="2" t="n"/>
      <c r="I236" s="2" t="n"/>
      <c r="J236" s="2" t="n"/>
      <c r="K236" s="2" t="n"/>
      <c r="L236" s="2">
        <f>IF(OR(H236="",I236="",J236="",K236=""),"",ROUND(H236*((I236+J236)/6)*K236,2))</f>
        <v/>
      </c>
      <c r="M236" s="2">
        <f>IF(L236="","",IF(AND(L236&gt;=3.5,H236=1),"Сильный признак",IF(AND(L236&gt;=2,H236=1),"Рабочий признак",IF(H236=1,"Слабый признак","Отсутствует"))))</f>
        <v/>
      </c>
      <c r="N236" s="2" t="inlineStr">
        <is>
          <t>Конкурентная норма с высоким влиянием; включить в минимальный состав NotaCode</t>
        </is>
      </c>
    </row>
    <row r="237">
      <c r="A237" s="2" t="n"/>
      <c r="B237" s="2" t="n"/>
      <c r="C237" s="2" t="n"/>
      <c r="D237" s="2" t="n"/>
      <c r="E237" s="2" t="n"/>
      <c r="F237" s="2" t="n"/>
      <c r="G237" s="2" t="n"/>
      <c r="H237" s="2" t="n"/>
      <c r="I237" s="2" t="n"/>
      <c r="J237" s="2" t="n"/>
      <c r="K237" s="2" t="n"/>
      <c r="L237" s="2">
        <f>IF(OR(H237="",I237="",J237="",K237=""),"",ROUND(H237*((I237+J237)/6)*K237,2))</f>
        <v/>
      </c>
      <c r="M237" s="2">
        <f>IF(L237="","",IF(AND(L237&gt;=3.5,H237=1),"Сильный признак",IF(AND(L237&gt;=2,H237=1),"Рабочий признак",IF(H237=1,"Слабый признак","Отсутствует"))))</f>
        <v/>
      </c>
      <c r="N237" s="2" t="inlineStr">
        <is>
          <t>Конкурентная норма с высоким влиянием; включить в минимальный состав NotaCode</t>
        </is>
      </c>
    </row>
    <row r="238">
      <c r="A238" s="2" t="n"/>
      <c r="B238" s="2" t="n"/>
      <c r="C238" s="2" t="n"/>
      <c r="D238" s="2" t="n"/>
      <c r="E238" s="2" t="n"/>
      <c r="F238" s="2" t="n"/>
      <c r="G238" s="2" t="n"/>
      <c r="H238" s="2" t="n"/>
      <c r="I238" s="2" t="n"/>
      <c r="J238" s="2" t="n"/>
      <c r="K238" s="2" t="n"/>
      <c r="L238" s="2">
        <f>IF(OR(H238="",I238="",J238="",K238=""),"",ROUND(H238*((I238+J238)/6)*K238,2))</f>
        <v/>
      </c>
      <c r="M238" s="2">
        <f>IF(L238="","",IF(AND(L238&gt;=3.5,H238=1),"Сильный признак",IF(AND(L238&gt;=2,H238=1),"Рабочий признак",IF(H238=1,"Слабый признак","Отсутствует"))))</f>
        <v/>
      </c>
      <c r="N238" s="2" t="inlineStr">
        <is>
          <t>Конкурентная норма с высоким влиянием; включить в минимальный состав NotaCode</t>
        </is>
      </c>
    </row>
    <row r="239">
      <c r="A239" s="2" t="n"/>
      <c r="B239" s="2" t="n"/>
      <c r="C239" s="2" t="n"/>
      <c r="D239" s="2" t="n"/>
      <c r="E239" s="2" t="n"/>
      <c r="F239" s="2" t="n"/>
      <c r="G239" s="2" t="n"/>
      <c r="H239" s="2" t="n"/>
      <c r="I239" s="2" t="n"/>
      <c r="J239" s="2" t="n"/>
      <c r="K239" s="2" t="n"/>
      <c r="L239" s="2">
        <f>IF(OR(H239="",I239="",J239="",K239=""),"",ROUND(H239*((I239+J239)/6)*K239,2))</f>
        <v/>
      </c>
      <c r="M239" s="2">
        <f>IF(L239="","",IF(AND(L239&gt;=3.5,H239=1),"Сильный признак",IF(AND(L239&gt;=2,H239=1),"Рабочий признак",IF(H239=1,"Слабый признак","Отсутствует"))))</f>
        <v/>
      </c>
      <c r="N239" s="2" t="inlineStr">
        <is>
          <t>Конкурентная норма с высоким влиянием; включить в минимальный состав NotaCode</t>
        </is>
      </c>
    </row>
    <row r="240">
      <c r="A240" s="2" t="n"/>
      <c r="B240" s="2" t="n"/>
      <c r="C240" s="2" t="n"/>
      <c r="D240" s="2" t="n"/>
      <c r="E240" s="2" t="n"/>
      <c r="F240" s="2" t="n"/>
      <c r="G240" s="2" t="n"/>
      <c r="H240" s="2" t="n"/>
      <c r="I240" s="2" t="n"/>
      <c r="J240" s="2" t="n"/>
      <c r="K240" s="2" t="n"/>
      <c r="L240" s="2">
        <f>IF(OR(H240="",I240="",J240="",K240=""),"",ROUND(H240*((I240+J240)/6)*K240,2))</f>
        <v/>
      </c>
      <c r="M240" s="2">
        <f>IF(L240="","",IF(AND(L240&gt;=3.5,H240=1),"Сильный признак",IF(AND(L240&gt;=2,H240=1),"Рабочий признак",IF(H240=1,"Слабый признак","Отсутствует"))))</f>
        <v/>
      </c>
      <c r="N240" s="2" t="inlineStr">
        <is>
          <t>Конкурентная норма с высоким влиянием; включить в минимальный состав NotaCode</t>
        </is>
      </c>
    </row>
    <row r="241">
      <c r="A241" s="2" t="n"/>
      <c r="B241" s="2" t="n"/>
      <c r="C241" s="2" t="n"/>
      <c r="D241" s="2" t="n"/>
      <c r="E241" s="2" t="n"/>
      <c r="F241" s="2" t="n"/>
      <c r="G241" s="2" t="n"/>
      <c r="H241" s="2" t="n"/>
      <c r="I241" s="2" t="n"/>
      <c r="J241" s="2" t="n"/>
      <c r="K241" s="2" t="n"/>
      <c r="L241" s="2">
        <f>IF(OR(H241="",I241="",J241="",K241=""),"",ROUND(H241*((I241+J241)/6)*K241,2))</f>
        <v/>
      </c>
      <c r="M241" s="2">
        <f>IF(L241="","",IF(AND(L241&gt;=3.5,H241=1),"Сильный признак",IF(AND(L241&gt;=2,H241=1),"Рабочий признак",IF(H241=1,"Слабый признак","Отсутствует"))))</f>
        <v/>
      </c>
      <c r="N241" s="2" t="inlineStr">
        <is>
          <t>Конкурентная норма с высоким влиянием; включить в минимальный состав NotaCode</t>
        </is>
      </c>
    </row>
    <row r="242">
      <c r="A242" s="2" t="n"/>
      <c r="B242" s="2" t="n"/>
      <c r="C242" s="2" t="n"/>
      <c r="D242" s="2" t="n"/>
      <c r="E242" s="2" t="n"/>
      <c r="F242" s="2" t="n"/>
      <c r="G242" s="2" t="n"/>
      <c r="H242" s="2" t="n"/>
      <c r="I242" s="2" t="n"/>
      <c r="J242" s="2" t="n"/>
      <c r="K242" s="2" t="n"/>
      <c r="L242" s="2">
        <f>IF(OR(H242="",I242="",J242="",K242=""),"",ROUND(H242*((I242+J242)/6)*K242,2))</f>
        <v/>
      </c>
      <c r="M242" s="2">
        <f>IF(L242="","",IF(AND(L242&gt;=3.5,H242=1),"Сильный признак",IF(AND(L242&gt;=2,H242=1),"Рабочий признак",IF(H242=1,"Слабый признак","Отсутствует"))))</f>
        <v/>
      </c>
      <c r="N242" s="2" t="inlineStr">
        <is>
          <t>Конкурентная норма с высоким влиянием; включить в минимальный состав NotaCode</t>
        </is>
      </c>
    </row>
    <row r="243">
      <c r="A243" s="2" t="n"/>
      <c r="B243" s="2" t="n"/>
      <c r="C243" s="2" t="n"/>
      <c r="D243" s="2" t="n"/>
      <c r="E243" s="2" t="n"/>
      <c r="F243" s="2" t="n"/>
      <c r="G243" s="2" t="n"/>
      <c r="H243" s="2" t="n"/>
      <c r="I243" s="2" t="n"/>
      <c r="J243" s="2" t="n"/>
      <c r="K243" s="2" t="n"/>
      <c r="L243" s="2">
        <f>IF(OR(H243="",I243="",J243="",K243=""),"",ROUND(H243*((I243+J243)/6)*K243,2))</f>
        <v/>
      </c>
      <c r="M243" s="2">
        <f>IF(L243="","",IF(AND(L243&gt;=3.5,H243=1),"Сильный признак",IF(AND(L243&gt;=2,H243=1),"Рабочий признак",IF(H243=1,"Слабый признак","Отсутствует"))))</f>
        <v/>
      </c>
      <c r="N243" s="2" t="inlineStr">
        <is>
          <t>Конкурентная норма с высоким влиянием; включить в минимальный состав NotaCode</t>
        </is>
      </c>
    </row>
    <row r="244">
      <c r="A244" s="2" t="n"/>
      <c r="B244" s="2" t="n"/>
      <c r="C244" s="2" t="n"/>
      <c r="D244" s="2" t="n"/>
      <c r="E244" s="2" t="n"/>
      <c r="F244" s="2" t="n"/>
      <c r="G244" s="2" t="n"/>
      <c r="H244" s="2" t="n"/>
      <c r="I244" s="2" t="n"/>
      <c r="J244" s="2" t="n"/>
      <c r="K244" s="2" t="n"/>
      <c r="L244" s="2">
        <f>IF(OR(H244="",I244="",J244="",K244=""),"",ROUND(H244*((I244+J244)/6)*K244,2))</f>
        <v/>
      </c>
      <c r="M244" s="2">
        <f>IF(L244="","",IF(AND(L244&gt;=3.5,H244=1),"Сильный признак",IF(AND(L244&gt;=2,H244=1),"Рабочий признак",IF(H244=1,"Слабый признак","Отсутствует"))))</f>
        <v/>
      </c>
      <c r="N244" s="2" t="inlineStr">
        <is>
          <t>Конкурентная норма с высоким влиянием; включить в минимальный состав NotaCode</t>
        </is>
      </c>
    </row>
    <row r="245">
      <c r="A245" s="2" t="n"/>
      <c r="B245" s="2" t="n"/>
      <c r="C245" s="2" t="n"/>
      <c r="D245" s="2" t="n"/>
      <c r="E245" s="2" t="n"/>
      <c r="F245" s="2" t="n"/>
      <c r="G245" s="2" t="n"/>
      <c r="H245" s="2" t="n"/>
      <c r="I245" s="2" t="n"/>
      <c r="J245" s="2" t="n"/>
      <c r="K245" s="2" t="n"/>
      <c r="L245" s="2">
        <f>IF(OR(H245="",I245="",J245="",K245=""),"",ROUND(H245*((I245+J245)/6)*K245,2))</f>
        <v/>
      </c>
      <c r="M245" s="2">
        <f>IF(L245="","",IF(AND(L245&gt;=3.5,H245=1),"Сильный признак",IF(AND(L245&gt;=2,H245=1),"Рабочий признак",IF(H245=1,"Слабый признак","Отсутствует"))))</f>
        <v/>
      </c>
      <c r="N245" s="2" t="inlineStr">
        <is>
          <t>Конкурентная норма с высоким влиянием; включить в минимальный состав NotaCode</t>
        </is>
      </c>
    </row>
    <row r="246">
      <c r="A246" s="2" t="n"/>
      <c r="B246" s="2" t="n"/>
      <c r="C246" s="2" t="n"/>
      <c r="D246" s="2" t="n"/>
      <c r="E246" s="2" t="n"/>
      <c r="F246" s="2" t="n"/>
      <c r="G246" s="2" t="n"/>
      <c r="H246" s="2" t="n"/>
      <c r="I246" s="2" t="n"/>
      <c r="J246" s="2" t="n"/>
      <c r="K246" s="2" t="n"/>
      <c r="L246" s="2">
        <f>IF(OR(H246="",I246="",J246="",K246=""),"",ROUND(H246*((I246+J246)/6)*K246,2))</f>
        <v/>
      </c>
      <c r="M246" s="2">
        <f>IF(L246="","",IF(AND(L246&gt;=3.5,H246=1),"Сильный признак",IF(AND(L246&gt;=2,H246=1),"Рабочий признак",IF(H246=1,"Слабый признак","Отсутствует"))))</f>
        <v/>
      </c>
      <c r="N246" s="2" t="inlineStr">
        <is>
          <t>Конкурентная норма с высоким влиянием; включить в минимальный состав NotaCode</t>
        </is>
      </c>
    </row>
    <row r="247">
      <c r="A247" s="2" t="n"/>
      <c r="B247" s="2" t="n"/>
      <c r="C247" s="2" t="n"/>
      <c r="D247" s="2" t="n"/>
      <c r="E247" s="2" t="n"/>
      <c r="F247" s="2" t="n"/>
      <c r="G247" s="2" t="n"/>
      <c r="H247" s="2" t="n"/>
      <c r="I247" s="2" t="n"/>
      <c r="J247" s="2" t="n"/>
      <c r="K247" s="2" t="n"/>
      <c r="L247" s="2">
        <f>IF(OR(H247="",I247="",J247="",K247=""),"",ROUND(H247*((I247+J247)/6)*K247,2))</f>
        <v/>
      </c>
      <c r="M247" s="2">
        <f>IF(L247="","",IF(AND(L247&gt;=3.5,H247=1),"Сильный признак",IF(AND(L247&gt;=2,H247=1),"Рабочий признак",IF(H247=1,"Слабый признак","Отсутствует"))))</f>
        <v/>
      </c>
      <c r="N247" s="2" t="inlineStr">
        <is>
          <t>Конкурентная норма с высоким влиянием; включить в минимальный состав NotaCode</t>
        </is>
      </c>
    </row>
    <row r="248">
      <c r="A248" s="2" t="n"/>
      <c r="B248" s="2" t="n"/>
      <c r="C248" s="2" t="n"/>
      <c r="D248" s="2" t="n"/>
      <c r="E248" s="2" t="n"/>
      <c r="F248" s="2" t="n"/>
      <c r="G248" s="2" t="n"/>
      <c r="H248" s="2" t="n"/>
      <c r="I248" s="2" t="n"/>
      <c r="J248" s="2" t="n"/>
      <c r="K248" s="2" t="n"/>
      <c r="L248" s="2">
        <f>IF(OR(H248="",I248="",J248="",K248=""),"",ROUND(H248*((I248+J248)/6)*K248,2))</f>
        <v/>
      </c>
      <c r="M248" s="2">
        <f>IF(L248="","",IF(AND(L248&gt;=3.5,H248=1),"Сильный признак",IF(AND(L248&gt;=2,H248=1),"Рабочий признак",IF(H248=1,"Слабый признак","Отсутствует"))))</f>
        <v/>
      </c>
      <c r="N248" s="2" t="inlineStr">
        <is>
          <t>Конкурентная норма с высоким влиянием; включить в минимальный состав NotaCode</t>
        </is>
      </c>
    </row>
    <row r="249">
      <c r="A249" s="2" t="n"/>
      <c r="B249" s="2" t="n"/>
      <c r="C249" s="2" t="n"/>
      <c r="D249" s="2" t="n"/>
      <c r="E249" s="2" t="n"/>
      <c r="F249" s="2" t="n"/>
      <c r="G249" s="2" t="n"/>
      <c r="H249" s="2" t="n"/>
      <c r="I249" s="2" t="n"/>
      <c r="J249" s="2" t="n"/>
      <c r="K249" s="2" t="n"/>
      <c r="L249" s="2">
        <f>IF(OR(H249="",I249="",J249="",K249=""),"",ROUND(H249*((I249+J249)/6)*K249,2))</f>
        <v/>
      </c>
      <c r="M249" s="2">
        <f>IF(L249="","",IF(AND(L249&gt;=3.5,H249=1),"Сильный признак",IF(AND(L249&gt;=2,H249=1),"Рабочий признак",IF(H249=1,"Слабый признак","Отсутствует"))))</f>
        <v/>
      </c>
      <c r="N249" s="2" t="inlineStr">
        <is>
          <t>Конкурентная норма с высоким влиянием; включить в минимальный состав NotaCode</t>
        </is>
      </c>
    </row>
    <row r="250">
      <c r="A250" s="2" t="n"/>
      <c r="B250" s="2" t="n"/>
      <c r="C250" s="2" t="n"/>
      <c r="D250" s="2" t="n"/>
      <c r="E250" s="2" t="n"/>
      <c r="F250" s="2" t="n"/>
      <c r="G250" s="2" t="n"/>
      <c r="H250" s="2" t="n"/>
      <c r="I250" s="2" t="n"/>
      <c r="J250" s="2" t="n"/>
      <c r="K250" s="2" t="n"/>
      <c r="L250" s="2">
        <f>IF(OR(H250="",I250="",J250="",K250=""),"",ROUND(H250*((I250+J250)/6)*K250,2))</f>
        <v/>
      </c>
      <c r="M250" s="2">
        <f>IF(L250="","",IF(AND(L250&gt;=3.5,H250=1),"Сильный признак",IF(AND(L250&gt;=2,H250=1),"Рабочий признак",IF(H250=1,"Слабый признак","Отсутствует"))))</f>
        <v/>
      </c>
      <c r="N250" s="2" t="inlineStr">
        <is>
          <t>Конкурентная норма с высоким влиянием; включить в минимальный состав NotaCode</t>
        </is>
      </c>
    </row>
    <row r="251">
      <c r="A251" s="2" t="n"/>
      <c r="B251" s="2" t="n"/>
      <c r="C251" s="2" t="n"/>
      <c r="D251" s="2" t="n"/>
      <c r="E251" s="2" t="n"/>
      <c r="F251" s="2" t="n"/>
      <c r="G251" s="2" t="n"/>
      <c r="H251" s="2" t="n"/>
      <c r="I251" s="2" t="n"/>
      <c r="J251" s="2" t="n"/>
      <c r="K251" s="2" t="n"/>
      <c r="L251" s="2">
        <f>IF(OR(H251="",I251="",J251="",K251=""),"",ROUND(H251*((I251+J251)/6)*K251,2))</f>
        <v/>
      </c>
      <c r="M251" s="2">
        <f>IF(L251="","",IF(AND(L251&gt;=3.5,H251=1),"Сильный признак",IF(AND(L251&gt;=2,H251=1),"Рабочий признак",IF(H251=1,"Слабый признак","Отсутствует"))))</f>
        <v/>
      </c>
      <c r="N251" s="2" t="inlineStr">
        <is>
          <t>Конкурентная норма с высоким влиянием; включить в минимальный состав NotaCode</t>
        </is>
      </c>
    </row>
    <row r="252">
      <c r="A252" s="2" t="n"/>
      <c r="B252" s="2" t="n"/>
      <c r="C252" s="2" t="n"/>
      <c r="D252" s="2" t="n"/>
      <c r="E252" s="2" t="n"/>
      <c r="F252" s="2" t="n"/>
      <c r="G252" s="2" t="n"/>
      <c r="H252" s="2" t="n"/>
      <c r="I252" s="2" t="n"/>
      <c r="J252" s="2" t="n"/>
      <c r="K252" s="2" t="n"/>
      <c r="L252" s="2">
        <f>IF(OR(H252="",I252="",J252="",K252=""),"",ROUND(H252*((I252+J252)/6)*K252,2))</f>
        <v/>
      </c>
      <c r="M252" s="2">
        <f>IF(L252="","",IF(AND(L252&gt;=3.5,H252=1),"Сильный признак",IF(AND(L252&gt;=2,H252=1),"Рабочий признак",IF(H252=1,"Слабый признак","Отсутствует"))))</f>
        <v/>
      </c>
      <c r="N252" s="2" t="inlineStr">
        <is>
          <t>Конкурентная норма с высоким влиянием; включить в минимальный состав NotaCode</t>
        </is>
      </c>
    </row>
    <row r="253">
      <c r="A253" s="2" t="n"/>
      <c r="B253" s="2" t="n"/>
      <c r="C253" s="2" t="n"/>
      <c r="D253" s="2" t="n"/>
      <c r="E253" s="2" t="n"/>
      <c r="F253" s="2" t="n"/>
      <c r="G253" s="2" t="n"/>
      <c r="H253" s="2" t="n"/>
      <c r="I253" s="2" t="n"/>
      <c r="J253" s="2" t="n"/>
      <c r="K253" s="2" t="n"/>
      <c r="L253" s="2">
        <f>IF(OR(H253="",I253="",J253="",K253=""),"",ROUND(H253*((I253+J253)/6)*K253,2))</f>
        <v/>
      </c>
      <c r="M253" s="2">
        <f>IF(L253="","",IF(AND(L253&gt;=3.5,H253=1),"Сильный признак",IF(AND(L253&gt;=2,H253=1),"Рабочий признак",IF(H253=1,"Слабый признак","Отсутствует"))))</f>
        <v/>
      </c>
      <c r="N253" s="2" t="inlineStr">
        <is>
          <t>Конкурентная норма с высоким влиянием; включить в минимальный состав NotaCode</t>
        </is>
      </c>
    </row>
    <row r="254">
      <c r="A254" s="2" t="n"/>
      <c r="B254" s="2" t="n"/>
      <c r="C254" s="2" t="n"/>
      <c r="D254" s="2" t="n"/>
      <c r="E254" s="2" t="n"/>
      <c r="F254" s="2" t="n"/>
      <c r="G254" s="2" t="n"/>
      <c r="H254" s="2" t="n"/>
      <c r="I254" s="2" t="n"/>
      <c r="J254" s="2" t="n"/>
      <c r="K254" s="2" t="n"/>
      <c r="L254" s="2">
        <f>IF(OR(H254="",I254="",J254="",K254=""),"",ROUND(H254*((I254+J254)/6)*K254,2))</f>
        <v/>
      </c>
      <c r="M254" s="2">
        <f>IF(L254="","",IF(AND(L254&gt;=3.5,H254=1),"Сильный признак",IF(AND(L254&gt;=2,H254=1),"Рабочий признак",IF(H254=1,"Слабый признак","Отсутствует"))))</f>
        <v/>
      </c>
      <c r="N254" s="2" t="inlineStr">
        <is>
          <t>Конкурентная норма с высоким влиянием; включить в минимальный состав NotaCode</t>
        </is>
      </c>
    </row>
    <row r="255">
      <c r="A255" s="2" t="n"/>
      <c r="B255" s="2" t="n"/>
      <c r="C255" s="2" t="n"/>
      <c r="D255" s="2" t="n"/>
      <c r="E255" s="2" t="n"/>
      <c r="F255" s="2" t="n"/>
      <c r="G255" s="2" t="n"/>
      <c r="H255" s="2" t="n"/>
      <c r="I255" s="2" t="n"/>
      <c r="J255" s="2" t="n"/>
      <c r="K255" s="2" t="n"/>
      <c r="L255" s="2">
        <f>IF(OR(H255="",I255="",J255="",K255=""),"",ROUND(H255*((I255+J255)/6)*K255,2))</f>
        <v/>
      </c>
      <c r="M255" s="2">
        <f>IF(L255="","",IF(AND(L255&gt;=3.5,H255=1),"Сильный признак",IF(AND(L255&gt;=2,H255=1),"Рабочий признак",IF(H255=1,"Слабый признак","Отсутствует"))))</f>
        <v/>
      </c>
      <c r="N255" s="2" t="inlineStr">
        <is>
          <t>Конкурентная норма с высоким влиянием; включить в минимальный состав NotaCode</t>
        </is>
      </c>
    </row>
    <row r="256">
      <c r="A256" s="2" t="n"/>
      <c r="B256" s="2" t="n"/>
      <c r="C256" s="2" t="n"/>
      <c r="D256" s="2" t="n"/>
      <c r="E256" s="2" t="n"/>
      <c r="F256" s="2" t="n"/>
      <c r="G256" s="2" t="n"/>
      <c r="H256" s="2" t="n"/>
      <c r="I256" s="2" t="n"/>
      <c r="J256" s="2" t="n"/>
      <c r="K256" s="2" t="n"/>
      <c r="L256" s="2">
        <f>IF(OR(H256="",I256="",J256="",K256=""),"",ROUND(H256*((I256+J256)/6)*K256,2))</f>
        <v/>
      </c>
      <c r="M256" s="2">
        <f>IF(L256="","",IF(AND(L256&gt;=3.5,H256=1),"Сильный признак",IF(AND(L256&gt;=2,H256=1),"Рабочий признак",IF(H256=1,"Слабый признак","Отсутствует"))))</f>
        <v/>
      </c>
      <c r="N256" s="2" t="inlineStr">
        <is>
          <t>Конкурентная норма с высоким влиянием; включить в минимальный состав NotaCode</t>
        </is>
      </c>
    </row>
    <row r="257">
      <c r="A257" s="2" t="n"/>
      <c r="B257" s="2" t="n"/>
      <c r="C257" s="2" t="n"/>
      <c r="D257" s="2" t="n"/>
      <c r="E257" s="2" t="n"/>
      <c r="F257" s="2" t="n"/>
      <c r="G257" s="2" t="n"/>
      <c r="H257" s="2" t="n"/>
      <c r="I257" s="2" t="n"/>
      <c r="J257" s="2" t="n"/>
      <c r="K257" s="2" t="n"/>
      <c r="L257" s="2">
        <f>IF(OR(H257="",I257="",J257="",K257=""),"",ROUND(H257*((I257+J257)/6)*K257,2))</f>
        <v/>
      </c>
      <c r="M257" s="2">
        <f>IF(L257="","",IF(AND(L257&gt;=3.5,H257=1),"Сильный признак",IF(AND(L257&gt;=2,H257=1),"Рабочий признак",IF(H257=1,"Слабый признак","Отсутствует"))))</f>
        <v/>
      </c>
      <c r="N257" s="2" t="inlineStr">
        <is>
          <t>Конкурентная норма с высоким влиянием; включить в минимальный состав NotaCode</t>
        </is>
      </c>
    </row>
    <row r="258">
      <c r="A258" s="2" t="n"/>
      <c r="B258" s="2" t="n"/>
      <c r="C258" s="2" t="n"/>
      <c r="D258" s="2" t="n"/>
      <c r="E258" s="2" t="n"/>
      <c r="F258" s="2" t="n"/>
      <c r="G258" s="2" t="n"/>
      <c r="H258" s="2" t="n"/>
      <c r="I258" s="2" t="n"/>
      <c r="J258" s="2" t="n"/>
      <c r="K258" s="2" t="n"/>
      <c r="L258" s="2">
        <f>IF(OR(H258="",I258="",J258="",K258=""),"",ROUND(H258*((I258+J258)/6)*K258,2))</f>
        <v/>
      </c>
      <c r="M258" s="2">
        <f>IF(L258="","",IF(AND(L258&gt;=3.5,H258=1),"Сильный признак",IF(AND(L258&gt;=2,H258=1),"Рабочий признак",IF(H258=1,"Слабый признак","Отсутствует"))))</f>
        <v/>
      </c>
      <c r="N258" s="2" t="inlineStr">
        <is>
          <t>Конкурентная норма с высоким влиянием; включить в минимальный состав NotaCode</t>
        </is>
      </c>
    </row>
    <row r="259">
      <c r="A259" s="2" t="n"/>
      <c r="B259" s="2" t="n"/>
      <c r="C259" s="2" t="n"/>
      <c r="D259" s="2" t="n"/>
      <c r="E259" s="2" t="n"/>
      <c r="F259" s="2" t="n"/>
      <c r="G259" s="2" t="n"/>
      <c r="H259" s="2" t="n"/>
      <c r="I259" s="2" t="n"/>
      <c r="J259" s="2" t="n"/>
      <c r="K259" s="2" t="n"/>
      <c r="L259" s="2">
        <f>IF(OR(H259="",I259="",J259="",K259=""),"",ROUND(H259*((I259+J259)/6)*K259,2))</f>
        <v/>
      </c>
      <c r="M259" s="2">
        <f>IF(L259="","",IF(AND(L259&gt;=3.5,H259=1),"Сильный признак",IF(AND(L259&gt;=2,H259=1),"Рабочий признак",IF(H259=1,"Слабый признак","Отсутствует"))))</f>
        <v/>
      </c>
      <c r="N259" s="2" t="inlineStr">
        <is>
          <t>Конкурентная норма с высоким влиянием; включить в минимальный состав NotaCode</t>
        </is>
      </c>
    </row>
    <row r="260">
      <c r="A260" s="2" t="n"/>
      <c r="B260" s="2" t="n"/>
      <c r="C260" s="2" t="n"/>
      <c r="D260" s="2" t="n"/>
      <c r="E260" s="2" t="n"/>
      <c r="F260" s="2" t="n"/>
      <c r="G260" s="2" t="n"/>
      <c r="H260" s="2" t="n"/>
      <c r="I260" s="2" t="n"/>
      <c r="J260" s="2" t="n"/>
      <c r="K260" s="2" t="n"/>
      <c r="L260" s="2">
        <f>IF(OR(H260="",I260="",J260="",K260=""),"",ROUND(H260*((I260+J260)/6)*K260,2))</f>
        <v/>
      </c>
      <c r="M260" s="2">
        <f>IF(L260="","",IF(AND(L260&gt;=3.5,H260=1),"Сильный признак",IF(AND(L260&gt;=2,H260=1),"Рабочий признак",IF(H260=1,"Слабый признак","Отсутствует"))))</f>
        <v/>
      </c>
      <c r="N260" s="2" t="inlineStr">
        <is>
          <t>Конкурентная норма с высоким влиянием; включить в минимальный состав NotaCode</t>
        </is>
      </c>
    </row>
    <row r="261">
      <c r="A261" s="2" t="n"/>
      <c r="B261" s="2" t="n"/>
      <c r="C261" s="2" t="n"/>
      <c r="D261" s="2" t="n"/>
      <c r="E261" s="2" t="n"/>
      <c r="F261" s="2" t="n"/>
      <c r="G261" s="2" t="n"/>
      <c r="H261" s="2" t="n"/>
      <c r="I261" s="2" t="n"/>
      <c r="J261" s="2" t="n"/>
      <c r="K261" s="2" t="n"/>
      <c r="L261" s="2">
        <f>IF(OR(H261="",I261="",J261="",K261=""),"",ROUND(H261*((I261+J261)/6)*K261,2))</f>
        <v/>
      </c>
      <c r="M261" s="2">
        <f>IF(L261="","",IF(AND(L261&gt;=3.5,H261=1),"Сильный признак",IF(AND(L261&gt;=2,H261=1),"Рабочий признак",IF(H261=1,"Слабый признак","Отсутствует"))))</f>
        <v/>
      </c>
      <c r="N261" s="2" t="inlineStr">
        <is>
          <t>Конкурентная норма с высоким влиянием; включить в минимальный состав NotaCode</t>
        </is>
      </c>
    </row>
    <row r="262">
      <c r="A262" s="2" t="n"/>
      <c r="B262" s="2" t="n"/>
      <c r="C262" s="2" t="n"/>
      <c r="D262" s="2" t="n"/>
      <c r="E262" s="2" t="n"/>
      <c r="F262" s="2" t="n"/>
      <c r="G262" s="2" t="n"/>
      <c r="H262" s="2" t="n"/>
      <c r="I262" s="2" t="n"/>
      <c r="J262" s="2" t="n"/>
      <c r="K262" s="2" t="n"/>
      <c r="L262" s="2">
        <f>IF(OR(H262="",I262="",J262="",K262=""),"",ROUND(H262*((I262+J262)/6)*K262,2))</f>
        <v/>
      </c>
      <c r="M262" s="2">
        <f>IF(L262="","",IF(AND(L262&gt;=3.5,H262=1),"Сильный признак",IF(AND(L262&gt;=2,H262=1),"Рабочий признак",IF(H262=1,"Слабый признак","Отсутствует"))))</f>
        <v/>
      </c>
      <c r="N262" s="2" t="inlineStr">
        <is>
          <t>Конкурентная норма с высоким влиянием; включить в минимальный состав NotaCode</t>
        </is>
      </c>
    </row>
    <row r="263">
      <c r="A263" s="2" t="n"/>
      <c r="B263" s="2" t="n"/>
      <c r="C263" s="2" t="n"/>
      <c r="D263" s="2" t="n"/>
      <c r="E263" s="2" t="n"/>
      <c r="F263" s="2" t="n"/>
      <c r="G263" s="2" t="n"/>
      <c r="H263" s="2" t="n"/>
      <c r="I263" s="2" t="n"/>
      <c r="J263" s="2" t="n"/>
      <c r="K263" s="2" t="n"/>
      <c r="L263" s="2">
        <f>IF(OR(H263="",I263="",J263="",K263=""),"",ROUND(H263*((I263+J263)/6)*K263,2))</f>
        <v/>
      </c>
      <c r="M263" s="2">
        <f>IF(L263="","",IF(AND(L263&gt;=3.5,H263=1),"Сильный признак",IF(AND(L263&gt;=2,H263=1),"Рабочий признак",IF(H263=1,"Слабый признак","Отсутствует"))))</f>
        <v/>
      </c>
      <c r="N263" s="2" t="inlineStr">
        <is>
          <t>Конкурентная норма с высоким влиянием; включить в минимальный состав NotaCode</t>
        </is>
      </c>
    </row>
    <row r="264">
      <c r="A264" s="2" t="n"/>
      <c r="B264" s="2" t="n"/>
      <c r="C264" s="2" t="n"/>
      <c r="D264" s="2" t="n"/>
      <c r="E264" s="2" t="n"/>
      <c r="F264" s="2" t="n"/>
      <c r="G264" s="2" t="n"/>
      <c r="H264" s="2" t="n"/>
      <c r="I264" s="2" t="n"/>
      <c r="J264" s="2" t="n"/>
      <c r="K264" s="2" t="n"/>
      <c r="L264" s="2">
        <f>IF(OR(H264="",I264="",J264="",K264=""),"",ROUND(H264*((I264+J264)/6)*K264,2))</f>
        <v/>
      </c>
      <c r="M264" s="2">
        <f>IF(L264="","",IF(AND(L264&gt;=3.5,H264=1),"Сильный признак",IF(AND(L264&gt;=2,H264=1),"Рабочий признак",IF(H264=1,"Слабый признак","Отсутствует"))))</f>
        <v/>
      </c>
      <c r="N264" s="2" t="inlineStr">
        <is>
          <t>Конкурентная норма с высоким влиянием; включить в минимальный состав NotaCode</t>
        </is>
      </c>
    </row>
    <row r="265">
      <c r="A265" s="2" t="n"/>
      <c r="B265" s="2" t="n"/>
      <c r="C265" s="2" t="n"/>
      <c r="D265" s="2" t="n"/>
      <c r="E265" s="2" t="n"/>
      <c r="F265" s="2" t="n"/>
      <c r="G265" s="2" t="n"/>
      <c r="H265" s="2" t="n"/>
      <c r="I265" s="2" t="n"/>
      <c r="J265" s="2" t="n"/>
      <c r="K265" s="2" t="n"/>
      <c r="L265" s="2">
        <f>IF(OR(H265="",I265="",J265="",K265=""),"",ROUND(H265*((I265+J265)/6)*K265,2))</f>
        <v/>
      </c>
      <c r="M265" s="2">
        <f>IF(L265="","",IF(AND(L265&gt;=3.5,H265=1),"Сильный признак",IF(AND(L265&gt;=2,H265=1),"Рабочий признак",IF(H265=1,"Слабый признак","Отсутствует"))))</f>
        <v/>
      </c>
      <c r="N265" s="2" t="inlineStr">
        <is>
          <t>Конкурентная норма с высоким влиянием; включить в минимальный состав NotaCode</t>
        </is>
      </c>
    </row>
    <row r="266">
      <c r="A266" s="2" t="n"/>
      <c r="B266" s="2" t="n"/>
      <c r="C266" s="2" t="n"/>
      <c r="D266" s="2" t="n"/>
      <c r="E266" s="2" t="n"/>
      <c r="F266" s="2" t="n"/>
      <c r="G266" s="2" t="n"/>
      <c r="H266" s="2" t="n"/>
      <c r="I266" s="2" t="n"/>
      <c r="J266" s="2" t="n"/>
      <c r="K266" s="2" t="n"/>
      <c r="L266" s="2">
        <f>IF(OR(H266="",I266="",J266="",K266=""),"",ROUND(H266*((I266+J266)/6)*K266,2))</f>
        <v/>
      </c>
      <c r="M266" s="2">
        <f>IF(L266="","",IF(AND(L266&gt;=3.5,H266=1),"Сильный признак",IF(AND(L266&gt;=2,H266=1),"Рабочий признак",IF(H266=1,"Слабый признак","Отсутствует"))))</f>
        <v/>
      </c>
      <c r="N266" s="2" t="inlineStr">
        <is>
          <t>Конкурентная норма с высоким влиянием; включить в минимальный состав NotaCode</t>
        </is>
      </c>
    </row>
    <row r="267">
      <c r="A267" s="2" t="n"/>
      <c r="B267" s="2" t="n"/>
      <c r="C267" s="2" t="n"/>
      <c r="D267" s="2" t="n"/>
      <c r="E267" s="2" t="n"/>
      <c r="F267" s="2" t="n"/>
      <c r="G267" s="2" t="n"/>
      <c r="H267" s="2" t="n"/>
      <c r="I267" s="2" t="n"/>
      <c r="J267" s="2" t="n"/>
      <c r="K267" s="2" t="n"/>
      <c r="L267" s="2">
        <f>IF(OR(H267="",I267="",J267="",K267=""),"",ROUND(H267*((I267+J267)/6)*K267,2))</f>
        <v/>
      </c>
      <c r="M267" s="2">
        <f>IF(L267="","",IF(AND(L267&gt;=3.5,H267=1),"Сильный признак",IF(AND(L267&gt;=2,H267=1),"Рабочий признак",IF(H267=1,"Слабый признак","Отсутствует"))))</f>
        <v/>
      </c>
      <c r="N267" s="2" t="inlineStr">
        <is>
          <t>Конкурентная норма с высоким влиянием; включить в минимальный состав NotaCode</t>
        </is>
      </c>
    </row>
    <row r="268">
      <c r="A268" s="2" t="n"/>
      <c r="B268" s="2" t="n"/>
      <c r="C268" s="2" t="n"/>
      <c r="D268" s="2" t="n"/>
      <c r="E268" s="2" t="n"/>
      <c r="F268" s="2" t="n"/>
      <c r="G268" s="2" t="n"/>
      <c r="H268" s="2" t="n"/>
      <c r="I268" s="2" t="n"/>
      <c r="J268" s="2" t="n"/>
      <c r="K268" s="2" t="n"/>
      <c r="L268" s="2">
        <f>IF(OR(H268="",I268="",J268="",K268=""),"",ROUND(H268*((I268+J268)/6)*K268,2))</f>
        <v/>
      </c>
      <c r="M268" s="2">
        <f>IF(L268="","",IF(AND(L268&gt;=3.5,H268=1),"Сильный признак",IF(AND(L268&gt;=2,H268=1),"Рабочий признак",IF(H268=1,"Слабый признак","Отсутствует"))))</f>
        <v/>
      </c>
      <c r="N268" s="2" t="inlineStr">
        <is>
          <t>Конкурентная норма с высоким влиянием; включить в минимальный состав NotaCode</t>
        </is>
      </c>
    </row>
    <row r="269">
      <c r="A269" s="2" t="n"/>
      <c r="B269" s="2" t="n"/>
      <c r="C269" s="2" t="n"/>
      <c r="D269" s="2" t="n"/>
      <c r="E269" s="2" t="n"/>
      <c r="F269" s="2" t="n"/>
      <c r="G269" s="2" t="n"/>
      <c r="H269" s="2" t="n"/>
      <c r="I269" s="2" t="n"/>
      <c r="J269" s="2" t="n"/>
      <c r="K269" s="2" t="n"/>
      <c r="L269" s="2">
        <f>IF(OR(H269="",I269="",J269="",K269=""),"",ROUND(H269*((I269+J269)/6)*K269,2))</f>
        <v/>
      </c>
      <c r="M269" s="2">
        <f>IF(L269="","",IF(AND(L269&gt;=3.5,H269=1),"Сильный признак",IF(AND(L269&gt;=2,H269=1),"Рабочий признак",IF(H269=1,"Слабый признак","Отсутствует"))))</f>
        <v/>
      </c>
      <c r="N269" s="2" t="inlineStr">
        <is>
          <t>Конкурентная норма с высоким влиянием; включить в минимальный состав NotaCode</t>
        </is>
      </c>
    </row>
    <row r="270">
      <c r="A270" s="2" t="n"/>
      <c r="B270" s="2" t="n"/>
      <c r="C270" s="2" t="n"/>
      <c r="D270" s="2" t="n"/>
      <c r="E270" s="2" t="n"/>
      <c r="F270" s="2" t="n"/>
      <c r="G270" s="2" t="n"/>
      <c r="H270" s="2" t="n"/>
      <c r="I270" s="2" t="n"/>
      <c r="J270" s="2" t="n"/>
      <c r="K270" s="2" t="n"/>
      <c r="L270" s="2">
        <f>IF(OR(H270="",I270="",J270="",K270=""),"",ROUND(H270*((I270+J270)/6)*K270,2))</f>
        <v/>
      </c>
      <c r="M270" s="2">
        <f>IF(L270="","",IF(AND(L270&gt;=3.5,H270=1),"Сильный признак",IF(AND(L270&gt;=2,H270=1),"Рабочий признак",IF(H270=1,"Слабый признак","Отсутствует"))))</f>
        <v/>
      </c>
      <c r="N270" s="2" t="inlineStr">
        <is>
          <t>Конкурентная норма с высоким влиянием; включить в минимальный состав NotaCode</t>
        </is>
      </c>
    </row>
    <row r="271">
      <c r="A271" s="2" t="n"/>
      <c r="B271" s="2" t="n"/>
      <c r="C271" s="2" t="n"/>
      <c r="D271" s="2" t="n"/>
      <c r="E271" s="2" t="n"/>
      <c r="F271" s="2" t="n"/>
      <c r="G271" s="2" t="n"/>
      <c r="H271" s="2" t="n"/>
      <c r="I271" s="2" t="n"/>
      <c r="J271" s="2" t="n"/>
      <c r="K271" s="2" t="n"/>
      <c r="L271" s="2">
        <f>IF(OR(H271="",I271="",J271="",K271=""),"",ROUND(H271*((I271+J271)/6)*K271,2))</f>
        <v/>
      </c>
      <c r="M271" s="2">
        <f>IF(L271="","",IF(AND(L271&gt;=3.5,H271=1),"Сильный признак",IF(AND(L271&gt;=2,H271=1),"Рабочий признак",IF(H271=1,"Слабый признак","Отсутствует"))))</f>
        <v/>
      </c>
      <c r="N271" s="2" t="inlineStr">
        <is>
          <t>Конкурентная норма с высоким влиянием; включить в минимальный состав NotaCode</t>
        </is>
      </c>
    </row>
    <row r="272">
      <c r="A272" s="2" t="n"/>
      <c r="B272" s="2" t="n"/>
      <c r="C272" s="2" t="n"/>
      <c r="D272" s="2" t="n"/>
      <c r="E272" s="2" t="n"/>
      <c r="F272" s="2" t="n"/>
      <c r="G272" s="2" t="n"/>
      <c r="H272" s="2" t="n"/>
      <c r="I272" s="2" t="n"/>
      <c r="J272" s="2" t="n"/>
      <c r="K272" s="2" t="n"/>
      <c r="L272" s="2">
        <f>IF(OR(H272="",I272="",J272="",K272=""),"",ROUND(H272*((I272+J272)/6)*K272,2))</f>
        <v/>
      </c>
      <c r="M272" s="2">
        <f>IF(L272="","",IF(AND(L272&gt;=3.5,H272=1),"Сильный признак",IF(AND(L272&gt;=2,H272=1),"Рабочий признак",IF(H272=1,"Слабый признак","Отсутствует"))))</f>
        <v/>
      </c>
      <c r="N272" s="2" t="inlineStr">
        <is>
          <t>Конкурентная норма с высоким влиянием; включить в минимальный состав NotaCode</t>
        </is>
      </c>
    </row>
    <row r="273">
      <c r="A273" s="2" t="n"/>
      <c r="B273" s="2" t="n"/>
      <c r="C273" s="2" t="n"/>
      <c r="D273" s="2" t="n"/>
      <c r="E273" s="2" t="n"/>
      <c r="F273" s="2" t="n"/>
      <c r="G273" s="2" t="n"/>
      <c r="H273" s="2" t="n"/>
      <c r="I273" s="2" t="n"/>
      <c r="J273" s="2" t="n"/>
      <c r="K273" s="2" t="n"/>
      <c r="L273" s="2">
        <f>IF(OR(H273="",I273="",J273="",K273=""),"",ROUND(H273*((I273+J273)/6)*K273,2))</f>
        <v/>
      </c>
      <c r="M273" s="2">
        <f>IF(L273="","",IF(AND(L273&gt;=3.5,H273=1),"Сильный признак",IF(AND(L273&gt;=2,H273=1),"Рабочий признак",IF(H273=1,"Слабый признак","Отсутствует"))))</f>
        <v/>
      </c>
      <c r="N273" s="2" t="inlineStr">
        <is>
          <t>Конкурентная норма с высоким влиянием; включить в минимальный состав NotaCode</t>
        </is>
      </c>
    </row>
    <row r="274">
      <c r="A274" s="2" t="n"/>
      <c r="B274" s="2" t="n"/>
      <c r="C274" s="2" t="n"/>
      <c r="D274" s="2" t="n"/>
      <c r="E274" s="2" t="n"/>
      <c r="F274" s="2" t="n"/>
      <c r="G274" s="2" t="n"/>
      <c r="H274" s="2" t="n"/>
      <c r="I274" s="2" t="n"/>
      <c r="J274" s="2" t="n"/>
      <c r="K274" s="2" t="n"/>
      <c r="L274" s="2">
        <f>IF(OR(H274="",I274="",J274="",K274=""),"",ROUND(H274*((I274+J274)/6)*K274,2))</f>
        <v/>
      </c>
      <c r="M274" s="2">
        <f>IF(L274="","",IF(AND(L274&gt;=3.5,H274=1),"Сильный признак",IF(AND(L274&gt;=2,H274=1),"Рабочий признак",IF(H274=1,"Слабый признак","Отсутствует"))))</f>
        <v/>
      </c>
      <c r="N274" s="2" t="inlineStr">
        <is>
          <t>Конкурентная норма с высоким влиянием; включить в минимальный состав NotaCode</t>
        </is>
      </c>
    </row>
    <row r="275">
      <c r="A275" s="2" t="n"/>
      <c r="B275" s="2" t="n"/>
      <c r="C275" s="2" t="n"/>
      <c r="D275" s="2" t="n"/>
      <c r="E275" s="2" t="n"/>
      <c r="F275" s="2" t="n"/>
      <c r="G275" s="2" t="n"/>
      <c r="H275" s="2" t="n"/>
      <c r="I275" s="2" t="n"/>
      <c r="J275" s="2" t="n"/>
      <c r="K275" s="2" t="n"/>
      <c r="L275" s="2">
        <f>IF(OR(H275="",I275="",J275="",K275=""),"",ROUND(H275*((I275+J275)/6)*K275,2))</f>
        <v/>
      </c>
      <c r="M275" s="2">
        <f>IF(L275="","",IF(AND(L275&gt;=3.5,H275=1),"Сильный признак",IF(AND(L275&gt;=2,H275=1),"Рабочий признак",IF(H275=1,"Слабый признак","Отсутствует"))))</f>
        <v/>
      </c>
      <c r="N275" s="2" t="inlineStr">
        <is>
          <t>Конкурентная норма с высоким влиянием; включить в минимальный состав NotaCode</t>
        </is>
      </c>
    </row>
    <row r="276">
      <c r="A276" s="2" t="n"/>
      <c r="B276" s="2" t="n"/>
      <c r="C276" s="2" t="n"/>
      <c r="D276" s="2" t="n"/>
      <c r="E276" s="2" t="n"/>
      <c r="F276" s="2" t="n"/>
      <c r="G276" s="2" t="n"/>
      <c r="H276" s="2" t="n"/>
      <c r="I276" s="2" t="n"/>
      <c r="J276" s="2" t="n"/>
      <c r="K276" s="2" t="n"/>
      <c r="L276" s="2">
        <f>IF(OR(H276="",I276="",J276="",K276=""),"",ROUND(H276*((I276+J276)/6)*K276,2))</f>
        <v/>
      </c>
      <c r="M276" s="2">
        <f>IF(L276="","",IF(AND(L276&gt;=3.5,H276=1),"Сильный признак",IF(AND(L276&gt;=2,H276=1),"Рабочий признак",IF(H276=1,"Слабый признак","Отсутствует"))))</f>
        <v/>
      </c>
      <c r="N276" s="2" t="inlineStr">
        <is>
          <t>Конкурентная норма с высоким влиянием; включить в минимальный состав NotaCode</t>
        </is>
      </c>
    </row>
    <row r="277">
      <c r="A277" s="2" t="n"/>
      <c r="B277" s="2" t="n"/>
      <c r="C277" s="2" t="n"/>
      <c r="D277" s="2" t="n"/>
      <c r="E277" s="2" t="n"/>
      <c r="F277" s="2" t="n"/>
      <c r="G277" s="2" t="n"/>
      <c r="H277" s="2" t="n"/>
      <c r="I277" s="2" t="n"/>
      <c r="J277" s="2" t="n"/>
      <c r="K277" s="2" t="n"/>
      <c r="L277" s="2">
        <f>IF(OR(H277="",I277="",J277="",K277=""),"",ROUND(H277*((I277+J277)/6)*K277,2))</f>
        <v/>
      </c>
      <c r="M277" s="2">
        <f>IF(L277="","",IF(AND(L277&gt;=3.5,H277=1),"Сильный признак",IF(AND(L277&gt;=2,H277=1),"Рабочий признак",IF(H277=1,"Слабый признак","Отсутствует"))))</f>
        <v/>
      </c>
      <c r="N277" s="2" t="inlineStr">
        <is>
          <t>Конкурентная норма с высоким влиянием; включить в минимальный состав NotaCode</t>
        </is>
      </c>
    </row>
    <row r="278">
      <c r="A278" s="2" t="n"/>
      <c r="B278" s="2" t="n"/>
      <c r="C278" s="2" t="n"/>
      <c r="D278" s="2" t="n"/>
      <c r="E278" s="2" t="n"/>
      <c r="F278" s="2" t="n"/>
      <c r="G278" s="2" t="n"/>
      <c r="H278" s="2" t="n"/>
      <c r="I278" s="2" t="n"/>
      <c r="J278" s="2" t="n"/>
      <c r="K278" s="2" t="n"/>
      <c r="L278" s="2">
        <f>IF(OR(H278="",I278="",J278="",K278=""),"",ROUND(H278*((I278+J278)/6)*K278,2))</f>
        <v/>
      </c>
      <c r="M278" s="2">
        <f>IF(L278="","",IF(AND(L278&gt;=3.5,H278=1),"Сильный признак",IF(AND(L278&gt;=2,H278=1),"Рабочий признак",IF(H278=1,"Слабый признак","Отсутствует"))))</f>
        <v/>
      </c>
      <c r="N278" s="2" t="inlineStr">
        <is>
          <t>Конкурентная норма с высоким влиянием; включить в минимальный состав NotaCode</t>
        </is>
      </c>
    </row>
    <row r="279">
      <c r="A279" s="2" t="n"/>
      <c r="B279" s="2" t="n"/>
      <c r="C279" s="2" t="n"/>
      <c r="D279" s="2" t="n"/>
      <c r="E279" s="2" t="n"/>
      <c r="F279" s="2" t="n"/>
      <c r="G279" s="2" t="n"/>
      <c r="H279" s="2" t="n"/>
      <c r="I279" s="2" t="n"/>
      <c r="J279" s="2" t="n"/>
      <c r="K279" s="2" t="n"/>
      <c r="L279" s="2">
        <f>IF(OR(H279="",I279="",J279="",K279=""),"",ROUND(H279*((I279+J279)/6)*K279,2))</f>
        <v/>
      </c>
      <c r="M279" s="2">
        <f>IF(L279="","",IF(AND(L279&gt;=3.5,H279=1),"Сильный признак",IF(AND(L279&gt;=2,H279=1),"Рабочий признак",IF(H279=1,"Слабый признак","Отсутствует"))))</f>
        <v/>
      </c>
      <c r="N279" s="2" t="inlineStr">
        <is>
          <t>Конкурентная норма с высоким влиянием; включить в минимальный состав NotaCode</t>
        </is>
      </c>
    </row>
    <row r="280">
      <c r="A280" s="2" t="n"/>
      <c r="B280" s="2" t="n"/>
      <c r="C280" s="2" t="n"/>
      <c r="D280" s="2" t="n"/>
      <c r="E280" s="2" t="n"/>
      <c r="F280" s="2" t="n"/>
      <c r="G280" s="2" t="n"/>
      <c r="H280" s="2" t="n"/>
      <c r="I280" s="2" t="n"/>
      <c r="J280" s="2" t="n"/>
      <c r="K280" s="2" t="n"/>
      <c r="L280" s="2">
        <f>IF(OR(H280="",I280="",J280="",K280=""),"",ROUND(H280*((I280+J280)/6)*K280,2))</f>
        <v/>
      </c>
      <c r="M280" s="2">
        <f>IF(L280="","",IF(AND(L280&gt;=3.5,H280=1),"Сильный признак",IF(AND(L280&gt;=2,H280=1),"Рабочий признак",IF(H280=1,"Слабый признак","Отсутствует"))))</f>
        <v/>
      </c>
      <c r="N280" s="2" t="inlineStr">
        <is>
          <t>Конкурентная норма с высоким влиянием; включить в минимальный состав NotaCode</t>
        </is>
      </c>
    </row>
    <row r="281">
      <c r="A281" s="2" t="n"/>
      <c r="B281" s="2" t="n"/>
      <c r="C281" s="2" t="n"/>
      <c r="D281" s="2" t="n"/>
      <c r="E281" s="2" t="n"/>
      <c r="F281" s="2" t="n"/>
      <c r="G281" s="2" t="n"/>
      <c r="H281" s="2" t="n"/>
      <c r="I281" s="2" t="n"/>
      <c r="J281" s="2" t="n"/>
      <c r="K281" s="2" t="n"/>
      <c r="L281" s="2">
        <f>IF(OR(H281="",I281="",J281="",K281=""),"",ROUND(H281*((I281+J281)/6)*K281,2))</f>
        <v/>
      </c>
      <c r="M281" s="2">
        <f>IF(L281="","",IF(AND(L281&gt;=3.5,H281=1),"Сильный признак",IF(AND(L281&gt;=2,H281=1),"Рабочий признак",IF(H281=1,"Слабый признак","Отсутствует"))))</f>
        <v/>
      </c>
      <c r="N281" s="2" t="inlineStr">
        <is>
          <t>Конкурентная норма с высоким влиянием; включить в минимальный состав NotaCode</t>
        </is>
      </c>
    </row>
    <row r="282">
      <c r="A282" s="2" t="n"/>
      <c r="B282" s="2" t="n"/>
      <c r="C282" s="2" t="n"/>
      <c r="D282" s="2" t="n"/>
      <c r="E282" s="2" t="n"/>
      <c r="F282" s="2" t="n"/>
      <c r="G282" s="2" t="n"/>
      <c r="H282" s="2" t="n"/>
      <c r="I282" s="2" t="n"/>
      <c r="J282" s="2" t="n"/>
      <c r="K282" s="2" t="n"/>
      <c r="L282" s="2">
        <f>IF(OR(H282="",I282="",J282="",K282=""),"",ROUND(H282*((I282+J282)/6)*K282,2))</f>
        <v/>
      </c>
      <c r="M282" s="2">
        <f>IF(L282="","",IF(AND(L282&gt;=3.5,H282=1),"Сильный признак",IF(AND(L282&gt;=2,H282=1),"Рабочий признак",IF(H282=1,"Слабый признак","Отсутствует"))))</f>
        <v/>
      </c>
      <c r="N282" s="2" t="inlineStr">
        <is>
          <t>Конкурентная норма с высоким влиянием; включить в минимальный состав NotaCode</t>
        </is>
      </c>
    </row>
    <row r="283">
      <c r="A283" s="2" t="n"/>
      <c r="B283" s="2" t="n"/>
      <c r="C283" s="2" t="n"/>
      <c r="D283" s="2" t="n"/>
      <c r="E283" s="2" t="n"/>
      <c r="F283" s="2" t="n"/>
      <c r="G283" s="2" t="n"/>
      <c r="H283" s="2" t="n"/>
      <c r="I283" s="2" t="n"/>
      <c r="J283" s="2" t="n"/>
      <c r="K283" s="2" t="n"/>
      <c r="L283" s="2">
        <f>IF(OR(H283="",I283="",J283="",K283=""),"",ROUND(H283*((I283+J283)/6)*K283,2))</f>
        <v/>
      </c>
      <c r="M283" s="2">
        <f>IF(L283="","",IF(AND(L283&gt;=3.5,H283=1),"Сильный признак",IF(AND(L283&gt;=2,H283=1),"Рабочий признак",IF(H283=1,"Слабый признак","Отсутствует"))))</f>
        <v/>
      </c>
      <c r="N283" s="2" t="inlineStr">
        <is>
          <t>Конкурентная норма с высоким влиянием; включить в минимальный состав NotaCode</t>
        </is>
      </c>
    </row>
    <row r="284">
      <c r="A284" s="2" t="n"/>
      <c r="B284" s="2" t="n"/>
      <c r="C284" s="2" t="n"/>
      <c r="D284" s="2" t="n"/>
      <c r="E284" s="2" t="n"/>
      <c r="F284" s="2" t="n"/>
      <c r="G284" s="2" t="n"/>
      <c r="H284" s="2" t="n"/>
      <c r="I284" s="2" t="n"/>
      <c r="J284" s="2" t="n"/>
      <c r="K284" s="2" t="n"/>
      <c r="L284" s="2">
        <f>IF(OR(H284="",I284="",J284="",K284=""),"",ROUND(H284*((I284+J284)/6)*K284,2))</f>
        <v/>
      </c>
      <c r="M284" s="2">
        <f>IF(L284="","",IF(AND(L284&gt;=3.5,H284=1),"Сильный признак",IF(AND(L284&gt;=2,H284=1),"Рабочий признак",IF(H284=1,"Слабый признак","Отсутствует"))))</f>
        <v/>
      </c>
      <c r="N284" s="2" t="inlineStr">
        <is>
          <t>Конкурентная норма с высоким влиянием; включить в минимальный состав NotaCode</t>
        </is>
      </c>
    </row>
    <row r="285">
      <c r="A285" s="2" t="n"/>
      <c r="B285" s="2" t="n"/>
      <c r="C285" s="2" t="n"/>
      <c r="D285" s="2" t="n"/>
      <c r="E285" s="2" t="n"/>
      <c r="F285" s="2" t="n"/>
      <c r="G285" s="2" t="n"/>
      <c r="H285" s="2" t="n"/>
      <c r="I285" s="2" t="n"/>
      <c r="J285" s="2" t="n"/>
      <c r="K285" s="2" t="n"/>
      <c r="L285" s="2">
        <f>IF(OR(H285="",I285="",J285="",K285=""),"",ROUND(H285*((I285+J285)/6)*K285,2))</f>
        <v/>
      </c>
      <c r="M285" s="2">
        <f>IF(L285="","",IF(AND(L285&gt;=3.5,H285=1),"Сильный признак",IF(AND(L285&gt;=2,H285=1),"Рабочий признак",IF(H285=1,"Слабый признак","Отсутствует"))))</f>
        <v/>
      </c>
      <c r="N285" s="2" t="inlineStr">
        <is>
          <t>Конкурентная норма с высоким влиянием; включить в минимальный состав NotaCode</t>
        </is>
      </c>
    </row>
    <row r="286">
      <c r="A286" s="2" t="n"/>
      <c r="B286" s="2" t="n"/>
      <c r="C286" s="2" t="n"/>
      <c r="D286" s="2" t="n"/>
      <c r="E286" s="2" t="n"/>
      <c r="F286" s="2" t="n"/>
      <c r="G286" s="2" t="n"/>
      <c r="H286" s="2" t="n"/>
      <c r="I286" s="2" t="n"/>
      <c r="J286" s="2" t="n"/>
      <c r="K286" s="2" t="n"/>
      <c r="L286" s="2">
        <f>IF(OR(H286="",I286="",J286="",K286=""),"",ROUND(H286*((I286+J286)/6)*K286,2))</f>
        <v/>
      </c>
      <c r="M286" s="2">
        <f>IF(L286="","",IF(AND(L286&gt;=3.5,H286=1),"Сильный признак",IF(AND(L286&gt;=2,H286=1),"Рабочий признак",IF(H286=1,"Слабый признак","Отсутствует"))))</f>
        <v/>
      </c>
      <c r="N286" s="2" t="inlineStr">
        <is>
          <t>Конкурентная норма с высоким влиянием; включить в минимальный состав NotaCode</t>
        </is>
      </c>
    </row>
    <row r="287">
      <c r="A287" s="2" t="n"/>
      <c r="B287" s="2" t="n"/>
      <c r="C287" s="2" t="n"/>
      <c r="D287" s="2" t="n"/>
      <c r="E287" s="2" t="n"/>
      <c r="F287" s="2" t="n"/>
      <c r="G287" s="2" t="n"/>
      <c r="H287" s="2" t="n"/>
      <c r="I287" s="2" t="n"/>
      <c r="J287" s="2" t="n"/>
      <c r="K287" s="2" t="n"/>
      <c r="L287" s="2">
        <f>IF(OR(H287="",I287="",J287="",K287=""),"",ROUND(H287*((I287+J287)/6)*K287,2))</f>
        <v/>
      </c>
      <c r="M287" s="2">
        <f>IF(L287="","",IF(AND(L287&gt;=3.5,H287=1),"Сильный признак",IF(AND(L287&gt;=2,H287=1),"Рабочий признак",IF(H287=1,"Слабый признак","Отсутствует"))))</f>
        <v/>
      </c>
      <c r="N287" s="2" t="inlineStr">
        <is>
          <t>Конкурентная норма с высоким влиянием; включить в минимальный состав NotaCode</t>
        </is>
      </c>
    </row>
    <row r="288">
      <c r="A288" s="2" t="n"/>
      <c r="B288" s="2" t="n"/>
      <c r="C288" s="2" t="n"/>
      <c r="D288" s="2" t="n"/>
      <c r="E288" s="2" t="n"/>
      <c r="F288" s="2" t="n"/>
      <c r="G288" s="2" t="n"/>
      <c r="H288" s="2" t="n"/>
      <c r="I288" s="2" t="n"/>
      <c r="J288" s="2" t="n"/>
      <c r="K288" s="2" t="n"/>
      <c r="L288" s="2">
        <f>IF(OR(H288="",I288="",J288="",K288=""),"",ROUND(H288*((I288+J288)/6)*K288,2))</f>
        <v/>
      </c>
      <c r="M288" s="2">
        <f>IF(L288="","",IF(AND(L288&gt;=3.5,H288=1),"Сильный признак",IF(AND(L288&gt;=2,H288=1),"Рабочий признак",IF(H288=1,"Слабый признак","Отсутствует"))))</f>
        <v/>
      </c>
      <c r="N288" s="2" t="inlineStr">
        <is>
          <t>Конкурентная норма с высоким влиянием; включить в минимальный состав NotaCode</t>
        </is>
      </c>
    </row>
    <row r="289">
      <c r="A289" s="2" t="n"/>
      <c r="B289" s="2" t="n"/>
      <c r="C289" s="2" t="n"/>
      <c r="D289" s="2" t="n"/>
      <c r="E289" s="2" t="n"/>
      <c r="F289" s="2" t="n"/>
      <c r="G289" s="2" t="n"/>
      <c r="H289" s="2" t="n"/>
      <c r="I289" s="2" t="n"/>
      <c r="J289" s="2" t="n"/>
      <c r="K289" s="2" t="n"/>
      <c r="L289" s="2">
        <f>IF(OR(H289="",I289="",J289="",K289=""),"",ROUND(H289*((I289+J289)/6)*K289,2))</f>
        <v/>
      </c>
      <c r="M289" s="2">
        <f>IF(L289="","",IF(AND(L289&gt;=3.5,H289=1),"Сильный признак",IF(AND(L289&gt;=2,H289=1),"Рабочий признак",IF(H289=1,"Слабый признак","Отсутствует"))))</f>
        <v/>
      </c>
      <c r="N289" s="2" t="inlineStr">
        <is>
          <t>Конкурентная норма с высоким влиянием; включить в минимальный состав NotaCode</t>
        </is>
      </c>
    </row>
    <row r="290">
      <c r="A290" s="2" t="n"/>
      <c r="B290" s="2" t="n"/>
      <c r="C290" s="2" t="n"/>
      <c r="D290" s="2" t="n"/>
      <c r="E290" s="2" t="n"/>
      <c r="F290" s="2" t="n"/>
      <c r="G290" s="2" t="n"/>
      <c r="H290" s="2" t="n"/>
      <c r="I290" s="2" t="n"/>
      <c r="J290" s="2" t="n"/>
      <c r="K290" s="2" t="n"/>
      <c r="L290" s="2">
        <f>IF(OR(H290="",I290="",J290="",K290=""),"",ROUND(H290*((I290+J290)/6)*K290,2))</f>
        <v/>
      </c>
      <c r="M290" s="2">
        <f>IF(L290="","",IF(AND(L290&gt;=3.5,H290=1),"Сильный признак",IF(AND(L290&gt;=2,H290=1),"Рабочий признак",IF(H290=1,"Слабый признак","Отсутствует"))))</f>
        <v/>
      </c>
      <c r="N290" s="2" t="inlineStr">
        <is>
          <t>Конкурентная норма с высоким влиянием; включить в минимальный состав NotaCode</t>
        </is>
      </c>
    </row>
    <row r="291">
      <c r="A291" s="2" t="n"/>
      <c r="B291" s="2" t="n"/>
      <c r="C291" s="2" t="n"/>
      <c r="D291" s="2" t="n"/>
      <c r="E291" s="2" t="n"/>
      <c r="F291" s="2" t="n"/>
      <c r="G291" s="2" t="n"/>
      <c r="H291" s="2" t="n"/>
      <c r="I291" s="2" t="n"/>
      <c r="J291" s="2" t="n"/>
      <c r="K291" s="2" t="n"/>
      <c r="L291" s="2">
        <f>IF(OR(H291="",I291="",J291="",K291=""),"",ROUND(H291*((I291+J291)/6)*K291,2))</f>
        <v/>
      </c>
      <c r="M291" s="2">
        <f>IF(L291="","",IF(AND(L291&gt;=3.5,H291=1),"Сильный признак",IF(AND(L291&gt;=2,H291=1),"Рабочий признак",IF(H291=1,"Слабый признак","Отсутствует"))))</f>
        <v/>
      </c>
      <c r="N291" s="2" t="inlineStr">
        <is>
          <t>Конкурентная норма с высоким влиянием; включить в минимальный состав NotaCode</t>
        </is>
      </c>
    </row>
    <row r="292">
      <c r="A292" s="2" t="n"/>
      <c r="B292" s="2" t="n"/>
      <c r="C292" s="2" t="n"/>
      <c r="D292" s="2" t="n"/>
      <c r="E292" s="2" t="n"/>
      <c r="F292" s="2" t="n"/>
      <c r="G292" s="2" t="n"/>
      <c r="H292" s="2" t="n"/>
      <c r="I292" s="2" t="n"/>
      <c r="J292" s="2" t="n"/>
      <c r="K292" s="2" t="n"/>
      <c r="L292" s="2">
        <f>IF(OR(H292="",I292="",J292="",K292=""),"",ROUND(H292*((I292+J292)/6)*K292,2))</f>
        <v/>
      </c>
      <c r="M292" s="2">
        <f>IF(L292="","",IF(AND(L292&gt;=3.5,H292=1),"Сильный признак",IF(AND(L292&gt;=2,H292=1),"Рабочий признак",IF(H292=1,"Слабый признак","Отсутствует"))))</f>
        <v/>
      </c>
      <c r="N292" s="2" t="inlineStr">
        <is>
          <t>Конкурентная норма с высоким влиянием; включить в минимальный состав NotaCode</t>
        </is>
      </c>
    </row>
    <row r="293">
      <c r="A293" s="2" t="n"/>
      <c r="B293" s="2" t="n"/>
      <c r="C293" s="2" t="n"/>
      <c r="D293" s="2" t="n"/>
      <c r="E293" s="2" t="n"/>
      <c r="F293" s="2" t="n"/>
      <c r="G293" s="2" t="n"/>
      <c r="H293" s="2" t="n"/>
      <c r="I293" s="2" t="n"/>
      <c r="J293" s="2" t="n"/>
      <c r="K293" s="2" t="n"/>
      <c r="L293" s="2">
        <f>IF(OR(H293="",I293="",J293="",K293=""),"",ROUND(H293*((I293+J293)/6)*K293,2))</f>
        <v/>
      </c>
      <c r="M293" s="2">
        <f>IF(L293="","",IF(AND(L293&gt;=3.5,H293=1),"Сильный признак",IF(AND(L293&gt;=2,H293=1),"Рабочий признак",IF(H293=1,"Слабый признак","Отсутствует"))))</f>
        <v/>
      </c>
      <c r="N293" s="2" t="inlineStr">
        <is>
          <t>Конкурентная норма с высоким влиянием; включить в минимальный состав NotaCode</t>
        </is>
      </c>
    </row>
    <row r="294">
      <c r="A294" s="2" t="n"/>
      <c r="B294" s="2" t="n"/>
      <c r="C294" s="2" t="n"/>
      <c r="D294" s="2" t="n"/>
      <c r="E294" s="2" t="n"/>
      <c r="F294" s="2" t="n"/>
      <c r="G294" s="2" t="n"/>
      <c r="H294" s="2" t="n"/>
      <c r="I294" s="2" t="n"/>
      <c r="J294" s="2" t="n"/>
      <c r="K294" s="2" t="n"/>
      <c r="L294" s="2">
        <f>IF(OR(H294="",I294="",J294="",K294=""),"",ROUND(H294*((I294+J294)/6)*K294,2))</f>
        <v/>
      </c>
      <c r="M294" s="2">
        <f>IF(L294="","",IF(AND(L294&gt;=3.5,H294=1),"Сильный признак",IF(AND(L294&gt;=2,H294=1),"Рабочий признак",IF(H294=1,"Слабый признак","Отсутствует"))))</f>
        <v/>
      </c>
      <c r="N294" s="2" t="inlineStr">
        <is>
          <t>Конкурентная норма с высоким влиянием; включить в минимальный состав NotaCode</t>
        </is>
      </c>
    </row>
    <row r="295">
      <c r="A295" s="2" t="n"/>
      <c r="B295" s="2" t="n"/>
      <c r="C295" s="2" t="n"/>
      <c r="D295" s="2" t="n"/>
      <c r="E295" s="2" t="n"/>
      <c r="F295" s="2" t="n"/>
      <c r="G295" s="2" t="n"/>
      <c r="H295" s="2" t="n"/>
      <c r="I295" s="2" t="n"/>
      <c r="J295" s="2" t="n"/>
      <c r="K295" s="2" t="n"/>
      <c r="L295" s="2">
        <f>IF(OR(H295="",I295="",J295="",K295=""),"",ROUND(H295*((I295+J295)/6)*K295,2))</f>
        <v/>
      </c>
      <c r="M295" s="2">
        <f>IF(L295="","",IF(AND(L295&gt;=3.5,H295=1),"Сильный признак",IF(AND(L295&gt;=2,H295=1),"Рабочий признак",IF(H295=1,"Слабый признак","Отсутствует"))))</f>
        <v/>
      </c>
      <c r="N295" s="2" t="inlineStr">
        <is>
          <t>Конкурентная норма с высоким влиянием; включить в минимальный состав NotaCode</t>
        </is>
      </c>
    </row>
    <row r="296">
      <c r="A296" s="2" t="n"/>
      <c r="B296" s="2" t="n"/>
      <c r="C296" s="2" t="n"/>
      <c r="D296" s="2" t="n"/>
      <c r="E296" s="2" t="n"/>
      <c r="F296" s="2" t="n"/>
      <c r="G296" s="2" t="n"/>
      <c r="H296" s="2" t="n"/>
      <c r="I296" s="2" t="n"/>
      <c r="J296" s="2" t="n"/>
      <c r="K296" s="2" t="n"/>
      <c r="L296" s="2">
        <f>IF(OR(H296="",I296="",J296="",K296=""),"",ROUND(H296*((I296+J296)/6)*K296,2))</f>
        <v/>
      </c>
      <c r="M296" s="2">
        <f>IF(L296="","",IF(AND(L296&gt;=3.5,H296=1),"Сильный признак",IF(AND(L296&gt;=2,H296=1),"Рабочий признак",IF(H296=1,"Слабый признак","Отсутствует"))))</f>
        <v/>
      </c>
      <c r="N296" s="2" t="inlineStr">
        <is>
          <t>Конкурентная норма с высоким влиянием; включить в минимальный состав NotaCode</t>
        </is>
      </c>
    </row>
    <row r="297">
      <c r="A297" s="2" t="n"/>
      <c r="B297" s="2" t="n"/>
      <c r="C297" s="2" t="n"/>
      <c r="D297" s="2" t="n"/>
      <c r="E297" s="2" t="n"/>
      <c r="F297" s="2" t="n"/>
      <c r="G297" s="2" t="n"/>
      <c r="H297" s="2" t="n"/>
      <c r="I297" s="2" t="n"/>
      <c r="J297" s="2" t="n"/>
      <c r="K297" s="2" t="n"/>
      <c r="L297" s="2">
        <f>IF(OR(H297="",I297="",J297="",K297=""),"",ROUND(H297*((I297+J297)/6)*K297,2))</f>
        <v/>
      </c>
      <c r="M297" s="2">
        <f>IF(L297="","",IF(AND(L297&gt;=3.5,H297=1),"Сильный признак",IF(AND(L297&gt;=2,H297=1),"Рабочий признак",IF(H297=1,"Слабый признак","Отсутствует"))))</f>
        <v/>
      </c>
      <c r="N297" s="2" t="inlineStr">
        <is>
          <t>Конкурентная норма с высоким влиянием; включить в минимальный состав NotaCode</t>
        </is>
      </c>
    </row>
    <row r="298">
      <c r="A298" s="2" t="n"/>
      <c r="B298" s="2" t="n"/>
      <c r="C298" s="2" t="n"/>
      <c r="D298" s="2" t="n"/>
      <c r="E298" s="2" t="n"/>
      <c r="F298" s="2" t="n"/>
      <c r="G298" s="2" t="n"/>
      <c r="H298" s="2" t="n"/>
      <c r="I298" s="2" t="n"/>
      <c r="J298" s="2" t="n"/>
      <c r="K298" s="2" t="n"/>
      <c r="L298" s="2">
        <f>IF(OR(H298="",I298="",J298="",K298=""),"",ROUND(H298*((I298+J298)/6)*K298,2))</f>
        <v/>
      </c>
      <c r="M298" s="2">
        <f>IF(L298="","",IF(AND(L298&gt;=3.5,H298=1),"Сильный признак",IF(AND(L298&gt;=2,H298=1),"Рабочий признак",IF(H298=1,"Слабый признак","Отсутствует"))))</f>
        <v/>
      </c>
      <c r="N298" s="2" t="inlineStr">
        <is>
          <t>Конкурентная норма с высоким влиянием; включить в минимальный состав NotaCode</t>
        </is>
      </c>
    </row>
    <row r="299">
      <c r="A299" s="2" t="n"/>
      <c r="B299" s="2" t="n"/>
      <c r="C299" s="2" t="n"/>
      <c r="D299" s="2" t="n"/>
      <c r="E299" s="2" t="n"/>
      <c r="F299" s="2" t="n"/>
      <c r="G299" s="2" t="n"/>
      <c r="H299" s="2" t="n"/>
      <c r="I299" s="2" t="n"/>
      <c r="J299" s="2" t="n"/>
      <c r="K299" s="2" t="n"/>
      <c r="L299" s="2">
        <f>IF(OR(H299="",I299="",J299="",K299=""),"",ROUND(H299*((I299+J299)/6)*K299,2))</f>
        <v/>
      </c>
      <c r="M299" s="2">
        <f>IF(L299="","",IF(AND(L299&gt;=3.5,H299=1),"Сильный признак",IF(AND(L299&gt;=2,H299=1),"Рабочий признак",IF(H299=1,"Слабый признак","Отсутствует"))))</f>
        <v/>
      </c>
      <c r="N299" s="2" t="inlineStr">
        <is>
          <t>Конкурентная норма с высоким влиянием; включить в минимальный состав NotaCode</t>
        </is>
      </c>
    </row>
    <row r="300">
      <c r="A300" s="2" t="n"/>
      <c r="B300" s="2" t="n"/>
      <c r="C300" s="2" t="n"/>
      <c r="D300" s="2" t="n"/>
      <c r="E300" s="2" t="n"/>
      <c r="F300" s="2" t="n"/>
      <c r="G300" s="2" t="n"/>
      <c r="H300" s="2" t="n"/>
      <c r="I300" s="2" t="n"/>
      <c r="J300" s="2" t="n"/>
      <c r="K300" s="2" t="n"/>
      <c r="L300" s="2">
        <f>IF(OR(H300="",I300="",J300="",K300=""),"",ROUND(H300*((I300+J300)/6)*K300,2))</f>
        <v/>
      </c>
      <c r="M300" s="2">
        <f>IF(L300="","",IF(AND(L300&gt;=3.5,H300=1),"Сильный признак",IF(AND(L300&gt;=2,H300=1),"Рабочий признак",IF(H300=1,"Слабый признак","Отсутствует"))))</f>
        <v/>
      </c>
      <c r="N300" s="2" t="inlineStr">
        <is>
          <t>Конкурентная норма с высоким влиянием; включить в минимальный состав NotaCode</t>
        </is>
      </c>
    </row>
    <row r="301">
      <c r="A301" s="2" t="n"/>
      <c r="B301" s="2" t="n"/>
      <c r="C301" s="2" t="n"/>
      <c r="D301" s="2" t="n"/>
      <c r="E301" s="2" t="n"/>
      <c r="F301" s="2" t="n"/>
      <c r="G301" s="2" t="n"/>
      <c r="H301" s="2" t="n"/>
      <c r="I301" s="2" t="n"/>
      <c r="J301" s="2" t="n"/>
      <c r="K301" s="2" t="n"/>
      <c r="L301" s="2">
        <f>IF(OR(H301="",I301="",J301="",K301=""),"",ROUND(H301*((I301+J301)/6)*K301,2))</f>
        <v/>
      </c>
      <c r="M301" s="2">
        <f>IF(L301="","",IF(AND(L301&gt;=3.5,H301=1),"Сильный признак",IF(AND(L301&gt;=2,H301=1),"Рабочий признак",IF(H301=1,"Слабый признак","Отсутствует"))))</f>
        <v/>
      </c>
      <c r="N301" s="2" t="inlineStr">
        <is>
          <t>Конкурентная норма с высоким влиянием; включить в минимальный состав NotaCode</t>
        </is>
      </c>
    </row>
    <row r="302">
      <c r="A302" s="2" t="n"/>
      <c r="B302" s="2" t="n"/>
      <c r="C302" s="2" t="n"/>
      <c r="D302" s="2" t="n"/>
      <c r="E302" s="2" t="n"/>
      <c r="F302" s="2" t="n"/>
      <c r="G302" s="2" t="n"/>
      <c r="H302" s="2" t="n"/>
      <c r="I302" s="2" t="n"/>
      <c r="J302" s="2" t="n"/>
      <c r="K302" s="2" t="n"/>
      <c r="L302" s="2">
        <f>IF(OR(H302="",I302="",J302="",K302=""),"",ROUND(H302*((I302+J302)/6)*K302,2))</f>
        <v/>
      </c>
      <c r="M302" s="2">
        <f>IF(L302="","",IF(AND(L302&gt;=3.5,H302=1),"Сильный признак",IF(AND(L302&gt;=2,H302=1),"Рабочий признак",IF(H302=1,"Слабый признак","Отсутствует"))))</f>
        <v/>
      </c>
      <c r="N302" s="2" t="inlineStr">
        <is>
          <t>Конкурентная норма с высоким влиянием; включить в минимальный состав NotaCode</t>
        </is>
      </c>
    </row>
    <row r="303">
      <c r="A303" s="2" t="n"/>
      <c r="B303" s="2" t="n"/>
      <c r="C303" s="2" t="n"/>
      <c r="D303" s="2" t="n"/>
      <c r="E303" s="2" t="n"/>
      <c r="F303" s="2" t="n"/>
      <c r="G303" s="2" t="n"/>
      <c r="H303" s="2" t="n"/>
      <c r="I303" s="2" t="n"/>
      <c r="J303" s="2" t="n"/>
      <c r="K303" s="2" t="n"/>
      <c r="L303" s="2">
        <f>IF(OR(H303="",I303="",J303="",K303=""),"",ROUND(H303*((I303+J303)/6)*K303,2))</f>
        <v/>
      </c>
      <c r="M303" s="2">
        <f>IF(L303="","",IF(AND(L303&gt;=3.5,H303=1),"Сильный признак",IF(AND(L303&gt;=2,H303=1),"Рабочий признак",IF(H303=1,"Слабый признак","Отсутствует"))))</f>
        <v/>
      </c>
      <c r="N303" s="2" t="inlineStr">
        <is>
          <t>Конкурентная норма с высоким влиянием; включить в минимальный состав NotaCode</t>
        </is>
      </c>
    </row>
    <row r="304">
      <c r="A304" s="2" t="n"/>
      <c r="B304" s="2" t="n"/>
      <c r="C304" s="2" t="n"/>
      <c r="D304" s="2" t="n"/>
      <c r="E304" s="2" t="n"/>
      <c r="F304" s="2" t="n"/>
      <c r="G304" s="2" t="n"/>
      <c r="H304" s="2" t="n"/>
      <c r="I304" s="2" t="n"/>
      <c r="J304" s="2" t="n"/>
      <c r="K304" s="2" t="n"/>
      <c r="L304" s="2">
        <f>IF(OR(H304="",I304="",J304="",K304=""),"",ROUND(H304*((I304+J304)/6)*K304,2))</f>
        <v/>
      </c>
      <c r="M304" s="2">
        <f>IF(L304="","",IF(AND(L304&gt;=3.5,H304=1),"Сильный признак",IF(AND(L304&gt;=2,H304=1),"Рабочий признак",IF(H304=1,"Слабый признак","Отсутствует"))))</f>
        <v/>
      </c>
      <c r="N304" s="2" t="inlineStr">
        <is>
          <t>Конкурентная норма с высоким влиянием; включить в минимальный состав NotaCode</t>
        </is>
      </c>
    </row>
    <row r="305">
      <c r="A305" s="2" t="n"/>
      <c r="B305" s="2" t="n"/>
      <c r="C305" s="2" t="n"/>
      <c r="D305" s="2" t="n"/>
      <c r="E305" s="2" t="n"/>
      <c r="F305" s="2" t="n"/>
      <c r="G305" s="2" t="n"/>
      <c r="H305" s="2" t="n"/>
      <c r="I305" s="2" t="n"/>
      <c r="J305" s="2" t="n"/>
      <c r="K305" s="2" t="n"/>
      <c r="L305" s="2">
        <f>IF(OR(H305="",I305="",J305="",K305=""),"",ROUND(H305*((I305+J305)/6)*K305,2))</f>
        <v/>
      </c>
      <c r="M305" s="2">
        <f>IF(L305="","",IF(AND(L305&gt;=3.5,H305=1),"Сильный признак",IF(AND(L305&gt;=2,H305=1),"Рабочий признак",IF(H305=1,"Слабый признак","Отсутствует"))))</f>
        <v/>
      </c>
      <c r="N305" s="2" t="inlineStr">
        <is>
          <t>Конкурентная норма с высоким влиянием; включить в минимальный состав NotaCode</t>
        </is>
      </c>
    </row>
    <row r="306">
      <c r="A306" s="2" t="n"/>
      <c r="B306" s="2" t="n"/>
      <c r="C306" s="2" t="n"/>
      <c r="D306" s="2" t="n"/>
      <c r="E306" s="2" t="n"/>
      <c r="F306" s="2" t="n"/>
      <c r="G306" s="2" t="n"/>
      <c r="H306" s="2" t="n"/>
      <c r="I306" s="2" t="n"/>
      <c r="J306" s="2" t="n"/>
      <c r="K306" s="2" t="n"/>
      <c r="L306" s="2">
        <f>IF(OR(H306="",I306="",J306="",K306=""),"",ROUND(H306*((I306+J306)/6)*K306,2))</f>
        <v/>
      </c>
      <c r="M306" s="2">
        <f>IF(L306="","",IF(AND(L306&gt;=3.5,H306=1),"Сильный признак",IF(AND(L306&gt;=2,H306=1),"Рабочий признак",IF(H306=1,"Слабый признак","Отсутствует"))))</f>
        <v/>
      </c>
      <c r="N306" s="2" t="inlineStr">
        <is>
          <t>Конкурентная норма с высоким влиянием; включить в минимальный состав NotaCode</t>
        </is>
      </c>
    </row>
  </sheetData>
  <mergeCells count="2">
    <mergeCell ref="A2:N2"/>
    <mergeCell ref="A1:N1"/>
  </mergeCells>
  <conditionalFormatting sqref="L7:L306">
    <cfRule type="colorScale" priority="1">
      <colorScale>
        <cfvo type="min"/>
        <cfvo type="percentile" val="50"/>
        <cfvo type="max"/>
        <color rgb="FFFEE2E2"/>
        <color rgb="FFFEF3C7"/>
        <color rgb="FFDCFCE7"/>
      </colorScale>
    </cfRule>
  </conditionalFormatting>
  <dataValidations count="4">
    <dataValidation sqref="D7:D306" showDropDown="0" showInputMessage="0" showErrorMessage="0" allowBlank="0" type="list">
      <formula1>"1. Базовая выгода,2. Родовой товар,3. Ожидаемый товар,4. Расширенный товар,5. Потенциальный товар"</formula1>
    </dataValidation>
    <dataValidation sqref="H7:H306" showDropDown="0" showInputMessage="0" showErrorMessage="0" allowBlank="0" type="list">
      <formula1>"0,1"</formula1>
    </dataValidation>
    <dataValidation sqref="I7:J306" showDropDown="0" showInputMessage="0" showErrorMessage="0" allowBlank="0" type="list">
      <formula1>"0,1,2,3"</formula1>
    </dataValidation>
    <dataValidation sqref="K7:K306" showDropDown="0" showInputMessage="0" showErrorMessage="0" allowBlank="0" type="list">
      <formula1>"1,2,3,4,5"</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M206"/>
  <sheetViews>
    <sheetView topLeftCell="A14" workbookViewId="0">
      <selection activeCell="K11" sqref="K11"/>
    </sheetView>
  </sheetViews>
  <sheetFormatPr baseColWidth="8" defaultRowHeight="14.25"/>
  <cols>
    <col width="12" customWidth="1" min="1" max="1"/>
    <col width="34" customWidth="1" min="2" max="3"/>
    <col width="42" customWidth="1" min="4" max="4"/>
    <col width="22" customWidth="1" min="5" max="5"/>
    <col width="12" customWidth="1" min="6" max="6"/>
    <col width="18" customWidth="1" min="7" max="7"/>
    <col width="15" customWidth="1" min="8" max="8"/>
    <col width="18" customWidth="1" min="9" max="9"/>
    <col width="36" customWidth="1" min="10" max="11"/>
    <col width="18" customWidth="1" min="12" max="12"/>
    <col width="32" customWidth="1" min="13" max="13"/>
  </cols>
  <sheetData>
    <row r="1" ht="24" customHeight="1">
      <c r="A1" s="14" t="inlineStr">
        <is>
          <t>04. Классификация признаков по модели Кано</t>
        </is>
      </c>
    </row>
    <row r="2" ht="21" customHeight="1">
      <c r="A2" s="16" t="inlineStr">
        <is>
          <t>Классифицируйте требования к цифровому товару: что обязательно, что прямо повышает удовлетворенность, а что создает эффект привлекательности</t>
        </is>
      </c>
    </row>
    <row r="3"/>
    <row r="4"/>
    <row r="5"/>
    <row r="6" ht="42.75" customHeight="1">
      <c r="A6" s="1" t="inlineStr">
        <is>
          <t>ID требования</t>
        </is>
      </c>
      <c r="B6" s="1" t="inlineStr">
        <is>
          <t>Функция / признак товара</t>
        </is>
      </c>
      <c r="C6" s="1" t="inlineStr">
        <is>
          <t>Пользовательская задача</t>
        </is>
      </c>
      <c r="D6" s="1" t="inlineStr">
        <is>
          <t>Доказательства с сайтов</t>
        </is>
      </c>
      <c r="E6" s="1" t="inlineStr">
        <is>
          <t>Категория Кано</t>
        </is>
      </c>
      <c r="F6" s="1" t="inlineStr">
        <is>
          <t>Вес 1–5</t>
        </is>
      </c>
      <c r="G6" s="1" t="inlineStr">
        <is>
          <t>Кол-во конкурентов с признаком</t>
        </is>
      </c>
      <c r="H6" s="1" t="inlineStr">
        <is>
          <t>Доля конкурентов</t>
        </is>
      </c>
      <c r="I6" s="1" t="inlineStr">
        <is>
          <t>Средняя сила реализации 0–5</t>
        </is>
      </c>
      <c r="J6" s="1" t="inlineStr">
        <is>
          <t>Интерпретация</t>
        </is>
      </c>
      <c r="K6" s="1" t="inlineStr">
        <is>
          <t>Решение для своего товара</t>
        </is>
      </c>
      <c r="L6" s="1" t="inlineStr">
        <is>
          <t>Ответственный</t>
        </is>
      </c>
      <c r="M6" s="1" t="inlineStr">
        <is>
          <t>Примечание</t>
        </is>
      </c>
    </row>
    <row r="7" ht="76.5" customHeight="1">
      <c r="A7" s="2" t="inlineStr">
        <is>
          <t>R001</t>
        </is>
      </c>
      <c r="B7" s="2" t="inlineStr">
        <is>
          <t>Описание диаграммы текстом (DSL)</t>
        </is>
      </c>
      <c r="C7" s="2" t="inlineStr">
        <is>
          <t>Быстро создавать и версионировать диаграммы как код</t>
        </is>
      </c>
      <c r="D7" s="2" t="inlineStr">
        <is>
          <t>Главные страницы PlantUML, Mermaid, Mermaid Chart; «Diagram-as-code» в тарифе Free Eraser; «Diagram as code» на lucid.co/lucidchart. Категория Кано - экспертная классификация по распространённости и роли признака (опрос не проводился)</t>
        </is>
      </c>
      <c r="E7" s="2" t="inlineStr">
        <is>
          <t>Обязательное</t>
        </is>
      </c>
      <c r="F7" s="2" t="n">
        <v>5</v>
      </c>
      <c r="G7" s="2" t="n">
        <v>5</v>
      </c>
      <c r="H7" s="5">
        <f>IF(G7="","",IFERROR(G7/MAX(1,COUNTIF('01_Конкуренты'!$B\$7:$B\$36,"?*")),""))</f>
        <v/>
      </c>
      <c r="I7" s="2" t="n">
        <v>5</v>
      </c>
      <c r="J7" s="2">
        <f>IF(B7="","",IF(E7="Обязательное",IF(H7&gt;=0.6,"Минимальный рыночный стандарт","Потенциальный обязательный разрыв"),IF(E7="Линейное",IF(H7&gt;=0.5,"Конкурентная норма с влиянием на выбор","Зона усиления ценности"),IF(E7="Привлекательное",IF(H7&lt;0.5,"Зона дифференциации","Переходит в ожидаемую норму"),IF(E7="Безразличное","Не делать при дефиците ресурсов",IF(E7="Обратное","Исключить или проверить риск отторжения","Требует проверки"))))))</f>
        <v/>
      </c>
      <c r="K7" s="2" t="inlineStr">
        <is>
          <t>Включить в минимальный состав NotaCode</t>
        </is>
      </c>
      <c r="L7" s="2" t="inlineStr">
        <is>
          <t>К. А. Хаджинова</t>
        </is>
      </c>
      <c r="M7" s="2" t="inlineStr">
        <is>
          <t>Отсутствие снижает удовлетворённость; обязательно включить в MVP NotaCode</t>
        </is>
      </c>
    </row>
    <row r="8" ht="51" customHeight="1">
      <c r="A8" s="2" t="inlineStr">
        <is>
          <t>R002</t>
        </is>
      </c>
      <c r="B8" s="2" t="inlineStr">
        <is>
          <t>Бесплатный доступ или Free-тариф</t>
        </is>
      </c>
      <c r="C8" s="2" t="inlineStr">
        <is>
          <t>Начать работу без оплаты</t>
        </is>
      </c>
      <c r="D8" s="2" t="inlineStr">
        <is>
          <t>Открытый код или тариф Free на страницах 8 из 8 конкурентов. Категория Кано - экспертная классификация по распространённости и роли признака (опрос не проводился)</t>
        </is>
      </c>
      <c r="E8" s="2" t="inlineStr">
        <is>
          <t>Обязательное</t>
        </is>
      </c>
      <c r="F8" s="2" t="n">
        <v>5</v>
      </c>
      <c r="G8" s="2" t="n">
        <v>8</v>
      </c>
      <c r="H8" s="5">
        <f>IF(G8="","",IFERROR(G8/MAX(1,COUNTIF('01_Конкуренты'!$B\$7:$B\$36,"?*")),""))</f>
        <v/>
      </c>
      <c r="I8" s="2" t="n">
        <v>5</v>
      </c>
      <c r="J8" s="2">
        <f>IF(B8="","",IF(E8="Обязательное",IF(H8&gt;=0.6,"Минимальный рыночный стандарт","Потенциальный обязательный разрыв"),IF(E8="Линейное",IF(H8&gt;=0.5,"Конкурентная норма с влиянием на выбор","Зона усиления ценности"),IF(E8="Привлекательное",IF(H8&lt;0.5,"Зона дифференциации","Переходит в ожидаемую норму"),IF(E8="Безразличное","Не делать при дефиците ресурсов",IF(E8="Обратное","Исключить или проверить риск отторжения","Требует проверки"))))))</f>
        <v/>
      </c>
      <c r="K8" s="2" t="inlineStr">
        <is>
          <t>Включить в минимальный состав NotaCode</t>
        </is>
      </c>
      <c r="L8" s="2" t="inlineStr">
        <is>
          <t>К. А. Хаджинова</t>
        </is>
      </c>
      <c r="M8" s="2" t="inlineStr">
        <is>
          <t>Отсутствие снижает удовлетворённость; обязательно включить в MVP NotaCode</t>
        </is>
      </c>
    </row>
    <row r="9" ht="51" customHeight="1">
      <c r="A9" s="2" t="inlineStr">
        <is>
          <t>R003</t>
        </is>
      </c>
      <c r="B9" s="2" t="inlineStr">
        <is>
          <t>Платная подписка по тарифным уровням</t>
        </is>
      </c>
      <c r="C9" s="2" t="inlineStr">
        <is>
          <t>Получить расширенные возможности за оплату</t>
        </is>
      </c>
      <c r="D9" s="2" t="inlineStr">
        <is>
          <t>Страницы тарифов Mermaid Chart, Storm, Lucidchart, Eraser, Whimsical. Категория Кано - экспертная классификация по распространённости и роли признака (опрос не проводился)</t>
        </is>
      </c>
      <c r="E9" s="2" t="inlineStr">
        <is>
          <t>Линейное</t>
        </is>
      </c>
      <c r="F9" s="2" t="n">
        <v>4</v>
      </c>
      <c r="G9" s="2" t="n">
        <v>5</v>
      </c>
      <c r="H9" s="5">
        <f>IF(G9="","",IFERROR(G9/MAX(1,COUNTIF('01_Конкуренты'!$B\$7:$B\$36,"?*")),""))</f>
        <v/>
      </c>
      <c r="I9" s="2" t="n">
        <v>5</v>
      </c>
      <c r="J9" s="2">
        <f>IF(B9="","",IF(E9="Обязательное",IF(H9&gt;=0.6,"Минимальный рыночный стандарт","Потенциальный обязательный разрыв"),IF(E9="Линейное",IF(H9&gt;=0.5,"Конкурентная норма с влиянием на выбор","Зона усиления ценности"),IF(E9="Привлекательное",IF(H9&lt;0.5,"Зона дифференциации","Переходит в ожидаемую норму"),IF(E9="Безразличное","Не делать при дефиците ресурсов",IF(E9="Обратное","Исключить или проверить риск отторжения","Требует проверки"))))))</f>
        <v/>
      </c>
      <c r="K9" s="2" t="inlineStr">
        <is>
          <t>Реализовать на уровне рынка</t>
        </is>
      </c>
      <c r="L9" s="2" t="inlineStr">
        <is>
          <t>К. А. Хаджинова</t>
        </is>
      </c>
      <c r="M9" s="2" t="inlineStr">
        <is>
          <t>Линейное влияние: чем лучше реализовано, тем выше оценка NotaCode</t>
        </is>
      </c>
    </row>
    <row r="10" ht="38.25" customHeight="1">
      <c r="A10" s="2" t="inlineStr">
        <is>
          <t>R004</t>
        </is>
      </c>
      <c r="B10" s="2" t="inlineStr">
        <is>
          <t>Открытая страница тарифов</t>
        </is>
      </c>
      <c r="C10" s="2" t="inlineStr">
        <is>
          <t>Понять цену и состав тарифа до регистрации</t>
        </is>
      </c>
      <c r="D10" s="2" t="inlineStr">
        <is>
          <t>Страницы тарифов (01.10.2026). Категория Кано - экспертная классификация по распространённости и роли признака (опрос не проводился)</t>
        </is>
      </c>
      <c r="E10" s="2" t="inlineStr">
        <is>
          <t>Обязательное</t>
        </is>
      </c>
      <c r="F10" s="2" t="n">
        <v>5</v>
      </c>
      <c r="G10" s="2" t="n">
        <v>5</v>
      </c>
      <c r="H10" s="5">
        <f>IF(G10="","",IFERROR(G10/MAX(1,COUNTIF('01_Конкуренты'!$B\$7:$B\$36,"?*")),""))</f>
        <v/>
      </c>
      <c r="I10" s="2" t="n">
        <v>5</v>
      </c>
      <c r="J10" s="2">
        <f>IF(B10="","",IF(E10="Обязательное",IF(H10&gt;=0.6,"Минимальный рыночный стандарт","Потенциальный обязательный разрыв"),IF(E10="Линейное",IF(H10&gt;=0.5,"Конкурентная норма с влиянием на выбор","Зона усиления ценности"),IF(E10="Привлекательное",IF(H10&lt;0.5,"Зона дифференциации","Переходит в ожидаемую норму"),IF(E10="Безразличное","Не делать при дефиците ресурсов",IF(E10="Обратное","Исключить или проверить риск отторжения","Требует проверки"))))))</f>
        <v/>
      </c>
      <c r="K10" s="2" t="inlineStr">
        <is>
          <t>Включить в минимальный состав NotaCode</t>
        </is>
      </c>
      <c r="L10" s="2" t="inlineStr">
        <is>
          <t>К. А. Хаджинова</t>
        </is>
      </c>
      <c r="M10" s="2" t="inlineStr">
        <is>
          <t>Отсутствие снижает удовлетворённость; обязательно включить в MVP NotaCode</t>
        </is>
      </c>
    </row>
    <row r="11" ht="51" customHeight="1">
      <c r="A11" s="2" t="inlineStr">
        <is>
          <t>R005</t>
        </is>
      </c>
      <c r="B11" s="2" t="inlineStr">
        <is>
          <t>Корпоративный тариф (Enterprise или on-prem)</t>
        </is>
      </c>
      <c r="C11" s="2" t="inlineStr">
        <is>
          <t>Подключить организацию целиком</t>
        </is>
      </c>
      <c r="D11" s="2" t="inlineStr">
        <is>
          <t>Enterprise по запросу на страницах тарифов; Storm: on-prem от 990 тыс. руб. в год. Категория Кано - экспертная классификация по распространённости и роли признака (опрос не проводился)</t>
        </is>
      </c>
      <c r="E11" s="2" t="inlineStr">
        <is>
          <t>Безразличное</t>
        </is>
      </c>
      <c r="F11" s="2" t="n">
        <v>2</v>
      </c>
      <c r="G11" s="2" t="n">
        <v>4</v>
      </c>
      <c r="H11" s="5">
        <f>IF(G11="","",IFERROR(G11/MAX(1,COUNTIF('01_Конкуренты'!$B\$7:$B\$36,"?*")),""))</f>
        <v/>
      </c>
      <c r="I11" s="2" t="n">
        <v>5</v>
      </c>
      <c r="J11" s="2">
        <f>IF(B11="","",IF(E11="Обязательное",IF(H11&gt;=0.6,"Минимальный рыночный стандарт","Потенциальный обязательный разрыв"),IF(E11="Линейное",IF(H11&gt;=0.5,"Конкурентная норма с влиянием на выбор","Зона усиления ценности"),IF(E11="Привлекательное",IF(H11&lt;0.5,"Зона дифференциации","Переходит в ожидаемую норму"),IF(E11="Безразличное","Не делать при дефиците ресурсов",IF(E11="Обратное","Исключить или проверить риск отторжения","Требует проверки"))))))</f>
        <v/>
      </c>
      <c r="K11" s="2" t="inlineStr">
        <is>
          <t>Не приоритет для сегмента студентов и аналитиков</t>
        </is>
      </c>
      <c r="L11" s="2" t="inlineStr">
        <is>
          <t>К. А. Хаджинова</t>
        </is>
      </c>
      <c r="M11" s="2" t="inlineStr">
        <is>
          <t>Слабое влияние на выбор; исключить из приоритетного плана</t>
        </is>
      </c>
    </row>
    <row r="12" ht="51" customHeight="1">
      <c r="A12" s="2" t="inlineStr">
        <is>
          <t>R006</t>
        </is>
      </c>
      <c r="B12" s="2" t="inlineStr">
        <is>
          <t>Скидка или цена при годовой оплате</t>
        </is>
      </c>
      <c r="C12" s="2" t="inlineStr">
        <is>
          <t>Снизить стоимость при долгом использовании</t>
        </is>
      </c>
      <c r="D12" s="2" t="inlineStr">
        <is>
          <t>Цены «billed annually» (Mermaid Chart, Lucidchart, Eraser), скидка 20 % (Storm). Категория Кано - экспертная классификация по распространённости и роли признака (опрос не проводился)</t>
        </is>
      </c>
      <c r="E12" s="2" t="inlineStr">
        <is>
          <t>Линейное</t>
        </is>
      </c>
      <c r="F12" s="2" t="n">
        <v>3</v>
      </c>
      <c r="G12" s="2" t="n">
        <v>4</v>
      </c>
      <c r="H12" s="5">
        <f>IF(G12="","",IFERROR(G12/MAX(1,COUNTIF('01_Конкуренты'!$B\$7:$B\$36,"?*")),""))</f>
        <v/>
      </c>
      <c r="I12" s="2" t="n">
        <v>5</v>
      </c>
      <c r="J12" s="2">
        <f>IF(B12="","",IF(E12="Обязательное",IF(H12&gt;=0.6,"Минимальный рыночный стандарт","Потенциальный обязательный разрыв"),IF(E12="Линейное",IF(H12&gt;=0.5,"Конкурентная норма с влиянием на выбор","Зона усиления ценности"),IF(E12="Привлекательное",IF(H12&lt;0.5,"Зона дифференциации","Переходит в ожидаемую норму"),IF(E12="Безразличное","Не делать при дефиците ресурсов",IF(E12="Обратное","Исключить или проверить риск отторжения","Требует проверки"))))))</f>
        <v/>
      </c>
      <c r="K12" s="2" t="inlineStr">
        <is>
          <t>Реализовать на уровне рынка</t>
        </is>
      </c>
      <c r="L12" s="2" t="inlineStr">
        <is>
          <t>К. А. Хаджинова</t>
        </is>
      </c>
      <c r="M12" s="2" t="inlineStr">
        <is>
          <t>Линейное влияние: чем лучше реализовано, тем выше оценка NotaCode</t>
        </is>
      </c>
    </row>
    <row r="13" ht="51" customHeight="1">
      <c r="A13" s="2" t="inlineStr">
        <is>
          <t>R007</t>
        </is>
      </c>
      <c r="B13" s="2" t="inlineStr">
        <is>
          <t>Пробный период платного тарифа</t>
        </is>
      </c>
      <c r="C13" s="2" t="inlineStr">
        <is>
          <t>Проверить платные функции до оплаты</t>
        </is>
      </c>
      <c r="D13" s="2" t="inlineStr">
        <is>
          <t>FAQ Lucidchart: пробный период 7 дней. Категория Кано - экспертная классификация по распространённости и роли признака (опрос не проводился)</t>
        </is>
      </c>
      <c r="E13" s="2" t="inlineStr">
        <is>
          <t>Безразличное</t>
        </is>
      </c>
      <c r="F13" s="2" t="n">
        <v>2</v>
      </c>
      <c r="G13" s="2" t="n">
        <v>1</v>
      </c>
      <c r="H13" s="5">
        <f>IF(G13="","",IFERROR(G13/MAX(1,COUNTIF('01_Конкуренты'!$B\$7:$B\$36,"?*")),""))</f>
        <v/>
      </c>
      <c r="I13" s="2" t="n">
        <v>5</v>
      </c>
      <c r="J13" s="2">
        <f>IF(B13="","",IF(E13="Обязательное",IF(H13&gt;=0.6,"Минимальный рыночный стандарт","Потенциальный обязательный разрыв"),IF(E13="Линейное",IF(H13&gt;=0.5,"Конкурентная норма с влиянием на выбор","Зона усиления ценности"),IF(E13="Привлекательное",IF(H13&lt;0.5,"Зона дифференциации","Переходит в ожидаемую норму"),IF(E13="Безразличное","Не делать при дефиците ресурсов",IF(E13="Обратное","Исключить или проверить риск отторжения","Требует проверки"))))))</f>
        <v/>
      </c>
      <c r="K13" s="2" t="inlineStr">
        <is>
          <t>Не приоритет для сегмента студентов и аналитиков</t>
        </is>
      </c>
      <c r="L13" s="2" t="inlineStr">
        <is>
          <t>К. А. Хаджинова</t>
        </is>
      </c>
      <c r="M13" s="2" t="inlineStr">
        <is>
          <t>Слабое влияние на выбор; исключить из приоритетного плана</t>
        </is>
      </c>
    </row>
    <row r="14" ht="63.75" customHeight="1">
      <c r="A14" s="2" t="inlineStr">
        <is>
          <t>R008</t>
        </is>
      </c>
      <c r="B14" s="2" t="inlineStr">
        <is>
          <t>Бесплатные гости или зрители</t>
        </is>
      </c>
      <c r="C14" s="2" t="inlineStr">
        <is>
          <t>Показать диаграмму без оплаты за каждого читателя</t>
        </is>
      </c>
      <c r="D14" s="2" t="inlineStr">
        <is>
          <t>Unlimited viewer seats (Mermaid Chart Premium); 100 гостей на участника (Storm); unlimited guests (Eraser, Whimsical). Категория Кано - экспертная классификация по распространённости и роли признака (опрос не проводился)</t>
        </is>
      </c>
      <c r="E14" s="2" t="inlineStr">
        <is>
          <t>Привлекательное</t>
        </is>
      </c>
      <c r="F14" s="2" t="n">
        <v>3</v>
      </c>
      <c r="G14" s="2" t="n">
        <v>4</v>
      </c>
      <c r="H14" s="5">
        <f>IF(G14="","",IFERROR(G14/MAX(1,COUNTIF('01_Конкуренты'!$B\$7:$B\$36,"?*")),""))</f>
        <v/>
      </c>
      <c r="I14" s="2" t="n">
        <v>5</v>
      </c>
      <c r="J14" s="2">
        <f>IF(B14="","",IF(E14="Обязательное",IF(H14&gt;=0.6,"Минимальный рыночный стандарт","Потенциальный обязательный разрыв"),IF(E14="Линейное",IF(H14&gt;=0.5,"Конкурентная норма с влиянием на выбор","Зона усиления ценности"),IF(E14="Привлекательное",IF(H14&lt;0.5,"Зона дифференциации","Переходит в ожидаемую норму"),IF(E14="Безразличное","Не делать при дефиците ресурсов",IF(E14="Обратное","Исключить или проверить риск отторжения","Требует проверки"))))))</f>
        <v/>
      </c>
      <c r="K14" s="2" t="inlineStr">
        <is>
          <t>Рассмотреть как дифференциатор Pro</t>
        </is>
      </c>
      <c r="L14" s="2" t="inlineStr">
        <is>
          <t>К. А. Хаджинова</t>
        </is>
      </c>
      <c r="M14" s="2" t="inlineStr">
        <is>
          <t>Дифференциатор; добавляет ценность при реализации; кандидат для Pro</t>
        </is>
      </c>
    </row>
    <row r="15" ht="51" customHeight="1">
      <c r="A15" s="2" t="inlineStr">
        <is>
          <t>R009</t>
        </is>
      </c>
      <c r="B15" s="2" t="inlineStr">
        <is>
          <t>ИИ-генерация или ИИ-помощник</t>
        </is>
      </c>
      <c r="C15" s="2" t="inlineStr">
        <is>
          <t>Ускорить создание диаграммы по описанию</t>
        </is>
      </c>
      <c r="D15" s="2" t="inlineStr">
        <is>
          <t>ИИ-кредиты (Mermaid Chart); ИИ-ассистент (Storm); Lucid AI; Eraser AI; ИИ в Whimsical. Категория Кано - экспертная классификация по распространённости и роли признака (опрос не проводился)</t>
        </is>
      </c>
      <c r="E15" s="2" t="inlineStr">
        <is>
          <t>Привлекательное</t>
        </is>
      </c>
      <c r="F15" s="2" t="n">
        <v>4</v>
      </c>
      <c r="G15" s="2" t="n">
        <v>5</v>
      </c>
      <c r="H15" s="5">
        <f>IF(G15="","",IFERROR(G15/MAX(1,COUNTIF('01_Конкуренты'!$B\$7:$B\$36,"?*")),""))</f>
        <v/>
      </c>
      <c r="I15" s="2" t="n">
        <v>5</v>
      </c>
      <c r="J15" s="2">
        <f>IF(B15="","",IF(E15="Обязательное",IF(H15&gt;=0.6,"Минимальный рыночный стандарт","Потенциальный обязательный разрыв"),IF(E15="Линейное",IF(H15&gt;=0.5,"Конкурентная норма с влиянием на выбор","Зона усиления ценности"),IF(E15="Привлекательное",IF(H15&lt;0.5,"Зона дифференциации","Переходит в ожидаемую норму"),IF(E15="Безразличное","Не делать при дефиците ресурсов",IF(E15="Обратное","Исключить или проверить риск отторжения","Требует проверки"))))))</f>
        <v/>
      </c>
      <c r="K15" s="2" t="inlineStr">
        <is>
          <t>Рассмотреть как дифференциатор Pro</t>
        </is>
      </c>
      <c r="L15" s="2" t="inlineStr">
        <is>
          <t>К. А. Хаджинова</t>
        </is>
      </c>
      <c r="M15" s="2" t="inlineStr">
        <is>
          <t>Дифференциатор; добавляет ценность при реализации; кандидат для Pro</t>
        </is>
      </c>
    </row>
    <row r="16" ht="51" customHeight="1">
      <c r="A16" s="2" t="inlineStr">
        <is>
          <t>R010</t>
        </is>
      </c>
      <c r="B16" s="2" t="inlineStr">
        <is>
          <t>Интеграции с другими сервисами</t>
        </is>
      </c>
      <c r="C16" s="2" t="inlineStr">
        <is>
          <t>Встроить инструмент в рабочие процессы</t>
        </is>
      </c>
      <c r="D16" s="2" t="inlineStr">
        <is>
          <t>Разделы и упоминания интеграций на страницах 8 из 8 конкурентов. Категория Кано - экспертная классификация по распространённости и роли признака (опрос не проводился)</t>
        </is>
      </c>
      <c r="E16" s="2" t="inlineStr">
        <is>
          <t>Линейное</t>
        </is>
      </c>
      <c r="F16" s="2" t="n">
        <v>4</v>
      </c>
      <c r="G16" s="2" t="n">
        <v>8</v>
      </c>
      <c r="H16" s="5">
        <f>IF(G16="","",IFERROR(G16/MAX(1,COUNTIF('01_Конкуренты'!$B\$7:$B\$36,"?*")),""))</f>
        <v/>
      </c>
      <c r="I16" s="2" t="n">
        <v>3.33</v>
      </c>
      <c r="J16" s="2">
        <f>IF(B16="","",IF(E16="Обязательное",IF(H16&gt;=0.6,"Минимальный рыночный стандарт","Потенциальный обязательный разрыв"),IF(E16="Линейное",IF(H16&gt;=0.5,"Конкурентная норма с влиянием на выбор","Зона усиления ценности"),IF(E16="Привлекательное",IF(H16&lt;0.5,"Зона дифференциации","Переходит в ожидаемую норму"),IF(E16="Безразличное","Не делать при дефиците ресурсов",IF(E16="Обратное","Исключить или проверить риск отторжения","Требует проверки"))))))</f>
        <v/>
      </c>
      <c r="K16" s="2" t="inlineStr">
        <is>
          <t>Реализовать на уровне рынка</t>
        </is>
      </c>
      <c r="L16" s="2" t="inlineStr">
        <is>
          <t>К. А. Хаджинова</t>
        </is>
      </c>
      <c r="M16" s="2" t="inlineStr">
        <is>
          <t>Линейное влияние: чем лучше реализовано, тем выше оценка NotaCode</t>
        </is>
      </c>
    </row>
    <row r="17" ht="63.75" customHeight="1">
      <c r="A17" s="2" t="inlineStr">
        <is>
          <t>R011</t>
        </is>
      </c>
      <c r="B17" s="2" t="inlineStr">
        <is>
          <t>API или платформа разработчика</t>
        </is>
      </c>
      <c r="C17" s="2" t="inlineStr">
        <is>
          <t>Автоматизировать генерацию диаграмм</t>
        </is>
      </c>
      <c r="D17" s="2" t="inlineStr">
        <is>
          <t>API Mermaid; пункт API в меню Mermaid Chart; API в Enterprise Storm; Developer platform Lucidchart; API calls Eraser. Категория Кано - экспертная классификация по распространённости и роли признака (опрос не проводился)</t>
        </is>
      </c>
      <c r="E17" s="2" t="inlineStr">
        <is>
          <t>Привлекательное</t>
        </is>
      </c>
      <c r="F17" s="2" t="n">
        <v>3</v>
      </c>
      <c r="G17" s="2" t="n">
        <v>5</v>
      </c>
      <c r="H17" s="5">
        <f>IF(G17="","",IFERROR(G17/MAX(1,COUNTIF('01_Конкуренты'!$B\$7:$B\$36,"?*")),""))</f>
        <v/>
      </c>
      <c r="I17" s="2" t="n">
        <v>5</v>
      </c>
      <c r="J17" s="2">
        <f>IF(B17="","",IF(E17="Обязательное",IF(H17&gt;=0.6,"Минимальный рыночный стандарт","Потенциальный обязательный разрыв"),IF(E17="Линейное",IF(H17&gt;=0.5,"Конкурентная норма с влиянием на выбор","Зона усиления ценности"),IF(E17="Привлекательное",IF(H17&lt;0.5,"Зона дифференциации","Переходит в ожидаемую норму"),IF(E17="Безразличное","Не делать при дефиците ресурсов",IF(E17="Обратное","Исключить или проверить риск отторжения","Требует проверки"))))))</f>
        <v/>
      </c>
      <c r="K17" s="2" t="inlineStr">
        <is>
          <t>Рассмотреть как дифференциатор Pro</t>
        </is>
      </c>
      <c r="L17" s="2" t="inlineStr">
        <is>
          <t>К. А. Хаджинова</t>
        </is>
      </c>
      <c r="M17" s="2" t="inlineStr">
        <is>
          <t>Дифференциатор; добавляет ценность при реализации; кандидат для Pro</t>
        </is>
      </c>
    </row>
    <row r="18" ht="51" customHeight="1">
      <c r="A18" s="2" t="inlineStr">
        <is>
          <t>R012</t>
        </is>
      </c>
      <c r="B18" s="2" t="inlineStr">
        <is>
          <t>Открытый код и сообщество</t>
        </is>
      </c>
      <c r="C18" s="2" t="inlineStr">
        <is>
          <t>Доверять инструменту и расширять его</t>
        </is>
      </c>
      <c r="D18" s="2" t="inlineStr">
        <is>
          <t>GitHub API, 30.09.2026; лицензия Apache 2.0 у draw.io. Категория Кано - экспертная классификация по распространённости и роли признака (опрос не проводился)</t>
        </is>
      </c>
      <c r="E18" s="2" t="inlineStr">
        <is>
          <t>Привлекательное</t>
        </is>
      </c>
      <c r="F18" s="2" t="n">
        <v>4</v>
      </c>
      <c r="G18" s="2" t="n">
        <v>3</v>
      </c>
      <c r="H18" s="5">
        <f>IF(G18="","",IFERROR(G18/MAX(1,COUNTIF('01_Конкуренты'!$B\$7:$B\$36,"?*")),""))</f>
        <v/>
      </c>
      <c r="I18" s="2" t="n">
        <v>3.33</v>
      </c>
      <c r="J18" s="2">
        <f>IF(B18="","",IF(E18="Обязательное",IF(H18&gt;=0.6,"Минимальный рыночный стандарт","Потенциальный обязательный разрыв"),IF(E18="Линейное",IF(H18&gt;=0.5,"Конкурентная норма с влиянием на выбор","Зона усиления ценности"),IF(E18="Привлекательное",IF(H18&lt;0.5,"Зона дифференциации","Переходит в ожидаемую норму"),IF(E18="Безразличное","Не делать при дефиците ресурсов",IF(E18="Обратное","Исключить или проверить риск отторжения","Требует проверки"))))))</f>
        <v/>
      </c>
      <c r="K18" s="2" t="inlineStr">
        <is>
          <t>Рассмотреть как дифференциатор Pro</t>
        </is>
      </c>
      <c r="L18" s="2" t="inlineStr">
        <is>
          <t>К. А. Хаджинова</t>
        </is>
      </c>
      <c r="M18" s="2" t="inlineStr">
        <is>
          <t>Дифференциатор; добавляет ценность при реализации; кандидат для Pro</t>
        </is>
      </c>
    </row>
    <row r="19" ht="51" customHeight="1">
      <c r="A19" s="2" t="inlineStr">
        <is>
          <t>R013</t>
        </is>
      </c>
      <c r="B19" s="2" t="inlineStr">
        <is>
          <t>Независимые отзывы и оценки</t>
        </is>
      </c>
      <c r="C19" s="2" t="inlineStr">
        <is>
          <t>Оценить качество до выбора</t>
        </is>
      </c>
      <c r="D19" s="2" t="inlineStr">
        <is>
          <t>G2, Capterra, Trustpilot, каталоги расширений (ЛР2-3, ЛР4). Категория Кано - экспертная классификация по распространённости и роли признака (опрос не проводился)</t>
        </is>
      </c>
      <c r="E19" s="2" t="inlineStr">
        <is>
          <t>Линейное</t>
        </is>
      </c>
      <c r="F19" s="2" t="n">
        <v>3</v>
      </c>
      <c r="G19" s="2" t="n">
        <v>7</v>
      </c>
      <c r="H19" s="5">
        <f>IF(G19="","",IFERROR(G19/MAX(1,COUNTIF('01_Конкуренты'!$B\$7:$B\$36,"?*")),""))</f>
        <v/>
      </c>
      <c r="I19" s="2" t="n">
        <v>3.33</v>
      </c>
      <c r="J19" s="2">
        <f>IF(B19="","",IF(E19="Обязательное",IF(H19&gt;=0.6,"Минимальный рыночный стандарт","Потенциальный обязательный разрыв"),IF(E19="Линейное",IF(H19&gt;=0.5,"Конкурентная норма с влиянием на выбор","Зона усиления ценности"),IF(E19="Привлекательное",IF(H19&lt;0.5,"Зона дифференциации","Переходит в ожидаемую норму"),IF(E19="Безразличное","Не делать при дефиците ресурсов",IF(E19="Обратное","Исключить или проверить риск отторжения","Требует проверки"))))))</f>
        <v/>
      </c>
      <c r="K19" s="2" t="inlineStr">
        <is>
          <t>Реализовать на уровне рынка</t>
        </is>
      </c>
      <c r="L19" s="2" t="inlineStr">
        <is>
          <t>К. А. Хаджинова</t>
        </is>
      </c>
      <c r="M19" s="2" t="inlineStr">
        <is>
          <t>Линейное влияние: чем лучше реализовано, тем выше оценка NotaCode</t>
        </is>
      </c>
    </row>
    <row r="20" ht="76.5" customHeight="1">
      <c r="A20" s="2" t="inlineStr">
        <is>
          <t>R014</t>
        </is>
      </c>
      <c r="B20" s="2" t="inlineStr">
        <is>
          <t>Данные о числе пользователей или клиентов на сайте</t>
        </is>
      </c>
      <c r="C20" s="2" t="inlineStr">
        <is>
          <t>Оценить масштаб и надёжность продукта</t>
        </is>
      </c>
      <c r="D20" s="2" t="inlineStr">
        <is>
          <t>5M человек и 200k компаний (Mermaid Chart); более 1 000 клиентов (Storm); 100M+ пользователей (draw.io); 99 % Fortune 500 (Lucidchart). Категория Кано - экспертная классификация по распространённости и роли признака (опрос не проводился)</t>
        </is>
      </c>
      <c r="E20" s="2" t="inlineStr">
        <is>
          <t>Линейное</t>
        </is>
      </c>
      <c r="F20" s="2" t="n">
        <v>3</v>
      </c>
      <c r="G20" s="2" t="n">
        <v>4</v>
      </c>
      <c r="H20" s="5">
        <f>IF(G20="","",IFERROR(G20/MAX(1,COUNTIF('01_Конкуренты'!$B\$7:$B\$36,"?*")),""))</f>
        <v/>
      </c>
      <c r="I20" s="2" t="n">
        <v>3.33</v>
      </c>
      <c r="J20" s="2">
        <f>IF(B20="","",IF(E20="Обязательное",IF(H20&gt;=0.6,"Минимальный рыночный стандарт","Потенциальный обязательный разрыв"),IF(E20="Линейное",IF(H20&gt;=0.5,"Конкурентная норма с влиянием на выбор","Зона усиления ценности"),IF(E20="Привлекательное",IF(H20&lt;0.5,"Зона дифференциации","Переходит в ожидаемую норму"),IF(E20="Безразличное","Не делать при дефиците ресурсов",IF(E20="Обратное","Исключить или проверить риск отторжения","Требует проверки"))))))</f>
        <v/>
      </c>
      <c r="K20" s="2" t="inlineStr">
        <is>
          <t>Реализовать на уровне рынка</t>
        </is>
      </c>
      <c r="L20" s="2" t="inlineStr">
        <is>
          <t>К. А. Хаджинова</t>
        </is>
      </c>
      <c r="M20" s="2" t="inlineStr">
        <is>
          <t>Линейное влияние: чем лучше реализовано, тем выше оценка NotaCode</t>
        </is>
      </c>
    </row>
    <row r="21" ht="63.75" customHeight="1">
      <c r="A21" s="2" t="inlineStr">
        <is>
          <t>R015</t>
        </is>
      </c>
      <c r="B21" s="2" t="inlineStr">
        <is>
          <t>Раздел или упоминание о безопасности и приватности</t>
        </is>
      </c>
      <c r="C21" s="2" t="inlineStr">
        <is>
          <t>Понять, где хранятся данные</t>
        </is>
      </c>
      <c r="D21" s="2" t="inlineStr">
        <is>
          <t>Страница Security (Whimsical); раздел безопасности (Lucidchart, Eraser); privacy-first (draw.io). Категория Кано - экспертная классификация по распространённости и роли признака (опрос не проводился)</t>
        </is>
      </c>
      <c r="E21" s="2" t="inlineStr">
        <is>
          <t>Линейное</t>
        </is>
      </c>
      <c r="F21" s="2" t="n">
        <v>3</v>
      </c>
      <c r="G21" s="2" t="n">
        <v>6</v>
      </c>
      <c r="H21" s="5">
        <f>IF(G21="","",IFERROR(G21/MAX(1,COUNTIF('01_Конкуренты'!$B\$7:$B\$36,"?*")),""))</f>
        <v/>
      </c>
      <c r="I21" s="2" t="n">
        <v>3.33</v>
      </c>
      <c r="J21" s="2">
        <f>IF(B21="","",IF(E21="Обязательное",IF(H21&gt;=0.6,"Минимальный рыночный стандарт","Потенциальный обязательный разрыв"),IF(E21="Линейное",IF(H21&gt;=0.5,"Конкурентная норма с влиянием на выбор","Зона усиления ценности"),IF(E21="Привлекательное",IF(H21&lt;0.5,"Зона дифференциации","Переходит в ожидаемую норму"),IF(E21="Безразличное","Не делать при дефиците ресурсов",IF(E21="Обратное","Исключить или проверить риск отторжения","Требует проверки"))))))</f>
        <v/>
      </c>
      <c r="K21" s="2" t="inlineStr">
        <is>
          <t>Реализовать на уровне рынка</t>
        </is>
      </c>
      <c r="L21" s="2" t="inlineStr">
        <is>
          <t>К. А. Хаджинова</t>
        </is>
      </c>
      <c r="M21" s="2" t="inlineStr">
        <is>
          <t>Линейное влияние: чем лучше реализовано, тем выше оценка NotaCode</t>
        </is>
      </c>
    </row>
    <row r="22" ht="38.25" customHeight="1">
      <c r="A22" s="2" t="inlineStr">
        <is>
          <t>R016</t>
        </is>
      </c>
      <c r="B22" s="2" t="inlineStr">
        <is>
          <t>Единый вход SSO или SAML</t>
        </is>
      </c>
      <c r="C22" s="2" t="inlineStr">
        <is>
          <t>Подключить корпоративную учётную запись</t>
        </is>
      </c>
      <c r="D22" s="2" t="inlineStr">
        <is>
          <t>SSO или SAML в старших тарифах. Категория Кано - экспертная классификация по распространённости и роли признака (опрос не проводился)</t>
        </is>
      </c>
      <c r="E22" s="2" t="inlineStr">
        <is>
          <t>Безразличное</t>
        </is>
      </c>
      <c r="F22" s="2" t="n">
        <v>2</v>
      </c>
      <c r="G22" s="2" t="n">
        <v>5</v>
      </c>
      <c r="H22" s="5">
        <f>IF(G22="","",IFERROR(G22/MAX(1,COUNTIF('01_Конкуренты'!$B\$7:$B\$36,"?*")),""))</f>
        <v/>
      </c>
      <c r="I22" s="2" t="n">
        <v>5</v>
      </c>
      <c r="J22" s="2">
        <f>IF(B22="","",IF(E22="Обязательное",IF(H22&gt;=0.6,"Минимальный рыночный стандарт","Потенциальный обязательный разрыв"),IF(E22="Линейное",IF(H22&gt;=0.5,"Конкурентная норма с влиянием на выбор","Зона усиления ценности"),IF(E22="Привлекательное",IF(H22&lt;0.5,"Зона дифференциации","Переходит в ожидаемую норму"),IF(E22="Безразличное","Не делать при дефиците ресурсов",IF(E22="Обратное","Исключить или проверить риск отторжения","Требует проверки"))))))</f>
        <v/>
      </c>
      <c r="K22" s="2" t="inlineStr">
        <is>
          <t>Не приоритет для сегмента студентов и аналитиков</t>
        </is>
      </c>
      <c r="L22" s="2" t="inlineStr">
        <is>
          <t>К. А. Хаджинова</t>
        </is>
      </c>
      <c r="M22" s="2" t="inlineStr">
        <is>
          <t>Слабое влияние на выбор; исключить из приоритетного плана</t>
        </is>
      </c>
    </row>
    <row r="23" ht="51" customHeight="1">
      <c r="A23" s="2" t="inlineStr">
        <is>
          <t>R017</t>
        </is>
      </c>
      <c r="B23" s="2" t="inlineStr">
        <is>
          <t>Вход и личный кабинет</t>
        </is>
      </c>
      <c r="C23" s="2" t="inlineStr">
        <is>
          <t>Сохранять диаграммы и настройки</t>
        </is>
      </c>
      <c r="D23" s="2" t="inlineStr">
        <is>
          <t>Ссылки на вход на главных страницах. Категория Кано - экспертная классификация по распространённости и роли признака (опрос не проводился)</t>
        </is>
      </c>
      <c r="E23" s="2" t="inlineStr">
        <is>
          <t>Обязательное</t>
        </is>
      </c>
      <c r="F23" s="2" t="n">
        <v>3</v>
      </c>
      <c r="G23" s="2" t="n">
        <v>5</v>
      </c>
      <c r="H23" s="5">
        <f>IF(G23="","",IFERROR(G23/MAX(1,COUNTIF('01_Конкуренты'!$B\$7:$B\$36,"?*")),""))</f>
        <v/>
      </c>
      <c r="I23" s="2" t="n">
        <v>3.33</v>
      </c>
      <c r="J23" s="2">
        <f>IF(B23="","",IF(E23="Обязательное",IF(H23&gt;=0.6,"Минимальный рыночный стандарт","Потенциальный обязательный разрыв"),IF(E23="Линейное",IF(H23&gt;=0.5,"Конкурентная норма с влиянием на выбор","Зона усиления ценности"),IF(E23="Привлекательное",IF(H23&lt;0.5,"Зона дифференциации","Переходит в ожидаемую норму"),IF(E23="Безразличное","Не делать при дефиците ресурсов",IF(E23="Обратное","Исключить или проверить риск отторжения","Требует проверки"))))))</f>
        <v/>
      </c>
      <c r="K23" s="2" t="inlineStr">
        <is>
          <t>Включить в минимальный состав NotaCode</t>
        </is>
      </c>
      <c r="L23" s="2" t="inlineStr">
        <is>
          <t>К. А. Хаджинова</t>
        </is>
      </c>
      <c r="M23" s="2" t="inlineStr">
        <is>
          <t>Отсутствие снижает удовлетворённость; обязательно включить в MVP NotaCode</t>
        </is>
      </c>
    </row>
    <row r="24" ht="63.75" customHeight="1">
      <c r="A24" s="2" t="inlineStr">
        <is>
          <t>R018</t>
        </is>
      </c>
      <c r="B24" s="2" t="inlineStr">
        <is>
          <t>Шаблоны диаграмм</t>
        </is>
      </c>
      <c r="C24" s="2" t="inlineStr">
        <is>
          <t>Начать работу с готового образца</t>
        </is>
      </c>
      <c r="D24" s="2" t="inlineStr">
        <is>
          <t>100 шаблонов в Free и более 1 000 в платных тарифах (Lucidchart); раздел шаблонов Eraser и Whimsical. Категория Кано - экспертная классификация по распространённости и роли признака (опрос не проводился)</t>
        </is>
      </c>
      <c r="E24" s="2" t="inlineStr">
        <is>
          <t>Линейное</t>
        </is>
      </c>
      <c r="F24" s="2" t="n">
        <v>4</v>
      </c>
      <c r="G24" s="2" t="n">
        <v>3</v>
      </c>
      <c r="H24" s="5">
        <f>IF(G24="","",IFERROR(G24/MAX(1,COUNTIF('01_Конкуренты'!$B\$7:$B\$36,"?*")),""))</f>
        <v/>
      </c>
      <c r="I24" s="2" t="n">
        <v>5</v>
      </c>
      <c r="J24" s="2">
        <f>IF(B24="","",IF(E24="Обязательное",IF(H24&gt;=0.6,"Минимальный рыночный стандарт","Потенциальный обязательный разрыв"),IF(E24="Линейное",IF(H24&gt;=0.5,"Конкурентная норма с влиянием на выбор","Зона усиления ценности"),IF(E24="Привлекательное",IF(H24&lt;0.5,"Зона дифференциации","Переходит в ожидаемую норму"),IF(E24="Безразличное","Не делать при дефиците ресурсов",IF(E24="Обратное","Исключить или проверить риск отторжения","Требует проверки"))))))</f>
        <v/>
      </c>
      <c r="K24" s="2" t="inlineStr">
        <is>
          <t>Реализовать на уровне рынка</t>
        </is>
      </c>
      <c r="L24" s="2" t="inlineStr">
        <is>
          <t>К. А. Хаджинова</t>
        </is>
      </c>
      <c r="M24" s="2" t="inlineStr">
        <is>
          <t>Линейное влияние: чем лучше реализовано, тем выше оценка NotaCode</t>
        </is>
      </c>
    </row>
    <row r="25" ht="63.75" customHeight="1">
      <c r="A25" s="2" t="inlineStr">
        <is>
          <t>R019</t>
        </is>
      </c>
      <c r="B25" s="2" t="inlineStr">
        <is>
          <t>Совместная работа в реальном времени</t>
        </is>
      </c>
      <c r="C25" s="2" t="inlineStr">
        <is>
          <t>Редактировать диаграмму командой</t>
        </is>
      </c>
      <c r="D25" s="2" t="inlineStr">
        <is>
          <t>Real-time collaboration (draw.io, Lucidchart, Whimsical); совместное редактирование в браузере (Storm); Co-editing (Mermaid Chart). Категория Кано - экспертная классификация по распространённости и роли признака (опрос не проводился)</t>
        </is>
      </c>
      <c r="E25" s="2" t="inlineStr">
        <is>
          <t>Линейное</t>
        </is>
      </c>
      <c r="F25" s="2" t="n">
        <v>4</v>
      </c>
      <c r="G25" s="2" t="n">
        <v>6</v>
      </c>
      <c r="H25" s="5">
        <f>IF(G25="","",IFERROR(G25/MAX(1,COUNTIF('01_Конкуренты'!$B\$7:$B\$36,"?*")),""))</f>
        <v/>
      </c>
      <c r="I25" s="2" t="n">
        <v>5</v>
      </c>
      <c r="J25" s="2">
        <f>IF(B25="","",IF(E25="Обязательное",IF(H25&gt;=0.6,"Минимальный рыночный стандарт","Потенциальный обязательный разрыв"),IF(E25="Линейное",IF(H25&gt;=0.5,"Конкурентная норма с влиянием на выбор","Зона усиления ценности"),IF(E25="Привлекательное",IF(H25&lt;0.5,"Зона дифференциации","Переходит в ожидаемую норму"),IF(E25="Безразличное","Не делать при дефиците ресурсов",IF(E25="Обратное","Исключить или проверить риск отторжения","Требует проверки"))))))</f>
        <v/>
      </c>
      <c r="K25" s="2" t="inlineStr">
        <is>
          <t>Реализовать на уровне рынка</t>
        </is>
      </c>
      <c r="L25" s="2" t="inlineStr">
        <is>
          <t>К. А. Хаджинова</t>
        </is>
      </c>
      <c r="M25" s="2" t="inlineStr">
        <is>
          <t>Линейное влияние: чем лучше реализовано, тем выше оценка NotaCode</t>
        </is>
      </c>
    </row>
    <row r="26" ht="63.75" customHeight="1">
      <c r="A26" s="2" t="inlineStr">
        <is>
          <t>R020</t>
        </is>
      </c>
      <c r="B26" s="2" t="inlineStr">
        <is>
          <t>Экспорт диаграмм (PNG, SVG, PDF и др.)</t>
        </is>
      </c>
      <c r="C26" s="2" t="inlineStr">
        <is>
          <t>Вставить диаграмму в документ или презентацию</t>
        </is>
      </c>
      <c r="D26" s="2" t="inlineStr">
        <is>
          <t>Экспорт упомянут на страницах 8 из 8 конкурентов (PNG, SVG, PDF, DOCX у Storm, Visio у Lucidchart). Категория Кано - экспертная классификация по распространённости и роли признака (опрос не проводился)</t>
        </is>
      </c>
      <c r="E26" s="2" t="inlineStr">
        <is>
          <t>Обязательное</t>
        </is>
      </c>
      <c r="F26" s="2" t="n">
        <v>5</v>
      </c>
      <c r="G26" s="2" t="n">
        <v>8</v>
      </c>
      <c r="H26" s="5">
        <f>IF(G26="","",IFERROR(G26/MAX(1,COUNTIF('01_Конкуренты'!$B\$7:$B\$36,"?*")),""))</f>
        <v/>
      </c>
      <c r="I26" s="2" t="n">
        <v>5</v>
      </c>
      <c r="J26" s="2">
        <f>IF(B26="","",IF(E26="Обязательное",IF(H26&gt;=0.6,"Минимальный рыночный стандарт","Потенциальный обязательный разрыв"),IF(E26="Линейное",IF(H26&gt;=0.5,"Конкурентная норма с влиянием на выбор","Зона усиления ценности"),IF(E26="Привлекательное",IF(H26&lt;0.5,"Зона дифференциации","Переходит в ожидаемую норму"),IF(E26="Безразличное","Не делать при дефиците ресурсов",IF(E26="Обратное","Исключить или проверить риск отторжения","Требует проверки"))))))</f>
        <v/>
      </c>
      <c r="K26" s="2" t="inlineStr">
        <is>
          <t>Включить в минимальный состав NotaCode</t>
        </is>
      </c>
      <c r="L26" s="2" t="inlineStr">
        <is>
          <t>К. А. Хаджинова</t>
        </is>
      </c>
      <c r="M26" s="2" t="inlineStr">
        <is>
          <t>Отсутствие снижает удовлетворённость; обязательно включить в MVP NotaCode</t>
        </is>
      </c>
    </row>
    <row r="27" ht="63.75" customHeight="1">
      <c r="A27" s="2" t="inlineStr">
        <is>
          <t>R021</t>
        </is>
      </c>
      <c r="B27" s="2" t="inlineStr">
        <is>
          <t>История версий</t>
        </is>
      </c>
      <c r="C27" s="2" t="inlineStr">
        <is>
          <t>Вернуться к предыдущей версии</t>
        </is>
      </c>
      <c r="D27" s="2" t="inlineStr">
        <is>
          <t>7 и 90 дней (Eraser, Whimsical); Revision history (Lucidchart Team); версионирование (меню Storm). Категория Кано - экспертная классификация по распространённости и роли признака (опрос не проводился)</t>
        </is>
      </c>
      <c r="E27" s="2" t="inlineStr">
        <is>
          <t>Линейное</t>
        </is>
      </c>
      <c r="F27" s="2" t="n">
        <v>3</v>
      </c>
      <c r="G27" s="2" t="n">
        <v>5</v>
      </c>
      <c r="H27" s="5">
        <f>IF(G27="","",IFERROR(G27/MAX(1,COUNTIF('01_Конкуренты'!$B\$7:$B\$36,"?*")),""))</f>
        <v/>
      </c>
      <c r="I27" s="2" t="n">
        <v>5</v>
      </c>
      <c r="J27" s="2">
        <f>IF(B27="","",IF(E27="Обязательное",IF(H27&gt;=0.6,"Минимальный рыночный стандарт","Потенциальный обязательный разрыв"),IF(E27="Линейное",IF(H27&gt;=0.5,"Конкурентная норма с влиянием на выбор","Зона усиления ценности"),IF(E27="Привлекательное",IF(H27&lt;0.5,"Зона дифференциации","Переходит в ожидаемую норму"),IF(E27="Безразличное","Не делать при дефиците ресурсов",IF(E27="Обратное","Исключить или проверить риск отторжения","Требует проверки"))))))</f>
        <v/>
      </c>
      <c r="K27" s="2" t="inlineStr">
        <is>
          <t>Реализовать на уровне рынка</t>
        </is>
      </c>
      <c r="L27" s="2" t="inlineStr">
        <is>
          <t>К. А. Хаджинова</t>
        </is>
      </c>
      <c r="M27" s="2" t="inlineStr">
        <is>
          <t>Линейное влияние: чем лучше реализовано, тем выше оценка NotaCode</t>
        </is>
      </c>
    </row>
    <row r="28" ht="63.75" customHeight="1">
      <c r="A28" s="2" t="inlineStr">
        <is>
          <t>R022</t>
        </is>
      </c>
      <c r="B28" s="2" t="inlineStr">
        <is>
          <t>Документация и руководства</t>
        </is>
      </c>
      <c r="C28" s="2" t="inlineStr">
        <is>
          <t>Научиться пользоваться без обращения в поддержку</t>
        </is>
      </c>
      <c r="D28" s="2" t="inlineStr">
        <is>
          <t>PlantUML Language Reference Guide; Mermaid User Guide; docs.mermaidchart.com; docs.eraser.io; Learning center Lucidchart. Категория Кано - экспертная классификация по распространённости и роли признака (опрос не проводился)</t>
        </is>
      </c>
      <c r="E28" s="2" t="inlineStr">
        <is>
          <t>Обязательное</t>
        </is>
      </c>
      <c r="F28" s="2" t="n">
        <v>4</v>
      </c>
      <c r="G28" s="2" t="n">
        <v>6</v>
      </c>
      <c r="H28" s="5">
        <f>IF(G28="","",IFERROR(G28/MAX(1,COUNTIF('01_Конкуренты'!$B\$7:$B\$36,"?*")),""))</f>
        <v/>
      </c>
      <c r="I28" s="2" t="n">
        <v>5</v>
      </c>
      <c r="J28" s="2">
        <f>IF(B28="","",IF(E28="Обязательное",IF(H28&gt;=0.6,"Минимальный рыночный стандарт","Потенциальный обязательный разрыв"),IF(E28="Линейное",IF(H28&gt;=0.5,"Конкурентная норма с влиянием на выбор","Зона усиления ценности"),IF(E28="Привлекательное",IF(H28&lt;0.5,"Зона дифференциации","Переходит в ожидаемую норму"),IF(E28="Безразличное","Не делать при дефиците ресурсов",IF(E28="Обратное","Исключить или проверить риск отторжения","Требует проверки"))))))</f>
        <v/>
      </c>
      <c r="K28" s="2" t="inlineStr">
        <is>
          <t>Включить в минимальный состав NotaCode</t>
        </is>
      </c>
      <c r="L28" s="2" t="inlineStr">
        <is>
          <t>К. А. Хаджинова</t>
        </is>
      </c>
      <c r="M28" s="2" t="inlineStr">
        <is>
          <t>Отсутствие снижает удовлетворённость; обязательно включить в MVP NotaCode</t>
        </is>
      </c>
    </row>
    <row r="29" ht="63.75" customHeight="1">
      <c r="A29" s="2" t="inlineStr">
        <is>
          <t>R023</t>
        </is>
      </c>
      <c r="B29" s="2" t="inlineStr">
        <is>
          <t>Диаграммы UML</t>
        </is>
      </c>
      <c r="C29" s="2" t="inlineStr">
        <is>
          <t>Строить диаграммы классов, последовательностей и др</t>
        </is>
      </c>
      <c r="D29" s="2" t="inlineStr">
        <is>
          <t>Страницы class-diagram (PlantUML, Mermaid); UML в описании draw.io; UML-шаблоны Lucidchart. Категория Кано - экспертная классификация по распространённости и роли признака (опрос не проводился)</t>
        </is>
      </c>
      <c r="E29" s="2" t="inlineStr">
        <is>
          <t>Обязательное</t>
        </is>
      </c>
      <c r="F29" s="2" t="n">
        <v>5</v>
      </c>
      <c r="G29" s="2" t="n">
        <v>4</v>
      </c>
      <c r="H29" s="5">
        <f>IF(G29="","",IFERROR(G29/MAX(1,COUNTIF('01_Конкуренты'!$B\$7:$B\$36,"?*")),""))</f>
        <v/>
      </c>
      <c r="I29" s="2" t="n">
        <v>5</v>
      </c>
      <c r="J29" s="2">
        <f>IF(B29="","",IF(E29="Обязательное",IF(H29&gt;=0.6,"Минимальный рыночный стандарт","Потенциальный обязательный разрыв"),IF(E29="Линейное",IF(H29&gt;=0.5,"Конкурентная норма с влиянием на выбор","Зона усиления ценности"),IF(E29="Привлекательное",IF(H29&lt;0.5,"Зона дифференциации","Переходит в ожидаемую норму"),IF(E29="Безразличное","Не делать при дефиците ресурсов",IF(E29="Обратное","Исключить или проверить риск отторжения","Требует проверки"))))))</f>
        <v/>
      </c>
      <c r="K29" s="2" t="inlineStr">
        <is>
          <t>Включить в минимальный состав NotaCode</t>
        </is>
      </c>
      <c r="L29" s="2" t="inlineStr">
        <is>
          <t>К. А. Хаджинова</t>
        </is>
      </c>
      <c r="M29" s="2" t="inlineStr">
        <is>
          <t>Отсутствие снижает удовлетворённость; обязательно включить в MVP NotaCode</t>
        </is>
      </c>
    </row>
    <row r="30" ht="63.75" customHeight="1">
      <c r="A30" s="2" t="inlineStr">
        <is>
          <t>R024</t>
        </is>
      </c>
      <c r="B30" s="2" t="inlineStr">
        <is>
          <t>Диаграммы BPMN</t>
        </is>
      </c>
      <c r="C30" s="2" t="inlineStr">
        <is>
          <t>Моделировать бизнес-процессы</t>
        </is>
      </c>
      <c r="D30" s="2" t="inlineStr">
        <is>
          <t>Редактор BPMN 2.0 (Storm); BPMN-шаблон (Lucidchart); упоминание BPMN на сайте Eraser. Категория Кано - экспертная классификация по распространённости и роли признака (опрос не проводился)</t>
        </is>
      </c>
      <c r="E30" s="2" t="inlineStr">
        <is>
          <t>Линейное</t>
        </is>
      </c>
      <c r="F30" s="2" t="n">
        <v>4</v>
      </c>
      <c r="G30" s="2" t="n">
        <v>3</v>
      </c>
      <c r="H30" s="5">
        <f>IF(G30="","",IFERROR(G30/MAX(1,COUNTIF('01_Конкуренты'!$B\$7:$B\$36,"?*")),""))</f>
        <v/>
      </c>
      <c r="I30" s="2" t="n">
        <v>5</v>
      </c>
      <c r="J30" s="2">
        <f>IF(B30="","",IF(E30="Обязательное",IF(H30&gt;=0.6,"Минимальный рыночный стандарт","Потенциальный обязательный разрыв"),IF(E30="Линейное",IF(H30&gt;=0.5,"Конкурентная норма с влиянием на выбор","Зона усиления ценности"),IF(E30="Привлекательное",IF(H30&lt;0.5,"Зона дифференциации","Переходит в ожидаемую норму"),IF(E30="Безразличное","Не делать при дефиците ресурсов",IF(E30="Обратное","Исключить или проверить риск отторжения","Требует проверки"))))))</f>
        <v/>
      </c>
      <c r="K30" s="2" t="inlineStr">
        <is>
          <t>Реализовать на уровне рынка</t>
        </is>
      </c>
      <c r="L30" s="2" t="inlineStr">
        <is>
          <t>К. А. Хаджинова</t>
        </is>
      </c>
      <c r="M30" s="2" t="inlineStr">
        <is>
          <t>Линейное влияние: чем лучше реализовано, тем выше оценка NotaCode</t>
        </is>
      </c>
    </row>
    <row r="31" ht="63.75" customHeight="1">
      <c r="A31" s="2" t="inlineStr">
        <is>
          <t>R025</t>
        </is>
      </c>
      <c r="B31" s="2" t="inlineStr">
        <is>
          <t>Диаграммы ERD</t>
        </is>
      </c>
      <c r="C31" s="2" t="inlineStr">
        <is>
          <t>Описывать структуру базы данных</t>
        </is>
      </c>
      <c r="D31" s="2" t="inlineStr">
        <is>
          <t>Страницы entityRelationshipDiagram (Mermaid), ie-diagram (PlantUML); ER в описании draw.io; ERD markup (Lucidchart). Категория Кано - экспертная классификация по распространённости и роли признака (опрос не проводился)</t>
        </is>
      </c>
      <c r="E31" s="2" t="inlineStr">
        <is>
          <t>Линейное</t>
        </is>
      </c>
      <c r="F31" s="2" t="n">
        <v>4</v>
      </c>
      <c r="G31" s="2" t="n">
        <v>6</v>
      </c>
      <c r="H31" s="5">
        <f>IF(G31="","",IFERROR(G31/MAX(1,COUNTIF('01_Конкуренты'!$B\$7:$B\$36,"?*")),""))</f>
        <v/>
      </c>
      <c r="I31" s="2" t="n">
        <v>5</v>
      </c>
      <c r="J31" s="2">
        <f>IF(B31="","",IF(E31="Обязательное",IF(H31&gt;=0.6,"Минимальный рыночный стандарт","Потенциальный обязательный разрыв"),IF(E31="Линейное",IF(H31&gt;=0.5,"Конкурентная норма с влиянием на выбор","Зона усиления ценности"),IF(E31="Привлекательное",IF(H31&lt;0.5,"Зона дифференциации","Переходит в ожидаемую норму"),IF(E31="Безразличное","Не делать при дефиците ресурсов",IF(E31="Обратное","Исключить или проверить риск отторжения","Требует проверки"))))))</f>
        <v/>
      </c>
      <c r="K31" s="2" t="inlineStr">
        <is>
          <t>Реализовать на уровне рынка</t>
        </is>
      </c>
      <c r="L31" s="2" t="inlineStr">
        <is>
          <t>К. А. Хаджинова</t>
        </is>
      </c>
      <c r="M31" s="2" t="inlineStr">
        <is>
          <t>Линейное влияние: чем лучше реализовано, тем выше оценка NotaCode</t>
        </is>
      </c>
    </row>
    <row r="32" ht="63.75" customHeight="1">
      <c r="A32" s="2" t="inlineStr">
        <is>
          <t>R026</t>
        </is>
      </c>
      <c r="B32" s="2" t="inlineStr">
        <is>
          <t>Развёртывание на своём сервере</t>
        </is>
      </c>
      <c r="C32" s="2" t="inlineStr">
        <is>
          <t>Хранить данные внутри организации</t>
        </is>
      </c>
      <c r="D32" s="2" t="inlineStr">
        <is>
          <t>Страницы running и download (PlantUML); библиотека Mermaid; on-prem (Storm); Flexible deployments (Eraser Enterprise). Категория Кано - экспертная классификация по распространённости и роли признака (опрос не проводился)</t>
        </is>
      </c>
      <c r="E32" s="2" t="inlineStr">
        <is>
          <t>Привлекательное</t>
        </is>
      </c>
      <c r="F32" s="2" t="n">
        <v>3</v>
      </c>
      <c r="G32" s="2" t="n">
        <v>4</v>
      </c>
      <c r="H32" s="5">
        <f>IF(G32="","",IFERROR(G32/MAX(1,COUNTIF('01_Конкуренты'!$B\$7:$B\$36,"?*")),""))</f>
        <v/>
      </c>
      <c r="I32" s="2" t="n">
        <v>3.33</v>
      </c>
      <c r="J32" s="2">
        <f>IF(B32="","",IF(E32="Обязательное",IF(H32&gt;=0.6,"Минимальный рыночный стандарт","Потенциальный обязательный разрыв"),IF(E32="Линейное",IF(H32&gt;=0.5,"Конкурентная норма с влиянием на выбор","Зона усиления ценности"),IF(E32="Привлекательное",IF(H32&lt;0.5,"Зона дифференциации","Переходит в ожидаемую норму"),IF(E32="Безразличное","Не делать при дефиците ресурсов",IF(E32="Обратное","Исключить или проверить риск отторжения","Требует проверки"))))))</f>
        <v/>
      </c>
      <c r="K32" s="2" t="inlineStr">
        <is>
          <t>Рассмотреть как дифференциатор Pro</t>
        </is>
      </c>
      <c r="L32" s="2" t="inlineStr">
        <is>
          <t>К. А. Хаджинова</t>
        </is>
      </c>
      <c r="M32" s="2" t="inlineStr">
        <is>
          <t>Дифференциатор; добавляет ценность при реализации; кандидат для Pro</t>
        </is>
      </c>
    </row>
    <row r="33" ht="51" customHeight="1">
      <c r="A33" s="2" t="inlineStr">
        <is>
          <t>R027</t>
        </is>
      </c>
      <c r="B33" s="2" t="inlineStr">
        <is>
          <t>Настольное приложение</t>
        </is>
      </c>
      <c r="C33" s="2" t="inlineStr">
        <is>
          <t>Работать без браузера</t>
        </is>
      </c>
      <c r="D33" s="2" t="inlineStr">
        <is>
          <t>Загрузка PlantUML; drawio-desktop (GitHub); Desktop app в таблице тарифов Whimsical. Категория Кано - экспертная классификация по распространённости и роли признака (опрос не проводился)</t>
        </is>
      </c>
      <c r="E33" s="2" t="inlineStr">
        <is>
          <t>Безразличное</t>
        </is>
      </c>
      <c r="F33" s="2" t="n">
        <v>2</v>
      </c>
      <c r="G33" s="2" t="n">
        <v>3</v>
      </c>
      <c r="H33" s="5">
        <f>IF(G33="","",IFERROR(G33/MAX(1,COUNTIF('01_Конкуренты'!$B\$7:$B\$36,"?*")),""))</f>
        <v/>
      </c>
      <c r="I33" s="2" t="n">
        <v>3.33</v>
      </c>
      <c r="J33" s="2">
        <f>IF(B33="","",IF(E33="Обязательное",IF(H33&gt;=0.6,"Минимальный рыночный стандарт","Потенциальный обязательный разрыв"),IF(E33="Линейное",IF(H33&gt;=0.5,"Конкурентная норма с влиянием на выбор","Зона усиления ценности"),IF(E33="Привлекательное",IF(H33&lt;0.5,"Зона дифференциации","Переходит в ожидаемую норму"),IF(E33="Безразличное","Не делать при дефиците ресурсов",IF(E33="Обратное","Исключить или проверить риск отторжения","Требует проверки"))))))</f>
        <v/>
      </c>
      <c r="K33" s="2" t="inlineStr">
        <is>
          <t>Не приоритет для сегмента студентов и аналитиков</t>
        </is>
      </c>
      <c r="L33" s="2" t="inlineStr">
        <is>
          <t>К. А. Хаджинова</t>
        </is>
      </c>
      <c r="M33" s="2" t="inlineStr">
        <is>
          <t>Слабое влияние на выбор; исключить из приоритетного плана</t>
        </is>
      </c>
    </row>
    <row r="34" ht="51" customHeight="1">
      <c r="A34" s="2" t="inlineStr">
        <is>
          <t>R028</t>
        </is>
      </c>
      <c r="B34" s="2" t="inlineStr">
        <is>
          <t>Русскоязычный интерфейс и тарифы в рублях</t>
        </is>
      </c>
      <c r="C34" s="2" t="inlineStr">
        <is>
          <t>Работать на русском языке и платить в рублях</t>
        </is>
      </c>
      <c r="D34" s="2" t="inlineStr">
        <is>
          <t>Сайт и тарифы Storm на русском языке, цены в рублях. Категория Кано - экспертная классификация по распространённости и роли признака (опрос не проводился)</t>
        </is>
      </c>
      <c r="E34" s="2" t="inlineStr">
        <is>
          <t>Привлекательное</t>
        </is>
      </c>
      <c r="F34" s="2" t="n">
        <v>4</v>
      </c>
      <c r="G34" s="2" t="n">
        <v>1</v>
      </c>
      <c r="H34" s="5">
        <f>IF(G34="","",IFERROR(G34/MAX(1,COUNTIF('01_Конкуренты'!$B\$7:$B\$36,"?*")),""))</f>
        <v/>
      </c>
      <c r="I34" s="2" t="n">
        <v>3.33</v>
      </c>
      <c r="J34" s="2">
        <f>IF(B34="","",IF(E34="Обязательное",IF(H34&gt;=0.6,"Минимальный рыночный стандарт","Потенциальный обязательный разрыв"),IF(E34="Линейное",IF(H34&gt;=0.5,"Конкурентная норма с влиянием на выбор","Зона усиления ценности"),IF(E34="Привлекательное",IF(H34&lt;0.5,"Зона дифференциации","Переходит в ожидаемую норму"),IF(E34="Безразличное","Не делать при дефиците ресурсов",IF(E34="Обратное","Исключить или проверить риск отторжения","Требует проверки"))))))</f>
        <v/>
      </c>
      <c r="K34" s="2" t="inlineStr">
        <is>
          <t>Рассмотреть как дифференциатор Pro</t>
        </is>
      </c>
      <c r="L34" s="2" t="inlineStr">
        <is>
          <t>К. А. Хаджинова</t>
        </is>
      </c>
      <c r="M34" s="2" t="inlineStr">
        <is>
          <t>Дифференциатор; добавляет ценность при реализации; кандидат для Pro</t>
        </is>
      </c>
    </row>
    <row r="35" ht="63.75" customHeight="1">
      <c r="A35" s="2" t="inlineStr">
        <is>
          <t>R029</t>
        </is>
      </c>
      <c r="B35" s="2" t="inlineStr">
        <is>
          <t>Признаки развития (ИИ-помощник, MCP, новые функции)</t>
        </is>
      </c>
      <c r="C35" s="2" t="inlineStr">
        <is>
          <t>Видеть, что продукт развивается</t>
        </is>
      </c>
      <c r="D35" s="2" t="inlineStr">
        <is>
          <t>MCP-интеграция (Storm); метки NEW: Lucid AI, Developer platform (Lucidchart); ИИ-кредиты (Mermaid Chart); AI-first (Eraser). Категория Кано - экспертная классификация по распространённости и роли признака (опрос не проводился)</t>
        </is>
      </c>
      <c r="E35" s="2" t="inlineStr">
        <is>
          <t>Привлекательное</t>
        </is>
      </c>
      <c r="F35" s="2" t="n">
        <v>3</v>
      </c>
      <c r="G35" s="2" t="n">
        <v>4</v>
      </c>
      <c r="H35" s="5">
        <f>IF(G35="","",IFERROR(G35/MAX(1,COUNTIF('01_Конкуренты'!$B\$7:$B\$36,"?*")),""))</f>
        <v/>
      </c>
      <c r="I35" s="2" t="n">
        <v>3.33</v>
      </c>
      <c r="J35" s="2">
        <f>IF(B35="","",IF(E35="Обязательное",IF(H35&gt;=0.6,"Минимальный рыночный стандарт","Потенциальный обязательный разрыв"),IF(E35="Линейное",IF(H35&gt;=0.5,"Конкурентная норма с влиянием на выбор","Зона усиления ценности"),IF(E35="Привлекательное",IF(H35&lt;0.5,"Зона дифференциации","Переходит в ожидаемую норму"),IF(E35="Безразличное","Не делать при дефиците ресурсов",IF(E35="Обратное","Исключить или проверить риск отторжения","Требует проверки"))))))</f>
        <v/>
      </c>
      <c r="K35" s="2" t="inlineStr">
        <is>
          <t>Рассмотреть как дифференциатор Pro</t>
        </is>
      </c>
      <c r="L35" s="2" t="inlineStr">
        <is>
          <t>К. А. Хаджинова</t>
        </is>
      </c>
      <c r="M35" s="2" t="inlineStr">
        <is>
          <t>Дифференциатор; добавляет ценность при реализации; кандидат для Pro</t>
        </is>
      </c>
    </row>
    <row r="36" ht="25.5" customHeight="1">
      <c r="A36" s="2" t="inlineStr">
        <is>
          <t>R030</t>
        </is>
      </c>
      <c r="B36" s="2" t="inlineStr">
        <is>
          <t>Несколько нотаций (UML, BPMN, ERD) в одном инструменте</t>
        </is>
      </c>
      <c r="C36" s="2" t="inlineStr">
        <is>
          <t>Работать с разными нотациями без смены инструмента</t>
        </is>
      </c>
      <c r="D36" s="2" t="inlineStr">
        <is>
          <t>Lucidchart: UML-, BPMN-шаблоны и ERD markup (lucid.co/lucidchart)</t>
        </is>
      </c>
      <c r="E36" s="2" t="inlineStr">
        <is>
          <t>Привлекательное</t>
        </is>
      </c>
      <c r="F36" s="2" t="n">
        <v>5</v>
      </c>
      <c r="G36" s="2" t="n">
        <v>1</v>
      </c>
      <c r="H36" s="5">
        <f>IF(G36="","",IFERROR(G36/MAX(1,COUNTIF('01_Конкуренты'!$B\$7:$B\$36,"?*")),""))</f>
        <v/>
      </c>
      <c r="I36" s="2" t="n"/>
      <c r="J36" s="2">
        <f>IF(B36="","",IF(E36="Обязательное",IF(H36&gt;=0.6,"Минимальный рыночный стандарт","Потенциальный обязательный разрыв"),IF(E36="Линейное",IF(H36&gt;=0.5,"Конкурентная норма с влиянием на выбор","Зона усиления ценности"),IF(E36="Привлекательное",IF(H36&lt;0.5,"Зона дифференциации","Переходит в ожидаемую норму"),IF(E36="Безразличное","Не делать при дефиците ресурсов",IF(E36="Обратное","Исключить или проверить риск отторжения","Требует проверки"))))))</f>
        <v/>
      </c>
      <c r="K36" s="2" t="inlineStr">
        <is>
          <t>Рассмотреть как дифференциатор: полный набор нотаций проекта</t>
        </is>
      </c>
      <c r="L36" s="2" t="inlineStr">
        <is>
          <t>К. А. Хаджинова</t>
        </is>
      </c>
      <c r="M36" s="2" t="inlineStr">
        <is>
          <t>Дифференциатор; добавляет ценность при реализации; кандидат для Pro</t>
        </is>
      </c>
    </row>
    <row r="37" ht="25.5" customHeight="1">
      <c r="A37" s="2" t="inlineStr">
        <is>
          <t>R031</t>
        </is>
      </c>
      <c r="B37" s="2" t="inlineStr">
        <is>
          <t>Нотации IDEF0, DFD, сети Петри</t>
        </is>
      </c>
      <c r="C37" s="2" t="inlineStr">
        <is>
          <t>Строить диаграммы по учебным и отраслевым стандартам</t>
        </is>
      </c>
      <c r="D37" s="2" t="inlineStr">
        <is>
          <t>На просмотренных страницах 8 конкурентов не найдены (IDEF упомянут в блоге Storm)</t>
        </is>
      </c>
      <c r="E37" s="2" t="inlineStr">
        <is>
          <t>Привлекательное</t>
        </is>
      </c>
      <c r="F37" s="2" t="n">
        <v>5</v>
      </c>
      <c r="G37" s="2" t="n">
        <v>0</v>
      </c>
      <c r="H37" s="5">
        <f>IF(G37="","",IFERROR(G37/MAX(1,COUNTIF('01_Конкуренты'!$B\$7:$B\$36,"?*")),""))</f>
        <v/>
      </c>
      <c r="I37" s="2" t="n"/>
      <c r="J37" s="2">
        <f>IF(B37="","",IF(E37="Обязательное",IF(H37&gt;=0.6,"Минимальный рыночный стандарт","Потенциальный обязательный разрыв"),IF(E37="Линейное",IF(H37&gt;=0.5,"Конкурентная норма с влиянием на выбор","Зона усиления ценности"),IF(E37="Привлекательное",IF(H37&lt;0.5,"Зона дифференциации","Переходит в ожидаемую норму"),IF(E37="Безразличное","Не делать при дефиците ресурсов",IF(E37="Обратное","Исключить или проверить риск отторжения","Требует проверки"))))))</f>
        <v/>
      </c>
      <c r="K37" s="2" t="inlineStr">
        <is>
          <t>Дифференциатор NotaCode: у конкурентов не найден</t>
        </is>
      </c>
      <c r="L37" s="2" t="inlineStr">
        <is>
          <t>К. А. Хаджинова</t>
        </is>
      </c>
      <c r="M37" s="2" t="inlineStr">
        <is>
          <t>Дифференциатор; добавляет ценность при реализации; кандидат для Pro</t>
        </is>
      </c>
    </row>
    <row r="38" ht="25.5" customHeight="1">
      <c r="A38" s="2" t="inlineStr">
        <is>
          <t>R032</t>
        </is>
      </c>
      <c r="B38" s="2" t="inlineStr">
        <is>
          <t>Проверка правил нотации при вводе</t>
        </is>
      </c>
      <c r="C38" s="2" t="inlineStr">
        <is>
          <t>Получать подсказки об ошибках в модели</t>
        </is>
      </c>
      <c r="D38" s="2" t="inlineStr"/>
      <c r="E38" s="2" t="inlineStr">
        <is>
          <t>Неясное</t>
        </is>
      </c>
      <c r="F38" s="2" t="n">
        <v>4</v>
      </c>
      <c r="G38" s="2" t="n"/>
      <c r="H38" s="5">
        <f>IF(G38="","",IFERROR(G38/MAX(1,COUNTIF('01_Конкуренты'!$B\$7:$B\$36,"?*")),""))</f>
        <v/>
      </c>
      <c r="I38" s="2" t="n"/>
      <c r="J38" s="2">
        <f>IF(B38="","",IF(E38="Обязательное",IF(H38&gt;=0.6,"Минимальный рыночный стандарт","Потенциальный обязательный разрыв"),IF(E38="Линейное",IF(H38&gt;=0.5,"Конкурентная норма с влиянием на выбор","Зона усиления ценности"),IF(E38="Привлекательное",IF(H38&lt;0.5,"Зона дифференциации","Переходит в ожидаемую норму"),IF(E38="Безразличное","Не делать при дефиците ресурсов",IF(E38="Обратное","Исключить или проверить риск отторжения","Требует проверки"))))))</f>
        <v/>
      </c>
      <c r="K38" s="2" t="inlineStr"/>
      <c r="L38" s="2" t="inlineStr">
        <is>
          <t>К. А. Хаджинова</t>
        </is>
      </c>
      <c r="M38" s="2" t="inlineStr">
        <is>
          <t>Недостаточно данных; требует дополнительного исследования</t>
        </is>
      </c>
    </row>
    <row r="39" ht="25.5" customHeight="1">
      <c r="A39" s="2" t="inlineStr">
        <is>
          <t>R033</t>
        </is>
      </c>
      <c r="B39" s="2" t="inlineStr">
        <is>
          <t>Импорт форматов PlantUML, Mermaid, D2, draw.io, BPMN XML</t>
        </is>
      </c>
      <c r="C39" s="2" t="inlineStr">
        <is>
          <t>Перенести существующие диаграммы</t>
        </is>
      </c>
      <c r="D39" s="2" t="inlineStr"/>
      <c r="E39" s="2" t="inlineStr">
        <is>
          <t>Неясное</t>
        </is>
      </c>
      <c r="F39" s="2" t="n">
        <v>4</v>
      </c>
      <c r="G39" s="2" t="n"/>
      <c r="H39" s="5">
        <f>IF(G39="","",IFERROR(G39/MAX(1,COUNTIF('01_Конкуренты'!$B\$7:$B\$36,"?*")),""))</f>
        <v/>
      </c>
      <c r="I39" s="2" t="n"/>
      <c r="J39" s="2">
        <f>IF(B39="","",IF(E39="Обязательное",IF(H39&gt;=0.6,"Минимальный рыночный стандарт","Потенциальный обязательный разрыв"),IF(E39="Линейное",IF(H39&gt;=0.5,"Конкурентная норма с влиянием на выбор","Зона усиления ценности"),IF(E39="Привлекательное",IF(H39&lt;0.5,"Зона дифференциации","Переходит в ожидаемую норму"),IF(E39="Безразличное","Не делать при дефиците ресурсов",IF(E39="Обратное","Исключить или проверить риск отторжения","Требует проверки"))))))</f>
        <v/>
      </c>
      <c r="K39" s="2" t="inlineStr"/>
      <c r="L39" s="2" t="inlineStr">
        <is>
          <t>К. А. Хаджинова</t>
        </is>
      </c>
      <c r="M39" s="2" t="inlineStr">
        <is>
          <t>Недостаточно данных; требует дополнительного исследования</t>
        </is>
      </c>
    </row>
    <row r="40">
      <c r="A40" s="2" t="inlineStr">
        <is>
          <t>R034</t>
        </is>
      </c>
      <c r="B40" s="2" t="n"/>
      <c r="C40" s="2" t="n"/>
      <c r="D40" s="2" t="n"/>
      <c r="E40" s="2" t="n"/>
      <c r="F40" s="2" t="n"/>
      <c r="G40" s="2" t="n"/>
      <c r="H40" s="5">
        <f>IF(G40="","",IFERROR(G40/MAX(1,COUNTIF('01_Конкуренты'!$B\$7:$B\$36,"?*")),""))</f>
        <v/>
      </c>
      <c r="I40" s="2" t="n"/>
      <c r="J40" s="2">
        <f>IF(B40="","",IF(E40="Обязательное",IF(H40&gt;=0.6,"Минимальный рыночный стандарт","Потенциальный обязательный разрыв"),IF(E40="Линейное",IF(H40&gt;=0.5,"Конкурентная норма с влиянием на выбор","Зона усиления ценности"),IF(E40="Привлекательное",IF(H40&lt;0.5,"Зона дифференциации","Переходит в ожидаемую норму"),IF(E40="Безразличное","Не делать при дефиците ресурсов",IF(E40="Обратное","Исключить или проверить риск отторжения","Требует проверки"))))))</f>
        <v/>
      </c>
      <c r="K40" s="2" t="n"/>
      <c r="L40" s="2" t="n"/>
      <c r="M40" s="2" t="n"/>
    </row>
    <row r="41">
      <c r="A41" s="2" t="inlineStr">
        <is>
          <t>R035</t>
        </is>
      </c>
      <c r="B41" s="2" t="n"/>
      <c r="C41" s="2" t="n"/>
      <c r="D41" s="2" t="n"/>
      <c r="E41" s="2" t="n"/>
      <c r="F41" s="2" t="n"/>
      <c r="G41" s="2" t="n"/>
      <c r="H41" s="5">
        <f>IF(G41="","",IFERROR(G41/MAX(1,COUNTIF('01_Конкуренты'!$B\$7:$B\$36,"?*")),""))</f>
        <v/>
      </c>
      <c r="I41" s="2" t="n"/>
      <c r="J41" s="2">
        <f>IF(B41="","",IF(E41="Обязательное",IF(H41&gt;=0.6,"Минимальный рыночный стандарт","Потенциальный обязательный разрыв"),IF(E41="Линейное",IF(H41&gt;=0.5,"Конкурентная норма с влиянием на выбор","Зона усиления ценности"),IF(E41="Привлекательное",IF(H41&lt;0.5,"Зона дифференциации","Переходит в ожидаемую норму"),IF(E41="Безразличное","Не делать при дефиците ресурсов",IF(E41="Обратное","Исключить или проверить риск отторжения","Требует проверки"))))))</f>
        <v/>
      </c>
      <c r="K41" s="2" t="n"/>
      <c r="L41" s="2" t="n"/>
      <c r="M41" s="2" t="n"/>
    </row>
    <row r="42">
      <c r="A42" s="2" t="inlineStr">
        <is>
          <t>R036</t>
        </is>
      </c>
      <c r="B42" s="2" t="n"/>
      <c r="C42" s="2" t="n"/>
      <c r="D42" s="2" t="n"/>
      <c r="E42" s="2" t="n"/>
      <c r="F42" s="2" t="n"/>
      <c r="G42" s="2" t="n"/>
      <c r="H42" s="5">
        <f>IF(G42="","",IFERROR(G42/MAX(1,COUNTIF('01_Конкуренты'!$B\$7:$B\$36,"?*")),""))</f>
        <v/>
      </c>
      <c r="I42" s="2" t="n"/>
      <c r="J42" s="2">
        <f>IF(B42="","",IF(E42="Обязательное",IF(H42&gt;=0.6,"Минимальный рыночный стандарт","Потенциальный обязательный разрыв"),IF(E42="Линейное",IF(H42&gt;=0.5,"Конкурентная норма с влиянием на выбор","Зона усиления ценности"),IF(E42="Привлекательное",IF(H42&lt;0.5,"Зона дифференциации","Переходит в ожидаемую норму"),IF(E42="Безразличное","Не делать при дефиците ресурсов",IF(E42="Обратное","Исключить или проверить риск отторжения","Требует проверки"))))))</f>
        <v/>
      </c>
      <c r="K42" s="2" t="n"/>
      <c r="L42" s="2" t="n"/>
      <c r="M42" s="2" t="n"/>
    </row>
    <row r="43">
      <c r="A43" s="2" t="inlineStr">
        <is>
          <t>R037</t>
        </is>
      </c>
      <c r="B43" s="2" t="n"/>
      <c r="C43" s="2" t="n"/>
      <c r="D43" s="2" t="n"/>
      <c r="E43" s="2" t="n"/>
      <c r="F43" s="2" t="n"/>
      <c r="G43" s="2" t="n"/>
      <c r="H43" s="5">
        <f>IF(G43="","",IFERROR(G43/MAX(1,COUNTIF('01_Конкуренты'!$B\$7:$B\$36,"?*")),""))</f>
        <v/>
      </c>
      <c r="I43" s="2" t="n"/>
      <c r="J43" s="2">
        <f>IF(B43="","",IF(E43="Обязательное",IF(H43&gt;=0.6,"Минимальный рыночный стандарт","Потенциальный обязательный разрыв"),IF(E43="Линейное",IF(H43&gt;=0.5,"Конкурентная норма с влиянием на выбор","Зона усиления ценности"),IF(E43="Привлекательное",IF(H43&lt;0.5,"Зона дифференциации","Переходит в ожидаемую норму"),IF(E43="Безразличное","Не делать при дефиците ресурсов",IF(E43="Обратное","Исключить или проверить риск отторжения","Требует проверки"))))))</f>
        <v/>
      </c>
      <c r="K43" s="2" t="n"/>
      <c r="L43" s="2" t="n"/>
      <c r="M43" s="2" t="n"/>
    </row>
    <row r="44">
      <c r="A44" s="2" t="inlineStr">
        <is>
          <t>R038</t>
        </is>
      </c>
      <c r="B44" s="2" t="n"/>
      <c r="C44" s="2" t="n"/>
      <c r="D44" s="2" t="n"/>
      <c r="E44" s="2" t="n"/>
      <c r="F44" s="2" t="n"/>
      <c r="G44" s="2" t="n"/>
      <c r="H44" s="5">
        <f>IF(G44="","",IFERROR(G44/MAX(1,COUNTIF('01_Конкуренты'!$B\$7:$B\$36,"?*")),""))</f>
        <v/>
      </c>
      <c r="I44" s="2" t="n"/>
      <c r="J44" s="2">
        <f>IF(B44="","",IF(E44="Обязательное",IF(H44&gt;=0.6,"Минимальный рыночный стандарт","Потенциальный обязательный разрыв"),IF(E44="Линейное",IF(H44&gt;=0.5,"Конкурентная норма с влиянием на выбор","Зона усиления ценности"),IF(E44="Привлекательное",IF(H44&lt;0.5,"Зона дифференциации","Переходит в ожидаемую норму"),IF(E44="Безразличное","Не делать при дефиците ресурсов",IF(E44="Обратное","Исключить или проверить риск отторжения","Требует проверки"))))))</f>
        <v/>
      </c>
      <c r="K44" s="2" t="n"/>
      <c r="L44" s="2" t="n"/>
      <c r="M44" s="2" t="n"/>
    </row>
    <row r="45">
      <c r="A45" s="2" t="inlineStr">
        <is>
          <t>R039</t>
        </is>
      </c>
      <c r="B45" s="2" t="n"/>
      <c r="C45" s="2" t="n"/>
      <c r="D45" s="2" t="n"/>
      <c r="E45" s="2" t="n"/>
      <c r="F45" s="2" t="n"/>
      <c r="G45" s="2" t="n"/>
      <c r="H45" s="5">
        <f>IF(G45="","",IFERROR(G45/MAX(1,COUNTIF('01_Конкуренты'!$B\$7:$B\$36,"?*")),""))</f>
        <v/>
      </c>
      <c r="I45" s="2" t="n"/>
      <c r="J45" s="2">
        <f>IF(B45="","",IF(E45="Обязательное",IF(H45&gt;=0.6,"Минимальный рыночный стандарт","Потенциальный обязательный разрыв"),IF(E45="Линейное",IF(H45&gt;=0.5,"Конкурентная норма с влиянием на выбор","Зона усиления ценности"),IF(E45="Привлекательное",IF(H45&lt;0.5,"Зона дифференциации","Переходит в ожидаемую норму"),IF(E45="Безразличное","Не делать при дефиците ресурсов",IF(E45="Обратное","Исключить или проверить риск отторжения","Требует проверки"))))))</f>
        <v/>
      </c>
      <c r="K45" s="2" t="n"/>
      <c r="L45" s="2" t="n"/>
      <c r="M45" s="2" t="n"/>
    </row>
    <row r="46">
      <c r="A46" s="2" t="inlineStr">
        <is>
          <t>R040</t>
        </is>
      </c>
      <c r="B46" s="2" t="n"/>
      <c r="C46" s="2" t="n"/>
      <c r="D46" s="2" t="n"/>
      <c r="E46" s="2" t="n"/>
      <c r="F46" s="2" t="n"/>
      <c r="G46" s="2" t="n"/>
      <c r="H46" s="5">
        <f>IF(G46="","",IFERROR(G46/MAX(1,COUNTIF('01_Конкуренты'!$B\$7:$B\$36,"?*")),""))</f>
        <v/>
      </c>
      <c r="I46" s="2" t="n"/>
      <c r="J46" s="2">
        <f>IF(B46="","",IF(E46="Обязательное",IF(H46&gt;=0.6,"Минимальный рыночный стандарт","Потенциальный обязательный разрыв"),IF(E46="Линейное",IF(H46&gt;=0.5,"Конкурентная норма с влиянием на выбор","Зона усиления ценности"),IF(E46="Привлекательное",IF(H46&lt;0.5,"Зона дифференциации","Переходит в ожидаемую норму"),IF(E46="Безразличное","Не делать при дефиците ресурсов",IF(E46="Обратное","Исключить или проверить риск отторжения","Требует проверки"))))))</f>
        <v/>
      </c>
      <c r="K46" s="2" t="n"/>
      <c r="L46" s="2" t="n"/>
      <c r="M46" s="2" t="n"/>
    </row>
    <row r="47">
      <c r="A47" s="2" t="inlineStr">
        <is>
          <t>R041</t>
        </is>
      </c>
      <c r="B47" s="2" t="n"/>
      <c r="C47" s="2" t="n"/>
      <c r="D47" s="2" t="n"/>
      <c r="E47" s="2" t="n"/>
      <c r="F47" s="2" t="n"/>
      <c r="G47" s="2" t="n"/>
      <c r="H47" s="5">
        <f>IF(G47="","",IFERROR(G47/MAX(1,COUNTIF('01_Конкуренты'!$B\$7:$B\$36,"?*")),""))</f>
        <v/>
      </c>
      <c r="I47" s="2" t="n"/>
      <c r="J47" s="2">
        <f>IF(B47="","",IF(E47="Обязательное",IF(H47&gt;=0.6,"Минимальный рыночный стандарт","Потенциальный обязательный разрыв"),IF(E47="Линейное",IF(H47&gt;=0.5,"Конкурентная норма с влиянием на выбор","Зона усиления ценности"),IF(E47="Привлекательное",IF(H47&lt;0.5,"Зона дифференциации","Переходит в ожидаемую норму"),IF(E47="Безразличное","Не делать при дефиците ресурсов",IF(E47="Обратное","Исключить или проверить риск отторжения","Требует проверки"))))))</f>
        <v/>
      </c>
      <c r="K47" s="2" t="n"/>
      <c r="L47" s="2" t="n"/>
      <c r="M47" s="2" t="n"/>
    </row>
    <row r="48">
      <c r="A48" s="2" t="inlineStr">
        <is>
          <t>R042</t>
        </is>
      </c>
      <c r="B48" s="2" t="n"/>
      <c r="C48" s="2" t="n"/>
      <c r="D48" s="2" t="n"/>
      <c r="E48" s="2" t="n"/>
      <c r="F48" s="2" t="n"/>
      <c r="G48" s="2" t="n"/>
      <c r="H48" s="5">
        <f>IF(G48="","",IFERROR(G48/MAX(1,COUNTIF('01_Конкуренты'!$B\$7:$B\$36,"?*")),""))</f>
        <v/>
      </c>
      <c r="I48" s="2" t="n"/>
      <c r="J48" s="2">
        <f>IF(B48="","",IF(E48="Обязательное",IF(H48&gt;=0.6,"Минимальный рыночный стандарт","Потенциальный обязательный разрыв"),IF(E48="Линейное",IF(H48&gt;=0.5,"Конкурентная норма с влиянием на выбор","Зона усиления ценности"),IF(E48="Привлекательное",IF(H48&lt;0.5,"Зона дифференциации","Переходит в ожидаемую норму"),IF(E48="Безразличное","Не делать при дефиците ресурсов",IF(E48="Обратное","Исключить или проверить риск отторжения","Требует проверки"))))))</f>
        <v/>
      </c>
      <c r="K48" s="2" t="n"/>
      <c r="L48" s="2" t="n"/>
      <c r="M48" s="2" t="n"/>
    </row>
    <row r="49">
      <c r="A49" s="2" t="inlineStr">
        <is>
          <t>R043</t>
        </is>
      </c>
      <c r="B49" s="2" t="n"/>
      <c r="C49" s="2" t="n"/>
      <c r="D49" s="2" t="n"/>
      <c r="E49" s="2" t="n"/>
      <c r="F49" s="2" t="n"/>
      <c r="G49" s="2" t="n"/>
      <c r="H49" s="5">
        <f>IF(G49="","",IFERROR(G49/MAX(1,COUNTIF('01_Конкуренты'!$B\$7:$B\$36,"?*")),""))</f>
        <v/>
      </c>
      <c r="I49" s="2" t="n"/>
      <c r="J49" s="2">
        <f>IF(B49="","",IF(E49="Обязательное",IF(H49&gt;=0.6,"Минимальный рыночный стандарт","Потенциальный обязательный разрыв"),IF(E49="Линейное",IF(H49&gt;=0.5,"Конкурентная норма с влиянием на выбор","Зона усиления ценности"),IF(E49="Привлекательное",IF(H49&lt;0.5,"Зона дифференциации","Переходит в ожидаемую норму"),IF(E49="Безразличное","Не делать при дефиците ресурсов",IF(E49="Обратное","Исключить или проверить риск отторжения","Требует проверки"))))))</f>
        <v/>
      </c>
      <c r="K49" s="2" t="n"/>
      <c r="L49" s="2" t="n"/>
      <c r="M49" s="2" t="n"/>
    </row>
    <row r="50">
      <c r="A50" s="2" t="inlineStr">
        <is>
          <t>R044</t>
        </is>
      </c>
      <c r="B50" s="2" t="n"/>
      <c r="C50" s="2" t="n"/>
      <c r="D50" s="2" t="n"/>
      <c r="E50" s="2" t="n"/>
      <c r="F50" s="2" t="n"/>
      <c r="G50" s="2" t="n"/>
      <c r="H50" s="5">
        <f>IF(G50="","",IFERROR(G50/MAX(1,COUNTIF('01_Конкуренты'!$B\$7:$B\$36,"?*")),""))</f>
        <v/>
      </c>
      <c r="I50" s="2" t="n"/>
      <c r="J50" s="2">
        <f>IF(B50="","",IF(E50="Обязательное",IF(H50&gt;=0.6,"Минимальный рыночный стандарт","Потенциальный обязательный разрыв"),IF(E50="Линейное",IF(H50&gt;=0.5,"Конкурентная норма с влиянием на выбор","Зона усиления ценности"),IF(E50="Привлекательное",IF(H50&lt;0.5,"Зона дифференциации","Переходит в ожидаемую норму"),IF(E50="Безразличное","Не делать при дефиците ресурсов",IF(E50="Обратное","Исключить или проверить риск отторжения","Требует проверки"))))))</f>
        <v/>
      </c>
      <c r="K50" s="2" t="n"/>
      <c r="L50" s="2" t="n"/>
      <c r="M50" s="2" t="n"/>
    </row>
    <row r="51">
      <c r="A51" s="2" t="inlineStr">
        <is>
          <t>R045</t>
        </is>
      </c>
      <c r="B51" s="2" t="n"/>
      <c r="C51" s="2" t="n"/>
      <c r="D51" s="2" t="n"/>
      <c r="E51" s="2" t="n"/>
      <c r="F51" s="2" t="n"/>
      <c r="G51" s="2" t="n"/>
      <c r="H51" s="5">
        <f>IF(G51="","",IFERROR(G51/MAX(1,COUNTIF('01_Конкуренты'!$B\$7:$B\$36,"?*")),""))</f>
        <v/>
      </c>
      <c r="I51" s="2" t="n"/>
      <c r="J51" s="2">
        <f>IF(B51="","",IF(E51="Обязательное",IF(H51&gt;=0.6,"Минимальный рыночный стандарт","Потенциальный обязательный разрыв"),IF(E51="Линейное",IF(H51&gt;=0.5,"Конкурентная норма с влиянием на выбор","Зона усиления ценности"),IF(E51="Привлекательное",IF(H51&lt;0.5,"Зона дифференциации","Переходит в ожидаемую норму"),IF(E51="Безразличное","Не делать при дефиците ресурсов",IF(E51="Обратное","Исключить или проверить риск отторжения","Требует проверки"))))))</f>
        <v/>
      </c>
      <c r="K51" s="2" t="n"/>
      <c r="L51" s="2" t="n"/>
      <c r="M51" s="2" t="n"/>
    </row>
    <row r="52">
      <c r="A52" s="2" t="inlineStr">
        <is>
          <t>R046</t>
        </is>
      </c>
      <c r="B52" s="2" t="n"/>
      <c r="C52" s="2" t="n"/>
      <c r="D52" s="2" t="n"/>
      <c r="E52" s="2" t="n"/>
      <c r="F52" s="2" t="n"/>
      <c r="G52" s="2" t="n"/>
      <c r="H52" s="5">
        <f>IF(G52="","",IFERROR(G52/MAX(1,COUNTIF('01_Конкуренты'!$B\$7:$B\$36,"?*")),""))</f>
        <v/>
      </c>
      <c r="I52" s="2" t="n"/>
      <c r="J52" s="2">
        <f>IF(B52="","",IF(E52="Обязательное",IF(H52&gt;=0.6,"Минимальный рыночный стандарт","Потенциальный обязательный разрыв"),IF(E52="Линейное",IF(H52&gt;=0.5,"Конкурентная норма с влиянием на выбор","Зона усиления ценности"),IF(E52="Привлекательное",IF(H52&lt;0.5,"Зона дифференциации","Переходит в ожидаемую норму"),IF(E52="Безразличное","Не делать при дефиците ресурсов",IF(E52="Обратное","Исключить или проверить риск отторжения","Требует проверки"))))))</f>
        <v/>
      </c>
      <c r="K52" s="2" t="n"/>
      <c r="L52" s="2" t="n"/>
      <c r="M52" s="2" t="n"/>
    </row>
    <row r="53">
      <c r="A53" s="2" t="inlineStr">
        <is>
          <t>R047</t>
        </is>
      </c>
      <c r="B53" s="2" t="n"/>
      <c r="C53" s="2" t="n"/>
      <c r="D53" s="2" t="n"/>
      <c r="E53" s="2" t="n"/>
      <c r="F53" s="2" t="n"/>
      <c r="G53" s="2" t="n"/>
      <c r="H53" s="5">
        <f>IF(G53="","",IFERROR(G53/MAX(1,COUNTIF('01_Конкуренты'!$B\$7:$B\$36,"?*")),""))</f>
        <v/>
      </c>
      <c r="I53" s="2" t="n"/>
      <c r="J53" s="2">
        <f>IF(B53="","",IF(E53="Обязательное",IF(H53&gt;=0.6,"Минимальный рыночный стандарт","Потенциальный обязательный разрыв"),IF(E53="Линейное",IF(H53&gt;=0.5,"Конкурентная норма с влиянием на выбор","Зона усиления ценности"),IF(E53="Привлекательное",IF(H53&lt;0.5,"Зона дифференциации","Переходит в ожидаемую норму"),IF(E53="Безразличное","Не делать при дефиците ресурсов",IF(E53="Обратное","Исключить или проверить риск отторжения","Требует проверки"))))))</f>
        <v/>
      </c>
      <c r="K53" s="2" t="n"/>
      <c r="L53" s="2" t="n"/>
      <c r="M53" s="2" t="n"/>
    </row>
    <row r="54">
      <c r="A54" s="2" t="inlineStr">
        <is>
          <t>R048</t>
        </is>
      </c>
      <c r="B54" s="2" t="n"/>
      <c r="C54" s="2" t="n"/>
      <c r="D54" s="2" t="n"/>
      <c r="E54" s="2" t="n"/>
      <c r="F54" s="2" t="n"/>
      <c r="G54" s="2" t="n"/>
      <c r="H54" s="5">
        <f>IF(G54="","",IFERROR(G54/MAX(1,COUNTIF('01_Конкуренты'!$B\$7:$B\$36,"?*")),""))</f>
        <v/>
      </c>
      <c r="I54" s="2" t="n"/>
      <c r="J54" s="2">
        <f>IF(B54="","",IF(E54="Обязательное",IF(H54&gt;=0.6,"Минимальный рыночный стандарт","Потенциальный обязательный разрыв"),IF(E54="Линейное",IF(H54&gt;=0.5,"Конкурентная норма с влиянием на выбор","Зона усиления ценности"),IF(E54="Привлекательное",IF(H54&lt;0.5,"Зона дифференциации","Переходит в ожидаемую норму"),IF(E54="Безразличное","Не делать при дефиците ресурсов",IF(E54="Обратное","Исключить или проверить риск отторжения","Требует проверки"))))))</f>
        <v/>
      </c>
      <c r="K54" s="2" t="n"/>
      <c r="L54" s="2" t="n"/>
      <c r="M54" s="2" t="n"/>
    </row>
    <row r="55">
      <c r="A55" s="2" t="inlineStr">
        <is>
          <t>R049</t>
        </is>
      </c>
      <c r="B55" s="2" t="n"/>
      <c r="C55" s="2" t="n"/>
      <c r="D55" s="2" t="n"/>
      <c r="E55" s="2" t="n"/>
      <c r="F55" s="2" t="n"/>
      <c r="G55" s="2" t="n"/>
      <c r="H55" s="5">
        <f>IF(G55="","",IFERROR(G55/MAX(1,COUNTIF('01_Конкуренты'!$B\$7:$B\$36,"?*")),""))</f>
        <v/>
      </c>
      <c r="I55" s="2" t="n"/>
      <c r="J55" s="2">
        <f>IF(B55="","",IF(E55="Обязательное",IF(H55&gt;=0.6,"Минимальный рыночный стандарт","Потенциальный обязательный разрыв"),IF(E55="Линейное",IF(H55&gt;=0.5,"Конкурентная норма с влиянием на выбор","Зона усиления ценности"),IF(E55="Привлекательное",IF(H55&lt;0.5,"Зона дифференциации","Переходит в ожидаемую норму"),IF(E55="Безразличное","Не делать при дефиците ресурсов",IF(E55="Обратное","Исключить или проверить риск отторжения","Требует проверки"))))))</f>
        <v/>
      </c>
      <c r="K55" s="2" t="n"/>
      <c r="L55" s="2" t="n"/>
      <c r="M55" s="2" t="n"/>
    </row>
    <row r="56">
      <c r="A56" s="2" t="inlineStr">
        <is>
          <t>R050</t>
        </is>
      </c>
      <c r="B56" s="2" t="n"/>
      <c r="C56" s="2" t="n"/>
      <c r="D56" s="2" t="n"/>
      <c r="E56" s="2" t="n"/>
      <c r="F56" s="2" t="n"/>
      <c r="G56" s="2" t="n"/>
      <c r="H56" s="5">
        <f>IF(G56="","",IFERROR(G56/MAX(1,COUNTIF('01_Конкуренты'!$B\$7:$B\$36,"?*")),""))</f>
        <v/>
      </c>
      <c r="I56" s="2" t="n"/>
      <c r="J56" s="2">
        <f>IF(B56="","",IF(E56="Обязательное",IF(H56&gt;=0.6,"Минимальный рыночный стандарт","Потенциальный обязательный разрыв"),IF(E56="Линейное",IF(H56&gt;=0.5,"Конкурентная норма с влиянием на выбор","Зона усиления ценности"),IF(E56="Привлекательное",IF(H56&lt;0.5,"Зона дифференциации","Переходит в ожидаемую норму"),IF(E56="Безразличное","Не делать при дефиците ресурсов",IF(E56="Обратное","Исключить или проверить риск отторжения","Требует проверки"))))))</f>
        <v/>
      </c>
      <c r="K56" s="2" t="n"/>
      <c r="L56" s="2" t="n"/>
      <c r="M56" s="2" t="n"/>
    </row>
    <row r="57">
      <c r="A57" s="2" t="inlineStr">
        <is>
          <t>R051</t>
        </is>
      </c>
      <c r="B57" s="2" t="n"/>
      <c r="C57" s="2" t="n"/>
      <c r="D57" s="2" t="n"/>
      <c r="E57" s="2" t="n"/>
      <c r="F57" s="2" t="n"/>
      <c r="G57" s="2" t="n"/>
      <c r="H57" s="5">
        <f>IF(G57="","",IFERROR(G57/MAX(1,COUNTIF('01_Конкуренты'!$B\$7:$B\$36,"?*")),""))</f>
        <v/>
      </c>
      <c r="I57" s="2" t="n"/>
      <c r="J57" s="2">
        <f>IF(B57="","",IF(E57="Обязательное",IF(H57&gt;=0.6,"Минимальный рыночный стандарт","Потенциальный обязательный разрыв"),IF(E57="Линейное",IF(H57&gt;=0.5,"Конкурентная норма с влиянием на выбор","Зона усиления ценности"),IF(E57="Привлекательное",IF(H57&lt;0.5,"Зона дифференциации","Переходит в ожидаемую норму"),IF(E57="Безразличное","Не делать при дефиците ресурсов",IF(E57="Обратное","Исключить или проверить риск отторжения","Требует проверки"))))))</f>
        <v/>
      </c>
      <c r="K57" s="2" t="n"/>
      <c r="L57" s="2" t="n"/>
      <c r="M57" s="2" t="n"/>
    </row>
    <row r="58">
      <c r="A58" s="2" t="inlineStr">
        <is>
          <t>R052</t>
        </is>
      </c>
      <c r="B58" s="2" t="n"/>
      <c r="C58" s="2" t="n"/>
      <c r="D58" s="2" t="n"/>
      <c r="E58" s="2" t="n"/>
      <c r="F58" s="2" t="n"/>
      <c r="G58" s="2" t="n"/>
      <c r="H58" s="5">
        <f>IF(G58="","",IFERROR(G58/MAX(1,COUNTIF('01_Конкуренты'!$B\$7:$B\$36,"?*")),""))</f>
        <v/>
      </c>
      <c r="I58" s="2" t="n"/>
      <c r="J58" s="2">
        <f>IF(B58="","",IF(E58="Обязательное",IF(H58&gt;=0.6,"Минимальный рыночный стандарт","Потенциальный обязательный разрыв"),IF(E58="Линейное",IF(H58&gt;=0.5,"Конкурентная норма с влиянием на выбор","Зона усиления ценности"),IF(E58="Привлекательное",IF(H58&lt;0.5,"Зона дифференциации","Переходит в ожидаемую норму"),IF(E58="Безразличное","Не делать при дефиците ресурсов",IF(E58="Обратное","Исключить или проверить риск отторжения","Требует проверки"))))))</f>
        <v/>
      </c>
      <c r="K58" s="2" t="n"/>
      <c r="L58" s="2" t="n"/>
      <c r="M58" s="2" t="n"/>
    </row>
    <row r="59">
      <c r="A59" s="2" t="inlineStr">
        <is>
          <t>R053</t>
        </is>
      </c>
      <c r="B59" s="2" t="n"/>
      <c r="C59" s="2" t="n"/>
      <c r="D59" s="2" t="n"/>
      <c r="E59" s="2" t="n"/>
      <c r="F59" s="2" t="n"/>
      <c r="G59" s="2" t="n"/>
      <c r="H59" s="5">
        <f>IF(G59="","",IFERROR(G59/MAX(1,COUNTIF('01_Конкуренты'!$B\$7:$B\$36,"?*")),""))</f>
        <v/>
      </c>
      <c r="I59" s="2" t="n"/>
      <c r="J59" s="2">
        <f>IF(B59="","",IF(E59="Обязательное",IF(H59&gt;=0.6,"Минимальный рыночный стандарт","Потенциальный обязательный разрыв"),IF(E59="Линейное",IF(H59&gt;=0.5,"Конкурентная норма с влиянием на выбор","Зона усиления ценности"),IF(E59="Привлекательное",IF(H59&lt;0.5,"Зона дифференциации","Переходит в ожидаемую норму"),IF(E59="Безразличное","Не делать при дефиците ресурсов",IF(E59="Обратное","Исключить или проверить риск отторжения","Требует проверки"))))))</f>
        <v/>
      </c>
      <c r="K59" s="2" t="n"/>
      <c r="L59" s="2" t="n"/>
      <c r="M59" s="2" t="n"/>
    </row>
    <row r="60">
      <c r="A60" s="2" t="inlineStr">
        <is>
          <t>R054</t>
        </is>
      </c>
      <c r="B60" s="2" t="n"/>
      <c r="C60" s="2" t="n"/>
      <c r="D60" s="2" t="n"/>
      <c r="E60" s="2" t="n"/>
      <c r="F60" s="2" t="n"/>
      <c r="G60" s="2" t="n"/>
      <c r="H60" s="5">
        <f>IF(G60="","",IFERROR(G60/MAX(1,COUNTIF('01_Конкуренты'!$B\$7:$B\$36,"?*")),""))</f>
        <v/>
      </c>
      <c r="I60" s="2" t="n"/>
      <c r="J60" s="2">
        <f>IF(B60="","",IF(E60="Обязательное",IF(H60&gt;=0.6,"Минимальный рыночный стандарт","Потенциальный обязательный разрыв"),IF(E60="Линейное",IF(H60&gt;=0.5,"Конкурентная норма с влиянием на выбор","Зона усиления ценности"),IF(E60="Привлекательное",IF(H60&lt;0.5,"Зона дифференциации","Переходит в ожидаемую норму"),IF(E60="Безразличное","Не делать при дефиците ресурсов",IF(E60="Обратное","Исключить или проверить риск отторжения","Требует проверки"))))))</f>
        <v/>
      </c>
      <c r="K60" s="2" t="n"/>
      <c r="L60" s="2" t="n"/>
      <c r="M60" s="2" t="n"/>
    </row>
    <row r="61">
      <c r="A61" s="2" t="inlineStr">
        <is>
          <t>R055</t>
        </is>
      </c>
      <c r="B61" s="2" t="n"/>
      <c r="C61" s="2" t="n"/>
      <c r="D61" s="2" t="n"/>
      <c r="E61" s="2" t="n"/>
      <c r="F61" s="2" t="n"/>
      <c r="G61" s="2" t="n"/>
      <c r="H61" s="5">
        <f>IF(G61="","",IFERROR(G61/MAX(1,COUNTIF('01_Конкуренты'!$B\$7:$B\$36,"?*")),""))</f>
        <v/>
      </c>
      <c r="I61" s="2" t="n"/>
      <c r="J61" s="2">
        <f>IF(B61="","",IF(E61="Обязательное",IF(H61&gt;=0.6,"Минимальный рыночный стандарт","Потенциальный обязательный разрыв"),IF(E61="Линейное",IF(H61&gt;=0.5,"Конкурентная норма с влиянием на выбор","Зона усиления ценности"),IF(E61="Привлекательное",IF(H61&lt;0.5,"Зона дифференциации","Переходит в ожидаемую норму"),IF(E61="Безразличное","Не делать при дефиците ресурсов",IF(E61="Обратное","Исключить или проверить риск отторжения","Требует проверки"))))))</f>
        <v/>
      </c>
      <c r="K61" s="2" t="n"/>
      <c r="L61" s="2" t="n"/>
      <c r="M61" s="2" t="n"/>
    </row>
    <row r="62">
      <c r="A62" s="2" t="inlineStr">
        <is>
          <t>R056</t>
        </is>
      </c>
      <c r="B62" s="2" t="n"/>
      <c r="C62" s="2" t="n"/>
      <c r="D62" s="2" t="n"/>
      <c r="E62" s="2" t="n"/>
      <c r="F62" s="2" t="n"/>
      <c r="G62" s="2" t="n"/>
      <c r="H62" s="5">
        <f>IF(G62="","",IFERROR(G62/MAX(1,COUNTIF('01_Конкуренты'!$B\$7:$B\$36,"?*")),""))</f>
        <v/>
      </c>
      <c r="I62" s="2" t="n"/>
      <c r="J62" s="2">
        <f>IF(B62="","",IF(E62="Обязательное",IF(H62&gt;=0.6,"Минимальный рыночный стандарт","Потенциальный обязательный разрыв"),IF(E62="Линейное",IF(H62&gt;=0.5,"Конкурентная норма с влиянием на выбор","Зона усиления ценности"),IF(E62="Привлекательное",IF(H62&lt;0.5,"Зона дифференциации","Переходит в ожидаемую норму"),IF(E62="Безразличное","Не делать при дефиците ресурсов",IF(E62="Обратное","Исключить или проверить риск отторжения","Требует проверки"))))))</f>
        <v/>
      </c>
      <c r="K62" s="2" t="n"/>
      <c r="L62" s="2" t="n"/>
      <c r="M62" s="2" t="n"/>
    </row>
    <row r="63">
      <c r="A63" s="2" t="inlineStr">
        <is>
          <t>R057</t>
        </is>
      </c>
      <c r="B63" s="2" t="n"/>
      <c r="C63" s="2" t="n"/>
      <c r="D63" s="2" t="n"/>
      <c r="E63" s="2" t="n"/>
      <c r="F63" s="2" t="n"/>
      <c r="G63" s="2" t="n"/>
      <c r="H63" s="5">
        <f>IF(G63="","",IFERROR(G63/MAX(1,COUNTIF('01_Конкуренты'!$B\$7:$B\$36,"?*")),""))</f>
        <v/>
      </c>
      <c r="I63" s="2" t="n"/>
      <c r="J63" s="2">
        <f>IF(B63="","",IF(E63="Обязательное",IF(H63&gt;=0.6,"Минимальный рыночный стандарт","Потенциальный обязательный разрыв"),IF(E63="Линейное",IF(H63&gt;=0.5,"Конкурентная норма с влиянием на выбор","Зона усиления ценности"),IF(E63="Привлекательное",IF(H63&lt;0.5,"Зона дифференциации","Переходит в ожидаемую норму"),IF(E63="Безразличное","Не делать при дефиците ресурсов",IF(E63="Обратное","Исключить или проверить риск отторжения","Требует проверки"))))))</f>
        <v/>
      </c>
      <c r="K63" s="2" t="n"/>
      <c r="L63" s="2" t="n"/>
      <c r="M63" s="2" t="n"/>
    </row>
    <row r="64">
      <c r="A64" s="2" t="inlineStr">
        <is>
          <t>R058</t>
        </is>
      </c>
      <c r="B64" s="2" t="n"/>
      <c r="C64" s="2" t="n"/>
      <c r="D64" s="2" t="n"/>
      <c r="E64" s="2" t="n"/>
      <c r="F64" s="2" t="n"/>
      <c r="G64" s="2" t="n"/>
      <c r="H64" s="5">
        <f>IF(G64="","",IFERROR(G64/MAX(1,COUNTIF('01_Конкуренты'!$B\$7:$B\$36,"?*")),""))</f>
        <v/>
      </c>
      <c r="I64" s="2" t="n"/>
      <c r="J64" s="2">
        <f>IF(B64="","",IF(E64="Обязательное",IF(H64&gt;=0.6,"Минимальный рыночный стандарт","Потенциальный обязательный разрыв"),IF(E64="Линейное",IF(H64&gt;=0.5,"Конкурентная норма с влиянием на выбор","Зона усиления ценности"),IF(E64="Привлекательное",IF(H64&lt;0.5,"Зона дифференциации","Переходит в ожидаемую норму"),IF(E64="Безразличное","Не делать при дефиците ресурсов",IF(E64="Обратное","Исключить или проверить риск отторжения","Требует проверки"))))))</f>
        <v/>
      </c>
      <c r="K64" s="2" t="n"/>
      <c r="L64" s="2" t="n"/>
      <c r="M64" s="2" t="n"/>
    </row>
    <row r="65">
      <c r="A65" s="2" t="inlineStr">
        <is>
          <t>R059</t>
        </is>
      </c>
      <c r="B65" s="2" t="n"/>
      <c r="C65" s="2" t="n"/>
      <c r="D65" s="2" t="n"/>
      <c r="E65" s="2" t="n"/>
      <c r="F65" s="2" t="n"/>
      <c r="G65" s="2" t="n"/>
      <c r="H65" s="5">
        <f>IF(G65="","",IFERROR(G65/MAX(1,COUNTIF('01_Конкуренты'!$B\$7:$B\$36,"?*")),""))</f>
        <v/>
      </c>
      <c r="I65" s="2" t="n"/>
      <c r="J65" s="2">
        <f>IF(B65="","",IF(E65="Обязательное",IF(H65&gt;=0.6,"Минимальный рыночный стандарт","Потенциальный обязательный разрыв"),IF(E65="Линейное",IF(H65&gt;=0.5,"Конкурентная норма с влиянием на выбор","Зона усиления ценности"),IF(E65="Привлекательное",IF(H65&lt;0.5,"Зона дифференциации","Переходит в ожидаемую норму"),IF(E65="Безразличное","Не делать при дефиците ресурсов",IF(E65="Обратное","Исключить или проверить риск отторжения","Требует проверки"))))))</f>
        <v/>
      </c>
      <c r="K65" s="2" t="n"/>
      <c r="L65" s="2" t="n"/>
      <c r="M65" s="2" t="n"/>
    </row>
    <row r="66">
      <c r="A66" s="2" t="inlineStr">
        <is>
          <t>R060</t>
        </is>
      </c>
      <c r="B66" s="2" t="n"/>
      <c r="C66" s="2" t="n"/>
      <c r="D66" s="2" t="n"/>
      <c r="E66" s="2" t="n"/>
      <c r="F66" s="2" t="n"/>
      <c r="G66" s="2" t="n"/>
      <c r="H66" s="5">
        <f>IF(G66="","",IFERROR(G66/MAX(1,COUNTIF('01_Конкуренты'!$B\$7:$B\$36,"?*")),""))</f>
        <v/>
      </c>
      <c r="I66" s="2" t="n"/>
      <c r="J66" s="2">
        <f>IF(B66="","",IF(E66="Обязательное",IF(H66&gt;=0.6,"Минимальный рыночный стандарт","Потенциальный обязательный разрыв"),IF(E66="Линейное",IF(H66&gt;=0.5,"Конкурентная норма с влиянием на выбор","Зона усиления ценности"),IF(E66="Привлекательное",IF(H66&lt;0.5,"Зона дифференциации","Переходит в ожидаемую норму"),IF(E66="Безразличное","Не делать при дефиците ресурсов",IF(E66="Обратное","Исключить или проверить риск отторжения","Требует проверки"))))))</f>
        <v/>
      </c>
      <c r="K66" s="2" t="n"/>
      <c r="L66" s="2" t="n"/>
      <c r="M66" s="2" t="n"/>
    </row>
    <row r="67">
      <c r="A67" s="2" t="inlineStr">
        <is>
          <t>R061</t>
        </is>
      </c>
      <c r="B67" s="2" t="n"/>
      <c r="C67" s="2" t="n"/>
      <c r="D67" s="2" t="n"/>
      <c r="E67" s="2" t="n"/>
      <c r="F67" s="2" t="n"/>
      <c r="G67" s="2" t="n"/>
      <c r="H67" s="5">
        <f>IF(G67="","",IFERROR(G67/MAX(1,COUNTIF('01_Конкуренты'!$B\$7:$B\$36,"?*")),""))</f>
        <v/>
      </c>
      <c r="I67" s="2" t="n"/>
      <c r="J67" s="2">
        <f>IF(B67="","",IF(E67="Обязательное",IF(H67&gt;=0.6,"Минимальный рыночный стандарт","Потенциальный обязательный разрыв"),IF(E67="Линейное",IF(H67&gt;=0.5,"Конкурентная норма с влиянием на выбор","Зона усиления ценности"),IF(E67="Привлекательное",IF(H67&lt;0.5,"Зона дифференциации","Переходит в ожидаемую норму"),IF(E67="Безразличное","Не делать при дефиците ресурсов",IF(E67="Обратное","Исключить или проверить риск отторжения","Требует проверки"))))))</f>
        <v/>
      </c>
      <c r="K67" s="2" t="n"/>
      <c r="L67" s="2" t="n"/>
      <c r="M67" s="2" t="n"/>
    </row>
    <row r="68">
      <c r="A68" s="2" t="inlineStr">
        <is>
          <t>R062</t>
        </is>
      </c>
      <c r="B68" s="2" t="n"/>
      <c r="C68" s="2" t="n"/>
      <c r="D68" s="2" t="n"/>
      <c r="E68" s="2" t="n"/>
      <c r="F68" s="2" t="n"/>
      <c r="G68" s="2" t="n"/>
      <c r="H68" s="5">
        <f>IF(G68="","",IFERROR(G68/MAX(1,COUNTIF('01_Конкуренты'!$B\$7:$B\$36,"?*")),""))</f>
        <v/>
      </c>
      <c r="I68" s="2" t="n"/>
      <c r="J68" s="2">
        <f>IF(B68="","",IF(E68="Обязательное",IF(H68&gt;=0.6,"Минимальный рыночный стандарт","Потенциальный обязательный разрыв"),IF(E68="Линейное",IF(H68&gt;=0.5,"Конкурентная норма с влиянием на выбор","Зона усиления ценности"),IF(E68="Привлекательное",IF(H68&lt;0.5,"Зона дифференциации","Переходит в ожидаемую норму"),IF(E68="Безразличное","Не делать при дефиците ресурсов",IF(E68="Обратное","Исключить или проверить риск отторжения","Требует проверки"))))))</f>
        <v/>
      </c>
      <c r="K68" s="2" t="n"/>
      <c r="L68" s="2" t="n"/>
      <c r="M68" s="2" t="n"/>
    </row>
    <row r="69">
      <c r="A69" s="2" t="inlineStr">
        <is>
          <t>R063</t>
        </is>
      </c>
      <c r="B69" s="2" t="n"/>
      <c r="C69" s="2" t="n"/>
      <c r="D69" s="2" t="n"/>
      <c r="E69" s="2" t="n"/>
      <c r="F69" s="2" t="n"/>
      <c r="G69" s="2" t="n"/>
      <c r="H69" s="5">
        <f>IF(G69="","",IFERROR(G69/MAX(1,COUNTIF('01_Конкуренты'!$B\$7:$B\$36,"?*")),""))</f>
        <v/>
      </c>
      <c r="I69" s="2" t="n"/>
      <c r="J69" s="2">
        <f>IF(B69="","",IF(E69="Обязательное",IF(H69&gt;=0.6,"Минимальный рыночный стандарт","Потенциальный обязательный разрыв"),IF(E69="Линейное",IF(H69&gt;=0.5,"Конкурентная норма с влиянием на выбор","Зона усиления ценности"),IF(E69="Привлекательное",IF(H69&lt;0.5,"Зона дифференциации","Переходит в ожидаемую норму"),IF(E69="Безразличное","Не делать при дефиците ресурсов",IF(E69="Обратное","Исключить или проверить риск отторжения","Требует проверки"))))))</f>
        <v/>
      </c>
      <c r="K69" s="2" t="n"/>
      <c r="L69" s="2" t="n"/>
      <c r="M69" s="2" t="n"/>
    </row>
    <row r="70">
      <c r="A70" s="2" t="inlineStr">
        <is>
          <t>R064</t>
        </is>
      </c>
      <c r="B70" s="2" t="n"/>
      <c r="C70" s="2" t="n"/>
      <c r="D70" s="2" t="n"/>
      <c r="E70" s="2" t="n"/>
      <c r="F70" s="2" t="n"/>
      <c r="G70" s="2" t="n"/>
      <c r="H70" s="5">
        <f>IF(G70="","",IFERROR(G70/MAX(1,COUNTIF('01_Конкуренты'!$B\$7:$B\$36,"?*")),""))</f>
        <v/>
      </c>
      <c r="I70" s="2" t="n"/>
      <c r="J70" s="2">
        <f>IF(B70="","",IF(E70="Обязательное",IF(H70&gt;=0.6,"Минимальный рыночный стандарт","Потенциальный обязательный разрыв"),IF(E70="Линейное",IF(H70&gt;=0.5,"Конкурентная норма с влиянием на выбор","Зона усиления ценности"),IF(E70="Привлекательное",IF(H70&lt;0.5,"Зона дифференциации","Переходит в ожидаемую норму"),IF(E70="Безразличное","Не делать при дефиците ресурсов",IF(E70="Обратное","Исключить или проверить риск отторжения","Требует проверки"))))))</f>
        <v/>
      </c>
      <c r="K70" s="2" t="n"/>
      <c r="L70" s="2" t="n"/>
      <c r="M70" s="2" t="n"/>
    </row>
    <row r="71">
      <c r="A71" s="2" t="inlineStr">
        <is>
          <t>R065</t>
        </is>
      </c>
      <c r="B71" s="2" t="n"/>
      <c r="C71" s="2" t="n"/>
      <c r="D71" s="2" t="n"/>
      <c r="E71" s="2" t="n"/>
      <c r="F71" s="2" t="n"/>
      <c r="G71" s="2" t="n"/>
      <c r="H71" s="5">
        <f>IF(G71="","",IFERROR(G71/MAX(1,COUNTIF('01_Конкуренты'!$B\$7:$B\$36,"?*")),""))</f>
        <v/>
      </c>
      <c r="I71" s="2" t="n"/>
      <c r="J71" s="2">
        <f>IF(B71="","",IF(E71="Обязательное",IF(H71&gt;=0.6,"Минимальный рыночный стандарт","Потенциальный обязательный разрыв"),IF(E71="Линейное",IF(H71&gt;=0.5,"Конкурентная норма с влиянием на выбор","Зона усиления ценности"),IF(E71="Привлекательное",IF(H71&lt;0.5,"Зона дифференциации","Переходит в ожидаемую норму"),IF(E71="Безразличное","Не делать при дефиците ресурсов",IF(E71="Обратное","Исключить или проверить риск отторжения","Требует проверки"))))))</f>
        <v/>
      </c>
      <c r="K71" s="2" t="n"/>
      <c r="L71" s="2" t="n"/>
      <c r="M71" s="2" t="n"/>
    </row>
    <row r="72">
      <c r="A72" s="2" t="inlineStr">
        <is>
          <t>R066</t>
        </is>
      </c>
      <c r="B72" s="2" t="n"/>
      <c r="C72" s="2" t="n"/>
      <c r="D72" s="2" t="n"/>
      <c r="E72" s="2" t="n"/>
      <c r="F72" s="2" t="n"/>
      <c r="G72" s="2" t="n"/>
      <c r="H72" s="5">
        <f>IF(G72="","",IFERROR(G72/MAX(1,COUNTIF('01_Конкуренты'!$B\$7:$B\$36,"?*")),""))</f>
        <v/>
      </c>
      <c r="I72" s="2" t="n"/>
      <c r="J72" s="2">
        <f>IF(B72="","",IF(E72="Обязательное",IF(H72&gt;=0.6,"Минимальный рыночный стандарт","Потенциальный обязательный разрыв"),IF(E72="Линейное",IF(H72&gt;=0.5,"Конкурентная норма с влиянием на выбор","Зона усиления ценности"),IF(E72="Привлекательное",IF(H72&lt;0.5,"Зона дифференциации","Переходит в ожидаемую норму"),IF(E72="Безразличное","Не делать при дефиците ресурсов",IF(E72="Обратное","Исключить или проверить риск отторжения","Требует проверки"))))))</f>
        <v/>
      </c>
      <c r="K72" s="2" t="n"/>
      <c r="L72" s="2" t="n"/>
      <c r="M72" s="2" t="n"/>
    </row>
    <row r="73">
      <c r="A73" s="2" t="inlineStr">
        <is>
          <t>R067</t>
        </is>
      </c>
      <c r="B73" s="2" t="n"/>
      <c r="C73" s="2" t="n"/>
      <c r="D73" s="2" t="n"/>
      <c r="E73" s="2" t="n"/>
      <c r="F73" s="2" t="n"/>
      <c r="G73" s="2" t="n"/>
      <c r="H73" s="5">
        <f>IF(G73="","",IFERROR(G73/MAX(1,COUNTIF('01_Конкуренты'!$B\$7:$B\$36,"?*")),""))</f>
        <v/>
      </c>
      <c r="I73" s="2" t="n"/>
      <c r="J73" s="2">
        <f>IF(B73="","",IF(E73="Обязательное",IF(H73&gt;=0.6,"Минимальный рыночный стандарт","Потенциальный обязательный разрыв"),IF(E73="Линейное",IF(H73&gt;=0.5,"Конкурентная норма с влиянием на выбор","Зона усиления ценности"),IF(E73="Привлекательное",IF(H73&lt;0.5,"Зона дифференциации","Переходит в ожидаемую норму"),IF(E73="Безразличное","Не делать при дефиците ресурсов",IF(E73="Обратное","Исключить или проверить риск отторжения","Требует проверки"))))))</f>
        <v/>
      </c>
      <c r="K73" s="2" t="n"/>
      <c r="L73" s="2" t="n"/>
      <c r="M73" s="2" t="n"/>
    </row>
    <row r="74">
      <c r="A74" s="2" t="inlineStr">
        <is>
          <t>R068</t>
        </is>
      </c>
      <c r="B74" s="2" t="n"/>
      <c r="C74" s="2" t="n"/>
      <c r="D74" s="2" t="n"/>
      <c r="E74" s="2" t="n"/>
      <c r="F74" s="2" t="n"/>
      <c r="G74" s="2" t="n"/>
      <c r="H74" s="5">
        <f>IF(G74="","",IFERROR(G74/MAX(1,COUNTIF('01_Конкуренты'!$B\$7:$B\$36,"?*")),""))</f>
        <v/>
      </c>
      <c r="I74" s="2" t="n"/>
      <c r="J74" s="2">
        <f>IF(B74="","",IF(E74="Обязательное",IF(H74&gt;=0.6,"Минимальный рыночный стандарт","Потенциальный обязательный разрыв"),IF(E74="Линейное",IF(H74&gt;=0.5,"Конкурентная норма с влиянием на выбор","Зона усиления ценности"),IF(E74="Привлекательное",IF(H74&lt;0.5,"Зона дифференциации","Переходит в ожидаемую норму"),IF(E74="Безразличное","Не делать при дефиците ресурсов",IF(E74="Обратное","Исключить или проверить риск отторжения","Требует проверки"))))))</f>
        <v/>
      </c>
      <c r="K74" s="2" t="n"/>
      <c r="L74" s="2" t="n"/>
      <c r="M74" s="2" t="n"/>
    </row>
    <row r="75">
      <c r="A75" s="2" t="inlineStr">
        <is>
          <t>R069</t>
        </is>
      </c>
      <c r="B75" s="2" t="n"/>
      <c r="C75" s="2" t="n"/>
      <c r="D75" s="2" t="n"/>
      <c r="E75" s="2" t="n"/>
      <c r="F75" s="2" t="n"/>
      <c r="G75" s="2" t="n"/>
      <c r="H75" s="5">
        <f>IF(G75="","",IFERROR(G75/MAX(1,COUNTIF('01_Конкуренты'!$B\$7:$B\$36,"?*")),""))</f>
        <v/>
      </c>
      <c r="I75" s="2" t="n"/>
      <c r="J75" s="2">
        <f>IF(B75="","",IF(E75="Обязательное",IF(H75&gt;=0.6,"Минимальный рыночный стандарт","Потенциальный обязательный разрыв"),IF(E75="Линейное",IF(H75&gt;=0.5,"Конкурентная норма с влиянием на выбор","Зона усиления ценности"),IF(E75="Привлекательное",IF(H75&lt;0.5,"Зона дифференциации","Переходит в ожидаемую норму"),IF(E75="Безразличное","Не делать при дефиците ресурсов",IF(E75="Обратное","Исключить или проверить риск отторжения","Требует проверки"))))))</f>
        <v/>
      </c>
      <c r="K75" s="2" t="n"/>
      <c r="L75" s="2" t="n"/>
      <c r="M75" s="2" t="n"/>
    </row>
    <row r="76">
      <c r="A76" s="2" t="inlineStr">
        <is>
          <t>R070</t>
        </is>
      </c>
      <c r="B76" s="2" t="n"/>
      <c r="C76" s="2" t="n"/>
      <c r="D76" s="2" t="n"/>
      <c r="E76" s="2" t="n"/>
      <c r="F76" s="2" t="n"/>
      <c r="G76" s="2" t="n"/>
      <c r="H76" s="5">
        <f>IF(G76="","",IFERROR(G76/MAX(1,COUNTIF('01_Конкуренты'!$B\$7:$B\$36,"?*")),""))</f>
        <v/>
      </c>
      <c r="I76" s="2" t="n"/>
      <c r="J76" s="2">
        <f>IF(B76="","",IF(E76="Обязательное",IF(H76&gt;=0.6,"Минимальный рыночный стандарт","Потенциальный обязательный разрыв"),IF(E76="Линейное",IF(H76&gt;=0.5,"Конкурентная норма с влиянием на выбор","Зона усиления ценности"),IF(E76="Привлекательное",IF(H76&lt;0.5,"Зона дифференциации","Переходит в ожидаемую норму"),IF(E76="Безразличное","Не делать при дефиците ресурсов",IF(E76="Обратное","Исключить или проверить риск отторжения","Требует проверки"))))))</f>
        <v/>
      </c>
      <c r="K76" s="2" t="n"/>
      <c r="L76" s="2" t="n"/>
      <c r="M76" s="2" t="n"/>
    </row>
    <row r="77">
      <c r="A77" s="2" t="inlineStr">
        <is>
          <t>R071</t>
        </is>
      </c>
      <c r="B77" s="2" t="n"/>
      <c r="C77" s="2" t="n"/>
      <c r="D77" s="2" t="n"/>
      <c r="E77" s="2" t="n"/>
      <c r="F77" s="2" t="n"/>
      <c r="G77" s="2" t="n"/>
      <c r="H77" s="5">
        <f>IF(G77="","",IFERROR(G77/MAX(1,COUNTIF('01_Конкуренты'!$B\$7:$B\$36,"?*")),""))</f>
        <v/>
      </c>
      <c r="I77" s="2" t="n"/>
      <c r="J77" s="2">
        <f>IF(B77="","",IF(E77="Обязательное",IF(H77&gt;=0.6,"Минимальный рыночный стандарт","Потенциальный обязательный разрыв"),IF(E77="Линейное",IF(H77&gt;=0.5,"Конкурентная норма с влиянием на выбор","Зона усиления ценности"),IF(E77="Привлекательное",IF(H77&lt;0.5,"Зона дифференциации","Переходит в ожидаемую норму"),IF(E77="Безразличное","Не делать при дефиците ресурсов",IF(E77="Обратное","Исключить или проверить риск отторжения","Требует проверки"))))))</f>
        <v/>
      </c>
      <c r="K77" s="2" t="n"/>
      <c r="L77" s="2" t="n"/>
      <c r="M77" s="2" t="n"/>
    </row>
    <row r="78">
      <c r="A78" s="2" t="inlineStr">
        <is>
          <t>R072</t>
        </is>
      </c>
      <c r="B78" s="2" t="n"/>
      <c r="C78" s="2" t="n"/>
      <c r="D78" s="2" t="n"/>
      <c r="E78" s="2" t="n"/>
      <c r="F78" s="2" t="n"/>
      <c r="G78" s="2" t="n"/>
      <c r="H78" s="5">
        <f>IF(G78="","",IFERROR(G78/MAX(1,COUNTIF('01_Конкуренты'!$B\$7:$B\$36,"?*")),""))</f>
        <v/>
      </c>
      <c r="I78" s="2" t="n"/>
      <c r="J78" s="2">
        <f>IF(B78="","",IF(E78="Обязательное",IF(H78&gt;=0.6,"Минимальный рыночный стандарт","Потенциальный обязательный разрыв"),IF(E78="Линейное",IF(H78&gt;=0.5,"Конкурентная норма с влиянием на выбор","Зона усиления ценности"),IF(E78="Привлекательное",IF(H78&lt;0.5,"Зона дифференциации","Переходит в ожидаемую норму"),IF(E78="Безразличное","Не делать при дефиците ресурсов",IF(E78="Обратное","Исключить или проверить риск отторжения","Требует проверки"))))))</f>
        <v/>
      </c>
      <c r="K78" s="2" t="n"/>
      <c r="L78" s="2" t="n"/>
      <c r="M78" s="2" t="n"/>
    </row>
    <row r="79">
      <c r="A79" s="2" t="inlineStr">
        <is>
          <t>R073</t>
        </is>
      </c>
      <c r="B79" s="2" t="n"/>
      <c r="C79" s="2" t="n"/>
      <c r="D79" s="2" t="n"/>
      <c r="E79" s="2" t="n"/>
      <c r="F79" s="2" t="n"/>
      <c r="G79" s="2" t="n"/>
      <c r="H79" s="5">
        <f>IF(G79="","",IFERROR(G79/MAX(1,COUNTIF('01_Конкуренты'!$B\$7:$B\$36,"?*")),""))</f>
        <v/>
      </c>
      <c r="I79" s="2" t="n"/>
      <c r="J79" s="2">
        <f>IF(B79="","",IF(E79="Обязательное",IF(H79&gt;=0.6,"Минимальный рыночный стандарт","Потенциальный обязательный разрыв"),IF(E79="Линейное",IF(H79&gt;=0.5,"Конкурентная норма с влиянием на выбор","Зона усиления ценности"),IF(E79="Привлекательное",IF(H79&lt;0.5,"Зона дифференциации","Переходит в ожидаемую норму"),IF(E79="Безразличное","Не делать при дефиците ресурсов",IF(E79="Обратное","Исключить или проверить риск отторжения","Требует проверки"))))))</f>
        <v/>
      </c>
      <c r="K79" s="2" t="n"/>
      <c r="L79" s="2" t="n"/>
      <c r="M79" s="2" t="n"/>
    </row>
    <row r="80">
      <c r="A80" s="2" t="inlineStr">
        <is>
          <t>R074</t>
        </is>
      </c>
      <c r="B80" s="2" t="n"/>
      <c r="C80" s="2" t="n"/>
      <c r="D80" s="2" t="n"/>
      <c r="E80" s="2" t="n"/>
      <c r="F80" s="2" t="n"/>
      <c r="G80" s="2" t="n"/>
      <c r="H80" s="5">
        <f>IF(G80="","",IFERROR(G80/MAX(1,COUNTIF('01_Конкуренты'!$B\$7:$B\$36,"?*")),""))</f>
        <v/>
      </c>
      <c r="I80" s="2" t="n"/>
      <c r="J80" s="2">
        <f>IF(B80="","",IF(E80="Обязательное",IF(H80&gt;=0.6,"Минимальный рыночный стандарт","Потенциальный обязательный разрыв"),IF(E80="Линейное",IF(H80&gt;=0.5,"Конкурентная норма с влиянием на выбор","Зона усиления ценности"),IF(E80="Привлекательное",IF(H80&lt;0.5,"Зона дифференциации","Переходит в ожидаемую норму"),IF(E80="Безразличное","Не делать при дефиците ресурсов",IF(E80="Обратное","Исключить или проверить риск отторжения","Требует проверки"))))))</f>
        <v/>
      </c>
      <c r="K80" s="2" t="n"/>
      <c r="L80" s="2" t="n"/>
      <c r="M80" s="2" t="n"/>
    </row>
    <row r="81">
      <c r="A81" s="2" t="inlineStr">
        <is>
          <t>R075</t>
        </is>
      </c>
      <c r="B81" s="2" t="n"/>
      <c r="C81" s="2" t="n"/>
      <c r="D81" s="2" t="n"/>
      <c r="E81" s="2" t="n"/>
      <c r="F81" s="2" t="n"/>
      <c r="G81" s="2" t="n"/>
      <c r="H81" s="5">
        <f>IF(G81="","",IFERROR(G81/MAX(1,COUNTIF('01_Конкуренты'!$B\$7:$B\$36,"?*")),""))</f>
        <v/>
      </c>
      <c r="I81" s="2" t="n"/>
      <c r="J81" s="2">
        <f>IF(B81="","",IF(E81="Обязательное",IF(H81&gt;=0.6,"Минимальный рыночный стандарт","Потенциальный обязательный разрыв"),IF(E81="Линейное",IF(H81&gt;=0.5,"Конкурентная норма с влиянием на выбор","Зона усиления ценности"),IF(E81="Привлекательное",IF(H81&lt;0.5,"Зона дифференциации","Переходит в ожидаемую норму"),IF(E81="Безразличное","Не делать при дефиците ресурсов",IF(E81="Обратное","Исключить или проверить риск отторжения","Требует проверки"))))))</f>
        <v/>
      </c>
      <c r="K81" s="2" t="n"/>
      <c r="L81" s="2" t="n"/>
      <c r="M81" s="2" t="n"/>
    </row>
    <row r="82">
      <c r="A82" s="2" t="inlineStr">
        <is>
          <t>R076</t>
        </is>
      </c>
      <c r="B82" s="2" t="n"/>
      <c r="C82" s="2" t="n"/>
      <c r="D82" s="2" t="n"/>
      <c r="E82" s="2" t="n"/>
      <c r="F82" s="2" t="n"/>
      <c r="G82" s="2" t="n"/>
      <c r="H82" s="5">
        <f>IF(G82="","",IFERROR(G82/MAX(1,COUNTIF('01_Конкуренты'!$B\$7:$B\$36,"?*")),""))</f>
        <v/>
      </c>
      <c r="I82" s="2" t="n"/>
      <c r="J82" s="2">
        <f>IF(B82="","",IF(E82="Обязательное",IF(H82&gt;=0.6,"Минимальный рыночный стандарт","Потенциальный обязательный разрыв"),IF(E82="Линейное",IF(H82&gt;=0.5,"Конкурентная норма с влиянием на выбор","Зона усиления ценности"),IF(E82="Привлекательное",IF(H82&lt;0.5,"Зона дифференциации","Переходит в ожидаемую норму"),IF(E82="Безразличное","Не делать при дефиците ресурсов",IF(E82="Обратное","Исключить или проверить риск отторжения","Требует проверки"))))))</f>
        <v/>
      </c>
      <c r="K82" s="2" t="n"/>
      <c r="L82" s="2" t="n"/>
      <c r="M82" s="2" t="n"/>
    </row>
    <row r="83">
      <c r="A83" s="2" t="inlineStr">
        <is>
          <t>R077</t>
        </is>
      </c>
      <c r="B83" s="2" t="n"/>
      <c r="C83" s="2" t="n"/>
      <c r="D83" s="2" t="n"/>
      <c r="E83" s="2" t="n"/>
      <c r="F83" s="2" t="n"/>
      <c r="G83" s="2" t="n"/>
      <c r="H83" s="5">
        <f>IF(G83="","",IFERROR(G83/MAX(1,COUNTIF('01_Конкуренты'!$B\$7:$B\$36,"?*")),""))</f>
        <v/>
      </c>
      <c r="I83" s="2" t="n"/>
      <c r="J83" s="2">
        <f>IF(B83="","",IF(E83="Обязательное",IF(H83&gt;=0.6,"Минимальный рыночный стандарт","Потенциальный обязательный разрыв"),IF(E83="Линейное",IF(H83&gt;=0.5,"Конкурентная норма с влиянием на выбор","Зона усиления ценности"),IF(E83="Привлекательное",IF(H83&lt;0.5,"Зона дифференциации","Переходит в ожидаемую норму"),IF(E83="Безразличное","Не делать при дефиците ресурсов",IF(E83="Обратное","Исключить или проверить риск отторжения","Требует проверки"))))))</f>
        <v/>
      </c>
      <c r="K83" s="2" t="n"/>
      <c r="L83" s="2" t="n"/>
      <c r="M83" s="2" t="n"/>
    </row>
    <row r="84">
      <c r="A84" s="2" t="inlineStr">
        <is>
          <t>R078</t>
        </is>
      </c>
      <c r="B84" s="2" t="n"/>
      <c r="C84" s="2" t="n"/>
      <c r="D84" s="2" t="n"/>
      <c r="E84" s="2" t="n"/>
      <c r="F84" s="2" t="n"/>
      <c r="G84" s="2" t="n"/>
      <c r="H84" s="5">
        <f>IF(G84="","",IFERROR(G84/MAX(1,COUNTIF('01_Конкуренты'!$B\$7:$B\$36,"?*")),""))</f>
        <v/>
      </c>
      <c r="I84" s="2" t="n"/>
      <c r="J84" s="2">
        <f>IF(B84="","",IF(E84="Обязательное",IF(H84&gt;=0.6,"Минимальный рыночный стандарт","Потенциальный обязательный разрыв"),IF(E84="Линейное",IF(H84&gt;=0.5,"Конкурентная норма с влиянием на выбор","Зона усиления ценности"),IF(E84="Привлекательное",IF(H84&lt;0.5,"Зона дифференциации","Переходит в ожидаемую норму"),IF(E84="Безразличное","Не делать при дефиците ресурсов",IF(E84="Обратное","Исключить или проверить риск отторжения","Требует проверки"))))))</f>
        <v/>
      </c>
      <c r="K84" s="2" t="n"/>
      <c r="L84" s="2" t="n"/>
      <c r="M84" s="2" t="n"/>
    </row>
    <row r="85">
      <c r="A85" s="2" t="inlineStr">
        <is>
          <t>R079</t>
        </is>
      </c>
      <c r="B85" s="2" t="n"/>
      <c r="C85" s="2" t="n"/>
      <c r="D85" s="2" t="n"/>
      <c r="E85" s="2" t="n"/>
      <c r="F85" s="2" t="n"/>
      <c r="G85" s="2" t="n"/>
      <c r="H85" s="5">
        <f>IF(G85="","",IFERROR(G85/MAX(1,COUNTIF('01_Конкуренты'!$B\$7:$B\$36,"?*")),""))</f>
        <v/>
      </c>
      <c r="I85" s="2" t="n"/>
      <c r="J85" s="2">
        <f>IF(B85="","",IF(E85="Обязательное",IF(H85&gt;=0.6,"Минимальный рыночный стандарт","Потенциальный обязательный разрыв"),IF(E85="Линейное",IF(H85&gt;=0.5,"Конкурентная норма с влиянием на выбор","Зона усиления ценности"),IF(E85="Привлекательное",IF(H85&lt;0.5,"Зона дифференциации","Переходит в ожидаемую норму"),IF(E85="Безразличное","Не делать при дефиците ресурсов",IF(E85="Обратное","Исключить или проверить риск отторжения","Требует проверки"))))))</f>
        <v/>
      </c>
      <c r="K85" s="2" t="n"/>
      <c r="L85" s="2" t="n"/>
      <c r="M85" s="2" t="n"/>
    </row>
    <row r="86">
      <c r="A86" s="2" t="inlineStr">
        <is>
          <t>R080</t>
        </is>
      </c>
      <c r="B86" s="2" t="n"/>
      <c r="C86" s="2" t="n"/>
      <c r="D86" s="2" t="n"/>
      <c r="E86" s="2" t="n"/>
      <c r="F86" s="2" t="n"/>
      <c r="G86" s="2" t="n"/>
      <c r="H86" s="5">
        <f>IF(G86="","",IFERROR(G86/MAX(1,COUNTIF('01_Конкуренты'!$B\$7:$B\$36,"?*")),""))</f>
        <v/>
      </c>
      <c r="I86" s="2" t="n"/>
      <c r="J86" s="2">
        <f>IF(B86="","",IF(E86="Обязательное",IF(H86&gt;=0.6,"Минимальный рыночный стандарт","Потенциальный обязательный разрыв"),IF(E86="Линейное",IF(H86&gt;=0.5,"Конкурентная норма с влиянием на выбор","Зона усиления ценности"),IF(E86="Привлекательное",IF(H86&lt;0.5,"Зона дифференциации","Переходит в ожидаемую норму"),IF(E86="Безразличное","Не делать при дефиците ресурсов",IF(E86="Обратное","Исключить или проверить риск отторжения","Требует проверки"))))))</f>
        <v/>
      </c>
      <c r="K86" s="2" t="n"/>
      <c r="L86" s="2" t="n"/>
      <c r="M86" s="2" t="n"/>
    </row>
    <row r="87">
      <c r="A87" s="2" t="inlineStr">
        <is>
          <t>R081</t>
        </is>
      </c>
      <c r="B87" s="2" t="n"/>
      <c r="C87" s="2" t="n"/>
      <c r="D87" s="2" t="n"/>
      <c r="E87" s="2" t="n"/>
      <c r="F87" s="2" t="n"/>
      <c r="G87" s="2" t="n"/>
      <c r="H87" s="5">
        <f>IF(G87="","",IFERROR(G87/MAX(1,COUNTIF('01_Конкуренты'!$B\$7:$B\$36,"?*")),""))</f>
        <v/>
      </c>
      <c r="I87" s="2" t="n"/>
      <c r="J87" s="2">
        <f>IF(B87="","",IF(E87="Обязательное",IF(H87&gt;=0.6,"Минимальный рыночный стандарт","Потенциальный обязательный разрыв"),IF(E87="Линейное",IF(H87&gt;=0.5,"Конкурентная норма с влиянием на выбор","Зона усиления ценности"),IF(E87="Привлекательное",IF(H87&lt;0.5,"Зона дифференциации","Переходит в ожидаемую норму"),IF(E87="Безразличное","Не делать при дефиците ресурсов",IF(E87="Обратное","Исключить или проверить риск отторжения","Требует проверки"))))))</f>
        <v/>
      </c>
      <c r="K87" s="2" t="n"/>
      <c r="L87" s="2" t="n"/>
      <c r="M87" s="2" t="n"/>
    </row>
    <row r="88">
      <c r="A88" s="2" t="inlineStr">
        <is>
          <t>R082</t>
        </is>
      </c>
      <c r="B88" s="2" t="n"/>
      <c r="C88" s="2" t="n"/>
      <c r="D88" s="2" t="n"/>
      <c r="E88" s="2" t="n"/>
      <c r="F88" s="2" t="n"/>
      <c r="G88" s="2" t="n"/>
      <c r="H88" s="5">
        <f>IF(G88="","",IFERROR(G88/MAX(1,COUNTIF('01_Конкуренты'!$B\$7:$B\$36,"?*")),""))</f>
        <v/>
      </c>
      <c r="I88" s="2" t="n"/>
      <c r="J88" s="2">
        <f>IF(B88="","",IF(E88="Обязательное",IF(H88&gt;=0.6,"Минимальный рыночный стандарт","Потенциальный обязательный разрыв"),IF(E88="Линейное",IF(H88&gt;=0.5,"Конкурентная норма с влиянием на выбор","Зона усиления ценности"),IF(E88="Привлекательное",IF(H88&lt;0.5,"Зона дифференциации","Переходит в ожидаемую норму"),IF(E88="Безразличное","Не делать при дефиците ресурсов",IF(E88="Обратное","Исключить или проверить риск отторжения","Требует проверки"))))))</f>
        <v/>
      </c>
      <c r="K88" s="2" t="n"/>
      <c r="L88" s="2" t="n"/>
      <c r="M88" s="2" t="n"/>
    </row>
    <row r="89">
      <c r="A89" s="2" t="inlineStr">
        <is>
          <t>R083</t>
        </is>
      </c>
      <c r="B89" s="2" t="n"/>
      <c r="C89" s="2" t="n"/>
      <c r="D89" s="2" t="n"/>
      <c r="E89" s="2" t="n"/>
      <c r="F89" s="2" t="n"/>
      <c r="G89" s="2" t="n"/>
      <c r="H89" s="5">
        <f>IF(G89="","",IFERROR(G89/MAX(1,COUNTIF('01_Конкуренты'!$B\$7:$B\$36,"?*")),""))</f>
        <v/>
      </c>
      <c r="I89" s="2" t="n"/>
      <c r="J89" s="2">
        <f>IF(B89="","",IF(E89="Обязательное",IF(H89&gt;=0.6,"Минимальный рыночный стандарт","Потенциальный обязательный разрыв"),IF(E89="Линейное",IF(H89&gt;=0.5,"Конкурентная норма с влиянием на выбор","Зона усиления ценности"),IF(E89="Привлекательное",IF(H89&lt;0.5,"Зона дифференциации","Переходит в ожидаемую норму"),IF(E89="Безразличное","Не делать при дефиците ресурсов",IF(E89="Обратное","Исключить или проверить риск отторжения","Требует проверки"))))))</f>
        <v/>
      </c>
      <c r="K89" s="2" t="n"/>
      <c r="L89" s="2" t="n"/>
      <c r="M89" s="2" t="n"/>
    </row>
    <row r="90">
      <c r="A90" s="2" t="inlineStr">
        <is>
          <t>R084</t>
        </is>
      </c>
      <c r="B90" s="2" t="n"/>
      <c r="C90" s="2" t="n"/>
      <c r="D90" s="2" t="n"/>
      <c r="E90" s="2" t="n"/>
      <c r="F90" s="2" t="n"/>
      <c r="G90" s="2" t="n"/>
      <c r="H90" s="5">
        <f>IF(G90="","",IFERROR(G90/MAX(1,COUNTIF('01_Конкуренты'!$B\$7:$B\$36,"?*")),""))</f>
        <v/>
      </c>
      <c r="I90" s="2" t="n"/>
      <c r="J90" s="2">
        <f>IF(B90="","",IF(E90="Обязательное",IF(H90&gt;=0.6,"Минимальный рыночный стандарт","Потенциальный обязательный разрыв"),IF(E90="Линейное",IF(H90&gt;=0.5,"Конкурентная норма с влиянием на выбор","Зона усиления ценности"),IF(E90="Привлекательное",IF(H90&lt;0.5,"Зона дифференциации","Переходит в ожидаемую норму"),IF(E90="Безразличное","Не делать при дефиците ресурсов",IF(E90="Обратное","Исключить или проверить риск отторжения","Требует проверки"))))))</f>
        <v/>
      </c>
      <c r="K90" s="2" t="n"/>
      <c r="L90" s="2" t="n"/>
      <c r="M90" s="2" t="n"/>
    </row>
    <row r="91">
      <c r="A91" s="2" t="inlineStr">
        <is>
          <t>R085</t>
        </is>
      </c>
      <c r="B91" s="2" t="n"/>
      <c r="C91" s="2" t="n"/>
      <c r="D91" s="2" t="n"/>
      <c r="E91" s="2" t="n"/>
      <c r="F91" s="2" t="n"/>
      <c r="G91" s="2" t="n"/>
      <c r="H91" s="5">
        <f>IF(G91="","",IFERROR(G91/MAX(1,COUNTIF('01_Конкуренты'!$B\$7:$B\$36,"?*")),""))</f>
        <v/>
      </c>
      <c r="I91" s="2" t="n"/>
      <c r="J91" s="2">
        <f>IF(B91="","",IF(E91="Обязательное",IF(H91&gt;=0.6,"Минимальный рыночный стандарт","Потенциальный обязательный разрыв"),IF(E91="Линейное",IF(H91&gt;=0.5,"Конкурентная норма с влиянием на выбор","Зона усиления ценности"),IF(E91="Привлекательное",IF(H91&lt;0.5,"Зона дифференциации","Переходит в ожидаемую норму"),IF(E91="Безразличное","Не делать при дефиците ресурсов",IF(E91="Обратное","Исключить или проверить риск отторжения","Требует проверки"))))))</f>
        <v/>
      </c>
      <c r="K91" s="2" t="n"/>
      <c r="L91" s="2" t="n"/>
      <c r="M91" s="2" t="n"/>
    </row>
    <row r="92">
      <c r="A92" s="2" t="inlineStr">
        <is>
          <t>R086</t>
        </is>
      </c>
      <c r="B92" s="2" t="n"/>
      <c r="C92" s="2" t="n"/>
      <c r="D92" s="2" t="n"/>
      <c r="E92" s="2" t="n"/>
      <c r="F92" s="2" t="n"/>
      <c r="G92" s="2" t="n"/>
      <c r="H92" s="5">
        <f>IF(G92="","",IFERROR(G92/MAX(1,COUNTIF('01_Конкуренты'!$B\$7:$B\$36,"?*")),""))</f>
        <v/>
      </c>
      <c r="I92" s="2" t="n"/>
      <c r="J92" s="2">
        <f>IF(B92="","",IF(E92="Обязательное",IF(H92&gt;=0.6,"Минимальный рыночный стандарт","Потенциальный обязательный разрыв"),IF(E92="Линейное",IF(H92&gt;=0.5,"Конкурентная норма с влиянием на выбор","Зона усиления ценности"),IF(E92="Привлекательное",IF(H92&lt;0.5,"Зона дифференциации","Переходит в ожидаемую норму"),IF(E92="Безразличное","Не делать при дефиците ресурсов",IF(E92="Обратное","Исключить или проверить риск отторжения","Требует проверки"))))))</f>
        <v/>
      </c>
      <c r="K92" s="2" t="n"/>
      <c r="L92" s="2" t="n"/>
      <c r="M92" s="2" t="n"/>
    </row>
    <row r="93">
      <c r="A93" s="2" t="inlineStr">
        <is>
          <t>R087</t>
        </is>
      </c>
      <c r="B93" s="2" t="n"/>
      <c r="C93" s="2" t="n"/>
      <c r="D93" s="2" t="n"/>
      <c r="E93" s="2" t="n"/>
      <c r="F93" s="2" t="n"/>
      <c r="G93" s="2" t="n"/>
      <c r="H93" s="5">
        <f>IF(G93="","",IFERROR(G93/MAX(1,COUNTIF('01_Конкуренты'!$B\$7:$B\$36,"?*")),""))</f>
        <v/>
      </c>
      <c r="I93" s="2" t="n"/>
      <c r="J93" s="2">
        <f>IF(B93="","",IF(E93="Обязательное",IF(H93&gt;=0.6,"Минимальный рыночный стандарт","Потенциальный обязательный разрыв"),IF(E93="Линейное",IF(H93&gt;=0.5,"Конкурентная норма с влиянием на выбор","Зона усиления ценности"),IF(E93="Привлекательное",IF(H93&lt;0.5,"Зона дифференциации","Переходит в ожидаемую норму"),IF(E93="Безразличное","Не делать при дефиците ресурсов",IF(E93="Обратное","Исключить или проверить риск отторжения","Требует проверки"))))))</f>
        <v/>
      </c>
      <c r="K93" s="2" t="n"/>
      <c r="L93" s="2" t="n"/>
      <c r="M93" s="2" t="n"/>
    </row>
    <row r="94">
      <c r="A94" s="2" t="inlineStr">
        <is>
          <t>R088</t>
        </is>
      </c>
      <c r="B94" s="2" t="n"/>
      <c r="C94" s="2" t="n"/>
      <c r="D94" s="2" t="n"/>
      <c r="E94" s="2" t="n"/>
      <c r="F94" s="2" t="n"/>
      <c r="G94" s="2" t="n"/>
      <c r="H94" s="5">
        <f>IF(G94="","",IFERROR(G94/MAX(1,COUNTIF('01_Конкуренты'!$B\$7:$B\$36,"?*")),""))</f>
        <v/>
      </c>
      <c r="I94" s="2" t="n"/>
      <c r="J94" s="2">
        <f>IF(B94="","",IF(E94="Обязательное",IF(H94&gt;=0.6,"Минимальный рыночный стандарт","Потенциальный обязательный разрыв"),IF(E94="Линейное",IF(H94&gt;=0.5,"Конкурентная норма с влиянием на выбор","Зона усиления ценности"),IF(E94="Привлекательное",IF(H94&lt;0.5,"Зона дифференциации","Переходит в ожидаемую норму"),IF(E94="Безразличное","Не делать при дефиците ресурсов",IF(E94="Обратное","Исключить или проверить риск отторжения","Требует проверки"))))))</f>
        <v/>
      </c>
      <c r="K94" s="2" t="n"/>
      <c r="L94" s="2" t="n"/>
      <c r="M94" s="2" t="n"/>
    </row>
    <row r="95">
      <c r="A95" s="2" t="inlineStr">
        <is>
          <t>R089</t>
        </is>
      </c>
      <c r="B95" s="2" t="n"/>
      <c r="C95" s="2" t="n"/>
      <c r="D95" s="2" t="n"/>
      <c r="E95" s="2" t="n"/>
      <c r="F95" s="2" t="n"/>
      <c r="G95" s="2" t="n"/>
      <c r="H95" s="5">
        <f>IF(G95="","",IFERROR(G95/MAX(1,COUNTIF('01_Конкуренты'!$B\$7:$B\$36,"?*")),""))</f>
        <v/>
      </c>
      <c r="I95" s="2" t="n"/>
      <c r="J95" s="2">
        <f>IF(B95="","",IF(E95="Обязательное",IF(H95&gt;=0.6,"Минимальный рыночный стандарт","Потенциальный обязательный разрыв"),IF(E95="Линейное",IF(H95&gt;=0.5,"Конкурентная норма с влиянием на выбор","Зона усиления ценности"),IF(E95="Привлекательное",IF(H95&lt;0.5,"Зона дифференциации","Переходит в ожидаемую норму"),IF(E95="Безразличное","Не делать при дефиците ресурсов",IF(E95="Обратное","Исключить или проверить риск отторжения","Требует проверки"))))))</f>
        <v/>
      </c>
      <c r="K95" s="2" t="n"/>
      <c r="L95" s="2" t="n"/>
      <c r="M95" s="2" t="n"/>
    </row>
    <row r="96">
      <c r="A96" s="2" t="inlineStr">
        <is>
          <t>R090</t>
        </is>
      </c>
      <c r="B96" s="2" t="n"/>
      <c r="C96" s="2" t="n"/>
      <c r="D96" s="2" t="n"/>
      <c r="E96" s="2" t="n"/>
      <c r="F96" s="2" t="n"/>
      <c r="G96" s="2" t="n"/>
      <c r="H96" s="5">
        <f>IF(G96="","",IFERROR(G96/MAX(1,COUNTIF('01_Конкуренты'!$B\$7:$B\$36,"?*")),""))</f>
        <v/>
      </c>
      <c r="I96" s="2" t="n"/>
      <c r="J96" s="2">
        <f>IF(B96="","",IF(E96="Обязательное",IF(H96&gt;=0.6,"Минимальный рыночный стандарт","Потенциальный обязательный разрыв"),IF(E96="Линейное",IF(H96&gt;=0.5,"Конкурентная норма с влиянием на выбор","Зона усиления ценности"),IF(E96="Привлекательное",IF(H96&lt;0.5,"Зона дифференциации","Переходит в ожидаемую норму"),IF(E96="Безразличное","Не делать при дефиците ресурсов",IF(E96="Обратное","Исключить или проверить риск отторжения","Требует проверки"))))))</f>
        <v/>
      </c>
      <c r="K96" s="2" t="n"/>
      <c r="L96" s="2" t="n"/>
      <c r="M96" s="2" t="n"/>
    </row>
    <row r="97">
      <c r="A97" s="2" t="inlineStr">
        <is>
          <t>R091</t>
        </is>
      </c>
      <c r="B97" s="2" t="n"/>
      <c r="C97" s="2" t="n"/>
      <c r="D97" s="2" t="n"/>
      <c r="E97" s="2" t="n"/>
      <c r="F97" s="2" t="n"/>
      <c r="G97" s="2" t="n"/>
      <c r="H97" s="5">
        <f>IF(G97="","",IFERROR(G97/MAX(1,COUNTIF('01_Конкуренты'!$B\$7:$B\$36,"?*")),""))</f>
        <v/>
      </c>
      <c r="I97" s="2" t="n"/>
      <c r="J97" s="2">
        <f>IF(B97="","",IF(E97="Обязательное",IF(H97&gt;=0.6,"Минимальный рыночный стандарт","Потенциальный обязательный разрыв"),IF(E97="Линейное",IF(H97&gt;=0.5,"Конкурентная норма с влиянием на выбор","Зона усиления ценности"),IF(E97="Привлекательное",IF(H97&lt;0.5,"Зона дифференциации","Переходит в ожидаемую норму"),IF(E97="Безразличное","Не делать при дефиците ресурсов",IF(E97="Обратное","Исключить или проверить риск отторжения","Требует проверки"))))))</f>
        <v/>
      </c>
      <c r="K97" s="2" t="n"/>
      <c r="L97" s="2" t="n"/>
      <c r="M97" s="2" t="n"/>
    </row>
    <row r="98">
      <c r="A98" s="2" t="inlineStr">
        <is>
          <t>R092</t>
        </is>
      </c>
      <c r="B98" s="2" t="n"/>
      <c r="C98" s="2" t="n"/>
      <c r="D98" s="2" t="n"/>
      <c r="E98" s="2" t="n"/>
      <c r="F98" s="2" t="n"/>
      <c r="G98" s="2" t="n"/>
      <c r="H98" s="5">
        <f>IF(G98="","",IFERROR(G98/MAX(1,COUNTIF('01_Конкуренты'!$B\$7:$B\$36,"?*")),""))</f>
        <v/>
      </c>
      <c r="I98" s="2" t="n"/>
      <c r="J98" s="2">
        <f>IF(B98="","",IF(E98="Обязательное",IF(H98&gt;=0.6,"Минимальный рыночный стандарт","Потенциальный обязательный разрыв"),IF(E98="Линейное",IF(H98&gt;=0.5,"Конкурентная норма с влиянием на выбор","Зона усиления ценности"),IF(E98="Привлекательное",IF(H98&lt;0.5,"Зона дифференциации","Переходит в ожидаемую норму"),IF(E98="Безразличное","Не делать при дефиците ресурсов",IF(E98="Обратное","Исключить или проверить риск отторжения","Требует проверки"))))))</f>
        <v/>
      </c>
      <c r="K98" s="2" t="n"/>
      <c r="L98" s="2" t="n"/>
      <c r="M98" s="2" t="n"/>
    </row>
    <row r="99">
      <c r="A99" s="2" t="inlineStr">
        <is>
          <t>R093</t>
        </is>
      </c>
      <c r="B99" s="2" t="n"/>
      <c r="C99" s="2" t="n"/>
      <c r="D99" s="2" t="n"/>
      <c r="E99" s="2" t="n"/>
      <c r="F99" s="2" t="n"/>
      <c r="G99" s="2" t="n"/>
      <c r="H99" s="5">
        <f>IF(G99="","",IFERROR(G99/MAX(1,COUNTIF('01_Конкуренты'!$B\$7:$B\$36,"?*")),""))</f>
        <v/>
      </c>
      <c r="I99" s="2" t="n"/>
      <c r="J99" s="2">
        <f>IF(B99="","",IF(E99="Обязательное",IF(H99&gt;=0.6,"Минимальный рыночный стандарт","Потенциальный обязательный разрыв"),IF(E99="Линейное",IF(H99&gt;=0.5,"Конкурентная норма с влиянием на выбор","Зона усиления ценности"),IF(E99="Привлекательное",IF(H99&lt;0.5,"Зона дифференциации","Переходит в ожидаемую норму"),IF(E99="Безразличное","Не делать при дефиците ресурсов",IF(E99="Обратное","Исключить или проверить риск отторжения","Требует проверки"))))))</f>
        <v/>
      </c>
      <c r="K99" s="2" t="n"/>
      <c r="L99" s="2" t="n"/>
      <c r="M99" s="2" t="n"/>
    </row>
    <row r="100">
      <c r="A100" s="2" t="inlineStr">
        <is>
          <t>R094</t>
        </is>
      </c>
      <c r="B100" s="2" t="n"/>
      <c r="C100" s="2" t="n"/>
      <c r="D100" s="2" t="n"/>
      <c r="E100" s="2" t="n"/>
      <c r="F100" s="2" t="n"/>
      <c r="G100" s="2" t="n"/>
      <c r="H100" s="5">
        <f>IF(G100="","",IFERROR(G100/MAX(1,COUNTIF('01_Конкуренты'!$B\$7:$B\$36,"?*")),""))</f>
        <v/>
      </c>
      <c r="I100" s="2" t="n"/>
      <c r="J100" s="2">
        <f>IF(B100="","",IF(E100="Обязательное",IF(H100&gt;=0.6,"Минимальный рыночный стандарт","Потенциальный обязательный разрыв"),IF(E100="Линейное",IF(H100&gt;=0.5,"Конкурентная норма с влиянием на выбор","Зона усиления ценности"),IF(E100="Привлекательное",IF(H100&lt;0.5,"Зона дифференциации","Переходит в ожидаемую норму"),IF(E100="Безразличное","Не делать при дефиците ресурсов",IF(E100="Обратное","Исключить или проверить риск отторжения","Требует проверки"))))))</f>
        <v/>
      </c>
      <c r="K100" s="2" t="n"/>
      <c r="L100" s="2" t="n"/>
      <c r="M100" s="2" t="n"/>
    </row>
    <row r="101">
      <c r="A101" s="2" t="inlineStr">
        <is>
          <t>R095</t>
        </is>
      </c>
      <c r="B101" s="2" t="n"/>
      <c r="C101" s="2" t="n"/>
      <c r="D101" s="2" t="n"/>
      <c r="E101" s="2" t="n"/>
      <c r="F101" s="2" t="n"/>
      <c r="G101" s="2" t="n"/>
      <c r="H101" s="5">
        <f>IF(G101="","",IFERROR(G101/MAX(1,COUNTIF('01_Конкуренты'!$B\$7:$B\$36,"?*")),""))</f>
        <v/>
      </c>
      <c r="I101" s="2" t="n"/>
      <c r="J101" s="2">
        <f>IF(B101="","",IF(E101="Обязательное",IF(H101&gt;=0.6,"Минимальный рыночный стандарт","Потенциальный обязательный разрыв"),IF(E101="Линейное",IF(H101&gt;=0.5,"Конкурентная норма с влиянием на выбор","Зона усиления ценности"),IF(E101="Привлекательное",IF(H101&lt;0.5,"Зона дифференциации","Переходит в ожидаемую норму"),IF(E101="Безразличное","Не делать при дефиците ресурсов",IF(E101="Обратное","Исключить или проверить риск отторжения","Требует проверки"))))))</f>
        <v/>
      </c>
      <c r="K101" s="2" t="n"/>
      <c r="L101" s="2" t="n"/>
      <c r="M101" s="2" t="n"/>
    </row>
    <row r="102">
      <c r="A102" s="2" t="inlineStr">
        <is>
          <t>R096</t>
        </is>
      </c>
      <c r="B102" s="2" t="n"/>
      <c r="C102" s="2" t="n"/>
      <c r="D102" s="2" t="n"/>
      <c r="E102" s="2" t="n"/>
      <c r="F102" s="2" t="n"/>
      <c r="G102" s="2" t="n"/>
      <c r="H102" s="5">
        <f>IF(G102="","",IFERROR(G102/MAX(1,COUNTIF('01_Конкуренты'!$B\$7:$B\$36,"?*")),""))</f>
        <v/>
      </c>
      <c r="I102" s="2" t="n"/>
      <c r="J102" s="2">
        <f>IF(B102="","",IF(E102="Обязательное",IF(H102&gt;=0.6,"Минимальный рыночный стандарт","Потенциальный обязательный разрыв"),IF(E102="Линейное",IF(H102&gt;=0.5,"Конкурентная норма с влиянием на выбор","Зона усиления ценности"),IF(E102="Привлекательное",IF(H102&lt;0.5,"Зона дифференциации","Переходит в ожидаемую норму"),IF(E102="Безразличное","Не делать при дефиците ресурсов",IF(E102="Обратное","Исключить или проверить риск отторжения","Требует проверки"))))))</f>
        <v/>
      </c>
      <c r="K102" s="2" t="n"/>
      <c r="L102" s="2" t="n"/>
      <c r="M102" s="2" t="n"/>
    </row>
    <row r="103">
      <c r="A103" s="2" t="inlineStr">
        <is>
          <t>R097</t>
        </is>
      </c>
      <c r="B103" s="2" t="n"/>
      <c r="C103" s="2" t="n"/>
      <c r="D103" s="2" t="n"/>
      <c r="E103" s="2" t="n"/>
      <c r="F103" s="2" t="n"/>
      <c r="G103" s="2" t="n"/>
      <c r="H103" s="5">
        <f>IF(G103="","",IFERROR(G103/MAX(1,COUNTIF('01_Конкуренты'!$B\$7:$B\$36,"?*")),""))</f>
        <v/>
      </c>
      <c r="I103" s="2" t="n"/>
      <c r="J103" s="2">
        <f>IF(B103="","",IF(E103="Обязательное",IF(H103&gt;=0.6,"Минимальный рыночный стандарт","Потенциальный обязательный разрыв"),IF(E103="Линейное",IF(H103&gt;=0.5,"Конкурентная норма с влиянием на выбор","Зона усиления ценности"),IF(E103="Привлекательное",IF(H103&lt;0.5,"Зона дифференциации","Переходит в ожидаемую норму"),IF(E103="Безразличное","Не делать при дефиците ресурсов",IF(E103="Обратное","Исключить или проверить риск отторжения","Требует проверки"))))))</f>
        <v/>
      </c>
      <c r="K103" s="2" t="n"/>
      <c r="L103" s="2" t="n"/>
      <c r="M103" s="2" t="n"/>
    </row>
    <row r="104">
      <c r="A104" s="2" t="inlineStr">
        <is>
          <t>R098</t>
        </is>
      </c>
      <c r="B104" s="2" t="n"/>
      <c r="C104" s="2" t="n"/>
      <c r="D104" s="2" t="n"/>
      <c r="E104" s="2" t="n"/>
      <c r="F104" s="2" t="n"/>
      <c r="G104" s="2" t="n"/>
      <c r="H104" s="5">
        <f>IF(G104="","",IFERROR(G104/MAX(1,COUNTIF('01_Конкуренты'!$B\$7:$B\$36,"?*")),""))</f>
        <v/>
      </c>
      <c r="I104" s="2" t="n"/>
      <c r="J104" s="2">
        <f>IF(B104="","",IF(E104="Обязательное",IF(H104&gt;=0.6,"Минимальный рыночный стандарт","Потенциальный обязательный разрыв"),IF(E104="Линейное",IF(H104&gt;=0.5,"Конкурентная норма с влиянием на выбор","Зона усиления ценности"),IF(E104="Привлекательное",IF(H104&lt;0.5,"Зона дифференциации","Переходит в ожидаемую норму"),IF(E104="Безразличное","Не делать при дефиците ресурсов",IF(E104="Обратное","Исключить или проверить риск отторжения","Требует проверки"))))))</f>
        <v/>
      </c>
      <c r="K104" s="2" t="n"/>
      <c r="L104" s="2" t="n"/>
      <c r="M104" s="2" t="n"/>
    </row>
    <row r="105">
      <c r="A105" s="2" t="inlineStr">
        <is>
          <t>R099</t>
        </is>
      </c>
      <c r="B105" s="2" t="n"/>
      <c r="C105" s="2" t="n"/>
      <c r="D105" s="2" t="n"/>
      <c r="E105" s="2" t="n"/>
      <c r="F105" s="2" t="n"/>
      <c r="G105" s="2" t="n"/>
      <c r="H105" s="5">
        <f>IF(G105="","",IFERROR(G105/MAX(1,COUNTIF('01_Конкуренты'!$B\$7:$B\$36,"?*")),""))</f>
        <v/>
      </c>
      <c r="I105" s="2" t="n"/>
      <c r="J105" s="2">
        <f>IF(B105="","",IF(E105="Обязательное",IF(H105&gt;=0.6,"Минимальный рыночный стандарт","Потенциальный обязательный разрыв"),IF(E105="Линейное",IF(H105&gt;=0.5,"Конкурентная норма с влиянием на выбор","Зона усиления ценности"),IF(E105="Привлекательное",IF(H105&lt;0.5,"Зона дифференциации","Переходит в ожидаемую норму"),IF(E105="Безразличное","Не делать при дефиците ресурсов",IF(E105="Обратное","Исключить или проверить риск отторжения","Требует проверки"))))))</f>
        <v/>
      </c>
      <c r="K105" s="2" t="n"/>
      <c r="L105" s="2" t="n"/>
      <c r="M105" s="2" t="n"/>
    </row>
    <row r="106">
      <c r="A106" s="2" t="inlineStr">
        <is>
          <t>R100</t>
        </is>
      </c>
      <c r="B106" s="2" t="n"/>
      <c r="C106" s="2" t="n"/>
      <c r="D106" s="2" t="n"/>
      <c r="E106" s="2" t="n"/>
      <c r="F106" s="2" t="n"/>
      <c r="G106" s="2" t="n"/>
      <c r="H106" s="5">
        <f>IF(G106="","",IFERROR(G106/MAX(1,COUNTIF('01_Конкуренты'!$B\$7:$B\$36,"?*")),""))</f>
        <v/>
      </c>
      <c r="I106" s="2" t="n"/>
      <c r="J106" s="2">
        <f>IF(B106="","",IF(E106="Обязательное",IF(H106&gt;=0.6,"Минимальный рыночный стандарт","Потенциальный обязательный разрыв"),IF(E106="Линейное",IF(H106&gt;=0.5,"Конкурентная норма с влиянием на выбор","Зона усиления ценности"),IF(E106="Привлекательное",IF(H106&lt;0.5,"Зона дифференциации","Переходит в ожидаемую норму"),IF(E106="Безразличное","Не делать при дефиците ресурсов",IF(E106="Обратное","Исключить или проверить риск отторжения","Требует проверки"))))))</f>
        <v/>
      </c>
      <c r="K106" s="2" t="n"/>
      <c r="L106" s="2" t="n"/>
      <c r="M106" s="2" t="n"/>
    </row>
    <row r="107">
      <c r="A107" s="2" t="inlineStr">
        <is>
          <t>R101</t>
        </is>
      </c>
      <c r="B107" s="2" t="n"/>
      <c r="C107" s="2" t="n"/>
      <c r="D107" s="2" t="n"/>
      <c r="E107" s="2" t="n"/>
      <c r="F107" s="2" t="n"/>
      <c r="G107" s="2" t="n"/>
      <c r="H107" s="5">
        <f>IF(G107="","",IFERROR(G107/MAX(1,COUNTIF('01_Конкуренты'!$B\$7:$B\$36,"?*")),""))</f>
        <v/>
      </c>
      <c r="I107" s="2" t="n"/>
      <c r="J107" s="2">
        <f>IF(B107="","",IF(E107="Обязательное",IF(H107&gt;=0.6,"Минимальный рыночный стандарт","Потенциальный обязательный разрыв"),IF(E107="Линейное",IF(H107&gt;=0.5,"Конкурентная норма с влиянием на выбор","Зона усиления ценности"),IF(E107="Привлекательное",IF(H107&lt;0.5,"Зона дифференциации","Переходит в ожидаемую норму"),IF(E107="Безразличное","Не делать при дефиците ресурсов",IF(E107="Обратное","Исключить или проверить риск отторжения","Требует проверки"))))))</f>
        <v/>
      </c>
      <c r="K107" s="2" t="n"/>
      <c r="L107" s="2" t="n"/>
      <c r="M107" s="2" t="n"/>
    </row>
    <row r="108">
      <c r="A108" s="2" t="inlineStr">
        <is>
          <t>R102</t>
        </is>
      </c>
      <c r="B108" s="2" t="n"/>
      <c r="C108" s="2" t="n"/>
      <c r="D108" s="2" t="n"/>
      <c r="E108" s="2" t="n"/>
      <c r="F108" s="2" t="n"/>
      <c r="G108" s="2" t="n"/>
      <c r="H108" s="5">
        <f>IF(G108="","",IFERROR(G108/MAX(1,COUNTIF('01_Конкуренты'!$B\$7:$B\$36,"?*")),""))</f>
        <v/>
      </c>
      <c r="I108" s="2" t="n"/>
      <c r="J108" s="2">
        <f>IF(B108="","",IF(E108="Обязательное",IF(H108&gt;=0.6,"Минимальный рыночный стандарт","Потенциальный обязательный разрыв"),IF(E108="Линейное",IF(H108&gt;=0.5,"Конкурентная норма с влиянием на выбор","Зона усиления ценности"),IF(E108="Привлекательное",IF(H108&lt;0.5,"Зона дифференциации","Переходит в ожидаемую норму"),IF(E108="Безразличное","Не делать при дефиците ресурсов",IF(E108="Обратное","Исключить или проверить риск отторжения","Требует проверки"))))))</f>
        <v/>
      </c>
      <c r="K108" s="2" t="n"/>
      <c r="L108" s="2" t="n"/>
      <c r="M108" s="2" t="n"/>
    </row>
    <row r="109">
      <c r="A109" s="2" t="inlineStr">
        <is>
          <t>R103</t>
        </is>
      </c>
      <c r="B109" s="2" t="n"/>
      <c r="C109" s="2" t="n"/>
      <c r="D109" s="2" t="n"/>
      <c r="E109" s="2" t="n"/>
      <c r="F109" s="2" t="n"/>
      <c r="G109" s="2" t="n"/>
      <c r="H109" s="5">
        <f>IF(G109="","",IFERROR(G109/MAX(1,COUNTIF('01_Конкуренты'!$B\$7:$B\$36,"?*")),""))</f>
        <v/>
      </c>
      <c r="I109" s="2" t="n"/>
      <c r="J109" s="2">
        <f>IF(B109="","",IF(E109="Обязательное",IF(H109&gt;=0.6,"Минимальный рыночный стандарт","Потенциальный обязательный разрыв"),IF(E109="Линейное",IF(H109&gt;=0.5,"Конкурентная норма с влиянием на выбор","Зона усиления ценности"),IF(E109="Привлекательное",IF(H109&lt;0.5,"Зона дифференциации","Переходит в ожидаемую норму"),IF(E109="Безразличное","Не делать при дефиците ресурсов",IF(E109="Обратное","Исключить или проверить риск отторжения","Требует проверки"))))))</f>
        <v/>
      </c>
      <c r="K109" s="2" t="n"/>
      <c r="L109" s="2" t="n"/>
      <c r="M109" s="2" t="n"/>
    </row>
    <row r="110">
      <c r="A110" s="2" t="inlineStr">
        <is>
          <t>R104</t>
        </is>
      </c>
      <c r="B110" s="2" t="n"/>
      <c r="C110" s="2" t="n"/>
      <c r="D110" s="2" t="n"/>
      <c r="E110" s="2" t="n"/>
      <c r="F110" s="2" t="n"/>
      <c r="G110" s="2" t="n"/>
      <c r="H110" s="5">
        <f>IF(G110="","",IFERROR(G110/MAX(1,COUNTIF('01_Конкуренты'!$B\$7:$B\$36,"?*")),""))</f>
        <v/>
      </c>
      <c r="I110" s="2" t="n"/>
      <c r="J110" s="2">
        <f>IF(B110="","",IF(E110="Обязательное",IF(H110&gt;=0.6,"Минимальный рыночный стандарт","Потенциальный обязательный разрыв"),IF(E110="Линейное",IF(H110&gt;=0.5,"Конкурентная норма с влиянием на выбор","Зона усиления ценности"),IF(E110="Привлекательное",IF(H110&lt;0.5,"Зона дифференциации","Переходит в ожидаемую норму"),IF(E110="Безразличное","Не делать при дефиците ресурсов",IF(E110="Обратное","Исключить или проверить риск отторжения","Требует проверки"))))))</f>
        <v/>
      </c>
      <c r="K110" s="2" t="n"/>
      <c r="L110" s="2" t="n"/>
      <c r="M110" s="2" t="n"/>
    </row>
    <row r="111">
      <c r="A111" s="2" t="inlineStr">
        <is>
          <t>R105</t>
        </is>
      </c>
      <c r="B111" s="2" t="n"/>
      <c r="C111" s="2" t="n"/>
      <c r="D111" s="2" t="n"/>
      <c r="E111" s="2" t="n"/>
      <c r="F111" s="2" t="n"/>
      <c r="G111" s="2" t="n"/>
      <c r="H111" s="5">
        <f>IF(G111="","",IFERROR(G111/MAX(1,COUNTIF('01_Конкуренты'!$B\$7:$B\$36,"?*")),""))</f>
        <v/>
      </c>
      <c r="I111" s="2" t="n"/>
      <c r="J111" s="2">
        <f>IF(B111="","",IF(E111="Обязательное",IF(H111&gt;=0.6,"Минимальный рыночный стандарт","Потенциальный обязательный разрыв"),IF(E111="Линейное",IF(H111&gt;=0.5,"Конкурентная норма с влиянием на выбор","Зона усиления ценности"),IF(E111="Привлекательное",IF(H111&lt;0.5,"Зона дифференциации","Переходит в ожидаемую норму"),IF(E111="Безразличное","Не делать при дефиците ресурсов",IF(E111="Обратное","Исключить или проверить риск отторжения","Требует проверки"))))))</f>
        <v/>
      </c>
      <c r="K111" s="2" t="n"/>
      <c r="L111" s="2" t="n"/>
      <c r="M111" s="2" t="n"/>
    </row>
    <row r="112">
      <c r="A112" s="2" t="inlineStr">
        <is>
          <t>R106</t>
        </is>
      </c>
      <c r="B112" s="2" t="n"/>
      <c r="C112" s="2" t="n"/>
      <c r="D112" s="2" t="n"/>
      <c r="E112" s="2" t="n"/>
      <c r="F112" s="2" t="n"/>
      <c r="G112" s="2" t="n"/>
      <c r="H112" s="5">
        <f>IF(G112="","",IFERROR(G112/MAX(1,COUNTIF('01_Конкуренты'!$B\$7:$B\$36,"?*")),""))</f>
        <v/>
      </c>
      <c r="I112" s="2" t="n"/>
      <c r="J112" s="2">
        <f>IF(B112="","",IF(E112="Обязательное",IF(H112&gt;=0.6,"Минимальный рыночный стандарт","Потенциальный обязательный разрыв"),IF(E112="Линейное",IF(H112&gt;=0.5,"Конкурентная норма с влиянием на выбор","Зона усиления ценности"),IF(E112="Привлекательное",IF(H112&lt;0.5,"Зона дифференциации","Переходит в ожидаемую норму"),IF(E112="Безразличное","Не делать при дефиците ресурсов",IF(E112="Обратное","Исключить или проверить риск отторжения","Требует проверки"))))))</f>
        <v/>
      </c>
      <c r="K112" s="2" t="n"/>
      <c r="L112" s="2" t="n"/>
      <c r="M112" s="2" t="n"/>
    </row>
    <row r="113">
      <c r="A113" s="2" t="inlineStr">
        <is>
          <t>R107</t>
        </is>
      </c>
      <c r="B113" s="2" t="n"/>
      <c r="C113" s="2" t="n"/>
      <c r="D113" s="2" t="n"/>
      <c r="E113" s="2" t="n"/>
      <c r="F113" s="2" t="n"/>
      <c r="G113" s="2" t="n"/>
      <c r="H113" s="5">
        <f>IF(G113="","",IFERROR(G113/MAX(1,COUNTIF('01_Конкуренты'!$B\$7:$B\$36,"?*")),""))</f>
        <v/>
      </c>
      <c r="I113" s="2" t="n"/>
      <c r="J113" s="2">
        <f>IF(B113="","",IF(E113="Обязательное",IF(H113&gt;=0.6,"Минимальный рыночный стандарт","Потенциальный обязательный разрыв"),IF(E113="Линейное",IF(H113&gt;=0.5,"Конкурентная норма с влиянием на выбор","Зона усиления ценности"),IF(E113="Привлекательное",IF(H113&lt;0.5,"Зона дифференциации","Переходит в ожидаемую норму"),IF(E113="Безразличное","Не делать при дефиците ресурсов",IF(E113="Обратное","Исключить или проверить риск отторжения","Требует проверки"))))))</f>
        <v/>
      </c>
      <c r="K113" s="2" t="n"/>
      <c r="L113" s="2" t="n"/>
      <c r="M113" s="2" t="n"/>
    </row>
    <row r="114">
      <c r="A114" s="2" t="inlineStr">
        <is>
          <t>R108</t>
        </is>
      </c>
      <c r="B114" s="2" t="n"/>
      <c r="C114" s="2" t="n"/>
      <c r="D114" s="2" t="n"/>
      <c r="E114" s="2" t="n"/>
      <c r="F114" s="2" t="n"/>
      <c r="G114" s="2" t="n"/>
      <c r="H114" s="5">
        <f>IF(G114="","",IFERROR(G114/MAX(1,COUNTIF('01_Конкуренты'!$B\$7:$B\$36,"?*")),""))</f>
        <v/>
      </c>
      <c r="I114" s="2" t="n"/>
      <c r="J114" s="2">
        <f>IF(B114="","",IF(E114="Обязательное",IF(H114&gt;=0.6,"Минимальный рыночный стандарт","Потенциальный обязательный разрыв"),IF(E114="Линейное",IF(H114&gt;=0.5,"Конкурентная норма с влиянием на выбор","Зона усиления ценности"),IF(E114="Привлекательное",IF(H114&lt;0.5,"Зона дифференциации","Переходит в ожидаемую норму"),IF(E114="Безразличное","Не делать при дефиците ресурсов",IF(E114="Обратное","Исключить или проверить риск отторжения","Требует проверки"))))))</f>
        <v/>
      </c>
      <c r="K114" s="2" t="n"/>
      <c r="L114" s="2" t="n"/>
      <c r="M114" s="2" t="n"/>
    </row>
    <row r="115">
      <c r="A115" s="2" t="inlineStr">
        <is>
          <t>R109</t>
        </is>
      </c>
      <c r="B115" s="2" t="n"/>
      <c r="C115" s="2" t="n"/>
      <c r="D115" s="2" t="n"/>
      <c r="E115" s="2" t="n"/>
      <c r="F115" s="2" t="n"/>
      <c r="G115" s="2" t="n"/>
      <c r="H115" s="5">
        <f>IF(G115="","",IFERROR(G115/MAX(1,COUNTIF('01_Конкуренты'!$B\$7:$B\$36,"?*")),""))</f>
        <v/>
      </c>
      <c r="I115" s="2" t="n"/>
      <c r="J115" s="2">
        <f>IF(B115="","",IF(E115="Обязательное",IF(H115&gt;=0.6,"Минимальный рыночный стандарт","Потенциальный обязательный разрыв"),IF(E115="Линейное",IF(H115&gt;=0.5,"Конкурентная норма с влиянием на выбор","Зона усиления ценности"),IF(E115="Привлекательное",IF(H115&lt;0.5,"Зона дифференциации","Переходит в ожидаемую норму"),IF(E115="Безразличное","Не делать при дефиците ресурсов",IF(E115="Обратное","Исключить или проверить риск отторжения","Требует проверки"))))))</f>
        <v/>
      </c>
      <c r="K115" s="2" t="n"/>
      <c r="L115" s="2" t="n"/>
      <c r="M115" s="2" t="n"/>
    </row>
    <row r="116">
      <c r="A116" s="2" t="inlineStr">
        <is>
          <t>R110</t>
        </is>
      </c>
      <c r="B116" s="2" t="n"/>
      <c r="C116" s="2" t="n"/>
      <c r="D116" s="2" t="n"/>
      <c r="E116" s="2" t="n"/>
      <c r="F116" s="2" t="n"/>
      <c r="G116" s="2" t="n"/>
      <c r="H116" s="5">
        <f>IF(G116="","",IFERROR(G116/MAX(1,COUNTIF('01_Конкуренты'!$B\$7:$B\$36,"?*")),""))</f>
        <v/>
      </c>
      <c r="I116" s="2" t="n"/>
      <c r="J116" s="2">
        <f>IF(B116="","",IF(E116="Обязательное",IF(H116&gt;=0.6,"Минимальный рыночный стандарт","Потенциальный обязательный разрыв"),IF(E116="Линейное",IF(H116&gt;=0.5,"Конкурентная норма с влиянием на выбор","Зона усиления ценности"),IF(E116="Привлекательное",IF(H116&lt;0.5,"Зона дифференциации","Переходит в ожидаемую норму"),IF(E116="Безразличное","Не делать при дефиците ресурсов",IF(E116="Обратное","Исключить или проверить риск отторжения","Требует проверки"))))))</f>
        <v/>
      </c>
      <c r="K116" s="2" t="n"/>
      <c r="L116" s="2" t="n"/>
      <c r="M116" s="2" t="n"/>
    </row>
    <row r="117">
      <c r="A117" s="2" t="inlineStr">
        <is>
          <t>R111</t>
        </is>
      </c>
      <c r="B117" s="2" t="n"/>
      <c r="C117" s="2" t="n"/>
      <c r="D117" s="2" t="n"/>
      <c r="E117" s="2" t="n"/>
      <c r="F117" s="2" t="n"/>
      <c r="G117" s="2" t="n"/>
      <c r="H117" s="5">
        <f>IF(G117="","",IFERROR(G117/MAX(1,COUNTIF('01_Конкуренты'!$B\$7:$B\$36,"?*")),""))</f>
        <v/>
      </c>
      <c r="I117" s="2" t="n"/>
      <c r="J117" s="2">
        <f>IF(B117="","",IF(E117="Обязательное",IF(H117&gt;=0.6,"Минимальный рыночный стандарт","Потенциальный обязательный разрыв"),IF(E117="Линейное",IF(H117&gt;=0.5,"Конкурентная норма с влиянием на выбор","Зона усиления ценности"),IF(E117="Привлекательное",IF(H117&lt;0.5,"Зона дифференциации","Переходит в ожидаемую норму"),IF(E117="Безразличное","Не делать при дефиците ресурсов",IF(E117="Обратное","Исключить или проверить риск отторжения","Требует проверки"))))))</f>
        <v/>
      </c>
      <c r="K117" s="2" t="n"/>
      <c r="L117" s="2" t="n"/>
      <c r="M117" s="2" t="n"/>
    </row>
    <row r="118">
      <c r="A118" s="2" t="inlineStr">
        <is>
          <t>R112</t>
        </is>
      </c>
      <c r="B118" s="2" t="n"/>
      <c r="C118" s="2" t="n"/>
      <c r="D118" s="2" t="n"/>
      <c r="E118" s="2" t="n"/>
      <c r="F118" s="2" t="n"/>
      <c r="G118" s="2" t="n"/>
      <c r="H118" s="5">
        <f>IF(G118="","",IFERROR(G118/MAX(1,COUNTIF('01_Конкуренты'!$B\$7:$B\$36,"?*")),""))</f>
        <v/>
      </c>
      <c r="I118" s="2" t="n"/>
      <c r="J118" s="2">
        <f>IF(B118="","",IF(E118="Обязательное",IF(H118&gt;=0.6,"Минимальный рыночный стандарт","Потенциальный обязательный разрыв"),IF(E118="Линейное",IF(H118&gt;=0.5,"Конкурентная норма с влиянием на выбор","Зона усиления ценности"),IF(E118="Привлекательное",IF(H118&lt;0.5,"Зона дифференциации","Переходит в ожидаемую норму"),IF(E118="Безразличное","Не делать при дефиците ресурсов",IF(E118="Обратное","Исключить или проверить риск отторжения","Требует проверки"))))))</f>
        <v/>
      </c>
      <c r="K118" s="2" t="n"/>
      <c r="L118" s="2" t="n"/>
      <c r="M118" s="2" t="n"/>
    </row>
    <row r="119">
      <c r="A119" s="2" t="inlineStr">
        <is>
          <t>R113</t>
        </is>
      </c>
      <c r="B119" s="2" t="n"/>
      <c r="C119" s="2" t="n"/>
      <c r="D119" s="2" t="n"/>
      <c r="E119" s="2" t="n"/>
      <c r="F119" s="2" t="n"/>
      <c r="G119" s="2" t="n"/>
      <c r="H119" s="5">
        <f>IF(G119="","",IFERROR(G119/MAX(1,COUNTIF('01_Конкуренты'!$B\$7:$B\$36,"?*")),""))</f>
        <v/>
      </c>
      <c r="I119" s="2" t="n"/>
      <c r="J119" s="2">
        <f>IF(B119="","",IF(E119="Обязательное",IF(H119&gt;=0.6,"Минимальный рыночный стандарт","Потенциальный обязательный разрыв"),IF(E119="Линейное",IF(H119&gt;=0.5,"Конкурентная норма с влиянием на выбор","Зона усиления ценности"),IF(E119="Привлекательное",IF(H119&lt;0.5,"Зона дифференциации","Переходит в ожидаемую норму"),IF(E119="Безразличное","Не делать при дефиците ресурсов",IF(E119="Обратное","Исключить или проверить риск отторжения","Требует проверки"))))))</f>
        <v/>
      </c>
      <c r="K119" s="2" t="n"/>
      <c r="L119" s="2" t="n"/>
      <c r="M119" s="2" t="n"/>
    </row>
    <row r="120">
      <c r="A120" s="2" t="inlineStr">
        <is>
          <t>R114</t>
        </is>
      </c>
      <c r="B120" s="2" t="n"/>
      <c r="C120" s="2" t="n"/>
      <c r="D120" s="2" t="n"/>
      <c r="E120" s="2" t="n"/>
      <c r="F120" s="2" t="n"/>
      <c r="G120" s="2" t="n"/>
      <c r="H120" s="5">
        <f>IF(G120="","",IFERROR(G120/MAX(1,COUNTIF('01_Конкуренты'!$B\$7:$B\$36,"?*")),""))</f>
        <v/>
      </c>
      <c r="I120" s="2" t="n"/>
      <c r="J120" s="2">
        <f>IF(B120="","",IF(E120="Обязательное",IF(H120&gt;=0.6,"Минимальный рыночный стандарт","Потенциальный обязательный разрыв"),IF(E120="Линейное",IF(H120&gt;=0.5,"Конкурентная норма с влиянием на выбор","Зона усиления ценности"),IF(E120="Привлекательное",IF(H120&lt;0.5,"Зона дифференциации","Переходит в ожидаемую норму"),IF(E120="Безразличное","Не делать при дефиците ресурсов",IF(E120="Обратное","Исключить или проверить риск отторжения","Требует проверки"))))))</f>
        <v/>
      </c>
      <c r="K120" s="2" t="n"/>
      <c r="L120" s="2" t="n"/>
      <c r="M120" s="2" t="n"/>
    </row>
    <row r="121">
      <c r="A121" s="2" t="inlineStr">
        <is>
          <t>R115</t>
        </is>
      </c>
      <c r="B121" s="2" t="n"/>
      <c r="C121" s="2" t="n"/>
      <c r="D121" s="2" t="n"/>
      <c r="E121" s="2" t="n"/>
      <c r="F121" s="2" t="n"/>
      <c r="G121" s="2" t="n"/>
      <c r="H121" s="5">
        <f>IF(G121="","",IFERROR(G121/MAX(1,COUNTIF('01_Конкуренты'!$B\$7:$B\$36,"?*")),""))</f>
        <v/>
      </c>
      <c r="I121" s="2" t="n"/>
      <c r="J121" s="2">
        <f>IF(B121="","",IF(E121="Обязательное",IF(H121&gt;=0.6,"Минимальный рыночный стандарт","Потенциальный обязательный разрыв"),IF(E121="Линейное",IF(H121&gt;=0.5,"Конкурентная норма с влиянием на выбор","Зона усиления ценности"),IF(E121="Привлекательное",IF(H121&lt;0.5,"Зона дифференциации","Переходит в ожидаемую норму"),IF(E121="Безразличное","Не делать при дефиците ресурсов",IF(E121="Обратное","Исключить или проверить риск отторжения","Требует проверки"))))))</f>
        <v/>
      </c>
      <c r="K121" s="2" t="n"/>
      <c r="L121" s="2" t="n"/>
      <c r="M121" s="2" t="n"/>
    </row>
    <row r="122">
      <c r="A122" s="2" t="inlineStr">
        <is>
          <t>R116</t>
        </is>
      </c>
      <c r="B122" s="2" t="n"/>
      <c r="C122" s="2" t="n"/>
      <c r="D122" s="2" t="n"/>
      <c r="E122" s="2" t="n"/>
      <c r="F122" s="2" t="n"/>
      <c r="G122" s="2" t="n"/>
      <c r="H122" s="5">
        <f>IF(G122="","",IFERROR(G122/MAX(1,COUNTIF('01_Конкуренты'!$B\$7:$B\$36,"?*")),""))</f>
        <v/>
      </c>
      <c r="I122" s="2" t="n"/>
      <c r="J122" s="2">
        <f>IF(B122="","",IF(E122="Обязательное",IF(H122&gt;=0.6,"Минимальный рыночный стандарт","Потенциальный обязательный разрыв"),IF(E122="Линейное",IF(H122&gt;=0.5,"Конкурентная норма с влиянием на выбор","Зона усиления ценности"),IF(E122="Привлекательное",IF(H122&lt;0.5,"Зона дифференциации","Переходит в ожидаемую норму"),IF(E122="Безразличное","Не делать при дефиците ресурсов",IF(E122="Обратное","Исключить или проверить риск отторжения","Требует проверки"))))))</f>
        <v/>
      </c>
      <c r="K122" s="2" t="n"/>
      <c r="L122" s="2" t="n"/>
      <c r="M122" s="2" t="n"/>
    </row>
    <row r="123">
      <c r="A123" s="2" t="inlineStr">
        <is>
          <t>R117</t>
        </is>
      </c>
      <c r="B123" s="2" t="n"/>
      <c r="C123" s="2" t="n"/>
      <c r="D123" s="2" t="n"/>
      <c r="E123" s="2" t="n"/>
      <c r="F123" s="2" t="n"/>
      <c r="G123" s="2" t="n"/>
      <c r="H123" s="5">
        <f>IF(G123="","",IFERROR(G123/MAX(1,COUNTIF('01_Конкуренты'!$B\$7:$B\$36,"?*")),""))</f>
        <v/>
      </c>
      <c r="I123" s="2" t="n"/>
      <c r="J123" s="2">
        <f>IF(B123="","",IF(E123="Обязательное",IF(H123&gt;=0.6,"Минимальный рыночный стандарт","Потенциальный обязательный разрыв"),IF(E123="Линейное",IF(H123&gt;=0.5,"Конкурентная норма с влиянием на выбор","Зона усиления ценности"),IF(E123="Привлекательное",IF(H123&lt;0.5,"Зона дифференциации","Переходит в ожидаемую норму"),IF(E123="Безразличное","Не делать при дефиците ресурсов",IF(E123="Обратное","Исключить или проверить риск отторжения","Требует проверки"))))))</f>
        <v/>
      </c>
      <c r="K123" s="2" t="n"/>
      <c r="L123" s="2" t="n"/>
      <c r="M123" s="2" t="n"/>
    </row>
    <row r="124">
      <c r="A124" s="2" t="inlineStr">
        <is>
          <t>R118</t>
        </is>
      </c>
      <c r="B124" s="2" t="n"/>
      <c r="C124" s="2" t="n"/>
      <c r="D124" s="2" t="n"/>
      <c r="E124" s="2" t="n"/>
      <c r="F124" s="2" t="n"/>
      <c r="G124" s="2" t="n"/>
      <c r="H124" s="5">
        <f>IF(G124="","",IFERROR(G124/MAX(1,COUNTIF('01_Конкуренты'!$B\$7:$B\$36,"?*")),""))</f>
        <v/>
      </c>
      <c r="I124" s="2" t="n"/>
      <c r="J124" s="2">
        <f>IF(B124="","",IF(E124="Обязательное",IF(H124&gt;=0.6,"Минимальный рыночный стандарт","Потенциальный обязательный разрыв"),IF(E124="Линейное",IF(H124&gt;=0.5,"Конкурентная норма с влиянием на выбор","Зона усиления ценности"),IF(E124="Привлекательное",IF(H124&lt;0.5,"Зона дифференциации","Переходит в ожидаемую норму"),IF(E124="Безразличное","Не делать при дефиците ресурсов",IF(E124="Обратное","Исключить или проверить риск отторжения","Требует проверки"))))))</f>
        <v/>
      </c>
      <c r="K124" s="2" t="n"/>
      <c r="L124" s="2" t="n"/>
      <c r="M124" s="2" t="n"/>
    </row>
    <row r="125">
      <c r="A125" s="2" t="inlineStr">
        <is>
          <t>R119</t>
        </is>
      </c>
      <c r="B125" s="2" t="n"/>
      <c r="C125" s="2" t="n"/>
      <c r="D125" s="2" t="n"/>
      <c r="E125" s="2" t="n"/>
      <c r="F125" s="2" t="n"/>
      <c r="G125" s="2" t="n"/>
      <c r="H125" s="5">
        <f>IF(G125="","",IFERROR(G125/MAX(1,COUNTIF('01_Конкуренты'!$B\$7:$B\$36,"?*")),""))</f>
        <v/>
      </c>
      <c r="I125" s="2" t="n"/>
      <c r="J125" s="2">
        <f>IF(B125="","",IF(E125="Обязательное",IF(H125&gt;=0.6,"Минимальный рыночный стандарт","Потенциальный обязательный разрыв"),IF(E125="Линейное",IF(H125&gt;=0.5,"Конкурентная норма с влиянием на выбор","Зона усиления ценности"),IF(E125="Привлекательное",IF(H125&lt;0.5,"Зона дифференциации","Переходит в ожидаемую норму"),IF(E125="Безразличное","Не делать при дефиците ресурсов",IF(E125="Обратное","Исключить или проверить риск отторжения","Требует проверки"))))))</f>
        <v/>
      </c>
      <c r="K125" s="2" t="n"/>
      <c r="L125" s="2" t="n"/>
      <c r="M125" s="2" t="n"/>
    </row>
    <row r="126">
      <c r="A126" s="2" t="inlineStr">
        <is>
          <t>R120</t>
        </is>
      </c>
      <c r="B126" s="2" t="n"/>
      <c r="C126" s="2" t="n"/>
      <c r="D126" s="2" t="n"/>
      <c r="E126" s="2" t="n"/>
      <c r="F126" s="2" t="n"/>
      <c r="G126" s="2" t="n"/>
      <c r="H126" s="5">
        <f>IF(G126="","",IFERROR(G126/MAX(1,COUNTIF('01_Конкуренты'!$B\$7:$B\$36,"?*")),""))</f>
        <v/>
      </c>
      <c r="I126" s="2" t="n"/>
      <c r="J126" s="2">
        <f>IF(B126="","",IF(E126="Обязательное",IF(H126&gt;=0.6,"Минимальный рыночный стандарт","Потенциальный обязательный разрыв"),IF(E126="Линейное",IF(H126&gt;=0.5,"Конкурентная норма с влиянием на выбор","Зона усиления ценности"),IF(E126="Привлекательное",IF(H126&lt;0.5,"Зона дифференциации","Переходит в ожидаемую норму"),IF(E126="Безразличное","Не делать при дефиците ресурсов",IF(E126="Обратное","Исключить или проверить риск отторжения","Требует проверки"))))))</f>
        <v/>
      </c>
      <c r="K126" s="2" t="n"/>
      <c r="L126" s="2" t="n"/>
      <c r="M126" s="2" t="n"/>
    </row>
    <row r="127">
      <c r="A127" s="2" t="inlineStr">
        <is>
          <t>R121</t>
        </is>
      </c>
      <c r="B127" s="2" t="n"/>
      <c r="C127" s="2" t="n"/>
      <c r="D127" s="2" t="n"/>
      <c r="E127" s="2" t="n"/>
      <c r="F127" s="2" t="n"/>
      <c r="G127" s="2" t="n"/>
      <c r="H127" s="5">
        <f>IF(G127="","",IFERROR(G127/MAX(1,COUNTIF('01_Конкуренты'!$B\$7:$B\$36,"?*")),""))</f>
        <v/>
      </c>
      <c r="I127" s="2" t="n"/>
      <c r="J127" s="2">
        <f>IF(B127="","",IF(E127="Обязательное",IF(H127&gt;=0.6,"Минимальный рыночный стандарт","Потенциальный обязательный разрыв"),IF(E127="Линейное",IF(H127&gt;=0.5,"Конкурентная норма с влиянием на выбор","Зона усиления ценности"),IF(E127="Привлекательное",IF(H127&lt;0.5,"Зона дифференциации","Переходит в ожидаемую норму"),IF(E127="Безразличное","Не делать при дефиците ресурсов",IF(E127="Обратное","Исключить или проверить риск отторжения","Требует проверки"))))))</f>
        <v/>
      </c>
      <c r="K127" s="2" t="n"/>
      <c r="L127" s="2" t="n"/>
      <c r="M127" s="2" t="n"/>
    </row>
    <row r="128">
      <c r="A128" s="2" t="inlineStr">
        <is>
          <t>R122</t>
        </is>
      </c>
      <c r="B128" s="2" t="n"/>
      <c r="C128" s="2" t="n"/>
      <c r="D128" s="2" t="n"/>
      <c r="E128" s="2" t="n"/>
      <c r="F128" s="2" t="n"/>
      <c r="G128" s="2" t="n"/>
      <c r="H128" s="5">
        <f>IF(G128="","",IFERROR(G128/MAX(1,COUNTIF('01_Конкуренты'!$B\$7:$B\$36,"?*")),""))</f>
        <v/>
      </c>
      <c r="I128" s="2" t="n"/>
      <c r="J128" s="2">
        <f>IF(B128="","",IF(E128="Обязательное",IF(H128&gt;=0.6,"Минимальный рыночный стандарт","Потенциальный обязательный разрыв"),IF(E128="Линейное",IF(H128&gt;=0.5,"Конкурентная норма с влиянием на выбор","Зона усиления ценности"),IF(E128="Привлекательное",IF(H128&lt;0.5,"Зона дифференциации","Переходит в ожидаемую норму"),IF(E128="Безразличное","Не делать при дефиците ресурсов",IF(E128="Обратное","Исключить или проверить риск отторжения","Требует проверки"))))))</f>
        <v/>
      </c>
      <c r="K128" s="2" t="n"/>
      <c r="L128" s="2" t="n"/>
      <c r="M128" s="2" t="n"/>
    </row>
    <row r="129">
      <c r="A129" s="2" t="inlineStr">
        <is>
          <t>R123</t>
        </is>
      </c>
      <c r="B129" s="2" t="n"/>
      <c r="C129" s="2" t="n"/>
      <c r="D129" s="2" t="n"/>
      <c r="E129" s="2" t="n"/>
      <c r="F129" s="2" t="n"/>
      <c r="G129" s="2" t="n"/>
      <c r="H129" s="5">
        <f>IF(G129="","",IFERROR(G129/MAX(1,COUNTIF('01_Конкуренты'!$B\$7:$B\$36,"?*")),""))</f>
        <v/>
      </c>
      <c r="I129" s="2" t="n"/>
      <c r="J129" s="2">
        <f>IF(B129="","",IF(E129="Обязательное",IF(H129&gt;=0.6,"Минимальный рыночный стандарт","Потенциальный обязательный разрыв"),IF(E129="Линейное",IF(H129&gt;=0.5,"Конкурентная норма с влиянием на выбор","Зона усиления ценности"),IF(E129="Привлекательное",IF(H129&lt;0.5,"Зона дифференциации","Переходит в ожидаемую норму"),IF(E129="Безразличное","Не делать при дефиците ресурсов",IF(E129="Обратное","Исключить или проверить риск отторжения","Требует проверки"))))))</f>
        <v/>
      </c>
      <c r="K129" s="2" t="n"/>
      <c r="L129" s="2" t="n"/>
      <c r="M129" s="2" t="n"/>
    </row>
    <row r="130">
      <c r="A130" s="2" t="inlineStr">
        <is>
          <t>R124</t>
        </is>
      </c>
      <c r="B130" s="2" t="n"/>
      <c r="C130" s="2" t="n"/>
      <c r="D130" s="2" t="n"/>
      <c r="E130" s="2" t="n"/>
      <c r="F130" s="2" t="n"/>
      <c r="G130" s="2" t="n"/>
      <c r="H130" s="5">
        <f>IF(G130="","",IFERROR(G130/MAX(1,COUNTIF('01_Конкуренты'!$B\$7:$B\$36,"?*")),""))</f>
        <v/>
      </c>
      <c r="I130" s="2" t="n"/>
      <c r="J130" s="2">
        <f>IF(B130="","",IF(E130="Обязательное",IF(H130&gt;=0.6,"Минимальный рыночный стандарт","Потенциальный обязательный разрыв"),IF(E130="Линейное",IF(H130&gt;=0.5,"Конкурентная норма с влиянием на выбор","Зона усиления ценности"),IF(E130="Привлекательное",IF(H130&lt;0.5,"Зона дифференциации","Переходит в ожидаемую норму"),IF(E130="Безразличное","Не делать при дефиците ресурсов",IF(E130="Обратное","Исключить или проверить риск отторжения","Требует проверки"))))))</f>
        <v/>
      </c>
      <c r="K130" s="2" t="n"/>
      <c r="L130" s="2" t="n"/>
      <c r="M130" s="2" t="n"/>
    </row>
    <row r="131">
      <c r="A131" s="2" t="inlineStr">
        <is>
          <t>R125</t>
        </is>
      </c>
      <c r="B131" s="2" t="n"/>
      <c r="C131" s="2" t="n"/>
      <c r="D131" s="2" t="n"/>
      <c r="E131" s="2" t="n"/>
      <c r="F131" s="2" t="n"/>
      <c r="G131" s="2" t="n"/>
      <c r="H131" s="5">
        <f>IF(G131="","",IFERROR(G131/MAX(1,COUNTIF('01_Конкуренты'!$B\$7:$B\$36,"?*")),""))</f>
        <v/>
      </c>
      <c r="I131" s="2" t="n"/>
      <c r="J131" s="2">
        <f>IF(B131="","",IF(E131="Обязательное",IF(H131&gt;=0.6,"Минимальный рыночный стандарт","Потенциальный обязательный разрыв"),IF(E131="Линейное",IF(H131&gt;=0.5,"Конкурентная норма с влиянием на выбор","Зона усиления ценности"),IF(E131="Привлекательное",IF(H131&lt;0.5,"Зона дифференциации","Переходит в ожидаемую норму"),IF(E131="Безразличное","Не делать при дефиците ресурсов",IF(E131="Обратное","Исключить или проверить риск отторжения","Требует проверки"))))))</f>
        <v/>
      </c>
      <c r="K131" s="2" t="n"/>
      <c r="L131" s="2" t="n"/>
      <c r="M131" s="2" t="n"/>
    </row>
    <row r="132">
      <c r="A132" s="2" t="inlineStr">
        <is>
          <t>R126</t>
        </is>
      </c>
      <c r="B132" s="2" t="n"/>
      <c r="C132" s="2" t="n"/>
      <c r="D132" s="2" t="n"/>
      <c r="E132" s="2" t="n"/>
      <c r="F132" s="2" t="n"/>
      <c r="G132" s="2" t="n"/>
      <c r="H132" s="5">
        <f>IF(G132="","",IFERROR(G132/MAX(1,COUNTIF('01_Конкуренты'!$B\$7:$B\$36,"?*")),""))</f>
        <v/>
      </c>
      <c r="I132" s="2" t="n"/>
      <c r="J132" s="2">
        <f>IF(B132="","",IF(E132="Обязательное",IF(H132&gt;=0.6,"Минимальный рыночный стандарт","Потенциальный обязательный разрыв"),IF(E132="Линейное",IF(H132&gt;=0.5,"Конкурентная норма с влиянием на выбор","Зона усиления ценности"),IF(E132="Привлекательное",IF(H132&lt;0.5,"Зона дифференциации","Переходит в ожидаемую норму"),IF(E132="Безразличное","Не делать при дефиците ресурсов",IF(E132="Обратное","Исключить или проверить риск отторжения","Требует проверки"))))))</f>
        <v/>
      </c>
      <c r="K132" s="2" t="n"/>
      <c r="L132" s="2" t="n"/>
      <c r="M132" s="2" t="n"/>
    </row>
    <row r="133">
      <c r="A133" s="2" t="inlineStr">
        <is>
          <t>R127</t>
        </is>
      </c>
      <c r="B133" s="2" t="n"/>
      <c r="C133" s="2" t="n"/>
      <c r="D133" s="2" t="n"/>
      <c r="E133" s="2" t="n"/>
      <c r="F133" s="2" t="n"/>
      <c r="G133" s="2" t="n"/>
      <c r="H133" s="5">
        <f>IF(G133="","",IFERROR(G133/MAX(1,COUNTIF('01_Конкуренты'!$B\$7:$B\$36,"?*")),""))</f>
        <v/>
      </c>
      <c r="I133" s="2" t="n"/>
      <c r="J133" s="2">
        <f>IF(B133="","",IF(E133="Обязательное",IF(H133&gt;=0.6,"Минимальный рыночный стандарт","Потенциальный обязательный разрыв"),IF(E133="Линейное",IF(H133&gt;=0.5,"Конкурентная норма с влиянием на выбор","Зона усиления ценности"),IF(E133="Привлекательное",IF(H133&lt;0.5,"Зона дифференциации","Переходит в ожидаемую норму"),IF(E133="Безразличное","Не делать при дефиците ресурсов",IF(E133="Обратное","Исключить или проверить риск отторжения","Требует проверки"))))))</f>
        <v/>
      </c>
      <c r="K133" s="2" t="n"/>
      <c r="L133" s="2" t="n"/>
      <c r="M133" s="2" t="n"/>
    </row>
    <row r="134">
      <c r="A134" s="2" t="inlineStr">
        <is>
          <t>R128</t>
        </is>
      </c>
      <c r="B134" s="2" t="n"/>
      <c r="C134" s="2" t="n"/>
      <c r="D134" s="2" t="n"/>
      <c r="E134" s="2" t="n"/>
      <c r="F134" s="2" t="n"/>
      <c r="G134" s="2" t="n"/>
      <c r="H134" s="5">
        <f>IF(G134="","",IFERROR(G134/MAX(1,COUNTIF('01_Конкуренты'!$B\$7:$B\$36,"?*")),""))</f>
        <v/>
      </c>
      <c r="I134" s="2" t="n"/>
      <c r="J134" s="2">
        <f>IF(B134="","",IF(E134="Обязательное",IF(H134&gt;=0.6,"Минимальный рыночный стандарт","Потенциальный обязательный разрыв"),IF(E134="Линейное",IF(H134&gt;=0.5,"Конкурентная норма с влиянием на выбор","Зона усиления ценности"),IF(E134="Привлекательное",IF(H134&lt;0.5,"Зона дифференциации","Переходит в ожидаемую норму"),IF(E134="Безразличное","Не делать при дефиците ресурсов",IF(E134="Обратное","Исключить или проверить риск отторжения","Требует проверки"))))))</f>
        <v/>
      </c>
      <c r="K134" s="2" t="n"/>
      <c r="L134" s="2" t="n"/>
      <c r="M134" s="2" t="n"/>
    </row>
    <row r="135">
      <c r="A135" s="2" t="inlineStr">
        <is>
          <t>R129</t>
        </is>
      </c>
      <c r="B135" s="2" t="n"/>
      <c r="C135" s="2" t="n"/>
      <c r="D135" s="2" t="n"/>
      <c r="E135" s="2" t="n"/>
      <c r="F135" s="2" t="n"/>
      <c r="G135" s="2" t="n"/>
      <c r="H135" s="5">
        <f>IF(G135="","",IFERROR(G135/MAX(1,COUNTIF('01_Конкуренты'!$B\$7:$B\$36,"?*")),""))</f>
        <v/>
      </c>
      <c r="I135" s="2" t="n"/>
      <c r="J135" s="2">
        <f>IF(B135="","",IF(E135="Обязательное",IF(H135&gt;=0.6,"Минимальный рыночный стандарт","Потенциальный обязательный разрыв"),IF(E135="Линейное",IF(H135&gt;=0.5,"Конкурентная норма с влиянием на выбор","Зона усиления ценности"),IF(E135="Привлекательное",IF(H135&lt;0.5,"Зона дифференциации","Переходит в ожидаемую норму"),IF(E135="Безразличное","Не делать при дефиците ресурсов",IF(E135="Обратное","Исключить или проверить риск отторжения","Требует проверки"))))))</f>
        <v/>
      </c>
      <c r="K135" s="2" t="n"/>
      <c r="L135" s="2" t="n"/>
      <c r="M135" s="2" t="n"/>
    </row>
    <row r="136">
      <c r="A136" s="2" t="inlineStr">
        <is>
          <t>R130</t>
        </is>
      </c>
      <c r="B136" s="2" t="n"/>
      <c r="C136" s="2" t="n"/>
      <c r="D136" s="2" t="n"/>
      <c r="E136" s="2" t="n"/>
      <c r="F136" s="2" t="n"/>
      <c r="G136" s="2" t="n"/>
      <c r="H136" s="5">
        <f>IF(G136="","",IFERROR(G136/MAX(1,COUNTIF('01_Конкуренты'!$B\$7:$B\$36,"?*")),""))</f>
        <v/>
      </c>
      <c r="I136" s="2" t="n"/>
      <c r="J136" s="2">
        <f>IF(B136="","",IF(E136="Обязательное",IF(H136&gt;=0.6,"Минимальный рыночный стандарт","Потенциальный обязательный разрыв"),IF(E136="Линейное",IF(H136&gt;=0.5,"Конкурентная норма с влиянием на выбор","Зона усиления ценности"),IF(E136="Привлекательное",IF(H136&lt;0.5,"Зона дифференциации","Переходит в ожидаемую норму"),IF(E136="Безразличное","Не делать при дефиците ресурсов",IF(E136="Обратное","Исключить или проверить риск отторжения","Требует проверки"))))))</f>
        <v/>
      </c>
      <c r="K136" s="2" t="n"/>
      <c r="L136" s="2" t="n"/>
      <c r="M136" s="2" t="n"/>
    </row>
    <row r="137">
      <c r="A137" s="2" t="inlineStr">
        <is>
          <t>R131</t>
        </is>
      </c>
      <c r="B137" s="2" t="n"/>
      <c r="C137" s="2" t="n"/>
      <c r="D137" s="2" t="n"/>
      <c r="E137" s="2" t="n"/>
      <c r="F137" s="2" t="n"/>
      <c r="G137" s="2" t="n"/>
      <c r="H137" s="5">
        <f>IF(G137="","",IFERROR(G137/MAX(1,COUNTIF('01_Конкуренты'!$B\$7:$B\$36,"?*")),""))</f>
        <v/>
      </c>
      <c r="I137" s="2" t="n"/>
      <c r="J137" s="2">
        <f>IF(B137="","",IF(E137="Обязательное",IF(H137&gt;=0.6,"Минимальный рыночный стандарт","Потенциальный обязательный разрыв"),IF(E137="Линейное",IF(H137&gt;=0.5,"Конкурентная норма с влиянием на выбор","Зона усиления ценности"),IF(E137="Привлекательное",IF(H137&lt;0.5,"Зона дифференциации","Переходит в ожидаемую норму"),IF(E137="Безразличное","Не делать при дефиците ресурсов",IF(E137="Обратное","Исключить или проверить риск отторжения","Требует проверки"))))))</f>
        <v/>
      </c>
      <c r="K137" s="2" t="n"/>
      <c r="L137" s="2" t="n"/>
      <c r="M137" s="2" t="n"/>
    </row>
    <row r="138">
      <c r="A138" s="2" t="inlineStr">
        <is>
          <t>R132</t>
        </is>
      </c>
      <c r="B138" s="2" t="n"/>
      <c r="C138" s="2" t="n"/>
      <c r="D138" s="2" t="n"/>
      <c r="E138" s="2" t="n"/>
      <c r="F138" s="2" t="n"/>
      <c r="G138" s="2" t="n"/>
      <c r="H138" s="5">
        <f>IF(G138="","",IFERROR(G138/MAX(1,COUNTIF('01_Конкуренты'!$B\$7:$B\$36,"?*")),""))</f>
        <v/>
      </c>
      <c r="I138" s="2" t="n"/>
      <c r="J138" s="2">
        <f>IF(B138="","",IF(E138="Обязательное",IF(H138&gt;=0.6,"Минимальный рыночный стандарт","Потенциальный обязательный разрыв"),IF(E138="Линейное",IF(H138&gt;=0.5,"Конкурентная норма с влиянием на выбор","Зона усиления ценности"),IF(E138="Привлекательное",IF(H138&lt;0.5,"Зона дифференциации","Переходит в ожидаемую норму"),IF(E138="Безразличное","Не делать при дефиците ресурсов",IF(E138="Обратное","Исключить или проверить риск отторжения","Требует проверки"))))))</f>
        <v/>
      </c>
      <c r="K138" s="2" t="n"/>
      <c r="L138" s="2" t="n"/>
      <c r="M138" s="2" t="n"/>
    </row>
    <row r="139">
      <c r="A139" s="2" t="inlineStr">
        <is>
          <t>R133</t>
        </is>
      </c>
      <c r="B139" s="2" t="n"/>
      <c r="C139" s="2" t="n"/>
      <c r="D139" s="2" t="n"/>
      <c r="E139" s="2" t="n"/>
      <c r="F139" s="2" t="n"/>
      <c r="G139" s="2" t="n"/>
      <c r="H139" s="5">
        <f>IF(G139="","",IFERROR(G139/MAX(1,COUNTIF('01_Конкуренты'!$B\$7:$B\$36,"?*")),""))</f>
        <v/>
      </c>
      <c r="I139" s="2" t="n"/>
      <c r="J139" s="2">
        <f>IF(B139="","",IF(E139="Обязательное",IF(H139&gt;=0.6,"Минимальный рыночный стандарт","Потенциальный обязательный разрыв"),IF(E139="Линейное",IF(H139&gt;=0.5,"Конкурентная норма с влиянием на выбор","Зона усиления ценности"),IF(E139="Привлекательное",IF(H139&lt;0.5,"Зона дифференциации","Переходит в ожидаемую норму"),IF(E139="Безразличное","Не делать при дефиците ресурсов",IF(E139="Обратное","Исключить или проверить риск отторжения","Требует проверки"))))))</f>
        <v/>
      </c>
      <c r="K139" s="2" t="n"/>
      <c r="L139" s="2" t="n"/>
      <c r="M139" s="2" t="n"/>
    </row>
    <row r="140">
      <c r="A140" s="2" t="inlineStr">
        <is>
          <t>R134</t>
        </is>
      </c>
      <c r="B140" s="2" t="n"/>
      <c r="C140" s="2" t="n"/>
      <c r="D140" s="2" t="n"/>
      <c r="E140" s="2" t="n"/>
      <c r="F140" s="2" t="n"/>
      <c r="G140" s="2" t="n"/>
      <c r="H140" s="5">
        <f>IF(G140="","",IFERROR(G140/MAX(1,COUNTIF('01_Конкуренты'!$B\$7:$B\$36,"?*")),""))</f>
        <v/>
      </c>
      <c r="I140" s="2" t="n"/>
      <c r="J140" s="2">
        <f>IF(B140="","",IF(E140="Обязательное",IF(H140&gt;=0.6,"Минимальный рыночный стандарт","Потенциальный обязательный разрыв"),IF(E140="Линейное",IF(H140&gt;=0.5,"Конкурентная норма с влиянием на выбор","Зона усиления ценности"),IF(E140="Привлекательное",IF(H140&lt;0.5,"Зона дифференциации","Переходит в ожидаемую норму"),IF(E140="Безразличное","Не делать при дефиците ресурсов",IF(E140="Обратное","Исключить или проверить риск отторжения","Требует проверки"))))))</f>
        <v/>
      </c>
      <c r="K140" s="2" t="n"/>
      <c r="L140" s="2" t="n"/>
      <c r="M140" s="2" t="n"/>
    </row>
    <row r="141">
      <c r="A141" s="2" t="inlineStr">
        <is>
          <t>R135</t>
        </is>
      </c>
      <c r="B141" s="2" t="n"/>
      <c r="C141" s="2" t="n"/>
      <c r="D141" s="2" t="n"/>
      <c r="E141" s="2" t="n"/>
      <c r="F141" s="2" t="n"/>
      <c r="G141" s="2" t="n"/>
      <c r="H141" s="5">
        <f>IF(G141="","",IFERROR(G141/MAX(1,COUNTIF('01_Конкуренты'!$B\$7:$B\$36,"?*")),""))</f>
        <v/>
      </c>
      <c r="I141" s="2" t="n"/>
      <c r="J141" s="2">
        <f>IF(B141="","",IF(E141="Обязательное",IF(H141&gt;=0.6,"Минимальный рыночный стандарт","Потенциальный обязательный разрыв"),IF(E141="Линейное",IF(H141&gt;=0.5,"Конкурентная норма с влиянием на выбор","Зона усиления ценности"),IF(E141="Привлекательное",IF(H141&lt;0.5,"Зона дифференциации","Переходит в ожидаемую норму"),IF(E141="Безразличное","Не делать при дефиците ресурсов",IF(E141="Обратное","Исключить или проверить риск отторжения","Требует проверки"))))))</f>
        <v/>
      </c>
      <c r="K141" s="2" t="n"/>
      <c r="L141" s="2" t="n"/>
      <c r="M141" s="2" t="n"/>
    </row>
    <row r="142">
      <c r="A142" s="2" t="inlineStr">
        <is>
          <t>R136</t>
        </is>
      </c>
      <c r="B142" s="2" t="n"/>
      <c r="C142" s="2" t="n"/>
      <c r="D142" s="2" t="n"/>
      <c r="E142" s="2" t="n"/>
      <c r="F142" s="2" t="n"/>
      <c r="G142" s="2" t="n"/>
      <c r="H142" s="5">
        <f>IF(G142="","",IFERROR(G142/MAX(1,COUNTIF('01_Конкуренты'!$B\$7:$B\$36,"?*")),""))</f>
        <v/>
      </c>
      <c r="I142" s="2" t="n"/>
      <c r="J142" s="2">
        <f>IF(B142="","",IF(E142="Обязательное",IF(H142&gt;=0.6,"Минимальный рыночный стандарт","Потенциальный обязательный разрыв"),IF(E142="Линейное",IF(H142&gt;=0.5,"Конкурентная норма с влиянием на выбор","Зона усиления ценности"),IF(E142="Привлекательное",IF(H142&lt;0.5,"Зона дифференциации","Переходит в ожидаемую норму"),IF(E142="Безразличное","Не делать при дефиците ресурсов",IF(E142="Обратное","Исключить или проверить риск отторжения","Требует проверки"))))))</f>
        <v/>
      </c>
      <c r="K142" s="2" t="n"/>
      <c r="L142" s="2" t="n"/>
      <c r="M142" s="2" t="n"/>
    </row>
    <row r="143">
      <c r="A143" s="2" t="inlineStr">
        <is>
          <t>R137</t>
        </is>
      </c>
      <c r="B143" s="2" t="n"/>
      <c r="C143" s="2" t="n"/>
      <c r="D143" s="2" t="n"/>
      <c r="E143" s="2" t="n"/>
      <c r="F143" s="2" t="n"/>
      <c r="G143" s="2" t="n"/>
      <c r="H143" s="5">
        <f>IF(G143="","",IFERROR(G143/MAX(1,COUNTIF('01_Конкуренты'!$B\$7:$B\$36,"?*")),""))</f>
        <v/>
      </c>
      <c r="I143" s="2" t="n"/>
      <c r="J143" s="2">
        <f>IF(B143="","",IF(E143="Обязательное",IF(H143&gt;=0.6,"Минимальный рыночный стандарт","Потенциальный обязательный разрыв"),IF(E143="Линейное",IF(H143&gt;=0.5,"Конкурентная норма с влиянием на выбор","Зона усиления ценности"),IF(E143="Привлекательное",IF(H143&lt;0.5,"Зона дифференциации","Переходит в ожидаемую норму"),IF(E143="Безразличное","Не делать при дефиците ресурсов",IF(E143="Обратное","Исключить или проверить риск отторжения","Требует проверки"))))))</f>
        <v/>
      </c>
      <c r="K143" s="2" t="n"/>
      <c r="L143" s="2" t="n"/>
      <c r="M143" s="2" t="n"/>
    </row>
    <row r="144">
      <c r="A144" s="2" t="inlineStr">
        <is>
          <t>R138</t>
        </is>
      </c>
      <c r="B144" s="2" t="n"/>
      <c r="C144" s="2" t="n"/>
      <c r="D144" s="2" t="n"/>
      <c r="E144" s="2" t="n"/>
      <c r="F144" s="2" t="n"/>
      <c r="G144" s="2" t="n"/>
      <c r="H144" s="5">
        <f>IF(G144="","",IFERROR(G144/MAX(1,COUNTIF('01_Конкуренты'!$B\$7:$B\$36,"?*")),""))</f>
        <v/>
      </c>
      <c r="I144" s="2" t="n"/>
      <c r="J144" s="2">
        <f>IF(B144="","",IF(E144="Обязательное",IF(H144&gt;=0.6,"Минимальный рыночный стандарт","Потенциальный обязательный разрыв"),IF(E144="Линейное",IF(H144&gt;=0.5,"Конкурентная норма с влиянием на выбор","Зона усиления ценности"),IF(E144="Привлекательное",IF(H144&lt;0.5,"Зона дифференциации","Переходит в ожидаемую норму"),IF(E144="Безразличное","Не делать при дефиците ресурсов",IF(E144="Обратное","Исключить или проверить риск отторжения","Требует проверки"))))))</f>
        <v/>
      </c>
      <c r="K144" s="2" t="n"/>
      <c r="L144" s="2" t="n"/>
      <c r="M144" s="2" t="n"/>
    </row>
    <row r="145">
      <c r="A145" s="2" t="inlineStr">
        <is>
          <t>R139</t>
        </is>
      </c>
      <c r="B145" s="2" t="n"/>
      <c r="C145" s="2" t="n"/>
      <c r="D145" s="2" t="n"/>
      <c r="E145" s="2" t="n"/>
      <c r="F145" s="2" t="n"/>
      <c r="G145" s="2" t="n"/>
      <c r="H145" s="5">
        <f>IF(G145="","",IFERROR(G145/MAX(1,COUNTIF('01_Конкуренты'!$B\$7:$B\$36,"?*")),""))</f>
        <v/>
      </c>
      <c r="I145" s="2" t="n"/>
      <c r="J145" s="2">
        <f>IF(B145="","",IF(E145="Обязательное",IF(H145&gt;=0.6,"Минимальный рыночный стандарт","Потенциальный обязательный разрыв"),IF(E145="Линейное",IF(H145&gt;=0.5,"Конкурентная норма с влиянием на выбор","Зона усиления ценности"),IF(E145="Привлекательное",IF(H145&lt;0.5,"Зона дифференциации","Переходит в ожидаемую норму"),IF(E145="Безразличное","Не делать при дефиците ресурсов",IF(E145="Обратное","Исключить или проверить риск отторжения","Требует проверки"))))))</f>
        <v/>
      </c>
      <c r="K145" s="2" t="n"/>
      <c r="L145" s="2" t="n"/>
      <c r="M145" s="2" t="n"/>
    </row>
    <row r="146">
      <c r="A146" s="2" t="inlineStr">
        <is>
          <t>R140</t>
        </is>
      </c>
      <c r="B146" s="2" t="n"/>
      <c r="C146" s="2" t="n"/>
      <c r="D146" s="2" t="n"/>
      <c r="E146" s="2" t="n"/>
      <c r="F146" s="2" t="n"/>
      <c r="G146" s="2" t="n"/>
      <c r="H146" s="5">
        <f>IF(G146="","",IFERROR(G146/MAX(1,COUNTIF('01_Конкуренты'!$B\$7:$B\$36,"?*")),""))</f>
        <v/>
      </c>
      <c r="I146" s="2" t="n"/>
      <c r="J146" s="2">
        <f>IF(B146="","",IF(E146="Обязательное",IF(H146&gt;=0.6,"Минимальный рыночный стандарт","Потенциальный обязательный разрыв"),IF(E146="Линейное",IF(H146&gt;=0.5,"Конкурентная норма с влиянием на выбор","Зона усиления ценности"),IF(E146="Привлекательное",IF(H146&lt;0.5,"Зона дифференциации","Переходит в ожидаемую норму"),IF(E146="Безразличное","Не делать при дефиците ресурсов",IF(E146="Обратное","Исключить или проверить риск отторжения","Требует проверки"))))))</f>
        <v/>
      </c>
      <c r="K146" s="2" t="n"/>
      <c r="L146" s="2" t="n"/>
      <c r="M146" s="2" t="n"/>
    </row>
    <row r="147">
      <c r="A147" s="2" t="inlineStr">
        <is>
          <t>R141</t>
        </is>
      </c>
      <c r="B147" s="2" t="n"/>
      <c r="C147" s="2" t="n"/>
      <c r="D147" s="2" t="n"/>
      <c r="E147" s="2" t="n"/>
      <c r="F147" s="2" t="n"/>
      <c r="G147" s="2" t="n"/>
      <c r="H147" s="5">
        <f>IF(G147="","",IFERROR(G147/MAX(1,COUNTIF('01_Конкуренты'!$B\$7:$B\$36,"?*")),""))</f>
        <v/>
      </c>
      <c r="I147" s="2" t="n"/>
      <c r="J147" s="2">
        <f>IF(B147="","",IF(E147="Обязательное",IF(H147&gt;=0.6,"Минимальный рыночный стандарт","Потенциальный обязательный разрыв"),IF(E147="Линейное",IF(H147&gt;=0.5,"Конкурентная норма с влиянием на выбор","Зона усиления ценности"),IF(E147="Привлекательное",IF(H147&lt;0.5,"Зона дифференциации","Переходит в ожидаемую норму"),IF(E147="Безразличное","Не делать при дефиците ресурсов",IF(E147="Обратное","Исключить или проверить риск отторжения","Требует проверки"))))))</f>
        <v/>
      </c>
      <c r="K147" s="2" t="n"/>
      <c r="L147" s="2" t="n"/>
      <c r="M147" s="2" t="n"/>
    </row>
    <row r="148">
      <c r="A148" s="2" t="inlineStr">
        <is>
          <t>R142</t>
        </is>
      </c>
      <c r="B148" s="2" t="n"/>
      <c r="C148" s="2" t="n"/>
      <c r="D148" s="2" t="n"/>
      <c r="E148" s="2" t="n"/>
      <c r="F148" s="2" t="n"/>
      <c r="G148" s="2" t="n"/>
      <c r="H148" s="5">
        <f>IF(G148="","",IFERROR(G148/MAX(1,COUNTIF('01_Конкуренты'!$B\$7:$B\$36,"?*")),""))</f>
        <v/>
      </c>
      <c r="I148" s="2" t="n"/>
      <c r="J148" s="2">
        <f>IF(B148="","",IF(E148="Обязательное",IF(H148&gt;=0.6,"Минимальный рыночный стандарт","Потенциальный обязательный разрыв"),IF(E148="Линейное",IF(H148&gt;=0.5,"Конкурентная норма с влиянием на выбор","Зона усиления ценности"),IF(E148="Привлекательное",IF(H148&lt;0.5,"Зона дифференциации","Переходит в ожидаемую норму"),IF(E148="Безразличное","Не делать при дефиците ресурсов",IF(E148="Обратное","Исключить или проверить риск отторжения","Требует проверки"))))))</f>
        <v/>
      </c>
      <c r="K148" s="2" t="n"/>
      <c r="L148" s="2" t="n"/>
      <c r="M148" s="2" t="n"/>
    </row>
    <row r="149">
      <c r="A149" s="2" t="inlineStr">
        <is>
          <t>R143</t>
        </is>
      </c>
      <c r="B149" s="2" t="n"/>
      <c r="C149" s="2" t="n"/>
      <c r="D149" s="2" t="n"/>
      <c r="E149" s="2" t="n"/>
      <c r="F149" s="2" t="n"/>
      <c r="G149" s="2" t="n"/>
      <c r="H149" s="5">
        <f>IF(G149="","",IFERROR(G149/MAX(1,COUNTIF('01_Конкуренты'!$B\$7:$B\$36,"?*")),""))</f>
        <v/>
      </c>
      <c r="I149" s="2" t="n"/>
      <c r="J149" s="2">
        <f>IF(B149="","",IF(E149="Обязательное",IF(H149&gt;=0.6,"Минимальный рыночный стандарт","Потенциальный обязательный разрыв"),IF(E149="Линейное",IF(H149&gt;=0.5,"Конкурентная норма с влиянием на выбор","Зона усиления ценности"),IF(E149="Привлекательное",IF(H149&lt;0.5,"Зона дифференциации","Переходит в ожидаемую норму"),IF(E149="Безразличное","Не делать при дефиците ресурсов",IF(E149="Обратное","Исключить или проверить риск отторжения","Требует проверки"))))))</f>
        <v/>
      </c>
      <c r="K149" s="2" t="n"/>
      <c r="L149" s="2" t="n"/>
      <c r="M149" s="2" t="n"/>
    </row>
    <row r="150">
      <c r="A150" s="2" t="inlineStr">
        <is>
          <t>R144</t>
        </is>
      </c>
      <c r="B150" s="2" t="n"/>
      <c r="C150" s="2" t="n"/>
      <c r="D150" s="2" t="n"/>
      <c r="E150" s="2" t="n"/>
      <c r="F150" s="2" t="n"/>
      <c r="G150" s="2" t="n"/>
      <c r="H150" s="5">
        <f>IF(G150="","",IFERROR(G150/MAX(1,COUNTIF('01_Конкуренты'!$B\$7:$B\$36,"?*")),""))</f>
        <v/>
      </c>
      <c r="I150" s="2" t="n"/>
      <c r="J150" s="2">
        <f>IF(B150="","",IF(E150="Обязательное",IF(H150&gt;=0.6,"Минимальный рыночный стандарт","Потенциальный обязательный разрыв"),IF(E150="Линейное",IF(H150&gt;=0.5,"Конкурентная норма с влиянием на выбор","Зона усиления ценности"),IF(E150="Привлекательное",IF(H150&lt;0.5,"Зона дифференциации","Переходит в ожидаемую норму"),IF(E150="Безразличное","Не делать при дефиците ресурсов",IF(E150="Обратное","Исключить или проверить риск отторжения","Требует проверки"))))))</f>
        <v/>
      </c>
      <c r="K150" s="2" t="n"/>
      <c r="L150" s="2" t="n"/>
      <c r="M150" s="2" t="n"/>
    </row>
    <row r="151">
      <c r="A151" s="2" t="inlineStr">
        <is>
          <t>R145</t>
        </is>
      </c>
      <c r="B151" s="2" t="n"/>
      <c r="C151" s="2" t="n"/>
      <c r="D151" s="2" t="n"/>
      <c r="E151" s="2" t="n"/>
      <c r="F151" s="2" t="n"/>
      <c r="G151" s="2" t="n"/>
      <c r="H151" s="5">
        <f>IF(G151="","",IFERROR(G151/MAX(1,COUNTIF('01_Конкуренты'!$B\$7:$B\$36,"?*")),""))</f>
        <v/>
      </c>
      <c r="I151" s="2" t="n"/>
      <c r="J151" s="2">
        <f>IF(B151="","",IF(E151="Обязательное",IF(H151&gt;=0.6,"Минимальный рыночный стандарт","Потенциальный обязательный разрыв"),IF(E151="Линейное",IF(H151&gt;=0.5,"Конкурентная норма с влиянием на выбор","Зона усиления ценности"),IF(E151="Привлекательное",IF(H151&lt;0.5,"Зона дифференциации","Переходит в ожидаемую норму"),IF(E151="Безразличное","Не делать при дефиците ресурсов",IF(E151="Обратное","Исключить или проверить риск отторжения","Требует проверки"))))))</f>
        <v/>
      </c>
      <c r="K151" s="2" t="n"/>
      <c r="L151" s="2" t="n"/>
      <c r="M151" s="2" t="n"/>
    </row>
    <row r="152">
      <c r="A152" s="2" t="inlineStr">
        <is>
          <t>R146</t>
        </is>
      </c>
      <c r="B152" s="2" t="n"/>
      <c r="C152" s="2" t="n"/>
      <c r="D152" s="2" t="n"/>
      <c r="E152" s="2" t="n"/>
      <c r="F152" s="2" t="n"/>
      <c r="G152" s="2" t="n"/>
      <c r="H152" s="5">
        <f>IF(G152="","",IFERROR(G152/MAX(1,COUNTIF('01_Конкуренты'!$B\$7:$B\$36,"?*")),""))</f>
        <v/>
      </c>
      <c r="I152" s="2" t="n"/>
      <c r="J152" s="2">
        <f>IF(B152="","",IF(E152="Обязательное",IF(H152&gt;=0.6,"Минимальный рыночный стандарт","Потенциальный обязательный разрыв"),IF(E152="Линейное",IF(H152&gt;=0.5,"Конкурентная норма с влиянием на выбор","Зона усиления ценности"),IF(E152="Привлекательное",IF(H152&lt;0.5,"Зона дифференциации","Переходит в ожидаемую норму"),IF(E152="Безразличное","Не делать при дефиците ресурсов",IF(E152="Обратное","Исключить или проверить риск отторжения","Требует проверки"))))))</f>
        <v/>
      </c>
      <c r="K152" s="2" t="n"/>
      <c r="L152" s="2" t="n"/>
      <c r="M152" s="2" t="n"/>
    </row>
    <row r="153">
      <c r="A153" s="2" t="inlineStr">
        <is>
          <t>R147</t>
        </is>
      </c>
      <c r="B153" s="2" t="n"/>
      <c r="C153" s="2" t="n"/>
      <c r="D153" s="2" t="n"/>
      <c r="E153" s="2" t="n"/>
      <c r="F153" s="2" t="n"/>
      <c r="G153" s="2" t="n"/>
      <c r="H153" s="5">
        <f>IF(G153="","",IFERROR(G153/MAX(1,COUNTIF('01_Конкуренты'!$B\$7:$B\$36,"?*")),""))</f>
        <v/>
      </c>
      <c r="I153" s="2" t="n"/>
      <c r="J153" s="2">
        <f>IF(B153="","",IF(E153="Обязательное",IF(H153&gt;=0.6,"Минимальный рыночный стандарт","Потенциальный обязательный разрыв"),IF(E153="Линейное",IF(H153&gt;=0.5,"Конкурентная норма с влиянием на выбор","Зона усиления ценности"),IF(E153="Привлекательное",IF(H153&lt;0.5,"Зона дифференциации","Переходит в ожидаемую норму"),IF(E153="Безразличное","Не делать при дефиците ресурсов",IF(E153="Обратное","Исключить или проверить риск отторжения","Требует проверки"))))))</f>
        <v/>
      </c>
      <c r="K153" s="2" t="n"/>
      <c r="L153" s="2" t="n"/>
      <c r="M153" s="2" t="n"/>
    </row>
    <row r="154">
      <c r="A154" s="2" t="inlineStr">
        <is>
          <t>R148</t>
        </is>
      </c>
      <c r="B154" s="2" t="n"/>
      <c r="C154" s="2" t="n"/>
      <c r="D154" s="2" t="n"/>
      <c r="E154" s="2" t="n"/>
      <c r="F154" s="2" t="n"/>
      <c r="G154" s="2" t="n"/>
      <c r="H154" s="5">
        <f>IF(G154="","",IFERROR(G154/MAX(1,COUNTIF('01_Конкуренты'!$B\$7:$B\$36,"?*")),""))</f>
        <v/>
      </c>
      <c r="I154" s="2" t="n"/>
      <c r="J154" s="2">
        <f>IF(B154="","",IF(E154="Обязательное",IF(H154&gt;=0.6,"Минимальный рыночный стандарт","Потенциальный обязательный разрыв"),IF(E154="Линейное",IF(H154&gt;=0.5,"Конкурентная норма с влиянием на выбор","Зона усиления ценности"),IF(E154="Привлекательное",IF(H154&lt;0.5,"Зона дифференциации","Переходит в ожидаемую норму"),IF(E154="Безразличное","Не делать при дефиците ресурсов",IF(E154="Обратное","Исключить или проверить риск отторжения","Требует проверки"))))))</f>
        <v/>
      </c>
      <c r="K154" s="2" t="n"/>
      <c r="L154" s="2" t="n"/>
      <c r="M154" s="2" t="n"/>
    </row>
    <row r="155">
      <c r="A155" s="2" t="inlineStr">
        <is>
          <t>R149</t>
        </is>
      </c>
      <c r="B155" s="2" t="n"/>
      <c r="C155" s="2" t="n"/>
      <c r="D155" s="2" t="n"/>
      <c r="E155" s="2" t="n"/>
      <c r="F155" s="2" t="n"/>
      <c r="G155" s="2" t="n"/>
      <c r="H155" s="5">
        <f>IF(G155="","",IFERROR(G155/MAX(1,COUNTIF('01_Конкуренты'!$B\$7:$B\$36,"?*")),""))</f>
        <v/>
      </c>
      <c r="I155" s="2" t="n"/>
      <c r="J155" s="2">
        <f>IF(B155="","",IF(E155="Обязательное",IF(H155&gt;=0.6,"Минимальный рыночный стандарт","Потенциальный обязательный разрыв"),IF(E155="Линейное",IF(H155&gt;=0.5,"Конкурентная норма с влиянием на выбор","Зона усиления ценности"),IF(E155="Привлекательное",IF(H155&lt;0.5,"Зона дифференциации","Переходит в ожидаемую норму"),IF(E155="Безразличное","Не делать при дефиците ресурсов",IF(E155="Обратное","Исключить или проверить риск отторжения","Требует проверки"))))))</f>
        <v/>
      </c>
      <c r="K155" s="2" t="n"/>
      <c r="L155" s="2" t="n"/>
      <c r="M155" s="2" t="n"/>
    </row>
    <row r="156">
      <c r="A156" s="2" t="inlineStr">
        <is>
          <t>R150</t>
        </is>
      </c>
      <c r="B156" s="2" t="n"/>
      <c r="C156" s="2" t="n"/>
      <c r="D156" s="2" t="n"/>
      <c r="E156" s="2" t="n"/>
      <c r="F156" s="2" t="n"/>
      <c r="G156" s="2" t="n"/>
      <c r="H156" s="5">
        <f>IF(G156="","",IFERROR(G156/MAX(1,COUNTIF('01_Конкуренты'!$B\$7:$B\$36,"?*")),""))</f>
        <v/>
      </c>
      <c r="I156" s="2" t="n"/>
      <c r="J156" s="2">
        <f>IF(B156="","",IF(E156="Обязательное",IF(H156&gt;=0.6,"Минимальный рыночный стандарт","Потенциальный обязательный разрыв"),IF(E156="Линейное",IF(H156&gt;=0.5,"Конкурентная норма с влиянием на выбор","Зона усиления ценности"),IF(E156="Привлекательное",IF(H156&lt;0.5,"Зона дифференциации","Переходит в ожидаемую норму"),IF(E156="Безразличное","Не делать при дефиците ресурсов",IF(E156="Обратное","Исключить или проверить риск отторжения","Требует проверки"))))))</f>
        <v/>
      </c>
      <c r="K156" s="2" t="n"/>
      <c r="L156" s="2" t="n"/>
      <c r="M156" s="2" t="n"/>
    </row>
    <row r="157">
      <c r="A157" s="2" t="inlineStr">
        <is>
          <t>R151</t>
        </is>
      </c>
      <c r="B157" s="2" t="n"/>
      <c r="C157" s="2" t="n"/>
      <c r="D157" s="2" t="n"/>
      <c r="E157" s="2" t="n"/>
      <c r="F157" s="2" t="n"/>
      <c r="G157" s="2" t="n"/>
      <c r="H157" s="5">
        <f>IF(G157="","",IFERROR(G157/MAX(1,COUNTIF('01_Конкуренты'!$B\$7:$B\$36,"?*")),""))</f>
        <v/>
      </c>
      <c r="I157" s="2" t="n"/>
      <c r="J157" s="2">
        <f>IF(B157="","",IF(E157="Обязательное",IF(H157&gt;=0.6,"Минимальный рыночный стандарт","Потенциальный обязательный разрыв"),IF(E157="Линейное",IF(H157&gt;=0.5,"Конкурентная норма с влиянием на выбор","Зона усиления ценности"),IF(E157="Привлекательное",IF(H157&lt;0.5,"Зона дифференциации","Переходит в ожидаемую норму"),IF(E157="Безразличное","Не делать при дефиците ресурсов",IF(E157="Обратное","Исключить или проверить риск отторжения","Требует проверки"))))))</f>
        <v/>
      </c>
      <c r="K157" s="2" t="n"/>
      <c r="L157" s="2" t="n"/>
      <c r="M157" s="2" t="n"/>
    </row>
    <row r="158">
      <c r="A158" s="2" t="inlineStr">
        <is>
          <t>R152</t>
        </is>
      </c>
      <c r="B158" s="2" t="n"/>
      <c r="C158" s="2" t="n"/>
      <c r="D158" s="2" t="n"/>
      <c r="E158" s="2" t="n"/>
      <c r="F158" s="2" t="n"/>
      <c r="G158" s="2" t="n"/>
      <c r="H158" s="5">
        <f>IF(G158="","",IFERROR(G158/MAX(1,COUNTIF('01_Конкуренты'!$B\$7:$B\$36,"?*")),""))</f>
        <v/>
      </c>
      <c r="I158" s="2" t="n"/>
      <c r="J158" s="2">
        <f>IF(B158="","",IF(E158="Обязательное",IF(H158&gt;=0.6,"Минимальный рыночный стандарт","Потенциальный обязательный разрыв"),IF(E158="Линейное",IF(H158&gt;=0.5,"Конкурентная норма с влиянием на выбор","Зона усиления ценности"),IF(E158="Привлекательное",IF(H158&lt;0.5,"Зона дифференциации","Переходит в ожидаемую норму"),IF(E158="Безразличное","Не делать при дефиците ресурсов",IF(E158="Обратное","Исключить или проверить риск отторжения","Требует проверки"))))))</f>
        <v/>
      </c>
      <c r="K158" s="2" t="n"/>
      <c r="L158" s="2" t="n"/>
      <c r="M158" s="2" t="n"/>
    </row>
    <row r="159">
      <c r="A159" s="2" t="inlineStr">
        <is>
          <t>R153</t>
        </is>
      </c>
      <c r="B159" s="2" t="n"/>
      <c r="C159" s="2" t="n"/>
      <c r="D159" s="2" t="n"/>
      <c r="E159" s="2" t="n"/>
      <c r="F159" s="2" t="n"/>
      <c r="G159" s="2" t="n"/>
      <c r="H159" s="5">
        <f>IF(G159="","",IFERROR(G159/MAX(1,COUNTIF('01_Конкуренты'!$B\$7:$B\$36,"?*")),""))</f>
        <v/>
      </c>
      <c r="I159" s="2" t="n"/>
      <c r="J159" s="2">
        <f>IF(B159="","",IF(E159="Обязательное",IF(H159&gt;=0.6,"Минимальный рыночный стандарт","Потенциальный обязательный разрыв"),IF(E159="Линейное",IF(H159&gt;=0.5,"Конкурентная норма с влиянием на выбор","Зона усиления ценности"),IF(E159="Привлекательное",IF(H159&lt;0.5,"Зона дифференциации","Переходит в ожидаемую норму"),IF(E159="Безразличное","Не делать при дефиците ресурсов",IF(E159="Обратное","Исключить или проверить риск отторжения","Требует проверки"))))))</f>
        <v/>
      </c>
      <c r="K159" s="2" t="n"/>
      <c r="L159" s="2" t="n"/>
      <c r="M159" s="2" t="n"/>
    </row>
    <row r="160">
      <c r="A160" s="2" t="inlineStr">
        <is>
          <t>R154</t>
        </is>
      </c>
      <c r="B160" s="2" t="n"/>
      <c r="C160" s="2" t="n"/>
      <c r="D160" s="2" t="n"/>
      <c r="E160" s="2" t="n"/>
      <c r="F160" s="2" t="n"/>
      <c r="G160" s="2" t="n"/>
      <c r="H160" s="5">
        <f>IF(G160="","",IFERROR(G160/MAX(1,COUNTIF('01_Конкуренты'!$B\$7:$B\$36,"?*")),""))</f>
        <v/>
      </c>
      <c r="I160" s="2" t="n"/>
      <c r="J160" s="2">
        <f>IF(B160="","",IF(E160="Обязательное",IF(H160&gt;=0.6,"Минимальный рыночный стандарт","Потенциальный обязательный разрыв"),IF(E160="Линейное",IF(H160&gt;=0.5,"Конкурентная норма с влиянием на выбор","Зона усиления ценности"),IF(E160="Привлекательное",IF(H160&lt;0.5,"Зона дифференциации","Переходит в ожидаемую норму"),IF(E160="Безразличное","Не делать при дефиците ресурсов",IF(E160="Обратное","Исключить или проверить риск отторжения","Требует проверки"))))))</f>
        <v/>
      </c>
      <c r="K160" s="2" t="n"/>
      <c r="L160" s="2" t="n"/>
      <c r="M160" s="2" t="n"/>
    </row>
    <row r="161">
      <c r="A161" s="2" t="inlineStr">
        <is>
          <t>R155</t>
        </is>
      </c>
      <c r="B161" s="2" t="n"/>
      <c r="C161" s="2" t="n"/>
      <c r="D161" s="2" t="n"/>
      <c r="E161" s="2" t="n"/>
      <c r="F161" s="2" t="n"/>
      <c r="G161" s="2" t="n"/>
      <c r="H161" s="5">
        <f>IF(G161="","",IFERROR(G161/MAX(1,COUNTIF('01_Конкуренты'!$B\$7:$B\$36,"?*")),""))</f>
        <v/>
      </c>
      <c r="I161" s="2" t="n"/>
      <c r="J161" s="2">
        <f>IF(B161="","",IF(E161="Обязательное",IF(H161&gt;=0.6,"Минимальный рыночный стандарт","Потенциальный обязательный разрыв"),IF(E161="Линейное",IF(H161&gt;=0.5,"Конкурентная норма с влиянием на выбор","Зона усиления ценности"),IF(E161="Привлекательное",IF(H161&lt;0.5,"Зона дифференциации","Переходит в ожидаемую норму"),IF(E161="Безразличное","Не делать при дефиците ресурсов",IF(E161="Обратное","Исключить или проверить риск отторжения","Требует проверки"))))))</f>
        <v/>
      </c>
      <c r="K161" s="2" t="n"/>
      <c r="L161" s="2" t="n"/>
      <c r="M161" s="2" t="n"/>
    </row>
    <row r="162">
      <c r="A162" s="2" t="inlineStr">
        <is>
          <t>R156</t>
        </is>
      </c>
      <c r="B162" s="2" t="n"/>
      <c r="C162" s="2" t="n"/>
      <c r="D162" s="2" t="n"/>
      <c r="E162" s="2" t="n"/>
      <c r="F162" s="2" t="n"/>
      <c r="G162" s="2" t="n"/>
      <c r="H162" s="5">
        <f>IF(G162="","",IFERROR(G162/MAX(1,COUNTIF('01_Конкуренты'!$B\$7:$B\$36,"?*")),""))</f>
        <v/>
      </c>
      <c r="I162" s="2" t="n"/>
      <c r="J162" s="2">
        <f>IF(B162="","",IF(E162="Обязательное",IF(H162&gt;=0.6,"Минимальный рыночный стандарт","Потенциальный обязательный разрыв"),IF(E162="Линейное",IF(H162&gt;=0.5,"Конкурентная норма с влиянием на выбор","Зона усиления ценности"),IF(E162="Привлекательное",IF(H162&lt;0.5,"Зона дифференциации","Переходит в ожидаемую норму"),IF(E162="Безразличное","Не делать при дефиците ресурсов",IF(E162="Обратное","Исключить или проверить риск отторжения","Требует проверки"))))))</f>
        <v/>
      </c>
      <c r="K162" s="2" t="n"/>
      <c r="L162" s="2" t="n"/>
      <c r="M162" s="2" t="n"/>
    </row>
    <row r="163">
      <c r="A163" s="2" t="inlineStr">
        <is>
          <t>R157</t>
        </is>
      </c>
      <c r="B163" s="2" t="n"/>
      <c r="C163" s="2" t="n"/>
      <c r="D163" s="2" t="n"/>
      <c r="E163" s="2" t="n"/>
      <c r="F163" s="2" t="n"/>
      <c r="G163" s="2" t="n"/>
      <c r="H163" s="5">
        <f>IF(G163="","",IFERROR(G163/MAX(1,COUNTIF('01_Конкуренты'!$B\$7:$B\$36,"?*")),""))</f>
        <v/>
      </c>
      <c r="I163" s="2" t="n"/>
      <c r="J163" s="2">
        <f>IF(B163="","",IF(E163="Обязательное",IF(H163&gt;=0.6,"Минимальный рыночный стандарт","Потенциальный обязательный разрыв"),IF(E163="Линейное",IF(H163&gt;=0.5,"Конкурентная норма с влиянием на выбор","Зона усиления ценности"),IF(E163="Привлекательное",IF(H163&lt;0.5,"Зона дифференциации","Переходит в ожидаемую норму"),IF(E163="Безразличное","Не делать при дефиците ресурсов",IF(E163="Обратное","Исключить или проверить риск отторжения","Требует проверки"))))))</f>
        <v/>
      </c>
      <c r="K163" s="2" t="n"/>
      <c r="L163" s="2" t="n"/>
      <c r="M163" s="2" t="n"/>
    </row>
    <row r="164">
      <c r="A164" s="2" t="inlineStr">
        <is>
          <t>R158</t>
        </is>
      </c>
      <c r="B164" s="2" t="n"/>
      <c r="C164" s="2" t="n"/>
      <c r="D164" s="2" t="n"/>
      <c r="E164" s="2" t="n"/>
      <c r="F164" s="2" t="n"/>
      <c r="G164" s="2" t="n"/>
      <c r="H164" s="5">
        <f>IF(G164="","",IFERROR(G164/MAX(1,COUNTIF('01_Конкуренты'!$B\$7:$B\$36,"?*")),""))</f>
        <v/>
      </c>
      <c r="I164" s="2" t="n"/>
      <c r="J164" s="2">
        <f>IF(B164="","",IF(E164="Обязательное",IF(H164&gt;=0.6,"Минимальный рыночный стандарт","Потенциальный обязательный разрыв"),IF(E164="Линейное",IF(H164&gt;=0.5,"Конкурентная норма с влиянием на выбор","Зона усиления ценности"),IF(E164="Привлекательное",IF(H164&lt;0.5,"Зона дифференциации","Переходит в ожидаемую норму"),IF(E164="Безразличное","Не делать при дефиците ресурсов",IF(E164="Обратное","Исключить или проверить риск отторжения","Требует проверки"))))))</f>
        <v/>
      </c>
      <c r="K164" s="2" t="n"/>
      <c r="L164" s="2" t="n"/>
      <c r="M164" s="2" t="n"/>
    </row>
    <row r="165">
      <c r="A165" s="2" t="inlineStr">
        <is>
          <t>R159</t>
        </is>
      </c>
      <c r="B165" s="2" t="n"/>
      <c r="C165" s="2" t="n"/>
      <c r="D165" s="2" t="n"/>
      <c r="E165" s="2" t="n"/>
      <c r="F165" s="2" t="n"/>
      <c r="G165" s="2" t="n"/>
      <c r="H165" s="5">
        <f>IF(G165="","",IFERROR(G165/MAX(1,COUNTIF('01_Конкуренты'!$B\$7:$B\$36,"?*")),""))</f>
        <v/>
      </c>
      <c r="I165" s="2" t="n"/>
      <c r="J165" s="2">
        <f>IF(B165="","",IF(E165="Обязательное",IF(H165&gt;=0.6,"Минимальный рыночный стандарт","Потенциальный обязательный разрыв"),IF(E165="Линейное",IF(H165&gt;=0.5,"Конкурентная норма с влиянием на выбор","Зона усиления ценности"),IF(E165="Привлекательное",IF(H165&lt;0.5,"Зона дифференциации","Переходит в ожидаемую норму"),IF(E165="Безразличное","Не делать при дефиците ресурсов",IF(E165="Обратное","Исключить или проверить риск отторжения","Требует проверки"))))))</f>
        <v/>
      </c>
      <c r="K165" s="2" t="n"/>
      <c r="L165" s="2" t="n"/>
      <c r="M165" s="2" t="n"/>
    </row>
    <row r="166">
      <c r="A166" s="2" t="inlineStr">
        <is>
          <t>R160</t>
        </is>
      </c>
      <c r="B166" s="2" t="n"/>
      <c r="C166" s="2" t="n"/>
      <c r="D166" s="2" t="n"/>
      <c r="E166" s="2" t="n"/>
      <c r="F166" s="2" t="n"/>
      <c r="G166" s="2" t="n"/>
      <c r="H166" s="5">
        <f>IF(G166="","",IFERROR(G166/MAX(1,COUNTIF('01_Конкуренты'!$B\$7:$B\$36,"?*")),""))</f>
        <v/>
      </c>
      <c r="I166" s="2" t="n"/>
      <c r="J166" s="2">
        <f>IF(B166="","",IF(E166="Обязательное",IF(H166&gt;=0.6,"Минимальный рыночный стандарт","Потенциальный обязательный разрыв"),IF(E166="Линейное",IF(H166&gt;=0.5,"Конкурентная норма с влиянием на выбор","Зона усиления ценности"),IF(E166="Привлекательное",IF(H166&lt;0.5,"Зона дифференциации","Переходит в ожидаемую норму"),IF(E166="Безразличное","Не делать при дефиците ресурсов",IF(E166="Обратное","Исключить или проверить риск отторжения","Требует проверки"))))))</f>
        <v/>
      </c>
      <c r="K166" s="2" t="n"/>
      <c r="L166" s="2" t="n"/>
      <c r="M166" s="2" t="n"/>
    </row>
    <row r="167">
      <c r="A167" s="2" t="inlineStr">
        <is>
          <t>R161</t>
        </is>
      </c>
      <c r="B167" s="2" t="n"/>
      <c r="C167" s="2" t="n"/>
      <c r="D167" s="2" t="n"/>
      <c r="E167" s="2" t="n"/>
      <c r="F167" s="2" t="n"/>
      <c r="G167" s="2" t="n"/>
      <c r="H167" s="5">
        <f>IF(G167="","",IFERROR(G167/MAX(1,COUNTIF('01_Конкуренты'!$B\$7:$B\$36,"?*")),""))</f>
        <v/>
      </c>
      <c r="I167" s="2" t="n"/>
      <c r="J167" s="2">
        <f>IF(B167="","",IF(E167="Обязательное",IF(H167&gt;=0.6,"Минимальный рыночный стандарт","Потенциальный обязательный разрыв"),IF(E167="Линейное",IF(H167&gt;=0.5,"Конкурентная норма с влиянием на выбор","Зона усиления ценности"),IF(E167="Привлекательное",IF(H167&lt;0.5,"Зона дифференциации","Переходит в ожидаемую норму"),IF(E167="Безразличное","Не делать при дефиците ресурсов",IF(E167="Обратное","Исключить или проверить риск отторжения","Требует проверки"))))))</f>
        <v/>
      </c>
      <c r="K167" s="2" t="n"/>
      <c r="L167" s="2" t="n"/>
      <c r="M167" s="2" t="n"/>
    </row>
    <row r="168">
      <c r="A168" s="2" t="inlineStr">
        <is>
          <t>R162</t>
        </is>
      </c>
      <c r="B168" s="2" t="n"/>
      <c r="C168" s="2" t="n"/>
      <c r="D168" s="2" t="n"/>
      <c r="E168" s="2" t="n"/>
      <c r="F168" s="2" t="n"/>
      <c r="G168" s="2" t="n"/>
      <c r="H168" s="5">
        <f>IF(G168="","",IFERROR(G168/MAX(1,COUNTIF('01_Конкуренты'!$B\$7:$B\$36,"?*")),""))</f>
        <v/>
      </c>
      <c r="I168" s="2" t="n"/>
      <c r="J168" s="2">
        <f>IF(B168="","",IF(E168="Обязательное",IF(H168&gt;=0.6,"Минимальный рыночный стандарт","Потенциальный обязательный разрыв"),IF(E168="Линейное",IF(H168&gt;=0.5,"Конкурентная норма с влиянием на выбор","Зона усиления ценности"),IF(E168="Привлекательное",IF(H168&lt;0.5,"Зона дифференциации","Переходит в ожидаемую норму"),IF(E168="Безразличное","Не делать при дефиците ресурсов",IF(E168="Обратное","Исключить или проверить риск отторжения","Требует проверки"))))))</f>
        <v/>
      </c>
      <c r="K168" s="2" t="n"/>
      <c r="L168" s="2" t="n"/>
      <c r="M168" s="2" t="n"/>
    </row>
    <row r="169">
      <c r="A169" s="2" t="inlineStr">
        <is>
          <t>R163</t>
        </is>
      </c>
      <c r="B169" s="2" t="n"/>
      <c r="C169" s="2" t="n"/>
      <c r="D169" s="2" t="n"/>
      <c r="E169" s="2" t="n"/>
      <c r="F169" s="2" t="n"/>
      <c r="G169" s="2" t="n"/>
      <c r="H169" s="5">
        <f>IF(G169="","",IFERROR(G169/MAX(1,COUNTIF('01_Конкуренты'!$B\$7:$B\$36,"?*")),""))</f>
        <v/>
      </c>
      <c r="I169" s="2" t="n"/>
      <c r="J169" s="2">
        <f>IF(B169="","",IF(E169="Обязательное",IF(H169&gt;=0.6,"Минимальный рыночный стандарт","Потенциальный обязательный разрыв"),IF(E169="Линейное",IF(H169&gt;=0.5,"Конкурентная норма с влиянием на выбор","Зона усиления ценности"),IF(E169="Привлекательное",IF(H169&lt;0.5,"Зона дифференциации","Переходит в ожидаемую норму"),IF(E169="Безразличное","Не делать при дефиците ресурсов",IF(E169="Обратное","Исключить или проверить риск отторжения","Требует проверки"))))))</f>
        <v/>
      </c>
      <c r="K169" s="2" t="n"/>
      <c r="L169" s="2" t="n"/>
      <c r="M169" s="2" t="n"/>
    </row>
    <row r="170">
      <c r="A170" s="2" t="inlineStr">
        <is>
          <t>R164</t>
        </is>
      </c>
      <c r="B170" s="2" t="n"/>
      <c r="C170" s="2" t="n"/>
      <c r="D170" s="2" t="n"/>
      <c r="E170" s="2" t="n"/>
      <c r="F170" s="2" t="n"/>
      <c r="G170" s="2" t="n"/>
      <c r="H170" s="5">
        <f>IF(G170="","",IFERROR(G170/MAX(1,COUNTIF('01_Конкуренты'!$B\$7:$B\$36,"?*")),""))</f>
        <v/>
      </c>
      <c r="I170" s="2" t="n"/>
      <c r="J170" s="2">
        <f>IF(B170="","",IF(E170="Обязательное",IF(H170&gt;=0.6,"Минимальный рыночный стандарт","Потенциальный обязательный разрыв"),IF(E170="Линейное",IF(H170&gt;=0.5,"Конкурентная норма с влиянием на выбор","Зона усиления ценности"),IF(E170="Привлекательное",IF(H170&lt;0.5,"Зона дифференциации","Переходит в ожидаемую норму"),IF(E170="Безразличное","Не делать при дефиците ресурсов",IF(E170="Обратное","Исключить или проверить риск отторжения","Требует проверки"))))))</f>
        <v/>
      </c>
      <c r="K170" s="2" t="n"/>
      <c r="L170" s="2" t="n"/>
      <c r="M170" s="2" t="n"/>
    </row>
    <row r="171">
      <c r="A171" s="2" t="inlineStr">
        <is>
          <t>R165</t>
        </is>
      </c>
      <c r="B171" s="2" t="n"/>
      <c r="C171" s="2" t="n"/>
      <c r="D171" s="2" t="n"/>
      <c r="E171" s="2" t="n"/>
      <c r="F171" s="2" t="n"/>
      <c r="G171" s="2" t="n"/>
      <c r="H171" s="5">
        <f>IF(G171="","",IFERROR(G171/MAX(1,COUNTIF('01_Конкуренты'!$B\$7:$B\$36,"?*")),""))</f>
        <v/>
      </c>
      <c r="I171" s="2" t="n"/>
      <c r="J171" s="2">
        <f>IF(B171="","",IF(E171="Обязательное",IF(H171&gt;=0.6,"Минимальный рыночный стандарт","Потенциальный обязательный разрыв"),IF(E171="Линейное",IF(H171&gt;=0.5,"Конкурентная норма с влиянием на выбор","Зона усиления ценности"),IF(E171="Привлекательное",IF(H171&lt;0.5,"Зона дифференциации","Переходит в ожидаемую норму"),IF(E171="Безразличное","Не делать при дефиците ресурсов",IF(E171="Обратное","Исключить или проверить риск отторжения","Требует проверки"))))))</f>
        <v/>
      </c>
      <c r="K171" s="2" t="n"/>
      <c r="L171" s="2" t="n"/>
      <c r="M171" s="2" t="n"/>
    </row>
    <row r="172">
      <c r="A172" s="2" t="inlineStr">
        <is>
          <t>R166</t>
        </is>
      </c>
      <c r="B172" s="2" t="n"/>
      <c r="C172" s="2" t="n"/>
      <c r="D172" s="2" t="n"/>
      <c r="E172" s="2" t="n"/>
      <c r="F172" s="2" t="n"/>
      <c r="G172" s="2" t="n"/>
      <c r="H172" s="5">
        <f>IF(G172="","",IFERROR(G172/MAX(1,COUNTIF('01_Конкуренты'!$B\$7:$B\$36,"?*")),""))</f>
        <v/>
      </c>
      <c r="I172" s="2" t="n"/>
      <c r="J172" s="2">
        <f>IF(B172="","",IF(E172="Обязательное",IF(H172&gt;=0.6,"Минимальный рыночный стандарт","Потенциальный обязательный разрыв"),IF(E172="Линейное",IF(H172&gt;=0.5,"Конкурентная норма с влиянием на выбор","Зона усиления ценности"),IF(E172="Привлекательное",IF(H172&lt;0.5,"Зона дифференциации","Переходит в ожидаемую норму"),IF(E172="Безразличное","Не делать при дефиците ресурсов",IF(E172="Обратное","Исключить или проверить риск отторжения","Требует проверки"))))))</f>
        <v/>
      </c>
      <c r="K172" s="2" t="n"/>
      <c r="L172" s="2" t="n"/>
      <c r="M172" s="2" t="n"/>
    </row>
    <row r="173">
      <c r="A173" s="2" t="inlineStr">
        <is>
          <t>R167</t>
        </is>
      </c>
      <c r="B173" s="2" t="n"/>
      <c r="C173" s="2" t="n"/>
      <c r="D173" s="2" t="n"/>
      <c r="E173" s="2" t="n"/>
      <c r="F173" s="2" t="n"/>
      <c r="G173" s="2" t="n"/>
      <c r="H173" s="5">
        <f>IF(G173="","",IFERROR(G173/MAX(1,COUNTIF('01_Конкуренты'!$B\$7:$B\$36,"?*")),""))</f>
        <v/>
      </c>
      <c r="I173" s="2" t="n"/>
      <c r="J173" s="2">
        <f>IF(B173="","",IF(E173="Обязательное",IF(H173&gt;=0.6,"Минимальный рыночный стандарт","Потенциальный обязательный разрыв"),IF(E173="Линейное",IF(H173&gt;=0.5,"Конкурентная норма с влиянием на выбор","Зона усиления ценности"),IF(E173="Привлекательное",IF(H173&lt;0.5,"Зона дифференциации","Переходит в ожидаемую норму"),IF(E173="Безразличное","Не делать при дефиците ресурсов",IF(E173="Обратное","Исключить или проверить риск отторжения","Требует проверки"))))))</f>
        <v/>
      </c>
      <c r="K173" s="2" t="n"/>
      <c r="L173" s="2" t="n"/>
      <c r="M173" s="2" t="n"/>
    </row>
    <row r="174">
      <c r="A174" s="2" t="inlineStr">
        <is>
          <t>R168</t>
        </is>
      </c>
      <c r="B174" s="2" t="n"/>
      <c r="C174" s="2" t="n"/>
      <c r="D174" s="2" t="n"/>
      <c r="E174" s="2" t="n"/>
      <c r="F174" s="2" t="n"/>
      <c r="G174" s="2" t="n"/>
      <c r="H174" s="5">
        <f>IF(G174="","",IFERROR(G174/MAX(1,COUNTIF('01_Конкуренты'!$B\$7:$B\$36,"?*")),""))</f>
        <v/>
      </c>
      <c r="I174" s="2" t="n"/>
      <c r="J174" s="2">
        <f>IF(B174="","",IF(E174="Обязательное",IF(H174&gt;=0.6,"Минимальный рыночный стандарт","Потенциальный обязательный разрыв"),IF(E174="Линейное",IF(H174&gt;=0.5,"Конкурентная норма с влиянием на выбор","Зона усиления ценности"),IF(E174="Привлекательное",IF(H174&lt;0.5,"Зона дифференциации","Переходит в ожидаемую норму"),IF(E174="Безразличное","Не делать при дефиците ресурсов",IF(E174="Обратное","Исключить или проверить риск отторжения","Требует проверки"))))))</f>
        <v/>
      </c>
      <c r="K174" s="2" t="n"/>
      <c r="L174" s="2" t="n"/>
      <c r="M174" s="2" t="n"/>
    </row>
    <row r="175">
      <c r="A175" s="2" t="inlineStr">
        <is>
          <t>R169</t>
        </is>
      </c>
      <c r="B175" s="2" t="n"/>
      <c r="C175" s="2" t="n"/>
      <c r="D175" s="2" t="n"/>
      <c r="E175" s="2" t="n"/>
      <c r="F175" s="2" t="n"/>
      <c r="G175" s="2" t="n"/>
      <c r="H175" s="5">
        <f>IF(G175="","",IFERROR(G175/MAX(1,COUNTIF('01_Конкуренты'!$B\$7:$B\$36,"?*")),""))</f>
        <v/>
      </c>
      <c r="I175" s="2" t="n"/>
      <c r="J175" s="2">
        <f>IF(B175="","",IF(E175="Обязательное",IF(H175&gt;=0.6,"Минимальный рыночный стандарт","Потенциальный обязательный разрыв"),IF(E175="Линейное",IF(H175&gt;=0.5,"Конкурентная норма с влиянием на выбор","Зона усиления ценности"),IF(E175="Привлекательное",IF(H175&lt;0.5,"Зона дифференциации","Переходит в ожидаемую норму"),IF(E175="Безразличное","Не делать при дефиците ресурсов",IF(E175="Обратное","Исключить или проверить риск отторжения","Требует проверки"))))))</f>
        <v/>
      </c>
      <c r="K175" s="2" t="n"/>
      <c r="L175" s="2" t="n"/>
      <c r="M175" s="2" t="n"/>
    </row>
    <row r="176">
      <c r="A176" s="2" t="inlineStr">
        <is>
          <t>R170</t>
        </is>
      </c>
      <c r="B176" s="2" t="n"/>
      <c r="C176" s="2" t="n"/>
      <c r="D176" s="2" t="n"/>
      <c r="E176" s="2" t="n"/>
      <c r="F176" s="2" t="n"/>
      <c r="G176" s="2" t="n"/>
      <c r="H176" s="5">
        <f>IF(G176="","",IFERROR(G176/MAX(1,COUNTIF('01_Конкуренты'!$B\$7:$B\$36,"?*")),""))</f>
        <v/>
      </c>
      <c r="I176" s="2" t="n"/>
      <c r="J176" s="2">
        <f>IF(B176="","",IF(E176="Обязательное",IF(H176&gt;=0.6,"Минимальный рыночный стандарт","Потенциальный обязательный разрыв"),IF(E176="Линейное",IF(H176&gt;=0.5,"Конкурентная норма с влиянием на выбор","Зона усиления ценности"),IF(E176="Привлекательное",IF(H176&lt;0.5,"Зона дифференциации","Переходит в ожидаемую норму"),IF(E176="Безразличное","Не делать при дефиците ресурсов",IF(E176="Обратное","Исключить или проверить риск отторжения","Требует проверки"))))))</f>
        <v/>
      </c>
      <c r="K176" s="2" t="n"/>
      <c r="L176" s="2" t="n"/>
      <c r="M176" s="2" t="n"/>
    </row>
    <row r="177">
      <c r="A177" s="2" t="inlineStr">
        <is>
          <t>R171</t>
        </is>
      </c>
      <c r="B177" s="2" t="n"/>
      <c r="C177" s="2" t="n"/>
      <c r="D177" s="2" t="n"/>
      <c r="E177" s="2" t="n"/>
      <c r="F177" s="2" t="n"/>
      <c r="G177" s="2" t="n"/>
      <c r="H177" s="5">
        <f>IF(G177="","",IFERROR(G177/MAX(1,COUNTIF('01_Конкуренты'!$B\$7:$B\$36,"?*")),""))</f>
        <v/>
      </c>
      <c r="I177" s="2" t="n"/>
      <c r="J177" s="2">
        <f>IF(B177="","",IF(E177="Обязательное",IF(H177&gt;=0.6,"Минимальный рыночный стандарт","Потенциальный обязательный разрыв"),IF(E177="Линейное",IF(H177&gt;=0.5,"Конкурентная норма с влиянием на выбор","Зона усиления ценности"),IF(E177="Привлекательное",IF(H177&lt;0.5,"Зона дифференциации","Переходит в ожидаемую норму"),IF(E177="Безразличное","Не делать при дефиците ресурсов",IF(E177="Обратное","Исключить или проверить риск отторжения","Требует проверки"))))))</f>
        <v/>
      </c>
      <c r="K177" s="2" t="n"/>
      <c r="L177" s="2" t="n"/>
      <c r="M177" s="2" t="n"/>
    </row>
    <row r="178">
      <c r="A178" s="2" t="inlineStr">
        <is>
          <t>R172</t>
        </is>
      </c>
      <c r="B178" s="2" t="n"/>
      <c r="C178" s="2" t="n"/>
      <c r="D178" s="2" t="n"/>
      <c r="E178" s="2" t="n"/>
      <c r="F178" s="2" t="n"/>
      <c r="G178" s="2" t="n"/>
      <c r="H178" s="5">
        <f>IF(G178="","",IFERROR(G178/MAX(1,COUNTIF('01_Конкуренты'!$B\$7:$B\$36,"?*")),""))</f>
        <v/>
      </c>
      <c r="I178" s="2" t="n"/>
      <c r="J178" s="2">
        <f>IF(B178="","",IF(E178="Обязательное",IF(H178&gt;=0.6,"Минимальный рыночный стандарт","Потенциальный обязательный разрыв"),IF(E178="Линейное",IF(H178&gt;=0.5,"Конкурентная норма с влиянием на выбор","Зона усиления ценности"),IF(E178="Привлекательное",IF(H178&lt;0.5,"Зона дифференциации","Переходит в ожидаемую норму"),IF(E178="Безразличное","Не делать при дефиците ресурсов",IF(E178="Обратное","Исключить или проверить риск отторжения","Требует проверки"))))))</f>
        <v/>
      </c>
      <c r="K178" s="2" t="n"/>
      <c r="L178" s="2" t="n"/>
      <c r="M178" s="2" t="n"/>
    </row>
    <row r="179">
      <c r="A179" s="2" t="inlineStr">
        <is>
          <t>R173</t>
        </is>
      </c>
      <c r="B179" s="2" t="n"/>
      <c r="C179" s="2" t="n"/>
      <c r="D179" s="2" t="n"/>
      <c r="E179" s="2" t="n"/>
      <c r="F179" s="2" t="n"/>
      <c r="G179" s="2" t="n"/>
      <c r="H179" s="5">
        <f>IF(G179="","",IFERROR(G179/MAX(1,COUNTIF('01_Конкуренты'!$B\$7:$B\$36,"?*")),""))</f>
        <v/>
      </c>
      <c r="I179" s="2" t="n"/>
      <c r="J179" s="2">
        <f>IF(B179="","",IF(E179="Обязательное",IF(H179&gt;=0.6,"Минимальный рыночный стандарт","Потенциальный обязательный разрыв"),IF(E179="Линейное",IF(H179&gt;=0.5,"Конкурентная норма с влиянием на выбор","Зона усиления ценности"),IF(E179="Привлекательное",IF(H179&lt;0.5,"Зона дифференциации","Переходит в ожидаемую норму"),IF(E179="Безразличное","Не делать при дефиците ресурсов",IF(E179="Обратное","Исключить или проверить риск отторжения","Требует проверки"))))))</f>
        <v/>
      </c>
      <c r="K179" s="2" t="n"/>
      <c r="L179" s="2" t="n"/>
      <c r="M179" s="2" t="n"/>
    </row>
    <row r="180">
      <c r="A180" s="2" t="inlineStr">
        <is>
          <t>R174</t>
        </is>
      </c>
      <c r="B180" s="2" t="n"/>
      <c r="C180" s="2" t="n"/>
      <c r="D180" s="2" t="n"/>
      <c r="E180" s="2" t="n"/>
      <c r="F180" s="2" t="n"/>
      <c r="G180" s="2" t="n"/>
      <c r="H180" s="5">
        <f>IF(G180="","",IFERROR(G180/MAX(1,COUNTIF('01_Конкуренты'!$B\$7:$B\$36,"?*")),""))</f>
        <v/>
      </c>
      <c r="I180" s="2" t="n"/>
      <c r="J180" s="2">
        <f>IF(B180="","",IF(E180="Обязательное",IF(H180&gt;=0.6,"Минимальный рыночный стандарт","Потенциальный обязательный разрыв"),IF(E180="Линейное",IF(H180&gt;=0.5,"Конкурентная норма с влиянием на выбор","Зона усиления ценности"),IF(E180="Привлекательное",IF(H180&lt;0.5,"Зона дифференциации","Переходит в ожидаемую норму"),IF(E180="Безразличное","Не делать при дефиците ресурсов",IF(E180="Обратное","Исключить или проверить риск отторжения","Требует проверки"))))))</f>
        <v/>
      </c>
      <c r="K180" s="2" t="n"/>
      <c r="L180" s="2" t="n"/>
      <c r="M180" s="2" t="n"/>
    </row>
    <row r="181">
      <c r="A181" s="2" t="inlineStr">
        <is>
          <t>R175</t>
        </is>
      </c>
      <c r="B181" s="2" t="n"/>
      <c r="C181" s="2" t="n"/>
      <c r="D181" s="2" t="n"/>
      <c r="E181" s="2" t="n"/>
      <c r="F181" s="2" t="n"/>
      <c r="G181" s="2" t="n"/>
      <c r="H181" s="5">
        <f>IF(G181="","",IFERROR(G181/MAX(1,COUNTIF('01_Конкуренты'!$B\$7:$B\$36,"?*")),""))</f>
        <v/>
      </c>
      <c r="I181" s="2" t="n"/>
      <c r="J181" s="2">
        <f>IF(B181="","",IF(E181="Обязательное",IF(H181&gt;=0.6,"Минимальный рыночный стандарт","Потенциальный обязательный разрыв"),IF(E181="Линейное",IF(H181&gt;=0.5,"Конкурентная норма с влиянием на выбор","Зона усиления ценности"),IF(E181="Привлекательное",IF(H181&lt;0.5,"Зона дифференциации","Переходит в ожидаемую норму"),IF(E181="Безразличное","Не делать при дефиците ресурсов",IF(E181="Обратное","Исключить или проверить риск отторжения","Требует проверки"))))))</f>
        <v/>
      </c>
      <c r="K181" s="2" t="n"/>
      <c r="L181" s="2" t="n"/>
      <c r="M181" s="2" t="n"/>
    </row>
    <row r="182">
      <c r="A182" s="2" t="inlineStr">
        <is>
          <t>R176</t>
        </is>
      </c>
      <c r="B182" s="2" t="n"/>
      <c r="C182" s="2" t="n"/>
      <c r="D182" s="2" t="n"/>
      <c r="E182" s="2" t="n"/>
      <c r="F182" s="2" t="n"/>
      <c r="G182" s="2" t="n"/>
      <c r="H182" s="5">
        <f>IF(G182="","",IFERROR(G182/MAX(1,COUNTIF('01_Конкуренты'!$B\$7:$B\$36,"?*")),""))</f>
        <v/>
      </c>
      <c r="I182" s="2" t="n"/>
      <c r="J182" s="2">
        <f>IF(B182="","",IF(E182="Обязательное",IF(H182&gt;=0.6,"Минимальный рыночный стандарт","Потенциальный обязательный разрыв"),IF(E182="Линейное",IF(H182&gt;=0.5,"Конкурентная норма с влиянием на выбор","Зона усиления ценности"),IF(E182="Привлекательное",IF(H182&lt;0.5,"Зона дифференциации","Переходит в ожидаемую норму"),IF(E182="Безразличное","Не делать при дефиците ресурсов",IF(E182="Обратное","Исключить или проверить риск отторжения","Требует проверки"))))))</f>
        <v/>
      </c>
      <c r="K182" s="2" t="n"/>
      <c r="L182" s="2" t="n"/>
      <c r="M182" s="2" t="n"/>
    </row>
    <row r="183">
      <c r="A183" s="2" t="inlineStr">
        <is>
          <t>R177</t>
        </is>
      </c>
      <c r="B183" s="2" t="n"/>
      <c r="C183" s="2" t="n"/>
      <c r="D183" s="2" t="n"/>
      <c r="E183" s="2" t="n"/>
      <c r="F183" s="2" t="n"/>
      <c r="G183" s="2" t="n"/>
      <c r="H183" s="5">
        <f>IF(G183="","",IFERROR(G183/MAX(1,COUNTIF('01_Конкуренты'!$B\$7:$B\$36,"?*")),""))</f>
        <v/>
      </c>
      <c r="I183" s="2" t="n"/>
      <c r="J183" s="2">
        <f>IF(B183="","",IF(E183="Обязательное",IF(H183&gt;=0.6,"Минимальный рыночный стандарт","Потенциальный обязательный разрыв"),IF(E183="Линейное",IF(H183&gt;=0.5,"Конкурентная норма с влиянием на выбор","Зона усиления ценности"),IF(E183="Привлекательное",IF(H183&lt;0.5,"Зона дифференциации","Переходит в ожидаемую норму"),IF(E183="Безразличное","Не делать при дефиците ресурсов",IF(E183="Обратное","Исключить или проверить риск отторжения","Требует проверки"))))))</f>
        <v/>
      </c>
      <c r="K183" s="2" t="n"/>
      <c r="L183" s="2" t="n"/>
      <c r="M183" s="2" t="n"/>
    </row>
    <row r="184">
      <c r="A184" s="2" t="inlineStr">
        <is>
          <t>R178</t>
        </is>
      </c>
      <c r="B184" s="2" t="n"/>
      <c r="C184" s="2" t="n"/>
      <c r="D184" s="2" t="n"/>
      <c r="E184" s="2" t="n"/>
      <c r="F184" s="2" t="n"/>
      <c r="G184" s="2" t="n"/>
      <c r="H184" s="5">
        <f>IF(G184="","",IFERROR(G184/MAX(1,COUNTIF('01_Конкуренты'!$B\$7:$B\$36,"?*")),""))</f>
        <v/>
      </c>
      <c r="I184" s="2" t="n"/>
      <c r="J184" s="2">
        <f>IF(B184="","",IF(E184="Обязательное",IF(H184&gt;=0.6,"Минимальный рыночный стандарт","Потенциальный обязательный разрыв"),IF(E184="Линейное",IF(H184&gt;=0.5,"Конкурентная норма с влиянием на выбор","Зона усиления ценности"),IF(E184="Привлекательное",IF(H184&lt;0.5,"Зона дифференциации","Переходит в ожидаемую норму"),IF(E184="Безразличное","Не делать при дефиците ресурсов",IF(E184="Обратное","Исключить или проверить риск отторжения","Требует проверки"))))))</f>
        <v/>
      </c>
      <c r="K184" s="2" t="n"/>
      <c r="L184" s="2" t="n"/>
      <c r="M184" s="2" t="n"/>
    </row>
    <row r="185">
      <c r="A185" s="2" t="inlineStr">
        <is>
          <t>R179</t>
        </is>
      </c>
      <c r="B185" s="2" t="n"/>
      <c r="C185" s="2" t="n"/>
      <c r="D185" s="2" t="n"/>
      <c r="E185" s="2" t="n"/>
      <c r="F185" s="2" t="n"/>
      <c r="G185" s="2" t="n"/>
      <c r="H185" s="5">
        <f>IF(G185="","",IFERROR(G185/MAX(1,COUNTIF('01_Конкуренты'!$B\$7:$B\$36,"?*")),""))</f>
        <v/>
      </c>
      <c r="I185" s="2" t="n"/>
      <c r="J185" s="2">
        <f>IF(B185="","",IF(E185="Обязательное",IF(H185&gt;=0.6,"Минимальный рыночный стандарт","Потенциальный обязательный разрыв"),IF(E185="Линейное",IF(H185&gt;=0.5,"Конкурентная норма с влиянием на выбор","Зона усиления ценности"),IF(E185="Привлекательное",IF(H185&lt;0.5,"Зона дифференциации","Переходит в ожидаемую норму"),IF(E185="Безразличное","Не делать при дефиците ресурсов",IF(E185="Обратное","Исключить или проверить риск отторжения","Требует проверки"))))))</f>
        <v/>
      </c>
      <c r="K185" s="2" t="n"/>
      <c r="L185" s="2" t="n"/>
      <c r="M185" s="2" t="n"/>
    </row>
    <row r="186">
      <c r="A186" s="2" t="inlineStr">
        <is>
          <t>R180</t>
        </is>
      </c>
      <c r="B186" s="2" t="n"/>
      <c r="C186" s="2" t="n"/>
      <c r="D186" s="2" t="n"/>
      <c r="E186" s="2" t="n"/>
      <c r="F186" s="2" t="n"/>
      <c r="G186" s="2" t="n"/>
      <c r="H186" s="5">
        <f>IF(G186="","",IFERROR(G186/MAX(1,COUNTIF('01_Конкуренты'!$B\$7:$B\$36,"?*")),""))</f>
        <v/>
      </c>
      <c r="I186" s="2" t="n"/>
      <c r="J186" s="2">
        <f>IF(B186="","",IF(E186="Обязательное",IF(H186&gt;=0.6,"Минимальный рыночный стандарт","Потенциальный обязательный разрыв"),IF(E186="Линейное",IF(H186&gt;=0.5,"Конкурентная норма с влиянием на выбор","Зона усиления ценности"),IF(E186="Привлекательное",IF(H186&lt;0.5,"Зона дифференциации","Переходит в ожидаемую норму"),IF(E186="Безразличное","Не делать при дефиците ресурсов",IF(E186="Обратное","Исключить или проверить риск отторжения","Требует проверки"))))))</f>
        <v/>
      </c>
      <c r="K186" s="2" t="n"/>
      <c r="L186" s="2" t="n"/>
      <c r="M186" s="2" t="n"/>
    </row>
    <row r="187">
      <c r="A187" s="2" t="inlineStr">
        <is>
          <t>R181</t>
        </is>
      </c>
      <c r="B187" s="2" t="n"/>
      <c r="C187" s="2" t="n"/>
      <c r="D187" s="2" t="n"/>
      <c r="E187" s="2" t="n"/>
      <c r="F187" s="2" t="n"/>
      <c r="G187" s="2" t="n"/>
      <c r="H187" s="5">
        <f>IF(G187="","",IFERROR(G187/MAX(1,COUNTIF('01_Конкуренты'!$B\$7:$B\$36,"?*")),""))</f>
        <v/>
      </c>
      <c r="I187" s="2" t="n"/>
      <c r="J187" s="2">
        <f>IF(B187="","",IF(E187="Обязательное",IF(H187&gt;=0.6,"Минимальный рыночный стандарт","Потенциальный обязательный разрыв"),IF(E187="Линейное",IF(H187&gt;=0.5,"Конкурентная норма с влиянием на выбор","Зона усиления ценности"),IF(E187="Привлекательное",IF(H187&lt;0.5,"Зона дифференциации","Переходит в ожидаемую норму"),IF(E187="Безразличное","Не делать при дефиците ресурсов",IF(E187="Обратное","Исключить или проверить риск отторжения","Требует проверки"))))))</f>
        <v/>
      </c>
      <c r="K187" s="2" t="n"/>
      <c r="L187" s="2" t="n"/>
      <c r="M187" s="2" t="n"/>
    </row>
    <row r="188">
      <c r="A188" s="2" t="inlineStr">
        <is>
          <t>R182</t>
        </is>
      </c>
      <c r="B188" s="2" t="n"/>
      <c r="C188" s="2" t="n"/>
      <c r="D188" s="2" t="n"/>
      <c r="E188" s="2" t="n"/>
      <c r="F188" s="2" t="n"/>
      <c r="G188" s="2" t="n"/>
      <c r="H188" s="5">
        <f>IF(G188="","",IFERROR(G188/MAX(1,COUNTIF('01_Конкуренты'!$B\$7:$B\$36,"?*")),""))</f>
        <v/>
      </c>
      <c r="I188" s="2" t="n"/>
      <c r="J188" s="2">
        <f>IF(B188="","",IF(E188="Обязательное",IF(H188&gt;=0.6,"Минимальный рыночный стандарт","Потенциальный обязательный разрыв"),IF(E188="Линейное",IF(H188&gt;=0.5,"Конкурентная норма с влиянием на выбор","Зона усиления ценности"),IF(E188="Привлекательное",IF(H188&lt;0.5,"Зона дифференциации","Переходит в ожидаемую норму"),IF(E188="Безразличное","Не делать при дефиците ресурсов",IF(E188="Обратное","Исключить или проверить риск отторжения","Требует проверки"))))))</f>
        <v/>
      </c>
      <c r="K188" s="2" t="n"/>
      <c r="L188" s="2" t="n"/>
      <c r="M188" s="2" t="n"/>
    </row>
    <row r="189">
      <c r="A189" s="2" t="inlineStr">
        <is>
          <t>R183</t>
        </is>
      </c>
      <c r="B189" s="2" t="n"/>
      <c r="C189" s="2" t="n"/>
      <c r="D189" s="2" t="n"/>
      <c r="E189" s="2" t="n"/>
      <c r="F189" s="2" t="n"/>
      <c r="G189" s="2" t="n"/>
      <c r="H189" s="5">
        <f>IF(G189="","",IFERROR(G189/MAX(1,COUNTIF('01_Конкуренты'!$B\$7:$B\$36,"?*")),""))</f>
        <v/>
      </c>
      <c r="I189" s="2" t="n"/>
      <c r="J189" s="2">
        <f>IF(B189="","",IF(E189="Обязательное",IF(H189&gt;=0.6,"Минимальный рыночный стандарт","Потенциальный обязательный разрыв"),IF(E189="Линейное",IF(H189&gt;=0.5,"Конкурентная норма с влиянием на выбор","Зона усиления ценности"),IF(E189="Привлекательное",IF(H189&lt;0.5,"Зона дифференциации","Переходит в ожидаемую норму"),IF(E189="Безразличное","Не делать при дефиците ресурсов",IF(E189="Обратное","Исключить или проверить риск отторжения","Требует проверки"))))))</f>
        <v/>
      </c>
      <c r="K189" s="2" t="n"/>
      <c r="L189" s="2" t="n"/>
      <c r="M189" s="2" t="n"/>
    </row>
    <row r="190">
      <c r="A190" s="2" t="inlineStr">
        <is>
          <t>R184</t>
        </is>
      </c>
      <c r="B190" s="2" t="n"/>
      <c r="C190" s="2" t="n"/>
      <c r="D190" s="2" t="n"/>
      <c r="E190" s="2" t="n"/>
      <c r="F190" s="2" t="n"/>
      <c r="G190" s="2" t="n"/>
      <c r="H190" s="5">
        <f>IF(G190="","",IFERROR(G190/MAX(1,COUNTIF('01_Конкуренты'!$B\$7:$B\$36,"?*")),""))</f>
        <v/>
      </c>
      <c r="I190" s="2" t="n"/>
      <c r="J190" s="2">
        <f>IF(B190="","",IF(E190="Обязательное",IF(H190&gt;=0.6,"Минимальный рыночный стандарт","Потенциальный обязательный разрыв"),IF(E190="Линейное",IF(H190&gt;=0.5,"Конкурентная норма с влиянием на выбор","Зона усиления ценности"),IF(E190="Привлекательное",IF(H190&lt;0.5,"Зона дифференциации","Переходит в ожидаемую норму"),IF(E190="Безразличное","Не делать при дефиците ресурсов",IF(E190="Обратное","Исключить или проверить риск отторжения","Требует проверки"))))))</f>
        <v/>
      </c>
      <c r="K190" s="2" t="n"/>
      <c r="L190" s="2" t="n"/>
      <c r="M190" s="2" t="n"/>
    </row>
    <row r="191">
      <c r="A191" s="2" t="inlineStr">
        <is>
          <t>R185</t>
        </is>
      </c>
      <c r="B191" s="2" t="n"/>
      <c r="C191" s="2" t="n"/>
      <c r="D191" s="2" t="n"/>
      <c r="E191" s="2" t="n"/>
      <c r="F191" s="2" t="n"/>
      <c r="G191" s="2" t="n"/>
      <c r="H191" s="5">
        <f>IF(G191="","",IFERROR(G191/MAX(1,COUNTIF('01_Конкуренты'!$B\$7:$B\$36,"?*")),""))</f>
        <v/>
      </c>
      <c r="I191" s="2" t="n"/>
      <c r="J191" s="2">
        <f>IF(B191="","",IF(E191="Обязательное",IF(H191&gt;=0.6,"Минимальный рыночный стандарт","Потенциальный обязательный разрыв"),IF(E191="Линейное",IF(H191&gt;=0.5,"Конкурентная норма с влиянием на выбор","Зона усиления ценности"),IF(E191="Привлекательное",IF(H191&lt;0.5,"Зона дифференциации","Переходит в ожидаемую норму"),IF(E191="Безразличное","Не делать при дефиците ресурсов",IF(E191="Обратное","Исключить или проверить риск отторжения","Требует проверки"))))))</f>
        <v/>
      </c>
      <c r="K191" s="2" t="n"/>
      <c r="L191" s="2" t="n"/>
      <c r="M191" s="2" t="n"/>
    </row>
    <row r="192">
      <c r="A192" s="2" t="inlineStr">
        <is>
          <t>R186</t>
        </is>
      </c>
      <c r="B192" s="2" t="n"/>
      <c r="C192" s="2" t="n"/>
      <c r="D192" s="2" t="n"/>
      <c r="E192" s="2" t="n"/>
      <c r="F192" s="2" t="n"/>
      <c r="G192" s="2" t="n"/>
      <c r="H192" s="5">
        <f>IF(G192="","",IFERROR(G192/MAX(1,COUNTIF('01_Конкуренты'!$B\$7:$B\$36,"?*")),""))</f>
        <v/>
      </c>
      <c r="I192" s="2" t="n"/>
      <c r="J192" s="2">
        <f>IF(B192="","",IF(E192="Обязательное",IF(H192&gt;=0.6,"Минимальный рыночный стандарт","Потенциальный обязательный разрыв"),IF(E192="Линейное",IF(H192&gt;=0.5,"Конкурентная норма с влиянием на выбор","Зона усиления ценности"),IF(E192="Привлекательное",IF(H192&lt;0.5,"Зона дифференциации","Переходит в ожидаемую норму"),IF(E192="Безразличное","Не делать при дефиците ресурсов",IF(E192="Обратное","Исключить или проверить риск отторжения","Требует проверки"))))))</f>
        <v/>
      </c>
      <c r="K192" s="2" t="n"/>
      <c r="L192" s="2" t="n"/>
      <c r="M192" s="2" t="n"/>
    </row>
    <row r="193">
      <c r="A193" s="2" t="inlineStr">
        <is>
          <t>R187</t>
        </is>
      </c>
      <c r="B193" s="2" t="n"/>
      <c r="C193" s="2" t="n"/>
      <c r="D193" s="2" t="n"/>
      <c r="E193" s="2" t="n"/>
      <c r="F193" s="2" t="n"/>
      <c r="G193" s="2" t="n"/>
      <c r="H193" s="5">
        <f>IF(G193="","",IFERROR(G193/MAX(1,COUNTIF('01_Конкуренты'!$B\$7:$B\$36,"?*")),""))</f>
        <v/>
      </c>
      <c r="I193" s="2" t="n"/>
      <c r="J193" s="2">
        <f>IF(B193="","",IF(E193="Обязательное",IF(H193&gt;=0.6,"Минимальный рыночный стандарт","Потенциальный обязательный разрыв"),IF(E193="Линейное",IF(H193&gt;=0.5,"Конкурентная норма с влиянием на выбор","Зона усиления ценности"),IF(E193="Привлекательное",IF(H193&lt;0.5,"Зона дифференциации","Переходит в ожидаемую норму"),IF(E193="Безразличное","Не делать при дефиците ресурсов",IF(E193="Обратное","Исключить или проверить риск отторжения","Требует проверки"))))))</f>
        <v/>
      </c>
      <c r="K193" s="2" t="n"/>
      <c r="L193" s="2" t="n"/>
      <c r="M193" s="2" t="n"/>
    </row>
    <row r="194">
      <c r="A194" s="2" t="inlineStr">
        <is>
          <t>R188</t>
        </is>
      </c>
      <c r="B194" s="2" t="n"/>
      <c r="C194" s="2" t="n"/>
      <c r="D194" s="2" t="n"/>
      <c r="E194" s="2" t="n"/>
      <c r="F194" s="2" t="n"/>
      <c r="G194" s="2" t="n"/>
      <c r="H194" s="5">
        <f>IF(G194="","",IFERROR(G194/MAX(1,COUNTIF('01_Конкуренты'!$B\$7:$B\$36,"?*")),""))</f>
        <v/>
      </c>
      <c r="I194" s="2" t="n"/>
      <c r="J194" s="2">
        <f>IF(B194="","",IF(E194="Обязательное",IF(H194&gt;=0.6,"Минимальный рыночный стандарт","Потенциальный обязательный разрыв"),IF(E194="Линейное",IF(H194&gt;=0.5,"Конкурентная норма с влиянием на выбор","Зона усиления ценности"),IF(E194="Привлекательное",IF(H194&lt;0.5,"Зона дифференциации","Переходит в ожидаемую норму"),IF(E194="Безразличное","Не делать при дефиците ресурсов",IF(E194="Обратное","Исключить или проверить риск отторжения","Требует проверки"))))))</f>
        <v/>
      </c>
      <c r="K194" s="2" t="n"/>
      <c r="L194" s="2" t="n"/>
      <c r="M194" s="2" t="n"/>
    </row>
    <row r="195">
      <c r="A195" s="2" t="inlineStr">
        <is>
          <t>R189</t>
        </is>
      </c>
      <c r="B195" s="2" t="n"/>
      <c r="C195" s="2" t="n"/>
      <c r="D195" s="2" t="n"/>
      <c r="E195" s="2" t="n"/>
      <c r="F195" s="2" t="n"/>
      <c r="G195" s="2" t="n"/>
      <c r="H195" s="5">
        <f>IF(G195="","",IFERROR(G195/MAX(1,COUNTIF('01_Конкуренты'!$B\$7:$B\$36,"?*")),""))</f>
        <v/>
      </c>
      <c r="I195" s="2" t="n"/>
      <c r="J195" s="2">
        <f>IF(B195="","",IF(E195="Обязательное",IF(H195&gt;=0.6,"Минимальный рыночный стандарт","Потенциальный обязательный разрыв"),IF(E195="Линейное",IF(H195&gt;=0.5,"Конкурентная норма с влиянием на выбор","Зона усиления ценности"),IF(E195="Привлекательное",IF(H195&lt;0.5,"Зона дифференциации","Переходит в ожидаемую норму"),IF(E195="Безразличное","Не делать при дефиците ресурсов",IF(E195="Обратное","Исключить или проверить риск отторжения","Требует проверки"))))))</f>
        <v/>
      </c>
      <c r="K195" s="2" t="n"/>
      <c r="L195" s="2" t="n"/>
      <c r="M195" s="2" t="n"/>
    </row>
    <row r="196">
      <c r="A196" s="2" t="inlineStr">
        <is>
          <t>R190</t>
        </is>
      </c>
      <c r="B196" s="2" t="n"/>
      <c r="C196" s="2" t="n"/>
      <c r="D196" s="2" t="n"/>
      <c r="E196" s="2" t="n"/>
      <c r="F196" s="2" t="n"/>
      <c r="G196" s="2" t="n"/>
      <c r="H196" s="5">
        <f>IF(G196="","",IFERROR(G196/MAX(1,COUNTIF('01_Конкуренты'!$B\$7:$B\$36,"?*")),""))</f>
        <v/>
      </c>
      <c r="I196" s="2" t="n"/>
      <c r="J196" s="2">
        <f>IF(B196="","",IF(E196="Обязательное",IF(H196&gt;=0.6,"Минимальный рыночный стандарт","Потенциальный обязательный разрыв"),IF(E196="Линейное",IF(H196&gt;=0.5,"Конкурентная норма с влиянием на выбор","Зона усиления ценности"),IF(E196="Привлекательное",IF(H196&lt;0.5,"Зона дифференциации","Переходит в ожидаемую норму"),IF(E196="Безразличное","Не делать при дефиците ресурсов",IF(E196="Обратное","Исключить или проверить риск отторжения","Требует проверки"))))))</f>
        <v/>
      </c>
      <c r="K196" s="2" t="n"/>
      <c r="L196" s="2" t="n"/>
      <c r="M196" s="2" t="n"/>
    </row>
    <row r="197">
      <c r="A197" s="2" t="inlineStr">
        <is>
          <t>R191</t>
        </is>
      </c>
      <c r="B197" s="2" t="n"/>
      <c r="C197" s="2" t="n"/>
      <c r="D197" s="2" t="n"/>
      <c r="E197" s="2" t="n"/>
      <c r="F197" s="2" t="n"/>
      <c r="G197" s="2" t="n"/>
      <c r="H197" s="5">
        <f>IF(G197="","",IFERROR(G197/MAX(1,COUNTIF('01_Конкуренты'!$B\$7:$B\$36,"?*")),""))</f>
        <v/>
      </c>
      <c r="I197" s="2" t="n"/>
      <c r="J197" s="2">
        <f>IF(B197="","",IF(E197="Обязательное",IF(H197&gt;=0.6,"Минимальный рыночный стандарт","Потенциальный обязательный разрыв"),IF(E197="Линейное",IF(H197&gt;=0.5,"Конкурентная норма с влиянием на выбор","Зона усиления ценности"),IF(E197="Привлекательное",IF(H197&lt;0.5,"Зона дифференциации","Переходит в ожидаемую норму"),IF(E197="Безразличное","Не делать при дефиците ресурсов",IF(E197="Обратное","Исключить или проверить риск отторжения","Требует проверки"))))))</f>
        <v/>
      </c>
      <c r="K197" s="2" t="n"/>
      <c r="L197" s="2" t="n"/>
      <c r="M197" s="2" t="n"/>
    </row>
    <row r="198">
      <c r="A198" s="2" t="inlineStr">
        <is>
          <t>R192</t>
        </is>
      </c>
      <c r="B198" s="2" t="n"/>
      <c r="C198" s="2" t="n"/>
      <c r="D198" s="2" t="n"/>
      <c r="E198" s="2" t="n"/>
      <c r="F198" s="2" t="n"/>
      <c r="G198" s="2" t="n"/>
      <c r="H198" s="5">
        <f>IF(G198="","",IFERROR(G198/MAX(1,COUNTIF('01_Конкуренты'!$B\$7:$B\$36,"?*")),""))</f>
        <v/>
      </c>
      <c r="I198" s="2" t="n"/>
      <c r="J198" s="2">
        <f>IF(B198="","",IF(E198="Обязательное",IF(H198&gt;=0.6,"Минимальный рыночный стандарт","Потенциальный обязательный разрыв"),IF(E198="Линейное",IF(H198&gt;=0.5,"Конкурентная норма с влиянием на выбор","Зона усиления ценности"),IF(E198="Привлекательное",IF(H198&lt;0.5,"Зона дифференциации","Переходит в ожидаемую норму"),IF(E198="Безразличное","Не делать при дефиците ресурсов",IF(E198="Обратное","Исключить или проверить риск отторжения","Требует проверки"))))))</f>
        <v/>
      </c>
      <c r="K198" s="2" t="n"/>
      <c r="L198" s="2" t="n"/>
      <c r="M198" s="2" t="n"/>
    </row>
    <row r="199">
      <c r="A199" s="2" t="inlineStr">
        <is>
          <t>R193</t>
        </is>
      </c>
      <c r="B199" s="2" t="n"/>
      <c r="C199" s="2" t="n"/>
      <c r="D199" s="2" t="n"/>
      <c r="E199" s="2" t="n"/>
      <c r="F199" s="2" t="n"/>
      <c r="G199" s="2" t="n"/>
      <c r="H199" s="5">
        <f>IF(G199="","",IFERROR(G199/MAX(1,COUNTIF('01_Конкуренты'!$B\$7:$B\$36,"?*")),""))</f>
        <v/>
      </c>
      <c r="I199" s="2" t="n"/>
      <c r="J199" s="2">
        <f>IF(B199="","",IF(E199="Обязательное",IF(H199&gt;=0.6,"Минимальный рыночный стандарт","Потенциальный обязательный разрыв"),IF(E199="Линейное",IF(H199&gt;=0.5,"Конкурентная норма с влиянием на выбор","Зона усиления ценности"),IF(E199="Привлекательное",IF(H199&lt;0.5,"Зона дифференциации","Переходит в ожидаемую норму"),IF(E199="Безразличное","Не делать при дефиците ресурсов",IF(E199="Обратное","Исключить или проверить риск отторжения","Требует проверки"))))))</f>
        <v/>
      </c>
      <c r="K199" s="2" t="n"/>
      <c r="L199" s="2" t="n"/>
      <c r="M199" s="2" t="n"/>
    </row>
    <row r="200">
      <c r="A200" s="2" t="inlineStr">
        <is>
          <t>R194</t>
        </is>
      </c>
      <c r="B200" s="2" t="n"/>
      <c r="C200" s="2" t="n"/>
      <c r="D200" s="2" t="n"/>
      <c r="E200" s="2" t="n"/>
      <c r="F200" s="2" t="n"/>
      <c r="G200" s="2" t="n"/>
      <c r="H200" s="5">
        <f>IF(G200="","",IFERROR(G200/MAX(1,COUNTIF('01_Конкуренты'!$B\$7:$B\$36,"?*")),""))</f>
        <v/>
      </c>
      <c r="I200" s="2" t="n"/>
      <c r="J200" s="2">
        <f>IF(B200="","",IF(E200="Обязательное",IF(H200&gt;=0.6,"Минимальный рыночный стандарт","Потенциальный обязательный разрыв"),IF(E200="Линейное",IF(H200&gt;=0.5,"Конкурентная норма с влиянием на выбор","Зона усиления ценности"),IF(E200="Привлекательное",IF(H200&lt;0.5,"Зона дифференциации","Переходит в ожидаемую норму"),IF(E200="Безразличное","Не делать при дефиците ресурсов",IF(E200="Обратное","Исключить или проверить риск отторжения","Требует проверки"))))))</f>
        <v/>
      </c>
      <c r="K200" s="2" t="n"/>
      <c r="L200" s="2" t="n"/>
      <c r="M200" s="2" t="n"/>
    </row>
    <row r="201">
      <c r="A201" s="2" t="inlineStr">
        <is>
          <t>R195</t>
        </is>
      </c>
      <c r="B201" s="2" t="n"/>
      <c r="C201" s="2" t="n"/>
      <c r="D201" s="2" t="n"/>
      <c r="E201" s="2" t="n"/>
      <c r="F201" s="2" t="n"/>
      <c r="G201" s="2" t="n"/>
      <c r="H201" s="5">
        <f>IF(G201="","",IFERROR(G201/MAX(1,COUNTIF('01_Конкуренты'!$B\$7:$B\$36,"?*")),""))</f>
        <v/>
      </c>
      <c r="I201" s="2" t="n"/>
      <c r="J201" s="2">
        <f>IF(B201="","",IF(E201="Обязательное",IF(H201&gt;=0.6,"Минимальный рыночный стандарт","Потенциальный обязательный разрыв"),IF(E201="Линейное",IF(H201&gt;=0.5,"Конкурентная норма с влиянием на выбор","Зона усиления ценности"),IF(E201="Привлекательное",IF(H201&lt;0.5,"Зона дифференциации","Переходит в ожидаемую норму"),IF(E201="Безразличное","Не делать при дефиците ресурсов",IF(E201="Обратное","Исключить или проверить риск отторжения","Требует проверки"))))))</f>
        <v/>
      </c>
      <c r="K201" s="2" t="n"/>
      <c r="L201" s="2" t="n"/>
      <c r="M201" s="2" t="n"/>
    </row>
    <row r="202">
      <c r="A202" s="2" t="inlineStr">
        <is>
          <t>R196</t>
        </is>
      </c>
      <c r="B202" s="2" t="n"/>
      <c r="C202" s="2" t="n"/>
      <c r="D202" s="2" t="n"/>
      <c r="E202" s="2" t="n"/>
      <c r="F202" s="2" t="n"/>
      <c r="G202" s="2" t="n"/>
      <c r="H202" s="5">
        <f>IF(G202="","",IFERROR(G202/MAX(1,COUNTIF('01_Конкуренты'!$B\$7:$B\$36,"?*")),""))</f>
        <v/>
      </c>
      <c r="I202" s="2" t="n"/>
      <c r="J202" s="2">
        <f>IF(B202="","",IF(E202="Обязательное",IF(H202&gt;=0.6,"Минимальный рыночный стандарт","Потенциальный обязательный разрыв"),IF(E202="Линейное",IF(H202&gt;=0.5,"Конкурентная норма с влиянием на выбор","Зона усиления ценности"),IF(E202="Привлекательное",IF(H202&lt;0.5,"Зона дифференциации","Переходит в ожидаемую норму"),IF(E202="Безразличное","Не делать при дефиците ресурсов",IF(E202="Обратное","Исключить или проверить риск отторжения","Требует проверки"))))))</f>
        <v/>
      </c>
      <c r="K202" s="2" t="n"/>
      <c r="L202" s="2" t="n"/>
      <c r="M202" s="2" t="n"/>
    </row>
    <row r="203">
      <c r="A203" s="2" t="inlineStr">
        <is>
          <t>R197</t>
        </is>
      </c>
      <c r="B203" s="2" t="n"/>
      <c r="C203" s="2" t="n"/>
      <c r="D203" s="2" t="n"/>
      <c r="E203" s="2" t="n"/>
      <c r="F203" s="2" t="n"/>
      <c r="G203" s="2" t="n"/>
      <c r="H203" s="5">
        <f>IF(G203="","",IFERROR(G203/MAX(1,COUNTIF('01_Конкуренты'!$B\$7:$B\$36,"?*")),""))</f>
        <v/>
      </c>
      <c r="I203" s="2" t="n"/>
      <c r="J203" s="2">
        <f>IF(B203="","",IF(E203="Обязательное",IF(H203&gt;=0.6,"Минимальный рыночный стандарт","Потенциальный обязательный разрыв"),IF(E203="Линейное",IF(H203&gt;=0.5,"Конкурентная норма с влиянием на выбор","Зона усиления ценности"),IF(E203="Привлекательное",IF(H203&lt;0.5,"Зона дифференциации","Переходит в ожидаемую норму"),IF(E203="Безразличное","Не делать при дефиците ресурсов",IF(E203="Обратное","Исключить или проверить риск отторжения","Требует проверки"))))))</f>
        <v/>
      </c>
      <c r="K203" s="2" t="n"/>
      <c r="L203" s="2" t="n"/>
      <c r="M203" s="2" t="n"/>
    </row>
    <row r="204">
      <c r="A204" s="2" t="inlineStr">
        <is>
          <t>R198</t>
        </is>
      </c>
      <c r="B204" s="2" t="n"/>
      <c r="C204" s="2" t="n"/>
      <c r="D204" s="2" t="n"/>
      <c r="E204" s="2" t="n"/>
      <c r="F204" s="2" t="n"/>
      <c r="G204" s="2" t="n"/>
      <c r="H204" s="5">
        <f>IF(G204="","",IFERROR(G204/MAX(1,COUNTIF('01_Конкуренты'!$B\$7:$B\$36,"?*")),""))</f>
        <v/>
      </c>
      <c r="I204" s="2" t="n"/>
      <c r="J204" s="2">
        <f>IF(B204="","",IF(E204="Обязательное",IF(H204&gt;=0.6,"Минимальный рыночный стандарт","Потенциальный обязательный разрыв"),IF(E204="Линейное",IF(H204&gt;=0.5,"Конкурентная норма с влиянием на выбор","Зона усиления ценности"),IF(E204="Привлекательное",IF(H204&lt;0.5,"Зона дифференциации","Переходит в ожидаемую норму"),IF(E204="Безразличное","Не делать при дефиците ресурсов",IF(E204="Обратное","Исключить или проверить риск отторжения","Требует проверки"))))))</f>
        <v/>
      </c>
      <c r="K204" s="2" t="n"/>
      <c r="L204" s="2" t="n"/>
      <c r="M204" s="2" t="n"/>
    </row>
    <row r="205">
      <c r="A205" s="2" t="inlineStr">
        <is>
          <t>R199</t>
        </is>
      </c>
      <c r="B205" s="2" t="n"/>
      <c r="C205" s="2" t="n"/>
      <c r="D205" s="2" t="n"/>
      <c r="E205" s="2" t="n"/>
      <c r="F205" s="2" t="n"/>
      <c r="G205" s="2" t="n"/>
      <c r="H205" s="5">
        <f>IF(G205="","",IFERROR(G205/MAX(1,COUNTIF('01_Конкуренты'!$B\$7:$B\$36,"?*")),""))</f>
        <v/>
      </c>
      <c r="I205" s="2" t="n"/>
      <c r="J205" s="2">
        <f>IF(B205="","",IF(E205="Обязательное",IF(H205&gt;=0.6,"Минимальный рыночный стандарт","Потенциальный обязательный разрыв"),IF(E205="Линейное",IF(H205&gt;=0.5,"Конкурентная норма с влиянием на выбор","Зона усиления ценности"),IF(E205="Привлекательное",IF(H205&lt;0.5,"Зона дифференциации","Переходит в ожидаемую норму"),IF(E205="Безразличное","Не делать при дефиците ресурсов",IF(E205="Обратное","Исключить или проверить риск отторжения","Требует проверки"))))))</f>
        <v/>
      </c>
      <c r="K205" s="2" t="n"/>
      <c r="L205" s="2" t="n"/>
      <c r="M205" s="2" t="n"/>
    </row>
    <row r="206">
      <c r="A206" s="2" t="inlineStr">
        <is>
          <t>R200</t>
        </is>
      </c>
      <c r="B206" s="2" t="n"/>
      <c r="C206" s="2" t="n"/>
      <c r="D206" s="2" t="n"/>
      <c r="E206" s="2" t="n"/>
      <c r="F206" s="2" t="n"/>
      <c r="G206" s="2" t="n"/>
      <c r="H206" s="5">
        <f>IF(G206="","",IFERROR(G206/MAX(1,COUNTIF('01_Конкуренты'!$B\$7:$B\$36,"?*")),""))</f>
        <v/>
      </c>
      <c r="I206" s="2" t="n"/>
      <c r="J206" s="2">
        <f>IF(B206="","",IF(E206="Обязательное",IF(H206&gt;=0.6,"Минимальный рыночный стандарт","Потенциальный обязательный разрыв"),IF(E206="Линейное",IF(H206&gt;=0.5,"Конкурентная норма с влиянием на выбор","Зона усиления ценности"),IF(E206="Привлекательное",IF(H206&lt;0.5,"Зона дифференциации","Переходит в ожидаемую норму"),IF(E206="Безразличное","Не делать при дефиците ресурсов",IF(E206="Обратное","Исключить или проверить риск отторжения","Требует проверки"))))))</f>
        <v/>
      </c>
      <c r="K206" s="2" t="n"/>
      <c r="L206" s="2" t="n"/>
      <c r="M206" s="2" t="n"/>
    </row>
  </sheetData>
  <mergeCells count="2">
    <mergeCell ref="A2:M2"/>
    <mergeCell ref="A1:M1"/>
  </mergeCells>
  <conditionalFormatting sqref="H7:H206">
    <cfRule type="dataBar" priority="1">
      <dataBar>
        <cfvo type="min"/>
        <cfvo type="max"/>
        <color rgb="FF60A5FA"/>
      </dataBar>
    </cfRule>
    <cfRule type="dataBar" priority="2">
      <dataBar>
        <cfvo type="min"/>
        <cfvo type="max"/>
        <color rgb="FF60A5FA"/>
      </dataBar>
    </cfRule>
  </conditionalFormatting>
  <dataValidations count="3">
    <dataValidation sqref="E7:E206" showDropDown="0" showInputMessage="0" showErrorMessage="0" allowBlank="0" type="list">
      <formula1>"Обязательное,Линейное,Привлекательное,Безразличное,Обратное,Неясное"</formula1>
    </dataValidation>
    <dataValidation sqref="F7:F206" showDropDown="0" showInputMessage="0" showErrorMessage="0" allowBlank="0" type="list">
      <formula1>"1,2,3,4,5"</formula1>
    </dataValidation>
    <dataValidation sqref="I7:I206" showDropDown="0" showInputMessage="0" showErrorMessage="0" allowBlank="0" type="list">
      <formula1>"0,1,2,3,4,5"</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18"/>
  <sheetViews>
    <sheetView workbookViewId="0">
      <selection activeCell="B10" sqref="B10"/>
    </sheetView>
  </sheetViews>
  <sheetFormatPr baseColWidth="8" defaultRowHeight="14.25"/>
  <cols>
    <col width="24" customWidth="1" min="1" max="1"/>
    <col width="38" customWidth="1" min="2" max="3"/>
    <col width="42" customWidth="1" min="4" max="4"/>
    <col width="24" customWidth="1" min="5" max="6"/>
    <col width="22" customWidth="1" min="7" max="7"/>
    <col width="32" customWidth="1" min="8" max="9"/>
    <col width="26" customWidth="1" min="10" max="10"/>
    <col width="22" customWidth="1" min="11" max="11"/>
    <col width="32" customWidth="1" min="12" max="12"/>
  </cols>
  <sheetData>
    <row r="1" ht="16.15" customHeight="1">
      <c r="A1" s="14" t="inlineStr">
        <is>
          <t>05. Определение цифрового товара</t>
        </is>
      </c>
    </row>
    <row r="2" ht="21" customHeight="1">
      <c r="A2" s="16" t="inlineStr">
        <is>
          <t>Используйте этот лист для итогового синтеза: какие элементы входят в цифровой товар, какие являются обязательными, а какие формируют отличие</t>
        </is>
      </c>
    </row>
    <row r="3"/>
    <row r="4"/>
    <row r="5"/>
    <row r="6" ht="17.1" customHeight="1">
      <c r="A6" s="1" t="inlineStr">
        <is>
          <t>Блок определения</t>
        </is>
      </c>
      <c r="B6" s="1" t="inlineStr">
        <is>
          <t>Вопрос для анализа</t>
        </is>
      </c>
      <c r="C6" s="1" t="inlineStr">
        <is>
          <t>Вывод по рынку</t>
        </is>
      </c>
      <c r="D6" s="1" t="inlineStr">
        <is>
          <t>Доказательства</t>
        </is>
      </c>
      <c r="E6" s="1" t="inlineStr">
        <is>
          <t>Связь с Левиттом</t>
        </is>
      </c>
      <c r="F6" s="1" t="inlineStr">
        <is>
          <t>Связь с Кано</t>
        </is>
      </c>
      <c r="G6" s="1" t="inlineStr">
        <is>
          <t>Статус для своего товара</t>
        </is>
      </c>
      <c r="H6" s="1" t="inlineStr">
        <is>
          <t>Минимальная реализация</t>
        </is>
      </c>
      <c r="I6" s="1" t="inlineStr">
        <is>
          <t>Расширенная реализация</t>
        </is>
      </c>
      <c r="J6" s="1" t="inlineStr">
        <is>
          <t>Риск исключения</t>
        </is>
      </c>
      <c r="K6" s="1" t="inlineStr">
        <is>
          <t>Решение</t>
        </is>
      </c>
      <c r="L6" s="1" t="inlineStr">
        <is>
          <t>Комментарий</t>
        </is>
      </c>
    </row>
    <row r="7" ht="76.5" customHeight="1">
      <c r="A7" s="2" t="inlineStr">
        <is>
          <t>Целевая пользовательская задача</t>
        </is>
      </c>
      <c r="B7" s="2" t="inlineStr">
        <is>
          <t>Какую основную задачу обещает решить товар?</t>
        </is>
      </c>
      <c r="C7" s="2" t="inlineStr">
        <is>
          <t>Рынок обещает три вида задач: диаграммы из текста (PlantUML, Mermaid, Mermaid Chart, Eraser), рисование в редакторе (draw.io, Lucidchart, Whimsical), управление процессами (Storm); ИИ-генерация есть у 5 из 8</t>
        </is>
      </c>
      <c r="D7" s="2" t="inlineStr">
        <is>
          <t>Главные страницы и страницы ИИ (01.10.2026)</t>
        </is>
      </c>
      <c r="E7" s="2" t="inlineStr">
        <is>
          <t>1. Базовая выгода</t>
        </is>
      </c>
      <c r="F7" s="2" t="inlineStr">
        <is>
          <t>Обязательное / Линейное</t>
        </is>
      </c>
      <c r="G7" s="2" t="inlineStr">
        <is>
          <t>Принять</t>
        </is>
      </c>
      <c r="H7" s="2" t="inlineStr">
        <is>
          <t>Построение диаграммы по текстовому описанию</t>
        </is>
      </c>
      <c r="I7" s="2" t="inlineStr">
        <is>
          <t>ИИ-генерация диаграммы по описанию</t>
        </is>
      </c>
      <c r="J7" s="2" t="inlineStr">
        <is>
          <t>Низкий</t>
        </is>
      </c>
      <c r="K7" s="2" t="inlineStr">
        <is>
          <t>Обязательно</t>
        </is>
      </c>
      <c r="L7" s="2" t="inlineStr">
        <is>
          <t>Основа продукта</t>
        </is>
      </c>
    </row>
    <row r="8" ht="63.75" customHeight="1">
      <c r="A8" s="2" t="inlineStr">
        <is>
          <t>Пользовательский сегмент</t>
        </is>
      </c>
      <c r="B8" s="2" t="inlineStr">
        <is>
          <t>Для кого товар явно предназначен по сайту конкурентов?</t>
        </is>
      </c>
      <c r="C8" s="2" t="inlineStr">
        <is>
          <t>Явные аудитории: разработчики и технические писатели (PlantUML, Mermaid), команды и бизнес-пользователи (Mermaid Chart, Lucidchart, Whimsical), процессные аналитики (Storm), инженерные команды (Eraser)</t>
        </is>
      </c>
      <c r="D8" s="2" t="inlineStr">
        <is>
          <t>Главные страницы, ЛР4 карточки</t>
        </is>
      </c>
      <c r="E8" s="2" t="inlineStr">
        <is>
          <t>1. Базовая выгода</t>
        </is>
      </c>
      <c r="F8" s="2" t="inlineStr">
        <is>
          <t>Линейное</t>
        </is>
      </c>
      <c r="G8" s="2" t="inlineStr">
        <is>
          <t>Принять</t>
        </is>
      </c>
      <c r="H8" s="2" t="inlineStr">
        <is>
          <t>Студенты и аналитики ПО</t>
        </is>
      </c>
      <c r="I8" s="2" t="inlineStr">
        <is>
          <t>Преподаватели и команды</t>
        </is>
      </c>
      <c r="J8" s="2" t="inlineStr">
        <is>
          <t>Низкий</t>
        </is>
      </c>
      <c r="K8" s="2" t="inlineStr">
        <is>
          <t>Обязательно</t>
        </is>
      </c>
      <c r="L8" s="2" t="inlineStr">
        <is>
          <t>Сегмент NotaCode: студенты (Free), аналитики и разработчики (Pro)</t>
        </is>
      </c>
    </row>
    <row r="9" ht="63.75" customHeight="1">
      <c r="A9" s="2" t="inlineStr">
        <is>
          <t>Родовой товар</t>
        </is>
      </c>
      <c r="B9" s="2" t="inlineStr">
        <is>
          <t>Какой минимальный цифровой объект продается: сервис, приложение, платформа, курс, кабинет, база данных, подписка?</t>
        </is>
      </c>
      <c r="C9" s="2" t="inlineStr">
        <is>
          <t>Родовой товар: онлайн-редактор с кодом диаграммы (PlantUML server, Mermaid Live), облачный SaaS (Mermaid Chart, Lucidchart, Eraser, Whimsical, Storm) или бесплатное приложение (draw.io)</t>
        </is>
      </c>
      <c r="D9" s="2" t="inlineStr">
        <is>
          <t>Страницы продуктов и тарифов</t>
        </is>
      </c>
      <c r="E9" s="2" t="inlineStr">
        <is>
          <t>2. Родовой товар</t>
        </is>
      </c>
      <c r="F9" s="2" t="inlineStr">
        <is>
          <t>Обязательное</t>
        </is>
      </c>
      <c r="G9" s="2" t="inlineStr">
        <is>
          <t>Принять</t>
        </is>
      </c>
      <c r="H9" s="2" t="inlineStr">
        <is>
          <t>Веб-IDE «диаграммы как код» (PWA)</t>
        </is>
      </c>
      <c r="I9" s="2" t="inlineStr">
        <is>
          <t>Настольный режим и отдельный сервер</t>
        </is>
      </c>
      <c r="J9" s="2" t="inlineStr">
        <is>
          <t>Низкий</t>
        </is>
      </c>
      <c r="K9" s="2" t="inlineStr">
        <is>
          <t>Обязательно</t>
        </is>
      </c>
      <c r="L9" s="2" t="inlineStr">
        <is>
          <t>Форма поставки NotaCode — PWA</t>
        </is>
      </c>
    </row>
    <row r="10" ht="38.25" customHeight="1">
      <c r="A10" s="2" t="inlineStr">
        <is>
          <t>Ожидаемый состав</t>
        </is>
      </c>
      <c r="B10" s="2" t="inlineStr">
        <is>
          <t>Какие функции пользователь считает нормой рынка?</t>
        </is>
      </c>
      <c r="C10" s="2" t="inlineStr">
        <is>
          <t>Ожидаемый состав: UML (4 из 8), ERD (6 из 8), экспорт (8 из 8), документация (6 из 8), вход (5 из 8), шаблоны (3 из 8)</t>
        </is>
      </c>
      <c r="D10" s="2" t="inlineStr">
        <is>
          <t>Страницы документации и продуктов</t>
        </is>
      </c>
      <c r="E10" s="2" t="inlineStr">
        <is>
          <t>3. Ожидаемый товар</t>
        </is>
      </c>
      <c r="F10" s="2" t="inlineStr">
        <is>
          <t>Обязательное</t>
        </is>
      </c>
      <c r="G10" s="2" t="inlineStr">
        <is>
          <t>Принять</t>
        </is>
      </c>
      <c r="H10" s="2" t="inlineStr">
        <is>
          <t>UML, BPMN, ERD, экспорт PNG/SVG/PDF, документация</t>
        </is>
      </c>
      <c r="I10" s="2" t="inlineStr">
        <is>
          <t>Шаблоны, история версий</t>
        </is>
      </c>
      <c r="J10" s="2" t="inlineStr">
        <is>
          <t>Средний</t>
        </is>
      </c>
      <c r="K10" s="2" t="inlineStr">
        <is>
          <t>Включить</t>
        </is>
      </c>
      <c r="L10" s="2" t="inlineStr">
        <is>
          <t>IDEF0, DFD, сети Петри у конкурентов не найдены: отличие NotaCode</t>
        </is>
      </c>
    </row>
    <row r="11" ht="38.25" customHeight="1">
      <c r="A11" s="2" t="inlineStr">
        <is>
          <t>Интерфейс и доступ</t>
        </is>
      </c>
      <c r="B11" s="2" t="inlineStr">
        <is>
          <t>Как организован доступ: сайт, приложение, личный кабинет, мобильная версия, интеграции?</t>
        </is>
      </c>
      <c r="C11" s="2" t="inlineStr">
        <is>
          <t>Доступ: открытый код или Free-тариф у 8 из 8; вход и личный кабинет у 5 из 8; совместная работа у 6 из 8</t>
        </is>
      </c>
      <c r="D11" s="2" t="inlineStr">
        <is>
          <t>Главные страницы и тарифы</t>
        </is>
      </c>
      <c r="E11" s="2" t="inlineStr">
        <is>
          <t>3. Ожидаемый товар</t>
        </is>
      </c>
      <c r="F11" s="2" t="inlineStr">
        <is>
          <t>Обязательное / Линейное</t>
        </is>
      </c>
      <c r="G11" s="2" t="inlineStr">
        <is>
          <t>Принять</t>
        </is>
      </c>
      <c r="H11" s="2" t="inlineStr">
        <is>
          <t>Работа в браузере без установки, Free-доступ</t>
        </is>
      </c>
      <c r="I11" s="2" t="inlineStr">
        <is>
          <t>Совместное редактирование</t>
        </is>
      </c>
      <c r="J11" s="2" t="inlineStr">
        <is>
          <t>Низкий</t>
        </is>
      </c>
      <c r="K11" s="2" t="inlineStr">
        <is>
          <t>Включить</t>
        </is>
      </c>
      <c r="L11" s="2" t="inlineStr">
        <is>
          <t>Коллаборация — линейное требование</t>
        </is>
      </c>
    </row>
    <row r="12" ht="63.75" customHeight="1">
      <c r="A12" s="2" t="inlineStr">
        <is>
          <t>Оплата и тарифы</t>
        </is>
      </c>
      <c r="B12" s="2" t="inlineStr">
        <is>
          <t>Какой способ оплаты и представления тарифов является нормой?</t>
        </is>
      </c>
      <c r="C12" s="2" t="inlineStr">
        <is>
          <t>Тарифы открыты у 5 из 8: Free плюс подписка 9–20 у.е. за пользователя в месяц (Mermaid Chart 10 и 20, Lucidchart 9 и 10, Eraser 15 и 45, Whimsical 10 и 20); цены при годовой оплате у 4 из 8</t>
        </is>
      </c>
      <c r="D12" s="2" t="inlineStr">
        <is>
          <t>Страницы тарифов (01.10.2026)</t>
        </is>
      </c>
      <c r="E12" s="2" t="inlineStr">
        <is>
          <t>3. Ожидаемый товар</t>
        </is>
      </c>
      <c r="F12" s="2" t="inlineStr">
        <is>
          <t>Обязательное</t>
        </is>
      </c>
      <c r="G12" s="2" t="inlineStr">
        <is>
          <t>Принять</t>
        </is>
      </c>
      <c r="H12" s="2" t="inlineStr">
        <is>
          <t>Free и Pro 40 у.е. в год (48 у.е. при 4 x 12 рядом)</t>
        </is>
      </c>
      <c r="I12" s="2" t="inlineStr">
        <is>
          <t>Командный тариф за пользователя</t>
        </is>
      </c>
      <c r="J12" s="2" t="inlineStr">
        <is>
          <t>Средний</t>
        </is>
      </c>
      <c r="K12" s="2" t="inlineStr">
        <is>
          <t>Включить</t>
        </is>
      </c>
      <c r="L12" s="2" t="inlineStr">
        <is>
          <t>Цена Pro ниже минимальных тарифов конкурентов (от 9 у.е. в месяц)</t>
        </is>
      </c>
    </row>
    <row r="13" ht="38.25" customHeight="1">
      <c r="A13" s="2" t="inlineStr">
        <is>
          <t>Поддержка и сопровождение</t>
        </is>
      </c>
      <c r="B13" s="2" t="inlineStr">
        <is>
          <t>Какой уровень поддержки включен в товар?</t>
        </is>
      </c>
      <c r="C13" s="2" t="inlineStr">
        <is>
          <t>Поддержка: документация у 6 из 8, учебный центр у Lucidchart, раздел поддержки у Whimsical; чат поддержки не проверялся</t>
        </is>
      </c>
      <c r="D13" s="2" t="inlineStr">
        <is>
          <t>Страницы документации и поддержки</t>
        </is>
      </c>
      <c r="E13" s="2" t="inlineStr">
        <is>
          <t>3. Ожидаемый товар</t>
        </is>
      </c>
      <c r="F13" s="2" t="inlineStr">
        <is>
          <t>Линейное</t>
        </is>
      </c>
      <c r="G13" s="2" t="inlineStr">
        <is>
          <t>Принять</t>
        </is>
      </c>
      <c r="H13" s="2" t="inlineStr">
        <is>
          <t>Документация и примеры</t>
        </is>
      </c>
      <c r="I13" s="2" t="inlineStr">
        <is>
          <t>Обучающие материалы для студентов</t>
        </is>
      </c>
      <c r="J13" s="2" t="inlineStr">
        <is>
          <t>Средний</t>
        </is>
      </c>
      <c r="K13" s="2" t="inlineStr">
        <is>
          <t>Включить</t>
        </is>
      </c>
      <c r="L13" s="2" t="inlineStr">
        <is>
          <t>Документация — обязательное требование</t>
        </is>
      </c>
    </row>
    <row r="14" ht="38.25" customHeight="1">
      <c r="A14" s="2" t="inlineStr">
        <is>
          <t>Расширение ценности</t>
        </is>
      </c>
      <c r="B14" s="2" t="inlineStr">
        <is>
          <t>Какие дополнительные функции повышают ценность: персонализация, аналитика, рекомендации, автоматизация?</t>
        </is>
      </c>
      <c r="C14" s="2" t="inlineStr">
        <is>
          <t>Расширение ценности: ИИ у 5 из 8, API у 5 из 8, интеграции у 8 из 8, история версий у 5 из 8</t>
        </is>
      </c>
      <c r="D14" s="2" t="inlineStr">
        <is>
          <t>Страницы тарифов и продуктов</t>
        </is>
      </c>
      <c r="E14" s="2" t="inlineStr">
        <is>
          <t>4. Расширенный товар</t>
        </is>
      </c>
      <c r="F14" s="2" t="inlineStr">
        <is>
          <t>Линейное / Привлекательное</t>
        </is>
      </c>
      <c r="G14" s="2" t="inlineStr">
        <is>
          <t>Рассмотреть</t>
        </is>
      </c>
      <c r="H14" s="2" t="inlineStr">
        <is>
          <t>ИИ-помощник и экспорт</t>
        </is>
      </c>
      <c r="I14" s="2" t="inlineStr">
        <is>
          <t>API, интеграции, история версий</t>
        </is>
      </c>
      <c r="J14" s="2" t="inlineStr">
        <is>
          <t>Средний</t>
        </is>
      </c>
      <c r="K14" s="2" t="inlineStr">
        <is>
          <t>Рассмотреть</t>
        </is>
      </c>
      <c r="L14" s="2" t="inlineStr">
        <is>
          <t>ИИ — привлекательное требование</t>
        </is>
      </c>
    </row>
    <row r="15" ht="51" customHeight="1">
      <c r="A15" s="2" t="inlineStr">
        <is>
          <t>Доверие и доказательства</t>
        </is>
      </c>
      <c r="B15" s="2" t="inlineStr">
        <is>
          <t>Какие элементы подтверждают надежность: кейсы, отзывы, сертификаты, политика безопасности, гарантии?</t>
        </is>
      </c>
      <c r="C15" s="2" t="inlineStr">
        <is>
          <t>Доверие: независимые отзывы у 7 из 8, данные о числе пользователей на сайте у 4 из 8, раздел о безопасности у 6 из 8, открытый код у 3 из 8</t>
        </is>
      </c>
      <c r="D15" s="2" t="inlineStr">
        <is>
          <t>G2, Capterra, Trustpilot, страницы сайтов</t>
        </is>
      </c>
      <c r="E15" s="2" t="inlineStr">
        <is>
          <t>4. Расширенный товар</t>
        </is>
      </c>
      <c r="F15" s="2" t="inlineStr">
        <is>
          <t>Линейное</t>
        </is>
      </c>
      <c r="G15" s="2" t="inlineStr">
        <is>
          <t>Принять</t>
        </is>
      </c>
      <c r="H15" s="2" t="inlineStr">
        <is>
          <t>Политика конфиденциальности, примеры</t>
        </is>
      </c>
      <c r="I15" s="2" t="inlineStr">
        <is>
          <t>Открытый репозиторий, отзывы</t>
        </is>
      </c>
      <c r="J15" s="2" t="inlineStr">
        <is>
          <t>Средний</t>
        </is>
      </c>
      <c r="K15" s="2" t="inlineStr">
        <is>
          <t>Включить</t>
        </is>
      </c>
      <c r="L15" s="2" t="inlineStr">
        <is>
          <t>Пока продукт до MVP: отзывов нет</t>
        </is>
      </c>
    </row>
    <row r="16" ht="38.25" customHeight="1">
      <c r="A16" s="2" t="inlineStr">
        <is>
          <t>Потенциальное развитие</t>
        </is>
      </c>
      <c r="B16" s="2" t="inlineStr">
        <is>
          <t>Какие будущие возможности видны по дорожной карте, интеграциям, пробным функциям, технологиям?</t>
        </is>
      </c>
      <c r="C16" s="2" t="inlineStr">
        <is>
          <t>Потенциал: ИИ-помощник и MCP (Storm), Lucid AI и платформа разработчика (Lucidchart), ИИ-кредиты (Mermaid Chart)</t>
        </is>
      </c>
      <c r="D16" s="2" t="inlineStr">
        <is>
          <t>Страницы сайтов</t>
        </is>
      </c>
      <c r="E16" s="2" t="inlineStr">
        <is>
          <t>5. Потенциальный товар</t>
        </is>
      </c>
      <c r="F16" s="2" t="inlineStr">
        <is>
          <t>Привлекательное</t>
        </is>
      </c>
      <c r="G16" s="2" t="inlineStr">
        <is>
          <t>Рассмотреть</t>
        </is>
      </c>
      <c r="H16" s="2" t="inlineStr">
        <is>
          <t>Не требуется в минимальной версии</t>
        </is>
      </c>
      <c r="I16" s="2" t="inlineStr">
        <is>
          <t>ИИ-помощник, платформа разработчика</t>
        </is>
      </c>
      <c r="J16" s="2" t="inlineStr">
        <is>
          <t>Средний</t>
        </is>
      </c>
      <c r="K16" s="2" t="inlineStr">
        <is>
          <t>Рассмотреть</t>
        </is>
      </c>
      <c r="L16" s="2" t="inlineStr">
        <is>
          <t>Развитие после MVP</t>
        </is>
      </c>
    </row>
    <row r="17" ht="38.25" customHeight="1">
      <c r="A17" s="2" t="inlineStr">
        <is>
          <t>Граница товара</t>
        </is>
      </c>
      <c r="B17" s="2" t="inlineStr">
        <is>
          <t>Что входит в товар, а что остается услугой, сопровождением или маркетинговым обещанием?</t>
        </is>
      </c>
      <c r="C17" s="2" t="inlineStr">
        <is>
          <t>Граница товара: у всех восьми товар — сервис или библиотека; консультации и обучение не входят в тарифы Free и Pro</t>
        </is>
      </c>
      <c r="D17" s="2" t="inlineStr">
        <is>
          <t>Страницы тарифов</t>
        </is>
      </c>
      <c r="E17" s="2" t="inlineStr">
        <is>
          <t>Все уровни</t>
        </is>
      </c>
      <c r="F17" s="2" t="inlineStr">
        <is>
          <t>Все категории</t>
        </is>
      </c>
      <c r="G17" s="2" t="inlineStr">
        <is>
          <t>Принять</t>
        </is>
      </c>
      <c r="H17" s="2" t="inlineStr">
        <is>
          <t>Сервис без консультаций</t>
        </is>
      </c>
      <c r="I17" s="2" t="inlineStr">
        <is>
          <t>Платное обучение</t>
        </is>
      </c>
      <c r="J17" s="2" t="inlineStr">
        <is>
          <t>Низкий</t>
        </is>
      </c>
      <c r="K17" s="2" t="inlineStr">
        <is>
          <t>Принять</t>
        </is>
      </c>
      <c r="L17" s="2" t="inlineStr">
        <is>
          <t>Консультации вне границы товара</t>
        </is>
      </c>
    </row>
    <row r="18" ht="114.75" customHeight="1">
      <c r="A18" s="2" t="inlineStr">
        <is>
          <t>Формулировка товара</t>
        </is>
      </c>
      <c r="B18" s="2" t="inlineStr">
        <is>
          <t>Сформулируйте итог: цифровой товар — это… для… который решает… за счет…</t>
        </is>
      </c>
      <c r="C18" s="2" t="inlineStr">
        <is>
          <t>Рынок: цифровой товар диаграмм — онлайн-редактор или библиотека с кодом диаграммы для разработчиков и аналитиков, бесплатный доступ и платная подписка, экспорт, документация</t>
        </is>
      </c>
      <c r="D18" s="2" t="inlineStr">
        <is>
          <t>Сводка по листам 03, 04, 07</t>
        </is>
      </c>
      <c r="E18" s="2" t="inlineStr">
        <is>
          <t>Синтез</t>
        </is>
      </c>
      <c r="F18" s="2" t="inlineStr">
        <is>
          <t>Синтез</t>
        </is>
      </c>
      <c r="G18" s="2" t="inlineStr">
        <is>
          <t>Принять</t>
        </is>
      </c>
      <c r="H18" s="2" t="inlineStr">
        <is>
          <t>Цифровой товар NotaCode — это веб-IDE «диаграммы как код» для студентов и аналитиков ПО, который решает задачу построения и проверки диаграмм UML, BPMN, ERD, IDEF0 и DFD по текстовому описанию за счёт онлайн-редактора с экспортом, бесплатного уровня Free и подписки Pro 40 у.е. в год</t>
        </is>
      </c>
      <c r="I18" s="2" t="n"/>
      <c r="J18" s="2" t="n"/>
      <c r="K18" s="2" t="inlineStr">
        <is>
          <t>Принять</t>
        </is>
      </c>
      <c r="L18" s="2" t="n"/>
    </row>
  </sheetData>
  <mergeCells count="2">
    <mergeCell ref="A2:L2"/>
    <mergeCell ref="A1:L1"/>
  </mergeCells>
  <dataValidations count="2">
    <dataValidation sqref="G7:G56" showDropDown="0" showInputMessage="0" showErrorMessage="0" allowBlank="0" type="list">
      <formula1>"Обязательно включить,Включить при наличии ресурсов,Использовать как преимущество,Проверить гипотезу,Исключить"</formula1>
    </dataValidation>
    <dataValidation sqref="K7:K56" showDropDown="0" showInputMessage="0" showErrorMessage="0" allowBlank="0" type="list">
      <formula1>"Включить,Отложить,Проверить,Исключить"</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O91"/>
  <sheetViews>
    <sheetView topLeftCell="A9" workbookViewId="0">
      <selection activeCell="A6" sqref="A6:O31"/>
    </sheetView>
  </sheetViews>
  <sheetFormatPr baseColWidth="8" defaultRowHeight="14.25"/>
  <cols>
    <col width="12" customWidth="1" min="1" max="1"/>
    <col width="22" customWidth="1" min="2" max="2"/>
    <col width="52" customWidth="1" min="3" max="3"/>
    <col width="10" customWidth="1" min="4" max="12"/>
    <col width="12" customWidth="1" min="13" max="14"/>
    <col width="14" customWidth="1" min="15" max="15"/>
  </cols>
  <sheetData>
    <row r="1" ht="24" customHeight="1">
      <c r="A1" s="14" t="inlineStr">
        <is>
          <t>06. Сравнительная оценка конкурентов</t>
        </is>
      </c>
    </row>
    <row r="2" ht="21" customHeight="1">
      <c r="A2" s="16" t="inlineStr">
        <is>
          <t>Оцените каждый критерий по шкале 0–5. Вес показывает влияние критерия на товарную конкурентоспособность</t>
        </is>
      </c>
    </row>
    <row r="3"/>
    <row r="4"/>
    <row r="5"/>
    <row r="6" ht="17.1" customHeight="1">
      <c r="A6" s="1" t="inlineStr">
        <is>
          <t>ID критерия</t>
        </is>
      </c>
      <c r="B6" s="1" t="inlineStr">
        <is>
          <t>Группа</t>
        </is>
      </c>
      <c r="C6" s="1" t="inlineStr">
        <is>
          <t>Критерий</t>
        </is>
      </c>
      <c r="D6" s="1" t="inlineStr">
        <is>
          <t>Вес</t>
        </is>
      </c>
      <c r="E6" s="1" t="inlineStr">
        <is>
          <t>C01</t>
        </is>
      </c>
      <c r="F6" s="1" t="inlineStr">
        <is>
          <t>C02</t>
        </is>
      </c>
      <c r="G6" s="1" t="inlineStr">
        <is>
          <t>C03</t>
        </is>
      </c>
      <c r="H6" s="1" t="inlineStr">
        <is>
          <t>C04</t>
        </is>
      </c>
      <c r="I6" s="1" t="inlineStr">
        <is>
          <t>C05</t>
        </is>
      </c>
      <c r="J6" s="1" t="inlineStr">
        <is>
          <t>C06</t>
        </is>
      </c>
      <c r="K6" s="1" t="inlineStr">
        <is>
          <t>C07</t>
        </is>
      </c>
      <c r="L6" s="1" t="inlineStr">
        <is>
          <t>C08</t>
        </is>
      </c>
      <c r="M6" s="1" t="inlineStr">
        <is>
          <t>Среднее</t>
        </is>
      </c>
      <c r="N6" s="1" t="inlineStr">
        <is>
          <t>Лучший балл</t>
        </is>
      </c>
      <c r="O6" s="1" t="inlineStr">
        <is>
          <t>Лидер</t>
        </is>
      </c>
    </row>
    <row r="7">
      <c r="A7" s="2" t="inlineStr">
        <is>
          <t>P01</t>
        </is>
      </c>
      <c r="B7" s="2" t="inlineStr">
        <is>
          <t>Сущность товара</t>
        </is>
      </c>
      <c r="C7" s="2" t="inlineStr">
        <is>
          <t>На сайте ясно понятно, какой цифровой товар предлагается</t>
        </is>
      </c>
      <c r="D7" s="2" t="n">
        <v>5</v>
      </c>
      <c r="E7" s="2" t="n">
        <v>5</v>
      </c>
      <c r="F7" s="2" t="n">
        <v>5</v>
      </c>
      <c r="G7" s="2" t="n">
        <v>5</v>
      </c>
      <c r="H7" s="2" t="n">
        <v>5</v>
      </c>
      <c r="I7" s="2" t="n">
        <v>5</v>
      </c>
      <c r="J7" s="2" t="n">
        <v>5</v>
      </c>
      <c r="K7" s="2" t="n">
        <v>5</v>
      </c>
      <c r="L7" s="2" t="n">
        <v>5</v>
      </c>
      <c r="M7" s="2">
        <f>IFERROR(AVERAGE(E7:L7),"")</f>
        <v/>
      </c>
      <c r="N7" s="2">
        <f>IFERROR(MAX(E7:L7),"")</f>
        <v/>
      </c>
      <c r="O7" s="2">
        <f>IF(N7="","",IFERROR(INDEX($E\$6:$L\$6,1,MATCH(N7,E7:L7,0)),""))</f>
        <v/>
      </c>
    </row>
    <row r="8">
      <c r="A8" s="2" t="inlineStr">
        <is>
          <t>P02</t>
        </is>
      </c>
      <c r="B8" s="2" t="inlineStr">
        <is>
          <t>Сущность товара</t>
        </is>
      </c>
      <c r="C8" s="2" t="inlineStr">
        <is>
          <t>Целевая пользовательская задача сформулирована конкретно</t>
        </is>
      </c>
      <c r="D8" s="2" t="n">
        <v>5</v>
      </c>
      <c r="E8" s="2" t="n">
        <v>4</v>
      </c>
      <c r="F8" s="2" t="n">
        <v>4</v>
      </c>
      <c r="G8" s="2" t="n">
        <v>5</v>
      </c>
      <c r="H8" s="2" t="n">
        <v>4</v>
      </c>
      <c r="I8" s="2" t="n">
        <v>4</v>
      </c>
      <c r="J8" s="2" t="n">
        <v>4</v>
      </c>
      <c r="K8" s="2" t="n">
        <v>5</v>
      </c>
      <c r="L8" s="2" t="n">
        <v>4</v>
      </c>
      <c r="M8" s="2">
        <f>IFERROR(AVERAGE(E8:L8),"")</f>
        <v/>
      </c>
      <c r="N8" s="2">
        <f>IFERROR(MAX(E8:L8),"")</f>
        <v/>
      </c>
      <c r="O8" s="2">
        <f>IF(N8="","",IFERROR(INDEX($E\$6:$L\$6,1,MATCH(N8,E8:L8,0)),""))</f>
        <v/>
      </c>
    </row>
    <row r="9" ht="25.5" customHeight="1">
      <c r="A9" s="2" t="inlineStr">
        <is>
          <t>P03</t>
        </is>
      </c>
      <c r="B9" s="2" t="inlineStr">
        <is>
          <t>Сущность товара</t>
        </is>
      </c>
      <c r="C9" s="2" t="inlineStr">
        <is>
          <t>Граница товара отделена от консультаций, сопровождения и маркетинговых обещаний</t>
        </is>
      </c>
      <c r="D9" s="2" t="n">
        <v>4</v>
      </c>
      <c r="E9" s="2" t="n">
        <v>4</v>
      </c>
      <c r="F9" s="2" t="n">
        <v>4</v>
      </c>
      <c r="G9" s="2" t="n">
        <v>4</v>
      </c>
      <c r="H9" s="2" t="n">
        <v>4</v>
      </c>
      <c r="I9" s="2" t="n">
        <v>4</v>
      </c>
      <c r="J9" s="2" t="n">
        <v>4</v>
      </c>
      <c r="K9" s="2" t="n">
        <v>4</v>
      </c>
      <c r="L9" s="2" t="n">
        <v>3</v>
      </c>
      <c r="M9" s="2">
        <f>IFERROR(AVERAGE(E9:L9),"")</f>
        <v/>
      </c>
      <c r="N9" s="2">
        <f>IFERROR(MAX(E9:L9),"")</f>
        <v/>
      </c>
      <c r="O9" s="2">
        <f>IF(N9="","",IFERROR(INDEX($E\$6:$L\$6,1,MATCH(N9,E9:L9,0)),""))</f>
        <v/>
      </c>
    </row>
    <row r="10" ht="25.5" customHeight="1">
      <c r="A10" s="2" t="inlineStr">
        <is>
          <t>P04</t>
        </is>
      </c>
      <c r="B10" s="2" t="inlineStr">
        <is>
          <t>Функциональность</t>
        </is>
      </c>
      <c r="C10" s="2" t="inlineStr">
        <is>
          <t>Ключевые функции товара раскрыты через сценарии использования</t>
        </is>
      </c>
      <c r="D10" s="2" t="n">
        <v>5</v>
      </c>
      <c r="E10" s="2" t="n">
        <v>4</v>
      </c>
      <c r="F10" s="2" t="n">
        <v>4</v>
      </c>
      <c r="G10" s="2" t="n">
        <v>5</v>
      </c>
      <c r="H10" s="2" t="n">
        <v>5</v>
      </c>
      <c r="I10" s="2" t="n">
        <v>4</v>
      </c>
      <c r="J10" s="2" t="n">
        <v>5</v>
      </c>
      <c r="K10" s="2" t="n">
        <v>5</v>
      </c>
      <c r="L10" s="2" t="n">
        <v>4</v>
      </c>
      <c r="M10" s="2">
        <f>IFERROR(AVERAGE(E10:L10),"")</f>
        <v/>
      </c>
      <c r="N10" s="2">
        <f>IFERROR(MAX(E10:L10),"")</f>
        <v/>
      </c>
      <c r="O10" s="2">
        <f>IF(N10="","",IFERROR(INDEX($E\$6:$L\$6,1,MATCH(N10,E10:L10,0)),""))</f>
        <v/>
      </c>
    </row>
    <row r="11" ht="25.5" customHeight="1">
      <c r="A11" s="2" t="inlineStr">
        <is>
          <t>P05</t>
        </is>
      </c>
      <c r="B11" s="2" t="inlineStr">
        <is>
          <t>Функциональность</t>
        </is>
      </c>
      <c r="C11" s="2" t="inlineStr">
        <is>
          <t>Есть демонстрация интерфейса, личного кабинета или результата работы</t>
        </is>
      </c>
      <c r="D11" s="2" t="n">
        <v>4</v>
      </c>
      <c r="E11" s="2" t="n">
        <v>4</v>
      </c>
      <c r="F11" s="2" t="n">
        <v>4</v>
      </c>
      <c r="G11" s="2" t="n">
        <v>4</v>
      </c>
      <c r="H11" s="2" t="n"/>
      <c r="I11" s="2" t="n">
        <v>4</v>
      </c>
      <c r="J11" s="2" t="n">
        <v>5</v>
      </c>
      <c r="K11" s="2" t="n">
        <v>4</v>
      </c>
      <c r="L11" s="2" t="n">
        <v>4</v>
      </c>
      <c r="M11" s="2">
        <f>IFERROR(AVERAGE(E11:L11),"")</f>
        <v/>
      </c>
      <c r="N11" s="2">
        <f>IFERROR(MAX(E11:L11),"")</f>
        <v/>
      </c>
      <c r="O11" s="2">
        <f>IF(N11="","",IFERROR(INDEX($E\$6:$L\$6,1,MATCH(N11,E11:L11,0)),""))</f>
        <v/>
      </c>
    </row>
    <row r="12" ht="25.5" customHeight="1">
      <c r="A12" s="2" t="inlineStr">
        <is>
          <t>P06</t>
        </is>
      </c>
      <c r="B12" s="2" t="inlineStr">
        <is>
          <t>Функциональность</t>
        </is>
      </c>
      <c r="C12" s="2" t="inlineStr">
        <is>
          <t>Есть пробный доступ, демоверсия, бесплатный фрагмент или понятный вход в использование</t>
        </is>
      </c>
      <c r="D12" s="2" t="n">
        <v>4</v>
      </c>
      <c r="E12" s="2" t="n">
        <v>5</v>
      </c>
      <c r="F12" s="2" t="n">
        <v>5</v>
      </c>
      <c r="G12" s="2" t="n">
        <v>5</v>
      </c>
      <c r="H12" s="2" t="n">
        <v>5</v>
      </c>
      <c r="I12" s="2" t="n">
        <v>5</v>
      </c>
      <c r="J12" s="2" t="n">
        <v>5</v>
      </c>
      <c r="K12" s="2" t="n">
        <v>5</v>
      </c>
      <c r="L12" s="2" t="n">
        <v>5</v>
      </c>
      <c r="M12" s="2">
        <f>IFERROR(AVERAGE(E12:L12),"")</f>
        <v/>
      </c>
      <c r="N12" s="2">
        <f>IFERROR(MAX(E12:L12),"")</f>
        <v/>
      </c>
      <c r="O12" s="2">
        <f>IF(N12="","",IFERROR(INDEX($E\$6:$L\$6,1,MATCH(N12,E12:L12,0)),""))</f>
        <v/>
      </c>
    </row>
    <row r="13" ht="25.5" customHeight="1">
      <c r="A13" s="2" t="inlineStr">
        <is>
          <t>P07</t>
        </is>
      </c>
      <c r="B13" s="2" t="inlineStr">
        <is>
          <t>Ценность</t>
        </is>
      </c>
      <c r="C13" s="2" t="inlineStr">
        <is>
          <t>Показана измеримая выгода: экономия времени, денег, снижение риска, рост результата</t>
        </is>
      </c>
      <c r="D13" s="2" t="n">
        <v>5</v>
      </c>
      <c r="E13" s="2" t="n">
        <v>2</v>
      </c>
      <c r="F13" s="2" t="n">
        <v>2</v>
      </c>
      <c r="G13" s="2" t="n">
        <v>4</v>
      </c>
      <c r="H13" s="2" t="n">
        <v>3</v>
      </c>
      <c r="I13" s="2" t="n">
        <v>3</v>
      </c>
      <c r="J13" s="2" t="n">
        <v>4</v>
      </c>
      <c r="K13" s="2" t="n">
        <v>4</v>
      </c>
      <c r="L13" s="2" t="n">
        <v>3</v>
      </c>
      <c r="M13" s="2">
        <f>IFERROR(AVERAGE(E13:L13),"")</f>
        <v/>
      </c>
      <c r="N13" s="2">
        <f>IFERROR(MAX(E13:L13),"")</f>
        <v/>
      </c>
      <c r="O13" s="2">
        <f>IF(N13="","",IFERROR(INDEX($E\$6:$L\$6,1,MATCH(N13,E13:L13,0)),""))</f>
        <v/>
      </c>
    </row>
    <row r="14" ht="25.5" customHeight="1">
      <c r="A14" s="2" t="inlineStr">
        <is>
          <t>P08</t>
        </is>
      </c>
      <c r="B14" s="2" t="inlineStr">
        <is>
          <t>Ценность</t>
        </is>
      </c>
      <c r="C14" s="2" t="inlineStr">
        <is>
          <t>Преимущества связаны с функциями товара, а не только с рекламными обещаниями</t>
        </is>
      </c>
      <c r="D14" s="2" t="n">
        <v>5</v>
      </c>
      <c r="E14" s="2" t="n">
        <v>3</v>
      </c>
      <c r="F14" s="2" t="n">
        <v>3</v>
      </c>
      <c r="G14" s="2" t="n">
        <v>4</v>
      </c>
      <c r="H14" s="2" t="n">
        <v>4</v>
      </c>
      <c r="I14" s="2" t="n">
        <v>4</v>
      </c>
      <c r="J14" s="2" t="n">
        <v>5</v>
      </c>
      <c r="K14" s="2" t="n">
        <v>5</v>
      </c>
      <c r="L14" s="2" t="n">
        <v>4</v>
      </c>
      <c r="M14" s="2">
        <f>IFERROR(AVERAGE(E14:L14),"")</f>
        <v/>
      </c>
      <c r="N14" s="2">
        <f>IFERROR(MAX(E14:L14),"")</f>
        <v/>
      </c>
      <c r="O14" s="2">
        <f>IF(N14="","",IFERROR(INDEX($E\$6:$L\$6,1,MATCH(N14,E14:L14,0)),""))</f>
        <v/>
      </c>
    </row>
    <row r="15">
      <c r="A15" s="2" t="inlineStr">
        <is>
          <t>P09</t>
        </is>
      </c>
      <c r="B15" s="2" t="inlineStr">
        <is>
          <t>Ценность</t>
        </is>
      </c>
      <c r="C15" s="2" t="inlineStr">
        <is>
          <t>Есть сравнение тарифов, комплектаций или уровней доступа</t>
        </is>
      </c>
      <c r="D15" s="2" t="n">
        <v>4</v>
      </c>
      <c r="E15" s="2" t="n">
        <v>2</v>
      </c>
      <c r="F15" s="2" t="n">
        <v>1</v>
      </c>
      <c r="G15" s="2" t="n">
        <v>5</v>
      </c>
      <c r="H15" s="2" t="n">
        <v>5</v>
      </c>
      <c r="I15" s="2" t="n">
        <v>2</v>
      </c>
      <c r="J15" s="2" t="n">
        <v>5</v>
      </c>
      <c r="K15" s="2" t="n">
        <v>5</v>
      </c>
      <c r="L15" s="2" t="n">
        <v>5</v>
      </c>
      <c r="M15" s="2">
        <f>IFERROR(AVERAGE(E15:L15),"")</f>
        <v/>
      </c>
      <c r="N15" s="2">
        <f>IFERROR(MAX(E15:L15),"")</f>
        <v/>
      </c>
      <c r="O15" s="2">
        <f>IF(N15="","",IFERROR(INDEX($E\$6:$L\$6,1,MATCH(N15,E15:L15,0)),""))</f>
        <v/>
      </c>
    </row>
    <row r="16" ht="25.5" customHeight="1">
      <c r="A16" s="2" t="inlineStr">
        <is>
          <t>P10</t>
        </is>
      </c>
      <c r="B16" s="2" t="inlineStr">
        <is>
          <t>Доверие</t>
        </is>
      </c>
      <c r="C16" s="2" t="inlineStr">
        <is>
          <t>Есть отзывы, кейсы, примеры клиентов или подтверждения результата</t>
        </is>
      </c>
      <c r="D16" s="2" t="n">
        <v>4</v>
      </c>
      <c r="E16" s="2" t="n">
        <v>1</v>
      </c>
      <c r="F16" s="2" t="n">
        <v>2</v>
      </c>
      <c r="G16" s="2" t="n">
        <v>4</v>
      </c>
      <c r="H16" s="2" t="n">
        <v>4</v>
      </c>
      <c r="I16" s="2" t="n">
        <v>3</v>
      </c>
      <c r="J16" s="2" t="n">
        <v>5</v>
      </c>
      <c r="K16" s="2" t="n">
        <v>4</v>
      </c>
      <c r="L16" s="2" t="n">
        <v>4</v>
      </c>
      <c r="M16" s="2">
        <f>IFERROR(AVERAGE(E16:L16),"")</f>
        <v/>
      </c>
      <c r="N16" s="2">
        <f>IFERROR(MAX(E16:L16),"")</f>
        <v/>
      </c>
      <c r="O16" s="2">
        <f>IF(N16="","",IFERROR(INDEX($E\$6:$L\$6,1,MATCH(N16,E16:L16,0)),""))</f>
        <v/>
      </c>
    </row>
    <row r="17" ht="25.5" customHeight="1">
      <c r="A17" s="2" t="inlineStr">
        <is>
          <t>P11</t>
        </is>
      </c>
      <c r="B17" s="2" t="inlineStr">
        <is>
          <t>Доверие</t>
        </is>
      </c>
      <c r="C17" s="2" t="inlineStr">
        <is>
          <t>Раскрыты безопасность, обработка данных, юридические условия, гарантии</t>
        </is>
      </c>
      <c r="D17" s="2" t="n">
        <v>4</v>
      </c>
      <c r="E17" s="2" t="n">
        <v>2</v>
      </c>
      <c r="F17" s="2" t="n">
        <v>2</v>
      </c>
      <c r="G17" s="2" t="n">
        <v>4</v>
      </c>
      <c r="H17" s="2" t="n">
        <v>4</v>
      </c>
      <c r="I17" s="2" t="n">
        <v>5</v>
      </c>
      <c r="J17" s="2" t="n">
        <v>5</v>
      </c>
      <c r="K17" s="2" t="n">
        <v>4</v>
      </c>
      <c r="L17" s="2" t="n">
        <v>5</v>
      </c>
      <c r="M17" s="2">
        <f>IFERROR(AVERAGE(E17:L17),"")</f>
        <v/>
      </c>
      <c r="N17" s="2">
        <f>IFERROR(MAX(E17:L17),"")</f>
        <v/>
      </c>
      <c r="O17" s="2">
        <f>IF(N17="","",IFERROR(INDEX($E\$6:$L\$6,1,MATCH(N17,E17:L17,0)),""))</f>
        <v/>
      </c>
    </row>
    <row r="18" ht="25.5" customHeight="1">
      <c r="A18" s="2" t="inlineStr">
        <is>
          <t>P12</t>
        </is>
      </c>
      <c r="B18" s="2" t="inlineStr">
        <is>
          <t>Доверие</t>
        </is>
      </c>
      <c r="C18" s="2" t="inlineStr">
        <is>
          <t>Есть прозрачные контакты, реквизиты, команда или сведения о поставщике</t>
        </is>
      </c>
      <c r="D18" s="2" t="n">
        <v>3</v>
      </c>
      <c r="E18" s="2" t="n">
        <v>2</v>
      </c>
      <c r="F18" s="2" t="n">
        <v>3</v>
      </c>
      <c r="G18" s="2" t="n">
        <v>3</v>
      </c>
      <c r="H18" s="2" t="n"/>
      <c r="I18" s="2" t="n">
        <v>3</v>
      </c>
      <c r="J18" s="2" t="n"/>
      <c r="K18" s="2" t="n"/>
      <c r="L18" s="2" t="n"/>
      <c r="M18" s="2">
        <f>IFERROR(AVERAGE(E18:L18),"")</f>
        <v/>
      </c>
      <c r="N18" s="2">
        <f>IFERROR(MAX(E18:L18),"")</f>
        <v/>
      </c>
      <c r="O18" s="2">
        <f>IF(N18="","",IFERROR(INDEX($E\$6:$L\$6,1,MATCH(N18,E18:L18,0)),""))</f>
        <v/>
      </c>
    </row>
    <row r="19">
      <c r="A19" s="2" t="inlineStr">
        <is>
          <t>P13</t>
        </is>
      </c>
      <c r="B19" s="2" t="inlineStr">
        <is>
          <t>Интерфейс</t>
        </is>
      </c>
      <c r="C19" s="2" t="inlineStr">
        <is>
          <t>Путь пользователя к покупке/регистрации короткий и понятный</t>
        </is>
      </c>
      <c r="D19" s="2" t="n">
        <v>5</v>
      </c>
      <c r="E19" s="2" t="n">
        <v>4</v>
      </c>
      <c r="F19" s="2" t="n">
        <v>5</v>
      </c>
      <c r="G19" s="2" t="n">
        <v>5</v>
      </c>
      <c r="H19" s="2" t="n">
        <v>5</v>
      </c>
      <c r="I19" s="2" t="n">
        <v>5</v>
      </c>
      <c r="J19" s="2" t="n">
        <v>5</v>
      </c>
      <c r="K19" s="2" t="n">
        <v>5</v>
      </c>
      <c r="L19" s="2" t="n">
        <v>5</v>
      </c>
      <c r="M19" s="2">
        <f>IFERROR(AVERAGE(E19:L19),"")</f>
        <v/>
      </c>
      <c r="N19" s="2">
        <f>IFERROR(MAX(E19:L19),"")</f>
        <v/>
      </c>
      <c r="O19" s="2">
        <f>IF(N19="","",IFERROR(INDEX($E\$6:$L\$6,1,MATCH(N19,E19:L19,0)),""))</f>
        <v/>
      </c>
    </row>
    <row r="20" ht="25.5" customHeight="1">
      <c r="A20" s="2" t="inlineStr">
        <is>
          <t>P14</t>
        </is>
      </c>
      <c r="B20" s="2" t="inlineStr">
        <is>
          <t>Интерфейс</t>
        </is>
      </c>
      <c r="C20" s="2" t="inlineStr">
        <is>
          <t>Призыв к действию соответствует стадии выбора: узнать, попробовать, купить, запросить демо</t>
        </is>
      </c>
      <c r="D20" s="2" t="n">
        <v>4</v>
      </c>
      <c r="E20" s="2" t="n">
        <v>3</v>
      </c>
      <c r="F20" s="2" t="n">
        <v>3</v>
      </c>
      <c r="G20" s="2" t="n">
        <v>5</v>
      </c>
      <c r="H20" s="2" t="n">
        <v>5</v>
      </c>
      <c r="I20" s="2" t="n">
        <v>4</v>
      </c>
      <c r="J20" s="2" t="n">
        <v>5</v>
      </c>
      <c r="K20" s="2" t="n">
        <v>5</v>
      </c>
      <c r="L20" s="2" t="n">
        <v>4</v>
      </c>
      <c r="M20" s="2">
        <f>IFERROR(AVERAGE(E20:L20),"")</f>
        <v/>
      </c>
      <c r="N20" s="2">
        <f>IFERROR(MAX(E20:L20),"")</f>
        <v/>
      </c>
      <c r="O20" s="2">
        <f>IF(N20="","",IFERROR(INDEX($E\$6:$L\$6,1,MATCH(N20,E20:L20,0)),""))</f>
        <v/>
      </c>
    </row>
    <row r="21">
      <c r="A21" s="2" t="inlineStr">
        <is>
          <t>P15</t>
        </is>
      </c>
      <c r="B21" s="2" t="inlineStr">
        <is>
          <t>Интерфейс</t>
        </is>
      </c>
      <c r="C21" s="2" t="inlineStr">
        <is>
          <t>Навигация помогает понять состав товара без лишнего поиска</t>
        </is>
      </c>
      <c r="D21" s="2" t="n">
        <v>4</v>
      </c>
      <c r="E21" s="2" t="n">
        <v>3</v>
      </c>
      <c r="F21" s="2" t="n">
        <v>4</v>
      </c>
      <c r="G21" s="2" t="n">
        <v>4</v>
      </c>
      <c r="H21" s="2" t="n">
        <v>4</v>
      </c>
      <c r="I21" s="2" t="n">
        <v>4</v>
      </c>
      <c r="J21" s="2" t="n">
        <v>4</v>
      </c>
      <c r="K21" s="2" t="n">
        <v>4</v>
      </c>
      <c r="L21" s="2" t="n">
        <v>4</v>
      </c>
      <c r="M21" s="2">
        <f>IFERROR(AVERAGE(E21:L21),"")</f>
        <v/>
      </c>
      <c r="N21" s="2">
        <f>IFERROR(MAX(E21:L21),"")</f>
        <v/>
      </c>
      <c r="O21" s="2">
        <f>IF(N21="","",IFERROR(INDEX($E\$6:$L\$6,1,MATCH(N21,E21:L21,0)),""))</f>
        <v/>
      </c>
    </row>
    <row r="22">
      <c r="A22" s="2" t="inlineStr">
        <is>
          <t>P16</t>
        </is>
      </c>
      <c r="B22" s="2" t="inlineStr">
        <is>
          <t>Тарифы и оплата</t>
        </is>
      </c>
      <c r="C22" s="2" t="inlineStr">
        <is>
          <t>Цена, состав тарифа и ограничения раскрыты ясно</t>
        </is>
      </c>
      <c r="D22" s="2" t="n">
        <v>5</v>
      </c>
      <c r="E22" s="2" t="n">
        <v>4</v>
      </c>
      <c r="F22" s="2" t="n">
        <v>3</v>
      </c>
      <c r="G22" s="2" t="n">
        <v>5</v>
      </c>
      <c r="H22" s="2" t="n">
        <v>5</v>
      </c>
      <c r="I22" s="2" t="n">
        <v>4</v>
      </c>
      <c r="J22" s="2" t="n">
        <v>5</v>
      </c>
      <c r="K22" s="2" t="n">
        <v>5</v>
      </c>
      <c r="L22" s="2" t="n">
        <v>5</v>
      </c>
      <c r="M22" s="2">
        <f>IFERROR(AVERAGE(E22:L22),"")</f>
        <v/>
      </c>
      <c r="N22" s="2">
        <f>IFERROR(MAX(E22:L22),"")</f>
        <v/>
      </c>
      <c r="O22" s="2">
        <f>IF(N22="","",IFERROR(INDEX($E\$6:$L\$6,1,MATCH(N22,E22:L22,0)),""))</f>
        <v/>
      </c>
    </row>
    <row r="23" ht="25.5" customHeight="1">
      <c r="A23" s="2" t="inlineStr">
        <is>
          <t>P17</t>
        </is>
      </c>
      <c r="B23" s="2" t="inlineStr">
        <is>
          <t>Тарифы и оплата</t>
        </is>
      </c>
      <c r="C23" s="2" t="inlineStr">
        <is>
          <t>Оплата, возврат, пробный период или условия подключения объяснены без неопределенности</t>
        </is>
      </c>
      <c r="D23" s="2" t="n">
        <v>4</v>
      </c>
      <c r="E23" s="2" t="n">
        <v>2</v>
      </c>
      <c r="F23" s="2" t="n">
        <v>1</v>
      </c>
      <c r="G23" s="2" t="n">
        <v>4</v>
      </c>
      <c r="H23" s="2" t="n">
        <v>4</v>
      </c>
      <c r="I23" s="2" t="n">
        <v>2</v>
      </c>
      <c r="J23" s="2" t="n">
        <v>5</v>
      </c>
      <c r="K23" s="2" t="n">
        <v>4</v>
      </c>
      <c r="L23" s="2" t="n">
        <v>4</v>
      </c>
      <c r="M23" s="2">
        <f>IFERROR(AVERAGE(E23:L23),"")</f>
        <v/>
      </c>
      <c r="N23" s="2">
        <f>IFERROR(MAX(E23:L23),"")</f>
        <v/>
      </c>
      <c r="O23" s="2">
        <f>IF(N23="","",IFERROR(INDEX($E\$6:$L\$6,1,MATCH(N23,E23:L23,0)),""))</f>
        <v/>
      </c>
    </row>
    <row r="24">
      <c r="A24" s="2" t="inlineStr">
        <is>
          <t>P18</t>
        </is>
      </c>
      <c r="B24" s="2" t="inlineStr">
        <is>
          <t>Сопровождение</t>
        </is>
      </c>
      <c r="C24" s="2" t="inlineStr">
        <is>
          <t>Поддержка и обучение встроены в товарное предложение</t>
        </is>
      </c>
      <c r="D24" s="2" t="n">
        <v>3</v>
      </c>
      <c r="E24" s="2" t="n">
        <v>2</v>
      </c>
      <c r="F24" s="2" t="n">
        <v>2</v>
      </c>
      <c r="G24" s="2" t="n">
        <v>4</v>
      </c>
      <c r="H24" s="2" t="n">
        <v>3</v>
      </c>
      <c r="I24" s="2" t="n">
        <v>3</v>
      </c>
      <c r="J24" s="2" t="n">
        <v>4</v>
      </c>
      <c r="K24" s="2" t="n">
        <v>3</v>
      </c>
      <c r="L24" s="2" t="n">
        <v>4</v>
      </c>
      <c r="M24" s="2">
        <f>IFERROR(AVERAGE(E24:L24),"")</f>
        <v/>
      </c>
      <c r="N24" s="2">
        <f>IFERROR(MAX(E24:L24),"")</f>
        <v/>
      </c>
      <c r="O24" s="2">
        <f>IF(N24="","",IFERROR(INDEX($E\$6:$L\$6,1,MATCH(N24,E24:L24,0)),""))</f>
        <v/>
      </c>
    </row>
    <row r="25" ht="25.5" customHeight="1">
      <c r="A25" s="2" t="inlineStr">
        <is>
          <t>P19</t>
        </is>
      </c>
      <c r="B25" s="2" t="inlineStr">
        <is>
          <t>Сопровождение</t>
        </is>
      </c>
      <c r="C25" s="2" t="inlineStr">
        <is>
          <t>Есть база знаний, вопросы и ответы, инструкции или документация</t>
        </is>
      </c>
      <c r="D25" s="2" t="n">
        <v>3</v>
      </c>
      <c r="E25" s="2" t="n">
        <v>5</v>
      </c>
      <c r="F25" s="2" t="n">
        <v>5</v>
      </c>
      <c r="G25" s="2" t="n">
        <v>5</v>
      </c>
      <c r="H25" s="2" t="n"/>
      <c r="I25" s="2" t="n">
        <v>4</v>
      </c>
      <c r="J25" s="2" t="n">
        <v>4</v>
      </c>
      <c r="K25" s="2" t="n">
        <v>4</v>
      </c>
      <c r="L25" s="2" t="n"/>
      <c r="M25" s="2">
        <f>IFERROR(AVERAGE(E25:L25),"")</f>
        <v/>
      </c>
      <c r="N25" s="2">
        <f>IFERROR(MAX(E25:L25),"")</f>
        <v/>
      </c>
      <c r="O25" s="2">
        <f>IF(N25="","",IFERROR(INDEX($E\$6:$L\$6,1,MATCH(N25,E25:L25,0)),""))</f>
        <v/>
      </c>
    </row>
    <row r="26" ht="25.5" customHeight="1">
      <c r="A26" s="2" t="inlineStr">
        <is>
          <t>P20</t>
        </is>
      </c>
      <c r="B26" s="2" t="inlineStr">
        <is>
          <t>Расширение товара</t>
        </is>
      </c>
      <c r="C26" s="2" t="inlineStr">
        <is>
          <t>Есть персонализация, рекомендации, интеграции, автоматизация или аналитика</t>
        </is>
      </c>
      <c r="D26" s="2" t="n">
        <v>4</v>
      </c>
      <c r="E26" s="2" t="n">
        <v>4</v>
      </c>
      <c r="F26" s="2" t="n">
        <v>5</v>
      </c>
      <c r="G26" s="2" t="n">
        <v>5</v>
      </c>
      <c r="H26" s="2" t="n">
        <v>5</v>
      </c>
      <c r="I26" s="2" t="n">
        <v>5</v>
      </c>
      <c r="J26" s="2" t="n">
        <v>5</v>
      </c>
      <c r="K26" s="2" t="n">
        <v>5</v>
      </c>
      <c r="L26" s="2" t="n">
        <v>4</v>
      </c>
      <c r="M26" s="2">
        <f>IFERROR(AVERAGE(E26:L26),"")</f>
        <v/>
      </c>
      <c r="N26" s="2">
        <f>IFERROR(MAX(E26:L26),"")</f>
        <v/>
      </c>
      <c r="O26" s="2">
        <f>IF(N26="","",IFERROR(INDEX($E\$6:$L\$6,1,MATCH(N26,E26:L26,0)),""))</f>
        <v/>
      </c>
    </row>
    <row r="27" ht="25.5" customHeight="1">
      <c r="A27" s="2" t="inlineStr">
        <is>
          <t>P21</t>
        </is>
      </c>
      <c r="B27" s="2" t="inlineStr">
        <is>
          <t>Расширение товара</t>
        </is>
      </c>
      <c r="C27" s="2" t="inlineStr">
        <is>
          <t>Есть признаки будущего развития товара: дорожная карта, обновления, новые функции</t>
        </is>
      </c>
      <c r="D27" s="2" t="n">
        <v>3</v>
      </c>
      <c r="E27" s="2" t="n">
        <v>3</v>
      </c>
      <c r="F27" s="2" t="n">
        <v>3</v>
      </c>
      <c r="G27" s="2" t="n">
        <v>4</v>
      </c>
      <c r="H27" s="2" t="n">
        <v>3</v>
      </c>
      <c r="I27" s="2" t="n"/>
      <c r="J27" s="2" t="n">
        <v>4</v>
      </c>
      <c r="K27" s="2" t="n">
        <v>4</v>
      </c>
      <c r="L27" s="2" t="n">
        <v>3</v>
      </c>
      <c r="M27" s="2">
        <f>IFERROR(AVERAGE(E27:L27),"")</f>
        <v/>
      </c>
      <c r="N27" s="2">
        <f>IFERROR(MAX(E27:L27),"")</f>
        <v/>
      </c>
      <c r="O27" s="2">
        <f>IF(N27="","",IFERROR(INDEX($E\$6:$L\$6,1,MATCH(N27,E27:L27,0)),""))</f>
        <v/>
      </c>
    </row>
    <row r="28">
      <c r="A28" s="2" t="inlineStr">
        <is>
          <t>P22</t>
        </is>
      </c>
      <c r="B28" s="2" t="inlineStr">
        <is>
          <t>Дифференциация</t>
        </is>
      </c>
      <c r="C28" s="2" t="inlineStr">
        <is>
          <t>Есть уникальные или редкие товарные признаки</t>
        </is>
      </c>
      <c r="D28" s="2" t="n">
        <v>5</v>
      </c>
      <c r="E28" s="2" t="n">
        <v>3</v>
      </c>
      <c r="F28" s="2" t="n">
        <v>3</v>
      </c>
      <c r="G28" s="2" t="n">
        <v>4</v>
      </c>
      <c r="H28" s="2" t="n">
        <v>4</v>
      </c>
      <c r="I28" s="2" t="n">
        <v>4</v>
      </c>
      <c r="J28" s="2" t="n">
        <v>4</v>
      </c>
      <c r="K28" s="2" t="n">
        <v>5</v>
      </c>
      <c r="L28" s="2" t="n">
        <v>3</v>
      </c>
      <c r="M28" s="2">
        <f>IFERROR(AVERAGE(E28:L28),"")</f>
        <v/>
      </c>
      <c r="N28" s="2">
        <f>IFERROR(MAX(E28:L28),"")</f>
        <v/>
      </c>
      <c r="O28" s="2">
        <f>IF(N28="","",IFERROR(INDEX($E\$6:$L\$6,1,MATCH(N28,E28:L28,0)),""))</f>
        <v/>
      </c>
    </row>
    <row r="29">
      <c r="A29" s="2" t="inlineStr">
        <is>
          <t>P23</t>
        </is>
      </c>
      <c r="B29" s="2" t="inlineStr">
        <is>
          <t>Дифференциация</t>
        </is>
      </c>
      <c r="C29" s="2" t="inlineStr">
        <is>
          <t>Отличия хорошо объяснены через пользовательскую ценность</t>
        </is>
      </c>
      <c r="D29" s="2" t="n">
        <v>5</v>
      </c>
      <c r="E29" s="2" t="n">
        <v>2</v>
      </c>
      <c r="F29" s="2" t="n">
        <v>2</v>
      </c>
      <c r="G29" s="2" t="n">
        <v>4</v>
      </c>
      <c r="H29" s="2" t="n">
        <v>4</v>
      </c>
      <c r="I29" s="2" t="n">
        <v>4</v>
      </c>
      <c r="J29" s="2" t="n">
        <v>4</v>
      </c>
      <c r="K29" s="2" t="n">
        <v>4</v>
      </c>
      <c r="L29" s="2" t="n">
        <v>4</v>
      </c>
      <c r="M29" s="2">
        <f>IFERROR(AVERAGE(E29:L29),"")</f>
        <v/>
      </c>
      <c r="N29" s="2">
        <f>IFERROR(MAX(E29:L29),"")</f>
        <v/>
      </c>
      <c r="O29" s="2">
        <f>IF(N29="","",IFERROR(INDEX($E\$6:$L\$6,1,MATCH(N29,E29:L29,0)),""))</f>
        <v/>
      </c>
    </row>
    <row r="30">
      <c r="A30" s="2" t="inlineStr">
        <is>
          <t>P24</t>
        </is>
      </c>
      <c r="B30" s="2" t="inlineStr">
        <is>
          <t>Рыночный стандарт</t>
        </is>
      </c>
      <c r="C30" s="2" t="inlineStr">
        <is>
          <t>На сайте закрыты обязательные требования категории</t>
        </is>
      </c>
      <c r="D30" s="2" t="n">
        <v>5</v>
      </c>
      <c r="E30" s="2" t="n">
        <v>4</v>
      </c>
      <c r="F30" s="2" t="n">
        <v>4</v>
      </c>
      <c r="G30" s="2" t="n">
        <v>5</v>
      </c>
      <c r="H30" s="2" t="n">
        <v>4</v>
      </c>
      <c r="I30" s="2" t="n">
        <v>5</v>
      </c>
      <c r="J30" s="2" t="n">
        <v>5</v>
      </c>
      <c r="K30" s="2" t="n">
        <v>4</v>
      </c>
      <c r="L30" s="2" t="n">
        <v>3</v>
      </c>
      <c r="M30" s="2">
        <f>IFERROR(AVERAGE(E30:L30),"")</f>
        <v/>
      </c>
      <c r="N30" s="2">
        <f>IFERROR(MAX(E30:L30),"")</f>
        <v/>
      </c>
      <c r="O30" s="2">
        <f>IF(N30="","",IFERROR(INDEX($E\$6:$L\$6,1,MATCH(N30,E30:L30,0)),""))</f>
        <v/>
      </c>
    </row>
    <row r="31" ht="25.5" customHeight="1">
      <c r="A31" s="2" t="inlineStr">
        <is>
          <t>P25</t>
        </is>
      </c>
      <c r="B31" s="2" t="inlineStr">
        <is>
          <t>Рыночный стандарт</t>
        </is>
      </c>
      <c r="C31" s="2" t="inlineStr">
        <is>
          <t>Предложение не уступает большинству конкурентов по базовым ожиданиям</t>
        </is>
      </c>
      <c r="D31" s="2" t="n">
        <v>5</v>
      </c>
      <c r="E31" s="2" t="n">
        <v>4</v>
      </c>
      <c r="F31" s="2" t="n">
        <v>4</v>
      </c>
      <c r="G31" s="2" t="n">
        <v>5</v>
      </c>
      <c r="H31" s="2" t="n">
        <v>4</v>
      </c>
      <c r="I31" s="2" t="n">
        <v>5</v>
      </c>
      <c r="J31" s="2" t="n">
        <v>5</v>
      </c>
      <c r="K31" s="2" t="n">
        <v>4</v>
      </c>
      <c r="L31" s="2" t="n">
        <v>4</v>
      </c>
      <c r="M31" s="2">
        <f>IFERROR(AVERAGE(E31:L31),"")</f>
        <v/>
      </c>
      <c r="N31" s="2">
        <f>IFERROR(MAX(E31:L31),"")</f>
        <v/>
      </c>
      <c r="O31" s="2">
        <f>IF(N31="","",IFERROR(INDEX($E\$6:$L\$6,1,MATCH(N31,E31:L31,0)),""))</f>
        <v/>
      </c>
    </row>
    <row r="32">
      <c r="A32" s="2" t="inlineStr">
        <is>
          <t>P26</t>
        </is>
      </c>
      <c r="B32" s="2" t="n"/>
      <c r="C32" s="2" t="n"/>
      <c r="D32" s="2" t="n"/>
      <c r="E32" s="2" t="n"/>
      <c r="F32" s="2" t="n"/>
      <c r="G32" s="2" t="n"/>
      <c r="H32" s="2" t="n"/>
      <c r="I32" s="2" t="n"/>
      <c r="J32" s="2" t="n"/>
      <c r="K32" s="2" t="n"/>
      <c r="L32" s="2" t="n"/>
      <c r="M32" s="2">
        <f>IFERROR(AVERAGE(E32:L32),"")</f>
        <v/>
      </c>
      <c r="N32" s="2">
        <f>IFERROR(MAX(E32:L32),"")</f>
        <v/>
      </c>
      <c r="O32" s="2">
        <f>IF(N32="","",IFERROR(INDEX($E\$6:$L\$6,1,MATCH(N32,E32:L32,0)),""))</f>
        <v/>
      </c>
    </row>
    <row r="33">
      <c r="A33" s="2" t="inlineStr">
        <is>
          <t>P27</t>
        </is>
      </c>
      <c r="B33" s="2" t="n"/>
      <c r="C33" s="2" t="n"/>
      <c r="D33" s="2" t="n"/>
      <c r="E33" s="2" t="n"/>
      <c r="F33" s="2" t="n"/>
      <c r="G33" s="2" t="n"/>
      <c r="H33" s="2" t="n"/>
      <c r="I33" s="2" t="n"/>
      <c r="J33" s="2" t="n"/>
      <c r="K33" s="2" t="n"/>
      <c r="L33" s="2" t="n"/>
      <c r="M33" s="2">
        <f>IFERROR(AVERAGE(E33:L33),"")</f>
        <v/>
      </c>
      <c r="N33" s="2">
        <f>IFERROR(MAX(E33:L33),"")</f>
        <v/>
      </c>
      <c r="O33" s="2">
        <f>IF(N33="","",IFERROR(INDEX($E\$6:$L\$6,1,MATCH(N33,E33:L33,0)),""))</f>
        <v/>
      </c>
    </row>
    <row r="34">
      <c r="A34" s="2" t="inlineStr">
        <is>
          <t>P28</t>
        </is>
      </c>
      <c r="B34" s="2" t="n"/>
      <c r="C34" s="2" t="n"/>
      <c r="D34" s="2" t="n"/>
      <c r="E34" s="2" t="n"/>
      <c r="F34" s="2" t="n"/>
      <c r="G34" s="2" t="n"/>
      <c r="H34" s="2" t="n"/>
      <c r="I34" s="2" t="n"/>
      <c r="J34" s="2" t="n"/>
      <c r="K34" s="2" t="n"/>
      <c r="L34" s="2" t="n"/>
      <c r="M34" s="2">
        <f>IFERROR(AVERAGE(E34:L34),"")</f>
        <v/>
      </c>
      <c r="N34" s="2">
        <f>IFERROR(MAX(E34:L34),"")</f>
        <v/>
      </c>
      <c r="O34" s="2">
        <f>IF(N34="","",IFERROR(INDEX($E\$6:$L\$6,1,MATCH(N34,E34:L34,0)),""))</f>
        <v/>
      </c>
    </row>
    <row r="35">
      <c r="A35" s="2" t="inlineStr">
        <is>
          <t>P29</t>
        </is>
      </c>
      <c r="B35" s="2" t="n"/>
      <c r="C35" s="2" t="n"/>
      <c r="D35" s="2" t="n"/>
      <c r="E35" s="2" t="n"/>
      <c r="F35" s="2" t="n"/>
      <c r="G35" s="2" t="n"/>
      <c r="H35" s="2" t="n"/>
      <c r="I35" s="2" t="n"/>
      <c r="J35" s="2" t="n"/>
      <c r="K35" s="2" t="n"/>
      <c r="L35" s="2" t="n"/>
      <c r="M35" s="2">
        <f>IFERROR(AVERAGE(E35:L35),"")</f>
        <v/>
      </c>
      <c r="N35" s="2">
        <f>IFERROR(MAX(E35:L35),"")</f>
        <v/>
      </c>
      <c r="O35" s="2">
        <f>IF(N35="","",IFERROR(INDEX($E\$6:$L\$6,1,MATCH(N35,E35:L35,0)),""))</f>
        <v/>
      </c>
    </row>
    <row r="36">
      <c r="A36" s="2" t="inlineStr">
        <is>
          <t>P30</t>
        </is>
      </c>
      <c r="B36" s="2" t="n"/>
      <c r="C36" s="2" t="n"/>
      <c r="D36" s="2" t="n"/>
      <c r="E36" s="2" t="n"/>
      <c r="F36" s="2" t="n"/>
      <c r="G36" s="2" t="n"/>
      <c r="H36" s="2" t="n"/>
      <c r="I36" s="2" t="n"/>
      <c r="J36" s="2" t="n"/>
      <c r="K36" s="2" t="n"/>
      <c r="L36" s="2" t="n"/>
      <c r="M36" s="2">
        <f>IFERROR(AVERAGE(E36:L36),"")</f>
        <v/>
      </c>
      <c r="N36" s="2">
        <f>IFERROR(MAX(E36:L36),"")</f>
        <v/>
      </c>
      <c r="O36" s="2">
        <f>IF(N36="","",IFERROR(INDEX($E\$6:$L\$6,1,MATCH(N36,E36:L36,0)),""))</f>
        <v/>
      </c>
    </row>
    <row r="37">
      <c r="A37" s="2" t="inlineStr">
        <is>
          <t>P31</t>
        </is>
      </c>
      <c r="B37" s="2" t="n"/>
      <c r="C37" s="2" t="n"/>
      <c r="D37" s="2" t="n"/>
      <c r="E37" s="2" t="n"/>
      <c r="F37" s="2" t="n"/>
      <c r="G37" s="2" t="n"/>
      <c r="H37" s="2" t="n"/>
      <c r="I37" s="2" t="n"/>
      <c r="J37" s="2" t="n"/>
      <c r="K37" s="2" t="n"/>
      <c r="L37" s="2" t="n"/>
      <c r="M37" s="2">
        <f>IFERROR(AVERAGE(E37:L37),"")</f>
        <v/>
      </c>
      <c r="N37" s="2">
        <f>IFERROR(MAX(E37:L37),"")</f>
        <v/>
      </c>
      <c r="O37" s="2">
        <f>IF(N37="","",IFERROR(INDEX($E\$6:$L\$6,1,MATCH(N37,E37:L37,0)),""))</f>
        <v/>
      </c>
    </row>
    <row r="38">
      <c r="A38" s="2" t="inlineStr">
        <is>
          <t>P32</t>
        </is>
      </c>
      <c r="B38" s="2" t="n"/>
      <c r="C38" s="2" t="n"/>
      <c r="D38" s="2" t="n"/>
      <c r="E38" s="2" t="n"/>
      <c r="F38" s="2" t="n"/>
      <c r="G38" s="2" t="n"/>
      <c r="H38" s="2" t="n"/>
      <c r="I38" s="2" t="n"/>
      <c r="J38" s="2" t="n"/>
      <c r="K38" s="2" t="n"/>
      <c r="L38" s="2" t="n"/>
      <c r="M38" s="2">
        <f>IFERROR(AVERAGE(E38:L38),"")</f>
        <v/>
      </c>
      <c r="N38" s="2">
        <f>IFERROR(MAX(E38:L38),"")</f>
        <v/>
      </c>
      <c r="O38" s="2">
        <f>IF(N38="","",IFERROR(INDEX($E\$6:$L\$6,1,MATCH(N38,E38:L38,0)),""))</f>
        <v/>
      </c>
    </row>
    <row r="39">
      <c r="A39" s="2" t="inlineStr">
        <is>
          <t>P33</t>
        </is>
      </c>
      <c r="B39" s="2" t="n"/>
      <c r="C39" s="2" t="n"/>
      <c r="D39" s="2" t="n"/>
      <c r="E39" s="2" t="n"/>
      <c r="F39" s="2" t="n"/>
      <c r="G39" s="2" t="n"/>
      <c r="H39" s="2" t="n"/>
      <c r="I39" s="2" t="n"/>
      <c r="J39" s="2" t="n"/>
      <c r="K39" s="2" t="n"/>
      <c r="L39" s="2" t="n"/>
      <c r="M39" s="2">
        <f>IFERROR(AVERAGE(E39:L39),"")</f>
        <v/>
      </c>
      <c r="N39" s="2">
        <f>IFERROR(MAX(E39:L39),"")</f>
        <v/>
      </c>
      <c r="O39" s="2">
        <f>IF(N39="","",IFERROR(INDEX($E\$6:$L\$6,1,MATCH(N39,E39:L39,0)),""))</f>
        <v/>
      </c>
    </row>
    <row r="40">
      <c r="A40" s="2" t="inlineStr">
        <is>
          <t>P34</t>
        </is>
      </c>
      <c r="B40" s="2" t="n"/>
      <c r="C40" s="2" t="n"/>
      <c r="D40" s="2" t="n"/>
      <c r="E40" s="2" t="n"/>
      <c r="F40" s="2" t="n"/>
      <c r="G40" s="2" t="n"/>
      <c r="H40" s="2" t="n"/>
      <c r="I40" s="2" t="n"/>
      <c r="J40" s="2" t="n"/>
      <c r="K40" s="2" t="n"/>
      <c r="L40" s="2" t="n"/>
      <c r="M40" s="2">
        <f>IFERROR(AVERAGE(E40:L40),"")</f>
        <v/>
      </c>
      <c r="N40" s="2">
        <f>IFERROR(MAX(E40:L40),"")</f>
        <v/>
      </c>
      <c r="O40" s="2">
        <f>IF(N40="","",IFERROR(INDEX($E\$6:$L\$6,1,MATCH(N40,E40:L40,0)),""))</f>
        <v/>
      </c>
    </row>
    <row r="41">
      <c r="A41" s="2" t="inlineStr">
        <is>
          <t>P35</t>
        </is>
      </c>
      <c r="B41" s="2" t="n"/>
      <c r="C41" s="2" t="n"/>
      <c r="D41" s="2" t="n"/>
      <c r="E41" s="2" t="n"/>
      <c r="F41" s="2" t="n"/>
      <c r="G41" s="2" t="n"/>
      <c r="H41" s="2" t="n"/>
      <c r="I41" s="2" t="n"/>
      <c r="J41" s="2" t="n"/>
      <c r="K41" s="2" t="n"/>
      <c r="L41" s="2" t="n"/>
      <c r="M41" s="2">
        <f>IFERROR(AVERAGE(E41:L41),"")</f>
        <v/>
      </c>
      <c r="N41" s="2">
        <f>IFERROR(MAX(E41:L41),"")</f>
        <v/>
      </c>
      <c r="O41" s="2">
        <f>IF(N41="","",IFERROR(INDEX($E\$6:$L\$6,1,MATCH(N41,E41:L41,0)),""))</f>
        <v/>
      </c>
    </row>
    <row r="42">
      <c r="A42" s="2" t="inlineStr">
        <is>
          <t>P36</t>
        </is>
      </c>
      <c r="B42" s="2" t="n"/>
      <c r="C42" s="2" t="n"/>
      <c r="D42" s="2" t="n"/>
      <c r="E42" s="2" t="n"/>
      <c r="F42" s="2" t="n"/>
      <c r="G42" s="2" t="n"/>
      <c r="H42" s="2" t="n"/>
      <c r="I42" s="2" t="n"/>
      <c r="J42" s="2" t="n"/>
      <c r="K42" s="2" t="n"/>
      <c r="L42" s="2" t="n"/>
      <c r="M42" s="2">
        <f>IFERROR(AVERAGE(E42:L42),"")</f>
        <v/>
      </c>
      <c r="N42" s="2">
        <f>IFERROR(MAX(E42:L42),"")</f>
        <v/>
      </c>
      <c r="O42" s="2">
        <f>IF(N42="","",IFERROR(INDEX($E\$6:$L\$6,1,MATCH(N42,E42:L42,0)),""))</f>
        <v/>
      </c>
    </row>
    <row r="43">
      <c r="A43" s="2" t="inlineStr">
        <is>
          <t>P37</t>
        </is>
      </c>
      <c r="B43" s="2" t="n"/>
      <c r="C43" s="2" t="n"/>
      <c r="D43" s="2" t="n"/>
      <c r="E43" s="2" t="n"/>
      <c r="F43" s="2" t="n"/>
      <c r="G43" s="2" t="n"/>
      <c r="H43" s="2" t="n"/>
      <c r="I43" s="2" t="n"/>
      <c r="J43" s="2" t="n"/>
      <c r="K43" s="2" t="n"/>
      <c r="L43" s="2" t="n"/>
      <c r="M43" s="2">
        <f>IFERROR(AVERAGE(E43:L43),"")</f>
        <v/>
      </c>
      <c r="N43" s="2">
        <f>IFERROR(MAX(E43:L43),"")</f>
        <v/>
      </c>
      <c r="O43" s="2">
        <f>IF(N43="","",IFERROR(INDEX($E\$6:$L\$6,1,MATCH(N43,E43:L43,0)),""))</f>
        <v/>
      </c>
    </row>
    <row r="44">
      <c r="A44" s="2" t="inlineStr">
        <is>
          <t>P38</t>
        </is>
      </c>
      <c r="B44" s="2" t="n"/>
      <c r="C44" s="2" t="n"/>
      <c r="D44" s="2" t="n"/>
      <c r="E44" s="2" t="n"/>
      <c r="F44" s="2" t="n"/>
      <c r="G44" s="2" t="n"/>
      <c r="H44" s="2" t="n"/>
      <c r="I44" s="2" t="n"/>
      <c r="J44" s="2" t="n"/>
      <c r="K44" s="2" t="n"/>
      <c r="L44" s="2" t="n"/>
      <c r="M44" s="2">
        <f>IFERROR(AVERAGE(E44:L44),"")</f>
        <v/>
      </c>
      <c r="N44" s="2">
        <f>IFERROR(MAX(E44:L44),"")</f>
        <v/>
      </c>
      <c r="O44" s="2">
        <f>IF(N44="","",IFERROR(INDEX($E\$6:$L\$6,1,MATCH(N44,E44:L44,0)),""))</f>
        <v/>
      </c>
    </row>
    <row r="45">
      <c r="A45" s="2" t="inlineStr">
        <is>
          <t>P39</t>
        </is>
      </c>
      <c r="B45" s="2" t="n"/>
      <c r="C45" s="2" t="n"/>
      <c r="D45" s="2" t="n"/>
      <c r="E45" s="2" t="n"/>
      <c r="F45" s="2" t="n"/>
      <c r="G45" s="2" t="n"/>
      <c r="H45" s="2" t="n"/>
      <c r="I45" s="2" t="n"/>
      <c r="J45" s="2" t="n"/>
      <c r="K45" s="2" t="n"/>
      <c r="L45" s="2" t="n"/>
      <c r="M45" s="2">
        <f>IFERROR(AVERAGE(E45:L45),"")</f>
        <v/>
      </c>
      <c r="N45" s="2">
        <f>IFERROR(MAX(E45:L45),"")</f>
        <v/>
      </c>
      <c r="O45" s="2">
        <f>IF(N45="","",IFERROR(INDEX($E\$6:$L\$6,1,MATCH(N45,E45:L45,0)),""))</f>
        <v/>
      </c>
    </row>
    <row r="46">
      <c r="A46" s="2" t="inlineStr">
        <is>
          <t>P40</t>
        </is>
      </c>
      <c r="B46" s="2" t="n"/>
      <c r="C46" s="2" t="n"/>
      <c r="D46" s="2" t="n"/>
      <c r="E46" s="2" t="n"/>
      <c r="F46" s="2" t="n"/>
      <c r="G46" s="2" t="n"/>
      <c r="H46" s="2" t="n"/>
      <c r="I46" s="2" t="n"/>
      <c r="J46" s="2" t="n"/>
      <c r="K46" s="2" t="n"/>
      <c r="L46" s="2" t="n"/>
      <c r="M46" s="2">
        <f>IFERROR(AVERAGE(E46:L46),"")</f>
        <v/>
      </c>
      <c r="N46" s="2">
        <f>IFERROR(MAX(E46:L46),"")</f>
        <v/>
      </c>
      <c r="O46" s="2">
        <f>IF(N46="","",IFERROR(INDEX($E\$6:$L\$6,1,MATCH(N46,E46:L46,0)),""))</f>
        <v/>
      </c>
    </row>
    <row r="47">
      <c r="A47" s="2" t="inlineStr">
        <is>
          <t>P41</t>
        </is>
      </c>
      <c r="B47" s="2" t="n"/>
      <c r="C47" s="2" t="n"/>
      <c r="D47" s="2" t="n"/>
      <c r="E47" s="2" t="n"/>
      <c r="F47" s="2" t="n"/>
      <c r="G47" s="2" t="n"/>
      <c r="H47" s="2" t="n"/>
      <c r="I47" s="2" t="n"/>
      <c r="J47" s="2" t="n"/>
      <c r="K47" s="2" t="n"/>
      <c r="L47" s="2" t="n"/>
      <c r="M47" s="2">
        <f>IFERROR(AVERAGE(E47:L47),"")</f>
        <v/>
      </c>
      <c r="N47" s="2">
        <f>IFERROR(MAX(E47:L47),"")</f>
        <v/>
      </c>
      <c r="O47" s="2">
        <f>IF(N47="","",IFERROR(INDEX($E\$6:$L\$6,1,MATCH(N47,E47:L47,0)),""))</f>
        <v/>
      </c>
    </row>
    <row r="48">
      <c r="A48" s="2" t="inlineStr">
        <is>
          <t>P42</t>
        </is>
      </c>
      <c r="B48" s="2" t="n"/>
      <c r="C48" s="2" t="n"/>
      <c r="D48" s="2" t="n"/>
      <c r="E48" s="2" t="n"/>
      <c r="F48" s="2" t="n"/>
      <c r="G48" s="2" t="n"/>
      <c r="H48" s="2" t="n"/>
      <c r="I48" s="2" t="n"/>
      <c r="J48" s="2" t="n"/>
      <c r="K48" s="2" t="n"/>
      <c r="L48" s="2" t="n"/>
      <c r="M48" s="2">
        <f>IFERROR(AVERAGE(E48:L48),"")</f>
        <v/>
      </c>
      <c r="N48" s="2">
        <f>IFERROR(MAX(E48:L48),"")</f>
        <v/>
      </c>
      <c r="O48" s="2">
        <f>IF(N48="","",IFERROR(INDEX($E\$6:$L\$6,1,MATCH(N48,E48:L48,0)),""))</f>
        <v/>
      </c>
    </row>
    <row r="49">
      <c r="A49" s="2" t="inlineStr">
        <is>
          <t>P43</t>
        </is>
      </c>
      <c r="B49" s="2" t="n"/>
      <c r="C49" s="2" t="n"/>
      <c r="D49" s="2" t="n"/>
      <c r="E49" s="2" t="n"/>
      <c r="F49" s="2" t="n"/>
      <c r="G49" s="2" t="n"/>
      <c r="H49" s="2" t="n"/>
      <c r="I49" s="2" t="n"/>
      <c r="J49" s="2" t="n"/>
      <c r="K49" s="2" t="n"/>
      <c r="L49" s="2" t="n"/>
      <c r="M49" s="2">
        <f>IFERROR(AVERAGE(E49:L49),"")</f>
        <v/>
      </c>
      <c r="N49" s="2">
        <f>IFERROR(MAX(E49:L49),"")</f>
        <v/>
      </c>
      <c r="O49" s="2">
        <f>IF(N49="","",IFERROR(INDEX($E\$6:$L\$6,1,MATCH(N49,E49:L49,0)),""))</f>
        <v/>
      </c>
    </row>
    <row r="50">
      <c r="A50" s="2" t="inlineStr">
        <is>
          <t>P44</t>
        </is>
      </c>
      <c r="B50" s="2" t="n"/>
      <c r="C50" s="2" t="n"/>
      <c r="D50" s="2" t="n"/>
      <c r="E50" s="2" t="n"/>
      <c r="F50" s="2" t="n"/>
      <c r="G50" s="2" t="n"/>
      <c r="H50" s="2" t="n"/>
      <c r="I50" s="2" t="n"/>
      <c r="J50" s="2" t="n"/>
      <c r="K50" s="2" t="n"/>
      <c r="L50" s="2" t="n"/>
      <c r="M50" s="2">
        <f>IFERROR(AVERAGE(E50:L50),"")</f>
        <v/>
      </c>
      <c r="N50" s="2">
        <f>IFERROR(MAX(E50:L50),"")</f>
        <v/>
      </c>
      <c r="O50" s="2">
        <f>IF(N50="","",IFERROR(INDEX($E\$6:$L\$6,1,MATCH(N50,E50:L50,0)),""))</f>
        <v/>
      </c>
    </row>
    <row r="51">
      <c r="A51" s="2" t="inlineStr">
        <is>
          <t>P45</t>
        </is>
      </c>
      <c r="B51" s="2" t="n"/>
      <c r="C51" s="2" t="n"/>
      <c r="D51" s="2" t="n"/>
      <c r="E51" s="2" t="n"/>
      <c r="F51" s="2" t="n"/>
      <c r="G51" s="2" t="n"/>
      <c r="H51" s="2" t="n"/>
      <c r="I51" s="2" t="n"/>
      <c r="J51" s="2" t="n"/>
      <c r="K51" s="2" t="n"/>
      <c r="L51" s="2" t="n"/>
      <c r="M51" s="2">
        <f>IFERROR(AVERAGE(E51:L51),"")</f>
        <v/>
      </c>
      <c r="N51" s="2">
        <f>IFERROR(MAX(E51:L51),"")</f>
        <v/>
      </c>
      <c r="O51" s="2">
        <f>IF(N51="","",IFERROR(INDEX($E\$6:$L\$6,1,MATCH(N51,E51:L51,0)),""))</f>
        <v/>
      </c>
    </row>
    <row r="52">
      <c r="A52" s="2" t="inlineStr">
        <is>
          <t>P46</t>
        </is>
      </c>
      <c r="B52" s="2" t="n"/>
      <c r="C52" s="2" t="n"/>
      <c r="D52" s="2" t="n"/>
      <c r="E52" s="2" t="n"/>
      <c r="F52" s="2" t="n"/>
      <c r="G52" s="2" t="n"/>
      <c r="H52" s="2" t="n"/>
      <c r="I52" s="2" t="n"/>
      <c r="J52" s="2" t="n"/>
      <c r="K52" s="2" t="n"/>
      <c r="L52" s="2" t="n"/>
      <c r="M52" s="2">
        <f>IFERROR(AVERAGE(E52:L52),"")</f>
        <v/>
      </c>
      <c r="N52" s="2">
        <f>IFERROR(MAX(E52:L52),"")</f>
        <v/>
      </c>
      <c r="O52" s="2">
        <f>IF(N52="","",IFERROR(INDEX($E\$6:$L\$6,1,MATCH(N52,E52:L52,0)),""))</f>
        <v/>
      </c>
    </row>
    <row r="53">
      <c r="A53" s="2" t="inlineStr">
        <is>
          <t>P47</t>
        </is>
      </c>
      <c r="B53" s="2" t="n"/>
      <c r="C53" s="2" t="n"/>
      <c r="D53" s="2" t="n"/>
      <c r="E53" s="2" t="n"/>
      <c r="F53" s="2" t="n"/>
      <c r="G53" s="2" t="n"/>
      <c r="H53" s="2" t="n"/>
      <c r="I53" s="2" t="n"/>
      <c r="J53" s="2" t="n"/>
      <c r="K53" s="2" t="n"/>
      <c r="L53" s="2" t="n"/>
      <c r="M53" s="2">
        <f>IFERROR(AVERAGE(E53:L53),"")</f>
        <v/>
      </c>
      <c r="N53" s="2">
        <f>IFERROR(MAX(E53:L53),"")</f>
        <v/>
      </c>
      <c r="O53" s="2">
        <f>IF(N53="","",IFERROR(INDEX($E\$6:$L\$6,1,MATCH(N53,E53:L53,0)),""))</f>
        <v/>
      </c>
    </row>
    <row r="54">
      <c r="A54" s="2" t="inlineStr">
        <is>
          <t>P48</t>
        </is>
      </c>
      <c r="B54" s="2" t="n"/>
      <c r="C54" s="2" t="n"/>
      <c r="D54" s="2" t="n"/>
      <c r="E54" s="2" t="n"/>
      <c r="F54" s="2" t="n"/>
      <c r="G54" s="2" t="n"/>
      <c r="H54" s="2" t="n"/>
      <c r="I54" s="2" t="n"/>
      <c r="J54" s="2" t="n"/>
      <c r="K54" s="2" t="n"/>
      <c r="L54" s="2" t="n"/>
      <c r="M54" s="2">
        <f>IFERROR(AVERAGE(E54:L54),"")</f>
        <v/>
      </c>
      <c r="N54" s="2">
        <f>IFERROR(MAX(E54:L54),"")</f>
        <v/>
      </c>
      <c r="O54" s="2">
        <f>IF(N54="","",IFERROR(INDEX($E\$6:$L\$6,1,MATCH(N54,E54:L54,0)),""))</f>
        <v/>
      </c>
    </row>
    <row r="55">
      <c r="A55" s="2" t="inlineStr">
        <is>
          <t>P49</t>
        </is>
      </c>
      <c r="B55" s="2" t="n"/>
      <c r="C55" s="2" t="n"/>
      <c r="D55" s="2" t="n"/>
      <c r="E55" s="2" t="n"/>
      <c r="F55" s="2" t="n"/>
      <c r="G55" s="2" t="n"/>
      <c r="H55" s="2" t="n"/>
      <c r="I55" s="2" t="n"/>
      <c r="J55" s="2" t="n"/>
      <c r="K55" s="2" t="n"/>
      <c r="L55" s="2" t="n"/>
      <c r="M55" s="2">
        <f>IFERROR(AVERAGE(E55:L55),"")</f>
        <v/>
      </c>
      <c r="N55" s="2">
        <f>IFERROR(MAX(E55:L55),"")</f>
        <v/>
      </c>
      <c r="O55" s="2">
        <f>IF(N55="","",IFERROR(INDEX($E\$6:$L\$6,1,MATCH(N55,E55:L55,0)),""))</f>
        <v/>
      </c>
    </row>
    <row r="56">
      <c r="A56" s="2" t="inlineStr">
        <is>
          <t>P50</t>
        </is>
      </c>
      <c r="B56" s="2" t="n"/>
      <c r="C56" s="2" t="n"/>
      <c r="D56" s="2" t="n"/>
      <c r="E56" s="2" t="n"/>
      <c r="F56" s="2" t="n"/>
      <c r="G56" s="2" t="n"/>
      <c r="H56" s="2" t="n"/>
      <c r="I56" s="2" t="n"/>
      <c r="J56" s="2" t="n"/>
      <c r="K56" s="2" t="n"/>
      <c r="L56" s="2" t="n"/>
      <c r="M56" s="2">
        <f>IFERROR(AVERAGE(E56:L56),"")</f>
        <v/>
      </c>
      <c r="N56" s="2">
        <f>IFERROR(MAX(E56:L56),"")</f>
        <v/>
      </c>
      <c r="O56" s="2">
        <f>IF(N56="","",IFERROR(INDEX($E\$6:$L\$6,1,MATCH(N56,E56:L56,0)),""))</f>
        <v/>
      </c>
    </row>
    <row r="57">
      <c r="A57" s="2" t="inlineStr">
        <is>
          <t>P51</t>
        </is>
      </c>
      <c r="B57" s="2" t="n"/>
      <c r="C57" s="2" t="n"/>
      <c r="D57" s="2" t="n"/>
      <c r="E57" s="2" t="n"/>
      <c r="F57" s="2" t="n"/>
      <c r="G57" s="2" t="n"/>
      <c r="H57" s="2" t="n"/>
      <c r="I57" s="2" t="n"/>
      <c r="J57" s="2" t="n"/>
      <c r="K57" s="2" t="n"/>
      <c r="L57" s="2" t="n"/>
      <c r="M57" s="2">
        <f>IFERROR(AVERAGE(E57:L57),"")</f>
        <v/>
      </c>
      <c r="N57" s="2">
        <f>IFERROR(MAX(E57:L57),"")</f>
        <v/>
      </c>
      <c r="O57" s="2">
        <f>IF(N57="","",IFERROR(INDEX($E\$6:$L\$6,1,MATCH(N57,E57:L57,0)),""))</f>
        <v/>
      </c>
    </row>
    <row r="58">
      <c r="A58" s="2" t="inlineStr">
        <is>
          <t>P52</t>
        </is>
      </c>
      <c r="B58" s="2" t="n"/>
      <c r="C58" s="2" t="n"/>
      <c r="D58" s="2" t="n"/>
      <c r="E58" s="2" t="n"/>
      <c r="F58" s="2" t="n"/>
      <c r="G58" s="2" t="n"/>
      <c r="H58" s="2" t="n"/>
      <c r="I58" s="2" t="n"/>
      <c r="J58" s="2" t="n"/>
      <c r="K58" s="2" t="n"/>
      <c r="L58" s="2" t="n"/>
      <c r="M58" s="2">
        <f>IFERROR(AVERAGE(E58:L58),"")</f>
        <v/>
      </c>
      <c r="N58" s="2">
        <f>IFERROR(MAX(E58:L58),"")</f>
        <v/>
      </c>
      <c r="O58" s="2">
        <f>IF(N58="","",IFERROR(INDEX($E\$6:$L\$6,1,MATCH(N58,E58:L58,0)),""))</f>
        <v/>
      </c>
    </row>
    <row r="59">
      <c r="A59" s="2" t="inlineStr">
        <is>
          <t>P53</t>
        </is>
      </c>
      <c r="B59" s="2" t="n"/>
      <c r="C59" s="2" t="n"/>
      <c r="D59" s="2" t="n"/>
      <c r="E59" s="2" t="n"/>
      <c r="F59" s="2" t="n"/>
      <c r="G59" s="2" t="n"/>
      <c r="H59" s="2" t="n"/>
      <c r="I59" s="2" t="n"/>
      <c r="J59" s="2" t="n"/>
      <c r="K59" s="2" t="n"/>
      <c r="L59" s="2" t="n"/>
      <c r="M59" s="2">
        <f>IFERROR(AVERAGE(E59:L59),"")</f>
        <v/>
      </c>
      <c r="N59" s="2">
        <f>IFERROR(MAX(E59:L59),"")</f>
        <v/>
      </c>
      <c r="O59" s="2">
        <f>IF(N59="","",IFERROR(INDEX($E\$6:$L\$6,1,MATCH(N59,E59:L59,0)),""))</f>
        <v/>
      </c>
    </row>
    <row r="60">
      <c r="A60" s="2" t="inlineStr">
        <is>
          <t>P54</t>
        </is>
      </c>
      <c r="B60" s="2" t="n"/>
      <c r="C60" s="2" t="n"/>
      <c r="D60" s="2" t="n"/>
      <c r="E60" s="2" t="n"/>
      <c r="F60" s="2" t="n"/>
      <c r="G60" s="2" t="n"/>
      <c r="H60" s="2" t="n"/>
      <c r="I60" s="2" t="n"/>
      <c r="J60" s="2" t="n"/>
      <c r="K60" s="2" t="n"/>
      <c r="L60" s="2" t="n"/>
      <c r="M60" s="2">
        <f>IFERROR(AVERAGE(E60:L60),"")</f>
        <v/>
      </c>
      <c r="N60" s="2">
        <f>IFERROR(MAX(E60:L60),"")</f>
        <v/>
      </c>
      <c r="O60" s="2">
        <f>IF(N60="","",IFERROR(INDEX($E\$6:$L\$6,1,MATCH(N60,E60:L60,0)),""))</f>
        <v/>
      </c>
    </row>
    <row r="61">
      <c r="A61" s="2" t="inlineStr">
        <is>
          <t>P55</t>
        </is>
      </c>
      <c r="B61" s="2" t="n"/>
      <c r="C61" s="2" t="n"/>
      <c r="D61" s="2" t="n"/>
      <c r="E61" s="2" t="n"/>
      <c r="F61" s="2" t="n"/>
      <c r="G61" s="2" t="n"/>
      <c r="H61" s="2" t="n"/>
      <c r="I61" s="2" t="n"/>
      <c r="J61" s="2" t="n"/>
      <c r="K61" s="2" t="n"/>
      <c r="L61" s="2" t="n"/>
      <c r="M61" s="2">
        <f>IFERROR(AVERAGE(E61:L61),"")</f>
        <v/>
      </c>
      <c r="N61" s="2">
        <f>IFERROR(MAX(E61:L61),"")</f>
        <v/>
      </c>
      <c r="O61" s="2">
        <f>IF(N61="","",IFERROR(INDEX($E\$6:$L\$6,1,MATCH(N61,E61:L61,0)),""))</f>
        <v/>
      </c>
    </row>
    <row r="62">
      <c r="A62" s="2" t="inlineStr">
        <is>
          <t>P56</t>
        </is>
      </c>
      <c r="B62" s="2" t="n"/>
      <c r="C62" s="2" t="n"/>
      <c r="D62" s="2" t="n"/>
      <c r="E62" s="2" t="n"/>
      <c r="F62" s="2" t="n"/>
      <c r="G62" s="2" t="n"/>
      <c r="H62" s="2" t="n"/>
      <c r="I62" s="2" t="n"/>
      <c r="J62" s="2" t="n"/>
      <c r="K62" s="2" t="n"/>
      <c r="L62" s="2" t="n"/>
      <c r="M62" s="2">
        <f>IFERROR(AVERAGE(E62:L62),"")</f>
        <v/>
      </c>
      <c r="N62" s="2">
        <f>IFERROR(MAX(E62:L62),"")</f>
        <v/>
      </c>
      <c r="O62" s="2">
        <f>IF(N62="","",IFERROR(INDEX($E\$6:$L\$6,1,MATCH(N62,E62:L62,0)),""))</f>
        <v/>
      </c>
    </row>
    <row r="63">
      <c r="A63" s="2" t="inlineStr">
        <is>
          <t>P57</t>
        </is>
      </c>
      <c r="B63" s="2" t="n"/>
      <c r="C63" s="2" t="n"/>
      <c r="D63" s="2" t="n"/>
      <c r="E63" s="2" t="n"/>
      <c r="F63" s="2" t="n"/>
      <c r="G63" s="2" t="n"/>
      <c r="H63" s="2" t="n"/>
      <c r="I63" s="2" t="n"/>
      <c r="J63" s="2" t="n"/>
      <c r="K63" s="2" t="n"/>
      <c r="L63" s="2" t="n"/>
      <c r="M63" s="2">
        <f>IFERROR(AVERAGE(E63:L63),"")</f>
        <v/>
      </c>
      <c r="N63" s="2">
        <f>IFERROR(MAX(E63:L63),"")</f>
        <v/>
      </c>
      <c r="O63" s="2">
        <f>IF(N63="","",IFERROR(INDEX($E\$6:$L\$6,1,MATCH(N63,E63:L63,0)),""))</f>
        <v/>
      </c>
    </row>
    <row r="64">
      <c r="A64" s="2" t="inlineStr">
        <is>
          <t>P58</t>
        </is>
      </c>
      <c r="B64" s="2" t="n"/>
      <c r="C64" s="2" t="n"/>
      <c r="D64" s="2" t="n"/>
      <c r="E64" s="2" t="n"/>
      <c r="F64" s="2" t="n"/>
      <c r="G64" s="2" t="n"/>
      <c r="H64" s="2" t="n"/>
      <c r="I64" s="2" t="n"/>
      <c r="J64" s="2" t="n"/>
      <c r="K64" s="2" t="n"/>
      <c r="L64" s="2" t="n"/>
      <c r="M64" s="2">
        <f>IFERROR(AVERAGE(E64:L64),"")</f>
        <v/>
      </c>
      <c r="N64" s="2">
        <f>IFERROR(MAX(E64:L64),"")</f>
        <v/>
      </c>
      <c r="O64" s="2">
        <f>IF(N64="","",IFERROR(INDEX($E\$6:$L\$6,1,MATCH(N64,E64:L64,0)),""))</f>
        <v/>
      </c>
    </row>
    <row r="65">
      <c r="A65" s="2" t="inlineStr">
        <is>
          <t>P59</t>
        </is>
      </c>
      <c r="B65" s="2" t="n"/>
      <c r="C65" s="2" t="n"/>
      <c r="D65" s="2" t="n"/>
      <c r="E65" s="2" t="n"/>
      <c r="F65" s="2" t="n"/>
      <c r="G65" s="2" t="n"/>
      <c r="H65" s="2" t="n"/>
      <c r="I65" s="2" t="n"/>
      <c r="J65" s="2" t="n"/>
      <c r="K65" s="2" t="n"/>
      <c r="L65" s="2" t="n"/>
      <c r="M65" s="2">
        <f>IFERROR(AVERAGE(E65:L65),"")</f>
        <v/>
      </c>
      <c r="N65" s="2">
        <f>IFERROR(MAX(E65:L65),"")</f>
        <v/>
      </c>
      <c r="O65" s="2">
        <f>IF(N65="","",IFERROR(INDEX($E\$6:$L\$6,1,MATCH(N65,E65:L65,0)),""))</f>
        <v/>
      </c>
    </row>
    <row r="66">
      <c r="A66" s="2" t="inlineStr">
        <is>
          <t>P60</t>
        </is>
      </c>
      <c r="B66" s="2" t="n"/>
      <c r="C66" s="2" t="n"/>
      <c r="D66" s="2" t="n"/>
      <c r="E66" s="2" t="n"/>
      <c r="F66" s="2" t="n"/>
      <c r="G66" s="2" t="n"/>
      <c r="H66" s="2" t="n"/>
      <c r="I66" s="2" t="n"/>
      <c r="J66" s="2" t="n"/>
      <c r="K66" s="2" t="n"/>
      <c r="L66" s="2" t="n"/>
      <c r="M66" s="2">
        <f>IFERROR(AVERAGE(E66:L66),"")</f>
        <v/>
      </c>
      <c r="N66" s="2">
        <f>IFERROR(MAX(E66:L66),"")</f>
        <v/>
      </c>
      <c r="O66" s="2">
        <f>IF(N66="","",IFERROR(INDEX($E\$6:$L\$6,1,MATCH(N66,E66:L66,0)),""))</f>
        <v/>
      </c>
    </row>
    <row r="67">
      <c r="A67" s="2" t="inlineStr">
        <is>
          <t>P61</t>
        </is>
      </c>
      <c r="B67" s="2" t="n"/>
      <c r="C67" s="2" t="n"/>
      <c r="D67" s="2" t="n"/>
      <c r="E67" s="2" t="n"/>
      <c r="F67" s="2" t="n"/>
      <c r="G67" s="2" t="n"/>
      <c r="H67" s="2" t="n"/>
      <c r="I67" s="2" t="n"/>
      <c r="J67" s="2" t="n"/>
      <c r="K67" s="2" t="n"/>
      <c r="L67" s="2" t="n"/>
      <c r="M67" s="2">
        <f>IFERROR(AVERAGE(E67:L67),"")</f>
        <v/>
      </c>
      <c r="N67" s="2">
        <f>IFERROR(MAX(E67:L67),"")</f>
        <v/>
      </c>
      <c r="O67" s="2">
        <f>IF(N67="","",IFERROR(INDEX($E\$6:$L\$6,1,MATCH(N67,E67:L67,0)),""))</f>
        <v/>
      </c>
    </row>
    <row r="68">
      <c r="A68" s="2" t="inlineStr">
        <is>
          <t>P62</t>
        </is>
      </c>
      <c r="B68" s="2" t="n"/>
      <c r="C68" s="2" t="n"/>
      <c r="D68" s="2" t="n"/>
      <c r="E68" s="2" t="n"/>
      <c r="F68" s="2" t="n"/>
      <c r="G68" s="2" t="n"/>
      <c r="H68" s="2" t="n"/>
      <c r="I68" s="2" t="n"/>
      <c r="J68" s="2" t="n"/>
      <c r="K68" s="2" t="n"/>
      <c r="L68" s="2" t="n"/>
      <c r="M68" s="2">
        <f>IFERROR(AVERAGE(E68:L68),"")</f>
        <v/>
      </c>
      <c r="N68" s="2">
        <f>IFERROR(MAX(E68:L68),"")</f>
        <v/>
      </c>
      <c r="O68" s="2">
        <f>IF(N68="","",IFERROR(INDEX($E\$6:$L\$6,1,MATCH(N68,E68:L68,0)),""))</f>
        <v/>
      </c>
    </row>
    <row r="69">
      <c r="A69" s="2" t="inlineStr">
        <is>
          <t>P63</t>
        </is>
      </c>
      <c r="B69" s="2" t="n"/>
      <c r="C69" s="2" t="n"/>
      <c r="D69" s="2" t="n"/>
      <c r="E69" s="2" t="n"/>
      <c r="F69" s="2" t="n"/>
      <c r="G69" s="2" t="n"/>
      <c r="H69" s="2" t="n"/>
      <c r="I69" s="2" t="n"/>
      <c r="J69" s="2" t="n"/>
      <c r="K69" s="2" t="n"/>
      <c r="L69" s="2" t="n"/>
      <c r="M69" s="2">
        <f>IFERROR(AVERAGE(E69:L69),"")</f>
        <v/>
      </c>
      <c r="N69" s="2">
        <f>IFERROR(MAX(E69:L69),"")</f>
        <v/>
      </c>
      <c r="O69" s="2">
        <f>IF(N69="","",IFERROR(INDEX($E\$6:$L\$6,1,MATCH(N69,E69:L69,0)),""))</f>
        <v/>
      </c>
    </row>
    <row r="70">
      <c r="A70" s="2" t="inlineStr">
        <is>
          <t>P64</t>
        </is>
      </c>
      <c r="B70" s="2" t="n"/>
      <c r="C70" s="2" t="n"/>
      <c r="D70" s="2" t="n"/>
      <c r="E70" s="2" t="n"/>
      <c r="F70" s="2" t="n"/>
      <c r="G70" s="2" t="n"/>
      <c r="H70" s="2" t="n"/>
      <c r="I70" s="2" t="n"/>
      <c r="J70" s="2" t="n"/>
      <c r="K70" s="2" t="n"/>
      <c r="L70" s="2" t="n"/>
      <c r="M70" s="2">
        <f>IFERROR(AVERAGE(E70:L70),"")</f>
        <v/>
      </c>
      <c r="N70" s="2">
        <f>IFERROR(MAX(E70:L70),"")</f>
        <v/>
      </c>
      <c r="O70" s="2">
        <f>IF(N70="","",IFERROR(INDEX($E\$6:$L\$6,1,MATCH(N70,E70:L70,0)),""))</f>
        <v/>
      </c>
    </row>
    <row r="71">
      <c r="A71" s="2" t="inlineStr">
        <is>
          <t>P65</t>
        </is>
      </c>
      <c r="B71" s="2" t="n"/>
      <c r="C71" s="2" t="n"/>
      <c r="D71" s="2" t="n"/>
      <c r="E71" s="2" t="n"/>
      <c r="F71" s="2" t="n"/>
      <c r="G71" s="2" t="n"/>
      <c r="H71" s="2" t="n"/>
      <c r="I71" s="2" t="n"/>
      <c r="J71" s="2" t="n"/>
      <c r="K71" s="2" t="n"/>
      <c r="L71" s="2" t="n"/>
      <c r="M71" s="2">
        <f>IFERROR(AVERAGE(E71:L71),"")</f>
        <v/>
      </c>
      <c r="N71" s="2">
        <f>IFERROR(MAX(E71:L71),"")</f>
        <v/>
      </c>
      <c r="O71" s="2">
        <f>IF(N71="","",IFERROR(INDEX($E\$6:$L\$6,1,MATCH(N71,E71:L71,0)),""))</f>
        <v/>
      </c>
    </row>
    <row r="72">
      <c r="A72" s="2" t="inlineStr">
        <is>
          <t>P66</t>
        </is>
      </c>
      <c r="B72" s="2" t="n"/>
      <c r="C72" s="2" t="n"/>
      <c r="D72" s="2" t="n"/>
      <c r="E72" s="2" t="n"/>
      <c r="F72" s="2" t="n"/>
      <c r="G72" s="2" t="n"/>
      <c r="H72" s="2" t="n"/>
      <c r="I72" s="2" t="n"/>
      <c r="J72" s="2" t="n"/>
      <c r="K72" s="2" t="n"/>
      <c r="L72" s="2" t="n"/>
      <c r="M72" s="2">
        <f>IFERROR(AVERAGE(E72:L72),"")</f>
        <v/>
      </c>
      <c r="N72" s="2">
        <f>IFERROR(MAX(E72:L72),"")</f>
        <v/>
      </c>
      <c r="O72" s="2">
        <f>IF(N72="","",IFERROR(INDEX($E\$6:$L\$6,1,MATCH(N72,E72:L72,0)),""))</f>
        <v/>
      </c>
    </row>
    <row r="73">
      <c r="A73" s="2" t="inlineStr">
        <is>
          <t>P67</t>
        </is>
      </c>
      <c r="B73" s="2" t="n"/>
      <c r="C73" s="2" t="n"/>
      <c r="D73" s="2" t="n"/>
      <c r="E73" s="2" t="n"/>
      <c r="F73" s="2" t="n"/>
      <c r="G73" s="2" t="n"/>
      <c r="H73" s="2" t="n"/>
      <c r="I73" s="2" t="n"/>
      <c r="J73" s="2" t="n"/>
      <c r="K73" s="2" t="n"/>
      <c r="L73" s="2" t="n"/>
      <c r="M73" s="2">
        <f>IFERROR(AVERAGE(E73:L73),"")</f>
        <v/>
      </c>
      <c r="N73" s="2">
        <f>IFERROR(MAX(E73:L73),"")</f>
        <v/>
      </c>
      <c r="O73" s="2">
        <f>IF(N73="","",IFERROR(INDEX($E\$6:$L\$6,1,MATCH(N73,E73:L73,0)),""))</f>
        <v/>
      </c>
    </row>
    <row r="74">
      <c r="A74" s="2" t="inlineStr">
        <is>
          <t>P68</t>
        </is>
      </c>
      <c r="B74" s="2" t="n"/>
      <c r="C74" s="2" t="n"/>
      <c r="D74" s="2" t="n"/>
      <c r="E74" s="2" t="n"/>
      <c r="F74" s="2" t="n"/>
      <c r="G74" s="2" t="n"/>
      <c r="H74" s="2" t="n"/>
      <c r="I74" s="2" t="n"/>
      <c r="J74" s="2" t="n"/>
      <c r="K74" s="2" t="n"/>
      <c r="L74" s="2" t="n"/>
      <c r="M74" s="2">
        <f>IFERROR(AVERAGE(E74:L74),"")</f>
        <v/>
      </c>
      <c r="N74" s="2">
        <f>IFERROR(MAX(E74:L74),"")</f>
        <v/>
      </c>
      <c r="O74" s="2">
        <f>IF(N74="","",IFERROR(INDEX($E\$6:$L\$6,1,MATCH(N74,E74:L74,0)),""))</f>
        <v/>
      </c>
    </row>
    <row r="75">
      <c r="A75" s="2" t="inlineStr">
        <is>
          <t>P69</t>
        </is>
      </c>
      <c r="B75" s="2" t="n"/>
      <c r="C75" s="2" t="n"/>
      <c r="D75" s="2" t="n"/>
      <c r="E75" s="2" t="n"/>
      <c r="F75" s="2" t="n"/>
      <c r="G75" s="2" t="n"/>
      <c r="H75" s="2" t="n"/>
      <c r="I75" s="2" t="n"/>
      <c r="J75" s="2" t="n"/>
      <c r="K75" s="2" t="n"/>
      <c r="L75" s="2" t="n"/>
      <c r="M75" s="2">
        <f>IFERROR(AVERAGE(E75:L75),"")</f>
        <v/>
      </c>
      <c r="N75" s="2">
        <f>IFERROR(MAX(E75:L75),"")</f>
        <v/>
      </c>
      <c r="O75" s="2">
        <f>IF(N75="","",IFERROR(INDEX($E\$6:$L\$6,1,MATCH(N75,E75:L75,0)),""))</f>
        <v/>
      </c>
    </row>
    <row r="76">
      <c r="A76" s="2" t="inlineStr">
        <is>
          <t>P70</t>
        </is>
      </c>
      <c r="B76" s="2" t="n"/>
      <c r="C76" s="2" t="n"/>
      <c r="D76" s="2" t="n"/>
      <c r="E76" s="2" t="n"/>
      <c r="F76" s="2" t="n"/>
      <c r="G76" s="2" t="n"/>
      <c r="H76" s="2" t="n"/>
      <c r="I76" s="2" t="n"/>
      <c r="J76" s="2" t="n"/>
      <c r="K76" s="2" t="n"/>
      <c r="L76" s="2" t="n"/>
      <c r="M76" s="2">
        <f>IFERROR(AVERAGE(E76:L76),"")</f>
        <v/>
      </c>
      <c r="N76" s="2">
        <f>IFERROR(MAX(E76:L76),"")</f>
        <v/>
      </c>
      <c r="O76" s="2">
        <f>IF(N76="","",IFERROR(INDEX($E\$6:$L\$6,1,MATCH(N76,E76:L76,0)),""))</f>
        <v/>
      </c>
    </row>
    <row r="77">
      <c r="A77" s="2" t="inlineStr">
        <is>
          <t>P71</t>
        </is>
      </c>
      <c r="B77" s="2" t="n"/>
      <c r="C77" s="2" t="n"/>
      <c r="D77" s="2" t="n"/>
      <c r="E77" s="2" t="n"/>
      <c r="F77" s="2" t="n"/>
      <c r="G77" s="2" t="n"/>
      <c r="H77" s="2" t="n"/>
      <c r="I77" s="2" t="n"/>
      <c r="J77" s="2" t="n"/>
      <c r="K77" s="2" t="n"/>
      <c r="L77" s="2" t="n"/>
      <c r="M77" s="2">
        <f>IFERROR(AVERAGE(E77:L77),"")</f>
        <v/>
      </c>
      <c r="N77" s="2">
        <f>IFERROR(MAX(E77:L77),"")</f>
        <v/>
      </c>
      <c r="O77" s="2">
        <f>IF(N77="","",IFERROR(INDEX($E\$6:$L\$6,1,MATCH(N77,E77:L77,0)),""))</f>
        <v/>
      </c>
    </row>
    <row r="78">
      <c r="A78" s="2" t="inlineStr">
        <is>
          <t>P72</t>
        </is>
      </c>
      <c r="B78" s="2" t="n"/>
      <c r="C78" s="2" t="n"/>
      <c r="D78" s="2" t="n"/>
      <c r="E78" s="2" t="n"/>
      <c r="F78" s="2" t="n"/>
      <c r="G78" s="2" t="n"/>
      <c r="H78" s="2" t="n"/>
      <c r="I78" s="2" t="n"/>
      <c r="J78" s="2" t="n"/>
      <c r="K78" s="2" t="n"/>
      <c r="L78" s="2" t="n"/>
      <c r="M78" s="2">
        <f>IFERROR(AVERAGE(E78:L78),"")</f>
        <v/>
      </c>
      <c r="N78" s="2">
        <f>IFERROR(MAX(E78:L78),"")</f>
        <v/>
      </c>
      <c r="O78" s="2">
        <f>IF(N78="","",IFERROR(INDEX($E\$6:$L\$6,1,MATCH(N78,E78:L78,0)),""))</f>
        <v/>
      </c>
    </row>
    <row r="79">
      <c r="A79" s="2" t="inlineStr">
        <is>
          <t>P73</t>
        </is>
      </c>
      <c r="B79" s="2" t="n"/>
      <c r="C79" s="2" t="n"/>
      <c r="D79" s="2" t="n"/>
      <c r="E79" s="2" t="n"/>
      <c r="F79" s="2" t="n"/>
      <c r="G79" s="2" t="n"/>
      <c r="H79" s="2" t="n"/>
      <c r="I79" s="2" t="n"/>
      <c r="J79" s="2" t="n"/>
      <c r="K79" s="2" t="n"/>
      <c r="L79" s="2" t="n"/>
      <c r="M79" s="2">
        <f>IFERROR(AVERAGE(E79:L79),"")</f>
        <v/>
      </c>
      <c r="N79" s="2">
        <f>IFERROR(MAX(E79:L79),"")</f>
        <v/>
      </c>
      <c r="O79" s="2">
        <f>IF(N79="","",IFERROR(INDEX($E\$6:$L\$6,1,MATCH(N79,E79:L79,0)),""))</f>
        <v/>
      </c>
    </row>
    <row r="80">
      <c r="A80" s="2" t="inlineStr">
        <is>
          <t>P74</t>
        </is>
      </c>
      <c r="B80" s="2" t="n"/>
      <c r="C80" s="2" t="n"/>
      <c r="D80" s="2" t="n"/>
      <c r="E80" s="2" t="n"/>
      <c r="F80" s="2" t="n"/>
      <c r="G80" s="2" t="n"/>
      <c r="H80" s="2" t="n"/>
      <c r="I80" s="2" t="n"/>
      <c r="J80" s="2" t="n"/>
      <c r="K80" s="2" t="n"/>
      <c r="L80" s="2" t="n"/>
      <c r="M80" s="2">
        <f>IFERROR(AVERAGE(E80:L80),"")</f>
        <v/>
      </c>
      <c r="N80" s="2">
        <f>IFERROR(MAX(E80:L80),"")</f>
        <v/>
      </c>
      <c r="O80" s="2">
        <f>IF(N80="","",IFERROR(INDEX($E\$6:$L\$6,1,MATCH(N80,E80:L80,0)),""))</f>
        <v/>
      </c>
    </row>
    <row r="81">
      <c r="A81" s="2" t="inlineStr">
        <is>
          <t>P75</t>
        </is>
      </c>
      <c r="B81" s="2" t="n"/>
      <c r="C81" s="2" t="n"/>
      <c r="D81" s="2" t="n"/>
      <c r="E81" s="2" t="n"/>
      <c r="F81" s="2" t="n"/>
      <c r="G81" s="2" t="n"/>
      <c r="H81" s="2" t="n"/>
      <c r="I81" s="2" t="n"/>
      <c r="J81" s="2" t="n"/>
      <c r="K81" s="2" t="n"/>
      <c r="L81" s="2" t="n"/>
      <c r="M81" s="2">
        <f>IFERROR(AVERAGE(E81:L81),"")</f>
        <v/>
      </c>
      <c r="N81" s="2">
        <f>IFERROR(MAX(E81:L81),"")</f>
        <v/>
      </c>
      <c r="O81" s="2">
        <f>IF(N81="","",IFERROR(INDEX($E\$6:$L\$6,1,MATCH(N81,E81:L81,0)),""))</f>
        <v/>
      </c>
    </row>
    <row r="82">
      <c r="A82" s="2" t="inlineStr">
        <is>
          <t>P76</t>
        </is>
      </c>
      <c r="B82" s="2" t="n"/>
      <c r="C82" s="2" t="n"/>
      <c r="D82" s="2" t="n"/>
      <c r="E82" s="2" t="n"/>
      <c r="F82" s="2" t="n"/>
      <c r="G82" s="2" t="n"/>
      <c r="H82" s="2" t="n"/>
      <c r="I82" s="2" t="n"/>
      <c r="J82" s="2" t="n"/>
      <c r="K82" s="2" t="n"/>
      <c r="L82" s="2" t="n"/>
      <c r="M82" s="2">
        <f>IFERROR(AVERAGE(E82:L82),"")</f>
        <v/>
      </c>
      <c r="N82" s="2">
        <f>IFERROR(MAX(E82:L82),"")</f>
        <v/>
      </c>
      <c r="O82" s="2">
        <f>IF(N82="","",IFERROR(INDEX($E\$6:$L\$6,1,MATCH(N82,E82:L82,0)),""))</f>
        <v/>
      </c>
    </row>
    <row r="83">
      <c r="A83" s="2" t="inlineStr">
        <is>
          <t>P77</t>
        </is>
      </c>
      <c r="B83" s="2" t="n"/>
      <c r="C83" s="2" t="n"/>
      <c r="D83" s="2" t="n"/>
      <c r="E83" s="2" t="n"/>
      <c r="F83" s="2" t="n"/>
      <c r="G83" s="2" t="n"/>
      <c r="H83" s="2" t="n"/>
      <c r="I83" s="2" t="n"/>
      <c r="J83" s="2" t="n"/>
      <c r="K83" s="2" t="n"/>
      <c r="L83" s="2" t="n"/>
      <c r="M83" s="2">
        <f>IFERROR(AVERAGE(E83:L83),"")</f>
        <v/>
      </c>
      <c r="N83" s="2">
        <f>IFERROR(MAX(E83:L83),"")</f>
        <v/>
      </c>
      <c r="O83" s="2">
        <f>IF(N83="","",IFERROR(INDEX($E\$6:$L\$6,1,MATCH(N83,E83:L83,0)),""))</f>
        <v/>
      </c>
    </row>
    <row r="84">
      <c r="A84" s="2" t="inlineStr">
        <is>
          <t>P78</t>
        </is>
      </c>
      <c r="B84" s="2" t="n"/>
      <c r="C84" s="2" t="n"/>
      <c r="D84" s="2" t="n"/>
      <c r="E84" s="2" t="n"/>
      <c r="F84" s="2" t="n"/>
      <c r="G84" s="2" t="n"/>
      <c r="H84" s="2" t="n"/>
      <c r="I84" s="2" t="n"/>
      <c r="J84" s="2" t="n"/>
      <c r="K84" s="2" t="n"/>
      <c r="L84" s="2" t="n"/>
      <c r="M84" s="2">
        <f>IFERROR(AVERAGE(E84:L84),"")</f>
        <v/>
      </c>
      <c r="N84" s="2">
        <f>IFERROR(MAX(E84:L84),"")</f>
        <v/>
      </c>
      <c r="O84" s="2">
        <f>IF(N84="","",IFERROR(INDEX($E\$6:$L\$6,1,MATCH(N84,E84:L84,0)),""))</f>
        <v/>
      </c>
    </row>
    <row r="85">
      <c r="A85" s="2" t="inlineStr">
        <is>
          <t>P79</t>
        </is>
      </c>
      <c r="B85" s="2" t="n"/>
      <c r="C85" s="2" t="n"/>
      <c r="D85" s="2" t="n"/>
      <c r="E85" s="2" t="n"/>
      <c r="F85" s="2" t="n"/>
      <c r="G85" s="2" t="n"/>
      <c r="H85" s="2" t="n"/>
      <c r="I85" s="2" t="n"/>
      <c r="J85" s="2" t="n"/>
      <c r="K85" s="2" t="n"/>
      <c r="L85" s="2" t="n"/>
      <c r="M85" s="2">
        <f>IFERROR(AVERAGE(E85:L85),"")</f>
        <v/>
      </c>
      <c r="N85" s="2">
        <f>IFERROR(MAX(E85:L85),"")</f>
        <v/>
      </c>
      <c r="O85" s="2">
        <f>IF(N85="","",IFERROR(INDEX($E\$6:$L\$6,1,MATCH(N85,E85:L85,0)),""))</f>
        <v/>
      </c>
    </row>
    <row r="86">
      <c r="A86" s="2" t="inlineStr">
        <is>
          <t>P80</t>
        </is>
      </c>
      <c r="B86" s="2" t="n"/>
      <c r="C86" s="2" t="n"/>
      <c r="D86" s="2" t="n"/>
      <c r="E86" s="2" t="n"/>
      <c r="F86" s="2" t="n"/>
      <c r="G86" s="2" t="n"/>
      <c r="H86" s="2" t="n"/>
      <c r="I86" s="2" t="n"/>
      <c r="J86" s="2" t="n"/>
      <c r="K86" s="2" t="n"/>
      <c r="L86" s="2" t="n"/>
      <c r="M86" s="2">
        <f>IFERROR(AVERAGE(E86:L86),"")</f>
        <v/>
      </c>
      <c r="N86" s="2">
        <f>IFERROR(MAX(E86:L86),"")</f>
        <v/>
      </c>
      <c r="O86" s="2">
        <f>IF(N86="","",IFERROR(INDEX($E\$6:$L\$6,1,MATCH(N86,E86:L86,0)),""))</f>
        <v/>
      </c>
    </row>
    <row r="87">
      <c r="A87" s="2" t="n"/>
      <c r="B87" s="2" t="n"/>
      <c r="C87" s="2" t="n"/>
      <c r="D87" s="2" t="n"/>
      <c r="E87" s="2" t="n"/>
      <c r="F87" s="2" t="n"/>
      <c r="G87" s="2" t="n"/>
      <c r="H87" s="2" t="n"/>
      <c r="I87" s="2" t="n"/>
      <c r="J87" s="2" t="n"/>
      <c r="K87" s="2" t="n"/>
      <c r="L87" s="2" t="n"/>
      <c r="M87" s="2" t="n"/>
      <c r="N87" s="2" t="n"/>
      <c r="O87" s="2" t="n"/>
    </row>
    <row r="88">
      <c r="A88" s="2" t="n"/>
      <c r="B88" s="2" t="n"/>
      <c r="C88" s="2" t="n"/>
      <c r="D88" s="2" t="n"/>
      <c r="E88" s="2" t="n"/>
      <c r="F88" s="2" t="n"/>
      <c r="G88" s="2" t="n"/>
      <c r="H88" s="2" t="n"/>
      <c r="I88" s="2" t="n"/>
      <c r="J88" s="2" t="n"/>
      <c r="K88" s="2" t="n"/>
      <c r="L88" s="2" t="n"/>
      <c r="M88" s="2" t="n"/>
      <c r="N88" s="2" t="n"/>
      <c r="O88" s="2" t="n"/>
    </row>
    <row r="89">
      <c r="A89" s="2" t="n"/>
      <c r="B89" s="2" t="n"/>
      <c r="C89" s="2" t="n"/>
      <c r="D89" s="2" t="n"/>
      <c r="E89" s="2" t="n"/>
      <c r="F89" s="2" t="n"/>
      <c r="G89" s="2" t="n"/>
      <c r="H89" s="2" t="n"/>
      <c r="I89" s="2" t="n"/>
      <c r="J89" s="2" t="n"/>
      <c r="K89" s="2" t="n"/>
      <c r="L89" s="2" t="n"/>
      <c r="M89" s="2" t="n"/>
      <c r="N89" s="2" t="n"/>
      <c r="O89" s="2" t="n"/>
    </row>
    <row r="90" ht="38.25" customHeight="1">
      <c r="A90" s="7" t="inlineStr">
        <is>
          <t>Итоговый взвешенный балл</t>
        </is>
      </c>
      <c r="B90" s="7" t="n"/>
      <c r="C90" s="7" t="n"/>
      <c r="D90" s="7" t="n"/>
      <c r="E90" s="7">
        <f>IFERROR(ROUND(SUMPRODUCT($D\$7:$D\$86,E\$7:E\$86)/SUMIF(E\$7:E\$86,"&gt;=0",$D\$7:$D\$86),2),"")</f>
        <v/>
      </c>
      <c r="F90" s="7">
        <f>IFERROR(ROUND(SUMPRODUCT($D\$7:$D\$86,F\$7:F\$86)/SUMIF(F\$7:F\$86,"&gt;=0",$D\$7:$D\$86),2),"")</f>
        <v/>
      </c>
      <c r="G90" s="7">
        <f>IFERROR(ROUND(SUMPRODUCT($D\$7:$D\$86,G\$7:G\$86)/SUMIF(G\$7:G\$86,"&gt;=0",$D\$7:$D\$86),2),"")</f>
        <v/>
      </c>
      <c r="H90" s="7">
        <f>IFERROR(ROUND(SUMPRODUCT($D\$7:$D\$86,H\$7:H\$86)/SUMIF(H\$7:H\$86,"&gt;=0",$D\$7:$D\$86),2),"")</f>
        <v/>
      </c>
      <c r="I90" s="7">
        <f>IFERROR(ROUND(SUMPRODUCT($D\$7:$D\$86,I\$7:I\$86)/SUMIF(I\$7:I\$86,"&gt;=0",$D\$7:$D\$86),2),"")</f>
        <v/>
      </c>
      <c r="J90" s="7">
        <f>IFERROR(ROUND(SUMPRODUCT($D\$7:$D\$86,J\$7:J\$86)/SUMIF(J\$7:J\$86,"&gt;=0",$D\$7:$D\$86),2),"")</f>
        <v/>
      </c>
      <c r="K90" s="7">
        <f>IFERROR(ROUND(SUMPRODUCT($D\$7:$D\$86,K\$7:K\$86)/SUMIF(K\$7:K\$86,"&gt;=0",$D\$7:$D\$86),2),"")</f>
        <v/>
      </c>
      <c r="L90" s="7">
        <f>IFERROR(ROUND(SUMPRODUCT($D\$7:$D\$86,L\$7:L\$86)/SUMIF(L\$7:L\$86,"&gt;=0",$D\$7:$D\$86),2),"")</f>
        <v/>
      </c>
      <c r="M90" s="2" t="n"/>
      <c r="N90" s="2" t="n"/>
      <c r="O90" s="2" t="n"/>
    </row>
    <row r="91" ht="25.5" customHeight="1">
      <c r="A91" s="2" t="inlineStr">
        <is>
          <t>Интерпретация</t>
        </is>
      </c>
      <c r="B91" s="2" t="n"/>
      <c r="C91" s="2" t="n"/>
      <c r="D91" s="2" t="n"/>
      <c r="E91" s="2">
        <f>IF(E90="","",IF(E90&gt;=4.2,"Лидерский уровень",IF(E90&gt;=3.5,"Сильный уровень",IF(E90&gt;=2.5,"Средний уровень","Слабый уровень"))))</f>
        <v/>
      </c>
      <c r="F91" s="2">
        <f>IF(F90="","",IF(F90&gt;=4.2,"Лидерский уровень",IF(F90&gt;=3.5,"Сильный уровень",IF(F90&gt;=2.5,"Средний уровень","Слабый уровень"))))</f>
        <v/>
      </c>
      <c r="G91" s="2">
        <f>IF(G90="","",IF(G90&gt;=4.2,"Лидерский уровень",IF(G90&gt;=3.5,"Сильный уровень",IF(G90&gt;=2.5,"Средний уровень","Слабый уровень"))))</f>
        <v/>
      </c>
      <c r="H91" s="2">
        <f>IF(H90="","",IF(H90&gt;=4.2,"Лидерский уровень",IF(H90&gt;=3.5,"Сильный уровень",IF(H90&gt;=2.5,"Средний уровень","Слабый уровень"))))</f>
        <v/>
      </c>
      <c r="I91" s="2">
        <f>IF(I90="","",IF(I90&gt;=4.2,"Лидерский уровень",IF(I90&gt;=3.5,"Сильный уровень",IF(I90&gt;=2.5,"Средний уровень","Слабый уровень"))))</f>
        <v/>
      </c>
      <c r="J91" s="2">
        <f>IF(J90="","",IF(J90&gt;=4.2,"Лидерский уровень",IF(J90&gt;=3.5,"Сильный уровень",IF(J90&gt;=2.5,"Средний уровень","Слабый уровень"))))</f>
        <v/>
      </c>
      <c r="K91" s="2">
        <f>IF(K90="","",IF(K90&gt;=4.2,"Лидерский уровень",IF(K90&gt;=3.5,"Сильный уровень",IF(K90&gt;=2.5,"Средний уровень","Слабый уровень"))))</f>
        <v/>
      </c>
      <c r="L91" s="2">
        <f>IF(L90="","",IF(L90&gt;=4.2,"Лидерский уровень",IF(L90&gt;=3.5,"Сильный уровень",IF(L90&gt;=2.5,"Средний уровень","Слабый уровень"))))</f>
        <v/>
      </c>
      <c r="M91" s="2" t="n"/>
      <c r="N91" s="2" t="n"/>
      <c r="O91" s="2" t="n"/>
    </row>
  </sheetData>
  <mergeCells count="2">
    <mergeCell ref="A1:O1"/>
    <mergeCell ref="A2:O2"/>
  </mergeCells>
  <conditionalFormatting sqref="E7:L86">
    <cfRule type="colorScale" priority="1">
      <colorScale>
        <cfvo type="min"/>
        <cfvo type="percentile" val="50"/>
        <cfvo type="max"/>
        <color rgb="FFFEE2E2"/>
        <color rgb="FFFEF3C7"/>
        <color rgb="FFDCFCE7"/>
      </colorScale>
    </cfRule>
  </conditionalFormatting>
  <dataValidations count="2">
    <dataValidation sqref="D7:D86" showDropDown="0" showInputMessage="0" showErrorMessage="0" allowBlank="0" type="list">
      <formula1>"1,2,3,4,5"</formula1>
    </dataValidation>
    <dataValidation sqref="E7:L86" showDropDown="0" showInputMessage="0" showErrorMessage="0" allowBlank="0" type="list">
      <formula1>"0,1,2,3,4,5"</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L206"/>
  <sheetViews>
    <sheetView topLeftCell="E32" workbookViewId="0">
      <selection activeCell="J53" sqref="J53"/>
    </sheetView>
  </sheetViews>
  <sheetFormatPr baseColWidth="8" defaultRowHeight="14.25"/>
  <cols>
    <col width="12" customWidth="1" min="1" max="1"/>
    <col width="36" customWidth="1" min="2" max="2"/>
    <col width="26" customWidth="1" min="3" max="3"/>
    <col width="28" customWidth="1" min="4" max="4"/>
    <col width="20" customWidth="1" min="5" max="5"/>
    <col width="16" customWidth="1" min="6" max="8"/>
    <col width="24" customWidth="1" min="9" max="9"/>
    <col width="42" customWidth="1" min="10" max="10"/>
    <col width="34" customWidth="1" min="11" max="12"/>
  </cols>
  <sheetData>
    <row r="1" ht="24.75" customHeight="1">
      <c r="A1" s="14" t="inlineStr">
        <is>
          <t>07. Определение рыночного стандарта</t>
        </is>
      </c>
    </row>
    <row r="2" ht="21" customHeight="1">
      <c r="A2" s="16" t="inlineStr">
        <is>
          <t>Лист позволяет отделить обязательную норму рынка от зон дифференциации и спорных признаков</t>
        </is>
      </c>
    </row>
    <row r="3"/>
    <row r="4"/>
    <row r="5"/>
    <row r="6" ht="17.1" customHeight="1">
      <c r="A6" s="1" t="inlineStr">
        <is>
          <t>ID признака</t>
        </is>
      </c>
      <c r="B6" s="1" t="inlineStr">
        <is>
          <t>Признак / требование</t>
        </is>
      </c>
      <c r="C6" s="1" t="inlineStr">
        <is>
          <t>Источник</t>
        </is>
      </c>
      <c r="D6" s="1" t="inlineStr">
        <is>
          <t>Уровень Левитта</t>
        </is>
      </c>
      <c r="E6" s="1" t="inlineStr">
        <is>
          <t>Категория Кано</t>
        </is>
      </c>
      <c r="F6" s="1" t="inlineStr">
        <is>
          <t>Кол-во конкурентов</t>
        </is>
      </c>
      <c r="G6" s="1" t="inlineStr">
        <is>
          <t>Доля конкурентов</t>
        </is>
      </c>
      <c r="H6" s="1" t="inlineStr">
        <is>
          <t>Средняя сила 0–5</t>
        </is>
      </c>
      <c r="I6" s="1" t="inlineStr">
        <is>
          <t>Статус</t>
        </is>
      </c>
      <c r="J6" s="1" t="inlineStr">
        <is>
          <t>Минимальная формулировка стандарта</t>
        </is>
      </c>
      <c r="K6" s="1" t="inlineStr">
        <is>
          <t>Что проверить дополнительно</t>
        </is>
      </c>
      <c r="L6" s="1" t="inlineStr">
        <is>
          <t>Комментарий</t>
        </is>
      </c>
    </row>
    <row r="7" ht="63.75" customHeight="1">
      <c r="A7" s="2" t="inlineStr">
        <is>
          <t>S001</t>
        </is>
      </c>
      <c r="B7" s="2" t="inlineStr">
        <is>
          <t>Описание диаграммы текстом (DSL)</t>
        </is>
      </c>
      <c r="C7" s="2" t="inlineStr">
        <is>
          <t>Главные страницы PlantUML, Mermaid, Mermaid Chart; «Diagram-as-code» в тарифе Free Eraser; «Diagram as code» на lucid.co/lucidchart</t>
        </is>
      </c>
      <c r="D7" s="2" t="inlineStr">
        <is>
          <t>2. Родовой товар</t>
        </is>
      </c>
      <c r="E7" s="2" t="inlineStr">
        <is>
          <t>Обязательное</t>
        </is>
      </c>
      <c r="F7" s="2" t="n">
        <v>5</v>
      </c>
      <c r="G7" s="5" t="inlineStr">
        <is>
          <t>63%</t>
        </is>
      </c>
      <c r="H7" s="2" t="n">
        <v>5</v>
      </c>
      <c r="I7" s="2" t="inlineStr">
        <is>
          <t>Рыночный стандарт</t>
        </is>
      </c>
      <c r="J7" s="2" t="inlineStr">
        <is>
          <t>Признак есть у 5 из 8 конкурентов; входит в минимальный состав товара</t>
        </is>
      </c>
      <c r="K7" s="2" t="inlineStr"/>
      <c r="L7" s="2" t="inlineStr"/>
    </row>
    <row r="8" ht="25.5" customHeight="1">
      <c r="A8" s="2" t="inlineStr">
        <is>
          <t>S002</t>
        </is>
      </c>
      <c r="B8" s="2" t="inlineStr">
        <is>
          <t>Бесплатный доступ или Free-тариф</t>
        </is>
      </c>
      <c r="C8" s="2" t="inlineStr">
        <is>
          <t>Открытый код или тариф Free на страницах 8 из 8 конкурентов</t>
        </is>
      </c>
      <c r="D8" s="2" t="inlineStr">
        <is>
          <t>3. Ожидаемый товар</t>
        </is>
      </c>
      <c r="E8" s="2" t="inlineStr">
        <is>
          <t>Обязательное</t>
        </is>
      </c>
      <c r="F8" s="2" t="n">
        <v>8</v>
      </c>
      <c r="G8" s="5" t="inlineStr">
        <is>
          <t>100%</t>
        </is>
      </c>
      <c r="H8" s="2" t="n">
        <v>5</v>
      </c>
      <c r="I8" s="2" t="inlineStr">
        <is>
          <t>Рыночный стандарт</t>
        </is>
      </c>
      <c r="J8" s="2" t="inlineStr">
        <is>
          <t>Признак есть у 8 из 8 конкурентов; входит в минимальный состав товара</t>
        </is>
      </c>
      <c r="K8" s="2" t="inlineStr"/>
      <c r="L8" s="2" t="inlineStr"/>
    </row>
    <row r="9" ht="38.25" customHeight="1">
      <c r="A9" s="2" t="inlineStr">
        <is>
          <t>S003</t>
        </is>
      </c>
      <c r="B9" s="2" t="inlineStr">
        <is>
          <t>Платная подписка по тарифным уровням</t>
        </is>
      </c>
      <c r="C9" s="2" t="inlineStr">
        <is>
          <t>Страницы тарифов Mermaid Chart, Storm, Lucidchart, Eraser, Whimsical</t>
        </is>
      </c>
      <c r="D9" s="2" t="inlineStr">
        <is>
          <t>3. Ожидаемый товар</t>
        </is>
      </c>
      <c r="E9" s="2" t="inlineStr">
        <is>
          <t>Линейное</t>
        </is>
      </c>
      <c r="F9" s="2" t="n">
        <v>5</v>
      </c>
      <c r="G9" s="5" t="inlineStr">
        <is>
          <t>63%</t>
        </is>
      </c>
      <c r="H9" s="2" t="n">
        <v>5</v>
      </c>
      <c r="I9" s="2" t="inlineStr">
        <is>
          <t>Рыночный стандарт</t>
        </is>
      </c>
      <c r="J9" s="2" t="inlineStr">
        <is>
          <t>Признак есть у 5 из 8 конкурентов; реализовать на уровне рынка</t>
        </is>
      </c>
      <c r="K9" s="2" t="inlineStr"/>
      <c r="L9" s="2" t="inlineStr"/>
    </row>
    <row r="10" ht="25.5" customHeight="1">
      <c r="A10" s="2" t="inlineStr">
        <is>
          <t>S004</t>
        </is>
      </c>
      <c r="B10" s="2" t="inlineStr">
        <is>
          <t>Открытая страница тарифов</t>
        </is>
      </c>
      <c r="C10" s="2" t="inlineStr">
        <is>
          <t>Страницы тарифов (01.10.2026)</t>
        </is>
      </c>
      <c r="D10" s="2" t="inlineStr">
        <is>
          <t>3. Ожидаемый товар</t>
        </is>
      </c>
      <c r="E10" s="2" t="inlineStr">
        <is>
          <t>Обязательное</t>
        </is>
      </c>
      <c r="F10" s="2" t="n">
        <v>5</v>
      </c>
      <c r="G10" s="5" t="inlineStr">
        <is>
          <t>63%</t>
        </is>
      </c>
      <c r="H10" s="2" t="n">
        <v>5</v>
      </c>
      <c r="I10" s="2" t="inlineStr">
        <is>
          <t>Рыночный стандарт</t>
        </is>
      </c>
      <c r="J10" s="2" t="inlineStr">
        <is>
          <t>Признак есть у 5 из 8 конкурентов; входит в минимальный состав товара</t>
        </is>
      </c>
      <c r="K10" s="2" t="inlineStr"/>
      <c r="L10" s="2" t="inlineStr"/>
    </row>
    <row r="11" ht="38.25" customHeight="1">
      <c r="A11" s="2" t="inlineStr">
        <is>
          <t>S005</t>
        </is>
      </c>
      <c r="B11" s="2" t="inlineStr">
        <is>
          <t>Корпоративный тариф (Enterprise или on-prem)</t>
        </is>
      </c>
      <c r="C11" s="2" t="inlineStr">
        <is>
          <t>Enterprise по запросу на страницах тарифов; Storm: on-prem от 990 тыс. BYN в год</t>
        </is>
      </c>
      <c r="D11" s="2" t="inlineStr">
        <is>
          <t>4. Расширенный товар</t>
        </is>
      </c>
      <c r="E11" s="2" t="inlineStr">
        <is>
          <t>Безразличное</t>
        </is>
      </c>
      <c r="F11" s="2" t="n">
        <v>4</v>
      </c>
      <c r="G11" s="5" t="inlineStr">
        <is>
          <t>50%</t>
        </is>
      </c>
      <c r="H11" s="2" t="n">
        <v>5</v>
      </c>
      <c r="I11" s="2" t="inlineStr">
        <is>
          <t>Низкий приоритет</t>
        </is>
      </c>
      <c r="J11" s="2" t="inlineStr">
        <is>
          <t>Признак есть у 4 из 8 конкурентов; не приоритет</t>
        </is>
      </c>
      <c r="K11" s="2" t="inlineStr"/>
      <c r="L11" s="2" t="inlineStr"/>
    </row>
    <row r="12" ht="38.25" customHeight="1">
      <c r="A12" s="2" t="inlineStr">
        <is>
          <t>S006</t>
        </is>
      </c>
      <c r="B12" s="2" t="inlineStr">
        <is>
          <t>Скидка или цена при годовой оплате</t>
        </is>
      </c>
      <c r="C12" s="2" t="inlineStr">
        <is>
          <t>Цены «billed annually» (Mermaid Chart, Lucidchart, Eraser), скидка 20 % (Storm)</t>
        </is>
      </c>
      <c r="D12" s="2" t="inlineStr">
        <is>
          <t>3. Ожидаемый товар</t>
        </is>
      </c>
      <c r="E12" s="2" t="inlineStr">
        <is>
          <t>Линейное</t>
        </is>
      </c>
      <c r="F12" s="2" t="n">
        <v>4</v>
      </c>
      <c r="G12" s="5" t="inlineStr">
        <is>
          <t>50%</t>
        </is>
      </c>
      <c r="H12" s="2" t="n">
        <v>5</v>
      </c>
      <c r="I12" s="2" t="inlineStr">
        <is>
          <t>Формирующаяся норма</t>
        </is>
      </c>
      <c r="J12" s="2" t="inlineStr">
        <is>
          <t>Признак есть у 4 из 8 конкурентов; реализовать на уровне рынка</t>
        </is>
      </c>
      <c r="K12" s="2" t="inlineStr"/>
      <c r="L12" s="2" t="inlineStr"/>
    </row>
    <row r="13" ht="25.5" customHeight="1">
      <c r="A13" s="2" t="inlineStr">
        <is>
          <t>S007</t>
        </is>
      </c>
      <c r="B13" s="2" t="inlineStr">
        <is>
          <t>Пробный период платного тарифа</t>
        </is>
      </c>
      <c r="C13" s="2" t="inlineStr">
        <is>
          <t>FAQ Lucidchart: пробный период 7 дней</t>
        </is>
      </c>
      <c r="D13" s="2" t="inlineStr">
        <is>
          <t>3. Ожидаемый товар</t>
        </is>
      </c>
      <c r="E13" s="2" t="inlineStr">
        <is>
          <t>Безразличное</t>
        </is>
      </c>
      <c r="F13" s="2" t="n">
        <v>1</v>
      </c>
      <c r="G13" s="5" t="inlineStr">
        <is>
          <t>13%</t>
        </is>
      </c>
      <c r="H13" s="2" t="n">
        <v>5</v>
      </c>
      <c r="I13" s="2" t="inlineStr">
        <is>
          <t>Низкий приоритет</t>
        </is>
      </c>
      <c r="J13" s="2" t="inlineStr">
        <is>
          <t>Признак есть у 1 из 8 конкурентов; не приоритет</t>
        </is>
      </c>
      <c r="K13" s="2" t="inlineStr"/>
      <c r="L13" s="2" t="inlineStr"/>
    </row>
    <row r="14" ht="51" customHeight="1">
      <c r="A14" s="2" t="inlineStr">
        <is>
          <t>S008</t>
        </is>
      </c>
      <c r="B14" s="2" t="inlineStr">
        <is>
          <t>Бесплатные гости или зрители</t>
        </is>
      </c>
      <c r="C14" s="2" t="inlineStr">
        <is>
          <t>Unlimited viewer seats (Mermaid Chart Premium); 100 гостей на участника (Storm); unlimited guests (Eraser, Whimsical)</t>
        </is>
      </c>
      <c r="D14" s="2" t="inlineStr">
        <is>
          <t>4. Расширенный товар</t>
        </is>
      </c>
      <c r="E14" s="2" t="inlineStr">
        <is>
          <t>Привлекательное</t>
        </is>
      </c>
      <c r="F14" s="2" t="n">
        <v>4</v>
      </c>
      <c r="G14" s="5" t="inlineStr">
        <is>
          <t>50%</t>
        </is>
      </c>
      <c r="H14" s="2" t="n">
        <v>5</v>
      </c>
      <c r="I14" s="2" t="inlineStr">
        <is>
          <t>Переходит в ожидаемое</t>
        </is>
      </c>
      <c r="J14" s="2" t="inlineStr">
        <is>
          <t>Признак есть у 4 из 8 конкурентов; кандидат на дифференциацию</t>
        </is>
      </c>
      <c r="K14" s="2" t="inlineStr"/>
      <c r="L14" s="2" t="inlineStr"/>
    </row>
    <row r="15" ht="38.25" customHeight="1">
      <c r="A15" s="2" t="inlineStr">
        <is>
          <t>S009</t>
        </is>
      </c>
      <c r="B15" s="2" t="inlineStr">
        <is>
          <t>ИИ-генерация или ИИ-помощник</t>
        </is>
      </c>
      <c r="C15" s="2" t="inlineStr">
        <is>
          <t>ИИ-кредиты (Mermaid Chart); ИИ-ассистент (Storm); Lucid AI; Eraser AI; ИИ в Whimsical</t>
        </is>
      </c>
      <c r="D15" s="2" t="inlineStr">
        <is>
          <t>4. Расширенный товар</t>
        </is>
      </c>
      <c r="E15" s="2" t="inlineStr">
        <is>
          <t>Привлекательное</t>
        </is>
      </c>
      <c r="F15" s="2" t="n">
        <v>5</v>
      </c>
      <c r="G15" s="5" t="inlineStr">
        <is>
          <t>63%</t>
        </is>
      </c>
      <c r="H15" s="2" t="n">
        <v>5</v>
      </c>
      <c r="I15" s="2" t="inlineStr">
        <is>
          <t>Переходит в ожидаемое</t>
        </is>
      </c>
      <c r="J15" s="2" t="inlineStr">
        <is>
          <t>Признак есть у 5 из 8 конкурентов; кандидат на дифференциацию</t>
        </is>
      </c>
      <c r="K15" s="2" t="inlineStr"/>
      <c r="L15" s="2" t="inlineStr"/>
    </row>
    <row r="16" ht="38.25" customHeight="1">
      <c r="A16" s="2" t="inlineStr">
        <is>
          <t>S010</t>
        </is>
      </c>
      <c r="B16" s="2" t="inlineStr">
        <is>
          <t>Интеграции с другими сервисами</t>
        </is>
      </c>
      <c r="C16" s="2" t="inlineStr">
        <is>
          <t>Разделы и упоминания интеграций на страницах 8 из 8 конкурентов</t>
        </is>
      </c>
      <c r="D16" s="2" t="inlineStr">
        <is>
          <t>3. Ожидаемый товар</t>
        </is>
      </c>
      <c r="E16" s="2" t="inlineStr">
        <is>
          <t>Линейное</t>
        </is>
      </c>
      <c r="F16" s="2" t="n">
        <v>8</v>
      </c>
      <c r="G16" s="5" t="inlineStr">
        <is>
          <t>100%</t>
        </is>
      </c>
      <c r="H16" s="2" t="n">
        <v>3.33</v>
      </c>
      <c r="I16" s="2" t="inlineStr">
        <is>
          <t>Рыночный стандарт</t>
        </is>
      </c>
      <c r="J16" s="2" t="inlineStr">
        <is>
          <t>Признак есть у 8 из 8 конкурентов; реализовать на уровне рынка</t>
        </is>
      </c>
      <c r="K16" s="2" t="inlineStr"/>
      <c r="L16" s="2" t="inlineStr"/>
    </row>
    <row r="17" ht="51" customHeight="1">
      <c r="A17" s="2" t="inlineStr">
        <is>
          <t>S011</t>
        </is>
      </c>
      <c r="B17" s="2" t="inlineStr">
        <is>
          <t>API или платформа разработчика</t>
        </is>
      </c>
      <c r="C17" s="2" t="inlineStr">
        <is>
          <t>API Mermaid; пункт API в меню Mermaid Chart; API в Enterprise Storm; Developer platform Lucidchart; API calls Eraser</t>
        </is>
      </c>
      <c r="D17" s="2" t="inlineStr">
        <is>
          <t>4. Расширенный товар</t>
        </is>
      </c>
      <c r="E17" s="2" t="inlineStr">
        <is>
          <t>Привлекательное</t>
        </is>
      </c>
      <c r="F17" s="2" t="n">
        <v>5</v>
      </c>
      <c r="G17" s="5" t="inlineStr">
        <is>
          <t>63%</t>
        </is>
      </c>
      <c r="H17" s="2" t="n">
        <v>5</v>
      </c>
      <c r="I17" s="2" t="inlineStr">
        <is>
          <t>Переходит в ожидаемое</t>
        </is>
      </c>
      <c r="J17" s="2" t="inlineStr">
        <is>
          <t>Признак есть у 5 из 8 конкурентов; кандидат на дифференциацию</t>
        </is>
      </c>
      <c r="K17" s="2" t="inlineStr"/>
      <c r="L17" s="2" t="inlineStr"/>
    </row>
    <row r="18" ht="25.5" customHeight="1">
      <c r="A18" s="2" t="inlineStr">
        <is>
          <t>S012</t>
        </is>
      </c>
      <c r="B18" s="2" t="inlineStr">
        <is>
          <t>Открытый код и сообщество</t>
        </is>
      </c>
      <c r="C18" s="2" t="inlineStr">
        <is>
          <t>GitHub API, 30.09.2026; лицензия Apache 2.0 у draw.io</t>
        </is>
      </c>
      <c r="D18" s="2" t="inlineStr">
        <is>
          <t>4. Расширенный товар</t>
        </is>
      </c>
      <c r="E18" s="2" t="inlineStr">
        <is>
          <t>Привлекательное</t>
        </is>
      </c>
      <c r="F18" s="2" t="n">
        <v>3</v>
      </c>
      <c r="G18" s="5" t="inlineStr">
        <is>
          <t>38%</t>
        </is>
      </c>
      <c r="H18" s="2" t="n">
        <v>3.33</v>
      </c>
      <c r="I18" s="2" t="inlineStr">
        <is>
          <t>Зона дифференциации</t>
        </is>
      </c>
      <c r="J18" s="2" t="inlineStr">
        <is>
          <t>Признак есть у 3 из 8 конкурентов; кандидат на дифференциацию</t>
        </is>
      </c>
      <c r="K18" s="2" t="inlineStr"/>
      <c r="L18" s="2" t="inlineStr"/>
    </row>
    <row r="19" ht="38.25" customHeight="1">
      <c r="A19" s="2" t="inlineStr">
        <is>
          <t>S013</t>
        </is>
      </c>
      <c r="B19" s="2" t="inlineStr">
        <is>
          <t>Независимые отзывы и оценки</t>
        </is>
      </c>
      <c r="C19" s="2" t="inlineStr">
        <is>
          <t>G2, Capterra, Trustpilot, каталоги расширений (ЛР2-3, ЛР4)</t>
        </is>
      </c>
      <c r="D19" s="2" t="inlineStr">
        <is>
          <t>4. Расширенный товар</t>
        </is>
      </c>
      <c r="E19" s="2" t="inlineStr">
        <is>
          <t>Линейное</t>
        </is>
      </c>
      <c r="F19" s="2" t="n">
        <v>7</v>
      </c>
      <c r="G19" s="5" t="inlineStr">
        <is>
          <t>88%</t>
        </is>
      </c>
      <c r="H19" s="2" t="n">
        <v>3.33</v>
      </c>
      <c r="I19" s="2" t="inlineStr">
        <is>
          <t>Рыночный стандарт</t>
        </is>
      </c>
      <c r="J19" s="2" t="inlineStr">
        <is>
          <t>Признак есть у 7 из 8 конкурентов; реализовать на уровне рынка</t>
        </is>
      </c>
      <c r="K19" s="2" t="inlineStr"/>
      <c r="L19" s="2" t="inlineStr"/>
    </row>
    <row r="20" ht="63.75" customHeight="1">
      <c r="A20" s="2" t="inlineStr">
        <is>
          <t>S014</t>
        </is>
      </c>
      <c r="B20" s="2" t="inlineStr">
        <is>
          <t>Данные о числе пользователей или клиентов на сайте</t>
        </is>
      </c>
      <c r="C20" s="2" t="inlineStr">
        <is>
          <t>5M человек и 200k компаний (Mermaid Chart); более 1 000 клиентов (Storm); 100M+ пользователей (draw.io); 99 % Fortune 500 (Lucidchart)</t>
        </is>
      </c>
      <c r="D20" s="2" t="inlineStr">
        <is>
          <t>4. Расширенный товар</t>
        </is>
      </c>
      <c r="E20" s="2" t="inlineStr">
        <is>
          <t>Линейное</t>
        </is>
      </c>
      <c r="F20" s="2" t="n">
        <v>4</v>
      </c>
      <c r="G20" s="5" t="inlineStr">
        <is>
          <t>50%</t>
        </is>
      </c>
      <c r="H20" s="2" t="n">
        <v>3.33</v>
      </c>
      <c r="I20" s="2" t="inlineStr">
        <is>
          <t>Формирующаяся норма</t>
        </is>
      </c>
      <c r="J20" s="2" t="inlineStr">
        <is>
          <t>Признак есть у 4 из 8 конкурентов; реализовать на уровне рынка</t>
        </is>
      </c>
      <c r="K20" s="2" t="inlineStr"/>
      <c r="L20" s="2" t="inlineStr"/>
    </row>
    <row r="21" ht="51" customHeight="1">
      <c r="A21" s="2" t="inlineStr">
        <is>
          <t>S015</t>
        </is>
      </c>
      <c r="B21" s="2" t="inlineStr">
        <is>
          <t>Раздел или упоминание о безопасности и приватности</t>
        </is>
      </c>
      <c r="C21" s="2" t="inlineStr">
        <is>
          <t>Страница Security (Whimsical); раздел безопасности (Lucidchart, Eraser); privacy-first (draw.io)</t>
        </is>
      </c>
      <c r="D21" s="2" t="inlineStr">
        <is>
          <t>4. Расширенный товар</t>
        </is>
      </c>
      <c r="E21" s="2" t="inlineStr">
        <is>
          <t>Линейное</t>
        </is>
      </c>
      <c r="F21" s="2" t="n">
        <v>6</v>
      </c>
      <c r="G21" s="5" t="inlineStr">
        <is>
          <t>75%</t>
        </is>
      </c>
      <c r="H21" s="2" t="n">
        <v>3.33</v>
      </c>
      <c r="I21" s="2" t="inlineStr">
        <is>
          <t>Рыночный стандарт</t>
        </is>
      </c>
      <c r="J21" s="2" t="inlineStr">
        <is>
          <t>Признак есть у 6 из 8 конкурентов; реализовать на уровне рынка</t>
        </is>
      </c>
      <c r="K21" s="2" t="inlineStr"/>
      <c r="L21" s="2" t="inlineStr"/>
    </row>
    <row r="22" ht="25.5" customHeight="1">
      <c r="A22" s="2" t="inlineStr">
        <is>
          <t>S016</t>
        </is>
      </c>
      <c r="B22" s="2" t="inlineStr">
        <is>
          <t>Единый вход SSO или SAML</t>
        </is>
      </c>
      <c r="C22" s="2" t="inlineStr">
        <is>
          <t>SSO или SAML в старших тарифах</t>
        </is>
      </c>
      <c r="D22" s="2" t="inlineStr">
        <is>
          <t>4. Расширенный товар</t>
        </is>
      </c>
      <c r="E22" s="2" t="inlineStr">
        <is>
          <t>Безразличное</t>
        </is>
      </c>
      <c r="F22" s="2" t="n">
        <v>5</v>
      </c>
      <c r="G22" s="5" t="inlineStr">
        <is>
          <t>63%</t>
        </is>
      </c>
      <c r="H22" s="2" t="n">
        <v>5</v>
      </c>
      <c r="I22" s="2" t="inlineStr">
        <is>
          <t>Низкий приоритет</t>
        </is>
      </c>
      <c r="J22" s="2" t="inlineStr">
        <is>
          <t>Признак есть у 5 из 8 конкурентов; не приоритет</t>
        </is>
      </c>
      <c r="K22" s="2" t="inlineStr"/>
      <c r="L22" s="2" t="inlineStr"/>
    </row>
    <row r="23" ht="25.5" customHeight="1">
      <c r="A23" s="2" t="inlineStr">
        <is>
          <t>S017</t>
        </is>
      </c>
      <c r="B23" s="2" t="inlineStr">
        <is>
          <t>Вход и личный кабинет</t>
        </is>
      </c>
      <c r="C23" s="2" t="inlineStr">
        <is>
          <t>Ссылки на вход на главных страницах</t>
        </is>
      </c>
      <c r="D23" s="2" t="inlineStr">
        <is>
          <t>3. Ожидаемый товар</t>
        </is>
      </c>
      <c r="E23" s="2" t="inlineStr">
        <is>
          <t>Обязательное</t>
        </is>
      </c>
      <c r="F23" s="2" t="n">
        <v>5</v>
      </c>
      <c r="G23" s="5" t="inlineStr">
        <is>
          <t>63%</t>
        </is>
      </c>
      <c r="H23" s="2" t="n">
        <v>3.33</v>
      </c>
      <c r="I23" s="2" t="inlineStr">
        <is>
          <t>Рыночный стандарт</t>
        </is>
      </c>
      <c r="J23" s="2" t="inlineStr">
        <is>
          <t>Признак есть у 5 из 8 конкурентов; входит в минимальный состав товара</t>
        </is>
      </c>
      <c r="K23" s="2" t="inlineStr"/>
      <c r="L23" s="2" t="inlineStr"/>
    </row>
    <row r="24" ht="51" customHeight="1">
      <c r="A24" s="2" t="inlineStr">
        <is>
          <t>S018</t>
        </is>
      </c>
      <c r="B24" s="2" t="inlineStr">
        <is>
          <t>Шаблоны диаграмм</t>
        </is>
      </c>
      <c r="C24" s="2" t="inlineStr">
        <is>
          <t>100 шаблонов в Free и более 1 000 в платных тарифах (Lucidchart); раздел шаблонов Eraser и Whimsical</t>
        </is>
      </c>
      <c r="D24" s="2" t="inlineStr">
        <is>
          <t>3. Ожидаемый товар</t>
        </is>
      </c>
      <c r="E24" s="2" t="inlineStr">
        <is>
          <t>Линейное</t>
        </is>
      </c>
      <c r="F24" s="2" t="n">
        <v>3</v>
      </c>
      <c r="G24" s="5" t="inlineStr">
        <is>
          <t>38%</t>
        </is>
      </c>
      <c r="H24" s="2" t="n">
        <v>5</v>
      </c>
      <c r="I24" s="2" t="inlineStr">
        <is>
          <t>Формирующаяся норма</t>
        </is>
      </c>
      <c r="J24" s="2" t="inlineStr">
        <is>
          <t>Признак есть у 3 из 8 конкурентов; реализовать на уровне рынка</t>
        </is>
      </c>
      <c r="K24" s="2" t="inlineStr"/>
      <c r="L24" s="2" t="inlineStr"/>
    </row>
    <row r="25" ht="63.75" customHeight="1">
      <c r="A25" s="2" t="inlineStr">
        <is>
          <t>S019</t>
        </is>
      </c>
      <c r="B25" s="2" t="inlineStr">
        <is>
          <t>Совместная работа в реальном времени</t>
        </is>
      </c>
      <c r="C25" s="2" t="inlineStr">
        <is>
          <t>Real-time collaboration (draw.io, Lucidchart, Whimsical); совместное редактирование в браузере (Storm); Co-editing (Mermaid Chart)</t>
        </is>
      </c>
      <c r="D25" s="2" t="inlineStr">
        <is>
          <t>3. Ожидаемый товар</t>
        </is>
      </c>
      <c r="E25" s="2" t="inlineStr">
        <is>
          <t>Линейное</t>
        </is>
      </c>
      <c r="F25" s="2" t="n">
        <v>6</v>
      </c>
      <c r="G25" s="5" t="inlineStr">
        <is>
          <t>75%</t>
        </is>
      </c>
      <c r="H25" s="2" t="n">
        <v>5</v>
      </c>
      <c r="I25" s="2" t="inlineStr">
        <is>
          <t>Рыночный стандарт</t>
        </is>
      </c>
      <c r="J25" s="2" t="inlineStr">
        <is>
          <t>Признак есть у 6 из 8 конкурентов; реализовать на уровне рынка</t>
        </is>
      </c>
      <c r="K25" s="2" t="inlineStr"/>
      <c r="L25" s="2" t="inlineStr"/>
    </row>
    <row r="26" ht="51" customHeight="1">
      <c r="A26" s="2" t="inlineStr">
        <is>
          <t>S020</t>
        </is>
      </c>
      <c r="B26" s="2" t="inlineStr">
        <is>
          <t>Экспорт диаграмм (PNG, SVG, PDF и др.)</t>
        </is>
      </c>
      <c r="C26" s="2" t="inlineStr">
        <is>
          <t>Экспорт упомянут на страницах 8 из 8 конкурентов (PNG, SVG, PDF, DOCX у Storm, Visio у Lucidchart)</t>
        </is>
      </c>
      <c r="D26" s="2" t="inlineStr">
        <is>
          <t>3. Ожидаемый товар</t>
        </is>
      </c>
      <c r="E26" s="2" t="inlineStr">
        <is>
          <t>Обязательное</t>
        </is>
      </c>
      <c r="F26" s="2" t="n">
        <v>8</v>
      </c>
      <c r="G26" s="5" t="inlineStr">
        <is>
          <t>100%</t>
        </is>
      </c>
      <c r="H26" s="2" t="n">
        <v>5</v>
      </c>
      <c r="I26" s="2" t="inlineStr">
        <is>
          <t>Рыночный стандарт</t>
        </is>
      </c>
      <c r="J26" s="2" t="inlineStr">
        <is>
          <t>Признак есть у 8 из 8 конкурентов; входит в минимальный состав товара</t>
        </is>
      </c>
      <c r="K26" s="2" t="inlineStr"/>
      <c r="L26" s="2" t="inlineStr"/>
    </row>
    <row r="27" ht="51" customHeight="1">
      <c r="A27" s="2" t="inlineStr">
        <is>
          <t>S021</t>
        </is>
      </c>
      <c r="B27" s="2" t="inlineStr">
        <is>
          <t>История версий</t>
        </is>
      </c>
      <c r="C27" s="2" t="inlineStr">
        <is>
          <t>7 и 90 дней (Eraser, Whimsical); Revision history (Lucidchart Team); версионирование (меню Storm)</t>
        </is>
      </c>
      <c r="D27" s="2" t="inlineStr">
        <is>
          <t>4. Расширенный товар</t>
        </is>
      </c>
      <c r="E27" s="2" t="inlineStr">
        <is>
          <t>Линейное</t>
        </is>
      </c>
      <c r="F27" s="2" t="n">
        <v>5</v>
      </c>
      <c r="G27" s="5" t="inlineStr">
        <is>
          <t>63%</t>
        </is>
      </c>
      <c r="H27" s="2" t="n">
        <v>5</v>
      </c>
      <c r="I27" s="2" t="inlineStr">
        <is>
          <t>Рыночный стандарт</t>
        </is>
      </c>
      <c r="J27" s="2" t="inlineStr">
        <is>
          <t>Признак есть у 5 из 8 конкурентов; реализовать на уровне рынка</t>
        </is>
      </c>
      <c r="K27" s="2" t="inlineStr"/>
      <c r="L27" s="2" t="inlineStr"/>
    </row>
    <row r="28" ht="63.75" customHeight="1">
      <c r="A28" s="2" t="inlineStr">
        <is>
          <t>S022</t>
        </is>
      </c>
      <c r="B28" s="2" t="inlineStr">
        <is>
          <t>Документация и руководства</t>
        </is>
      </c>
      <c r="C28" s="2" t="inlineStr">
        <is>
          <t>PlantUML Language Reference Guide; Mermaid User Guide; docs.mermaidchart.com; docs.eraser.io; Learning center Lucidchart</t>
        </is>
      </c>
      <c r="D28" s="2" t="inlineStr">
        <is>
          <t>3. Ожидаемый товар</t>
        </is>
      </c>
      <c r="E28" s="2" t="inlineStr">
        <is>
          <t>Обязательное</t>
        </is>
      </c>
      <c r="F28" s="2" t="n">
        <v>6</v>
      </c>
      <c r="G28" s="5" t="inlineStr">
        <is>
          <t>75%</t>
        </is>
      </c>
      <c r="H28" s="2" t="n">
        <v>5</v>
      </c>
      <c r="I28" s="2" t="inlineStr">
        <is>
          <t>Рыночный стандарт</t>
        </is>
      </c>
      <c r="J28" s="2" t="inlineStr">
        <is>
          <t>Признак есть у 6 из 8 конкурентов; входит в минимальный состав товара</t>
        </is>
      </c>
      <c r="K28" s="2" t="inlineStr"/>
      <c r="L28" s="2" t="inlineStr"/>
    </row>
    <row r="29" ht="51" customHeight="1">
      <c r="A29" s="2" t="inlineStr">
        <is>
          <t>S023</t>
        </is>
      </c>
      <c r="B29" s="2" t="inlineStr">
        <is>
          <t>Диаграммы UML</t>
        </is>
      </c>
      <c r="C29" s="2" t="inlineStr">
        <is>
          <t>Страницы class-diagram (PlantUML, Mermaid); UML в описании draw.io; UML-шаблоны Lucidchart</t>
        </is>
      </c>
      <c r="D29" s="2" t="inlineStr">
        <is>
          <t>3. Ожидаемый товар</t>
        </is>
      </c>
      <c r="E29" s="2" t="inlineStr">
        <is>
          <t>Обязательное</t>
        </is>
      </c>
      <c r="F29" s="2" t="n">
        <v>4</v>
      </c>
      <c r="G29" s="5" t="inlineStr">
        <is>
          <t>50%</t>
        </is>
      </c>
      <c r="H29" s="2" t="n">
        <v>5</v>
      </c>
      <c r="I29" s="2" t="inlineStr">
        <is>
          <t>Формирующаяся норма</t>
        </is>
      </c>
      <c r="J29" s="2" t="inlineStr">
        <is>
          <t>Признак есть у 4 из 8 конкурентов; входит в минимальный состав товара</t>
        </is>
      </c>
      <c r="K29" s="2" t="inlineStr"/>
      <c r="L29" s="2" t="inlineStr"/>
    </row>
    <row r="30" ht="51" customHeight="1">
      <c r="A30" s="2" t="inlineStr">
        <is>
          <t>S024</t>
        </is>
      </c>
      <c r="B30" s="2" t="inlineStr">
        <is>
          <t>Диаграммы BPMN</t>
        </is>
      </c>
      <c r="C30" s="2" t="inlineStr">
        <is>
          <t>Редактор BPMN 2.0 (Storm); BPMN-шаблон (Lucidchart); упоминание BPMN на сайте Eraser</t>
        </is>
      </c>
      <c r="D30" s="2" t="inlineStr">
        <is>
          <t>4. Расширенный товар</t>
        </is>
      </c>
      <c r="E30" s="2" t="inlineStr">
        <is>
          <t>Линейное</t>
        </is>
      </c>
      <c r="F30" s="2" t="n">
        <v>3</v>
      </c>
      <c r="G30" s="5" t="inlineStr">
        <is>
          <t>38%</t>
        </is>
      </c>
      <c r="H30" s="2" t="n">
        <v>5</v>
      </c>
      <c r="I30" s="2" t="inlineStr">
        <is>
          <t>Формирующаяся норма</t>
        </is>
      </c>
      <c r="J30" s="2" t="inlineStr">
        <is>
          <t>Признак есть у 3 из 8 конкурентов; реализовать на уровне рынка</t>
        </is>
      </c>
      <c r="K30" s="2" t="inlineStr"/>
      <c r="L30" s="2" t="inlineStr"/>
    </row>
    <row r="31" ht="63.75" customHeight="1">
      <c r="A31" s="2" t="inlineStr">
        <is>
          <t>S025</t>
        </is>
      </c>
      <c r="B31" s="2" t="inlineStr">
        <is>
          <t>Диаграммы ERD</t>
        </is>
      </c>
      <c r="C31" s="2" t="inlineStr">
        <is>
          <t>Страницы entityRelationshipDiagram (Mermaid), ie-diagram (PlantUML); ER в описании draw.io; ERD markup (Lucidchart)</t>
        </is>
      </c>
      <c r="D31" s="2" t="inlineStr">
        <is>
          <t>4. Расширенный товар</t>
        </is>
      </c>
      <c r="E31" s="2" t="inlineStr">
        <is>
          <t>Линейное</t>
        </is>
      </c>
      <c r="F31" s="2" t="n">
        <v>6</v>
      </c>
      <c r="G31" s="5" t="inlineStr">
        <is>
          <t>75%</t>
        </is>
      </c>
      <c r="H31" s="2" t="n">
        <v>5</v>
      </c>
      <c r="I31" s="2" t="inlineStr">
        <is>
          <t>Рыночный стандарт</t>
        </is>
      </c>
      <c r="J31" s="2" t="inlineStr">
        <is>
          <t>Признак есть у 6 из 8 конкурентов; реализовать на уровне рынка</t>
        </is>
      </c>
      <c r="K31" s="2" t="inlineStr"/>
      <c r="L31" s="2" t="inlineStr"/>
    </row>
    <row r="32" ht="63.75" customHeight="1">
      <c r="A32" s="2" t="inlineStr">
        <is>
          <t>S026</t>
        </is>
      </c>
      <c r="B32" s="2" t="inlineStr">
        <is>
          <t>Развёртывание на своём сервере</t>
        </is>
      </c>
      <c r="C32" s="2" t="inlineStr">
        <is>
          <t>Страницы running и download (PlantUML); библиотека Mermaid; on-prem (Storm); Flexible deployments (Eraser Enterprise)</t>
        </is>
      </c>
      <c r="D32" s="2" t="inlineStr">
        <is>
          <t>4. Расширенный товар</t>
        </is>
      </c>
      <c r="E32" s="2" t="inlineStr">
        <is>
          <t>Привлекательное</t>
        </is>
      </c>
      <c r="F32" s="2" t="n">
        <v>4</v>
      </c>
      <c r="G32" s="5" t="inlineStr">
        <is>
          <t>50%</t>
        </is>
      </c>
      <c r="H32" s="2" t="n">
        <v>3.33</v>
      </c>
      <c r="I32" s="2" t="inlineStr">
        <is>
          <t>Переходит в ожидаемое</t>
        </is>
      </c>
      <c r="J32" s="2" t="inlineStr">
        <is>
          <t>Признак есть у 4 из 8 конкурентов; кандидат на дифференциацию</t>
        </is>
      </c>
      <c r="K32" s="2" t="inlineStr"/>
      <c r="L32" s="2" t="inlineStr"/>
    </row>
    <row r="33" ht="38.25" customHeight="1">
      <c r="A33" s="2" t="inlineStr">
        <is>
          <t>S027</t>
        </is>
      </c>
      <c r="B33" s="2" t="inlineStr">
        <is>
          <t>Настольное приложение</t>
        </is>
      </c>
      <c r="C33" s="2" t="inlineStr">
        <is>
          <t>Загрузка PlantUML; drawio-desktop (GitHub); Desktop app в таблице тарифов Whimsical</t>
        </is>
      </c>
      <c r="D33" s="2" t="inlineStr">
        <is>
          <t>4. Расширенный товар</t>
        </is>
      </c>
      <c r="E33" s="2" t="inlineStr">
        <is>
          <t>Безразличное</t>
        </is>
      </c>
      <c r="F33" s="2" t="n">
        <v>3</v>
      </c>
      <c r="G33" s="5" t="inlineStr">
        <is>
          <t>38%</t>
        </is>
      </c>
      <c r="H33" s="2" t="n">
        <v>3.33</v>
      </c>
      <c r="I33" s="2" t="inlineStr">
        <is>
          <t>Низкий приоритет</t>
        </is>
      </c>
      <c r="J33" s="2" t="inlineStr">
        <is>
          <t>Признак есть у 3 из 8 конкурентов; не приоритет</t>
        </is>
      </c>
      <c r="K33" s="2" t="inlineStr"/>
      <c r="L33" s="2" t="inlineStr"/>
    </row>
    <row r="34" ht="25.5" customHeight="1">
      <c r="A34" s="2" t="inlineStr">
        <is>
          <t>S028</t>
        </is>
      </c>
      <c r="B34" s="2" t="inlineStr">
        <is>
          <t>Русскоязычный интерфейс и тарифы в рублях</t>
        </is>
      </c>
      <c r="C34" s="2" t="inlineStr">
        <is>
          <t>Сайт и тарифы Storm на русском языке, цены в рублях</t>
        </is>
      </c>
      <c r="D34" s="2" t="inlineStr">
        <is>
          <t>4. Расширенный товар</t>
        </is>
      </c>
      <c r="E34" s="2" t="inlineStr">
        <is>
          <t>Привлекательное</t>
        </is>
      </c>
      <c r="F34" s="2" t="n">
        <v>1</v>
      </c>
      <c r="G34" s="5" t="inlineStr">
        <is>
          <t>13%</t>
        </is>
      </c>
      <c r="H34" s="2" t="n">
        <v>3.33</v>
      </c>
      <c r="I34" s="2" t="inlineStr">
        <is>
          <t>Зона дифференциации</t>
        </is>
      </c>
      <c r="J34" s="2" t="inlineStr">
        <is>
          <t>Признак есть у 1 из 8 конкурентов; кандидат на дифференциацию</t>
        </is>
      </c>
      <c r="K34" s="2" t="inlineStr"/>
      <c r="L34" s="2" t="inlineStr"/>
    </row>
    <row r="35" ht="63.75" customHeight="1">
      <c r="A35" s="2" t="inlineStr">
        <is>
          <t>S029</t>
        </is>
      </c>
      <c r="B35" s="2" t="inlineStr">
        <is>
          <t>Признаки развития (ИИ-помощник, MCP, новые функции)</t>
        </is>
      </c>
      <c r="C35" s="2" t="inlineStr">
        <is>
          <t>MCP-интеграция (Storm); метки NEW: Lucid AI, Developer platform (Lucidchart); ИИ-кредиты (Mermaid Chart); AI-first (Eraser)</t>
        </is>
      </c>
      <c r="D35" s="2" t="inlineStr">
        <is>
          <t>5. Потенциальный товар</t>
        </is>
      </c>
      <c r="E35" s="2" t="inlineStr">
        <is>
          <t>Привлекательное</t>
        </is>
      </c>
      <c r="F35" s="2" t="n">
        <v>4</v>
      </c>
      <c r="G35" s="5" t="inlineStr">
        <is>
          <t>50%</t>
        </is>
      </c>
      <c r="H35" s="2" t="n">
        <v>3.33</v>
      </c>
      <c r="I35" s="2" t="inlineStr">
        <is>
          <t>Переходит в ожидаемое</t>
        </is>
      </c>
      <c r="J35" s="2" t="inlineStr">
        <is>
          <t>Признак есть у 4 из 8 конкурентов; кандидат на дифференциацию</t>
        </is>
      </c>
      <c r="K35" s="2" t="inlineStr"/>
      <c r="L35" s="2" t="inlineStr"/>
    </row>
    <row r="36">
      <c r="A36" s="2" t="inlineStr">
        <is>
          <t>S030</t>
        </is>
      </c>
      <c r="B36" s="2" t="n"/>
      <c r="C36" s="2" t="n"/>
      <c r="D36" s="2" t="n"/>
      <c r="E36" s="2" t="n"/>
      <c r="F36" s="2" t="n"/>
      <c r="G36" s="5">
        <f>IF(F36="","",IFERROR(F36/MAX(1,COUNTIF('01_Конкуренты'!$B\$7:$B\$36,"?*")),""))</f>
        <v/>
      </c>
      <c r="H36" s="2" t="n"/>
      <c r="I36" s="2">
        <f>IF(B36="","",IF(OR(E36="Обязательное",E36="Линейное"),IF(G36&gt;=0.6,"Рыночный стандарт",IF(G36&gt;=0.35,"Формирующаяся норма","Проверить необходимость")),IF(E36="Привлекательное",IF(G36&lt;0.5,"Зона дифференциации","Переходит в ожидаемое"),IF(E36="Безразличное","Низкий приоритет",IF(E36="Обратное","Риск отторжения","Требует проверки")))))</f>
        <v/>
      </c>
      <c r="J36" s="2" t="n"/>
      <c r="K36" s="2" t="n"/>
      <c r="L36" s="2" t="n"/>
    </row>
    <row r="37">
      <c r="A37" s="2" t="inlineStr">
        <is>
          <t>S031</t>
        </is>
      </c>
      <c r="B37" s="2" t="n"/>
      <c r="C37" s="2" t="n"/>
      <c r="D37" s="2" t="n"/>
      <c r="E37" s="2" t="n"/>
      <c r="F37" s="2" t="n"/>
      <c r="G37" s="5">
        <f>IF(F37="","",IFERROR(F37/MAX(1,COUNTIF('01_Конкуренты'!$B\$7:$B\$36,"?*")),""))</f>
        <v/>
      </c>
      <c r="H37" s="2" t="n"/>
      <c r="I37" s="2">
        <f>IF(B37="","",IF(OR(E37="Обязательное",E37="Линейное"),IF(G37&gt;=0.6,"Рыночный стандарт",IF(G37&gt;=0.35,"Формирующаяся норма","Проверить необходимость")),IF(E37="Привлекательное",IF(G37&lt;0.5,"Зона дифференциации","Переходит в ожидаемое"),IF(E37="Безразличное","Низкий приоритет",IF(E37="Обратное","Риск отторжения","Требует проверки")))))</f>
        <v/>
      </c>
      <c r="J37" s="2" t="n"/>
      <c r="K37" s="2" t="n"/>
      <c r="L37" s="2" t="n"/>
    </row>
    <row r="38">
      <c r="A38" s="2" t="inlineStr">
        <is>
          <t>S032</t>
        </is>
      </c>
      <c r="B38" s="2" t="n"/>
      <c r="C38" s="2" t="n"/>
      <c r="D38" s="2" t="n"/>
      <c r="E38" s="2" t="n"/>
      <c r="F38" s="2" t="n"/>
      <c r="G38" s="5">
        <f>IF(F38="","",IFERROR(F38/MAX(1,COUNTIF('01_Конкуренты'!$B\$7:$B\$36,"?*")),""))</f>
        <v/>
      </c>
      <c r="H38" s="2" t="n"/>
      <c r="I38" s="2">
        <f>IF(B38="","",IF(OR(E38="Обязательное",E38="Линейное"),IF(G38&gt;=0.6,"Рыночный стандарт",IF(G38&gt;=0.35,"Формирующаяся норма","Проверить необходимость")),IF(E38="Привлекательное",IF(G38&lt;0.5,"Зона дифференциации","Переходит в ожидаемое"),IF(E38="Безразличное","Низкий приоритет",IF(E38="Обратное","Риск отторжения","Требует проверки")))))</f>
        <v/>
      </c>
      <c r="J38" s="2" t="n"/>
      <c r="K38" s="2" t="n"/>
      <c r="L38" s="2" t="n"/>
    </row>
    <row r="39">
      <c r="A39" s="2" t="inlineStr">
        <is>
          <t>S033</t>
        </is>
      </c>
      <c r="B39" s="2" t="n"/>
      <c r="C39" s="2" t="n"/>
      <c r="D39" s="2" t="n"/>
      <c r="E39" s="2" t="n"/>
      <c r="F39" s="2" t="n"/>
      <c r="G39" s="5">
        <f>IF(F39="","",IFERROR(F39/MAX(1,COUNTIF('01_Конкуренты'!$B\$7:$B\$36,"?*")),""))</f>
        <v/>
      </c>
      <c r="H39" s="2" t="n"/>
      <c r="I39" s="2">
        <f>IF(B39="","",IF(OR(E39="Обязательное",E39="Линейное"),IF(G39&gt;=0.6,"Рыночный стандарт",IF(G39&gt;=0.35,"Формирующаяся норма","Проверить необходимость")),IF(E39="Привлекательное",IF(G39&lt;0.5,"Зона дифференциации","Переходит в ожидаемое"),IF(E39="Безразличное","Низкий приоритет",IF(E39="Обратное","Риск отторжения","Требует проверки")))))</f>
        <v/>
      </c>
      <c r="J39" s="2" t="n"/>
      <c r="K39" s="2" t="n"/>
      <c r="L39" s="2" t="n"/>
    </row>
    <row r="40">
      <c r="A40" s="2" t="inlineStr">
        <is>
          <t>S034</t>
        </is>
      </c>
      <c r="B40" s="2" t="n"/>
      <c r="C40" s="2" t="n"/>
      <c r="D40" s="2" t="n"/>
      <c r="E40" s="2" t="n"/>
      <c r="F40" s="2" t="n"/>
      <c r="G40" s="5">
        <f>IF(F40="","",IFERROR(F40/MAX(1,COUNTIF('01_Конкуренты'!$B\$7:$B\$36,"?*")),""))</f>
        <v/>
      </c>
      <c r="H40" s="2" t="n"/>
      <c r="I40" s="2">
        <f>IF(B40="","",IF(OR(E40="Обязательное",E40="Линейное"),IF(G40&gt;=0.6,"Рыночный стандарт",IF(G40&gt;=0.35,"Формирующаяся норма","Проверить необходимость")),IF(E40="Привлекательное",IF(G40&lt;0.5,"Зона дифференциации","Переходит в ожидаемое"),IF(E40="Безразличное","Низкий приоритет",IF(E40="Обратное","Риск отторжения","Требует проверки")))))</f>
        <v/>
      </c>
      <c r="J40" s="2" t="n"/>
      <c r="K40" s="2" t="n"/>
      <c r="L40" s="2" t="n"/>
    </row>
    <row r="41">
      <c r="A41" s="2" t="inlineStr">
        <is>
          <t>S035</t>
        </is>
      </c>
      <c r="B41" s="2" t="n"/>
      <c r="C41" s="2" t="n"/>
      <c r="D41" s="2" t="n"/>
      <c r="E41" s="2" t="n"/>
      <c r="F41" s="2" t="n"/>
      <c r="G41" s="5">
        <f>IF(F41="","",IFERROR(F41/MAX(1,COUNTIF('01_Конкуренты'!$B\$7:$B\$36,"?*")),""))</f>
        <v/>
      </c>
      <c r="H41" s="2" t="n"/>
      <c r="I41" s="2">
        <f>IF(B41="","",IF(OR(E41="Обязательное",E41="Линейное"),IF(G41&gt;=0.6,"Рыночный стандарт",IF(G41&gt;=0.35,"Формирующаяся норма","Проверить необходимость")),IF(E41="Привлекательное",IF(G41&lt;0.5,"Зона дифференциации","Переходит в ожидаемое"),IF(E41="Безразличное","Низкий приоритет",IF(E41="Обратное","Риск отторжения","Требует проверки")))))</f>
        <v/>
      </c>
      <c r="J41" s="2" t="n"/>
      <c r="K41" s="2" t="n"/>
      <c r="L41" s="2" t="n"/>
    </row>
    <row r="42">
      <c r="A42" s="2" t="inlineStr">
        <is>
          <t>S036</t>
        </is>
      </c>
      <c r="B42" s="2" t="n"/>
      <c r="C42" s="2" t="n"/>
      <c r="D42" s="2" t="n"/>
      <c r="E42" s="2" t="n"/>
      <c r="F42" s="2" t="n"/>
      <c r="G42" s="5">
        <f>IF(F42="","",IFERROR(F42/MAX(1,COUNTIF('01_Конкуренты'!$B\$7:$B\$36,"?*")),""))</f>
        <v/>
      </c>
      <c r="H42" s="2" t="n"/>
      <c r="I42" s="2">
        <f>IF(B42="","",IF(OR(E42="Обязательное",E42="Линейное"),IF(G42&gt;=0.6,"Рыночный стандарт",IF(G42&gt;=0.35,"Формирующаяся норма","Проверить необходимость")),IF(E42="Привлекательное",IF(G42&lt;0.5,"Зона дифференциации","Переходит в ожидаемое"),IF(E42="Безразличное","Низкий приоритет",IF(E42="Обратное","Риск отторжения","Требует проверки")))))</f>
        <v/>
      </c>
      <c r="J42" s="2" t="n"/>
      <c r="K42" s="2" t="n"/>
      <c r="L42" s="2" t="n"/>
    </row>
    <row r="43">
      <c r="A43" s="2" t="inlineStr">
        <is>
          <t>S037</t>
        </is>
      </c>
      <c r="B43" s="2" t="n"/>
      <c r="C43" s="2" t="n"/>
      <c r="D43" s="2" t="n"/>
      <c r="E43" s="2" t="n"/>
      <c r="F43" s="2" t="n"/>
      <c r="G43" s="5">
        <f>IF(F43="","",IFERROR(F43/MAX(1,COUNTIF('01_Конкуренты'!$B\$7:$B\$36,"?*")),""))</f>
        <v/>
      </c>
      <c r="H43" s="2" t="n"/>
      <c r="I43" s="2">
        <f>IF(B43="","",IF(OR(E43="Обязательное",E43="Линейное"),IF(G43&gt;=0.6,"Рыночный стандарт",IF(G43&gt;=0.35,"Формирующаяся норма","Проверить необходимость")),IF(E43="Привлекательное",IF(G43&lt;0.5,"Зона дифференциации","Переходит в ожидаемое"),IF(E43="Безразличное","Низкий приоритет",IF(E43="Обратное","Риск отторжения","Требует проверки")))))</f>
        <v/>
      </c>
      <c r="J43" s="2" t="n"/>
      <c r="K43" s="2" t="n"/>
      <c r="L43" s="2" t="n"/>
    </row>
    <row r="44">
      <c r="A44" s="2" t="inlineStr">
        <is>
          <t>S038</t>
        </is>
      </c>
      <c r="B44" s="2" t="n"/>
      <c r="C44" s="2" t="n"/>
      <c r="D44" s="2" t="n"/>
      <c r="E44" s="2" t="n"/>
      <c r="F44" s="2" t="n"/>
      <c r="G44" s="5">
        <f>IF(F44="","",IFERROR(F44/MAX(1,COUNTIF('01_Конкуренты'!$B\$7:$B\$36,"?*")),""))</f>
        <v/>
      </c>
      <c r="H44" s="2" t="n"/>
      <c r="I44" s="2">
        <f>IF(B44="","",IF(OR(E44="Обязательное",E44="Линейное"),IF(G44&gt;=0.6,"Рыночный стандарт",IF(G44&gt;=0.35,"Формирующаяся норма","Проверить необходимость")),IF(E44="Привлекательное",IF(G44&lt;0.5,"Зона дифференциации","Переходит в ожидаемое"),IF(E44="Безразличное","Низкий приоритет",IF(E44="Обратное","Риск отторжения","Требует проверки")))))</f>
        <v/>
      </c>
      <c r="J44" s="2" t="n"/>
      <c r="K44" s="2" t="n"/>
      <c r="L44" s="2" t="n"/>
    </row>
    <row r="45">
      <c r="A45" s="2" t="inlineStr">
        <is>
          <t>S039</t>
        </is>
      </c>
      <c r="B45" s="2" t="n"/>
      <c r="C45" s="2" t="n"/>
      <c r="D45" s="2" t="n"/>
      <c r="E45" s="2" t="n"/>
      <c r="F45" s="2" t="n"/>
      <c r="G45" s="5">
        <f>IF(F45="","",IFERROR(F45/MAX(1,COUNTIF('01_Конкуренты'!$B\$7:$B\$36,"?*")),""))</f>
        <v/>
      </c>
      <c r="H45" s="2" t="n"/>
      <c r="I45" s="2">
        <f>IF(B45="","",IF(OR(E45="Обязательное",E45="Линейное"),IF(G45&gt;=0.6,"Рыночный стандарт",IF(G45&gt;=0.35,"Формирующаяся норма","Проверить необходимость")),IF(E45="Привлекательное",IF(G45&lt;0.5,"Зона дифференциации","Переходит в ожидаемое"),IF(E45="Безразличное","Низкий приоритет",IF(E45="Обратное","Риск отторжения","Требует проверки")))))</f>
        <v/>
      </c>
      <c r="J45" s="2" t="n"/>
      <c r="K45" s="2" t="n"/>
      <c r="L45" s="2" t="n"/>
    </row>
    <row r="46">
      <c r="A46" s="2" t="inlineStr">
        <is>
          <t>S040</t>
        </is>
      </c>
      <c r="B46" s="2" t="n"/>
      <c r="C46" s="2" t="n"/>
      <c r="D46" s="2" t="n"/>
      <c r="E46" s="2" t="n"/>
      <c r="F46" s="2" t="n"/>
      <c r="G46" s="5">
        <f>IF(F46="","",IFERROR(F46/MAX(1,COUNTIF('01_Конкуренты'!$B\$7:$B\$36,"?*")),""))</f>
        <v/>
      </c>
      <c r="H46" s="2" t="n"/>
      <c r="I46" s="2">
        <f>IF(B46="","",IF(OR(E46="Обязательное",E46="Линейное"),IF(G46&gt;=0.6,"Рыночный стандарт",IF(G46&gt;=0.35,"Формирующаяся норма","Проверить необходимость")),IF(E46="Привлекательное",IF(G46&lt;0.5,"Зона дифференциации","Переходит в ожидаемое"),IF(E46="Безразличное","Низкий приоритет",IF(E46="Обратное","Риск отторжения","Требует проверки")))))</f>
        <v/>
      </c>
      <c r="J46" s="2" t="n"/>
      <c r="K46" s="2" t="n"/>
      <c r="L46" s="2" t="n"/>
    </row>
    <row r="47">
      <c r="A47" s="2" t="inlineStr">
        <is>
          <t>S041</t>
        </is>
      </c>
      <c r="B47" s="2" t="n"/>
      <c r="C47" s="2" t="n"/>
      <c r="D47" s="2" t="n"/>
      <c r="E47" s="2" t="n"/>
      <c r="F47" s="2" t="n"/>
      <c r="G47" s="5">
        <f>IF(F47="","",IFERROR(F47/MAX(1,COUNTIF('01_Конкуренты'!$B\$7:$B\$36,"?*")),""))</f>
        <v/>
      </c>
      <c r="H47" s="2" t="n"/>
      <c r="I47" s="2">
        <f>IF(B47="","",IF(OR(E47="Обязательное",E47="Линейное"),IF(G47&gt;=0.6,"Рыночный стандарт",IF(G47&gt;=0.35,"Формирующаяся норма","Проверить необходимость")),IF(E47="Привлекательное",IF(G47&lt;0.5,"Зона дифференциации","Переходит в ожидаемое"),IF(E47="Безразличное","Низкий приоритет",IF(E47="Обратное","Риск отторжения","Требует проверки")))))</f>
        <v/>
      </c>
      <c r="J47" s="2" t="n"/>
      <c r="K47" s="2" t="n"/>
      <c r="L47" s="2" t="n"/>
    </row>
    <row r="48">
      <c r="A48" s="2" t="inlineStr">
        <is>
          <t>S042</t>
        </is>
      </c>
      <c r="B48" s="2" t="n"/>
      <c r="C48" s="2" t="n"/>
      <c r="D48" s="2" t="n"/>
      <c r="E48" s="2" t="n"/>
      <c r="F48" s="2" t="n"/>
      <c r="G48" s="5">
        <f>IF(F48="","",IFERROR(F48/MAX(1,COUNTIF('01_Конкуренты'!$B\$7:$B\$36,"?*")),""))</f>
        <v/>
      </c>
      <c r="H48" s="2" t="n"/>
      <c r="I48" s="2">
        <f>IF(B48="","",IF(OR(E48="Обязательное",E48="Линейное"),IF(G48&gt;=0.6,"Рыночный стандарт",IF(G48&gt;=0.35,"Формирующаяся норма","Проверить необходимость")),IF(E48="Привлекательное",IF(G48&lt;0.5,"Зона дифференциации","Переходит в ожидаемое"),IF(E48="Безразличное","Низкий приоритет",IF(E48="Обратное","Риск отторжения","Требует проверки")))))</f>
        <v/>
      </c>
      <c r="J48" s="2" t="n"/>
      <c r="K48" s="2" t="n"/>
      <c r="L48" s="2" t="n"/>
    </row>
    <row r="49">
      <c r="A49" s="2" t="inlineStr">
        <is>
          <t>S043</t>
        </is>
      </c>
      <c r="B49" s="2" t="n"/>
      <c r="C49" s="2" t="n"/>
      <c r="D49" s="2" t="n"/>
      <c r="E49" s="2" t="n"/>
      <c r="F49" s="2" t="n"/>
      <c r="G49" s="5">
        <f>IF(F49="","",IFERROR(F49/MAX(1,COUNTIF('01_Конкуренты'!$B\$7:$B\$36,"?*")),""))</f>
        <v/>
      </c>
      <c r="H49" s="2" t="n"/>
      <c r="I49" s="2">
        <f>IF(B49="","",IF(OR(E49="Обязательное",E49="Линейное"),IF(G49&gt;=0.6,"Рыночный стандарт",IF(G49&gt;=0.35,"Формирующаяся норма","Проверить необходимость")),IF(E49="Привлекательное",IF(G49&lt;0.5,"Зона дифференциации","Переходит в ожидаемое"),IF(E49="Безразличное","Низкий приоритет",IF(E49="Обратное","Риск отторжения","Требует проверки")))))</f>
        <v/>
      </c>
      <c r="J49" s="2" t="n"/>
      <c r="K49" s="2" t="n"/>
      <c r="L49" s="2" t="n"/>
    </row>
    <row r="50">
      <c r="A50" s="2" t="inlineStr">
        <is>
          <t>S044</t>
        </is>
      </c>
      <c r="B50" s="2" t="n"/>
      <c r="C50" s="2" t="n"/>
      <c r="D50" s="2" t="n"/>
      <c r="E50" s="2" t="n"/>
      <c r="F50" s="2" t="n"/>
      <c r="G50" s="5">
        <f>IF(F50="","",IFERROR(F50/MAX(1,COUNTIF('01_Конкуренты'!$B\$7:$B\$36,"?*")),""))</f>
        <v/>
      </c>
      <c r="H50" s="2" t="n"/>
      <c r="I50" s="2">
        <f>IF(B50="","",IF(OR(E50="Обязательное",E50="Линейное"),IF(G50&gt;=0.6,"Рыночный стандарт",IF(G50&gt;=0.35,"Формирующаяся норма","Проверить необходимость")),IF(E50="Привлекательное",IF(G50&lt;0.5,"Зона дифференциации","Переходит в ожидаемое"),IF(E50="Безразличное","Низкий приоритет",IF(E50="Обратное","Риск отторжения","Требует проверки")))))</f>
        <v/>
      </c>
      <c r="J50" s="2" t="n"/>
      <c r="K50" s="2" t="n"/>
      <c r="L50" s="2" t="n"/>
    </row>
    <row r="51">
      <c r="A51" s="2" t="inlineStr">
        <is>
          <t>S045</t>
        </is>
      </c>
      <c r="B51" s="2" t="n"/>
      <c r="C51" s="2" t="n"/>
      <c r="D51" s="2" t="n"/>
      <c r="E51" s="2" t="n"/>
      <c r="F51" s="2" t="n"/>
      <c r="G51" s="5">
        <f>IF(F51="","",IFERROR(F51/MAX(1,COUNTIF('01_Конкуренты'!$B\$7:$B\$36,"?*")),""))</f>
        <v/>
      </c>
      <c r="H51" s="2" t="n"/>
      <c r="I51" s="2">
        <f>IF(B51="","",IF(OR(E51="Обязательное",E51="Линейное"),IF(G51&gt;=0.6,"Рыночный стандарт",IF(G51&gt;=0.35,"Формирующаяся норма","Проверить необходимость")),IF(E51="Привлекательное",IF(G51&lt;0.5,"Зона дифференциации","Переходит в ожидаемое"),IF(E51="Безразличное","Низкий приоритет",IF(E51="Обратное","Риск отторжения","Требует проверки")))))</f>
        <v/>
      </c>
      <c r="J51" s="2" t="n"/>
      <c r="K51" s="2" t="n"/>
      <c r="L51" s="2" t="n"/>
    </row>
    <row r="52">
      <c r="A52" s="2" t="inlineStr">
        <is>
          <t>S046</t>
        </is>
      </c>
      <c r="B52" s="2" t="n"/>
      <c r="C52" s="2" t="n"/>
      <c r="D52" s="2" t="n"/>
      <c r="E52" s="2" t="n"/>
      <c r="F52" s="2" t="n"/>
      <c r="G52" s="5">
        <f>IF(F52="","",IFERROR(F52/MAX(1,COUNTIF('01_Конкуренты'!$B\$7:$B\$36,"?*")),""))</f>
        <v/>
      </c>
      <c r="H52" s="2" t="n"/>
      <c r="I52" s="2">
        <f>IF(B52="","",IF(OR(E52="Обязательное",E52="Линейное"),IF(G52&gt;=0.6,"Рыночный стандарт",IF(G52&gt;=0.35,"Формирующаяся норма","Проверить необходимость")),IF(E52="Привлекательное",IF(G52&lt;0.5,"Зона дифференциации","Переходит в ожидаемое"),IF(E52="Безразличное","Низкий приоритет",IF(E52="Обратное","Риск отторжения","Требует проверки")))))</f>
        <v/>
      </c>
      <c r="J52" s="2" t="n"/>
      <c r="K52" s="2" t="n"/>
      <c r="L52" s="2" t="n"/>
    </row>
    <row r="53">
      <c r="A53" s="2" t="inlineStr">
        <is>
          <t>S047</t>
        </is>
      </c>
      <c r="B53" s="2" t="n"/>
      <c r="C53" s="2" t="n"/>
      <c r="D53" s="2" t="n"/>
      <c r="E53" s="2" t="n"/>
      <c r="F53" s="2" t="n"/>
      <c r="G53" s="5">
        <f>IF(F53="","",IFERROR(F53/MAX(1,COUNTIF('01_Конкуренты'!$B\$7:$B\$36,"?*")),""))</f>
        <v/>
      </c>
      <c r="H53" s="2" t="n"/>
      <c r="I53" s="2">
        <f>IF(B53="","",IF(OR(E53="Обязательное",E53="Линейное"),IF(G53&gt;=0.6,"Рыночный стандарт",IF(G53&gt;=0.35,"Формирующаяся норма","Проверить необходимость")),IF(E53="Привлекательное",IF(G53&lt;0.5,"Зона дифференциации","Переходит в ожидаемое"),IF(E53="Безразличное","Низкий приоритет",IF(E53="Обратное","Риск отторжения","Требует проверки")))))</f>
        <v/>
      </c>
      <c r="J53" s="2" t="n"/>
      <c r="K53" s="2" t="n"/>
      <c r="L53" s="2" t="n"/>
    </row>
    <row r="54">
      <c r="A54" s="2" t="inlineStr">
        <is>
          <t>S048</t>
        </is>
      </c>
      <c r="B54" s="2" t="n"/>
      <c r="C54" s="2" t="n"/>
      <c r="D54" s="2" t="n"/>
      <c r="E54" s="2" t="n"/>
      <c r="F54" s="2" t="n"/>
      <c r="G54" s="5">
        <f>IF(F54="","",IFERROR(F54/MAX(1,COUNTIF('01_Конкуренты'!$B\$7:$B\$36,"?*")),""))</f>
        <v/>
      </c>
      <c r="H54" s="2" t="n"/>
      <c r="I54" s="2">
        <f>IF(B54="","",IF(OR(E54="Обязательное",E54="Линейное"),IF(G54&gt;=0.6,"Рыночный стандарт",IF(G54&gt;=0.35,"Формирующаяся норма","Проверить необходимость")),IF(E54="Привлекательное",IF(G54&lt;0.5,"Зона дифференциации","Переходит в ожидаемое"),IF(E54="Безразличное","Низкий приоритет",IF(E54="Обратное","Риск отторжения","Требует проверки")))))</f>
        <v/>
      </c>
      <c r="J54" s="2" t="n"/>
      <c r="K54" s="2" t="n"/>
      <c r="L54" s="2" t="n"/>
    </row>
    <row r="55">
      <c r="A55" s="2" t="inlineStr">
        <is>
          <t>S049</t>
        </is>
      </c>
      <c r="B55" s="2" t="n"/>
      <c r="C55" s="2" t="n"/>
      <c r="D55" s="2" t="n"/>
      <c r="E55" s="2" t="n"/>
      <c r="F55" s="2" t="n"/>
      <c r="G55" s="5">
        <f>IF(F55="","",IFERROR(F55/MAX(1,COUNTIF('01_Конкуренты'!$B\$7:$B\$36,"?*")),""))</f>
        <v/>
      </c>
      <c r="H55" s="2" t="n"/>
      <c r="I55" s="2">
        <f>IF(B55="","",IF(OR(E55="Обязательное",E55="Линейное"),IF(G55&gt;=0.6,"Рыночный стандарт",IF(G55&gt;=0.35,"Формирующаяся норма","Проверить необходимость")),IF(E55="Привлекательное",IF(G55&lt;0.5,"Зона дифференциации","Переходит в ожидаемое"),IF(E55="Безразличное","Низкий приоритет",IF(E55="Обратное","Риск отторжения","Требует проверки")))))</f>
        <v/>
      </c>
      <c r="J55" s="2" t="n"/>
      <c r="K55" s="2" t="n"/>
      <c r="L55" s="2" t="n"/>
    </row>
    <row r="56">
      <c r="A56" s="2" t="inlineStr">
        <is>
          <t>S050</t>
        </is>
      </c>
      <c r="B56" s="2" t="n"/>
      <c r="C56" s="2" t="n"/>
      <c r="D56" s="2" t="n"/>
      <c r="E56" s="2" t="n"/>
      <c r="F56" s="2" t="n"/>
      <c r="G56" s="5">
        <f>IF(F56="","",IFERROR(F56/MAX(1,COUNTIF('01_Конкуренты'!$B\$7:$B\$36,"?*")),""))</f>
        <v/>
      </c>
      <c r="H56" s="2" t="n"/>
      <c r="I56" s="2">
        <f>IF(B56="","",IF(OR(E56="Обязательное",E56="Линейное"),IF(G56&gt;=0.6,"Рыночный стандарт",IF(G56&gt;=0.35,"Формирующаяся норма","Проверить необходимость")),IF(E56="Привлекательное",IF(G56&lt;0.5,"Зона дифференциации","Переходит в ожидаемое"),IF(E56="Безразличное","Низкий приоритет",IF(E56="Обратное","Риск отторжения","Требует проверки")))))</f>
        <v/>
      </c>
      <c r="J56" s="2" t="n"/>
      <c r="K56" s="2" t="n"/>
      <c r="L56" s="2" t="n"/>
    </row>
    <row r="57">
      <c r="A57" s="2" t="inlineStr">
        <is>
          <t>S051</t>
        </is>
      </c>
      <c r="B57" s="2" t="n"/>
      <c r="C57" s="2" t="n"/>
      <c r="D57" s="2" t="n"/>
      <c r="E57" s="2" t="n"/>
      <c r="F57" s="2" t="n"/>
      <c r="G57" s="5">
        <f>IF(F57="","",IFERROR(F57/MAX(1,COUNTIF('01_Конкуренты'!$B\$7:$B\$36,"?*")),""))</f>
        <v/>
      </c>
      <c r="H57" s="2" t="n"/>
      <c r="I57" s="2">
        <f>IF(B57="","",IF(OR(E57="Обязательное",E57="Линейное"),IF(G57&gt;=0.6,"Рыночный стандарт",IF(G57&gt;=0.35,"Формирующаяся норма","Проверить необходимость")),IF(E57="Привлекательное",IF(G57&lt;0.5,"Зона дифференциации","Переходит в ожидаемое"),IF(E57="Безразличное","Низкий приоритет",IF(E57="Обратное","Риск отторжения","Требует проверки")))))</f>
        <v/>
      </c>
      <c r="J57" s="2" t="n"/>
      <c r="K57" s="2" t="n"/>
      <c r="L57" s="2" t="n"/>
    </row>
    <row r="58">
      <c r="A58" s="2" t="inlineStr">
        <is>
          <t>S052</t>
        </is>
      </c>
      <c r="B58" s="2" t="n"/>
      <c r="C58" s="2" t="n"/>
      <c r="D58" s="2" t="n"/>
      <c r="E58" s="2" t="n"/>
      <c r="F58" s="2" t="n"/>
      <c r="G58" s="5">
        <f>IF(F58="","",IFERROR(F58/MAX(1,COUNTIF('01_Конкуренты'!$B\$7:$B\$36,"?*")),""))</f>
        <v/>
      </c>
      <c r="H58" s="2" t="n"/>
      <c r="I58" s="2">
        <f>IF(B58="","",IF(OR(E58="Обязательное",E58="Линейное"),IF(G58&gt;=0.6,"Рыночный стандарт",IF(G58&gt;=0.35,"Формирующаяся норма","Проверить необходимость")),IF(E58="Привлекательное",IF(G58&lt;0.5,"Зона дифференциации","Переходит в ожидаемое"),IF(E58="Безразличное","Низкий приоритет",IF(E58="Обратное","Риск отторжения","Требует проверки")))))</f>
        <v/>
      </c>
      <c r="J58" s="2" t="n"/>
      <c r="K58" s="2" t="n"/>
      <c r="L58" s="2" t="n"/>
    </row>
    <row r="59">
      <c r="A59" s="2" t="inlineStr">
        <is>
          <t>S053</t>
        </is>
      </c>
      <c r="B59" s="2" t="n"/>
      <c r="C59" s="2" t="n"/>
      <c r="D59" s="2" t="n"/>
      <c r="E59" s="2" t="n"/>
      <c r="F59" s="2" t="n"/>
      <c r="G59" s="5">
        <f>IF(F59="","",IFERROR(F59/MAX(1,COUNTIF('01_Конкуренты'!$B\$7:$B\$36,"?*")),""))</f>
        <v/>
      </c>
      <c r="H59" s="2" t="n"/>
      <c r="I59" s="2">
        <f>IF(B59="","",IF(OR(E59="Обязательное",E59="Линейное"),IF(G59&gt;=0.6,"Рыночный стандарт",IF(G59&gt;=0.35,"Формирующаяся норма","Проверить необходимость")),IF(E59="Привлекательное",IF(G59&lt;0.5,"Зона дифференциации","Переходит в ожидаемое"),IF(E59="Безразличное","Низкий приоритет",IF(E59="Обратное","Риск отторжения","Требует проверки")))))</f>
        <v/>
      </c>
      <c r="J59" s="2" t="n"/>
      <c r="K59" s="2" t="n"/>
      <c r="L59" s="2" t="n"/>
    </row>
    <row r="60">
      <c r="A60" s="2" t="inlineStr">
        <is>
          <t>S054</t>
        </is>
      </c>
      <c r="B60" s="2" t="n"/>
      <c r="C60" s="2" t="n"/>
      <c r="D60" s="2" t="n"/>
      <c r="E60" s="2" t="n"/>
      <c r="F60" s="2" t="n"/>
      <c r="G60" s="5">
        <f>IF(F60="","",IFERROR(F60/MAX(1,COUNTIF('01_Конкуренты'!$B\$7:$B\$36,"?*")),""))</f>
        <v/>
      </c>
      <c r="H60" s="2" t="n"/>
      <c r="I60" s="2">
        <f>IF(B60="","",IF(OR(E60="Обязательное",E60="Линейное"),IF(G60&gt;=0.6,"Рыночный стандарт",IF(G60&gt;=0.35,"Формирующаяся норма","Проверить необходимость")),IF(E60="Привлекательное",IF(G60&lt;0.5,"Зона дифференциации","Переходит в ожидаемое"),IF(E60="Безразличное","Низкий приоритет",IF(E60="Обратное","Риск отторжения","Требует проверки")))))</f>
        <v/>
      </c>
      <c r="J60" s="2" t="n"/>
      <c r="K60" s="2" t="n"/>
      <c r="L60" s="2" t="n"/>
    </row>
    <row r="61">
      <c r="A61" s="2" t="inlineStr">
        <is>
          <t>S055</t>
        </is>
      </c>
      <c r="B61" s="2" t="n"/>
      <c r="C61" s="2" t="n"/>
      <c r="D61" s="2" t="n"/>
      <c r="E61" s="2" t="n"/>
      <c r="F61" s="2" t="n"/>
      <c r="G61" s="5">
        <f>IF(F61="","",IFERROR(F61/MAX(1,COUNTIF('01_Конкуренты'!$B\$7:$B\$36,"?*")),""))</f>
        <v/>
      </c>
      <c r="H61" s="2" t="n"/>
      <c r="I61" s="2">
        <f>IF(B61="","",IF(OR(E61="Обязательное",E61="Линейное"),IF(G61&gt;=0.6,"Рыночный стандарт",IF(G61&gt;=0.35,"Формирующаяся норма","Проверить необходимость")),IF(E61="Привлекательное",IF(G61&lt;0.5,"Зона дифференциации","Переходит в ожидаемое"),IF(E61="Безразличное","Низкий приоритет",IF(E61="Обратное","Риск отторжения","Требует проверки")))))</f>
        <v/>
      </c>
      <c r="J61" s="2" t="n"/>
      <c r="K61" s="2" t="n"/>
      <c r="L61" s="2" t="n"/>
    </row>
    <row r="62">
      <c r="A62" s="2" t="inlineStr">
        <is>
          <t>S056</t>
        </is>
      </c>
      <c r="B62" s="2" t="n"/>
      <c r="C62" s="2" t="n"/>
      <c r="D62" s="2" t="n"/>
      <c r="E62" s="2" t="n"/>
      <c r="F62" s="2" t="n"/>
      <c r="G62" s="5">
        <f>IF(F62="","",IFERROR(F62/MAX(1,COUNTIF('01_Конкуренты'!$B\$7:$B\$36,"?*")),""))</f>
        <v/>
      </c>
      <c r="H62" s="2" t="n"/>
      <c r="I62" s="2">
        <f>IF(B62="","",IF(OR(E62="Обязательное",E62="Линейное"),IF(G62&gt;=0.6,"Рыночный стандарт",IF(G62&gt;=0.35,"Формирующаяся норма","Проверить необходимость")),IF(E62="Привлекательное",IF(G62&lt;0.5,"Зона дифференциации","Переходит в ожидаемое"),IF(E62="Безразличное","Низкий приоритет",IF(E62="Обратное","Риск отторжения","Требует проверки")))))</f>
        <v/>
      </c>
      <c r="J62" s="2" t="n"/>
      <c r="K62" s="2" t="n"/>
      <c r="L62" s="2" t="n"/>
    </row>
    <row r="63">
      <c r="A63" s="2" t="inlineStr">
        <is>
          <t>S057</t>
        </is>
      </c>
      <c r="B63" s="2" t="n"/>
      <c r="C63" s="2" t="n"/>
      <c r="D63" s="2" t="n"/>
      <c r="E63" s="2" t="n"/>
      <c r="F63" s="2" t="n"/>
      <c r="G63" s="5">
        <f>IF(F63="","",IFERROR(F63/MAX(1,COUNTIF('01_Конкуренты'!$B\$7:$B\$36,"?*")),""))</f>
        <v/>
      </c>
      <c r="H63" s="2" t="n"/>
      <c r="I63" s="2">
        <f>IF(B63="","",IF(OR(E63="Обязательное",E63="Линейное"),IF(G63&gt;=0.6,"Рыночный стандарт",IF(G63&gt;=0.35,"Формирующаяся норма","Проверить необходимость")),IF(E63="Привлекательное",IF(G63&lt;0.5,"Зона дифференциации","Переходит в ожидаемое"),IF(E63="Безразличное","Низкий приоритет",IF(E63="Обратное","Риск отторжения","Требует проверки")))))</f>
        <v/>
      </c>
      <c r="J63" s="2" t="n"/>
      <c r="K63" s="2" t="n"/>
      <c r="L63" s="2" t="n"/>
    </row>
    <row r="64">
      <c r="A64" s="2" t="inlineStr">
        <is>
          <t>S058</t>
        </is>
      </c>
      <c r="B64" s="2" t="n"/>
      <c r="C64" s="2" t="n"/>
      <c r="D64" s="2" t="n"/>
      <c r="E64" s="2" t="n"/>
      <c r="F64" s="2" t="n"/>
      <c r="G64" s="5">
        <f>IF(F64="","",IFERROR(F64/MAX(1,COUNTIF('01_Конкуренты'!$B\$7:$B\$36,"?*")),""))</f>
        <v/>
      </c>
      <c r="H64" s="2" t="n"/>
      <c r="I64" s="2">
        <f>IF(B64="","",IF(OR(E64="Обязательное",E64="Линейное"),IF(G64&gt;=0.6,"Рыночный стандарт",IF(G64&gt;=0.35,"Формирующаяся норма","Проверить необходимость")),IF(E64="Привлекательное",IF(G64&lt;0.5,"Зона дифференциации","Переходит в ожидаемое"),IF(E64="Безразличное","Низкий приоритет",IF(E64="Обратное","Риск отторжения","Требует проверки")))))</f>
        <v/>
      </c>
      <c r="J64" s="2" t="n"/>
      <c r="K64" s="2" t="n"/>
      <c r="L64" s="2" t="n"/>
    </row>
    <row r="65">
      <c r="A65" s="2" t="inlineStr">
        <is>
          <t>S059</t>
        </is>
      </c>
      <c r="B65" s="2" t="n"/>
      <c r="C65" s="2" t="n"/>
      <c r="D65" s="2" t="n"/>
      <c r="E65" s="2" t="n"/>
      <c r="F65" s="2" t="n"/>
      <c r="G65" s="5">
        <f>IF(F65="","",IFERROR(F65/MAX(1,COUNTIF('01_Конкуренты'!$B\$7:$B\$36,"?*")),""))</f>
        <v/>
      </c>
      <c r="H65" s="2" t="n"/>
      <c r="I65" s="2">
        <f>IF(B65="","",IF(OR(E65="Обязательное",E65="Линейное"),IF(G65&gt;=0.6,"Рыночный стандарт",IF(G65&gt;=0.35,"Формирующаяся норма","Проверить необходимость")),IF(E65="Привлекательное",IF(G65&lt;0.5,"Зона дифференциации","Переходит в ожидаемое"),IF(E65="Безразличное","Низкий приоритет",IF(E65="Обратное","Риск отторжения","Требует проверки")))))</f>
        <v/>
      </c>
      <c r="J65" s="2" t="n"/>
      <c r="K65" s="2" t="n"/>
      <c r="L65" s="2" t="n"/>
    </row>
    <row r="66">
      <c r="A66" s="2" t="inlineStr">
        <is>
          <t>S060</t>
        </is>
      </c>
      <c r="B66" s="2" t="n"/>
      <c r="C66" s="2" t="n"/>
      <c r="D66" s="2" t="n"/>
      <c r="E66" s="2" t="n"/>
      <c r="F66" s="2" t="n"/>
      <c r="G66" s="5">
        <f>IF(F66="","",IFERROR(F66/MAX(1,COUNTIF('01_Конкуренты'!$B\$7:$B\$36,"?*")),""))</f>
        <v/>
      </c>
      <c r="H66" s="2" t="n"/>
      <c r="I66" s="2">
        <f>IF(B66="","",IF(OR(E66="Обязательное",E66="Линейное"),IF(G66&gt;=0.6,"Рыночный стандарт",IF(G66&gt;=0.35,"Формирующаяся норма","Проверить необходимость")),IF(E66="Привлекательное",IF(G66&lt;0.5,"Зона дифференциации","Переходит в ожидаемое"),IF(E66="Безразличное","Низкий приоритет",IF(E66="Обратное","Риск отторжения","Требует проверки")))))</f>
        <v/>
      </c>
      <c r="J66" s="2" t="n"/>
      <c r="K66" s="2" t="n"/>
      <c r="L66" s="2" t="n"/>
    </row>
    <row r="67">
      <c r="A67" s="2" t="inlineStr">
        <is>
          <t>S061</t>
        </is>
      </c>
      <c r="B67" s="2" t="n"/>
      <c r="C67" s="2" t="n"/>
      <c r="D67" s="2" t="n"/>
      <c r="E67" s="2" t="n"/>
      <c r="F67" s="2" t="n"/>
      <c r="G67" s="5">
        <f>IF(F67="","",IFERROR(F67/MAX(1,COUNTIF('01_Конкуренты'!$B\$7:$B\$36,"?*")),""))</f>
        <v/>
      </c>
      <c r="H67" s="2" t="n"/>
      <c r="I67" s="2">
        <f>IF(B67="","",IF(OR(E67="Обязательное",E67="Линейное"),IF(G67&gt;=0.6,"Рыночный стандарт",IF(G67&gt;=0.35,"Формирующаяся норма","Проверить необходимость")),IF(E67="Привлекательное",IF(G67&lt;0.5,"Зона дифференциации","Переходит в ожидаемое"),IF(E67="Безразличное","Низкий приоритет",IF(E67="Обратное","Риск отторжения","Требует проверки")))))</f>
        <v/>
      </c>
      <c r="J67" s="2" t="n"/>
      <c r="K67" s="2" t="n"/>
      <c r="L67" s="2" t="n"/>
    </row>
    <row r="68">
      <c r="A68" s="2" t="inlineStr">
        <is>
          <t>S062</t>
        </is>
      </c>
      <c r="B68" s="2" t="n"/>
      <c r="C68" s="2" t="n"/>
      <c r="D68" s="2" t="n"/>
      <c r="E68" s="2" t="n"/>
      <c r="F68" s="2" t="n"/>
      <c r="G68" s="5">
        <f>IF(F68="","",IFERROR(F68/MAX(1,COUNTIF('01_Конкуренты'!$B\$7:$B\$36,"?*")),""))</f>
        <v/>
      </c>
      <c r="H68" s="2" t="n"/>
      <c r="I68" s="2">
        <f>IF(B68="","",IF(OR(E68="Обязательное",E68="Линейное"),IF(G68&gt;=0.6,"Рыночный стандарт",IF(G68&gt;=0.35,"Формирующаяся норма","Проверить необходимость")),IF(E68="Привлекательное",IF(G68&lt;0.5,"Зона дифференциации","Переходит в ожидаемое"),IF(E68="Безразличное","Низкий приоритет",IF(E68="Обратное","Риск отторжения","Требует проверки")))))</f>
        <v/>
      </c>
      <c r="J68" s="2" t="n"/>
      <c r="K68" s="2" t="n"/>
      <c r="L68" s="2" t="n"/>
    </row>
    <row r="69">
      <c r="A69" s="2" t="inlineStr">
        <is>
          <t>S063</t>
        </is>
      </c>
      <c r="B69" s="2" t="n"/>
      <c r="C69" s="2" t="n"/>
      <c r="D69" s="2" t="n"/>
      <c r="E69" s="2" t="n"/>
      <c r="F69" s="2" t="n"/>
      <c r="G69" s="5">
        <f>IF(F69="","",IFERROR(F69/MAX(1,COUNTIF('01_Конкуренты'!$B\$7:$B\$36,"?*")),""))</f>
        <v/>
      </c>
      <c r="H69" s="2" t="n"/>
      <c r="I69" s="2">
        <f>IF(B69="","",IF(OR(E69="Обязательное",E69="Линейное"),IF(G69&gt;=0.6,"Рыночный стандарт",IF(G69&gt;=0.35,"Формирующаяся норма","Проверить необходимость")),IF(E69="Привлекательное",IF(G69&lt;0.5,"Зона дифференциации","Переходит в ожидаемое"),IF(E69="Безразличное","Низкий приоритет",IF(E69="Обратное","Риск отторжения","Требует проверки")))))</f>
        <v/>
      </c>
      <c r="J69" s="2" t="n"/>
      <c r="K69" s="2" t="n"/>
      <c r="L69" s="2" t="n"/>
    </row>
    <row r="70">
      <c r="A70" s="2" t="inlineStr">
        <is>
          <t>S064</t>
        </is>
      </c>
      <c r="B70" s="2" t="n"/>
      <c r="C70" s="2" t="n"/>
      <c r="D70" s="2" t="n"/>
      <c r="E70" s="2" t="n"/>
      <c r="F70" s="2" t="n"/>
      <c r="G70" s="5">
        <f>IF(F70="","",IFERROR(F70/MAX(1,COUNTIF('01_Конкуренты'!$B\$7:$B\$36,"?*")),""))</f>
        <v/>
      </c>
      <c r="H70" s="2" t="n"/>
      <c r="I70" s="2">
        <f>IF(B70="","",IF(OR(E70="Обязательное",E70="Линейное"),IF(G70&gt;=0.6,"Рыночный стандарт",IF(G70&gt;=0.35,"Формирующаяся норма","Проверить необходимость")),IF(E70="Привлекательное",IF(G70&lt;0.5,"Зона дифференциации","Переходит в ожидаемое"),IF(E70="Безразличное","Низкий приоритет",IF(E70="Обратное","Риск отторжения","Требует проверки")))))</f>
        <v/>
      </c>
      <c r="J70" s="2" t="n"/>
      <c r="K70" s="2" t="n"/>
      <c r="L70" s="2" t="n"/>
    </row>
    <row r="71">
      <c r="A71" s="2" t="inlineStr">
        <is>
          <t>S065</t>
        </is>
      </c>
      <c r="B71" s="2" t="n"/>
      <c r="C71" s="2" t="n"/>
      <c r="D71" s="2" t="n"/>
      <c r="E71" s="2" t="n"/>
      <c r="F71" s="2" t="n"/>
      <c r="G71" s="5">
        <f>IF(F71="","",IFERROR(F71/MAX(1,COUNTIF('01_Конкуренты'!$B\$7:$B\$36,"?*")),""))</f>
        <v/>
      </c>
      <c r="H71" s="2" t="n"/>
      <c r="I71" s="2">
        <f>IF(B71="","",IF(OR(E71="Обязательное",E71="Линейное"),IF(G71&gt;=0.6,"Рыночный стандарт",IF(G71&gt;=0.35,"Формирующаяся норма","Проверить необходимость")),IF(E71="Привлекательное",IF(G71&lt;0.5,"Зона дифференциации","Переходит в ожидаемое"),IF(E71="Безразличное","Низкий приоритет",IF(E71="Обратное","Риск отторжения","Требует проверки")))))</f>
        <v/>
      </c>
      <c r="J71" s="2" t="n"/>
      <c r="K71" s="2" t="n"/>
      <c r="L71" s="2" t="n"/>
    </row>
    <row r="72">
      <c r="A72" s="2" t="inlineStr">
        <is>
          <t>S066</t>
        </is>
      </c>
      <c r="B72" s="2" t="n"/>
      <c r="C72" s="2" t="n"/>
      <c r="D72" s="2" t="n"/>
      <c r="E72" s="2" t="n"/>
      <c r="F72" s="2" t="n"/>
      <c r="G72" s="5">
        <f>IF(F72="","",IFERROR(F72/MAX(1,COUNTIF('01_Конкуренты'!$B\$7:$B\$36,"?*")),""))</f>
        <v/>
      </c>
      <c r="H72" s="2" t="n"/>
      <c r="I72" s="2">
        <f>IF(B72="","",IF(OR(E72="Обязательное",E72="Линейное"),IF(G72&gt;=0.6,"Рыночный стандарт",IF(G72&gt;=0.35,"Формирующаяся норма","Проверить необходимость")),IF(E72="Привлекательное",IF(G72&lt;0.5,"Зона дифференциации","Переходит в ожидаемое"),IF(E72="Безразличное","Низкий приоритет",IF(E72="Обратное","Риск отторжения","Требует проверки")))))</f>
        <v/>
      </c>
      <c r="J72" s="2" t="n"/>
      <c r="K72" s="2" t="n"/>
      <c r="L72" s="2" t="n"/>
    </row>
    <row r="73">
      <c r="A73" s="2" t="inlineStr">
        <is>
          <t>S067</t>
        </is>
      </c>
      <c r="B73" s="2" t="n"/>
      <c r="C73" s="2" t="n"/>
      <c r="D73" s="2" t="n"/>
      <c r="E73" s="2" t="n"/>
      <c r="F73" s="2" t="n"/>
      <c r="G73" s="5">
        <f>IF(F73="","",IFERROR(F73/MAX(1,COUNTIF('01_Конкуренты'!$B\$7:$B\$36,"?*")),""))</f>
        <v/>
      </c>
      <c r="H73" s="2" t="n"/>
      <c r="I73" s="2">
        <f>IF(B73="","",IF(OR(E73="Обязательное",E73="Линейное"),IF(G73&gt;=0.6,"Рыночный стандарт",IF(G73&gt;=0.35,"Формирующаяся норма","Проверить необходимость")),IF(E73="Привлекательное",IF(G73&lt;0.5,"Зона дифференциации","Переходит в ожидаемое"),IF(E73="Безразличное","Низкий приоритет",IF(E73="Обратное","Риск отторжения","Требует проверки")))))</f>
        <v/>
      </c>
      <c r="J73" s="2" t="n"/>
      <c r="K73" s="2" t="n"/>
      <c r="L73" s="2" t="n"/>
    </row>
    <row r="74">
      <c r="A74" s="2" t="inlineStr">
        <is>
          <t>S068</t>
        </is>
      </c>
      <c r="B74" s="2" t="n"/>
      <c r="C74" s="2" t="n"/>
      <c r="D74" s="2" t="n"/>
      <c r="E74" s="2" t="n"/>
      <c r="F74" s="2" t="n"/>
      <c r="G74" s="5">
        <f>IF(F74="","",IFERROR(F74/MAX(1,COUNTIF('01_Конкуренты'!$B\$7:$B\$36,"?*")),""))</f>
        <v/>
      </c>
      <c r="H74" s="2" t="n"/>
      <c r="I74" s="2">
        <f>IF(B74="","",IF(OR(E74="Обязательное",E74="Линейное"),IF(G74&gt;=0.6,"Рыночный стандарт",IF(G74&gt;=0.35,"Формирующаяся норма","Проверить необходимость")),IF(E74="Привлекательное",IF(G74&lt;0.5,"Зона дифференциации","Переходит в ожидаемое"),IF(E74="Безразличное","Низкий приоритет",IF(E74="Обратное","Риск отторжения","Требует проверки")))))</f>
        <v/>
      </c>
      <c r="J74" s="2" t="n"/>
      <c r="K74" s="2" t="n"/>
      <c r="L74" s="2" t="n"/>
    </row>
    <row r="75">
      <c r="A75" s="2" t="inlineStr">
        <is>
          <t>S069</t>
        </is>
      </c>
      <c r="B75" s="2" t="n"/>
      <c r="C75" s="2" t="n"/>
      <c r="D75" s="2" t="n"/>
      <c r="E75" s="2" t="n"/>
      <c r="F75" s="2" t="n"/>
      <c r="G75" s="5">
        <f>IF(F75="","",IFERROR(F75/MAX(1,COUNTIF('01_Конкуренты'!$B\$7:$B\$36,"?*")),""))</f>
        <v/>
      </c>
      <c r="H75" s="2" t="n"/>
      <c r="I75" s="2">
        <f>IF(B75="","",IF(OR(E75="Обязательное",E75="Линейное"),IF(G75&gt;=0.6,"Рыночный стандарт",IF(G75&gt;=0.35,"Формирующаяся норма","Проверить необходимость")),IF(E75="Привлекательное",IF(G75&lt;0.5,"Зона дифференциации","Переходит в ожидаемое"),IF(E75="Безразличное","Низкий приоритет",IF(E75="Обратное","Риск отторжения","Требует проверки")))))</f>
        <v/>
      </c>
      <c r="J75" s="2" t="n"/>
      <c r="K75" s="2" t="n"/>
      <c r="L75" s="2" t="n"/>
    </row>
    <row r="76">
      <c r="A76" s="2" t="inlineStr">
        <is>
          <t>S070</t>
        </is>
      </c>
      <c r="B76" s="2" t="n"/>
      <c r="C76" s="2" t="n"/>
      <c r="D76" s="2" t="n"/>
      <c r="E76" s="2" t="n"/>
      <c r="F76" s="2" t="n"/>
      <c r="G76" s="5">
        <f>IF(F76="","",IFERROR(F76/MAX(1,COUNTIF('01_Конкуренты'!$B\$7:$B\$36,"?*")),""))</f>
        <v/>
      </c>
      <c r="H76" s="2" t="n"/>
      <c r="I76" s="2">
        <f>IF(B76="","",IF(OR(E76="Обязательное",E76="Линейное"),IF(G76&gt;=0.6,"Рыночный стандарт",IF(G76&gt;=0.35,"Формирующаяся норма","Проверить необходимость")),IF(E76="Привлекательное",IF(G76&lt;0.5,"Зона дифференциации","Переходит в ожидаемое"),IF(E76="Безразличное","Низкий приоритет",IF(E76="Обратное","Риск отторжения","Требует проверки")))))</f>
        <v/>
      </c>
      <c r="J76" s="2" t="n"/>
      <c r="K76" s="2" t="n"/>
      <c r="L76" s="2" t="n"/>
    </row>
    <row r="77">
      <c r="A77" s="2" t="inlineStr">
        <is>
          <t>S071</t>
        </is>
      </c>
      <c r="B77" s="2" t="n"/>
      <c r="C77" s="2" t="n"/>
      <c r="D77" s="2" t="n"/>
      <c r="E77" s="2" t="n"/>
      <c r="F77" s="2" t="n"/>
      <c r="G77" s="5">
        <f>IF(F77="","",IFERROR(F77/MAX(1,COUNTIF('01_Конкуренты'!$B\$7:$B\$36,"?*")),""))</f>
        <v/>
      </c>
      <c r="H77" s="2" t="n"/>
      <c r="I77" s="2">
        <f>IF(B77="","",IF(OR(E77="Обязательное",E77="Линейное"),IF(G77&gt;=0.6,"Рыночный стандарт",IF(G77&gt;=0.35,"Формирующаяся норма","Проверить необходимость")),IF(E77="Привлекательное",IF(G77&lt;0.5,"Зона дифференциации","Переходит в ожидаемое"),IF(E77="Безразличное","Низкий приоритет",IF(E77="Обратное","Риск отторжения","Требует проверки")))))</f>
        <v/>
      </c>
      <c r="J77" s="2" t="n"/>
      <c r="K77" s="2" t="n"/>
      <c r="L77" s="2" t="n"/>
    </row>
    <row r="78">
      <c r="A78" s="2" t="inlineStr">
        <is>
          <t>S072</t>
        </is>
      </c>
      <c r="B78" s="2" t="n"/>
      <c r="C78" s="2" t="n"/>
      <c r="D78" s="2" t="n"/>
      <c r="E78" s="2" t="n"/>
      <c r="F78" s="2" t="n"/>
      <c r="G78" s="5">
        <f>IF(F78="","",IFERROR(F78/MAX(1,COUNTIF('01_Конкуренты'!$B\$7:$B\$36,"?*")),""))</f>
        <v/>
      </c>
      <c r="H78" s="2" t="n"/>
      <c r="I78" s="2">
        <f>IF(B78="","",IF(OR(E78="Обязательное",E78="Линейное"),IF(G78&gt;=0.6,"Рыночный стандарт",IF(G78&gt;=0.35,"Формирующаяся норма","Проверить необходимость")),IF(E78="Привлекательное",IF(G78&lt;0.5,"Зона дифференциации","Переходит в ожидаемое"),IF(E78="Безразличное","Низкий приоритет",IF(E78="Обратное","Риск отторжения","Требует проверки")))))</f>
        <v/>
      </c>
      <c r="J78" s="2" t="n"/>
      <c r="K78" s="2" t="n"/>
      <c r="L78" s="2" t="n"/>
    </row>
    <row r="79">
      <c r="A79" s="2" t="inlineStr">
        <is>
          <t>S073</t>
        </is>
      </c>
      <c r="B79" s="2" t="n"/>
      <c r="C79" s="2" t="n"/>
      <c r="D79" s="2" t="n"/>
      <c r="E79" s="2" t="n"/>
      <c r="F79" s="2" t="n"/>
      <c r="G79" s="5">
        <f>IF(F79="","",IFERROR(F79/MAX(1,COUNTIF('01_Конкуренты'!$B\$7:$B\$36,"?*")),""))</f>
        <v/>
      </c>
      <c r="H79" s="2" t="n"/>
      <c r="I79" s="2">
        <f>IF(B79="","",IF(OR(E79="Обязательное",E79="Линейное"),IF(G79&gt;=0.6,"Рыночный стандарт",IF(G79&gt;=0.35,"Формирующаяся норма","Проверить необходимость")),IF(E79="Привлекательное",IF(G79&lt;0.5,"Зона дифференциации","Переходит в ожидаемое"),IF(E79="Безразличное","Низкий приоритет",IF(E79="Обратное","Риск отторжения","Требует проверки")))))</f>
        <v/>
      </c>
      <c r="J79" s="2" t="n"/>
      <c r="K79" s="2" t="n"/>
      <c r="L79" s="2" t="n"/>
    </row>
    <row r="80">
      <c r="A80" s="2" t="inlineStr">
        <is>
          <t>S074</t>
        </is>
      </c>
      <c r="B80" s="2" t="n"/>
      <c r="C80" s="2" t="n"/>
      <c r="D80" s="2" t="n"/>
      <c r="E80" s="2" t="n"/>
      <c r="F80" s="2" t="n"/>
      <c r="G80" s="5">
        <f>IF(F80="","",IFERROR(F80/MAX(1,COUNTIF('01_Конкуренты'!$B\$7:$B\$36,"?*")),""))</f>
        <v/>
      </c>
      <c r="H80" s="2" t="n"/>
      <c r="I80" s="2">
        <f>IF(B80="","",IF(OR(E80="Обязательное",E80="Линейное"),IF(G80&gt;=0.6,"Рыночный стандарт",IF(G80&gt;=0.35,"Формирующаяся норма","Проверить необходимость")),IF(E80="Привлекательное",IF(G80&lt;0.5,"Зона дифференциации","Переходит в ожидаемое"),IF(E80="Безразличное","Низкий приоритет",IF(E80="Обратное","Риск отторжения","Требует проверки")))))</f>
        <v/>
      </c>
      <c r="J80" s="2" t="n"/>
      <c r="K80" s="2" t="n"/>
      <c r="L80" s="2" t="n"/>
    </row>
    <row r="81">
      <c r="A81" s="2" t="inlineStr">
        <is>
          <t>S075</t>
        </is>
      </c>
      <c r="B81" s="2" t="n"/>
      <c r="C81" s="2" t="n"/>
      <c r="D81" s="2" t="n"/>
      <c r="E81" s="2" t="n"/>
      <c r="F81" s="2" t="n"/>
      <c r="G81" s="5">
        <f>IF(F81="","",IFERROR(F81/MAX(1,COUNTIF('01_Конкуренты'!$B\$7:$B\$36,"?*")),""))</f>
        <v/>
      </c>
      <c r="H81" s="2" t="n"/>
      <c r="I81" s="2">
        <f>IF(B81="","",IF(OR(E81="Обязательное",E81="Линейное"),IF(G81&gt;=0.6,"Рыночный стандарт",IF(G81&gt;=0.35,"Формирующаяся норма","Проверить необходимость")),IF(E81="Привлекательное",IF(G81&lt;0.5,"Зона дифференциации","Переходит в ожидаемое"),IF(E81="Безразличное","Низкий приоритет",IF(E81="Обратное","Риск отторжения","Требует проверки")))))</f>
        <v/>
      </c>
      <c r="J81" s="2" t="n"/>
      <c r="K81" s="2" t="n"/>
      <c r="L81" s="2" t="n"/>
    </row>
    <row r="82">
      <c r="A82" s="2" t="inlineStr">
        <is>
          <t>S076</t>
        </is>
      </c>
      <c r="B82" s="2" t="n"/>
      <c r="C82" s="2" t="n"/>
      <c r="D82" s="2" t="n"/>
      <c r="E82" s="2" t="n"/>
      <c r="F82" s="2" t="n"/>
      <c r="G82" s="5">
        <f>IF(F82="","",IFERROR(F82/MAX(1,COUNTIF('01_Конкуренты'!$B\$7:$B\$36,"?*")),""))</f>
        <v/>
      </c>
      <c r="H82" s="2" t="n"/>
      <c r="I82" s="2">
        <f>IF(B82="","",IF(OR(E82="Обязательное",E82="Линейное"),IF(G82&gt;=0.6,"Рыночный стандарт",IF(G82&gt;=0.35,"Формирующаяся норма","Проверить необходимость")),IF(E82="Привлекательное",IF(G82&lt;0.5,"Зона дифференциации","Переходит в ожидаемое"),IF(E82="Безразличное","Низкий приоритет",IF(E82="Обратное","Риск отторжения","Требует проверки")))))</f>
        <v/>
      </c>
      <c r="J82" s="2" t="n"/>
      <c r="K82" s="2" t="n"/>
      <c r="L82" s="2" t="n"/>
    </row>
    <row r="83">
      <c r="A83" s="2" t="inlineStr">
        <is>
          <t>S077</t>
        </is>
      </c>
      <c r="B83" s="2" t="n"/>
      <c r="C83" s="2" t="n"/>
      <c r="D83" s="2" t="n"/>
      <c r="E83" s="2" t="n"/>
      <c r="F83" s="2" t="n"/>
      <c r="G83" s="5">
        <f>IF(F83="","",IFERROR(F83/MAX(1,COUNTIF('01_Конкуренты'!$B\$7:$B\$36,"?*")),""))</f>
        <v/>
      </c>
      <c r="H83" s="2" t="n"/>
      <c r="I83" s="2">
        <f>IF(B83="","",IF(OR(E83="Обязательное",E83="Линейное"),IF(G83&gt;=0.6,"Рыночный стандарт",IF(G83&gt;=0.35,"Формирующаяся норма","Проверить необходимость")),IF(E83="Привлекательное",IF(G83&lt;0.5,"Зона дифференциации","Переходит в ожидаемое"),IF(E83="Безразличное","Низкий приоритет",IF(E83="Обратное","Риск отторжения","Требует проверки")))))</f>
        <v/>
      </c>
      <c r="J83" s="2" t="n"/>
      <c r="K83" s="2" t="n"/>
      <c r="L83" s="2" t="n"/>
    </row>
    <row r="84">
      <c r="A84" s="2" t="inlineStr">
        <is>
          <t>S078</t>
        </is>
      </c>
      <c r="B84" s="2" t="n"/>
      <c r="C84" s="2" t="n"/>
      <c r="D84" s="2" t="n"/>
      <c r="E84" s="2" t="n"/>
      <c r="F84" s="2" t="n"/>
      <c r="G84" s="5">
        <f>IF(F84="","",IFERROR(F84/MAX(1,COUNTIF('01_Конкуренты'!$B\$7:$B\$36,"?*")),""))</f>
        <v/>
      </c>
      <c r="H84" s="2" t="n"/>
      <c r="I84" s="2">
        <f>IF(B84="","",IF(OR(E84="Обязательное",E84="Линейное"),IF(G84&gt;=0.6,"Рыночный стандарт",IF(G84&gt;=0.35,"Формирующаяся норма","Проверить необходимость")),IF(E84="Привлекательное",IF(G84&lt;0.5,"Зона дифференциации","Переходит в ожидаемое"),IF(E84="Безразличное","Низкий приоритет",IF(E84="Обратное","Риск отторжения","Требует проверки")))))</f>
        <v/>
      </c>
      <c r="J84" s="2" t="n"/>
      <c r="K84" s="2" t="n"/>
      <c r="L84" s="2" t="n"/>
    </row>
    <row r="85">
      <c r="A85" s="2" t="inlineStr">
        <is>
          <t>S079</t>
        </is>
      </c>
      <c r="B85" s="2" t="n"/>
      <c r="C85" s="2" t="n"/>
      <c r="D85" s="2" t="n"/>
      <c r="E85" s="2" t="n"/>
      <c r="F85" s="2" t="n"/>
      <c r="G85" s="5">
        <f>IF(F85="","",IFERROR(F85/MAX(1,COUNTIF('01_Конкуренты'!$B\$7:$B\$36,"?*")),""))</f>
        <v/>
      </c>
      <c r="H85" s="2" t="n"/>
      <c r="I85" s="2">
        <f>IF(B85="","",IF(OR(E85="Обязательное",E85="Линейное"),IF(G85&gt;=0.6,"Рыночный стандарт",IF(G85&gt;=0.35,"Формирующаяся норма","Проверить необходимость")),IF(E85="Привлекательное",IF(G85&lt;0.5,"Зона дифференциации","Переходит в ожидаемое"),IF(E85="Безразличное","Низкий приоритет",IF(E85="Обратное","Риск отторжения","Требует проверки")))))</f>
        <v/>
      </c>
      <c r="J85" s="2" t="n"/>
      <c r="K85" s="2" t="n"/>
      <c r="L85" s="2" t="n"/>
    </row>
    <row r="86">
      <c r="A86" s="2" t="inlineStr">
        <is>
          <t>S080</t>
        </is>
      </c>
      <c r="B86" s="2" t="n"/>
      <c r="C86" s="2" t="n"/>
      <c r="D86" s="2" t="n"/>
      <c r="E86" s="2" t="n"/>
      <c r="F86" s="2" t="n"/>
      <c r="G86" s="5">
        <f>IF(F86="","",IFERROR(F86/MAX(1,COUNTIF('01_Конкуренты'!$B\$7:$B\$36,"?*")),""))</f>
        <v/>
      </c>
      <c r="H86" s="2" t="n"/>
      <c r="I86" s="2">
        <f>IF(B86="","",IF(OR(E86="Обязательное",E86="Линейное"),IF(G86&gt;=0.6,"Рыночный стандарт",IF(G86&gt;=0.35,"Формирующаяся норма","Проверить необходимость")),IF(E86="Привлекательное",IF(G86&lt;0.5,"Зона дифференциации","Переходит в ожидаемое"),IF(E86="Безразличное","Низкий приоритет",IF(E86="Обратное","Риск отторжения","Требует проверки")))))</f>
        <v/>
      </c>
      <c r="J86" s="2" t="n"/>
      <c r="K86" s="2" t="n"/>
      <c r="L86" s="2" t="n"/>
    </row>
    <row r="87">
      <c r="A87" s="2" t="inlineStr">
        <is>
          <t>S081</t>
        </is>
      </c>
      <c r="B87" s="2" t="n"/>
      <c r="C87" s="2" t="n"/>
      <c r="D87" s="2" t="n"/>
      <c r="E87" s="2" t="n"/>
      <c r="F87" s="2" t="n"/>
      <c r="G87" s="5">
        <f>IF(F87="","",IFERROR(F87/MAX(1,COUNTIF('01_Конкуренты'!$B\$7:$B\$36,"?*")),""))</f>
        <v/>
      </c>
      <c r="H87" s="2" t="n"/>
      <c r="I87" s="2">
        <f>IF(B87="","",IF(OR(E87="Обязательное",E87="Линейное"),IF(G87&gt;=0.6,"Рыночный стандарт",IF(G87&gt;=0.35,"Формирующаяся норма","Проверить необходимость")),IF(E87="Привлекательное",IF(G87&lt;0.5,"Зона дифференциации","Переходит в ожидаемое"),IF(E87="Безразличное","Низкий приоритет",IF(E87="Обратное","Риск отторжения","Требует проверки")))))</f>
        <v/>
      </c>
      <c r="J87" s="2" t="n"/>
      <c r="K87" s="2" t="n"/>
      <c r="L87" s="2" t="n"/>
    </row>
    <row r="88">
      <c r="A88" s="2" t="inlineStr">
        <is>
          <t>S082</t>
        </is>
      </c>
      <c r="B88" s="2" t="n"/>
      <c r="C88" s="2" t="n"/>
      <c r="D88" s="2" t="n"/>
      <c r="E88" s="2" t="n"/>
      <c r="F88" s="2" t="n"/>
      <c r="G88" s="5">
        <f>IF(F88="","",IFERROR(F88/MAX(1,COUNTIF('01_Конкуренты'!$B\$7:$B\$36,"?*")),""))</f>
        <v/>
      </c>
      <c r="H88" s="2" t="n"/>
      <c r="I88" s="2">
        <f>IF(B88="","",IF(OR(E88="Обязательное",E88="Линейное"),IF(G88&gt;=0.6,"Рыночный стандарт",IF(G88&gt;=0.35,"Формирующаяся норма","Проверить необходимость")),IF(E88="Привлекательное",IF(G88&lt;0.5,"Зона дифференциации","Переходит в ожидаемое"),IF(E88="Безразличное","Низкий приоритет",IF(E88="Обратное","Риск отторжения","Требует проверки")))))</f>
        <v/>
      </c>
      <c r="J88" s="2" t="n"/>
      <c r="K88" s="2" t="n"/>
      <c r="L88" s="2" t="n"/>
    </row>
    <row r="89">
      <c r="A89" s="2" t="inlineStr">
        <is>
          <t>S083</t>
        </is>
      </c>
      <c r="B89" s="2" t="n"/>
      <c r="C89" s="2" t="n"/>
      <c r="D89" s="2" t="n"/>
      <c r="E89" s="2" t="n"/>
      <c r="F89" s="2" t="n"/>
      <c r="G89" s="5">
        <f>IF(F89="","",IFERROR(F89/MAX(1,COUNTIF('01_Конкуренты'!$B\$7:$B\$36,"?*")),""))</f>
        <v/>
      </c>
      <c r="H89" s="2" t="n"/>
      <c r="I89" s="2">
        <f>IF(B89="","",IF(OR(E89="Обязательное",E89="Линейное"),IF(G89&gt;=0.6,"Рыночный стандарт",IF(G89&gt;=0.35,"Формирующаяся норма","Проверить необходимость")),IF(E89="Привлекательное",IF(G89&lt;0.5,"Зона дифференциации","Переходит в ожидаемое"),IF(E89="Безразличное","Низкий приоритет",IF(E89="Обратное","Риск отторжения","Требует проверки")))))</f>
        <v/>
      </c>
      <c r="J89" s="2" t="n"/>
      <c r="K89" s="2" t="n"/>
      <c r="L89" s="2" t="n"/>
    </row>
    <row r="90">
      <c r="A90" s="2" t="inlineStr">
        <is>
          <t>S084</t>
        </is>
      </c>
      <c r="B90" s="2" t="n"/>
      <c r="C90" s="2" t="n"/>
      <c r="D90" s="2" t="n"/>
      <c r="E90" s="2" t="n"/>
      <c r="F90" s="2" t="n"/>
      <c r="G90" s="5">
        <f>IF(F90="","",IFERROR(F90/MAX(1,COUNTIF('01_Конкуренты'!$B\$7:$B\$36,"?*")),""))</f>
        <v/>
      </c>
      <c r="H90" s="2" t="n"/>
      <c r="I90" s="2">
        <f>IF(B90="","",IF(OR(E90="Обязательное",E90="Линейное"),IF(G90&gt;=0.6,"Рыночный стандарт",IF(G90&gt;=0.35,"Формирующаяся норма","Проверить необходимость")),IF(E90="Привлекательное",IF(G90&lt;0.5,"Зона дифференциации","Переходит в ожидаемое"),IF(E90="Безразличное","Низкий приоритет",IF(E90="Обратное","Риск отторжения","Требует проверки")))))</f>
        <v/>
      </c>
      <c r="J90" s="2" t="n"/>
      <c r="K90" s="2" t="n"/>
      <c r="L90" s="2" t="n"/>
    </row>
    <row r="91">
      <c r="A91" s="2" t="inlineStr">
        <is>
          <t>S085</t>
        </is>
      </c>
      <c r="B91" s="2" t="n"/>
      <c r="C91" s="2" t="n"/>
      <c r="D91" s="2" t="n"/>
      <c r="E91" s="2" t="n"/>
      <c r="F91" s="2" t="n"/>
      <c r="G91" s="5">
        <f>IF(F91="","",IFERROR(F91/MAX(1,COUNTIF('01_Конкуренты'!$B\$7:$B\$36,"?*")),""))</f>
        <v/>
      </c>
      <c r="H91" s="2" t="n"/>
      <c r="I91" s="2">
        <f>IF(B91="","",IF(OR(E91="Обязательное",E91="Линейное"),IF(G91&gt;=0.6,"Рыночный стандарт",IF(G91&gt;=0.35,"Формирующаяся норма","Проверить необходимость")),IF(E91="Привлекательное",IF(G91&lt;0.5,"Зона дифференциации","Переходит в ожидаемое"),IF(E91="Безразличное","Низкий приоритет",IF(E91="Обратное","Риск отторжения","Требует проверки")))))</f>
        <v/>
      </c>
      <c r="J91" s="2" t="n"/>
      <c r="K91" s="2" t="n"/>
      <c r="L91" s="2" t="n"/>
    </row>
    <row r="92">
      <c r="A92" s="2" t="inlineStr">
        <is>
          <t>S086</t>
        </is>
      </c>
      <c r="B92" s="2" t="n"/>
      <c r="C92" s="2" t="n"/>
      <c r="D92" s="2" t="n"/>
      <c r="E92" s="2" t="n"/>
      <c r="F92" s="2" t="n"/>
      <c r="G92" s="5">
        <f>IF(F92="","",IFERROR(F92/MAX(1,COUNTIF('01_Конкуренты'!$B\$7:$B\$36,"?*")),""))</f>
        <v/>
      </c>
      <c r="H92" s="2" t="n"/>
      <c r="I92" s="2">
        <f>IF(B92="","",IF(OR(E92="Обязательное",E92="Линейное"),IF(G92&gt;=0.6,"Рыночный стандарт",IF(G92&gt;=0.35,"Формирующаяся норма","Проверить необходимость")),IF(E92="Привлекательное",IF(G92&lt;0.5,"Зона дифференциации","Переходит в ожидаемое"),IF(E92="Безразличное","Низкий приоритет",IF(E92="Обратное","Риск отторжения","Требует проверки")))))</f>
        <v/>
      </c>
      <c r="J92" s="2" t="n"/>
      <c r="K92" s="2" t="n"/>
      <c r="L92" s="2" t="n"/>
    </row>
    <row r="93">
      <c r="A93" s="2" t="inlineStr">
        <is>
          <t>S087</t>
        </is>
      </c>
      <c r="B93" s="2" t="n"/>
      <c r="C93" s="2" t="n"/>
      <c r="D93" s="2" t="n"/>
      <c r="E93" s="2" t="n"/>
      <c r="F93" s="2" t="n"/>
      <c r="G93" s="5">
        <f>IF(F93="","",IFERROR(F93/MAX(1,COUNTIF('01_Конкуренты'!$B\$7:$B\$36,"?*")),""))</f>
        <v/>
      </c>
      <c r="H93" s="2" t="n"/>
      <c r="I93" s="2">
        <f>IF(B93="","",IF(OR(E93="Обязательное",E93="Линейное"),IF(G93&gt;=0.6,"Рыночный стандарт",IF(G93&gt;=0.35,"Формирующаяся норма","Проверить необходимость")),IF(E93="Привлекательное",IF(G93&lt;0.5,"Зона дифференциации","Переходит в ожидаемое"),IF(E93="Безразличное","Низкий приоритет",IF(E93="Обратное","Риск отторжения","Требует проверки")))))</f>
        <v/>
      </c>
      <c r="J93" s="2" t="n"/>
      <c r="K93" s="2" t="n"/>
      <c r="L93" s="2" t="n"/>
    </row>
    <row r="94">
      <c r="A94" s="2" t="inlineStr">
        <is>
          <t>S088</t>
        </is>
      </c>
      <c r="B94" s="2" t="n"/>
      <c r="C94" s="2" t="n"/>
      <c r="D94" s="2" t="n"/>
      <c r="E94" s="2" t="n"/>
      <c r="F94" s="2" t="n"/>
      <c r="G94" s="5">
        <f>IF(F94="","",IFERROR(F94/MAX(1,COUNTIF('01_Конкуренты'!$B\$7:$B\$36,"?*")),""))</f>
        <v/>
      </c>
      <c r="H94" s="2" t="n"/>
      <c r="I94" s="2">
        <f>IF(B94="","",IF(OR(E94="Обязательное",E94="Линейное"),IF(G94&gt;=0.6,"Рыночный стандарт",IF(G94&gt;=0.35,"Формирующаяся норма","Проверить необходимость")),IF(E94="Привлекательное",IF(G94&lt;0.5,"Зона дифференциации","Переходит в ожидаемое"),IF(E94="Безразличное","Низкий приоритет",IF(E94="Обратное","Риск отторжения","Требует проверки")))))</f>
        <v/>
      </c>
      <c r="J94" s="2" t="n"/>
      <c r="K94" s="2" t="n"/>
      <c r="L94" s="2" t="n"/>
    </row>
    <row r="95">
      <c r="A95" s="2" t="inlineStr">
        <is>
          <t>S089</t>
        </is>
      </c>
      <c r="B95" s="2" t="n"/>
      <c r="C95" s="2" t="n"/>
      <c r="D95" s="2" t="n"/>
      <c r="E95" s="2" t="n"/>
      <c r="F95" s="2" t="n"/>
      <c r="G95" s="5">
        <f>IF(F95="","",IFERROR(F95/MAX(1,COUNTIF('01_Конкуренты'!$B\$7:$B\$36,"?*")),""))</f>
        <v/>
      </c>
      <c r="H95" s="2" t="n"/>
      <c r="I95" s="2">
        <f>IF(B95="","",IF(OR(E95="Обязательное",E95="Линейное"),IF(G95&gt;=0.6,"Рыночный стандарт",IF(G95&gt;=0.35,"Формирующаяся норма","Проверить необходимость")),IF(E95="Привлекательное",IF(G95&lt;0.5,"Зона дифференциации","Переходит в ожидаемое"),IF(E95="Безразличное","Низкий приоритет",IF(E95="Обратное","Риск отторжения","Требует проверки")))))</f>
        <v/>
      </c>
      <c r="J95" s="2" t="n"/>
      <c r="K95" s="2" t="n"/>
      <c r="L95" s="2" t="n"/>
    </row>
    <row r="96">
      <c r="A96" s="2" t="inlineStr">
        <is>
          <t>S090</t>
        </is>
      </c>
      <c r="B96" s="2" t="n"/>
      <c r="C96" s="2" t="n"/>
      <c r="D96" s="2" t="n"/>
      <c r="E96" s="2" t="n"/>
      <c r="F96" s="2" t="n"/>
      <c r="G96" s="5">
        <f>IF(F96="","",IFERROR(F96/MAX(1,COUNTIF('01_Конкуренты'!$B\$7:$B\$36,"?*")),""))</f>
        <v/>
      </c>
      <c r="H96" s="2" t="n"/>
      <c r="I96" s="2">
        <f>IF(B96="","",IF(OR(E96="Обязательное",E96="Линейное"),IF(G96&gt;=0.6,"Рыночный стандарт",IF(G96&gt;=0.35,"Формирующаяся норма","Проверить необходимость")),IF(E96="Привлекательное",IF(G96&lt;0.5,"Зона дифференциации","Переходит в ожидаемое"),IF(E96="Безразличное","Низкий приоритет",IF(E96="Обратное","Риск отторжения","Требует проверки")))))</f>
        <v/>
      </c>
      <c r="J96" s="2" t="n"/>
      <c r="K96" s="2" t="n"/>
      <c r="L96" s="2" t="n"/>
    </row>
    <row r="97">
      <c r="A97" s="2" t="inlineStr">
        <is>
          <t>S091</t>
        </is>
      </c>
      <c r="B97" s="2" t="n"/>
      <c r="C97" s="2" t="n"/>
      <c r="D97" s="2" t="n"/>
      <c r="E97" s="2" t="n"/>
      <c r="F97" s="2" t="n"/>
      <c r="G97" s="5">
        <f>IF(F97="","",IFERROR(F97/MAX(1,COUNTIF('01_Конкуренты'!$B\$7:$B\$36,"?*")),""))</f>
        <v/>
      </c>
      <c r="H97" s="2" t="n"/>
      <c r="I97" s="2">
        <f>IF(B97="","",IF(OR(E97="Обязательное",E97="Линейное"),IF(G97&gt;=0.6,"Рыночный стандарт",IF(G97&gt;=0.35,"Формирующаяся норма","Проверить необходимость")),IF(E97="Привлекательное",IF(G97&lt;0.5,"Зона дифференциации","Переходит в ожидаемое"),IF(E97="Безразличное","Низкий приоритет",IF(E97="Обратное","Риск отторжения","Требует проверки")))))</f>
        <v/>
      </c>
      <c r="J97" s="2" t="n"/>
      <c r="K97" s="2" t="n"/>
      <c r="L97" s="2" t="n"/>
    </row>
    <row r="98">
      <c r="A98" s="2" t="inlineStr">
        <is>
          <t>S092</t>
        </is>
      </c>
      <c r="B98" s="2" t="n"/>
      <c r="C98" s="2" t="n"/>
      <c r="D98" s="2" t="n"/>
      <c r="E98" s="2" t="n"/>
      <c r="F98" s="2" t="n"/>
      <c r="G98" s="5">
        <f>IF(F98="","",IFERROR(F98/MAX(1,COUNTIF('01_Конкуренты'!$B\$7:$B\$36,"?*")),""))</f>
        <v/>
      </c>
      <c r="H98" s="2" t="n"/>
      <c r="I98" s="2">
        <f>IF(B98="","",IF(OR(E98="Обязательное",E98="Линейное"),IF(G98&gt;=0.6,"Рыночный стандарт",IF(G98&gt;=0.35,"Формирующаяся норма","Проверить необходимость")),IF(E98="Привлекательное",IF(G98&lt;0.5,"Зона дифференциации","Переходит в ожидаемое"),IF(E98="Безразличное","Низкий приоритет",IF(E98="Обратное","Риск отторжения","Требует проверки")))))</f>
        <v/>
      </c>
      <c r="J98" s="2" t="n"/>
      <c r="K98" s="2" t="n"/>
      <c r="L98" s="2" t="n"/>
    </row>
    <row r="99">
      <c r="A99" s="2" t="inlineStr">
        <is>
          <t>S093</t>
        </is>
      </c>
      <c r="B99" s="2" t="n"/>
      <c r="C99" s="2" t="n"/>
      <c r="D99" s="2" t="n"/>
      <c r="E99" s="2" t="n"/>
      <c r="F99" s="2" t="n"/>
      <c r="G99" s="5">
        <f>IF(F99="","",IFERROR(F99/MAX(1,COUNTIF('01_Конкуренты'!$B\$7:$B\$36,"?*")),""))</f>
        <v/>
      </c>
      <c r="H99" s="2" t="n"/>
      <c r="I99" s="2">
        <f>IF(B99="","",IF(OR(E99="Обязательное",E99="Линейное"),IF(G99&gt;=0.6,"Рыночный стандарт",IF(G99&gt;=0.35,"Формирующаяся норма","Проверить необходимость")),IF(E99="Привлекательное",IF(G99&lt;0.5,"Зона дифференциации","Переходит в ожидаемое"),IF(E99="Безразличное","Низкий приоритет",IF(E99="Обратное","Риск отторжения","Требует проверки")))))</f>
        <v/>
      </c>
      <c r="J99" s="2" t="n"/>
      <c r="K99" s="2" t="n"/>
      <c r="L99" s="2" t="n"/>
    </row>
    <row r="100">
      <c r="A100" s="2" t="inlineStr">
        <is>
          <t>S094</t>
        </is>
      </c>
      <c r="B100" s="2" t="n"/>
      <c r="C100" s="2" t="n"/>
      <c r="D100" s="2" t="n"/>
      <c r="E100" s="2" t="n"/>
      <c r="F100" s="2" t="n"/>
      <c r="G100" s="5">
        <f>IF(F100="","",IFERROR(F100/MAX(1,COUNTIF('01_Конкуренты'!$B\$7:$B\$36,"?*")),""))</f>
        <v/>
      </c>
      <c r="H100" s="2" t="n"/>
      <c r="I100" s="2">
        <f>IF(B100="","",IF(OR(E100="Обязательное",E100="Линейное"),IF(G100&gt;=0.6,"Рыночный стандарт",IF(G100&gt;=0.35,"Формирующаяся норма","Проверить необходимость")),IF(E100="Привлекательное",IF(G100&lt;0.5,"Зона дифференциации","Переходит в ожидаемое"),IF(E100="Безразличное","Низкий приоритет",IF(E100="Обратное","Риск отторжения","Требует проверки")))))</f>
        <v/>
      </c>
      <c r="J100" s="2" t="n"/>
      <c r="K100" s="2" t="n"/>
      <c r="L100" s="2" t="n"/>
    </row>
    <row r="101">
      <c r="A101" s="2" t="inlineStr">
        <is>
          <t>S095</t>
        </is>
      </c>
      <c r="B101" s="2" t="n"/>
      <c r="C101" s="2" t="n"/>
      <c r="D101" s="2" t="n"/>
      <c r="E101" s="2" t="n"/>
      <c r="F101" s="2" t="n"/>
      <c r="G101" s="5">
        <f>IF(F101="","",IFERROR(F101/MAX(1,COUNTIF('01_Конкуренты'!$B\$7:$B\$36,"?*")),""))</f>
        <v/>
      </c>
      <c r="H101" s="2" t="n"/>
      <c r="I101" s="2">
        <f>IF(B101="","",IF(OR(E101="Обязательное",E101="Линейное"),IF(G101&gt;=0.6,"Рыночный стандарт",IF(G101&gt;=0.35,"Формирующаяся норма","Проверить необходимость")),IF(E101="Привлекательное",IF(G101&lt;0.5,"Зона дифференциации","Переходит в ожидаемое"),IF(E101="Безразличное","Низкий приоритет",IF(E101="Обратное","Риск отторжения","Требует проверки")))))</f>
        <v/>
      </c>
      <c r="J101" s="2" t="n"/>
      <c r="K101" s="2" t="n"/>
      <c r="L101" s="2" t="n"/>
    </row>
    <row r="102">
      <c r="A102" s="2" t="inlineStr">
        <is>
          <t>S096</t>
        </is>
      </c>
      <c r="B102" s="2" t="n"/>
      <c r="C102" s="2" t="n"/>
      <c r="D102" s="2" t="n"/>
      <c r="E102" s="2" t="n"/>
      <c r="F102" s="2" t="n"/>
      <c r="G102" s="5">
        <f>IF(F102="","",IFERROR(F102/MAX(1,COUNTIF('01_Конкуренты'!$B\$7:$B\$36,"?*")),""))</f>
        <v/>
      </c>
      <c r="H102" s="2" t="n"/>
      <c r="I102" s="2">
        <f>IF(B102="","",IF(OR(E102="Обязательное",E102="Линейное"),IF(G102&gt;=0.6,"Рыночный стандарт",IF(G102&gt;=0.35,"Формирующаяся норма","Проверить необходимость")),IF(E102="Привлекательное",IF(G102&lt;0.5,"Зона дифференциации","Переходит в ожидаемое"),IF(E102="Безразличное","Низкий приоритет",IF(E102="Обратное","Риск отторжения","Требует проверки")))))</f>
        <v/>
      </c>
      <c r="J102" s="2" t="n"/>
      <c r="K102" s="2" t="n"/>
      <c r="L102" s="2" t="n"/>
    </row>
    <row r="103">
      <c r="A103" s="2" t="inlineStr">
        <is>
          <t>S097</t>
        </is>
      </c>
      <c r="B103" s="2" t="n"/>
      <c r="C103" s="2" t="n"/>
      <c r="D103" s="2" t="n"/>
      <c r="E103" s="2" t="n"/>
      <c r="F103" s="2" t="n"/>
      <c r="G103" s="5">
        <f>IF(F103="","",IFERROR(F103/MAX(1,COUNTIF('01_Конкуренты'!$B\$7:$B\$36,"?*")),""))</f>
        <v/>
      </c>
      <c r="H103" s="2" t="n"/>
      <c r="I103" s="2">
        <f>IF(B103="","",IF(OR(E103="Обязательное",E103="Линейное"),IF(G103&gt;=0.6,"Рыночный стандарт",IF(G103&gt;=0.35,"Формирующаяся норма","Проверить необходимость")),IF(E103="Привлекательное",IF(G103&lt;0.5,"Зона дифференциации","Переходит в ожидаемое"),IF(E103="Безразличное","Низкий приоритет",IF(E103="Обратное","Риск отторжения","Требует проверки")))))</f>
        <v/>
      </c>
      <c r="J103" s="2" t="n"/>
      <c r="K103" s="2" t="n"/>
      <c r="L103" s="2" t="n"/>
    </row>
    <row r="104">
      <c r="A104" s="2" t="inlineStr">
        <is>
          <t>S098</t>
        </is>
      </c>
      <c r="B104" s="2" t="n"/>
      <c r="C104" s="2" t="n"/>
      <c r="D104" s="2" t="n"/>
      <c r="E104" s="2" t="n"/>
      <c r="F104" s="2" t="n"/>
      <c r="G104" s="5">
        <f>IF(F104="","",IFERROR(F104/MAX(1,COUNTIF('01_Конкуренты'!$B\$7:$B\$36,"?*")),""))</f>
        <v/>
      </c>
      <c r="H104" s="2" t="n"/>
      <c r="I104" s="2">
        <f>IF(B104="","",IF(OR(E104="Обязательное",E104="Линейное"),IF(G104&gt;=0.6,"Рыночный стандарт",IF(G104&gt;=0.35,"Формирующаяся норма","Проверить необходимость")),IF(E104="Привлекательное",IF(G104&lt;0.5,"Зона дифференциации","Переходит в ожидаемое"),IF(E104="Безразличное","Низкий приоритет",IF(E104="Обратное","Риск отторжения","Требует проверки")))))</f>
        <v/>
      </c>
      <c r="J104" s="2" t="n"/>
      <c r="K104" s="2" t="n"/>
      <c r="L104" s="2" t="n"/>
    </row>
    <row r="105">
      <c r="A105" s="2" t="inlineStr">
        <is>
          <t>S099</t>
        </is>
      </c>
      <c r="B105" s="2" t="n"/>
      <c r="C105" s="2" t="n"/>
      <c r="D105" s="2" t="n"/>
      <c r="E105" s="2" t="n"/>
      <c r="F105" s="2" t="n"/>
      <c r="G105" s="5">
        <f>IF(F105="","",IFERROR(F105/MAX(1,COUNTIF('01_Конкуренты'!$B\$7:$B\$36,"?*")),""))</f>
        <v/>
      </c>
      <c r="H105" s="2" t="n"/>
      <c r="I105" s="2">
        <f>IF(B105="","",IF(OR(E105="Обязательное",E105="Линейное"),IF(G105&gt;=0.6,"Рыночный стандарт",IF(G105&gt;=0.35,"Формирующаяся норма","Проверить необходимость")),IF(E105="Привлекательное",IF(G105&lt;0.5,"Зона дифференциации","Переходит в ожидаемое"),IF(E105="Безразличное","Низкий приоритет",IF(E105="Обратное","Риск отторжения","Требует проверки")))))</f>
        <v/>
      </c>
      <c r="J105" s="2" t="n"/>
      <c r="K105" s="2" t="n"/>
      <c r="L105" s="2" t="n"/>
    </row>
    <row r="106">
      <c r="A106" s="2" t="inlineStr">
        <is>
          <t>S100</t>
        </is>
      </c>
      <c r="B106" s="2" t="n"/>
      <c r="C106" s="2" t="n"/>
      <c r="D106" s="2" t="n"/>
      <c r="E106" s="2" t="n"/>
      <c r="F106" s="2" t="n"/>
      <c r="G106" s="5">
        <f>IF(F106="","",IFERROR(F106/MAX(1,COUNTIF('01_Конкуренты'!$B\$7:$B\$36,"?*")),""))</f>
        <v/>
      </c>
      <c r="H106" s="2" t="n"/>
      <c r="I106" s="2">
        <f>IF(B106="","",IF(OR(E106="Обязательное",E106="Линейное"),IF(G106&gt;=0.6,"Рыночный стандарт",IF(G106&gt;=0.35,"Формирующаяся норма","Проверить необходимость")),IF(E106="Привлекательное",IF(G106&lt;0.5,"Зона дифференциации","Переходит в ожидаемое"),IF(E106="Безразличное","Низкий приоритет",IF(E106="Обратное","Риск отторжения","Требует проверки")))))</f>
        <v/>
      </c>
      <c r="J106" s="2" t="n"/>
      <c r="K106" s="2" t="n"/>
      <c r="L106" s="2" t="n"/>
    </row>
    <row r="107">
      <c r="A107" s="2" t="inlineStr">
        <is>
          <t>S101</t>
        </is>
      </c>
      <c r="B107" s="2" t="n"/>
      <c r="C107" s="2" t="n"/>
      <c r="D107" s="2" t="n"/>
      <c r="E107" s="2" t="n"/>
      <c r="F107" s="2" t="n"/>
      <c r="G107" s="5">
        <f>IF(F107="","",IFERROR(F107/MAX(1,COUNTIF('01_Конкуренты'!$B\$7:$B\$36,"?*")),""))</f>
        <v/>
      </c>
      <c r="H107" s="2" t="n"/>
      <c r="I107" s="2">
        <f>IF(B107="","",IF(OR(E107="Обязательное",E107="Линейное"),IF(G107&gt;=0.6,"Рыночный стандарт",IF(G107&gt;=0.35,"Формирующаяся норма","Проверить необходимость")),IF(E107="Привлекательное",IF(G107&lt;0.5,"Зона дифференциации","Переходит в ожидаемое"),IF(E107="Безразличное","Низкий приоритет",IF(E107="Обратное","Риск отторжения","Требует проверки")))))</f>
        <v/>
      </c>
      <c r="J107" s="2" t="n"/>
      <c r="K107" s="2" t="n"/>
      <c r="L107" s="2" t="n"/>
    </row>
    <row r="108">
      <c r="A108" s="2" t="inlineStr">
        <is>
          <t>S102</t>
        </is>
      </c>
      <c r="B108" s="2" t="n"/>
      <c r="C108" s="2" t="n"/>
      <c r="D108" s="2" t="n"/>
      <c r="E108" s="2" t="n"/>
      <c r="F108" s="2" t="n"/>
      <c r="G108" s="5">
        <f>IF(F108="","",IFERROR(F108/MAX(1,COUNTIF('01_Конкуренты'!$B\$7:$B\$36,"?*")),""))</f>
        <v/>
      </c>
      <c r="H108" s="2" t="n"/>
      <c r="I108" s="2">
        <f>IF(B108="","",IF(OR(E108="Обязательное",E108="Линейное"),IF(G108&gt;=0.6,"Рыночный стандарт",IF(G108&gt;=0.35,"Формирующаяся норма","Проверить необходимость")),IF(E108="Привлекательное",IF(G108&lt;0.5,"Зона дифференциации","Переходит в ожидаемое"),IF(E108="Безразличное","Низкий приоритет",IF(E108="Обратное","Риск отторжения","Требует проверки")))))</f>
        <v/>
      </c>
      <c r="J108" s="2" t="n"/>
      <c r="K108" s="2" t="n"/>
      <c r="L108" s="2" t="n"/>
    </row>
    <row r="109">
      <c r="A109" s="2" t="inlineStr">
        <is>
          <t>S103</t>
        </is>
      </c>
      <c r="B109" s="2" t="n"/>
      <c r="C109" s="2" t="n"/>
      <c r="D109" s="2" t="n"/>
      <c r="E109" s="2" t="n"/>
      <c r="F109" s="2" t="n"/>
      <c r="G109" s="5">
        <f>IF(F109="","",IFERROR(F109/MAX(1,COUNTIF('01_Конкуренты'!$B\$7:$B\$36,"?*")),""))</f>
        <v/>
      </c>
      <c r="H109" s="2" t="n"/>
      <c r="I109" s="2">
        <f>IF(B109="","",IF(OR(E109="Обязательное",E109="Линейное"),IF(G109&gt;=0.6,"Рыночный стандарт",IF(G109&gt;=0.35,"Формирующаяся норма","Проверить необходимость")),IF(E109="Привлекательное",IF(G109&lt;0.5,"Зона дифференциации","Переходит в ожидаемое"),IF(E109="Безразличное","Низкий приоритет",IF(E109="Обратное","Риск отторжения","Требует проверки")))))</f>
        <v/>
      </c>
      <c r="J109" s="2" t="n"/>
      <c r="K109" s="2" t="n"/>
      <c r="L109" s="2" t="n"/>
    </row>
    <row r="110">
      <c r="A110" s="2" t="inlineStr">
        <is>
          <t>S104</t>
        </is>
      </c>
      <c r="B110" s="2" t="n"/>
      <c r="C110" s="2" t="n"/>
      <c r="D110" s="2" t="n"/>
      <c r="E110" s="2" t="n"/>
      <c r="F110" s="2" t="n"/>
      <c r="G110" s="5">
        <f>IF(F110="","",IFERROR(F110/MAX(1,COUNTIF('01_Конкуренты'!$B\$7:$B\$36,"?*")),""))</f>
        <v/>
      </c>
      <c r="H110" s="2" t="n"/>
      <c r="I110" s="2">
        <f>IF(B110="","",IF(OR(E110="Обязательное",E110="Линейное"),IF(G110&gt;=0.6,"Рыночный стандарт",IF(G110&gt;=0.35,"Формирующаяся норма","Проверить необходимость")),IF(E110="Привлекательное",IF(G110&lt;0.5,"Зона дифференциации","Переходит в ожидаемое"),IF(E110="Безразличное","Низкий приоритет",IF(E110="Обратное","Риск отторжения","Требует проверки")))))</f>
        <v/>
      </c>
      <c r="J110" s="2" t="n"/>
      <c r="K110" s="2" t="n"/>
      <c r="L110" s="2" t="n"/>
    </row>
    <row r="111">
      <c r="A111" s="2" t="inlineStr">
        <is>
          <t>S105</t>
        </is>
      </c>
      <c r="B111" s="2" t="n"/>
      <c r="C111" s="2" t="n"/>
      <c r="D111" s="2" t="n"/>
      <c r="E111" s="2" t="n"/>
      <c r="F111" s="2" t="n"/>
      <c r="G111" s="5">
        <f>IF(F111="","",IFERROR(F111/MAX(1,COUNTIF('01_Конкуренты'!$B\$7:$B\$36,"?*")),""))</f>
        <v/>
      </c>
      <c r="H111" s="2" t="n"/>
      <c r="I111" s="2">
        <f>IF(B111="","",IF(OR(E111="Обязательное",E111="Линейное"),IF(G111&gt;=0.6,"Рыночный стандарт",IF(G111&gt;=0.35,"Формирующаяся норма","Проверить необходимость")),IF(E111="Привлекательное",IF(G111&lt;0.5,"Зона дифференциации","Переходит в ожидаемое"),IF(E111="Безразличное","Низкий приоритет",IF(E111="Обратное","Риск отторжения","Требует проверки")))))</f>
        <v/>
      </c>
      <c r="J111" s="2" t="n"/>
      <c r="K111" s="2" t="n"/>
      <c r="L111" s="2" t="n"/>
    </row>
    <row r="112">
      <c r="A112" s="2" t="inlineStr">
        <is>
          <t>S106</t>
        </is>
      </c>
      <c r="B112" s="2" t="n"/>
      <c r="C112" s="2" t="n"/>
      <c r="D112" s="2" t="n"/>
      <c r="E112" s="2" t="n"/>
      <c r="F112" s="2" t="n"/>
      <c r="G112" s="5">
        <f>IF(F112="","",IFERROR(F112/MAX(1,COUNTIF('01_Конкуренты'!$B\$7:$B\$36,"?*")),""))</f>
        <v/>
      </c>
      <c r="H112" s="2" t="n"/>
      <c r="I112" s="2">
        <f>IF(B112="","",IF(OR(E112="Обязательное",E112="Линейное"),IF(G112&gt;=0.6,"Рыночный стандарт",IF(G112&gt;=0.35,"Формирующаяся норма","Проверить необходимость")),IF(E112="Привлекательное",IF(G112&lt;0.5,"Зона дифференциации","Переходит в ожидаемое"),IF(E112="Безразличное","Низкий приоритет",IF(E112="Обратное","Риск отторжения","Требует проверки")))))</f>
        <v/>
      </c>
      <c r="J112" s="2" t="n"/>
      <c r="K112" s="2" t="n"/>
      <c r="L112" s="2" t="n"/>
    </row>
    <row r="113">
      <c r="A113" s="2" t="inlineStr">
        <is>
          <t>S107</t>
        </is>
      </c>
      <c r="B113" s="2" t="n"/>
      <c r="C113" s="2" t="n"/>
      <c r="D113" s="2" t="n"/>
      <c r="E113" s="2" t="n"/>
      <c r="F113" s="2" t="n"/>
      <c r="G113" s="5">
        <f>IF(F113="","",IFERROR(F113/MAX(1,COUNTIF('01_Конкуренты'!$B\$7:$B\$36,"?*")),""))</f>
        <v/>
      </c>
      <c r="H113" s="2" t="n"/>
      <c r="I113" s="2">
        <f>IF(B113="","",IF(OR(E113="Обязательное",E113="Линейное"),IF(G113&gt;=0.6,"Рыночный стандарт",IF(G113&gt;=0.35,"Формирующаяся норма","Проверить необходимость")),IF(E113="Привлекательное",IF(G113&lt;0.5,"Зона дифференциации","Переходит в ожидаемое"),IF(E113="Безразличное","Низкий приоритет",IF(E113="Обратное","Риск отторжения","Требует проверки")))))</f>
        <v/>
      </c>
      <c r="J113" s="2" t="n"/>
      <c r="K113" s="2" t="n"/>
      <c r="L113" s="2" t="n"/>
    </row>
    <row r="114">
      <c r="A114" s="2" t="inlineStr">
        <is>
          <t>S108</t>
        </is>
      </c>
      <c r="B114" s="2" t="n"/>
      <c r="C114" s="2" t="n"/>
      <c r="D114" s="2" t="n"/>
      <c r="E114" s="2" t="n"/>
      <c r="F114" s="2" t="n"/>
      <c r="G114" s="5">
        <f>IF(F114="","",IFERROR(F114/MAX(1,COUNTIF('01_Конкуренты'!$B\$7:$B\$36,"?*")),""))</f>
        <v/>
      </c>
      <c r="H114" s="2" t="n"/>
      <c r="I114" s="2">
        <f>IF(B114="","",IF(OR(E114="Обязательное",E114="Линейное"),IF(G114&gt;=0.6,"Рыночный стандарт",IF(G114&gt;=0.35,"Формирующаяся норма","Проверить необходимость")),IF(E114="Привлекательное",IF(G114&lt;0.5,"Зона дифференциации","Переходит в ожидаемое"),IF(E114="Безразличное","Низкий приоритет",IF(E114="Обратное","Риск отторжения","Требует проверки")))))</f>
        <v/>
      </c>
      <c r="J114" s="2" t="n"/>
      <c r="K114" s="2" t="n"/>
      <c r="L114" s="2" t="n"/>
    </row>
    <row r="115">
      <c r="A115" s="2" t="inlineStr">
        <is>
          <t>S109</t>
        </is>
      </c>
      <c r="B115" s="2" t="n"/>
      <c r="C115" s="2" t="n"/>
      <c r="D115" s="2" t="n"/>
      <c r="E115" s="2" t="n"/>
      <c r="F115" s="2" t="n"/>
      <c r="G115" s="5">
        <f>IF(F115="","",IFERROR(F115/MAX(1,COUNTIF('01_Конкуренты'!$B\$7:$B\$36,"?*")),""))</f>
        <v/>
      </c>
      <c r="H115" s="2" t="n"/>
      <c r="I115" s="2">
        <f>IF(B115="","",IF(OR(E115="Обязательное",E115="Линейное"),IF(G115&gt;=0.6,"Рыночный стандарт",IF(G115&gt;=0.35,"Формирующаяся норма","Проверить необходимость")),IF(E115="Привлекательное",IF(G115&lt;0.5,"Зона дифференциации","Переходит в ожидаемое"),IF(E115="Безразличное","Низкий приоритет",IF(E115="Обратное","Риск отторжения","Требует проверки")))))</f>
        <v/>
      </c>
      <c r="J115" s="2" t="n"/>
      <c r="K115" s="2" t="n"/>
      <c r="L115" s="2" t="n"/>
    </row>
    <row r="116">
      <c r="A116" s="2" t="inlineStr">
        <is>
          <t>S110</t>
        </is>
      </c>
      <c r="B116" s="2" t="n"/>
      <c r="C116" s="2" t="n"/>
      <c r="D116" s="2" t="n"/>
      <c r="E116" s="2" t="n"/>
      <c r="F116" s="2" t="n"/>
      <c r="G116" s="5">
        <f>IF(F116="","",IFERROR(F116/MAX(1,COUNTIF('01_Конкуренты'!$B\$7:$B\$36,"?*")),""))</f>
        <v/>
      </c>
      <c r="H116" s="2" t="n"/>
      <c r="I116" s="2">
        <f>IF(B116="","",IF(OR(E116="Обязательное",E116="Линейное"),IF(G116&gt;=0.6,"Рыночный стандарт",IF(G116&gt;=0.35,"Формирующаяся норма","Проверить необходимость")),IF(E116="Привлекательное",IF(G116&lt;0.5,"Зона дифференциации","Переходит в ожидаемое"),IF(E116="Безразличное","Низкий приоритет",IF(E116="Обратное","Риск отторжения","Требует проверки")))))</f>
        <v/>
      </c>
      <c r="J116" s="2" t="n"/>
      <c r="K116" s="2" t="n"/>
      <c r="L116" s="2" t="n"/>
    </row>
    <row r="117">
      <c r="A117" s="2" t="inlineStr">
        <is>
          <t>S111</t>
        </is>
      </c>
      <c r="B117" s="2" t="n"/>
      <c r="C117" s="2" t="n"/>
      <c r="D117" s="2" t="n"/>
      <c r="E117" s="2" t="n"/>
      <c r="F117" s="2" t="n"/>
      <c r="G117" s="5">
        <f>IF(F117="","",IFERROR(F117/MAX(1,COUNTIF('01_Конкуренты'!$B\$7:$B\$36,"?*")),""))</f>
        <v/>
      </c>
      <c r="H117" s="2" t="n"/>
      <c r="I117" s="2">
        <f>IF(B117="","",IF(OR(E117="Обязательное",E117="Линейное"),IF(G117&gt;=0.6,"Рыночный стандарт",IF(G117&gt;=0.35,"Формирующаяся норма","Проверить необходимость")),IF(E117="Привлекательное",IF(G117&lt;0.5,"Зона дифференциации","Переходит в ожидаемое"),IF(E117="Безразличное","Низкий приоритет",IF(E117="Обратное","Риск отторжения","Требует проверки")))))</f>
        <v/>
      </c>
      <c r="J117" s="2" t="n"/>
      <c r="K117" s="2" t="n"/>
      <c r="L117" s="2" t="n"/>
    </row>
    <row r="118">
      <c r="A118" s="2" t="inlineStr">
        <is>
          <t>S112</t>
        </is>
      </c>
      <c r="B118" s="2" t="n"/>
      <c r="C118" s="2" t="n"/>
      <c r="D118" s="2" t="n"/>
      <c r="E118" s="2" t="n"/>
      <c r="F118" s="2" t="n"/>
      <c r="G118" s="5">
        <f>IF(F118="","",IFERROR(F118/MAX(1,COUNTIF('01_Конкуренты'!$B\$7:$B\$36,"?*")),""))</f>
        <v/>
      </c>
      <c r="H118" s="2" t="n"/>
      <c r="I118" s="2">
        <f>IF(B118="","",IF(OR(E118="Обязательное",E118="Линейное"),IF(G118&gt;=0.6,"Рыночный стандарт",IF(G118&gt;=0.35,"Формирующаяся норма","Проверить необходимость")),IF(E118="Привлекательное",IF(G118&lt;0.5,"Зона дифференциации","Переходит в ожидаемое"),IF(E118="Безразличное","Низкий приоритет",IF(E118="Обратное","Риск отторжения","Требует проверки")))))</f>
        <v/>
      </c>
      <c r="J118" s="2" t="n"/>
      <c r="K118" s="2" t="n"/>
      <c r="L118" s="2" t="n"/>
    </row>
    <row r="119">
      <c r="A119" s="2" t="inlineStr">
        <is>
          <t>S113</t>
        </is>
      </c>
      <c r="B119" s="2" t="n"/>
      <c r="C119" s="2" t="n"/>
      <c r="D119" s="2" t="n"/>
      <c r="E119" s="2" t="n"/>
      <c r="F119" s="2" t="n"/>
      <c r="G119" s="5">
        <f>IF(F119="","",IFERROR(F119/MAX(1,COUNTIF('01_Конкуренты'!$B\$7:$B\$36,"?*")),""))</f>
        <v/>
      </c>
      <c r="H119" s="2" t="n"/>
      <c r="I119" s="2">
        <f>IF(B119="","",IF(OR(E119="Обязательное",E119="Линейное"),IF(G119&gt;=0.6,"Рыночный стандарт",IF(G119&gt;=0.35,"Формирующаяся норма","Проверить необходимость")),IF(E119="Привлекательное",IF(G119&lt;0.5,"Зона дифференциации","Переходит в ожидаемое"),IF(E119="Безразличное","Низкий приоритет",IF(E119="Обратное","Риск отторжения","Требует проверки")))))</f>
        <v/>
      </c>
      <c r="J119" s="2" t="n"/>
      <c r="K119" s="2" t="n"/>
      <c r="L119" s="2" t="n"/>
    </row>
    <row r="120">
      <c r="A120" s="2" t="inlineStr">
        <is>
          <t>S114</t>
        </is>
      </c>
      <c r="B120" s="2" t="n"/>
      <c r="C120" s="2" t="n"/>
      <c r="D120" s="2" t="n"/>
      <c r="E120" s="2" t="n"/>
      <c r="F120" s="2" t="n"/>
      <c r="G120" s="5">
        <f>IF(F120="","",IFERROR(F120/MAX(1,COUNTIF('01_Конкуренты'!$B\$7:$B\$36,"?*")),""))</f>
        <v/>
      </c>
      <c r="H120" s="2" t="n"/>
      <c r="I120" s="2">
        <f>IF(B120="","",IF(OR(E120="Обязательное",E120="Линейное"),IF(G120&gt;=0.6,"Рыночный стандарт",IF(G120&gt;=0.35,"Формирующаяся норма","Проверить необходимость")),IF(E120="Привлекательное",IF(G120&lt;0.5,"Зона дифференциации","Переходит в ожидаемое"),IF(E120="Безразличное","Низкий приоритет",IF(E120="Обратное","Риск отторжения","Требует проверки")))))</f>
        <v/>
      </c>
      <c r="J120" s="2" t="n"/>
      <c r="K120" s="2" t="n"/>
      <c r="L120" s="2" t="n"/>
    </row>
    <row r="121">
      <c r="A121" s="2" t="inlineStr">
        <is>
          <t>S115</t>
        </is>
      </c>
      <c r="B121" s="2" t="n"/>
      <c r="C121" s="2" t="n"/>
      <c r="D121" s="2" t="n"/>
      <c r="E121" s="2" t="n"/>
      <c r="F121" s="2" t="n"/>
      <c r="G121" s="5">
        <f>IF(F121="","",IFERROR(F121/MAX(1,COUNTIF('01_Конкуренты'!$B\$7:$B\$36,"?*")),""))</f>
        <v/>
      </c>
      <c r="H121" s="2" t="n"/>
      <c r="I121" s="2">
        <f>IF(B121="","",IF(OR(E121="Обязательное",E121="Линейное"),IF(G121&gt;=0.6,"Рыночный стандарт",IF(G121&gt;=0.35,"Формирующаяся норма","Проверить необходимость")),IF(E121="Привлекательное",IF(G121&lt;0.5,"Зона дифференциации","Переходит в ожидаемое"),IF(E121="Безразличное","Низкий приоритет",IF(E121="Обратное","Риск отторжения","Требует проверки")))))</f>
        <v/>
      </c>
      <c r="J121" s="2" t="n"/>
      <c r="K121" s="2" t="n"/>
      <c r="L121" s="2" t="n"/>
    </row>
    <row r="122">
      <c r="A122" s="2" t="inlineStr">
        <is>
          <t>S116</t>
        </is>
      </c>
      <c r="B122" s="2" t="n"/>
      <c r="C122" s="2" t="n"/>
      <c r="D122" s="2" t="n"/>
      <c r="E122" s="2" t="n"/>
      <c r="F122" s="2" t="n"/>
      <c r="G122" s="5">
        <f>IF(F122="","",IFERROR(F122/MAX(1,COUNTIF('01_Конкуренты'!$B\$7:$B\$36,"?*")),""))</f>
        <v/>
      </c>
      <c r="H122" s="2" t="n"/>
      <c r="I122" s="2">
        <f>IF(B122="","",IF(OR(E122="Обязательное",E122="Линейное"),IF(G122&gt;=0.6,"Рыночный стандарт",IF(G122&gt;=0.35,"Формирующаяся норма","Проверить необходимость")),IF(E122="Привлекательное",IF(G122&lt;0.5,"Зона дифференциации","Переходит в ожидаемое"),IF(E122="Безразличное","Низкий приоритет",IF(E122="Обратное","Риск отторжения","Требует проверки")))))</f>
        <v/>
      </c>
      <c r="J122" s="2" t="n"/>
      <c r="K122" s="2" t="n"/>
      <c r="L122" s="2" t="n"/>
    </row>
    <row r="123">
      <c r="A123" s="2" t="inlineStr">
        <is>
          <t>S117</t>
        </is>
      </c>
      <c r="B123" s="2" t="n"/>
      <c r="C123" s="2" t="n"/>
      <c r="D123" s="2" t="n"/>
      <c r="E123" s="2" t="n"/>
      <c r="F123" s="2" t="n"/>
      <c r="G123" s="5">
        <f>IF(F123="","",IFERROR(F123/MAX(1,COUNTIF('01_Конкуренты'!$B\$7:$B\$36,"?*")),""))</f>
        <v/>
      </c>
      <c r="H123" s="2" t="n"/>
      <c r="I123" s="2">
        <f>IF(B123="","",IF(OR(E123="Обязательное",E123="Линейное"),IF(G123&gt;=0.6,"Рыночный стандарт",IF(G123&gt;=0.35,"Формирующаяся норма","Проверить необходимость")),IF(E123="Привлекательное",IF(G123&lt;0.5,"Зона дифференциации","Переходит в ожидаемое"),IF(E123="Безразличное","Низкий приоритет",IF(E123="Обратное","Риск отторжения","Требует проверки")))))</f>
        <v/>
      </c>
      <c r="J123" s="2" t="n"/>
      <c r="K123" s="2" t="n"/>
      <c r="L123" s="2" t="n"/>
    </row>
    <row r="124">
      <c r="A124" s="2" t="inlineStr">
        <is>
          <t>S118</t>
        </is>
      </c>
      <c r="B124" s="2" t="n"/>
      <c r="C124" s="2" t="n"/>
      <c r="D124" s="2" t="n"/>
      <c r="E124" s="2" t="n"/>
      <c r="F124" s="2" t="n"/>
      <c r="G124" s="5">
        <f>IF(F124="","",IFERROR(F124/MAX(1,COUNTIF('01_Конкуренты'!$B\$7:$B\$36,"?*")),""))</f>
        <v/>
      </c>
      <c r="H124" s="2" t="n"/>
      <c r="I124" s="2">
        <f>IF(B124="","",IF(OR(E124="Обязательное",E124="Линейное"),IF(G124&gt;=0.6,"Рыночный стандарт",IF(G124&gt;=0.35,"Формирующаяся норма","Проверить необходимость")),IF(E124="Привлекательное",IF(G124&lt;0.5,"Зона дифференциации","Переходит в ожидаемое"),IF(E124="Безразличное","Низкий приоритет",IF(E124="Обратное","Риск отторжения","Требует проверки")))))</f>
        <v/>
      </c>
      <c r="J124" s="2" t="n"/>
      <c r="K124" s="2" t="n"/>
      <c r="L124" s="2" t="n"/>
    </row>
    <row r="125">
      <c r="A125" s="2" t="inlineStr">
        <is>
          <t>S119</t>
        </is>
      </c>
      <c r="B125" s="2" t="n"/>
      <c r="C125" s="2" t="n"/>
      <c r="D125" s="2" t="n"/>
      <c r="E125" s="2" t="n"/>
      <c r="F125" s="2" t="n"/>
      <c r="G125" s="5">
        <f>IF(F125="","",IFERROR(F125/MAX(1,COUNTIF('01_Конкуренты'!$B\$7:$B\$36,"?*")),""))</f>
        <v/>
      </c>
      <c r="H125" s="2" t="n"/>
      <c r="I125" s="2">
        <f>IF(B125="","",IF(OR(E125="Обязательное",E125="Линейное"),IF(G125&gt;=0.6,"Рыночный стандарт",IF(G125&gt;=0.35,"Формирующаяся норма","Проверить необходимость")),IF(E125="Привлекательное",IF(G125&lt;0.5,"Зона дифференциации","Переходит в ожидаемое"),IF(E125="Безразличное","Низкий приоритет",IF(E125="Обратное","Риск отторжения","Требует проверки")))))</f>
        <v/>
      </c>
      <c r="J125" s="2" t="n"/>
      <c r="K125" s="2" t="n"/>
      <c r="L125" s="2" t="n"/>
    </row>
    <row r="126">
      <c r="A126" s="2" t="inlineStr">
        <is>
          <t>S120</t>
        </is>
      </c>
      <c r="B126" s="2" t="n"/>
      <c r="C126" s="2" t="n"/>
      <c r="D126" s="2" t="n"/>
      <c r="E126" s="2" t="n"/>
      <c r="F126" s="2" t="n"/>
      <c r="G126" s="5">
        <f>IF(F126="","",IFERROR(F126/MAX(1,COUNTIF('01_Конкуренты'!$B\$7:$B\$36,"?*")),""))</f>
        <v/>
      </c>
      <c r="H126" s="2" t="n"/>
      <c r="I126" s="2">
        <f>IF(B126="","",IF(OR(E126="Обязательное",E126="Линейное"),IF(G126&gt;=0.6,"Рыночный стандарт",IF(G126&gt;=0.35,"Формирующаяся норма","Проверить необходимость")),IF(E126="Привлекательное",IF(G126&lt;0.5,"Зона дифференциации","Переходит в ожидаемое"),IF(E126="Безразличное","Низкий приоритет",IF(E126="Обратное","Риск отторжения","Требует проверки")))))</f>
        <v/>
      </c>
      <c r="J126" s="2" t="n"/>
      <c r="K126" s="2" t="n"/>
      <c r="L126" s="2" t="n"/>
    </row>
    <row r="127">
      <c r="A127" s="2" t="inlineStr">
        <is>
          <t>S121</t>
        </is>
      </c>
      <c r="B127" s="2" t="n"/>
      <c r="C127" s="2" t="n"/>
      <c r="D127" s="2" t="n"/>
      <c r="E127" s="2" t="n"/>
      <c r="F127" s="2" t="n"/>
      <c r="G127" s="5">
        <f>IF(F127="","",IFERROR(F127/MAX(1,COUNTIF('01_Конкуренты'!$B\$7:$B\$36,"?*")),""))</f>
        <v/>
      </c>
      <c r="H127" s="2" t="n"/>
      <c r="I127" s="2">
        <f>IF(B127="","",IF(OR(E127="Обязательное",E127="Линейное"),IF(G127&gt;=0.6,"Рыночный стандарт",IF(G127&gt;=0.35,"Формирующаяся норма","Проверить необходимость")),IF(E127="Привлекательное",IF(G127&lt;0.5,"Зона дифференциации","Переходит в ожидаемое"),IF(E127="Безразличное","Низкий приоритет",IF(E127="Обратное","Риск отторжения","Требует проверки")))))</f>
        <v/>
      </c>
      <c r="J127" s="2" t="n"/>
      <c r="K127" s="2" t="n"/>
      <c r="L127" s="2" t="n"/>
    </row>
    <row r="128">
      <c r="A128" s="2" t="inlineStr">
        <is>
          <t>S122</t>
        </is>
      </c>
      <c r="B128" s="2" t="n"/>
      <c r="C128" s="2" t="n"/>
      <c r="D128" s="2" t="n"/>
      <c r="E128" s="2" t="n"/>
      <c r="F128" s="2" t="n"/>
      <c r="G128" s="5">
        <f>IF(F128="","",IFERROR(F128/MAX(1,COUNTIF('01_Конкуренты'!$B\$7:$B\$36,"?*")),""))</f>
        <v/>
      </c>
      <c r="H128" s="2" t="n"/>
      <c r="I128" s="2">
        <f>IF(B128="","",IF(OR(E128="Обязательное",E128="Линейное"),IF(G128&gt;=0.6,"Рыночный стандарт",IF(G128&gt;=0.35,"Формирующаяся норма","Проверить необходимость")),IF(E128="Привлекательное",IF(G128&lt;0.5,"Зона дифференциации","Переходит в ожидаемое"),IF(E128="Безразличное","Низкий приоритет",IF(E128="Обратное","Риск отторжения","Требует проверки")))))</f>
        <v/>
      </c>
      <c r="J128" s="2" t="n"/>
      <c r="K128" s="2" t="n"/>
      <c r="L128" s="2" t="n"/>
    </row>
    <row r="129">
      <c r="A129" s="2" t="inlineStr">
        <is>
          <t>S123</t>
        </is>
      </c>
      <c r="B129" s="2" t="n"/>
      <c r="C129" s="2" t="n"/>
      <c r="D129" s="2" t="n"/>
      <c r="E129" s="2" t="n"/>
      <c r="F129" s="2" t="n"/>
      <c r="G129" s="5">
        <f>IF(F129="","",IFERROR(F129/MAX(1,COUNTIF('01_Конкуренты'!$B\$7:$B\$36,"?*")),""))</f>
        <v/>
      </c>
      <c r="H129" s="2" t="n"/>
      <c r="I129" s="2">
        <f>IF(B129="","",IF(OR(E129="Обязательное",E129="Линейное"),IF(G129&gt;=0.6,"Рыночный стандарт",IF(G129&gt;=0.35,"Формирующаяся норма","Проверить необходимость")),IF(E129="Привлекательное",IF(G129&lt;0.5,"Зона дифференциации","Переходит в ожидаемое"),IF(E129="Безразличное","Низкий приоритет",IF(E129="Обратное","Риск отторжения","Требует проверки")))))</f>
        <v/>
      </c>
      <c r="J129" s="2" t="n"/>
      <c r="K129" s="2" t="n"/>
      <c r="L129" s="2" t="n"/>
    </row>
    <row r="130">
      <c r="A130" s="2" t="inlineStr">
        <is>
          <t>S124</t>
        </is>
      </c>
      <c r="B130" s="2" t="n"/>
      <c r="C130" s="2" t="n"/>
      <c r="D130" s="2" t="n"/>
      <c r="E130" s="2" t="n"/>
      <c r="F130" s="2" t="n"/>
      <c r="G130" s="5">
        <f>IF(F130="","",IFERROR(F130/MAX(1,COUNTIF('01_Конкуренты'!$B\$7:$B\$36,"?*")),""))</f>
        <v/>
      </c>
      <c r="H130" s="2" t="n"/>
      <c r="I130" s="2">
        <f>IF(B130="","",IF(OR(E130="Обязательное",E130="Линейное"),IF(G130&gt;=0.6,"Рыночный стандарт",IF(G130&gt;=0.35,"Формирующаяся норма","Проверить необходимость")),IF(E130="Привлекательное",IF(G130&lt;0.5,"Зона дифференциации","Переходит в ожидаемое"),IF(E130="Безразличное","Низкий приоритет",IF(E130="Обратное","Риск отторжения","Требует проверки")))))</f>
        <v/>
      </c>
      <c r="J130" s="2" t="n"/>
      <c r="K130" s="2" t="n"/>
      <c r="L130" s="2" t="n"/>
    </row>
    <row r="131">
      <c r="A131" s="2" t="inlineStr">
        <is>
          <t>S125</t>
        </is>
      </c>
      <c r="B131" s="2" t="n"/>
      <c r="C131" s="2" t="n"/>
      <c r="D131" s="2" t="n"/>
      <c r="E131" s="2" t="n"/>
      <c r="F131" s="2" t="n"/>
      <c r="G131" s="5">
        <f>IF(F131="","",IFERROR(F131/MAX(1,COUNTIF('01_Конкуренты'!$B\$7:$B\$36,"?*")),""))</f>
        <v/>
      </c>
      <c r="H131" s="2" t="n"/>
      <c r="I131" s="2">
        <f>IF(B131="","",IF(OR(E131="Обязательное",E131="Линейное"),IF(G131&gt;=0.6,"Рыночный стандарт",IF(G131&gt;=0.35,"Формирующаяся норма","Проверить необходимость")),IF(E131="Привлекательное",IF(G131&lt;0.5,"Зона дифференциации","Переходит в ожидаемое"),IF(E131="Безразличное","Низкий приоритет",IF(E131="Обратное","Риск отторжения","Требует проверки")))))</f>
        <v/>
      </c>
      <c r="J131" s="2" t="n"/>
      <c r="K131" s="2" t="n"/>
      <c r="L131" s="2" t="n"/>
    </row>
    <row r="132">
      <c r="A132" s="2" t="inlineStr">
        <is>
          <t>S126</t>
        </is>
      </c>
      <c r="B132" s="2" t="n"/>
      <c r="C132" s="2" t="n"/>
      <c r="D132" s="2" t="n"/>
      <c r="E132" s="2" t="n"/>
      <c r="F132" s="2" t="n"/>
      <c r="G132" s="5">
        <f>IF(F132="","",IFERROR(F132/MAX(1,COUNTIF('01_Конкуренты'!$B\$7:$B\$36,"?*")),""))</f>
        <v/>
      </c>
      <c r="H132" s="2" t="n"/>
      <c r="I132" s="2">
        <f>IF(B132="","",IF(OR(E132="Обязательное",E132="Линейное"),IF(G132&gt;=0.6,"Рыночный стандарт",IF(G132&gt;=0.35,"Формирующаяся норма","Проверить необходимость")),IF(E132="Привлекательное",IF(G132&lt;0.5,"Зона дифференциации","Переходит в ожидаемое"),IF(E132="Безразличное","Низкий приоритет",IF(E132="Обратное","Риск отторжения","Требует проверки")))))</f>
        <v/>
      </c>
      <c r="J132" s="2" t="n"/>
      <c r="K132" s="2" t="n"/>
      <c r="L132" s="2" t="n"/>
    </row>
    <row r="133">
      <c r="A133" s="2" t="inlineStr">
        <is>
          <t>S127</t>
        </is>
      </c>
      <c r="B133" s="2" t="n"/>
      <c r="C133" s="2" t="n"/>
      <c r="D133" s="2" t="n"/>
      <c r="E133" s="2" t="n"/>
      <c r="F133" s="2" t="n"/>
      <c r="G133" s="5">
        <f>IF(F133="","",IFERROR(F133/MAX(1,COUNTIF('01_Конкуренты'!$B\$7:$B\$36,"?*")),""))</f>
        <v/>
      </c>
      <c r="H133" s="2" t="n"/>
      <c r="I133" s="2">
        <f>IF(B133="","",IF(OR(E133="Обязательное",E133="Линейное"),IF(G133&gt;=0.6,"Рыночный стандарт",IF(G133&gt;=0.35,"Формирующаяся норма","Проверить необходимость")),IF(E133="Привлекательное",IF(G133&lt;0.5,"Зона дифференциации","Переходит в ожидаемое"),IF(E133="Безразличное","Низкий приоритет",IF(E133="Обратное","Риск отторжения","Требует проверки")))))</f>
        <v/>
      </c>
      <c r="J133" s="2" t="n"/>
      <c r="K133" s="2" t="n"/>
      <c r="L133" s="2" t="n"/>
    </row>
    <row r="134">
      <c r="A134" s="2" t="inlineStr">
        <is>
          <t>S128</t>
        </is>
      </c>
      <c r="B134" s="2" t="n"/>
      <c r="C134" s="2" t="n"/>
      <c r="D134" s="2" t="n"/>
      <c r="E134" s="2" t="n"/>
      <c r="F134" s="2" t="n"/>
      <c r="G134" s="5">
        <f>IF(F134="","",IFERROR(F134/MAX(1,COUNTIF('01_Конкуренты'!$B\$7:$B\$36,"?*")),""))</f>
        <v/>
      </c>
      <c r="H134" s="2" t="n"/>
      <c r="I134" s="2">
        <f>IF(B134="","",IF(OR(E134="Обязательное",E134="Линейное"),IF(G134&gt;=0.6,"Рыночный стандарт",IF(G134&gt;=0.35,"Формирующаяся норма","Проверить необходимость")),IF(E134="Привлекательное",IF(G134&lt;0.5,"Зона дифференциации","Переходит в ожидаемое"),IF(E134="Безразличное","Низкий приоритет",IF(E134="Обратное","Риск отторжения","Требует проверки")))))</f>
        <v/>
      </c>
      <c r="J134" s="2" t="n"/>
      <c r="K134" s="2" t="n"/>
      <c r="L134" s="2" t="n"/>
    </row>
    <row r="135">
      <c r="A135" s="2" t="inlineStr">
        <is>
          <t>S129</t>
        </is>
      </c>
      <c r="B135" s="2" t="n"/>
      <c r="C135" s="2" t="n"/>
      <c r="D135" s="2" t="n"/>
      <c r="E135" s="2" t="n"/>
      <c r="F135" s="2" t="n"/>
      <c r="G135" s="5">
        <f>IF(F135="","",IFERROR(F135/MAX(1,COUNTIF('01_Конкуренты'!$B\$7:$B\$36,"?*")),""))</f>
        <v/>
      </c>
      <c r="H135" s="2" t="n"/>
      <c r="I135" s="2">
        <f>IF(B135="","",IF(OR(E135="Обязательное",E135="Линейное"),IF(G135&gt;=0.6,"Рыночный стандарт",IF(G135&gt;=0.35,"Формирующаяся норма","Проверить необходимость")),IF(E135="Привлекательное",IF(G135&lt;0.5,"Зона дифференциации","Переходит в ожидаемое"),IF(E135="Безразличное","Низкий приоритет",IF(E135="Обратное","Риск отторжения","Требует проверки")))))</f>
        <v/>
      </c>
      <c r="J135" s="2" t="n"/>
      <c r="K135" s="2" t="n"/>
      <c r="L135" s="2" t="n"/>
    </row>
    <row r="136">
      <c r="A136" s="2" t="inlineStr">
        <is>
          <t>S130</t>
        </is>
      </c>
      <c r="B136" s="2" t="n"/>
      <c r="C136" s="2" t="n"/>
      <c r="D136" s="2" t="n"/>
      <c r="E136" s="2" t="n"/>
      <c r="F136" s="2" t="n"/>
      <c r="G136" s="5">
        <f>IF(F136="","",IFERROR(F136/MAX(1,COUNTIF('01_Конкуренты'!$B\$7:$B\$36,"?*")),""))</f>
        <v/>
      </c>
      <c r="H136" s="2" t="n"/>
      <c r="I136" s="2">
        <f>IF(B136="","",IF(OR(E136="Обязательное",E136="Линейное"),IF(G136&gt;=0.6,"Рыночный стандарт",IF(G136&gt;=0.35,"Формирующаяся норма","Проверить необходимость")),IF(E136="Привлекательное",IF(G136&lt;0.5,"Зона дифференциации","Переходит в ожидаемое"),IF(E136="Безразличное","Низкий приоритет",IF(E136="Обратное","Риск отторжения","Требует проверки")))))</f>
        <v/>
      </c>
      <c r="J136" s="2" t="n"/>
      <c r="K136" s="2" t="n"/>
      <c r="L136" s="2" t="n"/>
    </row>
    <row r="137">
      <c r="A137" s="2" t="inlineStr">
        <is>
          <t>S131</t>
        </is>
      </c>
      <c r="B137" s="2" t="n"/>
      <c r="C137" s="2" t="n"/>
      <c r="D137" s="2" t="n"/>
      <c r="E137" s="2" t="n"/>
      <c r="F137" s="2" t="n"/>
      <c r="G137" s="5">
        <f>IF(F137="","",IFERROR(F137/MAX(1,COUNTIF('01_Конкуренты'!$B\$7:$B\$36,"?*")),""))</f>
        <v/>
      </c>
      <c r="H137" s="2" t="n"/>
      <c r="I137" s="2">
        <f>IF(B137="","",IF(OR(E137="Обязательное",E137="Линейное"),IF(G137&gt;=0.6,"Рыночный стандарт",IF(G137&gt;=0.35,"Формирующаяся норма","Проверить необходимость")),IF(E137="Привлекательное",IF(G137&lt;0.5,"Зона дифференциации","Переходит в ожидаемое"),IF(E137="Безразличное","Низкий приоритет",IF(E137="Обратное","Риск отторжения","Требует проверки")))))</f>
        <v/>
      </c>
      <c r="J137" s="2" t="n"/>
      <c r="K137" s="2" t="n"/>
      <c r="L137" s="2" t="n"/>
    </row>
    <row r="138">
      <c r="A138" s="2" t="inlineStr">
        <is>
          <t>S132</t>
        </is>
      </c>
      <c r="B138" s="2" t="n"/>
      <c r="C138" s="2" t="n"/>
      <c r="D138" s="2" t="n"/>
      <c r="E138" s="2" t="n"/>
      <c r="F138" s="2" t="n"/>
      <c r="G138" s="5">
        <f>IF(F138="","",IFERROR(F138/MAX(1,COUNTIF('01_Конкуренты'!$B\$7:$B\$36,"?*")),""))</f>
        <v/>
      </c>
      <c r="H138" s="2" t="n"/>
      <c r="I138" s="2">
        <f>IF(B138="","",IF(OR(E138="Обязательное",E138="Линейное"),IF(G138&gt;=0.6,"Рыночный стандарт",IF(G138&gt;=0.35,"Формирующаяся норма","Проверить необходимость")),IF(E138="Привлекательное",IF(G138&lt;0.5,"Зона дифференциации","Переходит в ожидаемое"),IF(E138="Безразличное","Низкий приоритет",IF(E138="Обратное","Риск отторжения","Требует проверки")))))</f>
        <v/>
      </c>
      <c r="J138" s="2" t="n"/>
      <c r="K138" s="2" t="n"/>
      <c r="L138" s="2" t="n"/>
    </row>
    <row r="139">
      <c r="A139" s="2" t="inlineStr">
        <is>
          <t>S133</t>
        </is>
      </c>
      <c r="B139" s="2" t="n"/>
      <c r="C139" s="2" t="n"/>
      <c r="D139" s="2" t="n"/>
      <c r="E139" s="2" t="n"/>
      <c r="F139" s="2" t="n"/>
      <c r="G139" s="5">
        <f>IF(F139="","",IFERROR(F139/MAX(1,COUNTIF('01_Конкуренты'!$B\$7:$B\$36,"?*")),""))</f>
        <v/>
      </c>
      <c r="H139" s="2" t="n"/>
      <c r="I139" s="2">
        <f>IF(B139="","",IF(OR(E139="Обязательное",E139="Линейное"),IF(G139&gt;=0.6,"Рыночный стандарт",IF(G139&gt;=0.35,"Формирующаяся норма","Проверить необходимость")),IF(E139="Привлекательное",IF(G139&lt;0.5,"Зона дифференциации","Переходит в ожидаемое"),IF(E139="Безразличное","Низкий приоритет",IF(E139="Обратное","Риск отторжения","Требует проверки")))))</f>
        <v/>
      </c>
      <c r="J139" s="2" t="n"/>
      <c r="K139" s="2" t="n"/>
      <c r="L139" s="2" t="n"/>
    </row>
    <row r="140">
      <c r="A140" s="2" t="inlineStr">
        <is>
          <t>S134</t>
        </is>
      </c>
      <c r="B140" s="2" t="n"/>
      <c r="C140" s="2" t="n"/>
      <c r="D140" s="2" t="n"/>
      <c r="E140" s="2" t="n"/>
      <c r="F140" s="2" t="n"/>
      <c r="G140" s="5">
        <f>IF(F140="","",IFERROR(F140/MAX(1,COUNTIF('01_Конкуренты'!$B\$7:$B\$36,"?*")),""))</f>
        <v/>
      </c>
      <c r="H140" s="2" t="n"/>
      <c r="I140" s="2">
        <f>IF(B140="","",IF(OR(E140="Обязательное",E140="Линейное"),IF(G140&gt;=0.6,"Рыночный стандарт",IF(G140&gt;=0.35,"Формирующаяся норма","Проверить необходимость")),IF(E140="Привлекательное",IF(G140&lt;0.5,"Зона дифференциации","Переходит в ожидаемое"),IF(E140="Безразличное","Низкий приоритет",IF(E140="Обратное","Риск отторжения","Требует проверки")))))</f>
        <v/>
      </c>
      <c r="J140" s="2" t="n"/>
      <c r="K140" s="2" t="n"/>
      <c r="L140" s="2" t="n"/>
    </row>
    <row r="141">
      <c r="A141" s="2" t="inlineStr">
        <is>
          <t>S135</t>
        </is>
      </c>
      <c r="B141" s="2" t="n"/>
      <c r="C141" s="2" t="n"/>
      <c r="D141" s="2" t="n"/>
      <c r="E141" s="2" t="n"/>
      <c r="F141" s="2" t="n"/>
      <c r="G141" s="5">
        <f>IF(F141="","",IFERROR(F141/MAX(1,COUNTIF('01_Конкуренты'!$B\$7:$B\$36,"?*")),""))</f>
        <v/>
      </c>
      <c r="H141" s="2" t="n"/>
      <c r="I141" s="2">
        <f>IF(B141="","",IF(OR(E141="Обязательное",E141="Линейное"),IF(G141&gt;=0.6,"Рыночный стандарт",IF(G141&gt;=0.35,"Формирующаяся норма","Проверить необходимость")),IF(E141="Привлекательное",IF(G141&lt;0.5,"Зона дифференциации","Переходит в ожидаемое"),IF(E141="Безразличное","Низкий приоритет",IF(E141="Обратное","Риск отторжения","Требует проверки")))))</f>
        <v/>
      </c>
      <c r="J141" s="2" t="n"/>
      <c r="K141" s="2" t="n"/>
      <c r="L141" s="2" t="n"/>
    </row>
    <row r="142">
      <c r="A142" s="2" t="inlineStr">
        <is>
          <t>S136</t>
        </is>
      </c>
      <c r="B142" s="2" t="n"/>
      <c r="C142" s="2" t="n"/>
      <c r="D142" s="2" t="n"/>
      <c r="E142" s="2" t="n"/>
      <c r="F142" s="2" t="n"/>
      <c r="G142" s="5">
        <f>IF(F142="","",IFERROR(F142/MAX(1,COUNTIF('01_Конкуренты'!$B\$7:$B\$36,"?*")),""))</f>
        <v/>
      </c>
      <c r="H142" s="2" t="n"/>
      <c r="I142" s="2">
        <f>IF(B142="","",IF(OR(E142="Обязательное",E142="Линейное"),IF(G142&gt;=0.6,"Рыночный стандарт",IF(G142&gt;=0.35,"Формирующаяся норма","Проверить необходимость")),IF(E142="Привлекательное",IF(G142&lt;0.5,"Зона дифференциации","Переходит в ожидаемое"),IF(E142="Безразличное","Низкий приоритет",IF(E142="Обратное","Риск отторжения","Требует проверки")))))</f>
        <v/>
      </c>
      <c r="J142" s="2" t="n"/>
      <c r="K142" s="2" t="n"/>
      <c r="L142" s="2" t="n"/>
    </row>
    <row r="143">
      <c r="A143" s="2" t="inlineStr">
        <is>
          <t>S137</t>
        </is>
      </c>
      <c r="B143" s="2" t="n"/>
      <c r="C143" s="2" t="n"/>
      <c r="D143" s="2" t="n"/>
      <c r="E143" s="2" t="n"/>
      <c r="F143" s="2" t="n"/>
      <c r="G143" s="5">
        <f>IF(F143="","",IFERROR(F143/MAX(1,COUNTIF('01_Конкуренты'!$B\$7:$B\$36,"?*")),""))</f>
        <v/>
      </c>
      <c r="H143" s="2" t="n"/>
      <c r="I143" s="2">
        <f>IF(B143="","",IF(OR(E143="Обязательное",E143="Линейное"),IF(G143&gt;=0.6,"Рыночный стандарт",IF(G143&gt;=0.35,"Формирующаяся норма","Проверить необходимость")),IF(E143="Привлекательное",IF(G143&lt;0.5,"Зона дифференциации","Переходит в ожидаемое"),IF(E143="Безразличное","Низкий приоритет",IF(E143="Обратное","Риск отторжения","Требует проверки")))))</f>
        <v/>
      </c>
      <c r="J143" s="2" t="n"/>
      <c r="K143" s="2" t="n"/>
      <c r="L143" s="2" t="n"/>
    </row>
    <row r="144">
      <c r="A144" s="2" t="inlineStr">
        <is>
          <t>S138</t>
        </is>
      </c>
      <c r="B144" s="2" t="n"/>
      <c r="C144" s="2" t="n"/>
      <c r="D144" s="2" t="n"/>
      <c r="E144" s="2" t="n"/>
      <c r="F144" s="2" t="n"/>
      <c r="G144" s="5">
        <f>IF(F144="","",IFERROR(F144/MAX(1,COUNTIF('01_Конкуренты'!$B\$7:$B\$36,"?*")),""))</f>
        <v/>
      </c>
      <c r="H144" s="2" t="n"/>
      <c r="I144" s="2">
        <f>IF(B144="","",IF(OR(E144="Обязательное",E144="Линейное"),IF(G144&gt;=0.6,"Рыночный стандарт",IF(G144&gt;=0.35,"Формирующаяся норма","Проверить необходимость")),IF(E144="Привлекательное",IF(G144&lt;0.5,"Зона дифференциации","Переходит в ожидаемое"),IF(E144="Безразличное","Низкий приоритет",IF(E144="Обратное","Риск отторжения","Требует проверки")))))</f>
        <v/>
      </c>
      <c r="J144" s="2" t="n"/>
      <c r="K144" s="2" t="n"/>
      <c r="L144" s="2" t="n"/>
    </row>
    <row r="145">
      <c r="A145" s="2" t="inlineStr">
        <is>
          <t>S139</t>
        </is>
      </c>
      <c r="B145" s="2" t="n"/>
      <c r="C145" s="2" t="n"/>
      <c r="D145" s="2" t="n"/>
      <c r="E145" s="2" t="n"/>
      <c r="F145" s="2" t="n"/>
      <c r="G145" s="5">
        <f>IF(F145="","",IFERROR(F145/MAX(1,COUNTIF('01_Конкуренты'!$B\$7:$B\$36,"?*")),""))</f>
        <v/>
      </c>
      <c r="H145" s="2" t="n"/>
      <c r="I145" s="2">
        <f>IF(B145="","",IF(OR(E145="Обязательное",E145="Линейное"),IF(G145&gt;=0.6,"Рыночный стандарт",IF(G145&gt;=0.35,"Формирующаяся норма","Проверить необходимость")),IF(E145="Привлекательное",IF(G145&lt;0.5,"Зона дифференциации","Переходит в ожидаемое"),IF(E145="Безразличное","Низкий приоритет",IF(E145="Обратное","Риск отторжения","Требует проверки")))))</f>
        <v/>
      </c>
      <c r="J145" s="2" t="n"/>
      <c r="K145" s="2" t="n"/>
      <c r="L145" s="2" t="n"/>
    </row>
    <row r="146">
      <c r="A146" s="2" t="inlineStr">
        <is>
          <t>S140</t>
        </is>
      </c>
      <c r="B146" s="2" t="n"/>
      <c r="C146" s="2" t="n"/>
      <c r="D146" s="2" t="n"/>
      <c r="E146" s="2" t="n"/>
      <c r="F146" s="2" t="n"/>
      <c r="G146" s="5">
        <f>IF(F146="","",IFERROR(F146/MAX(1,COUNTIF('01_Конкуренты'!$B\$7:$B\$36,"?*")),""))</f>
        <v/>
      </c>
      <c r="H146" s="2" t="n"/>
      <c r="I146" s="2">
        <f>IF(B146="","",IF(OR(E146="Обязательное",E146="Линейное"),IF(G146&gt;=0.6,"Рыночный стандарт",IF(G146&gt;=0.35,"Формирующаяся норма","Проверить необходимость")),IF(E146="Привлекательное",IF(G146&lt;0.5,"Зона дифференциации","Переходит в ожидаемое"),IF(E146="Безразличное","Низкий приоритет",IF(E146="Обратное","Риск отторжения","Требует проверки")))))</f>
        <v/>
      </c>
      <c r="J146" s="2" t="n"/>
      <c r="K146" s="2" t="n"/>
      <c r="L146" s="2" t="n"/>
    </row>
    <row r="147">
      <c r="A147" s="2" t="inlineStr">
        <is>
          <t>S141</t>
        </is>
      </c>
      <c r="B147" s="2" t="n"/>
      <c r="C147" s="2" t="n"/>
      <c r="D147" s="2" t="n"/>
      <c r="E147" s="2" t="n"/>
      <c r="F147" s="2" t="n"/>
      <c r="G147" s="5">
        <f>IF(F147="","",IFERROR(F147/MAX(1,COUNTIF('01_Конкуренты'!$B\$7:$B\$36,"?*")),""))</f>
        <v/>
      </c>
      <c r="H147" s="2" t="n"/>
      <c r="I147" s="2">
        <f>IF(B147="","",IF(OR(E147="Обязательное",E147="Линейное"),IF(G147&gt;=0.6,"Рыночный стандарт",IF(G147&gt;=0.35,"Формирующаяся норма","Проверить необходимость")),IF(E147="Привлекательное",IF(G147&lt;0.5,"Зона дифференциации","Переходит в ожидаемое"),IF(E147="Безразличное","Низкий приоритет",IF(E147="Обратное","Риск отторжения","Требует проверки")))))</f>
        <v/>
      </c>
      <c r="J147" s="2" t="n"/>
      <c r="K147" s="2" t="n"/>
      <c r="L147" s="2" t="n"/>
    </row>
    <row r="148">
      <c r="A148" s="2" t="inlineStr">
        <is>
          <t>S142</t>
        </is>
      </c>
      <c r="B148" s="2" t="n"/>
      <c r="C148" s="2" t="n"/>
      <c r="D148" s="2" t="n"/>
      <c r="E148" s="2" t="n"/>
      <c r="F148" s="2" t="n"/>
      <c r="G148" s="5">
        <f>IF(F148="","",IFERROR(F148/MAX(1,COUNTIF('01_Конкуренты'!$B\$7:$B\$36,"?*")),""))</f>
        <v/>
      </c>
      <c r="H148" s="2" t="n"/>
      <c r="I148" s="2">
        <f>IF(B148="","",IF(OR(E148="Обязательное",E148="Линейное"),IF(G148&gt;=0.6,"Рыночный стандарт",IF(G148&gt;=0.35,"Формирующаяся норма","Проверить необходимость")),IF(E148="Привлекательное",IF(G148&lt;0.5,"Зона дифференциации","Переходит в ожидаемое"),IF(E148="Безразличное","Низкий приоритет",IF(E148="Обратное","Риск отторжения","Требует проверки")))))</f>
        <v/>
      </c>
      <c r="J148" s="2" t="n"/>
      <c r="K148" s="2" t="n"/>
      <c r="L148" s="2" t="n"/>
    </row>
    <row r="149">
      <c r="A149" s="2" t="inlineStr">
        <is>
          <t>S143</t>
        </is>
      </c>
      <c r="B149" s="2" t="n"/>
      <c r="C149" s="2" t="n"/>
      <c r="D149" s="2" t="n"/>
      <c r="E149" s="2" t="n"/>
      <c r="F149" s="2" t="n"/>
      <c r="G149" s="5">
        <f>IF(F149="","",IFERROR(F149/MAX(1,COUNTIF('01_Конкуренты'!$B\$7:$B\$36,"?*")),""))</f>
        <v/>
      </c>
      <c r="H149" s="2" t="n"/>
      <c r="I149" s="2">
        <f>IF(B149="","",IF(OR(E149="Обязательное",E149="Линейное"),IF(G149&gt;=0.6,"Рыночный стандарт",IF(G149&gt;=0.35,"Формирующаяся норма","Проверить необходимость")),IF(E149="Привлекательное",IF(G149&lt;0.5,"Зона дифференциации","Переходит в ожидаемое"),IF(E149="Безразличное","Низкий приоритет",IF(E149="Обратное","Риск отторжения","Требует проверки")))))</f>
        <v/>
      </c>
      <c r="J149" s="2" t="n"/>
      <c r="K149" s="2" t="n"/>
      <c r="L149" s="2" t="n"/>
    </row>
    <row r="150">
      <c r="A150" s="2" t="inlineStr">
        <is>
          <t>S144</t>
        </is>
      </c>
      <c r="B150" s="2" t="n"/>
      <c r="C150" s="2" t="n"/>
      <c r="D150" s="2" t="n"/>
      <c r="E150" s="2" t="n"/>
      <c r="F150" s="2" t="n"/>
      <c r="G150" s="5">
        <f>IF(F150="","",IFERROR(F150/MAX(1,COUNTIF('01_Конкуренты'!$B\$7:$B\$36,"?*")),""))</f>
        <v/>
      </c>
      <c r="H150" s="2" t="n"/>
      <c r="I150" s="2">
        <f>IF(B150="","",IF(OR(E150="Обязательное",E150="Линейное"),IF(G150&gt;=0.6,"Рыночный стандарт",IF(G150&gt;=0.35,"Формирующаяся норма","Проверить необходимость")),IF(E150="Привлекательное",IF(G150&lt;0.5,"Зона дифференциации","Переходит в ожидаемое"),IF(E150="Безразличное","Низкий приоритет",IF(E150="Обратное","Риск отторжения","Требует проверки")))))</f>
        <v/>
      </c>
      <c r="J150" s="2" t="n"/>
      <c r="K150" s="2" t="n"/>
      <c r="L150" s="2" t="n"/>
    </row>
    <row r="151">
      <c r="A151" s="2" t="inlineStr">
        <is>
          <t>S145</t>
        </is>
      </c>
      <c r="B151" s="2" t="n"/>
      <c r="C151" s="2" t="n"/>
      <c r="D151" s="2" t="n"/>
      <c r="E151" s="2" t="n"/>
      <c r="F151" s="2" t="n"/>
      <c r="G151" s="5">
        <f>IF(F151="","",IFERROR(F151/MAX(1,COUNTIF('01_Конкуренты'!$B\$7:$B\$36,"?*")),""))</f>
        <v/>
      </c>
      <c r="H151" s="2" t="n"/>
      <c r="I151" s="2">
        <f>IF(B151="","",IF(OR(E151="Обязательное",E151="Линейное"),IF(G151&gt;=0.6,"Рыночный стандарт",IF(G151&gt;=0.35,"Формирующаяся норма","Проверить необходимость")),IF(E151="Привлекательное",IF(G151&lt;0.5,"Зона дифференциации","Переходит в ожидаемое"),IF(E151="Безразличное","Низкий приоритет",IF(E151="Обратное","Риск отторжения","Требует проверки")))))</f>
        <v/>
      </c>
      <c r="J151" s="2" t="n"/>
      <c r="K151" s="2" t="n"/>
      <c r="L151" s="2" t="n"/>
    </row>
    <row r="152">
      <c r="A152" s="2" t="inlineStr">
        <is>
          <t>S146</t>
        </is>
      </c>
      <c r="B152" s="2" t="n"/>
      <c r="C152" s="2" t="n"/>
      <c r="D152" s="2" t="n"/>
      <c r="E152" s="2" t="n"/>
      <c r="F152" s="2" t="n"/>
      <c r="G152" s="5">
        <f>IF(F152="","",IFERROR(F152/MAX(1,COUNTIF('01_Конкуренты'!$B\$7:$B\$36,"?*")),""))</f>
        <v/>
      </c>
      <c r="H152" s="2" t="n"/>
      <c r="I152" s="2">
        <f>IF(B152="","",IF(OR(E152="Обязательное",E152="Линейное"),IF(G152&gt;=0.6,"Рыночный стандарт",IF(G152&gt;=0.35,"Формирующаяся норма","Проверить необходимость")),IF(E152="Привлекательное",IF(G152&lt;0.5,"Зона дифференциации","Переходит в ожидаемое"),IF(E152="Безразличное","Низкий приоритет",IF(E152="Обратное","Риск отторжения","Требует проверки")))))</f>
        <v/>
      </c>
      <c r="J152" s="2" t="n"/>
      <c r="K152" s="2" t="n"/>
      <c r="L152" s="2" t="n"/>
    </row>
    <row r="153">
      <c r="A153" s="2" t="inlineStr">
        <is>
          <t>S147</t>
        </is>
      </c>
      <c r="B153" s="2" t="n"/>
      <c r="C153" s="2" t="n"/>
      <c r="D153" s="2" t="n"/>
      <c r="E153" s="2" t="n"/>
      <c r="F153" s="2" t="n"/>
      <c r="G153" s="5">
        <f>IF(F153="","",IFERROR(F153/MAX(1,COUNTIF('01_Конкуренты'!$B\$7:$B\$36,"?*")),""))</f>
        <v/>
      </c>
      <c r="H153" s="2" t="n"/>
      <c r="I153" s="2">
        <f>IF(B153="","",IF(OR(E153="Обязательное",E153="Линейное"),IF(G153&gt;=0.6,"Рыночный стандарт",IF(G153&gt;=0.35,"Формирующаяся норма","Проверить необходимость")),IF(E153="Привлекательное",IF(G153&lt;0.5,"Зона дифференциации","Переходит в ожидаемое"),IF(E153="Безразличное","Низкий приоритет",IF(E153="Обратное","Риск отторжения","Требует проверки")))))</f>
        <v/>
      </c>
      <c r="J153" s="2" t="n"/>
      <c r="K153" s="2" t="n"/>
      <c r="L153" s="2" t="n"/>
    </row>
    <row r="154">
      <c r="A154" s="2" t="inlineStr">
        <is>
          <t>S148</t>
        </is>
      </c>
      <c r="B154" s="2" t="n"/>
      <c r="C154" s="2" t="n"/>
      <c r="D154" s="2" t="n"/>
      <c r="E154" s="2" t="n"/>
      <c r="F154" s="2" t="n"/>
      <c r="G154" s="5">
        <f>IF(F154="","",IFERROR(F154/MAX(1,COUNTIF('01_Конкуренты'!$B\$7:$B\$36,"?*")),""))</f>
        <v/>
      </c>
      <c r="H154" s="2" t="n"/>
      <c r="I154" s="2">
        <f>IF(B154="","",IF(OR(E154="Обязательное",E154="Линейное"),IF(G154&gt;=0.6,"Рыночный стандарт",IF(G154&gt;=0.35,"Формирующаяся норма","Проверить необходимость")),IF(E154="Привлекательное",IF(G154&lt;0.5,"Зона дифференциации","Переходит в ожидаемое"),IF(E154="Безразличное","Низкий приоритет",IF(E154="Обратное","Риск отторжения","Требует проверки")))))</f>
        <v/>
      </c>
      <c r="J154" s="2" t="n"/>
      <c r="K154" s="2" t="n"/>
      <c r="L154" s="2" t="n"/>
    </row>
    <row r="155">
      <c r="A155" s="2" t="inlineStr">
        <is>
          <t>S149</t>
        </is>
      </c>
      <c r="B155" s="2" t="n"/>
      <c r="C155" s="2" t="n"/>
      <c r="D155" s="2" t="n"/>
      <c r="E155" s="2" t="n"/>
      <c r="F155" s="2" t="n"/>
      <c r="G155" s="5">
        <f>IF(F155="","",IFERROR(F155/MAX(1,COUNTIF('01_Конкуренты'!$B\$7:$B\$36,"?*")),""))</f>
        <v/>
      </c>
      <c r="H155" s="2" t="n"/>
      <c r="I155" s="2">
        <f>IF(B155="","",IF(OR(E155="Обязательное",E155="Линейное"),IF(G155&gt;=0.6,"Рыночный стандарт",IF(G155&gt;=0.35,"Формирующаяся норма","Проверить необходимость")),IF(E155="Привлекательное",IF(G155&lt;0.5,"Зона дифференциации","Переходит в ожидаемое"),IF(E155="Безразличное","Низкий приоритет",IF(E155="Обратное","Риск отторжения","Требует проверки")))))</f>
        <v/>
      </c>
      <c r="J155" s="2" t="n"/>
      <c r="K155" s="2" t="n"/>
      <c r="L155" s="2" t="n"/>
    </row>
    <row r="156">
      <c r="A156" s="2" t="inlineStr">
        <is>
          <t>S150</t>
        </is>
      </c>
      <c r="B156" s="2" t="n"/>
      <c r="C156" s="2" t="n"/>
      <c r="D156" s="2" t="n"/>
      <c r="E156" s="2" t="n"/>
      <c r="F156" s="2" t="n"/>
      <c r="G156" s="5">
        <f>IF(F156="","",IFERROR(F156/MAX(1,COUNTIF('01_Конкуренты'!$B\$7:$B\$36,"?*")),""))</f>
        <v/>
      </c>
      <c r="H156" s="2" t="n"/>
      <c r="I156" s="2">
        <f>IF(B156="","",IF(OR(E156="Обязательное",E156="Линейное"),IF(G156&gt;=0.6,"Рыночный стандарт",IF(G156&gt;=0.35,"Формирующаяся норма","Проверить необходимость")),IF(E156="Привлекательное",IF(G156&lt;0.5,"Зона дифференциации","Переходит в ожидаемое"),IF(E156="Безразличное","Низкий приоритет",IF(E156="Обратное","Риск отторжения","Требует проверки")))))</f>
        <v/>
      </c>
      <c r="J156" s="2" t="n"/>
      <c r="K156" s="2" t="n"/>
      <c r="L156" s="2" t="n"/>
    </row>
    <row r="157">
      <c r="A157" s="2" t="inlineStr">
        <is>
          <t>S151</t>
        </is>
      </c>
      <c r="B157" s="2" t="n"/>
      <c r="C157" s="2" t="n"/>
      <c r="D157" s="2" t="n"/>
      <c r="E157" s="2" t="n"/>
      <c r="F157" s="2" t="n"/>
      <c r="G157" s="5">
        <f>IF(F157="","",IFERROR(F157/MAX(1,COUNTIF('01_Конкуренты'!$B\$7:$B\$36,"?*")),""))</f>
        <v/>
      </c>
      <c r="H157" s="2" t="n"/>
      <c r="I157" s="2">
        <f>IF(B157="","",IF(OR(E157="Обязательное",E157="Линейное"),IF(G157&gt;=0.6,"Рыночный стандарт",IF(G157&gt;=0.35,"Формирующаяся норма","Проверить необходимость")),IF(E157="Привлекательное",IF(G157&lt;0.5,"Зона дифференциации","Переходит в ожидаемое"),IF(E157="Безразличное","Низкий приоритет",IF(E157="Обратное","Риск отторжения","Требует проверки")))))</f>
        <v/>
      </c>
      <c r="J157" s="2" t="n"/>
      <c r="K157" s="2" t="n"/>
      <c r="L157" s="2" t="n"/>
    </row>
    <row r="158">
      <c r="A158" s="2" t="inlineStr">
        <is>
          <t>S152</t>
        </is>
      </c>
      <c r="B158" s="2" t="n"/>
      <c r="C158" s="2" t="n"/>
      <c r="D158" s="2" t="n"/>
      <c r="E158" s="2" t="n"/>
      <c r="F158" s="2" t="n"/>
      <c r="G158" s="5">
        <f>IF(F158="","",IFERROR(F158/MAX(1,COUNTIF('01_Конкуренты'!$B\$7:$B\$36,"?*")),""))</f>
        <v/>
      </c>
      <c r="H158" s="2" t="n"/>
      <c r="I158" s="2">
        <f>IF(B158="","",IF(OR(E158="Обязательное",E158="Линейное"),IF(G158&gt;=0.6,"Рыночный стандарт",IF(G158&gt;=0.35,"Формирующаяся норма","Проверить необходимость")),IF(E158="Привлекательное",IF(G158&lt;0.5,"Зона дифференциации","Переходит в ожидаемое"),IF(E158="Безразличное","Низкий приоритет",IF(E158="Обратное","Риск отторжения","Требует проверки")))))</f>
        <v/>
      </c>
      <c r="J158" s="2" t="n"/>
      <c r="K158" s="2" t="n"/>
      <c r="L158" s="2" t="n"/>
    </row>
    <row r="159">
      <c r="A159" s="2" t="inlineStr">
        <is>
          <t>S153</t>
        </is>
      </c>
      <c r="B159" s="2" t="n"/>
      <c r="C159" s="2" t="n"/>
      <c r="D159" s="2" t="n"/>
      <c r="E159" s="2" t="n"/>
      <c r="F159" s="2" t="n"/>
      <c r="G159" s="5">
        <f>IF(F159="","",IFERROR(F159/MAX(1,COUNTIF('01_Конкуренты'!$B\$7:$B\$36,"?*")),""))</f>
        <v/>
      </c>
      <c r="H159" s="2" t="n"/>
      <c r="I159" s="2">
        <f>IF(B159="","",IF(OR(E159="Обязательное",E159="Линейное"),IF(G159&gt;=0.6,"Рыночный стандарт",IF(G159&gt;=0.35,"Формирующаяся норма","Проверить необходимость")),IF(E159="Привлекательное",IF(G159&lt;0.5,"Зона дифференциации","Переходит в ожидаемое"),IF(E159="Безразличное","Низкий приоритет",IF(E159="Обратное","Риск отторжения","Требует проверки")))))</f>
        <v/>
      </c>
      <c r="J159" s="2" t="n"/>
      <c r="K159" s="2" t="n"/>
      <c r="L159" s="2" t="n"/>
    </row>
    <row r="160">
      <c r="A160" s="2" t="inlineStr">
        <is>
          <t>S154</t>
        </is>
      </c>
      <c r="B160" s="2" t="n"/>
      <c r="C160" s="2" t="n"/>
      <c r="D160" s="2" t="n"/>
      <c r="E160" s="2" t="n"/>
      <c r="F160" s="2" t="n"/>
      <c r="G160" s="5">
        <f>IF(F160="","",IFERROR(F160/MAX(1,COUNTIF('01_Конкуренты'!$B\$7:$B\$36,"?*")),""))</f>
        <v/>
      </c>
      <c r="H160" s="2" t="n"/>
      <c r="I160" s="2">
        <f>IF(B160="","",IF(OR(E160="Обязательное",E160="Линейное"),IF(G160&gt;=0.6,"Рыночный стандарт",IF(G160&gt;=0.35,"Формирующаяся норма","Проверить необходимость")),IF(E160="Привлекательное",IF(G160&lt;0.5,"Зона дифференциации","Переходит в ожидаемое"),IF(E160="Безразличное","Низкий приоритет",IF(E160="Обратное","Риск отторжения","Требует проверки")))))</f>
        <v/>
      </c>
      <c r="J160" s="2" t="n"/>
      <c r="K160" s="2" t="n"/>
      <c r="L160" s="2" t="n"/>
    </row>
    <row r="161">
      <c r="A161" s="2" t="inlineStr">
        <is>
          <t>S155</t>
        </is>
      </c>
      <c r="B161" s="2" t="n"/>
      <c r="C161" s="2" t="n"/>
      <c r="D161" s="2" t="n"/>
      <c r="E161" s="2" t="n"/>
      <c r="F161" s="2" t="n"/>
      <c r="G161" s="5">
        <f>IF(F161="","",IFERROR(F161/MAX(1,COUNTIF('01_Конкуренты'!$B\$7:$B\$36,"?*")),""))</f>
        <v/>
      </c>
      <c r="H161" s="2" t="n"/>
      <c r="I161" s="2">
        <f>IF(B161="","",IF(OR(E161="Обязательное",E161="Линейное"),IF(G161&gt;=0.6,"Рыночный стандарт",IF(G161&gt;=0.35,"Формирующаяся норма","Проверить необходимость")),IF(E161="Привлекательное",IF(G161&lt;0.5,"Зона дифференциации","Переходит в ожидаемое"),IF(E161="Безразличное","Низкий приоритет",IF(E161="Обратное","Риск отторжения","Требует проверки")))))</f>
        <v/>
      </c>
      <c r="J161" s="2" t="n"/>
      <c r="K161" s="2" t="n"/>
      <c r="L161" s="2" t="n"/>
    </row>
    <row r="162">
      <c r="A162" s="2" t="inlineStr">
        <is>
          <t>S156</t>
        </is>
      </c>
      <c r="B162" s="2" t="n"/>
      <c r="C162" s="2" t="n"/>
      <c r="D162" s="2" t="n"/>
      <c r="E162" s="2" t="n"/>
      <c r="F162" s="2" t="n"/>
      <c r="G162" s="5">
        <f>IF(F162="","",IFERROR(F162/MAX(1,COUNTIF('01_Конкуренты'!$B\$7:$B\$36,"?*")),""))</f>
        <v/>
      </c>
      <c r="H162" s="2" t="n"/>
      <c r="I162" s="2">
        <f>IF(B162="","",IF(OR(E162="Обязательное",E162="Линейное"),IF(G162&gt;=0.6,"Рыночный стандарт",IF(G162&gt;=0.35,"Формирующаяся норма","Проверить необходимость")),IF(E162="Привлекательное",IF(G162&lt;0.5,"Зона дифференциации","Переходит в ожидаемое"),IF(E162="Безразличное","Низкий приоритет",IF(E162="Обратное","Риск отторжения","Требует проверки")))))</f>
        <v/>
      </c>
      <c r="J162" s="2" t="n"/>
      <c r="K162" s="2" t="n"/>
      <c r="L162" s="2" t="n"/>
    </row>
    <row r="163">
      <c r="A163" s="2" t="inlineStr">
        <is>
          <t>S157</t>
        </is>
      </c>
      <c r="B163" s="2" t="n"/>
      <c r="C163" s="2" t="n"/>
      <c r="D163" s="2" t="n"/>
      <c r="E163" s="2" t="n"/>
      <c r="F163" s="2" t="n"/>
      <c r="G163" s="5">
        <f>IF(F163="","",IFERROR(F163/MAX(1,COUNTIF('01_Конкуренты'!$B\$7:$B\$36,"?*")),""))</f>
        <v/>
      </c>
      <c r="H163" s="2" t="n"/>
      <c r="I163" s="2">
        <f>IF(B163="","",IF(OR(E163="Обязательное",E163="Линейное"),IF(G163&gt;=0.6,"Рыночный стандарт",IF(G163&gt;=0.35,"Формирующаяся норма","Проверить необходимость")),IF(E163="Привлекательное",IF(G163&lt;0.5,"Зона дифференциации","Переходит в ожидаемое"),IF(E163="Безразличное","Низкий приоритет",IF(E163="Обратное","Риск отторжения","Требует проверки")))))</f>
        <v/>
      </c>
      <c r="J163" s="2" t="n"/>
      <c r="K163" s="2" t="n"/>
      <c r="L163" s="2" t="n"/>
    </row>
    <row r="164">
      <c r="A164" s="2" t="inlineStr">
        <is>
          <t>S158</t>
        </is>
      </c>
      <c r="B164" s="2" t="n"/>
      <c r="C164" s="2" t="n"/>
      <c r="D164" s="2" t="n"/>
      <c r="E164" s="2" t="n"/>
      <c r="F164" s="2" t="n"/>
      <c r="G164" s="5">
        <f>IF(F164="","",IFERROR(F164/MAX(1,COUNTIF('01_Конкуренты'!$B\$7:$B\$36,"?*")),""))</f>
        <v/>
      </c>
      <c r="H164" s="2" t="n"/>
      <c r="I164" s="2">
        <f>IF(B164="","",IF(OR(E164="Обязательное",E164="Линейное"),IF(G164&gt;=0.6,"Рыночный стандарт",IF(G164&gt;=0.35,"Формирующаяся норма","Проверить необходимость")),IF(E164="Привлекательное",IF(G164&lt;0.5,"Зона дифференциации","Переходит в ожидаемое"),IF(E164="Безразличное","Низкий приоритет",IF(E164="Обратное","Риск отторжения","Требует проверки")))))</f>
        <v/>
      </c>
      <c r="J164" s="2" t="n"/>
      <c r="K164" s="2" t="n"/>
      <c r="L164" s="2" t="n"/>
    </row>
    <row r="165">
      <c r="A165" s="2" t="inlineStr">
        <is>
          <t>S159</t>
        </is>
      </c>
      <c r="B165" s="2" t="n"/>
      <c r="C165" s="2" t="n"/>
      <c r="D165" s="2" t="n"/>
      <c r="E165" s="2" t="n"/>
      <c r="F165" s="2" t="n"/>
      <c r="G165" s="5">
        <f>IF(F165="","",IFERROR(F165/MAX(1,COUNTIF('01_Конкуренты'!$B\$7:$B\$36,"?*")),""))</f>
        <v/>
      </c>
      <c r="H165" s="2" t="n"/>
      <c r="I165" s="2">
        <f>IF(B165="","",IF(OR(E165="Обязательное",E165="Линейное"),IF(G165&gt;=0.6,"Рыночный стандарт",IF(G165&gt;=0.35,"Формирующаяся норма","Проверить необходимость")),IF(E165="Привлекательное",IF(G165&lt;0.5,"Зона дифференциации","Переходит в ожидаемое"),IF(E165="Безразличное","Низкий приоритет",IF(E165="Обратное","Риск отторжения","Требует проверки")))))</f>
        <v/>
      </c>
      <c r="J165" s="2" t="n"/>
      <c r="K165" s="2" t="n"/>
      <c r="L165" s="2" t="n"/>
    </row>
    <row r="166">
      <c r="A166" s="2" t="inlineStr">
        <is>
          <t>S160</t>
        </is>
      </c>
      <c r="B166" s="2" t="n"/>
      <c r="C166" s="2" t="n"/>
      <c r="D166" s="2" t="n"/>
      <c r="E166" s="2" t="n"/>
      <c r="F166" s="2" t="n"/>
      <c r="G166" s="5">
        <f>IF(F166="","",IFERROR(F166/MAX(1,COUNTIF('01_Конкуренты'!$B\$7:$B\$36,"?*")),""))</f>
        <v/>
      </c>
      <c r="H166" s="2" t="n"/>
      <c r="I166" s="2">
        <f>IF(B166="","",IF(OR(E166="Обязательное",E166="Линейное"),IF(G166&gt;=0.6,"Рыночный стандарт",IF(G166&gt;=0.35,"Формирующаяся норма","Проверить необходимость")),IF(E166="Привлекательное",IF(G166&lt;0.5,"Зона дифференциации","Переходит в ожидаемое"),IF(E166="Безразличное","Низкий приоритет",IF(E166="Обратное","Риск отторжения","Требует проверки")))))</f>
        <v/>
      </c>
      <c r="J166" s="2" t="n"/>
      <c r="K166" s="2" t="n"/>
      <c r="L166" s="2" t="n"/>
    </row>
    <row r="167">
      <c r="A167" s="2" t="inlineStr">
        <is>
          <t>S161</t>
        </is>
      </c>
      <c r="B167" s="2" t="n"/>
      <c r="C167" s="2" t="n"/>
      <c r="D167" s="2" t="n"/>
      <c r="E167" s="2" t="n"/>
      <c r="F167" s="2" t="n"/>
      <c r="G167" s="5">
        <f>IF(F167="","",IFERROR(F167/MAX(1,COUNTIF('01_Конкуренты'!$B\$7:$B\$36,"?*")),""))</f>
        <v/>
      </c>
      <c r="H167" s="2" t="n"/>
      <c r="I167" s="2">
        <f>IF(B167="","",IF(OR(E167="Обязательное",E167="Линейное"),IF(G167&gt;=0.6,"Рыночный стандарт",IF(G167&gt;=0.35,"Формирующаяся норма","Проверить необходимость")),IF(E167="Привлекательное",IF(G167&lt;0.5,"Зона дифференциации","Переходит в ожидаемое"),IF(E167="Безразличное","Низкий приоритет",IF(E167="Обратное","Риск отторжения","Требует проверки")))))</f>
        <v/>
      </c>
      <c r="J167" s="2" t="n"/>
      <c r="K167" s="2" t="n"/>
      <c r="L167" s="2" t="n"/>
    </row>
    <row r="168">
      <c r="A168" s="2" t="inlineStr">
        <is>
          <t>S162</t>
        </is>
      </c>
      <c r="B168" s="2" t="n"/>
      <c r="C168" s="2" t="n"/>
      <c r="D168" s="2" t="n"/>
      <c r="E168" s="2" t="n"/>
      <c r="F168" s="2" t="n"/>
      <c r="G168" s="5">
        <f>IF(F168="","",IFERROR(F168/MAX(1,COUNTIF('01_Конкуренты'!$B\$7:$B\$36,"?*")),""))</f>
        <v/>
      </c>
      <c r="H168" s="2" t="n"/>
      <c r="I168" s="2">
        <f>IF(B168="","",IF(OR(E168="Обязательное",E168="Линейное"),IF(G168&gt;=0.6,"Рыночный стандарт",IF(G168&gt;=0.35,"Формирующаяся норма","Проверить необходимость")),IF(E168="Привлекательное",IF(G168&lt;0.5,"Зона дифференциации","Переходит в ожидаемое"),IF(E168="Безразличное","Низкий приоритет",IF(E168="Обратное","Риск отторжения","Требует проверки")))))</f>
        <v/>
      </c>
      <c r="J168" s="2" t="n"/>
      <c r="K168" s="2" t="n"/>
      <c r="L168" s="2" t="n"/>
    </row>
    <row r="169">
      <c r="A169" s="2" t="inlineStr">
        <is>
          <t>S163</t>
        </is>
      </c>
      <c r="B169" s="2" t="n"/>
      <c r="C169" s="2" t="n"/>
      <c r="D169" s="2" t="n"/>
      <c r="E169" s="2" t="n"/>
      <c r="F169" s="2" t="n"/>
      <c r="G169" s="5">
        <f>IF(F169="","",IFERROR(F169/MAX(1,COUNTIF('01_Конкуренты'!$B\$7:$B\$36,"?*")),""))</f>
        <v/>
      </c>
      <c r="H169" s="2" t="n"/>
      <c r="I169" s="2">
        <f>IF(B169="","",IF(OR(E169="Обязательное",E169="Линейное"),IF(G169&gt;=0.6,"Рыночный стандарт",IF(G169&gt;=0.35,"Формирующаяся норма","Проверить необходимость")),IF(E169="Привлекательное",IF(G169&lt;0.5,"Зона дифференциации","Переходит в ожидаемое"),IF(E169="Безразличное","Низкий приоритет",IF(E169="Обратное","Риск отторжения","Требует проверки")))))</f>
        <v/>
      </c>
      <c r="J169" s="2" t="n"/>
      <c r="K169" s="2" t="n"/>
      <c r="L169" s="2" t="n"/>
    </row>
    <row r="170">
      <c r="A170" s="2" t="inlineStr">
        <is>
          <t>S164</t>
        </is>
      </c>
      <c r="B170" s="2" t="n"/>
      <c r="C170" s="2" t="n"/>
      <c r="D170" s="2" t="n"/>
      <c r="E170" s="2" t="n"/>
      <c r="F170" s="2" t="n"/>
      <c r="G170" s="5">
        <f>IF(F170="","",IFERROR(F170/MAX(1,COUNTIF('01_Конкуренты'!$B\$7:$B\$36,"?*")),""))</f>
        <v/>
      </c>
      <c r="H170" s="2" t="n"/>
      <c r="I170" s="2">
        <f>IF(B170="","",IF(OR(E170="Обязательное",E170="Линейное"),IF(G170&gt;=0.6,"Рыночный стандарт",IF(G170&gt;=0.35,"Формирующаяся норма","Проверить необходимость")),IF(E170="Привлекательное",IF(G170&lt;0.5,"Зона дифференциации","Переходит в ожидаемое"),IF(E170="Безразличное","Низкий приоритет",IF(E170="Обратное","Риск отторжения","Требует проверки")))))</f>
        <v/>
      </c>
      <c r="J170" s="2" t="n"/>
      <c r="K170" s="2" t="n"/>
      <c r="L170" s="2" t="n"/>
    </row>
    <row r="171">
      <c r="A171" s="2" t="inlineStr">
        <is>
          <t>S165</t>
        </is>
      </c>
      <c r="B171" s="2" t="n"/>
      <c r="C171" s="2" t="n"/>
      <c r="D171" s="2" t="n"/>
      <c r="E171" s="2" t="n"/>
      <c r="F171" s="2" t="n"/>
      <c r="G171" s="5">
        <f>IF(F171="","",IFERROR(F171/MAX(1,COUNTIF('01_Конкуренты'!$B\$7:$B\$36,"?*")),""))</f>
        <v/>
      </c>
      <c r="H171" s="2" t="n"/>
      <c r="I171" s="2">
        <f>IF(B171="","",IF(OR(E171="Обязательное",E171="Линейное"),IF(G171&gt;=0.6,"Рыночный стандарт",IF(G171&gt;=0.35,"Формирующаяся норма","Проверить необходимость")),IF(E171="Привлекательное",IF(G171&lt;0.5,"Зона дифференциации","Переходит в ожидаемое"),IF(E171="Безразличное","Низкий приоритет",IF(E171="Обратное","Риск отторжения","Требует проверки")))))</f>
        <v/>
      </c>
      <c r="J171" s="2" t="n"/>
      <c r="K171" s="2" t="n"/>
      <c r="L171" s="2" t="n"/>
    </row>
    <row r="172">
      <c r="A172" s="2" t="inlineStr">
        <is>
          <t>S166</t>
        </is>
      </c>
      <c r="B172" s="2" t="n"/>
      <c r="C172" s="2" t="n"/>
      <c r="D172" s="2" t="n"/>
      <c r="E172" s="2" t="n"/>
      <c r="F172" s="2" t="n"/>
      <c r="G172" s="5">
        <f>IF(F172="","",IFERROR(F172/MAX(1,COUNTIF('01_Конкуренты'!$B\$7:$B\$36,"?*")),""))</f>
        <v/>
      </c>
      <c r="H172" s="2" t="n"/>
      <c r="I172" s="2">
        <f>IF(B172="","",IF(OR(E172="Обязательное",E172="Линейное"),IF(G172&gt;=0.6,"Рыночный стандарт",IF(G172&gt;=0.35,"Формирующаяся норма","Проверить необходимость")),IF(E172="Привлекательное",IF(G172&lt;0.5,"Зона дифференциации","Переходит в ожидаемое"),IF(E172="Безразличное","Низкий приоритет",IF(E172="Обратное","Риск отторжения","Требует проверки")))))</f>
        <v/>
      </c>
      <c r="J172" s="2" t="n"/>
      <c r="K172" s="2" t="n"/>
      <c r="L172" s="2" t="n"/>
    </row>
    <row r="173">
      <c r="A173" s="2" t="inlineStr">
        <is>
          <t>S167</t>
        </is>
      </c>
      <c r="B173" s="2" t="n"/>
      <c r="C173" s="2" t="n"/>
      <c r="D173" s="2" t="n"/>
      <c r="E173" s="2" t="n"/>
      <c r="F173" s="2" t="n"/>
      <c r="G173" s="5">
        <f>IF(F173="","",IFERROR(F173/MAX(1,COUNTIF('01_Конкуренты'!$B\$7:$B\$36,"?*")),""))</f>
        <v/>
      </c>
      <c r="H173" s="2" t="n"/>
      <c r="I173" s="2">
        <f>IF(B173="","",IF(OR(E173="Обязательное",E173="Линейное"),IF(G173&gt;=0.6,"Рыночный стандарт",IF(G173&gt;=0.35,"Формирующаяся норма","Проверить необходимость")),IF(E173="Привлекательное",IF(G173&lt;0.5,"Зона дифференциации","Переходит в ожидаемое"),IF(E173="Безразличное","Низкий приоритет",IF(E173="Обратное","Риск отторжения","Требует проверки")))))</f>
        <v/>
      </c>
      <c r="J173" s="2" t="n"/>
      <c r="K173" s="2" t="n"/>
      <c r="L173" s="2" t="n"/>
    </row>
    <row r="174">
      <c r="A174" s="2" t="inlineStr">
        <is>
          <t>S168</t>
        </is>
      </c>
      <c r="B174" s="2" t="n"/>
      <c r="C174" s="2" t="n"/>
      <c r="D174" s="2" t="n"/>
      <c r="E174" s="2" t="n"/>
      <c r="F174" s="2" t="n"/>
      <c r="G174" s="5">
        <f>IF(F174="","",IFERROR(F174/MAX(1,COUNTIF('01_Конкуренты'!$B\$7:$B\$36,"?*")),""))</f>
        <v/>
      </c>
      <c r="H174" s="2" t="n"/>
      <c r="I174" s="2">
        <f>IF(B174="","",IF(OR(E174="Обязательное",E174="Линейное"),IF(G174&gt;=0.6,"Рыночный стандарт",IF(G174&gt;=0.35,"Формирующаяся норма","Проверить необходимость")),IF(E174="Привлекательное",IF(G174&lt;0.5,"Зона дифференциации","Переходит в ожидаемое"),IF(E174="Безразличное","Низкий приоритет",IF(E174="Обратное","Риск отторжения","Требует проверки")))))</f>
        <v/>
      </c>
      <c r="J174" s="2" t="n"/>
      <c r="K174" s="2" t="n"/>
      <c r="L174" s="2" t="n"/>
    </row>
    <row r="175">
      <c r="A175" s="2" t="inlineStr">
        <is>
          <t>S169</t>
        </is>
      </c>
      <c r="B175" s="2" t="n"/>
      <c r="C175" s="2" t="n"/>
      <c r="D175" s="2" t="n"/>
      <c r="E175" s="2" t="n"/>
      <c r="F175" s="2" t="n"/>
      <c r="G175" s="5">
        <f>IF(F175="","",IFERROR(F175/MAX(1,COUNTIF('01_Конкуренты'!$B\$7:$B\$36,"?*")),""))</f>
        <v/>
      </c>
      <c r="H175" s="2" t="n"/>
      <c r="I175" s="2">
        <f>IF(B175="","",IF(OR(E175="Обязательное",E175="Линейное"),IF(G175&gt;=0.6,"Рыночный стандарт",IF(G175&gt;=0.35,"Формирующаяся норма","Проверить необходимость")),IF(E175="Привлекательное",IF(G175&lt;0.5,"Зона дифференциации","Переходит в ожидаемое"),IF(E175="Безразличное","Низкий приоритет",IF(E175="Обратное","Риск отторжения","Требует проверки")))))</f>
        <v/>
      </c>
      <c r="J175" s="2" t="n"/>
      <c r="K175" s="2" t="n"/>
      <c r="L175" s="2" t="n"/>
    </row>
    <row r="176">
      <c r="A176" s="2" t="inlineStr">
        <is>
          <t>S170</t>
        </is>
      </c>
      <c r="B176" s="2" t="n"/>
      <c r="C176" s="2" t="n"/>
      <c r="D176" s="2" t="n"/>
      <c r="E176" s="2" t="n"/>
      <c r="F176" s="2" t="n"/>
      <c r="G176" s="5">
        <f>IF(F176="","",IFERROR(F176/MAX(1,COUNTIF('01_Конкуренты'!$B\$7:$B\$36,"?*")),""))</f>
        <v/>
      </c>
      <c r="H176" s="2" t="n"/>
      <c r="I176" s="2">
        <f>IF(B176="","",IF(OR(E176="Обязательное",E176="Линейное"),IF(G176&gt;=0.6,"Рыночный стандарт",IF(G176&gt;=0.35,"Формирующаяся норма","Проверить необходимость")),IF(E176="Привлекательное",IF(G176&lt;0.5,"Зона дифференциации","Переходит в ожидаемое"),IF(E176="Безразличное","Низкий приоритет",IF(E176="Обратное","Риск отторжения","Требует проверки")))))</f>
        <v/>
      </c>
      <c r="J176" s="2" t="n"/>
      <c r="K176" s="2" t="n"/>
      <c r="L176" s="2" t="n"/>
    </row>
    <row r="177">
      <c r="A177" s="2" t="inlineStr">
        <is>
          <t>S171</t>
        </is>
      </c>
      <c r="B177" s="2" t="n"/>
      <c r="C177" s="2" t="n"/>
      <c r="D177" s="2" t="n"/>
      <c r="E177" s="2" t="n"/>
      <c r="F177" s="2" t="n"/>
      <c r="G177" s="5">
        <f>IF(F177="","",IFERROR(F177/MAX(1,COUNTIF('01_Конкуренты'!$B\$7:$B\$36,"?*")),""))</f>
        <v/>
      </c>
      <c r="H177" s="2" t="n"/>
      <c r="I177" s="2">
        <f>IF(B177="","",IF(OR(E177="Обязательное",E177="Линейное"),IF(G177&gt;=0.6,"Рыночный стандарт",IF(G177&gt;=0.35,"Формирующаяся норма","Проверить необходимость")),IF(E177="Привлекательное",IF(G177&lt;0.5,"Зона дифференциации","Переходит в ожидаемое"),IF(E177="Безразличное","Низкий приоритет",IF(E177="Обратное","Риск отторжения","Требует проверки")))))</f>
        <v/>
      </c>
      <c r="J177" s="2" t="n"/>
      <c r="K177" s="2" t="n"/>
      <c r="L177" s="2" t="n"/>
    </row>
    <row r="178">
      <c r="A178" s="2" t="inlineStr">
        <is>
          <t>S172</t>
        </is>
      </c>
      <c r="B178" s="2" t="n"/>
      <c r="C178" s="2" t="n"/>
      <c r="D178" s="2" t="n"/>
      <c r="E178" s="2" t="n"/>
      <c r="F178" s="2" t="n"/>
      <c r="G178" s="5">
        <f>IF(F178="","",IFERROR(F178/MAX(1,COUNTIF('01_Конкуренты'!$B\$7:$B\$36,"?*")),""))</f>
        <v/>
      </c>
      <c r="H178" s="2" t="n"/>
      <c r="I178" s="2">
        <f>IF(B178="","",IF(OR(E178="Обязательное",E178="Линейное"),IF(G178&gt;=0.6,"Рыночный стандарт",IF(G178&gt;=0.35,"Формирующаяся норма","Проверить необходимость")),IF(E178="Привлекательное",IF(G178&lt;0.5,"Зона дифференциации","Переходит в ожидаемое"),IF(E178="Безразличное","Низкий приоритет",IF(E178="Обратное","Риск отторжения","Требует проверки")))))</f>
        <v/>
      </c>
      <c r="J178" s="2" t="n"/>
      <c r="K178" s="2" t="n"/>
      <c r="L178" s="2" t="n"/>
    </row>
    <row r="179">
      <c r="A179" s="2" t="inlineStr">
        <is>
          <t>S173</t>
        </is>
      </c>
      <c r="B179" s="2" t="n"/>
      <c r="C179" s="2" t="n"/>
      <c r="D179" s="2" t="n"/>
      <c r="E179" s="2" t="n"/>
      <c r="F179" s="2" t="n"/>
      <c r="G179" s="5">
        <f>IF(F179="","",IFERROR(F179/MAX(1,COUNTIF('01_Конкуренты'!$B\$7:$B\$36,"?*")),""))</f>
        <v/>
      </c>
      <c r="H179" s="2" t="n"/>
      <c r="I179" s="2">
        <f>IF(B179="","",IF(OR(E179="Обязательное",E179="Линейное"),IF(G179&gt;=0.6,"Рыночный стандарт",IF(G179&gt;=0.35,"Формирующаяся норма","Проверить необходимость")),IF(E179="Привлекательное",IF(G179&lt;0.5,"Зона дифференциации","Переходит в ожидаемое"),IF(E179="Безразличное","Низкий приоритет",IF(E179="Обратное","Риск отторжения","Требует проверки")))))</f>
        <v/>
      </c>
      <c r="J179" s="2" t="n"/>
      <c r="K179" s="2" t="n"/>
      <c r="L179" s="2" t="n"/>
    </row>
    <row r="180">
      <c r="A180" s="2" t="inlineStr">
        <is>
          <t>S174</t>
        </is>
      </c>
      <c r="B180" s="2" t="n"/>
      <c r="C180" s="2" t="n"/>
      <c r="D180" s="2" t="n"/>
      <c r="E180" s="2" t="n"/>
      <c r="F180" s="2" t="n"/>
      <c r="G180" s="5">
        <f>IF(F180="","",IFERROR(F180/MAX(1,COUNTIF('01_Конкуренты'!$B\$7:$B\$36,"?*")),""))</f>
        <v/>
      </c>
      <c r="H180" s="2" t="n"/>
      <c r="I180" s="2">
        <f>IF(B180="","",IF(OR(E180="Обязательное",E180="Линейное"),IF(G180&gt;=0.6,"Рыночный стандарт",IF(G180&gt;=0.35,"Формирующаяся норма","Проверить необходимость")),IF(E180="Привлекательное",IF(G180&lt;0.5,"Зона дифференциации","Переходит в ожидаемое"),IF(E180="Безразличное","Низкий приоритет",IF(E180="Обратное","Риск отторжения","Требует проверки")))))</f>
        <v/>
      </c>
      <c r="J180" s="2" t="n"/>
      <c r="K180" s="2" t="n"/>
      <c r="L180" s="2" t="n"/>
    </row>
    <row r="181">
      <c r="A181" s="2" t="inlineStr">
        <is>
          <t>S175</t>
        </is>
      </c>
      <c r="B181" s="2" t="n"/>
      <c r="C181" s="2" t="n"/>
      <c r="D181" s="2" t="n"/>
      <c r="E181" s="2" t="n"/>
      <c r="F181" s="2" t="n"/>
      <c r="G181" s="5">
        <f>IF(F181="","",IFERROR(F181/MAX(1,COUNTIF('01_Конкуренты'!$B\$7:$B\$36,"?*")),""))</f>
        <v/>
      </c>
      <c r="H181" s="2" t="n"/>
      <c r="I181" s="2">
        <f>IF(B181="","",IF(OR(E181="Обязательное",E181="Линейное"),IF(G181&gt;=0.6,"Рыночный стандарт",IF(G181&gt;=0.35,"Формирующаяся норма","Проверить необходимость")),IF(E181="Привлекательное",IF(G181&lt;0.5,"Зона дифференциации","Переходит в ожидаемое"),IF(E181="Безразличное","Низкий приоритет",IF(E181="Обратное","Риск отторжения","Требует проверки")))))</f>
        <v/>
      </c>
      <c r="J181" s="2" t="n"/>
      <c r="K181" s="2" t="n"/>
      <c r="L181" s="2" t="n"/>
    </row>
    <row r="182">
      <c r="A182" s="2" t="inlineStr">
        <is>
          <t>S176</t>
        </is>
      </c>
      <c r="B182" s="2" t="n"/>
      <c r="C182" s="2" t="n"/>
      <c r="D182" s="2" t="n"/>
      <c r="E182" s="2" t="n"/>
      <c r="F182" s="2" t="n"/>
      <c r="G182" s="5">
        <f>IF(F182="","",IFERROR(F182/MAX(1,COUNTIF('01_Конкуренты'!$B\$7:$B\$36,"?*")),""))</f>
        <v/>
      </c>
      <c r="H182" s="2" t="n"/>
      <c r="I182" s="2">
        <f>IF(B182="","",IF(OR(E182="Обязательное",E182="Линейное"),IF(G182&gt;=0.6,"Рыночный стандарт",IF(G182&gt;=0.35,"Формирующаяся норма","Проверить необходимость")),IF(E182="Привлекательное",IF(G182&lt;0.5,"Зона дифференциации","Переходит в ожидаемое"),IF(E182="Безразличное","Низкий приоритет",IF(E182="Обратное","Риск отторжения","Требует проверки")))))</f>
        <v/>
      </c>
      <c r="J182" s="2" t="n"/>
      <c r="K182" s="2" t="n"/>
      <c r="L182" s="2" t="n"/>
    </row>
    <row r="183">
      <c r="A183" s="2" t="inlineStr">
        <is>
          <t>S177</t>
        </is>
      </c>
      <c r="B183" s="2" t="n"/>
      <c r="C183" s="2" t="n"/>
      <c r="D183" s="2" t="n"/>
      <c r="E183" s="2" t="n"/>
      <c r="F183" s="2" t="n"/>
      <c r="G183" s="5">
        <f>IF(F183="","",IFERROR(F183/MAX(1,COUNTIF('01_Конкуренты'!$B\$7:$B\$36,"?*")),""))</f>
        <v/>
      </c>
      <c r="H183" s="2" t="n"/>
      <c r="I183" s="2">
        <f>IF(B183="","",IF(OR(E183="Обязательное",E183="Линейное"),IF(G183&gt;=0.6,"Рыночный стандарт",IF(G183&gt;=0.35,"Формирующаяся норма","Проверить необходимость")),IF(E183="Привлекательное",IF(G183&lt;0.5,"Зона дифференциации","Переходит в ожидаемое"),IF(E183="Безразличное","Низкий приоритет",IF(E183="Обратное","Риск отторжения","Требует проверки")))))</f>
        <v/>
      </c>
      <c r="J183" s="2" t="n"/>
      <c r="K183" s="2" t="n"/>
      <c r="L183" s="2" t="n"/>
    </row>
    <row r="184">
      <c r="A184" s="2" t="inlineStr">
        <is>
          <t>S178</t>
        </is>
      </c>
      <c r="B184" s="2" t="n"/>
      <c r="C184" s="2" t="n"/>
      <c r="D184" s="2" t="n"/>
      <c r="E184" s="2" t="n"/>
      <c r="F184" s="2" t="n"/>
      <c r="G184" s="5">
        <f>IF(F184="","",IFERROR(F184/MAX(1,COUNTIF('01_Конкуренты'!$B\$7:$B\$36,"?*")),""))</f>
        <v/>
      </c>
      <c r="H184" s="2" t="n"/>
      <c r="I184" s="2">
        <f>IF(B184="","",IF(OR(E184="Обязательное",E184="Линейное"),IF(G184&gt;=0.6,"Рыночный стандарт",IF(G184&gt;=0.35,"Формирующаяся норма","Проверить необходимость")),IF(E184="Привлекательное",IF(G184&lt;0.5,"Зона дифференциации","Переходит в ожидаемое"),IF(E184="Безразличное","Низкий приоритет",IF(E184="Обратное","Риск отторжения","Требует проверки")))))</f>
        <v/>
      </c>
      <c r="J184" s="2" t="n"/>
      <c r="K184" s="2" t="n"/>
      <c r="L184" s="2" t="n"/>
    </row>
    <row r="185">
      <c r="A185" s="2" t="inlineStr">
        <is>
          <t>S179</t>
        </is>
      </c>
      <c r="B185" s="2" t="n"/>
      <c r="C185" s="2" t="n"/>
      <c r="D185" s="2" t="n"/>
      <c r="E185" s="2" t="n"/>
      <c r="F185" s="2" t="n"/>
      <c r="G185" s="5">
        <f>IF(F185="","",IFERROR(F185/MAX(1,COUNTIF('01_Конкуренты'!$B\$7:$B\$36,"?*")),""))</f>
        <v/>
      </c>
      <c r="H185" s="2" t="n"/>
      <c r="I185" s="2">
        <f>IF(B185="","",IF(OR(E185="Обязательное",E185="Линейное"),IF(G185&gt;=0.6,"Рыночный стандарт",IF(G185&gt;=0.35,"Формирующаяся норма","Проверить необходимость")),IF(E185="Привлекательное",IF(G185&lt;0.5,"Зона дифференциации","Переходит в ожидаемое"),IF(E185="Безразличное","Низкий приоритет",IF(E185="Обратное","Риск отторжения","Требует проверки")))))</f>
        <v/>
      </c>
      <c r="J185" s="2" t="n"/>
      <c r="K185" s="2" t="n"/>
      <c r="L185" s="2" t="n"/>
    </row>
    <row r="186">
      <c r="A186" s="2" t="inlineStr">
        <is>
          <t>S180</t>
        </is>
      </c>
      <c r="B186" s="2" t="n"/>
      <c r="C186" s="2" t="n"/>
      <c r="D186" s="2" t="n"/>
      <c r="E186" s="2" t="n"/>
      <c r="F186" s="2" t="n"/>
      <c r="G186" s="5">
        <f>IF(F186="","",IFERROR(F186/MAX(1,COUNTIF('01_Конкуренты'!$B\$7:$B\$36,"?*")),""))</f>
        <v/>
      </c>
      <c r="H186" s="2" t="n"/>
      <c r="I186" s="2">
        <f>IF(B186="","",IF(OR(E186="Обязательное",E186="Линейное"),IF(G186&gt;=0.6,"Рыночный стандарт",IF(G186&gt;=0.35,"Формирующаяся норма","Проверить необходимость")),IF(E186="Привлекательное",IF(G186&lt;0.5,"Зона дифференциации","Переходит в ожидаемое"),IF(E186="Безразличное","Низкий приоритет",IF(E186="Обратное","Риск отторжения","Требует проверки")))))</f>
        <v/>
      </c>
      <c r="J186" s="2" t="n"/>
      <c r="K186" s="2" t="n"/>
      <c r="L186" s="2" t="n"/>
    </row>
    <row r="187">
      <c r="A187" s="2" t="inlineStr">
        <is>
          <t>S181</t>
        </is>
      </c>
      <c r="B187" s="2" t="n"/>
      <c r="C187" s="2" t="n"/>
      <c r="D187" s="2" t="n"/>
      <c r="E187" s="2" t="n"/>
      <c r="F187" s="2" t="n"/>
      <c r="G187" s="5">
        <f>IF(F187="","",IFERROR(F187/MAX(1,COUNTIF('01_Конкуренты'!$B\$7:$B\$36,"?*")),""))</f>
        <v/>
      </c>
      <c r="H187" s="2" t="n"/>
      <c r="I187" s="2">
        <f>IF(B187="","",IF(OR(E187="Обязательное",E187="Линейное"),IF(G187&gt;=0.6,"Рыночный стандарт",IF(G187&gt;=0.35,"Формирующаяся норма","Проверить необходимость")),IF(E187="Привлекательное",IF(G187&lt;0.5,"Зона дифференциации","Переходит в ожидаемое"),IF(E187="Безразличное","Низкий приоритет",IF(E187="Обратное","Риск отторжения","Требует проверки")))))</f>
        <v/>
      </c>
      <c r="J187" s="2" t="n"/>
      <c r="K187" s="2" t="n"/>
      <c r="L187" s="2" t="n"/>
    </row>
    <row r="188">
      <c r="A188" s="2" t="inlineStr">
        <is>
          <t>S182</t>
        </is>
      </c>
      <c r="B188" s="2" t="n"/>
      <c r="C188" s="2" t="n"/>
      <c r="D188" s="2" t="n"/>
      <c r="E188" s="2" t="n"/>
      <c r="F188" s="2" t="n"/>
      <c r="G188" s="5">
        <f>IF(F188="","",IFERROR(F188/MAX(1,COUNTIF('01_Конкуренты'!$B\$7:$B\$36,"?*")),""))</f>
        <v/>
      </c>
      <c r="H188" s="2" t="n"/>
      <c r="I188" s="2">
        <f>IF(B188="","",IF(OR(E188="Обязательное",E188="Линейное"),IF(G188&gt;=0.6,"Рыночный стандарт",IF(G188&gt;=0.35,"Формирующаяся норма","Проверить необходимость")),IF(E188="Привлекательное",IF(G188&lt;0.5,"Зона дифференциации","Переходит в ожидаемое"),IF(E188="Безразличное","Низкий приоритет",IF(E188="Обратное","Риск отторжения","Требует проверки")))))</f>
        <v/>
      </c>
      <c r="J188" s="2" t="n"/>
      <c r="K188" s="2" t="n"/>
      <c r="L188" s="2" t="n"/>
    </row>
    <row r="189">
      <c r="A189" s="2" t="inlineStr">
        <is>
          <t>S183</t>
        </is>
      </c>
      <c r="B189" s="2" t="n"/>
      <c r="C189" s="2" t="n"/>
      <c r="D189" s="2" t="n"/>
      <c r="E189" s="2" t="n"/>
      <c r="F189" s="2" t="n"/>
      <c r="G189" s="5">
        <f>IF(F189="","",IFERROR(F189/MAX(1,COUNTIF('01_Конкуренты'!$B\$7:$B\$36,"?*")),""))</f>
        <v/>
      </c>
      <c r="H189" s="2" t="n"/>
      <c r="I189" s="2">
        <f>IF(B189="","",IF(OR(E189="Обязательное",E189="Линейное"),IF(G189&gt;=0.6,"Рыночный стандарт",IF(G189&gt;=0.35,"Формирующаяся норма","Проверить необходимость")),IF(E189="Привлекательное",IF(G189&lt;0.5,"Зона дифференциации","Переходит в ожидаемое"),IF(E189="Безразличное","Низкий приоритет",IF(E189="Обратное","Риск отторжения","Требует проверки")))))</f>
        <v/>
      </c>
      <c r="J189" s="2" t="n"/>
      <c r="K189" s="2" t="n"/>
      <c r="L189" s="2" t="n"/>
    </row>
    <row r="190">
      <c r="A190" s="2" t="inlineStr">
        <is>
          <t>S184</t>
        </is>
      </c>
      <c r="B190" s="2" t="n"/>
      <c r="C190" s="2" t="n"/>
      <c r="D190" s="2" t="n"/>
      <c r="E190" s="2" t="n"/>
      <c r="F190" s="2" t="n"/>
      <c r="G190" s="5">
        <f>IF(F190="","",IFERROR(F190/MAX(1,COUNTIF('01_Конкуренты'!$B\$7:$B\$36,"?*")),""))</f>
        <v/>
      </c>
      <c r="H190" s="2" t="n"/>
      <c r="I190" s="2">
        <f>IF(B190="","",IF(OR(E190="Обязательное",E190="Линейное"),IF(G190&gt;=0.6,"Рыночный стандарт",IF(G190&gt;=0.35,"Формирующаяся норма","Проверить необходимость")),IF(E190="Привлекательное",IF(G190&lt;0.5,"Зона дифференциации","Переходит в ожидаемое"),IF(E190="Безразличное","Низкий приоритет",IF(E190="Обратное","Риск отторжения","Требует проверки")))))</f>
        <v/>
      </c>
      <c r="J190" s="2" t="n"/>
      <c r="K190" s="2" t="n"/>
      <c r="L190" s="2" t="n"/>
    </row>
    <row r="191">
      <c r="A191" s="2" t="inlineStr">
        <is>
          <t>S185</t>
        </is>
      </c>
      <c r="B191" s="2" t="n"/>
      <c r="C191" s="2" t="n"/>
      <c r="D191" s="2" t="n"/>
      <c r="E191" s="2" t="n"/>
      <c r="F191" s="2" t="n"/>
      <c r="G191" s="5">
        <f>IF(F191="","",IFERROR(F191/MAX(1,COUNTIF('01_Конкуренты'!$B\$7:$B\$36,"?*")),""))</f>
        <v/>
      </c>
      <c r="H191" s="2" t="n"/>
      <c r="I191" s="2">
        <f>IF(B191="","",IF(OR(E191="Обязательное",E191="Линейное"),IF(G191&gt;=0.6,"Рыночный стандарт",IF(G191&gt;=0.35,"Формирующаяся норма","Проверить необходимость")),IF(E191="Привлекательное",IF(G191&lt;0.5,"Зона дифференциации","Переходит в ожидаемое"),IF(E191="Безразличное","Низкий приоритет",IF(E191="Обратное","Риск отторжения","Требует проверки")))))</f>
        <v/>
      </c>
      <c r="J191" s="2" t="n"/>
      <c r="K191" s="2" t="n"/>
      <c r="L191" s="2" t="n"/>
    </row>
    <row r="192">
      <c r="A192" s="2" t="inlineStr">
        <is>
          <t>S186</t>
        </is>
      </c>
      <c r="B192" s="2" t="n"/>
      <c r="C192" s="2" t="n"/>
      <c r="D192" s="2" t="n"/>
      <c r="E192" s="2" t="n"/>
      <c r="F192" s="2" t="n"/>
      <c r="G192" s="5">
        <f>IF(F192="","",IFERROR(F192/MAX(1,COUNTIF('01_Конкуренты'!$B\$7:$B\$36,"?*")),""))</f>
        <v/>
      </c>
      <c r="H192" s="2" t="n"/>
      <c r="I192" s="2">
        <f>IF(B192="","",IF(OR(E192="Обязательное",E192="Линейное"),IF(G192&gt;=0.6,"Рыночный стандарт",IF(G192&gt;=0.35,"Формирующаяся норма","Проверить необходимость")),IF(E192="Привлекательное",IF(G192&lt;0.5,"Зона дифференциации","Переходит в ожидаемое"),IF(E192="Безразличное","Низкий приоритет",IF(E192="Обратное","Риск отторжения","Требует проверки")))))</f>
        <v/>
      </c>
      <c r="J192" s="2" t="n"/>
      <c r="K192" s="2" t="n"/>
      <c r="L192" s="2" t="n"/>
    </row>
    <row r="193">
      <c r="A193" s="2" t="inlineStr">
        <is>
          <t>S187</t>
        </is>
      </c>
      <c r="B193" s="2" t="n"/>
      <c r="C193" s="2" t="n"/>
      <c r="D193" s="2" t="n"/>
      <c r="E193" s="2" t="n"/>
      <c r="F193" s="2" t="n"/>
      <c r="G193" s="5">
        <f>IF(F193="","",IFERROR(F193/MAX(1,COUNTIF('01_Конкуренты'!$B\$7:$B\$36,"?*")),""))</f>
        <v/>
      </c>
      <c r="H193" s="2" t="n"/>
      <c r="I193" s="2">
        <f>IF(B193="","",IF(OR(E193="Обязательное",E193="Линейное"),IF(G193&gt;=0.6,"Рыночный стандарт",IF(G193&gt;=0.35,"Формирующаяся норма","Проверить необходимость")),IF(E193="Привлекательное",IF(G193&lt;0.5,"Зона дифференциации","Переходит в ожидаемое"),IF(E193="Безразличное","Низкий приоритет",IF(E193="Обратное","Риск отторжения","Требует проверки")))))</f>
        <v/>
      </c>
      <c r="J193" s="2" t="n"/>
      <c r="K193" s="2" t="n"/>
      <c r="L193" s="2" t="n"/>
    </row>
    <row r="194">
      <c r="A194" s="2" t="inlineStr">
        <is>
          <t>S188</t>
        </is>
      </c>
      <c r="B194" s="2" t="n"/>
      <c r="C194" s="2" t="n"/>
      <c r="D194" s="2" t="n"/>
      <c r="E194" s="2" t="n"/>
      <c r="F194" s="2" t="n"/>
      <c r="G194" s="5">
        <f>IF(F194="","",IFERROR(F194/MAX(1,COUNTIF('01_Конкуренты'!$B\$7:$B\$36,"?*")),""))</f>
        <v/>
      </c>
      <c r="H194" s="2" t="n"/>
      <c r="I194" s="2">
        <f>IF(B194="","",IF(OR(E194="Обязательное",E194="Линейное"),IF(G194&gt;=0.6,"Рыночный стандарт",IF(G194&gt;=0.35,"Формирующаяся норма","Проверить необходимость")),IF(E194="Привлекательное",IF(G194&lt;0.5,"Зона дифференциации","Переходит в ожидаемое"),IF(E194="Безразличное","Низкий приоритет",IF(E194="Обратное","Риск отторжения","Требует проверки")))))</f>
        <v/>
      </c>
      <c r="J194" s="2" t="n"/>
      <c r="K194" s="2" t="n"/>
      <c r="L194" s="2" t="n"/>
    </row>
    <row r="195">
      <c r="A195" s="2" t="inlineStr">
        <is>
          <t>S189</t>
        </is>
      </c>
      <c r="B195" s="2" t="n"/>
      <c r="C195" s="2" t="n"/>
      <c r="D195" s="2" t="n"/>
      <c r="E195" s="2" t="n"/>
      <c r="F195" s="2" t="n"/>
      <c r="G195" s="5">
        <f>IF(F195="","",IFERROR(F195/MAX(1,COUNTIF('01_Конкуренты'!$B\$7:$B\$36,"?*")),""))</f>
        <v/>
      </c>
      <c r="H195" s="2" t="n"/>
      <c r="I195" s="2">
        <f>IF(B195="","",IF(OR(E195="Обязательное",E195="Линейное"),IF(G195&gt;=0.6,"Рыночный стандарт",IF(G195&gt;=0.35,"Формирующаяся норма","Проверить необходимость")),IF(E195="Привлекательное",IF(G195&lt;0.5,"Зона дифференциации","Переходит в ожидаемое"),IF(E195="Безразличное","Низкий приоритет",IF(E195="Обратное","Риск отторжения","Требует проверки")))))</f>
        <v/>
      </c>
      <c r="J195" s="2" t="n"/>
      <c r="K195" s="2" t="n"/>
      <c r="L195" s="2" t="n"/>
    </row>
    <row r="196">
      <c r="A196" s="2" t="inlineStr">
        <is>
          <t>S190</t>
        </is>
      </c>
      <c r="B196" s="2" t="n"/>
      <c r="C196" s="2" t="n"/>
      <c r="D196" s="2" t="n"/>
      <c r="E196" s="2" t="n"/>
      <c r="F196" s="2" t="n"/>
      <c r="G196" s="5">
        <f>IF(F196="","",IFERROR(F196/MAX(1,COUNTIF('01_Конкуренты'!$B\$7:$B\$36,"?*")),""))</f>
        <v/>
      </c>
      <c r="H196" s="2" t="n"/>
      <c r="I196" s="2">
        <f>IF(B196="","",IF(OR(E196="Обязательное",E196="Линейное"),IF(G196&gt;=0.6,"Рыночный стандарт",IF(G196&gt;=0.35,"Формирующаяся норма","Проверить необходимость")),IF(E196="Привлекательное",IF(G196&lt;0.5,"Зона дифференциации","Переходит в ожидаемое"),IF(E196="Безразличное","Низкий приоритет",IF(E196="Обратное","Риск отторжения","Требует проверки")))))</f>
        <v/>
      </c>
      <c r="J196" s="2" t="n"/>
      <c r="K196" s="2" t="n"/>
      <c r="L196" s="2" t="n"/>
    </row>
    <row r="197">
      <c r="A197" s="2" t="inlineStr">
        <is>
          <t>S191</t>
        </is>
      </c>
      <c r="B197" s="2" t="n"/>
      <c r="C197" s="2" t="n"/>
      <c r="D197" s="2" t="n"/>
      <c r="E197" s="2" t="n"/>
      <c r="F197" s="2" t="n"/>
      <c r="G197" s="5">
        <f>IF(F197="","",IFERROR(F197/MAX(1,COUNTIF('01_Конкуренты'!$B\$7:$B\$36,"?*")),""))</f>
        <v/>
      </c>
      <c r="H197" s="2" t="n"/>
      <c r="I197" s="2">
        <f>IF(B197="","",IF(OR(E197="Обязательное",E197="Линейное"),IF(G197&gt;=0.6,"Рыночный стандарт",IF(G197&gt;=0.35,"Формирующаяся норма","Проверить необходимость")),IF(E197="Привлекательное",IF(G197&lt;0.5,"Зона дифференциации","Переходит в ожидаемое"),IF(E197="Безразличное","Низкий приоритет",IF(E197="Обратное","Риск отторжения","Требует проверки")))))</f>
        <v/>
      </c>
      <c r="J197" s="2" t="n"/>
      <c r="K197" s="2" t="n"/>
      <c r="L197" s="2" t="n"/>
    </row>
    <row r="198">
      <c r="A198" s="2" t="inlineStr">
        <is>
          <t>S192</t>
        </is>
      </c>
      <c r="B198" s="2" t="n"/>
      <c r="C198" s="2" t="n"/>
      <c r="D198" s="2" t="n"/>
      <c r="E198" s="2" t="n"/>
      <c r="F198" s="2" t="n"/>
      <c r="G198" s="5">
        <f>IF(F198="","",IFERROR(F198/MAX(1,COUNTIF('01_Конкуренты'!$B\$7:$B\$36,"?*")),""))</f>
        <v/>
      </c>
      <c r="H198" s="2" t="n"/>
      <c r="I198" s="2">
        <f>IF(B198="","",IF(OR(E198="Обязательное",E198="Линейное"),IF(G198&gt;=0.6,"Рыночный стандарт",IF(G198&gt;=0.35,"Формирующаяся норма","Проверить необходимость")),IF(E198="Привлекательное",IF(G198&lt;0.5,"Зона дифференциации","Переходит в ожидаемое"),IF(E198="Безразличное","Низкий приоритет",IF(E198="Обратное","Риск отторжения","Требует проверки")))))</f>
        <v/>
      </c>
      <c r="J198" s="2" t="n"/>
      <c r="K198" s="2" t="n"/>
      <c r="L198" s="2" t="n"/>
    </row>
    <row r="199">
      <c r="A199" s="2" t="inlineStr">
        <is>
          <t>S193</t>
        </is>
      </c>
      <c r="B199" s="2" t="n"/>
      <c r="C199" s="2" t="n"/>
      <c r="D199" s="2" t="n"/>
      <c r="E199" s="2" t="n"/>
      <c r="F199" s="2" t="n"/>
      <c r="G199" s="5">
        <f>IF(F199="","",IFERROR(F199/MAX(1,COUNTIF('01_Конкуренты'!$B\$7:$B\$36,"?*")),""))</f>
        <v/>
      </c>
      <c r="H199" s="2" t="n"/>
      <c r="I199" s="2">
        <f>IF(B199="","",IF(OR(E199="Обязательное",E199="Линейное"),IF(G199&gt;=0.6,"Рыночный стандарт",IF(G199&gt;=0.35,"Формирующаяся норма","Проверить необходимость")),IF(E199="Привлекательное",IF(G199&lt;0.5,"Зона дифференциации","Переходит в ожидаемое"),IF(E199="Безразличное","Низкий приоритет",IF(E199="Обратное","Риск отторжения","Требует проверки")))))</f>
        <v/>
      </c>
      <c r="J199" s="2" t="n"/>
      <c r="K199" s="2" t="n"/>
      <c r="L199" s="2" t="n"/>
    </row>
    <row r="200">
      <c r="A200" s="2" t="inlineStr">
        <is>
          <t>S194</t>
        </is>
      </c>
      <c r="B200" s="2" t="n"/>
      <c r="C200" s="2" t="n"/>
      <c r="D200" s="2" t="n"/>
      <c r="E200" s="2" t="n"/>
      <c r="F200" s="2" t="n"/>
      <c r="G200" s="5">
        <f>IF(F200="","",IFERROR(F200/MAX(1,COUNTIF('01_Конкуренты'!$B\$7:$B\$36,"?*")),""))</f>
        <v/>
      </c>
      <c r="H200" s="2" t="n"/>
      <c r="I200" s="2">
        <f>IF(B200="","",IF(OR(E200="Обязательное",E200="Линейное"),IF(G200&gt;=0.6,"Рыночный стандарт",IF(G200&gt;=0.35,"Формирующаяся норма","Проверить необходимость")),IF(E200="Привлекательное",IF(G200&lt;0.5,"Зона дифференциации","Переходит в ожидаемое"),IF(E200="Безразличное","Низкий приоритет",IF(E200="Обратное","Риск отторжения","Требует проверки")))))</f>
        <v/>
      </c>
      <c r="J200" s="2" t="n"/>
      <c r="K200" s="2" t="n"/>
      <c r="L200" s="2" t="n"/>
    </row>
    <row r="201">
      <c r="A201" s="2" t="inlineStr">
        <is>
          <t>S195</t>
        </is>
      </c>
      <c r="B201" s="2" t="n"/>
      <c r="C201" s="2" t="n"/>
      <c r="D201" s="2" t="n"/>
      <c r="E201" s="2" t="n"/>
      <c r="F201" s="2" t="n"/>
      <c r="G201" s="5">
        <f>IF(F201="","",IFERROR(F201/MAX(1,COUNTIF('01_Конкуренты'!$B\$7:$B\$36,"?*")),""))</f>
        <v/>
      </c>
      <c r="H201" s="2" t="n"/>
      <c r="I201" s="2">
        <f>IF(B201="","",IF(OR(E201="Обязательное",E201="Линейное"),IF(G201&gt;=0.6,"Рыночный стандарт",IF(G201&gt;=0.35,"Формирующаяся норма","Проверить необходимость")),IF(E201="Привлекательное",IF(G201&lt;0.5,"Зона дифференциации","Переходит в ожидаемое"),IF(E201="Безразличное","Низкий приоритет",IF(E201="Обратное","Риск отторжения","Требует проверки")))))</f>
        <v/>
      </c>
      <c r="J201" s="2" t="n"/>
      <c r="K201" s="2" t="n"/>
      <c r="L201" s="2" t="n"/>
    </row>
    <row r="202">
      <c r="A202" s="2" t="inlineStr">
        <is>
          <t>S196</t>
        </is>
      </c>
      <c r="B202" s="2" t="n"/>
      <c r="C202" s="2" t="n"/>
      <c r="D202" s="2" t="n"/>
      <c r="E202" s="2" t="n"/>
      <c r="F202" s="2" t="n"/>
      <c r="G202" s="5">
        <f>IF(F202="","",IFERROR(F202/MAX(1,COUNTIF('01_Конкуренты'!$B\$7:$B\$36,"?*")),""))</f>
        <v/>
      </c>
      <c r="H202" s="2" t="n"/>
      <c r="I202" s="2">
        <f>IF(B202="","",IF(OR(E202="Обязательное",E202="Линейное"),IF(G202&gt;=0.6,"Рыночный стандарт",IF(G202&gt;=0.35,"Формирующаяся норма","Проверить необходимость")),IF(E202="Привлекательное",IF(G202&lt;0.5,"Зона дифференциации","Переходит в ожидаемое"),IF(E202="Безразличное","Низкий приоритет",IF(E202="Обратное","Риск отторжения","Требует проверки")))))</f>
        <v/>
      </c>
      <c r="J202" s="2" t="n"/>
      <c r="K202" s="2" t="n"/>
      <c r="L202" s="2" t="n"/>
    </row>
    <row r="203">
      <c r="A203" s="2" t="inlineStr">
        <is>
          <t>S197</t>
        </is>
      </c>
      <c r="B203" s="2" t="n"/>
      <c r="C203" s="2" t="n"/>
      <c r="D203" s="2" t="n"/>
      <c r="E203" s="2" t="n"/>
      <c r="F203" s="2" t="n"/>
      <c r="G203" s="5">
        <f>IF(F203="","",IFERROR(F203/MAX(1,COUNTIF('01_Конкуренты'!$B\$7:$B\$36,"?*")),""))</f>
        <v/>
      </c>
      <c r="H203" s="2" t="n"/>
      <c r="I203" s="2">
        <f>IF(B203="","",IF(OR(E203="Обязательное",E203="Линейное"),IF(G203&gt;=0.6,"Рыночный стандарт",IF(G203&gt;=0.35,"Формирующаяся норма","Проверить необходимость")),IF(E203="Привлекательное",IF(G203&lt;0.5,"Зона дифференциации","Переходит в ожидаемое"),IF(E203="Безразличное","Низкий приоритет",IF(E203="Обратное","Риск отторжения","Требует проверки")))))</f>
        <v/>
      </c>
      <c r="J203" s="2" t="n"/>
      <c r="K203" s="2" t="n"/>
      <c r="L203" s="2" t="n"/>
    </row>
    <row r="204">
      <c r="A204" s="2" t="inlineStr">
        <is>
          <t>S198</t>
        </is>
      </c>
      <c r="B204" s="2" t="n"/>
      <c r="C204" s="2" t="n"/>
      <c r="D204" s="2" t="n"/>
      <c r="E204" s="2" t="n"/>
      <c r="F204" s="2" t="n"/>
      <c r="G204" s="5">
        <f>IF(F204="","",IFERROR(F204/MAX(1,COUNTIF('01_Конкуренты'!$B\$7:$B\$36,"?*")),""))</f>
        <v/>
      </c>
      <c r="H204" s="2" t="n"/>
      <c r="I204" s="2">
        <f>IF(B204="","",IF(OR(E204="Обязательное",E204="Линейное"),IF(G204&gt;=0.6,"Рыночный стандарт",IF(G204&gt;=0.35,"Формирующаяся норма","Проверить необходимость")),IF(E204="Привлекательное",IF(G204&lt;0.5,"Зона дифференциации","Переходит в ожидаемое"),IF(E204="Безразличное","Низкий приоритет",IF(E204="Обратное","Риск отторжения","Требует проверки")))))</f>
        <v/>
      </c>
      <c r="J204" s="2" t="n"/>
      <c r="K204" s="2" t="n"/>
      <c r="L204" s="2" t="n"/>
    </row>
    <row r="205">
      <c r="A205" s="2" t="inlineStr">
        <is>
          <t>S199</t>
        </is>
      </c>
      <c r="B205" s="2" t="n"/>
      <c r="C205" s="2" t="n"/>
      <c r="D205" s="2" t="n"/>
      <c r="E205" s="2" t="n"/>
      <c r="F205" s="2" t="n"/>
      <c r="G205" s="5">
        <f>IF(F205="","",IFERROR(F205/MAX(1,COUNTIF('01_Конкуренты'!$B\$7:$B\$36,"?*")),""))</f>
        <v/>
      </c>
      <c r="H205" s="2" t="n"/>
      <c r="I205" s="2">
        <f>IF(B205="","",IF(OR(E205="Обязательное",E205="Линейное"),IF(G205&gt;=0.6,"Рыночный стандарт",IF(G205&gt;=0.35,"Формирующаяся норма","Проверить необходимость")),IF(E205="Привлекательное",IF(G205&lt;0.5,"Зона дифференциации","Переходит в ожидаемое"),IF(E205="Безразличное","Низкий приоритет",IF(E205="Обратное","Риск отторжения","Требует проверки")))))</f>
        <v/>
      </c>
      <c r="J205" s="2" t="n"/>
      <c r="K205" s="2" t="n"/>
      <c r="L205" s="2" t="n"/>
    </row>
    <row r="206">
      <c r="A206" s="2" t="inlineStr">
        <is>
          <t>S200</t>
        </is>
      </c>
      <c r="B206" s="2" t="n"/>
      <c r="C206" s="2" t="n"/>
      <c r="D206" s="2" t="n"/>
      <c r="E206" s="2" t="n"/>
      <c r="F206" s="2" t="n"/>
      <c r="G206" s="5">
        <f>IF(F206="","",IFERROR(F206/MAX(1,COUNTIF('01_Конкуренты'!$B\$7:$B\$36,"?*")),""))</f>
        <v/>
      </c>
      <c r="H206" s="2" t="n"/>
      <c r="I206" s="2">
        <f>IF(B206="","",IF(OR(E206="Обязательное",E206="Линейное"),IF(G206&gt;=0.6,"Рыночный стандарт",IF(G206&gt;=0.35,"Формирующаяся норма","Проверить необходимость")),IF(E206="Привлекательное",IF(G206&lt;0.5,"Зона дифференциации","Переходит в ожидаемое"),IF(E206="Безразличное","Низкий приоритет",IF(E206="Обратное","Риск отторжения","Требует проверки")))))</f>
        <v/>
      </c>
      <c r="J206" s="2" t="n"/>
      <c r="K206" s="2" t="n"/>
      <c r="L206" s="2" t="n"/>
    </row>
  </sheetData>
  <mergeCells count="2">
    <mergeCell ref="A2:L2"/>
    <mergeCell ref="A1:L1"/>
  </mergeCells>
  <conditionalFormatting sqref="G7:G206">
    <cfRule type="dataBar" priority="1">
      <dataBar>
        <cfvo type="min"/>
        <cfvo type="max"/>
        <color rgb="FF34D399"/>
      </dataBar>
    </cfRule>
    <cfRule type="dataBar" priority="2">
      <dataBar>
        <cfvo type="min"/>
        <cfvo type="max"/>
        <color rgb="FF34D399"/>
      </dataBar>
    </cfRule>
  </conditionalFormatting>
  <dataValidations count="3">
    <dataValidation sqref="D7:D206" showDropDown="0" showInputMessage="0" showErrorMessage="0" allowBlank="0" type="list">
      <formula1>"1. Базовая выгода,2. Родовой товар,3. Ожидаемый товар,4. Расширенный товар,5. Потенциальный товар"</formula1>
    </dataValidation>
    <dataValidation sqref="E7:E206" showDropDown="0" showInputMessage="0" showErrorMessage="0" allowBlank="0" type="list">
      <formula1>"Обязательное,Линейное,Привлекательное,Безразличное,Обратное,Неясное"</formula1>
    </dataValidation>
    <dataValidation sqref="H7:H206" showDropDown="0" showInputMessage="0" showErrorMessage="0" allowBlank="0" type="list">
      <formula1>"0,1,2,3,4,5"</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N206"/>
  <sheetViews>
    <sheetView workbookViewId="0">
      <selection activeCell="D22" sqref="D22"/>
    </sheetView>
  </sheetViews>
  <sheetFormatPr baseColWidth="8" defaultRowHeight="14.25"/>
  <cols>
    <col width="10" customWidth="1" min="1" max="1"/>
    <col width="12" customWidth="1" min="2" max="2"/>
    <col width="34" customWidth="1" min="3" max="3"/>
    <col width="42" customWidth="1" min="4" max="4"/>
    <col width="28" customWidth="1" min="5" max="5"/>
    <col width="20" customWidth="1" min="6" max="6"/>
    <col width="26" customWidth="1" min="7" max="7"/>
    <col width="16" customWidth="1" min="8" max="11"/>
    <col width="18" customWidth="1" min="12" max="12"/>
    <col width="26" customWidth="1" min="13" max="13"/>
    <col width="44" customWidth="1" min="14" max="14"/>
  </cols>
  <sheetData>
    <row r="1" ht="29.25" customHeight="1">
      <c r="A1" s="14" t="inlineStr">
        <is>
          <t>08. Выявление конкурентных преимуществ по товару</t>
        </is>
      </c>
    </row>
    <row r="2" ht="21" customHeight="1">
      <c r="A2" s="16" t="inlineStr">
        <is>
          <t>Преимущество фиксируется только при наличии доказательства с сайта, пользовательской ценности и отличия от среднего рынка</t>
        </is>
      </c>
    </row>
    <row r="3"/>
    <row r="4"/>
    <row r="5"/>
    <row r="6" ht="42.75" customHeight="1">
      <c r="A6" s="1" t="inlineStr">
        <is>
          <t>ID</t>
        </is>
      </c>
      <c r="B6" s="1" t="inlineStr">
        <is>
          <t>ID конкурента</t>
        </is>
      </c>
      <c r="C6" s="1" t="inlineStr">
        <is>
          <t>Признак преимущества</t>
        </is>
      </c>
      <c r="D6" s="1" t="inlineStr">
        <is>
          <t>Доказательство / URL</t>
        </is>
      </c>
      <c r="E6" s="1" t="inlineStr">
        <is>
          <t>Уровень Левитта</t>
        </is>
      </c>
      <c r="F6" s="1" t="inlineStr">
        <is>
          <t>Категория Кано</t>
        </is>
      </c>
      <c r="G6" s="1" t="inlineStr">
        <is>
          <t>Тип преимущества</t>
        </is>
      </c>
      <c r="H6" s="1" t="inlineStr">
        <is>
          <t>Редкость 1–5</t>
        </is>
      </c>
      <c r="I6" s="1" t="inlineStr">
        <is>
          <t>Сила 1–5</t>
        </is>
      </c>
      <c r="J6" s="1" t="inlineStr">
        <is>
          <t>Пользовательская ценность 1–5</t>
        </is>
      </c>
      <c r="K6" s="1" t="inlineStr">
        <is>
          <t>Качество доказательства 1–5</t>
        </is>
      </c>
      <c r="L6" s="1" t="inlineStr">
        <is>
          <t>Индекс преимущества</t>
        </is>
      </c>
      <c r="M6" s="1" t="inlineStr">
        <is>
          <t>Вывод</t>
        </is>
      </c>
      <c r="N6" s="1" t="inlineStr">
        <is>
          <t>Как использовать для своего товара</t>
        </is>
      </c>
    </row>
    <row r="7" ht="38.25" customHeight="1">
      <c r="A7" s="2" t="inlineStr">
        <is>
          <t>A001</t>
        </is>
      </c>
      <c r="B7" s="2" t="inlineStr">
        <is>
          <t>C07</t>
        </is>
      </c>
      <c r="C7" s="2" t="inlineStr">
        <is>
          <t>ИИ-генерация и diagram-as-code в одном продукте</t>
        </is>
      </c>
      <c r="D7" s="2" t="inlineStr">
        <is>
          <t>«AI for diagrams that matter»; тариф Free включает diagram-as-code и 3 ИИ-диаграммы (eraser.io, 01.10.2026)</t>
        </is>
      </c>
      <c r="E7" s="2" t="inlineStr">
        <is>
          <t>4. Расширенный товар</t>
        </is>
      </c>
      <c r="F7" s="2" t="inlineStr">
        <is>
          <t>Привлекательное</t>
        </is>
      </c>
      <c r="G7" s="2" t="inlineStr">
        <is>
          <t>Функциональное</t>
        </is>
      </c>
      <c r="H7" s="2" t="n">
        <v>4</v>
      </c>
      <c r="I7" s="2" t="n">
        <v>5</v>
      </c>
      <c r="J7" s="2" t="n">
        <v>4</v>
      </c>
      <c r="K7" s="2" t="n">
        <v>5</v>
      </c>
      <c r="L7" s="2" t="n">
        <v>4.45</v>
      </c>
      <c r="M7" s="2" t="inlineStr">
        <is>
          <t>Сильное преимущество</t>
        </is>
      </c>
      <c r="N7" s="2" t="inlineStr">
        <is>
          <t>Использовать как ориентир: совместить ИИ-генерацию и DSL-редактор в одном Free-тарифе NotaCode</t>
        </is>
      </c>
    </row>
    <row r="8" ht="38.25" customHeight="1">
      <c r="A8" s="2" t="inlineStr">
        <is>
          <t>A002</t>
        </is>
      </c>
      <c r="B8" s="2" t="inlineStr">
        <is>
          <t>C04</t>
        </is>
      </c>
      <c r="C8" s="2" t="inlineStr">
        <is>
          <t>Девять модулей процессного управления и русскоязычный рынок с тарифами в рублях</t>
        </is>
      </c>
      <c r="D8" s="2" t="inlineStr">
        <is>
          <t>stormbpmn.com и /pricing, 01.10.2026; Россия 62,99 % трафика</t>
        </is>
      </c>
      <c r="E8" s="2" t="inlineStr">
        <is>
          <t>4. Расширенный товар</t>
        </is>
      </c>
      <c r="F8" s="2" t="inlineStr">
        <is>
          <t>Привлекательное</t>
        </is>
      </c>
      <c r="G8" s="2" t="inlineStr">
        <is>
          <t>Интеграционное</t>
        </is>
      </c>
      <c r="H8" s="2" t="n">
        <v>5</v>
      </c>
      <c r="I8" s="2" t="n">
        <v>4</v>
      </c>
      <c r="J8" s="2" t="n">
        <v>4</v>
      </c>
      <c r="K8" s="2" t="n">
        <v>5</v>
      </c>
      <c r="L8" s="2" t="n">
        <v>4.45</v>
      </c>
      <c r="M8" s="2" t="inlineStr">
        <is>
          <t>Сильное преимущество</t>
        </is>
      </c>
      <c r="N8" s="2" t="inlineStr">
        <is>
          <t>Учесть при выходе на СНГ-рынок; тарифы в местной валюте снижают барьер входа</t>
        </is>
      </c>
    </row>
    <row r="9" ht="25.5" customHeight="1">
      <c r="A9" s="2" t="inlineStr">
        <is>
          <t>A003</t>
        </is>
      </c>
      <c r="B9" s="2" t="inlineStr">
        <is>
          <t>C06</t>
        </is>
      </c>
      <c r="C9" s="2" t="inlineStr">
        <is>
          <t>Глубина товара и масштаб: 100 шаблонов в Free, Visio import, SAML, Fortune 500</t>
        </is>
      </c>
      <c r="D9" s="2" t="inlineStr">
        <is>
          <t>lucid.app/pricing/lucidchart и lucid.co/lucidchart, 01.10.2026</t>
        </is>
      </c>
      <c r="E9" s="2" t="inlineStr">
        <is>
          <t>4. Расширенный товар</t>
        </is>
      </c>
      <c r="F9" s="2" t="inlineStr">
        <is>
          <t>Линейное</t>
        </is>
      </c>
      <c r="G9" s="2" t="inlineStr">
        <is>
          <t>Доверительное</t>
        </is>
      </c>
      <c r="H9" s="2" t="n">
        <v>2</v>
      </c>
      <c r="I9" s="2" t="n">
        <v>5</v>
      </c>
      <c r="J9" s="2" t="n">
        <v>4</v>
      </c>
      <c r="K9" s="2" t="n">
        <v>5</v>
      </c>
      <c r="L9" s="2" t="n">
        <v>3.95</v>
      </c>
      <c r="M9" s="2" t="inlineStr">
        <is>
          <t>Потенциальное преимущество</t>
        </is>
      </c>
      <c r="N9" s="2" t="inlineStr">
        <is>
          <t>Отразить как ориентир масштаба; NotaCode начинает с минимального набора шаблонов</t>
        </is>
      </c>
    </row>
    <row r="10" ht="25.5" customHeight="1">
      <c r="A10" s="2" t="inlineStr">
        <is>
          <t>A004</t>
        </is>
      </c>
      <c r="B10" s="2" t="inlineStr">
        <is>
          <t>C05</t>
        </is>
      </c>
      <c r="C10" s="2" t="inlineStr">
        <is>
          <t>Бесплатное приложение без enterprise-тарифа, privacy-first, 100M+ пользователей</t>
        </is>
      </c>
      <c r="D10" s="2" t="inlineStr">
        <is>
          <t>drawio.com, 01.10.2026; GitHub (ЛР4)</t>
        </is>
      </c>
      <c r="E10" s="2" t="inlineStr">
        <is>
          <t>3. Ожидаемый товар</t>
        </is>
      </c>
      <c r="F10" s="2" t="inlineStr">
        <is>
          <t>Привлекательное</t>
        </is>
      </c>
      <c r="G10" s="2" t="inlineStr">
        <is>
          <t>Экономическое</t>
        </is>
      </c>
      <c r="H10" s="2" t="n">
        <v>3</v>
      </c>
      <c r="I10" s="2" t="n">
        <v>5</v>
      </c>
      <c r="J10" s="2" t="n">
        <v>5</v>
      </c>
      <c r="K10" s="2" t="n">
        <v>4</v>
      </c>
      <c r="L10" s="2" t="n">
        <v>4.3</v>
      </c>
      <c r="M10" s="2" t="inlineStr">
        <is>
          <t>Сильное преимущество</t>
        </is>
      </c>
      <c r="N10" s="2" t="inlineStr">
        <is>
          <t>Ориентир для Free-уровня: полностью бесплатно без лимитов на нотации; открытый код</t>
        </is>
      </c>
    </row>
    <row r="11" ht="25.5" customHeight="1">
      <c r="A11" s="2" t="inlineStr">
        <is>
          <t>A005</t>
        </is>
      </c>
      <c r="B11" s="2" t="inlineStr">
        <is>
          <t>C02</t>
        </is>
      </c>
      <c r="C11" s="2" t="inlineStr">
        <is>
          <t>Открытая экосистема интеграций и крупнейшее сообщество (90 489 звёзд)</t>
        </is>
      </c>
      <c r="D11" s="2" t="inlineStr">
        <is>
          <t>mermaid.js.org/ecosystem; GitHub (ЛР4)</t>
        </is>
      </c>
      <c r="E11" s="2" t="inlineStr">
        <is>
          <t>4. Расширенный товар</t>
        </is>
      </c>
      <c r="F11" s="2" t="inlineStr">
        <is>
          <t>Привлекательное</t>
        </is>
      </c>
      <c r="G11" s="2" t="inlineStr">
        <is>
          <t>Сетевой эффект</t>
        </is>
      </c>
      <c r="H11" s="2" t="n">
        <v>3</v>
      </c>
      <c r="I11" s="2" t="n">
        <v>5</v>
      </c>
      <c r="J11" s="2" t="n">
        <v>4</v>
      </c>
      <c r="K11" s="2" t="n">
        <v>5</v>
      </c>
      <c r="L11" s="2" t="n">
        <v>4.2</v>
      </c>
      <c r="M11" s="2" t="inlineStr">
        <is>
          <t>Сильное преимущество</t>
        </is>
      </c>
      <c r="N11" s="2" t="inlineStr">
        <is>
          <t>Ориентир для сообщества: развивать открытый репозиторий NotaCode с первого дня</t>
        </is>
      </c>
    </row>
    <row r="12" ht="25.5" customHeight="1">
      <c r="A12" s="2" t="inlineStr">
        <is>
          <t>A006</t>
        </is>
      </c>
      <c r="B12" s="2" t="inlineStr">
        <is>
          <t>C01</t>
        </is>
      </c>
      <c r="C12" s="2" t="inlineStr">
        <is>
          <t>Широкий набор UML-диаграмм и запуск на собственном сервере</t>
        </is>
      </c>
      <c r="D12" s="2" t="inlineStr">
        <is>
          <t>plantuml.com/running и /class-diagram, 01.10.2026</t>
        </is>
      </c>
      <c r="E12" s="2" t="inlineStr">
        <is>
          <t>2. Родовой товар</t>
        </is>
      </c>
      <c r="F12" s="2" t="inlineStr">
        <is>
          <t>Обязательное</t>
        </is>
      </c>
      <c r="G12" s="2" t="inlineStr">
        <is>
          <t>Функциональное</t>
        </is>
      </c>
      <c r="H12" s="2" t="n">
        <v>3</v>
      </c>
      <c r="I12" s="2" t="n">
        <v>4</v>
      </c>
      <c r="J12" s="2" t="n">
        <v>4</v>
      </c>
      <c r="K12" s="2" t="n">
        <v>4</v>
      </c>
      <c r="L12" s="2" t="n">
        <v>3.75</v>
      </c>
      <c r="M12" s="2" t="inlineStr">
        <is>
          <t>Потенциальное преимущество</t>
        </is>
      </c>
      <c r="N12" s="2" t="inlineStr">
        <is>
          <t>Диаграммы UML — обязательная норма; self-hosted — дифференциатор для Enterprise NotaCode</t>
        </is>
      </c>
    </row>
    <row r="13" ht="25.5" customHeight="1">
      <c r="A13" s="2" t="inlineStr">
        <is>
          <t>A007</t>
        </is>
      </c>
      <c r="B13" s="2" t="inlineStr">
        <is>
          <t>C03</t>
        </is>
      </c>
      <c r="C13" s="2" t="inlineStr">
        <is>
          <t>Прозрачные тарифы и зрители без оплаты в Premium</t>
        </is>
      </c>
      <c r="D13" s="2" t="inlineStr">
        <is>
          <t>mermaid.ai/pricing, 01.10.2026</t>
        </is>
      </c>
      <c r="E13" s="2" t="inlineStr">
        <is>
          <t>3. Ожидаемый товар</t>
        </is>
      </c>
      <c r="F13" s="2" t="inlineStr">
        <is>
          <t>Привлекательное</t>
        </is>
      </c>
      <c r="G13" s="2" t="inlineStr">
        <is>
          <t>Экономическое</t>
        </is>
      </c>
      <c r="H13" s="2" t="n">
        <v>3</v>
      </c>
      <c r="I13" s="2" t="n">
        <v>4</v>
      </c>
      <c r="J13" s="2" t="n">
        <v>4</v>
      </c>
      <c r="K13" s="2" t="n">
        <v>5</v>
      </c>
      <c r="L13" s="2" t="n">
        <v>3.95</v>
      </c>
      <c r="M13" s="2" t="inlineStr">
        <is>
          <t>Потенциальное преимущество</t>
        </is>
      </c>
      <c r="N13" s="2" t="inlineStr">
        <is>
          <t>Модель зрителей без оплаты применима в NotaCode для расширения охвата без дохода</t>
        </is>
      </c>
    </row>
    <row r="14" ht="25.5" customHeight="1">
      <c r="A14" s="2" t="inlineStr">
        <is>
          <t>A008</t>
        </is>
      </c>
      <c r="B14" s="2" t="inlineStr">
        <is>
          <t>C08</t>
        </is>
      </c>
      <c r="C14" s="2" t="inlineStr">
        <is>
          <t>Неограниченные гости и зрители на всех тарифах</t>
        </is>
      </c>
      <c r="D14" s="2" t="inlineStr">
        <is>
          <t>whimsical.com/pricing, 01.10.2026</t>
        </is>
      </c>
      <c r="E14" s="2" t="inlineStr">
        <is>
          <t>4. Расширенный товар</t>
        </is>
      </c>
      <c r="F14" s="2" t="inlineStr">
        <is>
          <t>Привлекательное</t>
        </is>
      </c>
      <c r="G14" s="2" t="inlineStr">
        <is>
          <t>Экономическое</t>
        </is>
      </c>
      <c r="H14" s="2" t="n">
        <v>3</v>
      </c>
      <c r="I14" s="2" t="n">
        <v>3</v>
      </c>
      <c r="J14" s="2" t="n">
        <v>3</v>
      </c>
      <c r="K14" s="2" t="n">
        <v>5</v>
      </c>
      <c r="L14" s="2" t="n">
        <v>3.4</v>
      </c>
      <c r="M14" s="2" t="inlineStr">
        <is>
          <t>Потенциальное преимущество</t>
        </is>
      </c>
      <c r="N14" s="2" t="inlineStr">
        <is>
          <t>Неограниченные зрители на Free снижают барьер для командного использования NotaCode</t>
        </is>
      </c>
    </row>
    <row r="15">
      <c r="A15" s="2" t="inlineStr">
        <is>
          <t>A009</t>
        </is>
      </c>
      <c r="B15" s="2" t="inlineStr">
        <is>
          <t>NotaCode</t>
        </is>
      </c>
      <c r="C15" s="2" t="inlineStr">
        <is>
          <t>Полный набор нотаций UML, BPMN, ERD, IDEF0, DFD, сети Петри в одном редакторе</t>
        </is>
      </c>
      <c r="D15" s="2" t="inlineStr">
        <is>
          <t>IDEF0, DFD и сети Петри отсутствуют у всех 8 проанализированных конкурентов (листы 03, 07)</t>
        </is>
      </c>
      <c r="E15" s="2" t="inlineStr">
        <is>
          <t>3. Ожидаемый товар / 4. Расширенный товар</t>
        </is>
      </c>
      <c r="F15" s="2" t="inlineStr">
        <is>
          <t>Привлекательное</t>
        </is>
      </c>
      <c r="G15" s="2" t="inlineStr">
        <is>
          <t>Функциональное</t>
        </is>
      </c>
      <c r="H15" s="2" t="n">
        <v>5</v>
      </c>
      <c r="I15" s="2" t="n">
        <v>5</v>
      </c>
      <c r="J15" s="2" t="n">
        <v>5</v>
      </c>
      <c r="K15" s="2" t="n">
        <v>4</v>
      </c>
      <c r="L15" s="2" t="n">
        <v>4.8</v>
      </c>
      <c r="M15" s="2" t="inlineStr">
        <is>
          <t>Сильное преимущество</t>
        </is>
      </c>
      <c r="N15" s="2" t="inlineStr">
        <is>
          <t>Главный дифференциатор NotaCode; закрыть нишу академических и инженерных нотаций</t>
        </is>
      </c>
    </row>
    <row r="16">
      <c r="A16" s="2" t="inlineStr">
        <is>
          <t>A010</t>
        </is>
      </c>
      <c r="B16" s="2" t="n"/>
      <c r="C16" s="2" t="n"/>
      <c r="D16" s="2" t="n"/>
      <c r="E16" s="2" t="n"/>
      <c r="F16" s="2" t="n"/>
      <c r="G16" s="2" t="n"/>
      <c r="H16" s="2" t="n"/>
      <c r="I16" s="2" t="n"/>
      <c r="J16" s="2" t="n"/>
      <c r="K16" s="2" t="n"/>
      <c r="L16" s="2">
        <f>IF(OR(H16="",I16="",J16="",K16=""),"",ROUND(H16*0.25+I16*0.25+J16*0.3+K16*0.2,2))</f>
        <v/>
      </c>
      <c r="M16" s="2">
        <f>IF(L16="","",IF(L16&gt;=4.2,"Сильное преимущество",IF(L16&gt;=3.4,"Потенциальное преимущество",IF(L16&gt;=2.5,"Слабое преимущество","Не считать преимуществом"))))</f>
        <v/>
      </c>
      <c r="N16" s="2" t="n"/>
    </row>
    <row r="17">
      <c r="A17" s="2" t="inlineStr">
        <is>
          <t>A011</t>
        </is>
      </c>
      <c r="B17" s="2" t="n"/>
      <c r="C17" s="2" t="n"/>
      <c r="D17" s="2" t="n"/>
      <c r="E17" s="2" t="n"/>
      <c r="F17" s="2" t="n"/>
      <c r="G17" s="2" t="n"/>
      <c r="H17" s="2" t="n"/>
      <c r="I17" s="2" t="n"/>
      <c r="J17" s="2" t="n"/>
      <c r="K17" s="2" t="n"/>
      <c r="L17" s="2">
        <f>IF(OR(H17="",I17="",J17="",K17=""),"",ROUND(H17*0.25+I17*0.25+J17*0.3+K17*0.2,2))</f>
        <v/>
      </c>
      <c r="M17" s="2">
        <f>IF(L17="","",IF(L17&gt;=4.2,"Сильное преимущество",IF(L17&gt;=3.4,"Потенциальное преимущество",IF(L17&gt;=2.5,"Слабое преимущество","Не считать преимуществом"))))</f>
        <v/>
      </c>
      <c r="N17" s="2" t="n"/>
    </row>
    <row r="18">
      <c r="A18" s="2" t="inlineStr">
        <is>
          <t>A012</t>
        </is>
      </c>
      <c r="B18" s="2" t="n"/>
      <c r="C18" s="2" t="n"/>
      <c r="D18" s="2" t="n"/>
      <c r="E18" s="2" t="n"/>
      <c r="F18" s="2" t="n"/>
      <c r="G18" s="2" t="n"/>
      <c r="H18" s="2" t="n"/>
      <c r="I18" s="2" t="n"/>
      <c r="J18" s="2" t="n"/>
      <c r="K18" s="2" t="n"/>
      <c r="L18" s="2">
        <f>IF(OR(H18="",I18="",J18="",K18=""),"",ROUND(H18*0.25+I18*0.25+J18*0.3+K18*0.2,2))</f>
        <v/>
      </c>
      <c r="M18" s="2">
        <f>IF(L18="","",IF(L18&gt;=4.2,"Сильное преимущество",IF(L18&gt;=3.4,"Потенциальное преимущество",IF(L18&gt;=2.5,"Слабое преимущество","Не считать преимуществом"))))</f>
        <v/>
      </c>
      <c r="N18" s="2" t="n"/>
    </row>
    <row r="19">
      <c r="A19" s="2" t="inlineStr">
        <is>
          <t>A013</t>
        </is>
      </c>
      <c r="B19" s="2" t="n"/>
      <c r="C19" s="2" t="n"/>
      <c r="D19" s="2" t="n"/>
      <c r="E19" s="2" t="n"/>
      <c r="F19" s="2" t="n"/>
      <c r="G19" s="2" t="n"/>
      <c r="H19" s="2" t="n"/>
      <c r="I19" s="2" t="n"/>
      <c r="J19" s="2" t="n"/>
      <c r="K19" s="2" t="n"/>
      <c r="L19" s="2">
        <f>IF(OR(H19="",I19="",J19="",K19=""),"",ROUND(H19*0.25+I19*0.25+J19*0.3+K19*0.2,2))</f>
        <v/>
      </c>
      <c r="M19" s="2">
        <f>IF(L19="","",IF(L19&gt;=4.2,"Сильное преимущество",IF(L19&gt;=3.4,"Потенциальное преимущество",IF(L19&gt;=2.5,"Слабое преимущество","Не считать преимуществом"))))</f>
        <v/>
      </c>
      <c r="N19" s="2" t="n"/>
    </row>
    <row r="20">
      <c r="A20" s="2" t="inlineStr">
        <is>
          <t>A014</t>
        </is>
      </c>
      <c r="B20" s="2" t="n"/>
      <c r="C20" s="2" t="n"/>
      <c r="D20" s="2" t="n"/>
      <c r="E20" s="2" t="n"/>
      <c r="F20" s="2" t="n"/>
      <c r="G20" s="2" t="n"/>
      <c r="H20" s="2" t="n"/>
      <c r="I20" s="2" t="n"/>
      <c r="J20" s="2" t="n"/>
      <c r="K20" s="2" t="n"/>
      <c r="L20" s="2">
        <f>IF(OR(H20="",I20="",J20="",K20=""),"",ROUND(H20*0.25+I20*0.25+J20*0.3+K20*0.2,2))</f>
        <v/>
      </c>
      <c r="M20" s="2">
        <f>IF(L20="","",IF(L20&gt;=4.2,"Сильное преимущество",IF(L20&gt;=3.4,"Потенциальное преимущество",IF(L20&gt;=2.5,"Слабое преимущество","Не считать преимуществом"))))</f>
        <v/>
      </c>
      <c r="N20" s="2" t="n"/>
    </row>
    <row r="21">
      <c r="A21" s="2" t="inlineStr">
        <is>
          <t>A015</t>
        </is>
      </c>
      <c r="B21" s="2" t="n"/>
      <c r="C21" s="2" t="n"/>
      <c r="D21" s="2" t="n"/>
      <c r="E21" s="2" t="n"/>
      <c r="F21" s="2" t="n"/>
      <c r="G21" s="2" t="n"/>
      <c r="H21" s="2" t="n"/>
      <c r="I21" s="2" t="n"/>
      <c r="J21" s="2" t="n"/>
      <c r="K21" s="2" t="n"/>
      <c r="L21" s="2">
        <f>IF(OR(H21="",I21="",J21="",K21=""),"",ROUND(H21*0.25+I21*0.25+J21*0.3+K21*0.2,2))</f>
        <v/>
      </c>
      <c r="M21" s="2">
        <f>IF(L21="","",IF(L21&gt;=4.2,"Сильное преимущество",IF(L21&gt;=3.4,"Потенциальное преимущество",IF(L21&gt;=2.5,"Слабое преимущество","Не считать преимуществом"))))</f>
        <v/>
      </c>
      <c r="N21" s="2" t="n"/>
    </row>
    <row r="22">
      <c r="A22" s="2" t="inlineStr">
        <is>
          <t>A016</t>
        </is>
      </c>
      <c r="B22" s="2" t="n"/>
      <c r="C22" s="2" t="n"/>
      <c r="D22" s="2" t="n"/>
      <c r="E22" s="2" t="n"/>
      <c r="F22" s="2" t="n"/>
      <c r="G22" s="2" t="n"/>
      <c r="H22" s="2" t="n"/>
      <c r="I22" s="2" t="n"/>
      <c r="J22" s="2" t="n"/>
      <c r="K22" s="2" t="n"/>
      <c r="L22" s="2">
        <f>IF(OR(H22="",I22="",J22="",K22=""),"",ROUND(H22*0.25+I22*0.25+J22*0.3+K22*0.2,2))</f>
        <v/>
      </c>
      <c r="M22" s="2">
        <f>IF(L22="","",IF(L22&gt;=4.2,"Сильное преимущество",IF(L22&gt;=3.4,"Потенциальное преимущество",IF(L22&gt;=2.5,"Слабое преимущество","Не считать преимуществом"))))</f>
        <v/>
      </c>
      <c r="N22" s="2" t="n"/>
    </row>
    <row r="23">
      <c r="A23" s="2" t="inlineStr">
        <is>
          <t>A017</t>
        </is>
      </c>
      <c r="B23" s="2" t="n"/>
      <c r="C23" s="2" t="n"/>
      <c r="D23" s="2" t="n"/>
      <c r="E23" s="2" t="n"/>
      <c r="F23" s="2" t="n"/>
      <c r="G23" s="2" t="n"/>
      <c r="H23" s="2" t="n"/>
      <c r="I23" s="2" t="n"/>
      <c r="J23" s="2" t="n"/>
      <c r="K23" s="2" t="n"/>
      <c r="L23" s="2">
        <f>IF(OR(H23="",I23="",J23="",K23=""),"",ROUND(H23*0.25+I23*0.25+J23*0.3+K23*0.2,2))</f>
        <v/>
      </c>
      <c r="M23" s="2">
        <f>IF(L23="","",IF(L23&gt;=4.2,"Сильное преимущество",IF(L23&gt;=3.4,"Потенциальное преимущество",IF(L23&gt;=2.5,"Слабое преимущество","Не считать преимуществом"))))</f>
        <v/>
      </c>
      <c r="N23" s="2" t="n"/>
    </row>
    <row r="24">
      <c r="A24" s="2" t="inlineStr">
        <is>
          <t>A018</t>
        </is>
      </c>
      <c r="B24" s="2" t="n"/>
      <c r="C24" s="2" t="n"/>
      <c r="D24" s="2" t="n"/>
      <c r="E24" s="2" t="n"/>
      <c r="F24" s="2" t="n"/>
      <c r="G24" s="2" t="n"/>
      <c r="H24" s="2" t="n"/>
      <c r="I24" s="2" t="n"/>
      <c r="J24" s="2" t="n"/>
      <c r="K24" s="2" t="n"/>
      <c r="L24" s="2">
        <f>IF(OR(H24="",I24="",J24="",K24=""),"",ROUND(H24*0.25+I24*0.25+J24*0.3+K24*0.2,2))</f>
        <v/>
      </c>
      <c r="M24" s="2">
        <f>IF(L24="","",IF(L24&gt;=4.2,"Сильное преимущество",IF(L24&gt;=3.4,"Потенциальное преимущество",IF(L24&gt;=2.5,"Слабое преимущество","Не считать преимуществом"))))</f>
        <v/>
      </c>
      <c r="N24" s="2" t="n"/>
    </row>
    <row r="25">
      <c r="A25" s="2" t="inlineStr">
        <is>
          <t>A019</t>
        </is>
      </c>
      <c r="B25" s="2" t="n"/>
      <c r="C25" s="2" t="n"/>
      <c r="D25" s="2" t="n"/>
      <c r="E25" s="2" t="n"/>
      <c r="F25" s="2" t="n"/>
      <c r="G25" s="2" t="n"/>
      <c r="H25" s="2" t="n"/>
      <c r="I25" s="2" t="n"/>
      <c r="J25" s="2" t="n"/>
      <c r="K25" s="2" t="n"/>
      <c r="L25" s="2">
        <f>IF(OR(H25="",I25="",J25="",K25=""),"",ROUND(H25*0.25+I25*0.25+J25*0.3+K25*0.2,2))</f>
        <v/>
      </c>
      <c r="M25" s="2">
        <f>IF(L25="","",IF(L25&gt;=4.2,"Сильное преимущество",IF(L25&gt;=3.4,"Потенциальное преимущество",IF(L25&gt;=2.5,"Слабое преимущество","Не считать преимуществом"))))</f>
        <v/>
      </c>
      <c r="N25" s="2" t="n"/>
    </row>
    <row r="26">
      <c r="A26" s="2" t="inlineStr">
        <is>
          <t>A020</t>
        </is>
      </c>
      <c r="B26" s="2" t="n"/>
      <c r="C26" s="2" t="n"/>
      <c r="D26" s="2" t="n"/>
      <c r="E26" s="2" t="n"/>
      <c r="F26" s="2" t="n"/>
      <c r="G26" s="2" t="n"/>
      <c r="H26" s="2" t="n"/>
      <c r="I26" s="2" t="n"/>
      <c r="J26" s="2" t="n"/>
      <c r="K26" s="2" t="n"/>
      <c r="L26" s="2">
        <f>IF(OR(H26="",I26="",J26="",K26=""),"",ROUND(H26*0.25+I26*0.25+J26*0.3+K26*0.2,2))</f>
        <v/>
      </c>
      <c r="M26" s="2">
        <f>IF(L26="","",IF(L26&gt;=4.2,"Сильное преимущество",IF(L26&gt;=3.4,"Потенциальное преимущество",IF(L26&gt;=2.5,"Слабое преимущество","Не считать преимуществом"))))</f>
        <v/>
      </c>
      <c r="N26" s="2" t="n"/>
    </row>
    <row r="27">
      <c r="A27" s="2" t="inlineStr">
        <is>
          <t>A021</t>
        </is>
      </c>
      <c r="B27" s="2" t="n"/>
      <c r="C27" s="2" t="n"/>
      <c r="D27" s="2" t="n"/>
      <c r="E27" s="2" t="n"/>
      <c r="F27" s="2" t="n"/>
      <c r="G27" s="2" t="n"/>
      <c r="H27" s="2" t="n"/>
      <c r="I27" s="2" t="n"/>
      <c r="J27" s="2" t="n"/>
      <c r="K27" s="2" t="n"/>
      <c r="L27" s="2">
        <f>IF(OR(H27="",I27="",J27="",K27=""),"",ROUND(H27*0.25+I27*0.25+J27*0.3+K27*0.2,2))</f>
        <v/>
      </c>
      <c r="M27" s="2">
        <f>IF(L27="","",IF(L27&gt;=4.2,"Сильное преимущество",IF(L27&gt;=3.4,"Потенциальное преимущество",IF(L27&gt;=2.5,"Слабое преимущество","Не считать преимуществом"))))</f>
        <v/>
      </c>
      <c r="N27" s="2" t="n"/>
    </row>
    <row r="28">
      <c r="A28" s="2" t="inlineStr">
        <is>
          <t>A022</t>
        </is>
      </c>
      <c r="B28" s="2" t="n"/>
      <c r="C28" s="2" t="n"/>
      <c r="D28" s="2" t="n"/>
      <c r="E28" s="2" t="n"/>
      <c r="F28" s="2" t="n"/>
      <c r="G28" s="2" t="n"/>
      <c r="H28" s="2" t="n"/>
      <c r="I28" s="2" t="n"/>
      <c r="J28" s="2" t="n"/>
      <c r="K28" s="2" t="n"/>
      <c r="L28" s="2">
        <f>IF(OR(H28="",I28="",J28="",K28=""),"",ROUND(H28*0.25+I28*0.25+J28*0.3+K28*0.2,2))</f>
        <v/>
      </c>
      <c r="M28" s="2">
        <f>IF(L28="","",IF(L28&gt;=4.2,"Сильное преимущество",IF(L28&gt;=3.4,"Потенциальное преимущество",IF(L28&gt;=2.5,"Слабое преимущество","Не считать преимуществом"))))</f>
        <v/>
      </c>
      <c r="N28" s="2" t="n"/>
    </row>
    <row r="29">
      <c r="A29" s="2" t="inlineStr">
        <is>
          <t>A023</t>
        </is>
      </c>
      <c r="B29" s="2" t="n"/>
      <c r="C29" s="2" t="n"/>
      <c r="D29" s="2" t="n"/>
      <c r="E29" s="2" t="n"/>
      <c r="F29" s="2" t="n"/>
      <c r="G29" s="2" t="n"/>
      <c r="H29" s="2" t="n"/>
      <c r="I29" s="2" t="n"/>
      <c r="J29" s="2" t="n"/>
      <c r="K29" s="2" t="n"/>
      <c r="L29" s="2">
        <f>IF(OR(H29="",I29="",J29="",K29=""),"",ROUND(H29*0.25+I29*0.25+J29*0.3+K29*0.2,2))</f>
        <v/>
      </c>
      <c r="M29" s="2">
        <f>IF(L29="","",IF(L29&gt;=4.2,"Сильное преимущество",IF(L29&gt;=3.4,"Потенциальное преимущество",IF(L29&gt;=2.5,"Слабое преимущество","Не считать преимуществом"))))</f>
        <v/>
      </c>
      <c r="N29" s="2" t="n"/>
    </row>
    <row r="30">
      <c r="A30" s="2" t="inlineStr">
        <is>
          <t>A024</t>
        </is>
      </c>
      <c r="B30" s="2" t="n"/>
      <c r="C30" s="2" t="n"/>
      <c r="D30" s="2" t="n"/>
      <c r="E30" s="2" t="n"/>
      <c r="F30" s="2" t="n"/>
      <c r="G30" s="2" t="n"/>
      <c r="H30" s="2" t="n"/>
      <c r="I30" s="2" t="n"/>
      <c r="J30" s="2" t="n"/>
      <c r="K30" s="2" t="n"/>
      <c r="L30" s="2">
        <f>IF(OR(H30="",I30="",J30="",K30=""),"",ROUND(H30*0.25+I30*0.25+J30*0.3+K30*0.2,2))</f>
        <v/>
      </c>
      <c r="M30" s="2">
        <f>IF(L30="","",IF(L30&gt;=4.2,"Сильное преимущество",IF(L30&gt;=3.4,"Потенциальное преимущество",IF(L30&gt;=2.5,"Слабое преимущество","Не считать преимуществом"))))</f>
        <v/>
      </c>
      <c r="N30" s="2" t="n"/>
    </row>
    <row r="31">
      <c r="A31" s="2" t="inlineStr">
        <is>
          <t>A025</t>
        </is>
      </c>
      <c r="B31" s="2" t="n"/>
      <c r="C31" s="2" t="n"/>
      <c r="D31" s="2" t="n"/>
      <c r="E31" s="2" t="n"/>
      <c r="F31" s="2" t="n"/>
      <c r="G31" s="2" t="n"/>
      <c r="H31" s="2" t="n"/>
      <c r="I31" s="2" t="n"/>
      <c r="J31" s="2" t="n"/>
      <c r="K31" s="2" t="n"/>
      <c r="L31" s="2">
        <f>IF(OR(H31="",I31="",J31="",K31=""),"",ROUND(H31*0.25+I31*0.25+J31*0.3+K31*0.2,2))</f>
        <v/>
      </c>
      <c r="M31" s="2">
        <f>IF(L31="","",IF(L31&gt;=4.2,"Сильное преимущество",IF(L31&gt;=3.4,"Потенциальное преимущество",IF(L31&gt;=2.5,"Слабое преимущество","Не считать преимуществом"))))</f>
        <v/>
      </c>
      <c r="N31" s="2" t="n"/>
    </row>
    <row r="32">
      <c r="A32" s="2" t="inlineStr">
        <is>
          <t>A026</t>
        </is>
      </c>
      <c r="B32" s="2" t="n"/>
      <c r="C32" s="2" t="n"/>
      <c r="D32" s="2" t="n"/>
      <c r="E32" s="2" t="n"/>
      <c r="F32" s="2" t="n"/>
      <c r="G32" s="2" t="n"/>
      <c r="H32" s="2" t="n"/>
      <c r="I32" s="2" t="n"/>
      <c r="J32" s="2" t="n"/>
      <c r="K32" s="2" t="n"/>
      <c r="L32" s="2">
        <f>IF(OR(H32="",I32="",J32="",K32=""),"",ROUND(H32*0.25+I32*0.25+J32*0.3+K32*0.2,2))</f>
        <v/>
      </c>
      <c r="M32" s="2">
        <f>IF(L32="","",IF(L32&gt;=4.2,"Сильное преимущество",IF(L32&gt;=3.4,"Потенциальное преимущество",IF(L32&gt;=2.5,"Слабое преимущество","Не считать преимуществом"))))</f>
        <v/>
      </c>
      <c r="N32" s="2" t="n"/>
    </row>
    <row r="33">
      <c r="A33" s="2" t="inlineStr">
        <is>
          <t>A027</t>
        </is>
      </c>
      <c r="B33" s="2" t="n"/>
      <c r="C33" s="2" t="n"/>
      <c r="D33" s="2" t="n"/>
      <c r="E33" s="2" t="n"/>
      <c r="F33" s="2" t="n"/>
      <c r="G33" s="2" t="n"/>
      <c r="H33" s="2" t="n"/>
      <c r="I33" s="2" t="n"/>
      <c r="J33" s="2" t="n"/>
      <c r="K33" s="2" t="n"/>
      <c r="L33" s="2">
        <f>IF(OR(H33="",I33="",J33="",K33=""),"",ROUND(H33*0.25+I33*0.25+J33*0.3+K33*0.2,2))</f>
        <v/>
      </c>
      <c r="M33" s="2">
        <f>IF(L33="","",IF(L33&gt;=4.2,"Сильное преимущество",IF(L33&gt;=3.4,"Потенциальное преимущество",IF(L33&gt;=2.5,"Слабое преимущество","Не считать преимуществом"))))</f>
        <v/>
      </c>
      <c r="N33" s="2" t="n"/>
    </row>
    <row r="34">
      <c r="A34" s="2" t="inlineStr">
        <is>
          <t>A028</t>
        </is>
      </c>
      <c r="B34" s="2" t="n"/>
      <c r="C34" s="2" t="n"/>
      <c r="D34" s="2" t="n"/>
      <c r="E34" s="2" t="n"/>
      <c r="F34" s="2" t="n"/>
      <c r="G34" s="2" t="n"/>
      <c r="H34" s="2" t="n"/>
      <c r="I34" s="2" t="n"/>
      <c r="J34" s="2" t="n"/>
      <c r="K34" s="2" t="n"/>
      <c r="L34" s="2">
        <f>IF(OR(H34="",I34="",J34="",K34=""),"",ROUND(H34*0.25+I34*0.25+J34*0.3+K34*0.2,2))</f>
        <v/>
      </c>
      <c r="M34" s="2">
        <f>IF(L34="","",IF(L34&gt;=4.2,"Сильное преимущество",IF(L34&gt;=3.4,"Потенциальное преимущество",IF(L34&gt;=2.5,"Слабое преимущество","Не считать преимуществом"))))</f>
        <v/>
      </c>
      <c r="N34" s="2" t="n"/>
    </row>
    <row r="35">
      <c r="A35" s="2" t="inlineStr">
        <is>
          <t>A029</t>
        </is>
      </c>
      <c r="B35" s="2" t="n"/>
      <c r="C35" s="2" t="n"/>
      <c r="D35" s="2" t="n"/>
      <c r="E35" s="2" t="n"/>
      <c r="F35" s="2" t="n"/>
      <c r="G35" s="2" t="n"/>
      <c r="H35" s="2" t="n"/>
      <c r="I35" s="2" t="n"/>
      <c r="J35" s="2" t="n"/>
      <c r="K35" s="2" t="n"/>
      <c r="L35" s="2">
        <f>IF(OR(H35="",I35="",J35="",K35=""),"",ROUND(H35*0.25+I35*0.25+J35*0.3+K35*0.2,2))</f>
        <v/>
      </c>
      <c r="M35" s="2">
        <f>IF(L35="","",IF(L35&gt;=4.2,"Сильное преимущество",IF(L35&gt;=3.4,"Потенциальное преимущество",IF(L35&gt;=2.5,"Слабое преимущество","Не считать преимуществом"))))</f>
        <v/>
      </c>
      <c r="N35" s="2" t="n"/>
    </row>
    <row r="36">
      <c r="A36" s="2" t="inlineStr">
        <is>
          <t>A030</t>
        </is>
      </c>
      <c r="B36" s="2" t="n"/>
      <c r="C36" s="2" t="n"/>
      <c r="D36" s="2" t="n"/>
      <c r="E36" s="2" t="n"/>
      <c r="F36" s="2" t="n"/>
      <c r="G36" s="2" t="n"/>
      <c r="H36" s="2" t="n"/>
      <c r="I36" s="2" t="n"/>
      <c r="J36" s="2" t="n"/>
      <c r="K36" s="2" t="n"/>
      <c r="L36" s="2">
        <f>IF(OR(H36="",I36="",J36="",K36=""),"",ROUND(H36*0.25+I36*0.25+J36*0.3+K36*0.2,2))</f>
        <v/>
      </c>
      <c r="M36" s="2">
        <f>IF(L36="","",IF(L36&gt;=4.2,"Сильное преимущество",IF(L36&gt;=3.4,"Потенциальное преимущество",IF(L36&gt;=2.5,"Слабое преимущество","Не считать преимуществом"))))</f>
        <v/>
      </c>
      <c r="N36" s="2" t="n"/>
    </row>
    <row r="37">
      <c r="A37" s="2" t="inlineStr">
        <is>
          <t>A031</t>
        </is>
      </c>
      <c r="B37" s="2" t="n"/>
      <c r="C37" s="2" t="n"/>
      <c r="D37" s="2" t="n"/>
      <c r="E37" s="2" t="n"/>
      <c r="F37" s="2" t="n"/>
      <c r="G37" s="2" t="n"/>
      <c r="H37" s="2" t="n"/>
      <c r="I37" s="2" t="n"/>
      <c r="J37" s="2" t="n"/>
      <c r="K37" s="2" t="n"/>
      <c r="L37" s="2">
        <f>IF(OR(H37="",I37="",J37="",K37=""),"",ROUND(H37*0.25+I37*0.25+J37*0.3+K37*0.2,2))</f>
        <v/>
      </c>
      <c r="M37" s="2">
        <f>IF(L37="","",IF(L37&gt;=4.2,"Сильное преимущество",IF(L37&gt;=3.4,"Потенциальное преимущество",IF(L37&gt;=2.5,"Слабое преимущество","Не считать преимуществом"))))</f>
        <v/>
      </c>
      <c r="N37" s="2" t="n"/>
    </row>
    <row r="38">
      <c r="A38" s="2" t="inlineStr">
        <is>
          <t>A032</t>
        </is>
      </c>
      <c r="B38" s="2" t="n"/>
      <c r="C38" s="2" t="n"/>
      <c r="D38" s="2" t="n"/>
      <c r="E38" s="2" t="n"/>
      <c r="F38" s="2" t="n"/>
      <c r="G38" s="2" t="n"/>
      <c r="H38" s="2" t="n"/>
      <c r="I38" s="2" t="n"/>
      <c r="J38" s="2" t="n"/>
      <c r="K38" s="2" t="n"/>
      <c r="L38" s="2">
        <f>IF(OR(H38="",I38="",J38="",K38=""),"",ROUND(H38*0.25+I38*0.25+J38*0.3+K38*0.2,2))</f>
        <v/>
      </c>
      <c r="M38" s="2">
        <f>IF(L38="","",IF(L38&gt;=4.2,"Сильное преимущество",IF(L38&gt;=3.4,"Потенциальное преимущество",IF(L38&gt;=2.5,"Слабое преимущество","Не считать преимуществом"))))</f>
        <v/>
      </c>
      <c r="N38" s="2" t="n"/>
    </row>
    <row r="39">
      <c r="A39" s="2" t="inlineStr">
        <is>
          <t>A033</t>
        </is>
      </c>
      <c r="B39" s="2" t="n"/>
      <c r="C39" s="2" t="n"/>
      <c r="D39" s="2" t="n"/>
      <c r="E39" s="2" t="n"/>
      <c r="F39" s="2" t="n"/>
      <c r="G39" s="2" t="n"/>
      <c r="H39" s="2" t="n"/>
      <c r="I39" s="2" t="n"/>
      <c r="J39" s="2" t="n"/>
      <c r="K39" s="2" t="n"/>
      <c r="L39" s="2">
        <f>IF(OR(H39="",I39="",J39="",K39=""),"",ROUND(H39*0.25+I39*0.25+J39*0.3+K39*0.2,2))</f>
        <v/>
      </c>
      <c r="M39" s="2">
        <f>IF(L39="","",IF(L39&gt;=4.2,"Сильное преимущество",IF(L39&gt;=3.4,"Потенциальное преимущество",IF(L39&gt;=2.5,"Слабое преимущество","Не считать преимуществом"))))</f>
        <v/>
      </c>
      <c r="N39" s="2" t="n"/>
    </row>
    <row r="40">
      <c r="A40" s="2" t="inlineStr">
        <is>
          <t>A034</t>
        </is>
      </c>
      <c r="B40" s="2" t="n"/>
      <c r="C40" s="2" t="n"/>
      <c r="D40" s="2" t="n"/>
      <c r="E40" s="2" t="n"/>
      <c r="F40" s="2" t="n"/>
      <c r="G40" s="2" t="n"/>
      <c r="H40" s="2" t="n"/>
      <c r="I40" s="2" t="n"/>
      <c r="J40" s="2" t="n"/>
      <c r="K40" s="2" t="n"/>
      <c r="L40" s="2">
        <f>IF(OR(H40="",I40="",J40="",K40=""),"",ROUND(H40*0.25+I40*0.25+J40*0.3+K40*0.2,2))</f>
        <v/>
      </c>
      <c r="M40" s="2">
        <f>IF(L40="","",IF(L40&gt;=4.2,"Сильное преимущество",IF(L40&gt;=3.4,"Потенциальное преимущество",IF(L40&gt;=2.5,"Слабое преимущество","Не считать преимуществом"))))</f>
        <v/>
      </c>
      <c r="N40" s="2" t="n"/>
    </row>
    <row r="41">
      <c r="A41" s="2" t="inlineStr">
        <is>
          <t>A035</t>
        </is>
      </c>
      <c r="B41" s="2" t="n"/>
      <c r="C41" s="2" t="n"/>
      <c r="D41" s="2" t="n"/>
      <c r="E41" s="2" t="n"/>
      <c r="F41" s="2" t="n"/>
      <c r="G41" s="2" t="n"/>
      <c r="H41" s="2" t="n"/>
      <c r="I41" s="2" t="n"/>
      <c r="J41" s="2" t="n"/>
      <c r="K41" s="2" t="n"/>
      <c r="L41" s="2">
        <f>IF(OR(H41="",I41="",J41="",K41=""),"",ROUND(H41*0.25+I41*0.25+J41*0.3+K41*0.2,2))</f>
        <v/>
      </c>
      <c r="M41" s="2">
        <f>IF(L41="","",IF(L41&gt;=4.2,"Сильное преимущество",IF(L41&gt;=3.4,"Потенциальное преимущество",IF(L41&gt;=2.5,"Слабое преимущество","Не считать преимуществом"))))</f>
        <v/>
      </c>
      <c r="N41" s="2" t="n"/>
    </row>
    <row r="42">
      <c r="A42" s="2" t="inlineStr">
        <is>
          <t>A036</t>
        </is>
      </c>
      <c r="B42" s="2" t="n"/>
      <c r="C42" s="2" t="n"/>
      <c r="D42" s="2" t="n"/>
      <c r="E42" s="2" t="n"/>
      <c r="F42" s="2" t="n"/>
      <c r="G42" s="2" t="n"/>
      <c r="H42" s="2" t="n"/>
      <c r="I42" s="2" t="n"/>
      <c r="J42" s="2" t="n"/>
      <c r="K42" s="2" t="n"/>
      <c r="L42" s="2">
        <f>IF(OR(H42="",I42="",J42="",K42=""),"",ROUND(H42*0.25+I42*0.25+J42*0.3+K42*0.2,2))</f>
        <v/>
      </c>
      <c r="M42" s="2">
        <f>IF(L42="","",IF(L42&gt;=4.2,"Сильное преимущество",IF(L42&gt;=3.4,"Потенциальное преимущество",IF(L42&gt;=2.5,"Слабое преимущество","Не считать преимуществом"))))</f>
        <v/>
      </c>
      <c r="N42" s="2" t="n"/>
    </row>
    <row r="43">
      <c r="A43" s="2" t="inlineStr">
        <is>
          <t>A037</t>
        </is>
      </c>
      <c r="B43" s="2" t="n"/>
      <c r="C43" s="2" t="n"/>
      <c r="D43" s="2" t="n"/>
      <c r="E43" s="2" t="n"/>
      <c r="F43" s="2" t="n"/>
      <c r="G43" s="2" t="n"/>
      <c r="H43" s="2" t="n"/>
      <c r="I43" s="2" t="n"/>
      <c r="J43" s="2" t="n"/>
      <c r="K43" s="2" t="n"/>
      <c r="L43" s="2">
        <f>IF(OR(H43="",I43="",J43="",K43=""),"",ROUND(H43*0.25+I43*0.25+J43*0.3+K43*0.2,2))</f>
        <v/>
      </c>
      <c r="M43" s="2">
        <f>IF(L43="","",IF(L43&gt;=4.2,"Сильное преимущество",IF(L43&gt;=3.4,"Потенциальное преимущество",IF(L43&gt;=2.5,"Слабое преимущество","Не считать преимуществом"))))</f>
        <v/>
      </c>
      <c r="N43" s="2" t="n"/>
    </row>
    <row r="44">
      <c r="A44" s="2" t="inlineStr">
        <is>
          <t>A038</t>
        </is>
      </c>
      <c r="B44" s="2" t="n"/>
      <c r="C44" s="2" t="n"/>
      <c r="D44" s="2" t="n"/>
      <c r="E44" s="2" t="n"/>
      <c r="F44" s="2" t="n"/>
      <c r="G44" s="2" t="n"/>
      <c r="H44" s="2" t="n"/>
      <c r="I44" s="2" t="n"/>
      <c r="J44" s="2" t="n"/>
      <c r="K44" s="2" t="n"/>
      <c r="L44" s="2">
        <f>IF(OR(H44="",I44="",J44="",K44=""),"",ROUND(H44*0.25+I44*0.25+J44*0.3+K44*0.2,2))</f>
        <v/>
      </c>
      <c r="M44" s="2">
        <f>IF(L44="","",IF(L44&gt;=4.2,"Сильное преимущество",IF(L44&gt;=3.4,"Потенциальное преимущество",IF(L44&gt;=2.5,"Слабое преимущество","Не считать преимуществом"))))</f>
        <v/>
      </c>
      <c r="N44" s="2" t="n"/>
    </row>
    <row r="45">
      <c r="A45" s="2" t="inlineStr">
        <is>
          <t>A039</t>
        </is>
      </c>
      <c r="B45" s="2" t="n"/>
      <c r="C45" s="2" t="n"/>
      <c r="D45" s="2" t="n"/>
      <c r="E45" s="2" t="n"/>
      <c r="F45" s="2" t="n"/>
      <c r="G45" s="2" t="n"/>
      <c r="H45" s="2" t="n"/>
      <c r="I45" s="2" t="n"/>
      <c r="J45" s="2" t="n"/>
      <c r="K45" s="2" t="n"/>
      <c r="L45" s="2">
        <f>IF(OR(H45="",I45="",J45="",K45=""),"",ROUND(H45*0.25+I45*0.25+J45*0.3+K45*0.2,2))</f>
        <v/>
      </c>
      <c r="M45" s="2">
        <f>IF(L45="","",IF(L45&gt;=4.2,"Сильное преимущество",IF(L45&gt;=3.4,"Потенциальное преимущество",IF(L45&gt;=2.5,"Слабое преимущество","Не считать преимуществом"))))</f>
        <v/>
      </c>
      <c r="N45" s="2" t="n"/>
    </row>
    <row r="46">
      <c r="A46" s="2" t="inlineStr">
        <is>
          <t>A040</t>
        </is>
      </c>
      <c r="B46" s="2" t="n"/>
      <c r="C46" s="2" t="n"/>
      <c r="D46" s="2" t="n"/>
      <c r="E46" s="2" t="n"/>
      <c r="F46" s="2" t="n"/>
      <c r="G46" s="2" t="n"/>
      <c r="H46" s="2" t="n"/>
      <c r="I46" s="2" t="n"/>
      <c r="J46" s="2" t="n"/>
      <c r="K46" s="2" t="n"/>
      <c r="L46" s="2">
        <f>IF(OR(H46="",I46="",J46="",K46=""),"",ROUND(H46*0.25+I46*0.25+J46*0.3+K46*0.2,2))</f>
        <v/>
      </c>
      <c r="M46" s="2">
        <f>IF(L46="","",IF(L46&gt;=4.2,"Сильное преимущество",IF(L46&gt;=3.4,"Потенциальное преимущество",IF(L46&gt;=2.5,"Слабое преимущество","Не считать преимуществом"))))</f>
        <v/>
      </c>
      <c r="N46" s="2" t="n"/>
    </row>
    <row r="47">
      <c r="A47" s="2" t="inlineStr">
        <is>
          <t>A041</t>
        </is>
      </c>
      <c r="B47" s="2" t="n"/>
      <c r="C47" s="2" t="n"/>
      <c r="D47" s="2" t="n"/>
      <c r="E47" s="2" t="n"/>
      <c r="F47" s="2" t="n"/>
      <c r="G47" s="2" t="n"/>
      <c r="H47" s="2" t="n"/>
      <c r="I47" s="2" t="n"/>
      <c r="J47" s="2" t="n"/>
      <c r="K47" s="2" t="n"/>
      <c r="L47" s="2">
        <f>IF(OR(H47="",I47="",J47="",K47=""),"",ROUND(H47*0.25+I47*0.25+J47*0.3+K47*0.2,2))</f>
        <v/>
      </c>
      <c r="M47" s="2">
        <f>IF(L47="","",IF(L47&gt;=4.2,"Сильное преимущество",IF(L47&gt;=3.4,"Потенциальное преимущество",IF(L47&gt;=2.5,"Слабое преимущество","Не считать преимуществом"))))</f>
        <v/>
      </c>
      <c r="N47" s="2" t="n"/>
    </row>
    <row r="48">
      <c r="A48" s="2" t="inlineStr">
        <is>
          <t>A042</t>
        </is>
      </c>
      <c r="B48" s="2" t="n"/>
      <c r="C48" s="2" t="n"/>
      <c r="D48" s="2" t="n"/>
      <c r="E48" s="2" t="n"/>
      <c r="F48" s="2" t="n"/>
      <c r="G48" s="2" t="n"/>
      <c r="H48" s="2" t="n"/>
      <c r="I48" s="2" t="n"/>
      <c r="J48" s="2" t="n"/>
      <c r="K48" s="2" t="n"/>
      <c r="L48" s="2">
        <f>IF(OR(H48="",I48="",J48="",K48=""),"",ROUND(H48*0.25+I48*0.25+J48*0.3+K48*0.2,2))</f>
        <v/>
      </c>
      <c r="M48" s="2">
        <f>IF(L48="","",IF(L48&gt;=4.2,"Сильное преимущество",IF(L48&gt;=3.4,"Потенциальное преимущество",IF(L48&gt;=2.5,"Слабое преимущество","Не считать преимуществом"))))</f>
        <v/>
      </c>
      <c r="N48" s="2" t="n"/>
    </row>
    <row r="49">
      <c r="A49" s="2" t="inlineStr">
        <is>
          <t>A043</t>
        </is>
      </c>
      <c r="B49" s="2" t="n"/>
      <c r="C49" s="2" t="n"/>
      <c r="D49" s="2" t="n"/>
      <c r="E49" s="2" t="n"/>
      <c r="F49" s="2" t="n"/>
      <c r="G49" s="2" t="n"/>
      <c r="H49" s="2" t="n"/>
      <c r="I49" s="2" t="n"/>
      <c r="J49" s="2" t="n"/>
      <c r="K49" s="2" t="n"/>
      <c r="L49" s="2">
        <f>IF(OR(H49="",I49="",J49="",K49=""),"",ROUND(H49*0.25+I49*0.25+J49*0.3+K49*0.2,2))</f>
        <v/>
      </c>
      <c r="M49" s="2">
        <f>IF(L49="","",IF(L49&gt;=4.2,"Сильное преимущество",IF(L49&gt;=3.4,"Потенциальное преимущество",IF(L49&gt;=2.5,"Слабое преимущество","Не считать преимуществом"))))</f>
        <v/>
      </c>
      <c r="N49" s="2" t="n"/>
    </row>
    <row r="50">
      <c r="A50" s="2" t="inlineStr">
        <is>
          <t>A044</t>
        </is>
      </c>
      <c r="B50" s="2" t="n"/>
      <c r="C50" s="2" t="n"/>
      <c r="D50" s="2" t="n"/>
      <c r="E50" s="2" t="n"/>
      <c r="F50" s="2" t="n"/>
      <c r="G50" s="2" t="n"/>
      <c r="H50" s="2" t="n"/>
      <c r="I50" s="2" t="n"/>
      <c r="J50" s="2" t="n"/>
      <c r="K50" s="2" t="n"/>
      <c r="L50" s="2">
        <f>IF(OR(H50="",I50="",J50="",K50=""),"",ROUND(H50*0.25+I50*0.25+J50*0.3+K50*0.2,2))</f>
        <v/>
      </c>
      <c r="M50" s="2">
        <f>IF(L50="","",IF(L50&gt;=4.2,"Сильное преимущество",IF(L50&gt;=3.4,"Потенциальное преимущество",IF(L50&gt;=2.5,"Слабое преимущество","Не считать преимуществом"))))</f>
        <v/>
      </c>
      <c r="N50" s="2" t="n"/>
    </row>
    <row r="51">
      <c r="A51" s="2" t="inlineStr">
        <is>
          <t>A045</t>
        </is>
      </c>
      <c r="B51" s="2" t="n"/>
      <c r="C51" s="2" t="n"/>
      <c r="D51" s="2" t="n"/>
      <c r="E51" s="2" t="n"/>
      <c r="F51" s="2" t="n"/>
      <c r="G51" s="2" t="n"/>
      <c r="H51" s="2" t="n"/>
      <c r="I51" s="2" t="n"/>
      <c r="J51" s="2" t="n"/>
      <c r="K51" s="2" t="n"/>
      <c r="L51" s="2">
        <f>IF(OR(H51="",I51="",J51="",K51=""),"",ROUND(H51*0.25+I51*0.25+J51*0.3+K51*0.2,2))</f>
        <v/>
      </c>
      <c r="M51" s="2">
        <f>IF(L51="","",IF(L51&gt;=4.2,"Сильное преимущество",IF(L51&gt;=3.4,"Потенциальное преимущество",IF(L51&gt;=2.5,"Слабое преимущество","Не считать преимуществом"))))</f>
        <v/>
      </c>
      <c r="N51" s="2" t="n"/>
    </row>
    <row r="52">
      <c r="A52" s="2" t="inlineStr">
        <is>
          <t>A046</t>
        </is>
      </c>
      <c r="B52" s="2" t="n"/>
      <c r="C52" s="2" t="n"/>
      <c r="D52" s="2" t="n"/>
      <c r="E52" s="2" t="n"/>
      <c r="F52" s="2" t="n"/>
      <c r="G52" s="2" t="n"/>
      <c r="H52" s="2" t="n"/>
      <c r="I52" s="2" t="n"/>
      <c r="J52" s="2" t="n"/>
      <c r="K52" s="2" t="n"/>
      <c r="L52" s="2">
        <f>IF(OR(H52="",I52="",J52="",K52=""),"",ROUND(H52*0.25+I52*0.25+J52*0.3+K52*0.2,2))</f>
        <v/>
      </c>
      <c r="M52" s="2">
        <f>IF(L52="","",IF(L52&gt;=4.2,"Сильное преимущество",IF(L52&gt;=3.4,"Потенциальное преимущество",IF(L52&gt;=2.5,"Слабое преимущество","Не считать преимуществом"))))</f>
        <v/>
      </c>
      <c r="N52" s="2" t="n"/>
    </row>
    <row r="53">
      <c r="A53" s="2" t="inlineStr">
        <is>
          <t>A047</t>
        </is>
      </c>
      <c r="B53" s="2" t="n"/>
      <c r="C53" s="2" t="n"/>
      <c r="D53" s="2" t="n"/>
      <c r="E53" s="2" t="n"/>
      <c r="F53" s="2" t="n"/>
      <c r="G53" s="2" t="n"/>
      <c r="H53" s="2" t="n"/>
      <c r="I53" s="2" t="n"/>
      <c r="J53" s="2" t="n"/>
      <c r="K53" s="2" t="n"/>
      <c r="L53" s="2">
        <f>IF(OR(H53="",I53="",J53="",K53=""),"",ROUND(H53*0.25+I53*0.25+J53*0.3+K53*0.2,2))</f>
        <v/>
      </c>
      <c r="M53" s="2">
        <f>IF(L53="","",IF(L53&gt;=4.2,"Сильное преимущество",IF(L53&gt;=3.4,"Потенциальное преимущество",IF(L53&gt;=2.5,"Слабое преимущество","Не считать преимуществом"))))</f>
        <v/>
      </c>
      <c r="N53" s="2" t="n"/>
    </row>
    <row r="54">
      <c r="A54" s="2" t="inlineStr">
        <is>
          <t>A048</t>
        </is>
      </c>
      <c r="B54" s="2" t="n"/>
      <c r="C54" s="2" t="n"/>
      <c r="D54" s="2" t="n"/>
      <c r="E54" s="2" t="n"/>
      <c r="F54" s="2" t="n"/>
      <c r="G54" s="2" t="n"/>
      <c r="H54" s="2" t="n"/>
      <c r="I54" s="2" t="n"/>
      <c r="J54" s="2" t="n"/>
      <c r="K54" s="2" t="n"/>
      <c r="L54" s="2">
        <f>IF(OR(H54="",I54="",J54="",K54=""),"",ROUND(H54*0.25+I54*0.25+J54*0.3+K54*0.2,2))</f>
        <v/>
      </c>
      <c r="M54" s="2">
        <f>IF(L54="","",IF(L54&gt;=4.2,"Сильное преимущество",IF(L54&gt;=3.4,"Потенциальное преимущество",IF(L54&gt;=2.5,"Слабое преимущество","Не считать преимуществом"))))</f>
        <v/>
      </c>
      <c r="N54" s="2" t="n"/>
    </row>
    <row r="55">
      <c r="A55" s="2" t="inlineStr">
        <is>
          <t>A049</t>
        </is>
      </c>
      <c r="B55" s="2" t="n"/>
      <c r="C55" s="2" t="n"/>
      <c r="D55" s="2" t="n"/>
      <c r="E55" s="2" t="n"/>
      <c r="F55" s="2" t="n"/>
      <c r="G55" s="2" t="n"/>
      <c r="H55" s="2" t="n"/>
      <c r="I55" s="2" t="n"/>
      <c r="J55" s="2" t="n"/>
      <c r="K55" s="2" t="n"/>
      <c r="L55" s="2">
        <f>IF(OR(H55="",I55="",J55="",K55=""),"",ROUND(H55*0.25+I55*0.25+J55*0.3+K55*0.2,2))</f>
        <v/>
      </c>
      <c r="M55" s="2">
        <f>IF(L55="","",IF(L55&gt;=4.2,"Сильное преимущество",IF(L55&gt;=3.4,"Потенциальное преимущество",IF(L55&gt;=2.5,"Слабое преимущество","Не считать преимуществом"))))</f>
        <v/>
      </c>
      <c r="N55" s="2" t="n"/>
    </row>
    <row r="56">
      <c r="A56" s="2" t="inlineStr">
        <is>
          <t>A050</t>
        </is>
      </c>
      <c r="B56" s="2" t="n"/>
      <c r="C56" s="2" t="n"/>
      <c r="D56" s="2" t="n"/>
      <c r="E56" s="2" t="n"/>
      <c r="F56" s="2" t="n"/>
      <c r="G56" s="2" t="n"/>
      <c r="H56" s="2" t="n"/>
      <c r="I56" s="2" t="n"/>
      <c r="J56" s="2" t="n"/>
      <c r="K56" s="2" t="n"/>
      <c r="L56" s="2">
        <f>IF(OR(H56="",I56="",J56="",K56=""),"",ROUND(H56*0.25+I56*0.25+J56*0.3+K56*0.2,2))</f>
        <v/>
      </c>
      <c r="M56" s="2">
        <f>IF(L56="","",IF(L56&gt;=4.2,"Сильное преимущество",IF(L56&gt;=3.4,"Потенциальное преимущество",IF(L56&gt;=2.5,"Слабое преимущество","Не считать преимуществом"))))</f>
        <v/>
      </c>
      <c r="N56" s="2" t="n"/>
    </row>
    <row r="57">
      <c r="A57" s="2" t="inlineStr">
        <is>
          <t>A051</t>
        </is>
      </c>
      <c r="B57" s="2" t="n"/>
      <c r="C57" s="2" t="n"/>
      <c r="D57" s="2" t="n"/>
      <c r="E57" s="2" t="n"/>
      <c r="F57" s="2" t="n"/>
      <c r="G57" s="2" t="n"/>
      <c r="H57" s="2" t="n"/>
      <c r="I57" s="2" t="n"/>
      <c r="J57" s="2" t="n"/>
      <c r="K57" s="2" t="n"/>
      <c r="L57" s="2">
        <f>IF(OR(H57="",I57="",J57="",K57=""),"",ROUND(H57*0.25+I57*0.25+J57*0.3+K57*0.2,2))</f>
        <v/>
      </c>
      <c r="M57" s="2">
        <f>IF(L57="","",IF(L57&gt;=4.2,"Сильное преимущество",IF(L57&gt;=3.4,"Потенциальное преимущество",IF(L57&gt;=2.5,"Слабое преимущество","Не считать преимуществом"))))</f>
        <v/>
      </c>
      <c r="N57" s="2" t="n"/>
    </row>
    <row r="58">
      <c r="A58" s="2" t="inlineStr">
        <is>
          <t>A052</t>
        </is>
      </c>
      <c r="B58" s="2" t="n"/>
      <c r="C58" s="2" t="n"/>
      <c r="D58" s="2" t="n"/>
      <c r="E58" s="2" t="n"/>
      <c r="F58" s="2" t="n"/>
      <c r="G58" s="2" t="n"/>
      <c r="H58" s="2" t="n"/>
      <c r="I58" s="2" t="n"/>
      <c r="J58" s="2" t="n"/>
      <c r="K58" s="2" t="n"/>
      <c r="L58" s="2">
        <f>IF(OR(H58="",I58="",J58="",K58=""),"",ROUND(H58*0.25+I58*0.25+J58*0.3+K58*0.2,2))</f>
        <v/>
      </c>
      <c r="M58" s="2">
        <f>IF(L58="","",IF(L58&gt;=4.2,"Сильное преимущество",IF(L58&gt;=3.4,"Потенциальное преимущество",IF(L58&gt;=2.5,"Слабое преимущество","Не считать преимуществом"))))</f>
        <v/>
      </c>
      <c r="N58" s="2" t="n"/>
    </row>
    <row r="59">
      <c r="A59" s="2" t="inlineStr">
        <is>
          <t>A053</t>
        </is>
      </c>
      <c r="B59" s="2" t="n"/>
      <c r="C59" s="2" t="n"/>
      <c r="D59" s="2" t="n"/>
      <c r="E59" s="2" t="n"/>
      <c r="F59" s="2" t="n"/>
      <c r="G59" s="2" t="n"/>
      <c r="H59" s="2" t="n"/>
      <c r="I59" s="2" t="n"/>
      <c r="J59" s="2" t="n"/>
      <c r="K59" s="2" t="n"/>
      <c r="L59" s="2">
        <f>IF(OR(H59="",I59="",J59="",K59=""),"",ROUND(H59*0.25+I59*0.25+J59*0.3+K59*0.2,2))</f>
        <v/>
      </c>
      <c r="M59" s="2">
        <f>IF(L59="","",IF(L59&gt;=4.2,"Сильное преимущество",IF(L59&gt;=3.4,"Потенциальное преимущество",IF(L59&gt;=2.5,"Слабое преимущество","Не считать преимуществом"))))</f>
        <v/>
      </c>
      <c r="N59" s="2" t="n"/>
    </row>
    <row r="60">
      <c r="A60" s="2" t="inlineStr">
        <is>
          <t>A054</t>
        </is>
      </c>
      <c r="B60" s="2" t="n"/>
      <c r="C60" s="2" t="n"/>
      <c r="D60" s="2" t="n"/>
      <c r="E60" s="2" t="n"/>
      <c r="F60" s="2" t="n"/>
      <c r="G60" s="2" t="n"/>
      <c r="H60" s="2" t="n"/>
      <c r="I60" s="2" t="n"/>
      <c r="J60" s="2" t="n"/>
      <c r="K60" s="2" t="n"/>
      <c r="L60" s="2">
        <f>IF(OR(H60="",I60="",J60="",K60=""),"",ROUND(H60*0.25+I60*0.25+J60*0.3+K60*0.2,2))</f>
        <v/>
      </c>
      <c r="M60" s="2">
        <f>IF(L60="","",IF(L60&gt;=4.2,"Сильное преимущество",IF(L60&gt;=3.4,"Потенциальное преимущество",IF(L60&gt;=2.5,"Слабое преимущество","Не считать преимуществом"))))</f>
        <v/>
      </c>
      <c r="N60" s="2" t="n"/>
    </row>
    <row r="61">
      <c r="A61" s="2" t="inlineStr">
        <is>
          <t>A055</t>
        </is>
      </c>
      <c r="B61" s="2" t="n"/>
      <c r="C61" s="2" t="n"/>
      <c r="D61" s="2" t="n"/>
      <c r="E61" s="2" t="n"/>
      <c r="F61" s="2" t="n"/>
      <c r="G61" s="2" t="n"/>
      <c r="H61" s="2" t="n"/>
      <c r="I61" s="2" t="n"/>
      <c r="J61" s="2" t="n"/>
      <c r="K61" s="2" t="n"/>
      <c r="L61" s="2">
        <f>IF(OR(H61="",I61="",J61="",K61=""),"",ROUND(H61*0.25+I61*0.25+J61*0.3+K61*0.2,2))</f>
        <v/>
      </c>
      <c r="M61" s="2">
        <f>IF(L61="","",IF(L61&gt;=4.2,"Сильное преимущество",IF(L61&gt;=3.4,"Потенциальное преимущество",IF(L61&gt;=2.5,"Слабое преимущество","Не считать преимуществом"))))</f>
        <v/>
      </c>
      <c r="N61" s="2" t="n"/>
    </row>
    <row r="62">
      <c r="A62" s="2" t="inlineStr">
        <is>
          <t>A056</t>
        </is>
      </c>
      <c r="B62" s="2" t="n"/>
      <c r="C62" s="2" t="n"/>
      <c r="D62" s="2" t="n"/>
      <c r="E62" s="2" t="n"/>
      <c r="F62" s="2" t="n"/>
      <c r="G62" s="2" t="n"/>
      <c r="H62" s="2" t="n"/>
      <c r="I62" s="2" t="n"/>
      <c r="J62" s="2" t="n"/>
      <c r="K62" s="2" t="n"/>
      <c r="L62" s="2">
        <f>IF(OR(H62="",I62="",J62="",K62=""),"",ROUND(H62*0.25+I62*0.25+J62*0.3+K62*0.2,2))</f>
        <v/>
      </c>
      <c r="M62" s="2">
        <f>IF(L62="","",IF(L62&gt;=4.2,"Сильное преимущество",IF(L62&gt;=3.4,"Потенциальное преимущество",IF(L62&gt;=2.5,"Слабое преимущество","Не считать преимуществом"))))</f>
        <v/>
      </c>
      <c r="N62" s="2" t="n"/>
    </row>
    <row r="63">
      <c r="A63" s="2" t="inlineStr">
        <is>
          <t>A057</t>
        </is>
      </c>
      <c r="B63" s="2" t="n"/>
      <c r="C63" s="2" t="n"/>
      <c r="D63" s="2" t="n"/>
      <c r="E63" s="2" t="n"/>
      <c r="F63" s="2" t="n"/>
      <c r="G63" s="2" t="n"/>
      <c r="H63" s="2" t="n"/>
      <c r="I63" s="2" t="n"/>
      <c r="J63" s="2" t="n"/>
      <c r="K63" s="2" t="n"/>
      <c r="L63" s="2">
        <f>IF(OR(H63="",I63="",J63="",K63=""),"",ROUND(H63*0.25+I63*0.25+J63*0.3+K63*0.2,2))</f>
        <v/>
      </c>
      <c r="M63" s="2">
        <f>IF(L63="","",IF(L63&gt;=4.2,"Сильное преимущество",IF(L63&gt;=3.4,"Потенциальное преимущество",IF(L63&gt;=2.5,"Слабое преимущество","Не считать преимуществом"))))</f>
        <v/>
      </c>
      <c r="N63" s="2" t="n"/>
    </row>
    <row r="64">
      <c r="A64" s="2" t="inlineStr">
        <is>
          <t>A058</t>
        </is>
      </c>
      <c r="B64" s="2" t="n"/>
      <c r="C64" s="2" t="n"/>
      <c r="D64" s="2" t="n"/>
      <c r="E64" s="2" t="n"/>
      <c r="F64" s="2" t="n"/>
      <c r="G64" s="2" t="n"/>
      <c r="H64" s="2" t="n"/>
      <c r="I64" s="2" t="n"/>
      <c r="J64" s="2" t="n"/>
      <c r="K64" s="2" t="n"/>
      <c r="L64" s="2">
        <f>IF(OR(H64="",I64="",J64="",K64=""),"",ROUND(H64*0.25+I64*0.25+J64*0.3+K64*0.2,2))</f>
        <v/>
      </c>
      <c r="M64" s="2">
        <f>IF(L64="","",IF(L64&gt;=4.2,"Сильное преимущество",IF(L64&gt;=3.4,"Потенциальное преимущество",IF(L64&gt;=2.5,"Слабое преимущество","Не считать преимуществом"))))</f>
        <v/>
      </c>
      <c r="N64" s="2" t="n"/>
    </row>
    <row r="65">
      <c r="A65" s="2" t="inlineStr">
        <is>
          <t>A059</t>
        </is>
      </c>
      <c r="B65" s="2" t="n"/>
      <c r="C65" s="2" t="n"/>
      <c r="D65" s="2" t="n"/>
      <c r="E65" s="2" t="n"/>
      <c r="F65" s="2" t="n"/>
      <c r="G65" s="2" t="n"/>
      <c r="H65" s="2" t="n"/>
      <c r="I65" s="2" t="n"/>
      <c r="J65" s="2" t="n"/>
      <c r="K65" s="2" t="n"/>
      <c r="L65" s="2">
        <f>IF(OR(H65="",I65="",J65="",K65=""),"",ROUND(H65*0.25+I65*0.25+J65*0.3+K65*0.2,2))</f>
        <v/>
      </c>
      <c r="M65" s="2">
        <f>IF(L65="","",IF(L65&gt;=4.2,"Сильное преимущество",IF(L65&gt;=3.4,"Потенциальное преимущество",IF(L65&gt;=2.5,"Слабое преимущество","Не считать преимуществом"))))</f>
        <v/>
      </c>
      <c r="N65" s="2" t="n"/>
    </row>
    <row r="66">
      <c r="A66" s="2" t="inlineStr">
        <is>
          <t>A060</t>
        </is>
      </c>
      <c r="B66" s="2" t="n"/>
      <c r="C66" s="2" t="n"/>
      <c r="D66" s="2" t="n"/>
      <c r="E66" s="2" t="n"/>
      <c r="F66" s="2" t="n"/>
      <c r="G66" s="2" t="n"/>
      <c r="H66" s="2" t="n"/>
      <c r="I66" s="2" t="n"/>
      <c r="J66" s="2" t="n"/>
      <c r="K66" s="2" t="n"/>
      <c r="L66" s="2">
        <f>IF(OR(H66="",I66="",J66="",K66=""),"",ROUND(H66*0.25+I66*0.25+J66*0.3+K66*0.2,2))</f>
        <v/>
      </c>
      <c r="M66" s="2">
        <f>IF(L66="","",IF(L66&gt;=4.2,"Сильное преимущество",IF(L66&gt;=3.4,"Потенциальное преимущество",IF(L66&gt;=2.5,"Слабое преимущество","Не считать преимуществом"))))</f>
        <v/>
      </c>
      <c r="N66" s="2" t="n"/>
    </row>
    <row r="67">
      <c r="A67" s="2" t="inlineStr">
        <is>
          <t>A061</t>
        </is>
      </c>
      <c r="B67" s="2" t="n"/>
      <c r="C67" s="2" t="n"/>
      <c r="D67" s="2" t="n"/>
      <c r="E67" s="2" t="n"/>
      <c r="F67" s="2" t="n"/>
      <c r="G67" s="2" t="n"/>
      <c r="H67" s="2" t="n"/>
      <c r="I67" s="2" t="n"/>
      <c r="J67" s="2" t="n"/>
      <c r="K67" s="2" t="n"/>
      <c r="L67" s="2">
        <f>IF(OR(H67="",I67="",J67="",K67=""),"",ROUND(H67*0.25+I67*0.25+J67*0.3+K67*0.2,2))</f>
        <v/>
      </c>
      <c r="M67" s="2">
        <f>IF(L67="","",IF(L67&gt;=4.2,"Сильное преимущество",IF(L67&gt;=3.4,"Потенциальное преимущество",IF(L67&gt;=2.5,"Слабое преимущество","Не считать преимуществом"))))</f>
        <v/>
      </c>
      <c r="N67" s="2" t="n"/>
    </row>
    <row r="68">
      <c r="A68" s="2" t="inlineStr">
        <is>
          <t>A062</t>
        </is>
      </c>
      <c r="B68" s="2" t="n"/>
      <c r="C68" s="2" t="n"/>
      <c r="D68" s="2" t="n"/>
      <c r="E68" s="2" t="n"/>
      <c r="F68" s="2" t="n"/>
      <c r="G68" s="2" t="n"/>
      <c r="H68" s="2" t="n"/>
      <c r="I68" s="2" t="n"/>
      <c r="J68" s="2" t="n"/>
      <c r="K68" s="2" t="n"/>
      <c r="L68" s="2">
        <f>IF(OR(H68="",I68="",J68="",K68=""),"",ROUND(H68*0.25+I68*0.25+J68*0.3+K68*0.2,2))</f>
        <v/>
      </c>
      <c r="M68" s="2">
        <f>IF(L68="","",IF(L68&gt;=4.2,"Сильное преимущество",IF(L68&gt;=3.4,"Потенциальное преимущество",IF(L68&gt;=2.5,"Слабое преимущество","Не считать преимуществом"))))</f>
        <v/>
      </c>
      <c r="N68" s="2" t="n"/>
    </row>
    <row r="69">
      <c r="A69" s="2" t="inlineStr">
        <is>
          <t>A063</t>
        </is>
      </c>
      <c r="B69" s="2" t="n"/>
      <c r="C69" s="2" t="n"/>
      <c r="D69" s="2" t="n"/>
      <c r="E69" s="2" t="n"/>
      <c r="F69" s="2" t="n"/>
      <c r="G69" s="2" t="n"/>
      <c r="H69" s="2" t="n"/>
      <c r="I69" s="2" t="n"/>
      <c r="J69" s="2" t="n"/>
      <c r="K69" s="2" t="n"/>
      <c r="L69" s="2">
        <f>IF(OR(H69="",I69="",J69="",K69=""),"",ROUND(H69*0.25+I69*0.25+J69*0.3+K69*0.2,2))</f>
        <v/>
      </c>
      <c r="M69" s="2">
        <f>IF(L69="","",IF(L69&gt;=4.2,"Сильное преимущество",IF(L69&gt;=3.4,"Потенциальное преимущество",IF(L69&gt;=2.5,"Слабое преимущество","Не считать преимуществом"))))</f>
        <v/>
      </c>
      <c r="N69" s="2" t="n"/>
    </row>
    <row r="70">
      <c r="A70" s="2" t="inlineStr">
        <is>
          <t>A064</t>
        </is>
      </c>
      <c r="B70" s="2" t="n"/>
      <c r="C70" s="2" t="n"/>
      <c r="D70" s="2" t="n"/>
      <c r="E70" s="2" t="n"/>
      <c r="F70" s="2" t="n"/>
      <c r="G70" s="2" t="n"/>
      <c r="H70" s="2" t="n"/>
      <c r="I70" s="2" t="n"/>
      <c r="J70" s="2" t="n"/>
      <c r="K70" s="2" t="n"/>
      <c r="L70" s="2">
        <f>IF(OR(H70="",I70="",J70="",K70=""),"",ROUND(H70*0.25+I70*0.25+J70*0.3+K70*0.2,2))</f>
        <v/>
      </c>
      <c r="M70" s="2">
        <f>IF(L70="","",IF(L70&gt;=4.2,"Сильное преимущество",IF(L70&gt;=3.4,"Потенциальное преимущество",IF(L70&gt;=2.5,"Слабое преимущество","Не считать преимуществом"))))</f>
        <v/>
      </c>
      <c r="N70" s="2" t="n"/>
    </row>
    <row r="71">
      <c r="A71" s="2" t="inlineStr">
        <is>
          <t>A065</t>
        </is>
      </c>
      <c r="B71" s="2" t="n"/>
      <c r="C71" s="2" t="n"/>
      <c r="D71" s="2" t="n"/>
      <c r="E71" s="2" t="n"/>
      <c r="F71" s="2" t="n"/>
      <c r="G71" s="2" t="n"/>
      <c r="H71" s="2" t="n"/>
      <c r="I71" s="2" t="n"/>
      <c r="J71" s="2" t="n"/>
      <c r="K71" s="2" t="n"/>
      <c r="L71" s="2">
        <f>IF(OR(H71="",I71="",J71="",K71=""),"",ROUND(H71*0.25+I71*0.25+J71*0.3+K71*0.2,2))</f>
        <v/>
      </c>
      <c r="M71" s="2">
        <f>IF(L71="","",IF(L71&gt;=4.2,"Сильное преимущество",IF(L71&gt;=3.4,"Потенциальное преимущество",IF(L71&gt;=2.5,"Слабое преимущество","Не считать преимуществом"))))</f>
        <v/>
      </c>
      <c r="N71" s="2" t="n"/>
    </row>
    <row r="72">
      <c r="A72" s="2" t="inlineStr">
        <is>
          <t>A066</t>
        </is>
      </c>
      <c r="B72" s="2" t="n"/>
      <c r="C72" s="2" t="n"/>
      <c r="D72" s="2" t="n"/>
      <c r="E72" s="2" t="n"/>
      <c r="F72" s="2" t="n"/>
      <c r="G72" s="2" t="n"/>
      <c r="H72" s="2" t="n"/>
      <c r="I72" s="2" t="n"/>
      <c r="J72" s="2" t="n"/>
      <c r="K72" s="2" t="n"/>
      <c r="L72" s="2">
        <f>IF(OR(H72="",I72="",J72="",K72=""),"",ROUND(H72*0.25+I72*0.25+J72*0.3+K72*0.2,2))</f>
        <v/>
      </c>
      <c r="M72" s="2">
        <f>IF(L72="","",IF(L72&gt;=4.2,"Сильное преимущество",IF(L72&gt;=3.4,"Потенциальное преимущество",IF(L72&gt;=2.5,"Слабое преимущество","Не считать преимуществом"))))</f>
        <v/>
      </c>
      <c r="N72" s="2" t="n"/>
    </row>
    <row r="73">
      <c r="A73" s="2" t="inlineStr">
        <is>
          <t>A067</t>
        </is>
      </c>
      <c r="B73" s="2" t="n"/>
      <c r="C73" s="2" t="n"/>
      <c r="D73" s="2" t="n"/>
      <c r="E73" s="2" t="n"/>
      <c r="F73" s="2" t="n"/>
      <c r="G73" s="2" t="n"/>
      <c r="H73" s="2" t="n"/>
      <c r="I73" s="2" t="n"/>
      <c r="J73" s="2" t="n"/>
      <c r="K73" s="2" t="n"/>
      <c r="L73" s="2">
        <f>IF(OR(H73="",I73="",J73="",K73=""),"",ROUND(H73*0.25+I73*0.25+J73*0.3+K73*0.2,2))</f>
        <v/>
      </c>
      <c r="M73" s="2">
        <f>IF(L73="","",IF(L73&gt;=4.2,"Сильное преимущество",IF(L73&gt;=3.4,"Потенциальное преимущество",IF(L73&gt;=2.5,"Слабое преимущество","Не считать преимуществом"))))</f>
        <v/>
      </c>
      <c r="N73" s="2" t="n"/>
    </row>
    <row r="74">
      <c r="A74" s="2" t="inlineStr">
        <is>
          <t>A068</t>
        </is>
      </c>
      <c r="B74" s="2" t="n"/>
      <c r="C74" s="2" t="n"/>
      <c r="D74" s="2" t="n"/>
      <c r="E74" s="2" t="n"/>
      <c r="F74" s="2" t="n"/>
      <c r="G74" s="2" t="n"/>
      <c r="H74" s="2" t="n"/>
      <c r="I74" s="2" t="n"/>
      <c r="J74" s="2" t="n"/>
      <c r="K74" s="2" t="n"/>
      <c r="L74" s="2">
        <f>IF(OR(H74="",I74="",J74="",K74=""),"",ROUND(H74*0.25+I74*0.25+J74*0.3+K74*0.2,2))</f>
        <v/>
      </c>
      <c r="M74" s="2">
        <f>IF(L74="","",IF(L74&gt;=4.2,"Сильное преимущество",IF(L74&gt;=3.4,"Потенциальное преимущество",IF(L74&gt;=2.5,"Слабое преимущество","Не считать преимуществом"))))</f>
        <v/>
      </c>
      <c r="N74" s="2" t="n"/>
    </row>
    <row r="75">
      <c r="A75" s="2" t="inlineStr">
        <is>
          <t>A069</t>
        </is>
      </c>
      <c r="B75" s="2" t="n"/>
      <c r="C75" s="2" t="n"/>
      <c r="D75" s="2" t="n"/>
      <c r="E75" s="2" t="n"/>
      <c r="F75" s="2" t="n"/>
      <c r="G75" s="2" t="n"/>
      <c r="H75" s="2" t="n"/>
      <c r="I75" s="2" t="n"/>
      <c r="J75" s="2" t="n"/>
      <c r="K75" s="2" t="n"/>
      <c r="L75" s="2">
        <f>IF(OR(H75="",I75="",J75="",K75=""),"",ROUND(H75*0.25+I75*0.25+J75*0.3+K75*0.2,2))</f>
        <v/>
      </c>
      <c r="M75" s="2">
        <f>IF(L75="","",IF(L75&gt;=4.2,"Сильное преимущество",IF(L75&gt;=3.4,"Потенциальное преимущество",IF(L75&gt;=2.5,"Слабое преимущество","Не считать преимуществом"))))</f>
        <v/>
      </c>
      <c r="N75" s="2" t="n"/>
    </row>
    <row r="76">
      <c r="A76" s="2" t="inlineStr">
        <is>
          <t>A070</t>
        </is>
      </c>
      <c r="B76" s="2" t="n"/>
      <c r="C76" s="2" t="n"/>
      <c r="D76" s="2" t="n"/>
      <c r="E76" s="2" t="n"/>
      <c r="F76" s="2" t="n"/>
      <c r="G76" s="2" t="n"/>
      <c r="H76" s="2" t="n"/>
      <c r="I76" s="2" t="n"/>
      <c r="J76" s="2" t="n"/>
      <c r="K76" s="2" t="n"/>
      <c r="L76" s="2">
        <f>IF(OR(H76="",I76="",J76="",K76=""),"",ROUND(H76*0.25+I76*0.25+J76*0.3+K76*0.2,2))</f>
        <v/>
      </c>
      <c r="M76" s="2">
        <f>IF(L76="","",IF(L76&gt;=4.2,"Сильное преимущество",IF(L76&gt;=3.4,"Потенциальное преимущество",IF(L76&gt;=2.5,"Слабое преимущество","Не считать преимуществом"))))</f>
        <v/>
      </c>
      <c r="N76" s="2" t="n"/>
    </row>
    <row r="77">
      <c r="A77" s="2" t="inlineStr">
        <is>
          <t>A071</t>
        </is>
      </c>
      <c r="B77" s="2" t="n"/>
      <c r="C77" s="2" t="n"/>
      <c r="D77" s="2" t="n"/>
      <c r="E77" s="2" t="n"/>
      <c r="F77" s="2" t="n"/>
      <c r="G77" s="2" t="n"/>
      <c r="H77" s="2" t="n"/>
      <c r="I77" s="2" t="n"/>
      <c r="J77" s="2" t="n"/>
      <c r="K77" s="2" t="n"/>
      <c r="L77" s="2">
        <f>IF(OR(H77="",I77="",J77="",K77=""),"",ROUND(H77*0.25+I77*0.25+J77*0.3+K77*0.2,2))</f>
        <v/>
      </c>
      <c r="M77" s="2">
        <f>IF(L77="","",IF(L77&gt;=4.2,"Сильное преимущество",IF(L77&gt;=3.4,"Потенциальное преимущество",IF(L77&gt;=2.5,"Слабое преимущество","Не считать преимуществом"))))</f>
        <v/>
      </c>
      <c r="N77" s="2" t="n"/>
    </row>
    <row r="78">
      <c r="A78" s="2" t="inlineStr">
        <is>
          <t>A072</t>
        </is>
      </c>
      <c r="B78" s="2" t="n"/>
      <c r="C78" s="2" t="n"/>
      <c r="D78" s="2" t="n"/>
      <c r="E78" s="2" t="n"/>
      <c r="F78" s="2" t="n"/>
      <c r="G78" s="2" t="n"/>
      <c r="H78" s="2" t="n"/>
      <c r="I78" s="2" t="n"/>
      <c r="J78" s="2" t="n"/>
      <c r="K78" s="2" t="n"/>
      <c r="L78" s="2">
        <f>IF(OR(H78="",I78="",J78="",K78=""),"",ROUND(H78*0.25+I78*0.25+J78*0.3+K78*0.2,2))</f>
        <v/>
      </c>
      <c r="M78" s="2">
        <f>IF(L78="","",IF(L78&gt;=4.2,"Сильное преимущество",IF(L78&gt;=3.4,"Потенциальное преимущество",IF(L78&gt;=2.5,"Слабое преимущество","Не считать преимуществом"))))</f>
        <v/>
      </c>
      <c r="N78" s="2" t="n"/>
    </row>
    <row r="79">
      <c r="A79" s="2" t="inlineStr">
        <is>
          <t>A073</t>
        </is>
      </c>
      <c r="B79" s="2" t="n"/>
      <c r="C79" s="2" t="n"/>
      <c r="D79" s="2" t="n"/>
      <c r="E79" s="2" t="n"/>
      <c r="F79" s="2" t="n"/>
      <c r="G79" s="2" t="n"/>
      <c r="H79" s="2" t="n"/>
      <c r="I79" s="2" t="n"/>
      <c r="J79" s="2" t="n"/>
      <c r="K79" s="2" t="n"/>
      <c r="L79" s="2">
        <f>IF(OR(H79="",I79="",J79="",K79=""),"",ROUND(H79*0.25+I79*0.25+J79*0.3+K79*0.2,2))</f>
        <v/>
      </c>
      <c r="M79" s="2">
        <f>IF(L79="","",IF(L79&gt;=4.2,"Сильное преимущество",IF(L79&gt;=3.4,"Потенциальное преимущество",IF(L79&gt;=2.5,"Слабое преимущество","Не считать преимуществом"))))</f>
        <v/>
      </c>
      <c r="N79" s="2" t="n"/>
    </row>
    <row r="80">
      <c r="A80" s="2" t="inlineStr">
        <is>
          <t>A074</t>
        </is>
      </c>
      <c r="B80" s="2" t="n"/>
      <c r="C80" s="2" t="n"/>
      <c r="D80" s="2" t="n"/>
      <c r="E80" s="2" t="n"/>
      <c r="F80" s="2" t="n"/>
      <c r="G80" s="2" t="n"/>
      <c r="H80" s="2" t="n"/>
      <c r="I80" s="2" t="n"/>
      <c r="J80" s="2" t="n"/>
      <c r="K80" s="2" t="n"/>
      <c r="L80" s="2">
        <f>IF(OR(H80="",I80="",J80="",K80=""),"",ROUND(H80*0.25+I80*0.25+J80*0.3+K80*0.2,2))</f>
        <v/>
      </c>
      <c r="M80" s="2">
        <f>IF(L80="","",IF(L80&gt;=4.2,"Сильное преимущество",IF(L80&gt;=3.4,"Потенциальное преимущество",IF(L80&gt;=2.5,"Слабое преимущество","Не считать преимуществом"))))</f>
        <v/>
      </c>
      <c r="N80" s="2" t="n"/>
    </row>
    <row r="81">
      <c r="A81" s="2" t="inlineStr">
        <is>
          <t>A075</t>
        </is>
      </c>
      <c r="B81" s="2" t="n"/>
      <c r="C81" s="2" t="n"/>
      <c r="D81" s="2" t="n"/>
      <c r="E81" s="2" t="n"/>
      <c r="F81" s="2" t="n"/>
      <c r="G81" s="2" t="n"/>
      <c r="H81" s="2" t="n"/>
      <c r="I81" s="2" t="n"/>
      <c r="J81" s="2" t="n"/>
      <c r="K81" s="2" t="n"/>
      <c r="L81" s="2">
        <f>IF(OR(H81="",I81="",J81="",K81=""),"",ROUND(H81*0.25+I81*0.25+J81*0.3+K81*0.2,2))</f>
        <v/>
      </c>
      <c r="M81" s="2">
        <f>IF(L81="","",IF(L81&gt;=4.2,"Сильное преимущество",IF(L81&gt;=3.4,"Потенциальное преимущество",IF(L81&gt;=2.5,"Слабое преимущество","Не считать преимуществом"))))</f>
        <v/>
      </c>
      <c r="N81" s="2" t="n"/>
    </row>
    <row r="82">
      <c r="A82" s="2" t="inlineStr">
        <is>
          <t>A076</t>
        </is>
      </c>
      <c r="B82" s="2" t="n"/>
      <c r="C82" s="2" t="n"/>
      <c r="D82" s="2" t="n"/>
      <c r="E82" s="2" t="n"/>
      <c r="F82" s="2" t="n"/>
      <c r="G82" s="2" t="n"/>
      <c r="H82" s="2" t="n"/>
      <c r="I82" s="2" t="n"/>
      <c r="J82" s="2" t="n"/>
      <c r="K82" s="2" t="n"/>
      <c r="L82" s="2">
        <f>IF(OR(H82="",I82="",J82="",K82=""),"",ROUND(H82*0.25+I82*0.25+J82*0.3+K82*0.2,2))</f>
        <v/>
      </c>
      <c r="M82" s="2">
        <f>IF(L82="","",IF(L82&gt;=4.2,"Сильное преимущество",IF(L82&gt;=3.4,"Потенциальное преимущество",IF(L82&gt;=2.5,"Слабое преимущество","Не считать преимуществом"))))</f>
        <v/>
      </c>
      <c r="N82" s="2" t="n"/>
    </row>
    <row r="83">
      <c r="A83" s="2" t="inlineStr">
        <is>
          <t>A077</t>
        </is>
      </c>
      <c r="B83" s="2" t="n"/>
      <c r="C83" s="2" t="n"/>
      <c r="D83" s="2" t="n"/>
      <c r="E83" s="2" t="n"/>
      <c r="F83" s="2" t="n"/>
      <c r="G83" s="2" t="n"/>
      <c r="H83" s="2" t="n"/>
      <c r="I83" s="2" t="n"/>
      <c r="J83" s="2" t="n"/>
      <c r="K83" s="2" t="n"/>
      <c r="L83" s="2">
        <f>IF(OR(H83="",I83="",J83="",K83=""),"",ROUND(H83*0.25+I83*0.25+J83*0.3+K83*0.2,2))</f>
        <v/>
      </c>
      <c r="M83" s="2">
        <f>IF(L83="","",IF(L83&gt;=4.2,"Сильное преимущество",IF(L83&gt;=3.4,"Потенциальное преимущество",IF(L83&gt;=2.5,"Слабое преимущество","Не считать преимуществом"))))</f>
        <v/>
      </c>
      <c r="N83" s="2" t="n"/>
    </row>
    <row r="84">
      <c r="A84" s="2" t="inlineStr">
        <is>
          <t>A078</t>
        </is>
      </c>
      <c r="B84" s="2" t="n"/>
      <c r="C84" s="2" t="n"/>
      <c r="D84" s="2" t="n"/>
      <c r="E84" s="2" t="n"/>
      <c r="F84" s="2" t="n"/>
      <c r="G84" s="2" t="n"/>
      <c r="H84" s="2" t="n"/>
      <c r="I84" s="2" t="n"/>
      <c r="J84" s="2" t="n"/>
      <c r="K84" s="2" t="n"/>
      <c r="L84" s="2">
        <f>IF(OR(H84="",I84="",J84="",K84=""),"",ROUND(H84*0.25+I84*0.25+J84*0.3+K84*0.2,2))</f>
        <v/>
      </c>
      <c r="M84" s="2">
        <f>IF(L84="","",IF(L84&gt;=4.2,"Сильное преимущество",IF(L84&gt;=3.4,"Потенциальное преимущество",IF(L84&gt;=2.5,"Слабое преимущество","Не считать преимуществом"))))</f>
        <v/>
      </c>
      <c r="N84" s="2" t="n"/>
    </row>
    <row r="85">
      <c r="A85" s="2" t="inlineStr">
        <is>
          <t>A079</t>
        </is>
      </c>
      <c r="B85" s="2" t="n"/>
      <c r="C85" s="2" t="n"/>
      <c r="D85" s="2" t="n"/>
      <c r="E85" s="2" t="n"/>
      <c r="F85" s="2" t="n"/>
      <c r="G85" s="2" t="n"/>
      <c r="H85" s="2" t="n"/>
      <c r="I85" s="2" t="n"/>
      <c r="J85" s="2" t="n"/>
      <c r="K85" s="2" t="n"/>
      <c r="L85" s="2">
        <f>IF(OR(H85="",I85="",J85="",K85=""),"",ROUND(H85*0.25+I85*0.25+J85*0.3+K85*0.2,2))</f>
        <v/>
      </c>
      <c r="M85" s="2">
        <f>IF(L85="","",IF(L85&gt;=4.2,"Сильное преимущество",IF(L85&gt;=3.4,"Потенциальное преимущество",IF(L85&gt;=2.5,"Слабое преимущество","Не считать преимуществом"))))</f>
        <v/>
      </c>
      <c r="N85" s="2" t="n"/>
    </row>
    <row r="86">
      <c r="A86" s="2" t="inlineStr">
        <is>
          <t>A080</t>
        </is>
      </c>
      <c r="B86" s="2" t="n"/>
      <c r="C86" s="2" t="n"/>
      <c r="D86" s="2" t="n"/>
      <c r="E86" s="2" t="n"/>
      <c r="F86" s="2" t="n"/>
      <c r="G86" s="2" t="n"/>
      <c r="H86" s="2" t="n"/>
      <c r="I86" s="2" t="n"/>
      <c r="J86" s="2" t="n"/>
      <c r="K86" s="2" t="n"/>
      <c r="L86" s="2">
        <f>IF(OR(H86="",I86="",J86="",K86=""),"",ROUND(H86*0.25+I86*0.25+J86*0.3+K86*0.2,2))</f>
        <v/>
      </c>
      <c r="M86" s="2">
        <f>IF(L86="","",IF(L86&gt;=4.2,"Сильное преимущество",IF(L86&gt;=3.4,"Потенциальное преимущество",IF(L86&gt;=2.5,"Слабое преимущество","Не считать преимуществом"))))</f>
        <v/>
      </c>
      <c r="N86" s="2" t="n"/>
    </row>
    <row r="87">
      <c r="A87" s="2" t="inlineStr">
        <is>
          <t>A081</t>
        </is>
      </c>
      <c r="B87" s="2" t="n"/>
      <c r="C87" s="2" t="n"/>
      <c r="D87" s="2" t="n"/>
      <c r="E87" s="2" t="n"/>
      <c r="F87" s="2" t="n"/>
      <c r="G87" s="2" t="n"/>
      <c r="H87" s="2" t="n"/>
      <c r="I87" s="2" t="n"/>
      <c r="J87" s="2" t="n"/>
      <c r="K87" s="2" t="n"/>
      <c r="L87" s="2">
        <f>IF(OR(H87="",I87="",J87="",K87=""),"",ROUND(H87*0.25+I87*0.25+J87*0.3+K87*0.2,2))</f>
        <v/>
      </c>
      <c r="M87" s="2">
        <f>IF(L87="","",IF(L87&gt;=4.2,"Сильное преимущество",IF(L87&gt;=3.4,"Потенциальное преимущество",IF(L87&gt;=2.5,"Слабое преимущество","Не считать преимуществом"))))</f>
        <v/>
      </c>
      <c r="N87" s="2" t="n"/>
    </row>
    <row r="88">
      <c r="A88" s="2" t="inlineStr">
        <is>
          <t>A082</t>
        </is>
      </c>
      <c r="B88" s="2" t="n"/>
      <c r="C88" s="2" t="n"/>
      <c r="D88" s="2" t="n"/>
      <c r="E88" s="2" t="n"/>
      <c r="F88" s="2" t="n"/>
      <c r="G88" s="2" t="n"/>
      <c r="H88" s="2" t="n"/>
      <c r="I88" s="2" t="n"/>
      <c r="J88" s="2" t="n"/>
      <c r="K88" s="2" t="n"/>
      <c r="L88" s="2">
        <f>IF(OR(H88="",I88="",J88="",K88=""),"",ROUND(H88*0.25+I88*0.25+J88*0.3+K88*0.2,2))</f>
        <v/>
      </c>
      <c r="M88" s="2">
        <f>IF(L88="","",IF(L88&gt;=4.2,"Сильное преимущество",IF(L88&gt;=3.4,"Потенциальное преимущество",IF(L88&gt;=2.5,"Слабое преимущество","Не считать преимуществом"))))</f>
        <v/>
      </c>
      <c r="N88" s="2" t="n"/>
    </row>
    <row r="89">
      <c r="A89" s="2" t="inlineStr">
        <is>
          <t>A083</t>
        </is>
      </c>
      <c r="B89" s="2" t="n"/>
      <c r="C89" s="2" t="n"/>
      <c r="D89" s="2" t="n"/>
      <c r="E89" s="2" t="n"/>
      <c r="F89" s="2" t="n"/>
      <c r="G89" s="2" t="n"/>
      <c r="H89" s="2" t="n"/>
      <c r="I89" s="2" t="n"/>
      <c r="J89" s="2" t="n"/>
      <c r="K89" s="2" t="n"/>
      <c r="L89" s="2">
        <f>IF(OR(H89="",I89="",J89="",K89=""),"",ROUND(H89*0.25+I89*0.25+J89*0.3+K89*0.2,2))</f>
        <v/>
      </c>
      <c r="M89" s="2">
        <f>IF(L89="","",IF(L89&gt;=4.2,"Сильное преимущество",IF(L89&gt;=3.4,"Потенциальное преимущество",IF(L89&gt;=2.5,"Слабое преимущество","Не считать преимуществом"))))</f>
        <v/>
      </c>
      <c r="N89" s="2" t="n"/>
    </row>
    <row r="90">
      <c r="A90" s="2" t="inlineStr">
        <is>
          <t>A084</t>
        </is>
      </c>
      <c r="B90" s="2" t="n"/>
      <c r="C90" s="2" t="n"/>
      <c r="D90" s="2" t="n"/>
      <c r="E90" s="2" t="n"/>
      <c r="F90" s="2" t="n"/>
      <c r="G90" s="2" t="n"/>
      <c r="H90" s="2" t="n"/>
      <c r="I90" s="2" t="n"/>
      <c r="J90" s="2" t="n"/>
      <c r="K90" s="2" t="n"/>
      <c r="L90" s="2">
        <f>IF(OR(H90="",I90="",J90="",K90=""),"",ROUND(H90*0.25+I90*0.25+J90*0.3+K90*0.2,2))</f>
        <v/>
      </c>
      <c r="M90" s="2">
        <f>IF(L90="","",IF(L90&gt;=4.2,"Сильное преимущество",IF(L90&gt;=3.4,"Потенциальное преимущество",IF(L90&gt;=2.5,"Слабое преимущество","Не считать преимуществом"))))</f>
        <v/>
      </c>
      <c r="N90" s="2" t="n"/>
    </row>
    <row r="91">
      <c r="A91" s="2" t="inlineStr">
        <is>
          <t>A085</t>
        </is>
      </c>
      <c r="B91" s="2" t="n"/>
      <c r="C91" s="2" t="n"/>
      <c r="D91" s="2" t="n"/>
      <c r="E91" s="2" t="n"/>
      <c r="F91" s="2" t="n"/>
      <c r="G91" s="2" t="n"/>
      <c r="H91" s="2" t="n"/>
      <c r="I91" s="2" t="n"/>
      <c r="J91" s="2" t="n"/>
      <c r="K91" s="2" t="n"/>
      <c r="L91" s="2">
        <f>IF(OR(H91="",I91="",J91="",K91=""),"",ROUND(H91*0.25+I91*0.25+J91*0.3+K91*0.2,2))</f>
        <v/>
      </c>
      <c r="M91" s="2">
        <f>IF(L91="","",IF(L91&gt;=4.2,"Сильное преимущество",IF(L91&gt;=3.4,"Потенциальное преимущество",IF(L91&gt;=2.5,"Слабое преимущество","Не считать преимуществом"))))</f>
        <v/>
      </c>
      <c r="N91" s="2" t="n"/>
    </row>
    <row r="92">
      <c r="A92" s="2" t="inlineStr">
        <is>
          <t>A086</t>
        </is>
      </c>
      <c r="B92" s="2" t="n"/>
      <c r="C92" s="2" t="n"/>
      <c r="D92" s="2" t="n"/>
      <c r="E92" s="2" t="n"/>
      <c r="F92" s="2" t="n"/>
      <c r="G92" s="2" t="n"/>
      <c r="H92" s="2" t="n"/>
      <c r="I92" s="2" t="n"/>
      <c r="J92" s="2" t="n"/>
      <c r="K92" s="2" t="n"/>
      <c r="L92" s="2">
        <f>IF(OR(H92="",I92="",J92="",K92=""),"",ROUND(H92*0.25+I92*0.25+J92*0.3+K92*0.2,2))</f>
        <v/>
      </c>
      <c r="M92" s="2">
        <f>IF(L92="","",IF(L92&gt;=4.2,"Сильное преимущество",IF(L92&gt;=3.4,"Потенциальное преимущество",IF(L92&gt;=2.5,"Слабое преимущество","Не считать преимуществом"))))</f>
        <v/>
      </c>
      <c r="N92" s="2" t="n"/>
    </row>
    <row r="93">
      <c r="A93" s="2" t="inlineStr">
        <is>
          <t>A087</t>
        </is>
      </c>
      <c r="B93" s="2" t="n"/>
      <c r="C93" s="2" t="n"/>
      <c r="D93" s="2" t="n"/>
      <c r="E93" s="2" t="n"/>
      <c r="F93" s="2" t="n"/>
      <c r="G93" s="2" t="n"/>
      <c r="H93" s="2" t="n"/>
      <c r="I93" s="2" t="n"/>
      <c r="J93" s="2" t="n"/>
      <c r="K93" s="2" t="n"/>
      <c r="L93" s="2">
        <f>IF(OR(H93="",I93="",J93="",K93=""),"",ROUND(H93*0.25+I93*0.25+J93*0.3+K93*0.2,2))</f>
        <v/>
      </c>
      <c r="M93" s="2">
        <f>IF(L93="","",IF(L93&gt;=4.2,"Сильное преимущество",IF(L93&gt;=3.4,"Потенциальное преимущество",IF(L93&gt;=2.5,"Слабое преимущество","Не считать преимуществом"))))</f>
        <v/>
      </c>
      <c r="N93" s="2" t="n"/>
    </row>
    <row r="94">
      <c r="A94" s="2" t="inlineStr">
        <is>
          <t>A088</t>
        </is>
      </c>
      <c r="B94" s="2" t="n"/>
      <c r="C94" s="2" t="n"/>
      <c r="D94" s="2" t="n"/>
      <c r="E94" s="2" t="n"/>
      <c r="F94" s="2" t="n"/>
      <c r="G94" s="2" t="n"/>
      <c r="H94" s="2" t="n"/>
      <c r="I94" s="2" t="n"/>
      <c r="J94" s="2" t="n"/>
      <c r="K94" s="2" t="n"/>
      <c r="L94" s="2">
        <f>IF(OR(H94="",I94="",J94="",K94=""),"",ROUND(H94*0.25+I94*0.25+J94*0.3+K94*0.2,2))</f>
        <v/>
      </c>
      <c r="M94" s="2">
        <f>IF(L94="","",IF(L94&gt;=4.2,"Сильное преимущество",IF(L94&gt;=3.4,"Потенциальное преимущество",IF(L94&gt;=2.5,"Слабое преимущество","Не считать преимуществом"))))</f>
        <v/>
      </c>
      <c r="N94" s="2" t="n"/>
    </row>
    <row r="95">
      <c r="A95" s="2" t="inlineStr">
        <is>
          <t>A089</t>
        </is>
      </c>
      <c r="B95" s="2" t="n"/>
      <c r="C95" s="2" t="n"/>
      <c r="D95" s="2" t="n"/>
      <c r="E95" s="2" t="n"/>
      <c r="F95" s="2" t="n"/>
      <c r="G95" s="2" t="n"/>
      <c r="H95" s="2" t="n"/>
      <c r="I95" s="2" t="n"/>
      <c r="J95" s="2" t="n"/>
      <c r="K95" s="2" t="n"/>
      <c r="L95" s="2">
        <f>IF(OR(H95="",I95="",J95="",K95=""),"",ROUND(H95*0.25+I95*0.25+J95*0.3+K95*0.2,2))</f>
        <v/>
      </c>
      <c r="M95" s="2">
        <f>IF(L95="","",IF(L95&gt;=4.2,"Сильное преимущество",IF(L95&gt;=3.4,"Потенциальное преимущество",IF(L95&gt;=2.5,"Слабое преимущество","Не считать преимуществом"))))</f>
        <v/>
      </c>
      <c r="N95" s="2" t="n"/>
    </row>
    <row r="96">
      <c r="A96" s="2" t="inlineStr">
        <is>
          <t>A090</t>
        </is>
      </c>
      <c r="B96" s="2" t="n"/>
      <c r="C96" s="2" t="n"/>
      <c r="D96" s="2" t="n"/>
      <c r="E96" s="2" t="n"/>
      <c r="F96" s="2" t="n"/>
      <c r="G96" s="2" t="n"/>
      <c r="H96" s="2" t="n"/>
      <c r="I96" s="2" t="n"/>
      <c r="J96" s="2" t="n"/>
      <c r="K96" s="2" t="n"/>
      <c r="L96" s="2">
        <f>IF(OR(H96="",I96="",J96="",K96=""),"",ROUND(H96*0.25+I96*0.25+J96*0.3+K96*0.2,2))</f>
        <v/>
      </c>
      <c r="M96" s="2">
        <f>IF(L96="","",IF(L96&gt;=4.2,"Сильное преимущество",IF(L96&gt;=3.4,"Потенциальное преимущество",IF(L96&gt;=2.5,"Слабое преимущество","Не считать преимуществом"))))</f>
        <v/>
      </c>
      <c r="N96" s="2" t="n"/>
    </row>
    <row r="97">
      <c r="A97" s="2" t="inlineStr">
        <is>
          <t>A091</t>
        </is>
      </c>
      <c r="B97" s="2" t="n"/>
      <c r="C97" s="2" t="n"/>
      <c r="D97" s="2" t="n"/>
      <c r="E97" s="2" t="n"/>
      <c r="F97" s="2" t="n"/>
      <c r="G97" s="2" t="n"/>
      <c r="H97" s="2" t="n"/>
      <c r="I97" s="2" t="n"/>
      <c r="J97" s="2" t="n"/>
      <c r="K97" s="2" t="n"/>
      <c r="L97" s="2">
        <f>IF(OR(H97="",I97="",J97="",K97=""),"",ROUND(H97*0.25+I97*0.25+J97*0.3+K97*0.2,2))</f>
        <v/>
      </c>
      <c r="M97" s="2">
        <f>IF(L97="","",IF(L97&gt;=4.2,"Сильное преимущество",IF(L97&gt;=3.4,"Потенциальное преимущество",IF(L97&gt;=2.5,"Слабое преимущество","Не считать преимуществом"))))</f>
        <v/>
      </c>
      <c r="N97" s="2" t="n"/>
    </row>
    <row r="98">
      <c r="A98" s="2" t="inlineStr">
        <is>
          <t>A092</t>
        </is>
      </c>
      <c r="B98" s="2" t="n"/>
      <c r="C98" s="2" t="n"/>
      <c r="D98" s="2" t="n"/>
      <c r="E98" s="2" t="n"/>
      <c r="F98" s="2" t="n"/>
      <c r="G98" s="2" t="n"/>
      <c r="H98" s="2" t="n"/>
      <c r="I98" s="2" t="n"/>
      <c r="J98" s="2" t="n"/>
      <c r="K98" s="2" t="n"/>
      <c r="L98" s="2">
        <f>IF(OR(H98="",I98="",J98="",K98=""),"",ROUND(H98*0.25+I98*0.25+J98*0.3+K98*0.2,2))</f>
        <v/>
      </c>
      <c r="M98" s="2">
        <f>IF(L98="","",IF(L98&gt;=4.2,"Сильное преимущество",IF(L98&gt;=3.4,"Потенциальное преимущество",IF(L98&gt;=2.5,"Слабое преимущество","Не считать преимуществом"))))</f>
        <v/>
      </c>
      <c r="N98" s="2" t="n"/>
    </row>
    <row r="99">
      <c r="A99" s="2" t="inlineStr">
        <is>
          <t>A093</t>
        </is>
      </c>
      <c r="B99" s="2" t="n"/>
      <c r="C99" s="2" t="n"/>
      <c r="D99" s="2" t="n"/>
      <c r="E99" s="2" t="n"/>
      <c r="F99" s="2" t="n"/>
      <c r="G99" s="2" t="n"/>
      <c r="H99" s="2" t="n"/>
      <c r="I99" s="2" t="n"/>
      <c r="J99" s="2" t="n"/>
      <c r="K99" s="2" t="n"/>
      <c r="L99" s="2">
        <f>IF(OR(H99="",I99="",J99="",K99=""),"",ROUND(H99*0.25+I99*0.25+J99*0.3+K99*0.2,2))</f>
        <v/>
      </c>
      <c r="M99" s="2">
        <f>IF(L99="","",IF(L99&gt;=4.2,"Сильное преимущество",IF(L99&gt;=3.4,"Потенциальное преимущество",IF(L99&gt;=2.5,"Слабое преимущество","Не считать преимуществом"))))</f>
        <v/>
      </c>
      <c r="N99" s="2" t="n"/>
    </row>
    <row r="100">
      <c r="A100" s="2" t="inlineStr">
        <is>
          <t>A094</t>
        </is>
      </c>
      <c r="B100" s="2" t="n"/>
      <c r="C100" s="2" t="n"/>
      <c r="D100" s="2" t="n"/>
      <c r="E100" s="2" t="n"/>
      <c r="F100" s="2" t="n"/>
      <c r="G100" s="2" t="n"/>
      <c r="H100" s="2" t="n"/>
      <c r="I100" s="2" t="n"/>
      <c r="J100" s="2" t="n"/>
      <c r="K100" s="2" t="n"/>
      <c r="L100" s="2">
        <f>IF(OR(H100="",I100="",J100="",K100=""),"",ROUND(H100*0.25+I100*0.25+J100*0.3+K100*0.2,2))</f>
        <v/>
      </c>
      <c r="M100" s="2">
        <f>IF(L100="","",IF(L100&gt;=4.2,"Сильное преимущество",IF(L100&gt;=3.4,"Потенциальное преимущество",IF(L100&gt;=2.5,"Слабое преимущество","Не считать преимуществом"))))</f>
        <v/>
      </c>
      <c r="N100" s="2" t="n"/>
    </row>
    <row r="101">
      <c r="A101" s="2" t="inlineStr">
        <is>
          <t>A095</t>
        </is>
      </c>
      <c r="B101" s="2" t="n"/>
      <c r="C101" s="2" t="n"/>
      <c r="D101" s="2" t="n"/>
      <c r="E101" s="2" t="n"/>
      <c r="F101" s="2" t="n"/>
      <c r="G101" s="2" t="n"/>
      <c r="H101" s="2" t="n"/>
      <c r="I101" s="2" t="n"/>
      <c r="J101" s="2" t="n"/>
      <c r="K101" s="2" t="n"/>
      <c r="L101" s="2">
        <f>IF(OR(H101="",I101="",J101="",K101=""),"",ROUND(H101*0.25+I101*0.25+J101*0.3+K101*0.2,2))</f>
        <v/>
      </c>
      <c r="M101" s="2">
        <f>IF(L101="","",IF(L101&gt;=4.2,"Сильное преимущество",IF(L101&gt;=3.4,"Потенциальное преимущество",IF(L101&gt;=2.5,"Слабое преимущество","Не считать преимуществом"))))</f>
        <v/>
      </c>
      <c r="N101" s="2" t="n"/>
    </row>
    <row r="102">
      <c r="A102" s="2" t="inlineStr">
        <is>
          <t>A096</t>
        </is>
      </c>
      <c r="B102" s="2" t="n"/>
      <c r="C102" s="2" t="n"/>
      <c r="D102" s="2" t="n"/>
      <c r="E102" s="2" t="n"/>
      <c r="F102" s="2" t="n"/>
      <c r="G102" s="2" t="n"/>
      <c r="H102" s="2" t="n"/>
      <c r="I102" s="2" t="n"/>
      <c r="J102" s="2" t="n"/>
      <c r="K102" s="2" t="n"/>
      <c r="L102" s="2">
        <f>IF(OR(H102="",I102="",J102="",K102=""),"",ROUND(H102*0.25+I102*0.25+J102*0.3+K102*0.2,2))</f>
        <v/>
      </c>
      <c r="M102" s="2">
        <f>IF(L102="","",IF(L102&gt;=4.2,"Сильное преимущество",IF(L102&gt;=3.4,"Потенциальное преимущество",IF(L102&gt;=2.5,"Слабое преимущество","Не считать преимуществом"))))</f>
        <v/>
      </c>
      <c r="N102" s="2" t="n"/>
    </row>
    <row r="103">
      <c r="A103" s="2" t="inlineStr">
        <is>
          <t>A097</t>
        </is>
      </c>
      <c r="B103" s="2" t="n"/>
      <c r="C103" s="2" t="n"/>
      <c r="D103" s="2" t="n"/>
      <c r="E103" s="2" t="n"/>
      <c r="F103" s="2" t="n"/>
      <c r="G103" s="2" t="n"/>
      <c r="H103" s="2" t="n"/>
      <c r="I103" s="2" t="n"/>
      <c r="J103" s="2" t="n"/>
      <c r="K103" s="2" t="n"/>
      <c r="L103" s="2">
        <f>IF(OR(H103="",I103="",J103="",K103=""),"",ROUND(H103*0.25+I103*0.25+J103*0.3+K103*0.2,2))</f>
        <v/>
      </c>
      <c r="M103" s="2">
        <f>IF(L103="","",IF(L103&gt;=4.2,"Сильное преимущество",IF(L103&gt;=3.4,"Потенциальное преимущество",IF(L103&gt;=2.5,"Слабое преимущество","Не считать преимуществом"))))</f>
        <v/>
      </c>
      <c r="N103" s="2" t="n"/>
    </row>
    <row r="104">
      <c r="A104" s="2" t="inlineStr">
        <is>
          <t>A098</t>
        </is>
      </c>
      <c r="B104" s="2" t="n"/>
      <c r="C104" s="2" t="n"/>
      <c r="D104" s="2" t="n"/>
      <c r="E104" s="2" t="n"/>
      <c r="F104" s="2" t="n"/>
      <c r="G104" s="2" t="n"/>
      <c r="H104" s="2" t="n"/>
      <c r="I104" s="2" t="n"/>
      <c r="J104" s="2" t="n"/>
      <c r="K104" s="2" t="n"/>
      <c r="L104" s="2">
        <f>IF(OR(H104="",I104="",J104="",K104=""),"",ROUND(H104*0.25+I104*0.25+J104*0.3+K104*0.2,2))</f>
        <v/>
      </c>
      <c r="M104" s="2">
        <f>IF(L104="","",IF(L104&gt;=4.2,"Сильное преимущество",IF(L104&gt;=3.4,"Потенциальное преимущество",IF(L104&gt;=2.5,"Слабое преимущество","Не считать преимуществом"))))</f>
        <v/>
      </c>
      <c r="N104" s="2" t="n"/>
    </row>
    <row r="105">
      <c r="A105" s="2" t="inlineStr">
        <is>
          <t>A099</t>
        </is>
      </c>
      <c r="B105" s="2" t="n"/>
      <c r="C105" s="2" t="n"/>
      <c r="D105" s="2" t="n"/>
      <c r="E105" s="2" t="n"/>
      <c r="F105" s="2" t="n"/>
      <c r="G105" s="2" t="n"/>
      <c r="H105" s="2" t="n"/>
      <c r="I105" s="2" t="n"/>
      <c r="J105" s="2" t="n"/>
      <c r="K105" s="2" t="n"/>
      <c r="L105" s="2">
        <f>IF(OR(H105="",I105="",J105="",K105=""),"",ROUND(H105*0.25+I105*0.25+J105*0.3+K105*0.2,2))</f>
        <v/>
      </c>
      <c r="M105" s="2">
        <f>IF(L105="","",IF(L105&gt;=4.2,"Сильное преимущество",IF(L105&gt;=3.4,"Потенциальное преимущество",IF(L105&gt;=2.5,"Слабое преимущество","Не считать преимуществом"))))</f>
        <v/>
      </c>
      <c r="N105" s="2" t="n"/>
    </row>
    <row r="106">
      <c r="A106" s="2" t="inlineStr">
        <is>
          <t>A100</t>
        </is>
      </c>
      <c r="B106" s="2" t="n"/>
      <c r="C106" s="2" t="n"/>
      <c r="D106" s="2" t="n"/>
      <c r="E106" s="2" t="n"/>
      <c r="F106" s="2" t="n"/>
      <c r="G106" s="2" t="n"/>
      <c r="H106" s="2" t="n"/>
      <c r="I106" s="2" t="n"/>
      <c r="J106" s="2" t="n"/>
      <c r="K106" s="2" t="n"/>
      <c r="L106" s="2">
        <f>IF(OR(H106="",I106="",J106="",K106=""),"",ROUND(H106*0.25+I106*0.25+J106*0.3+K106*0.2,2))</f>
        <v/>
      </c>
      <c r="M106" s="2">
        <f>IF(L106="","",IF(L106&gt;=4.2,"Сильное преимущество",IF(L106&gt;=3.4,"Потенциальное преимущество",IF(L106&gt;=2.5,"Слабое преимущество","Не считать преимуществом"))))</f>
        <v/>
      </c>
      <c r="N106" s="2" t="n"/>
    </row>
    <row r="107">
      <c r="A107" s="2" t="inlineStr">
        <is>
          <t>A101</t>
        </is>
      </c>
      <c r="B107" s="2" t="n"/>
      <c r="C107" s="2" t="n"/>
      <c r="D107" s="2" t="n"/>
      <c r="E107" s="2" t="n"/>
      <c r="F107" s="2" t="n"/>
      <c r="G107" s="2" t="n"/>
      <c r="H107" s="2" t="n"/>
      <c r="I107" s="2" t="n"/>
      <c r="J107" s="2" t="n"/>
      <c r="K107" s="2" t="n"/>
      <c r="L107" s="2">
        <f>IF(OR(H107="",I107="",J107="",K107=""),"",ROUND(H107*0.25+I107*0.25+J107*0.3+K107*0.2,2))</f>
        <v/>
      </c>
      <c r="M107" s="2">
        <f>IF(L107="","",IF(L107&gt;=4.2,"Сильное преимущество",IF(L107&gt;=3.4,"Потенциальное преимущество",IF(L107&gt;=2.5,"Слабое преимущество","Не считать преимуществом"))))</f>
        <v/>
      </c>
      <c r="N107" s="2" t="n"/>
    </row>
    <row r="108">
      <c r="A108" s="2" t="inlineStr">
        <is>
          <t>A102</t>
        </is>
      </c>
      <c r="B108" s="2" t="n"/>
      <c r="C108" s="2" t="n"/>
      <c r="D108" s="2" t="n"/>
      <c r="E108" s="2" t="n"/>
      <c r="F108" s="2" t="n"/>
      <c r="G108" s="2" t="n"/>
      <c r="H108" s="2" t="n"/>
      <c r="I108" s="2" t="n"/>
      <c r="J108" s="2" t="n"/>
      <c r="K108" s="2" t="n"/>
      <c r="L108" s="2">
        <f>IF(OR(H108="",I108="",J108="",K108=""),"",ROUND(H108*0.25+I108*0.25+J108*0.3+K108*0.2,2))</f>
        <v/>
      </c>
      <c r="M108" s="2">
        <f>IF(L108="","",IF(L108&gt;=4.2,"Сильное преимущество",IF(L108&gt;=3.4,"Потенциальное преимущество",IF(L108&gt;=2.5,"Слабое преимущество","Не считать преимуществом"))))</f>
        <v/>
      </c>
      <c r="N108" s="2" t="n"/>
    </row>
    <row r="109">
      <c r="A109" s="2" t="inlineStr">
        <is>
          <t>A103</t>
        </is>
      </c>
      <c r="B109" s="2" t="n"/>
      <c r="C109" s="2" t="n"/>
      <c r="D109" s="2" t="n"/>
      <c r="E109" s="2" t="n"/>
      <c r="F109" s="2" t="n"/>
      <c r="G109" s="2" t="n"/>
      <c r="H109" s="2" t="n"/>
      <c r="I109" s="2" t="n"/>
      <c r="J109" s="2" t="n"/>
      <c r="K109" s="2" t="n"/>
      <c r="L109" s="2">
        <f>IF(OR(H109="",I109="",J109="",K109=""),"",ROUND(H109*0.25+I109*0.25+J109*0.3+K109*0.2,2))</f>
        <v/>
      </c>
      <c r="M109" s="2">
        <f>IF(L109="","",IF(L109&gt;=4.2,"Сильное преимущество",IF(L109&gt;=3.4,"Потенциальное преимущество",IF(L109&gt;=2.5,"Слабое преимущество","Не считать преимуществом"))))</f>
        <v/>
      </c>
      <c r="N109" s="2" t="n"/>
    </row>
    <row r="110">
      <c r="A110" s="2" t="inlineStr">
        <is>
          <t>A104</t>
        </is>
      </c>
      <c r="B110" s="2" t="n"/>
      <c r="C110" s="2" t="n"/>
      <c r="D110" s="2" t="n"/>
      <c r="E110" s="2" t="n"/>
      <c r="F110" s="2" t="n"/>
      <c r="G110" s="2" t="n"/>
      <c r="H110" s="2" t="n"/>
      <c r="I110" s="2" t="n"/>
      <c r="J110" s="2" t="n"/>
      <c r="K110" s="2" t="n"/>
      <c r="L110" s="2">
        <f>IF(OR(H110="",I110="",J110="",K110=""),"",ROUND(H110*0.25+I110*0.25+J110*0.3+K110*0.2,2))</f>
        <v/>
      </c>
      <c r="M110" s="2">
        <f>IF(L110="","",IF(L110&gt;=4.2,"Сильное преимущество",IF(L110&gt;=3.4,"Потенциальное преимущество",IF(L110&gt;=2.5,"Слабое преимущество","Не считать преимуществом"))))</f>
        <v/>
      </c>
      <c r="N110" s="2" t="n"/>
    </row>
    <row r="111">
      <c r="A111" s="2" t="inlineStr">
        <is>
          <t>A105</t>
        </is>
      </c>
      <c r="B111" s="2" t="n"/>
      <c r="C111" s="2" t="n"/>
      <c r="D111" s="2" t="n"/>
      <c r="E111" s="2" t="n"/>
      <c r="F111" s="2" t="n"/>
      <c r="G111" s="2" t="n"/>
      <c r="H111" s="2" t="n"/>
      <c r="I111" s="2" t="n"/>
      <c r="J111" s="2" t="n"/>
      <c r="K111" s="2" t="n"/>
      <c r="L111" s="2">
        <f>IF(OR(H111="",I111="",J111="",K111=""),"",ROUND(H111*0.25+I111*0.25+J111*0.3+K111*0.2,2))</f>
        <v/>
      </c>
      <c r="M111" s="2">
        <f>IF(L111="","",IF(L111&gt;=4.2,"Сильное преимущество",IF(L111&gt;=3.4,"Потенциальное преимущество",IF(L111&gt;=2.5,"Слабое преимущество","Не считать преимуществом"))))</f>
        <v/>
      </c>
      <c r="N111" s="2" t="n"/>
    </row>
    <row r="112">
      <c r="A112" s="2" t="inlineStr">
        <is>
          <t>A106</t>
        </is>
      </c>
      <c r="B112" s="2" t="n"/>
      <c r="C112" s="2" t="n"/>
      <c r="D112" s="2" t="n"/>
      <c r="E112" s="2" t="n"/>
      <c r="F112" s="2" t="n"/>
      <c r="G112" s="2" t="n"/>
      <c r="H112" s="2" t="n"/>
      <c r="I112" s="2" t="n"/>
      <c r="J112" s="2" t="n"/>
      <c r="K112" s="2" t="n"/>
      <c r="L112" s="2">
        <f>IF(OR(H112="",I112="",J112="",K112=""),"",ROUND(H112*0.25+I112*0.25+J112*0.3+K112*0.2,2))</f>
        <v/>
      </c>
      <c r="M112" s="2">
        <f>IF(L112="","",IF(L112&gt;=4.2,"Сильное преимущество",IF(L112&gt;=3.4,"Потенциальное преимущество",IF(L112&gt;=2.5,"Слабое преимущество","Не считать преимуществом"))))</f>
        <v/>
      </c>
      <c r="N112" s="2" t="n"/>
    </row>
    <row r="113">
      <c r="A113" s="2" t="inlineStr">
        <is>
          <t>A107</t>
        </is>
      </c>
      <c r="B113" s="2" t="n"/>
      <c r="C113" s="2" t="n"/>
      <c r="D113" s="2" t="n"/>
      <c r="E113" s="2" t="n"/>
      <c r="F113" s="2" t="n"/>
      <c r="G113" s="2" t="n"/>
      <c r="H113" s="2" t="n"/>
      <c r="I113" s="2" t="n"/>
      <c r="J113" s="2" t="n"/>
      <c r="K113" s="2" t="n"/>
      <c r="L113" s="2">
        <f>IF(OR(H113="",I113="",J113="",K113=""),"",ROUND(H113*0.25+I113*0.25+J113*0.3+K113*0.2,2))</f>
        <v/>
      </c>
      <c r="M113" s="2">
        <f>IF(L113="","",IF(L113&gt;=4.2,"Сильное преимущество",IF(L113&gt;=3.4,"Потенциальное преимущество",IF(L113&gt;=2.5,"Слабое преимущество","Не считать преимуществом"))))</f>
        <v/>
      </c>
      <c r="N113" s="2" t="n"/>
    </row>
    <row r="114">
      <c r="A114" s="2" t="inlineStr">
        <is>
          <t>A108</t>
        </is>
      </c>
      <c r="B114" s="2" t="n"/>
      <c r="C114" s="2" t="n"/>
      <c r="D114" s="2" t="n"/>
      <c r="E114" s="2" t="n"/>
      <c r="F114" s="2" t="n"/>
      <c r="G114" s="2" t="n"/>
      <c r="H114" s="2" t="n"/>
      <c r="I114" s="2" t="n"/>
      <c r="J114" s="2" t="n"/>
      <c r="K114" s="2" t="n"/>
      <c r="L114" s="2">
        <f>IF(OR(H114="",I114="",J114="",K114=""),"",ROUND(H114*0.25+I114*0.25+J114*0.3+K114*0.2,2))</f>
        <v/>
      </c>
      <c r="M114" s="2">
        <f>IF(L114="","",IF(L114&gt;=4.2,"Сильное преимущество",IF(L114&gt;=3.4,"Потенциальное преимущество",IF(L114&gt;=2.5,"Слабое преимущество","Не считать преимуществом"))))</f>
        <v/>
      </c>
      <c r="N114" s="2" t="n"/>
    </row>
    <row r="115">
      <c r="A115" s="2" t="inlineStr">
        <is>
          <t>A109</t>
        </is>
      </c>
      <c r="B115" s="2" t="n"/>
      <c r="C115" s="2" t="n"/>
      <c r="D115" s="2" t="n"/>
      <c r="E115" s="2" t="n"/>
      <c r="F115" s="2" t="n"/>
      <c r="G115" s="2" t="n"/>
      <c r="H115" s="2" t="n"/>
      <c r="I115" s="2" t="n"/>
      <c r="J115" s="2" t="n"/>
      <c r="K115" s="2" t="n"/>
      <c r="L115" s="2">
        <f>IF(OR(H115="",I115="",J115="",K115=""),"",ROUND(H115*0.25+I115*0.25+J115*0.3+K115*0.2,2))</f>
        <v/>
      </c>
      <c r="M115" s="2">
        <f>IF(L115="","",IF(L115&gt;=4.2,"Сильное преимущество",IF(L115&gt;=3.4,"Потенциальное преимущество",IF(L115&gt;=2.5,"Слабое преимущество","Не считать преимуществом"))))</f>
        <v/>
      </c>
      <c r="N115" s="2" t="n"/>
    </row>
    <row r="116">
      <c r="A116" s="2" t="inlineStr">
        <is>
          <t>A110</t>
        </is>
      </c>
      <c r="B116" s="2" t="n"/>
      <c r="C116" s="2" t="n"/>
      <c r="D116" s="2" t="n"/>
      <c r="E116" s="2" t="n"/>
      <c r="F116" s="2" t="n"/>
      <c r="G116" s="2" t="n"/>
      <c r="H116" s="2" t="n"/>
      <c r="I116" s="2" t="n"/>
      <c r="J116" s="2" t="n"/>
      <c r="K116" s="2" t="n"/>
      <c r="L116" s="2">
        <f>IF(OR(H116="",I116="",J116="",K116=""),"",ROUND(H116*0.25+I116*0.25+J116*0.3+K116*0.2,2))</f>
        <v/>
      </c>
      <c r="M116" s="2">
        <f>IF(L116="","",IF(L116&gt;=4.2,"Сильное преимущество",IF(L116&gt;=3.4,"Потенциальное преимущество",IF(L116&gt;=2.5,"Слабое преимущество","Не считать преимуществом"))))</f>
        <v/>
      </c>
      <c r="N116" s="2" t="n"/>
    </row>
    <row r="117">
      <c r="A117" s="2" t="inlineStr">
        <is>
          <t>A111</t>
        </is>
      </c>
      <c r="B117" s="2" t="n"/>
      <c r="C117" s="2" t="n"/>
      <c r="D117" s="2" t="n"/>
      <c r="E117" s="2" t="n"/>
      <c r="F117" s="2" t="n"/>
      <c r="G117" s="2" t="n"/>
      <c r="H117" s="2" t="n"/>
      <c r="I117" s="2" t="n"/>
      <c r="J117" s="2" t="n"/>
      <c r="K117" s="2" t="n"/>
      <c r="L117" s="2">
        <f>IF(OR(H117="",I117="",J117="",K117=""),"",ROUND(H117*0.25+I117*0.25+J117*0.3+K117*0.2,2))</f>
        <v/>
      </c>
      <c r="M117" s="2">
        <f>IF(L117="","",IF(L117&gt;=4.2,"Сильное преимущество",IF(L117&gt;=3.4,"Потенциальное преимущество",IF(L117&gt;=2.5,"Слабое преимущество","Не считать преимуществом"))))</f>
        <v/>
      </c>
      <c r="N117" s="2" t="n"/>
    </row>
    <row r="118">
      <c r="A118" s="2" t="inlineStr">
        <is>
          <t>A112</t>
        </is>
      </c>
      <c r="B118" s="2" t="n"/>
      <c r="C118" s="2" t="n"/>
      <c r="D118" s="2" t="n"/>
      <c r="E118" s="2" t="n"/>
      <c r="F118" s="2" t="n"/>
      <c r="G118" s="2" t="n"/>
      <c r="H118" s="2" t="n"/>
      <c r="I118" s="2" t="n"/>
      <c r="J118" s="2" t="n"/>
      <c r="K118" s="2" t="n"/>
      <c r="L118" s="2">
        <f>IF(OR(H118="",I118="",J118="",K118=""),"",ROUND(H118*0.25+I118*0.25+J118*0.3+K118*0.2,2))</f>
        <v/>
      </c>
      <c r="M118" s="2">
        <f>IF(L118="","",IF(L118&gt;=4.2,"Сильное преимущество",IF(L118&gt;=3.4,"Потенциальное преимущество",IF(L118&gt;=2.5,"Слабое преимущество","Не считать преимуществом"))))</f>
        <v/>
      </c>
      <c r="N118" s="2" t="n"/>
    </row>
    <row r="119">
      <c r="A119" s="2" t="inlineStr">
        <is>
          <t>A113</t>
        </is>
      </c>
      <c r="B119" s="2" t="n"/>
      <c r="C119" s="2" t="n"/>
      <c r="D119" s="2" t="n"/>
      <c r="E119" s="2" t="n"/>
      <c r="F119" s="2" t="n"/>
      <c r="G119" s="2" t="n"/>
      <c r="H119" s="2" t="n"/>
      <c r="I119" s="2" t="n"/>
      <c r="J119" s="2" t="n"/>
      <c r="K119" s="2" t="n"/>
      <c r="L119" s="2">
        <f>IF(OR(H119="",I119="",J119="",K119=""),"",ROUND(H119*0.25+I119*0.25+J119*0.3+K119*0.2,2))</f>
        <v/>
      </c>
      <c r="M119" s="2">
        <f>IF(L119="","",IF(L119&gt;=4.2,"Сильное преимущество",IF(L119&gt;=3.4,"Потенциальное преимущество",IF(L119&gt;=2.5,"Слабое преимущество","Не считать преимуществом"))))</f>
        <v/>
      </c>
      <c r="N119" s="2" t="n"/>
    </row>
    <row r="120">
      <c r="A120" s="2" t="inlineStr">
        <is>
          <t>A114</t>
        </is>
      </c>
      <c r="B120" s="2" t="n"/>
      <c r="C120" s="2" t="n"/>
      <c r="D120" s="2" t="n"/>
      <c r="E120" s="2" t="n"/>
      <c r="F120" s="2" t="n"/>
      <c r="G120" s="2" t="n"/>
      <c r="H120" s="2" t="n"/>
      <c r="I120" s="2" t="n"/>
      <c r="J120" s="2" t="n"/>
      <c r="K120" s="2" t="n"/>
      <c r="L120" s="2">
        <f>IF(OR(H120="",I120="",J120="",K120=""),"",ROUND(H120*0.25+I120*0.25+J120*0.3+K120*0.2,2))</f>
        <v/>
      </c>
      <c r="M120" s="2">
        <f>IF(L120="","",IF(L120&gt;=4.2,"Сильное преимущество",IF(L120&gt;=3.4,"Потенциальное преимущество",IF(L120&gt;=2.5,"Слабое преимущество","Не считать преимуществом"))))</f>
        <v/>
      </c>
      <c r="N120" s="2" t="n"/>
    </row>
    <row r="121">
      <c r="A121" s="2" t="inlineStr">
        <is>
          <t>A115</t>
        </is>
      </c>
      <c r="B121" s="2" t="n"/>
      <c r="C121" s="2" t="n"/>
      <c r="D121" s="2" t="n"/>
      <c r="E121" s="2" t="n"/>
      <c r="F121" s="2" t="n"/>
      <c r="G121" s="2" t="n"/>
      <c r="H121" s="2" t="n"/>
      <c r="I121" s="2" t="n"/>
      <c r="J121" s="2" t="n"/>
      <c r="K121" s="2" t="n"/>
      <c r="L121" s="2">
        <f>IF(OR(H121="",I121="",J121="",K121=""),"",ROUND(H121*0.25+I121*0.25+J121*0.3+K121*0.2,2))</f>
        <v/>
      </c>
      <c r="M121" s="2">
        <f>IF(L121="","",IF(L121&gt;=4.2,"Сильное преимущество",IF(L121&gt;=3.4,"Потенциальное преимущество",IF(L121&gt;=2.5,"Слабое преимущество","Не считать преимуществом"))))</f>
        <v/>
      </c>
      <c r="N121" s="2" t="n"/>
    </row>
    <row r="122">
      <c r="A122" s="2" t="inlineStr">
        <is>
          <t>A116</t>
        </is>
      </c>
      <c r="B122" s="2" t="n"/>
      <c r="C122" s="2" t="n"/>
      <c r="D122" s="2" t="n"/>
      <c r="E122" s="2" t="n"/>
      <c r="F122" s="2" t="n"/>
      <c r="G122" s="2" t="n"/>
      <c r="H122" s="2" t="n"/>
      <c r="I122" s="2" t="n"/>
      <c r="J122" s="2" t="n"/>
      <c r="K122" s="2" t="n"/>
      <c r="L122" s="2">
        <f>IF(OR(H122="",I122="",J122="",K122=""),"",ROUND(H122*0.25+I122*0.25+J122*0.3+K122*0.2,2))</f>
        <v/>
      </c>
      <c r="M122" s="2">
        <f>IF(L122="","",IF(L122&gt;=4.2,"Сильное преимущество",IF(L122&gt;=3.4,"Потенциальное преимущество",IF(L122&gt;=2.5,"Слабое преимущество","Не считать преимуществом"))))</f>
        <v/>
      </c>
      <c r="N122" s="2" t="n"/>
    </row>
    <row r="123">
      <c r="A123" s="2" t="inlineStr">
        <is>
          <t>A117</t>
        </is>
      </c>
      <c r="B123" s="2" t="n"/>
      <c r="C123" s="2" t="n"/>
      <c r="D123" s="2" t="n"/>
      <c r="E123" s="2" t="n"/>
      <c r="F123" s="2" t="n"/>
      <c r="G123" s="2" t="n"/>
      <c r="H123" s="2" t="n"/>
      <c r="I123" s="2" t="n"/>
      <c r="J123" s="2" t="n"/>
      <c r="K123" s="2" t="n"/>
      <c r="L123" s="2">
        <f>IF(OR(H123="",I123="",J123="",K123=""),"",ROUND(H123*0.25+I123*0.25+J123*0.3+K123*0.2,2))</f>
        <v/>
      </c>
      <c r="M123" s="2">
        <f>IF(L123="","",IF(L123&gt;=4.2,"Сильное преимущество",IF(L123&gt;=3.4,"Потенциальное преимущество",IF(L123&gt;=2.5,"Слабое преимущество","Не считать преимуществом"))))</f>
        <v/>
      </c>
      <c r="N123" s="2" t="n"/>
    </row>
    <row r="124">
      <c r="A124" s="2" t="inlineStr">
        <is>
          <t>A118</t>
        </is>
      </c>
      <c r="B124" s="2" t="n"/>
      <c r="C124" s="2" t="n"/>
      <c r="D124" s="2" t="n"/>
      <c r="E124" s="2" t="n"/>
      <c r="F124" s="2" t="n"/>
      <c r="G124" s="2" t="n"/>
      <c r="H124" s="2" t="n"/>
      <c r="I124" s="2" t="n"/>
      <c r="J124" s="2" t="n"/>
      <c r="K124" s="2" t="n"/>
      <c r="L124" s="2">
        <f>IF(OR(H124="",I124="",J124="",K124=""),"",ROUND(H124*0.25+I124*0.25+J124*0.3+K124*0.2,2))</f>
        <v/>
      </c>
      <c r="M124" s="2">
        <f>IF(L124="","",IF(L124&gt;=4.2,"Сильное преимущество",IF(L124&gt;=3.4,"Потенциальное преимущество",IF(L124&gt;=2.5,"Слабое преимущество","Не считать преимуществом"))))</f>
        <v/>
      </c>
      <c r="N124" s="2" t="n"/>
    </row>
    <row r="125">
      <c r="A125" s="2" t="inlineStr">
        <is>
          <t>A119</t>
        </is>
      </c>
      <c r="B125" s="2" t="n"/>
      <c r="C125" s="2" t="n"/>
      <c r="D125" s="2" t="n"/>
      <c r="E125" s="2" t="n"/>
      <c r="F125" s="2" t="n"/>
      <c r="G125" s="2" t="n"/>
      <c r="H125" s="2" t="n"/>
      <c r="I125" s="2" t="n"/>
      <c r="J125" s="2" t="n"/>
      <c r="K125" s="2" t="n"/>
      <c r="L125" s="2">
        <f>IF(OR(H125="",I125="",J125="",K125=""),"",ROUND(H125*0.25+I125*0.25+J125*0.3+K125*0.2,2))</f>
        <v/>
      </c>
      <c r="M125" s="2">
        <f>IF(L125="","",IF(L125&gt;=4.2,"Сильное преимущество",IF(L125&gt;=3.4,"Потенциальное преимущество",IF(L125&gt;=2.5,"Слабое преимущество","Не считать преимуществом"))))</f>
        <v/>
      </c>
      <c r="N125" s="2" t="n"/>
    </row>
    <row r="126">
      <c r="A126" s="2" t="inlineStr">
        <is>
          <t>A120</t>
        </is>
      </c>
      <c r="B126" s="2" t="n"/>
      <c r="C126" s="2" t="n"/>
      <c r="D126" s="2" t="n"/>
      <c r="E126" s="2" t="n"/>
      <c r="F126" s="2" t="n"/>
      <c r="G126" s="2" t="n"/>
      <c r="H126" s="2" t="n"/>
      <c r="I126" s="2" t="n"/>
      <c r="J126" s="2" t="n"/>
      <c r="K126" s="2" t="n"/>
      <c r="L126" s="2">
        <f>IF(OR(H126="",I126="",J126="",K126=""),"",ROUND(H126*0.25+I126*0.25+J126*0.3+K126*0.2,2))</f>
        <v/>
      </c>
      <c r="M126" s="2">
        <f>IF(L126="","",IF(L126&gt;=4.2,"Сильное преимущество",IF(L126&gt;=3.4,"Потенциальное преимущество",IF(L126&gt;=2.5,"Слабое преимущество","Не считать преимуществом"))))</f>
        <v/>
      </c>
      <c r="N126" s="2" t="n"/>
    </row>
    <row r="127">
      <c r="A127" s="2" t="inlineStr">
        <is>
          <t>A121</t>
        </is>
      </c>
      <c r="B127" s="2" t="n"/>
      <c r="C127" s="2" t="n"/>
      <c r="D127" s="2" t="n"/>
      <c r="E127" s="2" t="n"/>
      <c r="F127" s="2" t="n"/>
      <c r="G127" s="2" t="n"/>
      <c r="H127" s="2" t="n"/>
      <c r="I127" s="2" t="n"/>
      <c r="J127" s="2" t="n"/>
      <c r="K127" s="2" t="n"/>
      <c r="L127" s="2">
        <f>IF(OR(H127="",I127="",J127="",K127=""),"",ROUND(H127*0.25+I127*0.25+J127*0.3+K127*0.2,2))</f>
        <v/>
      </c>
      <c r="M127" s="2">
        <f>IF(L127="","",IF(L127&gt;=4.2,"Сильное преимущество",IF(L127&gt;=3.4,"Потенциальное преимущество",IF(L127&gt;=2.5,"Слабое преимущество","Не считать преимуществом"))))</f>
        <v/>
      </c>
      <c r="N127" s="2" t="n"/>
    </row>
    <row r="128">
      <c r="A128" s="2" t="inlineStr">
        <is>
          <t>A122</t>
        </is>
      </c>
      <c r="B128" s="2" t="n"/>
      <c r="C128" s="2" t="n"/>
      <c r="D128" s="2" t="n"/>
      <c r="E128" s="2" t="n"/>
      <c r="F128" s="2" t="n"/>
      <c r="G128" s="2" t="n"/>
      <c r="H128" s="2" t="n"/>
      <c r="I128" s="2" t="n"/>
      <c r="J128" s="2" t="n"/>
      <c r="K128" s="2" t="n"/>
      <c r="L128" s="2">
        <f>IF(OR(H128="",I128="",J128="",K128=""),"",ROUND(H128*0.25+I128*0.25+J128*0.3+K128*0.2,2))</f>
        <v/>
      </c>
      <c r="M128" s="2">
        <f>IF(L128="","",IF(L128&gt;=4.2,"Сильное преимущество",IF(L128&gt;=3.4,"Потенциальное преимущество",IF(L128&gt;=2.5,"Слабое преимущество","Не считать преимуществом"))))</f>
        <v/>
      </c>
      <c r="N128" s="2" t="n"/>
    </row>
    <row r="129">
      <c r="A129" s="2" t="inlineStr">
        <is>
          <t>A123</t>
        </is>
      </c>
      <c r="B129" s="2" t="n"/>
      <c r="C129" s="2" t="n"/>
      <c r="D129" s="2" t="n"/>
      <c r="E129" s="2" t="n"/>
      <c r="F129" s="2" t="n"/>
      <c r="G129" s="2" t="n"/>
      <c r="H129" s="2" t="n"/>
      <c r="I129" s="2" t="n"/>
      <c r="J129" s="2" t="n"/>
      <c r="K129" s="2" t="n"/>
      <c r="L129" s="2">
        <f>IF(OR(H129="",I129="",J129="",K129=""),"",ROUND(H129*0.25+I129*0.25+J129*0.3+K129*0.2,2))</f>
        <v/>
      </c>
      <c r="M129" s="2">
        <f>IF(L129="","",IF(L129&gt;=4.2,"Сильное преимущество",IF(L129&gt;=3.4,"Потенциальное преимущество",IF(L129&gt;=2.5,"Слабое преимущество","Не считать преимуществом"))))</f>
        <v/>
      </c>
      <c r="N129" s="2" t="n"/>
    </row>
    <row r="130">
      <c r="A130" s="2" t="inlineStr">
        <is>
          <t>A124</t>
        </is>
      </c>
      <c r="B130" s="2" t="n"/>
      <c r="C130" s="2" t="n"/>
      <c r="D130" s="2" t="n"/>
      <c r="E130" s="2" t="n"/>
      <c r="F130" s="2" t="n"/>
      <c r="G130" s="2" t="n"/>
      <c r="H130" s="2" t="n"/>
      <c r="I130" s="2" t="n"/>
      <c r="J130" s="2" t="n"/>
      <c r="K130" s="2" t="n"/>
      <c r="L130" s="2">
        <f>IF(OR(H130="",I130="",J130="",K130=""),"",ROUND(H130*0.25+I130*0.25+J130*0.3+K130*0.2,2))</f>
        <v/>
      </c>
      <c r="M130" s="2">
        <f>IF(L130="","",IF(L130&gt;=4.2,"Сильное преимущество",IF(L130&gt;=3.4,"Потенциальное преимущество",IF(L130&gt;=2.5,"Слабое преимущество","Не считать преимуществом"))))</f>
        <v/>
      </c>
      <c r="N130" s="2" t="n"/>
    </row>
    <row r="131">
      <c r="A131" s="2" t="inlineStr">
        <is>
          <t>A125</t>
        </is>
      </c>
      <c r="B131" s="2" t="n"/>
      <c r="C131" s="2" t="n"/>
      <c r="D131" s="2" t="n"/>
      <c r="E131" s="2" t="n"/>
      <c r="F131" s="2" t="n"/>
      <c r="G131" s="2" t="n"/>
      <c r="H131" s="2" t="n"/>
      <c r="I131" s="2" t="n"/>
      <c r="J131" s="2" t="n"/>
      <c r="K131" s="2" t="n"/>
      <c r="L131" s="2">
        <f>IF(OR(H131="",I131="",J131="",K131=""),"",ROUND(H131*0.25+I131*0.25+J131*0.3+K131*0.2,2))</f>
        <v/>
      </c>
      <c r="M131" s="2">
        <f>IF(L131="","",IF(L131&gt;=4.2,"Сильное преимущество",IF(L131&gt;=3.4,"Потенциальное преимущество",IF(L131&gt;=2.5,"Слабое преимущество","Не считать преимуществом"))))</f>
        <v/>
      </c>
      <c r="N131" s="2" t="n"/>
    </row>
    <row r="132">
      <c r="A132" s="2" t="inlineStr">
        <is>
          <t>A126</t>
        </is>
      </c>
      <c r="B132" s="2" t="n"/>
      <c r="C132" s="2" t="n"/>
      <c r="D132" s="2" t="n"/>
      <c r="E132" s="2" t="n"/>
      <c r="F132" s="2" t="n"/>
      <c r="G132" s="2" t="n"/>
      <c r="H132" s="2" t="n"/>
      <c r="I132" s="2" t="n"/>
      <c r="J132" s="2" t="n"/>
      <c r="K132" s="2" t="n"/>
      <c r="L132" s="2">
        <f>IF(OR(H132="",I132="",J132="",K132=""),"",ROUND(H132*0.25+I132*0.25+J132*0.3+K132*0.2,2))</f>
        <v/>
      </c>
      <c r="M132" s="2">
        <f>IF(L132="","",IF(L132&gt;=4.2,"Сильное преимущество",IF(L132&gt;=3.4,"Потенциальное преимущество",IF(L132&gt;=2.5,"Слабое преимущество","Не считать преимуществом"))))</f>
        <v/>
      </c>
      <c r="N132" s="2" t="n"/>
    </row>
    <row r="133">
      <c r="A133" s="2" t="inlineStr">
        <is>
          <t>A127</t>
        </is>
      </c>
      <c r="B133" s="2" t="n"/>
      <c r="C133" s="2" t="n"/>
      <c r="D133" s="2" t="n"/>
      <c r="E133" s="2" t="n"/>
      <c r="F133" s="2" t="n"/>
      <c r="G133" s="2" t="n"/>
      <c r="H133" s="2" t="n"/>
      <c r="I133" s="2" t="n"/>
      <c r="J133" s="2" t="n"/>
      <c r="K133" s="2" t="n"/>
      <c r="L133" s="2">
        <f>IF(OR(H133="",I133="",J133="",K133=""),"",ROUND(H133*0.25+I133*0.25+J133*0.3+K133*0.2,2))</f>
        <v/>
      </c>
      <c r="M133" s="2">
        <f>IF(L133="","",IF(L133&gt;=4.2,"Сильное преимущество",IF(L133&gt;=3.4,"Потенциальное преимущество",IF(L133&gt;=2.5,"Слабое преимущество","Не считать преимуществом"))))</f>
        <v/>
      </c>
      <c r="N133" s="2" t="n"/>
    </row>
    <row r="134">
      <c r="A134" s="2" t="inlineStr">
        <is>
          <t>A128</t>
        </is>
      </c>
      <c r="B134" s="2" t="n"/>
      <c r="C134" s="2" t="n"/>
      <c r="D134" s="2" t="n"/>
      <c r="E134" s="2" t="n"/>
      <c r="F134" s="2" t="n"/>
      <c r="G134" s="2" t="n"/>
      <c r="H134" s="2" t="n"/>
      <c r="I134" s="2" t="n"/>
      <c r="J134" s="2" t="n"/>
      <c r="K134" s="2" t="n"/>
      <c r="L134" s="2">
        <f>IF(OR(H134="",I134="",J134="",K134=""),"",ROUND(H134*0.25+I134*0.25+J134*0.3+K134*0.2,2))</f>
        <v/>
      </c>
      <c r="M134" s="2">
        <f>IF(L134="","",IF(L134&gt;=4.2,"Сильное преимущество",IF(L134&gt;=3.4,"Потенциальное преимущество",IF(L134&gt;=2.5,"Слабое преимущество","Не считать преимуществом"))))</f>
        <v/>
      </c>
      <c r="N134" s="2" t="n"/>
    </row>
    <row r="135">
      <c r="A135" s="2" t="inlineStr">
        <is>
          <t>A129</t>
        </is>
      </c>
      <c r="B135" s="2" t="n"/>
      <c r="C135" s="2" t="n"/>
      <c r="D135" s="2" t="n"/>
      <c r="E135" s="2" t="n"/>
      <c r="F135" s="2" t="n"/>
      <c r="G135" s="2" t="n"/>
      <c r="H135" s="2" t="n"/>
      <c r="I135" s="2" t="n"/>
      <c r="J135" s="2" t="n"/>
      <c r="K135" s="2" t="n"/>
      <c r="L135" s="2">
        <f>IF(OR(H135="",I135="",J135="",K135=""),"",ROUND(H135*0.25+I135*0.25+J135*0.3+K135*0.2,2))</f>
        <v/>
      </c>
      <c r="M135" s="2">
        <f>IF(L135="","",IF(L135&gt;=4.2,"Сильное преимущество",IF(L135&gt;=3.4,"Потенциальное преимущество",IF(L135&gt;=2.5,"Слабое преимущество","Не считать преимуществом"))))</f>
        <v/>
      </c>
      <c r="N135" s="2" t="n"/>
    </row>
    <row r="136">
      <c r="A136" s="2" t="inlineStr">
        <is>
          <t>A130</t>
        </is>
      </c>
      <c r="B136" s="2" t="n"/>
      <c r="C136" s="2" t="n"/>
      <c r="D136" s="2" t="n"/>
      <c r="E136" s="2" t="n"/>
      <c r="F136" s="2" t="n"/>
      <c r="G136" s="2" t="n"/>
      <c r="H136" s="2" t="n"/>
      <c r="I136" s="2" t="n"/>
      <c r="J136" s="2" t="n"/>
      <c r="K136" s="2" t="n"/>
      <c r="L136" s="2">
        <f>IF(OR(H136="",I136="",J136="",K136=""),"",ROUND(H136*0.25+I136*0.25+J136*0.3+K136*0.2,2))</f>
        <v/>
      </c>
      <c r="M136" s="2">
        <f>IF(L136="","",IF(L136&gt;=4.2,"Сильное преимущество",IF(L136&gt;=3.4,"Потенциальное преимущество",IF(L136&gt;=2.5,"Слабое преимущество","Не считать преимуществом"))))</f>
        <v/>
      </c>
      <c r="N136" s="2" t="n"/>
    </row>
    <row r="137">
      <c r="A137" s="2" t="inlineStr">
        <is>
          <t>A131</t>
        </is>
      </c>
      <c r="B137" s="2" t="n"/>
      <c r="C137" s="2" t="n"/>
      <c r="D137" s="2" t="n"/>
      <c r="E137" s="2" t="n"/>
      <c r="F137" s="2" t="n"/>
      <c r="G137" s="2" t="n"/>
      <c r="H137" s="2" t="n"/>
      <c r="I137" s="2" t="n"/>
      <c r="J137" s="2" t="n"/>
      <c r="K137" s="2" t="n"/>
      <c r="L137" s="2">
        <f>IF(OR(H137="",I137="",J137="",K137=""),"",ROUND(H137*0.25+I137*0.25+J137*0.3+K137*0.2,2))</f>
        <v/>
      </c>
      <c r="M137" s="2">
        <f>IF(L137="","",IF(L137&gt;=4.2,"Сильное преимущество",IF(L137&gt;=3.4,"Потенциальное преимущество",IF(L137&gt;=2.5,"Слабое преимущество","Не считать преимуществом"))))</f>
        <v/>
      </c>
      <c r="N137" s="2" t="n"/>
    </row>
    <row r="138">
      <c r="A138" s="2" t="inlineStr">
        <is>
          <t>A132</t>
        </is>
      </c>
      <c r="B138" s="2" t="n"/>
      <c r="C138" s="2" t="n"/>
      <c r="D138" s="2" t="n"/>
      <c r="E138" s="2" t="n"/>
      <c r="F138" s="2" t="n"/>
      <c r="G138" s="2" t="n"/>
      <c r="H138" s="2" t="n"/>
      <c r="I138" s="2" t="n"/>
      <c r="J138" s="2" t="n"/>
      <c r="K138" s="2" t="n"/>
      <c r="L138" s="2">
        <f>IF(OR(H138="",I138="",J138="",K138=""),"",ROUND(H138*0.25+I138*0.25+J138*0.3+K138*0.2,2))</f>
        <v/>
      </c>
      <c r="M138" s="2">
        <f>IF(L138="","",IF(L138&gt;=4.2,"Сильное преимущество",IF(L138&gt;=3.4,"Потенциальное преимущество",IF(L138&gt;=2.5,"Слабое преимущество","Не считать преимуществом"))))</f>
        <v/>
      </c>
      <c r="N138" s="2" t="n"/>
    </row>
    <row r="139">
      <c r="A139" s="2" t="inlineStr">
        <is>
          <t>A133</t>
        </is>
      </c>
      <c r="B139" s="2" t="n"/>
      <c r="C139" s="2" t="n"/>
      <c r="D139" s="2" t="n"/>
      <c r="E139" s="2" t="n"/>
      <c r="F139" s="2" t="n"/>
      <c r="G139" s="2" t="n"/>
      <c r="H139" s="2" t="n"/>
      <c r="I139" s="2" t="n"/>
      <c r="J139" s="2" t="n"/>
      <c r="K139" s="2" t="n"/>
      <c r="L139" s="2">
        <f>IF(OR(H139="",I139="",J139="",K139=""),"",ROUND(H139*0.25+I139*0.25+J139*0.3+K139*0.2,2))</f>
        <v/>
      </c>
      <c r="M139" s="2">
        <f>IF(L139="","",IF(L139&gt;=4.2,"Сильное преимущество",IF(L139&gt;=3.4,"Потенциальное преимущество",IF(L139&gt;=2.5,"Слабое преимущество","Не считать преимуществом"))))</f>
        <v/>
      </c>
      <c r="N139" s="2" t="n"/>
    </row>
    <row r="140">
      <c r="A140" s="2" t="inlineStr">
        <is>
          <t>A134</t>
        </is>
      </c>
      <c r="B140" s="2" t="n"/>
      <c r="C140" s="2" t="n"/>
      <c r="D140" s="2" t="n"/>
      <c r="E140" s="2" t="n"/>
      <c r="F140" s="2" t="n"/>
      <c r="G140" s="2" t="n"/>
      <c r="H140" s="2" t="n"/>
      <c r="I140" s="2" t="n"/>
      <c r="J140" s="2" t="n"/>
      <c r="K140" s="2" t="n"/>
      <c r="L140" s="2">
        <f>IF(OR(H140="",I140="",J140="",K140=""),"",ROUND(H140*0.25+I140*0.25+J140*0.3+K140*0.2,2))</f>
        <v/>
      </c>
      <c r="M140" s="2">
        <f>IF(L140="","",IF(L140&gt;=4.2,"Сильное преимущество",IF(L140&gt;=3.4,"Потенциальное преимущество",IF(L140&gt;=2.5,"Слабое преимущество","Не считать преимуществом"))))</f>
        <v/>
      </c>
      <c r="N140" s="2" t="n"/>
    </row>
    <row r="141">
      <c r="A141" s="2" t="inlineStr">
        <is>
          <t>A135</t>
        </is>
      </c>
      <c r="B141" s="2" t="n"/>
      <c r="C141" s="2" t="n"/>
      <c r="D141" s="2" t="n"/>
      <c r="E141" s="2" t="n"/>
      <c r="F141" s="2" t="n"/>
      <c r="G141" s="2" t="n"/>
      <c r="H141" s="2" t="n"/>
      <c r="I141" s="2" t="n"/>
      <c r="J141" s="2" t="n"/>
      <c r="K141" s="2" t="n"/>
      <c r="L141" s="2">
        <f>IF(OR(H141="",I141="",J141="",K141=""),"",ROUND(H141*0.25+I141*0.25+J141*0.3+K141*0.2,2))</f>
        <v/>
      </c>
      <c r="M141" s="2">
        <f>IF(L141="","",IF(L141&gt;=4.2,"Сильное преимущество",IF(L141&gt;=3.4,"Потенциальное преимущество",IF(L141&gt;=2.5,"Слабое преимущество","Не считать преимуществом"))))</f>
        <v/>
      </c>
      <c r="N141" s="2" t="n"/>
    </row>
    <row r="142">
      <c r="A142" s="2" t="inlineStr">
        <is>
          <t>A136</t>
        </is>
      </c>
      <c r="B142" s="2" t="n"/>
      <c r="C142" s="2" t="n"/>
      <c r="D142" s="2" t="n"/>
      <c r="E142" s="2" t="n"/>
      <c r="F142" s="2" t="n"/>
      <c r="G142" s="2" t="n"/>
      <c r="H142" s="2" t="n"/>
      <c r="I142" s="2" t="n"/>
      <c r="J142" s="2" t="n"/>
      <c r="K142" s="2" t="n"/>
      <c r="L142" s="2">
        <f>IF(OR(H142="",I142="",J142="",K142=""),"",ROUND(H142*0.25+I142*0.25+J142*0.3+K142*0.2,2))</f>
        <v/>
      </c>
      <c r="M142" s="2">
        <f>IF(L142="","",IF(L142&gt;=4.2,"Сильное преимущество",IF(L142&gt;=3.4,"Потенциальное преимущество",IF(L142&gt;=2.5,"Слабое преимущество","Не считать преимуществом"))))</f>
        <v/>
      </c>
      <c r="N142" s="2" t="n"/>
    </row>
    <row r="143">
      <c r="A143" s="2" t="inlineStr">
        <is>
          <t>A137</t>
        </is>
      </c>
      <c r="B143" s="2" t="n"/>
      <c r="C143" s="2" t="n"/>
      <c r="D143" s="2" t="n"/>
      <c r="E143" s="2" t="n"/>
      <c r="F143" s="2" t="n"/>
      <c r="G143" s="2" t="n"/>
      <c r="H143" s="2" t="n"/>
      <c r="I143" s="2" t="n"/>
      <c r="J143" s="2" t="n"/>
      <c r="K143" s="2" t="n"/>
      <c r="L143" s="2">
        <f>IF(OR(H143="",I143="",J143="",K143=""),"",ROUND(H143*0.25+I143*0.25+J143*0.3+K143*0.2,2))</f>
        <v/>
      </c>
      <c r="M143" s="2">
        <f>IF(L143="","",IF(L143&gt;=4.2,"Сильное преимущество",IF(L143&gt;=3.4,"Потенциальное преимущество",IF(L143&gt;=2.5,"Слабое преимущество","Не считать преимуществом"))))</f>
        <v/>
      </c>
      <c r="N143" s="2" t="n"/>
    </row>
    <row r="144">
      <c r="A144" s="2" t="inlineStr">
        <is>
          <t>A138</t>
        </is>
      </c>
      <c r="B144" s="2" t="n"/>
      <c r="C144" s="2" t="n"/>
      <c r="D144" s="2" t="n"/>
      <c r="E144" s="2" t="n"/>
      <c r="F144" s="2" t="n"/>
      <c r="G144" s="2" t="n"/>
      <c r="H144" s="2" t="n"/>
      <c r="I144" s="2" t="n"/>
      <c r="J144" s="2" t="n"/>
      <c r="K144" s="2" t="n"/>
      <c r="L144" s="2">
        <f>IF(OR(H144="",I144="",J144="",K144=""),"",ROUND(H144*0.25+I144*0.25+J144*0.3+K144*0.2,2))</f>
        <v/>
      </c>
      <c r="M144" s="2">
        <f>IF(L144="","",IF(L144&gt;=4.2,"Сильное преимущество",IF(L144&gt;=3.4,"Потенциальное преимущество",IF(L144&gt;=2.5,"Слабое преимущество","Не считать преимуществом"))))</f>
        <v/>
      </c>
      <c r="N144" s="2" t="n"/>
    </row>
    <row r="145">
      <c r="A145" s="2" t="inlineStr">
        <is>
          <t>A139</t>
        </is>
      </c>
      <c r="B145" s="2" t="n"/>
      <c r="C145" s="2" t="n"/>
      <c r="D145" s="2" t="n"/>
      <c r="E145" s="2" t="n"/>
      <c r="F145" s="2" t="n"/>
      <c r="G145" s="2" t="n"/>
      <c r="H145" s="2" t="n"/>
      <c r="I145" s="2" t="n"/>
      <c r="J145" s="2" t="n"/>
      <c r="K145" s="2" t="n"/>
      <c r="L145" s="2">
        <f>IF(OR(H145="",I145="",J145="",K145=""),"",ROUND(H145*0.25+I145*0.25+J145*0.3+K145*0.2,2))</f>
        <v/>
      </c>
      <c r="M145" s="2">
        <f>IF(L145="","",IF(L145&gt;=4.2,"Сильное преимущество",IF(L145&gt;=3.4,"Потенциальное преимущество",IF(L145&gt;=2.5,"Слабое преимущество","Не считать преимуществом"))))</f>
        <v/>
      </c>
      <c r="N145" s="2" t="n"/>
    </row>
    <row r="146">
      <c r="A146" s="2" t="inlineStr">
        <is>
          <t>A140</t>
        </is>
      </c>
      <c r="B146" s="2" t="n"/>
      <c r="C146" s="2" t="n"/>
      <c r="D146" s="2" t="n"/>
      <c r="E146" s="2" t="n"/>
      <c r="F146" s="2" t="n"/>
      <c r="G146" s="2" t="n"/>
      <c r="H146" s="2" t="n"/>
      <c r="I146" s="2" t="n"/>
      <c r="J146" s="2" t="n"/>
      <c r="K146" s="2" t="n"/>
      <c r="L146" s="2">
        <f>IF(OR(H146="",I146="",J146="",K146=""),"",ROUND(H146*0.25+I146*0.25+J146*0.3+K146*0.2,2))</f>
        <v/>
      </c>
      <c r="M146" s="2">
        <f>IF(L146="","",IF(L146&gt;=4.2,"Сильное преимущество",IF(L146&gt;=3.4,"Потенциальное преимущество",IF(L146&gt;=2.5,"Слабое преимущество","Не считать преимуществом"))))</f>
        <v/>
      </c>
      <c r="N146" s="2" t="n"/>
    </row>
    <row r="147">
      <c r="A147" s="2" t="inlineStr">
        <is>
          <t>A141</t>
        </is>
      </c>
      <c r="B147" s="2" t="n"/>
      <c r="C147" s="2" t="n"/>
      <c r="D147" s="2" t="n"/>
      <c r="E147" s="2" t="n"/>
      <c r="F147" s="2" t="n"/>
      <c r="G147" s="2" t="n"/>
      <c r="H147" s="2" t="n"/>
      <c r="I147" s="2" t="n"/>
      <c r="J147" s="2" t="n"/>
      <c r="K147" s="2" t="n"/>
      <c r="L147" s="2">
        <f>IF(OR(H147="",I147="",J147="",K147=""),"",ROUND(H147*0.25+I147*0.25+J147*0.3+K147*0.2,2))</f>
        <v/>
      </c>
      <c r="M147" s="2">
        <f>IF(L147="","",IF(L147&gt;=4.2,"Сильное преимущество",IF(L147&gt;=3.4,"Потенциальное преимущество",IF(L147&gt;=2.5,"Слабое преимущество","Не считать преимуществом"))))</f>
        <v/>
      </c>
      <c r="N147" s="2" t="n"/>
    </row>
    <row r="148">
      <c r="A148" s="2" t="inlineStr">
        <is>
          <t>A142</t>
        </is>
      </c>
      <c r="B148" s="2" t="n"/>
      <c r="C148" s="2" t="n"/>
      <c r="D148" s="2" t="n"/>
      <c r="E148" s="2" t="n"/>
      <c r="F148" s="2" t="n"/>
      <c r="G148" s="2" t="n"/>
      <c r="H148" s="2" t="n"/>
      <c r="I148" s="2" t="n"/>
      <c r="J148" s="2" t="n"/>
      <c r="K148" s="2" t="n"/>
      <c r="L148" s="2">
        <f>IF(OR(H148="",I148="",J148="",K148=""),"",ROUND(H148*0.25+I148*0.25+J148*0.3+K148*0.2,2))</f>
        <v/>
      </c>
      <c r="M148" s="2">
        <f>IF(L148="","",IF(L148&gt;=4.2,"Сильное преимущество",IF(L148&gt;=3.4,"Потенциальное преимущество",IF(L148&gt;=2.5,"Слабое преимущество","Не считать преимуществом"))))</f>
        <v/>
      </c>
      <c r="N148" s="2" t="n"/>
    </row>
    <row r="149">
      <c r="A149" s="2" t="inlineStr">
        <is>
          <t>A143</t>
        </is>
      </c>
      <c r="B149" s="2" t="n"/>
      <c r="C149" s="2" t="n"/>
      <c r="D149" s="2" t="n"/>
      <c r="E149" s="2" t="n"/>
      <c r="F149" s="2" t="n"/>
      <c r="G149" s="2" t="n"/>
      <c r="H149" s="2" t="n"/>
      <c r="I149" s="2" t="n"/>
      <c r="J149" s="2" t="n"/>
      <c r="K149" s="2" t="n"/>
      <c r="L149" s="2">
        <f>IF(OR(H149="",I149="",J149="",K149=""),"",ROUND(H149*0.25+I149*0.25+J149*0.3+K149*0.2,2))</f>
        <v/>
      </c>
      <c r="M149" s="2">
        <f>IF(L149="","",IF(L149&gt;=4.2,"Сильное преимущество",IF(L149&gt;=3.4,"Потенциальное преимущество",IF(L149&gt;=2.5,"Слабое преимущество","Не считать преимуществом"))))</f>
        <v/>
      </c>
      <c r="N149" s="2" t="n"/>
    </row>
    <row r="150">
      <c r="A150" s="2" t="inlineStr">
        <is>
          <t>A144</t>
        </is>
      </c>
      <c r="B150" s="2" t="n"/>
      <c r="C150" s="2" t="n"/>
      <c r="D150" s="2" t="n"/>
      <c r="E150" s="2" t="n"/>
      <c r="F150" s="2" t="n"/>
      <c r="G150" s="2" t="n"/>
      <c r="H150" s="2" t="n"/>
      <c r="I150" s="2" t="n"/>
      <c r="J150" s="2" t="n"/>
      <c r="K150" s="2" t="n"/>
      <c r="L150" s="2">
        <f>IF(OR(H150="",I150="",J150="",K150=""),"",ROUND(H150*0.25+I150*0.25+J150*0.3+K150*0.2,2))</f>
        <v/>
      </c>
      <c r="M150" s="2">
        <f>IF(L150="","",IF(L150&gt;=4.2,"Сильное преимущество",IF(L150&gt;=3.4,"Потенциальное преимущество",IF(L150&gt;=2.5,"Слабое преимущество","Не считать преимуществом"))))</f>
        <v/>
      </c>
      <c r="N150" s="2" t="n"/>
    </row>
    <row r="151">
      <c r="A151" s="2" t="inlineStr">
        <is>
          <t>A145</t>
        </is>
      </c>
      <c r="B151" s="2" t="n"/>
      <c r="C151" s="2" t="n"/>
      <c r="D151" s="2" t="n"/>
      <c r="E151" s="2" t="n"/>
      <c r="F151" s="2" t="n"/>
      <c r="G151" s="2" t="n"/>
      <c r="H151" s="2" t="n"/>
      <c r="I151" s="2" t="n"/>
      <c r="J151" s="2" t="n"/>
      <c r="K151" s="2" t="n"/>
      <c r="L151" s="2">
        <f>IF(OR(H151="",I151="",J151="",K151=""),"",ROUND(H151*0.25+I151*0.25+J151*0.3+K151*0.2,2))</f>
        <v/>
      </c>
      <c r="M151" s="2">
        <f>IF(L151="","",IF(L151&gt;=4.2,"Сильное преимущество",IF(L151&gt;=3.4,"Потенциальное преимущество",IF(L151&gt;=2.5,"Слабое преимущество","Не считать преимуществом"))))</f>
        <v/>
      </c>
      <c r="N151" s="2" t="n"/>
    </row>
    <row r="152">
      <c r="A152" s="2" t="inlineStr">
        <is>
          <t>A146</t>
        </is>
      </c>
      <c r="B152" s="2" t="n"/>
      <c r="C152" s="2" t="n"/>
      <c r="D152" s="2" t="n"/>
      <c r="E152" s="2" t="n"/>
      <c r="F152" s="2" t="n"/>
      <c r="G152" s="2" t="n"/>
      <c r="H152" s="2" t="n"/>
      <c r="I152" s="2" t="n"/>
      <c r="J152" s="2" t="n"/>
      <c r="K152" s="2" t="n"/>
      <c r="L152" s="2">
        <f>IF(OR(H152="",I152="",J152="",K152=""),"",ROUND(H152*0.25+I152*0.25+J152*0.3+K152*0.2,2))</f>
        <v/>
      </c>
      <c r="M152" s="2">
        <f>IF(L152="","",IF(L152&gt;=4.2,"Сильное преимущество",IF(L152&gt;=3.4,"Потенциальное преимущество",IF(L152&gt;=2.5,"Слабое преимущество","Не считать преимуществом"))))</f>
        <v/>
      </c>
      <c r="N152" s="2" t="n"/>
    </row>
    <row r="153">
      <c r="A153" s="2" t="inlineStr">
        <is>
          <t>A147</t>
        </is>
      </c>
      <c r="B153" s="2" t="n"/>
      <c r="C153" s="2" t="n"/>
      <c r="D153" s="2" t="n"/>
      <c r="E153" s="2" t="n"/>
      <c r="F153" s="2" t="n"/>
      <c r="G153" s="2" t="n"/>
      <c r="H153" s="2" t="n"/>
      <c r="I153" s="2" t="n"/>
      <c r="J153" s="2" t="n"/>
      <c r="K153" s="2" t="n"/>
      <c r="L153" s="2">
        <f>IF(OR(H153="",I153="",J153="",K153=""),"",ROUND(H153*0.25+I153*0.25+J153*0.3+K153*0.2,2))</f>
        <v/>
      </c>
      <c r="M153" s="2">
        <f>IF(L153="","",IF(L153&gt;=4.2,"Сильное преимущество",IF(L153&gt;=3.4,"Потенциальное преимущество",IF(L153&gt;=2.5,"Слабое преимущество","Не считать преимуществом"))))</f>
        <v/>
      </c>
      <c r="N153" s="2" t="n"/>
    </row>
    <row r="154">
      <c r="A154" s="2" t="inlineStr">
        <is>
          <t>A148</t>
        </is>
      </c>
      <c r="B154" s="2" t="n"/>
      <c r="C154" s="2" t="n"/>
      <c r="D154" s="2" t="n"/>
      <c r="E154" s="2" t="n"/>
      <c r="F154" s="2" t="n"/>
      <c r="G154" s="2" t="n"/>
      <c r="H154" s="2" t="n"/>
      <c r="I154" s="2" t="n"/>
      <c r="J154" s="2" t="n"/>
      <c r="K154" s="2" t="n"/>
      <c r="L154" s="2">
        <f>IF(OR(H154="",I154="",J154="",K154=""),"",ROUND(H154*0.25+I154*0.25+J154*0.3+K154*0.2,2))</f>
        <v/>
      </c>
      <c r="M154" s="2">
        <f>IF(L154="","",IF(L154&gt;=4.2,"Сильное преимущество",IF(L154&gt;=3.4,"Потенциальное преимущество",IF(L154&gt;=2.5,"Слабое преимущество","Не считать преимуществом"))))</f>
        <v/>
      </c>
      <c r="N154" s="2" t="n"/>
    </row>
    <row r="155">
      <c r="A155" s="2" t="inlineStr">
        <is>
          <t>A149</t>
        </is>
      </c>
      <c r="B155" s="2" t="n"/>
      <c r="C155" s="2" t="n"/>
      <c r="D155" s="2" t="n"/>
      <c r="E155" s="2" t="n"/>
      <c r="F155" s="2" t="n"/>
      <c r="G155" s="2" t="n"/>
      <c r="H155" s="2" t="n"/>
      <c r="I155" s="2" t="n"/>
      <c r="J155" s="2" t="n"/>
      <c r="K155" s="2" t="n"/>
      <c r="L155" s="2">
        <f>IF(OR(H155="",I155="",J155="",K155=""),"",ROUND(H155*0.25+I155*0.25+J155*0.3+K155*0.2,2))</f>
        <v/>
      </c>
      <c r="M155" s="2">
        <f>IF(L155="","",IF(L155&gt;=4.2,"Сильное преимущество",IF(L155&gt;=3.4,"Потенциальное преимущество",IF(L155&gt;=2.5,"Слабое преимущество","Не считать преимуществом"))))</f>
        <v/>
      </c>
      <c r="N155" s="2" t="n"/>
    </row>
    <row r="156">
      <c r="A156" s="2" t="inlineStr">
        <is>
          <t>A150</t>
        </is>
      </c>
      <c r="B156" s="2" t="n"/>
      <c r="C156" s="2" t="n"/>
      <c r="D156" s="2" t="n"/>
      <c r="E156" s="2" t="n"/>
      <c r="F156" s="2" t="n"/>
      <c r="G156" s="2" t="n"/>
      <c r="H156" s="2" t="n"/>
      <c r="I156" s="2" t="n"/>
      <c r="J156" s="2" t="n"/>
      <c r="K156" s="2" t="n"/>
      <c r="L156" s="2">
        <f>IF(OR(H156="",I156="",J156="",K156=""),"",ROUND(H156*0.25+I156*0.25+J156*0.3+K156*0.2,2))</f>
        <v/>
      </c>
      <c r="M156" s="2">
        <f>IF(L156="","",IF(L156&gt;=4.2,"Сильное преимущество",IF(L156&gt;=3.4,"Потенциальное преимущество",IF(L156&gt;=2.5,"Слабое преимущество","Не считать преимуществом"))))</f>
        <v/>
      </c>
      <c r="N156" s="2" t="n"/>
    </row>
    <row r="157">
      <c r="A157" s="2" t="inlineStr">
        <is>
          <t>A151</t>
        </is>
      </c>
      <c r="B157" s="2" t="n"/>
      <c r="C157" s="2" t="n"/>
      <c r="D157" s="2" t="n"/>
      <c r="E157" s="2" t="n"/>
      <c r="F157" s="2" t="n"/>
      <c r="G157" s="2" t="n"/>
      <c r="H157" s="2" t="n"/>
      <c r="I157" s="2" t="n"/>
      <c r="J157" s="2" t="n"/>
      <c r="K157" s="2" t="n"/>
      <c r="L157" s="2">
        <f>IF(OR(H157="",I157="",J157="",K157=""),"",ROUND(H157*0.25+I157*0.25+J157*0.3+K157*0.2,2))</f>
        <v/>
      </c>
      <c r="M157" s="2">
        <f>IF(L157="","",IF(L157&gt;=4.2,"Сильное преимущество",IF(L157&gt;=3.4,"Потенциальное преимущество",IF(L157&gt;=2.5,"Слабое преимущество","Не считать преимуществом"))))</f>
        <v/>
      </c>
      <c r="N157" s="2" t="n"/>
    </row>
    <row r="158">
      <c r="A158" s="2" t="inlineStr">
        <is>
          <t>A152</t>
        </is>
      </c>
      <c r="B158" s="2" t="n"/>
      <c r="C158" s="2" t="n"/>
      <c r="D158" s="2" t="n"/>
      <c r="E158" s="2" t="n"/>
      <c r="F158" s="2" t="n"/>
      <c r="G158" s="2" t="n"/>
      <c r="H158" s="2" t="n"/>
      <c r="I158" s="2" t="n"/>
      <c r="J158" s="2" t="n"/>
      <c r="K158" s="2" t="n"/>
      <c r="L158" s="2">
        <f>IF(OR(H158="",I158="",J158="",K158=""),"",ROUND(H158*0.25+I158*0.25+J158*0.3+K158*0.2,2))</f>
        <v/>
      </c>
      <c r="M158" s="2">
        <f>IF(L158="","",IF(L158&gt;=4.2,"Сильное преимущество",IF(L158&gt;=3.4,"Потенциальное преимущество",IF(L158&gt;=2.5,"Слабое преимущество","Не считать преимуществом"))))</f>
        <v/>
      </c>
      <c r="N158" s="2" t="n"/>
    </row>
    <row r="159">
      <c r="A159" s="2" t="inlineStr">
        <is>
          <t>A153</t>
        </is>
      </c>
      <c r="B159" s="2" t="n"/>
      <c r="C159" s="2" t="n"/>
      <c r="D159" s="2" t="n"/>
      <c r="E159" s="2" t="n"/>
      <c r="F159" s="2" t="n"/>
      <c r="G159" s="2" t="n"/>
      <c r="H159" s="2" t="n"/>
      <c r="I159" s="2" t="n"/>
      <c r="J159" s="2" t="n"/>
      <c r="K159" s="2" t="n"/>
      <c r="L159" s="2">
        <f>IF(OR(H159="",I159="",J159="",K159=""),"",ROUND(H159*0.25+I159*0.25+J159*0.3+K159*0.2,2))</f>
        <v/>
      </c>
      <c r="M159" s="2">
        <f>IF(L159="","",IF(L159&gt;=4.2,"Сильное преимущество",IF(L159&gt;=3.4,"Потенциальное преимущество",IF(L159&gt;=2.5,"Слабое преимущество","Не считать преимуществом"))))</f>
        <v/>
      </c>
      <c r="N159" s="2" t="n"/>
    </row>
    <row r="160">
      <c r="A160" s="2" t="inlineStr">
        <is>
          <t>A154</t>
        </is>
      </c>
      <c r="B160" s="2" t="n"/>
      <c r="C160" s="2" t="n"/>
      <c r="D160" s="2" t="n"/>
      <c r="E160" s="2" t="n"/>
      <c r="F160" s="2" t="n"/>
      <c r="G160" s="2" t="n"/>
      <c r="H160" s="2" t="n"/>
      <c r="I160" s="2" t="n"/>
      <c r="J160" s="2" t="n"/>
      <c r="K160" s="2" t="n"/>
      <c r="L160" s="2">
        <f>IF(OR(H160="",I160="",J160="",K160=""),"",ROUND(H160*0.25+I160*0.25+J160*0.3+K160*0.2,2))</f>
        <v/>
      </c>
      <c r="M160" s="2">
        <f>IF(L160="","",IF(L160&gt;=4.2,"Сильное преимущество",IF(L160&gt;=3.4,"Потенциальное преимущество",IF(L160&gt;=2.5,"Слабое преимущество","Не считать преимуществом"))))</f>
        <v/>
      </c>
      <c r="N160" s="2" t="n"/>
    </row>
    <row r="161">
      <c r="A161" s="2" t="inlineStr">
        <is>
          <t>A155</t>
        </is>
      </c>
      <c r="B161" s="2" t="n"/>
      <c r="C161" s="2" t="n"/>
      <c r="D161" s="2" t="n"/>
      <c r="E161" s="2" t="n"/>
      <c r="F161" s="2" t="n"/>
      <c r="G161" s="2" t="n"/>
      <c r="H161" s="2" t="n"/>
      <c r="I161" s="2" t="n"/>
      <c r="J161" s="2" t="n"/>
      <c r="K161" s="2" t="n"/>
      <c r="L161" s="2">
        <f>IF(OR(H161="",I161="",J161="",K161=""),"",ROUND(H161*0.25+I161*0.25+J161*0.3+K161*0.2,2))</f>
        <v/>
      </c>
      <c r="M161" s="2">
        <f>IF(L161="","",IF(L161&gt;=4.2,"Сильное преимущество",IF(L161&gt;=3.4,"Потенциальное преимущество",IF(L161&gt;=2.5,"Слабое преимущество","Не считать преимуществом"))))</f>
        <v/>
      </c>
      <c r="N161" s="2" t="n"/>
    </row>
    <row r="162">
      <c r="A162" s="2" t="inlineStr">
        <is>
          <t>A156</t>
        </is>
      </c>
      <c r="B162" s="2" t="n"/>
      <c r="C162" s="2" t="n"/>
      <c r="D162" s="2" t="n"/>
      <c r="E162" s="2" t="n"/>
      <c r="F162" s="2" t="n"/>
      <c r="G162" s="2" t="n"/>
      <c r="H162" s="2" t="n"/>
      <c r="I162" s="2" t="n"/>
      <c r="J162" s="2" t="n"/>
      <c r="K162" s="2" t="n"/>
      <c r="L162" s="2">
        <f>IF(OR(H162="",I162="",J162="",K162=""),"",ROUND(H162*0.25+I162*0.25+J162*0.3+K162*0.2,2))</f>
        <v/>
      </c>
      <c r="M162" s="2">
        <f>IF(L162="","",IF(L162&gt;=4.2,"Сильное преимущество",IF(L162&gt;=3.4,"Потенциальное преимущество",IF(L162&gt;=2.5,"Слабое преимущество","Не считать преимуществом"))))</f>
        <v/>
      </c>
      <c r="N162" s="2" t="n"/>
    </row>
    <row r="163">
      <c r="A163" s="2" t="inlineStr">
        <is>
          <t>A157</t>
        </is>
      </c>
      <c r="B163" s="2" t="n"/>
      <c r="C163" s="2" t="n"/>
      <c r="D163" s="2" t="n"/>
      <c r="E163" s="2" t="n"/>
      <c r="F163" s="2" t="n"/>
      <c r="G163" s="2" t="n"/>
      <c r="H163" s="2" t="n"/>
      <c r="I163" s="2" t="n"/>
      <c r="J163" s="2" t="n"/>
      <c r="K163" s="2" t="n"/>
      <c r="L163" s="2">
        <f>IF(OR(H163="",I163="",J163="",K163=""),"",ROUND(H163*0.25+I163*0.25+J163*0.3+K163*0.2,2))</f>
        <v/>
      </c>
      <c r="M163" s="2">
        <f>IF(L163="","",IF(L163&gt;=4.2,"Сильное преимущество",IF(L163&gt;=3.4,"Потенциальное преимущество",IF(L163&gt;=2.5,"Слабое преимущество","Не считать преимуществом"))))</f>
        <v/>
      </c>
      <c r="N163" s="2" t="n"/>
    </row>
    <row r="164">
      <c r="A164" s="2" t="inlineStr">
        <is>
          <t>A158</t>
        </is>
      </c>
      <c r="B164" s="2" t="n"/>
      <c r="C164" s="2" t="n"/>
      <c r="D164" s="2" t="n"/>
      <c r="E164" s="2" t="n"/>
      <c r="F164" s="2" t="n"/>
      <c r="G164" s="2" t="n"/>
      <c r="H164" s="2" t="n"/>
      <c r="I164" s="2" t="n"/>
      <c r="J164" s="2" t="n"/>
      <c r="K164" s="2" t="n"/>
      <c r="L164" s="2">
        <f>IF(OR(H164="",I164="",J164="",K164=""),"",ROUND(H164*0.25+I164*0.25+J164*0.3+K164*0.2,2))</f>
        <v/>
      </c>
      <c r="M164" s="2">
        <f>IF(L164="","",IF(L164&gt;=4.2,"Сильное преимущество",IF(L164&gt;=3.4,"Потенциальное преимущество",IF(L164&gt;=2.5,"Слабое преимущество","Не считать преимуществом"))))</f>
        <v/>
      </c>
      <c r="N164" s="2" t="n"/>
    </row>
    <row r="165">
      <c r="A165" s="2" t="inlineStr">
        <is>
          <t>A159</t>
        </is>
      </c>
      <c r="B165" s="2" t="n"/>
      <c r="C165" s="2" t="n"/>
      <c r="D165" s="2" t="n"/>
      <c r="E165" s="2" t="n"/>
      <c r="F165" s="2" t="n"/>
      <c r="G165" s="2" t="n"/>
      <c r="H165" s="2" t="n"/>
      <c r="I165" s="2" t="n"/>
      <c r="J165" s="2" t="n"/>
      <c r="K165" s="2" t="n"/>
      <c r="L165" s="2">
        <f>IF(OR(H165="",I165="",J165="",K165=""),"",ROUND(H165*0.25+I165*0.25+J165*0.3+K165*0.2,2))</f>
        <v/>
      </c>
      <c r="M165" s="2">
        <f>IF(L165="","",IF(L165&gt;=4.2,"Сильное преимущество",IF(L165&gt;=3.4,"Потенциальное преимущество",IF(L165&gt;=2.5,"Слабое преимущество","Не считать преимуществом"))))</f>
        <v/>
      </c>
      <c r="N165" s="2" t="n"/>
    </row>
    <row r="166">
      <c r="A166" s="2" t="inlineStr">
        <is>
          <t>A160</t>
        </is>
      </c>
      <c r="B166" s="2" t="n"/>
      <c r="C166" s="2" t="n"/>
      <c r="D166" s="2" t="n"/>
      <c r="E166" s="2" t="n"/>
      <c r="F166" s="2" t="n"/>
      <c r="G166" s="2" t="n"/>
      <c r="H166" s="2" t="n"/>
      <c r="I166" s="2" t="n"/>
      <c r="J166" s="2" t="n"/>
      <c r="K166" s="2" t="n"/>
      <c r="L166" s="2">
        <f>IF(OR(H166="",I166="",J166="",K166=""),"",ROUND(H166*0.25+I166*0.25+J166*0.3+K166*0.2,2))</f>
        <v/>
      </c>
      <c r="M166" s="2">
        <f>IF(L166="","",IF(L166&gt;=4.2,"Сильное преимущество",IF(L166&gt;=3.4,"Потенциальное преимущество",IF(L166&gt;=2.5,"Слабое преимущество","Не считать преимуществом"))))</f>
        <v/>
      </c>
      <c r="N166" s="2" t="n"/>
    </row>
    <row r="167">
      <c r="A167" s="2" t="inlineStr">
        <is>
          <t>A161</t>
        </is>
      </c>
      <c r="B167" s="2" t="n"/>
      <c r="C167" s="2" t="n"/>
      <c r="D167" s="2" t="n"/>
      <c r="E167" s="2" t="n"/>
      <c r="F167" s="2" t="n"/>
      <c r="G167" s="2" t="n"/>
      <c r="H167" s="2" t="n"/>
      <c r="I167" s="2" t="n"/>
      <c r="J167" s="2" t="n"/>
      <c r="K167" s="2" t="n"/>
      <c r="L167" s="2">
        <f>IF(OR(H167="",I167="",J167="",K167=""),"",ROUND(H167*0.25+I167*0.25+J167*0.3+K167*0.2,2))</f>
        <v/>
      </c>
      <c r="M167" s="2">
        <f>IF(L167="","",IF(L167&gt;=4.2,"Сильное преимущество",IF(L167&gt;=3.4,"Потенциальное преимущество",IF(L167&gt;=2.5,"Слабое преимущество","Не считать преимуществом"))))</f>
        <v/>
      </c>
      <c r="N167" s="2" t="n"/>
    </row>
    <row r="168">
      <c r="A168" s="2" t="inlineStr">
        <is>
          <t>A162</t>
        </is>
      </c>
      <c r="B168" s="2" t="n"/>
      <c r="C168" s="2" t="n"/>
      <c r="D168" s="2" t="n"/>
      <c r="E168" s="2" t="n"/>
      <c r="F168" s="2" t="n"/>
      <c r="G168" s="2" t="n"/>
      <c r="H168" s="2" t="n"/>
      <c r="I168" s="2" t="n"/>
      <c r="J168" s="2" t="n"/>
      <c r="K168" s="2" t="n"/>
      <c r="L168" s="2">
        <f>IF(OR(H168="",I168="",J168="",K168=""),"",ROUND(H168*0.25+I168*0.25+J168*0.3+K168*0.2,2))</f>
        <v/>
      </c>
      <c r="M168" s="2">
        <f>IF(L168="","",IF(L168&gt;=4.2,"Сильное преимущество",IF(L168&gt;=3.4,"Потенциальное преимущество",IF(L168&gt;=2.5,"Слабое преимущество","Не считать преимуществом"))))</f>
        <v/>
      </c>
      <c r="N168" s="2" t="n"/>
    </row>
    <row r="169">
      <c r="A169" s="2" t="inlineStr">
        <is>
          <t>A163</t>
        </is>
      </c>
      <c r="B169" s="2" t="n"/>
      <c r="C169" s="2" t="n"/>
      <c r="D169" s="2" t="n"/>
      <c r="E169" s="2" t="n"/>
      <c r="F169" s="2" t="n"/>
      <c r="G169" s="2" t="n"/>
      <c r="H169" s="2" t="n"/>
      <c r="I169" s="2" t="n"/>
      <c r="J169" s="2" t="n"/>
      <c r="K169" s="2" t="n"/>
      <c r="L169" s="2">
        <f>IF(OR(H169="",I169="",J169="",K169=""),"",ROUND(H169*0.25+I169*0.25+J169*0.3+K169*0.2,2))</f>
        <v/>
      </c>
      <c r="M169" s="2">
        <f>IF(L169="","",IF(L169&gt;=4.2,"Сильное преимущество",IF(L169&gt;=3.4,"Потенциальное преимущество",IF(L169&gt;=2.5,"Слабое преимущество","Не считать преимуществом"))))</f>
        <v/>
      </c>
      <c r="N169" s="2" t="n"/>
    </row>
    <row r="170">
      <c r="A170" s="2" t="inlineStr">
        <is>
          <t>A164</t>
        </is>
      </c>
      <c r="B170" s="2" t="n"/>
      <c r="C170" s="2" t="n"/>
      <c r="D170" s="2" t="n"/>
      <c r="E170" s="2" t="n"/>
      <c r="F170" s="2" t="n"/>
      <c r="G170" s="2" t="n"/>
      <c r="H170" s="2" t="n"/>
      <c r="I170" s="2" t="n"/>
      <c r="J170" s="2" t="n"/>
      <c r="K170" s="2" t="n"/>
      <c r="L170" s="2">
        <f>IF(OR(H170="",I170="",J170="",K170=""),"",ROUND(H170*0.25+I170*0.25+J170*0.3+K170*0.2,2))</f>
        <v/>
      </c>
      <c r="M170" s="2">
        <f>IF(L170="","",IF(L170&gt;=4.2,"Сильное преимущество",IF(L170&gt;=3.4,"Потенциальное преимущество",IF(L170&gt;=2.5,"Слабое преимущество","Не считать преимуществом"))))</f>
        <v/>
      </c>
      <c r="N170" s="2" t="n"/>
    </row>
    <row r="171">
      <c r="A171" s="2" t="inlineStr">
        <is>
          <t>A165</t>
        </is>
      </c>
      <c r="B171" s="2" t="n"/>
      <c r="C171" s="2" t="n"/>
      <c r="D171" s="2" t="n"/>
      <c r="E171" s="2" t="n"/>
      <c r="F171" s="2" t="n"/>
      <c r="G171" s="2" t="n"/>
      <c r="H171" s="2" t="n"/>
      <c r="I171" s="2" t="n"/>
      <c r="J171" s="2" t="n"/>
      <c r="K171" s="2" t="n"/>
      <c r="L171" s="2">
        <f>IF(OR(H171="",I171="",J171="",K171=""),"",ROUND(H171*0.25+I171*0.25+J171*0.3+K171*0.2,2))</f>
        <v/>
      </c>
      <c r="M171" s="2">
        <f>IF(L171="","",IF(L171&gt;=4.2,"Сильное преимущество",IF(L171&gt;=3.4,"Потенциальное преимущество",IF(L171&gt;=2.5,"Слабое преимущество","Не считать преимуществом"))))</f>
        <v/>
      </c>
      <c r="N171" s="2" t="n"/>
    </row>
    <row r="172">
      <c r="A172" s="2" t="inlineStr">
        <is>
          <t>A166</t>
        </is>
      </c>
      <c r="B172" s="2" t="n"/>
      <c r="C172" s="2" t="n"/>
      <c r="D172" s="2" t="n"/>
      <c r="E172" s="2" t="n"/>
      <c r="F172" s="2" t="n"/>
      <c r="G172" s="2" t="n"/>
      <c r="H172" s="2" t="n"/>
      <c r="I172" s="2" t="n"/>
      <c r="J172" s="2" t="n"/>
      <c r="K172" s="2" t="n"/>
      <c r="L172" s="2">
        <f>IF(OR(H172="",I172="",J172="",K172=""),"",ROUND(H172*0.25+I172*0.25+J172*0.3+K172*0.2,2))</f>
        <v/>
      </c>
      <c r="M172" s="2">
        <f>IF(L172="","",IF(L172&gt;=4.2,"Сильное преимущество",IF(L172&gt;=3.4,"Потенциальное преимущество",IF(L172&gt;=2.5,"Слабое преимущество","Не считать преимуществом"))))</f>
        <v/>
      </c>
      <c r="N172" s="2" t="n"/>
    </row>
    <row r="173">
      <c r="A173" s="2" t="inlineStr">
        <is>
          <t>A167</t>
        </is>
      </c>
      <c r="B173" s="2" t="n"/>
      <c r="C173" s="2" t="n"/>
      <c r="D173" s="2" t="n"/>
      <c r="E173" s="2" t="n"/>
      <c r="F173" s="2" t="n"/>
      <c r="G173" s="2" t="n"/>
      <c r="H173" s="2" t="n"/>
      <c r="I173" s="2" t="n"/>
      <c r="J173" s="2" t="n"/>
      <c r="K173" s="2" t="n"/>
      <c r="L173" s="2">
        <f>IF(OR(H173="",I173="",J173="",K173=""),"",ROUND(H173*0.25+I173*0.25+J173*0.3+K173*0.2,2))</f>
        <v/>
      </c>
      <c r="M173" s="2">
        <f>IF(L173="","",IF(L173&gt;=4.2,"Сильное преимущество",IF(L173&gt;=3.4,"Потенциальное преимущество",IF(L173&gt;=2.5,"Слабое преимущество","Не считать преимуществом"))))</f>
        <v/>
      </c>
      <c r="N173" s="2" t="n"/>
    </row>
    <row r="174">
      <c r="A174" s="2" t="inlineStr">
        <is>
          <t>A168</t>
        </is>
      </c>
      <c r="B174" s="2" t="n"/>
      <c r="C174" s="2" t="n"/>
      <c r="D174" s="2" t="n"/>
      <c r="E174" s="2" t="n"/>
      <c r="F174" s="2" t="n"/>
      <c r="G174" s="2" t="n"/>
      <c r="H174" s="2" t="n"/>
      <c r="I174" s="2" t="n"/>
      <c r="J174" s="2" t="n"/>
      <c r="K174" s="2" t="n"/>
      <c r="L174" s="2">
        <f>IF(OR(H174="",I174="",J174="",K174=""),"",ROUND(H174*0.25+I174*0.25+J174*0.3+K174*0.2,2))</f>
        <v/>
      </c>
      <c r="M174" s="2">
        <f>IF(L174="","",IF(L174&gt;=4.2,"Сильное преимущество",IF(L174&gt;=3.4,"Потенциальное преимущество",IF(L174&gt;=2.5,"Слабое преимущество","Не считать преимуществом"))))</f>
        <v/>
      </c>
      <c r="N174" s="2" t="n"/>
    </row>
    <row r="175">
      <c r="A175" s="2" t="inlineStr">
        <is>
          <t>A169</t>
        </is>
      </c>
      <c r="B175" s="2" t="n"/>
      <c r="C175" s="2" t="n"/>
      <c r="D175" s="2" t="n"/>
      <c r="E175" s="2" t="n"/>
      <c r="F175" s="2" t="n"/>
      <c r="G175" s="2" t="n"/>
      <c r="H175" s="2" t="n"/>
      <c r="I175" s="2" t="n"/>
      <c r="J175" s="2" t="n"/>
      <c r="K175" s="2" t="n"/>
      <c r="L175" s="2">
        <f>IF(OR(H175="",I175="",J175="",K175=""),"",ROUND(H175*0.25+I175*0.25+J175*0.3+K175*0.2,2))</f>
        <v/>
      </c>
      <c r="M175" s="2">
        <f>IF(L175="","",IF(L175&gt;=4.2,"Сильное преимущество",IF(L175&gt;=3.4,"Потенциальное преимущество",IF(L175&gt;=2.5,"Слабое преимущество","Не считать преимуществом"))))</f>
        <v/>
      </c>
      <c r="N175" s="2" t="n"/>
    </row>
    <row r="176">
      <c r="A176" s="2" t="inlineStr">
        <is>
          <t>A170</t>
        </is>
      </c>
      <c r="B176" s="2" t="n"/>
      <c r="C176" s="2" t="n"/>
      <c r="D176" s="2" t="n"/>
      <c r="E176" s="2" t="n"/>
      <c r="F176" s="2" t="n"/>
      <c r="G176" s="2" t="n"/>
      <c r="H176" s="2" t="n"/>
      <c r="I176" s="2" t="n"/>
      <c r="J176" s="2" t="n"/>
      <c r="K176" s="2" t="n"/>
      <c r="L176" s="2">
        <f>IF(OR(H176="",I176="",J176="",K176=""),"",ROUND(H176*0.25+I176*0.25+J176*0.3+K176*0.2,2))</f>
        <v/>
      </c>
      <c r="M176" s="2">
        <f>IF(L176="","",IF(L176&gt;=4.2,"Сильное преимущество",IF(L176&gt;=3.4,"Потенциальное преимущество",IF(L176&gt;=2.5,"Слабое преимущество","Не считать преимуществом"))))</f>
        <v/>
      </c>
      <c r="N176" s="2" t="n"/>
    </row>
    <row r="177">
      <c r="A177" s="2" t="inlineStr">
        <is>
          <t>A171</t>
        </is>
      </c>
      <c r="B177" s="2" t="n"/>
      <c r="C177" s="2" t="n"/>
      <c r="D177" s="2" t="n"/>
      <c r="E177" s="2" t="n"/>
      <c r="F177" s="2" t="n"/>
      <c r="G177" s="2" t="n"/>
      <c r="H177" s="2" t="n"/>
      <c r="I177" s="2" t="n"/>
      <c r="J177" s="2" t="n"/>
      <c r="K177" s="2" t="n"/>
      <c r="L177" s="2">
        <f>IF(OR(H177="",I177="",J177="",K177=""),"",ROUND(H177*0.25+I177*0.25+J177*0.3+K177*0.2,2))</f>
        <v/>
      </c>
      <c r="M177" s="2">
        <f>IF(L177="","",IF(L177&gt;=4.2,"Сильное преимущество",IF(L177&gt;=3.4,"Потенциальное преимущество",IF(L177&gt;=2.5,"Слабое преимущество","Не считать преимуществом"))))</f>
        <v/>
      </c>
      <c r="N177" s="2" t="n"/>
    </row>
    <row r="178">
      <c r="A178" s="2" t="inlineStr">
        <is>
          <t>A172</t>
        </is>
      </c>
      <c r="B178" s="2" t="n"/>
      <c r="C178" s="2" t="n"/>
      <c r="D178" s="2" t="n"/>
      <c r="E178" s="2" t="n"/>
      <c r="F178" s="2" t="n"/>
      <c r="G178" s="2" t="n"/>
      <c r="H178" s="2" t="n"/>
      <c r="I178" s="2" t="n"/>
      <c r="J178" s="2" t="n"/>
      <c r="K178" s="2" t="n"/>
      <c r="L178" s="2">
        <f>IF(OR(H178="",I178="",J178="",K178=""),"",ROUND(H178*0.25+I178*0.25+J178*0.3+K178*0.2,2))</f>
        <v/>
      </c>
      <c r="M178" s="2">
        <f>IF(L178="","",IF(L178&gt;=4.2,"Сильное преимущество",IF(L178&gt;=3.4,"Потенциальное преимущество",IF(L178&gt;=2.5,"Слабое преимущество","Не считать преимуществом"))))</f>
        <v/>
      </c>
      <c r="N178" s="2" t="n"/>
    </row>
    <row r="179">
      <c r="A179" s="2" t="inlineStr">
        <is>
          <t>A173</t>
        </is>
      </c>
      <c r="B179" s="2" t="n"/>
      <c r="C179" s="2" t="n"/>
      <c r="D179" s="2" t="n"/>
      <c r="E179" s="2" t="n"/>
      <c r="F179" s="2" t="n"/>
      <c r="G179" s="2" t="n"/>
      <c r="H179" s="2" t="n"/>
      <c r="I179" s="2" t="n"/>
      <c r="J179" s="2" t="n"/>
      <c r="K179" s="2" t="n"/>
      <c r="L179" s="2">
        <f>IF(OR(H179="",I179="",J179="",K179=""),"",ROUND(H179*0.25+I179*0.25+J179*0.3+K179*0.2,2))</f>
        <v/>
      </c>
      <c r="M179" s="2">
        <f>IF(L179="","",IF(L179&gt;=4.2,"Сильное преимущество",IF(L179&gt;=3.4,"Потенциальное преимущество",IF(L179&gt;=2.5,"Слабое преимущество","Не считать преимуществом"))))</f>
        <v/>
      </c>
      <c r="N179" s="2" t="n"/>
    </row>
    <row r="180">
      <c r="A180" s="2" t="inlineStr">
        <is>
          <t>A174</t>
        </is>
      </c>
      <c r="B180" s="2" t="n"/>
      <c r="C180" s="2" t="n"/>
      <c r="D180" s="2" t="n"/>
      <c r="E180" s="2" t="n"/>
      <c r="F180" s="2" t="n"/>
      <c r="G180" s="2" t="n"/>
      <c r="H180" s="2" t="n"/>
      <c r="I180" s="2" t="n"/>
      <c r="J180" s="2" t="n"/>
      <c r="K180" s="2" t="n"/>
      <c r="L180" s="2">
        <f>IF(OR(H180="",I180="",J180="",K180=""),"",ROUND(H180*0.25+I180*0.25+J180*0.3+K180*0.2,2))</f>
        <v/>
      </c>
      <c r="M180" s="2">
        <f>IF(L180="","",IF(L180&gt;=4.2,"Сильное преимущество",IF(L180&gt;=3.4,"Потенциальное преимущество",IF(L180&gt;=2.5,"Слабое преимущество","Не считать преимуществом"))))</f>
        <v/>
      </c>
      <c r="N180" s="2" t="n"/>
    </row>
    <row r="181">
      <c r="A181" s="2" t="inlineStr">
        <is>
          <t>A175</t>
        </is>
      </c>
      <c r="B181" s="2" t="n"/>
      <c r="C181" s="2" t="n"/>
      <c r="D181" s="2" t="n"/>
      <c r="E181" s="2" t="n"/>
      <c r="F181" s="2" t="n"/>
      <c r="G181" s="2" t="n"/>
      <c r="H181" s="2" t="n"/>
      <c r="I181" s="2" t="n"/>
      <c r="J181" s="2" t="n"/>
      <c r="K181" s="2" t="n"/>
      <c r="L181" s="2">
        <f>IF(OR(H181="",I181="",J181="",K181=""),"",ROUND(H181*0.25+I181*0.25+J181*0.3+K181*0.2,2))</f>
        <v/>
      </c>
      <c r="M181" s="2">
        <f>IF(L181="","",IF(L181&gt;=4.2,"Сильное преимущество",IF(L181&gt;=3.4,"Потенциальное преимущество",IF(L181&gt;=2.5,"Слабое преимущество","Не считать преимуществом"))))</f>
        <v/>
      </c>
      <c r="N181" s="2" t="n"/>
    </row>
    <row r="182">
      <c r="A182" s="2" t="inlineStr">
        <is>
          <t>A176</t>
        </is>
      </c>
      <c r="B182" s="2" t="n"/>
      <c r="C182" s="2" t="n"/>
      <c r="D182" s="2" t="n"/>
      <c r="E182" s="2" t="n"/>
      <c r="F182" s="2" t="n"/>
      <c r="G182" s="2" t="n"/>
      <c r="H182" s="2" t="n"/>
      <c r="I182" s="2" t="n"/>
      <c r="J182" s="2" t="n"/>
      <c r="K182" s="2" t="n"/>
      <c r="L182" s="2">
        <f>IF(OR(H182="",I182="",J182="",K182=""),"",ROUND(H182*0.25+I182*0.25+J182*0.3+K182*0.2,2))</f>
        <v/>
      </c>
      <c r="M182" s="2">
        <f>IF(L182="","",IF(L182&gt;=4.2,"Сильное преимущество",IF(L182&gt;=3.4,"Потенциальное преимущество",IF(L182&gt;=2.5,"Слабое преимущество","Не считать преимуществом"))))</f>
        <v/>
      </c>
      <c r="N182" s="2" t="n"/>
    </row>
    <row r="183">
      <c r="A183" s="2" t="inlineStr">
        <is>
          <t>A177</t>
        </is>
      </c>
      <c r="B183" s="2" t="n"/>
      <c r="C183" s="2" t="n"/>
      <c r="D183" s="2" t="n"/>
      <c r="E183" s="2" t="n"/>
      <c r="F183" s="2" t="n"/>
      <c r="G183" s="2" t="n"/>
      <c r="H183" s="2" t="n"/>
      <c r="I183" s="2" t="n"/>
      <c r="J183" s="2" t="n"/>
      <c r="K183" s="2" t="n"/>
      <c r="L183" s="2">
        <f>IF(OR(H183="",I183="",J183="",K183=""),"",ROUND(H183*0.25+I183*0.25+J183*0.3+K183*0.2,2))</f>
        <v/>
      </c>
      <c r="M183" s="2">
        <f>IF(L183="","",IF(L183&gt;=4.2,"Сильное преимущество",IF(L183&gt;=3.4,"Потенциальное преимущество",IF(L183&gt;=2.5,"Слабое преимущество","Не считать преимуществом"))))</f>
        <v/>
      </c>
      <c r="N183" s="2" t="n"/>
    </row>
    <row r="184">
      <c r="A184" s="2" t="inlineStr">
        <is>
          <t>A178</t>
        </is>
      </c>
      <c r="B184" s="2" t="n"/>
      <c r="C184" s="2" t="n"/>
      <c r="D184" s="2" t="n"/>
      <c r="E184" s="2" t="n"/>
      <c r="F184" s="2" t="n"/>
      <c r="G184" s="2" t="n"/>
      <c r="H184" s="2" t="n"/>
      <c r="I184" s="2" t="n"/>
      <c r="J184" s="2" t="n"/>
      <c r="K184" s="2" t="n"/>
      <c r="L184" s="2">
        <f>IF(OR(H184="",I184="",J184="",K184=""),"",ROUND(H184*0.25+I184*0.25+J184*0.3+K184*0.2,2))</f>
        <v/>
      </c>
      <c r="M184" s="2">
        <f>IF(L184="","",IF(L184&gt;=4.2,"Сильное преимущество",IF(L184&gt;=3.4,"Потенциальное преимущество",IF(L184&gt;=2.5,"Слабое преимущество","Не считать преимуществом"))))</f>
        <v/>
      </c>
      <c r="N184" s="2" t="n"/>
    </row>
    <row r="185">
      <c r="A185" s="2" t="inlineStr">
        <is>
          <t>A179</t>
        </is>
      </c>
      <c r="B185" s="2" t="n"/>
      <c r="C185" s="2" t="n"/>
      <c r="D185" s="2" t="n"/>
      <c r="E185" s="2" t="n"/>
      <c r="F185" s="2" t="n"/>
      <c r="G185" s="2" t="n"/>
      <c r="H185" s="2" t="n"/>
      <c r="I185" s="2" t="n"/>
      <c r="J185" s="2" t="n"/>
      <c r="K185" s="2" t="n"/>
      <c r="L185" s="2">
        <f>IF(OR(H185="",I185="",J185="",K185=""),"",ROUND(H185*0.25+I185*0.25+J185*0.3+K185*0.2,2))</f>
        <v/>
      </c>
      <c r="M185" s="2">
        <f>IF(L185="","",IF(L185&gt;=4.2,"Сильное преимущество",IF(L185&gt;=3.4,"Потенциальное преимущество",IF(L185&gt;=2.5,"Слабое преимущество","Не считать преимуществом"))))</f>
        <v/>
      </c>
      <c r="N185" s="2" t="n"/>
    </row>
    <row r="186">
      <c r="A186" s="2" t="inlineStr">
        <is>
          <t>A180</t>
        </is>
      </c>
      <c r="B186" s="2" t="n"/>
      <c r="C186" s="2" t="n"/>
      <c r="D186" s="2" t="n"/>
      <c r="E186" s="2" t="n"/>
      <c r="F186" s="2" t="n"/>
      <c r="G186" s="2" t="n"/>
      <c r="H186" s="2" t="n"/>
      <c r="I186" s="2" t="n"/>
      <c r="J186" s="2" t="n"/>
      <c r="K186" s="2" t="n"/>
      <c r="L186" s="2">
        <f>IF(OR(H186="",I186="",J186="",K186=""),"",ROUND(H186*0.25+I186*0.25+J186*0.3+K186*0.2,2))</f>
        <v/>
      </c>
      <c r="M186" s="2">
        <f>IF(L186="","",IF(L186&gt;=4.2,"Сильное преимущество",IF(L186&gt;=3.4,"Потенциальное преимущество",IF(L186&gt;=2.5,"Слабое преимущество","Не считать преимуществом"))))</f>
        <v/>
      </c>
      <c r="N186" s="2" t="n"/>
    </row>
    <row r="187">
      <c r="A187" s="2" t="inlineStr">
        <is>
          <t>A181</t>
        </is>
      </c>
      <c r="B187" s="2" t="n"/>
      <c r="C187" s="2" t="n"/>
      <c r="D187" s="2" t="n"/>
      <c r="E187" s="2" t="n"/>
      <c r="F187" s="2" t="n"/>
      <c r="G187" s="2" t="n"/>
      <c r="H187" s="2" t="n"/>
      <c r="I187" s="2" t="n"/>
      <c r="J187" s="2" t="n"/>
      <c r="K187" s="2" t="n"/>
      <c r="L187" s="2">
        <f>IF(OR(H187="",I187="",J187="",K187=""),"",ROUND(H187*0.25+I187*0.25+J187*0.3+K187*0.2,2))</f>
        <v/>
      </c>
      <c r="M187" s="2">
        <f>IF(L187="","",IF(L187&gt;=4.2,"Сильное преимущество",IF(L187&gt;=3.4,"Потенциальное преимущество",IF(L187&gt;=2.5,"Слабое преимущество","Не считать преимуществом"))))</f>
        <v/>
      </c>
      <c r="N187" s="2" t="n"/>
    </row>
    <row r="188">
      <c r="A188" s="2" t="inlineStr">
        <is>
          <t>A182</t>
        </is>
      </c>
      <c r="B188" s="2" t="n"/>
      <c r="C188" s="2" t="n"/>
      <c r="D188" s="2" t="n"/>
      <c r="E188" s="2" t="n"/>
      <c r="F188" s="2" t="n"/>
      <c r="G188" s="2" t="n"/>
      <c r="H188" s="2" t="n"/>
      <c r="I188" s="2" t="n"/>
      <c r="J188" s="2" t="n"/>
      <c r="K188" s="2" t="n"/>
      <c r="L188" s="2">
        <f>IF(OR(H188="",I188="",J188="",K188=""),"",ROUND(H188*0.25+I188*0.25+J188*0.3+K188*0.2,2))</f>
        <v/>
      </c>
      <c r="M188" s="2">
        <f>IF(L188="","",IF(L188&gt;=4.2,"Сильное преимущество",IF(L188&gt;=3.4,"Потенциальное преимущество",IF(L188&gt;=2.5,"Слабое преимущество","Не считать преимуществом"))))</f>
        <v/>
      </c>
      <c r="N188" s="2" t="n"/>
    </row>
    <row r="189">
      <c r="A189" s="2" t="inlineStr">
        <is>
          <t>A183</t>
        </is>
      </c>
      <c r="B189" s="2" t="n"/>
      <c r="C189" s="2" t="n"/>
      <c r="D189" s="2" t="n"/>
      <c r="E189" s="2" t="n"/>
      <c r="F189" s="2" t="n"/>
      <c r="G189" s="2" t="n"/>
      <c r="H189" s="2" t="n"/>
      <c r="I189" s="2" t="n"/>
      <c r="J189" s="2" t="n"/>
      <c r="K189" s="2" t="n"/>
      <c r="L189" s="2">
        <f>IF(OR(H189="",I189="",J189="",K189=""),"",ROUND(H189*0.25+I189*0.25+J189*0.3+K189*0.2,2))</f>
        <v/>
      </c>
      <c r="M189" s="2">
        <f>IF(L189="","",IF(L189&gt;=4.2,"Сильное преимущество",IF(L189&gt;=3.4,"Потенциальное преимущество",IF(L189&gt;=2.5,"Слабое преимущество","Не считать преимуществом"))))</f>
        <v/>
      </c>
      <c r="N189" s="2" t="n"/>
    </row>
    <row r="190">
      <c r="A190" s="2" t="inlineStr">
        <is>
          <t>A184</t>
        </is>
      </c>
      <c r="B190" s="2" t="n"/>
      <c r="C190" s="2" t="n"/>
      <c r="D190" s="2" t="n"/>
      <c r="E190" s="2" t="n"/>
      <c r="F190" s="2" t="n"/>
      <c r="G190" s="2" t="n"/>
      <c r="H190" s="2" t="n"/>
      <c r="I190" s="2" t="n"/>
      <c r="J190" s="2" t="n"/>
      <c r="K190" s="2" t="n"/>
      <c r="L190" s="2">
        <f>IF(OR(H190="",I190="",J190="",K190=""),"",ROUND(H190*0.25+I190*0.25+J190*0.3+K190*0.2,2))</f>
        <v/>
      </c>
      <c r="M190" s="2">
        <f>IF(L190="","",IF(L190&gt;=4.2,"Сильное преимущество",IF(L190&gt;=3.4,"Потенциальное преимущество",IF(L190&gt;=2.5,"Слабое преимущество","Не считать преимуществом"))))</f>
        <v/>
      </c>
      <c r="N190" s="2" t="n"/>
    </row>
    <row r="191">
      <c r="A191" s="2" t="inlineStr">
        <is>
          <t>A185</t>
        </is>
      </c>
      <c r="B191" s="2" t="n"/>
      <c r="C191" s="2" t="n"/>
      <c r="D191" s="2" t="n"/>
      <c r="E191" s="2" t="n"/>
      <c r="F191" s="2" t="n"/>
      <c r="G191" s="2" t="n"/>
      <c r="H191" s="2" t="n"/>
      <c r="I191" s="2" t="n"/>
      <c r="J191" s="2" t="n"/>
      <c r="K191" s="2" t="n"/>
      <c r="L191" s="2">
        <f>IF(OR(H191="",I191="",J191="",K191=""),"",ROUND(H191*0.25+I191*0.25+J191*0.3+K191*0.2,2))</f>
        <v/>
      </c>
      <c r="M191" s="2">
        <f>IF(L191="","",IF(L191&gt;=4.2,"Сильное преимущество",IF(L191&gt;=3.4,"Потенциальное преимущество",IF(L191&gt;=2.5,"Слабое преимущество","Не считать преимуществом"))))</f>
        <v/>
      </c>
      <c r="N191" s="2" t="n"/>
    </row>
    <row r="192">
      <c r="A192" s="2" t="inlineStr">
        <is>
          <t>A186</t>
        </is>
      </c>
      <c r="B192" s="2" t="n"/>
      <c r="C192" s="2" t="n"/>
      <c r="D192" s="2" t="n"/>
      <c r="E192" s="2" t="n"/>
      <c r="F192" s="2" t="n"/>
      <c r="G192" s="2" t="n"/>
      <c r="H192" s="2" t="n"/>
      <c r="I192" s="2" t="n"/>
      <c r="J192" s="2" t="n"/>
      <c r="K192" s="2" t="n"/>
      <c r="L192" s="2">
        <f>IF(OR(H192="",I192="",J192="",K192=""),"",ROUND(H192*0.25+I192*0.25+J192*0.3+K192*0.2,2))</f>
        <v/>
      </c>
      <c r="M192" s="2">
        <f>IF(L192="","",IF(L192&gt;=4.2,"Сильное преимущество",IF(L192&gt;=3.4,"Потенциальное преимущество",IF(L192&gt;=2.5,"Слабое преимущество","Не считать преимуществом"))))</f>
        <v/>
      </c>
      <c r="N192" s="2" t="n"/>
    </row>
    <row r="193">
      <c r="A193" s="2" t="inlineStr">
        <is>
          <t>A187</t>
        </is>
      </c>
      <c r="B193" s="2" t="n"/>
      <c r="C193" s="2" t="n"/>
      <c r="D193" s="2" t="n"/>
      <c r="E193" s="2" t="n"/>
      <c r="F193" s="2" t="n"/>
      <c r="G193" s="2" t="n"/>
      <c r="H193" s="2" t="n"/>
      <c r="I193" s="2" t="n"/>
      <c r="J193" s="2" t="n"/>
      <c r="K193" s="2" t="n"/>
      <c r="L193" s="2">
        <f>IF(OR(H193="",I193="",J193="",K193=""),"",ROUND(H193*0.25+I193*0.25+J193*0.3+K193*0.2,2))</f>
        <v/>
      </c>
      <c r="M193" s="2">
        <f>IF(L193="","",IF(L193&gt;=4.2,"Сильное преимущество",IF(L193&gt;=3.4,"Потенциальное преимущество",IF(L193&gt;=2.5,"Слабое преимущество","Не считать преимуществом"))))</f>
        <v/>
      </c>
      <c r="N193" s="2" t="n"/>
    </row>
    <row r="194">
      <c r="A194" s="2" t="inlineStr">
        <is>
          <t>A188</t>
        </is>
      </c>
      <c r="B194" s="2" t="n"/>
      <c r="C194" s="2" t="n"/>
      <c r="D194" s="2" t="n"/>
      <c r="E194" s="2" t="n"/>
      <c r="F194" s="2" t="n"/>
      <c r="G194" s="2" t="n"/>
      <c r="H194" s="2" t="n"/>
      <c r="I194" s="2" t="n"/>
      <c r="J194" s="2" t="n"/>
      <c r="K194" s="2" t="n"/>
      <c r="L194" s="2">
        <f>IF(OR(H194="",I194="",J194="",K194=""),"",ROUND(H194*0.25+I194*0.25+J194*0.3+K194*0.2,2))</f>
        <v/>
      </c>
      <c r="M194" s="2">
        <f>IF(L194="","",IF(L194&gt;=4.2,"Сильное преимущество",IF(L194&gt;=3.4,"Потенциальное преимущество",IF(L194&gt;=2.5,"Слабое преимущество","Не считать преимуществом"))))</f>
        <v/>
      </c>
      <c r="N194" s="2" t="n"/>
    </row>
    <row r="195">
      <c r="A195" s="2" t="inlineStr">
        <is>
          <t>A189</t>
        </is>
      </c>
      <c r="B195" s="2" t="n"/>
      <c r="C195" s="2" t="n"/>
      <c r="D195" s="2" t="n"/>
      <c r="E195" s="2" t="n"/>
      <c r="F195" s="2" t="n"/>
      <c r="G195" s="2" t="n"/>
      <c r="H195" s="2" t="n"/>
      <c r="I195" s="2" t="n"/>
      <c r="J195" s="2" t="n"/>
      <c r="K195" s="2" t="n"/>
      <c r="L195" s="2">
        <f>IF(OR(H195="",I195="",J195="",K195=""),"",ROUND(H195*0.25+I195*0.25+J195*0.3+K195*0.2,2))</f>
        <v/>
      </c>
      <c r="M195" s="2">
        <f>IF(L195="","",IF(L195&gt;=4.2,"Сильное преимущество",IF(L195&gt;=3.4,"Потенциальное преимущество",IF(L195&gt;=2.5,"Слабое преимущество","Не считать преимуществом"))))</f>
        <v/>
      </c>
      <c r="N195" s="2" t="n"/>
    </row>
    <row r="196">
      <c r="A196" s="2" t="inlineStr">
        <is>
          <t>A190</t>
        </is>
      </c>
      <c r="B196" s="2" t="n"/>
      <c r="C196" s="2" t="n"/>
      <c r="D196" s="2" t="n"/>
      <c r="E196" s="2" t="n"/>
      <c r="F196" s="2" t="n"/>
      <c r="G196" s="2" t="n"/>
      <c r="H196" s="2" t="n"/>
      <c r="I196" s="2" t="n"/>
      <c r="J196" s="2" t="n"/>
      <c r="K196" s="2" t="n"/>
      <c r="L196" s="2">
        <f>IF(OR(H196="",I196="",J196="",K196=""),"",ROUND(H196*0.25+I196*0.25+J196*0.3+K196*0.2,2))</f>
        <v/>
      </c>
      <c r="M196" s="2">
        <f>IF(L196="","",IF(L196&gt;=4.2,"Сильное преимущество",IF(L196&gt;=3.4,"Потенциальное преимущество",IF(L196&gt;=2.5,"Слабое преимущество","Не считать преимуществом"))))</f>
        <v/>
      </c>
      <c r="N196" s="2" t="n"/>
    </row>
    <row r="197">
      <c r="A197" s="2" t="inlineStr">
        <is>
          <t>A191</t>
        </is>
      </c>
      <c r="B197" s="2" t="n"/>
      <c r="C197" s="2" t="n"/>
      <c r="D197" s="2" t="n"/>
      <c r="E197" s="2" t="n"/>
      <c r="F197" s="2" t="n"/>
      <c r="G197" s="2" t="n"/>
      <c r="H197" s="2" t="n"/>
      <c r="I197" s="2" t="n"/>
      <c r="J197" s="2" t="n"/>
      <c r="K197" s="2" t="n"/>
      <c r="L197" s="2">
        <f>IF(OR(H197="",I197="",J197="",K197=""),"",ROUND(H197*0.25+I197*0.25+J197*0.3+K197*0.2,2))</f>
        <v/>
      </c>
      <c r="M197" s="2">
        <f>IF(L197="","",IF(L197&gt;=4.2,"Сильное преимущество",IF(L197&gt;=3.4,"Потенциальное преимущество",IF(L197&gt;=2.5,"Слабое преимущество","Не считать преимуществом"))))</f>
        <v/>
      </c>
      <c r="N197" s="2" t="n"/>
    </row>
    <row r="198">
      <c r="A198" s="2" t="inlineStr">
        <is>
          <t>A192</t>
        </is>
      </c>
      <c r="B198" s="2" t="n"/>
      <c r="C198" s="2" t="n"/>
      <c r="D198" s="2" t="n"/>
      <c r="E198" s="2" t="n"/>
      <c r="F198" s="2" t="n"/>
      <c r="G198" s="2" t="n"/>
      <c r="H198" s="2" t="n"/>
      <c r="I198" s="2" t="n"/>
      <c r="J198" s="2" t="n"/>
      <c r="K198" s="2" t="n"/>
      <c r="L198" s="2">
        <f>IF(OR(H198="",I198="",J198="",K198=""),"",ROUND(H198*0.25+I198*0.25+J198*0.3+K198*0.2,2))</f>
        <v/>
      </c>
      <c r="M198" s="2">
        <f>IF(L198="","",IF(L198&gt;=4.2,"Сильное преимущество",IF(L198&gt;=3.4,"Потенциальное преимущество",IF(L198&gt;=2.5,"Слабое преимущество","Не считать преимуществом"))))</f>
        <v/>
      </c>
      <c r="N198" s="2" t="n"/>
    </row>
    <row r="199">
      <c r="A199" s="2" t="inlineStr">
        <is>
          <t>A193</t>
        </is>
      </c>
      <c r="B199" s="2" t="n"/>
      <c r="C199" s="2" t="n"/>
      <c r="D199" s="2" t="n"/>
      <c r="E199" s="2" t="n"/>
      <c r="F199" s="2" t="n"/>
      <c r="G199" s="2" t="n"/>
      <c r="H199" s="2" t="n"/>
      <c r="I199" s="2" t="n"/>
      <c r="J199" s="2" t="n"/>
      <c r="K199" s="2" t="n"/>
      <c r="L199" s="2">
        <f>IF(OR(H199="",I199="",J199="",K199=""),"",ROUND(H199*0.25+I199*0.25+J199*0.3+K199*0.2,2))</f>
        <v/>
      </c>
      <c r="M199" s="2">
        <f>IF(L199="","",IF(L199&gt;=4.2,"Сильное преимущество",IF(L199&gt;=3.4,"Потенциальное преимущество",IF(L199&gt;=2.5,"Слабое преимущество","Не считать преимуществом"))))</f>
        <v/>
      </c>
      <c r="N199" s="2" t="n"/>
    </row>
    <row r="200">
      <c r="A200" s="2" t="inlineStr">
        <is>
          <t>A194</t>
        </is>
      </c>
      <c r="B200" s="2" t="n"/>
      <c r="C200" s="2" t="n"/>
      <c r="D200" s="2" t="n"/>
      <c r="E200" s="2" t="n"/>
      <c r="F200" s="2" t="n"/>
      <c r="G200" s="2" t="n"/>
      <c r="H200" s="2" t="n"/>
      <c r="I200" s="2" t="n"/>
      <c r="J200" s="2" t="n"/>
      <c r="K200" s="2" t="n"/>
      <c r="L200" s="2">
        <f>IF(OR(H200="",I200="",J200="",K200=""),"",ROUND(H200*0.25+I200*0.25+J200*0.3+K200*0.2,2))</f>
        <v/>
      </c>
      <c r="M200" s="2">
        <f>IF(L200="","",IF(L200&gt;=4.2,"Сильное преимущество",IF(L200&gt;=3.4,"Потенциальное преимущество",IF(L200&gt;=2.5,"Слабое преимущество","Не считать преимуществом"))))</f>
        <v/>
      </c>
      <c r="N200" s="2" t="n"/>
    </row>
    <row r="201">
      <c r="A201" s="2" t="inlineStr">
        <is>
          <t>A195</t>
        </is>
      </c>
      <c r="B201" s="2" t="n"/>
      <c r="C201" s="2" t="n"/>
      <c r="D201" s="2" t="n"/>
      <c r="E201" s="2" t="n"/>
      <c r="F201" s="2" t="n"/>
      <c r="G201" s="2" t="n"/>
      <c r="H201" s="2" t="n"/>
      <c r="I201" s="2" t="n"/>
      <c r="J201" s="2" t="n"/>
      <c r="K201" s="2" t="n"/>
      <c r="L201" s="2">
        <f>IF(OR(H201="",I201="",J201="",K201=""),"",ROUND(H201*0.25+I201*0.25+J201*0.3+K201*0.2,2))</f>
        <v/>
      </c>
      <c r="M201" s="2">
        <f>IF(L201="","",IF(L201&gt;=4.2,"Сильное преимущество",IF(L201&gt;=3.4,"Потенциальное преимущество",IF(L201&gt;=2.5,"Слабое преимущество","Не считать преимуществом"))))</f>
        <v/>
      </c>
      <c r="N201" s="2" t="n"/>
    </row>
    <row r="202">
      <c r="A202" s="2" t="inlineStr">
        <is>
          <t>A196</t>
        </is>
      </c>
      <c r="B202" s="2" t="n"/>
      <c r="C202" s="2" t="n"/>
      <c r="D202" s="2" t="n"/>
      <c r="E202" s="2" t="n"/>
      <c r="F202" s="2" t="n"/>
      <c r="G202" s="2" t="n"/>
      <c r="H202" s="2" t="n"/>
      <c r="I202" s="2" t="n"/>
      <c r="J202" s="2" t="n"/>
      <c r="K202" s="2" t="n"/>
      <c r="L202" s="2">
        <f>IF(OR(H202="",I202="",J202="",K202=""),"",ROUND(H202*0.25+I202*0.25+J202*0.3+K202*0.2,2))</f>
        <v/>
      </c>
      <c r="M202" s="2">
        <f>IF(L202="","",IF(L202&gt;=4.2,"Сильное преимущество",IF(L202&gt;=3.4,"Потенциальное преимущество",IF(L202&gt;=2.5,"Слабое преимущество","Не считать преимуществом"))))</f>
        <v/>
      </c>
      <c r="N202" s="2" t="n"/>
    </row>
    <row r="203">
      <c r="A203" s="2" t="inlineStr">
        <is>
          <t>A197</t>
        </is>
      </c>
      <c r="B203" s="2" t="n"/>
      <c r="C203" s="2" t="n"/>
      <c r="D203" s="2" t="n"/>
      <c r="E203" s="2" t="n"/>
      <c r="F203" s="2" t="n"/>
      <c r="G203" s="2" t="n"/>
      <c r="H203" s="2" t="n"/>
      <c r="I203" s="2" t="n"/>
      <c r="J203" s="2" t="n"/>
      <c r="K203" s="2" t="n"/>
      <c r="L203" s="2">
        <f>IF(OR(H203="",I203="",J203="",K203=""),"",ROUND(H203*0.25+I203*0.25+J203*0.3+K203*0.2,2))</f>
        <v/>
      </c>
      <c r="M203" s="2">
        <f>IF(L203="","",IF(L203&gt;=4.2,"Сильное преимущество",IF(L203&gt;=3.4,"Потенциальное преимущество",IF(L203&gt;=2.5,"Слабое преимущество","Не считать преимуществом"))))</f>
        <v/>
      </c>
      <c r="N203" s="2" t="n"/>
    </row>
    <row r="204">
      <c r="A204" s="2" t="inlineStr">
        <is>
          <t>A198</t>
        </is>
      </c>
      <c r="B204" s="2" t="n"/>
      <c r="C204" s="2" t="n"/>
      <c r="D204" s="2" t="n"/>
      <c r="E204" s="2" t="n"/>
      <c r="F204" s="2" t="n"/>
      <c r="G204" s="2" t="n"/>
      <c r="H204" s="2" t="n"/>
      <c r="I204" s="2" t="n"/>
      <c r="J204" s="2" t="n"/>
      <c r="K204" s="2" t="n"/>
      <c r="L204" s="2">
        <f>IF(OR(H204="",I204="",J204="",K204=""),"",ROUND(H204*0.25+I204*0.25+J204*0.3+K204*0.2,2))</f>
        <v/>
      </c>
      <c r="M204" s="2">
        <f>IF(L204="","",IF(L204&gt;=4.2,"Сильное преимущество",IF(L204&gt;=3.4,"Потенциальное преимущество",IF(L204&gt;=2.5,"Слабое преимущество","Не считать преимуществом"))))</f>
        <v/>
      </c>
      <c r="N204" s="2" t="n"/>
    </row>
    <row r="205">
      <c r="A205" s="2" t="inlineStr">
        <is>
          <t>A199</t>
        </is>
      </c>
      <c r="B205" s="2" t="n"/>
      <c r="C205" s="2" t="n"/>
      <c r="D205" s="2" t="n"/>
      <c r="E205" s="2" t="n"/>
      <c r="F205" s="2" t="n"/>
      <c r="G205" s="2" t="n"/>
      <c r="H205" s="2" t="n"/>
      <c r="I205" s="2" t="n"/>
      <c r="J205" s="2" t="n"/>
      <c r="K205" s="2" t="n"/>
      <c r="L205" s="2">
        <f>IF(OR(H205="",I205="",J205="",K205=""),"",ROUND(H205*0.25+I205*0.25+J205*0.3+K205*0.2,2))</f>
        <v/>
      </c>
      <c r="M205" s="2">
        <f>IF(L205="","",IF(L205&gt;=4.2,"Сильное преимущество",IF(L205&gt;=3.4,"Потенциальное преимущество",IF(L205&gt;=2.5,"Слабое преимущество","Не считать преимуществом"))))</f>
        <v/>
      </c>
      <c r="N205" s="2" t="n"/>
    </row>
    <row r="206">
      <c r="A206" s="2" t="inlineStr">
        <is>
          <t>A200</t>
        </is>
      </c>
      <c r="B206" s="2" t="n"/>
      <c r="C206" s="2" t="n"/>
      <c r="D206" s="2" t="n"/>
      <c r="E206" s="2" t="n"/>
      <c r="F206" s="2" t="n"/>
      <c r="G206" s="2" t="n"/>
      <c r="H206" s="2" t="n"/>
      <c r="I206" s="2" t="n"/>
      <c r="J206" s="2" t="n"/>
      <c r="K206" s="2" t="n"/>
      <c r="L206" s="2">
        <f>IF(OR(H206="",I206="",J206="",K206=""),"",ROUND(H206*0.25+I206*0.25+J206*0.3+K206*0.2,2))</f>
        <v/>
      </c>
      <c r="M206" s="2">
        <f>IF(L206="","",IF(L206&gt;=4.2,"Сильное преимущество",IF(L206&gt;=3.4,"Потенциальное преимущество",IF(L206&gt;=2.5,"Слабое преимущество","Не считать преимуществом"))))</f>
        <v/>
      </c>
      <c r="N206" s="2" t="n"/>
    </row>
  </sheetData>
  <mergeCells count="2">
    <mergeCell ref="A2:N2"/>
    <mergeCell ref="A1:N1"/>
  </mergeCells>
  <conditionalFormatting sqref="L7:L206">
    <cfRule type="colorScale" priority="1">
      <colorScale>
        <cfvo type="min"/>
        <cfvo type="percentile" val="50"/>
        <cfvo type="max"/>
        <color rgb="FFFEE2E2"/>
        <color rgb="FFFEF3C7"/>
        <color rgb="FFDCFCE7"/>
      </colorScale>
    </cfRule>
  </conditionalFormatting>
  <dataValidations count="4">
    <dataValidation sqref="E7:E206" showDropDown="0" showInputMessage="0" showErrorMessage="0" allowBlank="0" type="list">
      <formula1>"1. Базовая выгода,2. Родовой товар,3. Ожидаемый товар,4. Расширенный товар,5. Потенциальный товар"</formula1>
    </dataValidation>
    <dataValidation sqref="F7:F206" showDropDown="0" showInputMessage="0" showErrorMessage="0" allowBlank="0" type="list">
      <formula1>"Обязательное,Линейное,Привлекательное,Безразличное,Обратное,Неясное"</formula1>
    </dataValidation>
    <dataValidation sqref="G7:G206" showDropDown="0" showInputMessage="0" showErrorMessage="0" allowBlank="0" type="list">
      <formula1>"Функциональное,Экономическое,Интерфейсное,Сервисное,Доверительное,Данные и аналитика,Сетевой эффект,Интеграционное,Контентное"</formula1>
    </dataValidation>
    <dataValidation sqref="H7:K206" showDropDown="0" showInputMessage="0" showErrorMessage="0" allowBlank="0" type="list">
      <formula1>"1,2,3,4,5"</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N25"/>
  <sheetViews>
    <sheetView topLeftCell="A8" zoomScale="81" workbookViewId="0">
      <selection activeCell="D45" sqref="D45"/>
    </sheetView>
  </sheetViews>
  <sheetFormatPr baseColWidth="8" defaultRowHeight="14.25"/>
  <cols>
    <col width="28" customWidth="1" min="1" max="1"/>
    <col width="14" customWidth="1" min="2" max="2"/>
    <col width="18" customWidth="1" min="3" max="3"/>
    <col width="61.125" customWidth="1" min="4" max="4"/>
    <col width="22" customWidth="1" min="6" max="6"/>
    <col width="14" customWidth="1" min="7" max="8"/>
    <col width="28" customWidth="1" min="10" max="10"/>
    <col width="16" customWidth="1" min="11" max="12"/>
  </cols>
  <sheetData>
    <row r="1" ht="16.15" customHeight="1">
      <c r="A1" s="14" t="inlineStr">
        <is>
          <t>09. Дашборд анализа цифрового товара</t>
        </is>
      </c>
    </row>
    <row r="2" ht="21" customHeight="1">
      <c r="A2" s="16" t="inlineStr">
        <is>
          <t>Сводные показатели обновляются после заполнения листов. Используйте лист для контроля полноты анализа и обсуждения итоговых выводов</t>
        </is>
      </c>
    </row>
    <row r="3"/>
    <row r="4" ht="17.1" customHeight="1">
      <c r="A4" s="1" t="inlineStr">
        <is>
          <t>Показатель</t>
        </is>
      </c>
      <c r="B4" s="1" t="inlineStr">
        <is>
          <t>Значение</t>
        </is>
      </c>
      <c r="C4" s="1" t="inlineStr">
        <is>
          <t>Норма контроля</t>
        </is>
      </c>
      <c r="D4" s="1" t="inlineStr">
        <is>
          <t>Комментарий</t>
        </is>
      </c>
      <c r="F4" s="1" t="inlineStr">
        <is>
          <t>Категория Кано</t>
        </is>
      </c>
      <c r="G4" s="1" t="inlineStr">
        <is>
          <t>Количество</t>
        </is>
      </c>
      <c r="H4" s="1" t="inlineStr">
        <is>
          <t>Доля</t>
        </is>
      </c>
      <c r="J4" s="1" t="inlineStr">
        <is>
          <t>Уровень Левитта</t>
        </is>
      </c>
      <c r="K4" s="1" t="inlineStr">
        <is>
          <t>Кол-во признаков</t>
        </is>
      </c>
      <c r="L4" s="1" t="inlineStr">
        <is>
          <t>Средняя оценка</t>
        </is>
      </c>
    </row>
    <row r="5" ht="15.75" customHeight="1">
      <c r="A5" s="21" t="inlineStr">
        <is>
          <t>Конкурентов в анализе</t>
        </is>
      </c>
      <c r="B5" s="22">
        <f>COUNTIF('01_Конкуренты'!$B\$7:$B\$36,"?*")</f>
        <v/>
      </c>
      <c r="C5" s="21" t="inlineStr">
        <is>
          <t>5–12</t>
        </is>
      </c>
      <c r="D5" s="21" t="inlineStr">
        <is>
          <t>Меньше 5 — риск случайных выводов</t>
        </is>
      </c>
      <c r="E5" s="20" t="n"/>
      <c r="F5" s="21" t="inlineStr">
        <is>
          <t>Обязательное</t>
        </is>
      </c>
      <c r="G5" s="21">
        <f>COUNTIF('04_Кано'!$E\$7:$E\$206,F5)</f>
        <v/>
      </c>
      <c r="H5" s="23">
        <f>IFERROR(G5/SUM($G\$5:$G\$10),"")</f>
        <v/>
      </c>
      <c r="I5" s="20" t="n"/>
      <c r="J5" s="21" t="inlineStr">
        <is>
          <t>1. Базовая выгода</t>
        </is>
      </c>
      <c r="K5" s="21">
        <f>COUNTIF('03_Левитт'!$D\$7:$D\$306,J5)</f>
        <v/>
      </c>
      <c r="L5" s="21">
        <f>IFERROR(AVERAGEIF('03_Левитт'!$D\$7:$D\$306,J5,'03_Левитт'!$L\$7:$L\$306),"")</f>
        <v/>
      </c>
    </row>
    <row r="6" ht="15.75" customHeight="1">
      <c r="A6" s="21" t="inlineStr">
        <is>
          <t>Проверенных страниц</t>
        </is>
      </c>
      <c r="B6" s="22">
        <f>COUNTIF('02_Карта_сайтов'!$C\$7:$C\$206,"?*")</f>
        <v/>
      </c>
      <c r="C6" s="21" t="inlineStr">
        <is>
          <t>30+</t>
        </is>
      </c>
      <c r="D6" s="21" t="inlineStr">
        <is>
          <t>Желательно несколько типов страниц по каждому конкуренту</t>
        </is>
      </c>
      <c r="E6" s="20" t="n"/>
      <c r="F6" s="21" t="inlineStr">
        <is>
          <t>Линейное</t>
        </is>
      </c>
      <c r="G6" s="21">
        <f>COUNTIF('04_Кано'!$E\$7:$E\$206,F6)</f>
        <v/>
      </c>
      <c r="H6" s="23">
        <f>IFERROR(G6/SUM($G\$5:$G\$10),"")</f>
        <v/>
      </c>
      <c r="I6" s="20" t="n"/>
      <c r="J6" s="21" t="inlineStr">
        <is>
          <t>2. Родовой товар</t>
        </is>
      </c>
      <c r="K6" s="21">
        <f>COUNTIF('03_Левитт'!$D\$7:$D\$306,J6)</f>
        <v/>
      </c>
      <c r="L6" s="21">
        <f>IFERROR(AVERAGEIF('03_Левитт'!$D\$7:$D\$306,J6,'03_Левитт'!$L\$7:$L\$306),"")</f>
        <v/>
      </c>
    </row>
    <row r="7" ht="15.75" customHeight="1">
      <c r="A7" s="21" t="inlineStr">
        <is>
          <t>Признаков по Левитту</t>
        </is>
      </c>
      <c r="B7" s="22">
        <f>COUNTIF('03_Левитт'!$E\$7:$E\$306,"?*")</f>
        <v/>
      </c>
      <c r="C7" s="21" t="inlineStr">
        <is>
          <t>40+</t>
        </is>
      </c>
      <c r="D7" s="21" t="inlineStr">
        <is>
          <t>Нужны признаки по всем уровням товара</t>
        </is>
      </c>
      <c r="E7" s="20" t="n"/>
      <c r="F7" s="21" t="inlineStr">
        <is>
          <t>Привлекательное</t>
        </is>
      </c>
      <c r="G7" s="21">
        <f>COUNTIF('04_Кано'!$E\$7:$E\$206,F7)</f>
        <v/>
      </c>
      <c r="H7" s="23">
        <f>IFERROR(G7/SUM($G\$5:$G\$10),"")</f>
        <v/>
      </c>
      <c r="I7" s="20" t="n"/>
      <c r="J7" s="21" t="inlineStr">
        <is>
          <t>3. Ожидаемый товар</t>
        </is>
      </c>
      <c r="K7" s="21">
        <f>COUNTIF('03_Левитт'!$D\$7:$D\$306,J7)</f>
        <v/>
      </c>
      <c r="L7" s="21">
        <f>IFERROR(AVERAGEIF('03_Левитт'!$D\$7:$D\$306,J7,'03_Левитт'!$L\$7:$L\$306),"")</f>
        <v/>
      </c>
    </row>
    <row r="8" ht="15.75" customHeight="1">
      <c r="A8" s="21" t="inlineStr">
        <is>
          <t>Требований по Кано</t>
        </is>
      </c>
      <c r="B8" s="22">
        <f>COUNTIF('04_Кано'!$B\$7:$B\$206,"?*")</f>
        <v/>
      </c>
      <c r="C8" s="21" t="inlineStr">
        <is>
          <t>25+</t>
        </is>
      </c>
      <c r="D8" s="21" t="inlineStr">
        <is>
          <t>Обязательные и привлекательные признаки должны быть разделены</t>
        </is>
      </c>
      <c r="E8" s="20" t="n"/>
      <c r="F8" s="21" t="inlineStr">
        <is>
          <t>Безразличное</t>
        </is>
      </c>
      <c r="G8" s="21">
        <f>COUNTIF('04_Кано'!$E\$7:$E\$206,F8)</f>
        <v/>
      </c>
      <c r="H8" s="23">
        <f>IFERROR(G8/SUM($G\$5:$G\$10),"")</f>
        <v/>
      </c>
      <c r="I8" s="20" t="n"/>
      <c r="J8" s="21" t="inlineStr">
        <is>
          <t>4. Расширенный товар</t>
        </is>
      </c>
      <c r="K8" s="21">
        <f>COUNTIF('03_Левитт'!$D\$7:$D\$306,J8)</f>
        <v/>
      </c>
      <c r="L8" s="21">
        <f>IFERROR(AVERAGEIF('03_Левитт'!$D\$7:$D\$306,J8,'03_Левитт'!$L\$7:$L\$306),"")</f>
        <v/>
      </c>
    </row>
    <row r="9" ht="15.75" customHeight="1">
      <c r="A9" s="21" t="inlineStr">
        <is>
          <t>Рыночных стандартов</t>
        </is>
      </c>
      <c r="B9" s="22">
        <f>COUNTIF('07_Стандарт_рынка'!$I\$7:$I\$206,"Рыночный стандарт")</f>
        <v/>
      </c>
      <c r="C9" s="21" t="inlineStr">
        <is>
          <t>по факту</t>
        </is>
      </c>
      <c r="D9" s="21" t="inlineStr">
        <is>
          <t>Это минимальная планка цифрового товара</t>
        </is>
      </c>
      <c r="E9" s="20" t="n"/>
      <c r="F9" s="21" t="inlineStr">
        <is>
          <t>Обратное</t>
        </is>
      </c>
      <c r="G9" s="21">
        <f>COUNTIF('04_Кано'!$E\$7:$E\$206,F9)</f>
        <v/>
      </c>
      <c r="H9" s="23">
        <f>IFERROR(G9/SUM($G\$5:$G\$10),"")</f>
        <v/>
      </c>
      <c r="I9" s="20" t="n"/>
      <c r="J9" s="21" t="inlineStr">
        <is>
          <t>5. Потенциальный товар</t>
        </is>
      </c>
      <c r="K9" s="21">
        <f>COUNTIF('03_Левитт'!$D\$7:$D\$306,J9)</f>
        <v/>
      </c>
      <c r="L9" s="21">
        <f>IFERROR(AVERAGEIF('03_Левитт'!$D\$7:$D\$306,J9,'03_Левитт'!$L\$7:$L\$306),"")</f>
        <v/>
      </c>
    </row>
    <row r="10" ht="15.75" customHeight="1">
      <c r="A10" s="21" t="inlineStr">
        <is>
          <t>Зон дифференциации</t>
        </is>
      </c>
      <c r="B10" s="22">
        <f>COUNTIF('07_Стандарт_рынка'!$I\$7:$I\$206,"Зона дифференциации")</f>
        <v/>
      </c>
      <c r="C10" s="21" t="inlineStr">
        <is>
          <t>по факту</t>
        </is>
      </c>
      <c r="D10" s="21" t="inlineStr">
        <is>
          <t>Это пространство для конкурентного отличия</t>
        </is>
      </c>
      <c r="E10" s="20" t="n"/>
      <c r="F10" s="21" t="inlineStr">
        <is>
          <t>Неясное</t>
        </is>
      </c>
      <c r="G10" s="21">
        <f>COUNTIF('04_Кано'!$E\$7:$E\$206,F10)</f>
        <v/>
      </c>
      <c r="H10" s="23">
        <f>IFERROR(G10/SUM($G\$5:$G\$10),"")</f>
        <v/>
      </c>
      <c r="I10" s="20" t="n"/>
      <c r="J10" s="20" t="n"/>
      <c r="K10" s="20" t="n"/>
      <c r="L10" s="20" t="n"/>
    </row>
    <row r="11" ht="15.75" customHeight="1">
      <c r="A11" s="21" t="inlineStr">
        <is>
          <t>Сильных преимуществ</t>
        </is>
      </c>
      <c r="B11" s="22">
        <f>COUNTIF('08_Преимущества'!$M\$7:$M\$206,"Сильное преимущество")</f>
        <v/>
      </c>
      <c r="C11" s="21" t="inlineStr">
        <is>
          <t>по факту</t>
        </is>
      </c>
      <c r="D11" s="21" t="inlineStr">
        <is>
          <t>Проверять доказательства и воспроизводимость</t>
        </is>
      </c>
      <c r="E11" s="20" t="n"/>
      <c r="F11" s="20" t="n"/>
      <c r="G11" s="20" t="n"/>
      <c r="H11" s="20" t="n"/>
      <c r="I11" s="20" t="n"/>
      <c r="J11" s="20" t="n"/>
      <c r="K11" s="20" t="n"/>
      <c r="L11" s="20" t="n"/>
    </row>
    <row r="12"/>
    <row r="13"/>
    <row r="14" ht="15" customHeight="1">
      <c r="A14" s="6" t="inlineStr">
        <is>
          <t>Итоговые баллы конкурентов</t>
        </is>
      </c>
      <c r="B14" s="6" t="n"/>
      <c r="C14" s="6" t="n"/>
      <c r="D14" s="6" t="n"/>
      <c r="E14" s="6" t="n"/>
      <c r="F14" s="6" t="n"/>
      <c r="G14" s="6" t="n"/>
      <c r="H14" s="6" t="n"/>
      <c r="I14" s="6" t="n"/>
      <c r="J14" s="6" t="n"/>
    </row>
    <row r="15" ht="17.1" customHeight="1">
      <c r="A15" s="1" t="inlineStr">
        <is>
          <t>C01</t>
        </is>
      </c>
      <c r="B15" s="1" t="inlineStr">
        <is>
          <t>C02</t>
        </is>
      </c>
      <c r="C15" s="1" t="inlineStr">
        <is>
          <t>C03</t>
        </is>
      </c>
      <c r="D15" s="1" t="inlineStr">
        <is>
          <t>C04</t>
        </is>
      </c>
      <c r="E15" s="1" t="inlineStr">
        <is>
          <t>C05</t>
        </is>
      </c>
      <c r="F15" s="1" t="inlineStr">
        <is>
          <t>C06</t>
        </is>
      </c>
      <c r="G15" s="1" t="inlineStr">
        <is>
          <t>C07</t>
        </is>
      </c>
      <c r="H15" s="1" t="inlineStr">
        <is>
          <t>C08</t>
        </is>
      </c>
    </row>
    <row r="16" ht="15.75" customHeight="1">
      <c r="A16" s="9">
        <f>'06_Сравнение'!E90</f>
        <v/>
      </c>
      <c r="B16" s="9">
        <f>'06_Сравнение'!F90</f>
        <v/>
      </c>
      <c r="C16" s="9">
        <f>'06_Сравнение'!G90</f>
        <v/>
      </c>
      <c r="D16" s="9">
        <f>'06_Сравнение'!H90</f>
        <v/>
      </c>
      <c r="E16" s="9">
        <f>'06_Сравнение'!I90</f>
        <v/>
      </c>
      <c r="F16" s="9">
        <f>'06_Сравнение'!J90</f>
        <v/>
      </c>
      <c r="G16" s="9">
        <f>'06_Сравнение'!K90</f>
        <v/>
      </c>
      <c r="H16" s="9">
        <f>'06_Сравнение'!L90</f>
        <v/>
      </c>
    </row>
    <row r="17" ht="25.5" customHeight="1">
      <c r="A17" s="8">
        <f>'06_Сравнение'!E91</f>
        <v/>
      </c>
      <c r="B17" s="8">
        <f>'06_Сравнение'!F91</f>
        <v/>
      </c>
      <c r="C17" s="8">
        <f>'06_Сравнение'!G91</f>
        <v/>
      </c>
      <c r="D17" s="8">
        <f>'06_Сравнение'!H91</f>
        <v/>
      </c>
      <c r="E17" s="8">
        <f>'06_Сравнение'!I91</f>
        <v/>
      </c>
      <c r="F17" s="8">
        <f>'06_Сравнение'!J91</f>
        <v/>
      </c>
      <c r="G17" s="8">
        <f>'06_Сравнение'!K91</f>
        <v/>
      </c>
      <c r="H17" s="8">
        <f>'06_Сравнение'!L91</f>
        <v/>
      </c>
    </row>
    <row r="18"/>
    <row r="19"/>
    <row r="20" ht="15" customHeight="1">
      <c r="A20" s="6" t="inlineStr">
        <is>
          <t>Итоговые управленческие выводы</t>
        </is>
      </c>
      <c r="B20" s="6" t="n"/>
      <c r="C20" s="6" t="n"/>
      <c r="D20" s="6" t="n"/>
      <c r="E20" s="6" t="n"/>
      <c r="F20" s="6" t="n"/>
      <c r="G20" s="6" t="n"/>
      <c r="H20" s="6" t="n"/>
      <c r="I20" s="6" t="n"/>
      <c r="J20" s="6" t="n"/>
      <c r="K20" s="6" t="n"/>
      <c r="L20" s="6" t="n"/>
      <c r="M20" s="6" t="n"/>
      <c r="N20" s="6" t="n"/>
    </row>
    <row r="21" ht="42" customHeight="1">
      <c r="A21" s="18" t="inlineStr">
        <is>
          <t>1. Минимальный состав цифрового товара</t>
        </is>
      </c>
      <c r="B21" s="19" t="inlineStr">
        <is>
          <t>Минимальный состав: бесплатный доступ (8 из 8), экспорт (8 из 8), интеграции (8 из 8), UML (4 из 8), ERD (6 из 8), документация (6 из 8), открытая страница тарифов (5 из 8)</t>
        </is>
      </c>
    </row>
    <row r="22" ht="36" customHeight="1">
      <c r="A22" s="18" t="inlineStr">
        <is>
          <t>2. Признаки, которые нельзя игнорировать</t>
        </is>
      </c>
      <c r="B22" s="19" t="inlineStr">
        <is>
          <t>Нельзя игнорировать: Free-тариф, экспорт, понятные тарифы с ценой за пользователя в месяц, документация, ИИ-генерация (5 из 8) и интеграции</t>
        </is>
      </c>
    </row>
    <row r="23" ht="43.5" customHeight="1">
      <c r="A23" s="18" t="inlineStr">
        <is>
          <t>3. Главные зоны дифференциации</t>
        </is>
      </c>
      <c r="B23" s="19" t="inlineStr">
        <is>
          <t>Зоны дифференциации NotaCode: IDEF0, DFD и сети Петри на просмотренных сайтах не найдены; полный набор UML, BPMN, ERD найден только у Lucidchart; тарифы в рублях - только у Storm</t>
        </is>
      </c>
    </row>
    <row r="24" ht="44.25" customHeight="1">
      <c r="A24" s="18" t="inlineStr">
        <is>
          <t>4. Лучшие практики конкурентов</t>
        </is>
      </c>
      <c r="B24" s="19" t="inlineStr">
        <is>
          <t>Лучшие практики: прозрачные тарифы с ИИ-лимитами (Eraser, Mermaid Chart), шаблоны в бесплатном тарифе (Lucidchart), зрители без оплаты (Whimsical, Mermaid Chart), открытая экосистема (Mermaid)</t>
        </is>
      </c>
    </row>
    <row r="25" ht="43.5" customHeight="1">
      <c r="A25" s="18" t="inlineStr">
        <is>
          <t>5. Риски копирования конкурентов без проверки спроса</t>
        </is>
      </c>
      <c r="B25" s="19" t="inlineStr">
        <is>
          <t>Риск: копировать тарифы за пользователя без проверки спроса студентов; цена Pro 40 у.е. в год ниже минимальных тарифов конкурентов (от 9 у.е. в месяц), её нужно подтвердить опросом</t>
        </is>
      </c>
    </row>
  </sheetData>
  <mergeCells count="7">
    <mergeCell ref="B22:N22"/>
    <mergeCell ref="B23:N23"/>
    <mergeCell ref="A2:N2"/>
    <mergeCell ref="B21:N21"/>
    <mergeCell ref="B25:N25"/>
    <mergeCell ref="B24:N24"/>
    <mergeCell ref="A1:N1"/>
  </mergeCells>
  <pageMargins left="0.7" right="0.7" top="0.75" bottom="0.75" header="0.3" footer="0.3"/>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H24"/>
  <sheetViews>
    <sheetView workbookViewId="0">
      <selection activeCell="H29" sqref="H29"/>
    </sheetView>
  </sheetViews>
  <sheetFormatPr baseColWidth="8" defaultRowHeight="14.25"/>
  <cols>
    <col width="24" customWidth="1" min="1" max="1"/>
    <col width="28" customWidth="1" min="2" max="2"/>
    <col width="72" customWidth="1" min="3" max="3"/>
  </cols>
  <sheetData>
    <row r="1" ht="16.15" customHeight="1">
      <c r="A1" s="14" t="inlineStr">
        <is>
          <t>99. Справочники для заполнения</t>
        </is>
      </c>
    </row>
    <row r="2" ht="21" customHeight="1">
      <c r="A2" s="16" t="inlineStr">
        <is>
          <t>Лист содержит подсказки по классификациям, используемым в шаблоне</t>
        </is>
      </c>
    </row>
    <row r="3"/>
    <row r="4" ht="17.1" customHeight="1">
      <c r="A4" s="1" t="inlineStr">
        <is>
          <t>Справочник</t>
        </is>
      </c>
      <c r="B4" s="1" t="inlineStr">
        <is>
          <t>Значение</t>
        </is>
      </c>
      <c r="C4" s="1" t="inlineStr">
        <is>
          <t>Пояснение</t>
        </is>
      </c>
    </row>
    <row r="5">
      <c r="A5" s="2" t="inlineStr">
        <is>
          <t>Уровни Левитта</t>
        </is>
      </c>
      <c r="B5" s="2" t="inlineStr">
        <is>
          <t>1. Базовая выгода</t>
        </is>
      </c>
      <c r="C5" s="2" t="inlineStr">
        <is>
          <t>Главная задача и ценность для пользователя</t>
        </is>
      </c>
    </row>
    <row r="6">
      <c r="A6" s="2" t="inlineStr">
        <is>
          <t>Уровни Левитта</t>
        </is>
      </c>
      <c r="B6" s="2" t="inlineStr">
        <is>
          <t>2. Родовой товар</t>
        </is>
      </c>
      <c r="C6" s="2" t="inlineStr">
        <is>
          <t>Минимальная форма товара: сервис, приложение, кабинет, база, подписка</t>
        </is>
      </c>
    </row>
    <row r="7">
      <c r="A7" s="2" t="inlineStr">
        <is>
          <t>Уровни Левитта</t>
        </is>
      </c>
      <c r="B7" s="2" t="inlineStr">
        <is>
          <t>3. Ожидаемый товар</t>
        </is>
      </c>
      <c r="C7" s="2" t="inlineStr">
        <is>
          <t>То, что пользователь считает нормой категории</t>
        </is>
      </c>
    </row>
    <row r="8">
      <c r="A8" s="2" t="inlineStr">
        <is>
          <t>Уровни Левитта</t>
        </is>
      </c>
      <c r="B8" s="2" t="inlineStr">
        <is>
          <t>4. Расширенный товар</t>
        </is>
      </c>
      <c r="C8" s="2" t="inlineStr">
        <is>
          <t>Дополнительные элементы, повышающие ценность и доверие</t>
        </is>
      </c>
    </row>
    <row r="9">
      <c r="A9" s="2" t="inlineStr">
        <is>
          <t>Уровни Левитта</t>
        </is>
      </c>
      <c r="B9" s="2" t="inlineStr">
        <is>
          <t>5. Потенциальный товар</t>
        </is>
      </c>
      <c r="C9" s="2" t="inlineStr">
        <is>
          <t>Будущие функции, развитие, интеграции, персонализация, данные</t>
        </is>
      </c>
    </row>
    <row r="10">
      <c r="A10" s="2" t="inlineStr">
        <is>
          <t>Категории Кано</t>
        </is>
      </c>
      <c r="B10" s="2" t="inlineStr">
        <is>
          <t>Обязательное</t>
        </is>
      </c>
      <c r="C10" s="2" t="inlineStr">
        <is>
          <t>Отсутствие вызывает неудовлетворенность; наличие обычно воспринимается как норма</t>
        </is>
      </c>
    </row>
    <row r="11">
      <c r="A11" s="2" t="inlineStr">
        <is>
          <t>Категории Кано</t>
        </is>
      </c>
      <c r="B11" s="2" t="inlineStr">
        <is>
          <t>Линейное</t>
        </is>
      </c>
      <c r="C11" s="2" t="inlineStr">
        <is>
          <t>Чем лучше реализовано, тем выше удовлетворенность и готовность выбрать товар</t>
        </is>
      </c>
    </row>
    <row r="12">
      <c r="A12" s="2" t="inlineStr">
        <is>
          <t>Категории Кано</t>
        </is>
      </c>
      <c r="B12" s="2" t="inlineStr">
        <is>
          <t>Привлекательное</t>
        </is>
      </c>
      <c r="C12" s="2" t="inlineStr">
        <is>
          <t>Не ожидается большинством, но создает положительное отличие</t>
        </is>
      </c>
    </row>
    <row r="13">
      <c r="A13" s="2" t="inlineStr">
        <is>
          <t>Категории Кано</t>
        </is>
      </c>
      <c r="B13" s="2" t="inlineStr">
        <is>
          <t>Безразличное</t>
        </is>
      </c>
      <c r="C13" s="2" t="inlineStr">
        <is>
          <t>Слабо влияет на выбор и удовлетворенность</t>
        </is>
      </c>
    </row>
    <row r="14">
      <c r="A14" s="2" t="inlineStr">
        <is>
          <t>Категории Кано</t>
        </is>
      </c>
      <c r="B14" s="2" t="inlineStr">
        <is>
          <t>Обратное</t>
        </is>
      </c>
      <c r="C14" s="2" t="inlineStr">
        <is>
          <t>Может снижать удовлетворенность или создавать отторжение</t>
        </is>
      </c>
    </row>
    <row r="15">
      <c r="A15" s="2" t="inlineStr">
        <is>
          <t>Категории Кано</t>
        </is>
      </c>
      <c r="B15" s="2" t="inlineStr">
        <is>
          <t>Неясное</t>
        </is>
      </c>
      <c r="C15" s="2" t="inlineStr">
        <is>
          <t>Недостаточно данных для классификации</t>
        </is>
      </c>
    </row>
    <row r="16">
      <c r="A16" s="2" t="inlineStr">
        <is>
          <t>Типы преимуществ</t>
        </is>
      </c>
      <c r="B16" s="2" t="inlineStr">
        <is>
          <t>Функциональное</t>
        </is>
      </c>
      <c r="C16" s="2" t="inlineStr">
        <is>
          <t>Лучший набор функций или качество их реализации</t>
        </is>
      </c>
    </row>
    <row r="17">
      <c r="A17" s="2" t="inlineStr">
        <is>
          <t>Типы преимуществ</t>
        </is>
      </c>
      <c r="B17" s="2" t="inlineStr">
        <is>
          <t>Экономическое</t>
        </is>
      </c>
      <c r="C17" s="2" t="inlineStr">
        <is>
          <t>Цена, стоимость владения, экономия ресурсов</t>
        </is>
      </c>
    </row>
    <row r="18">
      <c r="A18" s="2" t="inlineStr">
        <is>
          <t>Типы преимуществ</t>
        </is>
      </c>
      <c r="B18" s="2" t="inlineStr">
        <is>
          <t>Интерфейсное</t>
        </is>
      </c>
      <c r="C18" s="2" t="inlineStr">
        <is>
          <t>Простота, скорость и понятность пользовательского пути</t>
        </is>
      </c>
    </row>
    <row r="19">
      <c r="A19" s="2" t="inlineStr">
        <is>
          <t>Типы преимуществ</t>
        </is>
      </c>
      <c r="B19" s="2" t="inlineStr">
        <is>
          <t>Сервисное</t>
        </is>
      </c>
      <c r="C19" s="2" t="inlineStr">
        <is>
          <t>Поддержка, сопровождение, обучение, гарантия результата</t>
        </is>
      </c>
    </row>
    <row r="20">
      <c r="A20" s="2" t="inlineStr">
        <is>
          <t>Типы преимуществ</t>
        </is>
      </c>
      <c r="B20" s="2" t="inlineStr">
        <is>
          <t>Доверительное</t>
        </is>
      </c>
      <c r="C20" s="2" t="inlineStr">
        <is>
          <t>Доказательства надежности, безопасность, репутация</t>
        </is>
      </c>
    </row>
    <row r="21">
      <c r="A21" s="2" t="inlineStr">
        <is>
          <t>Типы преимуществ</t>
        </is>
      </c>
      <c r="B21" s="2" t="inlineStr">
        <is>
          <t>Данные и аналитика</t>
        </is>
      </c>
      <c r="C21" s="2" t="inlineStr">
        <is>
          <t>Персонализация, рекомендации, отчеты, прогнозы</t>
        </is>
      </c>
    </row>
    <row r="22">
      <c r="A22" s="2" t="inlineStr">
        <is>
          <t>Типы преимуществ</t>
        </is>
      </c>
      <c r="B22" s="2" t="inlineStr">
        <is>
          <t>Сетевой эффект</t>
        </is>
      </c>
      <c r="C22" s="2" t="inlineStr">
        <is>
          <t>Ценность растет с числом пользователей, участников, данных или партнеров</t>
        </is>
      </c>
    </row>
    <row r="23">
      <c r="A23" s="2" t="inlineStr">
        <is>
          <t>Типы преимуществ</t>
        </is>
      </c>
      <c r="B23" s="2" t="inlineStr">
        <is>
          <t>Интеграционное</t>
        </is>
      </c>
      <c r="C23" s="2" t="inlineStr">
        <is>
          <t>Связь с другими системами и процессами пользователя</t>
        </is>
      </c>
    </row>
    <row r="24">
      <c r="A24" s="2" t="inlineStr">
        <is>
          <t>Типы преимуществ</t>
        </is>
      </c>
      <c r="B24" s="2" t="inlineStr">
        <is>
          <t>Контентное</t>
        </is>
      </c>
      <c r="C24" s="2" t="inlineStr">
        <is>
          <t>Качество, глубина, эксклюзивность или регулярность материалов</t>
        </is>
      </c>
    </row>
  </sheetData>
  <mergeCells count="2">
    <mergeCell ref="A2:H2"/>
    <mergeCell ref="A1:H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C16"/>
  <sheetViews>
    <sheetView tabSelected="1" workbookViewId="0">
      <selection activeCell="C26" sqref="C26"/>
    </sheetView>
  </sheetViews>
  <sheetFormatPr baseColWidth="8" defaultRowHeight="12.75"/>
  <cols>
    <col width="22.625" customWidth="1" style="10" min="1" max="1"/>
    <col width="8.625" customWidth="1" style="10" min="2" max="2"/>
    <col width="150.625" customWidth="1" style="10" min="3" max="3"/>
    <col width="9" customWidth="1" style="10" min="4" max="16384"/>
  </cols>
  <sheetData>
    <row r="1" ht="15.75" customHeight="1">
      <c r="A1" s="11" t="inlineStr">
        <is>
          <t>Журнал рабочей копии: источники, правила, ограничения</t>
        </is>
      </c>
    </row>
    <row r="2"/>
    <row r="3">
      <c r="A3" s="12" t="inlineStr">
        <is>
          <t>Раздел</t>
        </is>
      </c>
      <c r="B3" s="12" t="inlineStr">
        <is>
          <t>Код</t>
        </is>
      </c>
      <c r="C3" s="12" t="inlineStr">
        <is>
          <t>Содержание</t>
        </is>
      </c>
    </row>
    <row r="4" ht="25.5" customHeight="1">
      <c r="A4" s="13" t="inlineStr">
        <is>
          <t>Исправление шаблона</t>
        </is>
      </c>
      <c r="B4" s="13" t="inlineStr">
        <is>
          <t>Д-1</t>
        </is>
      </c>
      <c r="C4" s="13" t="inlineStr">
        <is>
          <t>Лист 06_Сравнение, строки 90 и 91 (итоговый балл и интерпретация): формулы столбцов F-L ссылались на столбец E (баллы C01), поэтому итог был одинаковым (3,28) у всех конкурентов. Ссылки заменены на собственные столбцы (E-L); логика формулы сохранена</t>
        </is>
      </c>
    </row>
    <row r="5" ht="25.5" customHeight="1">
      <c r="A5" s="13" t="inlineStr">
        <is>
          <t>Исправление шаблона</t>
        </is>
      </c>
      <c r="B5" s="13" t="inlineStr">
        <is>
          <t>Д-2</t>
        </is>
      </c>
      <c r="C5" s="13" t="inlineStr">
        <is>
          <t>Лист 06_Сравнение, столбец O (Лидер) в пустых строках P26-P80: MAX пустого диапазона даёт 0, MATCH не находит значение, результат #Н/Д. Формула обёрнута в IFERROR (при пустых баллах - пустая ячейка)</t>
        </is>
      </c>
    </row>
    <row r="6" ht="25.5" customHeight="1">
      <c r="A6" s="13" t="inlineStr">
        <is>
          <t>Источники</t>
        </is>
      </c>
      <c r="B6" s="13" t="inlineStr">
        <is>
          <t>И-1</t>
        </is>
      </c>
      <c r="C6" s="13" t="inlineStr">
        <is>
          <t>Страницы 8 конкурентов (главные, тарифы, документация, интеграции, шаблоны, безопасность, блог): автоматическое извлечение текста 01.10.2026 (Материалы_собранные/sajty_konkurentov_stranicy_2026-10-01.json) и чтение во встроенном браузере (Lucidchart, тарифы Mermaid Chart); данные ЛР1-ЛР4 от 30.09.2026</t>
        </is>
      </c>
    </row>
    <row r="7">
      <c r="A7" s="13" t="inlineStr">
        <is>
          <t>Выборка</t>
        </is>
      </c>
      <c r="B7" s="13" t="inlineStr">
        <is>
          <t>В-1</t>
        </is>
      </c>
      <c r="C7" s="13" t="inlineStr">
        <is>
          <t>8 компаний из 22 части A (поле «Переходит в части B и C»). Тип конкурента - итоговый уровень из части A</t>
        </is>
      </c>
    </row>
    <row r="8">
      <c r="A8" s="13" t="inlineStr">
        <is>
          <t>Правило</t>
        </is>
      </c>
      <c r="B8" s="13" t="inlineStr">
        <is>
          <t>П-1</t>
        </is>
      </c>
      <c r="C8" s="13" t="inlineStr">
        <is>
          <t>Признак засчитывается, если он найден на просмотренных страницах; отсутствие на просмотренных страницах не доказывает отсутствия у продукта (значения занижают долю)</t>
        </is>
      </c>
    </row>
    <row r="9">
      <c r="A9" s="13" t="inlineStr">
        <is>
          <t>Правило</t>
        </is>
      </c>
      <c r="B9" s="13" t="inlineStr">
        <is>
          <t>П-2</t>
        </is>
      </c>
      <c r="C9" s="13" t="inlineStr">
        <is>
          <t>Достоверность в 02_Карта_сайтов: 5 - страница прочитана целиком (тарифы, Lucidchart, Mermaid Chart) или данные GitHub API; 4 - автоматическое извлечение текста</t>
        </is>
      </c>
    </row>
    <row r="10" ht="25.5" customHeight="1">
      <c r="A10" s="13" t="inlineStr">
        <is>
          <t>Правило</t>
        </is>
      </c>
      <c r="B10" s="13" t="inlineStr">
        <is>
          <t>П-3</t>
        </is>
      </c>
      <c r="C10" s="13" t="inlineStr">
        <is>
          <t>03_Левитт: сила реализации 3, если признак явно описан на странице (цена, тариф, функция), 2 - найден по ключевым словам; понятность 3 для SaaS-сайтов с отдельными разделами, 2 для остальных; влияние на ценность 1-5 - по типу признака</t>
        </is>
      </c>
    </row>
    <row r="11" ht="25.5" customHeight="1">
      <c r="A11" s="13" t="inlineStr">
        <is>
          <t>Правило</t>
        </is>
      </c>
      <c r="B11" s="13" t="inlineStr">
        <is>
          <t>П-4</t>
        </is>
      </c>
      <c r="C11" s="13" t="inlineStr">
        <is>
          <t>Категории Кано присвоены экспертно (по распространённости и роли признака для студентов и аналитиков ПО); опрос по методу Кано не проводился. Требования без данных помечены «Неясное»</t>
        </is>
      </c>
    </row>
    <row r="12">
      <c r="A12" s="13" t="inlineStr">
        <is>
          <t>Правило</t>
        </is>
      </c>
      <c r="B12" s="13" t="inlineStr">
        <is>
          <t>П-5</t>
        </is>
      </c>
      <c r="C12" s="13" t="inlineStr">
        <is>
          <t>06_Сравнение: баллы 0-5 по 25 критериям поставлены по просмотренным страницам; пусто - критерий не подтверждён страницами. Итог - взвешенный балл шаблона</t>
        </is>
      </c>
    </row>
    <row r="13">
      <c r="A13" s="13" t="inlineStr">
        <is>
          <t>Правило</t>
        </is>
      </c>
      <c r="B13" s="13" t="inlineStr">
        <is>
          <t>П-6</t>
        </is>
      </c>
      <c r="C13" s="13" t="inlineStr">
        <is>
          <t>08_Преимущества: редкость, сила, ценность и качество доказательства - экспертные оценки 1-5 по просмотренным страницам и данным ЛР4</t>
        </is>
      </c>
    </row>
    <row r="14">
      <c r="A14" s="13" t="inlineStr">
        <is>
          <t>Нормы дашборда</t>
        </is>
      </c>
      <c r="B14" s="13" t="inlineStr">
        <is>
          <t>К-1</t>
        </is>
      </c>
      <c r="C14" s="13" t="inlineStr">
        <is>
          <t>Страниц: 40 (норма 30+); признаков по Левитту: 153 (норма 40+); требований по Кано: 33 (норма 25+)</t>
        </is>
      </c>
    </row>
    <row r="15">
      <c r="A15" s="13" t="inlineStr">
        <is>
          <t>Итог сравнения</t>
        </is>
      </c>
      <c r="B15" s="13" t="inlineStr">
        <is>
          <t>К-2</t>
        </is>
      </c>
      <c r="C15" s="13" t="inlineStr">
        <is>
          <t>Итоговые баллы: Lucidchart 4,64; Mermaid Chart 4,48; Eraser 4,46; Storm (StormBPMN) 4,26; Whimsical 4,05; draw.io (diagrams.net) 4,01; Mermaid (библиотека) 3,35; PlantUML 3,28</t>
        </is>
      </c>
    </row>
    <row r="16">
      <c r="A16" s="13" t="inlineStr">
        <is>
          <t>Ограничения</t>
        </is>
      </c>
      <c r="B16" s="13" t="inlineStr">
        <is>
          <t>О-1</t>
        </is>
      </c>
      <c r="C16" s="13" t="inlineStr">
        <is>
          <t>Оценки экспертные; страницы просмотрены с одного устройства</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К. А. Хаджинова</dc:creator>
  <dc:title xmlns:dc="http://purl.org/dc/elements/1.1/">Анализ цифрового товара конкурентов (Левитт, Кано): NotaCode</dc:title>
  <dcterms:created xmlns:dcterms="http://purl.org/dc/terms/" xmlns:xsi="http://www.w3.org/2001/XMLSchema-instance" xsi:type="dcterms:W3CDTF">2026-10-04T14:09:44Z</dcterms:created>
  <dcterms:modified xmlns:dcterms="http://purl.org/dc/terms/" xmlns:xsi="http://www.w3.org/2001/XMLSchema-instance" xsi:type="dcterms:W3CDTF">2026-10-04T14:43:41Z</dcterms:modified>
  <cp:lastModifiedBy>Aliaksandr Khajynau</cp:lastModifiedBy>
</cp:coreProperties>
</file>