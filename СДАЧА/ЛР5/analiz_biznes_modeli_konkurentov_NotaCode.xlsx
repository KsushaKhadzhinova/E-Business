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drawings/drawing1.xml" ContentType="application/vnd.openxmlformats-officedocument.drawing+xml"/>
  <Override PartName="/xl/worksheets/sheet1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6" activeTab="13" autoFilterDateGrouping="1"/>
  </bookViews>
  <sheets>
    <sheet xmlns:r="http://schemas.openxmlformats.org/officeDocument/2006/relationships" name="13_Справочники" sheetId="1" state="visible" r:id="rId1"/>
    <sheet xmlns:r="http://schemas.openxmlformats.org/officeDocument/2006/relationships" name="01_Инструкция" sheetId="2" state="visible" r:id="rId2"/>
    <sheet xmlns:r="http://schemas.openxmlformats.org/officeDocument/2006/relationships" name="02_Конкуренты" sheetId="3" state="visible" r:id="rId3"/>
    <sheet xmlns:r="http://schemas.openxmlformats.org/officeDocument/2006/relationships" name="03_Факты_сайта" sheetId="4" state="visible" r:id="rId4"/>
    <sheet xmlns:r="http://schemas.openxmlformats.org/officeDocument/2006/relationships" name="04_Бизнес_модель" sheetId="5" state="visible" r:id="rId5"/>
    <sheet xmlns:r="http://schemas.openxmlformats.org/officeDocument/2006/relationships" name="05_Товар_ценность" sheetId="6" state="visible" r:id="rId6"/>
    <sheet xmlns:r="http://schemas.openxmlformats.org/officeDocument/2006/relationships" name="06_Монетизация" sheetId="7" state="visible" r:id="rId7"/>
    <sheet xmlns:r="http://schemas.openxmlformats.org/officeDocument/2006/relationships" name="07_Каналы" sheetId="8" state="visible" r:id="rId8"/>
    <sheet xmlns:r="http://schemas.openxmlformats.org/officeDocument/2006/relationships" name="08_Операц_модель" sheetId="9" state="visible" r:id="rId9"/>
    <sheet xmlns:r="http://schemas.openxmlformats.org/officeDocument/2006/relationships" name="09_Матрица" sheetId="10" state="visible" r:id="rId10"/>
    <sheet xmlns:r="http://schemas.openxmlformats.org/officeDocument/2006/relationships" name="10_Стандарт" sheetId="11" state="visible" r:id="rId11"/>
    <sheet xmlns:r="http://schemas.openxmlformats.org/officeDocument/2006/relationships" name="11_Преимущества" sheetId="12" state="visible" r:id="rId12"/>
    <sheet xmlns:r="http://schemas.openxmlformats.org/officeDocument/2006/relationships" name="12_Сводка" sheetId="13" state="visible" r:id="rId13"/>
    <sheet xmlns:r="http://schemas.openxmlformats.org/officeDocument/2006/relationships" name="14_Журнал" sheetId="14" state="visible" r:id="rId14"/>
  </sheets>
  <definedNames/>
  <calcPr calcId="191029" fullCalcOnLoad="1" refMode="R1C1"/>
</workbook>
</file>

<file path=xl/styles.xml><?xml version="1.0" encoding="utf-8"?>
<styleSheet xmlns="http://schemas.openxmlformats.org/spreadsheetml/2006/main">
  <numFmts count="2">
    <numFmt numFmtId="164" formatCode="yyyy\-mm\-dd"/>
    <numFmt numFmtId="165" formatCode="0.0"/>
  </numFmts>
  <fonts count="15">
    <font>
      <name val="Carlito"/>
      <sz val="11"/>
    </font>
    <font>
      <name val="Carlito"/>
      <i val="1"/>
      <color rgb="FF1F2937"/>
      <sz val="11"/>
    </font>
    <font>
      <name val="Carlito"/>
      <b val="1"/>
      <color rgb="FFFFFFFF"/>
      <sz val="11"/>
    </font>
    <font>
      <name val="Carlito"/>
      <color rgb="FF111827"/>
      <sz val="11"/>
    </font>
    <font>
      <name val="Carlito"/>
      <i val="1"/>
      <color rgb="FF78350F"/>
      <sz val="11"/>
    </font>
    <font>
      <name val="Carlito"/>
      <b val="1"/>
      <i val="1"/>
      <color rgb="FF1F2937"/>
      <sz val="11"/>
    </font>
    <font>
      <name val="Carlito"/>
      <b val="1"/>
      <color rgb="FF1F2937"/>
      <sz val="12"/>
    </font>
    <font>
      <name val="Carlito"/>
      <b val="1"/>
      <color rgb="FF1F2937"/>
      <sz val="11"/>
    </font>
    <font>
      <name val="Carlito"/>
      <color rgb="FF78350F"/>
      <sz val="11"/>
    </font>
    <font>
      <name val="Calibri"/>
      <family val="2"/>
      <b val="1"/>
      <color rgb="FFFFFFFF"/>
      <sz val="10"/>
    </font>
    <font>
      <name val="Calibri"/>
      <family val="2"/>
      <sz val="10"/>
    </font>
    <font>
      <name val="Carlito"/>
      <sz val="11"/>
    </font>
    <font>
      <name val="Carlito"/>
      <sz val="10"/>
    </font>
    <font>
      <name val="Carlito"/>
      <charset val="204"/>
      <b val="1"/>
      <sz val="10"/>
    </font>
    <font>
      <name val="Carlito"/>
      <charset val="204"/>
      <b val="1"/>
      <sz val="12"/>
    </font>
  </fonts>
  <fills count="11">
    <fill>
      <patternFill/>
    </fill>
    <fill>
      <patternFill patternType="gray125"/>
    </fill>
    <fill>
      <patternFill patternType="solid">
        <fgColor rgb="FF1D4ED8"/>
      </patternFill>
    </fill>
    <fill>
      <patternFill patternType="solid">
        <fgColor rgb="FFF3F4F6"/>
      </patternFill>
    </fill>
    <fill>
      <patternFill patternType="solid">
        <fgColor rgb="FF1F2937"/>
      </patternFill>
    </fill>
    <fill>
      <patternFill patternType="solid">
        <fgColor rgb="FFFFFFFF"/>
      </patternFill>
    </fill>
    <fill>
      <patternFill patternType="solid">
        <fgColor rgb="FFFFFBEB"/>
      </patternFill>
    </fill>
    <fill>
      <patternFill patternType="solid">
        <fgColor rgb="FFF8FAFC"/>
      </patternFill>
    </fill>
    <fill>
      <patternFill patternType="solid">
        <fgColor rgb="FFDBEAFE"/>
      </patternFill>
    </fill>
    <fill>
      <patternFill patternType="solid">
        <fgColor rgb="FFCCFBF1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11" fillId="0" borderId="0"/>
    <xf numFmtId="0" fontId="11" fillId="0" borderId="0"/>
  </cellStyleXfs>
  <cellXfs count="28">
    <xf numFmtId="0" fontId="0" fillId="0" borderId="0" pivotButton="0" quotePrefix="0" xfId="0"/>
    <xf numFmtId="0" fontId="2" fillId="4" borderId="0" applyAlignment="1" pivotButton="0" quotePrefix="0" xfId="1">
      <alignment horizontal="center" vertical="center" wrapText="1"/>
    </xf>
    <xf numFmtId="0" fontId="3" fillId="5" borderId="0" applyAlignment="1" pivotButton="0" quotePrefix="0" xfId="1">
      <alignment vertical="top" wrapText="1"/>
    </xf>
    <xf numFmtId="49" fontId="3" fillId="5" borderId="0" applyAlignment="1" pivotButton="0" quotePrefix="0" xfId="1">
      <alignment vertical="top" wrapText="1"/>
    </xf>
    <xf numFmtId="164" fontId="3" fillId="5" borderId="0" applyAlignment="1" pivotButton="0" quotePrefix="0" xfId="1">
      <alignment vertical="top" wrapText="1"/>
    </xf>
    <xf numFmtId="0" fontId="3" fillId="7" borderId="0" applyAlignment="1" pivotButton="0" quotePrefix="0" xfId="1">
      <alignment vertical="top" wrapText="1"/>
    </xf>
    <xf numFmtId="9" fontId="3" fillId="7" borderId="0" applyAlignment="1" pivotButton="0" quotePrefix="0" xfId="1">
      <alignment vertical="top" wrapText="1"/>
    </xf>
    <xf numFmtId="165" fontId="3" fillId="7" borderId="0" applyAlignment="1" pivotButton="0" quotePrefix="0" xfId="1">
      <alignment vertical="top" wrapText="1"/>
    </xf>
    <xf numFmtId="0" fontId="6" fillId="9" borderId="0" applyAlignment="1" pivotButton="0" quotePrefix="0" xfId="1">
      <alignment horizontal="center" vertical="center" wrapText="1"/>
    </xf>
    <xf numFmtId="9" fontId="6" fillId="9" borderId="0" applyAlignment="1" pivotButton="0" quotePrefix="0" xfId="1">
      <alignment horizontal="center" vertical="center" wrapText="1"/>
    </xf>
    <xf numFmtId="165" fontId="6" fillId="9" borderId="0" applyAlignment="1" pivotButton="0" quotePrefix="0" xfId="1">
      <alignment horizontal="center" vertical="center" wrapText="1"/>
    </xf>
    <xf numFmtId="0" fontId="7" fillId="8" borderId="0" applyAlignment="1" pivotButton="0" quotePrefix="0" xfId="1">
      <alignment vertical="top" wrapText="1"/>
    </xf>
    <xf numFmtId="165" fontId="3" fillId="5" borderId="0" applyAlignment="1" pivotButton="0" quotePrefix="0" xfId="1">
      <alignment vertical="top" wrapText="1"/>
    </xf>
    <xf numFmtId="0" fontId="8" fillId="6" borderId="0" applyAlignment="1" pivotButton="0" quotePrefix="0" xfId="1">
      <alignment vertical="top" wrapText="1"/>
    </xf>
    <xf numFmtId="0" fontId="10" fillId="0" borderId="0" pivotButton="0" quotePrefix="0" xfId="1"/>
    <xf numFmtId="0" fontId="12" fillId="0" borderId="0" pivotButton="0" quotePrefix="0" xfId="0"/>
    <xf numFmtId="0" fontId="14" fillId="0" borderId="0" pivotButton="0" quotePrefix="0" xfId="0"/>
    <xf numFmtId="0" fontId="13" fillId="10" borderId="1" pivotButton="0" quotePrefix="0" xfId="0"/>
    <xf numFmtId="0" fontId="12" fillId="0" borderId="1" applyAlignment="1" pivotButton="0" quotePrefix="0" xfId="0">
      <alignment vertical="top" wrapText="1"/>
    </xf>
    <xf numFmtId="0" fontId="9" fillId="2" borderId="0" applyAlignment="1" pivotButton="0" quotePrefix="0" xfId="1">
      <alignment horizontal="left" vertical="center"/>
    </xf>
    <xf numFmtId="0" fontId="4" fillId="6" borderId="0" applyAlignment="1" pivotButton="0" quotePrefix="0" xfId="1">
      <alignment vertical="top" wrapText="1"/>
    </xf>
    <xf numFmtId="0" fontId="1" fillId="3" borderId="0" applyAlignment="1" pivotButton="0" quotePrefix="0" xfId="1">
      <alignment vertical="top" wrapText="1"/>
    </xf>
    <xf numFmtId="0" fontId="8" fillId="6" borderId="0" applyAlignment="1" pivotButton="0" quotePrefix="0" xfId="1">
      <alignment vertical="top" wrapText="1"/>
    </xf>
    <xf numFmtId="0" fontId="5" fillId="8" borderId="0" applyAlignment="1" pivotButton="0" quotePrefix="0" xfId="1">
      <alignment vertical="top" wrapText="1"/>
    </xf>
    <xf numFmtId="9" fontId="5" fillId="8" borderId="0" applyAlignment="1" pivotButton="0" quotePrefix="0" xfId="1">
      <alignment vertical="top" wrapText="1"/>
    </xf>
    <xf numFmtId="0" fontId="2" fillId="4" borderId="0" applyAlignment="1" pivotButton="0" quotePrefix="0" xfId="1">
      <alignment horizontal="center" vertical="center" wrapText="1"/>
    </xf>
    <xf numFmtId="0" fontId="3" fillId="5" borderId="0" applyAlignment="1" pivotButton="0" quotePrefix="0" xfId="1">
      <alignment vertical="center" wrapText="1"/>
    </xf>
    <xf numFmtId="0" fontId="0" fillId="0" borderId="0" applyAlignment="1" pivotButton="0" quotePrefix="0" xfId="0">
      <alignment vertical="center" wrapText="1"/>
    </xf>
  </cellXfs>
  <cellStyles count="2">
    <cellStyle name="Обычный" xfId="0" builtinId="0"/>
    <cellStyle name="Normal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charts/chart1.xml><?xml version="1.0" encoding="utf-8"?>
<chartSpace xmlns="http://schemas.openxmlformats.org/drawingml/2006/chart">
  <chart>
    <plotArea>
      <layout/>
      <barChart>
        <barDir val="col"/>
        <grouping val="clustered"/>
        <varyColors val="0"/>
        <ser>
          <idx val="0"/>
          <order val="0"/>
          <tx>
            <v>Итоговый балл</v>
          </tx>
          <spPr>
            <a:ln xmlns:a="http://schemas.openxmlformats.org/drawingml/2006/main">
              <a:prstDash val="solid"/>
            </a:ln>
          </spPr>
          <invertIfNegative val="1"/>
          <cat>
            <strRef>
              <f>'12_Сводка'!$F$6:$F$15</f>
              <strCache>
                <ptCount val="8"/>
                <pt idx="0">
                  <v>Lucidchart</v>
                </pt>
                <pt idx="1">
                  <v>Storm (StormBPMN)</v>
                </pt>
                <pt idx="2">
                  <v>Eraser</v>
                </pt>
                <pt idx="3">
                  <v>draw.io (diagrams.net)</v>
                </pt>
                <pt idx="4">
                  <v>Mermaid Chart</v>
                </pt>
                <pt idx="5">
                  <v>Whimsical</v>
                </pt>
                <pt idx="6">
                  <v>Mermaid (библиотека)</v>
                </pt>
                <pt idx="7">
                  <v>PlantUML</v>
                </pt>
              </strCache>
            </strRef>
          </cat>
          <val>
            <numRef>
              <f>'12_Сводка'!$G$6:$G$15</f>
              <numCache>
                <formatCode>0.0</formatCode>
                <ptCount val="10"/>
                <pt idx="0">
                  <v>4.517583333333334</v>
                </pt>
                <pt idx="1">
                  <v>4.048285714285715</v>
                </pt>
                <pt idx="2">
                  <v>4.006</v>
                </pt>
                <pt idx="3">
                  <v>3.99025</v>
                </pt>
                <pt idx="4">
                  <v>3.976095238095239</v>
                </pt>
                <pt idx="5">
                  <v>3.922</v>
                </pt>
                <pt idx="6">
                  <v>3.814428571428572</v>
                </pt>
                <pt idx="7">
                  <v>3.598571428571429</v>
                </pt>
                <pt idx="8">
                  <v>0</v>
                </pt>
                <pt idx="9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8650112"/>
        <axId val="48672768"/>
      </barChart>
      <catAx>
        <axId val="48650112"/>
        <scaling>
          <orientation val="minMax"/>
        </scaling>
        <delete val="0"/>
        <axPos val="b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1"/>
        <majorTickMark val="none"/>
        <minorTickMark val="none"/>
        <tickLblPos val="nextTo"/>
        <crossAx val="48672768"/>
        <crosses val="autoZero"/>
        <auto val="1"/>
        <lblAlgn val="ctr"/>
        <lblOffset val="100"/>
        <noMultiLvlLbl val="0"/>
      </catAx>
      <valAx>
        <axId val="48672768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0.0" sourceLinked="1"/>
        <majorTickMark val="none"/>
        <minorTickMark val="none"/>
        <tickLblPos val="nextTo"/>
        <crossAx val="48650112"/>
        <crosses val="autoZero"/>
        <crossBetween val="between"/>
      </valAx>
    </plotArea>
    <legend>
      <legendPos val="b"/>
      <overlay val="0"/>
    </legend>
    <plotVisOnly val="1"/>
    <dispBlanksAs val="zero"/>
  </chart>
  <spPr>
    <a:ln xmlns:a="http://schemas.openxmlformats.org/drawingml/2006/main" w="9525">
      <a:solidFill>
        <a:srgbClr val="D9D9D9"/>
      </a:solidFill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twoCellAnchor>
    <from>
      <col>4</col>
      <colOff>0</colOff>
      <row>16</row>
      <rowOff>0</rowOff>
    </from>
    <to>
      <col>10</col>
      <colOff>0</colOff>
      <row>32</row>
      <rowOff>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ables/table1.xml><?xml version="1.0" encoding="utf-8"?>
<table xmlns="http://schemas.openxmlformats.org/spreadsheetml/2006/main" id="1" name="InstructionTable" displayName="InstructionTable" ref="A4:D15" headerRowCount="1">
  <tableColumns count="4">
    <tableColumn id="1" name="Этап"/>
    <tableColumn id="2" name="Что сделать"/>
    <tableColumn id="3" name="Где заполнять"/>
    <tableColumn id="4" name="Результат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ompetitorsTable" displayName="CompetitorsTable" ref="A3:K203" headerRowCount="1">
  <tableColumns count="11">
    <tableColumn id="1" name="ID"/>
    <tableColumn id="2" name="Название конкурента"/>
    <tableColumn id="3" name="Сайт"/>
    <tableColumn id="4" name="Сегмент"/>
    <tableColumn id="5" name="Тип конкурента"/>
    <tableColumn id="6" name="География"/>
    <tableColumn id="7" name="Приоритет"/>
    <tableColumn id="8" name="Статус анализа"/>
    <tableColumn id="9" name="Дата фиксации"/>
    <tableColumn id="10" name="Ответственный"/>
    <tableColumn id="11" name="Примечание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FactsTable" displayName="FactsTable" ref="A3:L503" headerRowCount="1">
  <tableColumns count="12">
    <tableColumn id="1" name="Факт_ID"/>
    <tableColumn id="2" name="ID конкурента"/>
    <tableColumn id="3" name="Название"/>
    <tableColumn id="4" name="Раздел сайта"/>
    <tableColumn id="5" name="URL"/>
    <tableColumn id="6" name="Блок/страница"/>
    <tableColumn id="7" name="Наблюдаемый факт"/>
    <tableColumn id="8" name="Элемент бизнес-модели"/>
    <tableColumn id="9" name="Доказательность 1-5"/>
    <tableColumn id="10" name="Дата фиксации"/>
    <tableColumn id="11" name="Цитата/скриншот"/>
    <tableColumn id="12" name="Аналитический вывод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BusinessModelTable" displayName="BusinessModelTable" ref="A3:Q203" headerRowCount="1">
  <tableColumns count="17">
    <tableColumn id="1" name="ID конкурента"/>
    <tableColumn id="2" name="Название"/>
    <tableColumn id="3" name="Целевые сегменты"/>
    <tableColumn id="4" name="Ценностное предложение"/>
    <tableColumn id="5" name="Цифровой товар"/>
    <tableColumn id="6" name="Каналы"/>
    <tableColumn id="7" name="Отношения с клиентами"/>
    <tableColumn id="8" name="Потоки доходов"/>
    <tableColumn id="9" name="Ключевые ресурсы"/>
    <tableColumn id="10" name="Ключевые виды деятельности"/>
    <tableColumn id="11" name="Ключевые партнеры"/>
    <tableColumn id="12" name="Структура затрат"/>
    <tableColumn id="13" name="Данные и сетевые эффекты"/>
    <tableColumn id="14" name="Главная гипотеза бизнес-модели"/>
    <tableColumn id="15" name="Полнота профиля"/>
    <tableColumn id="16" name="Средняя доказательность"/>
    <tableColumn id="17" name="Качество профиля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ProductValueTable" displayName="ProductValueTable" ref="A3:M203" headerRowCount="1">
  <tableColumns count="13">
    <tableColumn id="1" name="ID конкурента"/>
    <tableColumn id="2" name="Название"/>
    <tableColumn id="3" name="Ядро цифрового товара"/>
    <tableColumn id="4" name="Базовое предложение"/>
    <tableColumn id="5" name="Ожидаемый уровень"/>
    <tableColumn id="6" name="Расширенный уровень"/>
    <tableColumn id="7" name="Потенциальное развитие"/>
    <tableColumn id="8" name="Клиентская проблема"/>
    <tableColumn id="9" name="Клиентский результат"/>
    <tableColumn id="10" name="Задача клиента"/>
    <tableColumn id="11" name="Отличие от рынка"/>
    <tableColumn id="12" name="Подтверждающие страницы"/>
    <tableColumn id="13" name="Вывод о роли товара в бизнес-модели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MonetizationTable" displayName="MonetizationTable" ref="A3:N203" headerRowCount="1">
  <tableColumns count="14">
    <tableColumn id="1" name="ID конкурента"/>
    <tableColumn id="2" name="Название"/>
    <tableColumn id="3" name="Модель монетизации"/>
    <tableColumn id="4" name="Страница с тарифами/ценой"/>
    <tableColumn id="5" name="Наличие бесплатного уровня"/>
    <tableColumn id="6" name="Пробный доступ"/>
    <tableColumn id="7" name="Тарифные уровни"/>
    <tableColumn id="8" name="Единица оплаты"/>
    <tableColumn id="9" name="Ограничения тарифа"/>
    <tableColumn id="10" name="Платежная периодичность"/>
    <tableColumn id="11" name="Признаки корпоративных продаж"/>
    <tableColumn id="12" name="Прозрачность цены 1-5"/>
    <tableColumn id="13" name="Гибкость модели 1-5"/>
    <tableColumn id="14" name="Вывод о потоках доходов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ChannelsTable" displayName="ChannelsTable" ref="A3:N203" headerRowCount="1">
  <tableColumns count="14">
    <tableColumn id="1" name="ID конкурента"/>
    <tableColumn id="2" name="Название"/>
    <tableColumn id="3" name="Главные каналы привлечения"/>
    <tableColumn id="4" name="Контентная стратегия"/>
    <tableColumn id="5" name="Поисковая видимость по сайту"/>
    <tableColumn id="6" name="Призыв к действию"/>
    <tableColumn id="7" name="Первичная конверсия"/>
    <tableColumn id="8" name="Тип воронки"/>
    <tableColumn id="9" name="Регистрация/заявка"/>
    <tableColumn id="10" name="Демонстрация/пробный доступ"/>
    <tableColumn id="11" name="Доверительные элементы"/>
    <tableColumn id="12" name="Сложность пути клиента 1-5"/>
    <tableColumn id="13" name="Сила воронки 1-5"/>
    <tableColumn id="14" name="Вывод о рынке и каналах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OpsModelTable" displayName="OpsModelTable" ref="A3:N203" headerRowCount="1">
  <tableColumns count="14">
    <tableColumn id="1" name="ID конкурента"/>
    <tableColumn id="2" name="Название"/>
    <tableColumn id="3" name="Ключевые ресурсы"/>
    <tableColumn id="4" name="Ключевые процессы"/>
    <tableColumn id="5" name="Технологические признаки на сайте"/>
    <tableColumn id="6" name="Использование данных"/>
    <tableColumn id="7" name="Интеграции"/>
    <tableColumn id="8" name="Партнеры"/>
    <tableColumn id="9" name="Поддержка и сервис"/>
    <tableColumn id="10" name="Признаки структуры затрат"/>
    <tableColumn id="11" name="Масштабируемость 1-5"/>
    <tableColumn id="12" name="Трудность копирования 1-5"/>
    <tableColumn id="13" name="Операционный риск"/>
    <tableColumn id="14" name="Вывод об устойчивости модели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ScoreMatrixTable" displayName="ScoreMatrixTable" ref="A3:Q203" headerRowCount="1">
  <tableColumns count="17">
    <tableColumn id="1" name="ID конкурента"/>
    <tableColumn id="2" name="Название"/>
    <tableColumn id="3" name="Сегменты"/>
    <tableColumn id="4" name="Ценность"/>
    <tableColumn id="5" name="Товар"/>
    <tableColumn id="6" name="Каналы"/>
    <tableColumn id="7" name="Отношения"/>
    <tableColumn id="8" name="Доходы"/>
    <tableColumn id="9" name="Ресурсы"/>
    <tableColumn id="10" name="Партнеры"/>
    <tableColumn id="11" name="Данные/сеть"/>
    <tableColumn id="12" name="Масштаб"/>
    <tableColumn id="13" name="Защищенность"/>
    <tableColumn id="14" name="Индекс силы"/>
    <tableColumn id="15" name="Доказательность"/>
    <tableColumn id="16" name="Полнота"/>
    <tableColumn id="17" name="Итог с учетом надежности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MarketStandardTable" displayName="MarketStandardTable" ref="A3:H203" headerRowCount="1">
  <tableColumns count="8">
    <tableColumn id="1" name="Практика/элемент"/>
    <tableColumn id="2" name="Блок бизнес-модели"/>
    <tableColumn id="3" name="Описание признака"/>
    <tableColumn id="4" name="Кол-во конкурентов с признаком"/>
    <tableColumn id="5" name="Доля конкурентов"/>
    <tableColumn id="6" name="Статус"/>
    <tableColumn id="7" name="Управленческий вывод"/>
    <tableColumn id="8" name="Подтверждающие URL/факты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AdvantagesTable" displayName="AdvantagesTable" ref="A3:M203" headerRowCount="1">
  <tableColumns count="13">
    <tableColumn id="1" name="ID конкурента"/>
    <tableColumn id="2" name="Название"/>
    <tableColumn id="3" name="Гипотеза преимущества"/>
    <tableColumn id="4" name="Тип преимущества"/>
    <tableColumn id="5" name="Связанный блок бизнес-модели"/>
    <tableColumn id="6" name="Подтверждающие страницы"/>
    <tableColumn id="7" name="Сила 1-5"/>
    <tableColumn id="8" name="Трудность копирования 1-5"/>
    <tableColumn id="9" name="Коммерческая значимость 1-5"/>
    <tableColumn id="10" name="Доказательность 1-5"/>
    <tableColumn id="11" name="Итоговый балл"/>
    <tableColumn id="12" name="Интерпретация"/>
    <tableColumn id="13" name="Риск для нашей модели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5"/>
  <sheetViews>
    <sheetView workbookViewId="0">
      <selection activeCell="C26" sqref="C26"/>
    </sheetView>
  </sheetViews>
  <sheetFormatPr baseColWidth="8" defaultRowHeight="14.25"/>
  <cols>
    <col width="24" customWidth="1" min="1" max="9"/>
  </cols>
  <sheetData>
    <row r="1" ht="15" customHeight="1">
      <c r="A1" s="19" t="inlineStr">
        <is>
          <t>Справочники для раскрывающихся списков</t>
        </is>
      </c>
      <c r="I1" s="14" t="n"/>
      <c r="J1" s="14" t="n"/>
      <c r="K1" s="14" t="n"/>
      <c r="L1" s="14" t="n"/>
      <c r="M1" s="14" t="n"/>
      <c r="N1" s="14" t="n"/>
      <c r="O1" s="14" t="n"/>
      <c r="P1" s="14" t="n"/>
      <c r="Q1" s="14" t="n"/>
      <c r="R1" s="14" t="n"/>
      <c r="S1" s="14" t="n"/>
      <c r="T1" s="14" t="n"/>
      <c r="U1" s="14" t="n"/>
      <c r="V1" s="14" t="n"/>
      <c r="W1" s="14" t="n"/>
      <c r="X1" s="14" t="n"/>
      <c r="Y1" s="14" t="n"/>
      <c r="Z1" s="14" t="n"/>
    </row>
    <row r="2" ht="19.15" customHeight="1">
      <c r="A2" s="20" t="inlineStr">
        <is>
          <t>Используйте эти значения в рабочих листах, чтобы результаты можно было сопоставлять между конкурентами</t>
        </is>
      </c>
    </row>
    <row r="3" ht="30" customHeight="1">
      <c r="A3" s="25" t="inlineStr">
        <is>
          <t>Тип конкурента</t>
        </is>
      </c>
      <c r="B3" s="25" t="inlineStr">
        <is>
          <t>Приоритет</t>
        </is>
      </c>
      <c r="C3" s="25" t="inlineStr">
        <is>
          <t>Статус анализа</t>
        </is>
      </c>
      <c r="D3" s="25" t="inlineStr">
        <is>
          <t>Элемент бизнес-модели</t>
        </is>
      </c>
      <c r="E3" s="25" t="inlineStr">
        <is>
          <t>Уровень доказательности</t>
        </is>
      </c>
      <c r="F3" s="25" t="inlineStr">
        <is>
          <t>Модель монетизации</t>
        </is>
      </c>
      <c r="G3" s="25" t="inlineStr">
        <is>
          <t>Тип воронки</t>
        </is>
      </c>
      <c r="H3" s="25" t="inlineStr">
        <is>
          <t>Классификация практики</t>
        </is>
      </c>
      <c r="I3" s="25" t="inlineStr">
        <is>
          <t>Тип преимущества</t>
        </is>
      </c>
    </row>
    <row r="4">
      <c r="A4" s="26" t="inlineStr">
        <is>
          <t>прямой</t>
        </is>
      </c>
      <c r="B4" s="26" t="inlineStr">
        <is>
          <t>высокий</t>
        </is>
      </c>
      <c r="C4" s="26" t="inlineStr">
        <is>
          <t>не начат</t>
        </is>
      </c>
      <c r="D4" s="26" t="inlineStr">
        <is>
          <t>целевые сегменты</t>
        </is>
      </c>
      <c r="E4" s="26" t="inlineStr">
        <is>
          <t>1</t>
        </is>
      </c>
      <c r="F4" s="26" t="inlineStr">
        <is>
          <t>подписка</t>
        </is>
      </c>
      <c r="G4" s="26" t="inlineStr">
        <is>
          <t>самостоятельная покупка</t>
        </is>
      </c>
      <c r="H4" s="26" t="inlineStr">
        <is>
          <t>рыночный стандарт</t>
        </is>
      </c>
      <c r="I4" s="26" t="inlineStr">
        <is>
          <t>товарное</t>
        </is>
      </c>
    </row>
    <row r="5">
      <c r="A5" s="26" t="inlineStr">
        <is>
          <t>косвенный</t>
        </is>
      </c>
      <c r="B5" s="26" t="inlineStr">
        <is>
          <t>средний</t>
        </is>
      </c>
      <c r="C5" s="26" t="inlineStr">
        <is>
          <t>в работе</t>
        </is>
      </c>
      <c r="D5" s="26" t="inlineStr">
        <is>
          <t>ценностное предложение</t>
        </is>
      </c>
      <c r="E5" s="26" t="inlineStr">
        <is>
          <t>2</t>
        </is>
      </c>
      <c r="F5" s="26" t="inlineStr">
        <is>
          <t>разовая покупка</t>
        </is>
      </c>
      <c r="G5" s="26" t="inlineStr">
        <is>
          <t>заявка на консультацию</t>
        </is>
      </c>
      <c r="H5" s="26" t="inlineStr">
        <is>
          <t>формирующийся стандарт</t>
        </is>
      </c>
      <c r="I5" s="26" t="inlineStr">
        <is>
          <t>ценовое</t>
        </is>
      </c>
    </row>
    <row r="6">
      <c r="A6" s="26" t="inlineStr">
        <is>
          <t>заменитель</t>
        </is>
      </c>
      <c r="B6" s="26" t="inlineStr">
        <is>
          <t>низкий</t>
        </is>
      </c>
      <c r="C6" s="26" t="inlineStr">
        <is>
          <t>требует проверки</t>
        </is>
      </c>
      <c r="D6" s="26" t="inlineStr">
        <is>
          <t>цифровой товар</t>
        </is>
      </c>
      <c r="E6" s="26" t="inlineStr">
        <is>
          <t>3</t>
        </is>
      </c>
      <c r="F6" s="26" t="inlineStr">
        <is>
          <t>комиссия</t>
        </is>
      </c>
      <c r="G6" s="26" t="inlineStr">
        <is>
          <t>демонстрация продукта</t>
        </is>
      </c>
      <c r="H6" s="26" t="inlineStr">
        <is>
          <t>зона дифференциации</t>
        </is>
      </c>
      <c r="I6" s="26" t="inlineStr">
        <is>
          <t>канальное</t>
        </is>
      </c>
    </row>
    <row r="7">
      <c r="A7" s="26" t="inlineStr">
        <is>
          <t>эталон лучшей практики</t>
        </is>
      </c>
      <c r="B7" s="27" t="n"/>
      <c r="C7" s="26" t="inlineStr">
        <is>
          <t>завершен</t>
        </is>
      </c>
      <c r="D7" s="26" t="inlineStr">
        <is>
          <t>каналы</t>
        </is>
      </c>
      <c r="E7" s="26" t="inlineStr">
        <is>
          <t>4</t>
        </is>
      </c>
      <c r="F7" s="26" t="inlineStr">
        <is>
          <t>транзакционная оплата</t>
        </is>
      </c>
      <c r="G7" s="26" t="inlineStr">
        <is>
          <t>регистрация</t>
        </is>
      </c>
      <c r="H7" s="26" t="inlineStr">
        <is>
          <t>нишевой признак</t>
        </is>
      </c>
      <c r="I7" s="26" t="inlineStr">
        <is>
          <t>технологическое</t>
        </is>
      </c>
    </row>
    <row r="8" ht="28.5" customHeight="1">
      <c r="A8" s="26" t="inlineStr">
        <is>
          <t>смежная модель</t>
        </is>
      </c>
      <c r="B8" s="27" t="n"/>
      <c r="C8" s="27" t="n"/>
      <c r="D8" s="26" t="inlineStr">
        <is>
          <t>отношения с клиентами</t>
        </is>
      </c>
      <c r="E8" s="26" t="inlineStr">
        <is>
          <t>5</t>
        </is>
      </c>
      <c r="F8" s="26" t="inlineStr">
        <is>
          <t>условно-бесплатная модель</t>
        </is>
      </c>
      <c r="G8" s="26" t="inlineStr">
        <is>
          <t>пробный доступ</t>
        </is>
      </c>
      <c r="H8" s="26" t="inlineStr">
        <is>
          <t>слабый сигнал</t>
        </is>
      </c>
      <c r="I8" s="26" t="inlineStr">
        <is>
          <t>данные</t>
        </is>
      </c>
    </row>
    <row r="9">
      <c r="A9" s="27" t="n"/>
      <c r="B9" s="27" t="n"/>
      <c r="C9" s="27" t="n"/>
      <c r="D9" s="26" t="inlineStr">
        <is>
          <t>потоки доходов</t>
        </is>
      </c>
      <c r="E9" s="27" t="n"/>
      <c r="F9" s="26" t="inlineStr">
        <is>
          <t>лицензия</t>
        </is>
      </c>
      <c r="G9" s="26" t="inlineStr">
        <is>
          <t>контентная воронка</t>
        </is>
      </c>
      <c r="H9" s="27" t="n"/>
      <c r="I9" s="26" t="inlineStr">
        <is>
          <t>партнерское</t>
        </is>
      </c>
    </row>
    <row r="10">
      <c r="A10" s="27" t="n"/>
      <c r="B10" s="27" t="n"/>
      <c r="C10" s="27" t="n"/>
      <c r="D10" s="26" t="inlineStr">
        <is>
          <t>ключевые ресурсы</t>
        </is>
      </c>
      <c r="E10" s="27" t="n"/>
      <c r="F10" s="26" t="inlineStr">
        <is>
          <t>реклама</t>
        </is>
      </c>
      <c r="G10" s="26" t="inlineStr">
        <is>
          <t>корпоративные продажи</t>
        </is>
      </c>
      <c r="H10" s="27" t="n"/>
      <c r="I10" s="26" t="inlineStr">
        <is>
          <t>брендовое</t>
        </is>
      </c>
    </row>
    <row r="11" ht="28.5" customHeight="1">
      <c r="A11" s="27" t="n"/>
      <c r="B11" s="27" t="n"/>
      <c r="C11" s="27" t="n"/>
      <c r="D11" s="26" t="inlineStr">
        <is>
          <t>ключевые виды деятельности</t>
        </is>
      </c>
      <c r="E11" s="27" t="n"/>
      <c r="F11" s="26" t="inlineStr">
        <is>
          <t>оплата за использование</t>
        </is>
      </c>
      <c r="G11" s="26" t="inlineStr">
        <is>
          <t>маркетплейс</t>
        </is>
      </c>
      <c r="H11" s="27" t="n"/>
      <c r="I11" s="26" t="inlineStr">
        <is>
          <t>сервисное</t>
        </is>
      </c>
    </row>
    <row r="12">
      <c r="A12" s="27" t="n"/>
      <c r="B12" s="27" t="n"/>
      <c r="C12" s="27" t="n"/>
      <c r="D12" s="26" t="inlineStr">
        <is>
          <t>ключевые партнеры</t>
        </is>
      </c>
      <c r="E12" s="27" t="n"/>
      <c r="F12" s="26" t="inlineStr">
        <is>
          <t>пакетная продажа</t>
        </is>
      </c>
      <c r="G12" s="27" t="n"/>
      <c r="H12" s="27" t="n"/>
      <c r="I12" s="26" t="inlineStr">
        <is>
          <t>операционное</t>
        </is>
      </c>
    </row>
    <row r="13">
      <c r="A13" s="27" t="n"/>
      <c r="B13" s="27" t="n"/>
      <c r="C13" s="27" t="n"/>
      <c r="D13" s="26" t="inlineStr">
        <is>
          <t>структура затрат</t>
        </is>
      </c>
      <c r="E13" s="27" t="n"/>
      <c r="F13" s="26" t="inlineStr">
        <is>
          <t>смешанная</t>
        </is>
      </c>
      <c r="G13" s="27" t="n"/>
      <c r="H13" s="27" t="n"/>
      <c r="I13" s="27" t="n"/>
    </row>
    <row r="14" ht="28.5" customHeight="1">
      <c r="A14" s="27" t="n"/>
      <c r="B14" s="27" t="n"/>
      <c r="C14" s="27" t="n"/>
      <c r="D14" s="26" t="inlineStr">
        <is>
          <t>данные и сетевые эффекты</t>
        </is>
      </c>
      <c r="E14" s="27" t="n"/>
      <c r="F14" s="27" t="n"/>
      <c r="G14" s="27" t="n"/>
      <c r="H14" s="27" t="n"/>
      <c r="I14" s="27" t="n"/>
    </row>
    <row r="15">
      <c r="A15" s="27" t="n"/>
      <c r="B15" s="27" t="n"/>
      <c r="C15" s="27" t="n"/>
      <c r="D15" s="26" t="inlineStr">
        <is>
          <t>масштабирование</t>
        </is>
      </c>
      <c r="E15" s="27" t="n"/>
      <c r="F15" s="27" t="n"/>
      <c r="G15" s="27" t="n"/>
      <c r="H15" s="27" t="n"/>
      <c r="I15" s="27" t="n"/>
    </row>
  </sheetData>
  <mergeCells count="2">
    <mergeCell ref="A2:H2"/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5"/>
  <sheetViews>
    <sheetView workbookViewId="0">
      <selection activeCell="G12" sqref="G12"/>
    </sheetView>
  </sheetViews>
  <sheetFormatPr baseColWidth="8" defaultRowHeight="14.25"/>
  <cols>
    <col width="38.125" customWidth="1" min="1" max="1"/>
    <col width="48" customWidth="1" min="2" max="2"/>
    <col width="24" customWidth="1" min="3" max="3"/>
    <col width="42" customWidth="1" min="4" max="4"/>
    <col width="10" customWidth="1" min="6" max="6"/>
    <col width="54" customWidth="1" min="7" max="7"/>
  </cols>
  <sheetData>
    <row r="1" ht="15" customHeight="1">
      <c r="A1" s="19" t="inlineStr">
        <is>
          <t>Методика анализа бизнес-модели конкурентов по их сайтам</t>
        </is>
      </c>
      <c r="K1" s="14" t="n"/>
      <c r="L1" s="14" t="n"/>
      <c r="M1" s="14" t="n"/>
      <c r="N1" s="14" t="n"/>
      <c r="O1" s="14" t="n"/>
      <c r="P1" s="14" t="n"/>
      <c r="Q1" s="14" t="n"/>
      <c r="R1" s="14" t="n"/>
      <c r="S1" s="14" t="n"/>
      <c r="T1" s="14" t="n"/>
      <c r="U1" s="14" t="n"/>
      <c r="V1" s="14" t="n"/>
      <c r="W1" s="14" t="n"/>
      <c r="X1" s="14" t="n"/>
      <c r="Y1" s="14" t="n"/>
      <c r="Z1" s="14" t="n"/>
    </row>
    <row r="2" ht="19.15" customHeight="1">
      <c r="A2" s="21" t="inlineStr">
        <is>
          <t>Рабочая книга предназначена для восстановления бизнес-модели конкурента по публичным данным сайта: продукт, ценность, монетизация, каналы, ресурсы, партнерства, данные, масштабируемость и конкурентные преимущества</t>
        </is>
      </c>
    </row>
    <row r="3"/>
    <row r="4" ht="15" customHeight="1">
      <c r="A4" s="25" t="inlineStr">
        <is>
          <t>Этап</t>
        </is>
      </c>
      <c r="B4" s="25" t="inlineStr">
        <is>
          <t>Что сделать</t>
        </is>
      </c>
      <c r="C4" s="25" t="inlineStr">
        <is>
          <t>Где заполнять</t>
        </is>
      </c>
      <c r="D4" s="25" t="inlineStr">
        <is>
          <t>Результат</t>
        </is>
      </c>
      <c r="F4" s="25" t="inlineStr">
        <is>
          <t>Шкала</t>
        </is>
      </c>
      <c r="G4" s="25" t="inlineStr">
        <is>
          <t>Интерпретация</t>
        </is>
      </c>
    </row>
    <row r="5" ht="71.25" customHeight="1">
      <c r="A5" s="2" t="inlineStr">
        <is>
          <t>1. Сформировать контур анализа</t>
        </is>
      </c>
      <c r="B5" s="2" t="inlineStr">
        <is>
          <t>Внести список конкурентов, тип конкурента, географию, сегмент, приоритет и статус анализа</t>
        </is>
      </c>
      <c r="C5" s="2" t="inlineStr">
        <is>
          <t>02_Конкуренты</t>
        </is>
      </c>
      <c r="D5" s="2" t="inlineStr">
        <is>
          <t>Единый перечень объектов наблюдения</t>
        </is>
      </c>
      <c r="F5" s="2" t="inlineStr">
        <is>
          <t>1</t>
        </is>
      </c>
      <c r="G5" s="2" t="inlineStr">
        <is>
          <t>Слабый косвенный признак: предположение без прямого подтверждения на сайте</t>
        </is>
      </c>
    </row>
    <row r="6" ht="57" customHeight="1">
      <c r="A6" s="2" t="inlineStr">
        <is>
          <t>2. Собрать факты с сайтов</t>
        </is>
      </c>
      <c r="B6" s="2" t="inlineStr">
        <is>
          <t>Фиксировать URL, раздел сайта, наблюдаемый факт, элемент бизнес-модели, уровень доказательности и вывод</t>
        </is>
      </c>
      <c r="C6" s="2" t="inlineStr">
        <is>
          <t>03_Факты_сайта</t>
        </is>
      </c>
      <c r="D6" s="2" t="inlineStr">
        <is>
          <t>Проверяемая база фактов, на которой строятся гипотезы</t>
        </is>
      </c>
      <c r="F6" s="2" t="inlineStr">
        <is>
          <t>2</t>
        </is>
      </c>
      <c r="G6" s="2" t="inlineStr">
        <is>
          <t>Косвенное подтверждение: факт есть, но связь с блоком бизнес-модели неочевидна</t>
        </is>
      </c>
    </row>
    <row r="7" ht="71.25" customHeight="1">
      <c r="A7" s="2" t="inlineStr">
        <is>
          <t>3. Восстановить бизнес-модель</t>
        </is>
      </c>
      <c r="B7" s="2" t="inlineStr">
        <is>
          <t>По каждому конкуренту заполнить блоки бизнес-модели: сегменты, ценность, цифровой товар, каналы, отношения, доходы, ресурсы, деятельность, партнеры, издержки, данные</t>
        </is>
      </c>
      <c r="C7" s="2" t="inlineStr">
        <is>
          <t>04_Бизнес_модель</t>
        </is>
      </c>
      <c r="D7" s="2" t="inlineStr">
        <is>
          <t>Профиль бизнес-модели конкурента с оценкой полноты и доказательности</t>
        </is>
      </c>
      <c r="F7" s="2" t="inlineStr">
        <is>
          <t>3</t>
        </is>
      </c>
      <c r="G7" s="2" t="inlineStr">
        <is>
          <t>Достаточное подтверждение: факт прямо указывает на элемент бизнес-модели</t>
        </is>
      </c>
    </row>
    <row r="8" ht="57" customHeight="1">
      <c r="A8" s="2" t="inlineStr">
        <is>
          <t>4. Уточнить товар и ценность</t>
        </is>
      </c>
      <c r="B8" s="2" t="inlineStr">
        <is>
          <t>Разложить предложение на ядро цифрового товара, ожидаемый уровень, расширенный уровень, потенциальное развитие и клиентский результат</t>
        </is>
      </c>
      <c r="C8" s="2" t="inlineStr">
        <is>
          <t>05_Товар_ценность</t>
        </is>
      </c>
      <c r="D8" s="2" t="inlineStr">
        <is>
          <t>Понимание того, что фактически продается и за счет чего создается ценность</t>
        </is>
      </c>
      <c r="F8" s="2" t="inlineStr">
        <is>
          <t>4</t>
        </is>
      </c>
      <c r="G8" s="2" t="inlineStr">
        <is>
          <t>Сильное подтверждение: несколько страниц или блоков сайта подтверждают один вывод</t>
        </is>
      </c>
    </row>
    <row r="9" ht="57" customHeight="1">
      <c r="A9" s="2" t="inlineStr">
        <is>
          <t>5. Оценить монетизацию</t>
        </is>
      </c>
      <c r="B9" s="2" t="inlineStr">
        <is>
          <t>Зафиксировать признаки ценовой модели, тарифы, пробный доступ, ограничения, платежные условия и логику получения выручки</t>
        </is>
      </c>
      <c r="C9" s="2" t="inlineStr">
        <is>
          <t>06_Монетизация</t>
        </is>
      </c>
      <c r="D9" s="2" t="inlineStr">
        <is>
          <t>Вывод о потоках доходов и зрелости коммерческой модели</t>
        </is>
      </c>
      <c r="F9" s="2" t="inlineStr">
        <is>
          <t>5</t>
        </is>
      </c>
      <c r="G9" s="2" t="inlineStr">
        <is>
          <t>Высокая доказательность: прямое описание, тариф, оферта, демонстрация, кейс или документация подтверждают вывод</t>
        </is>
      </c>
    </row>
    <row r="10" ht="57" customHeight="1">
      <c r="A10" s="2" t="inlineStr">
        <is>
          <t>6. Описать каналы и воронку</t>
        </is>
      </c>
      <c r="B10" s="2" t="inlineStr">
        <is>
          <t>Выявить источники привлечения, точки конверсии, призывы к действию, контент, регистрацию, демонстрацию, заявки и продажи</t>
        </is>
      </c>
      <c r="C10" s="2" t="inlineStr">
        <is>
          <t>07_Каналы</t>
        </is>
      </c>
      <c r="D10" s="2" t="inlineStr">
        <is>
          <t>Понимание способа выхода на рынок и механики превращения посетителя в клиента</t>
        </is>
      </c>
    </row>
    <row r="11" ht="71.25" customHeight="1">
      <c r="A11" s="2" t="inlineStr">
        <is>
          <t>7. Описать операционную основу</t>
        </is>
      </c>
      <c r="B11" s="2" t="inlineStr">
        <is>
          <t>Оценить ресурсы, процессы, данные, интеграции, партнеров, поддержку, признаки масштабируемости и операционных ограничений</t>
        </is>
      </c>
      <c r="C11" s="2" t="inlineStr">
        <is>
          <t>08_Операц_модель</t>
        </is>
      </c>
      <c r="D11" s="2" t="inlineStr">
        <is>
          <t>Оценка устойчивости и воспроизводимости бизнес-модели</t>
        </is>
      </c>
    </row>
    <row r="12" ht="57" customHeight="1">
      <c r="A12" s="2" t="inlineStr">
        <is>
          <t>8. Сравнить конкурентов</t>
        </is>
      </c>
      <c r="B12" s="2" t="inlineStr">
        <is>
          <t>Поставить оценки по ключевым блокам, использовать веса и получить итоговый индекс силы бизнес-модели</t>
        </is>
      </c>
      <c r="C12" s="2" t="inlineStr">
        <is>
          <t>09_Матрица</t>
        </is>
      </c>
      <c r="D12" s="2" t="inlineStr">
        <is>
          <t>Рейтинг бизнес-моделей конкурентов</t>
        </is>
      </c>
    </row>
    <row r="13" ht="71.25" customHeight="1">
      <c r="A13" s="2" t="inlineStr">
        <is>
          <t>9. Определить рыночный стандарт</t>
        </is>
      </c>
      <c r="B13" s="2" t="inlineStr">
        <is>
          <t>Сгруппировать повторяющиеся практики и рассчитать долю конкурентов, у которых они присутствуют</t>
        </is>
      </c>
      <c r="C13" s="2" t="inlineStr">
        <is>
          <t>10_Стандарт</t>
        </is>
      </c>
      <c r="D13" s="2" t="inlineStr">
        <is>
          <t>Отделение обязательного рыночного минимума от зон дифференциации</t>
        </is>
      </c>
    </row>
    <row r="14" ht="71.25" customHeight="1">
      <c r="A14" s="2" t="inlineStr">
        <is>
          <t>10. Сформулировать преимущества</t>
        </is>
      </c>
      <c r="B14" s="2" t="inlineStr">
        <is>
          <t>Выделить преимущества конкурентов и оценить силу, трудность копирования, коммерческую значимость и доказательность</t>
        </is>
      </c>
      <c r="C14" s="2" t="inlineStr">
        <is>
          <t>11_Преимущества</t>
        </is>
      </c>
      <c r="D14" s="2" t="inlineStr">
        <is>
          <t>Список проверяемых преимуществ и угроз</t>
        </is>
      </c>
    </row>
    <row r="15" ht="42.75" customHeight="1">
      <c r="A15" s="2" t="inlineStr">
        <is>
          <t>11. Подготовить итог</t>
        </is>
      </c>
      <c r="B15" s="2" t="inlineStr">
        <is>
          <t>Использовать сводный лист для контроля заполнения, рейтинга и общей интерпретации</t>
        </is>
      </c>
      <c r="C15" s="2" t="inlineStr">
        <is>
          <t>12_Сводка</t>
        </is>
      </c>
      <c r="D15" s="2" t="inlineStr">
        <is>
          <t>Сводная картина рынка и рекомендации к дальнейшему анализу</t>
        </is>
      </c>
    </row>
  </sheetData>
  <mergeCells count="2">
    <mergeCell ref="A1:J1"/>
    <mergeCell ref="A2:J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1"/>
  <sheetViews>
    <sheetView workbookViewId="0">
      <selection activeCell="E10" sqref="E10"/>
    </sheetView>
  </sheetViews>
  <sheetFormatPr baseColWidth="8" defaultRowHeight="14.25"/>
  <cols>
    <col width="10" customWidth="1" min="1" max="1"/>
    <col width="24" customWidth="1" min="2" max="2"/>
    <col width="34" customWidth="1" min="3" max="3"/>
    <col width="22" customWidth="1" min="4" max="4"/>
    <col width="24" customWidth="1" min="5" max="5"/>
    <col width="18" customWidth="1" min="6" max="6"/>
    <col width="14" customWidth="1" min="7" max="7"/>
    <col width="18" customWidth="1" min="8" max="8"/>
    <col width="18.75" customWidth="1" min="9" max="9"/>
    <col width="18" customWidth="1" min="10" max="10"/>
    <col width="34" customWidth="1" min="11" max="11"/>
  </cols>
  <sheetData>
    <row r="1" ht="15" customHeight="1">
      <c r="A1" s="19" t="inlineStr">
        <is>
          <t>Реестр конкурентов</t>
        </is>
      </c>
      <c r="L1" s="14" t="n"/>
      <c r="M1" s="14" t="n"/>
      <c r="N1" s="14" t="n"/>
      <c r="O1" s="14" t="n"/>
      <c r="P1" s="14" t="n"/>
      <c r="Q1" s="14" t="n"/>
      <c r="R1" s="14" t="n"/>
      <c r="S1" s="14" t="n"/>
      <c r="T1" s="14" t="n"/>
      <c r="U1" s="14" t="n"/>
      <c r="V1" s="14" t="n"/>
      <c r="W1" s="14" t="n"/>
      <c r="X1" s="14" t="n"/>
      <c r="Y1" s="14" t="n"/>
      <c r="Z1" s="14" t="n"/>
    </row>
    <row r="2" ht="19.15" customHeight="1">
      <c r="A2" s="21" t="inlineStr">
        <is>
          <t>Заполняется первым. Один конкурент — одна строка. ID используется во всех остальных листах</t>
        </is>
      </c>
    </row>
    <row r="3" ht="18" customHeight="1">
      <c r="A3" s="25" t="inlineStr">
        <is>
          <t>ID</t>
        </is>
      </c>
      <c r="B3" s="25" t="inlineStr">
        <is>
          <t>Название конкурента</t>
        </is>
      </c>
      <c r="C3" s="25" t="inlineStr">
        <is>
          <t>Сайт</t>
        </is>
      </c>
      <c r="D3" s="25" t="inlineStr">
        <is>
          <t>Сегмент</t>
        </is>
      </c>
      <c r="E3" s="25" t="inlineStr">
        <is>
          <t>Тип конкурента</t>
        </is>
      </c>
      <c r="F3" s="25" t="inlineStr">
        <is>
          <t>География</t>
        </is>
      </c>
      <c r="G3" s="25" t="inlineStr">
        <is>
          <t>Приоритет</t>
        </is>
      </c>
      <c r="H3" s="25" t="inlineStr">
        <is>
          <t>Статус анализа</t>
        </is>
      </c>
      <c r="I3" s="25" t="inlineStr">
        <is>
          <t>Дата фиксации</t>
        </is>
      </c>
      <c r="J3" s="25" t="inlineStr">
        <is>
          <t>Ответственный</t>
        </is>
      </c>
      <c r="K3" s="25" t="inlineStr">
        <is>
          <t>Примечание</t>
        </is>
      </c>
    </row>
    <row r="4" ht="71.25" customHeight="1">
      <c r="A4" s="3" t="inlineStr">
        <is>
          <t>C01</t>
        </is>
      </c>
      <c r="B4" s="2" t="inlineStr">
        <is>
          <t>PlantUML</t>
        </is>
      </c>
      <c r="C4" s="2" t="inlineStr">
        <is>
          <t>plantuml.com</t>
        </is>
      </c>
      <c r="D4" s="2" t="inlineStr">
        <is>
          <t>Разработчики, студенты, архитекторы ПО</t>
        </is>
      </c>
      <c r="E4" s="2" t="inlineStr">
        <is>
          <t>прямой</t>
        </is>
      </c>
      <c r="F4" s="2" t="inlineStr">
        <is>
          <t>Весь мир (английский язык)</t>
        </is>
      </c>
      <c r="G4" s="2" t="inlineStr">
        <is>
          <t>высокий</t>
        </is>
      </c>
      <c r="H4" s="2" t="inlineStr">
        <is>
          <t>завершен</t>
        </is>
      </c>
      <c r="I4" s="4" t="inlineStr">
        <is>
          <t>01.10.2026</t>
        </is>
      </c>
      <c r="J4" s="2" t="inlineStr">
        <is>
          <t>К. А. Хаджинова</t>
        </is>
      </c>
      <c r="K4" s="2" t="inlineStr">
        <is>
          <t>Профиль построен по просмотренным страницам; блоки деятельности, партнёров, затрат и сетевых эффектов - косвенные признаки и гипотезы</t>
        </is>
      </c>
    </row>
    <row r="5" ht="71.25" customHeight="1">
      <c r="A5" s="3" t="inlineStr">
        <is>
          <t>C02</t>
        </is>
      </c>
      <c r="B5" s="2" t="inlineStr">
        <is>
          <t>Mermaid (библиотека)</t>
        </is>
      </c>
      <c r="C5" s="2" t="inlineStr">
        <is>
          <t>mermaid.js.org</t>
        </is>
      </c>
      <c r="D5" s="2" t="inlineStr">
        <is>
          <t>Разработчики, авторы технической документации</t>
        </is>
      </c>
      <c r="E5" s="2" t="inlineStr">
        <is>
          <t>косвенный</t>
        </is>
      </c>
      <c r="F5" s="2" t="inlineStr">
        <is>
          <t>Весь мир (английский язык)</t>
        </is>
      </c>
      <c r="G5" s="2" t="inlineStr">
        <is>
          <t>высокий</t>
        </is>
      </c>
      <c r="H5" s="2" t="inlineStr">
        <is>
          <t>завершен</t>
        </is>
      </c>
      <c r="I5" s="4" t="inlineStr">
        <is>
          <t>01.10.2026</t>
        </is>
      </c>
      <c r="J5" s="2" t="inlineStr">
        <is>
          <t>К. А. Хаджинова</t>
        </is>
      </c>
      <c r="K5" s="2" t="inlineStr">
        <is>
          <t>Профиль построен по просмотренным страницам; блоки деятельности, партнёров, затрат и сетевых эффектов - косвенные признаки и гипотезы</t>
        </is>
      </c>
    </row>
    <row r="6" ht="71.25" customHeight="1">
      <c r="A6" s="3" t="inlineStr">
        <is>
          <t>C03</t>
        </is>
      </c>
      <c r="B6" s="2" t="inlineStr">
        <is>
          <t>Mermaid Chart</t>
        </is>
      </c>
      <c r="C6" s="2" t="inlineStr">
        <is>
          <t>mermaidchart.com</t>
        </is>
      </c>
      <c r="D6" s="2" t="inlineStr">
        <is>
          <t>Команды разработки и документации</t>
        </is>
      </c>
      <c r="E6" s="2" t="inlineStr">
        <is>
          <t>косвенный</t>
        </is>
      </c>
      <c r="F6" s="2" t="inlineStr">
        <is>
          <t>Весь мир (США, Великобритания, Япония в топ-странах)</t>
        </is>
      </c>
      <c r="G6" s="2" t="inlineStr">
        <is>
          <t>высокий</t>
        </is>
      </c>
      <c r="H6" s="2" t="inlineStr">
        <is>
          <t>завершен</t>
        </is>
      </c>
      <c r="I6" s="4" t="inlineStr">
        <is>
          <t>01.10.2026</t>
        </is>
      </c>
      <c r="J6" s="2" t="inlineStr">
        <is>
          <t>К. А. Хаджинова</t>
        </is>
      </c>
      <c r="K6" s="2" t="inlineStr">
        <is>
          <t>Профиль построен по просмотренным страницам; блоки деятельности, партнёров, затрат и сетевых эффектов - косвенные признаки и гипотезы</t>
        </is>
      </c>
    </row>
    <row r="7" ht="71.25" customHeight="1">
      <c r="A7" s="3" t="inlineStr">
        <is>
          <t>C04</t>
        </is>
      </c>
      <c r="B7" s="2" t="inlineStr">
        <is>
          <t>Storm (StormBPMN)</t>
        </is>
      </c>
      <c r="C7" s="2" t="inlineStr">
        <is>
          <t>stormbpmn.com</t>
        </is>
      </c>
      <c r="D7" s="2" t="inlineStr">
        <is>
          <t>Процессные аналитики, русскоязычный рынок</t>
        </is>
      </c>
      <c r="E7" s="2" t="inlineStr">
        <is>
          <t>смежная модель</t>
        </is>
      </c>
      <c r="F7" s="2" t="inlineStr">
        <is>
          <t>Россия и СНГ (Россия 62,99 %, Беларусь 2,49 %)</t>
        </is>
      </c>
      <c r="G7" s="2" t="inlineStr">
        <is>
          <t>средний</t>
        </is>
      </c>
      <c r="H7" s="2" t="inlineStr">
        <is>
          <t>завершен</t>
        </is>
      </c>
      <c r="I7" s="4" t="inlineStr">
        <is>
          <t>01.10.2026</t>
        </is>
      </c>
      <c r="J7" s="2" t="inlineStr">
        <is>
          <t>К. А. Хаджинова</t>
        </is>
      </c>
      <c r="K7" s="2" t="inlineStr">
        <is>
          <t>Профиль построен по просмотренным страницам; блоки деятельности, партнёров, затрат и сетевых эффектов - косвенные признаки и гипотезы</t>
        </is>
      </c>
    </row>
    <row r="8" ht="71.25" customHeight="1">
      <c r="A8" s="3" t="inlineStr">
        <is>
          <t>C05</t>
        </is>
      </c>
      <c r="B8" s="2" t="inlineStr">
        <is>
          <t>draw.io (diagrams.net)</t>
        </is>
      </c>
      <c r="C8" s="2" t="inlineStr">
        <is>
          <t>app.diagrams.net</t>
        </is>
      </c>
      <c r="D8" s="2" t="inlineStr">
        <is>
          <t>Студенты, разработчики, команды</t>
        </is>
      </c>
      <c r="E8" s="2" t="inlineStr">
        <is>
          <t>косвенный</t>
        </is>
      </c>
      <c r="F8" s="2" t="inlineStr">
        <is>
          <t>Весь мир (США, Индонезия, Индия, Китай, Россия)</t>
        </is>
      </c>
      <c r="G8" s="2" t="inlineStr">
        <is>
          <t>высокий</t>
        </is>
      </c>
      <c r="H8" s="2" t="inlineStr">
        <is>
          <t>завершен</t>
        </is>
      </c>
      <c r="I8" s="4" t="inlineStr">
        <is>
          <t>01.10.2026</t>
        </is>
      </c>
      <c r="J8" s="2" t="inlineStr">
        <is>
          <t>К. А. Хаджинова</t>
        </is>
      </c>
      <c r="K8" s="2" t="inlineStr">
        <is>
          <t>Профиль построен по просмотренным страницам; блоки деятельности, партнёров, затрат и сетевых эффектов - косвенные признаки и гипотезы</t>
        </is>
      </c>
    </row>
    <row r="9" ht="71.25" customHeight="1">
      <c r="A9" s="3" t="inlineStr">
        <is>
          <t>C06</t>
        </is>
      </c>
      <c r="B9" s="2" t="inlineStr">
        <is>
          <t>Lucidchart</t>
        </is>
      </c>
      <c r="C9" s="2" t="inlineStr">
        <is>
          <t>lucidchart.com</t>
        </is>
      </c>
      <c r="D9" s="2" t="inlineStr">
        <is>
          <t>Команды, бизнес-пользователи</t>
        </is>
      </c>
      <c r="E9" s="2" t="inlineStr">
        <is>
          <t>косвенный</t>
        </is>
      </c>
      <c r="F9" s="2" t="inlineStr">
        <is>
          <t>Весь мир (США, Мексика, Бразилия в топ-странах)</t>
        </is>
      </c>
      <c r="G9" s="2" t="inlineStr">
        <is>
          <t>средний</t>
        </is>
      </c>
      <c r="H9" s="2" t="inlineStr">
        <is>
          <t>завершен</t>
        </is>
      </c>
      <c r="I9" s="4" t="inlineStr">
        <is>
          <t>01.10.2026</t>
        </is>
      </c>
      <c r="J9" s="2" t="inlineStr">
        <is>
          <t>К. А. Хаджинова</t>
        </is>
      </c>
      <c r="K9" s="2" t="inlineStr">
        <is>
          <t>Профиль построен по просмотренным страницам; блоки деятельности, партнёров, затрат и сетевых эффектов - косвенные признаки и гипотезы</t>
        </is>
      </c>
    </row>
    <row r="10" ht="71.25" customHeight="1">
      <c r="A10" s="3" t="inlineStr">
        <is>
          <t>C07</t>
        </is>
      </c>
      <c r="B10" s="2" t="inlineStr">
        <is>
          <t>Eraser</t>
        </is>
      </c>
      <c r="C10" s="2" t="inlineStr">
        <is>
          <t>eraser.io</t>
        </is>
      </c>
      <c r="D10" s="2" t="inlineStr">
        <is>
          <t>Инженерные команды, разработчики</t>
        </is>
      </c>
      <c r="E10" s="2" t="inlineStr">
        <is>
          <t>косвенный</t>
        </is>
      </c>
      <c r="F10" s="2" t="inlineStr">
        <is>
          <t>Весь мир</t>
        </is>
      </c>
      <c r="G10" s="2" t="inlineStr">
        <is>
          <t>высокий</t>
        </is>
      </c>
      <c r="H10" s="2" t="inlineStr">
        <is>
          <t>завершен</t>
        </is>
      </c>
      <c r="I10" s="4" t="inlineStr">
        <is>
          <t>01.10.2026</t>
        </is>
      </c>
      <c r="J10" s="2" t="inlineStr">
        <is>
          <t>К. А. Хаджинова</t>
        </is>
      </c>
      <c r="K10" s="2" t="inlineStr">
        <is>
          <t>Профиль построен по просмотренным страницам; блоки деятельности, партнёров, затрат и сетевых эффектов - косвенные признаки и гипотезы</t>
        </is>
      </c>
    </row>
    <row r="11" ht="71.25" customHeight="1">
      <c r="A11" s="3" t="inlineStr">
        <is>
          <t>C08</t>
        </is>
      </c>
      <c r="B11" s="2" t="inlineStr">
        <is>
          <t>Whimsical</t>
        </is>
      </c>
      <c r="C11" s="2" t="inlineStr">
        <is>
          <t>whimsical.com</t>
        </is>
      </c>
      <c r="D11" s="2" t="inlineStr">
        <is>
          <t>Команды продуктов</t>
        </is>
      </c>
      <c r="E11" s="2" t="inlineStr">
        <is>
          <t>заменитель</t>
        </is>
      </c>
      <c r="F11" s="2" t="inlineStr">
        <is>
          <t>Весь мир</t>
        </is>
      </c>
      <c r="G11" s="2" t="inlineStr">
        <is>
          <t>низкий</t>
        </is>
      </c>
      <c r="H11" s="2" t="inlineStr">
        <is>
          <t>завершен</t>
        </is>
      </c>
      <c r="I11" s="4" t="inlineStr">
        <is>
          <t>01.10.2026</t>
        </is>
      </c>
      <c r="J11" s="2" t="inlineStr">
        <is>
          <t>К. А. Хаджинова</t>
        </is>
      </c>
      <c r="K11" s="2" t="inlineStr">
        <is>
          <t>Профиль построен по просмотренным страницам; блоки деятельности, партнёров, затрат и сетевых эффектов - косвенные признаки и гипотезы</t>
        </is>
      </c>
    </row>
  </sheetData>
  <mergeCells count="2">
    <mergeCell ref="A2:K2"/>
    <mergeCell ref="A1:K1"/>
  </mergeCells>
  <dataValidations count="3">
    <dataValidation sqref="E4:E203" showDropDown="0" showInputMessage="0" showErrorMessage="0" allowBlank="0" type="list">
      <formula1>"прямой,косвенный,заменитель,эталон лучшей практики,смежная модель"</formula1>
    </dataValidation>
    <dataValidation sqref="G4:G203" showDropDown="0" showInputMessage="0" showErrorMessage="0" allowBlank="0" type="list">
      <formula1>"высокий,средний,низкий"</formula1>
    </dataValidation>
    <dataValidation sqref="H4:H203" showDropDown="0" showInputMessage="0" showErrorMessage="0" allowBlank="0" type="list">
      <formula1>"не начат,в работе,требует проверки,завершен"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503"/>
  <sheetViews>
    <sheetView topLeftCell="G1" workbookViewId="0">
      <selection activeCell="O4" sqref="O4"/>
    </sheetView>
  </sheetViews>
  <sheetFormatPr baseColWidth="8" defaultRowHeight="14.25"/>
  <cols>
    <col width="12" customWidth="1" min="1" max="1"/>
    <col width="14" customWidth="1" min="2" max="2"/>
    <col width="22" customWidth="1" min="3" max="4"/>
    <col width="37" customWidth="1" min="5" max="5"/>
    <col width="26" customWidth="1" min="6" max="6"/>
    <col width="42" customWidth="1" min="7" max="7"/>
    <col width="26" customWidth="1" min="8" max="8"/>
    <col width="17.25" customWidth="1" min="9" max="9"/>
    <col width="16" customWidth="1" min="10" max="10"/>
    <col width="34" customWidth="1" min="11" max="11"/>
    <col width="42" customWidth="1" min="12" max="12"/>
  </cols>
  <sheetData>
    <row r="1" ht="15" customHeight="1">
      <c r="A1" s="19" t="inlineStr">
        <is>
          <t>Факты, извлеченные с сайтов конкурентов</t>
        </is>
      </c>
      <c r="M1" s="14" t="n"/>
      <c r="N1" s="14" t="n"/>
      <c r="O1" s="14" t="n"/>
      <c r="P1" s="14" t="n"/>
      <c r="Q1" s="14" t="n"/>
      <c r="R1" s="14" t="n"/>
      <c r="S1" s="14" t="n"/>
      <c r="T1" s="14" t="n"/>
      <c r="U1" s="14" t="n"/>
      <c r="V1" s="14" t="n"/>
      <c r="W1" s="14" t="n"/>
      <c r="X1" s="14" t="n"/>
      <c r="Y1" s="14" t="n"/>
      <c r="Z1" s="14" t="n"/>
    </row>
    <row r="2" ht="19.15" customHeight="1">
      <c r="A2" s="21" t="inlineStr">
        <is>
          <t>Каждый вывод по бизнес-модели должен иметь источник: URL, наблюдаемый факт и уровень доказательности</t>
        </is>
      </c>
    </row>
    <row r="3" ht="42.75" customHeight="1">
      <c r="A3" s="25" t="inlineStr">
        <is>
          <t>Факт_ID</t>
        </is>
      </c>
      <c r="B3" s="25" t="inlineStr">
        <is>
          <t>ID конкурента</t>
        </is>
      </c>
      <c r="C3" s="25" t="inlineStr">
        <is>
          <t>Название</t>
        </is>
      </c>
      <c r="D3" s="25" t="inlineStr">
        <is>
          <t>Раздел сайта</t>
        </is>
      </c>
      <c r="E3" s="25" t="inlineStr">
        <is>
          <t>URL</t>
        </is>
      </c>
      <c r="F3" s="25" t="inlineStr">
        <is>
          <t>Блок/страница</t>
        </is>
      </c>
      <c r="G3" s="25" t="inlineStr">
        <is>
          <t>Наблюдаемый факт</t>
        </is>
      </c>
      <c r="H3" s="25" t="inlineStr">
        <is>
          <t>Элемент бизнес-модели</t>
        </is>
      </c>
      <c r="I3" s="25" t="inlineStr">
        <is>
          <t>Доказательность 1-5</t>
        </is>
      </c>
      <c r="J3" s="25" t="inlineStr">
        <is>
          <t>Дата фиксации</t>
        </is>
      </c>
      <c r="K3" s="25" t="inlineStr">
        <is>
          <t>Цитата/скриншот</t>
        </is>
      </c>
      <c r="L3" s="25" t="inlineStr">
        <is>
          <t>Аналитический вывод</t>
        </is>
      </c>
    </row>
    <row r="4" ht="42.75" customHeight="1">
      <c r="A4" s="2" t="inlineStr">
        <is>
          <t>F001</t>
        </is>
      </c>
      <c r="B4" s="2" t="inlineStr">
        <is>
          <t>C01</t>
        </is>
      </c>
      <c r="C4" s="5">
        <f>IF($B4="","",IFERROR(VLOOKUP($B4,'02_Конкуренты'!$A\$4:$B\$203,2,FALSE),"не найдено"))</f>
        <v/>
      </c>
      <c r="D4" s="2" t="inlineStr">
        <is>
          <t>Главная страница</t>
        </is>
      </c>
      <c r="E4" s="2" t="inlineStr">
        <is>
          <t>https://plantuml.com/</t>
        </is>
      </c>
      <c r="F4" s="2" t="inlineStr">
        <is>
          <t>Заголовок и описание</t>
        </is>
      </c>
      <c r="G4" s="2" t="inlineStr">
        <is>
          <t>Обещание: «Open-source tool that uses simple textual descriptions to draw beautiful UML diagrams»</t>
        </is>
      </c>
      <c r="H4" s="2" t="inlineStr">
        <is>
          <t>ценностное предложение</t>
        </is>
      </c>
      <c r="I4" s="2" t="n">
        <v>4</v>
      </c>
      <c r="J4" s="4" t="inlineStr">
        <is>
          <t>01.10.2026</t>
        </is>
      </c>
      <c r="K4" s="2" t="inlineStr">
        <is>
          <t>главная страница, 01.10.2026</t>
        </is>
      </c>
      <c r="L4" s="2" t="n"/>
    </row>
    <row r="5" ht="28.5" customHeight="1">
      <c r="A5" s="2" t="inlineStr">
        <is>
          <t>F002</t>
        </is>
      </c>
      <c r="B5" s="2" t="inlineStr">
        <is>
          <t>C01</t>
        </is>
      </c>
      <c r="C5" s="5">
        <f>IF($B5="","",IFERROR(VLOOKUP($B5,'02_Конкуренты'!$A\$4:$B\$203,2,FALSE),"не найдено"))</f>
        <v/>
      </c>
      <c r="D5" s="2" t="inlineStr">
        <is>
          <t>Главная страница</t>
        </is>
      </c>
      <c r="E5" s="2" t="inlineStr">
        <is>
          <t>https://plantuml.com/</t>
        </is>
      </c>
      <c r="F5" s="2" t="inlineStr">
        <is>
          <t>Состав товара</t>
        </is>
      </c>
      <c r="G5" s="2" t="inlineStr">
        <is>
          <t>Построение UML-диаграмм из текстового описания, экспорт PNG, LaTeX, EPS, SVG</t>
        </is>
      </c>
      <c r="H5" s="2" t="inlineStr">
        <is>
          <t>цифровой товар</t>
        </is>
      </c>
      <c r="I5" s="2" t="n">
        <v>4</v>
      </c>
      <c r="J5" s="4" t="inlineStr">
        <is>
          <t>01.10.2026</t>
        </is>
      </c>
      <c r="K5" s="2" t="inlineStr">
        <is>
          <t>страницы сайта, ЛР4</t>
        </is>
      </c>
      <c r="L5" s="2" t="n"/>
    </row>
    <row r="6">
      <c r="A6" s="2" t="inlineStr">
        <is>
          <t>F003</t>
        </is>
      </c>
      <c r="B6" s="2" t="inlineStr">
        <is>
          <t>C01</t>
        </is>
      </c>
      <c r="C6" s="5">
        <f>IF($B6="","",IFERROR(VLOOKUP($B6,'02_Конкуренты'!$A\$4:$B\$203,2,FALSE),"не найдено"))</f>
        <v/>
      </c>
      <c r="D6" s="2" t="inlineStr">
        <is>
          <t>Тарифы</t>
        </is>
      </c>
      <c r="E6" s="2" t="inlineStr">
        <is>
          <t>https://plantuml.com/</t>
        </is>
      </c>
      <c r="F6" s="2" t="inlineStr">
        <is>
          <t>Тарифная таблица</t>
        </is>
      </c>
      <c r="G6" s="2" t="inlineStr">
        <is>
          <t>открытый код, бесплатно (ЛР1, табл. 42)</t>
        </is>
      </c>
      <c r="H6" s="2" t="inlineStr">
        <is>
          <t>потоки доходов</t>
        </is>
      </c>
      <c r="I6" s="2" t="n">
        <v>4</v>
      </c>
      <c r="J6" s="4" t="inlineStr">
        <is>
          <t>01.10.2026</t>
        </is>
      </c>
      <c r="K6" s="2" t="inlineStr">
        <is>
          <t>страница тарифов или лицензия</t>
        </is>
      </c>
      <c r="L6" s="2" t="n"/>
    </row>
    <row r="7" ht="71.25" customHeight="1">
      <c r="A7" s="2" t="inlineStr">
        <is>
          <t>F004</t>
        </is>
      </c>
      <c r="B7" s="2" t="inlineStr">
        <is>
          <t>C01</t>
        </is>
      </c>
      <c r="C7" s="5">
        <f>IF($B7="","",IFERROR(VLOOKUP($B7,'02_Конкуренты'!$A\$4:$B\$203,2,FALSE),"не найдено"))</f>
        <v/>
      </c>
      <c r="D7" s="2" t="inlineStr">
        <is>
          <t>Similarweb Pro</t>
        </is>
      </c>
      <c r="E7" s="2" t="inlineStr">
        <is>
          <t>https://plantuml.com/</t>
        </is>
      </c>
      <c r="F7" s="2" t="inlineStr">
        <is>
          <t>Каналы</t>
        </is>
      </c>
      <c r="G7" s="2" t="inlineStr">
        <is>
          <t>прямые заходы 38,11 %; органический поиск 47,25 %; рефералы 5,91 %; соцсети органика 3,62 %; ИИ-ассистенты 4,42 %; e-mail 0,60 % (Similarweb Pro, Jun-Aug 2026, весь мир, снимок 30.09.2026)</t>
        </is>
      </c>
      <c r="H7" s="2" t="inlineStr">
        <is>
          <t>каналы</t>
        </is>
      </c>
      <c r="I7" s="2" t="n">
        <v>3</v>
      </c>
      <c r="J7" s="4" t="inlineStr">
        <is>
          <t>01.10.2026</t>
        </is>
      </c>
      <c r="K7" s="2" t="inlineStr">
        <is>
          <t>Similarweb Pro (ЛР4)</t>
        </is>
      </c>
      <c r="L7" s="2" t="n"/>
    </row>
    <row r="8" ht="28.5" customHeight="1">
      <c r="A8" s="2" t="inlineStr">
        <is>
          <t>F005</t>
        </is>
      </c>
      <c r="B8" s="2" t="inlineStr">
        <is>
          <t>C01</t>
        </is>
      </c>
      <c r="C8" s="5">
        <f>IF($B8="","",IFERROR(VLOOKUP($B8,'02_Конкуренты'!$A\$4:$B\$203,2,FALSE),"не найдено"))</f>
        <v/>
      </c>
      <c r="D8" s="2" t="inlineStr">
        <is>
          <t>GitHub</t>
        </is>
      </c>
      <c r="E8" s="2" t="inlineStr">
        <is>
          <t>https://github.com/plantuml/plantuml</t>
        </is>
      </c>
      <c r="F8" s="2" t="inlineStr">
        <is>
          <t>Репозиторий</t>
        </is>
      </c>
      <c r="G8" s="2" t="inlineStr">
        <is>
          <t>plantuml/plantuml: 13 346 звёзд, лицензия LGPL-3.0</t>
        </is>
      </c>
      <c r="H8" s="2" t="inlineStr">
        <is>
          <t>ключевые ресурсы</t>
        </is>
      </c>
      <c r="I8" s="2" t="n">
        <v>5</v>
      </c>
      <c r="J8" s="4" t="inlineStr">
        <is>
          <t>01.10.2026</t>
        </is>
      </c>
      <c r="K8" s="2" t="inlineStr">
        <is>
          <t>GitHub API, 30.09.2026</t>
        </is>
      </c>
      <c r="L8" s="2" t="n"/>
    </row>
    <row r="9" ht="42.75" customHeight="1">
      <c r="A9" s="2" t="inlineStr">
        <is>
          <t>F006</t>
        </is>
      </c>
      <c r="B9" s="2" t="inlineStr">
        <is>
          <t>C01</t>
        </is>
      </c>
      <c r="C9" s="5">
        <f>IF($B9="","",IFERROR(VLOOKUP($B9,'02_Конкуренты'!$A\$4:$B\$203,2,FALSE),"не найдено"))</f>
        <v/>
      </c>
      <c r="D9" s="2" t="inlineStr">
        <is>
          <t>Страницы сайта</t>
        </is>
      </c>
      <c r="E9" s="2" t="inlineStr">
        <is>
          <t>https://plantuml.com/</t>
        </is>
      </c>
      <c r="F9" s="2" t="inlineStr">
        <is>
          <t>Описание диаграммы текстом (DSL)</t>
        </is>
      </c>
      <c r="G9" s="2" t="inlineStr">
        <is>
          <t>Признак найден на просмотренных страницах: описание диаграммы текстом (dsl)</t>
        </is>
      </c>
      <c r="H9" s="2" t="inlineStr">
        <is>
          <t>цифровой товар</t>
        </is>
      </c>
      <c r="I9" s="2" t="n">
        <v>4</v>
      </c>
      <c r="J9" s="4" t="inlineStr">
        <is>
          <t>01.10.2026</t>
        </is>
      </c>
      <c r="K9" s="2" t="inlineStr">
        <is>
          <t>Главные страницы PlantUML, Mermaid, Mermaid Chart; «Diagram-as-code» в тарифе Free Eraser;</t>
        </is>
      </c>
      <c r="L9" s="2" t="n"/>
    </row>
    <row r="10" ht="28.5" customHeight="1">
      <c r="A10" s="2" t="inlineStr">
        <is>
          <t>F007</t>
        </is>
      </c>
      <c r="B10" s="2" t="inlineStr">
        <is>
          <t>C01</t>
        </is>
      </c>
      <c r="C10" s="5">
        <f>IF($B10="","",IFERROR(VLOOKUP($B10,'02_Конкуренты'!$A\$4:$B\$203,2,FALSE),"не найдено"))</f>
        <v/>
      </c>
      <c r="D10" s="2" t="inlineStr">
        <is>
          <t>Страницы сайта</t>
        </is>
      </c>
      <c r="E10" s="2" t="inlineStr">
        <is>
          <t>https://plantuml.com/</t>
        </is>
      </c>
      <c r="F10" s="2" t="inlineStr">
        <is>
          <t>Интеграции с другими сервисами</t>
        </is>
      </c>
      <c r="G10" s="2" t="inlineStr">
        <is>
          <t>Признак найден на просмотренных страницах: интеграции с другими сервисами</t>
        </is>
      </c>
      <c r="H10" s="2" t="inlineStr">
        <is>
          <t>ключевые партнеры</t>
        </is>
      </c>
      <c r="I10" s="2" t="n">
        <v>3</v>
      </c>
      <c r="J10" s="4" t="inlineStr">
        <is>
          <t>01.10.2026</t>
        </is>
      </c>
      <c r="K10" s="2" t="inlineStr">
        <is>
          <t>Разделы и упоминания интеграций на страницах 8 из 8 конкурентов</t>
        </is>
      </c>
      <c r="L10" s="2" t="n"/>
    </row>
    <row r="11" ht="28.5" customHeight="1">
      <c r="A11" s="2" t="inlineStr">
        <is>
          <t>F008</t>
        </is>
      </c>
      <c r="B11" s="2" t="inlineStr">
        <is>
          <t>C01</t>
        </is>
      </c>
      <c r="C11" s="5">
        <f>IF($B11="","",IFERROR(VLOOKUP($B11,'02_Конкуренты'!$A\$4:$B\$203,2,FALSE),"не найдено"))</f>
        <v/>
      </c>
      <c r="D11" s="2" t="inlineStr">
        <is>
          <t>Страницы сайта</t>
        </is>
      </c>
      <c r="E11" s="2" t="inlineStr">
        <is>
          <t>https://plantuml.com/</t>
        </is>
      </c>
      <c r="F11" s="2" t="inlineStr">
        <is>
          <t>Открытый код и сообщество</t>
        </is>
      </c>
      <c r="G11" s="2" t="inlineStr">
        <is>
          <t>Признак найден на просмотренных страницах: открытый код и сообщество</t>
        </is>
      </c>
      <c r="H11" s="2" t="inlineStr">
        <is>
          <t>ключевые ресурсы</t>
        </is>
      </c>
      <c r="I11" s="2" t="n">
        <v>3</v>
      </c>
      <c r="J11" s="4" t="inlineStr">
        <is>
          <t>01.10.2026</t>
        </is>
      </c>
      <c r="K11" s="2" t="inlineStr">
        <is>
          <t>GitHub API, 30.09.2026; лицензия Apache 2.0 у draw.io</t>
        </is>
      </c>
      <c r="L11" s="2" t="n"/>
    </row>
    <row r="12" ht="42.75" customHeight="1">
      <c r="A12" s="2" t="inlineStr">
        <is>
          <t>F009</t>
        </is>
      </c>
      <c r="B12" s="2" t="inlineStr">
        <is>
          <t>C01</t>
        </is>
      </c>
      <c r="C12" s="5">
        <f>IF($B12="","",IFERROR(VLOOKUP($B12,'02_Конкуренты'!$A\$4:$B\$203,2,FALSE),"не найдено"))</f>
        <v/>
      </c>
      <c r="D12" s="2" t="inlineStr">
        <is>
          <t>Страницы сайта</t>
        </is>
      </c>
      <c r="E12" s="2" t="inlineStr">
        <is>
          <t>https://plantuml.com/</t>
        </is>
      </c>
      <c r="F12" s="2" t="inlineStr">
        <is>
          <t>Экспорт диаграмм (PNG, SVG, PDF и др.)</t>
        </is>
      </c>
      <c r="G12" s="2" t="inlineStr">
        <is>
          <t>Признак найден на просмотренных страницах: экспорт диаграмм (png, svg, pdf и др.)</t>
        </is>
      </c>
      <c r="H12" s="2" t="inlineStr">
        <is>
          <t>цифровой товар</t>
        </is>
      </c>
      <c r="I12" s="2" t="n">
        <v>4</v>
      </c>
      <c r="J12" s="4" t="inlineStr">
        <is>
          <t>01.10.2026</t>
        </is>
      </c>
      <c r="K12" s="2" t="inlineStr">
        <is>
          <t>Экспорт упомянут на страницах 8 из 8 конкурентов (PNG, SVG, PDF, DOCX у Storm, Visio у Luc</t>
        </is>
      </c>
      <c r="L12" s="2" t="n"/>
    </row>
    <row r="13" ht="42.75" customHeight="1">
      <c r="A13" s="2" t="inlineStr">
        <is>
          <t>F010</t>
        </is>
      </c>
      <c r="B13" s="2" t="inlineStr">
        <is>
          <t>C01</t>
        </is>
      </c>
      <c r="C13" s="5">
        <f>IF($B13="","",IFERROR(VLOOKUP($B13,'02_Конкуренты'!$A\$4:$B\$203,2,FALSE),"не найдено"))</f>
        <v/>
      </c>
      <c r="D13" s="2" t="inlineStr">
        <is>
          <t>Страницы сайта</t>
        </is>
      </c>
      <c r="E13" s="2" t="inlineStr">
        <is>
          <t>https://plantuml.com/</t>
        </is>
      </c>
      <c r="F13" s="2" t="inlineStr">
        <is>
          <t>Документация и руководства</t>
        </is>
      </c>
      <c r="G13" s="2" t="inlineStr">
        <is>
          <t>Признак найден на просмотренных страницах: документация и руководства</t>
        </is>
      </c>
      <c r="H13" s="2" t="inlineStr">
        <is>
          <t>отношения с клиентами</t>
        </is>
      </c>
      <c r="I13" s="2" t="n">
        <v>4</v>
      </c>
      <c r="J13" s="4" t="inlineStr">
        <is>
          <t>01.10.2026</t>
        </is>
      </c>
      <c r="K13" s="2" t="inlineStr">
        <is>
          <t>PlantUML Language Reference Guide; Mermaid User Guide; docs.mermaidchart.com; docs.eraser</t>
        </is>
      </c>
      <c r="L13" s="2" t="n"/>
    </row>
    <row r="14" ht="42.75" customHeight="1">
      <c r="A14" s="2" t="inlineStr">
        <is>
          <t>F011</t>
        </is>
      </c>
      <c r="B14" s="2" t="inlineStr">
        <is>
          <t>C01</t>
        </is>
      </c>
      <c r="C14" s="5">
        <f>IF($B14="","",IFERROR(VLOOKUP($B14,'02_Конкуренты'!$A\$4:$B\$203,2,FALSE),"не найдено"))</f>
        <v/>
      </c>
      <c r="D14" s="2" t="inlineStr">
        <is>
          <t>Страницы сайта</t>
        </is>
      </c>
      <c r="E14" s="2" t="inlineStr">
        <is>
          <t>https://plantuml.com/</t>
        </is>
      </c>
      <c r="F14" s="2" t="inlineStr">
        <is>
          <t>Диаграммы UML</t>
        </is>
      </c>
      <c r="G14" s="2" t="inlineStr">
        <is>
          <t>Признак найден на просмотренных страницах: диаграммы uml</t>
        </is>
      </c>
      <c r="H14" s="2" t="inlineStr">
        <is>
          <t>цифровой товар</t>
        </is>
      </c>
      <c r="I14" s="2" t="n">
        <v>4</v>
      </c>
      <c r="J14" s="4" t="inlineStr">
        <is>
          <t>01.10.2026</t>
        </is>
      </c>
      <c r="K14" s="2" t="inlineStr">
        <is>
          <t>Страницы class-diagram (PlantUML, Mermaid); UML в описании draw.io; UML-шаблоны Lucidchart</t>
        </is>
      </c>
      <c r="L14" s="2" t="n"/>
    </row>
    <row r="15" ht="42.75" customHeight="1">
      <c r="A15" s="2" t="inlineStr">
        <is>
          <t>F012</t>
        </is>
      </c>
      <c r="B15" s="2" t="inlineStr">
        <is>
          <t>C01</t>
        </is>
      </c>
      <c r="C15" s="5">
        <f>IF($B15="","",IFERROR(VLOOKUP($B15,'02_Конкуренты'!$A\$4:$B\$203,2,FALSE),"не найдено"))</f>
        <v/>
      </c>
      <c r="D15" s="2" t="inlineStr">
        <is>
          <t>Страницы сайта</t>
        </is>
      </c>
      <c r="E15" s="2" t="inlineStr">
        <is>
          <t>https://plantuml.com/</t>
        </is>
      </c>
      <c r="F15" s="2" t="inlineStr">
        <is>
          <t>Диаграммы ERD</t>
        </is>
      </c>
      <c r="G15" s="2" t="inlineStr">
        <is>
          <t>Признак найден на просмотренных страницах: диаграммы erd</t>
        </is>
      </c>
      <c r="H15" s="2" t="inlineStr">
        <is>
          <t>цифровой товар</t>
        </is>
      </c>
      <c r="I15" s="2" t="n">
        <v>4</v>
      </c>
      <c r="J15" s="4" t="inlineStr">
        <is>
          <t>01.10.2026</t>
        </is>
      </c>
      <c r="K15" s="2" t="inlineStr">
        <is>
          <t>Страницы entityRelationshipDiagram (Mermaid), ie-diagram (PlantUML); ER в описании draw.io</t>
        </is>
      </c>
      <c r="L15" s="2" t="n"/>
    </row>
    <row r="16" ht="42.75" customHeight="1">
      <c r="A16" s="2" t="inlineStr">
        <is>
          <t>F013</t>
        </is>
      </c>
      <c r="B16" s="2" t="inlineStr">
        <is>
          <t>C01</t>
        </is>
      </c>
      <c r="C16" s="5">
        <f>IF($B16="","",IFERROR(VLOOKUP($B16,'02_Конкуренты'!$A\$4:$B\$203,2,FALSE),"не найдено"))</f>
        <v/>
      </c>
      <c r="D16" s="2" t="inlineStr">
        <is>
          <t>Страницы сайта</t>
        </is>
      </c>
      <c r="E16" s="2" t="inlineStr">
        <is>
          <t>https://plantuml.com/</t>
        </is>
      </c>
      <c r="F16" s="2" t="inlineStr">
        <is>
          <t>Развёртывание на своём сервере</t>
        </is>
      </c>
      <c r="G16" s="2" t="inlineStr">
        <is>
          <t>Признак найден на просмотренных страницах: развёртывание на своём сервере</t>
        </is>
      </c>
      <c r="H16" s="2" t="inlineStr">
        <is>
          <t>структура затрат</t>
        </is>
      </c>
      <c r="I16" s="2" t="n">
        <v>3</v>
      </c>
      <c r="J16" s="4" t="inlineStr">
        <is>
          <t>01.10.2026</t>
        </is>
      </c>
      <c r="K16" s="2" t="inlineStr">
        <is>
          <t>Страницы running и download (PlantUML); библиотека Mermaid; on-prem (Storm); Flexible depl</t>
        </is>
      </c>
      <c r="L16" s="2" t="n"/>
    </row>
    <row r="17" ht="42.75" customHeight="1">
      <c r="A17" s="2" t="inlineStr">
        <is>
          <t>F014</t>
        </is>
      </c>
      <c r="B17" s="2" t="inlineStr">
        <is>
          <t>C01</t>
        </is>
      </c>
      <c r="C17" s="5">
        <f>IF($B17="","",IFERROR(VLOOKUP($B17,'02_Конкуренты'!$A\$4:$B\$203,2,FALSE),"не найдено"))</f>
        <v/>
      </c>
      <c r="D17" s="2" t="inlineStr">
        <is>
          <t>Страницы сайта</t>
        </is>
      </c>
      <c r="E17" s="2" t="inlineStr">
        <is>
          <t>https://plantuml.com/</t>
        </is>
      </c>
      <c r="F17" s="2" t="inlineStr">
        <is>
          <t>Настольное приложение</t>
        </is>
      </c>
      <c r="G17" s="2" t="inlineStr">
        <is>
          <t>Признак найден на просмотренных страницах: настольное приложение</t>
        </is>
      </c>
      <c r="H17" s="2" t="inlineStr">
        <is>
          <t>цифровой товар</t>
        </is>
      </c>
      <c r="I17" s="2" t="n">
        <v>3</v>
      </c>
      <c r="J17" s="4" t="inlineStr">
        <is>
          <t>01.10.2026</t>
        </is>
      </c>
      <c r="K17" s="2" t="inlineStr">
        <is>
          <t>Загрузка PlantUML; drawio-desktop (GitHub); Desktop app в таблице тарифов Whimsical</t>
        </is>
      </c>
      <c r="L17" s="2" t="n"/>
    </row>
    <row r="18" ht="28.5" customHeight="1">
      <c r="A18" s="2" t="inlineStr">
        <is>
          <t>F015</t>
        </is>
      </c>
      <c r="B18" s="2" t="inlineStr">
        <is>
          <t>C02</t>
        </is>
      </c>
      <c r="C18" s="5">
        <f>IF($B18="","",IFERROR(VLOOKUP($B18,'02_Конкуренты'!$A\$4:$B\$203,2,FALSE),"не найдено"))</f>
        <v/>
      </c>
      <c r="D18" s="2" t="inlineStr">
        <is>
          <t>Главная страница</t>
        </is>
      </c>
      <c r="E18" s="2" t="inlineStr">
        <is>
          <t>https://mermaid.js.org/</t>
        </is>
      </c>
      <c r="F18" s="2" t="inlineStr">
        <is>
          <t>Заголовок и описание</t>
        </is>
      </c>
      <c r="G18" s="2" t="inlineStr">
        <is>
          <t>Обещание: «Create diagrams and visualizations using text and code»</t>
        </is>
      </c>
      <c r="H18" s="2" t="inlineStr">
        <is>
          <t>ценностное предложение</t>
        </is>
      </c>
      <c r="I18" s="2" t="n">
        <v>4</v>
      </c>
      <c r="J18" s="4" t="inlineStr">
        <is>
          <t>01.10.2026</t>
        </is>
      </c>
      <c r="K18" s="2" t="inlineStr">
        <is>
          <t>главная страница, 01.10.2026</t>
        </is>
      </c>
      <c r="L18" s="2" t="n"/>
    </row>
    <row r="19" ht="28.5" customHeight="1">
      <c r="A19" s="2" t="inlineStr">
        <is>
          <t>F016</t>
        </is>
      </c>
      <c r="B19" s="2" t="inlineStr">
        <is>
          <t>C02</t>
        </is>
      </c>
      <c r="C19" s="5">
        <f>IF($B19="","",IFERROR(VLOOKUP($B19,'02_Конкуренты'!$A\$4:$B\$203,2,FALSE),"не найдено"))</f>
        <v/>
      </c>
      <c r="D19" s="2" t="inlineStr">
        <is>
          <t>Главная страница</t>
        </is>
      </c>
      <c r="E19" s="2" t="inlineStr">
        <is>
          <t>https://mermaid.js.org/</t>
        </is>
      </c>
      <c r="F19" s="2" t="inlineStr">
        <is>
          <t>Состав товара</t>
        </is>
      </c>
      <c r="G19" s="2" t="inlineStr">
        <is>
          <t>Диаграммы и визуализации из текста и кода (JavaScript-библиотека)</t>
        </is>
      </c>
      <c r="H19" s="2" t="inlineStr">
        <is>
          <t>цифровой товар</t>
        </is>
      </c>
      <c r="I19" s="2" t="n">
        <v>4</v>
      </c>
      <c r="J19" s="4" t="inlineStr">
        <is>
          <t>01.10.2026</t>
        </is>
      </c>
      <c r="K19" s="2" t="inlineStr">
        <is>
          <t>страницы сайта, ЛР4</t>
        </is>
      </c>
      <c r="L19" s="2" t="n"/>
    </row>
    <row r="20" ht="28.5" customHeight="1">
      <c r="A20" s="2" t="inlineStr">
        <is>
          <t>F017</t>
        </is>
      </c>
      <c r="B20" s="2" t="inlineStr">
        <is>
          <t>C02</t>
        </is>
      </c>
      <c r="C20" s="5">
        <f>IF($B20="","",IFERROR(VLOOKUP($B20,'02_Конкуренты'!$A\$4:$B\$203,2,FALSE),"не найдено"))</f>
        <v/>
      </c>
      <c r="D20" s="2" t="inlineStr">
        <is>
          <t>Тарифы</t>
        </is>
      </c>
      <c r="E20" s="2" t="inlineStr">
        <is>
          <t>https://mermaid.js.org/</t>
        </is>
      </c>
      <c r="F20" s="2" t="inlineStr">
        <is>
          <t>Тарифная таблица</t>
        </is>
      </c>
      <c r="G20" s="2" t="inlineStr">
        <is>
          <t>открытый код (MIT); платные планы у Mermaid Chart</t>
        </is>
      </c>
      <c r="H20" s="2" t="inlineStr">
        <is>
          <t>потоки доходов</t>
        </is>
      </c>
      <c r="I20" s="2" t="n">
        <v>4</v>
      </c>
      <c r="J20" s="4" t="inlineStr">
        <is>
          <t>01.10.2026</t>
        </is>
      </c>
      <c r="K20" s="2" t="inlineStr">
        <is>
          <t>страница тарифов или лицензия</t>
        </is>
      </c>
      <c r="L20" s="2" t="n"/>
    </row>
    <row r="21" ht="71.25" customHeight="1">
      <c r="A21" s="2" t="inlineStr">
        <is>
          <t>F018</t>
        </is>
      </c>
      <c r="B21" s="2" t="inlineStr">
        <is>
          <t>C02</t>
        </is>
      </c>
      <c r="C21" s="5">
        <f>IF($B21="","",IFERROR(VLOOKUP($B21,'02_Конкуренты'!$A\$4:$B\$203,2,FALSE),"не найдено"))</f>
        <v/>
      </c>
      <c r="D21" s="2" t="inlineStr">
        <is>
          <t>Similarweb Pro</t>
        </is>
      </c>
      <c r="E21" s="2" t="inlineStr">
        <is>
          <t>https://mermaid.js.org/</t>
        </is>
      </c>
      <c r="F21" s="2" t="inlineStr">
        <is>
          <t>Каналы</t>
        </is>
      </c>
      <c r="G21" s="2" t="inlineStr">
        <is>
          <t>прямые заходы 22,18 %; органический поиск 58,56 %; рефералы 16,50 %; соцсети органика 1,25 %; ИИ-ассистенты 1,23 %; e-mail 0,22 %; платный поиск 0,01 % (Similarweb Pro, Jun-Aug 2026, весь мир, снимок 30.09.2026)</t>
        </is>
      </c>
      <c r="H21" s="2" t="inlineStr">
        <is>
          <t>каналы</t>
        </is>
      </c>
      <c r="I21" s="2" t="n">
        <v>3</v>
      </c>
      <c r="J21" s="4" t="inlineStr">
        <is>
          <t>01.10.2026</t>
        </is>
      </c>
      <c r="K21" s="2" t="inlineStr">
        <is>
          <t>Similarweb Pro (ЛР4)</t>
        </is>
      </c>
      <c r="L21" s="2" t="n"/>
    </row>
    <row r="22" ht="42.75" customHeight="1">
      <c r="A22" s="2" t="inlineStr">
        <is>
          <t>F019</t>
        </is>
      </c>
      <c r="B22" s="2" t="inlineStr">
        <is>
          <t>C02</t>
        </is>
      </c>
      <c r="C22" s="5">
        <f>IF($B22="","",IFERROR(VLOOKUP($B22,'02_Конкуренты'!$A\$4:$B\$203,2,FALSE),"не найдено"))</f>
        <v/>
      </c>
      <c r="D22" s="2" t="inlineStr">
        <is>
          <t>GitHub</t>
        </is>
      </c>
      <c r="E22" s="2" t="inlineStr">
        <is>
          <t>https://github.com/mermaid-js/mermaid</t>
        </is>
      </c>
      <c r="F22" s="2" t="inlineStr">
        <is>
          <t>Репозиторий</t>
        </is>
      </c>
      <c r="G22" s="2" t="inlineStr">
        <is>
          <t>mermaid-js/mermaid: 90 489 звёзд, лицензия MIT; mermaid-js/mermaid-live-editor: 6 836 звёзд, лицензия MIT</t>
        </is>
      </c>
      <c r="H22" s="2" t="inlineStr">
        <is>
          <t>ключевые ресурсы</t>
        </is>
      </c>
      <c r="I22" s="2" t="n">
        <v>5</v>
      </c>
      <c r="J22" s="4" t="inlineStr">
        <is>
          <t>01.10.2026</t>
        </is>
      </c>
      <c r="K22" s="2" t="inlineStr">
        <is>
          <t>GitHub API, 30.09.2026</t>
        </is>
      </c>
      <c r="L22" s="2" t="n"/>
    </row>
    <row r="23" ht="42.75" customHeight="1">
      <c r="A23" s="2" t="inlineStr">
        <is>
          <t>F020</t>
        </is>
      </c>
      <c r="B23" s="2" t="inlineStr">
        <is>
          <t>C02</t>
        </is>
      </c>
      <c r="C23" s="5">
        <f>IF($B23="","",IFERROR(VLOOKUP($B23,'02_Конкуренты'!$A\$4:$B\$203,2,FALSE),"не найдено"))</f>
        <v/>
      </c>
      <c r="D23" s="2" t="inlineStr">
        <is>
          <t>Страницы сайта</t>
        </is>
      </c>
      <c r="E23" s="2" t="inlineStr">
        <is>
          <t>https://mermaid.js.org/</t>
        </is>
      </c>
      <c r="F23" s="2" t="inlineStr">
        <is>
          <t>Описание диаграммы текстом (DSL)</t>
        </is>
      </c>
      <c r="G23" s="2" t="inlineStr">
        <is>
          <t>Признак найден на просмотренных страницах: описание диаграммы текстом (dsl)</t>
        </is>
      </c>
      <c r="H23" s="2" t="inlineStr">
        <is>
          <t>цифровой товар</t>
        </is>
      </c>
      <c r="I23" s="2" t="n">
        <v>4</v>
      </c>
      <c r="J23" s="4" t="inlineStr">
        <is>
          <t>01.10.2026</t>
        </is>
      </c>
      <c r="K23" s="2" t="inlineStr">
        <is>
          <t>Главные страницы PlantUML, Mermaid, Mermaid Chart; «Diagram-as-code» в тарифе Free Eraser;</t>
        </is>
      </c>
      <c r="L23" s="2" t="n"/>
    </row>
    <row r="24" ht="28.5" customHeight="1">
      <c r="A24" s="2" t="inlineStr">
        <is>
          <t>F021</t>
        </is>
      </c>
      <c r="B24" s="2" t="inlineStr">
        <is>
          <t>C02</t>
        </is>
      </c>
      <c r="C24" s="5">
        <f>IF($B24="","",IFERROR(VLOOKUP($B24,'02_Конкуренты'!$A\$4:$B\$203,2,FALSE),"не найдено"))</f>
        <v/>
      </c>
      <c r="D24" s="2" t="inlineStr">
        <is>
          <t>Страницы сайта</t>
        </is>
      </c>
      <c r="E24" s="2" t="inlineStr">
        <is>
          <t>https://mermaid.js.org/</t>
        </is>
      </c>
      <c r="F24" s="2" t="inlineStr">
        <is>
          <t>Интеграции с другими сервисами</t>
        </is>
      </c>
      <c r="G24" s="2" t="inlineStr">
        <is>
          <t>Признак найден на просмотренных страницах: интеграции с другими сервисами</t>
        </is>
      </c>
      <c r="H24" s="2" t="inlineStr">
        <is>
          <t>ключевые партнеры</t>
        </is>
      </c>
      <c r="I24" s="2" t="n">
        <v>3</v>
      </c>
      <c r="J24" s="4" t="inlineStr">
        <is>
          <t>01.10.2026</t>
        </is>
      </c>
      <c r="K24" s="2" t="inlineStr">
        <is>
          <t>Разделы и упоминания интеграций на страницах 8 из 8 конкурентов</t>
        </is>
      </c>
      <c r="L24" s="2" t="n"/>
    </row>
    <row r="25" ht="42.75" customHeight="1">
      <c r="A25" s="2" t="inlineStr">
        <is>
          <t>F022</t>
        </is>
      </c>
      <c r="B25" s="2" t="inlineStr">
        <is>
          <t>C02</t>
        </is>
      </c>
      <c r="C25" s="5">
        <f>IF($B25="","",IFERROR(VLOOKUP($B25,'02_Конкуренты'!$A\$4:$B\$203,2,FALSE),"не найдено"))</f>
        <v/>
      </c>
      <c r="D25" s="2" t="inlineStr">
        <is>
          <t>Страницы сайта</t>
        </is>
      </c>
      <c r="E25" s="2" t="inlineStr">
        <is>
          <t>https://mermaid.js.org/</t>
        </is>
      </c>
      <c r="F25" s="2" t="inlineStr">
        <is>
          <t>API или платформа разработчика</t>
        </is>
      </c>
      <c r="G25" s="2" t="inlineStr">
        <is>
          <t>Признак найден на просмотренных страницах: api или платформа разработчика</t>
        </is>
      </c>
      <c r="H25" s="2" t="inlineStr">
        <is>
          <t>цифровой товар</t>
        </is>
      </c>
      <c r="I25" s="2" t="n">
        <v>4</v>
      </c>
      <c r="J25" s="4" t="inlineStr">
        <is>
          <t>01.10.2026</t>
        </is>
      </c>
      <c r="K25" s="2" t="inlineStr">
        <is>
          <t>API Mermaid; пункт API в меню Mermaid Chart; API в Enterprise Storm; Developer platform Lu</t>
        </is>
      </c>
      <c r="L25" s="2" t="n"/>
    </row>
    <row r="26" ht="28.5" customHeight="1">
      <c r="A26" s="2" t="inlineStr">
        <is>
          <t>F023</t>
        </is>
      </c>
      <c r="B26" s="2" t="inlineStr">
        <is>
          <t>C02</t>
        </is>
      </c>
      <c r="C26" s="5">
        <f>IF($B26="","",IFERROR(VLOOKUP($B26,'02_Конкуренты'!$A\$4:$B\$203,2,FALSE),"не найдено"))</f>
        <v/>
      </c>
      <c r="D26" s="2" t="inlineStr">
        <is>
          <t>Страницы сайта</t>
        </is>
      </c>
      <c r="E26" s="2" t="inlineStr">
        <is>
          <t>https://mermaid.js.org/</t>
        </is>
      </c>
      <c r="F26" s="2" t="inlineStr">
        <is>
          <t>Открытый код и сообщество</t>
        </is>
      </c>
      <c r="G26" s="2" t="inlineStr">
        <is>
          <t>Признак найден на просмотренных страницах: открытый код и сообщество</t>
        </is>
      </c>
      <c r="H26" s="2" t="inlineStr">
        <is>
          <t>ключевые ресурсы</t>
        </is>
      </c>
      <c r="I26" s="2" t="n">
        <v>3</v>
      </c>
      <c r="J26" s="4" t="inlineStr">
        <is>
          <t>01.10.2026</t>
        </is>
      </c>
      <c r="K26" s="2" t="inlineStr">
        <is>
          <t>GitHub API, 30.09.2026; лицензия Apache 2.0 у draw.io</t>
        </is>
      </c>
      <c r="L26" s="2" t="n"/>
    </row>
    <row r="27" ht="42.75" customHeight="1">
      <c r="A27" s="2" t="inlineStr">
        <is>
          <t>F024</t>
        </is>
      </c>
      <c r="B27" s="2" t="inlineStr">
        <is>
          <t>C02</t>
        </is>
      </c>
      <c r="C27" s="5">
        <f>IF($B27="","",IFERROR(VLOOKUP($B27,'02_Конкуренты'!$A\$4:$B\$203,2,FALSE),"не найдено"))</f>
        <v/>
      </c>
      <c r="D27" s="2" t="inlineStr">
        <is>
          <t>Страницы сайта</t>
        </is>
      </c>
      <c r="E27" s="2" t="inlineStr">
        <is>
          <t>https://mermaid.js.org/</t>
        </is>
      </c>
      <c r="F27" s="2" t="inlineStr">
        <is>
          <t>Экспорт диаграмм (PNG, SVG, PDF и др.)</t>
        </is>
      </c>
      <c r="G27" s="2" t="inlineStr">
        <is>
          <t>Признак найден на просмотренных страницах: экспорт диаграмм (png, svg, pdf и др.)</t>
        </is>
      </c>
      <c r="H27" s="2" t="inlineStr">
        <is>
          <t>цифровой товар</t>
        </is>
      </c>
      <c r="I27" s="2" t="n">
        <v>4</v>
      </c>
      <c r="J27" s="4" t="inlineStr">
        <is>
          <t>01.10.2026</t>
        </is>
      </c>
      <c r="K27" s="2" t="inlineStr">
        <is>
          <t>Экспорт упомянут на страницах 8 из 8 конкурентов (PNG, SVG, PDF, DOCX у Storm, Visio у Luc</t>
        </is>
      </c>
      <c r="L27" s="2" t="n"/>
    </row>
    <row r="28" ht="42.75" customHeight="1">
      <c r="A28" s="2" t="inlineStr">
        <is>
          <t>F025</t>
        </is>
      </c>
      <c r="B28" s="2" t="inlineStr">
        <is>
          <t>C02</t>
        </is>
      </c>
      <c r="C28" s="5">
        <f>IF($B28="","",IFERROR(VLOOKUP($B28,'02_Конкуренты'!$A\$4:$B\$203,2,FALSE),"не найдено"))</f>
        <v/>
      </c>
      <c r="D28" s="2" t="inlineStr">
        <is>
          <t>Страницы сайта</t>
        </is>
      </c>
      <c r="E28" s="2" t="inlineStr">
        <is>
          <t>https://mermaid.js.org/</t>
        </is>
      </c>
      <c r="F28" s="2" t="inlineStr">
        <is>
          <t>Документация и руководства</t>
        </is>
      </c>
      <c r="G28" s="2" t="inlineStr">
        <is>
          <t>Признак найден на просмотренных страницах: документация и руководства</t>
        </is>
      </c>
      <c r="H28" s="2" t="inlineStr">
        <is>
          <t>отношения с клиентами</t>
        </is>
      </c>
      <c r="I28" s="2" t="n">
        <v>4</v>
      </c>
      <c r="J28" s="4" t="inlineStr">
        <is>
          <t>01.10.2026</t>
        </is>
      </c>
      <c r="K28" s="2" t="inlineStr">
        <is>
          <t>PlantUML Language Reference Guide; Mermaid User Guide; docs.mermaidchart.com; docs.eraser</t>
        </is>
      </c>
      <c r="L28" s="2" t="n"/>
    </row>
    <row r="29" ht="42.75" customHeight="1">
      <c r="A29" s="2" t="inlineStr">
        <is>
          <t>F026</t>
        </is>
      </c>
      <c r="B29" s="2" t="inlineStr">
        <is>
          <t>C02</t>
        </is>
      </c>
      <c r="C29" s="5">
        <f>IF($B29="","",IFERROR(VLOOKUP($B29,'02_Конкуренты'!$A\$4:$B\$203,2,FALSE),"не найдено"))</f>
        <v/>
      </c>
      <c r="D29" s="2" t="inlineStr">
        <is>
          <t>Страницы сайта</t>
        </is>
      </c>
      <c r="E29" s="2" t="inlineStr">
        <is>
          <t>https://mermaid.js.org/</t>
        </is>
      </c>
      <c r="F29" s="2" t="inlineStr">
        <is>
          <t>Диаграммы UML</t>
        </is>
      </c>
      <c r="G29" s="2" t="inlineStr">
        <is>
          <t>Признак найден на просмотренных страницах: диаграммы uml</t>
        </is>
      </c>
      <c r="H29" s="2" t="inlineStr">
        <is>
          <t>цифровой товар</t>
        </is>
      </c>
      <c r="I29" s="2" t="n">
        <v>4</v>
      </c>
      <c r="J29" s="4" t="inlineStr">
        <is>
          <t>01.10.2026</t>
        </is>
      </c>
      <c r="K29" s="2" t="inlineStr">
        <is>
          <t>Страницы class-diagram (PlantUML, Mermaid); UML в описании draw.io; UML-шаблоны Lucidchart</t>
        </is>
      </c>
      <c r="L29" s="2" t="n"/>
    </row>
    <row r="30" ht="42.75" customHeight="1">
      <c r="A30" s="2" t="inlineStr">
        <is>
          <t>F027</t>
        </is>
      </c>
      <c r="B30" s="2" t="inlineStr">
        <is>
          <t>C02</t>
        </is>
      </c>
      <c r="C30" s="5">
        <f>IF($B30="","",IFERROR(VLOOKUP($B30,'02_Конкуренты'!$A\$4:$B\$203,2,FALSE),"не найдено"))</f>
        <v/>
      </c>
      <c r="D30" s="2" t="inlineStr">
        <is>
          <t>Страницы сайта</t>
        </is>
      </c>
      <c r="E30" s="2" t="inlineStr">
        <is>
          <t>https://mermaid.js.org/</t>
        </is>
      </c>
      <c r="F30" s="2" t="inlineStr">
        <is>
          <t>Диаграммы ERD</t>
        </is>
      </c>
      <c r="G30" s="2" t="inlineStr">
        <is>
          <t>Признак найден на просмотренных страницах: диаграммы erd</t>
        </is>
      </c>
      <c r="H30" s="2" t="inlineStr">
        <is>
          <t>цифровой товар</t>
        </is>
      </c>
      <c r="I30" s="2" t="n">
        <v>4</v>
      </c>
      <c r="J30" s="4" t="inlineStr">
        <is>
          <t>01.10.2026</t>
        </is>
      </c>
      <c r="K30" s="2" t="inlineStr">
        <is>
          <t>Страницы entityRelationshipDiagram (Mermaid), ie-diagram (PlantUML); ER в описании draw.io</t>
        </is>
      </c>
      <c r="L30" s="2" t="n"/>
    </row>
    <row r="31" ht="42.75" customHeight="1">
      <c r="A31" s="2" t="inlineStr">
        <is>
          <t>F028</t>
        </is>
      </c>
      <c r="B31" s="2" t="inlineStr">
        <is>
          <t>C02</t>
        </is>
      </c>
      <c r="C31" s="5">
        <f>IF($B31="","",IFERROR(VLOOKUP($B31,'02_Конкуренты'!$A\$4:$B\$203,2,FALSE),"не найдено"))</f>
        <v/>
      </c>
      <c r="D31" s="2" t="inlineStr">
        <is>
          <t>Страницы сайта</t>
        </is>
      </c>
      <c r="E31" s="2" t="inlineStr">
        <is>
          <t>https://mermaid.js.org/</t>
        </is>
      </c>
      <c r="F31" s="2" t="inlineStr">
        <is>
          <t>Развёртывание на своём сервере</t>
        </is>
      </c>
      <c r="G31" s="2" t="inlineStr">
        <is>
          <t>Признак найден на просмотренных страницах: развёртывание на своём сервере</t>
        </is>
      </c>
      <c r="H31" s="2" t="inlineStr">
        <is>
          <t>структура затрат</t>
        </is>
      </c>
      <c r="I31" s="2" t="n">
        <v>3</v>
      </c>
      <c r="J31" s="4" t="inlineStr">
        <is>
          <t>01.10.2026</t>
        </is>
      </c>
      <c r="K31" s="2" t="inlineStr">
        <is>
          <t>Страницы running и download (PlantUML); библиотека Mermaid; on-prem (Storm); Flexible depl</t>
        </is>
      </c>
      <c r="L31" s="2" t="n"/>
    </row>
    <row r="32" ht="42.75" customHeight="1">
      <c r="A32" s="2" t="inlineStr">
        <is>
          <t>F029</t>
        </is>
      </c>
      <c r="B32" s="2" t="inlineStr">
        <is>
          <t>C03</t>
        </is>
      </c>
      <c r="C32" s="5">
        <f>IF($B32="","",IFERROR(VLOOKUP($B32,'02_Конкуренты'!$A\$4:$B\$203,2,FALSE),"не найдено"))</f>
        <v/>
      </c>
      <c r="D32" s="2" t="inlineStr">
        <is>
          <t>Главная страница</t>
        </is>
      </c>
      <c r="E32" s="2" t="inlineStr">
        <is>
          <t>https://www.mermaidchart.com/</t>
        </is>
      </c>
      <c r="F32" s="2" t="inlineStr">
        <is>
          <t>Заголовок и описание</t>
        </is>
      </c>
      <c r="G32" s="2" t="inlineStr">
        <is>
          <t>Обещание: «Create diagrams, flowcharts, and documentation with Mermaid»; «You already think in systems»</t>
        </is>
      </c>
      <c r="H32" s="2" t="inlineStr">
        <is>
          <t>ценностное предложение</t>
        </is>
      </c>
      <c r="I32" s="2" t="n">
        <v>4</v>
      </c>
      <c r="J32" s="4" t="inlineStr">
        <is>
          <t>01.10.2026</t>
        </is>
      </c>
      <c r="K32" s="2" t="inlineStr">
        <is>
          <t>главная страница, 01.10.2026</t>
        </is>
      </c>
      <c r="L32" s="2" t="n"/>
    </row>
    <row r="33" ht="28.5" customHeight="1">
      <c r="A33" s="2" t="inlineStr">
        <is>
          <t>F030</t>
        </is>
      </c>
      <c r="B33" s="2" t="inlineStr">
        <is>
          <t>C03</t>
        </is>
      </c>
      <c r="C33" s="5">
        <f>IF($B33="","",IFERROR(VLOOKUP($B33,'02_Конкуренты'!$A\$4:$B\$203,2,FALSE),"не найдено"))</f>
        <v/>
      </c>
      <c r="D33" s="2" t="inlineStr">
        <is>
          <t>Главная страница</t>
        </is>
      </c>
      <c r="E33" s="2" t="inlineStr">
        <is>
          <t>https://www.mermaidchart.com/</t>
        </is>
      </c>
      <c r="F33" s="2" t="inlineStr">
        <is>
          <t>Состав товара</t>
        </is>
      </c>
      <c r="G33" s="2" t="inlineStr">
        <is>
          <t>Облачный редактор диаграмм Mermaid с тарифами Free, Plus, Premium</t>
        </is>
      </c>
      <c r="H33" s="2" t="inlineStr">
        <is>
          <t>цифровой товар</t>
        </is>
      </c>
      <c r="I33" s="2" t="n">
        <v>4</v>
      </c>
      <c r="J33" s="4" t="inlineStr">
        <is>
          <t>01.10.2026</t>
        </is>
      </c>
      <c r="K33" s="2" t="inlineStr">
        <is>
          <t>страницы сайта, ЛР4</t>
        </is>
      </c>
      <c r="L33" s="2" t="n"/>
    </row>
    <row r="34" ht="71.25" customHeight="1">
      <c r="A34" s="2" t="inlineStr">
        <is>
          <t>F031</t>
        </is>
      </c>
      <c r="B34" s="2" t="inlineStr">
        <is>
          <t>C03</t>
        </is>
      </c>
      <c r="C34" s="5">
        <f>IF($B34="","",IFERROR(VLOOKUP($B34,'02_Конкуренты'!$A\$4:$B\$203,2,FALSE),"не найдено"))</f>
        <v/>
      </c>
      <c r="D34" s="2" t="inlineStr">
        <is>
          <t>Тарифы</t>
        </is>
      </c>
      <c r="E34" s="2" t="inlineStr">
        <is>
          <t>https://mermaid.ai/pricing/</t>
        </is>
      </c>
      <c r="F34" s="2" t="inlineStr">
        <is>
          <t>Тарифная таблица</t>
        </is>
      </c>
      <c r="G34" s="2" t="inlineStr">
        <is>
          <t>Basic Free (до 6 диаграмм, 15 ИИ-кредитов); Plus 10 у.е. (300 кредитов); Premium 20 у.е. (2 000 кредитов, зрители без оплаты) за пользователя в месяц при оплате за год; Enterprise по запросу</t>
        </is>
      </c>
      <c r="H34" s="2" t="inlineStr">
        <is>
          <t>потоки доходов</t>
        </is>
      </c>
      <c r="I34" s="2" t="n">
        <v>5</v>
      </c>
      <c r="J34" s="4" t="inlineStr">
        <is>
          <t>01.10.2026</t>
        </is>
      </c>
      <c r="K34" s="2" t="inlineStr">
        <is>
          <t>страница тарифов или лицензия</t>
        </is>
      </c>
      <c r="L34" s="2" t="n"/>
    </row>
    <row r="35" ht="71.25" customHeight="1">
      <c r="A35" s="2" t="inlineStr">
        <is>
          <t>F032</t>
        </is>
      </c>
      <c r="B35" s="2" t="inlineStr">
        <is>
          <t>C03</t>
        </is>
      </c>
      <c r="C35" s="5">
        <f>IF($B35="","",IFERROR(VLOOKUP($B35,'02_Конкуренты'!$A\$4:$B\$203,2,FALSE),"не найдено"))</f>
        <v/>
      </c>
      <c r="D35" s="2" t="inlineStr">
        <is>
          <t>Similarweb Pro</t>
        </is>
      </c>
      <c r="E35" s="2" t="inlineStr">
        <is>
          <t>https://www.mermaidchart.com/</t>
        </is>
      </c>
      <c r="F35" s="2" t="inlineStr">
        <is>
          <t>Каналы</t>
        </is>
      </c>
      <c r="G35" s="2" t="inlineStr">
        <is>
          <t>прямые заходы 39,97 %; органический поиск 32,54 %; рефералы 10,32 %; соцсети органика 6,05 %; ИИ-ассистенты 1,62 %; e-mail 2,52 %; платный поиск 1,62 % (Similarweb Pro, Jun-Aug 2026, весь мир, снимок 30.09.2026)</t>
        </is>
      </c>
      <c r="H35" s="2" t="inlineStr">
        <is>
          <t>каналы</t>
        </is>
      </c>
      <c r="I35" s="2" t="n">
        <v>3</v>
      </c>
      <c r="J35" s="4" t="inlineStr">
        <is>
          <t>01.10.2026</t>
        </is>
      </c>
      <c r="K35" s="2" t="inlineStr">
        <is>
          <t>Similarweb Pro (ЛР4)</t>
        </is>
      </c>
      <c r="L35" s="2" t="n"/>
    </row>
    <row r="36" ht="42.75" customHeight="1">
      <c r="A36" s="2" t="inlineStr">
        <is>
          <t>F033</t>
        </is>
      </c>
      <c r="B36" s="2" t="inlineStr">
        <is>
          <t>C03</t>
        </is>
      </c>
      <c r="C36" s="5">
        <f>IF($B36="","",IFERROR(VLOOKUP($B36,'02_Конкуренты'!$A\$4:$B\$203,2,FALSE),"не найдено"))</f>
        <v/>
      </c>
      <c r="D36" s="2" t="inlineStr">
        <is>
          <t>Страницы сайта</t>
        </is>
      </c>
      <c r="E36" s="2" t="inlineStr">
        <is>
          <t>https://www.mermaidchart.com/</t>
        </is>
      </c>
      <c r="F36" s="2" t="inlineStr">
        <is>
          <t>Описание диаграммы текстом (DSL)</t>
        </is>
      </c>
      <c r="G36" s="2" t="inlineStr">
        <is>
          <t>Признак найден на просмотренных страницах: описание диаграммы текстом (dsl)</t>
        </is>
      </c>
      <c r="H36" s="2" t="inlineStr">
        <is>
          <t>цифровой товар</t>
        </is>
      </c>
      <c r="I36" s="2" t="n">
        <v>4</v>
      </c>
      <c r="J36" s="4" t="inlineStr">
        <is>
          <t>01.10.2026</t>
        </is>
      </c>
      <c r="K36" s="2" t="inlineStr">
        <is>
          <t>Главные страницы PlantUML, Mermaid, Mermaid Chart; «Diagram-as-code» в тарифе Free Eraser;</t>
        </is>
      </c>
      <c r="L36" s="2" t="n"/>
    </row>
    <row r="37" ht="42.75" customHeight="1">
      <c r="A37" s="2" t="inlineStr">
        <is>
          <t>F034</t>
        </is>
      </c>
      <c r="B37" s="2" t="inlineStr">
        <is>
          <t>C03</t>
        </is>
      </c>
      <c r="C37" s="5">
        <f>IF($B37="","",IFERROR(VLOOKUP($B37,'02_Конкуренты'!$A\$4:$B\$203,2,FALSE),"не найдено"))</f>
        <v/>
      </c>
      <c r="D37" s="2" t="inlineStr">
        <is>
          <t>Страницы сайта</t>
        </is>
      </c>
      <c r="E37" s="2" t="inlineStr">
        <is>
          <t>https://mermaid.ai/pricing/</t>
        </is>
      </c>
      <c r="F37" s="2" t="inlineStr">
        <is>
          <t>Корпоративный тариф (Enterprise или on-prem)</t>
        </is>
      </c>
      <c r="G37" s="2" t="inlineStr">
        <is>
          <t>Признак найден на просмотренных страницах: корпоративный тариф (enterprise или on-prem)</t>
        </is>
      </c>
      <c r="H37" s="2" t="inlineStr">
        <is>
          <t>потоки доходов</t>
        </is>
      </c>
      <c r="I37" s="2" t="n">
        <v>5</v>
      </c>
      <c r="J37" s="4" t="inlineStr">
        <is>
          <t>01.10.2026</t>
        </is>
      </c>
      <c r="K37" s="2" t="inlineStr">
        <is>
          <t>Enterprise по запросу на страницах тарифов; Storm: on-prem от 990 тыс. руб. в год</t>
        </is>
      </c>
      <c r="L37" s="2" t="n"/>
    </row>
    <row r="38" ht="42.75" customHeight="1">
      <c r="A38" s="2" t="inlineStr">
        <is>
          <t>F035</t>
        </is>
      </c>
      <c r="B38" s="2" t="inlineStr">
        <is>
          <t>C03</t>
        </is>
      </c>
      <c r="C38" s="5">
        <f>IF($B38="","",IFERROR(VLOOKUP($B38,'02_Конкуренты'!$A\$4:$B\$203,2,FALSE),"не найдено"))</f>
        <v/>
      </c>
      <c r="D38" s="2" t="inlineStr">
        <is>
          <t>Страницы сайта</t>
        </is>
      </c>
      <c r="E38" s="2" t="inlineStr">
        <is>
          <t>https://mermaid.ai/pricing/</t>
        </is>
      </c>
      <c r="F38" s="2" t="inlineStr">
        <is>
          <t>Скидка или цена при годовой оплате</t>
        </is>
      </c>
      <c r="G38" s="2" t="inlineStr">
        <is>
          <t>Признак найден на просмотренных страницах: скидка или цена при годовой оплате</t>
        </is>
      </c>
      <c r="H38" s="2" t="inlineStr">
        <is>
          <t>потоки доходов</t>
        </is>
      </c>
      <c r="I38" s="2" t="n">
        <v>5</v>
      </c>
      <c r="J38" s="4" t="inlineStr">
        <is>
          <t>01.10.2026</t>
        </is>
      </c>
      <c r="K38" s="2" t="inlineStr">
        <is>
          <t>Цены «billed annually» (Mermaid Chart, Lucidchart, Eraser), скидка 20 % (Storm)</t>
        </is>
      </c>
      <c r="L38" s="2" t="n"/>
    </row>
    <row r="39" ht="42.75" customHeight="1">
      <c r="A39" s="2" t="inlineStr">
        <is>
          <t>F036</t>
        </is>
      </c>
      <c r="B39" s="2" t="inlineStr">
        <is>
          <t>C03</t>
        </is>
      </c>
      <c r="C39" s="5">
        <f>IF($B39="","",IFERROR(VLOOKUP($B39,'02_Конкуренты'!$A\$4:$B\$203,2,FALSE),"не найдено"))</f>
        <v/>
      </c>
      <c r="D39" s="2" t="inlineStr">
        <is>
          <t>Страницы сайта</t>
        </is>
      </c>
      <c r="E39" s="2" t="inlineStr">
        <is>
          <t>https://mermaid.ai/pricing/</t>
        </is>
      </c>
      <c r="F39" s="2" t="inlineStr">
        <is>
          <t>Бесплатные гости или зрители</t>
        </is>
      </c>
      <c r="G39" s="2" t="inlineStr">
        <is>
          <t>Unlimited free viewer seats в Premium</t>
        </is>
      </c>
      <c r="H39" s="2" t="inlineStr">
        <is>
          <t>отношения с клиентами</t>
        </is>
      </c>
      <c r="I39" s="2" t="n">
        <v>5</v>
      </c>
      <c r="J39" s="4" t="inlineStr">
        <is>
          <t>01.10.2026</t>
        </is>
      </c>
      <c r="K39" s="2" t="inlineStr">
        <is>
          <t>Unlimited viewer seats (Mermaid Chart Premium); 100 гостей на участника (Storm); unlimited</t>
        </is>
      </c>
      <c r="L39" s="2" t="n"/>
    </row>
    <row r="40" ht="42.75" customHeight="1">
      <c r="A40" s="2" t="inlineStr">
        <is>
          <t>F037</t>
        </is>
      </c>
      <c r="B40" s="2" t="inlineStr">
        <is>
          <t>C03</t>
        </is>
      </c>
      <c r="C40" s="5">
        <f>IF($B40="","",IFERROR(VLOOKUP($B40,'02_Конкуренты'!$A\$4:$B\$203,2,FALSE),"не найдено"))</f>
        <v/>
      </c>
      <c r="D40" s="2" t="inlineStr">
        <is>
          <t>Страницы сайта</t>
        </is>
      </c>
      <c r="E40" s="2" t="inlineStr">
        <is>
          <t>https://www.mermaidchart.com/</t>
        </is>
      </c>
      <c r="F40" s="2" t="inlineStr">
        <is>
          <t>ИИ-генерация или ИИ-помощник</t>
        </is>
      </c>
      <c r="G40" s="2" t="inlineStr">
        <is>
          <t>ИИ-кредиты: 15 (Basic), 300 (Plus), 2 000 в год (Premium)</t>
        </is>
      </c>
      <c r="H40" s="2" t="inlineStr">
        <is>
          <t>цифровой товар</t>
        </is>
      </c>
      <c r="I40" s="2" t="n">
        <v>4</v>
      </c>
      <c r="J40" s="4" t="inlineStr">
        <is>
          <t>01.10.2026</t>
        </is>
      </c>
      <c r="K40" s="2" t="inlineStr">
        <is>
          <t>ИИ-кредиты (Mermaid Chart); ИИ-ассистент (Storm); Lucid AI; Eraser AI; ИИ в Whimsical</t>
        </is>
      </c>
      <c r="L40" s="2" t="n"/>
    </row>
    <row r="41" ht="28.5" customHeight="1">
      <c r="A41" s="2" t="inlineStr">
        <is>
          <t>F038</t>
        </is>
      </c>
      <c r="B41" s="2" t="inlineStr">
        <is>
          <t>C03</t>
        </is>
      </c>
      <c r="C41" s="5">
        <f>IF($B41="","",IFERROR(VLOOKUP($B41,'02_Конкуренты'!$A\$4:$B\$203,2,FALSE),"не найдено"))</f>
        <v/>
      </c>
      <c r="D41" s="2" t="inlineStr">
        <is>
          <t>Страницы сайта</t>
        </is>
      </c>
      <c r="E41" s="2" t="inlineStr">
        <is>
          <t>https://www.mermaidchart.com/</t>
        </is>
      </c>
      <c r="F41" s="2" t="inlineStr">
        <is>
          <t>Интеграции с другими сервисами</t>
        </is>
      </c>
      <c r="G41" s="2" t="inlineStr">
        <is>
          <t>Признак найден на просмотренных страницах: интеграции с другими сервисами</t>
        </is>
      </c>
      <c r="H41" s="2" t="inlineStr">
        <is>
          <t>ключевые партнеры</t>
        </is>
      </c>
      <c r="I41" s="2" t="n">
        <v>3</v>
      </c>
      <c r="J41" s="4" t="inlineStr">
        <is>
          <t>01.10.2026</t>
        </is>
      </c>
      <c r="K41" s="2" t="inlineStr">
        <is>
          <t>Разделы и упоминания интеграций на страницах 8 из 8 конкурентов</t>
        </is>
      </c>
      <c r="L41" s="2" t="n"/>
    </row>
    <row r="42" ht="42.75" customHeight="1">
      <c r="A42" s="2" t="inlineStr">
        <is>
          <t>F039</t>
        </is>
      </c>
      <c r="B42" s="2" t="inlineStr">
        <is>
          <t>C03</t>
        </is>
      </c>
      <c r="C42" s="5">
        <f>IF($B42="","",IFERROR(VLOOKUP($B42,'02_Конкуренты'!$A\$4:$B\$203,2,FALSE),"не найдено"))</f>
        <v/>
      </c>
      <c r="D42" s="2" t="inlineStr">
        <is>
          <t>Страницы сайта</t>
        </is>
      </c>
      <c r="E42" s="2" t="inlineStr">
        <is>
          <t>https://www.mermaidchart.com/</t>
        </is>
      </c>
      <c r="F42" s="2" t="inlineStr">
        <is>
          <t>API или платформа разработчика</t>
        </is>
      </c>
      <c r="G42" s="2" t="inlineStr">
        <is>
          <t>Признак найден на просмотренных страницах: api или платформа разработчика</t>
        </is>
      </c>
      <c r="H42" s="2" t="inlineStr">
        <is>
          <t>цифровой товар</t>
        </is>
      </c>
      <c r="I42" s="2" t="n">
        <v>4</v>
      </c>
      <c r="J42" s="4" t="inlineStr">
        <is>
          <t>01.10.2026</t>
        </is>
      </c>
      <c r="K42" s="2" t="inlineStr">
        <is>
          <t>API Mermaid; пункт API в меню Mermaid Chart; API в Enterprise Storm; Developer platform Lu</t>
        </is>
      </c>
      <c r="L42" s="2" t="n"/>
    </row>
    <row r="43" ht="42.75" customHeight="1">
      <c r="A43" s="2" t="inlineStr">
        <is>
          <t>F040</t>
        </is>
      </c>
      <c r="B43" s="2" t="inlineStr">
        <is>
          <t>C03</t>
        </is>
      </c>
      <c r="C43" s="5">
        <f>IF($B43="","",IFERROR(VLOOKUP($B43,'02_Конкуренты'!$A\$4:$B\$203,2,FALSE),"не найдено"))</f>
        <v/>
      </c>
      <c r="D43" s="2" t="inlineStr">
        <is>
          <t>Страницы сайта</t>
        </is>
      </c>
      <c r="E43" s="2" t="inlineStr">
        <is>
          <t>https://www.mermaidchart.com/</t>
        </is>
      </c>
      <c r="F43" s="2" t="inlineStr">
        <is>
          <t>Данные о числе пользователей или клиентов на сайте</t>
        </is>
      </c>
      <c r="G43" s="2" t="inlineStr">
        <is>
          <t>«trusted by over 5M people and over 200k companies»</t>
        </is>
      </c>
      <c r="H43" s="2" t="inlineStr">
        <is>
          <t>отношения с клиентами</t>
        </is>
      </c>
      <c r="I43" s="2" t="n">
        <v>3</v>
      </c>
      <c r="J43" s="4" t="inlineStr">
        <is>
          <t>01.10.2026</t>
        </is>
      </c>
      <c r="K43" s="2" t="inlineStr">
        <is>
          <t>5M человек и 200k компаний (Mermaid Chart); более 1 000 клиентов (Storm); 100M+ пользовате</t>
        </is>
      </c>
      <c r="L43" s="2" t="n"/>
    </row>
    <row r="44" ht="42.75" customHeight="1">
      <c r="A44" s="2" t="inlineStr">
        <is>
          <t>F041</t>
        </is>
      </c>
      <c r="B44" s="2" t="inlineStr">
        <is>
          <t>C03</t>
        </is>
      </c>
      <c r="C44" s="5">
        <f>IF($B44="","",IFERROR(VLOOKUP($B44,'02_Конкуренты'!$A\$4:$B\$203,2,FALSE),"не найдено"))</f>
        <v/>
      </c>
      <c r="D44" s="2" t="inlineStr">
        <is>
          <t>Страницы сайта</t>
        </is>
      </c>
      <c r="E44" s="2" t="inlineStr">
        <is>
          <t>https://www.mermaidchart.com/</t>
        </is>
      </c>
      <c r="F44" s="2" t="inlineStr">
        <is>
          <t>Раздел или упоминание о безопасности и приватности</t>
        </is>
      </c>
      <c r="G44" s="2" t="inlineStr">
        <is>
          <t>Признак найден на просмотренных страницах: раздел или упоминание о безопасности и приватности</t>
        </is>
      </c>
      <c r="H44" s="2" t="inlineStr">
        <is>
          <t>ценностное предложение</t>
        </is>
      </c>
      <c r="I44" s="2" t="n">
        <v>3</v>
      </c>
      <c r="J44" s="4" t="inlineStr">
        <is>
          <t>01.10.2026</t>
        </is>
      </c>
      <c r="K44" s="2" t="inlineStr">
        <is>
          <t>Страница Security (Whimsical); раздел безопасности (Lucidchart, Eraser); privacy-first (dr</t>
        </is>
      </c>
      <c r="L44" s="2" t="n"/>
    </row>
    <row r="45">
      <c r="A45" s="2" t="inlineStr">
        <is>
          <t>F042</t>
        </is>
      </c>
      <c r="B45" s="2" t="inlineStr">
        <is>
          <t>C03</t>
        </is>
      </c>
      <c r="C45" s="5">
        <f>IF($B45="","",IFERROR(VLOOKUP($B45,'02_Конкуренты'!$A\$4:$B\$203,2,FALSE),"не найдено"))</f>
        <v/>
      </c>
      <c r="D45" s="2" t="inlineStr">
        <is>
          <t>Страницы сайта</t>
        </is>
      </c>
      <c r="E45" s="2" t="inlineStr">
        <is>
          <t>https://mermaid.ai/pricing/</t>
        </is>
      </c>
      <c r="F45" s="2" t="inlineStr">
        <is>
          <t>Единый вход SSO или SAML</t>
        </is>
      </c>
      <c r="G45" s="2" t="inlineStr">
        <is>
          <t>Строка SSO в таблице сравнения (Enterprise)</t>
        </is>
      </c>
      <c r="H45" s="2" t="inlineStr">
        <is>
          <t>потоки доходов</t>
        </is>
      </c>
      <c r="I45" s="2" t="n">
        <v>5</v>
      </c>
      <c r="J45" s="4" t="inlineStr">
        <is>
          <t>01.10.2026</t>
        </is>
      </c>
      <c r="K45" s="2" t="inlineStr">
        <is>
          <t>SSO или SAML в старших тарифах</t>
        </is>
      </c>
      <c r="L45" s="2" t="n"/>
    </row>
    <row r="46" ht="28.5" customHeight="1">
      <c r="A46" s="2" t="inlineStr">
        <is>
          <t>F043</t>
        </is>
      </c>
      <c r="B46" s="2" t="inlineStr">
        <is>
          <t>C03</t>
        </is>
      </c>
      <c r="C46" s="5">
        <f>IF($B46="","",IFERROR(VLOOKUP($B46,'02_Конкуренты'!$A\$4:$B\$203,2,FALSE),"не найдено"))</f>
        <v/>
      </c>
      <c r="D46" s="2" t="inlineStr">
        <is>
          <t>Страницы сайта</t>
        </is>
      </c>
      <c r="E46" s="2" t="inlineStr">
        <is>
          <t>https://www.mermaidchart.com/</t>
        </is>
      </c>
      <c r="F46" s="2" t="inlineStr">
        <is>
          <t>Вход и личный кабинет</t>
        </is>
      </c>
      <c r="G46" s="2" t="inlineStr">
        <is>
          <t>Признак найден на просмотренных страницах: вход и личный кабинет</t>
        </is>
      </c>
      <c r="H46" s="2" t="inlineStr">
        <is>
          <t>каналы</t>
        </is>
      </c>
      <c r="I46" s="2" t="n">
        <v>3</v>
      </c>
      <c r="J46" s="4" t="inlineStr">
        <is>
          <t>01.10.2026</t>
        </is>
      </c>
      <c r="K46" s="2" t="inlineStr">
        <is>
          <t>Ссылки на вход на главных страницах</t>
        </is>
      </c>
      <c r="L46" s="2" t="n"/>
    </row>
    <row r="47" ht="42.75" customHeight="1">
      <c r="A47" s="2" t="inlineStr">
        <is>
          <t>F044</t>
        </is>
      </c>
      <c r="B47" s="2" t="inlineStr">
        <is>
          <t>C03</t>
        </is>
      </c>
      <c r="C47" s="5">
        <f>IF($B47="","",IFERROR(VLOOKUP($B47,'02_Конкуренты'!$A\$4:$B\$203,2,FALSE),"не найдено"))</f>
        <v/>
      </c>
      <c r="D47" s="2" t="inlineStr">
        <is>
          <t>Страницы сайта</t>
        </is>
      </c>
      <c r="E47" s="2" t="inlineStr">
        <is>
          <t>https://www.mermaidchart.com/</t>
        </is>
      </c>
      <c r="F47" s="2" t="inlineStr">
        <is>
          <t>Совместная работа в реальном времени</t>
        </is>
      </c>
      <c r="G47" s="2" t="inlineStr">
        <is>
          <t>Признак найден на просмотренных страницах: совместная работа в реальном времени</t>
        </is>
      </c>
      <c r="H47" s="2" t="inlineStr">
        <is>
          <t>цифровой товар</t>
        </is>
      </c>
      <c r="I47" s="2" t="n">
        <v>4</v>
      </c>
      <c r="J47" s="4" t="inlineStr">
        <is>
          <t>01.10.2026</t>
        </is>
      </c>
      <c r="K47" s="2" t="inlineStr">
        <is>
          <t>Real-time collaboration (draw.io, Lucidchart, Whimsical); совместное редактирование в брау</t>
        </is>
      </c>
      <c r="L47" s="2" t="n"/>
    </row>
    <row r="48" ht="42.75" customHeight="1">
      <c r="A48" s="2" t="inlineStr">
        <is>
          <t>F045</t>
        </is>
      </c>
      <c r="B48" s="2" t="inlineStr">
        <is>
          <t>C03</t>
        </is>
      </c>
      <c r="C48" s="5">
        <f>IF($B48="","",IFERROR(VLOOKUP($B48,'02_Конкуренты'!$A\$4:$B\$203,2,FALSE),"не найдено"))</f>
        <v/>
      </c>
      <c r="D48" s="2" t="inlineStr">
        <is>
          <t>Страницы сайта</t>
        </is>
      </c>
      <c r="E48" s="2" t="inlineStr">
        <is>
          <t>https://www.mermaidchart.com/</t>
        </is>
      </c>
      <c r="F48" s="2" t="inlineStr">
        <is>
          <t>Экспорт диаграмм (PNG, SVG, PDF и др.)</t>
        </is>
      </c>
      <c r="G48" s="2" t="inlineStr">
        <is>
          <t>Признак найден на просмотренных страницах: экспорт диаграмм (png, svg, pdf и др.)</t>
        </is>
      </c>
      <c r="H48" s="2" t="inlineStr">
        <is>
          <t>цифровой товар</t>
        </is>
      </c>
      <c r="I48" s="2" t="n">
        <v>4</v>
      </c>
      <c r="J48" s="4" t="inlineStr">
        <is>
          <t>01.10.2026</t>
        </is>
      </c>
      <c r="K48" s="2" t="inlineStr">
        <is>
          <t>Экспорт упомянут на страницах 8 из 8 конкурентов (PNG, SVG, PDF, DOCX у Storm, Visio у Luc</t>
        </is>
      </c>
      <c r="L48" s="2" t="n"/>
    </row>
    <row r="49" ht="42.75" customHeight="1">
      <c r="A49" s="2" t="inlineStr">
        <is>
          <t>F046</t>
        </is>
      </c>
      <c r="B49" s="2" t="inlineStr">
        <is>
          <t>C03</t>
        </is>
      </c>
      <c r="C49" s="5">
        <f>IF($B49="","",IFERROR(VLOOKUP($B49,'02_Конкуренты'!$A\$4:$B\$203,2,FALSE),"не найдено"))</f>
        <v/>
      </c>
      <c r="D49" s="2" t="inlineStr">
        <is>
          <t>Страницы сайта</t>
        </is>
      </c>
      <c r="E49" s="2" t="inlineStr">
        <is>
          <t>https://www.mermaidchart.com/</t>
        </is>
      </c>
      <c r="F49" s="2" t="inlineStr">
        <is>
          <t>История версий</t>
        </is>
      </c>
      <c r="G49" s="2" t="inlineStr">
        <is>
          <t>Признак найден на просмотренных страницах: история версий</t>
        </is>
      </c>
      <c r="H49" s="2" t="inlineStr">
        <is>
          <t>цифровой товар</t>
        </is>
      </c>
      <c r="I49" s="2" t="n">
        <v>4</v>
      </c>
      <c r="J49" s="4" t="inlineStr">
        <is>
          <t>01.10.2026</t>
        </is>
      </c>
      <c r="K49" s="2" t="inlineStr">
        <is>
          <t>7 и 90 дней (Eraser, Whimsical); Revision history (Lucidchart Team); версионирование (меню</t>
        </is>
      </c>
      <c r="L49" s="2" t="n"/>
    </row>
    <row r="50" ht="42.75" customHeight="1">
      <c r="A50" s="2" t="inlineStr">
        <is>
          <t>F047</t>
        </is>
      </c>
      <c r="B50" s="2" t="inlineStr">
        <is>
          <t>C03</t>
        </is>
      </c>
      <c r="C50" s="5">
        <f>IF($B50="","",IFERROR(VLOOKUP($B50,'02_Конкуренты'!$A\$4:$B\$203,2,FALSE),"не найдено"))</f>
        <v/>
      </c>
      <c r="D50" s="2" t="inlineStr">
        <is>
          <t>Страницы сайта</t>
        </is>
      </c>
      <c r="E50" s="2" t="inlineStr">
        <is>
          <t>https://www.mermaidchart.com/</t>
        </is>
      </c>
      <c r="F50" s="2" t="inlineStr">
        <is>
          <t>Документация и руководства</t>
        </is>
      </c>
      <c r="G50" s="2" t="inlineStr">
        <is>
          <t>Признак найден на просмотренных страницах: документация и руководства</t>
        </is>
      </c>
      <c r="H50" s="2" t="inlineStr">
        <is>
          <t>отношения с клиентами</t>
        </is>
      </c>
      <c r="I50" s="2" t="n">
        <v>4</v>
      </c>
      <c r="J50" s="4" t="inlineStr">
        <is>
          <t>01.10.2026</t>
        </is>
      </c>
      <c r="K50" s="2" t="inlineStr">
        <is>
          <t>PlantUML Language Reference Guide; Mermaid User Guide; docs.mermaidchart.com; docs.eraser</t>
        </is>
      </c>
      <c r="L50" s="2" t="n"/>
    </row>
    <row r="51" ht="42.75" customHeight="1">
      <c r="A51" s="2" t="inlineStr">
        <is>
          <t>F048</t>
        </is>
      </c>
      <c r="B51" s="2" t="inlineStr">
        <is>
          <t>C03</t>
        </is>
      </c>
      <c r="C51" s="5">
        <f>IF($B51="","",IFERROR(VLOOKUP($B51,'02_Конкуренты'!$A\$4:$B\$203,2,FALSE),"не найдено"))</f>
        <v/>
      </c>
      <c r="D51" s="2" t="inlineStr">
        <is>
          <t>Страницы сайта</t>
        </is>
      </c>
      <c r="E51" s="2" t="inlineStr">
        <is>
          <t>https://www.mermaidchart.com/</t>
        </is>
      </c>
      <c r="F51" s="2" t="inlineStr">
        <is>
          <t>Диаграммы ERD</t>
        </is>
      </c>
      <c r="G51" s="2" t="inlineStr">
        <is>
          <t>Признак найден на просмотренных страницах: диаграммы erd</t>
        </is>
      </c>
      <c r="H51" s="2" t="inlineStr">
        <is>
          <t>цифровой товар</t>
        </is>
      </c>
      <c r="I51" s="2" t="n">
        <v>4</v>
      </c>
      <c r="J51" s="4" t="inlineStr">
        <is>
          <t>01.10.2026</t>
        </is>
      </c>
      <c r="K51" s="2" t="inlineStr">
        <is>
          <t>Страницы entityRelationshipDiagram (Mermaid), ie-diagram (PlantUML); ER в описании draw.io</t>
        </is>
      </c>
      <c r="L51" s="2" t="n"/>
    </row>
    <row r="52" ht="42.75" customHeight="1">
      <c r="A52" s="2" t="inlineStr">
        <is>
          <t>F049</t>
        </is>
      </c>
      <c r="B52" s="2" t="inlineStr">
        <is>
          <t>C03</t>
        </is>
      </c>
      <c r="C52" s="5">
        <f>IF($B52="","",IFERROR(VLOOKUP($B52,'02_Конкуренты'!$A\$4:$B\$203,2,FALSE),"не найдено"))</f>
        <v/>
      </c>
      <c r="D52" s="2" t="inlineStr">
        <is>
          <t>Страницы сайта</t>
        </is>
      </c>
      <c r="E52" s="2" t="inlineStr">
        <is>
          <t>https://www.mermaidchart.com/</t>
        </is>
      </c>
      <c r="F52" s="2" t="inlineStr">
        <is>
          <t>Признаки развития (ИИ-помощник, MCP, новые функции)</t>
        </is>
      </c>
      <c r="G52" s="2" t="inlineStr">
        <is>
          <t>Признак найден на просмотренных страницах: признаки развития (ии-помощник, mcp, новые функции)</t>
        </is>
      </c>
      <c r="H52" s="2" t="inlineStr">
        <is>
          <t>масштабирование</t>
        </is>
      </c>
      <c r="I52" s="2" t="n">
        <v>3</v>
      </c>
      <c r="J52" s="4" t="inlineStr">
        <is>
          <t>01.10.2026</t>
        </is>
      </c>
      <c r="K52" s="2" t="inlineStr">
        <is>
          <t>MCP-интеграция (Storm); метки NEW: Lucid AI, Developer platform (Lucidchart); ИИ-кредиты (</t>
        </is>
      </c>
      <c r="L52" s="2" t="n"/>
    </row>
    <row r="53" ht="42.75" customHeight="1">
      <c r="A53" s="2" t="inlineStr">
        <is>
          <t>F050</t>
        </is>
      </c>
      <c r="B53" s="2" t="inlineStr">
        <is>
          <t>C04</t>
        </is>
      </c>
      <c r="C53" s="5">
        <f>IF($B53="","",IFERROR(VLOOKUP($B53,'02_Конкуренты'!$A\$4:$B\$203,2,FALSE),"не найдено"))</f>
        <v/>
      </c>
      <c r="D53" s="2" t="inlineStr">
        <is>
          <t>Главная страница</t>
        </is>
      </c>
      <c r="E53" s="2" t="inlineStr">
        <is>
          <t>https://stormbpmn.com/</t>
        </is>
      </c>
      <c r="F53" s="2" t="inlineStr">
        <is>
          <t>Заголовок и описание</t>
        </is>
      </c>
      <c r="G53" s="2" t="inlineStr">
        <is>
          <t>Обещание: «Соберите все процессы компании»; «Одна платформа - девять модулей процессного управления»</t>
        </is>
      </c>
      <c r="H53" s="2" t="inlineStr">
        <is>
          <t>ценностное предложение</t>
        </is>
      </c>
      <c r="I53" s="2" t="n">
        <v>4</v>
      </c>
      <c r="J53" s="4" t="inlineStr">
        <is>
          <t>01.10.2026</t>
        </is>
      </c>
      <c r="K53" s="2" t="inlineStr">
        <is>
          <t>главная страница, 01.10.2026</t>
        </is>
      </c>
      <c r="L53" s="2" t="n"/>
    </row>
    <row r="54" ht="42.75" customHeight="1">
      <c r="A54" s="2" t="inlineStr">
        <is>
          <t>F051</t>
        </is>
      </c>
      <c r="B54" s="2" t="inlineStr">
        <is>
          <t>C04</t>
        </is>
      </c>
      <c r="C54" s="5">
        <f>IF($B54="","",IFERROR(VLOOKUP($B54,'02_Конкуренты'!$A\$4:$B\$203,2,FALSE),"не найдено"))</f>
        <v/>
      </c>
      <c r="D54" s="2" t="inlineStr">
        <is>
          <t>Главная страница</t>
        </is>
      </c>
      <c r="E54" s="2" t="inlineStr">
        <is>
          <t>https://stormbpmn.com/</t>
        </is>
      </c>
      <c r="F54" s="2" t="inlineStr">
        <is>
          <t>Состав товара</t>
        </is>
      </c>
      <c r="G54" s="2" t="inlineStr">
        <is>
          <t>Платформа из семи модулей: редактор, реестр, архитектура, оргструктура, опросы, ИИ, симуляция</t>
        </is>
      </c>
      <c r="H54" s="2" t="inlineStr">
        <is>
          <t>цифровой товар</t>
        </is>
      </c>
      <c r="I54" s="2" t="n">
        <v>4</v>
      </c>
      <c r="J54" s="4" t="inlineStr">
        <is>
          <t>01.10.2026</t>
        </is>
      </c>
      <c r="K54" s="2" t="inlineStr">
        <is>
          <t>страницы сайта, ЛР4</t>
        </is>
      </c>
      <c r="L54" s="2" t="n"/>
    </row>
    <row r="55" ht="85.5" customHeight="1">
      <c r="A55" s="2" t="inlineStr">
        <is>
          <t>F052</t>
        </is>
      </c>
      <c r="B55" s="2" t="inlineStr">
        <is>
          <t>C04</t>
        </is>
      </c>
      <c r="C55" s="5">
        <f>IF($B55="","",IFERROR(VLOOKUP($B55,'02_Конкуренты'!$A\$4:$B\$203,2,FALSE),"не найдено"))</f>
        <v/>
      </c>
      <c r="D55" s="2" t="inlineStr">
        <is>
          <t>Тарифы</t>
        </is>
      </c>
      <c r="E55" s="2" t="inlineStr">
        <is>
          <t>https://stormbpmn.com/pricing</t>
        </is>
      </c>
      <c r="F55" s="2" t="inlineStr">
        <is>
          <t>Тарифная таблица</t>
        </is>
      </c>
      <c r="G55" s="2" t="inlineStr">
        <is>
          <t>Персональный 0 BYN. (до 50 моделей); Команда 1 200 BYN. (1 500 BYN. помесячно) за пользователя в месяц; Бизнес 4 720 BYN. (5 900 BYN.); Enterprise на сервере заказчика от 990 тыс. руб. в год (страница тарифов, 01.10.2026)</t>
        </is>
      </c>
      <c r="H55" s="2" t="inlineStr">
        <is>
          <t>потоки доходов</t>
        </is>
      </c>
      <c r="I55" s="2" t="n">
        <v>5</v>
      </c>
      <c r="J55" s="4" t="inlineStr">
        <is>
          <t>01.10.2026</t>
        </is>
      </c>
      <c r="K55" s="2" t="inlineStr">
        <is>
          <t>страница тарифов или лицензия</t>
        </is>
      </c>
      <c r="L55" s="2" t="n"/>
    </row>
    <row r="56" ht="71.25" customHeight="1">
      <c r="A56" s="2" t="inlineStr">
        <is>
          <t>F053</t>
        </is>
      </c>
      <c r="B56" s="2" t="inlineStr">
        <is>
          <t>C04</t>
        </is>
      </c>
      <c r="C56" s="5">
        <f>IF($B56="","",IFERROR(VLOOKUP($B56,'02_Конкуренты'!$A\$4:$B\$203,2,FALSE),"не найдено"))</f>
        <v/>
      </c>
      <c r="D56" s="2" t="inlineStr">
        <is>
          <t>Similarweb Pro</t>
        </is>
      </c>
      <c r="E56" s="2" t="inlineStr">
        <is>
          <t>https://stormbpmn.com/</t>
        </is>
      </c>
      <c r="F56" s="2" t="inlineStr">
        <is>
          <t>Каналы</t>
        </is>
      </c>
      <c r="G56" s="2" t="inlineStr">
        <is>
          <t>прямые заходы 57,33 %; органический поиск 20,91 %; рефералы 10,72 %; соцсети органика 2,59 %; ИИ-ассистенты 1,74 %; e-mail 3,78 %; платный поиск 1,32 % (Similarweb Pro, Jun-Aug 2026, весь мир, снимок 30.09.2026)</t>
        </is>
      </c>
      <c r="H56" s="2" t="inlineStr">
        <is>
          <t>каналы</t>
        </is>
      </c>
      <c r="I56" s="2" t="n">
        <v>3</v>
      </c>
      <c r="J56" s="4" t="inlineStr">
        <is>
          <t>01.10.2026</t>
        </is>
      </c>
      <c r="K56" s="2" t="inlineStr">
        <is>
          <t>Similarweb Pro (ЛР4)</t>
        </is>
      </c>
      <c r="L56" s="2" t="n"/>
    </row>
    <row r="57" ht="42.75" customHeight="1">
      <c r="A57" s="2" t="inlineStr">
        <is>
          <t>F054</t>
        </is>
      </c>
      <c r="B57" s="2" t="inlineStr">
        <is>
          <t>C04</t>
        </is>
      </c>
      <c r="C57" s="5">
        <f>IF($B57="","",IFERROR(VLOOKUP($B57,'02_Конкуренты'!$A\$4:$B\$203,2,FALSE),"не найдено"))</f>
        <v/>
      </c>
      <c r="D57" s="2" t="inlineStr">
        <is>
          <t>Страницы сайта</t>
        </is>
      </c>
      <c r="E57" s="2" t="inlineStr">
        <is>
          <t>https://stormbpmn.com/pricing</t>
        </is>
      </c>
      <c r="F57" s="2" t="inlineStr">
        <is>
          <t>Корпоративный тариф (Enterprise или on-prem)</t>
        </is>
      </c>
      <c r="G57" s="2" t="inlineStr">
        <is>
          <t>Enterprise на сервере заказчика от 990 тыс. руб. в год: on-prem, SSO, API, аудит</t>
        </is>
      </c>
      <c r="H57" s="2" t="inlineStr">
        <is>
          <t>потоки доходов</t>
        </is>
      </c>
      <c r="I57" s="2" t="n">
        <v>5</v>
      </c>
      <c r="J57" s="4" t="inlineStr">
        <is>
          <t>01.10.2026</t>
        </is>
      </c>
      <c r="K57" s="2" t="inlineStr">
        <is>
          <t>Enterprise по запросу на страницах тарифов; Storm: on-prem от 990 тыс. руб. в год</t>
        </is>
      </c>
      <c r="L57" s="2" t="n"/>
    </row>
    <row r="58" ht="42.75" customHeight="1">
      <c r="A58" s="2" t="inlineStr">
        <is>
          <t>F055</t>
        </is>
      </c>
      <c r="B58" s="2" t="inlineStr">
        <is>
          <t>C04</t>
        </is>
      </c>
      <c r="C58" s="5">
        <f>IF($B58="","",IFERROR(VLOOKUP($B58,'02_Конкуренты'!$A\$4:$B\$203,2,FALSE),"не найдено"))</f>
        <v/>
      </c>
      <c r="D58" s="2" t="inlineStr">
        <is>
          <t>Страницы сайта</t>
        </is>
      </c>
      <c r="E58" s="2" t="inlineStr">
        <is>
          <t>https://stormbpmn.com/pricing</t>
        </is>
      </c>
      <c r="F58" s="2" t="inlineStr">
        <is>
          <t>Скидка или цена при годовой оплате</t>
        </is>
      </c>
      <c r="G58" s="2" t="inlineStr">
        <is>
          <t>Скидка 20 % при годовой оплате; для юридических лиц 1 800 BYN. и 5 900 BYN</t>
        </is>
      </c>
      <c r="H58" s="2" t="inlineStr">
        <is>
          <t>потоки доходов</t>
        </is>
      </c>
      <c r="I58" s="2" t="n">
        <v>5</v>
      </c>
      <c r="J58" s="4" t="inlineStr">
        <is>
          <t>01.10.2026</t>
        </is>
      </c>
      <c r="K58" s="2" t="inlineStr">
        <is>
          <t>Цены «billed annually» (Mermaid Chart, Lucidchart, Eraser), скидка 20 % (Storm)</t>
        </is>
      </c>
      <c r="L58" s="2" t="n"/>
    </row>
    <row r="59" ht="42.75" customHeight="1">
      <c r="A59" s="2" t="inlineStr">
        <is>
          <t>F056</t>
        </is>
      </c>
      <c r="B59" s="2" t="inlineStr">
        <is>
          <t>C04</t>
        </is>
      </c>
      <c r="C59" s="5">
        <f>IF($B59="","",IFERROR(VLOOKUP($B59,'02_Конкуренты'!$A\$4:$B\$203,2,FALSE),"не найдено"))</f>
        <v/>
      </c>
      <c r="D59" s="2" t="inlineStr">
        <is>
          <t>Страницы сайта</t>
        </is>
      </c>
      <c r="E59" s="2" t="inlineStr">
        <is>
          <t>https://stormbpmn.com/pricing</t>
        </is>
      </c>
      <c r="F59" s="2" t="inlineStr">
        <is>
          <t>Бесплатные гости или зрители</t>
        </is>
      </c>
      <c r="G59" s="2" t="inlineStr">
        <is>
          <t>100 бесплатных гостей на участника в тарифе «Команда»</t>
        </is>
      </c>
      <c r="H59" s="2" t="inlineStr">
        <is>
          <t>отношения с клиентами</t>
        </is>
      </c>
      <c r="I59" s="2" t="n">
        <v>5</v>
      </c>
      <c r="J59" s="4" t="inlineStr">
        <is>
          <t>01.10.2026</t>
        </is>
      </c>
      <c r="K59" s="2" t="inlineStr">
        <is>
          <t>Unlimited viewer seats (Mermaid Chart Premium); 100 гостей на участника (Storm); unlimited</t>
        </is>
      </c>
      <c r="L59" s="2" t="n"/>
    </row>
    <row r="60" ht="42.75" customHeight="1">
      <c r="A60" s="2" t="inlineStr">
        <is>
          <t>F057</t>
        </is>
      </c>
      <c r="B60" s="2" t="inlineStr">
        <is>
          <t>C04</t>
        </is>
      </c>
      <c r="C60" s="5">
        <f>IF($B60="","",IFERROR(VLOOKUP($B60,'02_Конкуренты'!$A\$4:$B\$203,2,FALSE),"не найдено"))</f>
        <v/>
      </c>
      <c r="D60" s="2" t="inlineStr">
        <is>
          <t>Страницы сайта</t>
        </is>
      </c>
      <c r="E60" s="2" t="inlineStr">
        <is>
          <t>https://stormbpmn.com/</t>
        </is>
      </c>
      <c r="F60" s="2" t="inlineStr">
        <is>
          <t>ИИ-генерация или ИИ-помощник</t>
        </is>
      </c>
      <c r="G60" s="2" t="inlineStr">
        <is>
          <t>ИИ-ассистент во всех облачных тарифах, включая бесплатный</t>
        </is>
      </c>
      <c r="H60" s="2" t="inlineStr">
        <is>
          <t>цифровой товар</t>
        </is>
      </c>
      <c r="I60" s="2" t="n">
        <v>4</v>
      </c>
      <c r="J60" s="4" t="inlineStr">
        <is>
          <t>01.10.2026</t>
        </is>
      </c>
      <c r="K60" s="2" t="inlineStr">
        <is>
          <t>ИИ-кредиты (Mermaid Chart); ИИ-ассистент (Storm); Lucid AI; Eraser AI; ИИ в Whimsical</t>
        </is>
      </c>
      <c r="L60" s="2" t="n"/>
    </row>
    <row r="61" ht="28.5" customHeight="1">
      <c r="A61" s="2" t="inlineStr">
        <is>
          <t>F058</t>
        </is>
      </c>
      <c r="B61" s="2" t="inlineStr">
        <is>
          <t>C04</t>
        </is>
      </c>
      <c r="C61" s="5">
        <f>IF($B61="","",IFERROR(VLOOKUP($B61,'02_Конкуренты'!$A\$4:$B\$203,2,FALSE),"не найдено"))</f>
        <v/>
      </c>
      <c r="D61" s="2" t="inlineStr">
        <is>
          <t>Страницы сайта</t>
        </is>
      </c>
      <c r="E61" s="2" t="inlineStr">
        <is>
          <t>https://stormbpmn.com/</t>
        </is>
      </c>
      <c r="F61" s="2" t="inlineStr">
        <is>
          <t>Интеграции с другими сервисами</t>
        </is>
      </c>
      <c r="G61" s="2" t="inlineStr">
        <is>
          <t>Признак найден на просмотренных страницах: интеграции с другими сервисами</t>
        </is>
      </c>
      <c r="H61" s="2" t="inlineStr">
        <is>
          <t>ключевые партнеры</t>
        </is>
      </c>
      <c r="I61" s="2" t="n">
        <v>3</v>
      </c>
      <c r="J61" s="4" t="inlineStr">
        <is>
          <t>01.10.2026</t>
        </is>
      </c>
      <c r="K61" s="2" t="inlineStr">
        <is>
          <t>Разделы и упоминания интеграций на страницах 8 из 8 конкурентов</t>
        </is>
      </c>
      <c r="L61" s="2" t="n"/>
    </row>
    <row r="62" ht="42.75" customHeight="1">
      <c r="A62" s="2" t="inlineStr">
        <is>
          <t>F059</t>
        </is>
      </c>
      <c r="B62" s="2" t="inlineStr">
        <is>
          <t>C04</t>
        </is>
      </c>
      <c r="C62" s="5">
        <f>IF($B62="","",IFERROR(VLOOKUP($B62,'02_Конкуренты'!$A\$4:$B\$203,2,FALSE),"не найдено"))</f>
        <v/>
      </c>
      <c r="D62" s="2" t="inlineStr">
        <is>
          <t>Страницы сайта</t>
        </is>
      </c>
      <c r="E62" s="2" t="inlineStr">
        <is>
          <t>https://stormbpmn.com/</t>
        </is>
      </c>
      <c r="F62" s="2" t="inlineStr">
        <is>
          <t>API или платформа разработчика</t>
        </is>
      </c>
      <c r="G62" s="2" t="inlineStr">
        <is>
          <t>Признак найден на просмотренных страницах: api или платформа разработчика</t>
        </is>
      </c>
      <c r="H62" s="2" t="inlineStr">
        <is>
          <t>цифровой товар</t>
        </is>
      </c>
      <c r="I62" s="2" t="n">
        <v>4</v>
      </c>
      <c r="J62" s="4" t="inlineStr">
        <is>
          <t>01.10.2026</t>
        </is>
      </c>
      <c r="K62" s="2" t="inlineStr">
        <is>
          <t>API Mermaid; пункт API в меню Mermaid Chart; API в Enterprise Storm; Developer platform Lu</t>
        </is>
      </c>
      <c r="L62" s="2" t="n"/>
    </row>
    <row r="63" ht="42.75" customHeight="1">
      <c r="A63" s="2" t="inlineStr">
        <is>
          <t>F060</t>
        </is>
      </c>
      <c r="B63" s="2" t="inlineStr">
        <is>
          <t>C04</t>
        </is>
      </c>
      <c r="C63" s="5">
        <f>IF($B63="","",IFERROR(VLOOKUP($B63,'02_Конкуренты'!$A\$4:$B\$203,2,FALSE),"не найдено"))</f>
        <v/>
      </c>
      <c r="D63" s="2" t="inlineStr">
        <is>
          <t>Страницы сайта</t>
        </is>
      </c>
      <c r="E63" s="2" t="inlineStr">
        <is>
          <t>https://stormbpmn.com/</t>
        </is>
      </c>
      <c r="F63" s="2" t="inlineStr">
        <is>
          <t>Данные о числе пользователей или клиентов на сайте</t>
        </is>
      </c>
      <c r="G63" s="2" t="inlineStr">
        <is>
          <t>«Нам доверяют больше 1 000 клиентов»</t>
        </is>
      </c>
      <c r="H63" s="2" t="inlineStr">
        <is>
          <t>отношения с клиентами</t>
        </is>
      </c>
      <c r="I63" s="2" t="n">
        <v>3</v>
      </c>
      <c r="J63" s="4" t="inlineStr">
        <is>
          <t>01.10.2026</t>
        </is>
      </c>
      <c r="K63" s="2" t="inlineStr">
        <is>
          <t>5M человек и 200k компаний (Mermaid Chart); более 1 000 клиентов (Storm); 100M+ пользовате</t>
        </is>
      </c>
      <c r="L63" s="2" t="n"/>
    </row>
    <row r="64" ht="42.75" customHeight="1">
      <c r="A64" s="2" t="inlineStr">
        <is>
          <t>F061</t>
        </is>
      </c>
      <c r="B64" s="2" t="inlineStr">
        <is>
          <t>C04</t>
        </is>
      </c>
      <c r="C64" s="5">
        <f>IF($B64="","",IFERROR(VLOOKUP($B64,'02_Конкуренты'!$A\$4:$B\$203,2,FALSE),"не найдено"))</f>
        <v/>
      </c>
      <c r="D64" s="2" t="inlineStr">
        <is>
          <t>Страницы сайта</t>
        </is>
      </c>
      <c r="E64" s="2" t="inlineStr">
        <is>
          <t>https://stormbpmn.com/</t>
        </is>
      </c>
      <c r="F64" s="2" t="inlineStr">
        <is>
          <t>Раздел или упоминание о безопасности и приватности</t>
        </is>
      </c>
      <c r="G64" s="2" t="inlineStr">
        <is>
          <t>Признак найден на просмотренных страницах: раздел или упоминание о безопасности и приватности</t>
        </is>
      </c>
      <c r="H64" s="2" t="inlineStr">
        <is>
          <t>ценностное предложение</t>
        </is>
      </c>
      <c r="I64" s="2" t="n">
        <v>3</v>
      </c>
      <c r="J64" s="4" t="inlineStr">
        <is>
          <t>01.10.2026</t>
        </is>
      </c>
      <c r="K64" s="2" t="inlineStr">
        <is>
          <t>Страница Security (Whimsical); раздел безопасности (Lucidchart, Eraser); privacy-first (dr</t>
        </is>
      </c>
      <c r="L64" s="2" t="n"/>
    </row>
    <row r="65" ht="28.5" customHeight="1">
      <c r="A65" s="2" t="inlineStr">
        <is>
          <t>F062</t>
        </is>
      </c>
      <c r="B65" s="2" t="inlineStr">
        <is>
          <t>C04</t>
        </is>
      </c>
      <c r="C65" s="5">
        <f>IF($B65="","",IFERROR(VLOOKUP($B65,'02_Конкуренты'!$A\$4:$B\$203,2,FALSE),"не найдено"))</f>
        <v/>
      </c>
      <c r="D65" s="2" t="inlineStr">
        <is>
          <t>Страницы сайта</t>
        </is>
      </c>
      <c r="E65" s="2" t="inlineStr">
        <is>
          <t>https://stormbpmn.com/pricing</t>
        </is>
      </c>
      <c r="F65" s="2" t="inlineStr">
        <is>
          <t>Единый вход SSO или SAML</t>
        </is>
      </c>
      <c r="G65" s="2" t="inlineStr">
        <is>
          <t>Признак найден на просмотренных страницах: единый вход sso или saml</t>
        </is>
      </c>
      <c r="H65" s="2" t="inlineStr">
        <is>
          <t>потоки доходов</t>
        </is>
      </c>
      <c r="I65" s="2" t="n">
        <v>5</v>
      </c>
      <c r="J65" s="4" t="inlineStr">
        <is>
          <t>01.10.2026</t>
        </is>
      </c>
      <c r="K65" s="2" t="inlineStr">
        <is>
          <t>SSO или SAML в старших тарифах</t>
        </is>
      </c>
      <c r="L65" s="2" t="n"/>
    </row>
    <row r="66" ht="28.5" customHeight="1">
      <c r="A66" s="2" t="inlineStr">
        <is>
          <t>F063</t>
        </is>
      </c>
      <c r="B66" s="2" t="inlineStr">
        <is>
          <t>C04</t>
        </is>
      </c>
      <c r="C66" s="5">
        <f>IF($B66="","",IFERROR(VLOOKUP($B66,'02_Конкуренты'!$A\$4:$B\$203,2,FALSE),"не найдено"))</f>
        <v/>
      </c>
      <c r="D66" s="2" t="inlineStr">
        <is>
          <t>Страницы сайта</t>
        </is>
      </c>
      <c r="E66" s="2" t="inlineStr">
        <is>
          <t>https://stormbpmn.com/</t>
        </is>
      </c>
      <c r="F66" s="2" t="inlineStr">
        <is>
          <t>Вход и личный кабинет</t>
        </is>
      </c>
      <c r="G66" s="2" t="inlineStr">
        <is>
          <t>Признак найден на просмотренных страницах: вход и личный кабинет</t>
        </is>
      </c>
      <c r="H66" s="2" t="inlineStr">
        <is>
          <t>каналы</t>
        </is>
      </c>
      <c r="I66" s="2" t="n">
        <v>3</v>
      </c>
      <c r="J66" s="4" t="inlineStr">
        <is>
          <t>01.10.2026</t>
        </is>
      </c>
      <c r="K66" s="2" t="inlineStr">
        <is>
          <t>Ссылки на вход на главных страницах</t>
        </is>
      </c>
      <c r="L66" s="2" t="n"/>
    </row>
    <row r="67" ht="42.75" customHeight="1">
      <c r="A67" s="2" t="inlineStr">
        <is>
          <t>F064</t>
        </is>
      </c>
      <c r="B67" s="2" t="inlineStr">
        <is>
          <t>C04</t>
        </is>
      </c>
      <c r="C67" s="5">
        <f>IF($B67="","",IFERROR(VLOOKUP($B67,'02_Конкуренты'!$A\$4:$B\$203,2,FALSE),"не найдено"))</f>
        <v/>
      </c>
      <c r="D67" s="2" t="inlineStr">
        <is>
          <t>Страницы сайта</t>
        </is>
      </c>
      <c r="E67" s="2" t="inlineStr">
        <is>
          <t>https://stormbpmn.com/</t>
        </is>
      </c>
      <c r="F67" s="2" t="inlineStr">
        <is>
          <t>Совместная работа в реальном времени</t>
        </is>
      </c>
      <c r="G67" s="2" t="inlineStr">
        <is>
          <t>Признак найден на просмотренных страницах: совместная работа в реальном времени</t>
        </is>
      </c>
      <c r="H67" s="2" t="inlineStr">
        <is>
          <t>цифровой товар</t>
        </is>
      </c>
      <c r="I67" s="2" t="n">
        <v>4</v>
      </c>
      <c r="J67" s="4" t="inlineStr">
        <is>
          <t>01.10.2026</t>
        </is>
      </c>
      <c r="K67" s="2" t="inlineStr">
        <is>
          <t>Real-time collaboration (draw.io, Lucidchart, Whimsical); совместное редактирование в брау</t>
        </is>
      </c>
      <c r="L67" s="2" t="n"/>
    </row>
    <row r="68" ht="42.75" customHeight="1">
      <c r="A68" s="2" t="inlineStr">
        <is>
          <t>F065</t>
        </is>
      </c>
      <c r="B68" s="2" t="inlineStr">
        <is>
          <t>C04</t>
        </is>
      </c>
      <c r="C68" s="5">
        <f>IF($B68="","",IFERROR(VLOOKUP($B68,'02_Конкуренты'!$A\$4:$B\$203,2,FALSE),"не найдено"))</f>
        <v/>
      </c>
      <c r="D68" s="2" t="inlineStr">
        <is>
          <t>Страницы сайта</t>
        </is>
      </c>
      <c r="E68" s="2" t="inlineStr">
        <is>
          <t>https://stormbpmn.com/</t>
        </is>
      </c>
      <c r="F68" s="2" t="inlineStr">
        <is>
          <t>Экспорт диаграмм (PNG, SVG, PDF и др.)</t>
        </is>
      </c>
      <c r="G68" s="2" t="inlineStr">
        <is>
          <t>Признак найден на просмотренных страницах: экспорт диаграмм (png, svg, pdf и др.)</t>
        </is>
      </c>
      <c r="H68" s="2" t="inlineStr">
        <is>
          <t>цифровой товар</t>
        </is>
      </c>
      <c r="I68" s="2" t="n">
        <v>4</v>
      </c>
      <c r="J68" s="4" t="inlineStr">
        <is>
          <t>01.10.2026</t>
        </is>
      </c>
      <c r="K68" s="2" t="inlineStr">
        <is>
          <t>Экспорт упомянут на страницах 8 из 8 конкурентов (PNG, SVG, PDF, DOCX у Storm, Visio у Luc</t>
        </is>
      </c>
      <c r="L68" s="2" t="n"/>
    </row>
    <row r="69" ht="42.75" customHeight="1">
      <c r="A69" s="2" t="inlineStr">
        <is>
          <t>F066</t>
        </is>
      </c>
      <c r="B69" s="2" t="inlineStr">
        <is>
          <t>C04</t>
        </is>
      </c>
      <c r="C69" s="5">
        <f>IF($B69="","",IFERROR(VLOOKUP($B69,'02_Конкуренты'!$A\$4:$B\$203,2,FALSE),"не найдено"))</f>
        <v/>
      </c>
      <c r="D69" s="2" t="inlineStr">
        <is>
          <t>Страницы сайта</t>
        </is>
      </c>
      <c r="E69" s="2" t="inlineStr">
        <is>
          <t>https://stormbpmn.com/</t>
        </is>
      </c>
      <c r="F69" s="2" t="inlineStr">
        <is>
          <t>История версий</t>
        </is>
      </c>
      <c r="G69" s="2" t="inlineStr">
        <is>
          <t>Признак найден на просмотренных страницах: история версий</t>
        </is>
      </c>
      <c r="H69" s="2" t="inlineStr">
        <is>
          <t>цифровой товар</t>
        </is>
      </c>
      <c r="I69" s="2" t="n">
        <v>4</v>
      </c>
      <c r="J69" s="4" t="inlineStr">
        <is>
          <t>01.10.2026</t>
        </is>
      </c>
      <c r="K69" s="2" t="inlineStr">
        <is>
          <t>7 и 90 дней (Eraser, Whimsical); Revision history (Lucidchart Team); версионирование (меню</t>
        </is>
      </c>
      <c r="L69" s="2" t="n"/>
    </row>
    <row r="70" ht="42.75" customHeight="1">
      <c r="A70" s="2" t="inlineStr">
        <is>
          <t>F067</t>
        </is>
      </c>
      <c r="B70" s="2" t="inlineStr">
        <is>
          <t>C04</t>
        </is>
      </c>
      <c r="C70" s="5">
        <f>IF($B70="","",IFERROR(VLOOKUP($B70,'02_Конкуренты'!$A\$4:$B\$203,2,FALSE),"не найдено"))</f>
        <v/>
      </c>
      <c r="D70" s="2" t="inlineStr">
        <is>
          <t>Страницы сайта</t>
        </is>
      </c>
      <c r="E70" s="2" t="inlineStr">
        <is>
          <t>https://stormbpmn.com/</t>
        </is>
      </c>
      <c r="F70" s="2" t="inlineStr">
        <is>
          <t>Диаграммы BPMN</t>
        </is>
      </c>
      <c r="G70" s="2" t="inlineStr">
        <is>
          <t>Признак найден на просмотренных страницах: диаграммы bpmn</t>
        </is>
      </c>
      <c r="H70" s="2" t="inlineStr">
        <is>
          <t>цифровой товар</t>
        </is>
      </c>
      <c r="I70" s="2" t="n">
        <v>4</v>
      </c>
      <c r="J70" s="4" t="inlineStr">
        <is>
          <t>01.10.2026</t>
        </is>
      </c>
      <c r="K70" s="2" t="inlineStr">
        <is>
          <t>Редактор BPMN 2.0 (Storm); BPMN-шаблон (Lucidchart); упоминание BPMN на сайте Eraser</t>
        </is>
      </c>
      <c r="L70" s="2" t="n"/>
    </row>
    <row r="71" ht="42.75" customHeight="1">
      <c r="A71" s="2" t="inlineStr">
        <is>
          <t>F068</t>
        </is>
      </c>
      <c r="B71" s="2" t="inlineStr">
        <is>
          <t>C04</t>
        </is>
      </c>
      <c r="C71" s="5">
        <f>IF($B71="","",IFERROR(VLOOKUP($B71,'02_Конкуренты'!$A\$4:$B\$203,2,FALSE),"не найдено"))</f>
        <v/>
      </c>
      <c r="D71" s="2" t="inlineStr">
        <is>
          <t>Страницы сайта</t>
        </is>
      </c>
      <c r="E71" s="2" t="inlineStr">
        <is>
          <t>https://stormbpmn.com/</t>
        </is>
      </c>
      <c r="F71" s="2" t="inlineStr">
        <is>
          <t>Развёртывание на своём сервере</t>
        </is>
      </c>
      <c r="G71" s="2" t="inlineStr">
        <is>
          <t>Признак найден на просмотренных страницах: развёртывание на своём сервере</t>
        </is>
      </c>
      <c r="H71" s="2" t="inlineStr">
        <is>
          <t>структура затрат</t>
        </is>
      </c>
      <c r="I71" s="2" t="n">
        <v>3</v>
      </c>
      <c r="J71" s="4" t="inlineStr">
        <is>
          <t>01.10.2026</t>
        </is>
      </c>
      <c r="K71" s="2" t="inlineStr">
        <is>
          <t>Страницы running и download (PlantUML); библиотека Mermaid; on-prem (Storm); Flexible depl</t>
        </is>
      </c>
      <c r="L71" s="2" t="n"/>
    </row>
    <row r="72" ht="28.5" customHeight="1">
      <c r="A72" s="2" t="inlineStr">
        <is>
          <t>F069</t>
        </is>
      </c>
      <c r="B72" s="2" t="inlineStr">
        <is>
          <t>C04</t>
        </is>
      </c>
      <c r="C72" s="5">
        <f>IF($B72="","",IFERROR(VLOOKUP($B72,'02_Конкуренты'!$A\$4:$B\$203,2,FALSE),"не найдено"))</f>
        <v/>
      </c>
      <c r="D72" s="2" t="inlineStr">
        <is>
          <t>Страницы сайта</t>
        </is>
      </c>
      <c r="E72" s="2" t="inlineStr">
        <is>
          <t>https://stormbpmn.com/</t>
        </is>
      </c>
      <c r="F72" s="2" t="inlineStr">
        <is>
          <t>Русскоязычный интерфейс и тарифы в рублях</t>
        </is>
      </c>
      <c r="G72" s="2" t="inlineStr">
        <is>
          <t>Тарифы в рублях; Россия 62,99 % трафика (Similarweb Pro)</t>
        </is>
      </c>
      <c r="H72" s="2" t="inlineStr">
        <is>
          <t>целевые сегменты</t>
        </is>
      </c>
      <c r="I72" s="2" t="n">
        <v>3</v>
      </c>
      <c r="J72" s="4" t="inlineStr">
        <is>
          <t>01.10.2026</t>
        </is>
      </c>
      <c r="K72" s="2" t="inlineStr">
        <is>
          <t>Сайт и тарифы Storm на русском языке, цены в рублях</t>
        </is>
      </c>
      <c r="L72" s="2" t="n"/>
    </row>
    <row r="73" ht="42.75" customHeight="1">
      <c r="A73" s="2" t="inlineStr">
        <is>
          <t>F070</t>
        </is>
      </c>
      <c r="B73" s="2" t="inlineStr">
        <is>
          <t>C04</t>
        </is>
      </c>
      <c r="C73" s="5">
        <f>IF($B73="","",IFERROR(VLOOKUP($B73,'02_Конкуренты'!$A\$4:$B\$203,2,FALSE),"не найдено"))</f>
        <v/>
      </c>
      <c r="D73" s="2" t="inlineStr">
        <is>
          <t>Страницы сайта</t>
        </is>
      </c>
      <c r="E73" s="2" t="inlineStr">
        <is>
          <t>https://stormbpmn.com/</t>
        </is>
      </c>
      <c r="F73" s="2" t="inlineStr">
        <is>
          <t>Признаки развития (ИИ-помощник, MCP, новые функции)</t>
        </is>
      </c>
      <c r="G73" s="2" t="inlineStr">
        <is>
          <t>Признак найден на просмотренных страницах: признаки развития (ии-помощник, mcp, новые функции)</t>
        </is>
      </c>
      <c r="H73" s="2" t="inlineStr">
        <is>
          <t>масштабирование</t>
        </is>
      </c>
      <c r="I73" s="2" t="n">
        <v>3</v>
      </c>
      <c r="J73" s="4" t="inlineStr">
        <is>
          <t>01.10.2026</t>
        </is>
      </c>
      <c r="K73" s="2" t="inlineStr">
        <is>
          <t>MCP-интеграция (Storm); метки NEW: Lucid AI, Developer platform (Lucidchart); ИИ-кредиты (</t>
        </is>
      </c>
      <c r="L73" s="2" t="n"/>
    </row>
    <row r="74" ht="42.75" customHeight="1">
      <c r="A74" s="2" t="inlineStr">
        <is>
          <t>F071</t>
        </is>
      </c>
      <c r="B74" s="2" t="inlineStr">
        <is>
          <t>C05</t>
        </is>
      </c>
      <c r="C74" s="5">
        <f>IF($B74="","",IFERROR(VLOOKUP($B74,'02_Конкуренты'!$A\$4:$B\$203,2,FALSE),"не найдено"))</f>
        <v/>
      </c>
      <c r="D74" s="2" t="inlineStr">
        <is>
          <t>Главная страница</t>
        </is>
      </c>
      <c r="E74" s="2" t="inlineStr">
        <is>
          <t>https://app.diagrams.net/</t>
        </is>
      </c>
      <c r="F74" s="2" t="inlineStr">
        <is>
          <t>Заголовок и описание</t>
        </is>
      </c>
      <c r="G74" s="2" t="inlineStr">
        <is>
          <t>Обещание: «Security-first diagramming for teams»; «Free, open source diagramming application with 100M+ users»</t>
        </is>
      </c>
      <c r="H74" s="2" t="inlineStr">
        <is>
          <t>ценностное предложение</t>
        </is>
      </c>
      <c r="I74" s="2" t="n">
        <v>4</v>
      </c>
      <c r="J74" s="4" t="inlineStr">
        <is>
          <t>01.10.2026</t>
        </is>
      </c>
      <c r="K74" s="2" t="inlineStr">
        <is>
          <t>главная страница, 01.10.2026</t>
        </is>
      </c>
      <c r="L74" s="2" t="n"/>
    </row>
    <row r="75" ht="28.5" customHeight="1">
      <c r="A75" s="2" t="inlineStr">
        <is>
          <t>F072</t>
        </is>
      </c>
      <c r="B75" s="2" t="inlineStr">
        <is>
          <t>C05</t>
        </is>
      </c>
      <c r="C75" s="5">
        <f>IF($B75="","",IFERROR(VLOOKUP($B75,'02_Конкуренты'!$A\$4:$B\$203,2,FALSE),"не найдено"))</f>
        <v/>
      </c>
      <c r="D75" s="2" t="inlineStr">
        <is>
          <t>Главная страница</t>
        </is>
      </c>
      <c r="E75" s="2" t="inlineStr">
        <is>
          <t>https://app.diagrams.net/</t>
        </is>
      </c>
      <c r="F75" s="2" t="inlineStr">
        <is>
          <t>Состав товара</t>
        </is>
      </c>
      <c r="G75" s="2" t="inlineStr">
        <is>
          <t>Бесплатный онлайн-редактор блок-схем, UML, ER и других диаграмм</t>
        </is>
      </c>
      <c r="H75" s="2" t="inlineStr">
        <is>
          <t>цифровой товар</t>
        </is>
      </c>
      <c r="I75" s="2" t="n">
        <v>4</v>
      </c>
      <c r="J75" s="4" t="inlineStr">
        <is>
          <t>01.10.2026</t>
        </is>
      </c>
      <c r="K75" s="2" t="inlineStr">
        <is>
          <t>страницы сайта, ЛР4</t>
        </is>
      </c>
      <c r="L75" s="2" t="n"/>
    </row>
    <row r="76" ht="28.5" customHeight="1">
      <c r="A76" s="2" t="inlineStr">
        <is>
          <t>F073</t>
        </is>
      </c>
      <c r="B76" s="2" t="inlineStr">
        <is>
          <t>C05</t>
        </is>
      </c>
      <c r="C76" s="5">
        <f>IF($B76="","",IFERROR(VLOOKUP($B76,'02_Конкуренты'!$A\$4:$B\$203,2,FALSE),"не найдено"))</f>
        <v/>
      </c>
      <c r="D76" s="2" t="inlineStr">
        <is>
          <t>Тарифы</t>
        </is>
      </c>
      <c r="E76" s="2" t="inlineStr">
        <is>
          <t>https://app.diagrams.net/</t>
        </is>
      </c>
      <c r="F76" s="2" t="inlineStr">
        <is>
          <t>Тарифная таблица</t>
        </is>
      </c>
      <c r="G76" s="2" t="inlineStr">
        <is>
          <t>полностью бесплатный, открытый код (Apache 2.0) (ЛР1, табл. 42)</t>
        </is>
      </c>
      <c r="H76" s="2" t="inlineStr">
        <is>
          <t>потоки доходов</t>
        </is>
      </c>
      <c r="I76" s="2" t="n">
        <v>4</v>
      </c>
      <c r="J76" s="4" t="inlineStr">
        <is>
          <t>01.10.2026</t>
        </is>
      </c>
      <c r="K76" s="2" t="inlineStr">
        <is>
          <t>страница тарифов или лицензия</t>
        </is>
      </c>
      <c r="L76" s="2" t="n"/>
    </row>
    <row r="77" ht="71.25" customHeight="1">
      <c r="A77" s="2" t="inlineStr">
        <is>
          <t>F074</t>
        </is>
      </c>
      <c r="B77" s="2" t="inlineStr">
        <is>
          <t>C05</t>
        </is>
      </c>
      <c r="C77" s="5">
        <f>IF($B77="","",IFERROR(VLOOKUP($B77,'02_Конкуренты'!$A\$4:$B\$203,2,FALSE),"не найдено"))</f>
        <v/>
      </c>
      <c r="D77" s="2" t="inlineStr">
        <is>
          <t>Similarweb Pro</t>
        </is>
      </c>
      <c r="E77" s="2" t="inlineStr">
        <is>
          <t>https://app.diagrams.net/</t>
        </is>
      </c>
      <c r="F77" s="2" t="inlineStr">
        <is>
          <t>Каналы</t>
        </is>
      </c>
      <c r="G77" s="2" t="inlineStr">
        <is>
          <t>прямые заходы 68,39 %; органический поиск 13,96 %; рефералы 9,72 %; соцсети органика 2,07 %; ИИ-ассистенты 2,68 %; e-mail 1,19 %; платный поиск 0,02 % (Similarweb Pro, Jun-Aug 2026, весь мир, снимок 30.09.2026)</t>
        </is>
      </c>
      <c r="H77" s="2" t="inlineStr">
        <is>
          <t>каналы</t>
        </is>
      </c>
      <c r="I77" s="2" t="n">
        <v>3</v>
      </c>
      <c r="J77" s="4" t="inlineStr">
        <is>
          <t>01.10.2026</t>
        </is>
      </c>
      <c r="K77" s="2" t="inlineStr">
        <is>
          <t>Similarweb Pro (ЛР4)</t>
        </is>
      </c>
      <c r="L77" s="2" t="n"/>
    </row>
    <row r="78" ht="42.75" customHeight="1">
      <c r="A78" s="2" t="inlineStr">
        <is>
          <t>F075</t>
        </is>
      </c>
      <c r="B78" s="2" t="inlineStr">
        <is>
          <t>C05</t>
        </is>
      </c>
      <c r="C78" s="5">
        <f>IF($B78="","",IFERROR(VLOOKUP($B78,'02_Конкуренты'!$A\$4:$B\$203,2,FALSE),"не найдено"))</f>
        <v/>
      </c>
      <c r="D78" s="2" t="inlineStr">
        <is>
          <t>GitHub</t>
        </is>
      </c>
      <c r="E78" s="2" t="inlineStr">
        <is>
          <t>https://github.com/jgraph/drawio</t>
        </is>
      </c>
      <c r="F78" s="2" t="inlineStr">
        <is>
          <t>Репозиторий</t>
        </is>
      </c>
      <c r="G78" s="2" t="inlineStr">
        <is>
          <t>jgraph/drawio: 8 502 звёзд, лицензия Apache-2.0; jgraph/drawio-desktop: 63 351 звёзд, лицензия GPL-3.0</t>
        </is>
      </c>
      <c r="H78" s="2" t="inlineStr">
        <is>
          <t>ключевые ресурсы</t>
        </is>
      </c>
      <c r="I78" s="2" t="n">
        <v>5</v>
      </c>
      <c r="J78" s="4" t="inlineStr">
        <is>
          <t>01.10.2026</t>
        </is>
      </c>
      <c r="K78" s="2" t="inlineStr">
        <is>
          <t>GitHub API, 30.09.2026</t>
        </is>
      </c>
      <c r="L78" s="2" t="n"/>
    </row>
    <row r="79" ht="28.5" customHeight="1">
      <c r="A79" s="2" t="inlineStr">
        <is>
          <t>F076</t>
        </is>
      </c>
      <c r="B79" s="2" t="inlineStr">
        <is>
          <t>C05</t>
        </is>
      </c>
      <c r="C79" s="5">
        <f>IF($B79="","",IFERROR(VLOOKUP($B79,'02_Конкуренты'!$A\$4:$B\$203,2,FALSE),"не найдено"))</f>
        <v/>
      </c>
      <c r="D79" s="2" t="inlineStr">
        <is>
          <t>Страницы сайта</t>
        </is>
      </c>
      <c r="E79" s="2" t="inlineStr">
        <is>
          <t>https://app.diagrams.net/</t>
        </is>
      </c>
      <c r="F79" s="2" t="inlineStr">
        <is>
          <t>Интеграции с другими сервисами</t>
        </is>
      </c>
      <c r="G79" s="2" t="inlineStr">
        <is>
          <t>Признак найден на просмотренных страницах: интеграции с другими сервисами</t>
        </is>
      </c>
      <c r="H79" s="2" t="inlineStr">
        <is>
          <t>ключевые партнеры</t>
        </is>
      </c>
      <c r="I79" s="2" t="n">
        <v>3</v>
      </c>
      <c r="J79" s="4" t="inlineStr">
        <is>
          <t>01.10.2026</t>
        </is>
      </c>
      <c r="K79" s="2" t="inlineStr">
        <is>
          <t>Разделы и упоминания интеграций на страницах 8 из 8 конкурентов</t>
        </is>
      </c>
      <c r="L79" s="2" t="n"/>
    </row>
    <row r="80" ht="28.5" customHeight="1">
      <c r="A80" s="2" t="inlineStr">
        <is>
          <t>F077</t>
        </is>
      </c>
      <c r="B80" s="2" t="inlineStr">
        <is>
          <t>C05</t>
        </is>
      </c>
      <c r="C80" s="5">
        <f>IF($B80="","",IFERROR(VLOOKUP($B80,'02_Конкуренты'!$A\$4:$B\$203,2,FALSE),"не найдено"))</f>
        <v/>
      </c>
      <c r="D80" s="2" t="inlineStr">
        <is>
          <t>Страницы сайта</t>
        </is>
      </c>
      <c r="E80" s="2" t="inlineStr">
        <is>
          <t>https://app.diagrams.net/</t>
        </is>
      </c>
      <c r="F80" s="2" t="inlineStr">
        <is>
          <t>Открытый код и сообщество</t>
        </is>
      </c>
      <c r="G80" s="2" t="inlineStr">
        <is>
          <t>Признак найден на просмотренных страницах: открытый код и сообщество</t>
        </is>
      </c>
      <c r="H80" s="2" t="inlineStr">
        <is>
          <t>ключевые ресурсы</t>
        </is>
      </c>
      <c r="I80" s="2" t="n">
        <v>3</v>
      </c>
      <c r="J80" s="4" t="inlineStr">
        <is>
          <t>01.10.2026</t>
        </is>
      </c>
      <c r="K80" s="2" t="inlineStr">
        <is>
          <t>GitHub API, 30.09.2026; лицензия Apache 2.0 у draw.io</t>
        </is>
      </c>
      <c r="L80" s="2" t="n"/>
    </row>
    <row r="81" ht="42.75" customHeight="1">
      <c r="A81" s="2" t="inlineStr">
        <is>
          <t>F078</t>
        </is>
      </c>
      <c r="B81" s="2" t="inlineStr">
        <is>
          <t>C05</t>
        </is>
      </c>
      <c r="C81" s="5">
        <f>IF($B81="","",IFERROR(VLOOKUP($B81,'02_Конкуренты'!$A\$4:$B\$203,2,FALSE),"не найдено"))</f>
        <v/>
      </c>
      <c r="D81" s="2" t="inlineStr">
        <is>
          <t>Страницы сайта</t>
        </is>
      </c>
      <c r="E81" s="2" t="inlineStr">
        <is>
          <t>https://app.diagrams.net/</t>
        </is>
      </c>
      <c r="F81" s="2" t="inlineStr">
        <is>
          <t>Данные о числе пользователей или клиентов на сайте</t>
        </is>
      </c>
      <c r="G81" s="2" t="inlineStr">
        <is>
          <t>«100M+ users»</t>
        </is>
      </c>
      <c r="H81" s="2" t="inlineStr">
        <is>
          <t>отношения с клиентами</t>
        </is>
      </c>
      <c r="I81" s="2" t="n">
        <v>3</v>
      </c>
      <c r="J81" s="4" t="inlineStr">
        <is>
          <t>01.10.2026</t>
        </is>
      </c>
      <c r="K81" s="2" t="inlineStr">
        <is>
          <t>5M человек и 200k компаний (Mermaid Chart); более 1 000 клиентов (Storm); 100M+ пользовате</t>
        </is>
      </c>
      <c r="L81" s="2" t="n"/>
    </row>
    <row r="82" ht="42.75" customHeight="1">
      <c r="A82" s="2" t="inlineStr">
        <is>
          <t>F079</t>
        </is>
      </c>
      <c r="B82" s="2" t="inlineStr">
        <is>
          <t>C05</t>
        </is>
      </c>
      <c r="C82" s="5">
        <f>IF($B82="","",IFERROR(VLOOKUP($B82,'02_Конкуренты'!$A\$4:$B\$203,2,FALSE),"не найдено"))</f>
        <v/>
      </c>
      <c r="D82" s="2" t="inlineStr">
        <is>
          <t>Страницы сайта</t>
        </is>
      </c>
      <c r="E82" s="2" t="inlineStr">
        <is>
          <t>https://app.diagrams.net/</t>
        </is>
      </c>
      <c r="F82" s="2" t="inlineStr">
        <is>
          <t>Раздел или упоминание о безопасности и приватности</t>
        </is>
      </c>
      <c r="G82" s="2" t="inlineStr">
        <is>
          <t>Признак найден на просмотренных страницах: раздел или упоминание о безопасности и приватности</t>
        </is>
      </c>
      <c r="H82" s="2" t="inlineStr">
        <is>
          <t>ценностное предложение</t>
        </is>
      </c>
      <c r="I82" s="2" t="n">
        <v>3</v>
      </c>
      <c r="J82" s="4" t="inlineStr">
        <is>
          <t>01.10.2026</t>
        </is>
      </c>
      <c r="K82" s="2" t="inlineStr">
        <is>
          <t>Страница Security (Whimsical); раздел безопасности (Lucidchart, Eraser); privacy-first (dr</t>
        </is>
      </c>
      <c r="L82" s="2" t="n"/>
    </row>
    <row r="83" ht="28.5" customHeight="1">
      <c r="A83" s="2" t="inlineStr">
        <is>
          <t>F080</t>
        </is>
      </c>
      <c r="B83" s="2" t="inlineStr">
        <is>
          <t>C05</t>
        </is>
      </c>
      <c r="C83" s="5">
        <f>IF($B83="","",IFERROR(VLOOKUP($B83,'02_Конкуренты'!$A\$4:$B\$203,2,FALSE),"не найдено"))</f>
        <v/>
      </c>
      <c r="D83" s="2" t="inlineStr">
        <is>
          <t>Страницы сайта</t>
        </is>
      </c>
      <c r="E83" s="2" t="inlineStr">
        <is>
          <t>https://app.diagrams.net/</t>
        </is>
      </c>
      <c r="F83" s="2" t="inlineStr">
        <is>
          <t>Вход и личный кабинет</t>
        </is>
      </c>
      <c r="G83" s="2" t="inlineStr">
        <is>
          <t>Признак найден на просмотренных страницах: вход и личный кабинет</t>
        </is>
      </c>
      <c r="H83" s="2" t="inlineStr">
        <is>
          <t>каналы</t>
        </is>
      </c>
      <c r="I83" s="2" t="n">
        <v>3</v>
      </c>
      <c r="J83" s="4" t="inlineStr">
        <is>
          <t>01.10.2026</t>
        </is>
      </c>
      <c r="K83" s="2" t="inlineStr">
        <is>
          <t>Ссылки на вход на главных страницах</t>
        </is>
      </c>
      <c r="L83" s="2" t="n"/>
    </row>
    <row r="84" ht="42.75" customHeight="1">
      <c r="A84" s="2" t="inlineStr">
        <is>
          <t>F081</t>
        </is>
      </c>
      <c r="B84" s="2" t="inlineStr">
        <is>
          <t>C05</t>
        </is>
      </c>
      <c r="C84" s="5">
        <f>IF($B84="","",IFERROR(VLOOKUP($B84,'02_Конкуренты'!$A\$4:$B\$203,2,FALSE),"не найдено"))</f>
        <v/>
      </c>
      <c r="D84" s="2" t="inlineStr">
        <is>
          <t>Страницы сайта</t>
        </is>
      </c>
      <c r="E84" s="2" t="inlineStr">
        <is>
          <t>https://app.diagrams.net/</t>
        </is>
      </c>
      <c r="F84" s="2" t="inlineStr">
        <is>
          <t>Совместная работа в реальном времени</t>
        </is>
      </c>
      <c r="G84" s="2" t="inlineStr">
        <is>
          <t>Признак найден на просмотренных страницах: совместная работа в реальном времени</t>
        </is>
      </c>
      <c r="H84" s="2" t="inlineStr">
        <is>
          <t>цифровой товар</t>
        </is>
      </c>
      <c r="I84" s="2" t="n">
        <v>4</v>
      </c>
      <c r="J84" s="4" t="inlineStr">
        <is>
          <t>01.10.2026</t>
        </is>
      </c>
      <c r="K84" s="2" t="inlineStr">
        <is>
          <t>Real-time collaboration (draw.io, Lucidchart, Whimsical); совместное редактирование в брау</t>
        </is>
      </c>
      <c r="L84" s="2" t="n"/>
    </row>
    <row r="85" ht="42.75" customHeight="1">
      <c r="A85" s="2" t="inlineStr">
        <is>
          <t>F082</t>
        </is>
      </c>
      <c r="B85" s="2" t="inlineStr">
        <is>
          <t>C05</t>
        </is>
      </c>
      <c r="C85" s="5">
        <f>IF($B85="","",IFERROR(VLOOKUP($B85,'02_Конкуренты'!$A\$4:$B\$203,2,FALSE),"не найдено"))</f>
        <v/>
      </c>
      <c r="D85" s="2" t="inlineStr">
        <is>
          <t>Страницы сайта</t>
        </is>
      </c>
      <c r="E85" s="2" t="inlineStr">
        <is>
          <t>https://app.diagrams.net/</t>
        </is>
      </c>
      <c r="F85" s="2" t="inlineStr">
        <is>
          <t>Экспорт диаграмм (PNG, SVG, PDF и др.)</t>
        </is>
      </c>
      <c r="G85" s="2" t="inlineStr">
        <is>
          <t>Признак найден на просмотренных страницах: экспорт диаграмм (png, svg, pdf и др.)</t>
        </is>
      </c>
      <c r="H85" s="2" t="inlineStr">
        <is>
          <t>цифровой товар</t>
        </is>
      </c>
      <c r="I85" s="2" t="n">
        <v>4</v>
      </c>
      <c r="J85" s="4" t="inlineStr">
        <is>
          <t>01.10.2026</t>
        </is>
      </c>
      <c r="K85" s="2" t="inlineStr">
        <is>
          <t>Экспорт упомянут на страницах 8 из 8 конкурентов (PNG, SVG, PDF, DOCX у Storm, Visio у Luc</t>
        </is>
      </c>
      <c r="L85" s="2" t="n"/>
    </row>
    <row r="86" ht="42.75" customHeight="1">
      <c r="A86" s="2" t="inlineStr">
        <is>
          <t>F083</t>
        </is>
      </c>
      <c r="B86" s="2" t="inlineStr">
        <is>
          <t>C05</t>
        </is>
      </c>
      <c r="C86" s="5">
        <f>IF($B86="","",IFERROR(VLOOKUP($B86,'02_Конкуренты'!$A\$4:$B\$203,2,FALSE),"не найдено"))</f>
        <v/>
      </c>
      <c r="D86" s="2" t="inlineStr">
        <is>
          <t>Страницы сайта</t>
        </is>
      </c>
      <c r="E86" s="2" t="inlineStr">
        <is>
          <t>https://app.diagrams.net/</t>
        </is>
      </c>
      <c r="F86" s="2" t="inlineStr">
        <is>
          <t>Документация и руководства</t>
        </is>
      </c>
      <c r="G86" s="2" t="inlineStr">
        <is>
          <t>Признак найден на просмотренных страницах: документация и руководства</t>
        </is>
      </c>
      <c r="H86" s="2" t="inlineStr">
        <is>
          <t>отношения с клиентами</t>
        </is>
      </c>
      <c r="I86" s="2" t="n">
        <v>4</v>
      </c>
      <c r="J86" s="4" t="inlineStr">
        <is>
          <t>01.10.2026</t>
        </is>
      </c>
      <c r="K86" s="2" t="inlineStr">
        <is>
          <t>PlantUML Language Reference Guide; Mermaid User Guide; docs.mermaidchart.com; docs.eraser</t>
        </is>
      </c>
      <c r="L86" s="2" t="n"/>
    </row>
    <row r="87" ht="42.75" customHeight="1">
      <c r="A87" s="2" t="inlineStr">
        <is>
          <t>F084</t>
        </is>
      </c>
      <c r="B87" s="2" t="inlineStr">
        <is>
          <t>C05</t>
        </is>
      </c>
      <c r="C87" s="5">
        <f>IF($B87="","",IFERROR(VLOOKUP($B87,'02_Конкуренты'!$A\$4:$B\$203,2,FALSE),"не найдено"))</f>
        <v/>
      </c>
      <c r="D87" s="2" t="inlineStr">
        <is>
          <t>Страницы сайта</t>
        </is>
      </c>
      <c r="E87" s="2" t="inlineStr">
        <is>
          <t>https://app.diagrams.net/</t>
        </is>
      </c>
      <c r="F87" s="2" t="inlineStr">
        <is>
          <t>Диаграммы UML</t>
        </is>
      </c>
      <c r="G87" s="2" t="inlineStr">
        <is>
          <t>Признак найден на просмотренных страницах: диаграммы uml</t>
        </is>
      </c>
      <c r="H87" s="2" t="inlineStr">
        <is>
          <t>цифровой товар</t>
        </is>
      </c>
      <c r="I87" s="2" t="n">
        <v>4</v>
      </c>
      <c r="J87" s="4" t="inlineStr">
        <is>
          <t>01.10.2026</t>
        </is>
      </c>
      <c r="K87" s="2" t="inlineStr">
        <is>
          <t>Страницы class-diagram (PlantUML, Mermaid); UML в описании draw.io; UML-шаблоны Lucidchart</t>
        </is>
      </c>
      <c r="L87" s="2" t="n"/>
    </row>
    <row r="88" ht="42.75" customHeight="1">
      <c r="A88" s="2" t="inlineStr">
        <is>
          <t>F085</t>
        </is>
      </c>
      <c r="B88" s="2" t="inlineStr">
        <is>
          <t>C05</t>
        </is>
      </c>
      <c r="C88" s="5">
        <f>IF($B88="","",IFERROR(VLOOKUP($B88,'02_Конкуренты'!$A\$4:$B\$203,2,FALSE),"не найдено"))</f>
        <v/>
      </c>
      <c r="D88" s="2" t="inlineStr">
        <is>
          <t>Страницы сайта</t>
        </is>
      </c>
      <c r="E88" s="2" t="inlineStr">
        <is>
          <t>https://app.diagrams.net/</t>
        </is>
      </c>
      <c r="F88" s="2" t="inlineStr">
        <is>
          <t>Диаграммы ERD</t>
        </is>
      </c>
      <c r="G88" s="2" t="inlineStr">
        <is>
          <t>Признак найден на просмотренных страницах: диаграммы erd</t>
        </is>
      </c>
      <c r="H88" s="2" t="inlineStr">
        <is>
          <t>цифровой товар</t>
        </is>
      </c>
      <c r="I88" s="2" t="n">
        <v>4</v>
      </c>
      <c r="J88" s="4" t="inlineStr">
        <is>
          <t>01.10.2026</t>
        </is>
      </c>
      <c r="K88" s="2" t="inlineStr">
        <is>
          <t>Страницы entityRelationshipDiagram (Mermaid), ie-diagram (PlantUML); ER в описании draw.io</t>
        </is>
      </c>
      <c r="L88" s="2" t="n"/>
    </row>
    <row r="89" ht="42.75" customHeight="1">
      <c r="A89" s="2" t="inlineStr">
        <is>
          <t>F086</t>
        </is>
      </c>
      <c r="B89" s="2" t="inlineStr">
        <is>
          <t>C05</t>
        </is>
      </c>
      <c r="C89" s="5">
        <f>IF($B89="","",IFERROR(VLOOKUP($B89,'02_Конкуренты'!$A\$4:$B\$203,2,FALSE),"не найдено"))</f>
        <v/>
      </c>
      <c r="D89" s="2" t="inlineStr">
        <is>
          <t>Страницы сайта</t>
        </is>
      </c>
      <c r="E89" s="2" t="inlineStr">
        <is>
          <t>https://app.diagrams.net/</t>
        </is>
      </c>
      <c r="F89" s="2" t="inlineStr">
        <is>
          <t>Настольное приложение</t>
        </is>
      </c>
      <c r="G89" s="2" t="inlineStr">
        <is>
          <t>Признак найден на просмотренных страницах: настольное приложение</t>
        </is>
      </c>
      <c r="H89" s="2" t="inlineStr">
        <is>
          <t>цифровой товар</t>
        </is>
      </c>
      <c r="I89" s="2" t="n">
        <v>3</v>
      </c>
      <c r="J89" s="4" t="inlineStr">
        <is>
          <t>01.10.2026</t>
        </is>
      </c>
      <c r="K89" s="2" t="inlineStr">
        <is>
          <t>Загрузка PlantUML; drawio-desktop (GitHub); Desktop app в таблице тарифов Whimsical</t>
        </is>
      </c>
      <c r="L89" s="2" t="n"/>
    </row>
    <row r="90" ht="42.75" customHeight="1">
      <c r="A90" s="2" t="inlineStr">
        <is>
          <t>F087</t>
        </is>
      </c>
      <c r="B90" s="2" t="inlineStr">
        <is>
          <t>C06</t>
        </is>
      </c>
      <c r="C90" s="5">
        <f>IF($B90="","",IFERROR(VLOOKUP($B90,'02_Конкуренты'!$A\$4:$B\$203,2,FALSE),"не найдено"))</f>
        <v/>
      </c>
      <c r="D90" s="2" t="inlineStr">
        <is>
          <t>Главная страница</t>
        </is>
      </c>
      <c r="E90" s="2" t="inlineStr">
        <is>
          <t>https://www.lucidchart.com/</t>
        </is>
      </c>
      <c r="F90" s="2" t="inlineStr">
        <is>
          <t>Заголовок и описание</t>
        </is>
      </c>
      <c r="G90" s="2" t="inlineStr">
        <is>
          <t>Обещание: «Diagramming powered by intelligence»: диаграммы с ИИ, данными и автоматизацией</t>
        </is>
      </c>
      <c r="H90" s="2" t="inlineStr">
        <is>
          <t>ценностное предложение</t>
        </is>
      </c>
      <c r="I90" s="2" t="n">
        <v>4</v>
      </c>
      <c r="J90" s="4" t="inlineStr">
        <is>
          <t>01.10.2026</t>
        </is>
      </c>
      <c r="K90" s="2" t="inlineStr">
        <is>
          <t>главная страница, 01.10.2026</t>
        </is>
      </c>
      <c r="L90" s="2" t="n"/>
    </row>
    <row r="91" ht="28.5" customHeight="1">
      <c r="A91" s="2" t="inlineStr">
        <is>
          <t>F088</t>
        </is>
      </c>
      <c r="B91" s="2" t="inlineStr">
        <is>
          <t>C06</t>
        </is>
      </c>
      <c r="C91" s="5">
        <f>IF($B91="","",IFERROR(VLOOKUP($B91,'02_Конкуренты'!$A\$4:$B\$203,2,FALSE),"не найдено"))</f>
        <v/>
      </c>
      <c r="D91" s="2" t="inlineStr">
        <is>
          <t>Главная страница</t>
        </is>
      </c>
      <c r="E91" s="2" t="inlineStr">
        <is>
          <t>https://www.lucidchart.com/</t>
        </is>
      </c>
      <c r="F91" s="2" t="inlineStr">
        <is>
          <t>Состав товара</t>
        </is>
      </c>
      <c r="G91" s="2" t="inlineStr">
        <is>
          <t>Облачный редактор диаграмм с тарифами Free, Individual, Team, Enterprise</t>
        </is>
      </c>
      <c r="H91" s="2" t="inlineStr">
        <is>
          <t>цифровой товар</t>
        </is>
      </c>
      <c r="I91" s="2" t="n">
        <v>4</v>
      </c>
      <c r="J91" s="4" t="inlineStr">
        <is>
          <t>01.10.2026</t>
        </is>
      </c>
      <c r="K91" s="2" t="inlineStr">
        <is>
          <t>страницы сайта, ЛР4</t>
        </is>
      </c>
      <c r="L91" s="2" t="n"/>
    </row>
    <row r="92" ht="57" customHeight="1">
      <c r="A92" s="2" t="inlineStr">
        <is>
          <t>F089</t>
        </is>
      </c>
      <c r="B92" s="2" t="inlineStr">
        <is>
          <t>C06</t>
        </is>
      </c>
      <c r="C92" s="5">
        <f>IF($B92="","",IFERROR(VLOOKUP($B92,'02_Конкуренты'!$A\$4:$B\$203,2,FALSE),"не найдено"))</f>
        <v/>
      </c>
      <c r="D92" s="2" t="inlineStr">
        <is>
          <t>Тарифы</t>
        </is>
      </c>
      <c r="E92" s="2" t="inlineStr">
        <is>
          <t>https://lucid.app/pricing/lucidchart</t>
        </is>
      </c>
      <c r="F92" s="2" t="inlineStr">
        <is>
          <t>Тарифная таблица</t>
        </is>
      </c>
      <c r="G92" s="2" t="inlineStr">
        <is>
          <t>Free (3 документа, 75 фигур, 100 шаблонов); Individual 9 у.е.; Team 10 у.е. за пользователя в месяц при оплате за год; Enterprise по запросу; пробный период 7 дней</t>
        </is>
      </c>
      <c r="H92" s="2" t="inlineStr">
        <is>
          <t>потоки доходов</t>
        </is>
      </c>
      <c r="I92" s="2" t="n">
        <v>5</v>
      </c>
      <c r="J92" s="4" t="inlineStr">
        <is>
          <t>01.10.2026</t>
        </is>
      </c>
      <c r="K92" s="2" t="inlineStr">
        <is>
          <t>страница тарифов или лицензия</t>
        </is>
      </c>
      <c r="L92" s="2" t="n"/>
    </row>
    <row r="93" ht="71.25" customHeight="1">
      <c r="A93" s="2" t="inlineStr">
        <is>
          <t>F090</t>
        </is>
      </c>
      <c r="B93" s="2" t="inlineStr">
        <is>
          <t>C06</t>
        </is>
      </c>
      <c r="C93" s="5">
        <f>IF($B93="","",IFERROR(VLOOKUP($B93,'02_Конкуренты'!$A\$4:$B\$203,2,FALSE),"не найдено"))</f>
        <v/>
      </c>
      <c r="D93" s="2" t="inlineStr">
        <is>
          <t>Similarweb Pro</t>
        </is>
      </c>
      <c r="E93" s="2" t="inlineStr">
        <is>
          <t>https://www.lucidchart.com/</t>
        </is>
      </c>
      <c r="F93" s="2" t="inlineStr">
        <is>
          <t>Каналы</t>
        </is>
      </c>
      <c r="G93" s="2" t="inlineStr">
        <is>
          <t>прямые заходы 11,33 %; органический поиск 55,95 %; рефералы 2,71 %; соцсети органика 1,34 %; ИИ-ассистенты 2,10 %; e-mail 0,20 %; платный поиск 22,55 % (Similarweb Pro, Jun-Aug 2026, весь мир, снимок 30.09.2026)</t>
        </is>
      </c>
      <c r="H93" s="2" t="inlineStr">
        <is>
          <t>каналы</t>
        </is>
      </c>
      <c r="I93" s="2" t="n">
        <v>3</v>
      </c>
      <c r="J93" s="4" t="inlineStr">
        <is>
          <t>01.10.2026</t>
        </is>
      </c>
      <c r="K93" s="2" t="inlineStr">
        <is>
          <t>Similarweb Pro (ЛР4)</t>
        </is>
      </c>
      <c r="L93" s="2" t="n"/>
    </row>
    <row r="94" ht="42.75" customHeight="1">
      <c r="A94" s="2" t="inlineStr">
        <is>
          <t>F091</t>
        </is>
      </c>
      <c r="B94" s="2" t="inlineStr">
        <is>
          <t>C06</t>
        </is>
      </c>
      <c r="C94" s="5">
        <f>IF($B94="","",IFERROR(VLOOKUP($B94,'02_Конкуренты'!$A\$4:$B\$203,2,FALSE),"не найдено"))</f>
        <v/>
      </c>
      <c r="D94" s="2" t="inlineStr">
        <is>
          <t>Страницы сайта</t>
        </is>
      </c>
      <c r="E94" s="2" t="inlineStr">
        <is>
          <t>https://www.lucidchart.com/</t>
        </is>
      </c>
      <c r="F94" s="2" t="inlineStr">
        <is>
          <t>Описание диаграммы текстом (DSL)</t>
        </is>
      </c>
      <c r="G94" s="2" t="inlineStr">
        <is>
          <t>Признак найден на просмотренных страницах: описание диаграммы текстом (dsl)</t>
        </is>
      </c>
      <c r="H94" s="2" t="inlineStr">
        <is>
          <t>цифровой товар</t>
        </is>
      </c>
      <c r="I94" s="2" t="n">
        <v>4</v>
      </c>
      <c r="J94" s="4" t="inlineStr">
        <is>
          <t>01.10.2026</t>
        </is>
      </c>
      <c r="K94" s="2" t="inlineStr">
        <is>
          <t>Главные страницы PlantUML, Mermaid, Mermaid Chart; «Diagram-as-code» в тарифе Free Eraser;</t>
        </is>
      </c>
      <c r="L94" s="2" t="n"/>
    </row>
    <row r="95" ht="42.75" customHeight="1">
      <c r="A95" s="2" t="inlineStr">
        <is>
          <t>F092</t>
        </is>
      </c>
      <c r="B95" s="2" t="inlineStr">
        <is>
          <t>C06</t>
        </is>
      </c>
      <c r="C95" s="5">
        <f>IF($B95="","",IFERROR(VLOOKUP($B95,'02_Конкуренты'!$A\$4:$B\$203,2,FALSE),"не найдено"))</f>
        <v/>
      </c>
      <c r="D95" s="2" t="inlineStr">
        <is>
          <t>Страницы сайта</t>
        </is>
      </c>
      <c r="E95" s="2" t="inlineStr">
        <is>
          <t>https://lucid.app/pricing/lucidchart</t>
        </is>
      </c>
      <c r="F95" s="2" t="inlineStr">
        <is>
          <t>Корпоративный тариф (Enterprise или on-prem)</t>
        </is>
      </c>
      <c r="G95" s="2" t="inlineStr">
        <is>
          <t>Признак найден на просмотренных страницах: корпоративный тариф (enterprise или on-prem)</t>
        </is>
      </c>
      <c r="H95" s="2" t="inlineStr">
        <is>
          <t>потоки доходов</t>
        </is>
      </c>
      <c r="I95" s="2" t="n">
        <v>5</v>
      </c>
      <c r="J95" s="4" t="inlineStr">
        <is>
          <t>01.10.2026</t>
        </is>
      </c>
      <c r="K95" s="2" t="inlineStr">
        <is>
          <t>Enterprise по запросу на страницах тарифов; Storm: on-prem от 990 тыс. руб. в год</t>
        </is>
      </c>
      <c r="L95" s="2" t="n"/>
    </row>
    <row r="96" ht="42.75" customHeight="1">
      <c r="A96" s="2" t="inlineStr">
        <is>
          <t>F093</t>
        </is>
      </c>
      <c r="B96" s="2" t="inlineStr">
        <is>
          <t>C06</t>
        </is>
      </c>
      <c r="C96" s="5">
        <f>IF($B96="","",IFERROR(VLOOKUP($B96,'02_Конкуренты'!$A\$4:$B\$203,2,FALSE),"не найдено"))</f>
        <v/>
      </c>
      <c r="D96" s="2" t="inlineStr">
        <is>
          <t>Страницы сайта</t>
        </is>
      </c>
      <c r="E96" s="2" t="inlineStr">
        <is>
          <t>https://lucid.app/pricing/lucidchart</t>
        </is>
      </c>
      <c r="F96" s="2" t="inlineStr">
        <is>
          <t>Скидка или цена при годовой оплате</t>
        </is>
      </c>
      <c r="G96" s="2" t="inlineStr">
        <is>
          <t>Признак найден на просмотренных страницах: скидка или цена при годовой оплате</t>
        </is>
      </c>
      <c r="H96" s="2" t="inlineStr">
        <is>
          <t>потоки доходов</t>
        </is>
      </c>
      <c r="I96" s="2" t="n">
        <v>5</v>
      </c>
      <c r="J96" s="4" t="inlineStr">
        <is>
          <t>01.10.2026</t>
        </is>
      </c>
      <c r="K96" s="2" t="inlineStr">
        <is>
          <t>Цены «billed annually» (Mermaid Chart, Lucidchart, Eraser), скидка 20 % (Storm)</t>
        </is>
      </c>
      <c r="L96" s="2" t="n"/>
    </row>
    <row r="97" ht="28.5" customHeight="1">
      <c r="A97" s="2" t="inlineStr">
        <is>
          <t>F094</t>
        </is>
      </c>
      <c r="B97" s="2" t="inlineStr">
        <is>
          <t>C06</t>
        </is>
      </c>
      <c r="C97" s="5">
        <f>IF($B97="","",IFERROR(VLOOKUP($B97,'02_Конкуренты'!$A\$4:$B\$203,2,FALSE),"не найдено"))</f>
        <v/>
      </c>
      <c r="D97" s="2" t="inlineStr">
        <is>
          <t>Страницы сайта</t>
        </is>
      </c>
      <c r="E97" s="2" t="inlineStr">
        <is>
          <t>https://lucid.app/pricing/lucidchart</t>
        </is>
      </c>
      <c r="F97" s="2" t="inlineStr">
        <is>
          <t>Пробный период платного тарифа</t>
        </is>
      </c>
      <c r="G97" s="2" t="inlineStr">
        <is>
          <t>Пробный период 7 дней со всеми платными функциями, карта нужна при регистрации</t>
        </is>
      </c>
      <c r="H97" s="2" t="inlineStr">
        <is>
          <t>потоки доходов</t>
        </is>
      </c>
      <c r="I97" s="2" t="n">
        <v>5</v>
      </c>
      <c r="J97" s="4" t="inlineStr">
        <is>
          <t>01.10.2026</t>
        </is>
      </c>
      <c r="K97" s="2" t="inlineStr">
        <is>
          <t>FAQ Lucidchart: пробный период 7 дней</t>
        </is>
      </c>
      <c r="L97" s="2" t="n"/>
    </row>
    <row r="98" ht="42.75" customHeight="1">
      <c r="A98" s="2" t="inlineStr">
        <is>
          <t>F095</t>
        </is>
      </c>
      <c r="B98" s="2" t="inlineStr">
        <is>
          <t>C06</t>
        </is>
      </c>
      <c r="C98" s="5">
        <f>IF($B98="","",IFERROR(VLOOKUP($B98,'02_Конкуренты'!$A\$4:$B\$203,2,FALSE),"не найдено"))</f>
        <v/>
      </c>
      <c r="D98" s="2" t="inlineStr">
        <is>
          <t>Страницы сайта</t>
        </is>
      </c>
      <c r="E98" s="2" t="inlineStr">
        <is>
          <t>https://www.lucidchart.com/</t>
        </is>
      </c>
      <c r="F98" s="2" t="inlineStr">
        <is>
          <t>ИИ-генерация или ИИ-помощник</t>
        </is>
      </c>
      <c r="G98" s="2" t="inlineStr">
        <is>
          <t>Признак найден на просмотренных страницах: ии-генерация или ии-помощник</t>
        </is>
      </c>
      <c r="H98" s="2" t="inlineStr">
        <is>
          <t>цифровой товар</t>
        </is>
      </c>
      <c r="I98" s="2" t="n">
        <v>4</v>
      </c>
      <c r="J98" s="4" t="inlineStr">
        <is>
          <t>01.10.2026</t>
        </is>
      </c>
      <c r="K98" s="2" t="inlineStr">
        <is>
          <t>ИИ-кредиты (Mermaid Chart); ИИ-ассистент (Storm); Lucid AI; Eraser AI; ИИ в Whimsical</t>
        </is>
      </c>
      <c r="L98" s="2" t="n"/>
    </row>
    <row r="99" ht="28.5" customHeight="1">
      <c r="A99" s="2" t="inlineStr">
        <is>
          <t>F096</t>
        </is>
      </c>
      <c r="B99" s="2" t="inlineStr">
        <is>
          <t>C06</t>
        </is>
      </c>
      <c r="C99" s="5">
        <f>IF($B99="","",IFERROR(VLOOKUP($B99,'02_Конкуренты'!$A\$4:$B\$203,2,FALSE),"не найдено"))</f>
        <v/>
      </c>
      <c r="D99" s="2" t="inlineStr">
        <is>
          <t>Страницы сайта</t>
        </is>
      </c>
      <c r="E99" s="2" t="inlineStr">
        <is>
          <t>https://www.lucidchart.com/</t>
        </is>
      </c>
      <c r="F99" s="2" t="inlineStr">
        <is>
          <t>Интеграции с другими сервисами</t>
        </is>
      </c>
      <c r="G99" s="2" t="inlineStr">
        <is>
          <t>Признак найден на просмотренных страницах: интеграции с другими сервисами</t>
        </is>
      </c>
      <c r="H99" s="2" t="inlineStr">
        <is>
          <t>ключевые партнеры</t>
        </is>
      </c>
      <c r="I99" s="2" t="n">
        <v>3</v>
      </c>
      <c r="J99" s="4" t="inlineStr">
        <is>
          <t>01.10.2026</t>
        </is>
      </c>
      <c r="K99" s="2" t="inlineStr">
        <is>
          <t>Разделы и упоминания интеграций на страницах 8 из 8 конкурентов</t>
        </is>
      </c>
      <c r="L99" s="2" t="n"/>
    </row>
    <row r="100" ht="42.75" customHeight="1">
      <c r="A100" s="2" t="inlineStr">
        <is>
          <t>F097</t>
        </is>
      </c>
      <c r="B100" s="2" t="inlineStr">
        <is>
          <t>C06</t>
        </is>
      </c>
      <c r="C100" s="5">
        <f>IF($B100="","",IFERROR(VLOOKUP($B100,'02_Конкуренты'!$A\$4:$B\$203,2,FALSE),"не найдено"))</f>
        <v/>
      </c>
      <c r="D100" s="2" t="inlineStr">
        <is>
          <t>Страницы сайта</t>
        </is>
      </c>
      <c r="E100" s="2" t="inlineStr">
        <is>
          <t>https://www.lucidchart.com/</t>
        </is>
      </c>
      <c r="F100" s="2" t="inlineStr">
        <is>
          <t>API или платформа разработчика</t>
        </is>
      </c>
      <c r="G100" s="2" t="inlineStr">
        <is>
          <t>Признак найден на просмотренных страницах: api или платформа разработчика</t>
        </is>
      </c>
      <c r="H100" s="2" t="inlineStr">
        <is>
          <t>цифровой товар</t>
        </is>
      </c>
      <c r="I100" s="2" t="n">
        <v>4</v>
      </c>
      <c r="J100" s="4" t="inlineStr">
        <is>
          <t>01.10.2026</t>
        </is>
      </c>
      <c r="K100" s="2" t="inlineStr">
        <is>
          <t>API Mermaid; пункт API в меню Mermaid Chart; API в Enterprise Storm; Developer platform Lu</t>
        </is>
      </c>
      <c r="L100" s="2" t="n"/>
    </row>
    <row r="101" ht="42.75" customHeight="1">
      <c r="A101" s="2" t="inlineStr">
        <is>
          <t>F098</t>
        </is>
      </c>
      <c r="B101" s="2" t="inlineStr">
        <is>
          <t>C06</t>
        </is>
      </c>
      <c r="C101" s="5">
        <f>IF($B101="","",IFERROR(VLOOKUP($B101,'02_Конкуренты'!$A\$4:$B\$203,2,FALSE),"не найдено"))</f>
        <v/>
      </c>
      <c r="D101" s="2" t="inlineStr">
        <is>
          <t>Страницы сайта</t>
        </is>
      </c>
      <c r="E101" s="2" t="inlineStr">
        <is>
          <t>https://www.lucidchart.com/</t>
        </is>
      </c>
      <c r="F101" s="2" t="inlineStr">
        <is>
          <t>Данные о числе пользователей или клиентов на сайте</t>
        </is>
      </c>
      <c r="G101" s="2" t="inlineStr">
        <is>
          <t>«trusted partner of 99% of the Fortune 500»</t>
        </is>
      </c>
      <c r="H101" s="2" t="inlineStr">
        <is>
          <t>отношения с клиентами</t>
        </is>
      </c>
      <c r="I101" s="2" t="n">
        <v>3</v>
      </c>
      <c r="J101" s="4" t="inlineStr">
        <is>
          <t>01.10.2026</t>
        </is>
      </c>
      <c r="K101" s="2" t="inlineStr">
        <is>
          <t>5M человек и 200k компаний (Mermaid Chart); более 1 000 клиентов (Storm); 100M+ пользовате</t>
        </is>
      </c>
      <c r="L101" s="2" t="n"/>
    </row>
    <row r="102" ht="42.75" customHeight="1">
      <c r="A102" s="2" t="inlineStr">
        <is>
          <t>F099</t>
        </is>
      </c>
      <c r="B102" s="2" t="inlineStr">
        <is>
          <t>C06</t>
        </is>
      </c>
      <c r="C102" s="5">
        <f>IF($B102="","",IFERROR(VLOOKUP($B102,'02_Конкуренты'!$A\$4:$B\$203,2,FALSE),"не найдено"))</f>
        <v/>
      </c>
      <c r="D102" s="2" t="inlineStr">
        <is>
          <t>Страницы сайта</t>
        </is>
      </c>
      <c r="E102" s="2" t="inlineStr">
        <is>
          <t>https://www.lucidchart.com/</t>
        </is>
      </c>
      <c r="F102" s="2" t="inlineStr">
        <is>
          <t>Раздел или упоминание о безопасности и приватности</t>
        </is>
      </c>
      <c r="G102" s="2" t="inlineStr">
        <is>
          <t>Признак найден на просмотренных страницах: раздел или упоминание о безопасности и приватности</t>
        </is>
      </c>
      <c r="H102" s="2" t="inlineStr">
        <is>
          <t>ценностное предложение</t>
        </is>
      </c>
      <c r="I102" s="2" t="n">
        <v>3</v>
      </c>
      <c r="J102" s="4" t="inlineStr">
        <is>
          <t>01.10.2026</t>
        </is>
      </c>
      <c r="K102" s="2" t="inlineStr">
        <is>
          <t>Страница Security (Whimsical); раздел безопасности (Lucidchart, Eraser); privacy-first (dr</t>
        </is>
      </c>
      <c r="L102" s="2" t="n"/>
    </row>
    <row r="103">
      <c r="A103" s="2" t="inlineStr">
        <is>
          <t>F100</t>
        </is>
      </c>
      <c r="B103" s="2" t="inlineStr">
        <is>
          <t>C06</t>
        </is>
      </c>
      <c r="C103" s="5">
        <f>IF($B103="","",IFERROR(VLOOKUP($B103,'02_Конкуренты'!$A\$4:$B\$203,2,FALSE),"не найдено"))</f>
        <v/>
      </c>
      <c r="D103" s="2" t="inlineStr">
        <is>
          <t>Страницы сайта</t>
        </is>
      </c>
      <c r="E103" s="2" t="inlineStr">
        <is>
          <t>https://lucid.app/pricing/lucidchart</t>
        </is>
      </c>
      <c r="F103" s="2" t="inlineStr">
        <is>
          <t>Единый вход SSO или SAML</t>
        </is>
      </c>
      <c r="G103" s="2" t="inlineStr">
        <is>
          <t>SAML authentication в тарифе Enterprise</t>
        </is>
      </c>
      <c r="H103" s="2" t="inlineStr">
        <is>
          <t>потоки доходов</t>
        </is>
      </c>
      <c r="I103" s="2" t="n">
        <v>5</v>
      </c>
      <c r="J103" s="4" t="inlineStr">
        <is>
          <t>01.10.2026</t>
        </is>
      </c>
      <c r="K103" s="2" t="inlineStr">
        <is>
          <t>SSO или SAML в старших тарифах</t>
        </is>
      </c>
      <c r="L103" s="2" t="n"/>
    </row>
    <row r="104" ht="28.5" customHeight="1">
      <c r="A104" s="2" t="inlineStr">
        <is>
          <t>F101</t>
        </is>
      </c>
      <c r="B104" s="2" t="inlineStr">
        <is>
          <t>C06</t>
        </is>
      </c>
      <c r="C104" s="5">
        <f>IF($B104="","",IFERROR(VLOOKUP($B104,'02_Конкуренты'!$A\$4:$B\$203,2,FALSE),"не найдено"))</f>
        <v/>
      </c>
      <c r="D104" s="2" t="inlineStr">
        <is>
          <t>Страницы сайта</t>
        </is>
      </c>
      <c r="E104" s="2" t="inlineStr">
        <is>
          <t>https://www.lucidchart.com/</t>
        </is>
      </c>
      <c r="F104" s="2" t="inlineStr">
        <is>
          <t>Вход и личный кабинет</t>
        </is>
      </c>
      <c r="G104" s="2" t="inlineStr">
        <is>
          <t>Признак найден на просмотренных страницах: вход и личный кабинет</t>
        </is>
      </c>
      <c r="H104" s="2" t="inlineStr">
        <is>
          <t>каналы</t>
        </is>
      </c>
      <c r="I104" s="2" t="n">
        <v>3</v>
      </c>
      <c r="J104" s="4" t="inlineStr">
        <is>
          <t>01.10.2026</t>
        </is>
      </c>
      <c r="K104" s="2" t="inlineStr">
        <is>
          <t>Ссылки на вход на главных страницах</t>
        </is>
      </c>
      <c r="L104" s="2" t="n"/>
    </row>
    <row r="105" ht="42.75" customHeight="1">
      <c r="A105" s="2" t="inlineStr">
        <is>
          <t>F102</t>
        </is>
      </c>
      <c r="B105" s="2" t="inlineStr">
        <is>
          <t>C06</t>
        </is>
      </c>
      <c r="C105" s="5">
        <f>IF($B105="","",IFERROR(VLOOKUP($B105,'02_Конкуренты'!$A\$4:$B\$203,2,FALSE),"не найдено"))</f>
        <v/>
      </c>
      <c r="D105" s="2" t="inlineStr">
        <is>
          <t>Страницы сайта</t>
        </is>
      </c>
      <c r="E105" s="2" t="inlineStr">
        <is>
          <t>https://www.lucidchart.com/</t>
        </is>
      </c>
      <c r="F105" s="2" t="inlineStr">
        <is>
          <t>Шаблоны диаграмм</t>
        </is>
      </c>
      <c r="G105" s="2" t="inlineStr">
        <is>
          <t>100 шаблонов в Free; более 1 000 премиум-шаблонов в платных тарифах</t>
        </is>
      </c>
      <c r="H105" s="2" t="inlineStr">
        <is>
          <t>цифровой товар</t>
        </is>
      </c>
      <c r="I105" s="2" t="n">
        <v>4</v>
      </c>
      <c r="J105" s="4" t="inlineStr">
        <is>
          <t>01.10.2026</t>
        </is>
      </c>
      <c r="K105" s="2" t="inlineStr">
        <is>
          <t>100 шаблонов в Free и более 1 000 в платных тарифах (Lucidchart); раздел шаблонов Eraser и</t>
        </is>
      </c>
      <c r="L105" s="2" t="n"/>
    </row>
    <row r="106" ht="42.75" customHeight="1">
      <c r="A106" s="2" t="inlineStr">
        <is>
          <t>F103</t>
        </is>
      </c>
      <c r="B106" s="2" t="inlineStr">
        <is>
          <t>C06</t>
        </is>
      </c>
      <c r="C106" s="5">
        <f>IF($B106="","",IFERROR(VLOOKUP($B106,'02_Конкуренты'!$A\$4:$B\$203,2,FALSE),"не найдено"))</f>
        <v/>
      </c>
      <c r="D106" s="2" t="inlineStr">
        <is>
          <t>Страницы сайта</t>
        </is>
      </c>
      <c r="E106" s="2" t="inlineStr">
        <is>
          <t>https://www.lucidchart.com/</t>
        </is>
      </c>
      <c r="F106" s="2" t="inlineStr">
        <is>
          <t>Совместная работа в реальном времени</t>
        </is>
      </c>
      <c r="G106" s="2" t="inlineStr">
        <is>
          <t>Признак найден на просмотренных страницах: совместная работа в реальном времени</t>
        </is>
      </c>
      <c r="H106" s="2" t="inlineStr">
        <is>
          <t>цифровой товар</t>
        </is>
      </c>
      <c r="I106" s="2" t="n">
        <v>4</v>
      </c>
      <c r="J106" s="4" t="inlineStr">
        <is>
          <t>01.10.2026</t>
        </is>
      </c>
      <c r="K106" s="2" t="inlineStr">
        <is>
          <t>Real-time collaboration (draw.io, Lucidchart, Whimsical); совместное редактирование в брау</t>
        </is>
      </c>
      <c r="L106" s="2" t="n"/>
    </row>
    <row r="107" ht="42.75" customHeight="1">
      <c r="A107" s="2" t="inlineStr">
        <is>
          <t>F104</t>
        </is>
      </c>
      <c r="B107" s="2" t="inlineStr">
        <is>
          <t>C06</t>
        </is>
      </c>
      <c r="C107" s="5">
        <f>IF($B107="","",IFERROR(VLOOKUP($B107,'02_Конкуренты'!$A\$4:$B\$203,2,FALSE),"не найдено"))</f>
        <v/>
      </c>
      <c r="D107" s="2" t="inlineStr">
        <is>
          <t>Страницы сайта</t>
        </is>
      </c>
      <c r="E107" s="2" t="inlineStr">
        <is>
          <t>https://www.lucidchart.com/</t>
        </is>
      </c>
      <c r="F107" s="2" t="inlineStr">
        <is>
          <t>Экспорт диаграмм (PNG, SVG, PDF и др.)</t>
        </is>
      </c>
      <c r="G107" s="2" t="inlineStr">
        <is>
          <t>Признак найден на просмотренных страницах: экспорт диаграмм (png, svg, pdf и др.)</t>
        </is>
      </c>
      <c r="H107" s="2" t="inlineStr">
        <is>
          <t>цифровой товар</t>
        </is>
      </c>
      <c r="I107" s="2" t="n">
        <v>4</v>
      </c>
      <c r="J107" s="4" t="inlineStr">
        <is>
          <t>01.10.2026</t>
        </is>
      </c>
      <c r="K107" s="2" t="inlineStr">
        <is>
          <t>Экспорт упомянут на страницах 8 из 8 конкурентов (PNG, SVG, PDF, DOCX у Storm, Visio у Luc</t>
        </is>
      </c>
      <c r="L107" s="2" t="n"/>
    </row>
    <row r="108" ht="42.75" customHeight="1">
      <c r="A108" s="2" t="inlineStr">
        <is>
          <t>F105</t>
        </is>
      </c>
      <c r="B108" s="2" t="inlineStr">
        <is>
          <t>C06</t>
        </is>
      </c>
      <c r="C108" s="5">
        <f>IF($B108="","",IFERROR(VLOOKUP($B108,'02_Конкуренты'!$A\$4:$B\$203,2,FALSE),"не найдено"))</f>
        <v/>
      </c>
      <c r="D108" s="2" t="inlineStr">
        <is>
          <t>Страницы сайта</t>
        </is>
      </c>
      <c r="E108" s="2" t="inlineStr">
        <is>
          <t>https://www.lucidchart.com/</t>
        </is>
      </c>
      <c r="F108" s="2" t="inlineStr">
        <is>
          <t>История версий</t>
        </is>
      </c>
      <c r="G108" s="2" t="inlineStr">
        <is>
          <t>Признак найден на просмотренных страницах: история версий</t>
        </is>
      </c>
      <c r="H108" s="2" t="inlineStr">
        <is>
          <t>цифровой товар</t>
        </is>
      </c>
      <c r="I108" s="2" t="n">
        <v>4</v>
      </c>
      <c r="J108" s="4" t="inlineStr">
        <is>
          <t>01.10.2026</t>
        </is>
      </c>
      <c r="K108" s="2" t="inlineStr">
        <is>
          <t>7 и 90 дней (Eraser, Whimsical); Revision history (Lucidchart Team); версионирование (меню</t>
        </is>
      </c>
      <c r="L108" s="2" t="n"/>
    </row>
    <row r="109" ht="42.75" customHeight="1">
      <c r="A109" s="2" t="inlineStr">
        <is>
          <t>F106</t>
        </is>
      </c>
      <c r="B109" s="2" t="inlineStr">
        <is>
          <t>C06</t>
        </is>
      </c>
      <c r="C109" s="5">
        <f>IF($B109="","",IFERROR(VLOOKUP($B109,'02_Конкуренты'!$A\$4:$B\$203,2,FALSE),"не найдено"))</f>
        <v/>
      </c>
      <c r="D109" s="2" t="inlineStr">
        <is>
          <t>Страницы сайта</t>
        </is>
      </c>
      <c r="E109" s="2" t="inlineStr">
        <is>
          <t>https://www.lucidchart.com/</t>
        </is>
      </c>
      <c r="F109" s="2" t="inlineStr">
        <is>
          <t>Документация и руководства</t>
        </is>
      </c>
      <c r="G109" s="2" t="inlineStr">
        <is>
          <t>Признак найден на просмотренных страницах: документация и руководства</t>
        </is>
      </c>
      <c r="H109" s="2" t="inlineStr">
        <is>
          <t>отношения с клиентами</t>
        </is>
      </c>
      <c r="I109" s="2" t="n">
        <v>4</v>
      </c>
      <c r="J109" s="4" t="inlineStr">
        <is>
          <t>01.10.2026</t>
        </is>
      </c>
      <c r="K109" s="2" t="inlineStr">
        <is>
          <t>PlantUML Language Reference Guide; Mermaid User Guide; docs.mermaidchart.com; docs.eraser</t>
        </is>
      </c>
      <c r="L109" s="2" t="n"/>
    </row>
    <row r="110" ht="42.75" customHeight="1">
      <c r="A110" s="2" t="inlineStr">
        <is>
          <t>F107</t>
        </is>
      </c>
      <c r="B110" s="2" t="inlineStr">
        <is>
          <t>C06</t>
        </is>
      </c>
      <c r="C110" s="5">
        <f>IF($B110="","",IFERROR(VLOOKUP($B110,'02_Конкуренты'!$A\$4:$B\$203,2,FALSE),"не найдено"))</f>
        <v/>
      </c>
      <c r="D110" s="2" t="inlineStr">
        <is>
          <t>Страницы сайта</t>
        </is>
      </c>
      <c r="E110" s="2" t="inlineStr">
        <is>
          <t>https://www.lucidchart.com/</t>
        </is>
      </c>
      <c r="F110" s="2" t="inlineStr">
        <is>
          <t>Диаграммы UML</t>
        </is>
      </c>
      <c r="G110" s="2" t="inlineStr">
        <is>
          <t>Признак найден на просмотренных страницах: диаграммы uml</t>
        </is>
      </c>
      <c r="H110" s="2" t="inlineStr">
        <is>
          <t>цифровой товар</t>
        </is>
      </c>
      <c r="I110" s="2" t="n">
        <v>4</v>
      </c>
      <c r="J110" s="4" t="inlineStr">
        <is>
          <t>01.10.2026</t>
        </is>
      </c>
      <c r="K110" s="2" t="inlineStr">
        <is>
          <t>Страницы class-diagram (PlantUML, Mermaid); UML в описании draw.io; UML-шаблоны Lucidchart</t>
        </is>
      </c>
      <c r="L110" s="2" t="n"/>
    </row>
    <row r="111" ht="42.75" customHeight="1">
      <c r="A111" s="2" t="inlineStr">
        <is>
          <t>F108</t>
        </is>
      </c>
      <c r="B111" s="2" t="inlineStr">
        <is>
          <t>C06</t>
        </is>
      </c>
      <c r="C111" s="5">
        <f>IF($B111="","",IFERROR(VLOOKUP($B111,'02_Конкуренты'!$A\$4:$B\$203,2,FALSE),"не найдено"))</f>
        <v/>
      </c>
      <c r="D111" s="2" t="inlineStr">
        <is>
          <t>Страницы сайта</t>
        </is>
      </c>
      <c r="E111" s="2" t="inlineStr">
        <is>
          <t>https://www.lucidchart.com/</t>
        </is>
      </c>
      <c r="F111" s="2" t="inlineStr">
        <is>
          <t>Диаграммы BPMN</t>
        </is>
      </c>
      <c r="G111" s="2" t="inlineStr">
        <is>
          <t>Признак найден на просмотренных страницах: диаграммы bpmn</t>
        </is>
      </c>
      <c r="H111" s="2" t="inlineStr">
        <is>
          <t>цифровой товар</t>
        </is>
      </c>
      <c r="I111" s="2" t="n">
        <v>4</v>
      </c>
      <c r="J111" s="4" t="inlineStr">
        <is>
          <t>01.10.2026</t>
        </is>
      </c>
      <c r="K111" s="2" t="inlineStr">
        <is>
          <t>Редактор BPMN 2.0 (Storm); BPMN-шаблон (Lucidchart); упоминание BPMN на сайте Eraser</t>
        </is>
      </c>
      <c r="L111" s="2" t="n"/>
    </row>
    <row r="112" ht="42.75" customHeight="1">
      <c r="A112" s="2" t="inlineStr">
        <is>
          <t>F109</t>
        </is>
      </c>
      <c r="B112" s="2" t="inlineStr">
        <is>
          <t>C06</t>
        </is>
      </c>
      <c r="C112" s="5">
        <f>IF($B112="","",IFERROR(VLOOKUP($B112,'02_Конкуренты'!$A\$4:$B\$203,2,FALSE),"не найдено"))</f>
        <v/>
      </c>
      <c r="D112" s="2" t="inlineStr">
        <is>
          <t>Страницы сайта</t>
        </is>
      </c>
      <c r="E112" s="2" t="inlineStr">
        <is>
          <t>https://www.lucidchart.com/</t>
        </is>
      </c>
      <c r="F112" s="2" t="inlineStr">
        <is>
          <t>Диаграммы ERD</t>
        </is>
      </c>
      <c r="G112" s="2" t="inlineStr">
        <is>
          <t>Признак найден на просмотренных страницах: диаграммы erd</t>
        </is>
      </c>
      <c r="H112" s="2" t="inlineStr">
        <is>
          <t>цифровой товар</t>
        </is>
      </c>
      <c r="I112" s="2" t="n">
        <v>4</v>
      </c>
      <c r="J112" s="4" t="inlineStr">
        <is>
          <t>01.10.2026</t>
        </is>
      </c>
      <c r="K112" s="2" t="inlineStr">
        <is>
          <t>Страницы entityRelationshipDiagram (Mermaid), ie-diagram (PlantUML); ER в описании draw.io</t>
        </is>
      </c>
      <c r="L112" s="2" t="n"/>
    </row>
    <row r="113" ht="42.75" customHeight="1">
      <c r="A113" s="2" t="inlineStr">
        <is>
          <t>F110</t>
        </is>
      </c>
      <c r="B113" s="2" t="inlineStr">
        <is>
          <t>C06</t>
        </is>
      </c>
      <c r="C113" s="5">
        <f>IF($B113="","",IFERROR(VLOOKUP($B113,'02_Конкуренты'!$A\$4:$B\$203,2,FALSE),"не найдено"))</f>
        <v/>
      </c>
      <c r="D113" s="2" t="inlineStr">
        <is>
          <t>Страницы сайта</t>
        </is>
      </c>
      <c r="E113" s="2" t="inlineStr">
        <is>
          <t>https://www.lucidchart.com/</t>
        </is>
      </c>
      <c r="F113" s="2" t="inlineStr">
        <is>
          <t>Признаки развития (ИИ-помощник, MCP, новые функции)</t>
        </is>
      </c>
      <c r="G113" s="2" t="inlineStr">
        <is>
          <t>Признак найден на просмотренных страницах: признаки развития (ии-помощник, mcp, новые функции)</t>
        </is>
      </c>
      <c r="H113" s="2" t="inlineStr">
        <is>
          <t>масштабирование</t>
        </is>
      </c>
      <c r="I113" s="2" t="n">
        <v>3</v>
      </c>
      <c r="J113" s="4" t="inlineStr">
        <is>
          <t>01.10.2026</t>
        </is>
      </c>
      <c r="K113" s="2" t="inlineStr">
        <is>
          <t>MCP-интеграция (Storm); метки NEW: Lucid AI, Developer platform (Lucidchart); ИИ-кредиты (</t>
        </is>
      </c>
      <c r="L113" s="2" t="n"/>
    </row>
    <row r="114" ht="28.5" customHeight="1">
      <c r="A114" s="2" t="inlineStr">
        <is>
          <t>F111</t>
        </is>
      </c>
      <c r="B114" s="2" t="inlineStr">
        <is>
          <t>C07</t>
        </is>
      </c>
      <c r="C114" s="5">
        <f>IF($B114="","",IFERROR(VLOOKUP($B114,'02_Конкуренты'!$A\$4:$B\$203,2,FALSE),"не найдено"))</f>
        <v/>
      </c>
      <c r="D114" s="2" t="inlineStr">
        <is>
          <t>Главная страница</t>
        </is>
      </c>
      <c r="E114" s="2" t="inlineStr">
        <is>
          <t>https://www.eraser.io/</t>
        </is>
      </c>
      <c r="F114" s="2" t="inlineStr">
        <is>
          <t>Заголовок и описание</t>
        </is>
      </c>
      <c r="G114" s="2" t="inlineStr">
        <is>
          <t>Обещание: «AI for diagrams that matter»; «Create technical diagrams using AI»</t>
        </is>
      </c>
      <c r="H114" s="2" t="inlineStr">
        <is>
          <t>ценностное предложение</t>
        </is>
      </c>
      <c r="I114" s="2" t="n">
        <v>4</v>
      </c>
      <c r="J114" s="4" t="inlineStr">
        <is>
          <t>01.10.2026</t>
        </is>
      </c>
      <c r="K114" s="2" t="inlineStr">
        <is>
          <t>главная страница, 01.10.2026</t>
        </is>
      </c>
      <c r="L114" s="2" t="n"/>
    </row>
    <row r="115" ht="28.5" customHeight="1">
      <c r="A115" s="2" t="inlineStr">
        <is>
          <t>F112</t>
        </is>
      </c>
      <c r="B115" s="2" t="inlineStr">
        <is>
          <t>C07</t>
        </is>
      </c>
      <c r="C115" s="5">
        <f>IF($B115="","",IFERROR(VLOOKUP($B115,'02_Конкуренты'!$A\$4:$B\$203,2,FALSE),"не найдено"))</f>
        <v/>
      </c>
      <c r="D115" s="2" t="inlineStr">
        <is>
          <t>Главная страница</t>
        </is>
      </c>
      <c r="E115" s="2" t="inlineStr">
        <is>
          <t>https://www.eraser.io/</t>
        </is>
      </c>
      <c r="F115" s="2" t="inlineStr">
        <is>
          <t>Состав товара</t>
        </is>
      </c>
      <c r="G115" s="2" t="inlineStr">
        <is>
          <t>Создание технических диаграмм с помощью ИИ</t>
        </is>
      </c>
      <c r="H115" s="2" t="inlineStr">
        <is>
          <t>цифровой товар</t>
        </is>
      </c>
      <c r="I115" s="2" t="n">
        <v>4</v>
      </c>
      <c r="J115" s="4" t="inlineStr">
        <is>
          <t>01.10.2026</t>
        </is>
      </c>
      <c r="K115" s="2" t="inlineStr">
        <is>
          <t>страницы сайта, ЛР4</t>
        </is>
      </c>
      <c r="L115" s="2" t="n"/>
    </row>
    <row r="116" ht="71.25" customHeight="1">
      <c r="A116" s="2" t="inlineStr">
        <is>
          <t>F113</t>
        </is>
      </c>
      <c r="B116" s="2" t="inlineStr">
        <is>
          <t>C07</t>
        </is>
      </c>
      <c r="C116" s="5">
        <f>IF($B116="","",IFERROR(VLOOKUP($B116,'02_Конкуренты'!$A\$4:$B\$203,2,FALSE),"не найдено"))</f>
        <v/>
      </c>
      <c r="D116" s="2" t="inlineStr">
        <is>
          <t>Тарифы</t>
        </is>
      </c>
      <c r="E116" s="2" t="inlineStr">
        <is>
          <t>https://www.eraser.io/pricing</t>
        </is>
      </c>
      <c r="F116" s="2" t="inlineStr">
        <is>
          <t>Тарифная таблица</t>
        </is>
      </c>
      <c r="G116" s="2" t="inlineStr">
        <is>
          <t>Free (0 у.е.; 3 файла, 3 ИИ-диаграммы); Starter 15 у.е. (20 у.е. при помесячной оплате); Business 45 у.е. (60 у.е.); Enterprise по запросу; цены за участника в месяц (страница тарифов, 01.10.2026)</t>
        </is>
      </c>
      <c r="H116" s="2" t="inlineStr">
        <is>
          <t>потоки доходов</t>
        </is>
      </c>
      <c r="I116" s="2" t="n">
        <v>5</v>
      </c>
      <c r="J116" s="4" t="inlineStr">
        <is>
          <t>01.10.2026</t>
        </is>
      </c>
      <c r="K116" s="2" t="inlineStr">
        <is>
          <t>страница тарифов или лицензия</t>
        </is>
      </c>
      <c r="L116" s="2" t="n"/>
    </row>
    <row r="117" ht="42.75" customHeight="1">
      <c r="A117" s="2" t="inlineStr">
        <is>
          <t>F114</t>
        </is>
      </c>
      <c r="B117" s="2" t="inlineStr">
        <is>
          <t>C07</t>
        </is>
      </c>
      <c r="C117" s="5">
        <f>IF($B117="","",IFERROR(VLOOKUP($B117,'02_Конкуренты'!$A\$4:$B\$203,2,FALSE),"не найдено"))</f>
        <v/>
      </c>
      <c r="D117" s="2" t="inlineStr">
        <is>
          <t>Страницы сайта</t>
        </is>
      </c>
      <c r="E117" s="2" t="inlineStr">
        <is>
          <t>https://www.eraser.io/</t>
        </is>
      </c>
      <c r="F117" s="2" t="inlineStr">
        <is>
          <t>Описание диаграммы текстом (DSL)</t>
        </is>
      </c>
      <c r="G117" s="2" t="inlineStr">
        <is>
          <t>Признак найден на просмотренных страницах: описание диаграммы текстом (dsl)</t>
        </is>
      </c>
      <c r="H117" s="2" t="inlineStr">
        <is>
          <t>цифровой товар</t>
        </is>
      </c>
      <c r="I117" s="2" t="n">
        <v>4</v>
      </c>
      <c r="J117" s="4" t="inlineStr">
        <is>
          <t>01.10.2026</t>
        </is>
      </c>
      <c r="K117" s="2" t="inlineStr">
        <is>
          <t>Главные страницы PlantUML, Mermaid, Mermaid Chart; «Diagram-as-code» в тарифе Free Eraser;</t>
        </is>
      </c>
      <c r="L117" s="2" t="n"/>
    </row>
    <row r="118" ht="42.75" customHeight="1">
      <c r="A118" s="2" t="inlineStr">
        <is>
          <t>F115</t>
        </is>
      </c>
      <c r="B118" s="2" t="inlineStr">
        <is>
          <t>C07</t>
        </is>
      </c>
      <c r="C118" s="5">
        <f>IF($B118="","",IFERROR(VLOOKUP($B118,'02_Конкуренты'!$A\$4:$B\$203,2,FALSE),"не найдено"))</f>
        <v/>
      </c>
      <c r="D118" s="2" t="inlineStr">
        <is>
          <t>Страницы сайта</t>
        </is>
      </c>
      <c r="E118" s="2" t="inlineStr">
        <is>
          <t>https://www.eraser.io/pricing</t>
        </is>
      </c>
      <c r="F118" s="2" t="inlineStr">
        <is>
          <t>Корпоративный тариф (Enterprise или on-prem)</t>
        </is>
      </c>
      <c r="G118" s="2" t="inlineStr">
        <is>
          <t>Признак найден на просмотренных страницах: корпоративный тариф (enterprise или on-prem)</t>
        </is>
      </c>
      <c r="H118" s="2" t="inlineStr">
        <is>
          <t>потоки доходов</t>
        </is>
      </c>
      <c r="I118" s="2" t="n">
        <v>5</v>
      </c>
      <c r="J118" s="4" t="inlineStr">
        <is>
          <t>01.10.2026</t>
        </is>
      </c>
      <c r="K118" s="2" t="inlineStr">
        <is>
          <t>Enterprise по запросу на страницах тарифов; Storm: on-prem от 990 тыс. руб. в год</t>
        </is>
      </c>
      <c r="L118" s="2" t="n"/>
    </row>
    <row r="119" ht="42.75" customHeight="1">
      <c r="A119" s="2" t="inlineStr">
        <is>
          <t>F116</t>
        </is>
      </c>
      <c r="B119" s="2" t="inlineStr">
        <is>
          <t>C07</t>
        </is>
      </c>
      <c r="C119" s="5">
        <f>IF($B119="","",IFERROR(VLOOKUP($B119,'02_Конкуренты'!$A\$4:$B\$203,2,FALSE),"не найдено"))</f>
        <v/>
      </c>
      <c r="D119" s="2" t="inlineStr">
        <is>
          <t>Страницы сайта</t>
        </is>
      </c>
      <c r="E119" s="2" t="inlineStr">
        <is>
          <t>https://www.eraser.io/pricing</t>
        </is>
      </c>
      <c r="F119" s="2" t="inlineStr">
        <is>
          <t>Скидка или цена при годовой оплате</t>
        </is>
      </c>
      <c r="G119" s="2" t="inlineStr">
        <is>
          <t>Starter 15 у.е. при годовой оплате против 20 у.е. помесячно</t>
        </is>
      </c>
      <c r="H119" s="2" t="inlineStr">
        <is>
          <t>потоки доходов</t>
        </is>
      </c>
      <c r="I119" s="2" t="n">
        <v>5</v>
      </c>
      <c r="J119" s="4" t="inlineStr">
        <is>
          <t>01.10.2026</t>
        </is>
      </c>
      <c r="K119" s="2" t="inlineStr">
        <is>
          <t>Цены «billed annually» (Mermaid Chart, Lucidchart, Eraser), скидка 20 % (Storm)</t>
        </is>
      </c>
      <c r="L119" s="2" t="n"/>
    </row>
    <row r="120" ht="42.75" customHeight="1">
      <c r="A120" s="2" t="inlineStr">
        <is>
          <t>F117</t>
        </is>
      </c>
      <c r="B120" s="2" t="inlineStr">
        <is>
          <t>C07</t>
        </is>
      </c>
      <c r="C120" s="5">
        <f>IF($B120="","",IFERROR(VLOOKUP($B120,'02_Конкуренты'!$A\$4:$B\$203,2,FALSE),"не найдено"))</f>
        <v/>
      </c>
      <c r="D120" s="2" t="inlineStr">
        <is>
          <t>Страницы сайта</t>
        </is>
      </c>
      <c r="E120" s="2" t="inlineStr">
        <is>
          <t>https://www.eraser.io/pricing</t>
        </is>
      </c>
      <c r="F120" s="2" t="inlineStr">
        <is>
          <t>Бесплатные гости или зрители</t>
        </is>
      </c>
      <c r="G120" s="2" t="inlineStr">
        <is>
          <t>Unlimited guests на всех тарифах</t>
        </is>
      </c>
      <c r="H120" s="2" t="inlineStr">
        <is>
          <t>отношения с клиентами</t>
        </is>
      </c>
      <c r="I120" s="2" t="n">
        <v>5</v>
      </c>
      <c r="J120" s="4" t="inlineStr">
        <is>
          <t>01.10.2026</t>
        </is>
      </c>
      <c r="K120" s="2" t="inlineStr">
        <is>
          <t>Unlimited viewer seats (Mermaid Chart Premium); 100 гостей на участника (Storm); unlimited</t>
        </is>
      </c>
      <c r="L120" s="2" t="n"/>
    </row>
    <row r="121" ht="42.75" customHeight="1">
      <c r="A121" s="2" t="inlineStr">
        <is>
          <t>F118</t>
        </is>
      </c>
      <c r="B121" s="2" t="inlineStr">
        <is>
          <t>C07</t>
        </is>
      </c>
      <c r="C121" s="5">
        <f>IF($B121="","",IFERROR(VLOOKUP($B121,'02_Конкуренты'!$A\$4:$B\$203,2,FALSE),"не найдено"))</f>
        <v/>
      </c>
      <c r="D121" s="2" t="inlineStr">
        <is>
          <t>Страницы сайта</t>
        </is>
      </c>
      <c r="E121" s="2" t="inlineStr">
        <is>
          <t>https://www.eraser.io/pricing</t>
        </is>
      </c>
      <c r="F121" s="2" t="inlineStr">
        <is>
          <t>ИИ-генерация или ИИ-помощник</t>
        </is>
      </c>
      <c r="G121" s="2" t="inlineStr">
        <is>
          <t>ИИ-диаграммы: 3 (Free), 40 (Starter), 250 (Business), без лимита (Enterprise)</t>
        </is>
      </c>
      <c r="H121" s="2" t="inlineStr">
        <is>
          <t>цифровой товар</t>
        </is>
      </c>
      <c r="I121" s="2" t="n">
        <v>4</v>
      </c>
      <c r="J121" s="4" t="inlineStr">
        <is>
          <t>01.10.2026</t>
        </is>
      </c>
      <c r="K121" s="2" t="inlineStr">
        <is>
          <t>ИИ-кредиты (Mermaid Chart); ИИ-ассистент (Storm); Lucid AI; Eraser AI; ИИ в Whimsical</t>
        </is>
      </c>
      <c r="L121" s="2" t="n"/>
    </row>
    <row r="122" ht="28.5" customHeight="1">
      <c r="A122" s="2" t="inlineStr">
        <is>
          <t>F119</t>
        </is>
      </c>
      <c r="B122" s="2" t="inlineStr">
        <is>
          <t>C07</t>
        </is>
      </c>
      <c r="C122" s="5">
        <f>IF($B122="","",IFERROR(VLOOKUP($B122,'02_Конкуренты'!$A\$4:$B\$203,2,FALSE),"не найдено"))</f>
        <v/>
      </c>
      <c r="D122" s="2" t="inlineStr">
        <is>
          <t>Страницы сайта</t>
        </is>
      </c>
      <c r="E122" s="2" t="inlineStr">
        <is>
          <t>https://www.eraser.io/</t>
        </is>
      </c>
      <c r="F122" s="2" t="inlineStr">
        <is>
          <t>Интеграции с другими сервисами</t>
        </is>
      </c>
      <c r="G122" s="2" t="inlineStr">
        <is>
          <t>Признак найден на просмотренных страницах: интеграции с другими сервисами</t>
        </is>
      </c>
      <c r="H122" s="2" t="inlineStr">
        <is>
          <t>ключевые партнеры</t>
        </is>
      </c>
      <c r="I122" s="2" t="n">
        <v>3</v>
      </c>
      <c r="J122" s="4" t="inlineStr">
        <is>
          <t>01.10.2026</t>
        </is>
      </c>
      <c r="K122" s="2" t="inlineStr">
        <is>
          <t>Разделы и упоминания интеграций на страницах 8 из 8 конкурентов</t>
        </is>
      </c>
      <c r="L122" s="2" t="n"/>
    </row>
    <row r="123" ht="42.75" customHeight="1">
      <c r="A123" s="2" t="inlineStr">
        <is>
          <t>F120</t>
        </is>
      </c>
      <c r="B123" s="2" t="inlineStr">
        <is>
          <t>C07</t>
        </is>
      </c>
      <c r="C123" s="5">
        <f>IF($B123="","",IFERROR(VLOOKUP($B123,'02_Конкуренты'!$A\$4:$B\$203,2,FALSE),"не найдено"))</f>
        <v/>
      </c>
      <c r="D123" s="2" t="inlineStr">
        <is>
          <t>Страницы сайта</t>
        </is>
      </c>
      <c r="E123" s="2" t="inlineStr">
        <is>
          <t>https://www.eraser.io/</t>
        </is>
      </c>
      <c r="F123" s="2" t="inlineStr">
        <is>
          <t>API или платформа разработчика</t>
        </is>
      </c>
      <c r="G123" s="2" t="inlineStr">
        <is>
          <t>Признак найден на просмотренных страницах: api или платформа разработчика</t>
        </is>
      </c>
      <c r="H123" s="2" t="inlineStr">
        <is>
          <t>цифровой товар</t>
        </is>
      </c>
      <c r="I123" s="2" t="n">
        <v>4</v>
      </c>
      <c r="J123" s="4" t="inlineStr">
        <is>
          <t>01.10.2026</t>
        </is>
      </c>
      <c r="K123" s="2" t="inlineStr">
        <is>
          <t>API Mermaid; пункт API в меню Mermaid Chart; API в Enterprise Storm; Developer platform Lu</t>
        </is>
      </c>
      <c r="L123" s="2" t="n"/>
    </row>
    <row r="124" ht="42.75" customHeight="1">
      <c r="A124" s="2" t="inlineStr">
        <is>
          <t>F121</t>
        </is>
      </c>
      <c r="B124" s="2" t="inlineStr">
        <is>
          <t>C07</t>
        </is>
      </c>
      <c r="C124" s="5">
        <f>IF($B124="","",IFERROR(VLOOKUP($B124,'02_Конкуренты'!$A\$4:$B\$203,2,FALSE),"не найдено"))</f>
        <v/>
      </c>
      <c r="D124" s="2" t="inlineStr">
        <is>
          <t>Страницы сайта</t>
        </is>
      </c>
      <c r="E124" s="2" t="inlineStr">
        <is>
          <t>https://www.eraser.io/</t>
        </is>
      </c>
      <c r="F124" s="2" t="inlineStr">
        <is>
          <t>Раздел или упоминание о безопасности и приватности</t>
        </is>
      </c>
      <c r="G124" s="2" t="inlineStr">
        <is>
          <t>Признак найден на просмотренных страницах: раздел или упоминание о безопасности и приватности</t>
        </is>
      </c>
      <c r="H124" s="2" t="inlineStr">
        <is>
          <t>ценностное предложение</t>
        </is>
      </c>
      <c r="I124" s="2" t="n">
        <v>3</v>
      </c>
      <c r="J124" s="4" t="inlineStr">
        <is>
          <t>01.10.2026</t>
        </is>
      </c>
      <c r="K124" s="2" t="inlineStr">
        <is>
          <t>Страница Security (Whimsical); раздел безопасности (Lucidchart, Eraser); privacy-first (dr</t>
        </is>
      </c>
      <c r="L124" s="2" t="n"/>
    </row>
    <row r="125">
      <c r="A125" s="2" t="inlineStr">
        <is>
          <t>F122</t>
        </is>
      </c>
      <c r="B125" s="2" t="inlineStr">
        <is>
          <t>C07</t>
        </is>
      </c>
      <c r="C125" s="5">
        <f>IF($B125="","",IFERROR(VLOOKUP($B125,'02_Конкуренты'!$A\$4:$B\$203,2,FALSE),"не найдено"))</f>
        <v/>
      </c>
      <c r="D125" s="2" t="inlineStr">
        <is>
          <t>Страницы сайта</t>
        </is>
      </c>
      <c r="E125" s="2" t="inlineStr">
        <is>
          <t>https://www.eraser.io/pricing</t>
        </is>
      </c>
      <c r="F125" s="2" t="inlineStr">
        <is>
          <t>Единый вход SSO или SAML</t>
        </is>
      </c>
      <c r="G125" s="2" t="inlineStr">
        <is>
          <t>SAML SSO в тарифе Business</t>
        </is>
      </c>
      <c r="H125" s="2" t="inlineStr">
        <is>
          <t>потоки доходов</t>
        </is>
      </c>
      <c r="I125" s="2" t="n">
        <v>5</v>
      </c>
      <c r="J125" s="4" t="inlineStr">
        <is>
          <t>01.10.2026</t>
        </is>
      </c>
      <c r="K125" s="2" t="inlineStr">
        <is>
          <t>SSO или SAML в старших тарифах</t>
        </is>
      </c>
      <c r="L125" s="2" t="n"/>
    </row>
    <row r="126" ht="28.5" customHeight="1">
      <c r="A126" s="2" t="inlineStr">
        <is>
          <t>F123</t>
        </is>
      </c>
      <c r="B126" s="2" t="inlineStr">
        <is>
          <t>C07</t>
        </is>
      </c>
      <c r="C126" s="5">
        <f>IF($B126="","",IFERROR(VLOOKUP($B126,'02_Конкуренты'!$A\$4:$B\$203,2,FALSE),"не найдено"))</f>
        <v/>
      </c>
      <c r="D126" s="2" t="inlineStr">
        <is>
          <t>Страницы сайта</t>
        </is>
      </c>
      <c r="E126" s="2" t="inlineStr">
        <is>
          <t>https://www.eraser.io/</t>
        </is>
      </c>
      <c r="F126" s="2" t="inlineStr">
        <is>
          <t>Вход и личный кабинет</t>
        </is>
      </c>
      <c r="G126" s="2" t="inlineStr">
        <is>
          <t>Признак найден на просмотренных страницах: вход и личный кабинет</t>
        </is>
      </c>
      <c r="H126" s="2" t="inlineStr">
        <is>
          <t>каналы</t>
        </is>
      </c>
      <c r="I126" s="2" t="n">
        <v>3</v>
      </c>
      <c r="J126" s="4" t="inlineStr">
        <is>
          <t>01.10.2026</t>
        </is>
      </c>
      <c r="K126" s="2" t="inlineStr">
        <is>
          <t>Ссылки на вход на главных страницах</t>
        </is>
      </c>
      <c r="L126" s="2" t="n"/>
    </row>
    <row r="127" ht="42.75" customHeight="1">
      <c r="A127" s="2" t="inlineStr">
        <is>
          <t>F124</t>
        </is>
      </c>
      <c r="B127" s="2" t="inlineStr">
        <is>
          <t>C07</t>
        </is>
      </c>
      <c r="C127" s="5">
        <f>IF($B127="","",IFERROR(VLOOKUP($B127,'02_Конкуренты'!$A\$4:$B\$203,2,FALSE),"не найдено"))</f>
        <v/>
      </c>
      <c r="D127" s="2" t="inlineStr">
        <is>
          <t>Страницы сайта</t>
        </is>
      </c>
      <c r="E127" s="2" t="inlineStr">
        <is>
          <t>https://www.eraser.io/</t>
        </is>
      </c>
      <c r="F127" s="2" t="inlineStr">
        <is>
          <t>Шаблоны диаграмм</t>
        </is>
      </c>
      <c r="G127" s="2" t="inlineStr">
        <is>
          <t>Признак найден на просмотренных страницах: шаблоны диаграмм</t>
        </is>
      </c>
      <c r="H127" s="2" t="inlineStr">
        <is>
          <t>цифровой товар</t>
        </is>
      </c>
      <c r="I127" s="2" t="n">
        <v>4</v>
      </c>
      <c r="J127" s="4" t="inlineStr">
        <is>
          <t>01.10.2026</t>
        </is>
      </c>
      <c r="K127" s="2" t="inlineStr">
        <is>
          <t>100 шаблонов в Free и более 1 000 в платных тарифах (Lucidchart); раздел шаблонов Eraser и</t>
        </is>
      </c>
      <c r="L127" s="2" t="n"/>
    </row>
    <row r="128" ht="42.75" customHeight="1">
      <c r="A128" s="2" t="inlineStr">
        <is>
          <t>F125</t>
        </is>
      </c>
      <c r="B128" s="2" t="inlineStr">
        <is>
          <t>C07</t>
        </is>
      </c>
      <c r="C128" s="5">
        <f>IF($B128="","",IFERROR(VLOOKUP($B128,'02_Конкуренты'!$A\$4:$B\$203,2,FALSE),"не найдено"))</f>
        <v/>
      </c>
      <c r="D128" s="2" t="inlineStr">
        <is>
          <t>Страницы сайта</t>
        </is>
      </c>
      <c r="E128" s="2" t="inlineStr">
        <is>
          <t>https://www.eraser.io/</t>
        </is>
      </c>
      <c r="F128" s="2" t="inlineStr">
        <is>
          <t>Совместная работа в реальном времени</t>
        </is>
      </c>
      <c r="G128" s="2" t="inlineStr">
        <is>
          <t>Признак найден на просмотренных страницах: совместная работа в реальном времени</t>
        </is>
      </c>
      <c r="H128" s="2" t="inlineStr">
        <is>
          <t>цифровой товар</t>
        </is>
      </c>
      <c r="I128" s="2" t="n">
        <v>4</v>
      </c>
      <c r="J128" s="4" t="inlineStr">
        <is>
          <t>01.10.2026</t>
        </is>
      </c>
      <c r="K128" s="2" t="inlineStr">
        <is>
          <t>Real-time collaboration (draw.io, Lucidchart, Whimsical); совместное редактирование в брау</t>
        </is>
      </c>
      <c r="L128" s="2" t="n"/>
    </row>
    <row r="129" ht="42.75" customHeight="1">
      <c r="A129" s="2" t="inlineStr">
        <is>
          <t>F126</t>
        </is>
      </c>
      <c r="B129" s="2" t="inlineStr">
        <is>
          <t>C07</t>
        </is>
      </c>
      <c r="C129" s="5">
        <f>IF($B129="","",IFERROR(VLOOKUP($B129,'02_Конкуренты'!$A\$4:$B\$203,2,FALSE),"не найдено"))</f>
        <v/>
      </c>
      <c r="D129" s="2" t="inlineStr">
        <is>
          <t>Страницы сайта</t>
        </is>
      </c>
      <c r="E129" s="2" t="inlineStr">
        <is>
          <t>https://www.eraser.io/</t>
        </is>
      </c>
      <c r="F129" s="2" t="inlineStr">
        <is>
          <t>Экспорт диаграмм (PNG, SVG, PDF и др.)</t>
        </is>
      </c>
      <c r="G129" s="2" t="inlineStr">
        <is>
          <t>Признак найден на просмотренных страницах: экспорт диаграмм (png, svg, pdf и др.)</t>
        </is>
      </c>
      <c r="H129" s="2" t="inlineStr">
        <is>
          <t>цифровой товар</t>
        </is>
      </c>
      <c r="I129" s="2" t="n">
        <v>4</v>
      </c>
      <c r="J129" s="4" t="inlineStr">
        <is>
          <t>01.10.2026</t>
        </is>
      </c>
      <c r="K129" s="2" t="inlineStr">
        <is>
          <t>Экспорт упомянут на страницах 8 из 8 конкурентов (PNG, SVG, PDF, DOCX у Storm, Visio у Luc</t>
        </is>
      </c>
      <c r="L129" s="2" t="n"/>
    </row>
    <row r="130" ht="42.75" customHeight="1">
      <c r="A130" s="2" t="inlineStr">
        <is>
          <t>F127</t>
        </is>
      </c>
      <c r="B130" s="2" t="inlineStr">
        <is>
          <t>C07</t>
        </is>
      </c>
      <c r="C130" s="5">
        <f>IF($B130="","",IFERROR(VLOOKUP($B130,'02_Конкуренты'!$A\$4:$B\$203,2,FALSE),"не найдено"))</f>
        <v/>
      </c>
      <c r="D130" s="2" t="inlineStr">
        <is>
          <t>Страницы сайта</t>
        </is>
      </c>
      <c r="E130" s="2" t="inlineStr">
        <is>
          <t>https://www.eraser.io/pricing</t>
        </is>
      </c>
      <c r="F130" s="2" t="inlineStr">
        <is>
          <t>История версий</t>
        </is>
      </c>
      <c r="G130" s="2" t="inlineStr">
        <is>
          <t>7 дней (Free), 90 дней (Starter), без ограничений (Business)</t>
        </is>
      </c>
      <c r="H130" s="2" t="inlineStr">
        <is>
          <t>цифровой товар</t>
        </is>
      </c>
      <c r="I130" s="2" t="n">
        <v>4</v>
      </c>
      <c r="J130" s="4" t="inlineStr">
        <is>
          <t>01.10.2026</t>
        </is>
      </c>
      <c r="K130" s="2" t="inlineStr">
        <is>
          <t>7 и 90 дней (Eraser, Whimsical); Revision history (Lucidchart Team); версионирование (меню</t>
        </is>
      </c>
      <c r="L130" s="2" t="n"/>
    </row>
    <row r="131" ht="42.75" customHeight="1">
      <c r="A131" s="2" t="inlineStr">
        <is>
          <t>F128</t>
        </is>
      </c>
      <c r="B131" s="2" t="inlineStr">
        <is>
          <t>C07</t>
        </is>
      </c>
      <c r="C131" s="5">
        <f>IF($B131="","",IFERROR(VLOOKUP($B131,'02_Конкуренты'!$A\$4:$B\$203,2,FALSE),"не найдено"))</f>
        <v/>
      </c>
      <c r="D131" s="2" t="inlineStr">
        <is>
          <t>Страницы сайта</t>
        </is>
      </c>
      <c r="E131" s="2" t="inlineStr">
        <is>
          <t>https://www.eraser.io/</t>
        </is>
      </c>
      <c r="F131" s="2" t="inlineStr">
        <is>
          <t>Документация и руководства</t>
        </is>
      </c>
      <c r="G131" s="2" t="inlineStr">
        <is>
          <t>Признак найден на просмотренных страницах: документация и руководства</t>
        </is>
      </c>
      <c r="H131" s="2" t="inlineStr">
        <is>
          <t>отношения с клиентами</t>
        </is>
      </c>
      <c r="I131" s="2" t="n">
        <v>4</v>
      </c>
      <c r="J131" s="4" t="inlineStr">
        <is>
          <t>01.10.2026</t>
        </is>
      </c>
      <c r="K131" s="2" t="inlineStr">
        <is>
          <t>PlantUML Language Reference Guide; Mermaid User Guide; docs.mermaidchart.com; docs.eraser</t>
        </is>
      </c>
      <c r="L131" s="2" t="n"/>
    </row>
    <row r="132" ht="42.75" customHeight="1">
      <c r="A132" s="2" t="inlineStr">
        <is>
          <t>F129</t>
        </is>
      </c>
      <c r="B132" s="2" t="inlineStr">
        <is>
          <t>C07</t>
        </is>
      </c>
      <c r="C132" s="5">
        <f>IF($B132="","",IFERROR(VLOOKUP($B132,'02_Конкуренты'!$A\$4:$B\$203,2,FALSE),"не найдено"))</f>
        <v/>
      </c>
      <c r="D132" s="2" t="inlineStr">
        <is>
          <t>Страницы сайта</t>
        </is>
      </c>
      <c r="E132" s="2" t="inlineStr">
        <is>
          <t>https://www.eraser.io/</t>
        </is>
      </c>
      <c r="F132" s="2" t="inlineStr">
        <is>
          <t>Диаграммы BPMN</t>
        </is>
      </c>
      <c r="G132" s="2" t="inlineStr">
        <is>
          <t>Признак найден на просмотренных страницах: диаграммы bpmn</t>
        </is>
      </c>
      <c r="H132" s="2" t="inlineStr">
        <is>
          <t>цифровой товар</t>
        </is>
      </c>
      <c r="I132" s="2" t="n">
        <v>4</v>
      </c>
      <c r="J132" s="4" t="inlineStr">
        <is>
          <t>01.10.2026</t>
        </is>
      </c>
      <c r="K132" s="2" t="inlineStr">
        <is>
          <t>Редактор BPMN 2.0 (Storm); BPMN-шаблон (Lucidchart); упоминание BPMN на сайте Eraser</t>
        </is>
      </c>
      <c r="L132" s="2" t="n"/>
    </row>
    <row r="133" ht="42.75" customHeight="1">
      <c r="A133" s="2" t="inlineStr">
        <is>
          <t>F130</t>
        </is>
      </c>
      <c r="B133" s="2" t="inlineStr">
        <is>
          <t>C07</t>
        </is>
      </c>
      <c r="C133" s="5">
        <f>IF($B133="","",IFERROR(VLOOKUP($B133,'02_Конкуренты'!$A\$4:$B\$203,2,FALSE),"не найдено"))</f>
        <v/>
      </c>
      <c r="D133" s="2" t="inlineStr">
        <is>
          <t>Страницы сайта</t>
        </is>
      </c>
      <c r="E133" s="2" t="inlineStr">
        <is>
          <t>https://www.eraser.io/</t>
        </is>
      </c>
      <c r="F133" s="2" t="inlineStr">
        <is>
          <t>Диаграммы ERD</t>
        </is>
      </c>
      <c r="G133" s="2" t="inlineStr">
        <is>
          <t>Признак найден на просмотренных страницах: диаграммы erd</t>
        </is>
      </c>
      <c r="H133" s="2" t="inlineStr">
        <is>
          <t>цифровой товар</t>
        </is>
      </c>
      <c r="I133" s="2" t="n">
        <v>4</v>
      </c>
      <c r="J133" s="4" t="inlineStr">
        <is>
          <t>01.10.2026</t>
        </is>
      </c>
      <c r="K133" s="2" t="inlineStr">
        <is>
          <t>Страницы entityRelationshipDiagram (Mermaid), ie-diagram (PlantUML); ER в описании draw.io</t>
        </is>
      </c>
      <c r="L133" s="2" t="n"/>
    </row>
    <row r="134" ht="42.75" customHeight="1">
      <c r="A134" s="2" t="inlineStr">
        <is>
          <t>F131</t>
        </is>
      </c>
      <c r="B134" s="2" t="inlineStr">
        <is>
          <t>C07</t>
        </is>
      </c>
      <c r="C134" s="5">
        <f>IF($B134="","",IFERROR(VLOOKUP($B134,'02_Конкуренты'!$A\$4:$B\$203,2,FALSE),"не найдено"))</f>
        <v/>
      </c>
      <c r="D134" s="2" t="inlineStr">
        <is>
          <t>Страницы сайта</t>
        </is>
      </c>
      <c r="E134" s="2" t="inlineStr">
        <is>
          <t>https://www.eraser.io/</t>
        </is>
      </c>
      <c r="F134" s="2" t="inlineStr">
        <is>
          <t>Развёртывание на своём сервере</t>
        </is>
      </c>
      <c r="G134" s="2" t="inlineStr">
        <is>
          <t>Признак найден на просмотренных страницах: развёртывание на своём сервере</t>
        </is>
      </c>
      <c r="H134" s="2" t="inlineStr">
        <is>
          <t>структура затрат</t>
        </is>
      </c>
      <c r="I134" s="2" t="n">
        <v>3</v>
      </c>
      <c r="J134" s="4" t="inlineStr">
        <is>
          <t>01.10.2026</t>
        </is>
      </c>
      <c r="K134" s="2" t="inlineStr">
        <is>
          <t>Страницы running и download (PlantUML); библиотека Mermaid; on-prem (Storm); Flexible depl</t>
        </is>
      </c>
      <c r="L134" s="2" t="n"/>
    </row>
    <row r="135" ht="42.75" customHeight="1">
      <c r="A135" s="2" t="inlineStr">
        <is>
          <t>F132</t>
        </is>
      </c>
      <c r="B135" s="2" t="inlineStr">
        <is>
          <t>C07</t>
        </is>
      </c>
      <c r="C135" s="5">
        <f>IF($B135="","",IFERROR(VLOOKUP($B135,'02_Конкуренты'!$A\$4:$B\$203,2,FALSE),"не найдено"))</f>
        <v/>
      </c>
      <c r="D135" s="2" t="inlineStr">
        <is>
          <t>Страницы сайта</t>
        </is>
      </c>
      <c r="E135" s="2" t="inlineStr">
        <is>
          <t>https://www.eraser.io/</t>
        </is>
      </c>
      <c r="F135" s="2" t="inlineStr">
        <is>
          <t>Признаки развития (ИИ-помощник, MCP, новые функции)</t>
        </is>
      </c>
      <c r="G135" s="2" t="inlineStr">
        <is>
          <t>Признак найден на просмотренных страницах: признаки развития (ии-помощник, mcp, новые функции)</t>
        </is>
      </c>
      <c r="H135" s="2" t="inlineStr">
        <is>
          <t>масштабирование</t>
        </is>
      </c>
      <c r="I135" s="2" t="n">
        <v>3</v>
      </c>
      <c r="J135" s="4" t="inlineStr">
        <is>
          <t>01.10.2026</t>
        </is>
      </c>
      <c r="K135" s="2" t="inlineStr">
        <is>
          <t>MCP-интеграция (Storm); метки NEW: Lucid AI, Developer platform (Lucidchart); ИИ-кредиты (</t>
        </is>
      </c>
      <c r="L135" s="2" t="n"/>
    </row>
    <row r="136" ht="42.75" customHeight="1">
      <c r="A136" s="2" t="inlineStr">
        <is>
          <t>F133</t>
        </is>
      </c>
      <c r="B136" s="2" t="inlineStr">
        <is>
          <t>C08</t>
        </is>
      </c>
      <c r="C136" s="5">
        <f>IF($B136="","",IFERROR(VLOOKUP($B136,'02_Конкуренты'!$A\$4:$B\$203,2,FALSE),"не найдено"))</f>
        <v/>
      </c>
      <c r="D136" s="2" t="inlineStr">
        <is>
          <t>Главная страница</t>
        </is>
      </c>
      <c r="E136" s="2" t="inlineStr">
        <is>
          <t>https://whimsical.com/</t>
        </is>
      </c>
      <c r="F136" s="2" t="inlineStr">
        <is>
          <t>Заголовок и описание</t>
        </is>
      </c>
      <c r="G136" s="2" t="inlineStr">
        <is>
          <t>Обещание: «The whiteboard for product builders»: диаграммы, схемы интерфейсов, документы</t>
        </is>
      </c>
      <c r="H136" s="2" t="inlineStr">
        <is>
          <t>ценностное предложение</t>
        </is>
      </c>
      <c r="I136" s="2" t="n">
        <v>4</v>
      </c>
      <c r="J136" s="4" t="inlineStr">
        <is>
          <t>01.10.2026</t>
        </is>
      </c>
      <c r="K136" s="2" t="inlineStr">
        <is>
          <t>главная страница, 01.10.2026</t>
        </is>
      </c>
      <c r="L136" s="2" t="n"/>
    </row>
    <row r="137" ht="42.75" customHeight="1">
      <c r="A137" s="2" t="inlineStr">
        <is>
          <t>F134</t>
        </is>
      </c>
      <c r="B137" s="2" t="inlineStr">
        <is>
          <t>C08</t>
        </is>
      </c>
      <c r="C137" s="5">
        <f>IF($B137="","",IFERROR(VLOOKUP($B137,'02_Конкуренты'!$A\$4:$B\$203,2,FALSE),"не найдено"))</f>
        <v/>
      </c>
      <c r="D137" s="2" t="inlineStr">
        <is>
          <t>Главная страница</t>
        </is>
      </c>
      <c r="E137" s="2" t="inlineStr">
        <is>
          <t>https://whimsical.com/</t>
        </is>
      </c>
      <c r="F137" s="2" t="inlineStr">
        <is>
          <t>Состав товара</t>
        </is>
      </c>
      <c r="G137" s="2" t="inlineStr">
        <is>
          <t>Редактор диаграмм, схем интерфейсов и документов; тарифы Free, Pro, Business (страница тарифов, 01.10.2026)</t>
        </is>
      </c>
      <c r="H137" s="2" t="inlineStr">
        <is>
          <t>цифровой товар</t>
        </is>
      </c>
      <c r="I137" s="2" t="n">
        <v>4</v>
      </c>
      <c r="J137" s="4" t="inlineStr">
        <is>
          <t>01.10.2026</t>
        </is>
      </c>
      <c r="K137" s="2" t="inlineStr">
        <is>
          <t>страницы сайта, ЛР4</t>
        </is>
      </c>
      <c r="L137" s="2" t="n"/>
    </row>
    <row r="138" ht="71.25" customHeight="1">
      <c r="A138" s="2" t="inlineStr">
        <is>
          <t>F135</t>
        </is>
      </c>
      <c r="B138" s="2" t="inlineStr">
        <is>
          <t>C08</t>
        </is>
      </c>
      <c r="C138" s="5">
        <f>IF($B138="","",IFERROR(VLOOKUP($B138,'02_Конкуренты'!$A\$4:$B\$203,2,FALSE),"не найдено"))</f>
        <v/>
      </c>
      <c r="D138" s="2" t="inlineStr">
        <is>
          <t>Тарифы</t>
        </is>
      </c>
      <c r="E138" s="2" t="inlineStr">
        <is>
          <t>https://whimsical.com/pricing</t>
        </is>
      </c>
      <c r="F138" s="2" t="inlineStr">
        <is>
          <t>Тарифная таблица</t>
        </is>
      </c>
      <c r="G138" s="2" t="inlineStr">
        <is>
          <t>Free (0 у.е.; 50 объектов доски и 50 блоков документа в месяц, водяной знак при экспорте); Pro 10 у.е., Business 20 у.е. за редактора в месяц (страница тарифов, 01.10.2026)</t>
        </is>
      </c>
      <c r="H138" s="2" t="inlineStr">
        <is>
          <t>потоки доходов</t>
        </is>
      </c>
      <c r="I138" s="2" t="n">
        <v>5</v>
      </c>
      <c r="J138" s="4" t="inlineStr">
        <is>
          <t>01.10.2026</t>
        </is>
      </c>
      <c r="K138" s="2" t="inlineStr">
        <is>
          <t>страница тарифов или лицензия</t>
        </is>
      </c>
      <c r="L138" s="2" t="n"/>
    </row>
    <row r="139" ht="42.75" customHeight="1">
      <c r="A139" s="2" t="inlineStr">
        <is>
          <t>F136</t>
        </is>
      </c>
      <c r="B139" s="2" t="inlineStr">
        <is>
          <t>C08</t>
        </is>
      </c>
      <c r="C139" s="5">
        <f>IF($B139="","",IFERROR(VLOOKUP($B139,'02_Конкуренты'!$A\$4:$B\$203,2,FALSE),"не найдено"))</f>
        <v/>
      </c>
      <c r="D139" s="2" t="inlineStr">
        <is>
          <t>Страницы сайта</t>
        </is>
      </c>
      <c r="E139" s="2" t="inlineStr">
        <is>
          <t>https://whimsical.com/pricing</t>
        </is>
      </c>
      <c r="F139" s="2" t="inlineStr">
        <is>
          <t>Бесплатные гости или зрители</t>
        </is>
      </c>
      <c r="G139" s="2" t="inlineStr">
        <is>
          <t>Viewers и Guests: Unlimited на всех тарифах</t>
        </is>
      </c>
      <c r="H139" s="2" t="inlineStr">
        <is>
          <t>отношения с клиентами</t>
        </is>
      </c>
      <c r="I139" s="2" t="n">
        <v>5</v>
      </c>
      <c r="J139" s="4" t="inlineStr">
        <is>
          <t>01.10.2026</t>
        </is>
      </c>
      <c r="K139" s="2" t="inlineStr">
        <is>
          <t>Unlimited viewer seats (Mermaid Chart Premium); 100 гостей на участника (Storm); unlimited</t>
        </is>
      </c>
      <c r="L139" s="2" t="n"/>
    </row>
    <row r="140" ht="42.75" customHeight="1">
      <c r="A140" s="2" t="inlineStr">
        <is>
          <t>F137</t>
        </is>
      </c>
      <c r="B140" s="2" t="inlineStr">
        <is>
          <t>C08</t>
        </is>
      </c>
      <c r="C140" s="5">
        <f>IF($B140="","",IFERROR(VLOOKUP($B140,'02_Конкуренты'!$A\$4:$B\$203,2,FALSE),"не найдено"))</f>
        <v/>
      </c>
      <c r="D140" s="2" t="inlineStr">
        <is>
          <t>Страницы сайта</t>
        </is>
      </c>
      <c r="E140" s="2" t="inlineStr">
        <is>
          <t>https://whimsical.com/pricing</t>
        </is>
      </c>
      <c r="F140" s="2" t="inlineStr">
        <is>
          <t>ИИ-генерация или ИИ-помощник</t>
        </is>
      </c>
      <c r="G140" s="2" t="inlineStr">
        <is>
          <t>Признак найден на просмотренных страницах: ии-генерация или ии-помощник</t>
        </is>
      </c>
      <c r="H140" s="2" t="inlineStr">
        <is>
          <t>цифровой товар</t>
        </is>
      </c>
      <c r="I140" s="2" t="n">
        <v>4</v>
      </c>
      <c r="J140" s="4" t="inlineStr">
        <is>
          <t>01.10.2026</t>
        </is>
      </c>
      <c r="K140" s="2" t="inlineStr">
        <is>
          <t>ИИ-кредиты (Mermaid Chart); ИИ-ассистент (Storm); Lucid AI; Eraser AI; ИИ в Whimsical</t>
        </is>
      </c>
      <c r="L140" s="2" t="n"/>
    </row>
    <row r="141" ht="28.5" customHeight="1">
      <c r="A141" s="2" t="inlineStr">
        <is>
          <t>F138</t>
        </is>
      </c>
      <c r="B141" s="2" t="inlineStr">
        <is>
          <t>C08</t>
        </is>
      </c>
      <c r="C141" s="5">
        <f>IF($B141="","",IFERROR(VLOOKUP($B141,'02_Конкуренты'!$A\$4:$B\$203,2,FALSE),"не найдено"))</f>
        <v/>
      </c>
      <c r="D141" s="2" t="inlineStr">
        <is>
          <t>Страницы сайта</t>
        </is>
      </c>
      <c r="E141" s="2" t="inlineStr">
        <is>
          <t>https://whimsical.com/</t>
        </is>
      </c>
      <c r="F141" s="2" t="inlineStr">
        <is>
          <t>Интеграции с другими сервисами</t>
        </is>
      </c>
      <c r="G141" s="2" t="inlineStr">
        <is>
          <t>Признак найден на просмотренных страницах: интеграции с другими сервисами</t>
        </is>
      </c>
      <c r="H141" s="2" t="inlineStr">
        <is>
          <t>ключевые партнеры</t>
        </is>
      </c>
      <c r="I141" s="2" t="n">
        <v>3</v>
      </c>
      <c r="J141" s="4" t="inlineStr">
        <is>
          <t>01.10.2026</t>
        </is>
      </c>
      <c r="K141" s="2" t="inlineStr">
        <is>
          <t>Разделы и упоминания интеграций на страницах 8 из 8 конкурентов</t>
        </is>
      </c>
      <c r="L141" s="2" t="n"/>
    </row>
    <row r="142" ht="42.75" customHeight="1">
      <c r="A142" s="2" t="inlineStr">
        <is>
          <t>F139</t>
        </is>
      </c>
      <c r="B142" s="2" t="inlineStr">
        <is>
          <t>C08</t>
        </is>
      </c>
      <c r="C142" s="5">
        <f>IF($B142="","",IFERROR(VLOOKUP($B142,'02_Конкуренты'!$A\$4:$B\$203,2,FALSE),"не найдено"))</f>
        <v/>
      </c>
      <c r="D142" s="2" t="inlineStr">
        <is>
          <t>Страницы сайта</t>
        </is>
      </c>
      <c r="E142" s="2" t="inlineStr">
        <is>
          <t>https://whimsical.com/</t>
        </is>
      </c>
      <c r="F142" s="2" t="inlineStr">
        <is>
          <t>Раздел или упоминание о безопасности и приватности</t>
        </is>
      </c>
      <c r="G142" s="2" t="inlineStr">
        <is>
          <t>Признак найден на просмотренных страницах: раздел или упоминание о безопасности и приватности</t>
        </is>
      </c>
      <c r="H142" s="2" t="inlineStr">
        <is>
          <t>ценностное предложение</t>
        </is>
      </c>
      <c r="I142" s="2" t="n">
        <v>3</v>
      </c>
      <c r="J142" s="4" t="inlineStr">
        <is>
          <t>01.10.2026</t>
        </is>
      </c>
      <c r="K142" s="2" t="inlineStr">
        <is>
          <t>Страница Security (Whimsical); раздел безопасности (Lucidchart, Eraser); privacy-first (dr</t>
        </is>
      </c>
      <c r="L142" s="2" t="n"/>
    </row>
    <row r="143">
      <c r="A143" s="2" t="inlineStr">
        <is>
          <t>F140</t>
        </is>
      </c>
      <c r="B143" s="2" t="inlineStr">
        <is>
          <t>C08</t>
        </is>
      </c>
      <c r="C143" s="5">
        <f>IF($B143="","",IFERROR(VLOOKUP($B143,'02_Конкуренты'!$A\$4:$B\$203,2,FALSE),"не найдено"))</f>
        <v/>
      </c>
      <c r="D143" s="2" t="inlineStr">
        <is>
          <t>Страницы сайта</t>
        </is>
      </c>
      <c r="E143" s="2" t="inlineStr">
        <is>
          <t>https://whimsical.com/pricing</t>
        </is>
      </c>
      <c r="F143" s="2" t="inlineStr">
        <is>
          <t>Единый вход SSO или SAML</t>
        </is>
      </c>
      <c r="G143" s="2" t="inlineStr">
        <is>
          <t>SAML SSO и SCIM в тарифе Business</t>
        </is>
      </c>
      <c r="H143" s="2" t="inlineStr">
        <is>
          <t>потоки доходов</t>
        </is>
      </c>
      <c r="I143" s="2" t="n">
        <v>5</v>
      </c>
      <c r="J143" s="4" t="inlineStr">
        <is>
          <t>01.10.2026</t>
        </is>
      </c>
      <c r="K143" s="2" t="inlineStr">
        <is>
          <t>SSO или SAML в старших тарифах</t>
        </is>
      </c>
      <c r="L143" s="2" t="n"/>
    </row>
    <row r="144" ht="42.75" customHeight="1">
      <c r="A144" s="2" t="inlineStr">
        <is>
          <t>F141</t>
        </is>
      </c>
      <c r="B144" s="2" t="inlineStr">
        <is>
          <t>C08</t>
        </is>
      </c>
      <c r="C144" s="5">
        <f>IF($B144="","",IFERROR(VLOOKUP($B144,'02_Конкуренты'!$A\$4:$B\$203,2,FALSE),"не найдено"))</f>
        <v/>
      </c>
      <c r="D144" s="2" t="inlineStr">
        <is>
          <t>Страницы сайта</t>
        </is>
      </c>
      <c r="E144" s="2" t="inlineStr">
        <is>
          <t>https://whimsical.com/</t>
        </is>
      </c>
      <c r="F144" s="2" t="inlineStr">
        <is>
          <t>Шаблоны диаграмм</t>
        </is>
      </c>
      <c r="G144" s="2" t="inlineStr">
        <is>
          <t>Признак найден на просмотренных страницах: шаблоны диаграмм</t>
        </is>
      </c>
      <c r="H144" s="2" t="inlineStr">
        <is>
          <t>цифровой товар</t>
        </is>
      </c>
      <c r="I144" s="2" t="n">
        <v>4</v>
      </c>
      <c r="J144" s="4" t="inlineStr">
        <is>
          <t>01.10.2026</t>
        </is>
      </c>
      <c r="K144" s="2" t="inlineStr">
        <is>
          <t>100 шаблонов в Free и более 1 000 в платных тарифах (Lucidchart); раздел шаблонов Eraser и</t>
        </is>
      </c>
      <c r="L144" s="2" t="n"/>
    </row>
    <row r="145" ht="42.75" customHeight="1">
      <c r="A145" s="2" t="inlineStr">
        <is>
          <t>F142</t>
        </is>
      </c>
      <c r="B145" s="2" t="inlineStr">
        <is>
          <t>C08</t>
        </is>
      </c>
      <c r="C145" s="5">
        <f>IF($B145="","",IFERROR(VLOOKUP($B145,'02_Конкуренты'!$A\$4:$B\$203,2,FALSE),"не найдено"))</f>
        <v/>
      </c>
      <c r="D145" s="2" t="inlineStr">
        <is>
          <t>Страницы сайта</t>
        </is>
      </c>
      <c r="E145" s="2" t="inlineStr">
        <is>
          <t>https://whimsical.com/</t>
        </is>
      </c>
      <c r="F145" s="2" t="inlineStr">
        <is>
          <t>Совместная работа в реальном времени</t>
        </is>
      </c>
      <c r="G145" s="2" t="inlineStr">
        <is>
          <t>Признак найден на просмотренных страницах: совместная работа в реальном времени</t>
        </is>
      </c>
      <c r="H145" s="2" t="inlineStr">
        <is>
          <t>цифровой товар</t>
        </is>
      </c>
      <c r="I145" s="2" t="n">
        <v>4</v>
      </c>
      <c r="J145" s="4" t="inlineStr">
        <is>
          <t>01.10.2026</t>
        </is>
      </c>
      <c r="K145" s="2" t="inlineStr">
        <is>
          <t>Real-time collaboration (draw.io, Lucidchart, Whimsical); совместное редактирование в брау</t>
        </is>
      </c>
      <c r="L145" s="2" t="n"/>
    </row>
    <row r="146" ht="42.75" customHeight="1">
      <c r="A146" s="2" t="inlineStr">
        <is>
          <t>F143</t>
        </is>
      </c>
      <c r="B146" s="2" t="inlineStr">
        <is>
          <t>C08</t>
        </is>
      </c>
      <c r="C146" s="5">
        <f>IF($B146="","",IFERROR(VLOOKUP($B146,'02_Конкуренты'!$A\$4:$B\$203,2,FALSE),"не найдено"))</f>
        <v/>
      </c>
      <c r="D146" s="2" t="inlineStr">
        <is>
          <t>Страницы сайта</t>
        </is>
      </c>
      <c r="E146" s="2" t="inlineStr">
        <is>
          <t>https://whimsical.com/</t>
        </is>
      </c>
      <c r="F146" s="2" t="inlineStr">
        <is>
          <t>Экспорт диаграмм (PNG, SVG, PDF и др.)</t>
        </is>
      </c>
      <c r="G146" s="2" t="inlineStr">
        <is>
          <t>Признак найден на просмотренных страницах: экспорт диаграмм (png, svg, pdf и др.)</t>
        </is>
      </c>
      <c r="H146" s="2" t="inlineStr">
        <is>
          <t>цифровой товар</t>
        </is>
      </c>
      <c r="I146" s="2" t="n">
        <v>4</v>
      </c>
      <c r="J146" s="4" t="inlineStr">
        <is>
          <t>01.10.2026</t>
        </is>
      </c>
      <c r="K146" s="2" t="inlineStr">
        <is>
          <t>Экспорт упомянут на страницах 8 из 8 конкурентов (PNG, SVG, PDF, DOCX у Storm, Visio у Luc</t>
        </is>
      </c>
      <c r="L146" s="2" t="n"/>
    </row>
    <row r="147" ht="42.75" customHeight="1">
      <c r="A147" s="2" t="inlineStr">
        <is>
          <t>F144</t>
        </is>
      </c>
      <c r="B147" s="2" t="inlineStr">
        <is>
          <t>C08</t>
        </is>
      </c>
      <c r="C147" s="5">
        <f>IF($B147="","",IFERROR(VLOOKUP($B147,'02_Конкуренты'!$A\$4:$B\$203,2,FALSE),"не найдено"))</f>
        <v/>
      </c>
      <c r="D147" s="2" t="inlineStr">
        <is>
          <t>Страницы сайта</t>
        </is>
      </c>
      <c r="E147" s="2" t="inlineStr">
        <is>
          <t>https://whimsical.com/pricing</t>
        </is>
      </c>
      <c r="F147" s="2" t="inlineStr">
        <is>
          <t>История версий</t>
        </is>
      </c>
      <c r="G147" s="2" t="inlineStr">
        <is>
          <t>7 дней (Free), 90 дней (Pro), без ограничений (Business)</t>
        </is>
      </c>
      <c r="H147" s="2" t="inlineStr">
        <is>
          <t>цифровой товар</t>
        </is>
      </c>
      <c r="I147" s="2" t="n">
        <v>4</v>
      </c>
      <c r="J147" s="4" t="inlineStr">
        <is>
          <t>01.10.2026</t>
        </is>
      </c>
      <c r="K147" s="2" t="inlineStr">
        <is>
          <t>7 и 90 дней (Eraser, Whimsical); Revision history (Lucidchart Team); версионирование (меню</t>
        </is>
      </c>
      <c r="L147" s="2" t="n"/>
    </row>
    <row r="148" ht="42.75" customHeight="1">
      <c r="A148" s="2" t="inlineStr">
        <is>
          <t>F145</t>
        </is>
      </c>
      <c r="B148" s="2" t="inlineStr">
        <is>
          <t>C08</t>
        </is>
      </c>
      <c r="C148" s="5">
        <f>IF($B148="","",IFERROR(VLOOKUP($B148,'02_Конкуренты'!$A\$4:$B\$203,2,FALSE),"не найдено"))</f>
        <v/>
      </c>
      <c r="D148" s="2" t="inlineStr">
        <is>
          <t>Страницы сайта</t>
        </is>
      </c>
      <c r="E148" s="2" t="inlineStr">
        <is>
          <t>https://whimsical.com/</t>
        </is>
      </c>
      <c r="F148" s="2" t="inlineStr">
        <is>
          <t>Настольное приложение</t>
        </is>
      </c>
      <c r="G148" s="2" t="inlineStr">
        <is>
          <t>Признак найден на просмотренных страницах: настольное приложение</t>
        </is>
      </c>
      <c r="H148" s="2" t="inlineStr">
        <is>
          <t>цифровой товар</t>
        </is>
      </c>
      <c r="I148" s="2" t="n">
        <v>3</v>
      </c>
      <c r="J148" s="4" t="inlineStr">
        <is>
          <t>01.10.2026</t>
        </is>
      </c>
      <c r="K148" s="2" t="inlineStr">
        <is>
          <t>Загрузка PlantUML; drawio-desktop (GitHub); Desktop app в таблице тарифов Whimsical</t>
        </is>
      </c>
      <c r="L148" s="2" t="n"/>
    </row>
    <row r="149">
      <c r="A149" s="2" t="n"/>
      <c r="B149" s="2" t="n"/>
      <c r="C149" s="5">
        <f>IF($B149="","",IFERROR(VLOOKUP($B149,'02_Конкуренты'!$A\$4:$B\$203,2,FALSE),"не найдено"))</f>
        <v/>
      </c>
      <c r="D149" s="2" t="n"/>
      <c r="E149" s="2" t="n"/>
      <c r="F149" s="2" t="n"/>
      <c r="G149" s="2" t="n"/>
      <c r="H149" s="2" t="n"/>
      <c r="I149" s="2" t="n"/>
      <c r="J149" s="4" t="n"/>
      <c r="K149" s="2" t="n"/>
      <c r="L149" s="2" t="n"/>
    </row>
    <row r="150">
      <c r="A150" s="2" t="n"/>
      <c r="B150" s="2" t="n"/>
      <c r="C150" s="5">
        <f>IF($B150="","",IFERROR(VLOOKUP($B150,'02_Конкуренты'!$A\$4:$B\$203,2,FALSE),"не найдено"))</f>
        <v/>
      </c>
      <c r="D150" s="2" t="n"/>
      <c r="E150" s="2" t="n"/>
      <c r="F150" s="2" t="n"/>
      <c r="G150" s="2" t="n"/>
      <c r="H150" s="2" t="n"/>
      <c r="I150" s="2" t="n"/>
      <c r="J150" s="4" t="n"/>
      <c r="K150" s="2" t="n"/>
      <c r="L150" s="2" t="n"/>
    </row>
    <row r="151">
      <c r="A151" s="2" t="n"/>
      <c r="B151" s="2" t="n"/>
      <c r="C151" s="5">
        <f>IF($B151="","",IFERROR(VLOOKUP($B151,'02_Конкуренты'!$A\$4:$B\$203,2,FALSE),"не найдено"))</f>
        <v/>
      </c>
      <c r="D151" s="2" t="n"/>
      <c r="E151" s="2" t="n"/>
      <c r="F151" s="2" t="n"/>
      <c r="G151" s="2" t="n"/>
      <c r="H151" s="2" t="n"/>
      <c r="I151" s="2" t="n"/>
      <c r="J151" s="4" t="n"/>
      <c r="K151" s="2" t="n"/>
      <c r="L151" s="2" t="n"/>
    </row>
    <row r="152">
      <c r="A152" s="2" t="n"/>
      <c r="B152" s="2" t="n"/>
      <c r="C152" s="5">
        <f>IF($B152="","",IFERROR(VLOOKUP($B152,'02_Конкуренты'!$A\$4:$B\$203,2,FALSE),"не найдено"))</f>
        <v/>
      </c>
      <c r="D152" s="2" t="n"/>
      <c r="E152" s="2" t="n"/>
      <c r="F152" s="2" t="n"/>
      <c r="G152" s="2" t="n"/>
      <c r="H152" s="2" t="n"/>
      <c r="I152" s="2" t="n"/>
      <c r="J152" s="4" t="n"/>
      <c r="K152" s="2" t="n"/>
      <c r="L152" s="2" t="n"/>
    </row>
    <row r="153">
      <c r="A153" s="2" t="n"/>
      <c r="B153" s="2" t="n"/>
      <c r="C153" s="5">
        <f>IF($B153="","",IFERROR(VLOOKUP($B153,'02_Конкуренты'!$A\$4:$B\$203,2,FALSE),"не найдено"))</f>
        <v/>
      </c>
      <c r="D153" s="2" t="n"/>
      <c r="E153" s="2" t="n"/>
      <c r="F153" s="2" t="n"/>
      <c r="G153" s="2" t="n"/>
      <c r="H153" s="2" t="n"/>
      <c r="I153" s="2" t="n"/>
      <c r="J153" s="4" t="n"/>
      <c r="K153" s="2" t="n"/>
      <c r="L153" s="2" t="n"/>
    </row>
    <row r="154">
      <c r="A154" s="2" t="n"/>
      <c r="B154" s="2" t="n"/>
      <c r="C154" s="5">
        <f>IF($B154="","",IFERROR(VLOOKUP($B154,'02_Конкуренты'!$A\$4:$B\$203,2,FALSE),"не найдено"))</f>
        <v/>
      </c>
      <c r="D154" s="2" t="n"/>
      <c r="E154" s="2" t="n"/>
      <c r="F154" s="2" t="n"/>
      <c r="G154" s="2" t="n"/>
      <c r="H154" s="2" t="n"/>
      <c r="I154" s="2" t="n"/>
      <c r="J154" s="4" t="n"/>
      <c r="K154" s="2" t="n"/>
      <c r="L154" s="2" t="n"/>
    </row>
    <row r="155">
      <c r="A155" s="2" t="n"/>
      <c r="B155" s="2" t="n"/>
      <c r="C155" s="5">
        <f>IF($B155="","",IFERROR(VLOOKUP($B155,'02_Конкуренты'!$A\$4:$B\$203,2,FALSE),"не найдено"))</f>
        <v/>
      </c>
      <c r="D155" s="2" t="n"/>
      <c r="E155" s="2" t="n"/>
      <c r="F155" s="2" t="n"/>
      <c r="G155" s="2" t="n"/>
      <c r="H155" s="2" t="n"/>
      <c r="I155" s="2" t="n"/>
      <c r="J155" s="4" t="n"/>
      <c r="K155" s="2" t="n"/>
      <c r="L155" s="2" t="n"/>
    </row>
    <row r="156">
      <c r="A156" s="2" t="n"/>
      <c r="B156" s="2" t="n"/>
      <c r="C156" s="5">
        <f>IF($B156="","",IFERROR(VLOOKUP($B156,'02_Конкуренты'!$A\$4:$B\$203,2,FALSE),"не найдено"))</f>
        <v/>
      </c>
      <c r="D156" s="2" t="n"/>
      <c r="E156" s="2" t="n"/>
      <c r="F156" s="2" t="n"/>
      <c r="G156" s="2" t="n"/>
      <c r="H156" s="2" t="n"/>
      <c r="I156" s="2" t="n"/>
      <c r="J156" s="4" t="n"/>
      <c r="K156" s="2" t="n"/>
      <c r="L156" s="2" t="n"/>
    </row>
    <row r="157">
      <c r="A157" s="2" t="n"/>
      <c r="B157" s="2" t="n"/>
      <c r="C157" s="5">
        <f>IF($B157="","",IFERROR(VLOOKUP($B157,'02_Конкуренты'!$A\$4:$B\$203,2,FALSE),"не найдено"))</f>
        <v/>
      </c>
      <c r="D157" s="2" t="n"/>
      <c r="E157" s="2" t="n"/>
      <c r="F157" s="2" t="n"/>
      <c r="G157" s="2" t="n"/>
      <c r="H157" s="2" t="n"/>
      <c r="I157" s="2" t="n"/>
      <c r="J157" s="4" t="n"/>
      <c r="K157" s="2" t="n"/>
      <c r="L157" s="2" t="n"/>
    </row>
    <row r="158">
      <c r="A158" s="2" t="n"/>
      <c r="B158" s="2" t="n"/>
      <c r="C158" s="5">
        <f>IF($B158="","",IFERROR(VLOOKUP($B158,'02_Конкуренты'!$A\$4:$B\$203,2,FALSE),"не найдено"))</f>
        <v/>
      </c>
      <c r="D158" s="2" t="n"/>
      <c r="E158" s="2" t="n"/>
      <c r="F158" s="2" t="n"/>
      <c r="G158" s="2" t="n"/>
      <c r="H158" s="2" t="n"/>
      <c r="I158" s="2" t="n"/>
      <c r="J158" s="4" t="n"/>
      <c r="K158" s="2" t="n"/>
      <c r="L158" s="2" t="n"/>
    </row>
    <row r="159">
      <c r="A159" s="2" t="n"/>
      <c r="B159" s="2" t="n"/>
      <c r="C159" s="5">
        <f>IF($B159="","",IFERROR(VLOOKUP($B159,'02_Конкуренты'!$A\$4:$B\$203,2,FALSE),"не найдено"))</f>
        <v/>
      </c>
      <c r="D159" s="2" t="n"/>
      <c r="E159" s="2" t="n"/>
      <c r="F159" s="2" t="n"/>
      <c r="G159" s="2" t="n"/>
      <c r="H159" s="2" t="n"/>
      <c r="I159" s="2" t="n"/>
      <c r="J159" s="4" t="n"/>
      <c r="K159" s="2" t="n"/>
      <c r="L159" s="2" t="n"/>
    </row>
    <row r="160">
      <c r="A160" s="2" t="n"/>
      <c r="B160" s="2" t="n"/>
      <c r="C160" s="5">
        <f>IF($B160="","",IFERROR(VLOOKUP($B160,'02_Конкуренты'!$A\$4:$B\$203,2,FALSE),"не найдено"))</f>
        <v/>
      </c>
      <c r="D160" s="2" t="n"/>
      <c r="E160" s="2" t="n"/>
      <c r="F160" s="2" t="n"/>
      <c r="G160" s="2" t="n"/>
      <c r="H160" s="2" t="n"/>
      <c r="I160" s="2" t="n"/>
      <c r="J160" s="4" t="n"/>
      <c r="K160" s="2" t="n"/>
      <c r="L160" s="2" t="n"/>
    </row>
    <row r="161">
      <c r="A161" s="2" t="n"/>
      <c r="B161" s="2" t="n"/>
      <c r="C161" s="5">
        <f>IF($B161="","",IFERROR(VLOOKUP($B161,'02_Конкуренты'!$A\$4:$B\$203,2,FALSE),"не найдено"))</f>
        <v/>
      </c>
      <c r="D161" s="2" t="n"/>
      <c r="E161" s="2" t="n"/>
      <c r="F161" s="2" t="n"/>
      <c r="G161" s="2" t="n"/>
      <c r="H161" s="2" t="n"/>
      <c r="I161" s="2" t="n"/>
      <c r="J161" s="4" t="n"/>
      <c r="K161" s="2" t="n"/>
      <c r="L161" s="2" t="n"/>
    </row>
    <row r="162">
      <c r="A162" s="2" t="n"/>
      <c r="B162" s="2" t="n"/>
      <c r="C162" s="5">
        <f>IF($B162="","",IFERROR(VLOOKUP($B162,'02_Конкуренты'!$A\$4:$B\$203,2,FALSE),"не найдено"))</f>
        <v/>
      </c>
      <c r="D162" s="2" t="n"/>
      <c r="E162" s="2" t="n"/>
      <c r="F162" s="2" t="n"/>
      <c r="G162" s="2" t="n"/>
      <c r="H162" s="2" t="n"/>
      <c r="I162" s="2" t="n"/>
      <c r="J162" s="4" t="n"/>
      <c r="K162" s="2" t="n"/>
      <c r="L162" s="2" t="n"/>
    </row>
    <row r="163">
      <c r="A163" s="2" t="n"/>
      <c r="B163" s="2" t="n"/>
      <c r="C163" s="5">
        <f>IF($B163="","",IFERROR(VLOOKUP($B163,'02_Конкуренты'!$A\$4:$B\$203,2,FALSE),"не найдено"))</f>
        <v/>
      </c>
      <c r="D163" s="2" t="n"/>
      <c r="E163" s="2" t="n"/>
      <c r="F163" s="2" t="n"/>
      <c r="G163" s="2" t="n"/>
      <c r="H163" s="2" t="n"/>
      <c r="I163" s="2" t="n"/>
      <c r="J163" s="4" t="n"/>
      <c r="K163" s="2" t="n"/>
      <c r="L163" s="2" t="n"/>
    </row>
    <row r="164">
      <c r="A164" s="2" t="n"/>
      <c r="B164" s="2" t="n"/>
      <c r="C164" s="5">
        <f>IF($B164="","",IFERROR(VLOOKUP($B164,'02_Конкуренты'!$A\$4:$B\$203,2,FALSE),"не найдено"))</f>
        <v/>
      </c>
      <c r="D164" s="2" t="n"/>
      <c r="E164" s="2" t="n"/>
      <c r="F164" s="2" t="n"/>
      <c r="G164" s="2" t="n"/>
      <c r="H164" s="2" t="n"/>
      <c r="I164" s="2" t="n"/>
      <c r="J164" s="4" t="n"/>
      <c r="K164" s="2" t="n"/>
      <c r="L164" s="2" t="n"/>
    </row>
    <row r="165">
      <c r="A165" s="2" t="n"/>
      <c r="B165" s="2" t="n"/>
      <c r="C165" s="5">
        <f>IF($B165="","",IFERROR(VLOOKUP($B165,'02_Конкуренты'!$A\$4:$B\$203,2,FALSE),"не найдено"))</f>
        <v/>
      </c>
      <c r="D165" s="2" t="n"/>
      <c r="E165" s="2" t="n"/>
      <c r="F165" s="2" t="n"/>
      <c r="G165" s="2" t="n"/>
      <c r="H165" s="2" t="n"/>
      <c r="I165" s="2" t="n"/>
      <c r="J165" s="4" t="n"/>
      <c r="K165" s="2" t="n"/>
      <c r="L165" s="2" t="n"/>
    </row>
    <row r="166">
      <c r="A166" s="2" t="n"/>
      <c r="B166" s="2" t="n"/>
      <c r="C166" s="5">
        <f>IF($B166="","",IFERROR(VLOOKUP($B166,'02_Конкуренты'!$A\$4:$B\$203,2,FALSE),"не найдено"))</f>
        <v/>
      </c>
      <c r="D166" s="2" t="n"/>
      <c r="E166" s="2" t="n"/>
      <c r="F166" s="2" t="n"/>
      <c r="G166" s="2" t="n"/>
      <c r="H166" s="2" t="n"/>
      <c r="I166" s="2" t="n"/>
      <c r="J166" s="4" t="n"/>
      <c r="K166" s="2" t="n"/>
      <c r="L166" s="2" t="n"/>
    </row>
    <row r="167">
      <c r="A167" s="2" t="n"/>
      <c r="B167" s="2" t="n"/>
      <c r="C167" s="5">
        <f>IF($B167="","",IFERROR(VLOOKUP($B167,'02_Конкуренты'!$A\$4:$B\$203,2,FALSE),"не найдено"))</f>
        <v/>
      </c>
      <c r="D167" s="2" t="n"/>
      <c r="E167" s="2" t="n"/>
      <c r="F167" s="2" t="n"/>
      <c r="G167" s="2" t="n"/>
      <c r="H167" s="2" t="n"/>
      <c r="I167" s="2" t="n"/>
      <c r="J167" s="4" t="n"/>
      <c r="K167" s="2" t="n"/>
      <c r="L167" s="2" t="n"/>
    </row>
    <row r="168">
      <c r="A168" s="2" t="n"/>
      <c r="B168" s="2" t="n"/>
      <c r="C168" s="5">
        <f>IF($B168="","",IFERROR(VLOOKUP($B168,'02_Конкуренты'!$A\$4:$B\$203,2,FALSE),"не найдено"))</f>
        <v/>
      </c>
      <c r="D168" s="2" t="n"/>
      <c r="E168" s="2" t="n"/>
      <c r="F168" s="2" t="n"/>
      <c r="G168" s="2" t="n"/>
      <c r="H168" s="2" t="n"/>
      <c r="I168" s="2" t="n"/>
      <c r="J168" s="4" t="n"/>
      <c r="K168" s="2" t="n"/>
      <c r="L168" s="2" t="n"/>
    </row>
    <row r="169">
      <c r="A169" s="2" t="n"/>
      <c r="B169" s="2" t="n"/>
      <c r="C169" s="5">
        <f>IF($B169="","",IFERROR(VLOOKUP($B169,'02_Конкуренты'!$A\$4:$B\$203,2,FALSE),"не найдено"))</f>
        <v/>
      </c>
      <c r="D169" s="2" t="n"/>
      <c r="E169" s="2" t="n"/>
      <c r="F169" s="2" t="n"/>
      <c r="G169" s="2" t="n"/>
      <c r="H169" s="2" t="n"/>
      <c r="I169" s="2" t="n"/>
      <c r="J169" s="4" t="n"/>
      <c r="K169" s="2" t="n"/>
      <c r="L169" s="2" t="n"/>
    </row>
    <row r="170">
      <c r="A170" s="2" t="n"/>
      <c r="B170" s="2" t="n"/>
      <c r="C170" s="5">
        <f>IF($B170="","",IFERROR(VLOOKUP($B170,'02_Конкуренты'!$A\$4:$B\$203,2,FALSE),"не найдено"))</f>
        <v/>
      </c>
      <c r="D170" s="2" t="n"/>
      <c r="E170" s="2" t="n"/>
      <c r="F170" s="2" t="n"/>
      <c r="G170" s="2" t="n"/>
      <c r="H170" s="2" t="n"/>
      <c r="I170" s="2" t="n"/>
      <c r="J170" s="4" t="n"/>
      <c r="K170" s="2" t="n"/>
      <c r="L170" s="2" t="n"/>
    </row>
    <row r="171">
      <c r="A171" s="2" t="n"/>
      <c r="B171" s="2" t="n"/>
      <c r="C171" s="5">
        <f>IF($B171="","",IFERROR(VLOOKUP($B171,'02_Конкуренты'!$A\$4:$B\$203,2,FALSE),"не найдено"))</f>
        <v/>
      </c>
      <c r="D171" s="2" t="n"/>
      <c r="E171" s="2" t="n"/>
      <c r="F171" s="2" t="n"/>
      <c r="G171" s="2" t="n"/>
      <c r="H171" s="2" t="n"/>
      <c r="I171" s="2" t="n"/>
      <c r="J171" s="4" t="n"/>
      <c r="K171" s="2" t="n"/>
      <c r="L171" s="2" t="n"/>
    </row>
    <row r="172">
      <c r="A172" s="2" t="n"/>
      <c r="B172" s="2" t="n"/>
      <c r="C172" s="5">
        <f>IF($B172="","",IFERROR(VLOOKUP($B172,'02_Конкуренты'!$A\$4:$B\$203,2,FALSE),"не найдено"))</f>
        <v/>
      </c>
      <c r="D172" s="2" t="n"/>
      <c r="E172" s="2" t="n"/>
      <c r="F172" s="2" t="n"/>
      <c r="G172" s="2" t="n"/>
      <c r="H172" s="2" t="n"/>
      <c r="I172" s="2" t="n"/>
      <c r="J172" s="4" t="n"/>
      <c r="K172" s="2" t="n"/>
      <c r="L172" s="2" t="n"/>
    </row>
    <row r="173">
      <c r="A173" s="2" t="n"/>
      <c r="B173" s="2" t="n"/>
      <c r="C173" s="5">
        <f>IF($B173="","",IFERROR(VLOOKUP($B173,'02_Конкуренты'!$A\$4:$B\$203,2,FALSE),"не найдено"))</f>
        <v/>
      </c>
      <c r="D173" s="2" t="n"/>
      <c r="E173" s="2" t="n"/>
      <c r="F173" s="2" t="n"/>
      <c r="G173" s="2" t="n"/>
      <c r="H173" s="2" t="n"/>
      <c r="I173" s="2" t="n"/>
      <c r="J173" s="4" t="n"/>
      <c r="K173" s="2" t="n"/>
      <c r="L173" s="2" t="n"/>
    </row>
    <row r="174">
      <c r="A174" s="2" t="n"/>
      <c r="B174" s="2" t="n"/>
      <c r="C174" s="5">
        <f>IF($B174="","",IFERROR(VLOOKUP($B174,'02_Конкуренты'!$A\$4:$B\$203,2,FALSE),"не найдено"))</f>
        <v/>
      </c>
      <c r="D174" s="2" t="n"/>
      <c r="E174" s="2" t="n"/>
      <c r="F174" s="2" t="n"/>
      <c r="G174" s="2" t="n"/>
      <c r="H174" s="2" t="n"/>
      <c r="I174" s="2" t="n"/>
      <c r="J174" s="4" t="n"/>
      <c r="K174" s="2" t="n"/>
      <c r="L174" s="2" t="n"/>
    </row>
    <row r="175">
      <c r="A175" s="2" t="n"/>
      <c r="B175" s="2" t="n"/>
      <c r="C175" s="5">
        <f>IF($B175="","",IFERROR(VLOOKUP($B175,'02_Конкуренты'!$A\$4:$B\$203,2,FALSE),"не найдено"))</f>
        <v/>
      </c>
      <c r="D175" s="2" t="n"/>
      <c r="E175" s="2" t="n"/>
      <c r="F175" s="2" t="n"/>
      <c r="G175" s="2" t="n"/>
      <c r="H175" s="2" t="n"/>
      <c r="I175" s="2" t="n"/>
      <c r="J175" s="4" t="n"/>
      <c r="K175" s="2" t="n"/>
      <c r="L175" s="2" t="n"/>
    </row>
    <row r="176">
      <c r="A176" s="2" t="n"/>
      <c r="B176" s="2" t="n"/>
      <c r="C176" s="5">
        <f>IF($B176="","",IFERROR(VLOOKUP($B176,'02_Конкуренты'!$A\$4:$B\$203,2,FALSE),"не найдено"))</f>
        <v/>
      </c>
      <c r="D176" s="2" t="n"/>
      <c r="E176" s="2" t="n"/>
      <c r="F176" s="2" t="n"/>
      <c r="G176" s="2" t="n"/>
      <c r="H176" s="2" t="n"/>
      <c r="I176" s="2" t="n"/>
      <c r="J176" s="4" t="n"/>
      <c r="K176" s="2" t="n"/>
      <c r="L176" s="2" t="n"/>
    </row>
    <row r="177">
      <c r="A177" s="2" t="n"/>
      <c r="B177" s="2" t="n"/>
      <c r="C177" s="5">
        <f>IF($B177="","",IFERROR(VLOOKUP($B177,'02_Конкуренты'!$A\$4:$B\$203,2,FALSE),"не найдено"))</f>
        <v/>
      </c>
      <c r="D177" s="2" t="n"/>
      <c r="E177" s="2" t="n"/>
      <c r="F177" s="2" t="n"/>
      <c r="G177" s="2" t="n"/>
      <c r="H177" s="2" t="n"/>
      <c r="I177" s="2" t="n"/>
      <c r="J177" s="4" t="n"/>
      <c r="K177" s="2" t="n"/>
      <c r="L177" s="2" t="n"/>
    </row>
    <row r="178">
      <c r="A178" s="2" t="n"/>
      <c r="B178" s="2" t="n"/>
      <c r="C178" s="5">
        <f>IF($B178="","",IFERROR(VLOOKUP($B178,'02_Конкуренты'!$A\$4:$B\$203,2,FALSE),"не найдено"))</f>
        <v/>
      </c>
      <c r="D178" s="2" t="n"/>
      <c r="E178" s="2" t="n"/>
      <c r="F178" s="2" t="n"/>
      <c r="G178" s="2" t="n"/>
      <c r="H178" s="2" t="n"/>
      <c r="I178" s="2" t="n"/>
      <c r="J178" s="4" t="n"/>
      <c r="K178" s="2" t="n"/>
      <c r="L178" s="2" t="n"/>
    </row>
    <row r="179">
      <c r="A179" s="2" t="n"/>
      <c r="B179" s="2" t="n"/>
      <c r="C179" s="5">
        <f>IF($B179="","",IFERROR(VLOOKUP($B179,'02_Конкуренты'!$A\$4:$B\$203,2,FALSE),"не найдено"))</f>
        <v/>
      </c>
      <c r="D179" s="2" t="n"/>
      <c r="E179" s="2" t="n"/>
      <c r="F179" s="2" t="n"/>
      <c r="G179" s="2" t="n"/>
      <c r="H179" s="2" t="n"/>
      <c r="I179" s="2" t="n"/>
      <c r="J179" s="4" t="n"/>
      <c r="K179" s="2" t="n"/>
      <c r="L179" s="2" t="n"/>
    </row>
    <row r="180">
      <c r="A180" s="2" t="n"/>
      <c r="B180" s="2" t="n"/>
      <c r="C180" s="5">
        <f>IF($B180="","",IFERROR(VLOOKUP($B180,'02_Конкуренты'!$A\$4:$B\$203,2,FALSE),"не найдено"))</f>
        <v/>
      </c>
      <c r="D180" s="2" t="n"/>
      <c r="E180" s="2" t="n"/>
      <c r="F180" s="2" t="n"/>
      <c r="G180" s="2" t="n"/>
      <c r="H180" s="2" t="n"/>
      <c r="I180" s="2" t="n"/>
      <c r="J180" s="4" t="n"/>
      <c r="K180" s="2" t="n"/>
      <c r="L180" s="2" t="n"/>
    </row>
    <row r="181">
      <c r="A181" s="2" t="n"/>
      <c r="B181" s="2" t="n"/>
      <c r="C181" s="5">
        <f>IF($B181="","",IFERROR(VLOOKUP($B181,'02_Конкуренты'!$A\$4:$B\$203,2,FALSE),"не найдено"))</f>
        <v/>
      </c>
      <c r="D181" s="2" t="n"/>
      <c r="E181" s="2" t="n"/>
      <c r="F181" s="2" t="n"/>
      <c r="G181" s="2" t="n"/>
      <c r="H181" s="2" t="n"/>
      <c r="I181" s="2" t="n"/>
      <c r="J181" s="4" t="n"/>
      <c r="K181" s="2" t="n"/>
      <c r="L181" s="2" t="n"/>
    </row>
    <row r="182">
      <c r="A182" s="2" t="n"/>
      <c r="B182" s="2" t="n"/>
      <c r="C182" s="5">
        <f>IF($B182="","",IFERROR(VLOOKUP($B182,'02_Конкуренты'!$A\$4:$B\$203,2,FALSE),"не найдено"))</f>
        <v/>
      </c>
      <c r="D182" s="2" t="n"/>
      <c r="E182" s="2" t="n"/>
      <c r="F182" s="2" t="n"/>
      <c r="G182" s="2" t="n"/>
      <c r="H182" s="2" t="n"/>
      <c r="I182" s="2" t="n"/>
      <c r="J182" s="4" t="n"/>
      <c r="K182" s="2" t="n"/>
      <c r="L182" s="2" t="n"/>
    </row>
    <row r="183">
      <c r="A183" s="2" t="n"/>
      <c r="B183" s="2" t="n"/>
      <c r="C183" s="5">
        <f>IF($B183="","",IFERROR(VLOOKUP($B183,'02_Конкуренты'!$A\$4:$B\$203,2,FALSE),"не найдено"))</f>
        <v/>
      </c>
      <c r="D183" s="2" t="n"/>
      <c r="E183" s="2" t="n"/>
      <c r="F183" s="2" t="n"/>
      <c r="G183" s="2" t="n"/>
      <c r="H183" s="2" t="n"/>
      <c r="I183" s="2" t="n"/>
      <c r="J183" s="4" t="n"/>
      <c r="K183" s="2" t="n"/>
      <c r="L183" s="2" t="n"/>
    </row>
    <row r="184">
      <c r="A184" s="2" t="n"/>
      <c r="B184" s="2" t="n"/>
      <c r="C184" s="5">
        <f>IF($B184="","",IFERROR(VLOOKUP($B184,'02_Конкуренты'!$A\$4:$B\$203,2,FALSE),"не найдено"))</f>
        <v/>
      </c>
      <c r="D184" s="2" t="n"/>
      <c r="E184" s="2" t="n"/>
      <c r="F184" s="2" t="n"/>
      <c r="G184" s="2" t="n"/>
      <c r="H184" s="2" t="n"/>
      <c r="I184" s="2" t="n"/>
      <c r="J184" s="4" t="n"/>
      <c r="K184" s="2" t="n"/>
      <c r="L184" s="2" t="n"/>
    </row>
    <row r="185">
      <c r="A185" s="2" t="n"/>
      <c r="B185" s="2" t="n"/>
      <c r="C185" s="5">
        <f>IF($B185="","",IFERROR(VLOOKUP($B185,'02_Конкуренты'!$A\$4:$B\$203,2,FALSE),"не найдено"))</f>
        <v/>
      </c>
      <c r="D185" s="2" t="n"/>
      <c r="E185" s="2" t="n"/>
      <c r="F185" s="2" t="n"/>
      <c r="G185" s="2" t="n"/>
      <c r="H185" s="2" t="n"/>
      <c r="I185" s="2" t="n"/>
      <c r="J185" s="4" t="n"/>
      <c r="K185" s="2" t="n"/>
      <c r="L185" s="2" t="n"/>
    </row>
    <row r="186">
      <c r="A186" s="2" t="n"/>
      <c r="B186" s="2" t="n"/>
      <c r="C186" s="5">
        <f>IF($B186="","",IFERROR(VLOOKUP($B186,'02_Конкуренты'!$A\$4:$B\$203,2,FALSE),"не найдено"))</f>
        <v/>
      </c>
      <c r="D186" s="2" t="n"/>
      <c r="E186" s="2" t="n"/>
      <c r="F186" s="2" t="n"/>
      <c r="G186" s="2" t="n"/>
      <c r="H186" s="2" t="n"/>
      <c r="I186" s="2" t="n"/>
      <c r="J186" s="4" t="n"/>
      <c r="K186" s="2" t="n"/>
      <c r="L186" s="2" t="n"/>
    </row>
    <row r="187">
      <c r="A187" s="2" t="n"/>
      <c r="B187" s="2" t="n"/>
      <c r="C187" s="5">
        <f>IF($B187="","",IFERROR(VLOOKUP($B187,'02_Конкуренты'!$A\$4:$B\$203,2,FALSE),"не найдено"))</f>
        <v/>
      </c>
      <c r="D187" s="2" t="n"/>
      <c r="E187" s="2" t="n"/>
      <c r="F187" s="2" t="n"/>
      <c r="G187" s="2" t="n"/>
      <c r="H187" s="2" t="n"/>
      <c r="I187" s="2" t="n"/>
      <c r="J187" s="4" t="n"/>
      <c r="K187" s="2" t="n"/>
      <c r="L187" s="2" t="n"/>
    </row>
    <row r="188">
      <c r="A188" s="2" t="n"/>
      <c r="B188" s="2" t="n"/>
      <c r="C188" s="5">
        <f>IF($B188="","",IFERROR(VLOOKUP($B188,'02_Конкуренты'!$A\$4:$B\$203,2,FALSE),"не найдено"))</f>
        <v/>
      </c>
      <c r="D188" s="2" t="n"/>
      <c r="E188" s="2" t="n"/>
      <c r="F188" s="2" t="n"/>
      <c r="G188" s="2" t="n"/>
      <c r="H188" s="2" t="n"/>
      <c r="I188" s="2" t="n"/>
      <c r="J188" s="4" t="n"/>
      <c r="K188" s="2" t="n"/>
      <c r="L188" s="2" t="n"/>
    </row>
    <row r="189">
      <c r="A189" s="2" t="n"/>
      <c r="B189" s="2" t="n"/>
      <c r="C189" s="5">
        <f>IF($B189="","",IFERROR(VLOOKUP($B189,'02_Конкуренты'!$A\$4:$B\$203,2,FALSE),"не найдено"))</f>
        <v/>
      </c>
      <c r="D189" s="2" t="n"/>
      <c r="E189" s="2" t="n"/>
      <c r="F189" s="2" t="n"/>
      <c r="G189" s="2" t="n"/>
      <c r="H189" s="2" t="n"/>
      <c r="I189" s="2" t="n"/>
      <c r="J189" s="4" t="n"/>
      <c r="K189" s="2" t="n"/>
      <c r="L189" s="2" t="n"/>
    </row>
    <row r="190">
      <c r="A190" s="2" t="n"/>
      <c r="B190" s="2" t="n"/>
      <c r="C190" s="5">
        <f>IF($B190="","",IFERROR(VLOOKUP($B190,'02_Конкуренты'!$A\$4:$B\$203,2,FALSE),"не найдено"))</f>
        <v/>
      </c>
      <c r="D190" s="2" t="n"/>
      <c r="E190" s="2" t="n"/>
      <c r="F190" s="2" t="n"/>
      <c r="G190" s="2" t="n"/>
      <c r="H190" s="2" t="n"/>
      <c r="I190" s="2" t="n"/>
      <c r="J190" s="4" t="n"/>
      <c r="K190" s="2" t="n"/>
      <c r="L190" s="2" t="n"/>
    </row>
    <row r="191">
      <c r="A191" s="2" t="n"/>
      <c r="B191" s="2" t="n"/>
      <c r="C191" s="5">
        <f>IF($B191="","",IFERROR(VLOOKUP($B191,'02_Конкуренты'!$A\$4:$B\$203,2,FALSE),"не найдено"))</f>
        <v/>
      </c>
      <c r="D191" s="2" t="n"/>
      <c r="E191" s="2" t="n"/>
      <c r="F191" s="2" t="n"/>
      <c r="G191" s="2" t="n"/>
      <c r="H191" s="2" t="n"/>
      <c r="I191" s="2" t="n"/>
      <c r="J191" s="4" t="n"/>
      <c r="K191" s="2" t="n"/>
      <c r="L191" s="2" t="n"/>
    </row>
    <row r="192">
      <c r="A192" s="2" t="n"/>
      <c r="B192" s="2" t="n"/>
      <c r="C192" s="5">
        <f>IF($B192="","",IFERROR(VLOOKUP($B192,'02_Конкуренты'!$A\$4:$B\$203,2,FALSE),"не найдено"))</f>
        <v/>
      </c>
      <c r="D192" s="2" t="n"/>
      <c r="E192" s="2" t="n"/>
      <c r="F192" s="2" t="n"/>
      <c r="G192" s="2" t="n"/>
      <c r="H192" s="2" t="n"/>
      <c r="I192" s="2" t="n"/>
      <c r="J192" s="4" t="n"/>
      <c r="K192" s="2" t="n"/>
      <c r="L192" s="2" t="n"/>
    </row>
    <row r="193">
      <c r="A193" s="2" t="n"/>
      <c r="B193" s="2" t="n"/>
      <c r="C193" s="5">
        <f>IF($B193="","",IFERROR(VLOOKUP($B193,'02_Конкуренты'!$A\$4:$B\$203,2,FALSE),"не найдено"))</f>
        <v/>
      </c>
      <c r="D193" s="2" t="n"/>
      <c r="E193" s="2" t="n"/>
      <c r="F193" s="2" t="n"/>
      <c r="G193" s="2" t="n"/>
      <c r="H193" s="2" t="n"/>
      <c r="I193" s="2" t="n"/>
      <c r="J193" s="4" t="n"/>
      <c r="K193" s="2" t="n"/>
      <c r="L193" s="2" t="n"/>
    </row>
    <row r="194">
      <c r="A194" s="2" t="n"/>
      <c r="B194" s="2" t="n"/>
      <c r="C194" s="5">
        <f>IF($B194="","",IFERROR(VLOOKUP($B194,'02_Конкуренты'!$A\$4:$B\$203,2,FALSE),"не найдено"))</f>
        <v/>
      </c>
      <c r="D194" s="2" t="n"/>
      <c r="E194" s="2" t="n"/>
      <c r="F194" s="2" t="n"/>
      <c r="G194" s="2" t="n"/>
      <c r="H194" s="2" t="n"/>
      <c r="I194" s="2" t="n"/>
      <c r="J194" s="4" t="n"/>
      <c r="K194" s="2" t="n"/>
      <c r="L194" s="2" t="n"/>
    </row>
    <row r="195">
      <c r="A195" s="2" t="n"/>
      <c r="B195" s="2" t="n"/>
      <c r="C195" s="5">
        <f>IF($B195="","",IFERROR(VLOOKUP($B195,'02_Конкуренты'!$A\$4:$B\$203,2,FALSE),"не найдено"))</f>
        <v/>
      </c>
      <c r="D195" s="2" t="n"/>
      <c r="E195" s="2" t="n"/>
      <c r="F195" s="2" t="n"/>
      <c r="G195" s="2" t="n"/>
      <c r="H195" s="2" t="n"/>
      <c r="I195" s="2" t="n"/>
      <c r="J195" s="4" t="n"/>
      <c r="K195" s="2" t="n"/>
      <c r="L195" s="2" t="n"/>
    </row>
    <row r="196">
      <c r="A196" s="2" t="n"/>
      <c r="B196" s="2" t="n"/>
      <c r="C196" s="5">
        <f>IF($B196="","",IFERROR(VLOOKUP($B196,'02_Конкуренты'!$A\$4:$B\$203,2,FALSE),"не найдено"))</f>
        <v/>
      </c>
      <c r="D196" s="2" t="n"/>
      <c r="E196" s="2" t="n"/>
      <c r="F196" s="2" t="n"/>
      <c r="G196" s="2" t="n"/>
      <c r="H196" s="2" t="n"/>
      <c r="I196" s="2" t="n"/>
      <c r="J196" s="4" t="n"/>
      <c r="K196" s="2" t="n"/>
      <c r="L196" s="2" t="n"/>
    </row>
    <row r="197">
      <c r="A197" s="2" t="n"/>
      <c r="B197" s="2" t="n"/>
      <c r="C197" s="5">
        <f>IF($B197="","",IFERROR(VLOOKUP($B197,'02_Конкуренты'!$A\$4:$B\$203,2,FALSE),"не найдено"))</f>
        <v/>
      </c>
      <c r="D197" s="2" t="n"/>
      <c r="E197" s="2" t="n"/>
      <c r="F197" s="2" t="n"/>
      <c r="G197" s="2" t="n"/>
      <c r="H197" s="2" t="n"/>
      <c r="I197" s="2" t="n"/>
      <c r="J197" s="4" t="n"/>
      <c r="K197" s="2" t="n"/>
      <c r="L197" s="2" t="n"/>
    </row>
    <row r="198">
      <c r="A198" s="2" t="n"/>
      <c r="B198" s="2" t="n"/>
      <c r="C198" s="5">
        <f>IF($B198="","",IFERROR(VLOOKUP($B198,'02_Конкуренты'!$A\$4:$B\$203,2,FALSE),"не найдено"))</f>
        <v/>
      </c>
      <c r="D198" s="2" t="n"/>
      <c r="E198" s="2" t="n"/>
      <c r="F198" s="2" t="n"/>
      <c r="G198" s="2" t="n"/>
      <c r="H198" s="2" t="n"/>
      <c r="I198" s="2" t="n"/>
      <c r="J198" s="4" t="n"/>
      <c r="K198" s="2" t="n"/>
      <c r="L198" s="2" t="n"/>
    </row>
    <row r="199">
      <c r="A199" s="2" t="n"/>
      <c r="B199" s="2" t="n"/>
      <c r="C199" s="5">
        <f>IF($B199="","",IFERROR(VLOOKUP($B199,'02_Конкуренты'!$A\$4:$B\$203,2,FALSE),"не найдено"))</f>
        <v/>
      </c>
      <c r="D199" s="2" t="n"/>
      <c r="E199" s="2" t="n"/>
      <c r="F199" s="2" t="n"/>
      <c r="G199" s="2" t="n"/>
      <c r="H199" s="2" t="n"/>
      <c r="I199" s="2" t="n"/>
      <c r="J199" s="4" t="n"/>
      <c r="K199" s="2" t="n"/>
      <c r="L199" s="2" t="n"/>
    </row>
    <row r="200">
      <c r="A200" s="2" t="n"/>
      <c r="B200" s="2" t="n"/>
      <c r="C200" s="5">
        <f>IF($B200="","",IFERROR(VLOOKUP($B200,'02_Конкуренты'!$A\$4:$B\$203,2,FALSE),"не найдено"))</f>
        <v/>
      </c>
      <c r="D200" s="2" t="n"/>
      <c r="E200" s="2" t="n"/>
      <c r="F200" s="2" t="n"/>
      <c r="G200" s="2" t="n"/>
      <c r="H200" s="2" t="n"/>
      <c r="I200" s="2" t="n"/>
      <c r="J200" s="4" t="n"/>
      <c r="K200" s="2" t="n"/>
      <c r="L200" s="2" t="n"/>
    </row>
    <row r="201">
      <c r="A201" s="2" t="n"/>
      <c r="B201" s="2" t="n"/>
      <c r="C201" s="5">
        <f>IF($B201="","",IFERROR(VLOOKUP($B201,'02_Конкуренты'!$A\$4:$B\$203,2,FALSE),"не найдено"))</f>
        <v/>
      </c>
      <c r="D201" s="2" t="n"/>
      <c r="E201" s="2" t="n"/>
      <c r="F201" s="2" t="n"/>
      <c r="G201" s="2" t="n"/>
      <c r="H201" s="2" t="n"/>
      <c r="I201" s="2" t="n"/>
      <c r="J201" s="4" t="n"/>
      <c r="K201" s="2" t="n"/>
      <c r="L201" s="2" t="n"/>
    </row>
    <row r="202">
      <c r="A202" s="2" t="n"/>
      <c r="B202" s="2" t="n"/>
      <c r="C202" s="5">
        <f>IF($B202="","",IFERROR(VLOOKUP($B202,'02_Конкуренты'!$A\$4:$B\$203,2,FALSE),"не найдено"))</f>
        <v/>
      </c>
      <c r="D202" s="2" t="n"/>
      <c r="E202" s="2" t="n"/>
      <c r="F202" s="2" t="n"/>
      <c r="G202" s="2" t="n"/>
      <c r="H202" s="2" t="n"/>
      <c r="I202" s="2" t="n"/>
      <c r="J202" s="4" t="n"/>
      <c r="K202" s="2" t="n"/>
      <c r="L202" s="2" t="n"/>
    </row>
    <row r="203">
      <c r="A203" s="2" t="n"/>
      <c r="B203" s="2" t="n"/>
      <c r="C203" s="5">
        <f>IF($B203="","",IFERROR(VLOOKUP($B203,'02_Конкуренты'!$A\$4:$B\$203,2,FALSE),"не найдено"))</f>
        <v/>
      </c>
      <c r="D203" s="2" t="n"/>
      <c r="E203" s="2" t="n"/>
      <c r="F203" s="2" t="n"/>
      <c r="G203" s="2" t="n"/>
      <c r="H203" s="2" t="n"/>
      <c r="I203" s="2" t="n"/>
      <c r="J203" s="4" t="n"/>
      <c r="K203" s="2" t="n"/>
      <c r="L203" s="2" t="n"/>
    </row>
    <row r="204">
      <c r="A204" s="2" t="n"/>
      <c r="B204" s="2" t="n"/>
      <c r="C204" s="5">
        <f>IF($B204="","",IFERROR(VLOOKUP($B204,'02_Конкуренты'!$A\$4:$B\$203,2,FALSE),"не найдено"))</f>
        <v/>
      </c>
      <c r="D204" s="2" t="n"/>
      <c r="E204" s="2" t="n"/>
      <c r="F204" s="2" t="n"/>
      <c r="G204" s="2" t="n"/>
      <c r="H204" s="2" t="n"/>
      <c r="I204" s="2" t="n"/>
      <c r="J204" s="4" t="n"/>
      <c r="K204" s="2" t="n"/>
      <c r="L204" s="2" t="n"/>
    </row>
    <row r="205">
      <c r="A205" s="2" t="n"/>
      <c r="B205" s="2" t="n"/>
      <c r="C205" s="5">
        <f>IF($B205="","",IFERROR(VLOOKUP($B205,'02_Конкуренты'!$A\$4:$B\$203,2,FALSE),"не найдено"))</f>
        <v/>
      </c>
      <c r="D205" s="2" t="n"/>
      <c r="E205" s="2" t="n"/>
      <c r="F205" s="2" t="n"/>
      <c r="G205" s="2" t="n"/>
      <c r="H205" s="2" t="n"/>
      <c r="I205" s="2" t="n"/>
      <c r="J205" s="4" t="n"/>
      <c r="K205" s="2" t="n"/>
      <c r="L205" s="2" t="n"/>
    </row>
    <row r="206">
      <c r="A206" s="2" t="n"/>
      <c r="B206" s="2" t="n"/>
      <c r="C206" s="5">
        <f>IF($B206="","",IFERROR(VLOOKUP($B206,'02_Конкуренты'!$A\$4:$B\$203,2,FALSE),"не найдено"))</f>
        <v/>
      </c>
      <c r="D206" s="2" t="n"/>
      <c r="E206" s="2" t="n"/>
      <c r="F206" s="2" t="n"/>
      <c r="G206" s="2" t="n"/>
      <c r="H206" s="2" t="n"/>
      <c r="I206" s="2" t="n"/>
      <c r="J206" s="4" t="n"/>
      <c r="K206" s="2" t="n"/>
      <c r="L206" s="2" t="n"/>
    </row>
    <row r="207">
      <c r="A207" s="2" t="n"/>
      <c r="B207" s="2" t="n"/>
      <c r="C207" s="5">
        <f>IF($B207="","",IFERROR(VLOOKUP($B207,'02_Конкуренты'!$A\$4:$B\$203,2,FALSE),"не найдено"))</f>
        <v/>
      </c>
      <c r="D207" s="2" t="n"/>
      <c r="E207" s="2" t="n"/>
      <c r="F207" s="2" t="n"/>
      <c r="G207" s="2" t="n"/>
      <c r="H207" s="2" t="n"/>
      <c r="I207" s="2" t="n"/>
      <c r="J207" s="4" t="n"/>
      <c r="K207" s="2" t="n"/>
      <c r="L207" s="2" t="n"/>
    </row>
    <row r="208">
      <c r="A208" s="2" t="n"/>
      <c r="B208" s="2" t="n"/>
      <c r="C208" s="5">
        <f>IF($B208="","",IFERROR(VLOOKUP($B208,'02_Конкуренты'!$A\$4:$B\$203,2,FALSE),"не найдено"))</f>
        <v/>
      </c>
      <c r="D208" s="2" t="n"/>
      <c r="E208" s="2" t="n"/>
      <c r="F208" s="2" t="n"/>
      <c r="G208" s="2" t="n"/>
      <c r="H208" s="2" t="n"/>
      <c r="I208" s="2" t="n"/>
      <c r="J208" s="4" t="n"/>
      <c r="K208" s="2" t="n"/>
      <c r="L208" s="2" t="n"/>
    </row>
    <row r="209">
      <c r="A209" s="2" t="n"/>
      <c r="B209" s="2" t="n"/>
      <c r="C209" s="5">
        <f>IF($B209="","",IFERROR(VLOOKUP($B209,'02_Конкуренты'!$A\$4:$B\$203,2,FALSE),"не найдено"))</f>
        <v/>
      </c>
      <c r="D209" s="2" t="n"/>
      <c r="E209" s="2" t="n"/>
      <c r="F209" s="2" t="n"/>
      <c r="G209" s="2" t="n"/>
      <c r="H209" s="2" t="n"/>
      <c r="I209" s="2" t="n"/>
      <c r="J209" s="4" t="n"/>
      <c r="K209" s="2" t="n"/>
      <c r="L209" s="2" t="n"/>
    </row>
    <row r="210">
      <c r="A210" s="2" t="n"/>
      <c r="B210" s="2" t="n"/>
      <c r="C210" s="5">
        <f>IF($B210="","",IFERROR(VLOOKUP($B210,'02_Конкуренты'!$A\$4:$B\$203,2,FALSE),"не найдено"))</f>
        <v/>
      </c>
      <c r="D210" s="2" t="n"/>
      <c r="E210" s="2" t="n"/>
      <c r="F210" s="2" t="n"/>
      <c r="G210" s="2" t="n"/>
      <c r="H210" s="2" t="n"/>
      <c r="I210" s="2" t="n"/>
      <c r="J210" s="4" t="n"/>
      <c r="K210" s="2" t="n"/>
      <c r="L210" s="2" t="n"/>
    </row>
    <row r="211">
      <c r="A211" s="2" t="n"/>
      <c r="B211" s="2" t="n"/>
      <c r="C211" s="5">
        <f>IF($B211="","",IFERROR(VLOOKUP($B211,'02_Конкуренты'!$A\$4:$B\$203,2,FALSE),"не найдено"))</f>
        <v/>
      </c>
      <c r="D211" s="2" t="n"/>
      <c r="E211" s="2" t="n"/>
      <c r="F211" s="2" t="n"/>
      <c r="G211" s="2" t="n"/>
      <c r="H211" s="2" t="n"/>
      <c r="I211" s="2" t="n"/>
      <c r="J211" s="4" t="n"/>
      <c r="K211" s="2" t="n"/>
      <c r="L211" s="2" t="n"/>
    </row>
    <row r="212">
      <c r="A212" s="2" t="n"/>
      <c r="B212" s="2" t="n"/>
      <c r="C212" s="5">
        <f>IF($B212="","",IFERROR(VLOOKUP($B212,'02_Конкуренты'!$A\$4:$B\$203,2,FALSE),"не найдено"))</f>
        <v/>
      </c>
      <c r="D212" s="2" t="n"/>
      <c r="E212" s="2" t="n"/>
      <c r="F212" s="2" t="n"/>
      <c r="G212" s="2" t="n"/>
      <c r="H212" s="2" t="n"/>
      <c r="I212" s="2" t="n"/>
      <c r="J212" s="4" t="n"/>
      <c r="K212" s="2" t="n"/>
      <c r="L212" s="2" t="n"/>
    </row>
    <row r="213">
      <c r="A213" s="2" t="n"/>
      <c r="B213" s="2" t="n"/>
      <c r="C213" s="5">
        <f>IF($B213="","",IFERROR(VLOOKUP($B213,'02_Конкуренты'!$A\$4:$B\$203,2,FALSE),"не найдено"))</f>
        <v/>
      </c>
      <c r="D213" s="2" t="n"/>
      <c r="E213" s="2" t="n"/>
      <c r="F213" s="2" t="n"/>
      <c r="G213" s="2" t="n"/>
      <c r="H213" s="2" t="n"/>
      <c r="I213" s="2" t="n"/>
      <c r="J213" s="4" t="n"/>
      <c r="K213" s="2" t="n"/>
      <c r="L213" s="2" t="n"/>
    </row>
    <row r="214">
      <c r="A214" s="2" t="n"/>
      <c r="B214" s="2" t="n"/>
      <c r="C214" s="5">
        <f>IF($B214="","",IFERROR(VLOOKUP($B214,'02_Конкуренты'!$A\$4:$B\$203,2,FALSE),"не найдено"))</f>
        <v/>
      </c>
      <c r="D214" s="2" t="n"/>
      <c r="E214" s="2" t="n"/>
      <c r="F214" s="2" t="n"/>
      <c r="G214" s="2" t="n"/>
      <c r="H214" s="2" t="n"/>
      <c r="I214" s="2" t="n"/>
      <c r="J214" s="4" t="n"/>
      <c r="K214" s="2" t="n"/>
      <c r="L214" s="2" t="n"/>
    </row>
    <row r="215">
      <c r="A215" s="2" t="n"/>
      <c r="B215" s="2" t="n"/>
      <c r="C215" s="5">
        <f>IF($B215="","",IFERROR(VLOOKUP($B215,'02_Конкуренты'!$A\$4:$B\$203,2,FALSE),"не найдено"))</f>
        <v/>
      </c>
      <c r="D215" s="2" t="n"/>
      <c r="E215" s="2" t="n"/>
      <c r="F215" s="2" t="n"/>
      <c r="G215" s="2" t="n"/>
      <c r="H215" s="2" t="n"/>
      <c r="I215" s="2" t="n"/>
      <c r="J215" s="4" t="n"/>
      <c r="K215" s="2" t="n"/>
      <c r="L215" s="2" t="n"/>
    </row>
    <row r="216">
      <c r="A216" s="2" t="n"/>
      <c r="B216" s="2" t="n"/>
      <c r="C216" s="5">
        <f>IF($B216="","",IFERROR(VLOOKUP($B216,'02_Конкуренты'!$A\$4:$B\$203,2,FALSE),"не найдено"))</f>
        <v/>
      </c>
      <c r="D216" s="2" t="n"/>
      <c r="E216" s="2" t="n"/>
      <c r="F216" s="2" t="n"/>
      <c r="G216" s="2" t="n"/>
      <c r="H216" s="2" t="n"/>
      <c r="I216" s="2" t="n"/>
      <c r="J216" s="4" t="n"/>
      <c r="K216" s="2" t="n"/>
      <c r="L216" s="2" t="n"/>
    </row>
    <row r="217">
      <c r="A217" s="2" t="n"/>
      <c r="B217" s="2" t="n"/>
      <c r="C217" s="5">
        <f>IF($B217="","",IFERROR(VLOOKUP($B217,'02_Конкуренты'!$A\$4:$B\$203,2,FALSE),"не найдено"))</f>
        <v/>
      </c>
      <c r="D217" s="2" t="n"/>
      <c r="E217" s="2" t="n"/>
      <c r="F217" s="2" t="n"/>
      <c r="G217" s="2" t="n"/>
      <c r="H217" s="2" t="n"/>
      <c r="I217" s="2" t="n"/>
      <c r="J217" s="4" t="n"/>
      <c r="K217" s="2" t="n"/>
      <c r="L217" s="2" t="n"/>
    </row>
    <row r="218">
      <c r="A218" s="2" t="n"/>
      <c r="B218" s="2" t="n"/>
      <c r="C218" s="5">
        <f>IF($B218="","",IFERROR(VLOOKUP($B218,'02_Конкуренты'!$A\$4:$B\$203,2,FALSE),"не найдено"))</f>
        <v/>
      </c>
      <c r="D218" s="2" t="n"/>
      <c r="E218" s="2" t="n"/>
      <c r="F218" s="2" t="n"/>
      <c r="G218" s="2" t="n"/>
      <c r="H218" s="2" t="n"/>
      <c r="I218" s="2" t="n"/>
      <c r="J218" s="4" t="n"/>
      <c r="K218" s="2" t="n"/>
      <c r="L218" s="2" t="n"/>
    </row>
    <row r="219">
      <c r="A219" s="2" t="n"/>
      <c r="B219" s="2" t="n"/>
      <c r="C219" s="5">
        <f>IF($B219="","",IFERROR(VLOOKUP($B219,'02_Конкуренты'!$A\$4:$B\$203,2,FALSE),"не найдено"))</f>
        <v/>
      </c>
      <c r="D219" s="2" t="n"/>
      <c r="E219" s="2" t="n"/>
      <c r="F219" s="2" t="n"/>
      <c r="G219" s="2" t="n"/>
      <c r="H219" s="2" t="n"/>
      <c r="I219" s="2" t="n"/>
      <c r="J219" s="4" t="n"/>
      <c r="K219" s="2" t="n"/>
      <c r="L219" s="2" t="n"/>
    </row>
    <row r="220">
      <c r="A220" s="2" t="n"/>
      <c r="B220" s="2" t="n"/>
      <c r="C220" s="5">
        <f>IF($B220="","",IFERROR(VLOOKUP($B220,'02_Конкуренты'!$A\$4:$B\$203,2,FALSE),"не найдено"))</f>
        <v/>
      </c>
      <c r="D220" s="2" t="n"/>
      <c r="E220" s="2" t="n"/>
      <c r="F220" s="2" t="n"/>
      <c r="G220" s="2" t="n"/>
      <c r="H220" s="2" t="n"/>
      <c r="I220" s="2" t="n"/>
      <c r="J220" s="4" t="n"/>
      <c r="K220" s="2" t="n"/>
      <c r="L220" s="2" t="n"/>
    </row>
    <row r="221">
      <c r="A221" s="2" t="n"/>
      <c r="B221" s="2" t="n"/>
      <c r="C221" s="5">
        <f>IF($B221="","",IFERROR(VLOOKUP($B221,'02_Конкуренты'!$A\$4:$B\$203,2,FALSE),"не найдено"))</f>
        <v/>
      </c>
      <c r="D221" s="2" t="n"/>
      <c r="E221" s="2" t="n"/>
      <c r="F221" s="2" t="n"/>
      <c r="G221" s="2" t="n"/>
      <c r="H221" s="2" t="n"/>
      <c r="I221" s="2" t="n"/>
      <c r="J221" s="4" t="n"/>
      <c r="K221" s="2" t="n"/>
      <c r="L221" s="2" t="n"/>
    </row>
    <row r="222">
      <c r="A222" s="2" t="n"/>
      <c r="B222" s="2" t="n"/>
      <c r="C222" s="5">
        <f>IF($B222="","",IFERROR(VLOOKUP($B222,'02_Конкуренты'!$A\$4:$B\$203,2,FALSE),"не найдено"))</f>
        <v/>
      </c>
      <c r="D222" s="2" t="n"/>
      <c r="E222" s="2" t="n"/>
      <c r="F222" s="2" t="n"/>
      <c r="G222" s="2" t="n"/>
      <c r="H222" s="2" t="n"/>
      <c r="I222" s="2" t="n"/>
      <c r="J222" s="4" t="n"/>
      <c r="K222" s="2" t="n"/>
      <c r="L222" s="2" t="n"/>
    </row>
    <row r="223">
      <c r="A223" s="2" t="n"/>
      <c r="B223" s="2" t="n"/>
      <c r="C223" s="5">
        <f>IF($B223="","",IFERROR(VLOOKUP($B223,'02_Конкуренты'!$A\$4:$B\$203,2,FALSE),"не найдено"))</f>
        <v/>
      </c>
      <c r="D223" s="2" t="n"/>
      <c r="E223" s="2" t="n"/>
      <c r="F223" s="2" t="n"/>
      <c r="G223" s="2" t="n"/>
      <c r="H223" s="2" t="n"/>
      <c r="I223" s="2" t="n"/>
      <c r="J223" s="4" t="n"/>
      <c r="K223" s="2" t="n"/>
      <c r="L223" s="2" t="n"/>
    </row>
    <row r="224">
      <c r="A224" s="2" t="n"/>
      <c r="B224" s="2" t="n"/>
      <c r="C224" s="5">
        <f>IF($B224="","",IFERROR(VLOOKUP($B224,'02_Конкуренты'!$A\$4:$B\$203,2,FALSE),"не найдено"))</f>
        <v/>
      </c>
      <c r="D224" s="2" t="n"/>
      <c r="E224" s="2" t="n"/>
      <c r="F224" s="2" t="n"/>
      <c r="G224" s="2" t="n"/>
      <c r="H224" s="2" t="n"/>
      <c r="I224" s="2" t="n"/>
      <c r="J224" s="4" t="n"/>
      <c r="K224" s="2" t="n"/>
      <c r="L224" s="2" t="n"/>
    </row>
    <row r="225">
      <c r="A225" s="2" t="n"/>
      <c r="B225" s="2" t="n"/>
      <c r="C225" s="5">
        <f>IF($B225="","",IFERROR(VLOOKUP($B225,'02_Конкуренты'!$A\$4:$B\$203,2,FALSE),"не найдено"))</f>
        <v/>
      </c>
      <c r="D225" s="2" t="n"/>
      <c r="E225" s="2" t="n"/>
      <c r="F225" s="2" t="n"/>
      <c r="G225" s="2" t="n"/>
      <c r="H225" s="2" t="n"/>
      <c r="I225" s="2" t="n"/>
      <c r="J225" s="4" t="n"/>
      <c r="K225" s="2" t="n"/>
      <c r="L225" s="2" t="n"/>
    </row>
    <row r="226">
      <c r="A226" s="2" t="n"/>
      <c r="B226" s="2" t="n"/>
      <c r="C226" s="5">
        <f>IF($B226="","",IFERROR(VLOOKUP($B226,'02_Конкуренты'!$A\$4:$B\$203,2,FALSE),"не найдено"))</f>
        <v/>
      </c>
      <c r="D226" s="2" t="n"/>
      <c r="E226" s="2" t="n"/>
      <c r="F226" s="2" t="n"/>
      <c r="G226" s="2" t="n"/>
      <c r="H226" s="2" t="n"/>
      <c r="I226" s="2" t="n"/>
      <c r="J226" s="4" t="n"/>
      <c r="K226" s="2" t="n"/>
      <c r="L226" s="2" t="n"/>
    </row>
    <row r="227">
      <c r="A227" s="2" t="n"/>
      <c r="B227" s="2" t="n"/>
      <c r="C227" s="5">
        <f>IF($B227="","",IFERROR(VLOOKUP($B227,'02_Конкуренты'!$A\$4:$B\$203,2,FALSE),"не найдено"))</f>
        <v/>
      </c>
      <c r="D227" s="2" t="n"/>
      <c r="E227" s="2" t="n"/>
      <c r="F227" s="2" t="n"/>
      <c r="G227" s="2" t="n"/>
      <c r="H227" s="2" t="n"/>
      <c r="I227" s="2" t="n"/>
      <c r="J227" s="4" t="n"/>
      <c r="K227" s="2" t="n"/>
      <c r="L227" s="2" t="n"/>
    </row>
    <row r="228">
      <c r="A228" s="2" t="n"/>
      <c r="B228" s="2" t="n"/>
      <c r="C228" s="5">
        <f>IF($B228="","",IFERROR(VLOOKUP($B228,'02_Конкуренты'!$A\$4:$B\$203,2,FALSE),"не найдено"))</f>
        <v/>
      </c>
      <c r="D228" s="2" t="n"/>
      <c r="E228" s="2" t="n"/>
      <c r="F228" s="2" t="n"/>
      <c r="G228" s="2" t="n"/>
      <c r="H228" s="2" t="n"/>
      <c r="I228" s="2" t="n"/>
      <c r="J228" s="4" t="n"/>
      <c r="K228" s="2" t="n"/>
      <c r="L228" s="2" t="n"/>
    </row>
    <row r="229">
      <c r="A229" s="2" t="n"/>
      <c r="B229" s="2" t="n"/>
      <c r="C229" s="5">
        <f>IF($B229="","",IFERROR(VLOOKUP($B229,'02_Конкуренты'!$A\$4:$B\$203,2,FALSE),"не найдено"))</f>
        <v/>
      </c>
      <c r="D229" s="2" t="n"/>
      <c r="E229" s="2" t="n"/>
      <c r="F229" s="2" t="n"/>
      <c r="G229" s="2" t="n"/>
      <c r="H229" s="2" t="n"/>
      <c r="I229" s="2" t="n"/>
      <c r="J229" s="4" t="n"/>
      <c r="K229" s="2" t="n"/>
      <c r="L229" s="2" t="n"/>
    </row>
    <row r="230">
      <c r="A230" s="2" t="n"/>
      <c r="B230" s="2" t="n"/>
      <c r="C230" s="5">
        <f>IF($B230="","",IFERROR(VLOOKUP($B230,'02_Конкуренты'!$A\$4:$B\$203,2,FALSE),"не найдено"))</f>
        <v/>
      </c>
      <c r="D230" s="2" t="n"/>
      <c r="E230" s="2" t="n"/>
      <c r="F230" s="2" t="n"/>
      <c r="G230" s="2" t="n"/>
      <c r="H230" s="2" t="n"/>
      <c r="I230" s="2" t="n"/>
      <c r="J230" s="4" t="n"/>
      <c r="K230" s="2" t="n"/>
      <c r="L230" s="2" t="n"/>
    </row>
    <row r="231">
      <c r="A231" s="2" t="n"/>
      <c r="B231" s="2" t="n"/>
      <c r="C231" s="5">
        <f>IF($B231="","",IFERROR(VLOOKUP($B231,'02_Конкуренты'!$A\$4:$B\$203,2,FALSE),"не найдено"))</f>
        <v/>
      </c>
      <c r="D231" s="2" t="n"/>
      <c r="E231" s="2" t="n"/>
      <c r="F231" s="2" t="n"/>
      <c r="G231" s="2" t="n"/>
      <c r="H231" s="2" t="n"/>
      <c r="I231" s="2" t="n"/>
      <c r="J231" s="4" t="n"/>
      <c r="K231" s="2" t="n"/>
      <c r="L231" s="2" t="n"/>
    </row>
    <row r="232">
      <c r="A232" s="2" t="n"/>
      <c r="B232" s="2" t="n"/>
      <c r="C232" s="5">
        <f>IF($B232="","",IFERROR(VLOOKUP($B232,'02_Конкуренты'!$A\$4:$B\$203,2,FALSE),"не найдено"))</f>
        <v/>
      </c>
      <c r="D232" s="2" t="n"/>
      <c r="E232" s="2" t="n"/>
      <c r="F232" s="2" t="n"/>
      <c r="G232" s="2" t="n"/>
      <c r="H232" s="2" t="n"/>
      <c r="I232" s="2" t="n"/>
      <c r="J232" s="4" t="n"/>
      <c r="K232" s="2" t="n"/>
      <c r="L232" s="2" t="n"/>
    </row>
    <row r="233">
      <c r="A233" s="2" t="n"/>
      <c r="B233" s="2" t="n"/>
      <c r="C233" s="5">
        <f>IF($B233="","",IFERROR(VLOOKUP($B233,'02_Конкуренты'!$A\$4:$B\$203,2,FALSE),"не найдено"))</f>
        <v/>
      </c>
      <c r="D233" s="2" t="n"/>
      <c r="E233" s="2" t="n"/>
      <c r="F233" s="2" t="n"/>
      <c r="G233" s="2" t="n"/>
      <c r="H233" s="2" t="n"/>
      <c r="I233" s="2" t="n"/>
      <c r="J233" s="4" t="n"/>
      <c r="K233" s="2" t="n"/>
      <c r="L233" s="2" t="n"/>
    </row>
    <row r="234">
      <c r="A234" s="2" t="n"/>
      <c r="B234" s="2" t="n"/>
      <c r="C234" s="5">
        <f>IF($B234="","",IFERROR(VLOOKUP($B234,'02_Конкуренты'!$A\$4:$B\$203,2,FALSE),"не найдено"))</f>
        <v/>
      </c>
      <c r="D234" s="2" t="n"/>
      <c r="E234" s="2" t="n"/>
      <c r="F234" s="2" t="n"/>
      <c r="G234" s="2" t="n"/>
      <c r="H234" s="2" t="n"/>
      <c r="I234" s="2" t="n"/>
      <c r="J234" s="4" t="n"/>
      <c r="K234" s="2" t="n"/>
      <c r="L234" s="2" t="n"/>
    </row>
    <row r="235">
      <c r="A235" s="2" t="n"/>
      <c r="B235" s="2" t="n"/>
      <c r="C235" s="5">
        <f>IF($B235="","",IFERROR(VLOOKUP($B235,'02_Конкуренты'!$A\$4:$B\$203,2,FALSE),"не найдено"))</f>
        <v/>
      </c>
      <c r="D235" s="2" t="n"/>
      <c r="E235" s="2" t="n"/>
      <c r="F235" s="2" t="n"/>
      <c r="G235" s="2" t="n"/>
      <c r="H235" s="2" t="n"/>
      <c r="I235" s="2" t="n"/>
      <c r="J235" s="4" t="n"/>
      <c r="K235" s="2" t="n"/>
      <c r="L235" s="2" t="n"/>
    </row>
    <row r="236">
      <c r="A236" s="2" t="n"/>
      <c r="B236" s="2" t="n"/>
      <c r="C236" s="5">
        <f>IF($B236="","",IFERROR(VLOOKUP($B236,'02_Конкуренты'!$A\$4:$B\$203,2,FALSE),"не найдено"))</f>
        <v/>
      </c>
      <c r="D236" s="2" t="n"/>
      <c r="E236" s="2" t="n"/>
      <c r="F236" s="2" t="n"/>
      <c r="G236" s="2" t="n"/>
      <c r="H236" s="2" t="n"/>
      <c r="I236" s="2" t="n"/>
      <c r="J236" s="4" t="n"/>
      <c r="K236" s="2" t="n"/>
      <c r="L236" s="2" t="n"/>
    </row>
    <row r="237">
      <c r="A237" s="2" t="n"/>
      <c r="B237" s="2" t="n"/>
      <c r="C237" s="5">
        <f>IF($B237="","",IFERROR(VLOOKUP($B237,'02_Конкуренты'!$A\$4:$B\$203,2,FALSE),"не найдено"))</f>
        <v/>
      </c>
      <c r="D237" s="2" t="n"/>
      <c r="E237" s="2" t="n"/>
      <c r="F237" s="2" t="n"/>
      <c r="G237" s="2" t="n"/>
      <c r="H237" s="2" t="n"/>
      <c r="I237" s="2" t="n"/>
      <c r="J237" s="4" t="n"/>
      <c r="K237" s="2" t="n"/>
      <c r="L237" s="2" t="n"/>
    </row>
    <row r="238">
      <c r="A238" s="2" t="n"/>
      <c r="B238" s="2" t="n"/>
      <c r="C238" s="5">
        <f>IF($B238="","",IFERROR(VLOOKUP($B238,'02_Конкуренты'!$A\$4:$B\$203,2,FALSE),"не найдено"))</f>
        <v/>
      </c>
      <c r="D238" s="2" t="n"/>
      <c r="E238" s="2" t="n"/>
      <c r="F238" s="2" t="n"/>
      <c r="G238" s="2" t="n"/>
      <c r="H238" s="2" t="n"/>
      <c r="I238" s="2" t="n"/>
      <c r="J238" s="4" t="n"/>
      <c r="K238" s="2" t="n"/>
      <c r="L238" s="2" t="n"/>
    </row>
    <row r="239">
      <c r="A239" s="2" t="n"/>
      <c r="B239" s="2" t="n"/>
      <c r="C239" s="5">
        <f>IF($B239="","",IFERROR(VLOOKUP($B239,'02_Конкуренты'!$A\$4:$B\$203,2,FALSE),"не найдено"))</f>
        <v/>
      </c>
      <c r="D239" s="2" t="n"/>
      <c r="E239" s="2" t="n"/>
      <c r="F239" s="2" t="n"/>
      <c r="G239" s="2" t="n"/>
      <c r="H239" s="2" t="n"/>
      <c r="I239" s="2" t="n"/>
      <c r="J239" s="4" t="n"/>
      <c r="K239" s="2" t="n"/>
      <c r="L239" s="2" t="n"/>
    </row>
    <row r="240">
      <c r="A240" s="2" t="n"/>
      <c r="B240" s="2" t="n"/>
      <c r="C240" s="5">
        <f>IF($B240="","",IFERROR(VLOOKUP($B240,'02_Конкуренты'!$A\$4:$B\$203,2,FALSE),"не найдено"))</f>
        <v/>
      </c>
      <c r="D240" s="2" t="n"/>
      <c r="E240" s="2" t="n"/>
      <c r="F240" s="2" t="n"/>
      <c r="G240" s="2" t="n"/>
      <c r="H240" s="2" t="n"/>
      <c r="I240" s="2" t="n"/>
      <c r="J240" s="4" t="n"/>
      <c r="K240" s="2" t="n"/>
      <c r="L240" s="2" t="n"/>
    </row>
    <row r="241">
      <c r="A241" s="2" t="n"/>
      <c r="B241" s="2" t="n"/>
      <c r="C241" s="5">
        <f>IF($B241="","",IFERROR(VLOOKUP($B241,'02_Конкуренты'!$A\$4:$B\$203,2,FALSE),"не найдено"))</f>
        <v/>
      </c>
      <c r="D241" s="2" t="n"/>
      <c r="E241" s="2" t="n"/>
      <c r="F241" s="2" t="n"/>
      <c r="G241" s="2" t="n"/>
      <c r="H241" s="2" t="n"/>
      <c r="I241" s="2" t="n"/>
      <c r="J241" s="4" t="n"/>
      <c r="K241" s="2" t="n"/>
      <c r="L241" s="2" t="n"/>
    </row>
    <row r="242">
      <c r="A242" s="2" t="n"/>
      <c r="B242" s="2" t="n"/>
      <c r="C242" s="5">
        <f>IF($B242="","",IFERROR(VLOOKUP($B242,'02_Конкуренты'!$A\$4:$B\$203,2,FALSE),"не найдено"))</f>
        <v/>
      </c>
      <c r="D242" s="2" t="n"/>
      <c r="E242" s="2" t="n"/>
      <c r="F242" s="2" t="n"/>
      <c r="G242" s="2" t="n"/>
      <c r="H242" s="2" t="n"/>
      <c r="I242" s="2" t="n"/>
      <c r="J242" s="4" t="n"/>
      <c r="K242" s="2" t="n"/>
      <c r="L242" s="2" t="n"/>
    </row>
    <row r="243">
      <c r="A243" s="2" t="n"/>
      <c r="B243" s="2" t="n"/>
      <c r="C243" s="5">
        <f>IF($B243="","",IFERROR(VLOOKUP($B243,'02_Конкуренты'!$A\$4:$B\$203,2,FALSE),"не найдено"))</f>
        <v/>
      </c>
      <c r="D243" s="2" t="n"/>
      <c r="E243" s="2" t="n"/>
      <c r="F243" s="2" t="n"/>
      <c r="G243" s="2" t="n"/>
      <c r="H243" s="2" t="n"/>
      <c r="I243" s="2" t="n"/>
      <c r="J243" s="4" t="n"/>
      <c r="K243" s="2" t="n"/>
      <c r="L243" s="2" t="n"/>
    </row>
    <row r="244">
      <c r="A244" s="2" t="n"/>
      <c r="B244" s="2" t="n"/>
      <c r="C244" s="5">
        <f>IF($B244="","",IFERROR(VLOOKUP($B244,'02_Конкуренты'!$A\$4:$B\$203,2,FALSE),"не найдено"))</f>
        <v/>
      </c>
      <c r="D244" s="2" t="n"/>
      <c r="E244" s="2" t="n"/>
      <c r="F244" s="2" t="n"/>
      <c r="G244" s="2" t="n"/>
      <c r="H244" s="2" t="n"/>
      <c r="I244" s="2" t="n"/>
      <c r="J244" s="4" t="n"/>
      <c r="K244" s="2" t="n"/>
      <c r="L244" s="2" t="n"/>
    </row>
    <row r="245">
      <c r="A245" s="2" t="n"/>
      <c r="B245" s="2" t="n"/>
      <c r="C245" s="5">
        <f>IF($B245="","",IFERROR(VLOOKUP($B245,'02_Конкуренты'!$A\$4:$B\$203,2,FALSE),"не найдено"))</f>
        <v/>
      </c>
      <c r="D245" s="2" t="n"/>
      <c r="E245" s="2" t="n"/>
      <c r="F245" s="2" t="n"/>
      <c r="G245" s="2" t="n"/>
      <c r="H245" s="2" t="n"/>
      <c r="I245" s="2" t="n"/>
      <c r="J245" s="4" t="n"/>
      <c r="K245" s="2" t="n"/>
      <c r="L245" s="2" t="n"/>
    </row>
    <row r="246">
      <c r="A246" s="2" t="n"/>
      <c r="B246" s="2" t="n"/>
      <c r="C246" s="5">
        <f>IF($B246="","",IFERROR(VLOOKUP($B246,'02_Конкуренты'!$A\$4:$B\$203,2,FALSE),"не найдено"))</f>
        <v/>
      </c>
      <c r="D246" s="2" t="n"/>
      <c r="E246" s="2" t="n"/>
      <c r="F246" s="2" t="n"/>
      <c r="G246" s="2" t="n"/>
      <c r="H246" s="2" t="n"/>
      <c r="I246" s="2" t="n"/>
      <c r="J246" s="4" t="n"/>
      <c r="K246" s="2" t="n"/>
      <c r="L246" s="2" t="n"/>
    </row>
    <row r="247">
      <c r="A247" s="2" t="n"/>
      <c r="B247" s="2" t="n"/>
      <c r="C247" s="5">
        <f>IF($B247="","",IFERROR(VLOOKUP($B247,'02_Конкуренты'!$A\$4:$B\$203,2,FALSE),"не найдено"))</f>
        <v/>
      </c>
      <c r="D247" s="2" t="n"/>
      <c r="E247" s="2" t="n"/>
      <c r="F247" s="2" t="n"/>
      <c r="G247" s="2" t="n"/>
      <c r="H247" s="2" t="n"/>
      <c r="I247" s="2" t="n"/>
      <c r="J247" s="4" t="n"/>
      <c r="K247" s="2" t="n"/>
      <c r="L247" s="2" t="n"/>
    </row>
    <row r="248">
      <c r="A248" s="2" t="n"/>
      <c r="B248" s="2" t="n"/>
      <c r="C248" s="5">
        <f>IF($B248="","",IFERROR(VLOOKUP($B248,'02_Конкуренты'!$A\$4:$B\$203,2,FALSE),"не найдено"))</f>
        <v/>
      </c>
      <c r="D248" s="2" t="n"/>
      <c r="E248" s="2" t="n"/>
      <c r="F248" s="2" t="n"/>
      <c r="G248" s="2" t="n"/>
      <c r="H248" s="2" t="n"/>
      <c r="I248" s="2" t="n"/>
      <c r="J248" s="4" t="n"/>
      <c r="K248" s="2" t="n"/>
      <c r="L248" s="2" t="n"/>
    </row>
    <row r="249">
      <c r="A249" s="2" t="n"/>
      <c r="B249" s="2" t="n"/>
      <c r="C249" s="5">
        <f>IF($B249="","",IFERROR(VLOOKUP($B249,'02_Конкуренты'!$A\$4:$B\$203,2,FALSE),"не найдено"))</f>
        <v/>
      </c>
      <c r="D249" s="2" t="n"/>
      <c r="E249" s="2" t="n"/>
      <c r="F249" s="2" t="n"/>
      <c r="G249" s="2" t="n"/>
      <c r="H249" s="2" t="n"/>
      <c r="I249" s="2" t="n"/>
      <c r="J249" s="4" t="n"/>
      <c r="K249" s="2" t="n"/>
      <c r="L249" s="2" t="n"/>
    </row>
    <row r="250">
      <c r="A250" s="2" t="n"/>
      <c r="B250" s="2" t="n"/>
      <c r="C250" s="5">
        <f>IF($B250="","",IFERROR(VLOOKUP($B250,'02_Конкуренты'!$A\$4:$B\$203,2,FALSE),"не найдено"))</f>
        <v/>
      </c>
      <c r="D250" s="2" t="n"/>
      <c r="E250" s="2" t="n"/>
      <c r="F250" s="2" t="n"/>
      <c r="G250" s="2" t="n"/>
      <c r="H250" s="2" t="n"/>
      <c r="I250" s="2" t="n"/>
      <c r="J250" s="4" t="n"/>
      <c r="K250" s="2" t="n"/>
      <c r="L250" s="2" t="n"/>
    </row>
    <row r="251">
      <c r="A251" s="2" t="n"/>
      <c r="B251" s="2" t="n"/>
      <c r="C251" s="5">
        <f>IF($B251="","",IFERROR(VLOOKUP($B251,'02_Конкуренты'!$A\$4:$B\$203,2,FALSE),"не найдено"))</f>
        <v/>
      </c>
      <c r="D251" s="2" t="n"/>
      <c r="E251" s="2" t="n"/>
      <c r="F251" s="2" t="n"/>
      <c r="G251" s="2" t="n"/>
      <c r="H251" s="2" t="n"/>
      <c r="I251" s="2" t="n"/>
      <c r="J251" s="4" t="n"/>
      <c r="K251" s="2" t="n"/>
      <c r="L251" s="2" t="n"/>
    </row>
    <row r="252">
      <c r="A252" s="2" t="n"/>
      <c r="B252" s="2" t="n"/>
      <c r="C252" s="5">
        <f>IF($B252="","",IFERROR(VLOOKUP($B252,'02_Конкуренты'!$A\$4:$B\$203,2,FALSE),"не найдено"))</f>
        <v/>
      </c>
      <c r="D252" s="2" t="n"/>
      <c r="E252" s="2" t="n"/>
      <c r="F252" s="2" t="n"/>
      <c r="G252" s="2" t="n"/>
      <c r="H252" s="2" t="n"/>
      <c r="I252" s="2" t="n"/>
      <c r="J252" s="4" t="n"/>
      <c r="K252" s="2" t="n"/>
      <c r="L252" s="2" t="n"/>
    </row>
    <row r="253">
      <c r="A253" s="2" t="n"/>
      <c r="B253" s="2" t="n"/>
      <c r="C253" s="5">
        <f>IF($B253="","",IFERROR(VLOOKUP($B253,'02_Конкуренты'!$A\$4:$B\$203,2,FALSE),"не найдено"))</f>
        <v/>
      </c>
      <c r="D253" s="2" t="n"/>
      <c r="E253" s="2" t="n"/>
      <c r="F253" s="2" t="n"/>
      <c r="G253" s="2" t="n"/>
      <c r="H253" s="2" t="n"/>
      <c r="I253" s="2" t="n"/>
      <c r="J253" s="4" t="n"/>
      <c r="K253" s="2" t="n"/>
      <c r="L253" s="2" t="n"/>
    </row>
    <row r="254">
      <c r="A254" s="2" t="n"/>
      <c r="B254" s="2" t="n"/>
      <c r="C254" s="5">
        <f>IF($B254="","",IFERROR(VLOOKUP($B254,'02_Конкуренты'!$A\$4:$B\$203,2,FALSE),"не найдено"))</f>
        <v/>
      </c>
      <c r="D254" s="2" t="n"/>
      <c r="E254" s="2" t="n"/>
      <c r="F254" s="2" t="n"/>
      <c r="G254" s="2" t="n"/>
      <c r="H254" s="2" t="n"/>
      <c r="I254" s="2" t="n"/>
      <c r="J254" s="4" t="n"/>
      <c r="K254" s="2" t="n"/>
      <c r="L254" s="2" t="n"/>
    </row>
    <row r="255">
      <c r="A255" s="2" t="n"/>
      <c r="B255" s="2" t="n"/>
      <c r="C255" s="5">
        <f>IF($B255="","",IFERROR(VLOOKUP($B255,'02_Конкуренты'!$A\$4:$B\$203,2,FALSE),"не найдено"))</f>
        <v/>
      </c>
      <c r="D255" s="2" t="n"/>
      <c r="E255" s="2" t="n"/>
      <c r="F255" s="2" t="n"/>
      <c r="G255" s="2" t="n"/>
      <c r="H255" s="2" t="n"/>
      <c r="I255" s="2" t="n"/>
      <c r="J255" s="4" t="n"/>
      <c r="K255" s="2" t="n"/>
      <c r="L255" s="2" t="n"/>
    </row>
    <row r="256">
      <c r="A256" s="2" t="n"/>
      <c r="B256" s="2" t="n"/>
      <c r="C256" s="5">
        <f>IF($B256="","",IFERROR(VLOOKUP($B256,'02_Конкуренты'!$A\$4:$B\$203,2,FALSE),"не найдено"))</f>
        <v/>
      </c>
      <c r="D256" s="2" t="n"/>
      <c r="E256" s="2" t="n"/>
      <c r="F256" s="2" t="n"/>
      <c r="G256" s="2" t="n"/>
      <c r="H256" s="2" t="n"/>
      <c r="I256" s="2" t="n"/>
      <c r="J256" s="4" t="n"/>
      <c r="K256" s="2" t="n"/>
      <c r="L256" s="2" t="n"/>
    </row>
    <row r="257">
      <c r="A257" s="2" t="n"/>
      <c r="B257" s="2" t="n"/>
      <c r="C257" s="5">
        <f>IF($B257="","",IFERROR(VLOOKUP($B257,'02_Конкуренты'!$A\$4:$B\$203,2,FALSE),"не найдено"))</f>
        <v/>
      </c>
      <c r="D257" s="2" t="n"/>
      <c r="E257" s="2" t="n"/>
      <c r="F257" s="2" t="n"/>
      <c r="G257" s="2" t="n"/>
      <c r="H257" s="2" t="n"/>
      <c r="I257" s="2" t="n"/>
      <c r="J257" s="4" t="n"/>
      <c r="K257" s="2" t="n"/>
      <c r="L257" s="2" t="n"/>
    </row>
    <row r="258">
      <c r="A258" s="2" t="n"/>
      <c r="B258" s="2" t="n"/>
      <c r="C258" s="5">
        <f>IF($B258="","",IFERROR(VLOOKUP($B258,'02_Конкуренты'!$A\$4:$B\$203,2,FALSE),"не найдено"))</f>
        <v/>
      </c>
      <c r="D258" s="2" t="n"/>
      <c r="E258" s="2" t="n"/>
      <c r="F258" s="2" t="n"/>
      <c r="G258" s="2" t="n"/>
      <c r="H258" s="2" t="n"/>
      <c r="I258" s="2" t="n"/>
      <c r="J258" s="4" t="n"/>
      <c r="K258" s="2" t="n"/>
      <c r="L258" s="2" t="n"/>
    </row>
    <row r="259">
      <c r="A259" s="2" t="n"/>
      <c r="B259" s="2" t="n"/>
      <c r="C259" s="5">
        <f>IF($B259="","",IFERROR(VLOOKUP($B259,'02_Конкуренты'!$A\$4:$B\$203,2,FALSE),"не найдено"))</f>
        <v/>
      </c>
      <c r="D259" s="2" t="n"/>
      <c r="E259" s="2" t="n"/>
      <c r="F259" s="2" t="n"/>
      <c r="G259" s="2" t="n"/>
      <c r="H259" s="2" t="n"/>
      <c r="I259" s="2" t="n"/>
      <c r="J259" s="4" t="n"/>
      <c r="K259" s="2" t="n"/>
      <c r="L259" s="2" t="n"/>
    </row>
    <row r="260">
      <c r="A260" s="2" t="n"/>
      <c r="B260" s="2" t="n"/>
      <c r="C260" s="5">
        <f>IF($B260="","",IFERROR(VLOOKUP($B260,'02_Конкуренты'!$A\$4:$B\$203,2,FALSE),"не найдено"))</f>
        <v/>
      </c>
      <c r="D260" s="2" t="n"/>
      <c r="E260" s="2" t="n"/>
      <c r="F260" s="2" t="n"/>
      <c r="G260" s="2" t="n"/>
      <c r="H260" s="2" t="n"/>
      <c r="I260" s="2" t="n"/>
      <c r="J260" s="4" t="n"/>
      <c r="K260" s="2" t="n"/>
      <c r="L260" s="2" t="n"/>
    </row>
    <row r="261">
      <c r="A261" s="2" t="n"/>
      <c r="B261" s="2" t="n"/>
      <c r="C261" s="5">
        <f>IF($B261="","",IFERROR(VLOOKUP($B261,'02_Конкуренты'!$A\$4:$B\$203,2,FALSE),"не найдено"))</f>
        <v/>
      </c>
      <c r="D261" s="2" t="n"/>
      <c r="E261" s="2" t="n"/>
      <c r="F261" s="2" t="n"/>
      <c r="G261" s="2" t="n"/>
      <c r="H261" s="2" t="n"/>
      <c r="I261" s="2" t="n"/>
      <c r="J261" s="4" t="n"/>
      <c r="K261" s="2" t="n"/>
      <c r="L261" s="2" t="n"/>
    </row>
    <row r="262">
      <c r="A262" s="2" t="n"/>
      <c r="B262" s="2" t="n"/>
      <c r="C262" s="5">
        <f>IF($B262="","",IFERROR(VLOOKUP($B262,'02_Конкуренты'!$A\$4:$B\$203,2,FALSE),"не найдено"))</f>
        <v/>
      </c>
      <c r="D262" s="2" t="n"/>
      <c r="E262" s="2" t="n"/>
      <c r="F262" s="2" t="n"/>
      <c r="G262" s="2" t="n"/>
      <c r="H262" s="2" t="n"/>
      <c r="I262" s="2" t="n"/>
      <c r="J262" s="4" t="n"/>
      <c r="K262" s="2" t="n"/>
      <c r="L262" s="2" t="n"/>
    </row>
    <row r="263">
      <c r="A263" s="2" t="n"/>
      <c r="B263" s="2" t="n"/>
      <c r="C263" s="5">
        <f>IF($B263="","",IFERROR(VLOOKUP($B263,'02_Конкуренты'!$A\$4:$B\$203,2,FALSE),"не найдено"))</f>
        <v/>
      </c>
      <c r="D263" s="2" t="n"/>
      <c r="E263" s="2" t="n"/>
      <c r="F263" s="2" t="n"/>
      <c r="G263" s="2" t="n"/>
      <c r="H263" s="2" t="n"/>
      <c r="I263" s="2" t="n"/>
      <c r="J263" s="4" t="n"/>
      <c r="K263" s="2" t="n"/>
      <c r="L263" s="2" t="n"/>
    </row>
    <row r="264">
      <c r="A264" s="2" t="n"/>
      <c r="B264" s="2" t="n"/>
      <c r="C264" s="5">
        <f>IF($B264="","",IFERROR(VLOOKUP($B264,'02_Конкуренты'!$A\$4:$B\$203,2,FALSE),"не найдено"))</f>
        <v/>
      </c>
      <c r="D264" s="2" t="n"/>
      <c r="E264" s="2" t="n"/>
      <c r="F264" s="2" t="n"/>
      <c r="G264" s="2" t="n"/>
      <c r="H264" s="2" t="n"/>
      <c r="I264" s="2" t="n"/>
      <c r="J264" s="4" t="n"/>
      <c r="K264" s="2" t="n"/>
      <c r="L264" s="2" t="n"/>
    </row>
    <row r="265">
      <c r="A265" s="2" t="n"/>
      <c r="B265" s="2" t="n"/>
      <c r="C265" s="5">
        <f>IF($B265="","",IFERROR(VLOOKUP($B265,'02_Конкуренты'!$A\$4:$B\$203,2,FALSE),"не найдено"))</f>
        <v/>
      </c>
      <c r="D265" s="2" t="n"/>
      <c r="E265" s="2" t="n"/>
      <c r="F265" s="2" t="n"/>
      <c r="G265" s="2" t="n"/>
      <c r="H265" s="2" t="n"/>
      <c r="I265" s="2" t="n"/>
      <c r="J265" s="4" t="n"/>
      <c r="K265" s="2" t="n"/>
      <c r="L265" s="2" t="n"/>
    </row>
    <row r="266">
      <c r="A266" s="2" t="n"/>
      <c r="B266" s="2" t="n"/>
      <c r="C266" s="5">
        <f>IF($B266="","",IFERROR(VLOOKUP($B266,'02_Конкуренты'!$A\$4:$B\$203,2,FALSE),"не найдено"))</f>
        <v/>
      </c>
      <c r="D266" s="2" t="n"/>
      <c r="E266" s="2" t="n"/>
      <c r="F266" s="2" t="n"/>
      <c r="G266" s="2" t="n"/>
      <c r="H266" s="2" t="n"/>
      <c r="I266" s="2" t="n"/>
      <c r="J266" s="4" t="n"/>
      <c r="K266" s="2" t="n"/>
      <c r="L266" s="2" t="n"/>
    </row>
    <row r="267">
      <c r="A267" s="2" t="n"/>
      <c r="B267" s="2" t="n"/>
      <c r="C267" s="5">
        <f>IF($B267="","",IFERROR(VLOOKUP($B267,'02_Конкуренты'!$A\$4:$B\$203,2,FALSE),"не найдено"))</f>
        <v/>
      </c>
      <c r="D267" s="2" t="n"/>
      <c r="E267" s="2" t="n"/>
      <c r="F267" s="2" t="n"/>
      <c r="G267" s="2" t="n"/>
      <c r="H267" s="2" t="n"/>
      <c r="I267" s="2" t="n"/>
      <c r="J267" s="4" t="n"/>
      <c r="K267" s="2" t="n"/>
      <c r="L267" s="2" t="n"/>
    </row>
    <row r="268">
      <c r="A268" s="2" t="n"/>
      <c r="B268" s="2" t="n"/>
      <c r="C268" s="5">
        <f>IF($B268="","",IFERROR(VLOOKUP($B268,'02_Конкуренты'!$A\$4:$B\$203,2,FALSE),"не найдено"))</f>
        <v/>
      </c>
      <c r="D268" s="2" t="n"/>
      <c r="E268" s="2" t="n"/>
      <c r="F268" s="2" t="n"/>
      <c r="G268" s="2" t="n"/>
      <c r="H268" s="2" t="n"/>
      <c r="I268" s="2" t="n"/>
      <c r="J268" s="4" t="n"/>
      <c r="K268" s="2" t="n"/>
      <c r="L268" s="2" t="n"/>
    </row>
    <row r="269">
      <c r="A269" s="2" t="n"/>
      <c r="B269" s="2" t="n"/>
      <c r="C269" s="5">
        <f>IF($B269="","",IFERROR(VLOOKUP($B269,'02_Конкуренты'!$A\$4:$B\$203,2,FALSE),"не найдено"))</f>
        <v/>
      </c>
      <c r="D269" s="2" t="n"/>
      <c r="E269" s="2" t="n"/>
      <c r="F269" s="2" t="n"/>
      <c r="G269" s="2" t="n"/>
      <c r="H269" s="2" t="n"/>
      <c r="I269" s="2" t="n"/>
      <c r="J269" s="4" t="n"/>
      <c r="K269" s="2" t="n"/>
      <c r="L269" s="2" t="n"/>
    </row>
    <row r="270">
      <c r="A270" s="2" t="n"/>
      <c r="B270" s="2" t="n"/>
      <c r="C270" s="5">
        <f>IF($B270="","",IFERROR(VLOOKUP($B270,'02_Конкуренты'!$A\$4:$B\$203,2,FALSE),"не найдено"))</f>
        <v/>
      </c>
      <c r="D270" s="2" t="n"/>
      <c r="E270" s="2" t="n"/>
      <c r="F270" s="2" t="n"/>
      <c r="G270" s="2" t="n"/>
      <c r="H270" s="2" t="n"/>
      <c r="I270" s="2" t="n"/>
      <c r="J270" s="4" t="n"/>
      <c r="K270" s="2" t="n"/>
      <c r="L270" s="2" t="n"/>
    </row>
    <row r="271">
      <c r="A271" s="2" t="n"/>
      <c r="B271" s="2" t="n"/>
      <c r="C271" s="5">
        <f>IF($B271="","",IFERROR(VLOOKUP($B271,'02_Конкуренты'!$A\$4:$B\$203,2,FALSE),"не найдено"))</f>
        <v/>
      </c>
      <c r="D271" s="2" t="n"/>
      <c r="E271" s="2" t="n"/>
      <c r="F271" s="2" t="n"/>
      <c r="G271" s="2" t="n"/>
      <c r="H271" s="2" t="n"/>
      <c r="I271" s="2" t="n"/>
      <c r="J271" s="4" t="n"/>
      <c r="K271" s="2" t="n"/>
      <c r="L271" s="2" t="n"/>
    </row>
    <row r="272">
      <c r="A272" s="2" t="n"/>
      <c r="B272" s="2" t="n"/>
      <c r="C272" s="5">
        <f>IF($B272="","",IFERROR(VLOOKUP($B272,'02_Конкуренты'!$A\$4:$B\$203,2,FALSE),"не найдено"))</f>
        <v/>
      </c>
      <c r="D272" s="2" t="n"/>
      <c r="E272" s="2" t="n"/>
      <c r="F272" s="2" t="n"/>
      <c r="G272" s="2" t="n"/>
      <c r="H272" s="2" t="n"/>
      <c r="I272" s="2" t="n"/>
      <c r="J272" s="4" t="n"/>
      <c r="K272" s="2" t="n"/>
      <c r="L272" s="2" t="n"/>
    </row>
    <row r="273">
      <c r="A273" s="2" t="n"/>
      <c r="B273" s="2" t="n"/>
      <c r="C273" s="5">
        <f>IF($B273="","",IFERROR(VLOOKUP($B273,'02_Конкуренты'!$A\$4:$B\$203,2,FALSE),"не найдено"))</f>
        <v/>
      </c>
      <c r="D273" s="2" t="n"/>
      <c r="E273" s="2" t="n"/>
      <c r="F273" s="2" t="n"/>
      <c r="G273" s="2" t="n"/>
      <c r="H273" s="2" t="n"/>
      <c r="I273" s="2" t="n"/>
      <c r="J273" s="4" t="n"/>
      <c r="K273" s="2" t="n"/>
      <c r="L273" s="2" t="n"/>
    </row>
    <row r="274">
      <c r="A274" s="2" t="n"/>
      <c r="B274" s="2" t="n"/>
      <c r="C274" s="5">
        <f>IF($B274="","",IFERROR(VLOOKUP($B274,'02_Конкуренты'!$A\$4:$B\$203,2,FALSE),"не найдено"))</f>
        <v/>
      </c>
      <c r="D274" s="2" t="n"/>
      <c r="E274" s="2" t="n"/>
      <c r="F274" s="2" t="n"/>
      <c r="G274" s="2" t="n"/>
      <c r="H274" s="2" t="n"/>
      <c r="I274" s="2" t="n"/>
      <c r="J274" s="4" t="n"/>
      <c r="K274" s="2" t="n"/>
      <c r="L274" s="2" t="n"/>
    </row>
    <row r="275">
      <c r="A275" s="2" t="n"/>
      <c r="B275" s="2" t="n"/>
      <c r="C275" s="5">
        <f>IF($B275="","",IFERROR(VLOOKUP($B275,'02_Конкуренты'!$A\$4:$B\$203,2,FALSE),"не найдено"))</f>
        <v/>
      </c>
      <c r="D275" s="2" t="n"/>
      <c r="E275" s="2" t="n"/>
      <c r="F275" s="2" t="n"/>
      <c r="G275" s="2" t="n"/>
      <c r="H275" s="2" t="n"/>
      <c r="I275" s="2" t="n"/>
      <c r="J275" s="4" t="n"/>
      <c r="K275" s="2" t="n"/>
      <c r="L275" s="2" t="n"/>
    </row>
    <row r="276">
      <c r="A276" s="2" t="n"/>
      <c r="B276" s="2" t="n"/>
      <c r="C276" s="5">
        <f>IF($B276="","",IFERROR(VLOOKUP($B276,'02_Конкуренты'!$A\$4:$B\$203,2,FALSE),"не найдено"))</f>
        <v/>
      </c>
      <c r="D276" s="2" t="n"/>
      <c r="E276" s="2" t="n"/>
      <c r="F276" s="2" t="n"/>
      <c r="G276" s="2" t="n"/>
      <c r="H276" s="2" t="n"/>
      <c r="I276" s="2" t="n"/>
      <c r="J276" s="4" t="n"/>
      <c r="K276" s="2" t="n"/>
      <c r="L276" s="2" t="n"/>
    </row>
    <row r="277">
      <c r="A277" s="2" t="n"/>
      <c r="B277" s="2" t="n"/>
      <c r="C277" s="5">
        <f>IF($B277="","",IFERROR(VLOOKUP($B277,'02_Конкуренты'!$A\$4:$B\$203,2,FALSE),"не найдено"))</f>
        <v/>
      </c>
      <c r="D277" s="2" t="n"/>
      <c r="E277" s="2" t="n"/>
      <c r="F277" s="2" t="n"/>
      <c r="G277" s="2" t="n"/>
      <c r="H277" s="2" t="n"/>
      <c r="I277" s="2" t="n"/>
      <c r="J277" s="4" t="n"/>
      <c r="K277" s="2" t="n"/>
      <c r="L277" s="2" t="n"/>
    </row>
    <row r="278">
      <c r="A278" s="2" t="n"/>
      <c r="B278" s="2" t="n"/>
      <c r="C278" s="5">
        <f>IF($B278="","",IFERROR(VLOOKUP($B278,'02_Конкуренты'!$A\$4:$B\$203,2,FALSE),"не найдено"))</f>
        <v/>
      </c>
      <c r="D278" s="2" t="n"/>
      <c r="E278" s="2" t="n"/>
      <c r="F278" s="2" t="n"/>
      <c r="G278" s="2" t="n"/>
      <c r="H278" s="2" t="n"/>
      <c r="I278" s="2" t="n"/>
      <c r="J278" s="4" t="n"/>
      <c r="K278" s="2" t="n"/>
      <c r="L278" s="2" t="n"/>
    </row>
    <row r="279">
      <c r="A279" s="2" t="n"/>
      <c r="B279" s="2" t="n"/>
      <c r="C279" s="5">
        <f>IF($B279="","",IFERROR(VLOOKUP($B279,'02_Конкуренты'!$A\$4:$B\$203,2,FALSE),"не найдено"))</f>
        <v/>
      </c>
      <c r="D279" s="2" t="n"/>
      <c r="E279" s="2" t="n"/>
      <c r="F279" s="2" t="n"/>
      <c r="G279" s="2" t="n"/>
      <c r="H279" s="2" t="n"/>
      <c r="I279" s="2" t="n"/>
      <c r="J279" s="4" t="n"/>
      <c r="K279" s="2" t="n"/>
      <c r="L279" s="2" t="n"/>
    </row>
    <row r="280">
      <c r="A280" s="2" t="n"/>
      <c r="B280" s="2" t="n"/>
      <c r="C280" s="5">
        <f>IF($B280="","",IFERROR(VLOOKUP($B280,'02_Конкуренты'!$A\$4:$B\$203,2,FALSE),"не найдено"))</f>
        <v/>
      </c>
      <c r="D280" s="2" t="n"/>
      <c r="E280" s="2" t="n"/>
      <c r="F280" s="2" t="n"/>
      <c r="G280" s="2" t="n"/>
      <c r="H280" s="2" t="n"/>
      <c r="I280" s="2" t="n"/>
      <c r="J280" s="4" t="n"/>
      <c r="K280" s="2" t="n"/>
      <c r="L280" s="2" t="n"/>
    </row>
    <row r="281">
      <c r="A281" s="2" t="n"/>
      <c r="B281" s="2" t="n"/>
      <c r="C281" s="5">
        <f>IF($B281="","",IFERROR(VLOOKUP($B281,'02_Конкуренты'!$A\$4:$B\$203,2,FALSE),"не найдено"))</f>
        <v/>
      </c>
      <c r="D281" s="2" t="n"/>
      <c r="E281" s="2" t="n"/>
      <c r="F281" s="2" t="n"/>
      <c r="G281" s="2" t="n"/>
      <c r="H281" s="2" t="n"/>
      <c r="I281" s="2" t="n"/>
      <c r="J281" s="4" t="n"/>
      <c r="K281" s="2" t="n"/>
      <c r="L281" s="2" t="n"/>
    </row>
    <row r="282">
      <c r="A282" s="2" t="n"/>
      <c r="B282" s="2" t="n"/>
      <c r="C282" s="5">
        <f>IF($B282="","",IFERROR(VLOOKUP($B282,'02_Конкуренты'!$A\$4:$B\$203,2,FALSE),"не найдено"))</f>
        <v/>
      </c>
      <c r="D282" s="2" t="n"/>
      <c r="E282" s="2" t="n"/>
      <c r="F282" s="2" t="n"/>
      <c r="G282" s="2" t="n"/>
      <c r="H282" s="2" t="n"/>
      <c r="I282" s="2" t="n"/>
      <c r="J282" s="4" t="n"/>
      <c r="K282" s="2" t="n"/>
      <c r="L282" s="2" t="n"/>
    </row>
    <row r="283">
      <c r="A283" s="2" t="n"/>
      <c r="B283" s="2" t="n"/>
      <c r="C283" s="5">
        <f>IF($B283="","",IFERROR(VLOOKUP($B283,'02_Конкуренты'!$A\$4:$B\$203,2,FALSE),"не найдено"))</f>
        <v/>
      </c>
      <c r="D283" s="2" t="n"/>
      <c r="E283" s="2" t="n"/>
      <c r="F283" s="2" t="n"/>
      <c r="G283" s="2" t="n"/>
      <c r="H283" s="2" t="n"/>
      <c r="I283" s="2" t="n"/>
      <c r="J283" s="4" t="n"/>
      <c r="K283" s="2" t="n"/>
      <c r="L283" s="2" t="n"/>
    </row>
    <row r="284">
      <c r="A284" s="2" t="n"/>
      <c r="B284" s="2" t="n"/>
      <c r="C284" s="5">
        <f>IF($B284="","",IFERROR(VLOOKUP($B284,'02_Конкуренты'!$A\$4:$B\$203,2,FALSE),"не найдено"))</f>
        <v/>
      </c>
      <c r="D284" s="2" t="n"/>
      <c r="E284" s="2" t="n"/>
      <c r="F284" s="2" t="n"/>
      <c r="G284" s="2" t="n"/>
      <c r="H284" s="2" t="n"/>
      <c r="I284" s="2" t="n"/>
      <c r="J284" s="4" t="n"/>
      <c r="K284" s="2" t="n"/>
      <c r="L284" s="2" t="n"/>
    </row>
    <row r="285">
      <c r="A285" s="2" t="n"/>
      <c r="B285" s="2" t="n"/>
      <c r="C285" s="5">
        <f>IF($B285="","",IFERROR(VLOOKUP($B285,'02_Конкуренты'!$A\$4:$B\$203,2,FALSE),"не найдено"))</f>
        <v/>
      </c>
      <c r="D285" s="2" t="n"/>
      <c r="E285" s="2" t="n"/>
      <c r="F285" s="2" t="n"/>
      <c r="G285" s="2" t="n"/>
      <c r="H285" s="2" t="n"/>
      <c r="I285" s="2" t="n"/>
      <c r="J285" s="4" t="n"/>
      <c r="K285" s="2" t="n"/>
      <c r="L285" s="2" t="n"/>
    </row>
    <row r="286">
      <c r="A286" s="2" t="n"/>
      <c r="B286" s="2" t="n"/>
      <c r="C286" s="5">
        <f>IF($B286="","",IFERROR(VLOOKUP($B286,'02_Конкуренты'!$A\$4:$B\$203,2,FALSE),"не найдено"))</f>
        <v/>
      </c>
      <c r="D286" s="2" t="n"/>
      <c r="E286" s="2" t="n"/>
      <c r="F286" s="2" t="n"/>
      <c r="G286" s="2" t="n"/>
      <c r="H286" s="2" t="n"/>
      <c r="I286" s="2" t="n"/>
      <c r="J286" s="4" t="n"/>
      <c r="K286" s="2" t="n"/>
      <c r="L286" s="2" t="n"/>
    </row>
    <row r="287">
      <c r="A287" s="2" t="n"/>
      <c r="B287" s="2" t="n"/>
      <c r="C287" s="5">
        <f>IF($B287="","",IFERROR(VLOOKUP($B287,'02_Конкуренты'!$A\$4:$B\$203,2,FALSE),"не найдено"))</f>
        <v/>
      </c>
      <c r="D287" s="2" t="n"/>
      <c r="E287" s="2" t="n"/>
      <c r="F287" s="2" t="n"/>
      <c r="G287" s="2" t="n"/>
      <c r="H287" s="2" t="n"/>
      <c r="I287" s="2" t="n"/>
      <c r="J287" s="4" t="n"/>
      <c r="K287" s="2" t="n"/>
      <c r="L287" s="2" t="n"/>
    </row>
    <row r="288">
      <c r="A288" s="2" t="n"/>
      <c r="B288" s="2" t="n"/>
      <c r="C288" s="5">
        <f>IF($B288="","",IFERROR(VLOOKUP($B288,'02_Конкуренты'!$A\$4:$B\$203,2,FALSE),"не найдено"))</f>
        <v/>
      </c>
      <c r="D288" s="2" t="n"/>
      <c r="E288" s="2" t="n"/>
      <c r="F288" s="2" t="n"/>
      <c r="G288" s="2" t="n"/>
      <c r="H288" s="2" t="n"/>
      <c r="I288" s="2" t="n"/>
      <c r="J288" s="4" t="n"/>
      <c r="K288" s="2" t="n"/>
      <c r="L288" s="2" t="n"/>
    </row>
    <row r="289">
      <c r="A289" s="2" t="n"/>
      <c r="B289" s="2" t="n"/>
      <c r="C289" s="5">
        <f>IF($B289="","",IFERROR(VLOOKUP($B289,'02_Конкуренты'!$A\$4:$B\$203,2,FALSE),"не найдено"))</f>
        <v/>
      </c>
      <c r="D289" s="2" t="n"/>
      <c r="E289" s="2" t="n"/>
      <c r="F289" s="2" t="n"/>
      <c r="G289" s="2" t="n"/>
      <c r="H289" s="2" t="n"/>
      <c r="I289" s="2" t="n"/>
      <c r="J289" s="4" t="n"/>
      <c r="K289" s="2" t="n"/>
      <c r="L289" s="2" t="n"/>
    </row>
    <row r="290">
      <c r="A290" s="2" t="n"/>
      <c r="B290" s="2" t="n"/>
      <c r="C290" s="5">
        <f>IF($B290="","",IFERROR(VLOOKUP($B290,'02_Конкуренты'!$A\$4:$B\$203,2,FALSE),"не найдено"))</f>
        <v/>
      </c>
      <c r="D290" s="2" t="n"/>
      <c r="E290" s="2" t="n"/>
      <c r="F290" s="2" t="n"/>
      <c r="G290" s="2" t="n"/>
      <c r="H290" s="2" t="n"/>
      <c r="I290" s="2" t="n"/>
      <c r="J290" s="4" t="n"/>
      <c r="K290" s="2" t="n"/>
      <c r="L290" s="2" t="n"/>
    </row>
    <row r="291">
      <c r="A291" s="2" t="n"/>
      <c r="B291" s="2" t="n"/>
      <c r="C291" s="5">
        <f>IF($B291="","",IFERROR(VLOOKUP($B291,'02_Конкуренты'!$A\$4:$B\$203,2,FALSE),"не найдено"))</f>
        <v/>
      </c>
      <c r="D291" s="2" t="n"/>
      <c r="E291" s="2" t="n"/>
      <c r="F291" s="2" t="n"/>
      <c r="G291" s="2" t="n"/>
      <c r="H291" s="2" t="n"/>
      <c r="I291" s="2" t="n"/>
      <c r="J291" s="4" t="n"/>
      <c r="K291" s="2" t="n"/>
      <c r="L291" s="2" t="n"/>
    </row>
    <row r="292">
      <c r="A292" s="2" t="n"/>
      <c r="B292" s="2" t="n"/>
      <c r="C292" s="5">
        <f>IF($B292="","",IFERROR(VLOOKUP($B292,'02_Конкуренты'!$A\$4:$B\$203,2,FALSE),"не найдено"))</f>
        <v/>
      </c>
      <c r="D292" s="2" t="n"/>
      <c r="E292" s="2" t="n"/>
      <c r="F292" s="2" t="n"/>
      <c r="G292" s="2" t="n"/>
      <c r="H292" s="2" t="n"/>
      <c r="I292" s="2" t="n"/>
      <c r="J292" s="4" t="n"/>
      <c r="K292" s="2" t="n"/>
      <c r="L292" s="2" t="n"/>
    </row>
    <row r="293">
      <c r="A293" s="2" t="n"/>
      <c r="B293" s="2" t="n"/>
      <c r="C293" s="5">
        <f>IF($B293="","",IFERROR(VLOOKUP($B293,'02_Конкуренты'!$A\$4:$B\$203,2,FALSE),"не найдено"))</f>
        <v/>
      </c>
      <c r="D293" s="2" t="n"/>
      <c r="E293" s="2" t="n"/>
      <c r="F293" s="2" t="n"/>
      <c r="G293" s="2" t="n"/>
      <c r="H293" s="2" t="n"/>
      <c r="I293" s="2" t="n"/>
      <c r="J293" s="4" t="n"/>
      <c r="K293" s="2" t="n"/>
      <c r="L293" s="2" t="n"/>
    </row>
    <row r="294">
      <c r="A294" s="2" t="n"/>
      <c r="B294" s="2" t="n"/>
      <c r="C294" s="5">
        <f>IF($B294="","",IFERROR(VLOOKUP($B294,'02_Конкуренты'!$A\$4:$B\$203,2,FALSE),"не найдено"))</f>
        <v/>
      </c>
      <c r="D294" s="2" t="n"/>
      <c r="E294" s="2" t="n"/>
      <c r="F294" s="2" t="n"/>
      <c r="G294" s="2" t="n"/>
      <c r="H294" s="2" t="n"/>
      <c r="I294" s="2" t="n"/>
      <c r="J294" s="4" t="n"/>
      <c r="K294" s="2" t="n"/>
      <c r="L294" s="2" t="n"/>
    </row>
    <row r="295">
      <c r="A295" s="2" t="n"/>
      <c r="B295" s="2" t="n"/>
      <c r="C295" s="5">
        <f>IF($B295="","",IFERROR(VLOOKUP($B295,'02_Конкуренты'!$A\$4:$B\$203,2,FALSE),"не найдено"))</f>
        <v/>
      </c>
      <c r="D295" s="2" t="n"/>
      <c r="E295" s="2" t="n"/>
      <c r="F295" s="2" t="n"/>
      <c r="G295" s="2" t="n"/>
      <c r="H295" s="2" t="n"/>
      <c r="I295" s="2" t="n"/>
      <c r="J295" s="4" t="n"/>
      <c r="K295" s="2" t="n"/>
      <c r="L295" s="2" t="n"/>
    </row>
    <row r="296">
      <c r="A296" s="2" t="n"/>
      <c r="B296" s="2" t="n"/>
      <c r="C296" s="5">
        <f>IF($B296="","",IFERROR(VLOOKUP($B296,'02_Конкуренты'!$A\$4:$B\$203,2,FALSE),"не найдено"))</f>
        <v/>
      </c>
      <c r="D296" s="2" t="n"/>
      <c r="E296" s="2" t="n"/>
      <c r="F296" s="2" t="n"/>
      <c r="G296" s="2" t="n"/>
      <c r="H296" s="2" t="n"/>
      <c r="I296" s="2" t="n"/>
      <c r="J296" s="4" t="n"/>
      <c r="K296" s="2" t="n"/>
      <c r="L296" s="2" t="n"/>
    </row>
    <row r="297">
      <c r="A297" s="2" t="n"/>
      <c r="B297" s="2" t="n"/>
      <c r="C297" s="5">
        <f>IF($B297="","",IFERROR(VLOOKUP($B297,'02_Конкуренты'!$A\$4:$B\$203,2,FALSE),"не найдено"))</f>
        <v/>
      </c>
      <c r="D297" s="2" t="n"/>
      <c r="E297" s="2" t="n"/>
      <c r="F297" s="2" t="n"/>
      <c r="G297" s="2" t="n"/>
      <c r="H297" s="2" t="n"/>
      <c r="I297" s="2" t="n"/>
      <c r="J297" s="4" t="n"/>
      <c r="K297" s="2" t="n"/>
      <c r="L297" s="2" t="n"/>
    </row>
    <row r="298">
      <c r="A298" s="2" t="n"/>
      <c r="B298" s="2" t="n"/>
      <c r="C298" s="5">
        <f>IF($B298="","",IFERROR(VLOOKUP($B298,'02_Конкуренты'!$A\$4:$B\$203,2,FALSE),"не найдено"))</f>
        <v/>
      </c>
      <c r="D298" s="2" t="n"/>
      <c r="E298" s="2" t="n"/>
      <c r="F298" s="2" t="n"/>
      <c r="G298" s="2" t="n"/>
      <c r="H298" s="2" t="n"/>
      <c r="I298" s="2" t="n"/>
      <c r="J298" s="4" t="n"/>
      <c r="K298" s="2" t="n"/>
      <c r="L298" s="2" t="n"/>
    </row>
    <row r="299">
      <c r="A299" s="2" t="n"/>
      <c r="B299" s="2" t="n"/>
      <c r="C299" s="5">
        <f>IF($B299="","",IFERROR(VLOOKUP($B299,'02_Конкуренты'!$A\$4:$B\$203,2,FALSE),"не найдено"))</f>
        <v/>
      </c>
      <c r="D299" s="2" t="n"/>
      <c r="E299" s="2" t="n"/>
      <c r="F299" s="2" t="n"/>
      <c r="G299" s="2" t="n"/>
      <c r="H299" s="2" t="n"/>
      <c r="I299" s="2" t="n"/>
      <c r="J299" s="4" t="n"/>
      <c r="K299" s="2" t="n"/>
      <c r="L299" s="2" t="n"/>
    </row>
    <row r="300">
      <c r="A300" s="2" t="n"/>
      <c r="B300" s="2" t="n"/>
      <c r="C300" s="5">
        <f>IF($B300="","",IFERROR(VLOOKUP($B300,'02_Конкуренты'!$A\$4:$B\$203,2,FALSE),"не найдено"))</f>
        <v/>
      </c>
      <c r="D300" s="2" t="n"/>
      <c r="E300" s="2" t="n"/>
      <c r="F300" s="2" t="n"/>
      <c r="G300" s="2" t="n"/>
      <c r="H300" s="2" t="n"/>
      <c r="I300" s="2" t="n"/>
      <c r="J300" s="4" t="n"/>
      <c r="K300" s="2" t="n"/>
      <c r="L300" s="2" t="n"/>
    </row>
    <row r="301">
      <c r="A301" s="2" t="n"/>
      <c r="B301" s="2" t="n"/>
      <c r="C301" s="5">
        <f>IF($B301="","",IFERROR(VLOOKUP($B301,'02_Конкуренты'!$A\$4:$B\$203,2,FALSE),"не найдено"))</f>
        <v/>
      </c>
      <c r="D301" s="2" t="n"/>
      <c r="E301" s="2" t="n"/>
      <c r="F301" s="2" t="n"/>
      <c r="G301" s="2" t="n"/>
      <c r="H301" s="2" t="n"/>
      <c r="I301" s="2" t="n"/>
      <c r="J301" s="4" t="n"/>
      <c r="K301" s="2" t="n"/>
      <c r="L301" s="2" t="n"/>
    </row>
    <row r="302">
      <c r="A302" s="2" t="n"/>
      <c r="B302" s="2" t="n"/>
      <c r="C302" s="5">
        <f>IF($B302="","",IFERROR(VLOOKUP($B302,'02_Конкуренты'!$A\$4:$B\$203,2,FALSE),"не найдено"))</f>
        <v/>
      </c>
      <c r="D302" s="2" t="n"/>
      <c r="E302" s="2" t="n"/>
      <c r="F302" s="2" t="n"/>
      <c r="G302" s="2" t="n"/>
      <c r="H302" s="2" t="n"/>
      <c r="I302" s="2" t="n"/>
      <c r="J302" s="4" t="n"/>
      <c r="K302" s="2" t="n"/>
      <c r="L302" s="2" t="n"/>
    </row>
    <row r="303">
      <c r="A303" s="2" t="n"/>
      <c r="B303" s="2" t="n"/>
      <c r="C303" s="5">
        <f>IF($B303="","",IFERROR(VLOOKUP($B303,'02_Конкуренты'!$A\$4:$B\$203,2,FALSE),"не найдено"))</f>
        <v/>
      </c>
      <c r="D303" s="2" t="n"/>
      <c r="E303" s="2" t="n"/>
      <c r="F303" s="2" t="n"/>
      <c r="G303" s="2" t="n"/>
      <c r="H303" s="2" t="n"/>
      <c r="I303" s="2" t="n"/>
      <c r="J303" s="4" t="n"/>
      <c r="K303" s="2" t="n"/>
      <c r="L303" s="2" t="n"/>
    </row>
    <row r="304">
      <c r="A304" s="2" t="n"/>
      <c r="B304" s="2" t="n"/>
      <c r="C304" s="5">
        <f>IF($B304="","",IFERROR(VLOOKUP($B304,'02_Конкуренты'!$A\$4:$B\$203,2,FALSE),"не найдено"))</f>
        <v/>
      </c>
      <c r="D304" s="2" t="n"/>
      <c r="E304" s="2" t="n"/>
      <c r="F304" s="2" t="n"/>
      <c r="G304" s="2" t="n"/>
      <c r="H304" s="2" t="n"/>
      <c r="I304" s="2" t="n"/>
      <c r="J304" s="4" t="n"/>
      <c r="K304" s="2" t="n"/>
      <c r="L304" s="2" t="n"/>
    </row>
    <row r="305">
      <c r="A305" s="2" t="n"/>
      <c r="B305" s="2" t="n"/>
      <c r="C305" s="5">
        <f>IF($B305="","",IFERROR(VLOOKUP($B305,'02_Конкуренты'!$A\$4:$B\$203,2,FALSE),"не найдено"))</f>
        <v/>
      </c>
      <c r="D305" s="2" t="n"/>
      <c r="E305" s="2" t="n"/>
      <c r="F305" s="2" t="n"/>
      <c r="G305" s="2" t="n"/>
      <c r="H305" s="2" t="n"/>
      <c r="I305" s="2" t="n"/>
      <c r="J305" s="4" t="n"/>
      <c r="K305" s="2" t="n"/>
      <c r="L305" s="2" t="n"/>
    </row>
    <row r="306">
      <c r="A306" s="2" t="n"/>
      <c r="B306" s="2" t="n"/>
      <c r="C306" s="5">
        <f>IF($B306="","",IFERROR(VLOOKUP($B306,'02_Конкуренты'!$A\$4:$B\$203,2,FALSE),"не найдено"))</f>
        <v/>
      </c>
      <c r="D306" s="2" t="n"/>
      <c r="E306" s="2" t="n"/>
      <c r="F306" s="2" t="n"/>
      <c r="G306" s="2" t="n"/>
      <c r="H306" s="2" t="n"/>
      <c r="I306" s="2" t="n"/>
      <c r="J306" s="4" t="n"/>
      <c r="K306" s="2" t="n"/>
      <c r="L306" s="2" t="n"/>
    </row>
    <row r="307">
      <c r="A307" s="2" t="n"/>
      <c r="B307" s="2" t="n"/>
      <c r="C307" s="5">
        <f>IF($B307="","",IFERROR(VLOOKUP($B307,'02_Конкуренты'!$A\$4:$B\$203,2,FALSE),"не найдено"))</f>
        <v/>
      </c>
      <c r="D307" s="2" t="n"/>
      <c r="E307" s="2" t="n"/>
      <c r="F307" s="2" t="n"/>
      <c r="G307" s="2" t="n"/>
      <c r="H307" s="2" t="n"/>
      <c r="I307" s="2" t="n"/>
      <c r="J307" s="4" t="n"/>
      <c r="K307" s="2" t="n"/>
      <c r="L307" s="2" t="n"/>
    </row>
    <row r="308">
      <c r="A308" s="2" t="n"/>
      <c r="B308" s="2" t="n"/>
      <c r="C308" s="5">
        <f>IF($B308="","",IFERROR(VLOOKUP($B308,'02_Конкуренты'!$A\$4:$B\$203,2,FALSE),"не найдено"))</f>
        <v/>
      </c>
      <c r="D308" s="2" t="n"/>
      <c r="E308" s="2" t="n"/>
      <c r="F308" s="2" t="n"/>
      <c r="G308" s="2" t="n"/>
      <c r="H308" s="2" t="n"/>
      <c r="I308" s="2" t="n"/>
      <c r="J308" s="4" t="n"/>
      <c r="K308" s="2" t="n"/>
      <c r="L308" s="2" t="n"/>
    </row>
    <row r="309">
      <c r="A309" s="2" t="n"/>
      <c r="B309" s="2" t="n"/>
      <c r="C309" s="5">
        <f>IF($B309="","",IFERROR(VLOOKUP($B309,'02_Конкуренты'!$A\$4:$B\$203,2,FALSE),"не найдено"))</f>
        <v/>
      </c>
      <c r="D309" s="2" t="n"/>
      <c r="E309" s="2" t="n"/>
      <c r="F309" s="2" t="n"/>
      <c r="G309" s="2" t="n"/>
      <c r="H309" s="2" t="n"/>
      <c r="I309" s="2" t="n"/>
      <c r="J309" s="4" t="n"/>
      <c r="K309" s="2" t="n"/>
      <c r="L309" s="2" t="n"/>
    </row>
    <row r="310">
      <c r="A310" s="2" t="n"/>
      <c r="B310" s="2" t="n"/>
      <c r="C310" s="5">
        <f>IF($B310="","",IFERROR(VLOOKUP($B310,'02_Конкуренты'!$A\$4:$B\$203,2,FALSE),"не найдено"))</f>
        <v/>
      </c>
      <c r="D310" s="2" t="n"/>
      <c r="E310" s="2" t="n"/>
      <c r="F310" s="2" t="n"/>
      <c r="G310" s="2" t="n"/>
      <c r="H310" s="2" t="n"/>
      <c r="I310" s="2" t="n"/>
      <c r="J310" s="4" t="n"/>
      <c r="K310" s="2" t="n"/>
      <c r="L310" s="2" t="n"/>
    </row>
    <row r="311">
      <c r="A311" s="2" t="n"/>
      <c r="B311" s="2" t="n"/>
      <c r="C311" s="5">
        <f>IF($B311="","",IFERROR(VLOOKUP($B311,'02_Конкуренты'!$A\$4:$B\$203,2,FALSE),"не найдено"))</f>
        <v/>
      </c>
      <c r="D311" s="2" t="n"/>
      <c r="E311" s="2" t="n"/>
      <c r="F311" s="2" t="n"/>
      <c r="G311" s="2" t="n"/>
      <c r="H311" s="2" t="n"/>
      <c r="I311" s="2" t="n"/>
      <c r="J311" s="4" t="n"/>
      <c r="K311" s="2" t="n"/>
      <c r="L311" s="2" t="n"/>
    </row>
    <row r="312">
      <c r="A312" s="2" t="n"/>
      <c r="B312" s="2" t="n"/>
      <c r="C312" s="5">
        <f>IF($B312="","",IFERROR(VLOOKUP($B312,'02_Конкуренты'!$A\$4:$B\$203,2,FALSE),"не найдено"))</f>
        <v/>
      </c>
      <c r="D312" s="2" t="n"/>
      <c r="E312" s="2" t="n"/>
      <c r="F312" s="2" t="n"/>
      <c r="G312" s="2" t="n"/>
      <c r="H312" s="2" t="n"/>
      <c r="I312" s="2" t="n"/>
      <c r="J312" s="4" t="n"/>
      <c r="K312" s="2" t="n"/>
      <c r="L312" s="2" t="n"/>
    </row>
    <row r="313">
      <c r="A313" s="2" t="n"/>
      <c r="B313" s="2" t="n"/>
      <c r="C313" s="5">
        <f>IF($B313="","",IFERROR(VLOOKUP($B313,'02_Конкуренты'!$A\$4:$B\$203,2,FALSE),"не найдено"))</f>
        <v/>
      </c>
      <c r="D313" s="2" t="n"/>
      <c r="E313" s="2" t="n"/>
      <c r="F313" s="2" t="n"/>
      <c r="G313" s="2" t="n"/>
      <c r="H313" s="2" t="n"/>
      <c r="I313" s="2" t="n"/>
      <c r="J313" s="4" t="n"/>
      <c r="K313" s="2" t="n"/>
      <c r="L313" s="2" t="n"/>
    </row>
    <row r="314">
      <c r="A314" s="2" t="n"/>
      <c r="B314" s="2" t="n"/>
      <c r="C314" s="5">
        <f>IF($B314="","",IFERROR(VLOOKUP($B314,'02_Конкуренты'!$A\$4:$B\$203,2,FALSE),"не найдено"))</f>
        <v/>
      </c>
      <c r="D314" s="2" t="n"/>
      <c r="E314" s="2" t="n"/>
      <c r="F314" s="2" t="n"/>
      <c r="G314" s="2" t="n"/>
      <c r="H314" s="2" t="n"/>
      <c r="I314" s="2" t="n"/>
      <c r="J314" s="4" t="n"/>
      <c r="K314" s="2" t="n"/>
      <c r="L314" s="2" t="n"/>
    </row>
    <row r="315">
      <c r="A315" s="2" t="n"/>
      <c r="B315" s="2" t="n"/>
      <c r="C315" s="5">
        <f>IF($B315="","",IFERROR(VLOOKUP($B315,'02_Конкуренты'!$A\$4:$B\$203,2,FALSE),"не найдено"))</f>
        <v/>
      </c>
      <c r="D315" s="2" t="n"/>
      <c r="E315" s="2" t="n"/>
      <c r="F315" s="2" t="n"/>
      <c r="G315" s="2" t="n"/>
      <c r="H315" s="2" t="n"/>
      <c r="I315" s="2" t="n"/>
      <c r="J315" s="4" t="n"/>
      <c r="K315" s="2" t="n"/>
      <c r="L315" s="2" t="n"/>
    </row>
    <row r="316">
      <c r="A316" s="2" t="n"/>
      <c r="B316" s="2" t="n"/>
      <c r="C316" s="5">
        <f>IF($B316="","",IFERROR(VLOOKUP($B316,'02_Конкуренты'!$A\$4:$B\$203,2,FALSE),"не найдено"))</f>
        <v/>
      </c>
      <c r="D316" s="2" t="n"/>
      <c r="E316" s="2" t="n"/>
      <c r="F316" s="2" t="n"/>
      <c r="G316" s="2" t="n"/>
      <c r="H316" s="2" t="n"/>
      <c r="I316" s="2" t="n"/>
      <c r="J316" s="4" t="n"/>
      <c r="K316" s="2" t="n"/>
      <c r="L316" s="2" t="n"/>
    </row>
    <row r="317">
      <c r="A317" s="2" t="n"/>
      <c r="B317" s="2" t="n"/>
      <c r="C317" s="5">
        <f>IF($B317="","",IFERROR(VLOOKUP($B317,'02_Конкуренты'!$A\$4:$B\$203,2,FALSE),"не найдено"))</f>
        <v/>
      </c>
      <c r="D317" s="2" t="n"/>
      <c r="E317" s="2" t="n"/>
      <c r="F317" s="2" t="n"/>
      <c r="G317" s="2" t="n"/>
      <c r="H317" s="2" t="n"/>
      <c r="I317" s="2" t="n"/>
      <c r="J317" s="4" t="n"/>
      <c r="K317" s="2" t="n"/>
      <c r="L317" s="2" t="n"/>
    </row>
    <row r="318">
      <c r="A318" s="2" t="n"/>
      <c r="B318" s="2" t="n"/>
      <c r="C318" s="5">
        <f>IF($B318="","",IFERROR(VLOOKUP($B318,'02_Конкуренты'!$A\$4:$B\$203,2,FALSE),"не найдено"))</f>
        <v/>
      </c>
      <c r="D318" s="2" t="n"/>
      <c r="E318" s="2" t="n"/>
      <c r="F318" s="2" t="n"/>
      <c r="G318" s="2" t="n"/>
      <c r="H318" s="2" t="n"/>
      <c r="I318" s="2" t="n"/>
      <c r="J318" s="4" t="n"/>
      <c r="K318" s="2" t="n"/>
      <c r="L318" s="2" t="n"/>
    </row>
    <row r="319">
      <c r="A319" s="2" t="n"/>
      <c r="B319" s="2" t="n"/>
      <c r="C319" s="5">
        <f>IF($B319="","",IFERROR(VLOOKUP($B319,'02_Конкуренты'!$A\$4:$B\$203,2,FALSE),"не найдено"))</f>
        <v/>
      </c>
      <c r="D319" s="2" t="n"/>
      <c r="E319" s="2" t="n"/>
      <c r="F319" s="2" t="n"/>
      <c r="G319" s="2" t="n"/>
      <c r="H319" s="2" t="n"/>
      <c r="I319" s="2" t="n"/>
      <c r="J319" s="4" t="n"/>
      <c r="K319" s="2" t="n"/>
      <c r="L319" s="2" t="n"/>
    </row>
    <row r="320">
      <c r="A320" s="2" t="n"/>
      <c r="B320" s="2" t="n"/>
      <c r="C320" s="5">
        <f>IF($B320="","",IFERROR(VLOOKUP($B320,'02_Конкуренты'!$A\$4:$B\$203,2,FALSE),"не найдено"))</f>
        <v/>
      </c>
      <c r="D320" s="2" t="n"/>
      <c r="E320" s="2" t="n"/>
      <c r="F320" s="2" t="n"/>
      <c r="G320" s="2" t="n"/>
      <c r="H320" s="2" t="n"/>
      <c r="I320" s="2" t="n"/>
      <c r="J320" s="4" t="n"/>
      <c r="K320" s="2" t="n"/>
      <c r="L320" s="2" t="n"/>
    </row>
    <row r="321">
      <c r="A321" s="2" t="n"/>
      <c r="B321" s="2" t="n"/>
      <c r="C321" s="5">
        <f>IF($B321="","",IFERROR(VLOOKUP($B321,'02_Конкуренты'!$A\$4:$B\$203,2,FALSE),"не найдено"))</f>
        <v/>
      </c>
      <c r="D321" s="2" t="n"/>
      <c r="E321" s="2" t="n"/>
      <c r="F321" s="2" t="n"/>
      <c r="G321" s="2" t="n"/>
      <c r="H321" s="2" t="n"/>
      <c r="I321" s="2" t="n"/>
      <c r="J321" s="4" t="n"/>
      <c r="K321" s="2" t="n"/>
      <c r="L321" s="2" t="n"/>
    </row>
    <row r="322">
      <c r="A322" s="2" t="n"/>
      <c r="B322" s="2" t="n"/>
      <c r="C322" s="5">
        <f>IF($B322="","",IFERROR(VLOOKUP($B322,'02_Конкуренты'!$A\$4:$B\$203,2,FALSE),"не найдено"))</f>
        <v/>
      </c>
      <c r="D322" s="2" t="n"/>
      <c r="E322" s="2" t="n"/>
      <c r="F322" s="2" t="n"/>
      <c r="G322" s="2" t="n"/>
      <c r="H322" s="2" t="n"/>
      <c r="I322" s="2" t="n"/>
      <c r="J322" s="4" t="n"/>
      <c r="K322" s="2" t="n"/>
      <c r="L322" s="2" t="n"/>
    </row>
    <row r="323">
      <c r="A323" s="2" t="n"/>
      <c r="B323" s="2" t="n"/>
      <c r="C323" s="5">
        <f>IF($B323="","",IFERROR(VLOOKUP($B323,'02_Конкуренты'!$A\$4:$B\$203,2,FALSE),"не найдено"))</f>
        <v/>
      </c>
      <c r="D323" s="2" t="n"/>
      <c r="E323" s="2" t="n"/>
      <c r="F323" s="2" t="n"/>
      <c r="G323" s="2" t="n"/>
      <c r="H323" s="2" t="n"/>
      <c r="I323" s="2" t="n"/>
      <c r="J323" s="4" t="n"/>
      <c r="K323" s="2" t="n"/>
      <c r="L323" s="2" t="n"/>
    </row>
    <row r="324">
      <c r="A324" s="2" t="n"/>
      <c r="B324" s="2" t="n"/>
      <c r="C324" s="5">
        <f>IF($B324="","",IFERROR(VLOOKUP($B324,'02_Конкуренты'!$A\$4:$B\$203,2,FALSE),"не найдено"))</f>
        <v/>
      </c>
      <c r="D324" s="2" t="n"/>
      <c r="E324" s="2" t="n"/>
      <c r="F324" s="2" t="n"/>
      <c r="G324" s="2" t="n"/>
      <c r="H324" s="2" t="n"/>
      <c r="I324" s="2" t="n"/>
      <c r="J324" s="4" t="n"/>
      <c r="K324" s="2" t="n"/>
      <c r="L324" s="2" t="n"/>
    </row>
    <row r="325">
      <c r="A325" s="2" t="n"/>
      <c r="B325" s="2" t="n"/>
      <c r="C325" s="5">
        <f>IF($B325="","",IFERROR(VLOOKUP($B325,'02_Конкуренты'!$A\$4:$B\$203,2,FALSE),"не найдено"))</f>
        <v/>
      </c>
      <c r="D325" s="2" t="n"/>
      <c r="E325" s="2" t="n"/>
      <c r="F325" s="2" t="n"/>
      <c r="G325" s="2" t="n"/>
      <c r="H325" s="2" t="n"/>
      <c r="I325" s="2" t="n"/>
      <c r="J325" s="4" t="n"/>
      <c r="K325" s="2" t="n"/>
      <c r="L325" s="2" t="n"/>
    </row>
    <row r="326">
      <c r="A326" s="2" t="n"/>
      <c r="B326" s="2" t="n"/>
      <c r="C326" s="5">
        <f>IF($B326="","",IFERROR(VLOOKUP($B326,'02_Конкуренты'!$A\$4:$B\$203,2,FALSE),"не найдено"))</f>
        <v/>
      </c>
      <c r="D326" s="2" t="n"/>
      <c r="E326" s="2" t="n"/>
      <c r="F326" s="2" t="n"/>
      <c r="G326" s="2" t="n"/>
      <c r="H326" s="2" t="n"/>
      <c r="I326" s="2" t="n"/>
      <c r="J326" s="4" t="n"/>
      <c r="K326" s="2" t="n"/>
      <c r="L326" s="2" t="n"/>
    </row>
    <row r="327">
      <c r="A327" s="2" t="n"/>
      <c r="B327" s="2" t="n"/>
      <c r="C327" s="5">
        <f>IF($B327="","",IFERROR(VLOOKUP($B327,'02_Конкуренты'!$A\$4:$B\$203,2,FALSE),"не найдено"))</f>
        <v/>
      </c>
      <c r="D327" s="2" t="n"/>
      <c r="E327" s="2" t="n"/>
      <c r="F327" s="2" t="n"/>
      <c r="G327" s="2" t="n"/>
      <c r="H327" s="2" t="n"/>
      <c r="I327" s="2" t="n"/>
      <c r="J327" s="4" t="n"/>
      <c r="K327" s="2" t="n"/>
      <c r="L327" s="2" t="n"/>
    </row>
    <row r="328">
      <c r="A328" s="2" t="n"/>
      <c r="B328" s="2" t="n"/>
      <c r="C328" s="5">
        <f>IF($B328="","",IFERROR(VLOOKUP($B328,'02_Конкуренты'!$A\$4:$B\$203,2,FALSE),"не найдено"))</f>
        <v/>
      </c>
      <c r="D328" s="2" t="n"/>
      <c r="E328" s="2" t="n"/>
      <c r="F328" s="2" t="n"/>
      <c r="G328" s="2" t="n"/>
      <c r="H328" s="2" t="n"/>
      <c r="I328" s="2" t="n"/>
      <c r="J328" s="4" t="n"/>
      <c r="K328" s="2" t="n"/>
      <c r="L328" s="2" t="n"/>
    </row>
    <row r="329">
      <c r="A329" s="2" t="n"/>
      <c r="B329" s="2" t="n"/>
      <c r="C329" s="5">
        <f>IF($B329="","",IFERROR(VLOOKUP($B329,'02_Конкуренты'!$A\$4:$B\$203,2,FALSE),"не найдено"))</f>
        <v/>
      </c>
      <c r="D329" s="2" t="n"/>
      <c r="E329" s="2" t="n"/>
      <c r="F329" s="2" t="n"/>
      <c r="G329" s="2" t="n"/>
      <c r="H329" s="2" t="n"/>
      <c r="I329" s="2" t="n"/>
      <c r="J329" s="4" t="n"/>
      <c r="K329" s="2" t="n"/>
      <c r="L329" s="2" t="n"/>
    </row>
    <row r="330">
      <c r="A330" s="2" t="n"/>
      <c r="B330" s="2" t="n"/>
      <c r="C330" s="5">
        <f>IF($B330="","",IFERROR(VLOOKUP($B330,'02_Конкуренты'!$A\$4:$B\$203,2,FALSE),"не найдено"))</f>
        <v/>
      </c>
      <c r="D330" s="2" t="n"/>
      <c r="E330" s="2" t="n"/>
      <c r="F330" s="2" t="n"/>
      <c r="G330" s="2" t="n"/>
      <c r="H330" s="2" t="n"/>
      <c r="I330" s="2" t="n"/>
      <c r="J330" s="4" t="n"/>
      <c r="K330" s="2" t="n"/>
      <c r="L330" s="2" t="n"/>
    </row>
    <row r="331">
      <c r="A331" s="2" t="n"/>
      <c r="B331" s="2" t="n"/>
      <c r="C331" s="5">
        <f>IF($B331="","",IFERROR(VLOOKUP($B331,'02_Конкуренты'!$A\$4:$B\$203,2,FALSE),"не найдено"))</f>
        <v/>
      </c>
      <c r="D331" s="2" t="n"/>
      <c r="E331" s="2" t="n"/>
      <c r="F331" s="2" t="n"/>
      <c r="G331" s="2" t="n"/>
      <c r="H331" s="2" t="n"/>
      <c r="I331" s="2" t="n"/>
      <c r="J331" s="4" t="n"/>
      <c r="K331" s="2" t="n"/>
      <c r="L331" s="2" t="n"/>
    </row>
    <row r="332">
      <c r="A332" s="2" t="n"/>
      <c r="B332" s="2" t="n"/>
      <c r="C332" s="5">
        <f>IF($B332="","",IFERROR(VLOOKUP($B332,'02_Конкуренты'!$A\$4:$B\$203,2,FALSE),"не найдено"))</f>
        <v/>
      </c>
      <c r="D332" s="2" t="n"/>
      <c r="E332" s="2" t="n"/>
      <c r="F332" s="2" t="n"/>
      <c r="G332" s="2" t="n"/>
      <c r="H332" s="2" t="n"/>
      <c r="I332" s="2" t="n"/>
      <c r="J332" s="4" t="n"/>
      <c r="K332" s="2" t="n"/>
      <c r="L332" s="2" t="n"/>
    </row>
    <row r="333">
      <c r="A333" s="2" t="n"/>
      <c r="B333" s="2" t="n"/>
      <c r="C333" s="5">
        <f>IF($B333="","",IFERROR(VLOOKUP($B333,'02_Конкуренты'!$A\$4:$B\$203,2,FALSE),"не найдено"))</f>
        <v/>
      </c>
      <c r="D333" s="2" t="n"/>
      <c r="E333" s="2" t="n"/>
      <c r="F333" s="2" t="n"/>
      <c r="G333" s="2" t="n"/>
      <c r="H333" s="2" t="n"/>
      <c r="I333" s="2" t="n"/>
      <c r="J333" s="4" t="n"/>
      <c r="K333" s="2" t="n"/>
      <c r="L333" s="2" t="n"/>
    </row>
    <row r="334">
      <c r="A334" s="2" t="n"/>
      <c r="B334" s="2" t="n"/>
      <c r="C334" s="5">
        <f>IF($B334="","",IFERROR(VLOOKUP($B334,'02_Конкуренты'!$A\$4:$B\$203,2,FALSE),"не найдено"))</f>
        <v/>
      </c>
      <c r="D334" s="2" t="n"/>
      <c r="E334" s="2" t="n"/>
      <c r="F334" s="2" t="n"/>
      <c r="G334" s="2" t="n"/>
      <c r="H334" s="2" t="n"/>
      <c r="I334" s="2" t="n"/>
      <c r="J334" s="4" t="n"/>
      <c r="K334" s="2" t="n"/>
      <c r="L334" s="2" t="n"/>
    </row>
    <row r="335">
      <c r="A335" s="2" t="n"/>
      <c r="B335" s="2" t="n"/>
      <c r="C335" s="5">
        <f>IF($B335="","",IFERROR(VLOOKUP($B335,'02_Конкуренты'!$A\$4:$B\$203,2,FALSE),"не найдено"))</f>
        <v/>
      </c>
      <c r="D335" s="2" t="n"/>
      <c r="E335" s="2" t="n"/>
      <c r="F335" s="2" t="n"/>
      <c r="G335" s="2" t="n"/>
      <c r="H335" s="2" t="n"/>
      <c r="I335" s="2" t="n"/>
      <c r="J335" s="4" t="n"/>
      <c r="K335" s="2" t="n"/>
      <c r="L335" s="2" t="n"/>
    </row>
    <row r="336">
      <c r="A336" s="2" t="n"/>
      <c r="B336" s="2" t="n"/>
      <c r="C336" s="5">
        <f>IF($B336="","",IFERROR(VLOOKUP($B336,'02_Конкуренты'!$A\$4:$B\$203,2,FALSE),"не найдено"))</f>
        <v/>
      </c>
      <c r="D336" s="2" t="n"/>
      <c r="E336" s="2" t="n"/>
      <c r="F336" s="2" t="n"/>
      <c r="G336" s="2" t="n"/>
      <c r="H336" s="2" t="n"/>
      <c r="I336" s="2" t="n"/>
      <c r="J336" s="4" t="n"/>
      <c r="K336" s="2" t="n"/>
      <c r="L336" s="2" t="n"/>
    </row>
    <row r="337">
      <c r="A337" s="2" t="n"/>
      <c r="B337" s="2" t="n"/>
      <c r="C337" s="5">
        <f>IF($B337="","",IFERROR(VLOOKUP($B337,'02_Конкуренты'!$A\$4:$B\$203,2,FALSE),"не найдено"))</f>
        <v/>
      </c>
      <c r="D337" s="2" t="n"/>
      <c r="E337" s="2" t="n"/>
      <c r="F337" s="2" t="n"/>
      <c r="G337" s="2" t="n"/>
      <c r="H337" s="2" t="n"/>
      <c r="I337" s="2" t="n"/>
      <c r="J337" s="4" t="n"/>
      <c r="K337" s="2" t="n"/>
      <c r="L337" s="2" t="n"/>
    </row>
    <row r="338">
      <c r="A338" s="2" t="n"/>
      <c r="B338" s="2" t="n"/>
      <c r="C338" s="5">
        <f>IF($B338="","",IFERROR(VLOOKUP($B338,'02_Конкуренты'!$A\$4:$B\$203,2,FALSE),"не найдено"))</f>
        <v/>
      </c>
      <c r="D338" s="2" t="n"/>
      <c r="E338" s="2" t="n"/>
      <c r="F338" s="2" t="n"/>
      <c r="G338" s="2" t="n"/>
      <c r="H338" s="2" t="n"/>
      <c r="I338" s="2" t="n"/>
      <c r="J338" s="4" t="n"/>
      <c r="K338" s="2" t="n"/>
      <c r="L338" s="2" t="n"/>
    </row>
    <row r="339">
      <c r="A339" s="2" t="n"/>
      <c r="B339" s="2" t="n"/>
      <c r="C339" s="5">
        <f>IF($B339="","",IFERROR(VLOOKUP($B339,'02_Конкуренты'!$A\$4:$B\$203,2,FALSE),"не найдено"))</f>
        <v/>
      </c>
      <c r="D339" s="2" t="n"/>
      <c r="E339" s="2" t="n"/>
      <c r="F339" s="2" t="n"/>
      <c r="G339" s="2" t="n"/>
      <c r="H339" s="2" t="n"/>
      <c r="I339" s="2" t="n"/>
      <c r="J339" s="4" t="n"/>
      <c r="K339" s="2" t="n"/>
      <c r="L339" s="2" t="n"/>
    </row>
    <row r="340">
      <c r="A340" s="2" t="n"/>
      <c r="B340" s="2" t="n"/>
      <c r="C340" s="5">
        <f>IF($B340="","",IFERROR(VLOOKUP($B340,'02_Конкуренты'!$A\$4:$B\$203,2,FALSE),"не найдено"))</f>
        <v/>
      </c>
      <c r="D340" s="2" t="n"/>
      <c r="E340" s="2" t="n"/>
      <c r="F340" s="2" t="n"/>
      <c r="G340" s="2" t="n"/>
      <c r="H340" s="2" t="n"/>
      <c r="I340" s="2" t="n"/>
      <c r="J340" s="4" t="n"/>
      <c r="K340" s="2" t="n"/>
      <c r="L340" s="2" t="n"/>
    </row>
    <row r="341">
      <c r="A341" s="2" t="n"/>
      <c r="B341" s="2" t="n"/>
      <c r="C341" s="5">
        <f>IF($B341="","",IFERROR(VLOOKUP($B341,'02_Конкуренты'!$A\$4:$B\$203,2,FALSE),"не найдено"))</f>
        <v/>
      </c>
      <c r="D341" s="2" t="n"/>
      <c r="E341" s="2" t="n"/>
      <c r="F341" s="2" t="n"/>
      <c r="G341" s="2" t="n"/>
      <c r="H341" s="2" t="n"/>
      <c r="I341" s="2" t="n"/>
      <c r="J341" s="4" t="n"/>
      <c r="K341" s="2" t="n"/>
      <c r="L341" s="2" t="n"/>
    </row>
    <row r="342">
      <c r="A342" s="2" t="n"/>
      <c r="B342" s="2" t="n"/>
      <c r="C342" s="5">
        <f>IF($B342="","",IFERROR(VLOOKUP($B342,'02_Конкуренты'!$A\$4:$B\$203,2,FALSE),"не найдено"))</f>
        <v/>
      </c>
      <c r="D342" s="2" t="n"/>
      <c r="E342" s="2" t="n"/>
      <c r="F342" s="2" t="n"/>
      <c r="G342" s="2" t="n"/>
      <c r="H342" s="2" t="n"/>
      <c r="I342" s="2" t="n"/>
      <c r="J342" s="4" t="n"/>
      <c r="K342" s="2" t="n"/>
      <c r="L342" s="2" t="n"/>
    </row>
    <row r="343">
      <c r="A343" s="2" t="n"/>
      <c r="B343" s="2" t="n"/>
      <c r="C343" s="5">
        <f>IF($B343="","",IFERROR(VLOOKUP($B343,'02_Конкуренты'!$A\$4:$B\$203,2,FALSE),"не найдено"))</f>
        <v/>
      </c>
      <c r="D343" s="2" t="n"/>
      <c r="E343" s="2" t="n"/>
      <c r="F343" s="2" t="n"/>
      <c r="G343" s="2" t="n"/>
      <c r="H343" s="2" t="n"/>
      <c r="I343" s="2" t="n"/>
      <c r="J343" s="4" t="n"/>
      <c r="K343" s="2" t="n"/>
      <c r="L343" s="2" t="n"/>
    </row>
    <row r="344">
      <c r="A344" s="2" t="n"/>
      <c r="B344" s="2" t="n"/>
      <c r="C344" s="5">
        <f>IF($B344="","",IFERROR(VLOOKUP($B344,'02_Конкуренты'!$A\$4:$B\$203,2,FALSE),"не найдено"))</f>
        <v/>
      </c>
      <c r="D344" s="2" t="n"/>
      <c r="E344" s="2" t="n"/>
      <c r="F344" s="2" t="n"/>
      <c r="G344" s="2" t="n"/>
      <c r="H344" s="2" t="n"/>
      <c r="I344" s="2" t="n"/>
      <c r="J344" s="4" t="n"/>
      <c r="K344" s="2" t="n"/>
      <c r="L344" s="2" t="n"/>
    </row>
    <row r="345">
      <c r="A345" s="2" t="n"/>
      <c r="B345" s="2" t="n"/>
      <c r="C345" s="5">
        <f>IF($B345="","",IFERROR(VLOOKUP($B345,'02_Конкуренты'!$A\$4:$B\$203,2,FALSE),"не найдено"))</f>
        <v/>
      </c>
      <c r="D345" s="2" t="n"/>
      <c r="E345" s="2" t="n"/>
      <c r="F345" s="2" t="n"/>
      <c r="G345" s="2" t="n"/>
      <c r="H345" s="2" t="n"/>
      <c r="I345" s="2" t="n"/>
      <c r="J345" s="4" t="n"/>
      <c r="K345" s="2" t="n"/>
      <c r="L345" s="2" t="n"/>
    </row>
    <row r="346">
      <c r="A346" s="2" t="n"/>
      <c r="B346" s="2" t="n"/>
      <c r="C346" s="5">
        <f>IF($B346="","",IFERROR(VLOOKUP($B346,'02_Конкуренты'!$A\$4:$B\$203,2,FALSE),"не найдено"))</f>
        <v/>
      </c>
      <c r="D346" s="2" t="n"/>
      <c r="E346" s="2" t="n"/>
      <c r="F346" s="2" t="n"/>
      <c r="G346" s="2" t="n"/>
      <c r="H346" s="2" t="n"/>
      <c r="I346" s="2" t="n"/>
      <c r="J346" s="4" t="n"/>
      <c r="K346" s="2" t="n"/>
      <c r="L346" s="2" t="n"/>
    </row>
    <row r="347">
      <c r="A347" s="2" t="n"/>
      <c r="B347" s="2" t="n"/>
      <c r="C347" s="5">
        <f>IF($B347="","",IFERROR(VLOOKUP($B347,'02_Конкуренты'!$A\$4:$B\$203,2,FALSE),"не найдено"))</f>
        <v/>
      </c>
      <c r="D347" s="2" t="n"/>
      <c r="E347" s="2" t="n"/>
      <c r="F347" s="2" t="n"/>
      <c r="G347" s="2" t="n"/>
      <c r="H347" s="2" t="n"/>
      <c r="I347" s="2" t="n"/>
      <c r="J347" s="4" t="n"/>
      <c r="K347" s="2" t="n"/>
      <c r="L347" s="2" t="n"/>
    </row>
    <row r="348">
      <c r="A348" s="2" t="n"/>
      <c r="B348" s="2" t="n"/>
      <c r="C348" s="5">
        <f>IF($B348="","",IFERROR(VLOOKUP($B348,'02_Конкуренты'!$A\$4:$B\$203,2,FALSE),"не найдено"))</f>
        <v/>
      </c>
      <c r="D348" s="2" t="n"/>
      <c r="E348" s="2" t="n"/>
      <c r="F348" s="2" t="n"/>
      <c r="G348" s="2" t="n"/>
      <c r="H348" s="2" t="n"/>
      <c r="I348" s="2" t="n"/>
      <c r="J348" s="4" t="n"/>
      <c r="K348" s="2" t="n"/>
      <c r="L348" s="2" t="n"/>
    </row>
    <row r="349">
      <c r="A349" s="2" t="n"/>
      <c r="B349" s="2" t="n"/>
      <c r="C349" s="5">
        <f>IF($B349="","",IFERROR(VLOOKUP($B349,'02_Конкуренты'!$A\$4:$B\$203,2,FALSE),"не найдено"))</f>
        <v/>
      </c>
      <c r="D349" s="2" t="n"/>
      <c r="E349" s="2" t="n"/>
      <c r="F349" s="2" t="n"/>
      <c r="G349" s="2" t="n"/>
      <c r="H349" s="2" t="n"/>
      <c r="I349" s="2" t="n"/>
      <c r="J349" s="4" t="n"/>
      <c r="K349" s="2" t="n"/>
      <c r="L349" s="2" t="n"/>
    </row>
    <row r="350">
      <c r="A350" s="2" t="n"/>
      <c r="B350" s="2" t="n"/>
      <c r="C350" s="5">
        <f>IF($B350="","",IFERROR(VLOOKUP($B350,'02_Конкуренты'!$A\$4:$B\$203,2,FALSE),"не найдено"))</f>
        <v/>
      </c>
      <c r="D350" s="2" t="n"/>
      <c r="E350" s="2" t="n"/>
      <c r="F350" s="2" t="n"/>
      <c r="G350" s="2" t="n"/>
      <c r="H350" s="2" t="n"/>
      <c r="I350" s="2" t="n"/>
      <c r="J350" s="4" t="n"/>
      <c r="K350" s="2" t="n"/>
      <c r="L350" s="2" t="n"/>
    </row>
    <row r="351">
      <c r="A351" s="2" t="n"/>
      <c r="B351" s="2" t="n"/>
      <c r="C351" s="5">
        <f>IF($B351="","",IFERROR(VLOOKUP($B351,'02_Конкуренты'!$A\$4:$B\$203,2,FALSE),"не найдено"))</f>
        <v/>
      </c>
      <c r="D351" s="2" t="n"/>
      <c r="E351" s="2" t="n"/>
      <c r="F351" s="2" t="n"/>
      <c r="G351" s="2" t="n"/>
      <c r="H351" s="2" t="n"/>
      <c r="I351" s="2" t="n"/>
      <c r="J351" s="4" t="n"/>
      <c r="K351" s="2" t="n"/>
      <c r="L351" s="2" t="n"/>
    </row>
    <row r="352">
      <c r="A352" s="2" t="n"/>
      <c r="B352" s="2" t="n"/>
      <c r="C352" s="5">
        <f>IF($B352="","",IFERROR(VLOOKUP($B352,'02_Конкуренты'!$A\$4:$B\$203,2,FALSE),"не найдено"))</f>
        <v/>
      </c>
      <c r="D352" s="2" t="n"/>
      <c r="E352" s="2" t="n"/>
      <c r="F352" s="2" t="n"/>
      <c r="G352" s="2" t="n"/>
      <c r="H352" s="2" t="n"/>
      <c r="I352" s="2" t="n"/>
      <c r="J352" s="4" t="n"/>
      <c r="K352" s="2" t="n"/>
      <c r="L352" s="2" t="n"/>
    </row>
    <row r="353">
      <c r="A353" s="2" t="n"/>
      <c r="B353" s="2" t="n"/>
      <c r="C353" s="5">
        <f>IF($B353="","",IFERROR(VLOOKUP($B353,'02_Конкуренты'!$A\$4:$B\$203,2,FALSE),"не найдено"))</f>
        <v/>
      </c>
      <c r="D353" s="2" t="n"/>
      <c r="E353" s="2" t="n"/>
      <c r="F353" s="2" t="n"/>
      <c r="G353" s="2" t="n"/>
      <c r="H353" s="2" t="n"/>
      <c r="I353" s="2" t="n"/>
      <c r="J353" s="4" t="n"/>
      <c r="K353" s="2" t="n"/>
      <c r="L353" s="2" t="n"/>
    </row>
    <row r="354">
      <c r="A354" s="2" t="n"/>
      <c r="B354" s="2" t="n"/>
      <c r="C354" s="5">
        <f>IF($B354="","",IFERROR(VLOOKUP($B354,'02_Конкуренты'!$A\$4:$B\$203,2,FALSE),"не найдено"))</f>
        <v/>
      </c>
      <c r="D354" s="2" t="n"/>
      <c r="E354" s="2" t="n"/>
      <c r="F354" s="2" t="n"/>
      <c r="G354" s="2" t="n"/>
      <c r="H354" s="2" t="n"/>
      <c r="I354" s="2" t="n"/>
      <c r="J354" s="4" t="n"/>
      <c r="K354" s="2" t="n"/>
      <c r="L354" s="2" t="n"/>
    </row>
    <row r="355">
      <c r="A355" s="2" t="n"/>
      <c r="B355" s="2" t="n"/>
      <c r="C355" s="5">
        <f>IF($B355="","",IFERROR(VLOOKUP($B355,'02_Конкуренты'!$A\$4:$B\$203,2,FALSE),"не найдено"))</f>
        <v/>
      </c>
      <c r="D355" s="2" t="n"/>
      <c r="E355" s="2" t="n"/>
      <c r="F355" s="2" t="n"/>
      <c r="G355" s="2" t="n"/>
      <c r="H355" s="2" t="n"/>
      <c r="I355" s="2" t="n"/>
      <c r="J355" s="4" t="n"/>
      <c r="K355" s="2" t="n"/>
      <c r="L355" s="2" t="n"/>
    </row>
    <row r="356">
      <c r="A356" s="2" t="n"/>
      <c r="B356" s="2" t="n"/>
      <c r="C356" s="5">
        <f>IF($B356="","",IFERROR(VLOOKUP($B356,'02_Конкуренты'!$A\$4:$B\$203,2,FALSE),"не найдено"))</f>
        <v/>
      </c>
      <c r="D356" s="2" t="n"/>
      <c r="E356" s="2" t="n"/>
      <c r="F356" s="2" t="n"/>
      <c r="G356" s="2" t="n"/>
      <c r="H356" s="2" t="n"/>
      <c r="I356" s="2" t="n"/>
      <c r="J356" s="4" t="n"/>
      <c r="K356" s="2" t="n"/>
      <c r="L356" s="2" t="n"/>
    </row>
    <row r="357">
      <c r="A357" s="2" t="n"/>
      <c r="B357" s="2" t="n"/>
      <c r="C357" s="5">
        <f>IF($B357="","",IFERROR(VLOOKUP($B357,'02_Конкуренты'!$A\$4:$B\$203,2,FALSE),"не найдено"))</f>
        <v/>
      </c>
      <c r="D357" s="2" t="n"/>
      <c r="E357" s="2" t="n"/>
      <c r="F357" s="2" t="n"/>
      <c r="G357" s="2" t="n"/>
      <c r="H357" s="2" t="n"/>
      <c r="I357" s="2" t="n"/>
      <c r="J357" s="4" t="n"/>
      <c r="K357" s="2" t="n"/>
      <c r="L357" s="2" t="n"/>
    </row>
    <row r="358">
      <c r="A358" s="2" t="n"/>
      <c r="B358" s="2" t="n"/>
      <c r="C358" s="5">
        <f>IF($B358="","",IFERROR(VLOOKUP($B358,'02_Конкуренты'!$A\$4:$B\$203,2,FALSE),"не найдено"))</f>
        <v/>
      </c>
      <c r="D358" s="2" t="n"/>
      <c r="E358" s="2" t="n"/>
      <c r="F358" s="2" t="n"/>
      <c r="G358" s="2" t="n"/>
      <c r="H358" s="2" t="n"/>
      <c r="I358" s="2" t="n"/>
      <c r="J358" s="4" t="n"/>
      <c r="K358" s="2" t="n"/>
      <c r="L358" s="2" t="n"/>
    </row>
    <row r="359">
      <c r="A359" s="2" t="n"/>
      <c r="B359" s="2" t="n"/>
      <c r="C359" s="5">
        <f>IF($B359="","",IFERROR(VLOOKUP($B359,'02_Конкуренты'!$A\$4:$B\$203,2,FALSE),"не найдено"))</f>
        <v/>
      </c>
      <c r="D359" s="2" t="n"/>
      <c r="E359" s="2" t="n"/>
      <c r="F359" s="2" t="n"/>
      <c r="G359" s="2" t="n"/>
      <c r="H359" s="2" t="n"/>
      <c r="I359" s="2" t="n"/>
      <c r="J359" s="4" t="n"/>
      <c r="K359" s="2" t="n"/>
      <c r="L359" s="2" t="n"/>
    </row>
    <row r="360">
      <c r="A360" s="2" t="n"/>
      <c r="B360" s="2" t="n"/>
      <c r="C360" s="5">
        <f>IF($B360="","",IFERROR(VLOOKUP($B360,'02_Конкуренты'!$A\$4:$B\$203,2,FALSE),"не найдено"))</f>
        <v/>
      </c>
      <c r="D360" s="2" t="n"/>
      <c r="E360" s="2" t="n"/>
      <c r="F360" s="2" t="n"/>
      <c r="G360" s="2" t="n"/>
      <c r="H360" s="2" t="n"/>
      <c r="I360" s="2" t="n"/>
      <c r="J360" s="4" t="n"/>
      <c r="K360" s="2" t="n"/>
      <c r="L360" s="2" t="n"/>
    </row>
    <row r="361">
      <c r="A361" s="2" t="n"/>
      <c r="B361" s="2" t="n"/>
      <c r="C361" s="5">
        <f>IF($B361="","",IFERROR(VLOOKUP($B361,'02_Конкуренты'!$A\$4:$B\$203,2,FALSE),"не найдено"))</f>
        <v/>
      </c>
      <c r="D361" s="2" t="n"/>
      <c r="E361" s="2" t="n"/>
      <c r="F361" s="2" t="n"/>
      <c r="G361" s="2" t="n"/>
      <c r="H361" s="2" t="n"/>
      <c r="I361" s="2" t="n"/>
      <c r="J361" s="4" t="n"/>
      <c r="K361" s="2" t="n"/>
      <c r="L361" s="2" t="n"/>
    </row>
    <row r="362">
      <c r="A362" s="2" t="n"/>
      <c r="B362" s="2" t="n"/>
      <c r="C362" s="5">
        <f>IF($B362="","",IFERROR(VLOOKUP($B362,'02_Конкуренты'!$A\$4:$B\$203,2,FALSE),"не найдено"))</f>
        <v/>
      </c>
      <c r="D362" s="2" t="n"/>
      <c r="E362" s="2" t="n"/>
      <c r="F362" s="2" t="n"/>
      <c r="G362" s="2" t="n"/>
      <c r="H362" s="2" t="n"/>
      <c r="I362" s="2" t="n"/>
      <c r="J362" s="4" t="n"/>
      <c r="K362" s="2" t="n"/>
      <c r="L362" s="2" t="n"/>
    </row>
    <row r="363">
      <c r="A363" s="2" t="n"/>
      <c r="B363" s="2" t="n"/>
      <c r="C363" s="5">
        <f>IF($B363="","",IFERROR(VLOOKUP($B363,'02_Конкуренты'!$A\$4:$B\$203,2,FALSE),"не найдено"))</f>
        <v/>
      </c>
      <c r="D363" s="2" t="n"/>
      <c r="E363" s="2" t="n"/>
      <c r="F363" s="2" t="n"/>
      <c r="G363" s="2" t="n"/>
      <c r="H363" s="2" t="n"/>
      <c r="I363" s="2" t="n"/>
      <c r="J363" s="4" t="n"/>
      <c r="K363" s="2" t="n"/>
      <c r="L363" s="2" t="n"/>
    </row>
    <row r="364">
      <c r="A364" s="2" t="n"/>
      <c r="B364" s="2" t="n"/>
      <c r="C364" s="5">
        <f>IF($B364="","",IFERROR(VLOOKUP($B364,'02_Конкуренты'!$A\$4:$B\$203,2,FALSE),"не найдено"))</f>
        <v/>
      </c>
      <c r="D364" s="2" t="n"/>
      <c r="E364" s="2" t="n"/>
      <c r="F364" s="2" t="n"/>
      <c r="G364" s="2" t="n"/>
      <c r="H364" s="2" t="n"/>
      <c r="I364" s="2" t="n"/>
      <c r="J364" s="4" t="n"/>
      <c r="K364" s="2" t="n"/>
      <c r="L364" s="2" t="n"/>
    </row>
    <row r="365">
      <c r="A365" s="2" t="n"/>
      <c r="B365" s="2" t="n"/>
      <c r="C365" s="5">
        <f>IF($B365="","",IFERROR(VLOOKUP($B365,'02_Конкуренты'!$A\$4:$B\$203,2,FALSE),"не найдено"))</f>
        <v/>
      </c>
      <c r="D365" s="2" t="n"/>
      <c r="E365" s="2" t="n"/>
      <c r="F365" s="2" t="n"/>
      <c r="G365" s="2" t="n"/>
      <c r="H365" s="2" t="n"/>
      <c r="I365" s="2" t="n"/>
      <c r="J365" s="4" t="n"/>
      <c r="K365" s="2" t="n"/>
      <c r="L365" s="2" t="n"/>
    </row>
    <row r="366">
      <c r="A366" s="2" t="n"/>
      <c r="B366" s="2" t="n"/>
      <c r="C366" s="5">
        <f>IF($B366="","",IFERROR(VLOOKUP($B366,'02_Конкуренты'!$A\$4:$B\$203,2,FALSE),"не найдено"))</f>
        <v/>
      </c>
      <c r="D366" s="2" t="n"/>
      <c r="E366" s="2" t="n"/>
      <c r="F366" s="2" t="n"/>
      <c r="G366" s="2" t="n"/>
      <c r="H366" s="2" t="n"/>
      <c r="I366" s="2" t="n"/>
      <c r="J366" s="4" t="n"/>
      <c r="K366" s="2" t="n"/>
      <c r="L366" s="2" t="n"/>
    </row>
    <row r="367">
      <c r="A367" s="2" t="n"/>
      <c r="B367" s="2" t="n"/>
      <c r="C367" s="5">
        <f>IF($B367="","",IFERROR(VLOOKUP($B367,'02_Конкуренты'!$A\$4:$B\$203,2,FALSE),"не найдено"))</f>
        <v/>
      </c>
      <c r="D367" s="2" t="n"/>
      <c r="E367" s="2" t="n"/>
      <c r="F367" s="2" t="n"/>
      <c r="G367" s="2" t="n"/>
      <c r="H367" s="2" t="n"/>
      <c r="I367" s="2" t="n"/>
      <c r="J367" s="4" t="n"/>
      <c r="K367" s="2" t="n"/>
      <c r="L367" s="2" t="n"/>
    </row>
    <row r="368">
      <c r="A368" s="2" t="n"/>
      <c r="B368" s="2" t="n"/>
      <c r="C368" s="5">
        <f>IF($B368="","",IFERROR(VLOOKUP($B368,'02_Конкуренты'!$A\$4:$B\$203,2,FALSE),"не найдено"))</f>
        <v/>
      </c>
      <c r="D368" s="2" t="n"/>
      <c r="E368" s="2" t="n"/>
      <c r="F368" s="2" t="n"/>
      <c r="G368" s="2" t="n"/>
      <c r="H368" s="2" t="n"/>
      <c r="I368" s="2" t="n"/>
      <c r="J368" s="4" t="n"/>
      <c r="K368" s="2" t="n"/>
      <c r="L368" s="2" t="n"/>
    </row>
    <row r="369">
      <c r="A369" s="2" t="n"/>
      <c r="B369" s="2" t="n"/>
      <c r="C369" s="5">
        <f>IF($B369="","",IFERROR(VLOOKUP($B369,'02_Конкуренты'!$A\$4:$B\$203,2,FALSE),"не найдено"))</f>
        <v/>
      </c>
      <c r="D369" s="2" t="n"/>
      <c r="E369" s="2" t="n"/>
      <c r="F369" s="2" t="n"/>
      <c r="G369" s="2" t="n"/>
      <c r="H369" s="2" t="n"/>
      <c r="I369" s="2" t="n"/>
      <c r="J369" s="4" t="n"/>
      <c r="K369" s="2" t="n"/>
      <c r="L369" s="2" t="n"/>
    </row>
    <row r="370">
      <c r="A370" s="2" t="n"/>
      <c r="B370" s="2" t="n"/>
      <c r="C370" s="5">
        <f>IF($B370="","",IFERROR(VLOOKUP($B370,'02_Конкуренты'!$A\$4:$B\$203,2,FALSE),"не найдено"))</f>
        <v/>
      </c>
      <c r="D370" s="2" t="n"/>
      <c r="E370" s="2" t="n"/>
      <c r="F370" s="2" t="n"/>
      <c r="G370" s="2" t="n"/>
      <c r="H370" s="2" t="n"/>
      <c r="I370" s="2" t="n"/>
      <c r="J370" s="4" t="n"/>
      <c r="K370" s="2" t="n"/>
      <c r="L370" s="2" t="n"/>
    </row>
    <row r="371">
      <c r="A371" s="2" t="n"/>
      <c r="B371" s="2" t="n"/>
      <c r="C371" s="5">
        <f>IF($B371="","",IFERROR(VLOOKUP($B371,'02_Конкуренты'!$A\$4:$B\$203,2,FALSE),"не найдено"))</f>
        <v/>
      </c>
      <c r="D371" s="2" t="n"/>
      <c r="E371" s="2" t="n"/>
      <c r="F371" s="2" t="n"/>
      <c r="G371" s="2" t="n"/>
      <c r="H371" s="2" t="n"/>
      <c r="I371" s="2" t="n"/>
      <c r="J371" s="4" t="n"/>
      <c r="K371" s="2" t="n"/>
      <c r="L371" s="2" t="n"/>
    </row>
    <row r="372">
      <c r="A372" s="2" t="n"/>
      <c r="B372" s="2" t="n"/>
      <c r="C372" s="5">
        <f>IF($B372="","",IFERROR(VLOOKUP($B372,'02_Конкуренты'!$A\$4:$B\$203,2,FALSE),"не найдено"))</f>
        <v/>
      </c>
      <c r="D372" s="2" t="n"/>
      <c r="E372" s="2" t="n"/>
      <c r="F372" s="2" t="n"/>
      <c r="G372" s="2" t="n"/>
      <c r="H372" s="2" t="n"/>
      <c r="I372" s="2" t="n"/>
      <c r="J372" s="4" t="n"/>
      <c r="K372" s="2" t="n"/>
      <c r="L372" s="2" t="n"/>
    </row>
    <row r="373">
      <c r="A373" s="2" t="n"/>
      <c r="B373" s="2" t="n"/>
      <c r="C373" s="5">
        <f>IF($B373="","",IFERROR(VLOOKUP($B373,'02_Конкуренты'!$A\$4:$B\$203,2,FALSE),"не найдено"))</f>
        <v/>
      </c>
      <c r="D373" s="2" t="n"/>
      <c r="E373" s="2" t="n"/>
      <c r="F373" s="2" t="n"/>
      <c r="G373" s="2" t="n"/>
      <c r="H373" s="2" t="n"/>
      <c r="I373" s="2" t="n"/>
      <c r="J373" s="4" t="n"/>
      <c r="K373" s="2" t="n"/>
      <c r="L373" s="2" t="n"/>
    </row>
    <row r="374">
      <c r="A374" s="2" t="n"/>
      <c r="B374" s="2" t="n"/>
      <c r="C374" s="5">
        <f>IF($B374="","",IFERROR(VLOOKUP($B374,'02_Конкуренты'!$A\$4:$B\$203,2,FALSE),"не найдено"))</f>
        <v/>
      </c>
      <c r="D374" s="2" t="n"/>
      <c r="E374" s="2" t="n"/>
      <c r="F374" s="2" t="n"/>
      <c r="G374" s="2" t="n"/>
      <c r="H374" s="2" t="n"/>
      <c r="I374" s="2" t="n"/>
      <c r="J374" s="4" t="n"/>
      <c r="K374" s="2" t="n"/>
      <c r="L374" s="2" t="n"/>
    </row>
    <row r="375">
      <c r="A375" s="2" t="n"/>
      <c r="B375" s="2" t="n"/>
      <c r="C375" s="5">
        <f>IF($B375="","",IFERROR(VLOOKUP($B375,'02_Конкуренты'!$A\$4:$B\$203,2,FALSE),"не найдено"))</f>
        <v/>
      </c>
      <c r="D375" s="2" t="n"/>
      <c r="E375" s="2" t="n"/>
      <c r="F375" s="2" t="n"/>
      <c r="G375" s="2" t="n"/>
      <c r="H375" s="2" t="n"/>
      <c r="I375" s="2" t="n"/>
      <c r="J375" s="4" t="n"/>
      <c r="K375" s="2" t="n"/>
      <c r="L375" s="2" t="n"/>
    </row>
    <row r="376">
      <c r="A376" s="2" t="n"/>
      <c r="B376" s="2" t="n"/>
      <c r="C376" s="5">
        <f>IF($B376="","",IFERROR(VLOOKUP($B376,'02_Конкуренты'!$A\$4:$B\$203,2,FALSE),"не найдено"))</f>
        <v/>
      </c>
      <c r="D376" s="2" t="n"/>
      <c r="E376" s="2" t="n"/>
      <c r="F376" s="2" t="n"/>
      <c r="G376" s="2" t="n"/>
      <c r="H376" s="2" t="n"/>
      <c r="I376" s="2" t="n"/>
      <c r="J376" s="4" t="n"/>
      <c r="K376" s="2" t="n"/>
      <c r="L376" s="2" t="n"/>
    </row>
    <row r="377">
      <c r="A377" s="2" t="n"/>
      <c r="B377" s="2" t="n"/>
      <c r="C377" s="5">
        <f>IF($B377="","",IFERROR(VLOOKUP($B377,'02_Конкуренты'!$A\$4:$B\$203,2,FALSE),"не найдено"))</f>
        <v/>
      </c>
      <c r="D377" s="2" t="n"/>
      <c r="E377" s="2" t="n"/>
      <c r="F377" s="2" t="n"/>
      <c r="G377" s="2" t="n"/>
      <c r="H377" s="2" t="n"/>
      <c r="I377" s="2" t="n"/>
      <c r="J377" s="4" t="n"/>
      <c r="K377" s="2" t="n"/>
      <c r="L377" s="2" t="n"/>
    </row>
    <row r="378">
      <c r="A378" s="2" t="n"/>
      <c r="B378" s="2" t="n"/>
      <c r="C378" s="5">
        <f>IF($B378="","",IFERROR(VLOOKUP($B378,'02_Конкуренты'!$A\$4:$B\$203,2,FALSE),"не найдено"))</f>
        <v/>
      </c>
      <c r="D378" s="2" t="n"/>
      <c r="E378" s="2" t="n"/>
      <c r="F378" s="2" t="n"/>
      <c r="G378" s="2" t="n"/>
      <c r="H378" s="2" t="n"/>
      <c r="I378" s="2" t="n"/>
      <c r="J378" s="4" t="n"/>
      <c r="K378" s="2" t="n"/>
      <c r="L378" s="2" t="n"/>
    </row>
    <row r="379">
      <c r="A379" s="2" t="n"/>
      <c r="B379" s="2" t="n"/>
      <c r="C379" s="5">
        <f>IF($B379="","",IFERROR(VLOOKUP($B379,'02_Конкуренты'!$A\$4:$B\$203,2,FALSE),"не найдено"))</f>
        <v/>
      </c>
      <c r="D379" s="2" t="n"/>
      <c r="E379" s="2" t="n"/>
      <c r="F379" s="2" t="n"/>
      <c r="G379" s="2" t="n"/>
      <c r="H379" s="2" t="n"/>
      <c r="I379" s="2" t="n"/>
      <c r="J379" s="4" t="n"/>
      <c r="K379" s="2" t="n"/>
      <c r="L379" s="2" t="n"/>
    </row>
    <row r="380">
      <c r="A380" s="2" t="n"/>
      <c r="B380" s="2" t="n"/>
      <c r="C380" s="5">
        <f>IF($B380="","",IFERROR(VLOOKUP($B380,'02_Конкуренты'!$A\$4:$B\$203,2,FALSE),"не найдено"))</f>
        <v/>
      </c>
      <c r="D380" s="2" t="n"/>
      <c r="E380" s="2" t="n"/>
      <c r="F380" s="2" t="n"/>
      <c r="G380" s="2" t="n"/>
      <c r="H380" s="2" t="n"/>
      <c r="I380" s="2" t="n"/>
      <c r="J380" s="4" t="n"/>
      <c r="K380" s="2" t="n"/>
      <c r="L380" s="2" t="n"/>
    </row>
    <row r="381">
      <c r="A381" s="2" t="n"/>
      <c r="B381" s="2" t="n"/>
      <c r="C381" s="5">
        <f>IF($B381="","",IFERROR(VLOOKUP($B381,'02_Конкуренты'!$A\$4:$B\$203,2,FALSE),"не найдено"))</f>
        <v/>
      </c>
      <c r="D381" s="2" t="n"/>
      <c r="E381" s="2" t="n"/>
      <c r="F381" s="2" t="n"/>
      <c r="G381" s="2" t="n"/>
      <c r="H381" s="2" t="n"/>
      <c r="I381" s="2" t="n"/>
      <c r="J381" s="4" t="n"/>
      <c r="K381" s="2" t="n"/>
      <c r="L381" s="2" t="n"/>
    </row>
    <row r="382">
      <c r="A382" s="2" t="n"/>
      <c r="B382" s="2" t="n"/>
      <c r="C382" s="5">
        <f>IF($B382="","",IFERROR(VLOOKUP($B382,'02_Конкуренты'!$A\$4:$B\$203,2,FALSE),"не найдено"))</f>
        <v/>
      </c>
      <c r="D382" s="2" t="n"/>
      <c r="E382" s="2" t="n"/>
      <c r="F382" s="2" t="n"/>
      <c r="G382" s="2" t="n"/>
      <c r="H382" s="2" t="n"/>
      <c r="I382" s="2" t="n"/>
      <c r="J382" s="4" t="n"/>
      <c r="K382" s="2" t="n"/>
      <c r="L382" s="2" t="n"/>
    </row>
    <row r="383">
      <c r="A383" s="2" t="n"/>
      <c r="B383" s="2" t="n"/>
      <c r="C383" s="5">
        <f>IF($B383="","",IFERROR(VLOOKUP($B383,'02_Конкуренты'!$A\$4:$B\$203,2,FALSE),"не найдено"))</f>
        <v/>
      </c>
      <c r="D383" s="2" t="n"/>
      <c r="E383" s="2" t="n"/>
      <c r="F383" s="2" t="n"/>
      <c r="G383" s="2" t="n"/>
      <c r="H383" s="2" t="n"/>
      <c r="I383" s="2" t="n"/>
      <c r="J383" s="4" t="n"/>
      <c r="K383" s="2" t="n"/>
      <c r="L383" s="2" t="n"/>
    </row>
    <row r="384">
      <c r="A384" s="2" t="n"/>
      <c r="B384" s="2" t="n"/>
      <c r="C384" s="5">
        <f>IF($B384="","",IFERROR(VLOOKUP($B384,'02_Конкуренты'!$A\$4:$B\$203,2,FALSE),"не найдено"))</f>
        <v/>
      </c>
      <c r="D384" s="2" t="n"/>
      <c r="E384" s="2" t="n"/>
      <c r="F384" s="2" t="n"/>
      <c r="G384" s="2" t="n"/>
      <c r="H384" s="2" t="n"/>
      <c r="I384" s="2" t="n"/>
      <c r="J384" s="4" t="n"/>
      <c r="K384" s="2" t="n"/>
      <c r="L384" s="2" t="n"/>
    </row>
    <row r="385">
      <c r="A385" s="2" t="n"/>
      <c r="B385" s="2" t="n"/>
      <c r="C385" s="5">
        <f>IF($B385="","",IFERROR(VLOOKUP($B385,'02_Конкуренты'!$A\$4:$B\$203,2,FALSE),"не найдено"))</f>
        <v/>
      </c>
      <c r="D385" s="2" t="n"/>
      <c r="E385" s="2" t="n"/>
      <c r="F385" s="2" t="n"/>
      <c r="G385" s="2" t="n"/>
      <c r="H385" s="2" t="n"/>
      <c r="I385" s="2" t="n"/>
      <c r="J385" s="4" t="n"/>
      <c r="K385" s="2" t="n"/>
      <c r="L385" s="2" t="n"/>
    </row>
    <row r="386">
      <c r="A386" s="2" t="n"/>
      <c r="B386" s="2" t="n"/>
      <c r="C386" s="5">
        <f>IF($B386="","",IFERROR(VLOOKUP($B386,'02_Конкуренты'!$A\$4:$B\$203,2,FALSE),"не найдено"))</f>
        <v/>
      </c>
      <c r="D386" s="2" t="n"/>
      <c r="E386" s="2" t="n"/>
      <c r="F386" s="2" t="n"/>
      <c r="G386" s="2" t="n"/>
      <c r="H386" s="2" t="n"/>
      <c r="I386" s="2" t="n"/>
      <c r="J386" s="4" t="n"/>
      <c r="K386" s="2" t="n"/>
      <c r="L386" s="2" t="n"/>
    </row>
    <row r="387">
      <c r="A387" s="2" t="n"/>
      <c r="B387" s="2" t="n"/>
      <c r="C387" s="5">
        <f>IF($B387="","",IFERROR(VLOOKUP($B387,'02_Конкуренты'!$A\$4:$B\$203,2,FALSE),"не найдено"))</f>
        <v/>
      </c>
      <c r="D387" s="2" t="n"/>
      <c r="E387" s="2" t="n"/>
      <c r="F387" s="2" t="n"/>
      <c r="G387" s="2" t="n"/>
      <c r="H387" s="2" t="n"/>
      <c r="I387" s="2" t="n"/>
      <c r="J387" s="4" t="n"/>
      <c r="K387" s="2" t="n"/>
      <c r="L387" s="2" t="n"/>
    </row>
    <row r="388">
      <c r="A388" s="2" t="n"/>
      <c r="B388" s="2" t="n"/>
      <c r="C388" s="5">
        <f>IF($B388="","",IFERROR(VLOOKUP($B388,'02_Конкуренты'!$A\$4:$B\$203,2,FALSE),"не найдено"))</f>
        <v/>
      </c>
      <c r="D388" s="2" t="n"/>
      <c r="E388" s="2" t="n"/>
      <c r="F388" s="2" t="n"/>
      <c r="G388" s="2" t="n"/>
      <c r="H388" s="2" t="n"/>
      <c r="I388" s="2" t="n"/>
      <c r="J388" s="4" t="n"/>
      <c r="K388" s="2" t="n"/>
      <c r="L388" s="2" t="n"/>
    </row>
    <row r="389">
      <c r="A389" s="2" t="n"/>
      <c r="B389" s="2" t="n"/>
      <c r="C389" s="5">
        <f>IF($B389="","",IFERROR(VLOOKUP($B389,'02_Конкуренты'!$A\$4:$B\$203,2,FALSE),"не найдено"))</f>
        <v/>
      </c>
      <c r="D389" s="2" t="n"/>
      <c r="E389" s="2" t="n"/>
      <c r="F389" s="2" t="n"/>
      <c r="G389" s="2" t="n"/>
      <c r="H389" s="2" t="n"/>
      <c r="I389" s="2" t="n"/>
      <c r="J389" s="4" t="n"/>
      <c r="K389" s="2" t="n"/>
      <c r="L389" s="2" t="n"/>
    </row>
    <row r="390">
      <c r="A390" s="2" t="n"/>
      <c r="B390" s="2" t="n"/>
      <c r="C390" s="5">
        <f>IF($B390="","",IFERROR(VLOOKUP($B390,'02_Конкуренты'!$A\$4:$B\$203,2,FALSE),"не найдено"))</f>
        <v/>
      </c>
      <c r="D390" s="2" t="n"/>
      <c r="E390" s="2" t="n"/>
      <c r="F390" s="2" t="n"/>
      <c r="G390" s="2" t="n"/>
      <c r="H390" s="2" t="n"/>
      <c r="I390" s="2" t="n"/>
      <c r="J390" s="4" t="n"/>
      <c r="K390" s="2" t="n"/>
      <c r="L390" s="2" t="n"/>
    </row>
    <row r="391">
      <c r="A391" s="2" t="n"/>
      <c r="B391" s="2" t="n"/>
      <c r="C391" s="5">
        <f>IF($B391="","",IFERROR(VLOOKUP($B391,'02_Конкуренты'!$A\$4:$B\$203,2,FALSE),"не найдено"))</f>
        <v/>
      </c>
      <c r="D391" s="2" t="n"/>
      <c r="E391" s="2" t="n"/>
      <c r="F391" s="2" t="n"/>
      <c r="G391" s="2" t="n"/>
      <c r="H391" s="2" t="n"/>
      <c r="I391" s="2" t="n"/>
      <c r="J391" s="4" t="n"/>
      <c r="K391" s="2" t="n"/>
      <c r="L391" s="2" t="n"/>
    </row>
    <row r="392">
      <c r="A392" s="2" t="n"/>
      <c r="B392" s="2" t="n"/>
      <c r="C392" s="5">
        <f>IF($B392="","",IFERROR(VLOOKUP($B392,'02_Конкуренты'!$A\$4:$B\$203,2,FALSE),"не найдено"))</f>
        <v/>
      </c>
      <c r="D392" s="2" t="n"/>
      <c r="E392" s="2" t="n"/>
      <c r="F392" s="2" t="n"/>
      <c r="G392" s="2" t="n"/>
      <c r="H392" s="2" t="n"/>
      <c r="I392" s="2" t="n"/>
      <c r="J392" s="4" t="n"/>
      <c r="K392" s="2" t="n"/>
      <c r="L392" s="2" t="n"/>
    </row>
    <row r="393">
      <c r="A393" s="2" t="n"/>
      <c r="B393" s="2" t="n"/>
      <c r="C393" s="5">
        <f>IF($B393="","",IFERROR(VLOOKUP($B393,'02_Конкуренты'!$A\$4:$B\$203,2,FALSE),"не найдено"))</f>
        <v/>
      </c>
      <c r="D393" s="2" t="n"/>
      <c r="E393" s="2" t="n"/>
      <c r="F393" s="2" t="n"/>
      <c r="G393" s="2" t="n"/>
      <c r="H393" s="2" t="n"/>
      <c r="I393" s="2" t="n"/>
      <c r="J393" s="4" t="n"/>
      <c r="K393" s="2" t="n"/>
      <c r="L393" s="2" t="n"/>
    </row>
    <row r="394">
      <c r="A394" s="2" t="n"/>
      <c r="B394" s="2" t="n"/>
      <c r="C394" s="5">
        <f>IF($B394="","",IFERROR(VLOOKUP($B394,'02_Конкуренты'!$A\$4:$B\$203,2,FALSE),"не найдено"))</f>
        <v/>
      </c>
      <c r="D394" s="2" t="n"/>
      <c r="E394" s="2" t="n"/>
      <c r="F394" s="2" t="n"/>
      <c r="G394" s="2" t="n"/>
      <c r="H394" s="2" t="n"/>
      <c r="I394" s="2" t="n"/>
      <c r="J394" s="4" t="n"/>
      <c r="K394" s="2" t="n"/>
      <c r="L394" s="2" t="n"/>
    </row>
    <row r="395">
      <c r="A395" s="2" t="n"/>
      <c r="B395" s="2" t="n"/>
      <c r="C395" s="5">
        <f>IF($B395="","",IFERROR(VLOOKUP($B395,'02_Конкуренты'!$A\$4:$B\$203,2,FALSE),"не найдено"))</f>
        <v/>
      </c>
      <c r="D395" s="2" t="n"/>
      <c r="E395" s="2" t="n"/>
      <c r="F395" s="2" t="n"/>
      <c r="G395" s="2" t="n"/>
      <c r="H395" s="2" t="n"/>
      <c r="I395" s="2" t="n"/>
      <c r="J395" s="4" t="n"/>
      <c r="K395" s="2" t="n"/>
      <c r="L395" s="2" t="n"/>
    </row>
    <row r="396">
      <c r="A396" s="2" t="n"/>
      <c r="B396" s="2" t="n"/>
      <c r="C396" s="5">
        <f>IF($B396="","",IFERROR(VLOOKUP($B396,'02_Конкуренты'!$A\$4:$B\$203,2,FALSE),"не найдено"))</f>
        <v/>
      </c>
      <c r="D396" s="2" t="n"/>
      <c r="E396" s="2" t="n"/>
      <c r="F396" s="2" t="n"/>
      <c r="G396" s="2" t="n"/>
      <c r="H396" s="2" t="n"/>
      <c r="I396" s="2" t="n"/>
      <c r="J396" s="4" t="n"/>
      <c r="K396" s="2" t="n"/>
      <c r="L396" s="2" t="n"/>
    </row>
    <row r="397">
      <c r="A397" s="2" t="n"/>
      <c r="B397" s="2" t="n"/>
      <c r="C397" s="5">
        <f>IF($B397="","",IFERROR(VLOOKUP($B397,'02_Конкуренты'!$A\$4:$B\$203,2,FALSE),"не найдено"))</f>
        <v/>
      </c>
      <c r="D397" s="2" t="n"/>
      <c r="E397" s="2" t="n"/>
      <c r="F397" s="2" t="n"/>
      <c r="G397" s="2" t="n"/>
      <c r="H397" s="2" t="n"/>
      <c r="I397" s="2" t="n"/>
      <c r="J397" s="4" t="n"/>
      <c r="K397" s="2" t="n"/>
      <c r="L397" s="2" t="n"/>
    </row>
    <row r="398">
      <c r="A398" s="2" t="n"/>
      <c r="B398" s="2" t="n"/>
      <c r="C398" s="5">
        <f>IF($B398="","",IFERROR(VLOOKUP($B398,'02_Конкуренты'!$A\$4:$B\$203,2,FALSE),"не найдено"))</f>
        <v/>
      </c>
      <c r="D398" s="2" t="n"/>
      <c r="E398" s="2" t="n"/>
      <c r="F398" s="2" t="n"/>
      <c r="G398" s="2" t="n"/>
      <c r="H398" s="2" t="n"/>
      <c r="I398" s="2" t="n"/>
      <c r="J398" s="4" t="n"/>
      <c r="K398" s="2" t="n"/>
      <c r="L398" s="2" t="n"/>
    </row>
    <row r="399">
      <c r="A399" s="2" t="n"/>
      <c r="B399" s="2" t="n"/>
      <c r="C399" s="5">
        <f>IF($B399="","",IFERROR(VLOOKUP($B399,'02_Конкуренты'!$A\$4:$B\$203,2,FALSE),"не найдено"))</f>
        <v/>
      </c>
      <c r="D399" s="2" t="n"/>
      <c r="E399" s="2" t="n"/>
      <c r="F399" s="2" t="n"/>
      <c r="G399" s="2" t="n"/>
      <c r="H399" s="2" t="n"/>
      <c r="I399" s="2" t="n"/>
      <c r="J399" s="4" t="n"/>
      <c r="K399" s="2" t="n"/>
      <c r="L399" s="2" t="n"/>
    </row>
    <row r="400">
      <c r="A400" s="2" t="n"/>
      <c r="B400" s="2" t="n"/>
      <c r="C400" s="5">
        <f>IF($B400="","",IFERROR(VLOOKUP($B400,'02_Конкуренты'!$A\$4:$B\$203,2,FALSE),"не найдено"))</f>
        <v/>
      </c>
      <c r="D400" s="2" t="n"/>
      <c r="E400" s="2" t="n"/>
      <c r="F400" s="2" t="n"/>
      <c r="G400" s="2" t="n"/>
      <c r="H400" s="2" t="n"/>
      <c r="I400" s="2" t="n"/>
      <c r="J400" s="4" t="n"/>
      <c r="K400" s="2" t="n"/>
      <c r="L400" s="2" t="n"/>
    </row>
    <row r="401">
      <c r="A401" s="2" t="n"/>
      <c r="B401" s="2" t="n"/>
      <c r="C401" s="5">
        <f>IF($B401="","",IFERROR(VLOOKUP($B401,'02_Конкуренты'!$A\$4:$B\$203,2,FALSE),"не найдено"))</f>
        <v/>
      </c>
      <c r="D401" s="2" t="n"/>
      <c r="E401" s="2" t="n"/>
      <c r="F401" s="2" t="n"/>
      <c r="G401" s="2" t="n"/>
      <c r="H401" s="2" t="n"/>
      <c r="I401" s="2" t="n"/>
      <c r="J401" s="4" t="n"/>
      <c r="K401" s="2" t="n"/>
      <c r="L401" s="2" t="n"/>
    </row>
    <row r="402">
      <c r="A402" s="2" t="n"/>
      <c r="B402" s="2" t="n"/>
      <c r="C402" s="5">
        <f>IF($B402="","",IFERROR(VLOOKUP($B402,'02_Конкуренты'!$A\$4:$B\$203,2,FALSE),"не найдено"))</f>
        <v/>
      </c>
      <c r="D402" s="2" t="n"/>
      <c r="E402" s="2" t="n"/>
      <c r="F402" s="2" t="n"/>
      <c r="G402" s="2" t="n"/>
      <c r="H402" s="2" t="n"/>
      <c r="I402" s="2" t="n"/>
      <c r="J402" s="4" t="n"/>
      <c r="K402" s="2" t="n"/>
      <c r="L402" s="2" t="n"/>
    </row>
    <row r="403">
      <c r="A403" s="2" t="n"/>
      <c r="B403" s="2" t="n"/>
      <c r="C403" s="5">
        <f>IF($B403="","",IFERROR(VLOOKUP($B403,'02_Конкуренты'!$A\$4:$B\$203,2,FALSE),"не найдено"))</f>
        <v/>
      </c>
      <c r="D403" s="2" t="n"/>
      <c r="E403" s="2" t="n"/>
      <c r="F403" s="2" t="n"/>
      <c r="G403" s="2" t="n"/>
      <c r="H403" s="2" t="n"/>
      <c r="I403" s="2" t="n"/>
      <c r="J403" s="4" t="n"/>
      <c r="K403" s="2" t="n"/>
      <c r="L403" s="2" t="n"/>
    </row>
    <row r="404">
      <c r="A404" s="2" t="n"/>
      <c r="B404" s="2" t="n"/>
      <c r="C404" s="5">
        <f>IF($B404="","",IFERROR(VLOOKUP($B404,'02_Конкуренты'!$A\$4:$B\$203,2,FALSE),"не найдено"))</f>
        <v/>
      </c>
      <c r="D404" s="2" t="n"/>
      <c r="E404" s="2" t="n"/>
      <c r="F404" s="2" t="n"/>
      <c r="G404" s="2" t="n"/>
      <c r="H404" s="2" t="n"/>
      <c r="I404" s="2" t="n"/>
      <c r="J404" s="4" t="n"/>
      <c r="K404" s="2" t="n"/>
      <c r="L404" s="2" t="n"/>
    </row>
    <row r="405">
      <c r="A405" s="2" t="n"/>
      <c r="B405" s="2" t="n"/>
      <c r="C405" s="5">
        <f>IF($B405="","",IFERROR(VLOOKUP($B405,'02_Конкуренты'!$A\$4:$B\$203,2,FALSE),"не найдено"))</f>
        <v/>
      </c>
      <c r="D405" s="2" t="n"/>
      <c r="E405" s="2" t="n"/>
      <c r="F405" s="2" t="n"/>
      <c r="G405" s="2" t="n"/>
      <c r="H405" s="2" t="n"/>
      <c r="I405" s="2" t="n"/>
      <c r="J405" s="4" t="n"/>
      <c r="K405" s="2" t="n"/>
      <c r="L405" s="2" t="n"/>
    </row>
    <row r="406">
      <c r="A406" s="2" t="n"/>
      <c r="B406" s="2" t="n"/>
      <c r="C406" s="5">
        <f>IF($B406="","",IFERROR(VLOOKUP($B406,'02_Конкуренты'!$A\$4:$B\$203,2,FALSE),"не найдено"))</f>
        <v/>
      </c>
      <c r="D406" s="2" t="n"/>
      <c r="E406" s="2" t="n"/>
      <c r="F406" s="2" t="n"/>
      <c r="G406" s="2" t="n"/>
      <c r="H406" s="2" t="n"/>
      <c r="I406" s="2" t="n"/>
      <c r="J406" s="4" t="n"/>
      <c r="K406" s="2" t="n"/>
      <c r="L406" s="2" t="n"/>
    </row>
    <row r="407">
      <c r="A407" s="2" t="n"/>
      <c r="B407" s="2" t="n"/>
      <c r="C407" s="5">
        <f>IF($B407="","",IFERROR(VLOOKUP($B407,'02_Конкуренты'!$A\$4:$B\$203,2,FALSE),"не найдено"))</f>
        <v/>
      </c>
      <c r="D407" s="2" t="n"/>
      <c r="E407" s="2" t="n"/>
      <c r="F407" s="2" t="n"/>
      <c r="G407" s="2" t="n"/>
      <c r="H407" s="2" t="n"/>
      <c r="I407" s="2" t="n"/>
      <c r="J407" s="4" t="n"/>
      <c r="K407" s="2" t="n"/>
      <c r="L407" s="2" t="n"/>
    </row>
    <row r="408">
      <c r="A408" s="2" t="n"/>
      <c r="B408" s="2" t="n"/>
      <c r="C408" s="5">
        <f>IF($B408="","",IFERROR(VLOOKUP($B408,'02_Конкуренты'!$A\$4:$B\$203,2,FALSE),"не найдено"))</f>
        <v/>
      </c>
      <c r="D408" s="2" t="n"/>
      <c r="E408" s="2" t="n"/>
      <c r="F408" s="2" t="n"/>
      <c r="G408" s="2" t="n"/>
      <c r="H408" s="2" t="n"/>
      <c r="I408" s="2" t="n"/>
      <c r="J408" s="4" t="n"/>
      <c r="K408" s="2" t="n"/>
      <c r="L408" s="2" t="n"/>
    </row>
    <row r="409">
      <c r="A409" s="2" t="n"/>
      <c r="B409" s="2" t="n"/>
      <c r="C409" s="5">
        <f>IF($B409="","",IFERROR(VLOOKUP($B409,'02_Конкуренты'!$A\$4:$B\$203,2,FALSE),"не найдено"))</f>
        <v/>
      </c>
      <c r="D409" s="2" t="n"/>
      <c r="E409" s="2" t="n"/>
      <c r="F409" s="2" t="n"/>
      <c r="G409" s="2" t="n"/>
      <c r="H409" s="2" t="n"/>
      <c r="I409" s="2" t="n"/>
      <c r="J409" s="4" t="n"/>
      <c r="K409" s="2" t="n"/>
      <c r="L409" s="2" t="n"/>
    </row>
    <row r="410">
      <c r="A410" s="2" t="n"/>
      <c r="B410" s="2" t="n"/>
      <c r="C410" s="5">
        <f>IF($B410="","",IFERROR(VLOOKUP($B410,'02_Конкуренты'!$A\$4:$B\$203,2,FALSE),"не найдено"))</f>
        <v/>
      </c>
      <c r="D410" s="2" t="n"/>
      <c r="E410" s="2" t="n"/>
      <c r="F410" s="2" t="n"/>
      <c r="G410" s="2" t="n"/>
      <c r="H410" s="2" t="n"/>
      <c r="I410" s="2" t="n"/>
      <c r="J410" s="4" t="n"/>
      <c r="K410" s="2" t="n"/>
      <c r="L410" s="2" t="n"/>
    </row>
    <row r="411">
      <c r="A411" s="2" t="n"/>
      <c r="B411" s="2" t="n"/>
      <c r="C411" s="5">
        <f>IF($B411="","",IFERROR(VLOOKUP($B411,'02_Конкуренты'!$A\$4:$B\$203,2,FALSE),"не найдено"))</f>
        <v/>
      </c>
      <c r="D411" s="2" t="n"/>
      <c r="E411" s="2" t="n"/>
      <c r="F411" s="2" t="n"/>
      <c r="G411" s="2" t="n"/>
      <c r="H411" s="2" t="n"/>
      <c r="I411" s="2" t="n"/>
      <c r="J411" s="4" t="n"/>
      <c r="K411" s="2" t="n"/>
      <c r="L411" s="2" t="n"/>
    </row>
    <row r="412">
      <c r="A412" s="2" t="n"/>
      <c r="B412" s="2" t="n"/>
      <c r="C412" s="5">
        <f>IF($B412="","",IFERROR(VLOOKUP($B412,'02_Конкуренты'!$A\$4:$B\$203,2,FALSE),"не найдено"))</f>
        <v/>
      </c>
      <c r="D412" s="2" t="n"/>
      <c r="E412" s="2" t="n"/>
      <c r="F412" s="2" t="n"/>
      <c r="G412" s="2" t="n"/>
      <c r="H412" s="2" t="n"/>
      <c r="I412" s="2" t="n"/>
      <c r="J412" s="4" t="n"/>
      <c r="K412" s="2" t="n"/>
      <c r="L412" s="2" t="n"/>
    </row>
    <row r="413">
      <c r="A413" s="2" t="n"/>
      <c r="B413" s="2" t="n"/>
      <c r="C413" s="5">
        <f>IF($B413="","",IFERROR(VLOOKUP($B413,'02_Конкуренты'!$A\$4:$B\$203,2,FALSE),"не найдено"))</f>
        <v/>
      </c>
      <c r="D413" s="2" t="n"/>
      <c r="E413" s="2" t="n"/>
      <c r="F413" s="2" t="n"/>
      <c r="G413" s="2" t="n"/>
      <c r="H413" s="2" t="n"/>
      <c r="I413" s="2" t="n"/>
      <c r="J413" s="4" t="n"/>
      <c r="K413" s="2" t="n"/>
      <c r="L413" s="2" t="n"/>
    </row>
    <row r="414">
      <c r="A414" s="2" t="n"/>
      <c r="B414" s="2" t="n"/>
      <c r="C414" s="5">
        <f>IF($B414="","",IFERROR(VLOOKUP($B414,'02_Конкуренты'!$A\$4:$B\$203,2,FALSE),"не найдено"))</f>
        <v/>
      </c>
      <c r="D414" s="2" t="n"/>
      <c r="E414" s="2" t="n"/>
      <c r="F414" s="2" t="n"/>
      <c r="G414" s="2" t="n"/>
      <c r="H414" s="2" t="n"/>
      <c r="I414" s="2" t="n"/>
      <c r="J414" s="4" t="n"/>
      <c r="K414" s="2" t="n"/>
      <c r="L414" s="2" t="n"/>
    </row>
    <row r="415">
      <c r="A415" s="2" t="n"/>
      <c r="B415" s="2" t="n"/>
      <c r="C415" s="5">
        <f>IF($B415="","",IFERROR(VLOOKUP($B415,'02_Конкуренты'!$A\$4:$B\$203,2,FALSE),"не найдено"))</f>
        <v/>
      </c>
      <c r="D415" s="2" t="n"/>
      <c r="E415" s="2" t="n"/>
      <c r="F415" s="2" t="n"/>
      <c r="G415" s="2" t="n"/>
      <c r="H415" s="2" t="n"/>
      <c r="I415" s="2" t="n"/>
      <c r="J415" s="4" t="n"/>
      <c r="K415" s="2" t="n"/>
      <c r="L415" s="2" t="n"/>
    </row>
    <row r="416">
      <c r="A416" s="2" t="n"/>
      <c r="B416" s="2" t="n"/>
      <c r="C416" s="5">
        <f>IF($B416="","",IFERROR(VLOOKUP($B416,'02_Конкуренты'!$A\$4:$B\$203,2,FALSE),"не найдено"))</f>
        <v/>
      </c>
      <c r="D416" s="2" t="n"/>
      <c r="E416" s="2" t="n"/>
      <c r="F416" s="2" t="n"/>
      <c r="G416" s="2" t="n"/>
      <c r="H416" s="2" t="n"/>
      <c r="I416" s="2" t="n"/>
      <c r="J416" s="4" t="n"/>
      <c r="K416" s="2" t="n"/>
      <c r="L416" s="2" t="n"/>
    </row>
    <row r="417">
      <c r="A417" s="2" t="n"/>
      <c r="B417" s="2" t="n"/>
      <c r="C417" s="5">
        <f>IF($B417="","",IFERROR(VLOOKUP($B417,'02_Конкуренты'!$A\$4:$B\$203,2,FALSE),"не найдено"))</f>
        <v/>
      </c>
      <c r="D417" s="2" t="n"/>
      <c r="E417" s="2" t="n"/>
      <c r="F417" s="2" t="n"/>
      <c r="G417" s="2" t="n"/>
      <c r="H417" s="2" t="n"/>
      <c r="I417" s="2" t="n"/>
      <c r="J417" s="4" t="n"/>
      <c r="K417" s="2" t="n"/>
      <c r="L417" s="2" t="n"/>
    </row>
    <row r="418">
      <c r="A418" s="2" t="n"/>
      <c r="B418" s="2" t="n"/>
      <c r="C418" s="5">
        <f>IF($B418="","",IFERROR(VLOOKUP($B418,'02_Конкуренты'!$A\$4:$B\$203,2,FALSE),"не найдено"))</f>
        <v/>
      </c>
      <c r="D418" s="2" t="n"/>
      <c r="E418" s="2" t="n"/>
      <c r="F418" s="2" t="n"/>
      <c r="G418" s="2" t="n"/>
      <c r="H418" s="2" t="n"/>
      <c r="I418" s="2" t="n"/>
      <c r="J418" s="4" t="n"/>
      <c r="K418" s="2" t="n"/>
      <c r="L418" s="2" t="n"/>
    </row>
    <row r="419">
      <c r="A419" s="2" t="n"/>
      <c r="B419" s="2" t="n"/>
      <c r="C419" s="5">
        <f>IF($B419="","",IFERROR(VLOOKUP($B419,'02_Конкуренты'!$A\$4:$B\$203,2,FALSE),"не найдено"))</f>
        <v/>
      </c>
      <c r="D419" s="2" t="n"/>
      <c r="E419" s="2" t="n"/>
      <c r="F419" s="2" t="n"/>
      <c r="G419" s="2" t="n"/>
      <c r="H419" s="2" t="n"/>
      <c r="I419" s="2" t="n"/>
      <c r="J419" s="4" t="n"/>
      <c r="K419" s="2" t="n"/>
      <c r="L419" s="2" t="n"/>
    </row>
    <row r="420">
      <c r="A420" s="2" t="n"/>
      <c r="B420" s="2" t="n"/>
      <c r="C420" s="5">
        <f>IF($B420="","",IFERROR(VLOOKUP($B420,'02_Конкуренты'!$A\$4:$B\$203,2,FALSE),"не найдено"))</f>
        <v/>
      </c>
      <c r="D420" s="2" t="n"/>
      <c r="E420" s="2" t="n"/>
      <c r="F420" s="2" t="n"/>
      <c r="G420" s="2" t="n"/>
      <c r="H420" s="2" t="n"/>
      <c r="I420" s="2" t="n"/>
      <c r="J420" s="4" t="n"/>
      <c r="K420" s="2" t="n"/>
      <c r="L420" s="2" t="n"/>
    </row>
    <row r="421">
      <c r="A421" s="2" t="n"/>
      <c r="B421" s="2" t="n"/>
      <c r="C421" s="5">
        <f>IF($B421="","",IFERROR(VLOOKUP($B421,'02_Конкуренты'!$A\$4:$B\$203,2,FALSE),"не найдено"))</f>
        <v/>
      </c>
      <c r="D421" s="2" t="n"/>
      <c r="E421" s="2" t="n"/>
      <c r="F421" s="2" t="n"/>
      <c r="G421" s="2" t="n"/>
      <c r="H421" s="2" t="n"/>
      <c r="I421" s="2" t="n"/>
      <c r="J421" s="4" t="n"/>
      <c r="K421" s="2" t="n"/>
      <c r="L421" s="2" t="n"/>
    </row>
    <row r="422">
      <c r="A422" s="2" t="n"/>
      <c r="B422" s="2" t="n"/>
      <c r="C422" s="5">
        <f>IF($B422="","",IFERROR(VLOOKUP($B422,'02_Конкуренты'!$A\$4:$B\$203,2,FALSE),"не найдено"))</f>
        <v/>
      </c>
      <c r="D422" s="2" t="n"/>
      <c r="E422" s="2" t="n"/>
      <c r="F422" s="2" t="n"/>
      <c r="G422" s="2" t="n"/>
      <c r="H422" s="2" t="n"/>
      <c r="I422" s="2" t="n"/>
      <c r="J422" s="4" t="n"/>
      <c r="K422" s="2" t="n"/>
      <c r="L422" s="2" t="n"/>
    </row>
    <row r="423">
      <c r="A423" s="2" t="n"/>
      <c r="B423" s="2" t="n"/>
      <c r="C423" s="5">
        <f>IF($B423="","",IFERROR(VLOOKUP($B423,'02_Конкуренты'!$A\$4:$B\$203,2,FALSE),"не найдено"))</f>
        <v/>
      </c>
      <c r="D423" s="2" t="n"/>
      <c r="E423" s="2" t="n"/>
      <c r="F423" s="2" t="n"/>
      <c r="G423" s="2" t="n"/>
      <c r="H423" s="2" t="n"/>
      <c r="I423" s="2" t="n"/>
      <c r="J423" s="4" t="n"/>
      <c r="K423" s="2" t="n"/>
      <c r="L423" s="2" t="n"/>
    </row>
    <row r="424">
      <c r="A424" s="2" t="n"/>
      <c r="B424" s="2" t="n"/>
      <c r="C424" s="5">
        <f>IF($B424="","",IFERROR(VLOOKUP($B424,'02_Конкуренты'!$A\$4:$B\$203,2,FALSE),"не найдено"))</f>
        <v/>
      </c>
      <c r="D424" s="2" t="n"/>
      <c r="E424" s="2" t="n"/>
      <c r="F424" s="2" t="n"/>
      <c r="G424" s="2" t="n"/>
      <c r="H424" s="2" t="n"/>
      <c r="I424" s="2" t="n"/>
      <c r="J424" s="4" t="n"/>
      <c r="K424" s="2" t="n"/>
      <c r="L424" s="2" t="n"/>
    </row>
    <row r="425">
      <c r="A425" s="2" t="n"/>
      <c r="B425" s="2" t="n"/>
      <c r="C425" s="5">
        <f>IF($B425="","",IFERROR(VLOOKUP($B425,'02_Конкуренты'!$A\$4:$B\$203,2,FALSE),"не найдено"))</f>
        <v/>
      </c>
      <c r="D425" s="2" t="n"/>
      <c r="E425" s="2" t="n"/>
      <c r="F425" s="2" t="n"/>
      <c r="G425" s="2" t="n"/>
      <c r="H425" s="2" t="n"/>
      <c r="I425" s="2" t="n"/>
      <c r="J425" s="4" t="n"/>
      <c r="K425" s="2" t="n"/>
      <c r="L425" s="2" t="n"/>
    </row>
    <row r="426">
      <c r="A426" s="2" t="n"/>
      <c r="B426" s="2" t="n"/>
      <c r="C426" s="5">
        <f>IF($B426="","",IFERROR(VLOOKUP($B426,'02_Конкуренты'!$A\$4:$B\$203,2,FALSE),"не найдено"))</f>
        <v/>
      </c>
      <c r="D426" s="2" t="n"/>
      <c r="E426" s="2" t="n"/>
      <c r="F426" s="2" t="n"/>
      <c r="G426" s="2" t="n"/>
      <c r="H426" s="2" t="n"/>
      <c r="I426" s="2" t="n"/>
      <c r="J426" s="4" t="n"/>
      <c r="K426" s="2" t="n"/>
      <c r="L426" s="2" t="n"/>
    </row>
    <row r="427">
      <c r="A427" s="2" t="n"/>
      <c r="B427" s="2" t="n"/>
      <c r="C427" s="5">
        <f>IF($B427="","",IFERROR(VLOOKUP($B427,'02_Конкуренты'!$A\$4:$B\$203,2,FALSE),"не найдено"))</f>
        <v/>
      </c>
      <c r="D427" s="2" t="n"/>
      <c r="E427" s="2" t="n"/>
      <c r="F427" s="2" t="n"/>
      <c r="G427" s="2" t="n"/>
      <c r="H427" s="2" t="n"/>
      <c r="I427" s="2" t="n"/>
      <c r="J427" s="4" t="n"/>
      <c r="K427" s="2" t="n"/>
      <c r="L427" s="2" t="n"/>
    </row>
    <row r="428">
      <c r="A428" s="2" t="n"/>
      <c r="B428" s="2" t="n"/>
      <c r="C428" s="5">
        <f>IF($B428="","",IFERROR(VLOOKUP($B428,'02_Конкуренты'!$A\$4:$B\$203,2,FALSE),"не найдено"))</f>
        <v/>
      </c>
      <c r="D428" s="2" t="n"/>
      <c r="E428" s="2" t="n"/>
      <c r="F428" s="2" t="n"/>
      <c r="G428" s="2" t="n"/>
      <c r="H428" s="2" t="n"/>
      <c r="I428" s="2" t="n"/>
      <c r="J428" s="4" t="n"/>
      <c r="K428" s="2" t="n"/>
      <c r="L428" s="2" t="n"/>
    </row>
    <row r="429">
      <c r="A429" s="2" t="n"/>
      <c r="B429" s="2" t="n"/>
      <c r="C429" s="5">
        <f>IF($B429="","",IFERROR(VLOOKUP($B429,'02_Конкуренты'!$A\$4:$B\$203,2,FALSE),"не найдено"))</f>
        <v/>
      </c>
      <c r="D429" s="2" t="n"/>
      <c r="E429" s="2" t="n"/>
      <c r="F429" s="2" t="n"/>
      <c r="G429" s="2" t="n"/>
      <c r="H429" s="2" t="n"/>
      <c r="I429" s="2" t="n"/>
      <c r="J429" s="4" t="n"/>
      <c r="K429" s="2" t="n"/>
      <c r="L429" s="2" t="n"/>
    </row>
    <row r="430">
      <c r="A430" s="2" t="n"/>
      <c r="B430" s="2" t="n"/>
      <c r="C430" s="5">
        <f>IF($B430="","",IFERROR(VLOOKUP($B430,'02_Конкуренты'!$A\$4:$B\$203,2,FALSE),"не найдено"))</f>
        <v/>
      </c>
      <c r="D430" s="2" t="n"/>
      <c r="E430" s="2" t="n"/>
      <c r="F430" s="2" t="n"/>
      <c r="G430" s="2" t="n"/>
      <c r="H430" s="2" t="n"/>
      <c r="I430" s="2" t="n"/>
      <c r="J430" s="4" t="n"/>
      <c r="K430" s="2" t="n"/>
      <c r="L430" s="2" t="n"/>
    </row>
    <row r="431">
      <c r="A431" s="2" t="n"/>
      <c r="B431" s="2" t="n"/>
      <c r="C431" s="5">
        <f>IF($B431="","",IFERROR(VLOOKUP($B431,'02_Конкуренты'!$A\$4:$B\$203,2,FALSE),"не найдено"))</f>
        <v/>
      </c>
      <c r="D431" s="2" t="n"/>
      <c r="E431" s="2" t="n"/>
      <c r="F431" s="2" t="n"/>
      <c r="G431" s="2" t="n"/>
      <c r="H431" s="2" t="n"/>
      <c r="I431" s="2" t="n"/>
      <c r="J431" s="4" t="n"/>
      <c r="K431" s="2" t="n"/>
      <c r="L431" s="2" t="n"/>
    </row>
    <row r="432">
      <c r="A432" s="2" t="n"/>
      <c r="B432" s="2" t="n"/>
      <c r="C432" s="5">
        <f>IF($B432="","",IFERROR(VLOOKUP($B432,'02_Конкуренты'!$A\$4:$B\$203,2,FALSE),"не найдено"))</f>
        <v/>
      </c>
      <c r="D432" s="2" t="n"/>
      <c r="E432" s="2" t="n"/>
      <c r="F432" s="2" t="n"/>
      <c r="G432" s="2" t="n"/>
      <c r="H432" s="2" t="n"/>
      <c r="I432" s="2" t="n"/>
      <c r="J432" s="4" t="n"/>
      <c r="K432" s="2" t="n"/>
      <c r="L432" s="2" t="n"/>
    </row>
    <row r="433">
      <c r="A433" s="2" t="n"/>
      <c r="B433" s="2" t="n"/>
      <c r="C433" s="5">
        <f>IF($B433="","",IFERROR(VLOOKUP($B433,'02_Конкуренты'!$A\$4:$B\$203,2,FALSE),"не найдено"))</f>
        <v/>
      </c>
      <c r="D433" s="2" t="n"/>
      <c r="E433" s="2" t="n"/>
      <c r="F433" s="2" t="n"/>
      <c r="G433" s="2" t="n"/>
      <c r="H433" s="2" t="n"/>
      <c r="I433" s="2" t="n"/>
      <c r="J433" s="4" t="n"/>
      <c r="K433" s="2" t="n"/>
      <c r="L433" s="2" t="n"/>
    </row>
    <row r="434">
      <c r="A434" s="2" t="n"/>
      <c r="B434" s="2" t="n"/>
      <c r="C434" s="5">
        <f>IF($B434="","",IFERROR(VLOOKUP($B434,'02_Конкуренты'!$A\$4:$B\$203,2,FALSE),"не найдено"))</f>
        <v/>
      </c>
      <c r="D434" s="2" t="n"/>
      <c r="E434" s="2" t="n"/>
      <c r="F434" s="2" t="n"/>
      <c r="G434" s="2" t="n"/>
      <c r="H434" s="2" t="n"/>
      <c r="I434" s="2" t="n"/>
      <c r="J434" s="4" t="n"/>
      <c r="K434" s="2" t="n"/>
      <c r="L434" s="2" t="n"/>
    </row>
    <row r="435">
      <c r="A435" s="2" t="n"/>
      <c r="B435" s="2" t="n"/>
      <c r="C435" s="5">
        <f>IF($B435="","",IFERROR(VLOOKUP($B435,'02_Конкуренты'!$A\$4:$B\$203,2,FALSE),"не найдено"))</f>
        <v/>
      </c>
      <c r="D435" s="2" t="n"/>
      <c r="E435" s="2" t="n"/>
      <c r="F435" s="2" t="n"/>
      <c r="G435" s="2" t="n"/>
      <c r="H435" s="2" t="n"/>
      <c r="I435" s="2" t="n"/>
      <c r="J435" s="4" t="n"/>
      <c r="K435" s="2" t="n"/>
      <c r="L435" s="2" t="n"/>
    </row>
    <row r="436">
      <c r="A436" s="2" t="n"/>
      <c r="B436" s="2" t="n"/>
      <c r="C436" s="5">
        <f>IF($B436="","",IFERROR(VLOOKUP($B436,'02_Конкуренты'!$A\$4:$B\$203,2,FALSE),"не найдено"))</f>
        <v/>
      </c>
      <c r="D436" s="2" t="n"/>
      <c r="E436" s="2" t="n"/>
      <c r="F436" s="2" t="n"/>
      <c r="G436" s="2" t="n"/>
      <c r="H436" s="2" t="n"/>
      <c r="I436" s="2" t="n"/>
      <c r="J436" s="4" t="n"/>
      <c r="K436" s="2" t="n"/>
      <c r="L436" s="2" t="n"/>
    </row>
    <row r="437">
      <c r="A437" s="2" t="n"/>
      <c r="B437" s="2" t="n"/>
      <c r="C437" s="5">
        <f>IF($B437="","",IFERROR(VLOOKUP($B437,'02_Конкуренты'!$A\$4:$B\$203,2,FALSE),"не найдено"))</f>
        <v/>
      </c>
      <c r="D437" s="2" t="n"/>
      <c r="E437" s="2" t="n"/>
      <c r="F437" s="2" t="n"/>
      <c r="G437" s="2" t="n"/>
      <c r="H437" s="2" t="n"/>
      <c r="I437" s="2" t="n"/>
      <c r="J437" s="4" t="n"/>
      <c r="K437" s="2" t="n"/>
      <c r="L437" s="2" t="n"/>
    </row>
    <row r="438">
      <c r="A438" s="2" t="n"/>
      <c r="B438" s="2" t="n"/>
      <c r="C438" s="5">
        <f>IF($B438="","",IFERROR(VLOOKUP($B438,'02_Конкуренты'!$A\$4:$B\$203,2,FALSE),"не найдено"))</f>
        <v/>
      </c>
      <c r="D438" s="2" t="n"/>
      <c r="E438" s="2" t="n"/>
      <c r="F438" s="2" t="n"/>
      <c r="G438" s="2" t="n"/>
      <c r="H438" s="2" t="n"/>
      <c r="I438" s="2" t="n"/>
      <c r="J438" s="4" t="n"/>
      <c r="K438" s="2" t="n"/>
      <c r="L438" s="2" t="n"/>
    </row>
    <row r="439">
      <c r="A439" s="2" t="n"/>
      <c r="B439" s="2" t="n"/>
      <c r="C439" s="5">
        <f>IF($B439="","",IFERROR(VLOOKUP($B439,'02_Конкуренты'!$A\$4:$B\$203,2,FALSE),"не найдено"))</f>
        <v/>
      </c>
      <c r="D439" s="2" t="n"/>
      <c r="E439" s="2" t="n"/>
      <c r="F439" s="2" t="n"/>
      <c r="G439" s="2" t="n"/>
      <c r="H439" s="2" t="n"/>
      <c r="I439" s="2" t="n"/>
      <c r="J439" s="4" t="n"/>
      <c r="K439" s="2" t="n"/>
      <c r="L439" s="2" t="n"/>
    </row>
    <row r="440">
      <c r="A440" s="2" t="n"/>
      <c r="B440" s="2" t="n"/>
      <c r="C440" s="5">
        <f>IF($B440="","",IFERROR(VLOOKUP($B440,'02_Конкуренты'!$A\$4:$B\$203,2,FALSE),"не найдено"))</f>
        <v/>
      </c>
      <c r="D440" s="2" t="n"/>
      <c r="E440" s="2" t="n"/>
      <c r="F440" s="2" t="n"/>
      <c r="G440" s="2" t="n"/>
      <c r="H440" s="2" t="n"/>
      <c r="I440" s="2" t="n"/>
      <c r="J440" s="4" t="n"/>
      <c r="K440" s="2" t="n"/>
      <c r="L440" s="2" t="n"/>
    </row>
    <row r="441">
      <c r="A441" s="2" t="n"/>
      <c r="B441" s="2" t="n"/>
      <c r="C441" s="5">
        <f>IF($B441="","",IFERROR(VLOOKUP($B441,'02_Конкуренты'!$A\$4:$B\$203,2,FALSE),"не найдено"))</f>
        <v/>
      </c>
      <c r="D441" s="2" t="n"/>
      <c r="E441" s="2" t="n"/>
      <c r="F441" s="2" t="n"/>
      <c r="G441" s="2" t="n"/>
      <c r="H441" s="2" t="n"/>
      <c r="I441" s="2" t="n"/>
      <c r="J441" s="4" t="n"/>
      <c r="K441" s="2" t="n"/>
      <c r="L441" s="2" t="n"/>
    </row>
    <row r="442">
      <c r="A442" s="2" t="n"/>
      <c r="B442" s="2" t="n"/>
      <c r="C442" s="5">
        <f>IF($B442="","",IFERROR(VLOOKUP($B442,'02_Конкуренты'!$A\$4:$B\$203,2,FALSE),"не найдено"))</f>
        <v/>
      </c>
      <c r="D442" s="2" t="n"/>
      <c r="E442" s="2" t="n"/>
      <c r="F442" s="2" t="n"/>
      <c r="G442" s="2" t="n"/>
      <c r="H442" s="2" t="n"/>
      <c r="I442" s="2" t="n"/>
      <c r="J442" s="4" t="n"/>
      <c r="K442" s="2" t="n"/>
      <c r="L442" s="2" t="n"/>
    </row>
    <row r="443">
      <c r="A443" s="2" t="n"/>
      <c r="B443" s="2" t="n"/>
      <c r="C443" s="5">
        <f>IF($B443="","",IFERROR(VLOOKUP($B443,'02_Конкуренты'!$A\$4:$B\$203,2,FALSE),"не найдено"))</f>
        <v/>
      </c>
      <c r="D443" s="2" t="n"/>
      <c r="E443" s="2" t="n"/>
      <c r="F443" s="2" t="n"/>
      <c r="G443" s="2" t="n"/>
      <c r="H443" s="2" t="n"/>
      <c r="I443" s="2" t="n"/>
      <c r="J443" s="4" t="n"/>
      <c r="K443" s="2" t="n"/>
      <c r="L443" s="2" t="n"/>
    </row>
    <row r="444">
      <c r="A444" s="2" t="n"/>
      <c r="B444" s="2" t="n"/>
      <c r="C444" s="5">
        <f>IF($B444="","",IFERROR(VLOOKUP($B444,'02_Конкуренты'!$A\$4:$B\$203,2,FALSE),"не найдено"))</f>
        <v/>
      </c>
      <c r="D444" s="2" t="n"/>
      <c r="E444" s="2" t="n"/>
      <c r="F444" s="2" t="n"/>
      <c r="G444" s="2" t="n"/>
      <c r="H444" s="2" t="n"/>
      <c r="I444" s="2" t="n"/>
      <c r="J444" s="4" t="n"/>
      <c r="K444" s="2" t="n"/>
      <c r="L444" s="2" t="n"/>
    </row>
    <row r="445">
      <c r="A445" s="2" t="n"/>
      <c r="B445" s="2" t="n"/>
      <c r="C445" s="5">
        <f>IF($B445="","",IFERROR(VLOOKUP($B445,'02_Конкуренты'!$A\$4:$B\$203,2,FALSE),"не найдено"))</f>
        <v/>
      </c>
      <c r="D445" s="2" t="n"/>
      <c r="E445" s="2" t="n"/>
      <c r="F445" s="2" t="n"/>
      <c r="G445" s="2" t="n"/>
      <c r="H445" s="2" t="n"/>
      <c r="I445" s="2" t="n"/>
      <c r="J445" s="4" t="n"/>
      <c r="K445" s="2" t="n"/>
      <c r="L445" s="2" t="n"/>
    </row>
    <row r="446">
      <c r="A446" s="2" t="n"/>
      <c r="B446" s="2" t="n"/>
      <c r="C446" s="5">
        <f>IF($B446="","",IFERROR(VLOOKUP($B446,'02_Конкуренты'!$A\$4:$B\$203,2,FALSE),"не найдено"))</f>
        <v/>
      </c>
      <c r="D446" s="2" t="n"/>
      <c r="E446" s="2" t="n"/>
      <c r="F446" s="2" t="n"/>
      <c r="G446" s="2" t="n"/>
      <c r="H446" s="2" t="n"/>
      <c r="I446" s="2" t="n"/>
      <c r="J446" s="4" t="n"/>
      <c r="K446" s="2" t="n"/>
      <c r="L446" s="2" t="n"/>
    </row>
    <row r="447">
      <c r="A447" s="2" t="n"/>
      <c r="B447" s="2" t="n"/>
      <c r="C447" s="5">
        <f>IF($B447="","",IFERROR(VLOOKUP($B447,'02_Конкуренты'!$A\$4:$B\$203,2,FALSE),"не найдено"))</f>
        <v/>
      </c>
      <c r="D447" s="2" t="n"/>
      <c r="E447" s="2" t="n"/>
      <c r="F447" s="2" t="n"/>
      <c r="G447" s="2" t="n"/>
      <c r="H447" s="2" t="n"/>
      <c r="I447" s="2" t="n"/>
      <c r="J447" s="4" t="n"/>
      <c r="K447" s="2" t="n"/>
      <c r="L447" s="2" t="n"/>
    </row>
    <row r="448">
      <c r="A448" s="2" t="n"/>
      <c r="B448" s="2" t="n"/>
      <c r="C448" s="5">
        <f>IF($B448="","",IFERROR(VLOOKUP($B448,'02_Конкуренты'!$A\$4:$B\$203,2,FALSE),"не найдено"))</f>
        <v/>
      </c>
      <c r="D448" s="2" t="n"/>
      <c r="E448" s="2" t="n"/>
      <c r="F448" s="2" t="n"/>
      <c r="G448" s="2" t="n"/>
      <c r="H448" s="2" t="n"/>
      <c r="I448" s="2" t="n"/>
      <c r="J448" s="4" t="n"/>
      <c r="K448" s="2" t="n"/>
      <c r="L448" s="2" t="n"/>
    </row>
    <row r="449">
      <c r="A449" s="2" t="n"/>
      <c r="B449" s="2" t="n"/>
      <c r="C449" s="5">
        <f>IF($B449="","",IFERROR(VLOOKUP($B449,'02_Конкуренты'!$A\$4:$B\$203,2,FALSE),"не найдено"))</f>
        <v/>
      </c>
      <c r="D449" s="2" t="n"/>
      <c r="E449" s="2" t="n"/>
      <c r="F449" s="2" t="n"/>
      <c r="G449" s="2" t="n"/>
      <c r="H449" s="2" t="n"/>
      <c r="I449" s="2" t="n"/>
      <c r="J449" s="4" t="n"/>
      <c r="K449" s="2" t="n"/>
      <c r="L449" s="2" t="n"/>
    </row>
    <row r="450">
      <c r="A450" s="2" t="n"/>
      <c r="B450" s="2" t="n"/>
      <c r="C450" s="5">
        <f>IF($B450="","",IFERROR(VLOOKUP($B450,'02_Конкуренты'!$A\$4:$B\$203,2,FALSE),"не найдено"))</f>
        <v/>
      </c>
      <c r="D450" s="2" t="n"/>
      <c r="E450" s="2" t="n"/>
      <c r="F450" s="2" t="n"/>
      <c r="G450" s="2" t="n"/>
      <c r="H450" s="2" t="n"/>
      <c r="I450" s="2" t="n"/>
      <c r="J450" s="4" t="n"/>
      <c r="K450" s="2" t="n"/>
      <c r="L450" s="2" t="n"/>
    </row>
    <row r="451">
      <c r="A451" s="2" t="n"/>
      <c r="B451" s="2" t="n"/>
      <c r="C451" s="5">
        <f>IF($B451="","",IFERROR(VLOOKUP($B451,'02_Конкуренты'!$A\$4:$B\$203,2,FALSE),"не найдено"))</f>
        <v/>
      </c>
      <c r="D451" s="2" t="n"/>
      <c r="E451" s="2" t="n"/>
      <c r="F451" s="2" t="n"/>
      <c r="G451" s="2" t="n"/>
      <c r="H451" s="2" t="n"/>
      <c r="I451" s="2" t="n"/>
      <c r="J451" s="4" t="n"/>
      <c r="K451" s="2" t="n"/>
      <c r="L451" s="2" t="n"/>
    </row>
    <row r="452">
      <c r="A452" s="2" t="n"/>
      <c r="B452" s="2" t="n"/>
      <c r="C452" s="5">
        <f>IF($B452="","",IFERROR(VLOOKUP($B452,'02_Конкуренты'!$A\$4:$B\$203,2,FALSE),"не найдено"))</f>
        <v/>
      </c>
      <c r="D452" s="2" t="n"/>
      <c r="E452" s="2" t="n"/>
      <c r="F452" s="2" t="n"/>
      <c r="G452" s="2" t="n"/>
      <c r="H452" s="2" t="n"/>
      <c r="I452" s="2" t="n"/>
      <c r="J452" s="4" t="n"/>
      <c r="K452" s="2" t="n"/>
      <c r="L452" s="2" t="n"/>
    </row>
    <row r="453">
      <c r="A453" s="2" t="n"/>
      <c r="B453" s="2" t="n"/>
      <c r="C453" s="5">
        <f>IF($B453="","",IFERROR(VLOOKUP($B453,'02_Конкуренты'!$A\$4:$B\$203,2,FALSE),"не найдено"))</f>
        <v/>
      </c>
      <c r="D453" s="2" t="n"/>
      <c r="E453" s="2" t="n"/>
      <c r="F453" s="2" t="n"/>
      <c r="G453" s="2" t="n"/>
      <c r="H453" s="2" t="n"/>
      <c r="I453" s="2" t="n"/>
      <c r="J453" s="4" t="n"/>
      <c r="K453" s="2" t="n"/>
      <c r="L453" s="2" t="n"/>
    </row>
    <row r="454">
      <c r="A454" s="2" t="n"/>
      <c r="B454" s="2" t="n"/>
      <c r="C454" s="5">
        <f>IF($B454="","",IFERROR(VLOOKUP($B454,'02_Конкуренты'!$A\$4:$B\$203,2,FALSE),"не найдено"))</f>
        <v/>
      </c>
      <c r="D454" s="2" t="n"/>
      <c r="E454" s="2" t="n"/>
      <c r="F454" s="2" t="n"/>
      <c r="G454" s="2" t="n"/>
      <c r="H454" s="2" t="n"/>
      <c r="I454" s="2" t="n"/>
      <c r="J454" s="4" t="n"/>
      <c r="K454" s="2" t="n"/>
      <c r="L454" s="2" t="n"/>
    </row>
    <row r="455">
      <c r="A455" s="2" t="n"/>
      <c r="B455" s="2" t="n"/>
      <c r="C455" s="5">
        <f>IF($B455="","",IFERROR(VLOOKUP($B455,'02_Конкуренты'!$A\$4:$B\$203,2,FALSE),"не найдено"))</f>
        <v/>
      </c>
      <c r="D455" s="2" t="n"/>
      <c r="E455" s="2" t="n"/>
      <c r="F455" s="2" t="n"/>
      <c r="G455" s="2" t="n"/>
      <c r="H455" s="2" t="n"/>
      <c r="I455" s="2" t="n"/>
      <c r="J455" s="4" t="n"/>
      <c r="K455" s="2" t="n"/>
      <c r="L455" s="2" t="n"/>
    </row>
    <row r="456">
      <c r="A456" s="2" t="n"/>
      <c r="B456" s="2" t="n"/>
      <c r="C456" s="5">
        <f>IF($B456="","",IFERROR(VLOOKUP($B456,'02_Конкуренты'!$A\$4:$B\$203,2,FALSE),"не найдено"))</f>
        <v/>
      </c>
      <c r="D456" s="2" t="n"/>
      <c r="E456" s="2" t="n"/>
      <c r="F456" s="2" t="n"/>
      <c r="G456" s="2" t="n"/>
      <c r="H456" s="2" t="n"/>
      <c r="I456" s="2" t="n"/>
      <c r="J456" s="4" t="n"/>
      <c r="K456" s="2" t="n"/>
      <c r="L456" s="2" t="n"/>
    </row>
    <row r="457">
      <c r="A457" s="2" t="n"/>
      <c r="B457" s="2" t="n"/>
      <c r="C457" s="5">
        <f>IF($B457="","",IFERROR(VLOOKUP($B457,'02_Конкуренты'!$A\$4:$B\$203,2,FALSE),"не найдено"))</f>
        <v/>
      </c>
      <c r="D457" s="2" t="n"/>
      <c r="E457" s="2" t="n"/>
      <c r="F457" s="2" t="n"/>
      <c r="G457" s="2" t="n"/>
      <c r="H457" s="2" t="n"/>
      <c r="I457" s="2" t="n"/>
      <c r="J457" s="4" t="n"/>
      <c r="K457" s="2" t="n"/>
      <c r="L457" s="2" t="n"/>
    </row>
    <row r="458">
      <c r="A458" s="2" t="n"/>
      <c r="B458" s="2" t="n"/>
      <c r="C458" s="5">
        <f>IF($B458="","",IFERROR(VLOOKUP($B458,'02_Конкуренты'!$A\$4:$B\$203,2,FALSE),"не найдено"))</f>
        <v/>
      </c>
      <c r="D458" s="2" t="n"/>
      <c r="E458" s="2" t="n"/>
      <c r="F458" s="2" t="n"/>
      <c r="G458" s="2" t="n"/>
      <c r="H458" s="2" t="n"/>
      <c r="I458" s="2" t="n"/>
      <c r="J458" s="4" t="n"/>
      <c r="K458" s="2" t="n"/>
      <c r="L458" s="2" t="n"/>
    </row>
    <row r="459">
      <c r="A459" s="2" t="n"/>
      <c r="B459" s="2" t="n"/>
      <c r="C459" s="5">
        <f>IF($B459="","",IFERROR(VLOOKUP($B459,'02_Конкуренты'!$A\$4:$B\$203,2,FALSE),"не найдено"))</f>
        <v/>
      </c>
      <c r="D459" s="2" t="n"/>
      <c r="E459" s="2" t="n"/>
      <c r="F459" s="2" t="n"/>
      <c r="G459" s="2" t="n"/>
      <c r="H459" s="2" t="n"/>
      <c r="I459" s="2" t="n"/>
      <c r="J459" s="4" t="n"/>
      <c r="K459" s="2" t="n"/>
      <c r="L459" s="2" t="n"/>
    </row>
    <row r="460">
      <c r="A460" s="2" t="n"/>
      <c r="B460" s="2" t="n"/>
      <c r="C460" s="5">
        <f>IF($B460="","",IFERROR(VLOOKUP($B460,'02_Конкуренты'!$A\$4:$B\$203,2,FALSE),"не найдено"))</f>
        <v/>
      </c>
      <c r="D460" s="2" t="n"/>
      <c r="E460" s="2" t="n"/>
      <c r="F460" s="2" t="n"/>
      <c r="G460" s="2" t="n"/>
      <c r="H460" s="2" t="n"/>
      <c r="I460" s="2" t="n"/>
      <c r="J460" s="4" t="n"/>
      <c r="K460" s="2" t="n"/>
      <c r="L460" s="2" t="n"/>
    </row>
    <row r="461">
      <c r="A461" s="2" t="n"/>
      <c r="B461" s="2" t="n"/>
      <c r="C461" s="5">
        <f>IF($B461="","",IFERROR(VLOOKUP($B461,'02_Конкуренты'!$A\$4:$B\$203,2,FALSE),"не найдено"))</f>
        <v/>
      </c>
      <c r="D461" s="2" t="n"/>
      <c r="E461" s="2" t="n"/>
      <c r="F461" s="2" t="n"/>
      <c r="G461" s="2" t="n"/>
      <c r="H461" s="2" t="n"/>
      <c r="I461" s="2" t="n"/>
      <c r="J461" s="4" t="n"/>
      <c r="K461" s="2" t="n"/>
      <c r="L461" s="2" t="n"/>
    </row>
    <row r="462">
      <c r="A462" s="2" t="n"/>
      <c r="B462" s="2" t="n"/>
      <c r="C462" s="5">
        <f>IF($B462="","",IFERROR(VLOOKUP($B462,'02_Конкуренты'!$A\$4:$B\$203,2,FALSE),"не найдено"))</f>
        <v/>
      </c>
      <c r="D462" s="2" t="n"/>
      <c r="E462" s="2" t="n"/>
      <c r="F462" s="2" t="n"/>
      <c r="G462" s="2" t="n"/>
      <c r="H462" s="2" t="n"/>
      <c r="I462" s="2" t="n"/>
      <c r="J462" s="4" t="n"/>
      <c r="K462" s="2" t="n"/>
      <c r="L462" s="2" t="n"/>
    </row>
    <row r="463">
      <c r="A463" s="2" t="n"/>
      <c r="B463" s="2" t="n"/>
      <c r="C463" s="5">
        <f>IF($B463="","",IFERROR(VLOOKUP($B463,'02_Конкуренты'!$A\$4:$B\$203,2,FALSE),"не найдено"))</f>
        <v/>
      </c>
      <c r="D463" s="2" t="n"/>
      <c r="E463" s="2" t="n"/>
      <c r="F463" s="2" t="n"/>
      <c r="G463" s="2" t="n"/>
      <c r="H463" s="2" t="n"/>
      <c r="I463" s="2" t="n"/>
      <c r="J463" s="4" t="n"/>
      <c r="K463" s="2" t="n"/>
      <c r="L463" s="2" t="n"/>
    </row>
    <row r="464">
      <c r="A464" s="2" t="n"/>
      <c r="B464" s="2" t="n"/>
      <c r="C464" s="5">
        <f>IF($B464="","",IFERROR(VLOOKUP($B464,'02_Конкуренты'!$A\$4:$B\$203,2,FALSE),"не найдено"))</f>
        <v/>
      </c>
      <c r="D464" s="2" t="n"/>
      <c r="E464" s="2" t="n"/>
      <c r="F464" s="2" t="n"/>
      <c r="G464" s="2" t="n"/>
      <c r="H464" s="2" t="n"/>
      <c r="I464" s="2" t="n"/>
      <c r="J464" s="4" t="n"/>
      <c r="K464" s="2" t="n"/>
      <c r="L464" s="2" t="n"/>
    </row>
    <row r="465">
      <c r="A465" s="2" t="n"/>
      <c r="B465" s="2" t="n"/>
      <c r="C465" s="5">
        <f>IF($B465="","",IFERROR(VLOOKUP($B465,'02_Конкуренты'!$A\$4:$B\$203,2,FALSE),"не найдено"))</f>
        <v/>
      </c>
      <c r="D465" s="2" t="n"/>
      <c r="E465" s="2" t="n"/>
      <c r="F465" s="2" t="n"/>
      <c r="G465" s="2" t="n"/>
      <c r="H465" s="2" t="n"/>
      <c r="I465" s="2" t="n"/>
      <c r="J465" s="4" t="n"/>
      <c r="K465" s="2" t="n"/>
      <c r="L465" s="2" t="n"/>
    </row>
    <row r="466">
      <c r="A466" s="2" t="n"/>
      <c r="B466" s="2" t="n"/>
      <c r="C466" s="5">
        <f>IF($B466="","",IFERROR(VLOOKUP($B466,'02_Конкуренты'!$A\$4:$B\$203,2,FALSE),"не найдено"))</f>
        <v/>
      </c>
      <c r="D466" s="2" t="n"/>
      <c r="E466" s="2" t="n"/>
      <c r="F466" s="2" t="n"/>
      <c r="G466" s="2" t="n"/>
      <c r="H466" s="2" t="n"/>
      <c r="I466" s="2" t="n"/>
      <c r="J466" s="4" t="n"/>
      <c r="K466" s="2" t="n"/>
      <c r="L466" s="2" t="n"/>
    </row>
    <row r="467">
      <c r="A467" s="2" t="n"/>
      <c r="B467" s="2" t="n"/>
      <c r="C467" s="5">
        <f>IF($B467="","",IFERROR(VLOOKUP($B467,'02_Конкуренты'!$A\$4:$B\$203,2,FALSE),"не найдено"))</f>
        <v/>
      </c>
      <c r="D467" s="2" t="n"/>
      <c r="E467" s="2" t="n"/>
      <c r="F467" s="2" t="n"/>
      <c r="G467" s="2" t="n"/>
      <c r="H467" s="2" t="n"/>
      <c r="I467" s="2" t="n"/>
      <c r="J467" s="4" t="n"/>
      <c r="K467" s="2" t="n"/>
      <c r="L467" s="2" t="n"/>
    </row>
    <row r="468">
      <c r="A468" s="2" t="n"/>
      <c r="B468" s="2" t="n"/>
      <c r="C468" s="5">
        <f>IF($B468="","",IFERROR(VLOOKUP($B468,'02_Конкуренты'!$A\$4:$B\$203,2,FALSE),"не найдено"))</f>
        <v/>
      </c>
      <c r="D468" s="2" t="n"/>
      <c r="E468" s="2" t="n"/>
      <c r="F468" s="2" t="n"/>
      <c r="G468" s="2" t="n"/>
      <c r="H468" s="2" t="n"/>
      <c r="I468" s="2" t="n"/>
      <c r="J468" s="4" t="n"/>
      <c r="K468" s="2" t="n"/>
      <c r="L468" s="2" t="n"/>
    </row>
    <row r="469">
      <c r="A469" s="2" t="n"/>
      <c r="B469" s="2" t="n"/>
      <c r="C469" s="5">
        <f>IF($B469="","",IFERROR(VLOOKUP($B469,'02_Конкуренты'!$A\$4:$B\$203,2,FALSE),"не найдено"))</f>
        <v/>
      </c>
      <c r="D469" s="2" t="n"/>
      <c r="E469" s="2" t="n"/>
      <c r="F469" s="2" t="n"/>
      <c r="G469" s="2" t="n"/>
      <c r="H469" s="2" t="n"/>
      <c r="I469" s="2" t="n"/>
      <c r="J469" s="4" t="n"/>
      <c r="K469" s="2" t="n"/>
      <c r="L469" s="2" t="n"/>
    </row>
    <row r="470">
      <c r="A470" s="2" t="n"/>
      <c r="B470" s="2" t="n"/>
      <c r="C470" s="5">
        <f>IF($B470="","",IFERROR(VLOOKUP($B470,'02_Конкуренты'!$A\$4:$B\$203,2,FALSE),"не найдено"))</f>
        <v/>
      </c>
      <c r="D470" s="2" t="n"/>
      <c r="E470" s="2" t="n"/>
      <c r="F470" s="2" t="n"/>
      <c r="G470" s="2" t="n"/>
      <c r="H470" s="2" t="n"/>
      <c r="I470" s="2" t="n"/>
      <c r="J470" s="4" t="n"/>
      <c r="K470" s="2" t="n"/>
      <c r="L470" s="2" t="n"/>
    </row>
    <row r="471">
      <c r="A471" s="2" t="n"/>
      <c r="B471" s="2" t="n"/>
      <c r="C471" s="5">
        <f>IF($B471="","",IFERROR(VLOOKUP($B471,'02_Конкуренты'!$A\$4:$B\$203,2,FALSE),"не найдено"))</f>
        <v/>
      </c>
      <c r="D471" s="2" t="n"/>
      <c r="E471" s="2" t="n"/>
      <c r="F471" s="2" t="n"/>
      <c r="G471" s="2" t="n"/>
      <c r="H471" s="2" t="n"/>
      <c r="I471" s="2" t="n"/>
      <c r="J471" s="4" t="n"/>
      <c r="K471" s="2" t="n"/>
      <c r="L471" s="2" t="n"/>
    </row>
    <row r="472">
      <c r="A472" s="2" t="n"/>
      <c r="B472" s="2" t="n"/>
      <c r="C472" s="5">
        <f>IF($B472="","",IFERROR(VLOOKUP($B472,'02_Конкуренты'!$A\$4:$B\$203,2,FALSE),"не найдено"))</f>
        <v/>
      </c>
      <c r="D472" s="2" t="n"/>
      <c r="E472" s="2" t="n"/>
      <c r="F472" s="2" t="n"/>
      <c r="G472" s="2" t="n"/>
      <c r="H472" s="2" t="n"/>
      <c r="I472" s="2" t="n"/>
      <c r="J472" s="4" t="n"/>
      <c r="K472" s="2" t="n"/>
      <c r="L472" s="2" t="n"/>
    </row>
    <row r="473">
      <c r="A473" s="2" t="n"/>
      <c r="B473" s="2" t="n"/>
      <c r="C473" s="5">
        <f>IF($B473="","",IFERROR(VLOOKUP($B473,'02_Конкуренты'!$A\$4:$B\$203,2,FALSE),"не найдено"))</f>
        <v/>
      </c>
      <c r="D473" s="2" t="n"/>
      <c r="E473" s="2" t="n"/>
      <c r="F473" s="2" t="n"/>
      <c r="G473" s="2" t="n"/>
      <c r="H473" s="2" t="n"/>
      <c r="I473" s="2" t="n"/>
      <c r="J473" s="4" t="n"/>
      <c r="K473" s="2" t="n"/>
      <c r="L473" s="2" t="n"/>
    </row>
    <row r="474">
      <c r="A474" s="2" t="n"/>
      <c r="B474" s="2" t="n"/>
      <c r="C474" s="5">
        <f>IF($B474="","",IFERROR(VLOOKUP($B474,'02_Конкуренты'!$A\$4:$B\$203,2,FALSE),"не найдено"))</f>
        <v/>
      </c>
      <c r="D474" s="2" t="n"/>
      <c r="E474" s="2" t="n"/>
      <c r="F474" s="2" t="n"/>
      <c r="G474" s="2" t="n"/>
      <c r="H474" s="2" t="n"/>
      <c r="I474" s="2" t="n"/>
      <c r="J474" s="4" t="n"/>
      <c r="K474" s="2" t="n"/>
      <c r="L474" s="2" t="n"/>
    </row>
    <row r="475">
      <c r="A475" s="2" t="n"/>
      <c r="B475" s="2" t="n"/>
      <c r="C475" s="5">
        <f>IF($B475="","",IFERROR(VLOOKUP($B475,'02_Конкуренты'!$A\$4:$B\$203,2,FALSE),"не найдено"))</f>
        <v/>
      </c>
      <c r="D475" s="2" t="n"/>
      <c r="E475" s="2" t="n"/>
      <c r="F475" s="2" t="n"/>
      <c r="G475" s="2" t="n"/>
      <c r="H475" s="2" t="n"/>
      <c r="I475" s="2" t="n"/>
      <c r="J475" s="4" t="n"/>
      <c r="K475" s="2" t="n"/>
      <c r="L475" s="2" t="n"/>
    </row>
    <row r="476">
      <c r="A476" s="2" t="n"/>
      <c r="B476" s="2" t="n"/>
      <c r="C476" s="5">
        <f>IF($B476="","",IFERROR(VLOOKUP($B476,'02_Конкуренты'!$A\$4:$B\$203,2,FALSE),"не найдено"))</f>
        <v/>
      </c>
      <c r="D476" s="2" t="n"/>
      <c r="E476" s="2" t="n"/>
      <c r="F476" s="2" t="n"/>
      <c r="G476" s="2" t="n"/>
      <c r="H476" s="2" t="n"/>
      <c r="I476" s="2" t="n"/>
      <c r="J476" s="4" t="n"/>
      <c r="K476" s="2" t="n"/>
      <c r="L476" s="2" t="n"/>
    </row>
    <row r="477">
      <c r="A477" s="2" t="n"/>
      <c r="B477" s="2" t="n"/>
      <c r="C477" s="5">
        <f>IF($B477="","",IFERROR(VLOOKUP($B477,'02_Конкуренты'!$A\$4:$B\$203,2,FALSE),"не найдено"))</f>
        <v/>
      </c>
      <c r="D477" s="2" t="n"/>
      <c r="E477" s="2" t="n"/>
      <c r="F477" s="2" t="n"/>
      <c r="G477" s="2" t="n"/>
      <c r="H477" s="2" t="n"/>
      <c r="I477" s="2" t="n"/>
      <c r="J477" s="4" t="n"/>
      <c r="K477" s="2" t="n"/>
      <c r="L477" s="2" t="n"/>
    </row>
    <row r="478">
      <c r="A478" s="2" t="n"/>
      <c r="B478" s="2" t="n"/>
      <c r="C478" s="5">
        <f>IF($B478="","",IFERROR(VLOOKUP($B478,'02_Конкуренты'!$A\$4:$B\$203,2,FALSE),"не найдено"))</f>
        <v/>
      </c>
      <c r="D478" s="2" t="n"/>
      <c r="E478" s="2" t="n"/>
      <c r="F478" s="2" t="n"/>
      <c r="G478" s="2" t="n"/>
      <c r="H478" s="2" t="n"/>
      <c r="I478" s="2" t="n"/>
      <c r="J478" s="4" t="n"/>
      <c r="K478" s="2" t="n"/>
      <c r="L478" s="2" t="n"/>
    </row>
    <row r="479">
      <c r="A479" s="2" t="n"/>
      <c r="B479" s="2" t="n"/>
      <c r="C479" s="5">
        <f>IF($B479="","",IFERROR(VLOOKUP($B479,'02_Конкуренты'!$A\$4:$B\$203,2,FALSE),"не найдено"))</f>
        <v/>
      </c>
      <c r="D479" s="2" t="n"/>
      <c r="E479" s="2" t="n"/>
      <c r="F479" s="2" t="n"/>
      <c r="G479" s="2" t="n"/>
      <c r="H479" s="2" t="n"/>
      <c r="I479" s="2" t="n"/>
      <c r="J479" s="4" t="n"/>
      <c r="K479" s="2" t="n"/>
      <c r="L479" s="2" t="n"/>
    </row>
    <row r="480">
      <c r="A480" s="2" t="n"/>
      <c r="B480" s="2" t="n"/>
      <c r="C480" s="5">
        <f>IF($B480="","",IFERROR(VLOOKUP($B480,'02_Конкуренты'!$A\$4:$B\$203,2,FALSE),"не найдено"))</f>
        <v/>
      </c>
      <c r="D480" s="2" t="n"/>
      <c r="E480" s="2" t="n"/>
      <c r="F480" s="2" t="n"/>
      <c r="G480" s="2" t="n"/>
      <c r="H480" s="2" t="n"/>
      <c r="I480" s="2" t="n"/>
      <c r="J480" s="4" t="n"/>
      <c r="K480" s="2" t="n"/>
      <c r="L480" s="2" t="n"/>
    </row>
    <row r="481">
      <c r="A481" s="2" t="n"/>
      <c r="B481" s="2" t="n"/>
      <c r="C481" s="5">
        <f>IF($B481="","",IFERROR(VLOOKUP($B481,'02_Конкуренты'!$A\$4:$B\$203,2,FALSE),"не найдено"))</f>
        <v/>
      </c>
      <c r="D481" s="2" t="n"/>
      <c r="E481" s="2" t="n"/>
      <c r="F481" s="2" t="n"/>
      <c r="G481" s="2" t="n"/>
      <c r="H481" s="2" t="n"/>
      <c r="I481" s="2" t="n"/>
      <c r="J481" s="4" t="n"/>
      <c r="K481" s="2" t="n"/>
      <c r="L481" s="2" t="n"/>
    </row>
    <row r="482">
      <c r="A482" s="2" t="n"/>
      <c r="B482" s="2" t="n"/>
      <c r="C482" s="5">
        <f>IF($B482="","",IFERROR(VLOOKUP($B482,'02_Конкуренты'!$A\$4:$B\$203,2,FALSE),"не найдено"))</f>
        <v/>
      </c>
      <c r="D482" s="2" t="n"/>
      <c r="E482" s="2" t="n"/>
      <c r="F482" s="2" t="n"/>
      <c r="G482" s="2" t="n"/>
      <c r="H482" s="2" t="n"/>
      <c r="I482" s="2" t="n"/>
      <c r="J482" s="4" t="n"/>
      <c r="K482" s="2" t="n"/>
      <c r="L482" s="2" t="n"/>
    </row>
    <row r="483">
      <c r="A483" s="2" t="n"/>
      <c r="B483" s="2" t="n"/>
      <c r="C483" s="5">
        <f>IF($B483="","",IFERROR(VLOOKUP($B483,'02_Конкуренты'!$A\$4:$B\$203,2,FALSE),"не найдено"))</f>
        <v/>
      </c>
      <c r="D483" s="2" t="n"/>
      <c r="E483" s="2" t="n"/>
      <c r="F483" s="2" t="n"/>
      <c r="G483" s="2" t="n"/>
      <c r="H483" s="2" t="n"/>
      <c r="I483" s="2" t="n"/>
      <c r="J483" s="4" t="n"/>
      <c r="K483" s="2" t="n"/>
      <c r="L483" s="2" t="n"/>
    </row>
    <row r="484">
      <c r="A484" s="2" t="n"/>
      <c r="B484" s="2" t="n"/>
      <c r="C484" s="5">
        <f>IF($B484="","",IFERROR(VLOOKUP($B484,'02_Конкуренты'!$A\$4:$B\$203,2,FALSE),"не найдено"))</f>
        <v/>
      </c>
      <c r="D484" s="2" t="n"/>
      <c r="E484" s="2" t="n"/>
      <c r="F484" s="2" t="n"/>
      <c r="G484" s="2" t="n"/>
      <c r="H484" s="2" t="n"/>
      <c r="I484" s="2" t="n"/>
      <c r="J484" s="4" t="n"/>
      <c r="K484" s="2" t="n"/>
      <c r="L484" s="2" t="n"/>
    </row>
    <row r="485">
      <c r="A485" s="2" t="n"/>
      <c r="B485" s="2" t="n"/>
      <c r="C485" s="5">
        <f>IF($B485="","",IFERROR(VLOOKUP($B485,'02_Конкуренты'!$A\$4:$B\$203,2,FALSE),"не найдено"))</f>
        <v/>
      </c>
      <c r="D485" s="2" t="n"/>
      <c r="E485" s="2" t="n"/>
      <c r="F485" s="2" t="n"/>
      <c r="G485" s="2" t="n"/>
      <c r="H485" s="2" t="n"/>
      <c r="I485" s="2" t="n"/>
      <c r="J485" s="4" t="n"/>
      <c r="K485" s="2" t="n"/>
      <c r="L485" s="2" t="n"/>
    </row>
    <row r="486">
      <c r="A486" s="2" t="n"/>
      <c r="B486" s="2" t="n"/>
      <c r="C486" s="5">
        <f>IF($B486="","",IFERROR(VLOOKUP($B486,'02_Конкуренты'!$A\$4:$B\$203,2,FALSE),"не найдено"))</f>
        <v/>
      </c>
      <c r="D486" s="2" t="n"/>
      <c r="E486" s="2" t="n"/>
      <c r="F486" s="2" t="n"/>
      <c r="G486" s="2" t="n"/>
      <c r="H486" s="2" t="n"/>
      <c r="I486" s="2" t="n"/>
      <c r="J486" s="4" t="n"/>
      <c r="K486" s="2" t="n"/>
      <c r="L486" s="2" t="n"/>
    </row>
    <row r="487">
      <c r="A487" s="2" t="n"/>
      <c r="B487" s="2" t="n"/>
      <c r="C487" s="5">
        <f>IF($B487="","",IFERROR(VLOOKUP($B487,'02_Конкуренты'!$A\$4:$B\$203,2,FALSE),"не найдено"))</f>
        <v/>
      </c>
      <c r="D487" s="2" t="n"/>
      <c r="E487" s="2" t="n"/>
      <c r="F487" s="2" t="n"/>
      <c r="G487" s="2" t="n"/>
      <c r="H487" s="2" t="n"/>
      <c r="I487" s="2" t="n"/>
      <c r="J487" s="4" t="n"/>
      <c r="K487" s="2" t="n"/>
      <c r="L487" s="2" t="n"/>
    </row>
    <row r="488">
      <c r="A488" s="2" t="n"/>
      <c r="B488" s="2" t="n"/>
      <c r="C488" s="5">
        <f>IF($B488="","",IFERROR(VLOOKUP($B488,'02_Конкуренты'!$A\$4:$B\$203,2,FALSE),"не найдено"))</f>
        <v/>
      </c>
      <c r="D488" s="2" t="n"/>
      <c r="E488" s="2" t="n"/>
      <c r="F488" s="2" t="n"/>
      <c r="G488" s="2" t="n"/>
      <c r="H488" s="2" t="n"/>
      <c r="I488" s="2" t="n"/>
      <c r="J488" s="4" t="n"/>
      <c r="K488" s="2" t="n"/>
      <c r="L488" s="2" t="n"/>
    </row>
    <row r="489">
      <c r="A489" s="2" t="n"/>
      <c r="B489" s="2" t="n"/>
      <c r="C489" s="5">
        <f>IF($B489="","",IFERROR(VLOOKUP($B489,'02_Конкуренты'!$A\$4:$B\$203,2,FALSE),"не найдено"))</f>
        <v/>
      </c>
      <c r="D489" s="2" t="n"/>
      <c r="E489" s="2" t="n"/>
      <c r="F489" s="2" t="n"/>
      <c r="G489" s="2" t="n"/>
      <c r="H489" s="2" t="n"/>
      <c r="I489" s="2" t="n"/>
      <c r="J489" s="4" t="n"/>
      <c r="K489" s="2" t="n"/>
      <c r="L489" s="2" t="n"/>
    </row>
    <row r="490">
      <c r="A490" s="2" t="n"/>
      <c r="B490" s="2" t="n"/>
      <c r="C490" s="5">
        <f>IF($B490="","",IFERROR(VLOOKUP($B490,'02_Конкуренты'!$A\$4:$B\$203,2,FALSE),"не найдено"))</f>
        <v/>
      </c>
      <c r="D490" s="2" t="n"/>
      <c r="E490" s="2" t="n"/>
      <c r="F490" s="2" t="n"/>
      <c r="G490" s="2" t="n"/>
      <c r="H490" s="2" t="n"/>
      <c r="I490" s="2" t="n"/>
      <c r="J490" s="4" t="n"/>
      <c r="K490" s="2" t="n"/>
      <c r="L490" s="2" t="n"/>
    </row>
    <row r="491">
      <c r="A491" s="2" t="n"/>
      <c r="B491" s="2" t="n"/>
      <c r="C491" s="5">
        <f>IF($B491="","",IFERROR(VLOOKUP($B491,'02_Конкуренты'!$A\$4:$B\$203,2,FALSE),"не найдено"))</f>
        <v/>
      </c>
      <c r="D491" s="2" t="n"/>
      <c r="E491" s="2" t="n"/>
      <c r="F491" s="2" t="n"/>
      <c r="G491" s="2" t="n"/>
      <c r="H491" s="2" t="n"/>
      <c r="I491" s="2" t="n"/>
      <c r="J491" s="4" t="n"/>
      <c r="K491" s="2" t="n"/>
      <c r="L491" s="2" t="n"/>
    </row>
    <row r="492">
      <c r="A492" s="2" t="n"/>
      <c r="B492" s="2" t="n"/>
      <c r="C492" s="5">
        <f>IF($B492="","",IFERROR(VLOOKUP($B492,'02_Конкуренты'!$A\$4:$B\$203,2,FALSE),"не найдено"))</f>
        <v/>
      </c>
      <c r="D492" s="2" t="n"/>
      <c r="E492" s="2" t="n"/>
      <c r="F492" s="2" t="n"/>
      <c r="G492" s="2" t="n"/>
      <c r="H492" s="2" t="n"/>
      <c r="I492" s="2" t="n"/>
      <c r="J492" s="4" t="n"/>
      <c r="K492" s="2" t="n"/>
      <c r="L492" s="2" t="n"/>
    </row>
    <row r="493">
      <c r="A493" s="2" t="n"/>
      <c r="B493" s="2" t="n"/>
      <c r="C493" s="5">
        <f>IF($B493="","",IFERROR(VLOOKUP($B493,'02_Конкуренты'!$A\$4:$B\$203,2,FALSE),"не найдено"))</f>
        <v/>
      </c>
      <c r="D493" s="2" t="n"/>
      <c r="E493" s="2" t="n"/>
      <c r="F493" s="2" t="n"/>
      <c r="G493" s="2" t="n"/>
      <c r="H493" s="2" t="n"/>
      <c r="I493" s="2" t="n"/>
      <c r="J493" s="4" t="n"/>
      <c r="K493" s="2" t="n"/>
      <c r="L493" s="2" t="n"/>
    </row>
    <row r="494">
      <c r="A494" s="2" t="n"/>
      <c r="B494" s="2" t="n"/>
      <c r="C494" s="5">
        <f>IF($B494="","",IFERROR(VLOOKUP($B494,'02_Конкуренты'!$A\$4:$B\$203,2,FALSE),"не найдено"))</f>
        <v/>
      </c>
      <c r="D494" s="2" t="n"/>
      <c r="E494" s="2" t="n"/>
      <c r="F494" s="2" t="n"/>
      <c r="G494" s="2" t="n"/>
      <c r="H494" s="2" t="n"/>
      <c r="I494" s="2" t="n"/>
      <c r="J494" s="4" t="n"/>
      <c r="K494" s="2" t="n"/>
      <c r="L494" s="2" t="n"/>
    </row>
    <row r="495">
      <c r="A495" s="2" t="n"/>
      <c r="B495" s="2" t="n"/>
      <c r="C495" s="5">
        <f>IF($B495="","",IFERROR(VLOOKUP($B495,'02_Конкуренты'!$A\$4:$B\$203,2,FALSE),"не найдено"))</f>
        <v/>
      </c>
      <c r="D495" s="2" t="n"/>
      <c r="E495" s="2" t="n"/>
      <c r="F495" s="2" t="n"/>
      <c r="G495" s="2" t="n"/>
      <c r="H495" s="2" t="n"/>
      <c r="I495" s="2" t="n"/>
      <c r="J495" s="4" t="n"/>
      <c r="K495" s="2" t="n"/>
      <c r="L495" s="2" t="n"/>
    </row>
    <row r="496">
      <c r="A496" s="2" t="n"/>
      <c r="B496" s="2" t="n"/>
      <c r="C496" s="5">
        <f>IF($B496="","",IFERROR(VLOOKUP($B496,'02_Конкуренты'!$A\$4:$B\$203,2,FALSE),"не найдено"))</f>
        <v/>
      </c>
      <c r="D496" s="2" t="n"/>
      <c r="E496" s="2" t="n"/>
      <c r="F496" s="2" t="n"/>
      <c r="G496" s="2" t="n"/>
      <c r="H496" s="2" t="n"/>
      <c r="I496" s="2" t="n"/>
      <c r="J496" s="4" t="n"/>
      <c r="K496" s="2" t="n"/>
      <c r="L496" s="2" t="n"/>
    </row>
    <row r="497">
      <c r="A497" s="2" t="n"/>
      <c r="B497" s="2" t="n"/>
      <c r="C497" s="5">
        <f>IF($B497="","",IFERROR(VLOOKUP($B497,'02_Конкуренты'!$A\$4:$B\$203,2,FALSE),"не найдено"))</f>
        <v/>
      </c>
      <c r="D497" s="2" t="n"/>
      <c r="E497" s="2" t="n"/>
      <c r="F497" s="2" t="n"/>
      <c r="G497" s="2" t="n"/>
      <c r="H497" s="2" t="n"/>
      <c r="I497" s="2" t="n"/>
      <c r="J497" s="4" t="n"/>
      <c r="K497" s="2" t="n"/>
      <c r="L497" s="2" t="n"/>
    </row>
    <row r="498">
      <c r="A498" s="2" t="n"/>
      <c r="B498" s="2" t="n"/>
      <c r="C498" s="5">
        <f>IF($B498="","",IFERROR(VLOOKUP($B498,'02_Конкуренты'!$A\$4:$B\$203,2,FALSE),"не найдено"))</f>
        <v/>
      </c>
      <c r="D498" s="2" t="n"/>
      <c r="E498" s="2" t="n"/>
      <c r="F498" s="2" t="n"/>
      <c r="G498" s="2" t="n"/>
      <c r="H498" s="2" t="n"/>
      <c r="I498" s="2" t="n"/>
      <c r="J498" s="4" t="n"/>
      <c r="K498" s="2" t="n"/>
      <c r="L498" s="2" t="n"/>
    </row>
    <row r="499">
      <c r="A499" s="2" t="n"/>
      <c r="B499" s="2" t="n"/>
      <c r="C499" s="5">
        <f>IF($B499="","",IFERROR(VLOOKUP($B499,'02_Конкуренты'!$A\$4:$B\$203,2,FALSE),"не найдено"))</f>
        <v/>
      </c>
      <c r="D499" s="2" t="n"/>
      <c r="E499" s="2" t="n"/>
      <c r="F499" s="2" t="n"/>
      <c r="G499" s="2" t="n"/>
      <c r="H499" s="2" t="n"/>
      <c r="I499" s="2" t="n"/>
      <c r="J499" s="4" t="n"/>
      <c r="K499" s="2" t="n"/>
      <c r="L499" s="2" t="n"/>
    </row>
    <row r="500">
      <c r="A500" s="2" t="n"/>
      <c r="B500" s="2" t="n"/>
      <c r="C500" s="5">
        <f>IF($B500="","",IFERROR(VLOOKUP($B500,'02_Конкуренты'!$A\$4:$B\$203,2,FALSE),"не найдено"))</f>
        <v/>
      </c>
      <c r="D500" s="2" t="n"/>
      <c r="E500" s="2" t="n"/>
      <c r="F500" s="2" t="n"/>
      <c r="G500" s="2" t="n"/>
      <c r="H500" s="2" t="n"/>
      <c r="I500" s="2" t="n"/>
      <c r="J500" s="4" t="n"/>
      <c r="K500" s="2" t="n"/>
      <c r="L500" s="2" t="n"/>
    </row>
    <row r="501">
      <c r="A501" s="2" t="n"/>
      <c r="B501" s="2" t="n"/>
      <c r="C501" s="5">
        <f>IF($B501="","",IFERROR(VLOOKUP($B501,'02_Конкуренты'!$A\$4:$B\$203,2,FALSE),"не найдено"))</f>
        <v/>
      </c>
      <c r="D501" s="2" t="n"/>
      <c r="E501" s="2" t="n"/>
      <c r="F501" s="2" t="n"/>
      <c r="G501" s="2" t="n"/>
      <c r="H501" s="2" t="n"/>
      <c r="I501" s="2" t="n"/>
      <c r="J501" s="4" t="n"/>
      <c r="K501" s="2" t="n"/>
      <c r="L501" s="2" t="n"/>
    </row>
    <row r="502">
      <c r="A502" s="2" t="n"/>
      <c r="B502" s="2" t="n"/>
      <c r="C502" s="5">
        <f>IF($B502="","",IFERROR(VLOOKUP($B502,'02_Конкуренты'!$A\$4:$B\$203,2,FALSE),"не найдено"))</f>
        <v/>
      </c>
      <c r="D502" s="2" t="n"/>
      <c r="E502" s="2" t="n"/>
      <c r="F502" s="2" t="n"/>
      <c r="G502" s="2" t="n"/>
      <c r="H502" s="2" t="n"/>
      <c r="I502" s="2" t="n"/>
      <c r="J502" s="4" t="n"/>
      <c r="K502" s="2" t="n"/>
      <c r="L502" s="2" t="n"/>
    </row>
    <row r="503">
      <c r="A503" s="2" t="n"/>
      <c r="B503" s="2" t="n"/>
      <c r="C503" s="5">
        <f>IF($B503="","",IFERROR(VLOOKUP($B503,'02_Конкуренты'!$A\$4:$B\$203,2,FALSE),"не найдено"))</f>
        <v/>
      </c>
      <c r="D503" s="2" t="n"/>
      <c r="E503" s="2" t="n"/>
      <c r="F503" s="2" t="n"/>
      <c r="G503" s="2" t="n"/>
      <c r="H503" s="2" t="n"/>
      <c r="I503" s="2" t="n"/>
      <c r="J503" s="4" t="n"/>
      <c r="K503" s="2" t="n"/>
      <c r="L503" s="2" t="n"/>
    </row>
  </sheetData>
  <mergeCells count="2">
    <mergeCell ref="A2:L2"/>
    <mergeCell ref="A1:L1"/>
  </mergeCells>
  <conditionalFormatting sqref="I4:I503">
    <cfRule type="colorScale" priority="1">
      <colorScale>
        <cfvo type="min"/>
        <cfvo type="percentile" val="50"/>
        <cfvo type="max"/>
        <color rgb="FFFEE2E2"/>
        <color rgb="FFFEF3C7"/>
        <color rgb="FFDCFCE7"/>
      </colorScale>
    </cfRule>
  </conditionalFormatting>
  <dataValidations count="2">
    <dataValidation sqref="H4:H503" showDropDown="0" showInputMessage="0" showErrorMessage="0" allowBlank="0" type="list">
      <formula1>"целевые сегменты,ценностное предложение,цифровой товар,каналы,отношения с клиентами,потоки доходов,ключевые ресурсы,ключевые виды деятельности,ключевые партнеры,структура затрат,данные и сетевые эффекты,масштабирование"</formula1>
    </dataValidation>
    <dataValidation sqref="I4:I503" showDropDown="0" showInputMessage="0" showErrorMessage="0" allowBlank="0" type="list">
      <formula1>"1,2,3,4,5"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205"/>
  <sheetViews>
    <sheetView workbookViewId="0">
      <selection activeCell="B4" sqref="B4"/>
    </sheetView>
  </sheetViews>
  <sheetFormatPr baseColWidth="8" defaultRowHeight="14.25"/>
  <cols>
    <col width="14" customWidth="1" min="1" max="1"/>
    <col width="24" customWidth="1" min="2" max="2"/>
    <col width="32" customWidth="1" min="3" max="3"/>
    <col width="36" customWidth="1" min="4" max="4"/>
    <col width="32" customWidth="1" min="5" max="5"/>
    <col width="28" customWidth="1" min="6" max="6"/>
    <col width="30" customWidth="1" min="7" max="7"/>
    <col width="28" customWidth="1" min="8" max="8"/>
    <col width="30" customWidth="1" min="9" max="9"/>
    <col width="32" customWidth="1" min="10" max="10"/>
    <col width="30" customWidth="1" min="11" max="12"/>
    <col width="34" customWidth="1" min="13" max="13"/>
    <col width="42" customWidth="1" min="14" max="14"/>
    <col width="16" customWidth="1" min="15" max="15"/>
    <col width="18" customWidth="1" min="16" max="16"/>
    <col width="32" customWidth="1" min="17" max="17"/>
  </cols>
  <sheetData>
    <row r="1" ht="15" customHeight="1">
      <c r="A1" s="19" t="inlineStr">
        <is>
          <t>Профиль бизнес-модели конкурента</t>
        </is>
      </c>
      <c r="R1" s="14" t="n"/>
      <c r="S1" s="14" t="n"/>
      <c r="T1" s="14" t="n"/>
      <c r="U1" s="14" t="n"/>
      <c r="V1" s="14" t="n"/>
      <c r="W1" s="14" t="n"/>
      <c r="X1" s="14" t="n"/>
      <c r="Y1" s="14" t="n"/>
      <c r="Z1" s="14" t="n"/>
    </row>
    <row r="2" ht="19.15" customHeight="1">
      <c r="A2" s="21" t="inlineStr">
        <is>
          <t>Заполняется на основе фактов с сайта. Полнота и доказательность рассчитываются автоматически</t>
        </is>
      </c>
    </row>
    <row r="3" ht="40.5" customHeight="1">
      <c r="A3" s="25" t="inlineStr">
        <is>
          <t>ID конкурента</t>
        </is>
      </c>
      <c r="B3" s="25" t="inlineStr">
        <is>
          <t>Название</t>
        </is>
      </c>
      <c r="C3" s="25" t="inlineStr">
        <is>
          <t>Целевые сегменты</t>
        </is>
      </c>
      <c r="D3" s="25" t="inlineStr">
        <is>
          <t>Ценностное предложение</t>
        </is>
      </c>
      <c r="E3" s="25" t="inlineStr">
        <is>
          <t>Цифровой товар</t>
        </is>
      </c>
      <c r="F3" s="25" t="inlineStr">
        <is>
          <t>Каналы</t>
        </is>
      </c>
      <c r="G3" s="25" t="inlineStr">
        <is>
          <t>Отношения с клиентами</t>
        </is>
      </c>
      <c r="H3" s="25" t="inlineStr">
        <is>
          <t>Потоки доходов</t>
        </is>
      </c>
      <c r="I3" s="25" t="inlineStr">
        <is>
          <t>Ключевые ресурсы</t>
        </is>
      </c>
      <c r="J3" s="25" t="inlineStr">
        <is>
          <t>Ключевые виды деятельности</t>
        </is>
      </c>
      <c r="K3" s="25" t="inlineStr">
        <is>
          <t>Ключевые партнеры</t>
        </is>
      </c>
      <c r="L3" s="25" t="inlineStr">
        <is>
          <t>Структура затрат</t>
        </is>
      </c>
      <c r="M3" s="25" t="inlineStr">
        <is>
          <t>Данные и сетевые эффекты</t>
        </is>
      </c>
      <c r="N3" s="25" t="inlineStr">
        <is>
          <t>Главная гипотеза бизнес-модели</t>
        </is>
      </c>
      <c r="O3" s="25" t="inlineStr">
        <is>
          <t>Полнота профиля</t>
        </is>
      </c>
      <c r="P3" s="25" t="inlineStr">
        <is>
          <t>Средняя доказательность</t>
        </is>
      </c>
      <c r="Q3" s="25" t="inlineStr">
        <is>
          <t>Качество профиля</t>
        </is>
      </c>
    </row>
    <row r="4" ht="156.75" customHeight="1">
      <c r="A4" s="2" t="inlineStr">
        <is>
          <t>C01</t>
        </is>
      </c>
      <c r="B4" s="5">
        <f>IF($A4="","",IFERROR(VLOOKUP($A4,'02_Конкуренты'!$A\$4:$B\$203,2,FALSE),"не найдено"))</f>
        <v/>
      </c>
      <c r="C4" s="2" t="inlineStr">
        <is>
          <t>Разработчики, студенты, архитекторы ПО</t>
        </is>
      </c>
      <c r="D4" s="2" t="inlineStr">
        <is>
          <t>«Open-source tool that uses simple textual descriptions to draw beautiful UML diagrams»</t>
        </is>
      </c>
      <c r="E4" s="2" t="inlineStr">
        <is>
          <t>Построение UML-диаграмм из текстового описания, экспорт PNG, LaTeX, EPS, SVG; описание диаграммы текстом (dsl), бесплатный доступ или free-тариф, интеграции с другими сервисами, открытый код и сообщество, независимые отзывы и оценки, экспорт диаграмм (png, svg, pdf и др.), документация и руководства, диаграммы uml</t>
        </is>
      </c>
      <c r="F4" s="2" t="inlineStr">
        <is>
          <t>прямые заходы 38,11 %; органический поиск 47,25 %; рефералы 5,91 %; соцсети органика 3,62 %; ИИ-ассистенты 4,42 %; e-mail 0,60 % (Similarweb Pro, Jun-Aug 2026, весь мир, снимок 30.09.2026)</t>
        </is>
      </c>
      <c r="G4" s="2" t="inlineStr">
        <is>
          <t>оценки расширений: VS Marketplace jebbs.plantuml 4,72 (105), JetBrains plantuml4idea 4,63 (102); G2 и Trustpilot: карточка не найдена</t>
        </is>
      </c>
      <c r="H4" s="2" t="inlineStr">
        <is>
          <t>открытый код, бесплатно (ЛР1, табл. 42)</t>
        </is>
      </c>
      <c r="I4" s="2" t="inlineStr">
        <is>
          <t>plantuml/plantuml: 13 346 звёзд</t>
        </is>
      </c>
      <c r="J4" s="2" t="inlineStr">
        <is>
          <t>Разработка языка и серверной части, выпуск релизов (страница загрузки), документация</t>
        </is>
      </c>
      <c r="K4" s="2" t="inlineStr">
        <is>
          <t>Интеграции в вики, редакторы, IDE и языки программирования (страница running)</t>
        </is>
      </c>
      <c r="L4" s="2" t="inlineStr">
        <is>
          <t>Признаки: разработка сообщества и серверы; ИИ-расходов на сайте нет</t>
        </is>
      </c>
      <c r="M4" s="2" t="inlineStr">
        <is>
          <t>Сообщество на GitHub (13 346 звёзд), форумы</t>
        </is>
      </c>
      <c r="N4" s="2" t="inlineStr">
        <is>
          <t>Гипотеза (для проверки): ценность - диаграммы из текста; доход не из продажи самого инструмента</t>
        </is>
      </c>
      <c r="O4" s="6">
        <f>IF($A4="","",COUNTA($C4:$N4)/12)</f>
        <v/>
      </c>
      <c r="P4" s="7">
        <f>IF($A4="","",IFERROR(AVERAGEIF('03_Факты_сайта'!$B\$4:$B\$503,$A4,'03_Факты_сайта'!$I\$4:$I\$503),0))</f>
        <v/>
      </c>
      <c r="Q4" s="5">
        <f>IF($A4="","",IF($O4&lt;0.5,"недостаточно данных",IF($P4&lt;3,"низкая доказательность",IF($O4&gt;=0.85,"готов к сравнению","требует дополнения"))))</f>
        <v/>
      </c>
    </row>
    <row r="5" ht="156.75" customHeight="1">
      <c r="A5" s="2" t="inlineStr">
        <is>
          <t>C02</t>
        </is>
      </c>
      <c r="B5" s="5">
        <f>IF($A5="","",IFERROR(VLOOKUP($A5,'02_Конкуренты'!$A\$4:$B\$203,2,FALSE),"не найдено"))</f>
        <v/>
      </c>
      <c r="C5" s="2" t="inlineStr">
        <is>
          <t>Разработчики, авторы технической документации</t>
        </is>
      </c>
      <c r="D5" s="2" t="inlineStr">
        <is>
          <t>«Create diagrams and visualizations using text and code»</t>
        </is>
      </c>
      <c r="E5" s="2" t="inlineStr">
        <is>
          <t>Диаграммы и визуализации из текста и кода (JavaScript-библиотека); описание диаграммы текстом (dsl), бесплатный доступ или free-тариф, интеграции с другими сервисами, api или платформа разработчика, открытый код и сообщество, независимые отзывы и оценки, экспорт диаграмм (png, svg, pdf и др.), документация и руководства</t>
        </is>
      </c>
      <c r="F5" s="2" t="inlineStr">
        <is>
          <t>прямые заходы 22,18 %; органический поиск 58,56 %; рефералы 16,50 %; соцсети органика 1,25 %; ИИ-ассистенты 1,23 %; e-mail 0,22 %; платный поиск 0,01 % (Similarweb Pro, Jun-Aug 2026, весь мир, снимок 30.09.2026)</t>
        </is>
      </c>
      <c r="G5" s="2" t="inlineStr">
        <is>
          <t>оценки расширений: VS Marketplace (bierner.markdown-mermaid 60, vstirbu 27, tomoyukim 17) и JetBrains Mermaid 2,96 (65)</t>
        </is>
      </c>
      <c r="H5" s="2" t="inlineStr">
        <is>
          <t>открытый код (MIT); платные планы у Mermaid Chart</t>
        </is>
      </c>
      <c r="I5" s="2" t="inlineStr">
        <is>
          <t>mermaid-js/mermaid: 90 489 звёзд; mermaid-js/mermaid-live-editor: 6 836 звёзд</t>
        </is>
      </c>
      <c r="J5" s="2" t="inlineStr">
        <is>
          <t>Развитие библиотеки, экосистемы и документации</t>
        </is>
      </c>
      <c r="K5" s="2" t="inlineStr">
        <is>
          <t>Интеграции сообщества: редакторы, вики, платформы (страница integrations-community)</t>
        </is>
      </c>
      <c r="L5" s="2" t="inlineStr">
        <is>
          <t>Признаки: разработка сообщества; платные планы вынесены в Mermaid Chart</t>
        </is>
      </c>
      <c r="M5" s="2" t="inlineStr">
        <is>
          <t>Сообщество: 90 489 звёзд GitHub, плагины</t>
        </is>
      </c>
      <c r="N5" s="2" t="inlineStr">
        <is>
          <t>Гипотеза (для проверки): ядро открытого стандарта, монетизация вынесена в Mermaid Chart</t>
        </is>
      </c>
      <c r="O5" s="6">
        <f>IF($A5="","",COUNTA($C5:$N5)/12)</f>
        <v/>
      </c>
      <c r="P5" s="7">
        <f>IF($A5="","",IFERROR(AVERAGEIF('03_Факты_сайта'!$B\$4:$B\$503,$A5,'03_Факты_сайта'!$I\$4:$I\$503),0))</f>
        <v/>
      </c>
      <c r="Q5" s="5">
        <f>IF($A5="","",IF($O5&lt;0.5,"недостаточно данных",IF($P5&lt;3,"низкая доказательность",IF($O5&gt;=0.85,"готов к сравнению","требует дополнения"))))</f>
        <v/>
      </c>
    </row>
    <row r="6" ht="171" customHeight="1">
      <c r="A6" s="2" t="inlineStr">
        <is>
          <t>C03</t>
        </is>
      </c>
      <c r="B6" s="5">
        <f>IF($A6="","",IFERROR(VLOOKUP($A6,'02_Конкуренты'!$A\$4:$B\$203,2,FALSE),"не найдено"))</f>
        <v/>
      </c>
      <c r="C6" s="2" t="inlineStr">
        <is>
          <t>Команды разработки и документации</t>
        </is>
      </c>
      <c r="D6" s="2" t="inlineStr">
        <is>
          <t>«Create diagrams, flowcharts, and documentation with Mermaid»; «You already think in systems»</t>
        </is>
      </c>
      <c r="E6" s="2" t="inlineStr">
        <is>
          <t>Облачный редактор диаграмм Mermaid с тарифами Free, Plus, Premium; описание диаграммы текстом (dsl), бесплатный доступ или free-тариф, платная подписка по тарифным уровням, открытая страница тарифов, корпоративный тариф (enterprise или on-prem), скидка или цена при годовой оплате, бесплатные гости или зрители, ии-генерация или ии-помощник</t>
        </is>
      </c>
      <c r="F6" s="2" t="inlineStr">
        <is>
          <t>прямые заходы 39,97 %; органический поиск 32,54 %; рефералы 10,32 %; соцсети органика 6,05 %; ИИ-ассистенты 1,62 %; e-mail 2,52 %; платный поиск 1,62 % (Similarweb Pro, Jun-Aug 2026, весь мир, снимок 30.09.2026)</t>
        </is>
      </c>
      <c r="G6" s="2" t="inlineStr">
        <is>
          <t>G2 (карточка Mermaid) 4,8 (16); Trustpilot 3,5 (3); Product Hunt 4,8 (26)</t>
        </is>
      </c>
      <c r="H6" s="2" t="inlineStr">
        <is>
          <t>Basic Free (до 6 диаграмм, 15 ИИ-кредитов); Plus 10 у.е. (300 кредитов); Premium 20 у.е. (2 000 кредитов, зрители без оплаты) за пользователя в месяц при оплате за год; Enterprise по запросу</t>
        </is>
      </c>
      <c r="I6" s="2" t="inlineStr">
        <is>
          <t>Команда продукта и облачная инфраструктура (по описанию сайта)</t>
        </is>
      </c>
      <c r="J6" s="2" t="inlineStr">
        <is>
          <t>Развитие облачного редактора, ИИ-функций, документации</t>
        </is>
      </c>
      <c r="K6" s="2" t="inlineStr">
        <is>
          <t>Плагины и интеграции (меню Product), экосистема Mermaid.js</t>
        </is>
      </c>
      <c r="L6" s="2" t="inlineStr">
        <is>
          <t>Признак: лимиты ИИ-кредитов указывают на стоимость ИИ-вызовов</t>
        </is>
      </c>
      <c r="M6" s="2" t="inlineStr">
        <is>
          <t>Совместная работа и общий доступ; 5M пользователей и 200k компаний по заявлению сайта</t>
        </is>
      </c>
      <c r="N6" s="2" t="inlineStr">
        <is>
          <t>Гипотеза (для проверки): облачный сервис над открытым стандартом: доход от тарифов за пользователя</t>
        </is>
      </c>
      <c r="O6" s="6">
        <f>IF($A6="","",COUNTA($C6:$N6)/12)</f>
        <v/>
      </c>
      <c r="P6" s="7">
        <f>IF($A6="","",IFERROR(AVERAGEIF('03_Факты_сайта'!$B\$4:$B\$503,$A6,'03_Факты_сайта'!$I\$4:$I\$503),0))</f>
        <v/>
      </c>
      <c r="Q6" s="5">
        <f>IF($A6="","",IF($O6&lt;0.5,"недостаточно данных",IF($P6&lt;3,"низкая доказательность",IF($O6&gt;=0.85,"готов к сравнению","требует дополнения"))))</f>
        <v/>
      </c>
    </row>
    <row r="7" ht="185.25" customHeight="1">
      <c r="A7" s="2" t="inlineStr">
        <is>
          <t>C04</t>
        </is>
      </c>
      <c r="B7" s="5">
        <f>IF($A7="","",IFERROR(VLOOKUP($A7,'02_Конкуренты'!$A\$4:$B\$203,2,FALSE),"не найдено"))</f>
        <v/>
      </c>
      <c r="C7" s="2" t="inlineStr">
        <is>
          <t>Процессные аналитики, русскоязычный рынок</t>
        </is>
      </c>
      <c r="D7" s="2" t="inlineStr">
        <is>
          <t>«Соберите все процессы компании»; «Одна платформа - девять модулей процессного управления»</t>
        </is>
      </c>
      <c r="E7" s="2" t="inlineStr">
        <is>
          <t>Платформа из семи модулей: редактор, реестр, архитектура, оргструктура, опросы, ИИ, симуляция; бесплатный доступ или free-тариф, платная подписка по тарифным уровням, открытая страница тарифов, корпоративный тариф (enterprise или on-prem), скидка или цена при годовой оплате, бесплатные гости или зрители, ии-генерация или ии-помощник, интеграции с другими сервисами</t>
        </is>
      </c>
      <c r="F7" s="2" t="inlineStr">
        <is>
          <t>прямые заходы 57,33 %; органический поиск 20,91 %; рефералы 10,72 %; соцсети органика 2,59 %; ИИ-ассистенты 1,74 %; e-mail 3,78 %; платный поиск 1,32 % (Similarweb Pro, Jun-Aug 2026, весь мир, снимок 30.09.2026)</t>
        </is>
      </c>
      <c r="G7" s="2" t="inlineStr">
        <is>
          <t>Заявление сайта: «Нам доверяют больше 1 000 клиентов»</t>
        </is>
      </c>
      <c r="H7" s="2" t="inlineStr">
        <is>
          <t>Персональный 0 BYN. (до 50 моделей); Команда 1 200 BYN. (1 500 BYN. помесячно) за пользователя в месяц; Бизнес 4 720 BYN. (5 900 BYN.); Enterprise на сервере заказчика от 990 тыс. руб. в год (страница тарифов, 01.10.2026)</t>
        </is>
      </c>
      <c r="I7" s="2" t="inlineStr">
        <is>
          <t>Команда продукта и облачная инфраструктура (по описанию сайта)</t>
        </is>
      </c>
      <c r="J7" s="2" t="inlineStr">
        <is>
          <t>Развитие девяти модулей платформы, ИИ-ассистента, MCP; продажи и внедрение on-prem</t>
        </is>
      </c>
      <c r="K7" s="2" t="inlineStr">
        <is>
          <t>MCP-интеграции, API в Enterprise</t>
        </is>
      </c>
      <c r="L7" s="2" t="inlineStr">
        <is>
          <t>Признаки: безлимитный ИИ в облачных тарифах, on-prem для крупных клиентов</t>
        </is>
      </c>
      <c r="M7" s="2" t="inlineStr">
        <is>
          <t>Связи процессов, реестр, оргструктура и база знаний внутри платформы; более 1 000 клиентов</t>
        </is>
      </c>
      <c r="N7" s="2" t="inlineStr">
        <is>
          <t>Гипотеза (для проверки): платформа процессного управления для русскоязычного рынка: доход от тарифов в рублях и on-prem</t>
        </is>
      </c>
      <c r="O7" s="6">
        <f>IF($A7="","",COUNTA($C7:$N7)/12)</f>
        <v/>
      </c>
      <c r="P7" s="7">
        <f>IF($A7="","",IFERROR(AVERAGEIF('03_Факты_сайта'!$B\$4:$B\$503,$A7,'03_Факты_сайта'!$I\$4:$I\$503),0))</f>
        <v/>
      </c>
      <c r="Q7" s="5">
        <f>IF($A7="","",IF($O7&lt;0.5,"недостаточно данных",IF($P7&lt;3,"низкая доказательность",IF($O7&gt;=0.85,"готов к сравнению","требует дополнения"))))</f>
        <v/>
      </c>
    </row>
    <row r="8" ht="171" customHeight="1">
      <c r="A8" s="2" t="inlineStr">
        <is>
          <t>C05</t>
        </is>
      </c>
      <c r="B8" s="5">
        <f>IF($A8="","",IFERROR(VLOOKUP($A8,'02_Конкуренты'!$A\$4:$B\$203,2,FALSE),"не найдено"))</f>
        <v/>
      </c>
      <c r="C8" s="2" t="inlineStr">
        <is>
          <t>Студенты, разработчики, команды</t>
        </is>
      </c>
      <c r="D8" s="2" t="inlineStr">
        <is>
          <t>«Security-first diagramming for teams»; «Free, open source diagramming application with 100M+ users»</t>
        </is>
      </c>
      <c r="E8" s="2" t="inlineStr">
        <is>
          <t>Бесплатный онлайн-редактор блок-схем, UML, ER и других диаграмм; бесплатный доступ или free-тариф, интеграции с другими сервисами, открытый код и сообщество, независимые отзывы и оценки, данные о числе пользователей или клиентов на сайте, раздел или упоминание о безопасности и приватности, вход и личный кабинет, совместная работа в реальном времени</t>
        </is>
      </c>
      <c r="F8" s="2" t="inlineStr">
        <is>
          <t>прямые заходы 68,39 %; органический поиск 13,96 %; рефералы 9,72 %; соцсети органика 2,07 %; ИИ-ассистенты 2,68 %; e-mail 1,19 %; платный поиск 0,02 % (Similarweb Pro, Jun-Aug 2026, весь мир, снимок 30.09.2026)</t>
        </is>
      </c>
      <c r="G8" s="2" t="inlineStr">
        <is>
          <t>Capterra 4,6 (773); Trustpilot draw.io 3,4 (11) и diagrams.net 3,8 (2); Atlassian Marketplace draw.io Diagrams 4,8 (1 205)</t>
        </is>
      </c>
      <c r="H8" s="2" t="inlineStr">
        <is>
          <t>полностью бесплатный, открытый код (Apache 2.0) (ЛР1, табл. 42)</t>
        </is>
      </c>
      <c r="I8" s="2" t="inlineStr">
        <is>
          <t>jgraph/drawio: 8 502 звёзд; jgraph/drawio-desktop: 63 351 звёзд</t>
        </is>
      </c>
      <c r="J8" s="2" t="inlineStr">
        <is>
          <t>Развитие приложения, интеграций и встраивания; документация</t>
        </is>
      </c>
      <c r="K8" s="2" t="inlineStr">
        <is>
          <t>Google Drive, Microsoft SharePoint и OneDrive, Atlassian Confluence и Jira, GitHub, VS Code, Notion</t>
        </is>
      </c>
      <c r="L8" s="2" t="inlineStr">
        <is>
          <t>Признак: «Not VC-funded», нет enterprise-тарифа</t>
        </is>
      </c>
      <c r="M8" s="2" t="inlineStr">
        <is>
          <t>Данные у пользователя («we cannot access it»); совместимость файлов с 2005 г</t>
        </is>
      </c>
      <c r="N8" s="2" t="inlineStr">
        <is>
          <t>Гипотеза (для проверки): бесплатный массовый инструмент: привлекает аудиторию, монетизация на сайте не показана</t>
        </is>
      </c>
      <c r="O8" s="6">
        <f>IF($A8="","",COUNTA($C8:$N8)/12)</f>
        <v/>
      </c>
      <c r="P8" s="7">
        <f>IF($A8="","",IFERROR(AVERAGEIF('03_Факты_сайта'!$B\$4:$B\$503,$A8,'03_Факты_сайта'!$I\$4:$I\$503),0))</f>
        <v/>
      </c>
      <c r="Q8" s="5">
        <f>IF($A8="","",IF($O8&lt;0.5,"недостаточно данных",IF($P8&lt;3,"низкая доказательность",IF($O8&gt;=0.85,"готов к сравнению","требует дополнения"))))</f>
        <v/>
      </c>
    </row>
    <row r="9" ht="171" customHeight="1">
      <c r="A9" s="2" t="inlineStr">
        <is>
          <t>C06</t>
        </is>
      </c>
      <c r="B9" s="5">
        <f>IF($A9="","",IFERROR(VLOOKUP($A9,'02_Конкуренты'!$A\$4:$B\$203,2,FALSE),"не найдено"))</f>
        <v/>
      </c>
      <c r="C9" s="2" t="inlineStr">
        <is>
          <t>Команды, бизнес-пользователи</t>
        </is>
      </c>
      <c r="D9" s="2" t="inlineStr">
        <is>
          <t>«Diagramming powered by intelligence»: диаграммы с ИИ, данными и автоматизацией</t>
        </is>
      </c>
      <c r="E9" s="2" t="inlineStr">
        <is>
          <t>Облачный редактор диаграмм с тарифами Free, Individual, Team, Enterprise; описание диаграммы текстом (dsl), бесплатный доступ или free-тариф, платная подписка по тарифным уровням, открытая страница тарифов, корпоративный тариф (enterprise или on-prem), скидка или цена при годовой оплате, пробный период платного тарифа, ии-генерация или ии-помощник</t>
        </is>
      </c>
      <c r="F9" s="2" t="inlineStr">
        <is>
          <t>прямые заходы 11,33 %; органический поиск 55,95 %; рефералы 2,71 %; соцсети органика 1,34 %; ИИ-ассистенты 2,10 %; e-mail 0,20 %; платный поиск 22,55 % (Similarweb Pro, Jun-Aug 2026, весь мир, снимок 30.09.2026)</t>
        </is>
      </c>
      <c r="G9" s="2" t="inlineStr">
        <is>
          <t>G2 4,5 (8 988); Capterra/GetApp/Software Advice 4,5 (2 264); Trustpilot lucidchart.com 1,5 (116)</t>
        </is>
      </c>
      <c r="H9" s="2" t="inlineStr">
        <is>
          <t>Free (3 документа, 75 фигур, 100 шаблонов); Individual 9 у.е.; Team 10 у.е. за пользователя в месяц при оплате за год; Enterprise по запросу; пробный период 7 дней</t>
        </is>
      </c>
      <c r="I9" s="2" t="inlineStr">
        <is>
          <t>Команда продукта и облачная инфраструктура (по описанию сайта)</t>
        </is>
      </c>
      <c r="J9" s="2" t="inlineStr">
        <is>
          <t>Развитие продукта, ИИ, платформы разработчика, продажи Enterprise</t>
        </is>
      </c>
      <c r="K9" s="2" t="inlineStr">
        <is>
          <t>Microsoft 365, Confluence, Jira, LeanIX, Ardoq, Salesforce</t>
        </is>
      </c>
      <c r="L9" s="2" t="inlineStr">
        <is>
          <t>Признаки: ИИ, поддержка, учебный центр, Enterprise Shield</t>
        </is>
      </c>
      <c r="M9" s="2" t="inlineStr">
        <is>
          <t>Совместная работа, шаблоны, связывание данных; Fortune 500 по заявлению сайта</t>
        </is>
      </c>
      <c r="N9" s="2" t="inlineStr">
        <is>
          <t>Гипотеза (для проверки): облачный сервис с лестницей тарифов Free, Individual, Team, Enterprise</t>
        </is>
      </c>
      <c r="O9" s="6">
        <f>IF($A9="","",COUNTA($C9:$N9)/12)</f>
        <v/>
      </c>
      <c r="P9" s="7">
        <f>IF($A9="","",IFERROR(AVERAGEIF('03_Факты_сайта'!$B\$4:$B\$503,$A9,'03_Факты_сайта'!$I\$4:$I\$503),0))</f>
        <v/>
      </c>
      <c r="Q9" s="5">
        <f>IF($A9="","",IF($O9&lt;0.5,"недостаточно данных",IF($P9&lt;3,"низкая доказательность",IF($O9&gt;=0.85,"готов к сравнению","требует дополнения"))))</f>
        <v/>
      </c>
    </row>
    <row r="10" ht="171" customHeight="1">
      <c r="A10" s="2" t="inlineStr">
        <is>
          <t>C07</t>
        </is>
      </c>
      <c r="B10" s="5">
        <f>IF($A10="","",IFERROR(VLOOKUP($A10,'02_Конкуренты'!$A\$4:$B\$203,2,FALSE),"не найдено"))</f>
        <v/>
      </c>
      <c r="C10" s="2" t="inlineStr">
        <is>
          <t>Инженерные команды, разработчики</t>
        </is>
      </c>
      <c r="D10" s="2" t="inlineStr">
        <is>
          <t>«AI for diagrams that matter»; «Create technical diagrams using AI»</t>
        </is>
      </c>
      <c r="E10" s="2" t="inlineStr">
        <is>
          <t>Создание технических диаграмм с помощью ИИ; описание диаграммы текстом (dsl), бесплатный доступ или free-тариф, платная подписка по тарифным уровням, открытая страница тарифов, корпоративный тариф (enterprise или on-prem), скидка или цена при годовой оплате, бесплатные гости или зрители, ии-генерация или ии-помощник</t>
        </is>
      </c>
      <c r="F10" s="2" t="inlineStr">
        <is>
          <t>Вход и документация на сайте; данные Similarweb по домену не получены</t>
        </is>
      </c>
      <c r="G10" s="2" t="inlineStr">
        <is>
          <t>Product Hunt 4,9 (10); расширение VS Code 4,8 (5)</t>
        </is>
      </c>
      <c r="H10" s="2" t="inlineStr">
        <is>
          <t>Free (0 у.е.; 3 файла, 3 ИИ-диаграммы); Starter 15 у.е. (20 у.е. при помесячной оплате); Business 45 у.е. (60 у.е.); Enterprise по запросу; цены за участника в месяц (страница тарифов, 01.10.2026)</t>
        </is>
      </c>
      <c r="I10" s="2" t="inlineStr">
        <is>
          <t>Команда продукта и облачная инфраструктура (по описанию сайта)</t>
        </is>
      </c>
      <c r="J10" s="2" t="inlineStr">
        <is>
          <t>Развитие ИИ-генерации диаграмм, интеграций, API</t>
        </is>
      </c>
      <c r="K10" s="2" t="inlineStr">
        <is>
          <t>GitHub, Notion, Confluence, VS Code</t>
        </is>
      </c>
      <c r="L10" s="2" t="inlineStr">
        <is>
          <t>Признак: лимиты ИИ-диаграмм по тарифам указывают на стоимость ИИ</t>
        </is>
      </c>
      <c r="M10" s="2" t="inlineStr">
        <is>
          <t>Совместная работа, гости без оплаты; история версий по тарифам</t>
        </is>
      </c>
      <c r="N10" s="2" t="inlineStr">
        <is>
          <t>Гипотеза (для проверки): подписка вокруг ИИ-генерации и diagram-as-code для технических команд</t>
        </is>
      </c>
      <c r="O10" s="6">
        <f>IF($A10="","",COUNTA($C10:$N10)/12)</f>
        <v/>
      </c>
      <c r="P10" s="7">
        <f>IF($A10="","",IFERROR(AVERAGEIF('03_Факты_сайта'!$B\$4:$B\$503,$A10,'03_Факты_сайта'!$I\$4:$I\$503),0))</f>
        <v/>
      </c>
      <c r="Q10" s="5">
        <f>IF($A10="","",IF($O10&lt;0.5,"недостаточно данных",IF($P10&lt;3,"низкая доказательность",IF($O10&gt;=0.85,"готов к сравнению","требует дополнения"))))</f>
        <v/>
      </c>
    </row>
    <row r="11" ht="199.5" customHeight="1">
      <c r="A11" s="2" t="inlineStr">
        <is>
          <t>C08</t>
        </is>
      </c>
      <c r="B11" s="5">
        <f>IF($A11="","",IFERROR(VLOOKUP($A11,'02_Конкуренты'!$A\$4:$B\$203,2,FALSE),"не найдено"))</f>
        <v/>
      </c>
      <c r="C11" s="2" t="inlineStr">
        <is>
          <t>Команды продуктов</t>
        </is>
      </c>
      <c r="D11" s="2" t="inlineStr">
        <is>
          <t>«The whiteboard for product builders»: диаграммы, схемы интерфейсов, документы</t>
        </is>
      </c>
      <c r="E11" s="2" t="inlineStr">
        <is>
          <t>Редактор диаграмм, схем интерфейсов и документов; тарифы Free, Pro, Business (страница тарифов, 01.10.2026); бесплатный доступ или free-тариф, платная подписка по тарифным уровням, открытая страница тарифов, бесплатные гости или зрители, ии-генерация или ии-помощник, интеграции с другими сервисами, независимые отзывы и оценки, раздел или упоминание о безопасности и приватности</t>
        </is>
      </c>
      <c r="F11" s="2" t="inlineStr">
        <is>
          <t>Вход и документация на сайте; данные Similarweb по домену не получены</t>
        </is>
      </c>
      <c r="G11" s="2" t="inlineStr">
        <is>
          <t>Capterra 4,7 (59)</t>
        </is>
      </c>
      <c r="H11" s="2" t="inlineStr">
        <is>
          <t>Free (0 у.е.; 50 объектов доски и 50 блоков документа в месяц, водяной знак при экспорте); Pro 10 у.е., Business 20 у.е. за редактора в месяц (страница тарифов, 01.10.2026)</t>
        </is>
      </c>
      <c r="I11" s="2" t="inlineStr">
        <is>
          <t>Команда продукта и облачная инфраструктура (по описанию сайта)</t>
        </is>
      </c>
      <c r="J11" s="2" t="inlineStr">
        <is>
          <t>Развитие доски, диаграмм, документов и ИИ</t>
        </is>
      </c>
      <c r="K11" s="2" t="inlineStr">
        <is>
          <t>Интеграции указаны на сайте (число не проверялось)</t>
        </is>
      </c>
      <c r="L11" s="2" t="inlineStr">
        <is>
          <t>Признаки: хранилище и история версий по тарифам, ИИ</t>
        </is>
      </c>
      <c r="M11" s="2" t="inlineStr">
        <is>
          <t>Совместная работа, гости и зрители без ограничений</t>
        </is>
      </c>
      <c r="N11" s="2" t="inlineStr">
        <is>
          <t>Гипотеза (для проверки): подписка для продуктовых команд: доход от платных мест редакторов</t>
        </is>
      </c>
      <c r="O11" s="6">
        <f>IF($A11="","",COUNTA($C11:$N11)/12)</f>
        <v/>
      </c>
      <c r="P11" s="7">
        <f>IF($A11="","",IFERROR(AVERAGEIF('03_Факты_сайта'!$B\$4:$B\$503,$A11,'03_Факты_сайта'!$I\$4:$I\$503),0))</f>
        <v/>
      </c>
      <c r="Q11" s="5">
        <f>IF($A11="","",IF($O11&lt;0.5,"недостаточно данных",IF($P11&lt;3,"низкая доказательность",IF($O11&gt;=0.85,"готов к сравнению","требует дополнения"))))</f>
        <v/>
      </c>
    </row>
    <row r="12">
      <c r="A12" s="2" t="n"/>
      <c r="B12" s="5">
        <f>IF($A12="","",IFERROR(VLOOKUP($A12,'02_Конкуренты'!$A\$4:$B\$203,2,FALSE),"не найдено"))</f>
        <v/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6">
        <f>IF($A12="","",COUNTA($C12:$N12)/12)</f>
        <v/>
      </c>
      <c r="P12" s="7">
        <f>IF($A12="","",IFERROR(AVERAGEIF('03_Факты_сайта'!$B\$4:$B\$503,$A12,'03_Факты_сайта'!$I\$4:$I\$503),0))</f>
        <v/>
      </c>
      <c r="Q12" s="5">
        <f>IF($A12="","",IF($O12&lt;0.5,"недостаточно данных",IF($P12&lt;3,"низкая доказательность",IF($O12&gt;=0.85,"готов к сравнению","требует дополнения"))))</f>
        <v/>
      </c>
    </row>
    <row r="13">
      <c r="A13" s="2" t="n"/>
      <c r="B13" s="5">
        <f>IF($A13="","",IFERROR(VLOOKUP($A13,'02_Конкуренты'!$A\$4:$B\$203,2,FALSE),"не найдено"))</f>
        <v/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6">
        <f>IF($A13="","",COUNTA($C13:$N13)/12)</f>
        <v/>
      </c>
      <c r="P13" s="7">
        <f>IF($A13="","",IFERROR(AVERAGEIF('03_Факты_сайта'!$B\$4:$B\$503,$A13,'03_Факты_сайта'!$I\$4:$I\$503),0))</f>
        <v/>
      </c>
      <c r="Q13" s="5">
        <f>IF($A13="","",IF($O13&lt;0.5,"недостаточно данных",IF($P13&lt;3,"низкая доказательность",IF($O13&gt;=0.85,"готов к сравнению","требует дополнения"))))</f>
        <v/>
      </c>
    </row>
    <row r="14">
      <c r="A14" s="2" t="n"/>
      <c r="B14" s="5">
        <f>IF($A14="","",IFERROR(VLOOKUP($A14,'02_Конкуренты'!$A\$4:$B\$203,2,FALSE),"не найдено"))</f>
        <v/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6">
        <f>IF($A14="","",COUNTA($C14:$N14)/12)</f>
        <v/>
      </c>
      <c r="P14" s="7">
        <f>IF($A14="","",IFERROR(AVERAGEIF('03_Факты_сайта'!$B\$4:$B\$503,$A14,'03_Факты_сайта'!$I\$4:$I\$503),0))</f>
        <v/>
      </c>
      <c r="Q14" s="5">
        <f>IF($A14="","",IF($O14&lt;0.5,"недостаточно данных",IF($P14&lt;3,"низкая доказательность",IF($O14&gt;=0.85,"готов к сравнению","требует дополнения"))))</f>
        <v/>
      </c>
    </row>
    <row r="15">
      <c r="A15" s="2" t="n"/>
      <c r="B15" s="5">
        <f>IF($A15="","",IFERROR(VLOOKUP($A15,'02_Конкуренты'!$A\$4:$B\$203,2,FALSE),"не найдено"))</f>
        <v/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6">
        <f>IF($A15="","",COUNTA($C15:$N15)/12)</f>
        <v/>
      </c>
      <c r="P15" s="7">
        <f>IF($A15="","",IFERROR(AVERAGEIF('03_Факты_сайта'!$B\$4:$B\$503,$A15,'03_Факты_сайта'!$I\$4:$I\$503),0))</f>
        <v/>
      </c>
      <c r="Q15" s="5">
        <f>IF($A15="","",IF($O15&lt;0.5,"недостаточно данных",IF($P15&lt;3,"низкая доказательность",IF($O15&gt;=0.85,"готов к сравнению","требует дополнения"))))</f>
        <v/>
      </c>
    </row>
    <row r="16">
      <c r="A16" s="2" t="n"/>
      <c r="B16" s="5">
        <f>IF($A16="","",IFERROR(VLOOKUP($A16,'02_Конкуренты'!$A\$4:$B\$203,2,FALSE),"не найдено"))</f>
        <v/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6">
        <f>IF($A16="","",COUNTA($C16:$N16)/12)</f>
        <v/>
      </c>
      <c r="P16" s="7">
        <f>IF($A16="","",IFERROR(AVERAGEIF('03_Факты_сайта'!$B\$4:$B\$503,$A16,'03_Факты_сайта'!$I\$4:$I\$503),0))</f>
        <v/>
      </c>
      <c r="Q16" s="5">
        <f>IF($A16="","",IF($O16&lt;0.5,"недостаточно данных",IF($P16&lt;3,"низкая доказательность",IF($O16&gt;=0.85,"готов к сравнению","требует дополнения"))))</f>
        <v/>
      </c>
    </row>
    <row r="17">
      <c r="A17" s="2" t="n"/>
      <c r="B17" s="5">
        <f>IF($A17="","",IFERROR(VLOOKUP($A17,'02_Конкуренты'!$A\$4:$B\$203,2,FALSE),"не найдено"))</f>
        <v/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6">
        <f>IF($A17="","",COUNTA($C17:$N17)/12)</f>
        <v/>
      </c>
      <c r="P17" s="7">
        <f>IF($A17="","",IFERROR(AVERAGEIF('03_Факты_сайта'!$B\$4:$B\$503,$A17,'03_Факты_сайта'!$I\$4:$I\$503),0))</f>
        <v/>
      </c>
      <c r="Q17" s="5">
        <f>IF($A17="","",IF($O17&lt;0.5,"недостаточно данных",IF($P17&lt;3,"низкая доказательность",IF($O17&gt;=0.85,"готов к сравнению","требует дополнения"))))</f>
        <v/>
      </c>
    </row>
    <row r="18">
      <c r="A18" s="2" t="n"/>
      <c r="B18" s="5">
        <f>IF($A18="","",IFERROR(VLOOKUP($A18,'02_Конкуренты'!$A\$4:$B\$203,2,FALSE),"не найдено"))</f>
        <v/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6">
        <f>IF($A18="","",COUNTA($C18:$N18)/12)</f>
        <v/>
      </c>
      <c r="P18" s="7">
        <f>IF($A18="","",IFERROR(AVERAGEIF('03_Факты_сайта'!$B\$4:$B\$503,$A18,'03_Факты_сайта'!$I\$4:$I\$503),0))</f>
        <v/>
      </c>
      <c r="Q18" s="5">
        <f>IF($A18="","",IF($O18&lt;0.5,"недостаточно данных",IF($P18&lt;3,"низкая доказательность",IF($O18&gt;=0.85,"готов к сравнению","требует дополнения"))))</f>
        <v/>
      </c>
    </row>
    <row r="19">
      <c r="A19" s="2" t="n"/>
      <c r="B19" s="5">
        <f>IF($A19="","",IFERROR(VLOOKUP($A19,'02_Конкуренты'!$A\$4:$B\$203,2,FALSE),"не найдено"))</f>
        <v/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6">
        <f>IF($A19="","",COUNTA($C19:$N19)/12)</f>
        <v/>
      </c>
      <c r="P19" s="7">
        <f>IF($A19="","",IFERROR(AVERAGEIF('03_Факты_сайта'!$B\$4:$B\$503,$A19,'03_Факты_сайта'!$I\$4:$I\$503),0))</f>
        <v/>
      </c>
      <c r="Q19" s="5">
        <f>IF($A19="","",IF($O19&lt;0.5,"недостаточно данных",IF($P19&lt;3,"низкая доказательность",IF($O19&gt;=0.85,"готов к сравнению","требует дополнения"))))</f>
        <v/>
      </c>
    </row>
    <row r="20">
      <c r="A20" s="2" t="n"/>
      <c r="B20" s="5">
        <f>IF($A20="","",IFERROR(VLOOKUP($A20,'02_Конкуренты'!$A\$4:$B\$203,2,FALSE),"не найдено"))</f>
        <v/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6">
        <f>IF($A20="","",COUNTA($C20:$N20)/12)</f>
        <v/>
      </c>
      <c r="P20" s="7">
        <f>IF($A20="","",IFERROR(AVERAGEIF('03_Факты_сайта'!$B\$4:$B\$503,$A20,'03_Факты_сайта'!$I\$4:$I\$503),0))</f>
        <v/>
      </c>
      <c r="Q20" s="5">
        <f>IF($A20="","",IF($O20&lt;0.5,"недостаточно данных",IF($P20&lt;3,"низкая доказательность",IF($O20&gt;=0.85,"готов к сравнению","требует дополнения"))))</f>
        <v/>
      </c>
    </row>
    <row r="21">
      <c r="A21" s="2" t="n"/>
      <c r="B21" s="5">
        <f>IF($A21="","",IFERROR(VLOOKUP($A21,'02_Конкуренты'!$A\$4:$B\$203,2,FALSE),"не найдено"))</f>
        <v/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6">
        <f>IF($A21="","",COUNTA($C21:$N21)/12)</f>
        <v/>
      </c>
      <c r="P21" s="7">
        <f>IF($A21="","",IFERROR(AVERAGEIF('03_Факты_сайта'!$B\$4:$B\$503,$A21,'03_Факты_сайта'!$I\$4:$I\$503),0))</f>
        <v/>
      </c>
      <c r="Q21" s="5">
        <f>IF($A21="","",IF($O21&lt;0.5,"недостаточно данных",IF($P21&lt;3,"низкая доказательность",IF($O21&gt;=0.85,"готов к сравнению","требует дополнения"))))</f>
        <v/>
      </c>
    </row>
    <row r="22">
      <c r="A22" s="2" t="n"/>
      <c r="B22" s="5">
        <f>IF($A22="","",IFERROR(VLOOKUP($A22,'02_Конкуренты'!$A\$4:$B\$203,2,FALSE),"не найдено"))</f>
        <v/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6">
        <f>IF($A22="","",COUNTA($C22:$N22)/12)</f>
        <v/>
      </c>
      <c r="P22" s="7">
        <f>IF($A22="","",IFERROR(AVERAGEIF('03_Факты_сайта'!$B\$4:$B\$503,$A22,'03_Факты_сайта'!$I\$4:$I\$503),0))</f>
        <v/>
      </c>
      <c r="Q22" s="5">
        <f>IF($A22="","",IF($O22&lt;0.5,"недостаточно данных",IF($P22&lt;3,"низкая доказательность",IF($O22&gt;=0.85,"готов к сравнению","требует дополнения"))))</f>
        <v/>
      </c>
    </row>
    <row r="23">
      <c r="A23" s="2" t="n"/>
      <c r="B23" s="5">
        <f>IF($A23="","",IFERROR(VLOOKUP($A23,'02_Конкуренты'!$A\$4:$B\$203,2,FALSE),"не найдено"))</f>
        <v/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6">
        <f>IF($A23="","",COUNTA($C23:$N23)/12)</f>
        <v/>
      </c>
      <c r="P23" s="7">
        <f>IF($A23="","",IFERROR(AVERAGEIF('03_Факты_сайта'!$B\$4:$B\$503,$A23,'03_Факты_сайта'!$I\$4:$I\$503),0))</f>
        <v/>
      </c>
      <c r="Q23" s="5">
        <f>IF($A23="","",IF($O23&lt;0.5,"недостаточно данных",IF($P23&lt;3,"низкая доказательность",IF($O23&gt;=0.85,"готов к сравнению","требует дополнения"))))</f>
        <v/>
      </c>
    </row>
    <row r="24">
      <c r="A24" s="2" t="n"/>
      <c r="B24" s="5">
        <f>IF($A24="","",IFERROR(VLOOKUP($A24,'02_Конкуренты'!$A\$4:$B\$203,2,FALSE),"не найдено"))</f>
        <v/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6">
        <f>IF($A24="","",COUNTA($C24:$N24)/12)</f>
        <v/>
      </c>
      <c r="P24" s="7">
        <f>IF($A24="","",IFERROR(AVERAGEIF('03_Факты_сайта'!$B\$4:$B\$503,$A24,'03_Факты_сайта'!$I\$4:$I\$503),0))</f>
        <v/>
      </c>
      <c r="Q24" s="5">
        <f>IF($A24="","",IF($O24&lt;0.5,"недостаточно данных",IF($P24&lt;3,"низкая доказательность",IF($O24&gt;=0.85,"готов к сравнению","требует дополнения"))))</f>
        <v/>
      </c>
    </row>
    <row r="25">
      <c r="A25" s="2" t="n"/>
      <c r="B25" s="5">
        <f>IF($A25="","",IFERROR(VLOOKUP($A25,'02_Конкуренты'!$A\$4:$B\$203,2,FALSE),"не найдено"))</f>
        <v/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6">
        <f>IF($A25="","",COUNTA($C25:$N25)/12)</f>
        <v/>
      </c>
      <c r="P25" s="7">
        <f>IF($A25="","",IFERROR(AVERAGEIF('03_Факты_сайта'!$B\$4:$B\$503,$A25,'03_Факты_сайта'!$I\$4:$I\$503),0))</f>
        <v/>
      </c>
      <c r="Q25" s="5">
        <f>IF($A25="","",IF($O25&lt;0.5,"недостаточно данных",IF($P25&lt;3,"низкая доказательность",IF($O25&gt;=0.85,"готов к сравнению","требует дополнения"))))</f>
        <v/>
      </c>
    </row>
    <row r="26">
      <c r="A26" s="2" t="n"/>
      <c r="B26" s="5">
        <f>IF($A26="","",IFERROR(VLOOKUP($A26,'02_Конкуренты'!$A\$4:$B\$203,2,FALSE),"не найдено"))</f>
        <v/>
      </c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6">
        <f>IF($A26="","",COUNTA($C26:$N26)/12)</f>
        <v/>
      </c>
      <c r="P26" s="7">
        <f>IF($A26="","",IFERROR(AVERAGEIF('03_Факты_сайта'!$B\$4:$B\$503,$A26,'03_Факты_сайта'!$I\$4:$I\$503),0))</f>
        <v/>
      </c>
      <c r="Q26" s="5">
        <f>IF($A26="","",IF($O26&lt;0.5,"недостаточно данных",IF($P26&lt;3,"низкая доказательность",IF($O26&gt;=0.85,"готов к сравнению","требует дополнения"))))</f>
        <v/>
      </c>
    </row>
    <row r="27">
      <c r="A27" s="2" t="n"/>
      <c r="B27" s="5">
        <f>IF($A27="","",IFERROR(VLOOKUP($A27,'02_Конкуренты'!$A\$4:$B\$203,2,FALSE),"не найдено"))</f>
        <v/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6">
        <f>IF($A27="","",COUNTA($C27:$N27)/12)</f>
        <v/>
      </c>
      <c r="P27" s="7">
        <f>IF($A27="","",IFERROR(AVERAGEIF('03_Факты_сайта'!$B\$4:$B\$503,$A27,'03_Факты_сайта'!$I\$4:$I\$503),0))</f>
        <v/>
      </c>
      <c r="Q27" s="5">
        <f>IF($A27="","",IF($O27&lt;0.5,"недостаточно данных",IF($P27&lt;3,"низкая доказательность",IF($O27&gt;=0.85,"готов к сравнению","требует дополнения"))))</f>
        <v/>
      </c>
    </row>
    <row r="28">
      <c r="A28" s="2" t="n"/>
      <c r="B28" s="5">
        <f>IF($A28="","",IFERROR(VLOOKUP($A28,'02_Конкуренты'!$A\$4:$B\$203,2,FALSE),"не найдено"))</f>
        <v/>
      </c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6">
        <f>IF($A28="","",COUNTA($C28:$N28)/12)</f>
        <v/>
      </c>
      <c r="P28" s="7">
        <f>IF($A28="","",IFERROR(AVERAGEIF('03_Факты_сайта'!$B\$4:$B\$503,$A28,'03_Факты_сайта'!$I\$4:$I\$503),0))</f>
        <v/>
      </c>
      <c r="Q28" s="5">
        <f>IF($A28="","",IF($O28&lt;0.5,"недостаточно данных",IF($P28&lt;3,"низкая доказательность",IF($O28&gt;=0.85,"готов к сравнению","требует дополнения"))))</f>
        <v/>
      </c>
    </row>
    <row r="29">
      <c r="A29" s="2" t="n"/>
      <c r="B29" s="5">
        <f>IF($A29="","",IFERROR(VLOOKUP($A29,'02_Конкуренты'!$A\$4:$B\$203,2,FALSE),"не найдено"))</f>
        <v/>
      </c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6">
        <f>IF($A29="","",COUNTA($C29:$N29)/12)</f>
        <v/>
      </c>
      <c r="P29" s="7">
        <f>IF($A29="","",IFERROR(AVERAGEIF('03_Факты_сайта'!$B\$4:$B\$503,$A29,'03_Факты_сайта'!$I\$4:$I\$503),0))</f>
        <v/>
      </c>
      <c r="Q29" s="5">
        <f>IF($A29="","",IF($O29&lt;0.5,"недостаточно данных",IF($P29&lt;3,"низкая доказательность",IF($O29&gt;=0.85,"готов к сравнению","требует дополнения"))))</f>
        <v/>
      </c>
    </row>
    <row r="30">
      <c r="A30" s="2" t="n"/>
      <c r="B30" s="5">
        <f>IF($A30="","",IFERROR(VLOOKUP($A30,'02_Конкуренты'!$A\$4:$B\$203,2,FALSE),"не найдено"))</f>
        <v/>
      </c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6">
        <f>IF($A30="","",COUNTA($C30:$N30)/12)</f>
        <v/>
      </c>
      <c r="P30" s="7">
        <f>IF($A30="","",IFERROR(AVERAGEIF('03_Факты_сайта'!$B\$4:$B\$503,$A30,'03_Факты_сайта'!$I\$4:$I\$503),0))</f>
        <v/>
      </c>
      <c r="Q30" s="5">
        <f>IF($A30="","",IF($O30&lt;0.5,"недостаточно данных",IF($P30&lt;3,"низкая доказательность",IF($O30&gt;=0.85,"готов к сравнению","требует дополнения"))))</f>
        <v/>
      </c>
    </row>
    <row r="31">
      <c r="A31" s="2" t="n"/>
      <c r="B31" s="5">
        <f>IF($A31="","",IFERROR(VLOOKUP($A31,'02_Конкуренты'!$A\$4:$B\$203,2,FALSE),"не найдено"))</f>
        <v/>
      </c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6">
        <f>IF($A31="","",COUNTA($C31:$N31)/12)</f>
        <v/>
      </c>
      <c r="P31" s="7">
        <f>IF($A31="","",IFERROR(AVERAGEIF('03_Факты_сайта'!$B\$4:$B\$503,$A31,'03_Факты_сайта'!$I\$4:$I\$503),0))</f>
        <v/>
      </c>
      <c r="Q31" s="5">
        <f>IF($A31="","",IF($O31&lt;0.5,"недостаточно данных",IF($P31&lt;3,"низкая доказательность",IF($O31&gt;=0.85,"готов к сравнению","требует дополнения"))))</f>
        <v/>
      </c>
    </row>
    <row r="32">
      <c r="A32" s="2" t="n"/>
      <c r="B32" s="5">
        <f>IF($A32="","",IFERROR(VLOOKUP($A32,'02_Конкуренты'!$A\$4:$B\$203,2,FALSE),"не найдено"))</f>
        <v/>
      </c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6">
        <f>IF($A32="","",COUNTA($C32:$N32)/12)</f>
        <v/>
      </c>
      <c r="P32" s="7">
        <f>IF($A32="","",IFERROR(AVERAGEIF('03_Факты_сайта'!$B\$4:$B\$503,$A32,'03_Факты_сайта'!$I\$4:$I\$503),0))</f>
        <v/>
      </c>
      <c r="Q32" s="5">
        <f>IF($A32="","",IF($O32&lt;0.5,"недостаточно данных",IF($P32&lt;3,"низкая доказательность",IF($O32&gt;=0.85,"готов к сравнению","требует дополнения"))))</f>
        <v/>
      </c>
    </row>
    <row r="33">
      <c r="A33" s="2" t="n"/>
      <c r="B33" s="5">
        <f>IF($A33="","",IFERROR(VLOOKUP($A33,'02_Конкуренты'!$A\$4:$B\$203,2,FALSE),"не найдено"))</f>
        <v/>
      </c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6">
        <f>IF($A33="","",COUNTA($C33:$N33)/12)</f>
        <v/>
      </c>
      <c r="P33" s="7">
        <f>IF($A33="","",IFERROR(AVERAGEIF('03_Факты_сайта'!$B\$4:$B\$503,$A33,'03_Факты_сайта'!$I\$4:$I\$503),0))</f>
        <v/>
      </c>
      <c r="Q33" s="5">
        <f>IF($A33="","",IF($O33&lt;0.5,"недостаточно данных",IF($P33&lt;3,"низкая доказательность",IF($O33&gt;=0.85,"готов к сравнению","требует дополнения"))))</f>
        <v/>
      </c>
    </row>
    <row r="34">
      <c r="A34" s="2" t="n"/>
      <c r="B34" s="5">
        <f>IF($A34="","",IFERROR(VLOOKUP($A34,'02_Конкуренты'!$A\$4:$B\$203,2,FALSE),"не найдено"))</f>
        <v/>
      </c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6">
        <f>IF($A34="","",COUNTA($C34:$N34)/12)</f>
        <v/>
      </c>
      <c r="P34" s="7">
        <f>IF($A34="","",IFERROR(AVERAGEIF('03_Факты_сайта'!$B\$4:$B\$503,$A34,'03_Факты_сайта'!$I\$4:$I\$503),0))</f>
        <v/>
      </c>
      <c r="Q34" s="5">
        <f>IF($A34="","",IF($O34&lt;0.5,"недостаточно данных",IF($P34&lt;3,"низкая доказательность",IF($O34&gt;=0.85,"готов к сравнению","требует дополнения"))))</f>
        <v/>
      </c>
    </row>
    <row r="35">
      <c r="A35" s="2" t="n"/>
      <c r="B35" s="5">
        <f>IF($A35="","",IFERROR(VLOOKUP($A35,'02_Конкуренты'!$A\$4:$B\$203,2,FALSE),"не найдено"))</f>
        <v/>
      </c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6">
        <f>IF($A35="","",COUNTA($C35:$N35)/12)</f>
        <v/>
      </c>
      <c r="P35" s="7">
        <f>IF($A35="","",IFERROR(AVERAGEIF('03_Факты_сайта'!$B\$4:$B\$503,$A35,'03_Факты_сайта'!$I\$4:$I\$503),0))</f>
        <v/>
      </c>
      <c r="Q35" s="5">
        <f>IF($A35="","",IF($O35&lt;0.5,"недостаточно данных",IF($P35&lt;3,"низкая доказательность",IF($O35&gt;=0.85,"готов к сравнению","требует дополнения"))))</f>
        <v/>
      </c>
    </row>
    <row r="36">
      <c r="A36" s="2" t="n"/>
      <c r="B36" s="5">
        <f>IF($A36="","",IFERROR(VLOOKUP($A36,'02_Конкуренты'!$A\$4:$B\$203,2,FALSE),"не найдено"))</f>
        <v/>
      </c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6">
        <f>IF($A36="","",COUNTA($C36:$N36)/12)</f>
        <v/>
      </c>
      <c r="P36" s="7">
        <f>IF($A36="","",IFERROR(AVERAGEIF('03_Факты_сайта'!$B\$4:$B\$503,$A36,'03_Факты_сайта'!$I\$4:$I\$503),0))</f>
        <v/>
      </c>
      <c r="Q36" s="5">
        <f>IF($A36="","",IF($O36&lt;0.5,"недостаточно данных",IF($P36&lt;3,"низкая доказательность",IF($O36&gt;=0.85,"готов к сравнению","требует дополнения"))))</f>
        <v/>
      </c>
    </row>
    <row r="37">
      <c r="A37" s="2" t="n"/>
      <c r="B37" s="5">
        <f>IF($A37="","",IFERROR(VLOOKUP($A37,'02_Конкуренты'!$A\$4:$B\$203,2,FALSE),"не найдено"))</f>
        <v/>
      </c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6">
        <f>IF($A37="","",COUNTA($C37:$N37)/12)</f>
        <v/>
      </c>
      <c r="P37" s="7">
        <f>IF($A37="","",IFERROR(AVERAGEIF('03_Факты_сайта'!$B\$4:$B\$503,$A37,'03_Факты_сайта'!$I\$4:$I\$503),0))</f>
        <v/>
      </c>
      <c r="Q37" s="5">
        <f>IF($A37="","",IF($O37&lt;0.5,"недостаточно данных",IF($P37&lt;3,"низкая доказательность",IF($O37&gt;=0.85,"готов к сравнению","требует дополнения"))))</f>
        <v/>
      </c>
    </row>
    <row r="38">
      <c r="A38" s="2" t="n"/>
      <c r="B38" s="5">
        <f>IF($A38="","",IFERROR(VLOOKUP($A38,'02_Конкуренты'!$A\$4:$B\$203,2,FALSE),"не найдено"))</f>
        <v/>
      </c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6">
        <f>IF($A38="","",COUNTA($C38:$N38)/12)</f>
        <v/>
      </c>
      <c r="P38" s="7">
        <f>IF($A38="","",IFERROR(AVERAGEIF('03_Факты_сайта'!$B\$4:$B\$503,$A38,'03_Факты_сайта'!$I\$4:$I\$503),0))</f>
        <v/>
      </c>
      <c r="Q38" s="5">
        <f>IF($A38="","",IF($O38&lt;0.5,"недостаточно данных",IF($P38&lt;3,"низкая доказательность",IF($O38&gt;=0.85,"готов к сравнению","требует дополнения"))))</f>
        <v/>
      </c>
    </row>
    <row r="39">
      <c r="A39" s="2" t="n"/>
      <c r="B39" s="5">
        <f>IF($A39="","",IFERROR(VLOOKUP($A39,'02_Конкуренты'!$A\$4:$B\$203,2,FALSE),"не найдено"))</f>
        <v/>
      </c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6">
        <f>IF($A39="","",COUNTA($C39:$N39)/12)</f>
        <v/>
      </c>
      <c r="P39" s="7">
        <f>IF($A39="","",IFERROR(AVERAGEIF('03_Факты_сайта'!$B\$4:$B\$503,$A39,'03_Факты_сайта'!$I\$4:$I\$503),0))</f>
        <v/>
      </c>
      <c r="Q39" s="5">
        <f>IF($A39="","",IF($O39&lt;0.5,"недостаточно данных",IF($P39&lt;3,"низкая доказательность",IF($O39&gt;=0.85,"готов к сравнению","требует дополнения"))))</f>
        <v/>
      </c>
    </row>
    <row r="40">
      <c r="A40" s="2" t="n"/>
      <c r="B40" s="5">
        <f>IF($A40="","",IFERROR(VLOOKUP($A40,'02_Конкуренты'!$A\$4:$B\$203,2,FALSE),"не найдено"))</f>
        <v/>
      </c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6">
        <f>IF($A40="","",COUNTA($C40:$N40)/12)</f>
        <v/>
      </c>
      <c r="P40" s="7">
        <f>IF($A40="","",IFERROR(AVERAGEIF('03_Факты_сайта'!$B\$4:$B\$503,$A40,'03_Факты_сайта'!$I\$4:$I\$503),0))</f>
        <v/>
      </c>
      <c r="Q40" s="5">
        <f>IF($A40="","",IF($O40&lt;0.5,"недостаточно данных",IF($P40&lt;3,"низкая доказательность",IF($O40&gt;=0.85,"готов к сравнению","требует дополнения"))))</f>
        <v/>
      </c>
    </row>
    <row r="41">
      <c r="A41" s="2" t="n"/>
      <c r="B41" s="5">
        <f>IF($A41="","",IFERROR(VLOOKUP($A41,'02_Конкуренты'!$A\$4:$B\$203,2,FALSE),"не найдено"))</f>
        <v/>
      </c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6">
        <f>IF($A41="","",COUNTA($C41:$N41)/12)</f>
        <v/>
      </c>
      <c r="P41" s="7">
        <f>IF($A41="","",IFERROR(AVERAGEIF('03_Факты_сайта'!$B\$4:$B\$503,$A41,'03_Факты_сайта'!$I\$4:$I\$503),0))</f>
        <v/>
      </c>
      <c r="Q41" s="5">
        <f>IF($A41="","",IF($O41&lt;0.5,"недостаточно данных",IF($P41&lt;3,"низкая доказательность",IF($O41&gt;=0.85,"готов к сравнению","требует дополнения"))))</f>
        <v/>
      </c>
    </row>
    <row r="42">
      <c r="A42" s="2" t="n"/>
      <c r="B42" s="5">
        <f>IF($A42="","",IFERROR(VLOOKUP($A42,'02_Конкуренты'!$A\$4:$B\$203,2,FALSE),"не найдено"))</f>
        <v/>
      </c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6">
        <f>IF($A42="","",COUNTA($C42:$N42)/12)</f>
        <v/>
      </c>
      <c r="P42" s="7">
        <f>IF($A42="","",IFERROR(AVERAGEIF('03_Факты_сайта'!$B\$4:$B\$503,$A42,'03_Факты_сайта'!$I\$4:$I\$503),0))</f>
        <v/>
      </c>
      <c r="Q42" s="5">
        <f>IF($A42="","",IF($O42&lt;0.5,"недостаточно данных",IF($P42&lt;3,"низкая доказательность",IF($O42&gt;=0.85,"готов к сравнению","требует дополнения"))))</f>
        <v/>
      </c>
    </row>
    <row r="43">
      <c r="A43" s="2" t="n"/>
      <c r="B43" s="5">
        <f>IF($A43="","",IFERROR(VLOOKUP($A43,'02_Конкуренты'!$A\$4:$B\$203,2,FALSE),"не найдено"))</f>
        <v/>
      </c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6">
        <f>IF($A43="","",COUNTA($C43:$N43)/12)</f>
        <v/>
      </c>
      <c r="P43" s="7">
        <f>IF($A43="","",IFERROR(AVERAGEIF('03_Факты_сайта'!$B\$4:$B\$503,$A43,'03_Факты_сайта'!$I\$4:$I\$503),0))</f>
        <v/>
      </c>
      <c r="Q43" s="5">
        <f>IF($A43="","",IF($O43&lt;0.5,"недостаточно данных",IF($P43&lt;3,"низкая доказательность",IF($O43&gt;=0.85,"готов к сравнению","требует дополнения"))))</f>
        <v/>
      </c>
    </row>
    <row r="44">
      <c r="A44" s="2" t="n"/>
      <c r="B44" s="5">
        <f>IF($A44="","",IFERROR(VLOOKUP($A44,'02_Конкуренты'!$A\$4:$B\$203,2,FALSE),"не найдено"))</f>
        <v/>
      </c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6">
        <f>IF($A44="","",COUNTA($C44:$N44)/12)</f>
        <v/>
      </c>
      <c r="P44" s="7">
        <f>IF($A44="","",IFERROR(AVERAGEIF('03_Факты_сайта'!$B\$4:$B\$503,$A44,'03_Факты_сайта'!$I\$4:$I\$503),0))</f>
        <v/>
      </c>
      <c r="Q44" s="5">
        <f>IF($A44="","",IF($O44&lt;0.5,"недостаточно данных",IF($P44&lt;3,"низкая доказательность",IF($O44&gt;=0.85,"готов к сравнению","требует дополнения"))))</f>
        <v/>
      </c>
    </row>
    <row r="45">
      <c r="A45" s="2" t="n"/>
      <c r="B45" s="5">
        <f>IF($A45="","",IFERROR(VLOOKUP($A45,'02_Конкуренты'!$A\$4:$B\$203,2,FALSE),"не найдено"))</f>
        <v/>
      </c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6">
        <f>IF($A45="","",COUNTA($C45:$N45)/12)</f>
        <v/>
      </c>
      <c r="P45" s="7">
        <f>IF($A45="","",IFERROR(AVERAGEIF('03_Факты_сайта'!$B\$4:$B\$503,$A45,'03_Факты_сайта'!$I\$4:$I\$503),0))</f>
        <v/>
      </c>
      <c r="Q45" s="5">
        <f>IF($A45="","",IF($O45&lt;0.5,"недостаточно данных",IF($P45&lt;3,"низкая доказательность",IF($O45&gt;=0.85,"готов к сравнению","требует дополнения"))))</f>
        <v/>
      </c>
    </row>
    <row r="46">
      <c r="A46" s="2" t="n"/>
      <c r="B46" s="5">
        <f>IF($A46="","",IFERROR(VLOOKUP($A46,'02_Конкуренты'!$A\$4:$B\$203,2,FALSE),"не найдено"))</f>
        <v/>
      </c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6">
        <f>IF($A46="","",COUNTA($C46:$N46)/12)</f>
        <v/>
      </c>
      <c r="P46" s="7">
        <f>IF($A46="","",IFERROR(AVERAGEIF('03_Факты_сайта'!$B\$4:$B\$503,$A46,'03_Факты_сайта'!$I\$4:$I\$503),0))</f>
        <v/>
      </c>
      <c r="Q46" s="5">
        <f>IF($A46="","",IF($O46&lt;0.5,"недостаточно данных",IF($P46&lt;3,"низкая доказательность",IF($O46&gt;=0.85,"готов к сравнению","требует дополнения"))))</f>
        <v/>
      </c>
    </row>
    <row r="47">
      <c r="A47" s="2" t="n"/>
      <c r="B47" s="5">
        <f>IF($A47="","",IFERROR(VLOOKUP($A47,'02_Конкуренты'!$A\$4:$B\$203,2,FALSE),"не найдено"))</f>
        <v/>
      </c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6">
        <f>IF($A47="","",COUNTA($C47:$N47)/12)</f>
        <v/>
      </c>
      <c r="P47" s="7">
        <f>IF($A47="","",IFERROR(AVERAGEIF('03_Факты_сайта'!$B\$4:$B\$503,$A47,'03_Факты_сайта'!$I\$4:$I\$503),0))</f>
        <v/>
      </c>
      <c r="Q47" s="5">
        <f>IF($A47="","",IF($O47&lt;0.5,"недостаточно данных",IF($P47&lt;3,"низкая доказательность",IF($O47&gt;=0.85,"готов к сравнению","требует дополнения"))))</f>
        <v/>
      </c>
    </row>
    <row r="48">
      <c r="A48" s="2" t="n"/>
      <c r="B48" s="5">
        <f>IF($A48="","",IFERROR(VLOOKUP($A48,'02_Конкуренты'!$A\$4:$B\$203,2,FALSE),"не найдено"))</f>
        <v/>
      </c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6">
        <f>IF($A48="","",COUNTA($C48:$N48)/12)</f>
        <v/>
      </c>
      <c r="P48" s="7">
        <f>IF($A48="","",IFERROR(AVERAGEIF('03_Факты_сайта'!$B\$4:$B\$503,$A48,'03_Факты_сайта'!$I\$4:$I\$503),0))</f>
        <v/>
      </c>
      <c r="Q48" s="5">
        <f>IF($A48="","",IF($O48&lt;0.5,"недостаточно данных",IF($P48&lt;3,"низкая доказательность",IF($O48&gt;=0.85,"готов к сравнению","требует дополнения"))))</f>
        <v/>
      </c>
    </row>
    <row r="49">
      <c r="A49" s="2" t="n"/>
      <c r="B49" s="5">
        <f>IF($A49="","",IFERROR(VLOOKUP($A49,'02_Конкуренты'!$A\$4:$B\$203,2,FALSE),"не найдено"))</f>
        <v/>
      </c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6">
        <f>IF($A49="","",COUNTA($C49:$N49)/12)</f>
        <v/>
      </c>
      <c r="P49" s="7">
        <f>IF($A49="","",IFERROR(AVERAGEIF('03_Факты_сайта'!$B\$4:$B\$503,$A49,'03_Факты_сайта'!$I\$4:$I\$503),0))</f>
        <v/>
      </c>
      <c r="Q49" s="5">
        <f>IF($A49="","",IF($O49&lt;0.5,"недостаточно данных",IF($P49&lt;3,"низкая доказательность",IF($O49&gt;=0.85,"готов к сравнению","требует дополнения"))))</f>
        <v/>
      </c>
    </row>
    <row r="50">
      <c r="A50" s="2" t="n"/>
      <c r="B50" s="5">
        <f>IF($A50="","",IFERROR(VLOOKUP($A50,'02_Конкуренты'!$A\$4:$B\$203,2,FALSE),"не найдено"))</f>
        <v/>
      </c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6">
        <f>IF($A50="","",COUNTA($C50:$N50)/12)</f>
        <v/>
      </c>
      <c r="P50" s="7">
        <f>IF($A50="","",IFERROR(AVERAGEIF('03_Факты_сайта'!$B\$4:$B\$503,$A50,'03_Факты_сайта'!$I\$4:$I\$503),0))</f>
        <v/>
      </c>
      <c r="Q50" s="5">
        <f>IF($A50="","",IF($O50&lt;0.5,"недостаточно данных",IF($P50&lt;3,"низкая доказательность",IF($O50&gt;=0.85,"готов к сравнению","требует дополнения"))))</f>
        <v/>
      </c>
    </row>
    <row r="51">
      <c r="A51" s="2" t="n"/>
      <c r="B51" s="5">
        <f>IF($A51="","",IFERROR(VLOOKUP($A51,'02_Конкуренты'!$A\$4:$B\$203,2,FALSE),"не найдено"))</f>
        <v/>
      </c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6">
        <f>IF($A51="","",COUNTA($C51:$N51)/12)</f>
        <v/>
      </c>
      <c r="P51" s="7">
        <f>IF($A51="","",IFERROR(AVERAGEIF('03_Факты_сайта'!$B\$4:$B\$503,$A51,'03_Факты_сайта'!$I\$4:$I\$503),0))</f>
        <v/>
      </c>
      <c r="Q51" s="5">
        <f>IF($A51="","",IF($O51&lt;0.5,"недостаточно данных",IF($P51&lt;3,"низкая доказательность",IF($O51&gt;=0.85,"готов к сравнению","требует дополнения"))))</f>
        <v/>
      </c>
    </row>
    <row r="52">
      <c r="A52" s="2" t="n"/>
      <c r="B52" s="5">
        <f>IF($A52="","",IFERROR(VLOOKUP($A52,'02_Конкуренты'!$A\$4:$B\$203,2,FALSE),"не найдено"))</f>
        <v/>
      </c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6">
        <f>IF($A52="","",COUNTA($C52:$N52)/12)</f>
        <v/>
      </c>
      <c r="P52" s="7">
        <f>IF($A52="","",IFERROR(AVERAGEIF('03_Факты_сайта'!$B\$4:$B\$503,$A52,'03_Факты_сайта'!$I\$4:$I\$503),0))</f>
        <v/>
      </c>
      <c r="Q52" s="5">
        <f>IF($A52="","",IF($O52&lt;0.5,"недостаточно данных",IF($P52&lt;3,"низкая доказательность",IF($O52&gt;=0.85,"готов к сравнению","требует дополнения"))))</f>
        <v/>
      </c>
    </row>
    <row r="53">
      <c r="A53" s="2" t="n"/>
      <c r="B53" s="5">
        <f>IF($A53="","",IFERROR(VLOOKUP($A53,'02_Конкуренты'!$A\$4:$B\$203,2,FALSE),"не найдено"))</f>
        <v/>
      </c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6">
        <f>IF($A53="","",COUNTA($C53:$N53)/12)</f>
        <v/>
      </c>
      <c r="P53" s="7">
        <f>IF($A53="","",IFERROR(AVERAGEIF('03_Факты_сайта'!$B\$4:$B\$503,$A53,'03_Факты_сайта'!$I\$4:$I\$503),0))</f>
        <v/>
      </c>
      <c r="Q53" s="5">
        <f>IF($A53="","",IF($O53&lt;0.5,"недостаточно данных",IF($P53&lt;3,"низкая доказательность",IF($O53&gt;=0.85,"готов к сравнению","требует дополнения"))))</f>
        <v/>
      </c>
    </row>
    <row r="54">
      <c r="A54" s="2" t="n"/>
      <c r="B54" s="5">
        <f>IF($A54="","",IFERROR(VLOOKUP($A54,'02_Конкуренты'!$A\$4:$B\$203,2,FALSE),"не найдено"))</f>
        <v/>
      </c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6">
        <f>IF($A54="","",COUNTA($C54:$N54)/12)</f>
        <v/>
      </c>
      <c r="P54" s="7">
        <f>IF($A54="","",IFERROR(AVERAGEIF('03_Факты_сайта'!$B\$4:$B\$503,$A54,'03_Факты_сайта'!$I\$4:$I\$503),0))</f>
        <v/>
      </c>
      <c r="Q54" s="5">
        <f>IF($A54="","",IF($O54&lt;0.5,"недостаточно данных",IF($P54&lt;3,"низкая доказательность",IF($O54&gt;=0.85,"готов к сравнению","требует дополнения"))))</f>
        <v/>
      </c>
    </row>
    <row r="55">
      <c r="A55" s="2" t="n"/>
      <c r="B55" s="5">
        <f>IF($A55="","",IFERROR(VLOOKUP($A55,'02_Конкуренты'!$A\$4:$B\$203,2,FALSE),"не найдено"))</f>
        <v/>
      </c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6">
        <f>IF($A55="","",COUNTA($C55:$N55)/12)</f>
        <v/>
      </c>
      <c r="P55" s="7">
        <f>IF($A55="","",IFERROR(AVERAGEIF('03_Факты_сайта'!$B\$4:$B\$503,$A55,'03_Факты_сайта'!$I\$4:$I\$503),0))</f>
        <v/>
      </c>
      <c r="Q55" s="5">
        <f>IF($A55="","",IF($O55&lt;0.5,"недостаточно данных",IF($P55&lt;3,"низкая доказательность",IF($O55&gt;=0.85,"готов к сравнению","требует дополнения"))))</f>
        <v/>
      </c>
    </row>
    <row r="56">
      <c r="A56" s="2" t="n"/>
      <c r="B56" s="5">
        <f>IF($A56="","",IFERROR(VLOOKUP($A56,'02_Конкуренты'!$A\$4:$B\$203,2,FALSE),"не найдено"))</f>
        <v/>
      </c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6">
        <f>IF($A56="","",COUNTA($C56:$N56)/12)</f>
        <v/>
      </c>
      <c r="P56" s="7">
        <f>IF($A56="","",IFERROR(AVERAGEIF('03_Факты_сайта'!$B\$4:$B\$503,$A56,'03_Факты_сайта'!$I\$4:$I\$503),0))</f>
        <v/>
      </c>
      <c r="Q56" s="5">
        <f>IF($A56="","",IF($O56&lt;0.5,"недостаточно данных",IF($P56&lt;3,"низкая доказательность",IF($O56&gt;=0.85,"готов к сравнению","требует дополнения"))))</f>
        <v/>
      </c>
    </row>
    <row r="57">
      <c r="A57" s="2" t="n"/>
      <c r="B57" s="5">
        <f>IF($A57="","",IFERROR(VLOOKUP($A57,'02_Конкуренты'!$A\$4:$B\$203,2,FALSE),"не найдено"))</f>
        <v/>
      </c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6">
        <f>IF($A57="","",COUNTA($C57:$N57)/12)</f>
        <v/>
      </c>
      <c r="P57" s="7">
        <f>IF($A57="","",IFERROR(AVERAGEIF('03_Факты_сайта'!$B\$4:$B\$503,$A57,'03_Факты_сайта'!$I\$4:$I\$503),0))</f>
        <v/>
      </c>
      <c r="Q57" s="5">
        <f>IF($A57="","",IF($O57&lt;0.5,"недостаточно данных",IF($P57&lt;3,"низкая доказательность",IF($O57&gt;=0.85,"готов к сравнению","требует дополнения"))))</f>
        <v/>
      </c>
    </row>
    <row r="58">
      <c r="A58" s="2" t="n"/>
      <c r="B58" s="5">
        <f>IF($A58="","",IFERROR(VLOOKUP($A58,'02_Конкуренты'!$A\$4:$B\$203,2,FALSE),"не найдено"))</f>
        <v/>
      </c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6">
        <f>IF($A58="","",COUNTA($C58:$N58)/12)</f>
        <v/>
      </c>
      <c r="P58" s="7">
        <f>IF($A58="","",IFERROR(AVERAGEIF('03_Факты_сайта'!$B\$4:$B\$503,$A58,'03_Факты_сайта'!$I\$4:$I\$503),0))</f>
        <v/>
      </c>
      <c r="Q58" s="5">
        <f>IF($A58="","",IF($O58&lt;0.5,"недостаточно данных",IF($P58&lt;3,"низкая доказательность",IF($O58&gt;=0.85,"готов к сравнению","требует дополнения"))))</f>
        <v/>
      </c>
    </row>
    <row r="59">
      <c r="A59" s="2" t="n"/>
      <c r="B59" s="5">
        <f>IF($A59="","",IFERROR(VLOOKUP($A59,'02_Конкуренты'!$A\$4:$B\$203,2,FALSE),"не найдено"))</f>
        <v/>
      </c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6">
        <f>IF($A59="","",COUNTA($C59:$N59)/12)</f>
        <v/>
      </c>
      <c r="P59" s="7">
        <f>IF($A59="","",IFERROR(AVERAGEIF('03_Факты_сайта'!$B\$4:$B\$503,$A59,'03_Факты_сайта'!$I\$4:$I\$503),0))</f>
        <v/>
      </c>
      <c r="Q59" s="5">
        <f>IF($A59="","",IF($O59&lt;0.5,"недостаточно данных",IF($P59&lt;3,"низкая доказательность",IF($O59&gt;=0.85,"готов к сравнению","требует дополнения"))))</f>
        <v/>
      </c>
    </row>
    <row r="60">
      <c r="A60" s="2" t="n"/>
      <c r="B60" s="5">
        <f>IF($A60="","",IFERROR(VLOOKUP($A60,'02_Конкуренты'!$A\$4:$B\$203,2,FALSE),"не найдено"))</f>
        <v/>
      </c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6">
        <f>IF($A60="","",COUNTA($C60:$N60)/12)</f>
        <v/>
      </c>
      <c r="P60" s="7">
        <f>IF($A60="","",IFERROR(AVERAGEIF('03_Факты_сайта'!$B\$4:$B\$503,$A60,'03_Факты_сайта'!$I\$4:$I\$503),0))</f>
        <v/>
      </c>
      <c r="Q60" s="5">
        <f>IF($A60="","",IF($O60&lt;0.5,"недостаточно данных",IF($P60&lt;3,"низкая доказательность",IF($O60&gt;=0.85,"готов к сравнению","требует дополнения"))))</f>
        <v/>
      </c>
    </row>
    <row r="61">
      <c r="A61" s="2" t="n"/>
      <c r="B61" s="5">
        <f>IF($A61="","",IFERROR(VLOOKUP($A61,'02_Конкуренты'!$A\$4:$B\$203,2,FALSE),"не найдено"))</f>
        <v/>
      </c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6">
        <f>IF($A61="","",COUNTA($C61:$N61)/12)</f>
        <v/>
      </c>
      <c r="P61" s="7">
        <f>IF($A61="","",IFERROR(AVERAGEIF('03_Факты_сайта'!$B\$4:$B\$503,$A61,'03_Факты_сайта'!$I\$4:$I\$503),0))</f>
        <v/>
      </c>
      <c r="Q61" s="5">
        <f>IF($A61="","",IF($O61&lt;0.5,"недостаточно данных",IF($P61&lt;3,"низкая доказательность",IF($O61&gt;=0.85,"готов к сравнению","требует дополнения"))))</f>
        <v/>
      </c>
    </row>
    <row r="62">
      <c r="A62" s="2" t="n"/>
      <c r="B62" s="5">
        <f>IF($A62="","",IFERROR(VLOOKUP($A62,'02_Конкуренты'!$A\$4:$B\$203,2,FALSE),"не найдено"))</f>
        <v/>
      </c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6">
        <f>IF($A62="","",COUNTA($C62:$N62)/12)</f>
        <v/>
      </c>
      <c r="P62" s="7">
        <f>IF($A62="","",IFERROR(AVERAGEIF('03_Факты_сайта'!$B\$4:$B\$503,$A62,'03_Факты_сайта'!$I\$4:$I\$503),0))</f>
        <v/>
      </c>
      <c r="Q62" s="5">
        <f>IF($A62="","",IF($O62&lt;0.5,"недостаточно данных",IF($P62&lt;3,"низкая доказательность",IF($O62&gt;=0.85,"готов к сравнению","требует дополнения"))))</f>
        <v/>
      </c>
    </row>
    <row r="63">
      <c r="A63" s="2" t="n"/>
      <c r="B63" s="5">
        <f>IF($A63="","",IFERROR(VLOOKUP($A63,'02_Конкуренты'!$A\$4:$B\$203,2,FALSE),"не найдено"))</f>
        <v/>
      </c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6">
        <f>IF($A63="","",COUNTA($C63:$N63)/12)</f>
        <v/>
      </c>
      <c r="P63" s="7">
        <f>IF($A63="","",IFERROR(AVERAGEIF('03_Факты_сайта'!$B\$4:$B\$503,$A63,'03_Факты_сайта'!$I\$4:$I\$503),0))</f>
        <v/>
      </c>
      <c r="Q63" s="5">
        <f>IF($A63="","",IF($O63&lt;0.5,"недостаточно данных",IF($P63&lt;3,"низкая доказательность",IF($O63&gt;=0.85,"готов к сравнению","требует дополнения"))))</f>
        <v/>
      </c>
    </row>
    <row r="64">
      <c r="A64" s="2" t="n"/>
      <c r="B64" s="5">
        <f>IF($A64="","",IFERROR(VLOOKUP($A64,'02_Конкуренты'!$A\$4:$B\$203,2,FALSE),"не найдено"))</f>
        <v/>
      </c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6">
        <f>IF($A64="","",COUNTA($C64:$N64)/12)</f>
        <v/>
      </c>
      <c r="P64" s="7">
        <f>IF($A64="","",IFERROR(AVERAGEIF('03_Факты_сайта'!$B\$4:$B\$503,$A64,'03_Факты_сайта'!$I\$4:$I\$503),0))</f>
        <v/>
      </c>
      <c r="Q64" s="5">
        <f>IF($A64="","",IF($O64&lt;0.5,"недостаточно данных",IF($P64&lt;3,"низкая доказательность",IF($O64&gt;=0.85,"готов к сравнению","требует дополнения"))))</f>
        <v/>
      </c>
    </row>
    <row r="65">
      <c r="A65" s="2" t="n"/>
      <c r="B65" s="5">
        <f>IF($A65="","",IFERROR(VLOOKUP($A65,'02_Конкуренты'!$A\$4:$B\$203,2,FALSE),"не найдено"))</f>
        <v/>
      </c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6">
        <f>IF($A65="","",COUNTA($C65:$N65)/12)</f>
        <v/>
      </c>
      <c r="P65" s="7">
        <f>IF($A65="","",IFERROR(AVERAGEIF('03_Факты_сайта'!$B\$4:$B\$503,$A65,'03_Факты_сайта'!$I\$4:$I\$503),0))</f>
        <v/>
      </c>
      <c r="Q65" s="5">
        <f>IF($A65="","",IF($O65&lt;0.5,"недостаточно данных",IF($P65&lt;3,"низкая доказательность",IF($O65&gt;=0.85,"готов к сравнению","требует дополнения"))))</f>
        <v/>
      </c>
    </row>
    <row r="66">
      <c r="A66" s="2" t="n"/>
      <c r="B66" s="5">
        <f>IF($A66="","",IFERROR(VLOOKUP($A66,'02_Конкуренты'!$A\$4:$B\$203,2,FALSE),"не найдено"))</f>
        <v/>
      </c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6">
        <f>IF($A66="","",COUNTA($C66:$N66)/12)</f>
        <v/>
      </c>
      <c r="P66" s="7">
        <f>IF($A66="","",IFERROR(AVERAGEIF('03_Факты_сайта'!$B\$4:$B\$503,$A66,'03_Факты_сайта'!$I\$4:$I\$503),0))</f>
        <v/>
      </c>
      <c r="Q66" s="5">
        <f>IF($A66="","",IF($O66&lt;0.5,"недостаточно данных",IF($P66&lt;3,"низкая доказательность",IF($O66&gt;=0.85,"готов к сравнению","требует дополнения"))))</f>
        <v/>
      </c>
    </row>
    <row r="67">
      <c r="A67" s="2" t="n"/>
      <c r="B67" s="5">
        <f>IF($A67="","",IFERROR(VLOOKUP($A67,'02_Конкуренты'!$A\$4:$B\$203,2,FALSE),"не найдено"))</f>
        <v/>
      </c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6">
        <f>IF($A67="","",COUNTA($C67:$N67)/12)</f>
        <v/>
      </c>
      <c r="P67" s="7">
        <f>IF($A67="","",IFERROR(AVERAGEIF('03_Факты_сайта'!$B\$4:$B\$503,$A67,'03_Факты_сайта'!$I\$4:$I\$503),0))</f>
        <v/>
      </c>
      <c r="Q67" s="5">
        <f>IF($A67="","",IF($O67&lt;0.5,"недостаточно данных",IF($P67&lt;3,"низкая доказательность",IF($O67&gt;=0.85,"готов к сравнению","требует дополнения"))))</f>
        <v/>
      </c>
    </row>
    <row r="68">
      <c r="A68" s="2" t="n"/>
      <c r="B68" s="5">
        <f>IF($A68="","",IFERROR(VLOOKUP($A68,'02_Конкуренты'!$A\$4:$B\$203,2,FALSE),"не найдено"))</f>
        <v/>
      </c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6">
        <f>IF($A68="","",COUNTA($C68:$N68)/12)</f>
        <v/>
      </c>
      <c r="P68" s="7">
        <f>IF($A68="","",IFERROR(AVERAGEIF('03_Факты_сайта'!$B\$4:$B\$503,$A68,'03_Факты_сайта'!$I\$4:$I\$503),0))</f>
        <v/>
      </c>
      <c r="Q68" s="5">
        <f>IF($A68="","",IF($O68&lt;0.5,"недостаточно данных",IF($P68&lt;3,"низкая доказательность",IF($O68&gt;=0.85,"готов к сравнению","требует дополнения"))))</f>
        <v/>
      </c>
    </row>
    <row r="69">
      <c r="A69" s="2" t="n"/>
      <c r="B69" s="5">
        <f>IF($A69="","",IFERROR(VLOOKUP($A69,'02_Конкуренты'!$A\$4:$B\$203,2,FALSE),"не найдено"))</f>
        <v/>
      </c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6">
        <f>IF($A69="","",COUNTA($C69:$N69)/12)</f>
        <v/>
      </c>
      <c r="P69" s="7">
        <f>IF($A69="","",IFERROR(AVERAGEIF('03_Факты_сайта'!$B\$4:$B\$503,$A69,'03_Факты_сайта'!$I\$4:$I\$503),0))</f>
        <v/>
      </c>
      <c r="Q69" s="5">
        <f>IF($A69="","",IF($O69&lt;0.5,"недостаточно данных",IF($P69&lt;3,"низкая доказательность",IF($O69&gt;=0.85,"готов к сравнению","требует дополнения"))))</f>
        <v/>
      </c>
    </row>
    <row r="70">
      <c r="A70" s="2" t="n"/>
      <c r="B70" s="5">
        <f>IF($A70="","",IFERROR(VLOOKUP($A70,'02_Конкуренты'!$A\$4:$B\$203,2,FALSE),"не найдено"))</f>
        <v/>
      </c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6">
        <f>IF($A70="","",COUNTA($C70:$N70)/12)</f>
        <v/>
      </c>
      <c r="P70" s="7">
        <f>IF($A70="","",IFERROR(AVERAGEIF('03_Факты_сайта'!$B\$4:$B\$503,$A70,'03_Факты_сайта'!$I\$4:$I\$503),0))</f>
        <v/>
      </c>
      <c r="Q70" s="5">
        <f>IF($A70="","",IF($O70&lt;0.5,"недостаточно данных",IF($P70&lt;3,"низкая доказательность",IF($O70&gt;=0.85,"готов к сравнению","требует дополнения"))))</f>
        <v/>
      </c>
    </row>
    <row r="71">
      <c r="A71" s="2" t="n"/>
      <c r="B71" s="5">
        <f>IF($A71="","",IFERROR(VLOOKUP($A71,'02_Конкуренты'!$A\$4:$B\$203,2,FALSE),"не найдено"))</f>
        <v/>
      </c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6">
        <f>IF($A71="","",COUNTA($C71:$N71)/12)</f>
        <v/>
      </c>
      <c r="P71" s="7">
        <f>IF($A71="","",IFERROR(AVERAGEIF('03_Факты_сайта'!$B\$4:$B\$503,$A71,'03_Факты_сайта'!$I\$4:$I\$503),0))</f>
        <v/>
      </c>
      <c r="Q71" s="5">
        <f>IF($A71="","",IF($O71&lt;0.5,"недостаточно данных",IF($P71&lt;3,"низкая доказательность",IF($O71&gt;=0.85,"готов к сравнению","требует дополнения"))))</f>
        <v/>
      </c>
    </row>
    <row r="72">
      <c r="A72" s="2" t="n"/>
      <c r="B72" s="5">
        <f>IF($A72="","",IFERROR(VLOOKUP($A72,'02_Конкуренты'!$A\$4:$B\$203,2,FALSE),"не найдено"))</f>
        <v/>
      </c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6">
        <f>IF($A72="","",COUNTA($C72:$N72)/12)</f>
        <v/>
      </c>
      <c r="P72" s="7">
        <f>IF($A72="","",IFERROR(AVERAGEIF('03_Факты_сайта'!$B\$4:$B\$503,$A72,'03_Факты_сайта'!$I\$4:$I\$503),0))</f>
        <v/>
      </c>
      <c r="Q72" s="5">
        <f>IF($A72="","",IF($O72&lt;0.5,"недостаточно данных",IF($P72&lt;3,"низкая доказательность",IF($O72&gt;=0.85,"готов к сравнению","требует дополнения"))))</f>
        <v/>
      </c>
    </row>
    <row r="73">
      <c r="A73" s="2" t="n"/>
      <c r="B73" s="5">
        <f>IF($A73="","",IFERROR(VLOOKUP($A73,'02_Конкуренты'!$A\$4:$B\$203,2,FALSE),"не найдено"))</f>
        <v/>
      </c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6">
        <f>IF($A73="","",COUNTA($C73:$N73)/12)</f>
        <v/>
      </c>
      <c r="P73" s="7">
        <f>IF($A73="","",IFERROR(AVERAGEIF('03_Факты_сайта'!$B\$4:$B\$503,$A73,'03_Факты_сайта'!$I\$4:$I\$503),0))</f>
        <v/>
      </c>
      <c r="Q73" s="5">
        <f>IF($A73="","",IF($O73&lt;0.5,"недостаточно данных",IF($P73&lt;3,"низкая доказательность",IF($O73&gt;=0.85,"готов к сравнению","требует дополнения"))))</f>
        <v/>
      </c>
    </row>
    <row r="74">
      <c r="A74" s="2" t="n"/>
      <c r="B74" s="5">
        <f>IF($A74="","",IFERROR(VLOOKUP($A74,'02_Конкуренты'!$A\$4:$B\$203,2,FALSE),"не найдено"))</f>
        <v/>
      </c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6">
        <f>IF($A74="","",COUNTA($C74:$N74)/12)</f>
        <v/>
      </c>
      <c r="P74" s="7">
        <f>IF($A74="","",IFERROR(AVERAGEIF('03_Факты_сайта'!$B\$4:$B\$503,$A74,'03_Факты_сайта'!$I\$4:$I\$503),0))</f>
        <v/>
      </c>
      <c r="Q74" s="5">
        <f>IF($A74="","",IF($O74&lt;0.5,"недостаточно данных",IF($P74&lt;3,"низкая доказательность",IF($O74&gt;=0.85,"готов к сравнению","требует дополнения"))))</f>
        <v/>
      </c>
    </row>
    <row r="75">
      <c r="A75" s="2" t="n"/>
      <c r="B75" s="5">
        <f>IF($A75="","",IFERROR(VLOOKUP($A75,'02_Конкуренты'!$A\$4:$B\$203,2,FALSE),"не найдено"))</f>
        <v/>
      </c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6">
        <f>IF($A75="","",COUNTA($C75:$N75)/12)</f>
        <v/>
      </c>
      <c r="P75" s="7">
        <f>IF($A75="","",IFERROR(AVERAGEIF('03_Факты_сайта'!$B\$4:$B\$503,$A75,'03_Факты_сайта'!$I\$4:$I\$503),0))</f>
        <v/>
      </c>
      <c r="Q75" s="5">
        <f>IF($A75="","",IF($O75&lt;0.5,"недостаточно данных",IF($P75&lt;3,"низкая доказательность",IF($O75&gt;=0.85,"готов к сравнению","требует дополнения"))))</f>
        <v/>
      </c>
    </row>
    <row r="76">
      <c r="A76" s="2" t="n"/>
      <c r="B76" s="5">
        <f>IF($A76="","",IFERROR(VLOOKUP($A76,'02_Конкуренты'!$A\$4:$B\$203,2,FALSE),"не найдено"))</f>
        <v/>
      </c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6">
        <f>IF($A76="","",COUNTA($C76:$N76)/12)</f>
        <v/>
      </c>
      <c r="P76" s="7">
        <f>IF($A76="","",IFERROR(AVERAGEIF('03_Факты_сайта'!$B\$4:$B\$503,$A76,'03_Факты_сайта'!$I\$4:$I\$503),0))</f>
        <v/>
      </c>
      <c r="Q76" s="5">
        <f>IF($A76="","",IF($O76&lt;0.5,"недостаточно данных",IF($P76&lt;3,"низкая доказательность",IF($O76&gt;=0.85,"готов к сравнению","требует дополнения"))))</f>
        <v/>
      </c>
    </row>
    <row r="77">
      <c r="A77" s="2" t="n"/>
      <c r="B77" s="5">
        <f>IF($A77="","",IFERROR(VLOOKUP($A77,'02_Конкуренты'!$A\$4:$B\$203,2,FALSE),"не найдено"))</f>
        <v/>
      </c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6">
        <f>IF($A77="","",COUNTA($C77:$N77)/12)</f>
        <v/>
      </c>
      <c r="P77" s="7">
        <f>IF($A77="","",IFERROR(AVERAGEIF('03_Факты_сайта'!$B\$4:$B\$503,$A77,'03_Факты_сайта'!$I\$4:$I\$503),0))</f>
        <v/>
      </c>
      <c r="Q77" s="5">
        <f>IF($A77="","",IF($O77&lt;0.5,"недостаточно данных",IF($P77&lt;3,"низкая доказательность",IF($O77&gt;=0.85,"готов к сравнению","требует дополнения"))))</f>
        <v/>
      </c>
    </row>
    <row r="78">
      <c r="A78" s="2" t="n"/>
      <c r="B78" s="5">
        <f>IF($A78="","",IFERROR(VLOOKUP($A78,'02_Конкуренты'!$A\$4:$B\$203,2,FALSE),"не найдено"))</f>
        <v/>
      </c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6">
        <f>IF($A78="","",COUNTA($C78:$N78)/12)</f>
        <v/>
      </c>
      <c r="P78" s="7">
        <f>IF($A78="","",IFERROR(AVERAGEIF('03_Факты_сайта'!$B\$4:$B\$503,$A78,'03_Факты_сайта'!$I\$4:$I\$503),0))</f>
        <v/>
      </c>
      <c r="Q78" s="5">
        <f>IF($A78="","",IF($O78&lt;0.5,"недостаточно данных",IF($P78&lt;3,"низкая доказательность",IF($O78&gt;=0.85,"готов к сравнению","требует дополнения"))))</f>
        <v/>
      </c>
    </row>
    <row r="79">
      <c r="A79" s="2" t="n"/>
      <c r="B79" s="5">
        <f>IF($A79="","",IFERROR(VLOOKUP($A79,'02_Конкуренты'!$A\$4:$B\$203,2,FALSE),"не найдено"))</f>
        <v/>
      </c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6">
        <f>IF($A79="","",COUNTA($C79:$N79)/12)</f>
        <v/>
      </c>
      <c r="P79" s="7">
        <f>IF($A79="","",IFERROR(AVERAGEIF('03_Факты_сайта'!$B\$4:$B\$503,$A79,'03_Факты_сайта'!$I\$4:$I\$503),0))</f>
        <v/>
      </c>
      <c r="Q79" s="5">
        <f>IF($A79="","",IF($O79&lt;0.5,"недостаточно данных",IF($P79&lt;3,"низкая доказательность",IF($O79&gt;=0.85,"готов к сравнению","требует дополнения"))))</f>
        <v/>
      </c>
    </row>
    <row r="80">
      <c r="A80" s="2" t="n"/>
      <c r="B80" s="5">
        <f>IF($A80="","",IFERROR(VLOOKUP($A80,'02_Конкуренты'!$A\$4:$B\$203,2,FALSE),"не найдено"))</f>
        <v/>
      </c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6">
        <f>IF($A80="","",COUNTA($C80:$N80)/12)</f>
        <v/>
      </c>
      <c r="P80" s="7">
        <f>IF($A80="","",IFERROR(AVERAGEIF('03_Факты_сайта'!$B\$4:$B\$503,$A80,'03_Факты_сайта'!$I\$4:$I\$503),0))</f>
        <v/>
      </c>
      <c r="Q80" s="5">
        <f>IF($A80="","",IF($O80&lt;0.5,"недостаточно данных",IF($P80&lt;3,"низкая доказательность",IF($O80&gt;=0.85,"готов к сравнению","требует дополнения"))))</f>
        <v/>
      </c>
    </row>
    <row r="81">
      <c r="A81" s="2" t="n"/>
      <c r="B81" s="5">
        <f>IF($A81="","",IFERROR(VLOOKUP($A81,'02_Конкуренты'!$A\$4:$B\$203,2,FALSE),"не найдено"))</f>
        <v/>
      </c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6">
        <f>IF($A81="","",COUNTA($C81:$N81)/12)</f>
        <v/>
      </c>
      <c r="P81" s="7">
        <f>IF($A81="","",IFERROR(AVERAGEIF('03_Факты_сайта'!$B\$4:$B\$503,$A81,'03_Факты_сайта'!$I\$4:$I\$503),0))</f>
        <v/>
      </c>
      <c r="Q81" s="5">
        <f>IF($A81="","",IF($O81&lt;0.5,"недостаточно данных",IF($P81&lt;3,"низкая доказательность",IF($O81&gt;=0.85,"готов к сравнению","требует дополнения"))))</f>
        <v/>
      </c>
    </row>
    <row r="82">
      <c r="A82" s="2" t="n"/>
      <c r="B82" s="5">
        <f>IF($A82="","",IFERROR(VLOOKUP($A82,'02_Конкуренты'!$A\$4:$B\$203,2,FALSE),"не найдено"))</f>
        <v/>
      </c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6">
        <f>IF($A82="","",COUNTA($C82:$N82)/12)</f>
        <v/>
      </c>
      <c r="P82" s="7">
        <f>IF($A82="","",IFERROR(AVERAGEIF('03_Факты_сайта'!$B\$4:$B\$503,$A82,'03_Факты_сайта'!$I\$4:$I\$503),0))</f>
        <v/>
      </c>
      <c r="Q82" s="5">
        <f>IF($A82="","",IF($O82&lt;0.5,"недостаточно данных",IF($P82&lt;3,"низкая доказательность",IF($O82&gt;=0.85,"готов к сравнению","требует дополнения"))))</f>
        <v/>
      </c>
    </row>
    <row r="83">
      <c r="A83" s="2" t="n"/>
      <c r="B83" s="5">
        <f>IF($A83="","",IFERROR(VLOOKUP($A83,'02_Конкуренты'!$A\$4:$B\$203,2,FALSE),"не найдено"))</f>
        <v/>
      </c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6">
        <f>IF($A83="","",COUNTA($C83:$N83)/12)</f>
        <v/>
      </c>
      <c r="P83" s="7">
        <f>IF($A83="","",IFERROR(AVERAGEIF('03_Факты_сайта'!$B\$4:$B\$503,$A83,'03_Факты_сайта'!$I\$4:$I\$503),0))</f>
        <v/>
      </c>
      <c r="Q83" s="5">
        <f>IF($A83="","",IF($O83&lt;0.5,"недостаточно данных",IF($P83&lt;3,"низкая доказательность",IF($O83&gt;=0.85,"готов к сравнению","требует дополнения"))))</f>
        <v/>
      </c>
    </row>
    <row r="84">
      <c r="A84" s="2" t="n"/>
      <c r="B84" s="5">
        <f>IF($A84="","",IFERROR(VLOOKUP($A84,'02_Конкуренты'!$A\$4:$B\$203,2,FALSE),"не найдено"))</f>
        <v/>
      </c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6">
        <f>IF($A84="","",COUNTA($C84:$N84)/12)</f>
        <v/>
      </c>
      <c r="P84" s="7">
        <f>IF($A84="","",IFERROR(AVERAGEIF('03_Факты_сайта'!$B\$4:$B\$503,$A84,'03_Факты_сайта'!$I\$4:$I\$503),0))</f>
        <v/>
      </c>
      <c r="Q84" s="5">
        <f>IF($A84="","",IF($O84&lt;0.5,"недостаточно данных",IF($P84&lt;3,"низкая доказательность",IF($O84&gt;=0.85,"готов к сравнению","требует дополнения"))))</f>
        <v/>
      </c>
    </row>
    <row r="85">
      <c r="A85" s="2" t="n"/>
      <c r="B85" s="5">
        <f>IF($A85="","",IFERROR(VLOOKUP($A85,'02_Конкуренты'!$A\$4:$B\$203,2,FALSE),"не найдено"))</f>
        <v/>
      </c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6">
        <f>IF($A85="","",COUNTA($C85:$N85)/12)</f>
        <v/>
      </c>
      <c r="P85" s="7">
        <f>IF($A85="","",IFERROR(AVERAGEIF('03_Факты_сайта'!$B\$4:$B\$503,$A85,'03_Факты_сайта'!$I\$4:$I\$503),0))</f>
        <v/>
      </c>
      <c r="Q85" s="5">
        <f>IF($A85="","",IF($O85&lt;0.5,"недостаточно данных",IF($P85&lt;3,"низкая доказательность",IF($O85&gt;=0.85,"готов к сравнению","требует дополнения"))))</f>
        <v/>
      </c>
    </row>
    <row r="86">
      <c r="A86" s="2" t="n"/>
      <c r="B86" s="5">
        <f>IF($A86="","",IFERROR(VLOOKUP($A86,'02_Конкуренты'!$A\$4:$B\$203,2,FALSE),"не найдено"))</f>
        <v/>
      </c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6">
        <f>IF($A86="","",COUNTA($C86:$N86)/12)</f>
        <v/>
      </c>
      <c r="P86" s="7">
        <f>IF($A86="","",IFERROR(AVERAGEIF('03_Факты_сайта'!$B\$4:$B\$503,$A86,'03_Факты_сайта'!$I\$4:$I\$503),0))</f>
        <v/>
      </c>
      <c r="Q86" s="5">
        <f>IF($A86="","",IF($O86&lt;0.5,"недостаточно данных",IF($P86&lt;3,"низкая доказательность",IF($O86&gt;=0.85,"готов к сравнению","требует дополнения"))))</f>
        <v/>
      </c>
    </row>
    <row r="87">
      <c r="A87" s="2" t="n"/>
      <c r="B87" s="5">
        <f>IF($A87="","",IFERROR(VLOOKUP($A87,'02_Конкуренты'!$A\$4:$B\$203,2,FALSE),"не найдено"))</f>
        <v/>
      </c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6">
        <f>IF($A87="","",COUNTA($C87:$N87)/12)</f>
        <v/>
      </c>
      <c r="P87" s="7">
        <f>IF($A87="","",IFERROR(AVERAGEIF('03_Факты_сайта'!$B\$4:$B\$503,$A87,'03_Факты_сайта'!$I\$4:$I\$503),0))</f>
        <v/>
      </c>
      <c r="Q87" s="5">
        <f>IF($A87="","",IF($O87&lt;0.5,"недостаточно данных",IF($P87&lt;3,"низкая доказательность",IF($O87&gt;=0.85,"готов к сравнению","требует дополнения"))))</f>
        <v/>
      </c>
    </row>
    <row r="88">
      <c r="A88" s="2" t="n"/>
      <c r="B88" s="5">
        <f>IF($A88="","",IFERROR(VLOOKUP($A88,'02_Конкуренты'!$A\$4:$B\$203,2,FALSE),"не найдено"))</f>
        <v/>
      </c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6">
        <f>IF($A88="","",COUNTA($C88:$N88)/12)</f>
        <v/>
      </c>
      <c r="P88" s="7">
        <f>IF($A88="","",IFERROR(AVERAGEIF('03_Факты_сайта'!$B\$4:$B\$503,$A88,'03_Факты_сайта'!$I\$4:$I\$503),0))</f>
        <v/>
      </c>
      <c r="Q88" s="5">
        <f>IF($A88="","",IF($O88&lt;0.5,"недостаточно данных",IF($P88&lt;3,"низкая доказательность",IF($O88&gt;=0.85,"готов к сравнению","требует дополнения"))))</f>
        <v/>
      </c>
    </row>
    <row r="89">
      <c r="A89" s="2" t="n"/>
      <c r="B89" s="5">
        <f>IF($A89="","",IFERROR(VLOOKUP($A89,'02_Конкуренты'!$A\$4:$B\$203,2,FALSE),"не найдено"))</f>
        <v/>
      </c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6">
        <f>IF($A89="","",COUNTA($C89:$N89)/12)</f>
        <v/>
      </c>
      <c r="P89" s="7">
        <f>IF($A89="","",IFERROR(AVERAGEIF('03_Факты_сайта'!$B\$4:$B\$503,$A89,'03_Факты_сайта'!$I\$4:$I\$503),0))</f>
        <v/>
      </c>
      <c r="Q89" s="5">
        <f>IF($A89="","",IF($O89&lt;0.5,"недостаточно данных",IF($P89&lt;3,"низкая доказательность",IF($O89&gt;=0.85,"готов к сравнению","требует дополнения"))))</f>
        <v/>
      </c>
    </row>
    <row r="90">
      <c r="A90" s="2" t="n"/>
      <c r="B90" s="5">
        <f>IF($A90="","",IFERROR(VLOOKUP($A90,'02_Конкуренты'!$A\$4:$B\$203,2,FALSE),"не найдено"))</f>
        <v/>
      </c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6">
        <f>IF($A90="","",COUNTA($C90:$N90)/12)</f>
        <v/>
      </c>
      <c r="P90" s="7">
        <f>IF($A90="","",IFERROR(AVERAGEIF('03_Факты_сайта'!$B\$4:$B\$503,$A90,'03_Факты_сайта'!$I\$4:$I\$503),0))</f>
        <v/>
      </c>
      <c r="Q90" s="5">
        <f>IF($A90="","",IF($O90&lt;0.5,"недостаточно данных",IF($P90&lt;3,"низкая доказательность",IF($O90&gt;=0.85,"готов к сравнению","требует дополнения"))))</f>
        <v/>
      </c>
    </row>
    <row r="91">
      <c r="A91" s="2" t="n"/>
      <c r="B91" s="5">
        <f>IF($A91="","",IFERROR(VLOOKUP($A91,'02_Конкуренты'!$A\$4:$B\$203,2,FALSE),"не найдено"))</f>
        <v/>
      </c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6">
        <f>IF($A91="","",COUNTA($C91:$N91)/12)</f>
        <v/>
      </c>
      <c r="P91" s="7">
        <f>IF($A91="","",IFERROR(AVERAGEIF('03_Факты_сайта'!$B\$4:$B\$503,$A91,'03_Факты_сайта'!$I\$4:$I\$503),0))</f>
        <v/>
      </c>
      <c r="Q91" s="5">
        <f>IF($A91="","",IF($O91&lt;0.5,"недостаточно данных",IF($P91&lt;3,"низкая доказательность",IF($O91&gt;=0.85,"готов к сравнению","требует дополнения"))))</f>
        <v/>
      </c>
    </row>
    <row r="92">
      <c r="A92" s="2" t="n"/>
      <c r="B92" s="5">
        <f>IF($A92="","",IFERROR(VLOOKUP($A92,'02_Конкуренты'!$A\$4:$B\$203,2,FALSE),"не найдено"))</f>
        <v/>
      </c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6">
        <f>IF($A92="","",COUNTA($C92:$N92)/12)</f>
        <v/>
      </c>
      <c r="P92" s="7">
        <f>IF($A92="","",IFERROR(AVERAGEIF('03_Факты_сайта'!$B\$4:$B\$503,$A92,'03_Факты_сайта'!$I\$4:$I\$503),0))</f>
        <v/>
      </c>
      <c r="Q92" s="5">
        <f>IF($A92="","",IF($O92&lt;0.5,"недостаточно данных",IF($P92&lt;3,"низкая доказательность",IF($O92&gt;=0.85,"готов к сравнению","требует дополнения"))))</f>
        <v/>
      </c>
    </row>
    <row r="93">
      <c r="A93" s="2" t="n"/>
      <c r="B93" s="5">
        <f>IF($A93="","",IFERROR(VLOOKUP($A93,'02_Конкуренты'!$A\$4:$B\$203,2,FALSE),"не найдено"))</f>
        <v/>
      </c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6">
        <f>IF($A93="","",COUNTA($C93:$N93)/12)</f>
        <v/>
      </c>
      <c r="P93" s="7">
        <f>IF($A93="","",IFERROR(AVERAGEIF('03_Факты_сайта'!$B\$4:$B\$503,$A93,'03_Факты_сайта'!$I\$4:$I\$503),0))</f>
        <v/>
      </c>
      <c r="Q93" s="5">
        <f>IF($A93="","",IF($O93&lt;0.5,"недостаточно данных",IF($P93&lt;3,"низкая доказательность",IF($O93&gt;=0.85,"готов к сравнению","требует дополнения"))))</f>
        <v/>
      </c>
    </row>
    <row r="94">
      <c r="A94" s="2" t="n"/>
      <c r="B94" s="5">
        <f>IF($A94="","",IFERROR(VLOOKUP($A94,'02_Конкуренты'!$A\$4:$B\$203,2,FALSE),"не найдено"))</f>
        <v/>
      </c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6">
        <f>IF($A94="","",COUNTA($C94:$N94)/12)</f>
        <v/>
      </c>
      <c r="P94" s="7">
        <f>IF($A94="","",IFERROR(AVERAGEIF('03_Факты_сайта'!$B\$4:$B\$503,$A94,'03_Факты_сайта'!$I\$4:$I\$503),0))</f>
        <v/>
      </c>
      <c r="Q94" s="5">
        <f>IF($A94="","",IF($O94&lt;0.5,"недостаточно данных",IF($P94&lt;3,"низкая доказательность",IF($O94&gt;=0.85,"готов к сравнению","требует дополнения"))))</f>
        <v/>
      </c>
    </row>
    <row r="95">
      <c r="A95" s="2" t="n"/>
      <c r="B95" s="5">
        <f>IF($A95="","",IFERROR(VLOOKUP($A95,'02_Конкуренты'!$A\$4:$B\$203,2,FALSE),"не найдено"))</f>
        <v/>
      </c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6">
        <f>IF($A95="","",COUNTA($C95:$N95)/12)</f>
        <v/>
      </c>
      <c r="P95" s="7">
        <f>IF($A95="","",IFERROR(AVERAGEIF('03_Факты_сайта'!$B\$4:$B\$503,$A95,'03_Факты_сайта'!$I\$4:$I\$503),0))</f>
        <v/>
      </c>
      <c r="Q95" s="5">
        <f>IF($A95="","",IF($O95&lt;0.5,"недостаточно данных",IF($P95&lt;3,"низкая доказательность",IF($O95&gt;=0.85,"готов к сравнению","требует дополнения"))))</f>
        <v/>
      </c>
    </row>
    <row r="96">
      <c r="A96" s="2" t="n"/>
      <c r="B96" s="5">
        <f>IF($A96="","",IFERROR(VLOOKUP($A96,'02_Конкуренты'!$A\$4:$B\$203,2,FALSE),"не найдено"))</f>
        <v/>
      </c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6">
        <f>IF($A96="","",COUNTA($C96:$N96)/12)</f>
        <v/>
      </c>
      <c r="P96" s="7">
        <f>IF($A96="","",IFERROR(AVERAGEIF('03_Факты_сайта'!$B\$4:$B\$503,$A96,'03_Факты_сайта'!$I\$4:$I\$503),0))</f>
        <v/>
      </c>
      <c r="Q96" s="5">
        <f>IF($A96="","",IF($O96&lt;0.5,"недостаточно данных",IF($P96&lt;3,"низкая доказательность",IF($O96&gt;=0.85,"готов к сравнению","требует дополнения"))))</f>
        <v/>
      </c>
    </row>
    <row r="97">
      <c r="A97" s="2" t="n"/>
      <c r="B97" s="5">
        <f>IF($A97="","",IFERROR(VLOOKUP($A97,'02_Конкуренты'!$A\$4:$B\$203,2,FALSE),"не найдено"))</f>
        <v/>
      </c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6">
        <f>IF($A97="","",COUNTA($C97:$N97)/12)</f>
        <v/>
      </c>
      <c r="P97" s="7">
        <f>IF($A97="","",IFERROR(AVERAGEIF('03_Факты_сайта'!$B\$4:$B\$503,$A97,'03_Факты_сайта'!$I\$4:$I\$503),0))</f>
        <v/>
      </c>
      <c r="Q97" s="5">
        <f>IF($A97="","",IF($O97&lt;0.5,"недостаточно данных",IF($P97&lt;3,"низкая доказательность",IF($O97&gt;=0.85,"готов к сравнению","требует дополнения"))))</f>
        <v/>
      </c>
    </row>
    <row r="98">
      <c r="A98" s="2" t="n"/>
      <c r="B98" s="5">
        <f>IF($A98="","",IFERROR(VLOOKUP($A98,'02_Конкуренты'!$A\$4:$B\$203,2,FALSE),"не найдено"))</f>
        <v/>
      </c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6">
        <f>IF($A98="","",COUNTA($C98:$N98)/12)</f>
        <v/>
      </c>
      <c r="P98" s="7">
        <f>IF($A98="","",IFERROR(AVERAGEIF('03_Факты_сайта'!$B\$4:$B\$503,$A98,'03_Факты_сайта'!$I\$4:$I\$503),0))</f>
        <v/>
      </c>
      <c r="Q98" s="5">
        <f>IF($A98="","",IF($O98&lt;0.5,"недостаточно данных",IF($P98&lt;3,"низкая доказательность",IF($O98&gt;=0.85,"готов к сравнению","требует дополнения"))))</f>
        <v/>
      </c>
    </row>
    <row r="99">
      <c r="A99" s="2" t="n"/>
      <c r="B99" s="5">
        <f>IF($A99="","",IFERROR(VLOOKUP($A99,'02_Конкуренты'!$A\$4:$B\$203,2,FALSE),"не найдено"))</f>
        <v/>
      </c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6">
        <f>IF($A99="","",COUNTA($C99:$N99)/12)</f>
        <v/>
      </c>
      <c r="P99" s="7">
        <f>IF($A99="","",IFERROR(AVERAGEIF('03_Факты_сайта'!$B\$4:$B\$503,$A99,'03_Факты_сайта'!$I\$4:$I\$503),0))</f>
        <v/>
      </c>
      <c r="Q99" s="5">
        <f>IF($A99="","",IF($O99&lt;0.5,"недостаточно данных",IF($P99&lt;3,"низкая доказательность",IF($O99&gt;=0.85,"готов к сравнению","требует дополнения"))))</f>
        <v/>
      </c>
    </row>
    <row r="100">
      <c r="A100" s="2" t="n"/>
      <c r="B100" s="5">
        <f>IF($A100="","",IFERROR(VLOOKUP($A100,'02_Конкуренты'!$A\$4:$B\$203,2,FALSE),"не найдено"))</f>
        <v/>
      </c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6">
        <f>IF($A100="","",COUNTA($C100:$N100)/12)</f>
        <v/>
      </c>
      <c r="P100" s="7">
        <f>IF($A100="","",IFERROR(AVERAGEIF('03_Факты_сайта'!$B\$4:$B\$503,$A100,'03_Факты_сайта'!$I\$4:$I\$503),0))</f>
        <v/>
      </c>
      <c r="Q100" s="5">
        <f>IF($A100="","",IF($O100&lt;0.5,"недостаточно данных",IF($P100&lt;3,"низкая доказательность",IF($O100&gt;=0.85,"готов к сравнению","требует дополнения"))))</f>
        <v/>
      </c>
    </row>
    <row r="101">
      <c r="A101" s="2" t="n"/>
      <c r="B101" s="5">
        <f>IF($A101="","",IFERROR(VLOOKUP($A101,'02_Конкуренты'!$A\$4:$B\$203,2,FALSE),"не найдено"))</f>
        <v/>
      </c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6">
        <f>IF($A101="","",COUNTA($C101:$N101)/12)</f>
        <v/>
      </c>
      <c r="P101" s="7">
        <f>IF($A101="","",IFERROR(AVERAGEIF('03_Факты_сайта'!$B\$4:$B\$503,$A101,'03_Факты_сайта'!$I\$4:$I\$503),0))</f>
        <v/>
      </c>
      <c r="Q101" s="5">
        <f>IF($A101="","",IF($O101&lt;0.5,"недостаточно данных",IF($P101&lt;3,"низкая доказательность",IF($O101&gt;=0.85,"готов к сравнению","требует дополнения"))))</f>
        <v/>
      </c>
    </row>
    <row r="102">
      <c r="A102" s="2" t="n"/>
      <c r="B102" s="5">
        <f>IF($A102="","",IFERROR(VLOOKUP($A102,'02_Конкуренты'!$A\$4:$B\$203,2,FALSE),"не найдено"))</f>
        <v/>
      </c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6">
        <f>IF($A102="","",COUNTA($C102:$N102)/12)</f>
        <v/>
      </c>
      <c r="P102" s="7">
        <f>IF($A102="","",IFERROR(AVERAGEIF('03_Факты_сайта'!$B\$4:$B\$503,$A102,'03_Факты_сайта'!$I\$4:$I\$503),0))</f>
        <v/>
      </c>
      <c r="Q102" s="5">
        <f>IF($A102="","",IF($O102&lt;0.5,"недостаточно данных",IF($P102&lt;3,"низкая доказательность",IF($O102&gt;=0.85,"готов к сравнению","требует дополнения"))))</f>
        <v/>
      </c>
    </row>
    <row r="103">
      <c r="A103" s="2" t="n"/>
      <c r="B103" s="5">
        <f>IF($A103="","",IFERROR(VLOOKUP($A103,'02_Конкуренты'!$A\$4:$B\$203,2,FALSE),"не найдено"))</f>
        <v/>
      </c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6">
        <f>IF($A103="","",COUNTA($C103:$N103)/12)</f>
        <v/>
      </c>
      <c r="P103" s="7">
        <f>IF($A103="","",IFERROR(AVERAGEIF('03_Факты_сайта'!$B\$4:$B\$503,$A103,'03_Факты_сайта'!$I\$4:$I\$503),0))</f>
        <v/>
      </c>
      <c r="Q103" s="5">
        <f>IF($A103="","",IF($O103&lt;0.5,"недостаточно данных",IF($P103&lt;3,"низкая доказательность",IF($O103&gt;=0.85,"готов к сравнению","требует дополнения"))))</f>
        <v/>
      </c>
    </row>
    <row r="104">
      <c r="A104" s="2" t="n"/>
      <c r="B104" s="5">
        <f>IF($A104="","",IFERROR(VLOOKUP($A104,'02_Конкуренты'!$A\$4:$B\$203,2,FALSE),"не найдено"))</f>
        <v/>
      </c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6">
        <f>IF($A104="","",COUNTA($C104:$N104)/12)</f>
        <v/>
      </c>
      <c r="P104" s="7">
        <f>IF($A104="","",IFERROR(AVERAGEIF('03_Факты_сайта'!$B\$4:$B\$503,$A104,'03_Факты_сайта'!$I\$4:$I\$503),0))</f>
        <v/>
      </c>
      <c r="Q104" s="5">
        <f>IF($A104="","",IF($O104&lt;0.5,"недостаточно данных",IF($P104&lt;3,"низкая доказательность",IF($O104&gt;=0.85,"готов к сравнению","требует дополнения"))))</f>
        <v/>
      </c>
    </row>
    <row r="105">
      <c r="A105" s="2" t="n"/>
      <c r="B105" s="5">
        <f>IF($A105="","",IFERROR(VLOOKUP($A105,'02_Конкуренты'!$A\$4:$B\$203,2,FALSE),"не найдено"))</f>
        <v/>
      </c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6">
        <f>IF($A105="","",COUNTA($C105:$N105)/12)</f>
        <v/>
      </c>
      <c r="P105" s="7">
        <f>IF($A105="","",IFERROR(AVERAGEIF('03_Факты_сайта'!$B\$4:$B\$503,$A105,'03_Факты_сайта'!$I\$4:$I\$503),0))</f>
        <v/>
      </c>
      <c r="Q105" s="5">
        <f>IF($A105="","",IF($O105&lt;0.5,"недостаточно данных",IF($P105&lt;3,"низкая доказательность",IF($O105&gt;=0.85,"готов к сравнению","требует дополнения"))))</f>
        <v/>
      </c>
    </row>
    <row r="106">
      <c r="A106" s="2" t="n"/>
      <c r="B106" s="5">
        <f>IF($A106="","",IFERROR(VLOOKUP($A106,'02_Конкуренты'!$A\$4:$B\$203,2,FALSE),"не найдено"))</f>
        <v/>
      </c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6">
        <f>IF($A106="","",COUNTA($C106:$N106)/12)</f>
        <v/>
      </c>
      <c r="P106" s="7">
        <f>IF($A106="","",IFERROR(AVERAGEIF('03_Факты_сайта'!$B\$4:$B\$503,$A106,'03_Факты_сайта'!$I\$4:$I\$503),0))</f>
        <v/>
      </c>
      <c r="Q106" s="5">
        <f>IF($A106="","",IF($O106&lt;0.5,"недостаточно данных",IF($P106&lt;3,"низкая доказательность",IF($O106&gt;=0.85,"готов к сравнению","требует дополнения"))))</f>
        <v/>
      </c>
    </row>
    <row r="107">
      <c r="A107" s="2" t="n"/>
      <c r="B107" s="5">
        <f>IF($A107="","",IFERROR(VLOOKUP($A107,'02_Конкуренты'!$A\$4:$B\$203,2,FALSE),"не найдено"))</f>
        <v/>
      </c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6">
        <f>IF($A107="","",COUNTA($C107:$N107)/12)</f>
        <v/>
      </c>
      <c r="P107" s="7">
        <f>IF($A107="","",IFERROR(AVERAGEIF('03_Факты_сайта'!$B\$4:$B\$503,$A107,'03_Факты_сайта'!$I\$4:$I\$503),0))</f>
        <v/>
      </c>
      <c r="Q107" s="5">
        <f>IF($A107="","",IF($O107&lt;0.5,"недостаточно данных",IF($P107&lt;3,"низкая доказательность",IF($O107&gt;=0.85,"готов к сравнению","требует дополнения"))))</f>
        <v/>
      </c>
    </row>
    <row r="108">
      <c r="A108" s="2" t="n"/>
      <c r="B108" s="5">
        <f>IF($A108="","",IFERROR(VLOOKUP($A108,'02_Конкуренты'!$A\$4:$B\$203,2,FALSE),"не найдено"))</f>
        <v/>
      </c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6">
        <f>IF($A108="","",COUNTA($C108:$N108)/12)</f>
        <v/>
      </c>
      <c r="P108" s="7">
        <f>IF($A108="","",IFERROR(AVERAGEIF('03_Факты_сайта'!$B\$4:$B\$503,$A108,'03_Факты_сайта'!$I\$4:$I\$503),0))</f>
        <v/>
      </c>
      <c r="Q108" s="5">
        <f>IF($A108="","",IF($O108&lt;0.5,"недостаточно данных",IF($P108&lt;3,"низкая доказательность",IF($O108&gt;=0.85,"готов к сравнению","требует дополнения"))))</f>
        <v/>
      </c>
    </row>
    <row r="109">
      <c r="A109" s="2" t="n"/>
      <c r="B109" s="5">
        <f>IF($A109="","",IFERROR(VLOOKUP($A109,'02_Конкуренты'!$A\$4:$B\$203,2,FALSE),"не найдено"))</f>
        <v/>
      </c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6">
        <f>IF($A109="","",COUNTA($C109:$N109)/12)</f>
        <v/>
      </c>
      <c r="P109" s="7">
        <f>IF($A109="","",IFERROR(AVERAGEIF('03_Факты_сайта'!$B\$4:$B\$503,$A109,'03_Факты_сайта'!$I\$4:$I\$503),0))</f>
        <v/>
      </c>
      <c r="Q109" s="5">
        <f>IF($A109="","",IF($O109&lt;0.5,"недостаточно данных",IF($P109&lt;3,"низкая доказательность",IF($O109&gt;=0.85,"готов к сравнению","требует дополнения"))))</f>
        <v/>
      </c>
    </row>
    <row r="110">
      <c r="A110" s="2" t="n"/>
      <c r="B110" s="5">
        <f>IF($A110="","",IFERROR(VLOOKUP($A110,'02_Конкуренты'!$A\$4:$B\$203,2,FALSE),"не найдено"))</f>
        <v/>
      </c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6">
        <f>IF($A110="","",COUNTA($C110:$N110)/12)</f>
        <v/>
      </c>
      <c r="P110" s="7">
        <f>IF($A110="","",IFERROR(AVERAGEIF('03_Факты_сайта'!$B\$4:$B\$503,$A110,'03_Факты_сайта'!$I\$4:$I\$503),0))</f>
        <v/>
      </c>
      <c r="Q110" s="5">
        <f>IF($A110="","",IF($O110&lt;0.5,"недостаточно данных",IF($P110&lt;3,"низкая доказательность",IF($O110&gt;=0.85,"готов к сравнению","требует дополнения"))))</f>
        <v/>
      </c>
    </row>
    <row r="111">
      <c r="A111" s="2" t="n"/>
      <c r="B111" s="5">
        <f>IF($A111="","",IFERROR(VLOOKUP($A111,'02_Конкуренты'!$A\$4:$B\$203,2,FALSE),"не найдено"))</f>
        <v/>
      </c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6">
        <f>IF($A111="","",COUNTA($C111:$N111)/12)</f>
        <v/>
      </c>
      <c r="P111" s="7">
        <f>IF($A111="","",IFERROR(AVERAGEIF('03_Факты_сайта'!$B\$4:$B\$503,$A111,'03_Факты_сайта'!$I\$4:$I\$503),0))</f>
        <v/>
      </c>
      <c r="Q111" s="5">
        <f>IF($A111="","",IF($O111&lt;0.5,"недостаточно данных",IF($P111&lt;3,"низкая доказательность",IF($O111&gt;=0.85,"готов к сравнению","требует дополнения"))))</f>
        <v/>
      </c>
    </row>
    <row r="112">
      <c r="A112" s="2" t="n"/>
      <c r="B112" s="5">
        <f>IF($A112="","",IFERROR(VLOOKUP($A112,'02_Конкуренты'!$A\$4:$B\$203,2,FALSE),"не найдено"))</f>
        <v/>
      </c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6">
        <f>IF($A112="","",COUNTA($C112:$N112)/12)</f>
        <v/>
      </c>
      <c r="P112" s="7">
        <f>IF($A112="","",IFERROR(AVERAGEIF('03_Факты_сайта'!$B\$4:$B\$503,$A112,'03_Факты_сайта'!$I\$4:$I\$503),0))</f>
        <v/>
      </c>
      <c r="Q112" s="5">
        <f>IF($A112="","",IF($O112&lt;0.5,"недостаточно данных",IF($P112&lt;3,"низкая доказательность",IF($O112&gt;=0.85,"готов к сравнению","требует дополнения"))))</f>
        <v/>
      </c>
    </row>
    <row r="113">
      <c r="A113" s="2" t="n"/>
      <c r="B113" s="5">
        <f>IF($A113="","",IFERROR(VLOOKUP($A113,'02_Конкуренты'!$A\$4:$B\$203,2,FALSE),"не найдено"))</f>
        <v/>
      </c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6">
        <f>IF($A113="","",COUNTA($C113:$N113)/12)</f>
        <v/>
      </c>
      <c r="P113" s="7">
        <f>IF($A113="","",IFERROR(AVERAGEIF('03_Факты_сайта'!$B\$4:$B\$503,$A113,'03_Факты_сайта'!$I\$4:$I\$503),0))</f>
        <v/>
      </c>
      <c r="Q113" s="5">
        <f>IF($A113="","",IF($O113&lt;0.5,"недостаточно данных",IF($P113&lt;3,"низкая доказательность",IF($O113&gt;=0.85,"готов к сравнению","требует дополнения"))))</f>
        <v/>
      </c>
    </row>
    <row r="114">
      <c r="A114" s="2" t="n"/>
      <c r="B114" s="5">
        <f>IF($A114="","",IFERROR(VLOOKUP($A114,'02_Конкуренты'!$A\$4:$B\$203,2,FALSE),"не найдено"))</f>
        <v/>
      </c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6">
        <f>IF($A114="","",COUNTA($C114:$N114)/12)</f>
        <v/>
      </c>
      <c r="P114" s="7">
        <f>IF($A114="","",IFERROR(AVERAGEIF('03_Факты_сайта'!$B\$4:$B\$503,$A114,'03_Факты_сайта'!$I\$4:$I\$503),0))</f>
        <v/>
      </c>
      <c r="Q114" s="5">
        <f>IF($A114="","",IF($O114&lt;0.5,"недостаточно данных",IF($P114&lt;3,"низкая доказательность",IF($O114&gt;=0.85,"готов к сравнению","требует дополнения"))))</f>
        <v/>
      </c>
    </row>
    <row r="115">
      <c r="A115" s="2" t="n"/>
      <c r="B115" s="5">
        <f>IF($A115="","",IFERROR(VLOOKUP($A115,'02_Конкуренты'!$A\$4:$B\$203,2,FALSE),"не найдено"))</f>
        <v/>
      </c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6">
        <f>IF($A115="","",COUNTA($C115:$N115)/12)</f>
        <v/>
      </c>
      <c r="P115" s="7">
        <f>IF($A115="","",IFERROR(AVERAGEIF('03_Факты_сайта'!$B\$4:$B\$503,$A115,'03_Факты_сайта'!$I\$4:$I\$503),0))</f>
        <v/>
      </c>
      <c r="Q115" s="5">
        <f>IF($A115="","",IF($O115&lt;0.5,"недостаточно данных",IF($P115&lt;3,"низкая доказательность",IF($O115&gt;=0.85,"готов к сравнению","требует дополнения"))))</f>
        <v/>
      </c>
    </row>
    <row r="116">
      <c r="A116" s="2" t="n"/>
      <c r="B116" s="5">
        <f>IF($A116="","",IFERROR(VLOOKUP($A116,'02_Конкуренты'!$A\$4:$B\$203,2,FALSE),"не найдено"))</f>
        <v/>
      </c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6">
        <f>IF($A116="","",COUNTA($C116:$N116)/12)</f>
        <v/>
      </c>
      <c r="P116" s="7">
        <f>IF($A116="","",IFERROR(AVERAGEIF('03_Факты_сайта'!$B\$4:$B\$503,$A116,'03_Факты_сайта'!$I\$4:$I\$503),0))</f>
        <v/>
      </c>
      <c r="Q116" s="5">
        <f>IF($A116="","",IF($O116&lt;0.5,"недостаточно данных",IF($P116&lt;3,"низкая доказательность",IF($O116&gt;=0.85,"готов к сравнению","требует дополнения"))))</f>
        <v/>
      </c>
    </row>
    <row r="117">
      <c r="A117" s="2" t="n"/>
      <c r="B117" s="5">
        <f>IF($A117="","",IFERROR(VLOOKUP($A117,'02_Конкуренты'!$A\$4:$B\$203,2,FALSE),"не найдено"))</f>
        <v/>
      </c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6">
        <f>IF($A117="","",COUNTA($C117:$N117)/12)</f>
        <v/>
      </c>
      <c r="P117" s="7">
        <f>IF($A117="","",IFERROR(AVERAGEIF('03_Факты_сайта'!$B\$4:$B\$503,$A117,'03_Факты_сайта'!$I\$4:$I\$503),0))</f>
        <v/>
      </c>
      <c r="Q117" s="5">
        <f>IF($A117="","",IF($O117&lt;0.5,"недостаточно данных",IF($P117&lt;3,"низкая доказательность",IF($O117&gt;=0.85,"готов к сравнению","требует дополнения"))))</f>
        <v/>
      </c>
    </row>
    <row r="118">
      <c r="A118" s="2" t="n"/>
      <c r="B118" s="5">
        <f>IF($A118="","",IFERROR(VLOOKUP($A118,'02_Конкуренты'!$A\$4:$B\$203,2,FALSE),"не найдено"))</f>
        <v/>
      </c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6">
        <f>IF($A118="","",COUNTA($C118:$N118)/12)</f>
        <v/>
      </c>
      <c r="P118" s="7">
        <f>IF($A118="","",IFERROR(AVERAGEIF('03_Факты_сайта'!$B\$4:$B\$503,$A118,'03_Факты_сайта'!$I\$4:$I\$503),0))</f>
        <v/>
      </c>
      <c r="Q118" s="5">
        <f>IF($A118="","",IF($O118&lt;0.5,"недостаточно данных",IF($P118&lt;3,"низкая доказательность",IF($O118&gt;=0.85,"готов к сравнению","требует дополнения"))))</f>
        <v/>
      </c>
    </row>
    <row r="119">
      <c r="A119" s="2" t="n"/>
      <c r="B119" s="5">
        <f>IF($A119="","",IFERROR(VLOOKUP($A119,'02_Конкуренты'!$A\$4:$B\$203,2,FALSE),"не найдено"))</f>
        <v/>
      </c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6">
        <f>IF($A119="","",COUNTA($C119:$N119)/12)</f>
        <v/>
      </c>
      <c r="P119" s="7">
        <f>IF($A119="","",IFERROR(AVERAGEIF('03_Факты_сайта'!$B\$4:$B\$503,$A119,'03_Факты_сайта'!$I\$4:$I\$503),0))</f>
        <v/>
      </c>
      <c r="Q119" s="5">
        <f>IF($A119="","",IF($O119&lt;0.5,"недостаточно данных",IF($P119&lt;3,"низкая доказательность",IF($O119&gt;=0.85,"готов к сравнению","требует дополнения"))))</f>
        <v/>
      </c>
    </row>
    <row r="120">
      <c r="A120" s="2" t="n"/>
      <c r="B120" s="5">
        <f>IF($A120="","",IFERROR(VLOOKUP($A120,'02_Конкуренты'!$A\$4:$B\$203,2,FALSE),"не найдено"))</f>
        <v/>
      </c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6">
        <f>IF($A120="","",COUNTA($C120:$N120)/12)</f>
        <v/>
      </c>
      <c r="P120" s="7">
        <f>IF($A120="","",IFERROR(AVERAGEIF('03_Факты_сайта'!$B\$4:$B\$503,$A120,'03_Факты_сайта'!$I\$4:$I\$503),0))</f>
        <v/>
      </c>
      <c r="Q120" s="5">
        <f>IF($A120="","",IF($O120&lt;0.5,"недостаточно данных",IF($P120&lt;3,"низкая доказательность",IF($O120&gt;=0.85,"готов к сравнению","требует дополнения"))))</f>
        <v/>
      </c>
    </row>
    <row r="121">
      <c r="A121" s="2" t="n"/>
      <c r="B121" s="5">
        <f>IF($A121="","",IFERROR(VLOOKUP($A121,'02_Конкуренты'!$A\$4:$B\$203,2,FALSE),"не найдено"))</f>
        <v/>
      </c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6">
        <f>IF($A121="","",COUNTA($C121:$N121)/12)</f>
        <v/>
      </c>
      <c r="P121" s="7">
        <f>IF($A121="","",IFERROR(AVERAGEIF('03_Факты_сайта'!$B\$4:$B\$503,$A121,'03_Факты_сайта'!$I\$4:$I\$503),0))</f>
        <v/>
      </c>
      <c r="Q121" s="5">
        <f>IF($A121="","",IF($O121&lt;0.5,"недостаточно данных",IF($P121&lt;3,"низкая доказательность",IF($O121&gt;=0.85,"готов к сравнению","требует дополнения"))))</f>
        <v/>
      </c>
    </row>
    <row r="122">
      <c r="A122" s="2" t="n"/>
      <c r="B122" s="5">
        <f>IF($A122="","",IFERROR(VLOOKUP($A122,'02_Конкуренты'!$A\$4:$B\$203,2,FALSE),"не найдено"))</f>
        <v/>
      </c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6">
        <f>IF($A122="","",COUNTA($C122:$N122)/12)</f>
        <v/>
      </c>
      <c r="P122" s="7">
        <f>IF($A122="","",IFERROR(AVERAGEIF('03_Факты_сайта'!$B\$4:$B\$503,$A122,'03_Факты_сайта'!$I\$4:$I\$503),0))</f>
        <v/>
      </c>
      <c r="Q122" s="5">
        <f>IF($A122="","",IF($O122&lt;0.5,"недостаточно данных",IF($P122&lt;3,"низкая доказательность",IF($O122&gt;=0.85,"готов к сравнению","требует дополнения"))))</f>
        <v/>
      </c>
    </row>
    <row r="123">
      <c r="A123" s="2" t="n"/>
      <c r="B123" s="5">
        <f>IF($A123="","",IFERROR(VLOOKUP($A123,'02_Конкуренты'!$A\$4:$B\$203,2,FALSE),"не найдено"))</f>
        <v/>
      </c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6">
        <f>IF($A123="","",COUNTA($C123:$N123)/12)</f>
        <v/>
      </c>
      <c r="P123" s="7">
        <f>IF($A123="","",IFERROR(AVERAGEIF('03_Факты_сайта'!$B\$4:$B\$503,$A123,'03_Факты_сайта'!$I\$4:$I\$503),0))</f>
        <v/>
      </c>
      <c r="Q123" s="5">
        <f>IF($A123="","",IF($O123&lt;0.5,"недостаточно данных",IF($P123&lt;3,"низкая доказательность",IF($O123&gt;=0.85,"готов к сравнению","требует дополнения"))))</f>
        <v/>
      </c>
    </row>
    <row r="124">
      <c r="A124" s="2" t="n"/>
      <c r="B124" s="5">
        <f>IF($A124="","",IFERROR(VLOOKUP($A124,'02_Конкуренты'!$A\$4:$B\$203,2,FALSE),"не найдено"))</f>
        <v/>
      </c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6">
        <f>IF($A124="","",COUNTA($C124:$N124)/12)</f>
        <v/>
      </c>
      <c r="P124" s="7">
        <f>IF($A124="","",IFERROR(AVERAGEIF('03_Факты_сайта'!$B\$4:$B\$503,$A124,'03_Факты_сайта'!$I\$4:$I\$503),0))</f>
        <v/>
      </c>
      <c r="Q124" s="5">
        <f>IF($A124="","",IF($O124&lt;0.5,"недостаточно данных",IF($P124&lt;3,"низкая доказательность",IF($O124&gt;=0.85,"готов к сравнению","требует дополнения"))))</f>
        <v/>
      </c>
    </row>
    <row r="125">
      <c r="A125" s="2" t="n"/>
      <c r="B125" s="5">
        <f>IF($A125="","",IFERROR(VLOOKUP($A125,'02_Конкуренты'!$A\$4:$B\$203,2,FALSE),"не найдено"))</f>
        <v/>
      </c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6">
        <f>IF($A125="","",COUNTA($C125:$N125)/12)</f>
        <v/>
      </c>
      <c r="P125" s="7">
        <f>IF($A125="","",IFERROR(AVERAGEIF('03_Факты_сайта'!$B\$4:$B\$503,$A125,'03_Факты_сайта'!$I\$4:$I\$503),0))</f>
        <v/>
      </c>
      <c r="Q125" s="5">
        <f>IF($A125="","",IF($O125&lt;0.5,"недостаточно данных",IF($P125&lt;3,"низкая доказательность",IF($O125&gt;=0.85,"готов к сравнению","требует дополнения"))))</f>
        <v/>
      </c>
    </row>
    <row r="126">
      <c r="A126" s="2" t="n"/>
      <c r="B126" s="5">
        <f>IF($A126="","",IFERROR(VLOOKUP($A126,'02_Конкуренты'!$A\$4:$B\$203,2,FALSE),"не найдено"))</f>
        <v/>
      </c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6">
        <f>IF($A126="","",COUNTA($C126:$N126)/12)</f>
        <v/>
      </c>
      <c r="P126" s="7">
        <f>IF($A126="","",IFERROR(AVERAGEIF('03_Факты_сайта'!$B\$4:$B\$503,$A126,'03_Факты_сайта'!$I\$4:$I\$503),0))</f>
        <v/>
      </c>
      <c r="Q126" s="5">
        <f>IF($A126="","",IF($O126&lt;0.5,"недостаточно данных",IF($P126&lt;3,"низкая доказательность",IF($O126&gt;=0.85,"готов к сравнению","требует дополнения"))))</f>
        <v/>
      </c>
    </row>
    <row r="127">
      <c r="A127" s="2" t="n"/>
      <c r="B127" s="5">
        <f>IF($A127="","",IFERROR(VLOOKUP($A127,'02_Конкуренты'!$A\$4:$B\$203,2,FALSE),"не найдено"))</f>
        <v/>
      </c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6">
        <f>IF($A127="","",COUNTA($C127:$N127)/12)</f>
        <v/>
      </c>
      <c r="P127" s="7">
        <f>IF($A127="","",IFERROR(AVERAGEIF('03_Факты_сайта'!$B\$4:$B\$503,$A127,'03_Факты_сайта'!$I\$4:$I\$503),0))</f>
        <v/>
      </c>
      <c r="Q127" s="5">
        <f>IF($A127="","",IF($O127&lt;0.5,"недостаточно данных",IF($P127&lt;3,"низкая доказательность",IF($O127&gt;=0.85,"готов к сравнению","требует дополнения"))))</f>
        <v/>
      </c>
    </row>
    <row r="128">
      <c r="A128" s="2" t="n"/>
      <c r="B128" s="5">
        <f>IF($A128="","",IFERROR(VLOOKUP($A128,'02_Конкуренты'!$A\$4:$B\$203,2,FALSE),"не найдено"))</f>
        <v/>
      </c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6">
        <f>IF($A128="","",COUNTA($C128:$N128)/12)</f>
        <v/>
      </c>
      <c r="P128" s="7">
        <f>IF($A128="","",IFERROR(AVERAGEIF('03_Факты_сайта'!$B\$4:$B\$503,$A128,'03_Факты_сайта'!$I\$4:$I\$503),0))</f>
        <v/>
      </c>
      <c r="Q128" s="5">
        <f>IF($A128="","",IF($O128&lt;0.5,"недостаточно данных",IF($P128&lt;3,"низкая доказательность",IF($O128&gt;=0.85,"готов к сравнению","требует дополнения"))))</f>
        <v/>
      </c>
    </row>
    <row r="129">
      <c r="A129" s="2" t="n"/>
      <c r="B129" s="5">
        <f>IF($A129="","",IFERROR(VLOOKUP($A129,'02_Конкуренты'!$A\$4:$B\$203,2,FALSE),"не найдено"))</f>
        <v/>
      </c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6">
        <f>IF($A129="","",COUNTA($C129:$N129)/12)</f>
        <v/>
      </c>
      <c r="P129" s="7">
        <f>IF($A129="","",IFERROR(AVERAGEIF('03_Факты_сайта'!$B\$4:$B\$503,$A129,'03_Факты_сайта'!$I\$4:$I\$503),0))</f>
        <v/>
      </c>
      <c r="Q129" s="5">
        <f>IF($A129="","",IF($O129&lt;0.5,"недостаточно данных",IF($P129&lt;3,"низкая доказательность",IF($O129&gt;=0.85,"готов к сравнению","требует дополнения"))))</f>
        <v/>
      </c>
    </row>
    <row r="130">
      <c r="A130" s="2" t="n"/>
      <c r="B130" s="5">
        <f>IF($A130="","",IFERROR(VLOOKUP($A130,'02_Конкуренты'!$A\$4:$B\$203,2,FALSE),"не найдено"))</f>
        <v/>
      </c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6">
        <f>IF($A130="","",COUNTA($C130:$N130)/12)</f>
        <v/>
      </c>
      <c r="P130" s="7">
        <f>IF($A130="","",IFERROR(AVERAGEIF('03_Факты_сайта'!$B\$4:$B\$503,$A130,'03_Факты_сайта'!$I\$4:$I\$503),0))</f>
        <v/>
      </c>
      <c r="Q130" s="5">
        <f>IF($A130="","",IF($O130&lt;0.5,"недостаточно данных",IF($P130&lt;3,"низкая доказательность",IF($O130&gt;=0.85,"готов к сравнению","требует дополнения"))))</f>
        <v/>
      </c>
    </row>
    <row r="131">
      <c r="A131" s="2" t="n"/>
      <c r="B131" s="5">
        <f>IF($A131="","",IFERROR(VLOOKUP($A131,'02_Конкуренты'!$A\$4:$B\$203,2,FALSE),"не найдено"))</f>
        <v/>
      </c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6">
        <f>IF($A131="","",COUNTA($C131:$N131)/12)</f>
        <v/>
      </c>
      <c r="P131" s="7">
        <f>IF($A131="","",IFERROR(AVERAGEIF('03_Факты_сайта'!$B\$4:$B\$503,$A131,'03_Факты_сайта'!$I\$4:$I\$503),0))</f>
        <v/>
      </c>
      <c r="Q131" s="5">
        <f>IF($A131="","",IF($O131&lt;0.5,"недостаточно данных",IF($P131&lt;3,"низкая доказательность",IF($O131&gt;=0.85,"готов к сравнению","требует дополнения"))))</f>
        <v/>
      </c>
    </row>
    <row r="132">
      <c r="A132" s="2" t="n"/>
      <c r="B132" s="5">
        <f>IF($A132="","",IFERROR(VLOOKUP($A132,'02_Конкуренты'!$A\$4:$B\$203,2,FALSE),"не найдено"))</f>
        <v/>
      </c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6">
        <f>IF($A132="","",COUNTA($C132:$N132)/12)</f>
        <v/>
      </c>
      <c r="P132" s="7">
        <f>IF($A132="","",IFERROR(AVERAGEIF('03_Факты_сайта'!$B\$4:$B\$503,$A132,'03_Факты_сайта'!$I\$4:$I\$503),0))</f>
        <v/>
      </c>
      <c r="Q132" s="5">
        <f>IF($A132="","",IF($O132&lt;0.5,"недостаточно данных",IF($P132&lt;3,"низкая доказательность",IF($O132&gt;=0.85,"готов к сравнению","требует дополнения"))))</f>
        <v/>
      </c>
    </row>
    <row r="133">
      <c r="A133" s="2" t="n"/>
      <c r="B133" s="5">
        <f>IF($A133="","",IFERROR(VLOOKUP($A133,'02_Конкуренты'!$A\$4:$B\$203,2,FALSE),"не найдено"))</f>
        <v/>
      </c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6">
        <f>IF($A133="","",COUNTA($C133:$N133)/12)</f>
        <v/>
      </c>
      <c r="P133" s="7">
        <f>IF($A133="","",IFERROR(AVERAGEIF('03_Факты_сайта'!$B\$4:$B\$503,$A133,'03_Факты_сайта'!$I\$4:$I\$503),0))</f>
        <v/>
      </c>
      <c r="Q133" s="5">
        <f>IF($A133="","",IF($O133&lt;0.5,"недостаточно данных",IF($P133&lt;3,"низкая доказательность",IF($O133&gt;=0.85,"готов к сравнению","требует дополнения"))))</f>
        <v/>
      </c>
    </row>
    <row r="134">
      <c r="A134" s="2" t="n"/>
      <c r="B134" s="5">
        <f>IF($A134="","",IFERROR(VLOOKUP($A134,'02_Конкуренты'!$A\$4:$B\$203,2,FALSE),"не найдено"))</f>
        <v/>
      </c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6">
        <f>IF($A134="","",COUNTA($C134:$N134)/12)</f>
        <v/>
      </c>
      <c r="P134" s="7">
        <f>IF($A134="","",IFERROR(AVERAGEIF('03_Факты_сайта'!$B\$4:$B\$503,$A134,'03_Факты_сайта'!$I\$4:$I\$503),0))</f>
        <v/>
      </c>
      <c r="Q134" s="5">
        <f>IF($A134="","",IF($O134&lt;0.5,"недостаточно данных",IF($P134&lt;3,"низкая доказательность",IF($O134&gt;=0.85,"готов к сравнению","требует дополнения"))))</f>
        <v/>
      </c>
    </row>
    <row r="135">
      <c r="A135" s="2" t="n"/>
      <c r="B135" s="5">
        <f>IF($A135="","",IFERROR(VLOOKUP($A135,'02_Конкуренты'!$A\$4:$B\$203,2,FALSE),"не найдено"))</f>
        <v/>
      </c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6">
        <f>IF($A135="","",COUNTA($C135:$N135)/12)</f>
        <v/>
      </c>
      <c r="P135" s="7">
        <f>IF($A135="","",IFERROR(AVERAGEIF('03_Факты_сайта'!$B\$4:$B\$503,$A135,'03_Факты_сайта'!$I\$4:$I\$503),0))</f>
        <v/>
      </c>
      <c r="Q135" s="5">
        <f>IF($A135="","",IF($O135&lt;0.5,"недостаточно данных",IF($P135&lt;3,"низкая доказательность",IF($O135&gt;=0.85,"готов к сравнению","требует дополнения"))))</f>
        <v/>
      </c>
    </row>
    <row r="136">
      <c r="A136" s="2" t="n"/>
      <c r="B136" s="5">
        <f>IF($A136="","",IFERROR(VLOOKUP($A136,'02_Конкуренты'!$A\$4:$B\$203,2,FALSE),"не найдено"))</f>
        <v/>
      </c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6">
        <f>IF($A136="","",COUNTA($C136:$N136)/12)</f>
        <v/>
      </c>
      <c r="P136" s="7">
        <f>IF($A136="","",IFERROR(AVERAGEIF('03_Факты_сайта'!$B\$4:$B\$503,$A136,'03_Факты_сайта'!$I\$4:$I\$503),0))</f>
        <v/>
      </c>
      <c r="Q136" s="5">
        <f>IF($A136="","",IF($O136&lt;0.5,"недостаточно данных",IF($P136&lt;3,"низкая доказательность",IF($O136&gt;=0.85,"готов к сравнению","требует дополнения"))))</f>
        <v/>
      </c>
    </row>
    <row r="137">
      <c r="A137" s="2" t="n"/>
      <c r="B137" s="5">
        <f>IF($A137="","",IFERROR(VLOOKUP($A137,'02_Конкуренты'!$A\$4:$B\$203,2,FALSE),"не найдено"))</f>
        <v/>
      </c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6">
        <f>IF($A137="","",COUNTA($C137:$N137)/12)</f>
        <v/>
      </c>
      <c r="P137" s="7">
        <f>IF($A137="","",IFERROR(AVERAGEIF('03_Факты_сайта'!$B\$4:$B\$503,$A137,'03_Факты_сайта'!$I\$4:$I\$503),0))</f>
        <v/>
      </c>
      <c r="Q137" s="5">
        <f>IF($A137="","",IF($O137&lt;0.5,"недостаточно данных",IF($P137&lt;3,"низкая доказательность",IF($O137&gt;=0.85,"готов к сравнению","требует дополнения"))))</f>
        <v/>
      </c>
    </row>
    <row r="138">
      <c r="A138" s="2" t="n"/>
      <c r="B138" s="5">
        <f>IF($A138="","",IFERROR(VLOOKUP($A138,'02_Конкуренты'!$A\$4:$B\$203,2,FALSE),"не найдено"))</f>
        <v/>
      </c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6">
        <f>IF($A138="","",COUNTA($C138:$N138)/12)</f>
        <v/>
      </c>
      <c r="P138" s="7">
        <f>IF($A138="","",IFERROR(AVERAGEIF('03_Факты_сайта'!$B\$4:$B\$503,$A138,'03_Факты_сайта'!$I\$4:$I\$503),0))</f>
        <v/>
      </c>
      <c r="Q138" s="5">
        <f>IF($A138="","",IF($O138&lt;0.5,"недостаточно данных",IF($P138&lt;3,"низкая доказательность",IF($O138&gt;=0.85,"готов к сравнению","требует дополнения"))))</f>
        <v/>
      </c>
    </row>
    <row r="139">
      <c r="A139" s="2" t="n"/>
      <c r="B139" s="5">
        <f>IF($A139="","",IFERROR(VLOOKUP($A139,'02_Конкуренты'!$A\$4:$B\$203,2,FALSE),"не найдено"))</f>
        <v/>
      </c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6">
        <f>IF($A139="","",COUNTA($C139:$N139)/12)</f>
        <v/>
      </c>
      <c r="P139" s="7">
        <f>IF($A139="","",IFERROR(AVERAGEIF('03_Факты_сайта'!$B\$4:$B\$503,$A139,'03_Факты_сайта'!$I\$4:$I\$503),0))</f>
        <v/>
      </c>
      <c r="Q139" s="5">
        <f>IF($A139="","",IF($O139&lt;0.5,"недостаточно данных",IF($P139&lt;3,"низкая доказательность",IF($O139&gt;=0.85,"готов к сравнению","требует дополнения"))))</f>
        <v/>
      </c>
    </row>
    <row r="140">
      <c r="A140" s="2" t="n"/>
      <c r="B140" s="5">
        <f>IF($A140="","",IFERROR(VLOOKUP($A140,'02_Конкуренты'!$A\$4:$B\$203,2,FALSE),"не найдено"))</f>
        <v/>
      </c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6">
        <f>IF($A140="","",COUNTA($C140:$N140)/12)</f>
        <v/>
      </c>
      <c r="P140" s="7">
        <f>IF($A140="","",IFERROR(AVERAGEIF('03_Факты_сайта'!$B\$4:$B\$503,$A140,'03_Факты_сайта'!$I\$4:$I\$503),0))</f>
        <v/>
      </c>
      <c r="Q140" s="5">
        <f>IF($A140="","",IF($O140&lt;0.5,"недостаточно данных",IF($P140&lt;3,"низкая доказательность",IF($O140&gt;=0.85,"готов к сравнению","требует дополнения"))))</f>
        <v/>
      </c>
    </row>
    <row r="141">
      <c r="A141" s="2" t="n"/>
      <c r="B141" s="5">
        <f>IF($A141="","",IFERROR(VLOOKUP($A141,'02_Конкуренты'!$A\$4:$B\$203,2,FALSE),"не найдено"))</f>
        <v/>
      </c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6">
        <f>IF($A141="","",COUNTA($C141:$N141)/12)</f>
        <v/>
      </c>
      <c r="P141" s="7">
        <f>IF($A141="","",IFERROR(AVERAGEIF('03_Факты_сайта'!$B\$4:$B\$503,$A141,'03_Факты_сайта'!$I\$4:$I\$503),0))</f>
        <v/>
      </c>
      <c r="Q141" s="5">
        <f>IF($A141="","",IF($O141&lt;0.5,"недостаточно данных",IF($P141&lt;3,"низкая доказательность",IF($O141&gt;=0.85,"готов к сравнению","требует дополнения"))))</f>
        <v/>
      </c>
    </row>
    <row r="142">
      <c r="A142" s="2" t="n"/>
      <c r="B142" s="5">
        <f>IF($A142="","",IFERROR(VLOOKUP($A142,'02_Конкуренты'!$A\$4:$B\$203,2,FALSE),"не найдено"))</f>
        <v/>
      </c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6">
        <f>IF($A142="","",COUNTA($C142:$N142)/12)</f>
        <v/>
      </c>
      <c r="P142" s="7">
        <f>IF($A142="","",IFERROR(AVERAGEIF('03_Факты_сайта'!$B\$4:$B\$503,$A142,'03_Факты_сайта'!$I\$4:$I\$503),0))</f>
        <v/>
      </c>
      <c r="Q142" s="5">
        <f>IF($A142="","",IF($O142&lt;0.5,"недостаточно данных",IF($P142&lt;3,"низкая доказательность",IF($O142&gt;=0.85,"готов к сравнению","требует дополнения"))))</f>
        <v/>
      </c>
    </row>
    <row r="143">
      <c r="A143" s="2" t="n"/>
      <c r="B143" s="5">
        <f>IF($A143="","",IFERROR(VLOOKUP($A143,'02_Конкуренты'!$A\$4:$B\$203,2,FALSE),"не найдено"))</f>
        <v/>
      </c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6">
        <f>IF($A143="","",COUNTA($C143:$N143)/12)</f>
        <v/>
      </c>
      <c r="P143" s="7">
        <f>IF($A143="","",IFERROR(AVERAGEIF('03_Факты_сайта'!$B\$4:$B\$503,$A143,'03_Факты_сайта'!$I\$4:$I\$503),0))</f>
        <v/>
      </c>
      <c r="Q143" s="5">
        <f>IF($A143="","",IF($O143&lt;0.5,"недостаточно данных",IF($P143&lt;3,"низкая доказательность",IF($O143&gt;=0.85,"готов к сравнению","требует дополнения"))))</f>
        <v/>
      </c>
    </row>
    <row r="144">
      <c r="A144" s="2" t="n"/>
      <c r="B144" s="5">
        <f>IF($A144="","",IFERROR(VLOOKUP($A144,'02_Конкуренты'!$A\$4:$B\$203,2,FALSE),"не найдено"))</f>
        <v/>
      </c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6">
        <f>IF($A144="","",COUNTA($C144:$N144)/12)</f>
        <v/>
      </c>
      <c r="P144" s="7">
        <f>IF($A144="","",IFERROR(AVERAGEIF('03_Факты_сайта'!$B\$4:$B\$503,$A144,'03_Факты_сайта'!$I\$4:$I\$503),0))</f>
        <v/>
      </c>
      <c r="Q144" s="5">
        <f>IF($A144="","",IF($O144&lt;0.5,"недостаточно данных",IF($P144&lt;3,"низкая доказательность",IF($O144&gt;=0.85,"готов к сравнению","требует дополнения"))))</f>
        <v/>
      </c>
    </row>
    <row r="145">
      <c r="A145" s="2" t="n"/>
      <c r="B145" s="5">
        <f>IF($A145="","",IFERROR(VLOOKUP($A145,'02_Конкуренты'!$A\$4:$B\$203,2,FALSE),"не найдено"))</f>
        <v/>
      </c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6">
        <f>IF($A145="","",COUNTA($C145:$N145)/12)</f>
        <v/>
      </c>
      <c r="P145" s="7">
        <f>IF($A145="","",IFERROR(AVERAGEIF('03_Факты_сайта'!$B\$4:$B\$503,$A145,'03_Факты_сайта'!$I\$4:$I\$503),0))</f>
        <v/>
      </c>
      <c r="Q145" s="5">
        <f>IF($A145="","",IF($O145&lt;0.5,"недостаточно данных",IF($P145&lt;3,"низкая доказательность",IF($O145&gt;=0.85,"готов к сравнению","требует дополнения"))))</f>
        <v/>
      </c>
    </row>
    <row r="146">
      <c r="A146" s="2" t="n"/>
      <c r="B146" s="5">
        <f>IF($A146="","",IFERROR(VLOOKUP($A146,'02_Конкуренты'!$A\$4:$B\$203,2,FALSE),"не найдено"))</f>
        <v/>
      </c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6">
        <f>IF($A146="","",COUNTA($C146:$N146)/12)</f>
        <v/>
      </c>
      <c r="P146" s="7">
        <f>IF($A146="","",IFERROR(AVERAGEIF('03_Факты_сайта'!$B\$4:$B\$503,$A146,'03_Факты_сайта'!$I\$4:$I\$503),0))</f>
        <v/>
      </c>
      <c r="Q146" s="5">
        <f>IF($A146="","",IF($O146&lt;0.5,"недостаточно данных",IF($P146&lt;3,"низкая доказательность",IF($O146&gt;=0.85,"готов к сравнению","требует дополнения"))))</f>
        <v/>
      </c>
    </row>
    <row r="147">
      <c r="A147" s="2" t="n"/>
      <c r="B147" s="5">
        <f>IF($A147="","",IFERROR(VLOOKUP($A147,'02_Конкуренты'!$A\$4:$B\$203,2,FALSE),"не найдено"))</f>
        <v/>
      </c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6">
        <f>IF($A147="","",COUNTA($C147:$N147)/12)</f>
        <v/>
      </c>
      <c r="P147" s="7">
        <f>IF($A147="","",IFERROR(AVERAGEIF('03_Факты_сайта'!$B\$4:$B\$503,$A147,'03_Факты_сайта'!$I\$4:$I\$503),0))</f>
        <v/>
      </c>
      <c r="Q147" s="5">
        <f>IF($A147="","",IF($O147&lt;0.5,"недостаточно данных",IF($P147&lt;3,"низкая доказательность",IF($O147&gt;=0.85,"готов к сравнению","требует дополнения"))))</f>
        <v/>
      </c>
    </row>
    <row r="148">
      <c r="A148" s="2" t="n"/>
      <c r="B148" s="5">
        <f>IF($A148="","",IFERROR(VLOOKUP($A148,'02_Конкуренты'!$A\$4:$B\$203,2,FALSE),"не найдено"))</f>
        <v/>
      </c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6">
        <f>IF($A148="","",COUNTA($C148:$N148)/12)</f>
        <v/>
      </c>
      <c r="P148" s="7">
        <f>IF($A148="","",IFERROR(AVERAGEIF('03_Факты_сайта'!$B\$4:$B\$503,$A148,'03_Факты_сайта'!$I\$4:$I\$503),0))</f>
        <v/>
      </c>
      <c r="Q148" s="5">
        <f>IF($A148="","",IF($O148&lt;0.5,"недостаточно данных",IF($P148&lt;3,"низкая доказательность",IF($O148&gt;=0.85,"готов к сравнению","требует дополнения"))))</f>
        <v/>
      </c>
    </row>
    <row r="149">
      <c r="A149" s="2" t="n"/>
      <c r="B149" s="5">
        <f>IF($A149="","",IFERROR(VLOOKUP($A149,'02_Конкуренты'!$A\$4:$B\$203,2,FALSE),"не найдено"))</f>
        <v/>
      </c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6">
        <f>IF($A149="","",COUNTA($C149:$N149)/12)</f>
        <v/>
      </c>
      <c r="P149" s="7">
        <f>IF($A149="","",IFERROR(AVERAGEIF('03_Факты_сайта'!$B\$4:$B\$503,$A149,'03_Факты_сайта'!$I\$4:$I\$503),0))</f>
        <v/>
      </c>
      <c r="Q149" s="5">
        <f>IF($A149="","",IF($O149&lt;0.5,"недостаточно данных",IF($P149&lt;3,"низкая доказательность",IF($O149&gt;=0.85,"готов к сравнению","требует дополнения"))))</f>
        <v/>
      </c>
    </row>
    <row r="150">
      <c r="A150" s="2" t="n"/>
      <c r="B150" s="5">
        <f>IF($A150="","",IFERROR(VLOOKUP($A150,'02_Конкуренты'!$A\$4:$B\$203,2,FALSE),"не найдено"))</f>
        <v/>
      </c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6">
        <f>IF($A150="","",COUNTA($C150:$N150)/12)</f>
        <v/>
      </c>
      <c r="P150" s="7">
        <f>IF($A150="","",IFERROR(AVERAGEIF('03_Факты_сайта'!$B\$4:$B\$503,$A150,'03_Факты_сайта'!$I\$4:$I\$503),0))</f>
        <v/>
      </c>
      <c r="Q150" s="5">
        <f>IF($A150="","",IF($O150&lt;0.5,"недостаточно данных",IF($P150&lt;3,"низкая доказательность",IF($O150&gt;=0.85,"готов к сравнению","требует дополнения"))))</f>
        <v/>
      </c>
    </row>
    <row r="151">
      <c r="A151" s="2" t="n"/>
      <c r="B151" s="5">
        <f>IF($A151="","",IFERROR(VLOOKUP($A151,'02_Конкуренты'!$A\$4:$B\$203,2,FALSE),"не найдено"))</f>
        <v/>
      </c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6">
        <f>IF($A151="","",COUNTA($C151:$N151)/12)</f>
        <v/>
      </c>
      <c r="P151" s="7">
        <f>IF($A151="","",IFERROR(AVERAGEIF('03_Факты_сайта'!$B\$4:$B\$503,$A151,'03_Факты_сайта'!$I\$4:$I\$503),0))</f>
        <v/>
      </c>
      <c r="Q151" s="5">
        <f>IF($A151="","",IF($O151&lt;0.5,"недостаточно данных",IF($P151&lt;3,"низкая доказательность",IF($O151&gt;=0.85,"готов к сравнению","требует дополнения"))))</f>
        <v/>
      </c>
    </row>
    <row r="152">
      <c r="A152" s="2" t="n"/>
      <c r="B152" s="5">
        <f>IF($A152="","",IFERROR(VLOOKUP($A152,'02_Конкуренты'!$A\$4:$B\$203,2,FALSE),"не найдено"))</f>
        <v/>
      </c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6">
        <f>IF($A152="","",COUNTA($C152:$N152)/12)</f>
        <v/>
      </c>
      <c r="P152" s="7">
        <f>IF($A152="","",IFERROR(AVERAGEIF('03_Факты_сайта'!$B\$4:$B\$503,$A152,'03_Факты_сайта'!$I\$4:$I\$503),0))</f>
        <v/>
      </c>
      <c r="Q152" s="5">
        <f>IF($A152="","",IF($O152&lt;0.5,"недостаточно данных",IF($P152&lt;3,"низкая доказательность",IF($O152&gt;=0.85,"готов к сравнению","требует дополнения"))))</f>
        <v/>
      </c>
    </row>
    <row r="153">
      <c r="A153" s="2" t="n"/>
      <c r="B153" s="5">
        <f>IF($A153="","",IFERROR(VLOOKUP($A153,'02_Конкуренты'!$A\$4:$B\$203,2,FALSE),"не найдено"))</f>
        <v/>
      </c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6">
        <f>IF($A153="","",COUNTA($C153:$N153)/12)</f>
        <v/>
      </c>
      <c r="P153" s="7">
        <f>IF($A153="","",IFERROR(AVERAGEIF('03_Факты_сайта'!$B\$4:$B\$503,$A153,'03_Факты_сайта'!$I\$4:$I\$503),0))</f>
        <v/>
      </c>
      <c r="Q153" s="5">
        <f>IF($A153="","",IF($O153&lt;0.5,"недостаточно данных",IF($P153&lt;3,"низкая доказательность",IF($O153&gt;=0.85,"готов к сравнению","требует дополнения"))))</f>
        <v/>
      </c>
    </row>
    <row r="154">
      <c r="A154" s="2" t="n"/>
      <c r="B154" s="5">
        <f>IF($A154="","",IFERROR(VLOOKUP($A154,'02_Конкуренты'!$A\$4:$B\$203,2,FALSE),"не найдено"))</f>
        <v/>
      </c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6">
        <f>IF($A154="","",COUNTA($C154:$N154)/12)</f>
        <v/>
      </c>
      <c r="P154" s="7">
        <f>IF($A154="","",IFERROR(AVERAGEIF('03_Факты_сайта'!$B\$4:$B\$503,$A154,'03_Факты_сайта'!$I\$4:$I\$503),0))</f>
        <v/>
      </c>
      <c r="Q154" s="5">
        <f>IF($A154="","",IF($O154&lt;0.5,"недостаточно данных",IF($P154&lt;3,"низкая доказательность",IF($O154&gt;=0.85,"готов к сравнению","требует дополнения"))))</f>
        <v/>
      </c>
    </row>
    <row r="155">
      <c r="A155" s="2" t="n"/>
      <c r="B155" s="5">
        <f>IF($A155="","",IFERROR(VLOOKUP($A155,'02_Конкуренты'!$A\$4:$B\$203,2,FALSE),"не найдено"))</f>
        <v/>
      </c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6">
        <f>IF($A155="","",COUNTA($C155:$N155)/12)</f>
        <v/>
      </c>
      <c r="P155" s="7">
        <f>IF($A155="","",IFERROR(AVERAGEIF('03_Факты_сайта'!$B\$4:$B\$503,$A155,'03_Факты_сайта'!$I\$4:$I\$503),0))</f>
        <v/>
      </c>
      <c r="Q155" s="5">
        <f>IF($A155="","",IF($O155&lt;0.5,"недостаточно данных",IF($P155&lt;3,"низкая доказательность",IF($O155&gt;=0.85,"готов к сравнению","требует дополнения"))))</f>
        <v/>
      </c>
    </row>
    <row r="156">
      <c r="A156" s="2" t="n"/>
      <c r="B156" s="5">
        <f>IF($A156="","",IFERROR(VLOOKUP($A156,'02_Конкуренты'!$A\$4:$B\$203,2,FALSE),"не найдено"))</f>
        <v/>
      </c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6">
        <f>IF($A156="","",COUNTA($C156:$N156)/12)</f>
        <v/>
      </c>
      <c r="P156" s="7">
        <f>IF($A156="","",IFERROR(AVERAGEIF('03_Факты_сайта'!$B\$4:$B\$503,$A156,'03_Факты_сайта'!$I\$4:$I\$503),0))</f>
        <v/>
      </c>
      <c r="Q156" s="5">
        <f>IF($A156="","",IF($O156&lt;0.5,"недостаточно данных",IF($P156&lt;3,"низкая доказательность",IF($O156&gt;=0.85,"готов к сравнению","требует дополнения"))))</f>
        <v/>
      </c>
    </row>
    <row r="157">
      <c r="A157" s="2" t="n"/>
      <c r="B157" s="5">
        <f>IF($A157="","",IFERROR(VLOOKUP($A157,'02_Конкуренты'!$A\$4:$B\$203,2,FALSE),"не найдено"))</f>
        <v/>
      </c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6">
        <f>IF($A157="","",COUNTA($C157:$N157)/12)</f>
        <v/>
      </c>
      <c r="P157" s="7">
        <f>IF($A157="","",IFERROR(AVERAGEIF('03_Факты_сайта'!$B\$4:$B\$503,$A157,'03_Факты_сайта'!$I\$4:$I\$503),0))</f>
        <v/>
      </c>
      <c r="Q157" s="5">
        <f>IF($A157="","",IF($O157&lt;0.5,"недостаточно данных",IF($P157&lt;3,"низкая доказательность",IF($O157&gt;=0.85,"готов к сравнению","требует дополнения"))))</f>
        <v/>
      </c>
    </row>
    <row r="158">
      <c r="A158" s="2" t="n"/>
      <c r="B158" s="5">
        <f>IF($A158="","",IFERROR(VLOOKUP($A158,'02_Конкуренты'!$A\$4:$B\$203,2,FALSE),"не найдено"))</f>
        <v/>
      </c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6">
        <f>IF($A158="","",COUNTA($C158:$N158)/12)</f>
        <v/>
      </c>
      <c r="P158" s="7">
        <f>IF($A158="","",IFERROR(AVERAGEIF('03_Факты_сайта'!$B\$4:$B\$503,$A158,'03_Факты_сайта'!$I\$4:$I\$503),0))</f>
        <v/>
      </c>
      <c r="Q158" s="5">
        <f>IF($A158="","",IF($O158&lt;0.5,"недостаточно данных",IF($P158&lt;3,"низкая доказательность",IF($O158&gt;=0.85,"готов к сравнению","требует дополнения"))))</f>
        <v/>
      </c>
    </row>
    <row r="159">
      <c r="A159" s="2" t="n"/>
      <c r="B159" s="5">
        <f>IF($A159="","",IFERROR(VLOOKUP($A159,'02_Конкуренты'!$A\$4:$B\$203,2,FALSE),"не найдено"))</f>
        <v/>
      </c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6">
        <f>IF($A159="","",COUNTA($C159:$N159)/12)</f>
        <v/>
      </c>
      <c r="P159" s="7">
        <f>IF($A159="","",IFERROR(AVERAGEIF('03_Факты_сайта'!$B\$4:$B\$503,$A159,'03_Факты_сайта'!$I\$4:$I\$503),0))</f>
        <v/>
      </c>
      <c r="Q159" s="5">
        <f>IF($A159="","",IF($O159&lt;0.5,"недостаточно данных",IF($P159&lt;3,"низкая доказательность",IF($O159&gt;=0.85,"готов к сравнению","требует дополнения"))))</f>
        <v/>
      </c>
    </row>
    <row r="160">
      <c r="A160" s="2" t="n"/>
      <c r="B160" s="5">
        <f>IF($A160="","",IFERROR(VLOOKUP($A160,'02_Конкуренты'!$A\$4:$B\$203,2,FALSE),"не найдено"))</f>
        <v/>
      </c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6">
        <f>IF($A160="","",COUNTA($C160:$N160)/12)</f>
        <v/>
      </c>
      <c r="P160" s="7">
        <f>IF($A160="","",IFERROR(AVERAGEIF('03_Факты_сайта'!$B\$4:$B\$503,$A160,'03_Факты_сайта'!$I\$4:$I\$503),0))</f>
        <v/>
      </c>
      <c r="Q160" s="5">
        <f>IF($A160="","",IF($O160&lt;0.5,"недостаточно данных",IF($P160&lt;3,"низкая доказательность",IF($O160&gt;=0.85,"готов к сравнению","требует дополнения"))))</f>
        <v/>
      </c>
    </row>
    <row r="161">
      <c r="A161" s="2" t="n"/>
      <c r="B161" s="5">
        <f>IF($A161="","",IFERROR(VLOOKUP($A161,'02_Конкуренты'!$A\$4:$B\$203,2,FALSE),"не найдено"))</f>
        <v/>
      </c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6">
        <f>IF($A161="","",COUNTA($C161:$N161)/12)</f>
        <v/>
      </c>
      <c r="P161" s="7">
        <f>IF($A161="","",IFERROR(AVERAGEIF('03_Факты_сайта'!$B\$4:$B\$503,$A161,'03_Факты_сайта'!$I\$4:$I\$503),0))</f>
        <v/>
      </c>
      <c r="Q161" s="5">
        <f>IF($A161="","",IF($O161&lt;0.5,"недостаточно данных",IF($P161&lt;3,"низкая доказательность",IF($O161&gt;=0.85,"готов к сравнению","требует дополнения"))))</f>
        <v/>
      </c>
    </row>
    <row r="162">
      <c r="A162" s="2" t="n"/>
      <c r="B162" s="5">
        <f>IF($A162="","",IFERROR(VLOOKUP($A162,'02_Конкуренты'!$A\$4:$B\$203,2,FALSE),"не найдено"))</f>
        <v/>
      </c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6">
        <f>IF($A162="","",COUNTA($C162:$N162)/12)</f>
        <v/>
      </c>
      <c r="P162" s="7">
        <f>IF($A162="","",IFERROR(AVERAGEIF('03_Факты_сайта'!$B\$4:$B\$503,$A162,'03_Факты_сайта'!$I\$4:$I\$503),0))</f>
        <v/>
      </c>
      <c r="Q162" s="5">
        <f>IF($A162="","",IF($O162&lt;0.5,"недостаточно данных",IF($P162&lt;3,"низкая доказательность",IF($O162&gt;=0.85,"готов к сравнению","требует дополнения"))))</f>
        <v/>
      </c>
    </row>
    <row r="163">
      <c r="A163" s="2" t="n"/>
      <c r="B163" s="5">
        <f>IF($A163="","",IFERROR(VLOOKUP($A163,'02_Конкуренты'!$A\$4:$B\$203,2,FALSE),"не найдено"))</f>
        <v/>
      </c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6">
        <f>IF($A163="","",COUNTA($C163:$N163)/12)</f>
        <v/>
      </c>
      <c r="P163" s="7">
        <f>IF($A163="","",IFERROR(AVERAGEIF('03_Факты_сайта'!$B\$4:$B\$503,$A163,'03_Факты_сайта'!$I\$4:$I\$503),0))</f>
        <v/>
      </c>
      <c r="Q163" s="5">
        <f>IF($A163="","",IF($O163&lt;0.5,"недостаточно данных",IF($P163&lt;3,"низкая доказательность",IF($O163&gt;=0.85,"готов к сравнению","требует дополнения"))))</f>
        <v/>
      </c>
    </row>
    <row r="164">
      <c r="A164" s="2" t="n"/>
      <c r="B164" s="5">
        <f>IF($A164="","",IFERROR(VLOOKUP($A164,'02_Конкуренты'!$A\$4:$B\$203,2,FALSE),"не найдено"))</f>
        <v/>
      </c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6">
        <f>IF($A164="","",COUNTA($C164:$N164)/12)</f>
        <v/>
      </c>
      <c r="P164" s="7">
        <f>IF($A164="","",IFERROR(AVERAGEIF('03_Факты_сайта'!$B\$4:$B\$503,$A164,'03_Факты_сайта'!$I\$4:$I\$503),0))</f>
        <v/>
      </c>
      <c r="Q164" s="5">
        <f>IF($A164="","",IF($O164&lt;0.5,"недостаточно данных",IF($P164&lt;3,"низкая доказательность",IF($O164&gt;=0.85,"готов к сравнению","требует дополнения"))))</f>
        <v/>
      </c>
    </row>
    <row r="165">
      <c r="A165" s="2" t="n"/>
      <c r="B165" s="5">
        <f>IF($A165="","",IFERROR(VLOOKUP($A165,'02_Конкуренты'!$A\$4:$B\$203,2,FALSE),"не найдено"))</f>
        <v/>
      </c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6">
        <f>IF($A165="","",COUNTA($C165:$N165)/12)</f>
        <v/>
      </c>
      <c r="P165" s="7">
        <f>IF($A165="","",IFERROR(AVERAGEIF('03_Факты_сайта'!$B\$4:$B\$503,$A165,'03_Факты_сайта'!$I\$4:$I\$503),0))</f>
        <v/>
      </c>
      <c r="Q165" s="5">
        <f>IF($A165="","",IF($O165&lt;0.5,"недостаточно данных",IF($P165&lt;3,"низкая доказательность",IF($O165&gt;=0.85,"готов к сравнению","требует дополнения"))))</f>
        <v/>
      </c>
    </row>
    <row r="166">
      <c r="A166" s="2" t="n"/>
      <c r="B166" s="5">
        <f>IF($A166="","",IFERROR(VLOOKUP($A166,'02_Конкуренты'!$A\$4:$B\$203,2,FALSE),"не найдено"))</f>
        <v/>
      </c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6">
        <f>IF($A166="","",COUNTA($C166:$N166)/12)</f>
        <v/>
      </c>
      <c r="P166" s="7">
        <f>IF($A166="","",IFERROR(AVERAGEIF('03_Факты_сайта'!$B\$4:$B\$503,$A166,'03_Факты_сайта'!$I\$4:$I\$503),0))</f>
        <v/>
      </c>
      <c r="Q166" s="5">
        <f>IF($A166="","",IF($O166&lt;0.5,"недостаточно данных",IF($P166&lt;3,"низкая доказательность",IF($O166&gt;=0.85,"готов к сравнению","требует дополнения"))))</f>
        <v/>
      </c>
    </row>
    <row r="167">
      <c r="A167" s="2" t="n"/>
      <c r="B167" s="5">
        <f>IF($A167="","",IFERROR(VLOOKUP($A167,'02_Конкуренты'!$A\$4:$B\$203,2,FALSE),"не найдено"))</f>
        <v/>
      </c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6">
        <f>IF($A167="","",COUNTA($C167:$N167)/12)</f>
        <v/>
      </c>
      <c r="P167" s="7">
        <f>IF($A167="","",IFERROR(AVERAGEIF('03_Факты_сайта'!$B\$4:$B\$503,$A167,'03_Факты_сайта'!$I\$4:$I\$503),0))</f>
        <v/>
      </c>
      <c r="Q167" s="5">
        <f>IF($A167="","",IF($O167&lt;0.5,"недостаточно данных",IF($P167&lt;3,"низкая доказательность",IF($O167&gt;=0.85,"готов к сравнению","требует дополнения"))))</f>
        <v/>
      </c>
    </row>
    <row r="168">
      <c r="A168" s="2" t="n"/>
      <c r="B168" s="5">
        <f>IF($A168="","",IFERROR(VLOOKUP($A168,'02_Конкуренты'!$A\$4:$B\$203,2,FALSE),"не найдено"))</f>
        <v/>
      </c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6">
        <f>IF($A168="","",COUNTA($C168:$N168)/12)</f>
        <v/>
      </c>
      <c r="P168" s="7">
        <f>IF($A168="","",IFERROR(AVERAGEIF('03_Факты_сайта'!$B\$4:$B\$503,$A168,'03_Факты_сайта'!$I\$4:$I\$503),0))</f>
        <v/>
      </c>
      <c r="Q168" s="5">
        <f>IF($A168="","",IF($O168&lt;0.5,"недостаточно данных",IF($P168&lt;3,"низкая доказательность",IF($O168&gt;=0.85,"готов к сравнению","требует дополнения"))))</f>
        <v/>
      </c>
    </row>
    <row r="169">
      <c r="A169" s="2" t="n"/>
      <c r="B169" s="5">
        <f>IF($A169="","",IFERROR(VLOOKUP($A169,'02_Конкуренты'!$A\$4:$B\$203,2,FALSE),"не найдено"))</f>
        <v/>
      </c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6">
        <f>IF($A169="","",COUNTA($C169:$N169)/12)</f>
        <v/>
      </c>
      <c r="P169" s="7">
        <f>IF($A169="","",IFERROR(AVERAGEIF('03_Факты_сайта'!$B\$4:$B\$503,$A169,'03_Факты_сайта'!$I\$4:$I\$503),0))</f>
        <v/>
      </c>
      <c r="Q169" s="5">
        <f>IF($A169="","",IF($O169&lt;0.5,"недостаточно данных",IF($P169&lt;3,"низкая доказательность",IF($O169&gt;=0.85,"готов к сравнению","требует дополнения"))))</f>
        <v/>
      </c>
    </row>
    <row r="170">
      <c r="A170" s="2" t="n"/>
      <c r="B170" s="5">
        <f>IF($A170="","",IFERROR(VLOOKUP($A170,'02_Конкуренты'!$A\$4:$B\$203,2,FALSE),"не найдено"))</f>
        <v/>
      </c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6">
        <f>IF($A170="","",COUNTA($C170:$N170)/12)</f>
        <v/>
      </c>
      <c r="P170" s="7">
        <f>IF($A170="","",IFERROR(AVERAGEIF('03_Факты_сайта'!$B\$4:$B\$503,$A170,'03_Факты_сайта'!$I\$4:$I\$503),0))</f>
        <v/>
      </c>
      <c r="Q170" s="5">
        <f>IF($A170="","",IF($O170&lt;0.5,"недостаточно данных",IF($P170&lt;3,"низкая доказательность",IF($O170&gt;=0.85,"готов к сравнению","требует дополнения"))))</f>
        <v/>
      </c>
    </row>
    <row r="171">
      <c r="A171" s="2" t="n"/>
      <c r="B171" s="5">
        <f>IF($A171="","",IFERROR(VLOOKUP($A171,'02_Конкуренты'!$A\$4:$B\$203,2,FALSE),"не найдено"))</f>
        <v/>
      </c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6">
        <f>IF($A171="","",COUNTA($C171:$N171)/12)</f>
        <v/>
      </c>
      <c r="P171" s="7">
        <f>IF($A171="","",IFERROR(AVERAGEIF('03_Факты_сайта'!$B\$4:$B\$503,$A171,'03_Факты_сайта'!$I\$4:$I\$503),0))</f>
        <v/>
      </c>
      <c r="Q171" s="5">
        <f>IF($A171="","",IF($O171&lt;0.5,"недостаточно данных",IF($P171&lt;3,"низкая доказательность",IF($O171&gt;=0.85,"готов к сравнению","требует дополнения"))))</f>
        <v/>
      </c>
    </row>
    <row r="172">
      <c r="A172" s="2" t="n"/>
      <c r="B172" s="5">
        <f>IF($A172="","",IFERROR(VLOOKUP($A172,'02_Конкуренты'!$A\$4:$B\$203,2,FALSE),"не найдено"))</f>
        <v/>
      </c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6">
        <f>IF($A172="","",COUNTA($C172:$N172)/12)</f>
        <v/>
      </c>
      <c r="P172" s="7">
        <f>IF($A172="","",IFERROR(AVERAGEIF('03_Факты_сайта'!$B\$4:$B\$503,$A172,'03_Факты_сайта'!$I\$4:$I\$503),0))</f>
        <v/>
      </c>
      <c r="Q172" s="5">
        <f>IF($A172="","",IF($O172&lt;0.5,"недостаточно данных",IF($P172&lt;3,"низкая доказательность",IF($O172&gt;=0.85,"готов к сравнению","требует дополнения"))))</f>
        <v/>
      </c>
    </row>
    <row r="173">
      <c r="A173" s="2" t="n"/>
      <c r="B173" s="5">
        <f>IF($A173="","",IFERROR(VLOOKUP($A173,'02_Конкуренты'!$A\$4:$B\$203,2,FALSE),"не найдено"))</f>
        <v/>
      </c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6">
        <f>IF($A173="","",COUNTA($C173:$N173)/12)</f>
        <v/>
      </c>
      <c r="P173" s="7">
        <f>IF($A173="","",IFERROR(AVERAGEIF('03_Факты_сайта'!$B\$4:$B\$503,$A173,'03_Факты_сайта'!$I\$4:$I\$503),0))</f>
        <v/>
      </c>
      <c r="Q173" s="5">
        <f>IF($A173="","",IF($O173&lt;0.5,"недостаточно данных",IF($P173&lt;3,"низкая доказательность",IF($O173&gt;=0.85,"готов к сравнению","требует дополнения"))))</f>
        <v/>
      </c>
    </row>
    <row r="174">
      <c r="A174" s="2" t="n"/>
      <c r="B174" s="5">
        <f>IF($A174="","",IFERROR(VLOOKUP($A174,'02_Конкуренты'!$A\$4:$B\$203,2,FALSE),"не найдено"))</f>
        <v/>
      </c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6">
        <f>IF($A174="","",COUNTA($C174:$N174)/12)</f>
        <v/>
      </c>
      <c r="P174" s="7">
        <f>IF($A174="","",IFERROR(AVERAGEIF('03_Факты_сайта'!$B\$4:$B\$503,$A174,'03_Факты_сайта'!$I\$4:$I\$503),0))</f>
        <v/>
      </c>
      <c r="Q174" s="5">
        <f>IF($A174="","",IF($O174&lt;0.5,"недостаточно данных",IF($P174&lt;3,"низкая доказательность",IF($O174&gt;=0.85,"готов к сравнению","требует дополнения"))))</f>
        <v/>
      </c>
    </row>
    <row r="175">
      <c r="A175" s="2" t="n"/>
      <c r="B175" s="5">
        <f>IF($A175="","",IFERROR(VLOOKUP($A175,'02_Конкуренты'!$A\$4:$B\$203,2,FALSE),"не найдено"))</f>
        <v/>
      </c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6">
        <f>IF($A175="","",COUNTA($C175:$N175)/12)</f>
        <v/>
      </c>
      <c r="P175" s="7">
        <f>IF($A175="","",IFERROR(AVERAGEIF('03_Факты_сайта'!$B\$4:$B\$503,$A175,'03_Факты_сайта'!$I\$4:$I\$503),0))</f>
        <v/>
      </c>
      <c r="Q175" s="5">
        <f>IF($A175="","",IF($O175&lt;0.5,"недостаточно данных",IF($P175&lt;3,"низкая доказательность",IF($O175&gt;=0.85,"готов к сравнению","требует дополнения"))))</f>
        <v/>
      </c>
    </row>
    <row r="176">
      <c r="A176" s="2" t="n"/>
      <c r="B176" s="5">
        <f>IF($A176="","",IFERROR(VLOOKUP($A176,'02_Конкуренты'!$A\$4:$B\$203,2,FALSE),"не найдено"))</f>
        <v/>
      </c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6">
        <f>IF($A176="","",COUNTA($C176:$N176)/12)</f>
        <v/>
      </c>
      <c r="P176" s="7">
        <f>IF($A176="","",IFERROR(AVERAGEIF('03_Факты_сайта'!$B\$4:$B\$503,$A176,'03_Факты_сайта'!$I\$4:$I\$503),0))</f>
        <v/>
      </c>
      <c r="Q176" s="5">
        <f>IF($A176="","",IF($O176&lt;0.5,"недостаточно данных",IF($P176&lt;3,"низкая доказательность",IF($O176&gt;=0.85,"готов к сравнению","требует дополнения"))))</f>
        <v/>
      </c>
    </row>
    <row r="177">
      <c r="A177" s="2" t="n"/>
      <c r="B177" s="5">
        <f>IF($A177="","",IFERROR(VLOOKUP($A177,'02_Конкуренты'!$A\$4:$B\$203,2,FALSE),"не найдено"))</f>
        <v/>
      </c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6">
        <f>IF($A177="","",COUNTA($C177:$N177)/12)</f>
        <v/>
      </c>
      <c r="P177" s="7">
        <f>IF($A177="","",IFERROR(AVERAGEIF('03_Факты_сайта'!$B\$4:$B\$503,$A177,'03_Факты_сайта'!$I\$4:$I\$503),0))</f>
        <v/>
      </c>
      <c r="Q177" s="5">
        <f>IF($A177="","",IF($O177&lt;0.5,"недостаточно данных",IF($P177&lt;3,"низкая доказательность",IF($O177&gt;=0.85,"готов к сравнению","требует дополнения"))))</f>
        <v/>
      </c>
    </row>
    <row r="178">
      <c r="A178" s="2" t="n"/>
      <c r="B178" s="5">
        <f>IF($A178="","",IFERROR(VLOOKUP($A178,'02_Конкуренты'!$A\$4:$B\$203,2,FALSE),"не найдено"))</f>
        <v/>
      </c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6">
        <f>IF($A178="","",COUNTA($C178:$N178)/12)</f>
        <v/>
      </c>
      <c r="P178" s="7">
        <f>IF($A178="","",IFERROR(AVERAGEIF('03_Факты_сайта'!$B\$4:$B\$503,$A178,'03_Факты_сайта'!$I\$4:$I\$503),0))</f>
        <v/>
      </c>
      <c r="Q178" s="5">
        <f>IF($A178="","",IF($O178&lt;0.5,"недостаточно данных",IF($P178&lt;3,"низкая доказательность",IF($O178&gt;=0.85,"готов к сравнению","требует дополнения"))))</f>
        <v/>
      </c>
    </row>
    <row r="179">
      <c r="A179" s="2" t="n"/>
      <c r="B179" s="5">
        <f>IF($A179="","",IFERROR(VLOOKUP($A179,'02_Конкуренты'!$A\$4:$B\$203,2,FALSE),"не найдено"))</f>
        <v/>
      </c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6">
        <f>IF($A179="","",COUNTA($C179:$N179)/12)</f>
        <v/>
      </c>
      <c r="P179" s="7">
        <f>IF($A179="","",IFERROR(AVERAGEIF('03_Факты_сайта'!$B\$4:$B\$503,$A179,'03_Факты_сайта'!$I\$4:$I\$503),0))</f>
        <v/>
      </c>
      <c r="Q179" s="5">
        <f>IF($A179="","",IF($O179&lt;0.5,"недостаточно данных",IF($P179&lt;3,"низкая доказательность",IF($O179&gt;=0.85,"готов к сравнению","требует дополнения"))))</f>
        <v/>
      </c>
    </row>
    <row r="180">
      <c r="A180" s="2" t="n"/>
      <c r="B180" s="5">
        <f>IF($A180="","",IFERROR(VLOOKUP($A180,'02_Конкуренты'!$A\$4:$B\$203,2,FALSE),"не найдено"))</f>
        <v/>
      </c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6">
        <f>IF($A180="","",COUNTA($C180:$N180)/12)</f>
        <v/>
      </c>
      <c r="P180" s="7">
        <f>IF($A180="","",IFERROR(AVERAGEIF('03_Факты_сайта'!$B\$4:$B\$503,$A180,'03_Факты_сайта'!$I\$4:$I\$503),0))</f>
        <v/>
      </c>
      <c r="Q180" s="5">
        <f>IF($A180="","",IF($O180&lt;0.5,"недостаточно данных",IF($P180&lt;3,"низкая доказательность",IF($O180&gt;=0.85,"готов к сравнению","требует дополнения"))))</f>
        <v/>
      </c>
    </row>
    <row r="181">
      <c r="A181" s="2" t="n"/>
      <c r="B181" s="5">
        <f>IF($A181="","",IFERROR(VLOOKUP($A181,'02_Конкуренты'!$A\$4:$B\$203,2,FALSE),"не найдено"))</f>
        <v/>
      </c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6">
        <f>IF($A181="","",COUNTA($C181:$N181)/12)</f>
        <v/>
      </c>
      <c r="P181" s="7">
        <f>IF($A181="","",IFERROR(AVERAGEIF('03_Факты_сайта'!$B\$4:$B\$503,$A181,'03_Факты_сайта'!$I\$4:$I\$503),0))</f>
        <v/>
      </c>
      <c r="Q181" s="5">
        <f>IF($A181="","",IF($O181&lt;0.5,"недостаточно данных",IF($P181&lt;3,"низкая доказательность",IF($O181&gt;=0.85,"готов к сравнению","требует дополнения"))))</f>
        <v/>
      </c>
    </row>
    <row r="182">
      <c r="A182" s="2" t="n"/>
      <c r="B182" s="5">
        <f>IF($A182="","",IFERROR(VLOOKUP($A182,'02_Конкуренты'!$A\$4:$B\$203,2,FALSE),"не найдено"))</f>
        <v/>
      </c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6">
        <f>IF($A182="","",COUNTA($C182:$N182)/12)</f>
        <v/>
      </c>
      <c r="P182" s="7">
        <f>IF($A182="","",IFERROR(AVERAGEIF('03_Факты_сайта'!$B\$4:$B\$503,$A182,'03_Факты_сайта'!$I\$4:$I\$503),0))</f>
        <v/>
      </c>
      <c r="Q182" s="5">
        <f>IF($A182="","",IF($O182&lt;0.5,"недостаточно данных",IF($P182&lt;3,"низкая доказательность",IF($O182&gt;=0.85,"готов к сравнению","требует дополнения"))))</f>
        <v/>
      </c>
    </row>
    <row r="183">
      <c r="A183" s="2" t="n"/>
      <c r="B183" s="5">
        <f>IF($A183="","",IFERROR(VLOOKUP($A183,'02_Конкуренты'!$A\$4:$B\$203,2,FALSE),"не найдено"))</f>
        <v/>
      </c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6">
        <f>IF($A183="","",COUNTA($C183:$N183)/12)</f>
        <v/>
      </c>
      <c r="P183" s="7">
        <f>IF($A183="","",IFERROR(AVERAGEIF('03_Факты_сайта'!$B\$4:$B\$503,$A183,'03_Факты_сайта'!$I\$4:$I\$503),0))</f>
        <v/>
      </c>
      <c r="Q183" s="5">
        <f>IF($A183="","",IF($O183&lt;0.5,"недостаточно данных",IF($P183&lt;3,"низкая доказательность",IF($O183&gt;=0.85,"готов к сравнению","требует дополнения"))))</f>
        <v/>
      </c>
    </row>
    <row r="184">
      <c r="A184" s="2" t="n"/>
      <c r="B184" s="5">
        <f>IF($A184="","",IFERROR(VLOOKUP($A184,'02_Конкуренты'!$A\$4:$B\$203,2,FALSE),"не найдено"))</f>
        <v/>
      </c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6">
        <f>IF($A184="","",COUNTA($C184:$N184)/12)</f>
        <v/>
      </c>
      <c r="P184" s="7">
        <f>IF($A184="","",IFERROR(AVERAGEIF('03_Факты_сайта'!$B\$4:$B\$503,$A184,'03_Факты_сайта'!$I\$4:$I\$503),0))</f>
        <v/>
      </c>
      <c r="Q184" s="5">
        <f>IF($A184="","",IF($O184&lt;0.5,"недостаточно данных",IF($P184&lt;3,"низкая доказательность",IF($O184&gt;=0.85,"готов к сравнению","требует дополнения"))))</f>
        <v/>
      </c>
    </row>
    <row r="185">
      <c r="A185" s="2" t="n"/>
      <c r="B185" s="5">
        <f>IF($A185="","",IFERROR(VLOOKUP($A185,'02_Конкуренты'!$A\$4:$B\$203,2,FALSE),"не найдено"))</f>
        <v/>
      </c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6">
        <f>IF($A185="","",COUNTA($C185:$N185)/12)</f>
        <v/>
      </c>
      <c r="P185" s="7">
        <f>IF($A185="","",IFERROR(AVERAGEIF('03_Факты_сайта'!$B\$4:$B\$503,$A185,'03_Факты_сайта'!$I\$4:$I\$503),0))</f>
        <v/>
      </c>
      <c r="Q185" s="5">
        <f>IF($A185="","",IF($O185&lt;0.5,"недостаточно данных",IF($P185&lt;3,"низкая доказательность",IF($O185&gt;=0.85,"готов к сравнению","требует дополнения"))))</f>
        <v/>
      </c>
    </row>
    <row r="186">
      <c r="A186" s="2" t="n"/>
      <c r="B186" s="5">
        <f>IF($A186="","",IFERROR(VLOOKUP($A186,'02_Конкуренты'!$A\$4:$B\$203,2,FALSE),"не найдено"))</f>
        <v/>
      </c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6">
        <f>IF($A186="","",COUNTA($C186:$N186)/12)</f>
        <v/>
      </c>
      <c r="P186" s="7">
        <f>IF($A186="","",IFERROR(AVERAGEIF('03_Факты_сайта'!$B\$4:$B\$503,$A186,'03_Факты_сайта'!$I\$4:$I\$503),0))</f>
        <v/>
      </c>
      <c r="Q186" s="5">
        <f>IF($A186="","",IF($O186&lt;0.5,"недостаточно данных",IF($P186&lt;3,"низкая доказательность",IF($O186&gt;=0.85,"готов к сравнению","требует дополнения"))))</f>
        <v/>
      </c>
    </row>
    <row r="187">
      <c r="A187" s="2" t="n"/>
      <c r="B187" s="5">
        <f>IF($A187="","",IFERROR(VLOOKUP($A187,'02_Конкуренты'!$A\$4:$B\$203,2,FALSE),"не найдено"))</f>
        <v/>
      </c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6">
        <f>IF($A187="","",COUNTA($C187:$N187)/12)</f>
        <v/>
      </c>
      <c r="P187" s="7">
        <f>IF($A187="","",IFERROR(AVERAGEIF('03_Факты_сайта'!$B\$4:$B\$503,$A187,'03_Факты_сайта'!$I\$4:$I\$503),0))</f>
        <v/>
      </c>
      <c r="Q187" s="5">
        <f>IF($A187="","",IF($O187&lt;0.5,"недостаточно данных",IF($P187&lt;3,"низкая доказательность",IF($O187&gt;=0.85,"готов к сравнению","требует дополнения"))))</f>
        <v/>
      </c>
    </row>
    <row r="188">
      <c r="A188" s="2" t="n"/>
      <c r="B188" s="5">
        <f>IF($A188="","",IFERROR(VLOOKUP($A188,'02_Конкуренты'!$A\$4:$B\$203,2,FALSE),"не найдено"))</f>
        <v/>
      </c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6">
        <f>IF($A188="","",COUNTA($C188:$N188)/12)</f>
        <v/>
      </c>
      <c r="P188" s="7">
        <f>IF($A188="","",IFERROR(AVERAGEIF('03_Факты_сайта'!$B\$4:$B\$503,$A188,'03_Факты_сайта'!$I\$4:$I\$503),0))</f>
        <v/>
      </c>
      <c r="Q188" s="5">
        <f>IF($A188="","",IF($O188&lt;0.5,"недостаточно данных",IF($P188&lt;3,"низкая доказательность",IF($O188&gt;=0.85,"готов к сравнению","требует дополнения"))))</f>
        <v/>
      </c>
    </row>
    <row r="189">
      <c r="A189" s="2" t="n"/>
      <c r="B189" s="5">
        <f>IF($A189="","",IFERROR(VLOOKUP($A189,'02_Конкуренты'!$A\$4:$B\$203,2,FALSE),"не найдено"))</f>
        <v/>
      </c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6">
        <f>IF($A189="","",COUNTA($C189:$N189)/12)</f>
        <v/>
      </c>
      <c r="P189" s="7">
        <f>IF($A189="","",IFERROR(AVERAGEIF('03_Факты_сайта'!$B\$4:$B\$503,$A189,'03_Факты_сайта'!$I\$4:$I\$503),0))</f>
        <v/>
      </c>
      <c r="Q189" s="5">
        <f>IF($A189="","",IF($O189&lt;0.5,"недостаточно данных",IF($P189&lt;3,"низкая доказательность",IF($O189&gt;=0.85,"готов к сравнению","требует дополнения"))))</f>
        <v/>
      </c>
    </row>
    <row r="190">
      <c r="A190" s="2" t="n"/>
      <c r="B190" s="5">
        <f>IF($A190="","",IFERROR(VLOOKUP($A190,'02_Конкуренты'!$A\$4:$B\$203,2,FALSE),"не найдено"))</f>
        <v/>
      </c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6">
        <f>IF($A190="","",COUNTA($C190:$N190)/12)</f>
        <v/>
      </c>
      <c r="P190" s="7">
        <f>IF($A190="","",IFERROR(AVERAGEIF('03_Факты_сайта'!$B\$4:$B\$503,$A190,'03_Факты_сайта'!$I\$4:$I\$503),0))</f>
        <v/>
      </c>
      <c r="Q190" s="5">
        <f>IF($A190="","",IF($O190&lt;0.5,"недостаточно данных",IF($P190&lt;3,"низкая доказательность",IF($O190&gt;=0.85,"готов к сравнению","требует дополнения"))))</f>
        <v/>
      </c>
    </row>
    <row r="191">
      <c r="A191" s="2" t="n"/>
      <c r="B191" s="5">
        <f>IF($A191="","",IFERROR(VLOOKUP($A191,'02_Конкуренты'!$A\$4:$B\$203,2,FALSE),"не найдено"))</f>
        <v/>
      </c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6">
        <f>IF($A191="","",COUNTA($C191:$N191)/12)</f>
        <v/>
      </c>
      <c r="P191" s="7">
        <f>IF($A191="","",IFERROR(AVERAGEIF('03_Факты_сайта'!$B\$4:$B\$503,$A191,'03_Факты_сайта'!$I\$4:$I\$503),0))</f>
        <v/>
      </c>
      <c r="Q191" s="5">
        <f>IF($A191="","",IF($O191&lt;0.5,"недостаточно данных",IF($P191&lt;3,"низкая доказательность",IF($O191&gt;=0.85,"готов к сравнению","требует дополнения"))))</f>
        <v/>
      </c>
    </row>
    <row r="192">
      <c r="A192" s="2" t="n"/>
      <c r="B192" s="5">
        <f>IF($A192="","",IFERROR(VLOOKUP($A192,'02_Конкуренты'!$A\$4:$B\$203,2,FALSE),"не найдено"))</f>
        <v/>
      </c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6">
        <f>IF($A192="","",COUNTA($C192:$N192)/12)</f>
        <v/>
      </c>
      <c r="P192" s="7">
        <f>IF($A192="","",IFERROR(AVERAGEIF('03_Факты_сайта'!$B\$4:$B\$503,$A192,'03_Факты_сайта'!$I\$4:$I\$503),0))</f>
        <v/>
      </c>
      <c r="Q192" s="5">
        <f>IF($A192="","",IF($O192&lt;0.5,"недостаточно данных",IF($P192&lt;3,"низкая доказательность",IF($O192&gt;=0.85,"готов к сравнению","требует дополнения"))))</f>
        <v/>
      </c>
    </row>
    <row r="193">
      <c r="A193" s="2" t="n"/>
      <c r="B193" s="5">
        <f>IF($A193="","",IFERROR(VLOOKUP($A193,'02_Конкуренты'!$A\$4:$B\$203,2,FALSE),"не найдено"))</f>
        <v/>
      </c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6">
        <f>IF($A193="","",COUNTA($C193:$N193)/12)</f>
        <v/>
      </c>
      <c r="P193" s="7">
        <f>IF($A193="","",IFERROR(AVERAGEIF('03_Факты_сайта'!$B\$4:$B\$503,$A193,'03_Факты_сайта'!$I\$4:$I\$503),0))</f>
        <v/>
      </c>
      <c r="Q193" s="5">
        <f>IF($A193="","",IF($O193&lt;0.5,"недостаточно данных",IF($P193&lt;3,"низкая доказательность",IF($O193&gt;=0.85,"готов к сравнению","требует дополнения"))))</f>
        <v/>
      </c>
    </row>
    <row r="194">
      <c r="A194" s="2" t="n"/>
      <c r="B194" s="5">
        <f>IF($A194="","",IFERROR(VLOOKUP($A194,'02_Конкуренты'!$A\$4:$B\$203,2,FALSE),"не найдено"))</f>
        <v/>
      </c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6">
        <f>IF($A194="","",COUNTA($C194:$N194)/12)</f>
        <v/>
      </c>
      <c r="P194" s="7">
        <f>IF($A194="","",IFERROR(AVERAGEIF('03_Факты_сайта'!$B\$4:$B\$503,$A194,'03_Факты_сайта'!$I\$4:$I\$503),0))</f>
        <v/>
      </c>
      <c r="Q194" s="5">
        <f>IF($A194="","",IF($O194&lt;0.5,"недостаточно данных",IF($P194&lt;3,"низкая доказательность",IF($O194&gt;=0.85,"готов к сравнению","требует дополнения"))))</f>
        <v/>
      </c>
    </row>
    <row r="195">
      <c r="A195" s="2" t="n"/>
      <c r="B195" s="5">
        <f>IF($A195="","",IFERROR(VLOOKUP($A195,'02_Конкуренты'!$A\$4:$B\$203,2,FALSE),"не найдено"))</f>
        <v/>
      </c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6">
        <f>IF($A195="","",COUNTA($C195:$N195)/12)</f>
        <v/>
      </c>
      <c r="P195" s="7">
        <f>IF($A195="","",IFERROR(AVERAGEIF('03_Факты_сайта'!$B\$4:$B\$503,$A195,'03_Факты_сайта'!$I\$4:$I\$503),0))</f>
        <v/>
      </c>
      <c r="Q195" s="5">
        <f>IF($A195="","",IF($O195&lt;0.5,"недостаточно данных",IF($P195&lt;3,"низкая доказательность",IF($O195&gt;=0.85,"готов к сравнению","требует дополнения"))))</f>
        <v/>
      </c>
    </row>
    <row r="196">
      <c r="A196" s="2" t="n"/>
      <c r="B196" s="5">
        <f>IF($A196="","",IFERROR(VLOOKUP($A196,'02_Конкуренты'!$A\$4:$B\$203,2,FALSE),"не найдено"))</f>
        <v/>
      </c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6">
        <f>IF($A196="","",COUNTA($C196:$N196)/12)</f>
        <v/>
      </c>
      <c r="P196" s="7">
        <f>IF($A196="","",IFERROR(AVERAGEIF('03_Факты_сайта'!$B\$4:$B\$503,$A196,'03_Факты_сайта'!$I\$4:$I\$503),0))</f>
        <v/>
      </c>
      <c r="Q196" s="5">
        <f>IF($A196="","",IF($O196&lt;0.5,"недостаточно данных",IF($P196&lt;3,"низкая доказательность",IF($O196&gt;=0.85,"готов к сравнению","требует дополнения"))))</f>
        <v/>
      </c>
    </row>
    <row r="197">
      <c r="A197" s="2" t="n"/>
      <c r="B197" s="5">
        <f>IF($A197="","",IFERROR(VLOOKUP($A197,'02_Конкуренты'!$A\$4:$B\$203,2,FALSE),"не найдено"))</f>
        <v/>
      </c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6">
        <f>IF($A197="","",COUNTA($C197:$N197)/12)</f>
        <v/>
      </c>
      <c r="P197" s="7">
        <f>IF($A197="","",IFERROR(AVERAGEIF('03_Факты_сайта'!$B\$4:$B\$503,$A197,'03_Факты_сайта'!$I\$4:$I\$503),0))</f>
        <v/>
      </c>
      <c r="Q197" s="5">
        <f>IF($A197="","",IF($O197&lt;0.5,"недостаточно данных",IF($P197&lt;3,"низкая доказательность",IF($O197&gt;=0.85,"готов к сравнению","требует дополнения"))))</f>
        <v/>
      </c>
    </row>
    <row r="198">
      <c r="A198" s="2" t="n"/>
      <c r="B198" s="5">
        <f>IF($A198="","",IFERROR(VLOOKUP($A198,'02_Конкуренты'!$A\$4:$B\$203,2,FALSE),"не найдено"))</f>
        <v/>
      </c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6">
        <f>IF($A198="","",COUNTA($C198:$N198)/12)</f>
        <v/>
      </c>
      <c r="P198" s="7">
        <f>IF($A198="","",IFERROR(AVERAGEIF('03_Факты_сайта'!$B\$4:$B\$503,$A198,'03_Факты_сайта'!$I\$4:$I\$503),0))</f>
        <v/>
      </c>
      <c r="Q198" s="5">
        <f>IF($A198="","",IF($O198&lt;0.5,"недостаточно данных",IF($P198&lt;3,"низкая доказательность",IF($O198&gt;=0.85,"готов к сравнению","требует дополнения"))))</f>
        <v/>
      </c>
    </row>
    <row r="199">
      <c r="A199" s="2" t="n"/>
      <c r="B199" s="5">
        <f>IF($A199="","",IFERROR(VLOOKUP($A199,'02_Конкуренты'!$A\$4:$B\$203,2,FALSE),"не найдено"))</f>
        <v/>
      </c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6">
        <f>IF($A199="","",COUNTA($C199:$N199)/12)</f>
        <v/>
      </c>
      <c r="P199" s="7">
        <f>IF($A199="","",IFERROR(AVERAGEIF('03_Факты_сайта'!$B\$4:$B\$503,$A199,'03_Факты_сайта'!$I\$4:$I\$503),0))</f>
        <v/>
      </c>
      <c r="Q199" s="5">
        <f>IF($A199="","",IF($O199&lt;0.5,"недостаточно данных",IF($P199&lt;3,"низкая доказательность",IF($O199&gt;=0.85,"готов к сравнению","требует дополнения"))))</f>
        <v/>
      </c>
    </row>
    <row r="200">
      <c r="A200" s="2" t="n"/>
      <c r="B200" s="5">
        <f>IF($A200="","",IFERROR(VLOOKUP($A200,'02_Конкуренты'!$A\$4:$B\$203,2,FALSE),"не найдено"))</f>
        <v/>
      </c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6">
        <f>IF($A200="","",COUNTA($C200:$N200)/12)</f>
        <v/>
      </c>
      <c r="P200" s="7">
        <f>IF($A200="","",IFERROR(AVERAGEIF('03_Факты_сайта'!$B\$4:$B\$503,$A200,'03_Факты_сайта'!$I\$4:$I\$503),0))</f>
        <v/>
      </c>
      <c r="Q200" s="5">
        <f>IF($A200="","",IF($O200&lt;0.5,"недостаточно данных",IF($P200&lt;3,"низкая доказательность",IF($O200&gt;=0.85,"готов к сравнению","требует дополнения"))))</f>
        <v/>
      </c>
    </row>
    <row r="201">
      <c r="A201" s="2" t="n"/>
      <c r="B201" s="5">
        <f>IF($A201="","",IFERROR(VLOOKUP($A201,'02_Конкуренты'!$A\$4:$B\$203,2,FALSE),"не найдено"))</f>
        <v/>
      </c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6">
        <f>IF($A201="","",COUNTA($C201:$N201)/12)</f>
        <v/>
      </c>
      <c r="P201" s="7">
        <f>IF($A201="","",IFERROR(AVERAGEIF('03_Факты_сайта'!$B\$4:$B\$503,$A201,'03_Факты_сайта'!$I\$4:$I\$503),0))</f>
        <v/>
      </c>
      <c r="Q201" s="5">
        <f>IF($A201="","",IF($O201&lt;0.5,"недостаточно данных",IF($P201&lt;3,"низкая доказательность",IF($O201&gt;=0.85,"готов к сравнению","требует дополнения"))))</f>
        <v/>
      </c>
    </row>
    <row r="202">
      <c r="A202" s="2" t="n"/>
      <c r="B202" s="5">
        <f>IF($A202="","",IFERROR(VLOOKUP($A202,'02_Конкуренты'!$A\$4:$B\$203,2,FALSE),"не найдено"))</f>
        <v/>
      </c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6">
        <f>IF($A202="","",COUNTA($C202:$N202)/12)</f>
        <v/>
      </c>
      <c r="P202" s="7">
        <f>IF($A202="","",IFERROR(AVERAGEIF('03_Факты_сайта'!$B\$4:$B\$503,$A202,'03_Факты_сайта'!$I\$4:$I\$503),0))</f>
        <v/>
      </c>
      <c r="Q202" s="5">
        <f>IF($A202="","",IF($O202&lt;0.5,"недостаточно данных",IF($P202&lt;3,"низкая доказательность",IF($O202&gt;=0.85,"готов к сравнению","требует дополнения"))))</f>
        <v/>
      </c>
    </row>
    <row r="203">
      <c r="A203" s="2" t="n"/>
      <c r="B203" s="5">
        <f>IF($A203="","",IFERROR(VLOOKUP($A203,'02_Конкуренты'!$A\$4:$B\$203,2,FALSE),"не найдено"))</f>
        <v/>
      </c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6">
        <f>IF($A203="","",COUNTA($C203:$N203)/12)</f>
        <v/>
      </c>
      <c r="P203" s="7">
        <f>IF($A203="","",IFERROR(AVERAGEIF('03_Факты_сайта'!$B\$4:$B\$503,$A203,'03_Факты_сайта'!$I\$4:$I\$503),0))</f>
        <v/>
      </c>
      <c r="Q203" s="5">
        <f>IF($A203="","",IF($O203&lt;0.5,"недостаточно данных",IF($P203&lt;3,"низкая доказательность",IF($O203&gt;=0.85,"готов к сравнению","требует дополнения"))))</f>
        <v/>
      </c>
    </row>
    <row r="204"/>
    <row r="205">
      <c r="A205" s="22" t="inlineStr">
        <is>
          <t>Примечание: сначала заполните ID конкурента, затем восстановите блоки бизнес-модели на основе листа 03_Факты_сайта. Не заполняйте гипотезу без ссылок на доказательства</t>
        </is>
      </c>
    </row>
  </sheetData>
  <mergeCells count="3">
    <mergeCell ref="A2:Q2"/>
    <mergeCell ref="A205:Q205"/>
    <mergeCell ref="A1:Q1"/>
  </mergeCells>
  <conditionalFormatting sqref="O4:P203">
    <cfRule type="colorScale" priority="1">
      <colorScale>
        <cfvo type="min"/>
        <cfvo type="percentile" val="50"/>
        <cfvo type="max"/>
        <color rgb="FFFEE2E2"/>
        <color rgb="FFFEF3C7"/>
        <color rgb="FFDCFCE7"/>
      </colorScale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03"/>
  <sheetViews>
    <sheetView topLeftCell="K1" workbookViewId="0">
      <selection activeCell="O6" sqref="O6"/>
    </sheetView>
  </sheetViews>
  <sheetFormatPr baseColWidth="8" defaultRowHeight="14.25"/>
  <cols>
    <col width="14" customWidth="1" min="1" max="1"/>
    <col width="24" customWidth="1" min="2" max="2"/>
    <col width="32" customWidth="1" min="3" max="3"/>
    <col width="30" customWidth="1" min="4" max="7"/>
    <col width="34" customWidth="1" min="8" max="9"/>
    <col width="30" customWidth="1" min="10" max="10"/>
    <col width="34" customWidth="1" min="11" max="12"/>
    <col width="42" customWidth="1" min="13" max="13"/>
  </cols>
  <sheetData>
    <row r="1" ht="15" customHeight="1">
      <c r="A1" s="19" t="inlineStr">
        <is>
          <t>Цифровой товар и ценностное предложение</t>
        </is>
      </c>
      <c r="N1" s="14" t="n"/>
      <c r="O1" s="14" t="n"/>
      <c r="P1" s="14" t="n"/>
      <c r="Q1" s="14" t="n"/>
      <c r="R1" s="14" t="n"/>
      <c r="S1" s="14" t="n"/>
      <c r="T1" s="14" t="n"/>
      <c r="U1" s="14" t="n"/>
      <c r="V1" s="14" t="n"/>
      <c r="W1" s="14" t="n"/>
      <c r="X1" s="14" t="n"/>
      <c r="Y1" s="14" t="n"/>
      <c r="Z1" s="14" t="n"/>
    </row>
    <row r="2" ht="19.15" customHeight="1">
      <c r="A2" s="21" t="inlineStr">
        <is>
          <t>Лист помогает отделить сам цифровой товар от упаковки, сервиса, каналов продажи и обещаний на сайте</t>
        </is>
      </c>
    </row>
    <row r="3" ht="29.25" customHeight="1">
      <c r="A3" s="25" t="inlineStr">
        <is>
          <t>ID конкурента</t>
        </is>
      </c>
      <c r="B3" s="25" t="inlineStr">
        <is>
          <t>Название</t>
        </is>
      </c>
      <c r="C3" s="25" t="inlineStr">
        <is>
          <t>Ядро цифрового товара</t>
        </is>
      </c>
      <c r="D3" s="25" t="inlineStr">
        <is>
          <t>Базовое предложение</t>
        </is>
      </c>
      <c r="E3" s="25" t="inlineStr">
        <is>
          <t>Ожидаемый уровень</t>
        </is>
      </c>
      <c r="F3" s="25" t="inlineStr">
        <is>
          <t>Расширенный уровень</t>
        </is>
      </c>
      <c r="G3" s="25" t="inlineStr">
        <is>
          <t>Потенциальное развитие</t>
        </is>
      </c>
      <c r="H3" s="25" t="inlineStr">
        <is>
          <t>Клиентская проблема</t>
        </is>
      </c>
      <c r="I3" s="25" t="inlineStr">
        <is>
          <t>Клиентский результат</t>
        </is>
      </c>
      <c r="J3" s="25" t="inlineStr">
        <is>
          <t>Задача клиента</t>
        </is>
      </c>
      <c r="K3" s="25" t="inlineStr">
        <is>
          <t>Отличие от рынка</t>
        </is>
      </c>
      <c r="L3" s="25" t="inlineStr">
        <is>
          <t>Подтверждающие страницы</t>
        </is>
      </c>
      <c r="M3" s="25" t="inlineStr">
        <is>
          <t>Вывод о роли товара в бизнес-модели</t>
        </is>
      </c>
    </row>
    <row r="4" ht="42.75" customHeight="1">
      <c r="A4" s="2" t="inlineStr">
        <is>
          <t>C01</t>
        </is>
      </c>
      <c r="B4" s="5">
        <f>IF($A4="","",IFERROR(VLOOKUP($A4,'02_Конкуренты'!$A\$4:$B\$203,2,FALSE),"не найдено"))</f>
        <v/>
      </c>
      <c r="C4" s="2" t="inlineStr">
        <is>
          <t>Диаграммы UML из текста</t>
        </is>
      </c>
      <c r="D4" s="2" t="inlineStr">
        <is>
          <t>Построение UML-диаграмм из текстового описания, экспорт PNG, LaTeX, EPS, SVG</t>
        </is>
      </c>
      <c r="E4" s="2" t="inlineStr">
        <is>
          <t>Экспорт, документация, интеграции</t>
        </is>
      </c>
      <c r="F4" s="2" t="inlineStr">
        <is>
          <t>Шаблоны, совместная работа, ИИ, API по тарифам</t>
        </is>
      </c>
      <c r="G4" s="2" t="inlineStr">
        <is>
          <t>Признаки развития на просмотренных страницах не найдены</t>
        </is>
      </c>
      <c r="H4" s="2" t="inlineStr">
        <is>
          <t>Создание UML-диаграмм требует специальных инструментов и ручного рисования</t>
        </is>
      </c>
      <c r="I4" s="2" t="inlineStr">
        <is>
          <t>Диаграммы строятся из текста автоматически — без рисования и без лицензии</t>
        </is>
      </c>
      <c r="J4" s="2" t="inlineStr">
        <is>
          <t>Разработчики, студенты, архитекторы ПО</t>
        </is>
      </c>
      <c r="K4" s="2" t="inlineStr">
        <is>
          <t>ценность - диаграммы из текста; доход не из продажи самого инструмента</t>
        </is>
      </c>
      <c r="L4" s="2" t="inlineStr">
        <is>
          <t>https://plantuml.com/</t>
        </is>
      </c>
      <c r="M4" s="2" t="inlineStr">
        <is>
          <t>Открытая библиотека и сервер; монетизация не из продажи инструмента, а через сервисы и поддержку</t>
        </is>
      </c>
    </row>
    <row r="5" ht="42.75" customHeight="1">
      <c r="A5" s="2" t="inlineStr">
        <is>
          <t>C02</t>
        </is>
      </c>
      <c r="B5" s="5">
        <f>IF($A5="","",IFERROR(VLOOKUP($A5,'02_Конкуренты'!$A\$4:$B\$203,2,FALSE),"не найдено"))</f>
        <v/>
      </c>
      <c r="C5" s="2" t="inlineStr">
        <is>
          <t>Диаграммы из текста и кода</t>
        </is>
      </c>
      <c r="D5" s="2" t="inlineStr">
        <is>
          <t>Диаграммы и визуализации из текста и кода (JavaScript-библиотека)</t>
        </is>
      </c>
      <c r="E5" s="2" t="inlineStr">
        <is>
          <t>Экспорт, документация, интеграции</t>
        </is>
      </c>
      <c r="F5" s="2" t="inlineStr">
        <is>
          <t>Шаблоны, совместная работа, ИИ, API по тарифам</t>
        </is>
      </c>
      <c r="G5" s="2" t="inlineStr">
        <is>
          <t>Признаки развития на просмотренных страницах не найдены</t>
        </is>
      </c>
      <c r="H5" s="2" t="inlineStr">
        <is>
          <t>Диаграммы в документации и коде устаревают и плохо интегрируются с текстом</t>
        </is>
      </c>
      <c r="I5" s="2" t="inlineStr">
        <is>
          <t>Диаграммы встраиваются прямо в Markdown и код; обновляются вместе с документацией</t>
        </is>
      </c>
      <c r="J5" s="2" t="inlineStr">
        <is>
          <t>Разработчики, авторы технической документации</t>
        </is>
      </c>
      <c r="K5" s="2" t="inlineStr">
        <is>
          <t>ядро открытого стандарта, монетизация вынесена в Mermaid Chart</t>
        </is>
      </c>
      <c r="L5" s="2" t="inlineStr">
        <is>
          <t>https://mermaid.js.org/</t>
        </is>
      </c>
      <c r="M5" s="2" t="inlineStr">
        <is>
          <t>Открытая JS-библиотека; ядро — бесплатный стандарт; доход выведен в Mermaid Chart и корпоративные контракты</t>
        </is>
      </c>
    </row>
    <row r="6" ht="42.75" customHeight="1">
      <c r="A6" s="2" t="inlineStr">
        <is>
          <t>C03</t>
        </is>
      </c>
      <c r="B6" s="5">
        <f>IF($A6="","",IFERROR(VLOOKUP($A6,'02_Конкуренты'!$A\$4:$B\$203,2,FALSE),"не найдено"))</f>
        <v/>
      </c>
      <c r="C6" s="2" t="inlineStr">
        <is>
          <t>Облачный редактор Mermaid</t>
        </is>
      </c>
      <c r="D6" s="2" t="inlineStr">
        <is>
          <t>Облачный редактор диаграмм Mermaid с тарифами Free, Plus, Premium</t>
        </is>
      </c>
      <c r="E6" s="2" t="inlineStr">
        <is>
          <t>Экспорт, документация, интеграции</t>
        </is>
      </c>
      <c r="F6" s="2" t="inlineStr">
        <is>
          <t>Шаблоны, совместная работа, ИИ, API по тарифам</t>
        </is>
      </c>
      <c r="G6" s="2" t="inlineStr">
        <is>
          <t>MCP-интеграция (Storm)</t>
        </is>
      </c>
      <c r="H6" s="2" t="inlineStr">
        <is>
          <t>Нет удобного облачного хранения и совместной работы над Mermaid-диаграммами</t>
        </is>
      </c>
      <c r="I6" s="2" t="inlineStr">
        <is>
          <t>Облачное хранение, совместное редактирование и управление доступом к Mermaid-диаграммам</t>
        </is>
      </c>
      <c r="J6" s="2" t="inlineStr">
        <is>
          <t>Команды разработки и документации</t>
        </is>
      </c>
      <c r="K6" s="2" t="inlineStr">
        <is>
          <t>облачный сервис над открытым стандартом: доход от тарифов за пользователя</t>
        </is>
      </c>
      <c r="L6" s="2" t="inlineStr">
        <is>
          <t>https://www.mermaidchart.com/</t>
        </is>
      </c>
      <c r="M6" s="2" t="inlineStr">
        <is>
          <t>SaaS-надстройка над открытым Mermaid; доход от тарифов Free, Plus, Premium за пользователя</t>
        </is>
      </c>
    </row>
    <row r="7" ht="57" customHeight="1">
      <c r="A7" s="2" t="inlineStr">
        <is>
          <t>C04</t>
        </is>
      </c>
      <c r="B7" s="5">
        <f>IF($A7="","",IFERROR(VLOOKUP($A7,'02_Конкуренты'!$A\$4:$B\$203,2,FALSE),"не найдено"))</f>
        <v/>
      </c>
      <c r="C7" s="2" t="inlineStr">
        <is>
          <t>Моделирование и управление процессами</t>
        </is>
      </c>
      <c r="D7" s="2" t="inlineStr">
        <is>
          <t>Платформа из семи модулей: редактор, реестр, архитектура, оргструктура, опросы, ИИ, симуляция</t>
        </is>
      </c>
      <c r="E7" s="2" t="inlineStr">
        <is>
          <t>Экспорт, документация, интеграции</t>
        </is>
      </c>
      <c r="F7" s="2" t="inlineStr">
        <is>
          <t>Шаблоны, совместная работа, ИИ, API по тарифам</t>
        </is>
      </c>
      <c r="G7" s="2" t="inlineStr">
        <is>
          <t>MCP-интеграция (Storm)</t>
        </is>
      </c>
      <c r="H7" s="2" t="inlineStr">
        <is>
          <t>Нет единой русскоязычной платформы для моделирования процессов, реестров и оргструктуры</t>
        </is>
      </c>
      <c r="I7" s="2" t="inlineStr">
        <is>
          <t>Семь модулей в одной платформе: от BPMN-редактора до симуляции и ИИ-советника</t>
        </is>
      </c>
      <c r="J7" s="2" t="inlineStr">
        <is>
          <t>Процессные аналитики, русскоязычный рынок</t>
        </is>
      </c>
      <c r="K7" s="2" t="inlineStr">
        <is>
          <t>платформа процессного управления для русскоязычного рынка: доход от тарифов в рублях и on-prem</t>
        </is>
      </c>
      <c r="L7" s="2" t="inlineStr">
        <is>
          <t>https://stormbpmn.com/</t>
        </is>
      </c>
      <c r="M7" s="2" t="inlineStr">
        <is>
          <t>Комплексная BPM-платформа для русскоязычного рынка; доход от SaaS-подписки и on-prem Enterprise</t>
        </is>
      </c>
    </row>
    <row r="8" ht="42.75" customHeight="1">
      <c r="A8" s="2" t="inlineStr">
        <is>
          <t>C05</t>
        </is>
      </c>
      <c r="B8" s="5">
        <f>IF($A8="","",IFERROR(VLOOKUP($A8,'02_Конкуренты'!$A\$4:$B\$203,2,FALSE),"не найдено"))</f>
        <v/>
      </c>
      <c r="C8" s="2" t="inlineStr">
        <is>
          <t>Бесплатный редактор диаграмм</t>
        </is>
      </c>
      <c r="D8" s="2" t="inlineStr">
        <is>
          <t>Бесплатный онлайн-редактор блок-схем, UML, ER и других диаграмм</t>
        </is>
      </c>
      <c r="E8" s="2" t="inlineStr">
        <is>
          <t>Экспорт, документация, интеграции</t>
        </is>
      </c>
      <c r="F8" s="2" t="inlineStr">
        <is>
          <t>Шаблоны, совместная работа, ИИ, API по тарифам</t>
        </is>
      </c>
      <c r="G8" s="2" t="inlineStr">
        <is>
          <t>Признаки развития на просмотренных страницах не найдены</t>
        </is>
      </c>
      <c r="H8" s="2" t="inlineStr">
        <is>
          <t>Профессиональные инструменты для диаграмм дорогие или требуют установки</t>
        </is>
      </c>
      <c r="I8" s="2" t="inlineStr">
        <is>
          <t>Профессиональные диаграммы в браузере — бесплатно, без регистрации, с экспортом</t>
        </is>
      </c>
      <c r="J8" s="2" t="inlineStr">
        <is>
          <t>Студенты, разработчики, команды</t>
        </is>
      </c>
      <c r="K8" s="2" t="inlineStr">
        <is>
          <t>бесплатный массовый инструмент: привлекает аудиторию, монетизация на сайте не показана</t>
        </is>
      </c>
      <c r="L8" s="2" t="inlineStr">
        <is>
          <t>https://app.diagrams.net/</t>
        </is>
      </c>
      <c r="M8" s="2" t="inlineStr">
        <is>
          <t>Бесплатный массовый инструмент; монетизация на сайте не показана; вероятно — корпоративные интеграции</t>
        </is>
      </c>
    </row>
    <row r="9" ht="42.75" customHeight="1">
      <c r="A9" s="2" t="inlineStr">
        <is>
          <t>C06</t>
        </is>
      </c>
      <c r="B9" s="5">
        <f>IF($A9="","",IFERROR(VLOOKUP($A9,'02_Конкуренты'!$A\$4:$B\$203,2,FALSE),"не найдено"))</f>
        <v/>
      </c>
      <c r="C9" s="2" t="inlineStr">
        <is>
          <t>Облачный редактор диаграмм с ИИ</t>
        </is>
      </c>
      <c r="D9" s="2" t="inlineStr">
        <is>
          <t>Облачный редактор диаграмм с тарифами Free, Individual, Team, Enterprise</t>
        </is>
      </c>
      <c r="E9" s="2" t="inlineStr">
        <is>
          <t>Экспорт, документация, интеграции</t>
        </is>
      </c>
      <c r="F9" s="2" t="inlineStr">
        <is>
          <t>Шаблоны, совместная работа, ИИ, API по тарифам</t>
        </is>
      </c>
      <c r="G9" s="2" t="inlineStr">
        <is>
          <t>MCP-интеграция (Storm)</t>
        </is>
      </c>
      <c r="H9" s="2" t="inlineStr">
        <is>
          <t>Корпоративным командам нужен масштабируемый инструмент с управлением доступом и интеграциями</t>
        </is>
      </c>
      <c r="I9" s="2" t="inlineStr">
        <is>
          <t>Корпоративная визуализация с ИИ, шаблонами, SSO и интеграциями для Enterprise</t>
        </is>
      </c>
      <c r="J9" s="2" t="inlineStr">
        <is>
          <t>Команды, бизнес-пользователи</t>
        </is>
      </c>
      <c r="K9" s="2" t="inlineStr">
        <is>
          <t>облачный сервис с лестницей тарифов Free, Individual, Team, Enterprise</t>
        </is>
      </c>
      <c r="L9" s="2" t="inlineStr">
        <is>
          <t>https://www.lucidchart.com/</t>
        </is>
      </c>
      <c r="M9" s="2" t="inlineStr">
        <is>
          <t>Enterprise SaaS с лестницей тарифов Free–Individual–Team–Enterprise; доход от платных мест и контрактов</t>
        </is>
      </c>
    </row>
    <row r="10" ht="42.75" customHeight="1">
      <c r="A10" s="2" t="inlineStr">
        <is>
          <t>C07</t>
        </is>
      </c>
      <c r="B10" s="5">
        <f>IF($A10="","",IFERROR(VLOOKUP($A10,'02_Конкуренты'!$A\$4:$B\$203,2,FALSE),"не найдено"))</f>
        <v/>
      </c>
      <c r="C10" s="2" t="inlineStr">
        <is>
          <t>ИИ-генерация технических диаграмм</t>
        </is>
      </c>
      <c r="D10" s="2" t="inlineStr">
        <is>
          <t>Создание технических диаграмм с помощью ИИ</t>
        </is>
      </c>
      <c r="E10" s="2" t="inlineStr">
        <is>
          <t>Экспорт, документация, интеграции</t>
        </is>
      </c>
      <c r="F10" s="2" t="inlineStr">
        <is>
          <t>Шаблоны, совместная работа, ИИ, API по тарифам</t>
        </is>
      </c>
      <c r="G10" s="2" t="inlineStr">
        <is>
          <t>MCP-интеграция (Storm)</t>
        </is>
      </c>
      <c r="H10" s="2" t="inlineStr">
        <is>
          <t>Создание технических диаграмм вручную занимает много времени у инженерных команд</t>
        </is>
      </c>
      <c r="I10" s="2" t="inlineStr">
        <is>
          <t>Технические диаграммы генерируются ИИ из описания или кода за секунды</t>
        </is>
      </c>
      <c r="J10" s="2" t="inlineStr">
        <is>
          <t>Инженерные команды, разработчики</t>
        </is>
      </c>
      <c r="K10" s="2" t="inlineStr">
        <is>
          <t>подписка вокруг ИИ-генерации и diagram-as-code для технических команд</t>
        </is>
      </c>
      <c r="L10" s="2" t="inlineStr">
        <is>
          <t>https://www.eraser.io/</t>
        </is>
      </c>
      <c r="M10" s="2" t="inlineStr">
        <is>
          <t>ИИ-первый подход к diagram-as-code; доход от подписок Free, Pro, Enterprise</t>
        </is>
      </c>
    </row>
    <row r="11" ht="57" customHeight="1">
      <c r="A11" s="2" t="inlineStr">
        <is>
          <t>C08</t>
        </is>
      </c>
      <c r="B11" s="5">
        <f>IF($A11="","",IFERROR(VLOOKUP($A11,'02_Конкуренты'!$A\$4:$B\$203,2,FALSE),"не найдено"))</f>
        <v/>
      </c>
      <c r="C11" s="2" t="inlineStr">
        <is>
          <t>Доска, диаграммы и документы</t>
        </is>
      </c>
      <c r="D11" s="2" t="inlineStr">
        <is>
          <t>Редактор диаграмм, схем интерфейсов и документов; тарифы Free, Pro, Business (страница тарифов, 01.10.2026)</t>
        </is>
      </c>
      <c r="E11" s="2" t="inlineStr">
        <is>
          <t>Экспорт, документация, интеграции</t>
        </is>
      </c>
      <c r="F11" s="2" t="inlineStr">
        <is>
          <t>Шаблоны, совместная работа, ИИ, API по тарифам</t>
        </is>
      </c>
      <c r="G11" s="2" t="inlineStr">
        <is>
          <t>Признаки развития на просмотренных страницах не найдены</t>
        </is>
      </c>
      <c r="H11" s="2" t="inlineStr">
        <is>
          <t>Продуктовым командам нужно единое пространство для вайрфреймов, диаграмм и документов</t>
        </is>
      </c>
      <c r="I11" s="2" t="inlineStr">
        <is>
          <t>Единое рабочее пространство: флоучарты, вайрфреймы, майндкарты и документы в одном месте</t>
        </is>
      </c>
      <c r="J11" s="2" t="inlineStr">
        <is>
          <t>Команды продуктов</t>
        </is>
      </c>
      <c r="K11" s="2" t="inlineStr">
        <is>
          <t>подписка для продуктовых команд: доход от платных мест редакторов</t>
        </is>
      </c>
      <c r="L11" s="2" t="inlineStr">
        <is>
          <t>https://whimsical.com/</t>
        </is>
      </c>
      <c r="M11" s="2" t="inlineStr">
        <is>
          <t>Многофункциональный редактор для продуктовых команд; доход от платных мест редакторов (Free, Pro, Business)</t>
        </is>
      </c>
    </row>
    <row r="12">
      <c r="A12" s="2" t="n"/>
      <c r="B12" s="5">
        <f>IF($A12="","",IFERROR(VLOOKUP($A12,'02_Конкуренты'!$A\$4:$B\$203,2,FALSE),"не найдено"))</f>
        <v/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</row>
    <row r="13">
      <c r="A13" s="2" t="n"/>
      <c r="B13" s="5">
        <f>IF($A13="","",IFERROR(VLOOKUP($A13,'02_Конкуренты'!$A\$4:$B\$203,2,FALSE),"не найдено"))</f>
        <v/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</row>
    <row r="14">
      <c r="A14" s="2" t="n"/>
      <c r="B14" s="5">
        <f>IF($A14="","",IFERROR(VLOOKUP($A14,'02_Конкуренты'!$A\$4:$B\$203,2,FALSE),"не найдено"))</f>
        <v/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</row>
    <row r="15">
      <c r="A15" s="2" t="n"/>
      <c r="B15" s="5">
        <f>IF($A15="","",IFERROR(VLOOKUP($A15,'02_Конкуренты'!$A\$4:$B\$203,2,FALSE),"не найдено"))</f>
        <v/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</row>
    <row r="16">
      <c r="A16" s="2" t="n"/>
      <c r="B16" s="5">
        <f>IF($A16="","",IFERROR(VLOOKUP($A16,'02_Конкуренты'!$A\$4:$B\$203,2,FALSE),"не найдено"))</f>
        <v/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</row>
    <row r="17">
      <c r="A17" s="2" t="n"/>
      <c r="B17" s="5">
        <f>IF($A17="","",IFERROR(VLOOKUP($A17,'02_Конкуренты'!$A\$4:$B\$203,2,FALSE),"не найдено"))</f>
        <v/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</row>
    <row r="18">
      <c r="A18" s="2" t="n"/>
      <c r="B18" s="5">
        <f>IF($A18="","",IFERROR(VLOOKUP($A18,'02_Конкуренты'!$A\$4:$B\$203,2,FALSE),"не найдено"))</f>
        <v/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</row>
    <row r="19">
      <c r="A19" s="2" t="n"/>
      <c r="B19" s="5">
        <f>IF($A19="","",IFERROR(VLOOKUP($A19,'02_Конкуренты'!$A\$4:$B\$203,2,FALSE),"не найдено"))</f>
        <v/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</row>
    <row r="20">
      <c r="A20" s="2" t="n"/>
      <c r="B20" s="5">
        <f>IF($A20="","",IFERROR(VLOOKUP($A20,'02_Конкуренты'!$A\$4:$B\$203,2,FALSE),"не найдено"))</f>
        <v/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</row>
    <row r="21">
      <c r="A21" s="2" t="n"/>
      <c r="B21" s="5">
        <f>IF($A21="","",IFERROR(VLOOKUP($A21,'02_Конкуренты'!$A\$4:$B\$203,2,FALSE),"не найдено"))</f>
        <v/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</row>
    <row r="22">
      <c r="A22" s="2" t="n"/>
      <c r="B22" s="5">
        <f>IF($A22="","",IFERROR(VLOOKUP($A22,'02_Конкуренты'!$A\$4:$B\$203,2,FALSE),"не найдено"))</f>
        <v/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</row>
    <row r="23">
      <c r="A23" s="2" t="n"/>
      <c r="B23" s="5">
        <f>IF($A23="","",IFERROR(VLOOKUP($A23,'02_Конкуренты'!$A\$4:$B\$203,2,FALSE),"не найдено"))</f>
        <v/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</row>
    <row r="24">
      <c r="A24" s="2" t="n"/>
      <c r="B24" s="5">
        <f>IF($A24="","",IFERROR(VLOOKUP($A24,'02_Конкуренты'!$A\$4:$B\$203,2,FALSE),"не найдено"))</f>
        <v/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</row>
    <row r="25">
      <c r="A25" s="2" t="n"/>
      <c r="B25" s="5">
        <f>IF($A25="","",IFERROR(VLOOKUP($A25,'02_Конкуренты'!$A\$4:$B\$203,2,FALSE),"не найдено"))</f>
        <v/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</row>
    <row r="26">
      <c r="A26" s="2" t="n"/>
      <c r="B26" s="5">
        <f>IF($A26="","",IFERROR(VLOOKUP($A26,'02_Конкуренты'!$A\$4:$B\$203,2,FALSE),"не найдено"))</f>
        <v/>
      </c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</row>
    <row r="27">
      <c r="A27" s="2" t="n"/>
      <c r="B27" s="5">
        <f>IF($A27="","",IFERROR(VLOOKUP($A27,'02_Конкуренты'!$A\$4:$B\$203,2,FALSE),"не найдено"))</f>
        <v/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</row>
    <row r="28">
      <c r="A28" s="2" t="n"/>
      <c r="B28" s="5">
        <f>IF($A28="","",IFERROR(VLOOKUP($A28,'02_Конкуренты'!$A\$4:$B\$203,2,FALSE),"не найдено"))</f>
        <v/>
      </c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</row>
    <row r="29">
      <c r="A29" s="2" t="n"/>
      <c r="B29" s="5">
        <f>IF($A29="","",IFERROR(VLOOKUP($A29,'02_Конкуренты'!$A\$4:$B\$203,2,FALSE),"не найдено"))</f>
        <v/>
      </c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</row>
    <row r="30">
      <c r="A30" s="2" t="n"/>
      <c r="B30" s="5">
        <f>IF($A30="","",IFERROR(VLOOKUP($A30,'02_Конкуренты'!$A\$4:$B\$203,2,FALSE),"не найдено"))</f>
        <v/>
      </c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</row>
    <row r="31">
      <c r="A31" s="2" t="n"/>
      <c r="B31" s="5">
        <f>IF($A31="","",IFERROR(VLOOKUP($A31,'02_Конкуренты'!$A\$4:$B\$203,2,FALSE),"не найдено"))</f>
        <v/>
      </c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</row>
    <row r="32">
      <c r="A32" s="2" t="n"/>
      <c r="B32" s="5">
        <f>IF($A32="","",IFERROR(VLOOKUP($A32,'02_Конкуренты'!$A\$4:$B\$203,2,FALSE),"не найдено"))</f>
        <v/>
      </c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</row>
    <row r="33">
      <c r="A33" s="2" t="n"/>
      <c r="B33" s="5">
        <f>IF($A33="","",IFERROR(VLOOKUP($A33,'02_Конкуренты'!$A\$4:$B\$203,2,FALSE),"не найдено"))</f>
        <v/>
      </c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</row>
    <row r="34">
      <c r="A34" s="2" t="n"/>
      <c r="B34" s="5">
        <f>IF($A34="","",IFERROR(VLOOKUP($A34,'02_Конкуренты'!$A\$4:$B\$203,2,FALSE),"не найдено"))</f>
        <v/>
      </c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</row>
    <row r="35">
      <c r="A35" s="2" t="n"/>
      <c r="B35" s="5">
        <f>IF($A35="","",IFERROR(VLOOKUP($A35,'02_Конкуренты'!$A\$4:$B\$203,2,FALSE),"не найдено"))</f>
        <v/>
      </c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</row>
    <row r="36">
      <c r="A36" s="2" t="n"/>
      <c r="B36" s="5">
        <f>IF($A36="","",IFERROR(VLOOKUP($A36,'02_Конкуренты'!$A\$4:$B\$203,2,FALSE),"не найдено"))</f>
        <v/>
      </c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</row>
    <row r="37">
      <c r="A37" s="2" t="n"/>
      <c r="B37" s="5">
        <f>IF($A37="","",IFERROR(VLOOKUP($A37,'02_Конкуренты'!$A\$4:$B\$203,2,FALSE),"не найдено"))</f>
        <v/>
      </c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</row>
    <row r="38">
      <c r="A38" s="2" t="n"/>
      <c r="B38" s="5">
        <f>IF($A38="","",IFERROR(VLOOKUP($A38,'02_Конкуренты'!$A\$4:$B\$203,2,FALSE),"не найдено"))</f>
        <v/>
      </c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</row>
    <row r="39">
      <c r="A39" s="2" t="n"/>
      <c r="B39" s="5">
        <f>IF($A39="","",IFERROR(VLOOKUP($A39,'02_Конкуренты'!$A\$4:$B\$203,2,FALSE),"не найдено"))</f>
        <v/>
      </c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</row>
    <row r="40">
      <c r="A40" s="2" t="n"/>
      <c r="B40" s="5">
        <f>IF($A40="","",IFERROR(VLOOKUP($A40,'02_Конкуренты'!$A\$4:$B\$203,2,FALSE),"не найдено"))</f>
        <v/>
      </c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</row>
    <row r="41">
      <c r="A41" s="2" t="n"/>
      <c r="B41" s="5">
        <f>IF($A41="","",IFERROR(VLOOKUP($A41,'02_Конкуренты'!$A\$4:$B\$203,2,FALSE),"не найдено"))</f>
        <v/>
      </c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</row>
    <row r="42">
      <c r="A42" s="2" t="n"/>
      <c r="B42" s="5">
        <f>IF($A42="","",IFERROR(VLOOKUP($A42,'02_Конкуренты'!$A\$4:$B\$203,2,FALSE),"не найдено"))</f>
        <v/>
      </c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</row>
    <row r="43">
      <c r="A43" s="2" t="n"/>
      <c r="B43" s="5">
        <f>IF($A43="","",IFERROR(VLOOKUP($A43,'02_Конкуренты'!$A\$4:$B\$203,2,FALSE),"не найдено"))</f>
        <v/>
      </c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</row>
    <row r="44">
      <c r="A44" s="2" t="n"/>
      <c r="B44" s="5">
        <f>IF($A44="","",IFERROR(VLOOKUP($A44,'02_Конкуренты'!$A\$4:$B\$203,2,FALSE),"не найдено"))</f>
        <v/>
      </c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</row>
    <row r="45">
      <c r="A45" s="2" t="n"/>
      <c r="B45" s="5">
        <f>IF($A45="","",IFERROR(VLOOKUP($A45,'02_Конкуренты'!$A\$4:$B\$203,2,FALSE),"не найдено"))</f>
        <v/>
      </c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</row>
    <row r="46">
      <c r="A46" s="2" t="n"/>
      <c r="B46" s="5">
        <f>IF($A46="","",IFERROR(VLOOKUP($A46,'02_Конкуренты'!$A\$4:$B\$203,2,FALSE),"не найдено"))</f>
        <v/>
      </c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</row>
    <row r="47">
      <c r="A47" s="2" t="n"/>
      <c r="B47" s="5">
        <f>IF($A47="","",IFERROR(VLOOKUP($A47,'02_Конкуренты'!$A\$4:$B\$203,2,FALSE),"не найдено"))</f>
        <v/>
      </c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</row>
    <row r="48">
      <c r="A48" s="2" t="n"/>
      <c r="B48" s="5">
        <f>IF($A48="","",IFERROR(VLOOKUP($A48,'02_Конкуренты'!$A\$4:$B\$203,2,FALSE),"не найдено"))</f>
        <v/>
      </c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</row>
    <row r="49">
      <c r="A49" s="2" t="n"/>
      <c r="B49" s="5">
        <f>IF($A49="","",IFERROR(VLOOKUP($A49,'02_Конкуренты'!$A\$4:$B\$203,2,FALSE),"не найдено"))</f>
        <v/>
      </c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</row>
    <row r="50">
      <c r="A50" s="2" t="n"/>
      <c r="B50" s="5">
        <f>IF($A50="","",IFERROR(VLOOKUP($A50,'02_Конкуренты'!$A\$4:$B\$203,2,FALSE),"не найдено"))</f>
        <v/>
      </c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</row>
    <row r="51">
      <c r="A51" s="2" t="n"/>
      <c r="B51" s="5">
        <f>IF($A51="","",IFERROR(VLOOKUP($A51,'02_Конкуренты'!$A\$4:$B\$203,2,FALSE),"не найдено"))</f>
        <v/>
      </c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</row>
    <row r="52">
      <c r="A52" s="2" t="n"/>
      <c r="B52" s="5">
        <f>IF($A52="","",IFERROR(VLOOKUP($A52,'02_Конкуренты'!$A\$4:$B\$203,2,FALSE),"не найдено"))</f>
        <v/>
      </c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</row>
    <row r="53">
      <c r="A53" s="2" t="n"/>
      <c r="B53" s="5">
        <f>IF($A53="","",IFERROR(VLOOKUP($A53,'02_Конкуренты'!$A\$4:$B\$203,2,FALSE),"не найдено"))</f>
        <v/>
      </c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</row>
    <row r="54">
      <c r="A54" s="2" t="n"/>
      <c r="B54" s="5">
        <f>IF($A54="","",IFERROR(VLOOKUP($A54,'02_Конкуренты'!$A\$4:$B\$203,2,FALSE),"не найдено"))</f>
        <v/>
      </c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</row>
    <row r="55">
      <c r="A55" s="2" t="n"/>
      <c r="B55" s="5">
        <f>IF($A55="","",IFERROR(VLOOKUP($A55,'02_Конкуренты'!$A\$4:$B\$203,2,FALSE),"не найдено"))</f>
        <v/>
      </c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</row>
    <row r="56">
      <c r="A56" s="2" t="n"/>
      <c r="B56" s="5">
        <f>IF($A56="","",IFERROR(VLOOKUP($A56,'02_Конкуренты'!$A\$4:$B\$203,2,FALSE),"не найдено"))</f>
        <v/>
      </c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</row>
    <row r="57">
      <c r="A57" s="2" t="n"/>
      <c r="B57" s="5">
        <f>IF($A57="","",IFERROR(VLOOKUP($A57,'02_Конкуренты'!$A\$4:$B\$203,2,FALSE),"не найдено"))</f>
        <v/>
      </c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</row>
    <row r="58">
      <c r="A58" s="2" t="n"/>
      <c r="B58" s="5">
        <f>IF($A58="","",IFERROR(VLOOKUP($A58,'02_Конкуренты'!$A\$4:$B\$203,2,FALSE),"не найдено"))</f>
        <v/>
      </c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</row>
    <row r="59">
      <c r="A59" s="2" t="n"/>
      <c r="B59" s="5">
        <f>IF($A59="","",IFERROR(VLOOKUP($A59,'02_Конкуренты'!$A\$4:$B\$203,2,FALSE),"не найдено"))</f>
        <v/>
      </c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</row>
    <row r="60">
      <c r="A60" s="2" t="n"/>
      <c r="B60" s="5">
        <f>IF($A60="","",IFERROR(VLOOKUP($A60,'02_Конкуренты'!$A\$4:$B\$203,2,FALSE),"не найдено"))</f>
        <v/>
      </c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</row>
    <row r="61">
      <c r="A61" s="2" t="n"/>
      <c r="B61" s="5">
        <f>IF($A61="","",IFERROR(VLOOKUP($A61,'02_Конкуренты'!$A\$4:$B\$203,2,FALSE),"не найдено"))</f>
        <v/>
      </c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</row>
    <row r="62">
      <c r="A62" s="2" t="n"/>
      <c r="B62" s="5">
        <f>IF($A62="","",IFERROR(VLOOKUP($A62,'02_Конкуренты'!$A\$4:$B\$203,2,FALSE),"не найдено"))</f>
        <v/>
      </c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</row>
    <row r="63">
      <c r="A63" s="2" t="n"/>
      <c r="B63" s="5">
        <f>IF($A63="","",IFERROR(VLOOKUP($A63,'02_Конкуренты'!$A\$4:$B\$203,2,FALSE),"не найдено"))</f>
        <v/>
      </c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</row>
    <row r="64">
      <c r="A64" s="2" t="n"/>
      <c r="B64" s="5">
        <f>IF($A64="","",IFERROR(VLOOKUP($A64,'02_Конкуренты'!$A\$4:$B\$203,2,FALSE),"не найдено"))</f>
        <v/>
      </c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</row>
    <row r="65">
      <c r="A65" s="2" t="n"/>
      <c r="B65" s="5">
        <f>IF($A65="","",IFERROR(VLOOKUP($A65,'02_Конкуренты'!$A\$4:$B\$203,2,FALSE),"не найдено"))</f>
        <v/>
      </c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</row>
    <row r="66">
      <c r="A66" s="2" t="n"/>
      <c r="B66" s="5">
        <f>IF($A66="","",IFERROR(VLOOKUP($A66,'02_Конкуренты'!$A\$4:$B\$203,2,FALSE),"не найдено"))</f>
        <v/>
      </c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</row>
    <row r="67">
      <c r="A67" s="2" t="n"/>
      <c r="B67" s="5">
        <f>IF($A67="","",IFERROR(VLOOKUP($A67,'02_Конкуренты'!$A\$4:$B\$203,2,FALSE),"не найдено"))</f>
        <v/>
      </c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</row>
    <row r="68">
      <c r="A68" s="2" t="n"/>
      <c r="B68" s="5">
        <f>IF($A68="","",IFERROR(VLOOKUP($A68,'02_Конкуренты'!$A\$4:$B\$203,2,FALSE),"не найдено"))</f>
        <v/>
      </c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</row>
    <row r="69">
      <c r="A69" s="2" t="n"/>
      <c r="B69" s="5">
        <f>IF($A69="","",IFERROR(VLOOKUP($A69,'02_Конкуренты'!$A\$4:$B\$203,2,FALSE),"не найдено"))</f>
        <v/>
      </c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</row>
    <row r="70">
      <c r="A70" s="2" t="n"/>
      <c r="B70" s="5">
        <f>IF($A70="","",IFERROR(VLOOKUP($A70,'02_Конкуренты'!$A\$4:$B\$203,2,FALSE),"не найдено"))</f>
        <v/>
      </c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</row>
    <row r="71">
      <c r="A71" s="2" t="n"/>
      <c r="B71" s="5">
        <f>IF($A71="","",IFERROR(VLOOKUP($A71,'02_Конкуренты'!$A\$4:$B\$203,2,FALSE),"не найдено"))</f>
        <v/>
      </c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</row>
    <row r="72">
      <c r="A72" s="2" t="n"/>
      <c r="B72" s="5">
        <f>IF($A72="","",IFERROR(VLOOKUP($A72,'02_Конкуренты'!$A\$4:$B\$203,2,FALSE),"не найдено"))</f>
        <v/>
      </c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</row>
    <row r="73">
      <c r="A73" s="2" t="n"/>
      <c r="B73" s="5">
        <f>IF($A73="","",IFERROR(VLOOKUP($A73,'02_Конкуренты'!$A\$4:$B\$203,2,FALSE),"не найдено"))</f>
        <v/>
      </c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</row>
    <row r="74">
      <c r="A74" s="2" t="n"/>
      <c r="B74" s="5">
        <f>IF($A74="","",IFERROR(VLOOKUP($A74,'02_Конкуренты'!$A\$4:$B\$203,2,FALSE),"не найдено"))</f>
        <v/>
      </c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</row>
    <row r="75">
      <c r="A75" s="2" t="n"/>
      <c r="B75" s="5">
        <f>IF($A75="","",IFERROR(VLOOKUP($A75,'02_Конкуренты'!$A\$4:$B\$203,2,FALSE),"не найдено"))</f>
        <v/>
      </c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</row>
    <row r="76">
      <c r="A76" s="2" t="n"/>
      <c r="B76" s="5">
        <f>IF($A76="","",IFERROR(VLOOKUP($A76,'02_Конкуренты'!$A\$4:$B\$203,2,FALSE),"не найдено"))</f>
        <v/>
      </c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</row>
    <row r="77">
      <c r="A77" s="2" t="n"/>
      <c r="B77" s="5">
        <f>IF($A77="","",IFERROR(VLOOKUP($A77,'02_Конкуренты'!$A\$4:$B\$203,2,FALSE),"не найдено"))</f>
        <v/>
      </c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</row>
    <row r="78">
      <c r="A78" s="2" t="n"/>
      <c r="B78" s="5">
        <f>IF($A78="","",IFERROR(VLOOKUP($A78,'02_Конкуренты'!$A\$4:$B\$203,2,FALSE),"не найдено"))</f>
        <v/>
      </c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</row>
    <row r="79">
      <c r="A79" s="2" t="n"/>
      <c r="B79" s="5">
        <f>IF($A79="","",IFERROR(VLOOKUP($A79,'02_Конкуренты'!$A\$4:$B\$203,2,FALSE),"не найдено"))</f>
        <v/>
      </c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</row>
    <row r="80">
      <c r="A80" s="2" t="n"/>
      <c r="B80" s="5">
        <f>IF($A80="","",IFERROR(VLOOKUP($A80,'02_Конкуренты'!$A\$4:$B\$203,2,FALSE),"не найдено"))</f>
        <v/>
      </c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</row>
    <row r="81">
      <c r="A81" s="2" t="n"/>
      <c r="B81" s="5">
        <f>IF($A81="","",IFERROR(VLOOKUP($A81,'02_Конкуренты'!$A\$4:$B\$203,2,FALSE),"не найдено"))</f>
        <v/>
      </c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</row>
    <row r="82">
      <c r="A82" s="2" t="n"/>
      <c r="B82" s="5">
        <f>IF($A82="","",IFERROR(VLOOKUP($A82,'02_Конкуренты'!$A\$4:$B\$203,2,FALSE),"не найдено"))</f>
        <v/>
      </c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</row>
    <row r="83">
      <c r="A83" s="2" t="n"/>
      <c r="B83" s="5">
        <f>IF($A83="","",IFERROR(VLOOKUP($A83,'02_Конкуренты'!$A\$4:$B\$203,2,FALSE),"не найдено"))</f>
        <v/>
      </c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</row>
    <row r="84">
      <c r="A84" s="2" t="n"/>
      <c r="B84" s="5">
        <f>IF($A84="","",IFERROR(VLOOKUP($A84,'02_Конкуренты'!$A\$4:$B\$203,2,FALSE),"не найдено"))</f>
        <v/>
      </c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</row>
    <row r="85">
      <c r="A85" s="2" t="n"/>
      <c r="B85" s="5">
        <f>IF($A85="","",IFERROR(VLOOKUP($A85,'02_Конкуренты'!$A\$4:$B\$203,2,FALSE),"не найдено"))</f>
        <v/>
      </c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</row>
    <row r="86">
      <c r="A86" s="2" t="n"/>
      <c r="B86" s="5">
        <f>IF($A86="","",IFERROR(VLOOKUP($A86,'02_Конкуренты'!$A\$4:$B\$203,2,FALSE),"не найдено"))</f>
        <v/>
      </c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</row>
    <row r="87">
      <c r="A87" s="2" t="n"/>
      <c r="B87" s="5">
        <f>IF($A87="","",IFERROR(VLOOKUP($A87,'02_Конкуренты'!$A\$4:$B\$203,2,FALSE),"не найдено"))</f>
        <v/>
      </c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</row>
    <row r="88">
      <c r="A88" s="2" t="n"/>
      <c r="B88" s="5">
        <f>IF($A88="","",IFERROR(VLOOKUP($A88,'02_Конкуренты'!$A\$4:$B\$203,2,FALSE),"не найдено"))</f>
        <v/>
      </c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</row>
    <row r="89">
      <c r="A89" s="2" t="n"/>
      <c r="B89" s="5">
        <f>IF($A89="","",IFERROR(VLOOKUP($A89,'02_Конкуренты'!$A\$4:$B\$203,2,FALSE),"не найдено"))</f>
        <v/>
      </c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</row>
    <row r="90">
      <c r="A90" s="2" t="n"/>
      <c r="B90" s="5">
        <f>IF($A90="","",IFERROR(VLOOKUP($A90,'02_Конкуренты'!$A\$4:$B\$203,2,FALSE),"не найдено"))</f>
        <v/>
      </c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</row>
    <row r="91">
      <c r="A91" s="2" t="n"/>
      <c r="B91" s="5">
        <f>IF($A91="","",IFERROR(VLOOKUP($A91,'02_Конкуренты'!$A\$4:$B\$203,2,FALSE),"не найдено"))</f>
        <v/>
      </c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</row>
    <row r="92">
      <c r="A92" s="2" t="n"/>
      <c r="B92" s="5">
        <f>IF($A92="","",IFERROR(VLOOKUP($A92,'02_Конкуренты'!$A\$4:$B\$203,2,FALSE),"не найдено"))</f>
        <v/>
      </c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</row>
    <row r="93">
      <c r="A93" s="2" t="n"/>
      <c r="B93" s="5">
        <f>IF($A93="","",IFERROR(VLOOKUP($A93,'02_Конкуренты'!$A\$4:$B\$203,2,FALSE),"не найдено"))</f>
        <v/>
      </c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</row>
    <row r="94">
      <c r="A94" s="2" t="n"/>
      <c r="B94" s="5">
        <f>IF($A94="","",IFERROR(VLOOKUP($A94,'02_Конкуренты'!$A\$4:$B\$203,2,FALSE),"не найдено"))</f>
        <v/>
      </c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</row>
    <row r="95">
      <c r="A95" s="2" t="n"/>
      <c r="B95" s="5">
        <f>IF($A95="","",IFERROR(VLOOKUP($A95,'02_Конкуренты'!$A\$4:$B\$203,2,FALSE),"не найдено"))</f>
        <v/>
      </c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</row>
    <row r="96">
      <c r="A96" s="2" t="n"/>
      <c r="B96" s="5">
        <f>IF($A96="","",IFERROR(VLOOKUP($A96,'02_Конкуренты'!$A\$4:$B\$203,2,FALSE),"не найдено"))</f>
        <v/>
      </c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</row>
    <row r="97">
      <c r="A97" s="2" t="n"/>
      <c r="B97" s="5">
        <f>IF($A97="","",IFERROR(VLOOKUP($A97,'02_Конкуренты'!$A\$4:$B\$203,2,FALSE),"не найдено"))</f>
        <v/>
      </c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</row>
    <row r="98">
      <c r="A98" s="2" t="n"/>
      <c r="B98" s="5">
        <f>IF($A98="","",IFERROR(VLOOKUP($A98,'02_Конкуренты'!$A\$4:$B\$203,2,FALSE),"не найдено"))</f>
        <v/>
      </c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</row>
    <row r="99">
      <c r="A99" s="2" t="n"/>
      <c r="B99" s="5">
        <f>IF($A99="","",IFERROR(VLOOKUP($A99,'02_Конкуренты'!$A\$4:$B\$203,2,FALSE),"не найдено"))</f>
        <v/>
      </c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</row>
    <row r="100">
      <c r="A100" s="2" t="n"/>
      <c r="B100" s="5">
        <f>IF($A100="","",IFERROR(VLOOKUP($A100,'02_Конкуренты'!$A\$4:$B\$203,2,FALSE),"не найдено"))</f>
        <v/>
      </c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</row>
    <row r="101">
      <c r="A101" s="2" t="n"/>
      <c r="B101" s="5">
        <f>IF($A101="","",IFERROR(VLOOKUP($A101,'02_Конкуренты'!$A\$4:$B\$203,2,FALSE),"не найдено"))</f>
        <v/>
      </c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</row>
    <row r="102">
      <c r="A102" s="2" t="n"/>
      <c r="B102" s="5">
        <f>IF($A102="","",IFERROR(VLOOKUP($A102,'02_Конкуренты'!$A\$4:$B\$203,2,FALSE),"не найдено"))</f>
        <v/>
      </c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</row>
    <row r="103">
      <c r="A103" s="2" t="n"/>
      <c r="B103" s="5">
        <f>IF($A103="","",IFERROR(VLOOKUP($A103,'02_Конкуренты'!$A\$4:$B\$203,2,FALSE),"не найдено"))</f>
        <v/>
      </c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</row>
    <row r="104">
      <c r="A104" s="2" t="n"/>
      <c r="B104" s="5">
        <f>IF($A104="","",IFERROR(VLOOKUP($A104,'02_Конкуренты'!$A\$4:$B\$203,2,FALSE),"не найдено"))</f>
        <v/>
      </c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</row>
    <row r="105">
      <c r="A105" s="2" t="n"/>
      <c r="B105" s="5">
        <f>IF($A105="","",IFERROR(VLOOKUP($A105,'02_Конкуренты'!$A\$4:$B\$203,2,FALSE),"не найдено"))</f>
        <v/>
      </c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</row>
    <row r="106">
      <c r="A106" s="2" t="n"/>
      <c r="B106" s="5">
        <f>IF($A106="","",IFERROR(VLOOKUP($A106,'02_Конкуренты'!$A\$4:$B\$203,2,FALSE),"не найдено"))</f>
        <v/>
      </c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</row>
    <row r="107">
      <c r="A107" s="2" t="n"/>
      <c r="B107" s="5">
        <f>IF($A107="","",IFERROR(VLOOKUP($A107,'02_Конкуренты'!$A\$4:$B\$203,2,FALSE),"не найдено"))</f>
        <v/>
      </c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</row>
    <row r="108">
      <c r="A108" s="2" t="n"/>
      <c r="B108" s="5">
        <f>IF($A108="","",IFERROR(VLOOKUP($A108,'02_Конкуренты'!$A\$4:$B\$203,2,FALSE),"не найдено"))</f>
        <v/>
      </c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</row>
    <row r="109">
      <c r="A109" s="2" t="n"/>
      <c r="B109" s="5">
        <f>IF($A109="","",IFERROR(VLOOKUP($A109,'02_Конкуренты'!$A\$4:$B\$203,2,FALSE),"не найдено"))</f>
        <v/>
      </c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</row>
    <row r="110">
      <c r="A110" s="2" t="n"/>
      <c r="B110" s="5">
        <f>IF($A110="","",IFERROR(VLOOKUP($A110,'02_Конкуренты'!$A\$4:$B\$203,2,FALSE),"не найдено"))</f>
        <v/>
      </c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</row>
    <row r="111">
      <c r="A111" s="2" t="n"/>
      <c r="B111" s="5">
        <f>IF($A111="","",IFERROR(VLOOKUP($A111,'02_Конкуренты'!$A\$4:$B\$203,2,FALSE),"не найдено"))</f>
        <v/>
      </c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</row>
    <row r="112">
      <c r="A112" s="2" t="n"/>
      <c r="B112" s="5">
        <f>IF($A112="","",IFERROR(VLOOKUP($A112,'02_Конкуренты'!$A\$4:$B\$203,2,FALSE),"не найдено"))</f>
        <v/>
      </c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</row>
    <row r="113">
      <c r="A113" s="2" t="n"/>
      <c r="B113" s="5">
        <f>IF($A113="","",IFERROR(VLOOKUP($A113,'02_Конкуренты'!$A\$4:$B\$203,2,FALSE),"не найдено"))</f>
        <v/>
      </c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</row>
    <row r="114">
      <c r="A114" s="2" t="n"/>
      <c r="B114" s="5">
        <f>IF($A114="","",IFERROR(VLOOKUP($A114,'02_Конкуренты'!$A\$4:$B\$203,2,FALSE),"не найдено"))</f>
        <v/>
      </c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</row>
    <row r="115">
      <c r="A115" s="2" t="n"/>
      <c r="B115" s="5">
        <f>IF($A115="","",IFERROR(VLOOKUP($A115,'02_Конкуренты'!$A\$4:$B\$203,2,FALSE),"не найдено"))</f>
        <v/>
      </c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</row>
    <row r="116">
      <c r="A116" s="2" t="n"/>
      <c r="B116" s="5">
        <f>IF($A116="","",IFERROR(VLOOKUP($A116,'02_Конкуренты'!$A\$4:$B\$203,2,FALSE),"не найдено"))</f>
        <v/>
      </c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</row>
    <row r="117">
      <c r="A117" s="2" t="n"/>
      <c r="B117" s="5">
        <f>IF($A117="","",IFERROR(VLOOKUP($A117,'02_Конкуренты'!$A\$4:$B\$203,2,FALSE),"не найдено"))</f>
        <v/>
      </c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</row>
    <row r="118">
      <c r="A118" s="2" t="n"/>
      <c r="B118" s="5">
        <f>IF($A118="","",IFERROR(VLOOKUP($A118,'02_Конкуренты'!$A\$4:$B\$203,2,FALSE),"не найдено"))</f>
        <v/>
      </c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</row>
    <row r="119">
      <c r="A119" s="2" t="n"/>
      <c r="B119" s="5">
        <f>IF($A119="","",IFERROR(VLOOKUP($A119,'02_Конкуренты'!$A\$4:$B\$203,2,FALSE),"не найдено"))</f>
        <v/>
      </c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</row>
    <row r="120">
      <c r="A120" s="2" t="n"/>
      <c r="B120" s="5">
        <f>IF($A120="","",IFERROR(VLOOKUP($A120,'02_Конкуренты'!$A\$4:$B\$203,2,FALSE),"не найдено"))</f>
        <v/>
      </c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</row>
    <row r="121">
      <c r="A121" s="2" t="n"/>
      <c r="B121" s="5">
        <f>IF($A121="","",IFERROR(VLOOKUP($A121,'02_Конкуренты'!$A\$4:$B\$203,2,FALSE),"не найдено"))</f>
        <v/>
      </c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</row>
    <row r="122">
      <c r="A122" s="2" t="n"/>
      <c r="B122" s="5">
        <f>IF($A122="","",IFERROR(VLOOKUP($A122,'02_Конкуренты'!$A\$4:$B\$203,2,FALSE),"не найдено"))</f>
        <v/>
      </c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</row>
    <row r="123">
      <c r="A123" s="2" t="n"/>
      <c r="B123" s="5">
        <f>IF($A123="","",IFERROR(VLOOKUP($A123,'02_Конкуренты'!$A\$4:$B\$203,2,FALSE),"не найдено"))</f>
        <v/>
      </c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</row>
    <row r="124">
      <c r="A124" s="2" t="n"/>
      <c r="B124" s="5">
        <f>IF($A124="","",IFERROR(VLOOKUP($A124,'02_Конкуренты'!$A\$4:$B\$203,2,FALSE),"не найдено"))</f>
        <v/>
      </c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</row>
    <row r="125">
      <c r="A125" s="2" t="n"/>
      <c r="B125" s="5">
        <f>IF($A125="","",IFERROR(VLOOKUP($A125,'02_Конкуренты'!$A\$4:$B\$203,2,FALSE),"не найдено"))</f>
        <v/>
      </c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</row>
    <row r="126">
      <c r="A126" s="2" t="n"/>
      <c r="B126" s="5">
        <f>IF($A126="","",IFERROR(VLOOKUP($A126,'02_Конкуренты'!$A\$4:$B\$203,2,FALSE),"не найдено"))</f>
        <v/>
      </c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</row>
    <row r="127">
      <c r="A127" s="2" t="n"/>
      <c r="B127" s="5">
        <f>IF($A127="","",IFERROR(VLOOKUP($A127,'02_Конкуренты'!$A\$4:$B\$203,2,FALSE),"не найдено"))</f>
        <v/>
      </c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</row>
    <row r="128">
      <c r="A128" s="2" t="n"/>
      <c r="B128" s="5">
        <f>IF($A128="","",IFERROR(VLOOKUP($A128,'02_Конкуренты'!$A\$4:$B\$203,2,FALSE),"не найдено"))</f>
        <v/>
      </c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</row>
    <row r="129">
      <c r="A129" s="2" t="n"/>
      <c r="B129" s="5">
        <f>IF($A129="","",IFERROR(VLOOKUP($A129,'02_Конкуренты'!$A\$4:$B\$203,2,FALSE),"не найдено"))</f>
        <v/>
      </c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</row>
    <row r="130">
      <c r="A130" s="2" t="n"/>
      <c r="B130" s="5">
        <f>IF($A130="","",IFERROR(VLOOKUP($A130,'02_Конкуренты'!$A\$4:$B\$203,2,FALSE),"не найдено"))</f>
        <v/>
      </c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</row>
    <row r="131">
      <c r="A131" s="2" t="n"/>
      <c r="B131" s="5">
        <f>IF($A131="","",IFERROR(VLOOKUP($A131,'02_Конкуренты'!$A\$4:$B\$203,2,FALSE),"не найдено"))</f>
        <v/>
      </c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</row>
    <row r="132">
      <c r="A132" s="2" t="n"/>
      <c r="B132" s="5">
        <f>IF($A132="","",IFERROR(VLOOKUP($A132,'02_Конкуренты'!$A\$4:$B\$203,2,FALSE),"не найдено"))</f>
        <v/>
      </c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</row>
    <row r="133">
      <c r="A133" s="2" t="n"/>
      <c r="B133" s="5">
        <f>IF($A133="","",IFERROR(VLOOKUP($A133,'02_Конкуренты'!$A\$4:$B\$203,2,FALSE),"не найдено"))</f>
        <v/>
      </c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</row>
    <row r="134">
      <c r="A134" s="2" t="n"/>
      <c r="B134" s="5">
        <f>IF($A134="","",IFERROR(VLOOKUP($A134,'02_Конкуренты'!$A\$4:$B\$203,2,FALSE),"не найдено"))</f>
        <v/>
      </c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</row>
    <row r="135">
      <c r="A135" s="2" t="n"/>
      <c r="B135" s="5">
        <f>IF($A135="","",IFERROR(VLOOKUP($A135,'02_Конкуренты'!$A\$4:$B\$203,2,FALSE),"не найдено"))</f>
        <v/>
      </c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</row>
    <row r="136">
      <c r="A136" s="2" t="n"/>
      <c r="B136" s="5">
        <f>IF($A136="","",IFERROR(VLOOKUP($A136,'02_Конкуренты'!$A\$4:$B\$203,2,FALSE),"не найдено"))</f>
        <v/>
      </c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</row>
    <row r="137">
      <c r="A137" s="2" t="n"/>
      <c r="B137" s="5">
        <f>IF($A137="","",IFERROR(VLOOKUP($A137,'02_Конкуренты'!$A\$4:$B\$203,2,FALSE),"не найдено"))</f>
        <v/>
      </c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</row>
    <row r="138">
      <c r="A138" s="2" t="n"/>
      <c r="B138" s="5">
        <f>IF($A138="","",IFERROR(VLOOKUP($A138,'02_Конкуренты'!$A\$4:$B\$203,2,FALSE),"не найдено"))</f>
        <v/>
      </c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</row>
    <row r="139">
      <c r="A139" s="2" t="n"/>
      <c r="B139" s="5">
        <f>IF($A139="","",IFERROR(VLOOKUP($A139,'02_Конкуренты'!$A\$4:$B\$203,2,FALSE),"не найдено"))</f>
        <v/>
      </c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</row>
    <row r="140">
      <c r="A140" s="2" t="n"/>
      <c r="B140" s="5">
        <f>IF($A140="","",IFERROR(VLOOKUP($A140,'02_Конкуренты'!$A\$4:$B\$203,2,FALSE),"не найдено"))</f>
        <v/>
      </c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</row>
    <row r="141">
      <c r="A141" s="2" t="n"/>
      <c r="B141" s="5">
        <f>IF($A141="","",IFERROR(VLOOKUP($A141,'02_Конкуренты'!$A\$4:$B\$203,2,FALSE),"не найдено"))</f>
        <v/>
      </c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</row>
    <row r="142">
      <c r="A142" s="2" t="n"/>
      <c r="B142" s="5">
        <f>IF($A142="","",IFERROR(VLOOKUP($A142,'02_Конкуренты'!$A\$4:$B\$203,2,FALSE),"не найдено"))</f>
        <v/>
      </c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</row>
    <row r="143">
      <c r="A143" s="2" t="n"/>
      <c r="B143" s="5">
        <f>IF($A143="","",IFERROR(VLOOKUP($A143,'02_Конкуренты'!$A\$4:$B\$203,2,FALSE),"не найдено"))</f>
        <v/>
      </c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</row>
    <row r="144">
      <c r="A144" s="2" t="n"/>
      <c r="B144" s="5">
        <f>IF($A144="","",IFERROR(VLOOKUP($A144,'02_Конкуренты'!$A\$4:$B\$203,2,FALSE),"не найдено"))</f>
        <v/>
      </c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</row>
    <row r="145">
      <c r="A145" s="2" t="n"/>
      <c r="B145" s="5">
        <f>IF($A145="","",IFERROR(VLOOKUP($A145,'02_Конкуренты'!$A\$4:$B\$203,2,FALSE),"не найдено"))</f>
        <v/>
      </c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</row>
    <row r="146">
      <c r="A146" s="2" t="n"/>
      <c r="B146" s="5">
        <f>IF($A146="","",IFERROR(VLOOKUP($A146,'02_Конкуренты'!$A\$4:$B\$203,2,FALSE),"не найдено"))</f>
        <v/>
      </c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</row>
    <row r="147">
      <c r="A147" s="2" t="n"/>
      <c r="B147" s="5">
        <f>IF($A147="","",IFERROR(VLOOKUP($A147,'02_Конкуренты'!$A\$4:$B\$203,2,FALSE),"не найдено"))</f>
        <v/>
      </c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</row>
    <row r="148">
      <c r="A148" s="2" t="n"/>
      <c r="B148" s="5">
        <f>IF($A148="","",IFERROR(VLOOKUP($A148,'02_Конкуренты'!$A\$4:$B\$203,2,FALSE),"не найдено"))</f>
        <v/>
      </c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</row>
    <row r="149">
      <c r="A149" s="2" t="n"/>
      <c r="B149" s="5">
        <f>IF($A149="","",IFERROR(VLOOKUP($A149,'02_Конкуренты'!$A\$4:$B\$203,2,FALSE),"не найдено"))</f>
        <v/>
      </c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</row>
    <row r="150">
      <c r="A150" s="2" t="n"/>
      <c r="B150" s="5">
        <f>IF($A150="","",IFERROR(VLOOKUP($A150,'02_Конкуренты'!$A\$4:$B\$203,2,FALSE),"не найдено"))</f>
        <v/>
      </c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</row>
    <row r="151">
      <c r="A151" s="2" t="n"/>
      <c r="B151" s="5">
        <f>IF($A151="","",IFERROR(VLOOKUP($A151,'02_Конкуренты'!$A\$4:$B\$203,2,FALSE),"не найдено"))</f>
        <v/>
      </c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</row>
    <row r="152">
      <c r="A152" s="2" t="n"/>
      <c r="B152" s="5">
        <f>IF($A152="","",IFERROR(VLOOKUP($A152,'02_Конкуренты'!$A\$4:$B\$203,2,FALSE),"не найдено"))</f>
        <v/>
      </c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</row>
    <row r="153">
      <c r="A153" s="2" t="n"/>
      <c r="B153" s="5">
        <f>IF($A153="","",IFERROR(VLOOKUP($A153,'02_Конкуренты'!$A\$4:$B\$203,2,FALSE),"не найдено"))</f>
        <v/>
      </c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</row>
    <row r="154">
      <c r="A154" s="2" t="n"/>
      <c r="B154" s="5">
        <f>IF($A154="","",IFERROR(VLOOKUP($A154,'02_Конкуренты'!$A\$4:$B\$203,2,FALSE),"не найдено"))</f>
        <v/>
      </c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</row>
    <row r="155">
      <c r="A155" s="2" t="n"/>
      <c r="B155" s="5">
        <f>IF($A155="","",IFERROR(VLOOKUP($A155,'02_Конкуренты'!$A\$4:$B\$203,2,FALSE),"не найдено"))</f>
        <v/>
      </c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</row>
    <row r="156">
      <c r="A156" s="2" t="n"/>
      <c r="B156" s="5">
        <f>IF($A156="","",IFERROR(VLOOKUP($A156,'02_Конкуренты'!$A\$4:$B\$203,2,FALSE),"не найдено"))</f>
        <v/>
      </c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</row>
    <row r="157">
      <c r="A157" s="2" t="n"/>
      <c r="B157" s="5">
        <f>IF($A157="","",IFERROR(VLOOKUP($A157,'02_Конкуренты'!$A\$4:$B\$203,2,FALSE),"не найдено"))</f>
        <v/>
      </c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</row>
    <row r="158">
      <c r="A158" s="2" t="n"/>
      <c r="B158" s="5">
        <f>IF($A158="","",IFERROR(VLOOKUP($A158,'02_Конкуренты'!$A\$4:$B\$203,2,FALSE),"не найдено"))</f>
        <v/>
      </c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</row>
    <row r="159">
      <c r="A159" s="2" t="n"/>
      <c r="B159" s="5">
        <f>IF($A159="","",IFERROR(VLOOKUP($A159,'02_Конкуренты'!$A\$4:$B\$203,2,FALSE),"не найдено"))</f>
        <v/>
      </c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</row>
    <row r="160">
      <c r="A160" s="2" t="n"/>
      <c r="B160" s="5">
        <f>IF($A160="","",IFERROR(VLOOKUP($A160,'02_Конкуренты'!$A\$4:$B\$203,2,FALSE),"не найдено"))</f>
        <v/>
      </c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</row>
    <row r="161">
      <c r="A161" s="2" t="n"/>
      <c r="B161" s="5">
        <f>IF($A161="","",IFERROR(VLOOKUP($A161,'02_Конкуренты'!$A\$4:$B\$203,2,FALSE),"не найдено"))</f>
        <v/>
      </c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</row>
    <row r="162">
      <c r="A162" s="2" t="n"/>
      <c r="B162" s="5">
        <f>IF($A162="","",IFERROR(VLOOKUP($A162,'02_Конкуренты'!$A\$4:$B\$203,2,FALSE),"не найдено"))</f>
        <v/>
      </c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</row>
    <row r="163">
      <c r="A163" s="2" t="n"/>
      <c r="B163" s="5">
        <f>IF($A163="","",IFERROR(VLOOKUP($A163,'02_Конкуренты'!$A\$4:$B\$203,2,FALSE),"не найдено"))</f>
        <v/>
      </c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</row>
    <row r="164">
      <c r="A164" s="2" t="n"/>
      <c r="B164" s="5">
        <f>IF($A164="","",IFERROR(VLOOKUP($A164,'02_Конкуренты'!$A\$4:$B\$203,2,FALSE),"не найдено"))</f>
        <v/>
      </c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</row>
    <row r="165">
      <c r="A165" s="2" t="n"/>
      <c r="B165" s="5">
        <f>IF($A165="","",IFERROR(VLOOKUP($A165,'02_Конкуренты'!$A\$4:$B\$203,2,FALSE),"не найдено"))</f>
        <v/>
      </c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</row>
    <row r="166">
      <c r="A166" s="2" t="n"/>
      <c r="B166" s="5">
        <f>IF($A166="","",IFERROR(VLOOKUP($A166,'02_Конкуренты'!$A\$4:$B\$203,2,FALSE),"не найдено"))</f>
        <v/>
      </c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</row>
    <row r="167">
      <c r="A167" s="2" t="n"/>
      <c r="B167" s="5">
        <f>IF($A167="","",IFERROR(VLOOKUP($A167,'02_Конкуренты'!$A\$4:$B\$203,2,FALSE),"не найдено"))</f>
        <v/>
      </c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</row>
    <row r="168">
      <c r="A168" s="2" t="n"/>
      <c r="B168" s="5">
        <f>IF($A168="","",IFERROR(VLOOKUP($A168,'02_Конкуренты'!$A\$4:$B\$203,2,FALSE),"не найдено"))</f>
        <v/>
      </c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</row>
    <row r="169">
      <c r="A169" s="2" t="n"/>
      <c r="B169" s="5">
        <f>IF($A169="","",IFERROR(VLOOKUP($A169,'02_Конкуренты'!$A\$4:$B\$203,2,FALSE),"не найдено"))</f>
        <v/>
      </c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</row>
    <row r="170">
      <c r="A170" s="2" t="n"/>
      <c r="B170" s="5">
        <f>IF($A170="","",IFERROR(VLOOKUP($A170,'02_Конкуренты'!$A\$4:$B\$203,2,FALSE),"не найдено"))</f>
        <v/>
      </c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</row>
    <row r="171">
      <c r="A171" s="2" t="n"/>
      <c r="B171" s="5">
        <f>IF($A171="","",IFERROR(VLOOKUP($A171,'02_Конкуренты'!$A\$4:$B\$203,2,FALSE),"не найдено"))</f>
        <v/>
      </c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</row>
    <row r="172">
      <c r="A172" s="2" t="n"/>
      <c r="B172" s="5">
        <f>IF($A172="","",IFERROR(VLOOKUP($A172,'02_Конкуренты'!$A\$4:$B\$203,2,FALSE),"не найдено"))</f>
        <v/>
      </c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</row>
    <row r="173">
      <c r="A173" s="2" t="n"/>
      <c r="B173" s="5">
        <f>IF($A173="","",IFERROR(VLOOKUP($A173,'02_Конкуренты'!$A\$4:$B\$203,2,FALSE),"не найдено"))</f>
        <v/>
      </c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</row>
    <row r="174">
      <c r="A174" s="2" t="n"/>
      <c r="B174" s="5">
        <f>IF($A174="","",IFERROR(VLOOKUP($A174,'02_Конкуренты'!$A\$4:$B\$203,2,FALSE),"не найдено"))</f>
        <v/>
      </c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</row>
    <row r="175">
      <c r="A175" s="2" t="n"/>
      <c r="B175" s="5">
        <f>IF($A175="","",IFERROR(VLOOKUP($A175,'02_Конкуренты'!$A\$4:$B\$203,2,FALSE),"не найдено"))</f>
        <v/>
      </c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</row>
    <row r="176">
      <c r="A176" s="2" t="n"/>
      <c r="B176" s="5">
        <f>IF($A176="","",IFERROR(VLOOKUP($A176,'02_Конкуренты'!$A\$4:$B\$203,2,FALSE),"не найдено"))</f>
        <v/>
      </c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</row>
    <row r="177">
      <c r="A177" s="2" t="n"/>
      <c r="B177" s="5">
        <f>IF($A177="","",IFERROR(VLOOKUP($A177,'02_Конкуренты'!$A\$4:$B\$203,2,FALSE),"не найдено"))</f>
        <v/>
      </c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</row>
    <row r="178">
      <c r="A178" s="2" t="n"/>
      <c r="B178" s="5">
        <f>IF($A178="","",IFERROR(VLOOKUP($A178,'02_Конкуренты'!$A\$4:$B\$203,2,FALSE),"не найдено"))</f>
        <v/>
      </c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</row>
    <row r="179">
      <c r="A179" s="2" t="n"/>
      <c r="B179" s="5">
        <f>IF($A179="","",IFERROR(VLOOKUP($A179,'02_Конкуренты'!$A\$4:$B\$203,2,FALSE),"не найдено"))</f>
        <v/>
      </c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</row>
    <row r="180">
      <c r="A180" s="2" t="n"/>
      <c r="B180" s="5">
        <f>IF($A180="","",IFERROR(VLOOKUP($A180,'02_Конкуренты'!$A\$4:$B\$203,2,FALSE),"не найдено"))</f>
        <v/>
      </c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</row>
    <row r="181">
      <c r="A181" s="2" t="n"/>
      <c r="B181" s="5">
        <f>IF($A181="","",IFERROR(VLOOKUP($A181,'02_Конкуренты'!$A\$4:$B\$203,2,FALSE),"не найдено"))</f>
        <v/>
      </c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</row>
    <row r="182">
      <c r="A182" s="2" t="n"/>
      <c r="B182" s="5">
        <f>IF($A182="","",IFERROR(VLOOKUP($A182,'02_Конкуренты'!$A\$4:$B\$203,2,FALSE),"не найдено"))</f>
        <v/>
      </c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</row>
    <row r="183">
      <c r="A183" s="2" t="n"/>
      <c r="B183" s="5">
        <f>IF($A183="","",IFERROR(VLOOKUP($A183,'02_Конкуренты'!$A\$4:$B\$203,2,FALSE),"не найдено"))</f>
        <v/>
      </c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</row>
    <row r="184">
      <c r="A184" s="2" t="n"/>
      <c r="B184" s="5">
        <f>IF($A184="","",IFERROR(VLOOKUP($A184,'02_Конкуренты'!$A\$4:$B\$203,2,FALSE),"не найдено"))</f>
        <v/>
      </c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</row>
    <row r="185">
      <c r="A185" s="2" t="n"/>
      <c r="B185" s="5">
        <f>IF($A185="","",IFERROR(VLOOKUP($A185,'02_Конкуренты'!$A\$4:$B\$203,2,FALSE),"не найдено"))</f>
        <v/>
      </c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</row>
    <row r="186">
      <c r="A186" s="2" t="n"/>
      <c r="B186" s="5">
        <f>IF($A186="","",IFERROR(VLOOKUP($A186,'02_Конкуренты'!$A\$4:$B\$203,2,FALSE),"не найдено"))</f>
        <v/>
      </c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</row>
    <row r="187">
      <c r="A187" s="2" t="n"/>
      <c r="B187" s="5">
        <f>IF($A187="","",IFERROR(VLOOKUP($A187,'02_Конкуренты'!$A\$4:$B\$203,2,FALSE),"не найдено"))</f>
        <v/>
      </c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</row>
    <row r="188">
      <c r="A188" s="2" t="n"/>
      <c r="B188" s="5">
        <f>IF($A188="","",IFERROR(VLOOKUP($A188,'02_Конкуренты'!$A\$4:$B\$203,2,FALSE),"не найдено"))</f>
        <v/>
      </c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</row>
    <row r="189">
      <c r="A189" s="2" t="n"/>
      <c r="B189" s="5">
        <f>IF($A189="","",IFERROR(VLOOKUP($A189,'02_Конкуренты'!$A\$4:$B\$203,2,FALSE),"не найдено"))</f>
        <v/>
      </c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</row>
    <row r="190">
      <c r="A190" s="2" t="n"/>
      <c r="B190" s="5">
        <f>IF($A190="","",IFERROR(VLOOKUP($A190,'02_Конкуренты'!$A\$4:$B\$203,2,FALSE),"не найдено"))</f>
        <v/>
      </c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</row>
    <row r="191">
      <c r="A191" s="2" t="n"/>
      <c r="B191" s="5">
        <f>IF($A191="","",IFERROR(VLOOKUP($A191,'02_Конкуренты'!$A\$4:$B\$203,2,FALSE),"не найдено"))</f>
        <v/>
      </c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</row>
    <row r="192">
      <c r="A192" s="2" t="n"/>
      <c r="B192" s="5">
        <f>IF($A192="","",IFERROR(VLOOKUP($A192,'02_Конкуренты'!$A\$4:$B\$203,2,FALSE),"не найдено"))</f>
        <v/>
      </c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</row>
    <row r="193">
      <c r="A193" s="2" t="n"/>
      <c r="B193" s="5">
        <f>IF($A193="","",IFERROR(VLOOKUP($A193,'02_Конкуренты'!$A\$4:$B\$203,2,FALSE),"не найдено"))</f>
        <v/>
      </c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</row>
    <row r="194">
      <c r="A194" s="2" t="n"/>
      <c r="B194" s="5">
        <f>IF($A194="","",IFERROR(VLOOKUP($A194,'02_Конкуренты'!$A\$4:$B\$203,2,FALSE),"не найдено"))</f>
        <v/>
      </c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</row>
    <row r="195">
      <c r="A195" s="2" t="n"/>
      <c r="B195" s="5">
        <f>IF($A195="","",IFERROR(VLOOKUP($A195,'02_Конкуренты'!$A\$4:$B\$203,2,FALSE),"не найдено"))</f>
        <v/>
      </c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</row>
    <row r="196">
      <c r="A196" s="2" t="n"/>
      <c r="B196" s="5">
        <f>IF($A196="","",IFERROR(VLOOKUP($A196,'02_Конкуренты'!$A\$4:$B\$203,2,FALSE),"не найдено"))</f>
        <v/>
      </c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</row>
    <row r="197">
      <c r="A197" s="2" t="n"/>
      <c r="B197" s="5">
        <f>IF($A197="","",IFERROR(VLOOKUP($A197,'02_Конкуренты'!$A\$4:$B\$203,2,FALSE),"не найдено"))</f>
        <v/>
      </c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</row>
    <row r="198">
      <c r="A198" s="2" t="n"/>
      <c r="B198" s="5">
        <f>IF($A198="","",IFERROR(VLOOKUP($A198,'02_Конкуренты'!$A\$4:$B\$203,2,FALSE),"не найдено"))</f>
        <v/>
      </c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</row>
    <row r="199">
      <c r="A199" s="2" t="n"/>
      <c r="B199" s="5">
        <f>IF($A199="","",IFERROR(VLOOKUP($A199,'02_Конкуренты'!$A\$4:$B\$203,2,FALSE),"не найдено"))</f>
        <v/>
      </c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</row>
    <row r="200">
      <c r="A200" s="2" t="n"/>
      <c r="B200" s="5">
        <f>IF($A200="","",IFERROR(VLOOKUP($A200,'02_Конкуренты'!$A\$4:$B\$203,2,FALSE),"не найдено"))</f>
        <v/>
      </c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</row>
    <row r="201">
      <c r="A201" s="2" t="n"/>
      <c r="B201" s="5">
        <f>IF($A201="","",IFERROR(VLOOKUP($A201,'02_Конкуренты'!$A\$4:$B\$203,2,FALSE),"не найдено"))</f>
        <v/>
      </c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</row>
    <row r="202">
      <c r="A202" s="2" t="n"/>
      <c r="B202" s="5">
        <f>IF($A202="","",IFERROR(VLOOKUP($A202,'02_Конкуренты'!$A\$4:$B\$203,2,FALSE),"не найдено"))</f>
        <v/>
      </c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</row>
    <row r="203">
      <c r="A203" s="2" t="n"/>
      <c r="B203" s="5">
        <f>IF($A203="","",IFERROR(VLOOKUP($A203,'02_Конкуренты'!$A\$4:$B\$203,2,FALSE),"не найдено"))</f>
        <v/>
      </c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</row>
  </sheetData>
  <mergeCells count="2">
    <mergeCell ref="A2:M2"/>
    <mergeCell ref="A1:M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203"/>
  <sheetViews>
    <sheetView workbookViewId="0">
      <selection activeCell="C15" sqref="C15"/>
    </sheetView>
  </sheetViews>
  <sheetFormatPr baseColWidth="8" defaultRowHeight="14.25"/>
  <cols>
    <col width="14" customWidth="1" min="1" max="1"/>
    <col width="24" customWidth="1" min="2" max="3"/>
    <col width="34" customWidth="1" min="4" max="4"/>
    <col width="20" customWidth="1" min="5" max="5"/>
    <col width="18" customWidth="1" min="6" max="6"/>
    <col width="24" customWidth="1" min="7" max="7"/>
    <col width="22" customWidth="1" min="8" max="8"/>
    <col width="30" customWidth="1" min="9" max="9"/>
    <col width="22" customWidth="1" min="10" max="10"/>
    <col width="30" customWidth="1" min="11" max="11"/>
    <col width="18" customWidth="1" min="12" max="13"/>
    <col width="42" customWidth="1" min="14" max="14"/>
  </cols>
  <sheetData>
    <row r="1" ht="15" customHeight="1">
      <c r="A1" s="19" t="inlineStr">
        <is>
          <t>Монетизация и потоки доходов</t>
        </is>
      </c>
      <c r="O1" s="14" t="n"/>
      <c r="P1" s="14" t="n"/>
      <c r="Q1" s="14" t="n"/>
      <c r="R1" s="14" t="n"/>
      <c r="S1" s="14" t="n"/>
      <c r="T1" s="14" t="n"/>
      <c r="U1" s="14" t="n"/>
      <c r="V1" s="14" t="n"/>
      <c r="W1" s="14" t="n"/>
      <c r="X1" s="14" t="n"/>
      <c r="Y1" s="14" t="n"/>
      <c r="Z1" s="14" t="n"/>
    </row>
    <row r="2" ht="19.15" customHeight="1">
      <c r="A2" s="21" t="inlineStr">
        <is>
          <t>Фиксируются признаки получения выручки: тарифы, пробный доступ, условия оплаты, ограничения и коммерческая логика</t>
        </is>
      </c>
    </row>
    <row r="3" ht="49.5" customHeight="1">
      <c r="A3" s="25" t="inlineStr">
        <is>
          <t>ID конкурента</t>
        </is>
      </c>
      <c r="B3" s="25" t="inlineStr">
        <is>
          <t>Название</t>
        </is>
      </c>
      <c r="C3" s="25" t="inlineStr">
        <is>
          <t>Модель монетизации</t>
        </is>
      </c>
      <c r="D3" s="25" t="inlineStr">
        <is>
          <t>Страница с тарифами/ценой</t>
        </is>
      </c>
      <c r="E3" s="25" t="inlineStr">
        <is>
          <t>Наличие бесплатного уровня</t>
        </is>
      </c>
      <c r="F3" s="25" t="inlineStr">
        <is>
          <t>Пробный доступ</t>
        </is>
      </c>
      <c r="G3" s="25" t="inlineStr">
        <is>
          <t>Тарифные уровни</t>
        </is>
      </c>
      <c r="H3" s="25" t="inlineStr">
        <is>
          <t>Единица оплаты</t>
        </is>
      </c>
      <c r="I3" s="25" t="inlineStr">
        <is>
          <t>Ограничения тарифа</t>
        </is>
      </c>
      <c r="J3" s="25" t="inlineStr">
        <is>
          <t>Платежная периодичность</t>
        </is>
      </c>
      <c r="K3" s="25" t="inlineStr">
        <is>
          <t>Признаки корпоративных продаж</t>
        </is>
      </c>
      <c r="L3" s="25" t="inlineStr">
        <is>
          <t>Прозрачность цены 1-5</t>
        </is>
      </c>
      <c r="M3" s="25" t="inlineStr">
        <is>
          <t>Гибкость модели 1-5</t>
        </is>
      </c>
      <c r="N3" s="25" t="inlineStr">
        <is>
          <t>Вывод о потоках доходов</t>
        </is>
      </c>
    </row>
    <row r="4" ht="42.75" customHeight="1">
      <c r="A4" s="2" t="inlineStr">
        <is>
          <t>C01</t>
        </is>
      </c>
      <c r="B4" s="5">
        <f>IF($A4="","",IFERROR(VLOOKUP($A4,'02_Конкуренты'!$A\$4:$B\$203,2,FALSE),"не найдено"))</f>
        <v/>
      </c>
      <c r="C4" s="2" t="inlineStr">
        <is>
          <t>лицензия</t>
        </is>
      </c>
      <c r="D4" s="2" t="inlineStr">
        <is>
          <t>https://plantuml.com/</t>
        </is>
      </c>
      <c r="E4" s="2" t="inlineStr">
        <is>
          <t>да</t>
        </is>
      </c>
      <c r="F4" s="2" t="inlineStr">
        <is>
          <t>не найден на просмотренных страницах</t>
        </is>
      </c>
      <c r="G4" s="2" t="inlineStr">
        <is>
          <t>Бесплатно</t>
        </is>
      </c>
      <c r="H4" s="2" t="inlineStr">
        <is>
          <t>не применимо</t>
        </is>
      </c>
      <c r="I4" s="2" t="inlineStr">
        <is>
          <t>Нет единицы оплаты</t>
        </is>
      </c>
      <c r="J4" s="2" t="inlineStr">
        <is>
          <t>нет платежей</t>
        </is>
      </c>
      <c r="K4" s="2" t="inlineStr">
        <is>
          <t>не найдены</t>
        </is>
      </c>
      <c r="L4" s="2" t="n">
        <v>4</v>
      </c>
      <c r="M4" s="2" t="n">
        <v>2</v>
      </c>
      <c r="N4" s="2" t="inlineStr">
        <is>
          <t>Нет прямых доходов на сайте: ценность создаёт аудиторию и сообщество</t>
        </is>
      </c>
    </row>
    <row r="5" ht="42.75" customHeight="1">
      <c r="A5" s="2" t="inlineStr">
        <is>
          <t>C02</t>
        </is>
      </c>
      <c r="B5" s="5">
        <f>IF($A5="","",IFERROR(VLOOKUP($A5,'02_Конкуренты'!$A\$4:$B\$203,2,FALSE),"не найдено"))</f>
        <v/>
      </c>
      <c r="C5" s="2" t="inlineStr">
        <is>
          <t>лицензия</t>
        </is>
      </c>
      <c r="D5" s="2" t="inlineStr">
        <is>
          <t>https://mermaid.js.org/</t>
        </is>
      </c>
      <c r="E5" s="2" t="inlineStr">
        <is>
          <t>да</t>
        </is>
      </c>
      <c r="F5" s="2" t="inlineStr">
        <is>
          <t>не найден на просмотренных страницах</t>
        </is>
      </c>
      <c r="G5" s="2" t="inlineStr">
        <is>
          <t>Бесплатно</t>
        </is>
      </c>
      <c r="H5" s="2" t="inlineStr">
        <is>
          <t>не применимо</t>
        </is>
      </c>
      <c r="I5" s="2" t="inlineStr">
        <is>
          <t>Нет единицы оплаты</t>
        </is>
      </c>
      <c r="J5" s="2" t="inlineStr">
        <is>
          <t>нет платежей</t>
        </is>
      </c>
      <c r="K5" s="2" t="inlineStr">
        <is>
          <t>не найдены</t>
        </is>
      </c>
      <c r="L5" s="2" t="n">
        <v>5</v>
      </c>
      <c r="M5" s="2" t="n">
        <v>2</v>
      </c>
      <c r="N5" s="2" t="inlineStr">
        <is>
          <t>Нет прямых доходов на сайте: ценность создаёт аудиторию и сообщество</t>
        </is>
      </c>
    </row>
    <row r="6" ht="42.75" customHeight="1">
      <c r="A6" s="2" t="inlineStr">
        <is>
          <t>C03</t>
        </is>
      </c>
      <c r="B6" s="5">
        <f>IF($A6="","",IFERROR(VLOOKUP($A6,'02_Конкуренты'!$A\$4:$B\$203,2,FALSE),"не найдено"))</f>
        <v/>
      </c>
      <c r="C6" s="2" t="inlineStr">
        <is>
          <t>условно-бесплатная модель</t>
        </is>
      </c>
      <c r="D6" s="2" t="inlineStr">
        <is>
          <t>https://mermaid.ai/pricing/</t>
        </is>
      </c>
      <c r="E6" s="2" t="inlineStr">
        <is>
          <t>да</t>
        </is>
      </c>
      <c r="F6" s="2" t="inlineStr">
        <is>
          <t>не найден на просмотренных страницах</t>
        </is>
      </c>
      <c r="G6" s="2" t="inlineStr">
        <is>
          <t>Basic Free, Plus 10 у.е., Premium 20 у.е., Enterprise</t>
        </is>
      </c>
      <c r="H6" s="2" t="inlineStr">
        <is>
          <t>за пользователя в месяц</t>
        </is>
      </c>
      <c r="I6" s="2" t="inlineStr">
        <is>
          <t>Basic: до 6 диаграмм, 15 ИИ-кредитов</t>
        </is>
      </c>
      <c r="J6" s="2" t="inlineStr">
        <is>
          <t>при оплате за год</t>
        </is>
      </c>
      <c r="K6" s="2" t="inlineStr">
        <is>
          <t>Enterprise: SSO, менеджер по успеху клиента, договор</t>
        </is>
      </c>
      <c r="L6" s="2" t="n">
        <v>5</v>
      </c>
      <c r="M6" s="2" t="n">
        <v>4</v>
      </c>
      <c r="N6" s="2" t="inlineStr">
        <is>
          <t>Подписка за пользователя; зрители без оплаты; ИИ-кредиты по тарифам</t>
        </is>
      </c>
    </row>
    <row r="7" ht="71.25" customHeight="1">
      <c r="A7" s="2" t="inlineStr">
        <is>
          <t>C04</t>
        </is>
      </c>
      <c r="B7" s="5">
        <f>IF($A7="","",IFERROR(VLOOKUP($A7,'02_Конкуренты'!$A\$4:$B\$203,2,FALSE),"не найдено"))</f>
        <v/>
      </c>
      <c r="C7" s="2" t="inlineStr">
        <is>
          <t>условно-бесплатная модель</t>
        </is>
      </c>
      <c r="D7" s="2" t="inlineStr">
        <is>
          <t>https://stormbpmn.com/pricing</t>
        </is>
      </c>
      <c r="E7" s="2" t="inlineStr">
        <is>
          <t>да</t>
        </is>
      </c>
      <c r="F7" s="2" t="inlineStr">
        <is>
          <t>кнопка «Попробовать всё» в тарифе Бизнес</t>
        </is>
      </c>
      <c r="G7" s="2" t="inlineStr">
        <is>
          <t>Персональный 0, Команда 1 200 BYN., Бизнес 4 720 BYN., Enterprise от 990 тыс. руб. в год</t>
        </is>
      </c>
      <c r="H7" s="2" t="inlineStr">
        <is>
          <t>за пользователя в месяц</t>
        </is>
      </c>
      <c r="I7" s="2" t="inlineStr">
        <is>
          <t>Персональный: до 50 моделей, 5 раз делиться процессами</t>
        </is>
      </c>
      <c r="J7" s="2" t="inlineStr">
        <is>
          <t>месяц или год (скидка 20 %)</t>
        </is>
      </c>
      <c r="K7" s="2" t="inlineStr">
        <is>
          <t>Enterprise on-prem: SSO, API, аудит, ИБ</t>
        </is>
      </c>
      <c r="L7" s="2" t="n">
        <v>5</v>
      </c>
      <c r="M7" s="2" t="n">
        <v>5</v>
      </c>
      <c r="N7" s="2" t="inlineStr">
        <is>
          <t>Бесплатный старт и рост до on-prem: потоки от подписок и корпоративных договоров</t>
        </is>
      </c>
    </row>
    <row r="8" ht="42.75" customHeight="1">
      <c r="A8" s="2" t="inlineStr">
        <is>
          <t>C05</t>
        </is>
      </c>
      <c r="B8" s="5">
        <f>IF($A8="","",IFERROR(VLOOKUP($A8,'02_Конкуренты'!$A\$4:$B\$203,2,FALSE),"не найдено"))</f>
        <v/>
      </c>
      <c r="C8" s="2" t="inlineStr">
        <is>
          <t>лицензия</t>
        </is>
      </c>
      <c r="D8" s="2" t="inlineStr">
        <is>
          <t>https://app.diagrams.net/</t>
        </is>
      </c>
      <c r="E8" s="2" t="inlineStr">
        <is>
          <t>да</t>
        </is>
      </c>
      <c r="F8" s="2" t="inlineStr">
        <is>
          <t>не найден на просмотренных страницах</t>
        </is>
      </c>
      <c r="G8" s="2" t="inlineStr">
        <is>
          <t>Бесплатно</t>
        </is>
      </c>
      <c r="H8" s="2" t="inlineStr">
        <is>
          <t>не применимо</t>
        </is>
      </c>
      <c r="I8" s="2" t="inlineStr">
        <is>
          <t>Нет единицы оплаты</t>
        </is>
      </c>
      <c r="J8" s="2" t="inlineStr">
        <is>
          <t>нет платежей</t>
        </is>
      </c>
      <c r="K8" s="2" t="inlineStr">
        <is>
          <t>не найдены</t>
        </is>
      </c>
      <c r="L8" s="2" t="n">
        <v>5</v>
      </c>
      <c r="M8" s="2" t="n">
        <v>2</v>
      </c>
      <c r="N8" s="2" t="inlineStr">
        <is>
          <t>Нет прямых доходов на сайте: ценность создаёт аудиторию и сообщество</t>
        </is>
      </c>
    </row>
    <row r="9" ht="28.5" customHeight="1">
      <c r="A9" s="2" t="inlineStr">
        <is>
          <t>C06</t>
        </is>
      </c>
      <c r="B9" s="5">
        <f>IF($A9="","",IFERROR(VLOOKUP($A9,'02_Конкуренты'!$A\$4:$B\$203,2,FALSE),"не найдено"))</f>
        <v/>
      </c>
      <c r="C9" s="2" t="inlineStr">
        <is>
          <t>условно-бесплатная модель</t>
        </is>
      </c>
      <c r="D9" s="2" t="inlineStr">
        <is>
          <t>https://lucid.app/pricing/lucidchart</t>
        </is>
      </c>
      <c r="E9" s="2" t="inlineStr">
        <is>
          <t>да</t>
        </is>
      </c>
      <c r="F9" s="2" t="inlineStr">
        <is>
          <t>7 дней</t>
        </is>
      </c>
      <c r="G9" s="2" t="inlineStr">
        <is>
          <t>Free, Individual 9 у.е., Team 10 у.е., Enterprise</t>
        </is>
      </c>
      <c r="H9" s="2" t="inlineStr">
        <is>
          <t>за пользователя в месяц</t>
        </is>
      </c>
      <c r="I9" s="2" t="inlineStr">
        <is>
          <t>Free: 3 документа, 75 фигур на документ</t>
        </is>
      </c>
      <c r="J9" s="2" t="inlineStr">
        <is>
          <t>при оплате за год</t>
        </is>
      </c>
      <c r="K9" s="2" t="inlineStr">
        <is>
          <t>Enterprise: SAML, Enterprise Shield, Salesforce</t>
        </is>
      </c>
      <c r="L9" s="2" t="n">
        <v>4</v>
      </c>
      <c r="M9" s="2" t="n">
        <v>4</v>
      </c>
      <c r="N9" s="2" t="inlineStr">
        <is>
          <t>Подписка за место с пробным периодом и Enterprise</t>
        </is>
      </c>
    </row>
    <row r="10" ht="42.75" customHeight="1">
      <c r="A10" s="2" t="inlineStr">
        <is>
          <t>C07</t>
        </is>
      </c>
      <c r="B10" s="5">
        <f>IF($A10="","",IFERROR(VLOOKUP($A10,'02_Конкуренты'!$A\$4:$B\$203,2,FALSE),"не найдено"))</f>
        <v/>
      </c>
      <c r="C10" s="2" t="inlineStr">
        <is>
          <t>условно-бесплатная модель</t>
        </is>
      </c>
      <c r="D10" s="2" t="inlineStr">
        <is>
          <t>https://www.eraser.io/pricing</t>
        </is>
      </c>
      <c r="E10" s="2" t="inlineStr">
        <is>
          <t>да</t>
        </is>
      </c>
      <c r="F10" s="2" t="inlineStr">
        <is>
          <t>не найден на просмотренных страницах</t>
        </is>
      </c>
      <c r="G10" s="2" t="inlineStr">
        <is>
          <t>Free 0, Starter 15 у.е., Business 45 у.е., Enterprise</t>
        </is>
      </c>
      <c r="H10" s="2" t="inlineStr">
        <is>
          <t>за участника в месяц</t>
        </is>
      </c>
      <c r="I10" s="2" t="inlineStr">
        <is>
          <t>Free: 3 файла, 3 ИИ-диаграммы</t>
        </is>
      </c>
      <c r="J10" s="2" t="inlineStr">
        <is>
          <t>год (15 и 45 у.е.) или месяц (20 и 60 у.е.)</t>
        </is>
      </c>
      <c r="K10" s="2" t="inlineStr">
        <is>
          <t>Enterprise: гибкое развёртывание, менеджер по успеху клиента</t>
        </is>
      </c>
      <c r="L10" s="2" t="n">
        <v>5</v>
      </c>
      <c r="M10" s="2" t="n">
        <v>4</v>
      </c>
      <c r="N10" s="2" t="inlineStr">
        <is>
          <t>Подписка за участника с лимитами ИИ</t>
        </is>
      </c>
    </row>
    <row r="11" ht="42.75" customHeight="1">
      <c r="A11" s="2" t="inlineStr">
        <is>
          <t>C08</t>
        </is>
      </c>
      <c r="B11" s="5">
        <f>IF($A11="","",IFERROR(VLOOKUP($A11,'02_Конкуренты'!$A\$4:$B\$203,2,FALSE),"не найдено"))</f>
        <v/>
      </c>
      <c r="C11" s="2" t="inlineStr">
        <is>
          <t>условно-бесплатная модель</t>
        </is>
      </c>
      <c r="D11" s="2" t="inlineStr">
        <is>
          <t>https://whimsical.com/pricing</t>
        </is>
      </c>
      <c r="E11" s="2" t="inlineStr">
        <is>
          <t>да</t>
        </is>
      </c>
      <c r="F11" s="2" t="inlineStr">
        <is>
          <t>не найден на просмотренных страницах</t>
        </is>
      </c>
      <c r="G11" s="2" t="inlineStr">
        <is>
          <t>Free 0, Pro 10 у.е., Business 20 у.е</t>
        </is>
      </c>
      <c r="H11" s="2" t="inlineStr">
        <is>
          <t>за редактора в месяц</t>
        </is>
      </c>
      <c r="I11" s="2" t="inlineStr">
        <is>
          <t>Free: 50 объектов доски и 50 блоков документа в месяц</t>
        </is>
      </c>
      <c r="J11" s="2" t="inlineStr">
        <is>
          <t>месячная цена за редактора</t>
        </is>
      </c>
      <c r="K11" s="2" t="inlineStr">
        <is>
          <t>Business с кнопкой «Contact sales», SAML SSO</t>
        </is>
      </c>
      <c r="L11" s="2" t="n">
        <v>5</v>
      </c>
      <c r="M11" s="2" t="n">
        <v>4</v>
      </c>
      <c r="N11" s="2" t="inlineStr">
        <is>
          <t>Подписка за редактора, зрители бесплатно</t>
        </is>
      </c>
    </row>
    <row r="12">
      <c r="A12" s="2" t="n"/>
      <c r="B12" s="5">
        <f>IF($A12="","",IFERROR(VLOOKUP($A12,'02_Конкуренты'!$A\$4:$B\$203,2,FALSE),"не найдено"))</f>
        <v/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</row>
    <row r="13">
      <c r="A13" s="2" t="n"/>
      <c r="B13" s="5">
        <f>IF($A13="","",IFERROR(VLOOKUP($A13,'02_Конкуренты'!$A\$4:$B\$203,2,FALSE),"не найдено"))</f>
        <v/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</row>
    <row r="14">
      <c r="A14" s="2" t="n"/>
      <c r="B14" s="5">
        <f>IF($A14="","",IFERROR(VLOOKUP($A14,'02_Конкуренты'!$A\$4:$B\$203,2,FALSE),"не найдено"))</f>
        <v/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</row>
    <row r="15">
      <c r="A15" s="2" t="n"/>
      <c r="B15" s="5">
        <f>IF($A15="","",IFERROR(VLOOKUP($A15,'02_Конкуренты'!$A\$4:$B\$203,2,FALSE),"не найдено"))</f>
        <v/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</row>
    <row r="16">
      <c r="A16" s="2" t="n"/>
      <c r="B16" s="5">
        <f>IF($A16="","",IFERROR(VLOOKUP($A16,'02_Конкуренты'!$A\$4:$B\$203,2,FALSE),"не найдено"))</f>
        <v/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</row>
    <row r="17">
      <c r="A17" s="2" t="n"/>
      <c r="B17" s="5">
        <f>IF($A17="","",IFERROR(VLOOKUP($A17,'02_Конкуренты'!$A\$4:$B\$203,2,FALSE),"не найдено"))</f>
        <v/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</row>
    <row r="18">
      <c r="A18" s="2" t="n"/>
      <c r="B18" s="5">
        <f>IF($A18="","",IFERROR(VLOOKUP($A18,'02_Конкуренты'!$A\$4:$B\$203,2,FALSE),"не найдено"))</f>
        <v/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</row>
    <row r="19">
      <c r="A19" s="2" t="n"/>
      <c r="B19" s="5">
        <f>IF($A19="","",IFERROR(VLOOKUP($A19,'02_Конкуренты'!$A\$4:$B\$203,2,FALSE),"не найдено"))</f>
        <v/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</row>
    <row r="20">
      <c r="A20" s="2" t="n"/>
      <c r="B20" s="5">
        <f>IF($A20="","",IFERROR(VLOOKUP($A20,'02_Конкуренты'!$A\$4:$B\$203,2,FALSE),"не найдено"))</f>
        <v/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</row>
    <row r="21">
      <c r="A21" s="2" t="n"/>
      <c r="B21" s="5">
        <f>IF($A21="","",IFERROR(VLOOKUP($A21,'02_Конкуренты'!$A\$4:$B\$203,2,FALSE),"не найдено"))</f>
        <v/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</row>
    <row r="22">
      <c r="A22" s="2" t="n"/>
      <c r="B22" s="5">
        <f>IF($A22="","",IFERROR(VLOOKUP($A22,'02_Конкуренты'!$A\$4:$B\$203,2,FALSE),"не найдено"))</f>
        <v/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</row>
    <row r="23">
      <c r="A23" s="2" t="n"/>
      <c r="B23" s="5">
        <f>IF($A23="","",IFERROR(VLOOKUP($A23,'02_Конкуренты'!$A\$4:$B\$203,2,FALSE),"не найдено"))</f>
        <v/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</row>
    <row r="24">
      <c r="A24" s="2" t="n"/>
      <c r="B24" s="5">
        <f>IF($A24="","",IFERROR(VLOOKUP($A24,'02_Конкуренты'!$A\$4:$B\$203,2,FALSE),"не найдено"))</f>
        <v/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</row>
    <row r="25">
      <c r="A25" s="2" t="n"/>
      <c r="B25" s="5">
        <f>IF($A25="","",IFERROR(VLOOKUP($A25,'02_Конкуренты'!$A\$4:$B\$203,2,FALSE),"не найдено"))</f>
        <v/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</row>
    <row r="26">
      <c r="A26" s="2" t="n"/>
      <c r="B26" s="5">
        <f>IF($A26="","",IFERROR(VLOOKUP($A26,'02_Конкуренты'!$A\$4:$B\$203,2,FALSE),"не найдено"))</f>
        <v/>
      </c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</row>
    <row r="27">
      <c r="A27" s="2" t="n"/>
      <c r="B27" s="5">
        <f>IF($A27="","",IFERROR(VLOOKUP($A27,'02_Конкуренты'!$A\$4:$B\$203,2,FALSE),"не найдено"))</f>
        <v/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</row>
    <row r="28">
      <c r="A28" s="2" t="n"/>
      <c r="B28" s="5">
        <f>IF($A28="","",IFERROR(VLOOKUP($A28,'02_Конкуренты'!$A\$4:$B\$203,2,FALSE),"не найдено"))</f>
        <v/>
      </c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</row>
    <row r="29">
      <c r="A29" s="2" t="n"/>
      <c r="B29" s="5">
        <f>IF($A29="","",IFERROR(VLOOKUP($A29,'02_Конкуренты'!$A\$4:$B\$203,2,FALSE),"не найдено"))</f>
        <v/>
      </c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</row>
    <row r="30">
      <c r="A30" s="2" t="n"/>
      <c r="B30" s="5">
        <f>IF($A30="","",IFERROR(VLOOKUP($A30,'02_Конкуренты'!$A\$4:$B\$203,2,FALSE),"не найдено"))</f>
        <v/>
      </c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</row>
    <row r="31">
      <c r="A31" s="2" t="n"/>
      <c r="B31" s="5">
        <f>IF($A31="","",IFERROR(VLOOKUP($A31,'02_Конкуренты'!$A\$4:$B\$203,2,FALSE),"не найдено"))</f>
        <v/>
      </c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</row>
    <row r="32">
      <c r="A32" s="2" t="n"/>
      <c r="B32" s="5">
        <f>IF($A32="","",IFERROR(VLOOKUP($A32,'02_Конкуренты'!$A\$4:$B\$203,2,FALSE),"не найдено"))</f>
        <v/>
      </c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</row>
    <row r="33">
      <c r="A33" s="2" t="n"/>
      <c r="B33" s="5">
        <f>IF($A33="","",IFERROR(VLOOKUP($A33,'02_Конкуренты'!$A\$4:$B\$203,2,FALSE),"не найдено"))</f>
        <v/>
      </c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</row>
    <row r="34">
      <c r="A34" s="2" t="n"/>
      <c r="B34" s="5">
        <f>IF($A34="","",IFERROR(VLOOKUP($A34,'02_Конкуренты'!$A\$4:$B\$203,2,FALSE),"не найдено"))</f>
        <v/>
      </c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</row>
    <row r="35">
      <c r="A35" s="2" t="n"/>
      <c r="B35" s="5">
        <f>IF($A35="","",IFERROR(VLOOKUP($A35,'02_Конкуренты'!$A\$4:$B\$203,2,FALSE),"не найдено"))</f>
        <v/>
      </c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</row>
    <row r="36">
      <c r="A36" s="2" t="n"/>
      <c r="B36" s="5">
        <f>IF($A36="","",IFERROR(VLOOKUP($A36,'02_Конкуренты'!$A\$4:$B\$203,2,FALSE),"не найдено"))</f>
        <v/>
      </c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</row>
    <row r="37">
      <c r="A37" s="2" t="n"/>
      <c r="B37" s="5">
        <f>IF($A37="","",IFERROR(VLOOKUP($A37,'02_Конкуренты'!$A\$4:$B\$203,2,FALSE),"не найдено"))</f>
        <v/>
      </c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</row>
    <row r="38">
      <c r="A38" s="2" t="n"/>
      <c r="B38" s="5">
        <f>IF($A38="","",IFERROR(VLOOKUP($A38,'02_Конкуренты'!$A\$4:$B\$203,2,FALSE),"не найдено"))</f>
        <v/>
      </c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</row>
    <row r="39">
      <c r="A39" s="2" t="n"/>
      <c r="B39" s="5">
        <f>IF($A39="","",IFERROR(VLOOKUP($A39,'02_Конкуренты'!$A\$4:$B\$203,2,FALSE),"не найдено"))</f>
        <v/>
      </c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</row>
    <row r="40">
      <c r="A40" s="2" t="n"/>
      <c r="B40" s="5">
        <f>IF($A40="","",IFERROR(VLOOKUP($A40,'02_Конкуренты'!$A\$4:$B\$203,2,FALSE),"не найдено"))</f>
        <v/>
      </c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</row>
    <row r="41">
      <c r="A41" s="2" t="n"/>
      <c r="B41" s="5">
        <f>IF($A41="","",IFERROR(VLOOKUP($A41,'02_Конкуренты'!$A\$4:$B\$203,2,FALSE),"не найдено"))</f>
        <v/>
      </c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</row>
    <row r="42">
      <c r="A42" s="2" t="n"/>
      <c r="B42" s="5">
        <f>IF($A42="","",IFERROR(VLOOKUP($A42,'02_Конкуренты'!$A\$4:$B\$203,2,FALSE),"не найдено"))</f>
        <v/>
      </c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</row>
    <row r="43">
      <c r="A43" s="2" t="n"/>
      <c r="B43" s="5">
        <f>IF($A43="","",IFERROR(VLOOKUP($A43,'02_Конкуренты'!$A\$4:$B\$203,2,FALSE),"не найдено"))</f>
        <v/>
      </c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</row>
    <row r="44">
      <c r="A44" s="2" t="n"/>
      <c r="B44" s="5">
        <f>IF($A44="","",IFERROR(VLOOKUP($A44,'02_Конкуренты'!$A\$4:$B\$203,2,FALSE),"не найдено"))</f>
        <v/>
      </c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</row>
    <row r="45">
      <c r="A45" s="2" t="n"/>
      <c r="B45" s="5">
        <f>IF($A45="","",IFERROR(VLOOKUP($A45,'02_Конкуренты'!$A\$4:$B\$203,2,FALSE),"не найдено"))</f>
        <v/>
      </c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</row>
    <row r="46">
      <c r="A46" s="2" t="n"/>
      <c r="B46" s="5">
        <f>IF($A46="","",IFERROR(VLOOKUP($A46,'02_Конкуренты'!$A\$4:$B\$203,2,FALSE),"не найдено"))</f>
        <v/>
      </c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</row>
    <row r="47">
      <c r="A47" s="2" t="n"/>
      <c r="B47" s="5">
        <f>IF($A47="","",IFERROR(VLOOKUP($A47,'02_Конкуренты'!$A\$4:$B\$203,2,FALSE),"не найдено"))</f>
        <v/>
      </c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</row>
    <row r="48">
      <c r="A48" s="2" t="n"/>
      <c r="B48" s="5">
        <f>IF($A48="","",IFERROR(VLOOKUP($A48,'02_Конкуренты'!$A\$4:$B\$203,2,FALSE),"не найдено"))</f>
        <v/>
      </c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</row>
    <row r="49">
      <c r="A49" s="2" t="n"/>
      <c r="B49" s="5">
        <f>IF($A49="","",IFERROR(VLOOKUP($A49,'02_Конкуренты'!$A\$4:$B\$203,2,FALSE),"не найдено"))</f>
        <v/>
      </c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</row>
    <row r="50">
      <c r="A50" s="2" t="n"/>
      <c r="B50" s="5">
        <f>IF($A50="","",IFERROR(VLOOKUP($A50,'02_Конкуренты'!$A\$4:$B\$203,2,FALSE),"не найдено"))</f>
        <v/>
      </c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</row>
    <row r="51">
      <c r="A51" s="2" t="n"/>
      <c r="B51" s="5">
        <f>IF($A51="","",IFERROR(VLOOKUP($A51,'02_Конкуренты'!$A\$4:$B\$203,2,FALSE),"не найдено"))</f>
        <v/>
      </c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</row>
    <row r="52">
      <c r="A52" s="2" t="n"/>
      <c r="B52" s="5">
        <f>IF($A52="","",IFERROR(VLOOKUP($A52,'02_Конкуренты'!$A\$4:$B\$203,2,FALSE),"не найдено"))</f>
        <v/>
      </c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</row>
    <row r="53">
      <c r="A53" s="2" t="n"/>
      <c r="B53" s="5">
        <f>IF($A53="","",IFERROR(VLOOKUP($A53,'02_Конкуренты'!$A\$4:$B\$203,2,FALSE),"не найдено"))</f>
        <v/>
      </c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</row>
    <row r="54">
      <c r="A54" s="2" t="n"/>
      <c r="B54" s="5">
        <f>IF($A54="","",IFERROR(VLOOKUP($A54,'02_Конкуренты'!$A\$4:$B\$203,2,FALSE),"не найдено"))</f>
        <v/>
      </c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</row>
    <row r="55">
      <c r="A55" s="2" t="n"/>
      <c r="B55" s="5">
        <f>IF($A55="","",IFERROR(VLOOKUP($A55,'02_Конкуренты'!$A\$4:$B\$203,2,FALSE),"не найдено"))</f>
        <v/>
      </c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</row>
    <row r="56">
      <c r="A56" s="2" t="n"/>
      <c r="B56" s="5">
        <f>IF($A56="","",IFERROR(VLOOKUP($A56,'02_Конкуренты'!$A\$4:$B\$203,2,FALSE),"не найдено"))</f>
        <v/>
      </c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</row>
    <row r="57">
      <c r="A57" s="2" t="n"/>
      <c r="B57" s="5">
        <f>IF($A57="","",IFERROR(VLOOKUP($A57,'02_Конкуренты'!$A\$4:$B\$203,2,FALSE),"не найдено"))</f>
        <v/>
      </c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</row>
    <row r="58">
      <c r="A58" s="2" t="n"/>
      <c r="B58" s="5">
        <f>IF($A58="","",IFERROR(VLOOKUP($A58,'02_Конкуренты'!$A\$4:$B\$203,2,FALSE),"не найдено"))</f>
        <v/>
      </c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</row>
    <row r="59">
      <c r="A59" s="2" t="n"/>
      <c r="B59" s="5">
        <f>IF($A59="","",IFERROR(VLOOKUP($A59,'02_Конкуренты'!$A\$4:$B\$203,2,FALSE),"не найдено"))</f>
        <v/>
      </c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</row>
    <row r="60">
      <c r="A60" s="2" t="n"/>
      <c r="B60" s="5">
        <f>IF($A60="","",IFERROR(VLOOKUP($A60,'02_Конкуренты'!$A\$4:$B\$203,2,FALSE),"не найдено"))</f>
        <v/>
      </c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</row>
    <row r="61">
      <c r="A61" s="2" t="n"/>
      <c r="B61" s="5">
        <f>IF($A61="","",IFERROR(VLOOKUP($A61,'02_Конкуренты'!$A\$4:$B\$203,2,FALSE),"не найдено"))</f>
        <v/>
      </c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</row>
    <row r="62">
      <c r="A62" s="2" t="n"/>
      <c r="B62" s="5">
        <f>IF($A62="","",IFERROR(VLOOKUP($A62,'02_Конкуренты'!$A\$4:$B\$203,2,FALSE),"не найдено"))</f>
        <v/>
      </c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</row>
    <row r="63">
      <c r="A63" s="2" t="n"/>
      <c r="B63" s="5">
        <f>IF($A63="","",IFERROR(VLOOKUP($A63,'02_Конкуренты'!$A\$4:$B\$203,2,FALSE),"не найдено"))</f>
        <v/>
      </c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</row>
    <row r="64">
      <c r="A64" s="2" t="n"/>
      <c r="B64" s="5">
        <f>IF($A64="","",IFERROR(VLOOKUP($A64,'02_Конкуренты'!$A\$4:$B\$203,2,FALSE),"не найдено"))</f>
        <v/>
      </c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</row>
    <row r="65">
      <c r="A65" s="2" t="n"/>
      <c r="B65" s="5">
        <f>IF($A65="","",IFERROR(VLOOKUP($A65,'02_Конкуренты'!$A\$4:$B\$203,2,FALSE),"не найдено"))</f>
        <v/>
      </c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</row>
    <row r="66">
      <c r="A66" s="2" t="n"/>
      <c r="B66" s="5">
        <f>IF($A66="","",IFERROR(VLOOKUP($A66,'02_Конкуренты'!$A\$4:$B\$203,2,FALSE),"не найдено"))</f>
        <v/>
      </c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</row>
    <row r="67">
      <c r="A67" s="2" t="n"/>
      <c r="B67" s="5">
        <f>IF($A67="","",IFERROR(VLOOKUP($A67,'02_Конкуренты'!$A\$4:$B\$203,2,FALSE),"не найдено"))</f>
        <v/>
      </c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</row>
    <row r="68">
      <c r="A68" s="2" t="n"/>
      <c r="B68" s="5">
        <f>IF($A68="","",IFERROR(VLOOKUP($A68,'02_Конкуренты'!$A\$4:$B\$203,2,FALSE),"не найдено"))</f>
        <v/>
      </c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</row>
    <row r="69">
      <c r="A69" s="2" t="n"/>
      <c r="B69" s="5">
        <f>IF($A69="","",IFERROR(VLOOKUP($A69,'02_Конкуренты'!$A\$4:$B\$203,2,FALSE),"не найдено"))</f>
        <v/>
      </c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</row>
    <row r="70">
      <c r="A70" s="2" t="n"/>
      <c r="B70" s="5">
        <f>IF($A70="","",IFERROR(VLOOKUP($A70,'02_Конкуренты'!$A\$4:$B\$203,2,FALSE),"не найдено"))</f>
        <v/>
      </c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</row>
    <row r="71">
      <c r="A71" s="2" t="n"/>
      <c r="B71" s="5">
        <f>IF($A71="","",IFERROR(VLOOKUP($A71,'02_Конкуренты'!$A\$4:$B\$203,2,FALSE),"не найдено"))</f>
        <v/>
      </c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</row>
    <row r="72">
      <c r="A72" s="2" t="n"/>
      <c r="B72" s="5">
        <f>IF($A72="","",IFERROR(VLOOKUP($A72,'02_Конкуренты'!$A\$4:$B\$203,2,FALSE),"не найдено"))</f>
        <v/>
      </c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</row>
    <row r="73">
      <c r="A73" s="2" t="n"/>
      <c r="B73" s="5">
        <f>IF($A73="","",IFERROR(VLOOKUP($A73,'02_Конкуренты'!$A\$4:$B\$203,2,FALSE),"не найдено"))</f>
        <v/>
      </c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</row>
    <row r="74">
      <c r="A74" s="2" t="n"/>
      <c r="B74" s="5">
        <f>IF($A74="","",IFERROR(VLOOKUP($A74,'02_Конкуренты'!$A\$4:$B\$203,2,FALSE),"не найдено"))</f>
        <v/>
      </c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</row>
    <row r="75">
      <c r="A75" s="2" t="n"/>
      <c r="B75" s="5">
        <f>IF($A75="","",IFERROR(VLOOKUP($A75,'02_Конкуренты'!$A\$4:$B\$203,2,FALSE),"не найдено"))</f>
        <v/>
      </c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</row>
    <row r="76">
      <c r="A76" s="2" t="n"/>
      <c r="B76" s="5">
        <f>IF($A76="","",IFERROR(VLOOKUP($A76,'02_Конкуренты'!$A\$4:$B\$203,2,FALSE),"не найдено"))</f>
        <v/>
      </c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</row>
    <row r="77">
      <c r="A77" s="2" t="n"/>
      <c r="B77" s="5">
        <f>IF($A77="","",IFERROR(VLOOKUP($A77,'02_Конкуренты'!$A\$4:$B\$203,2,FALSE),"не найдено"))</f>
        <v/>
      </c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</row>
    <row r="78">
      <c r="A78" s="2" t="n"/>
      <c r="B78" s="5">
        <f>IF($A78="","",IFERROR(VLOOKUP($A78,'02_Конкуренты'!$A\$4:$B\$203,2,FALSE),"не найдено"))</f>
        <v/>
      </c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</row>
    <row r="79">
      <c r="A79" s="2" t="n"/>
      <c r="B79" s="5">
        <f>IF($A79="","",IFERROR(VLOOKUP($A79,'02_Конкуренты'!$A\$4:$B\$203,2,FALSE),"не найдено"))</f>
        <v/>
      </c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</row>
    <row r="80">
      <c r="A80" s="2" t="n"/>
      <c r="B80" s="5">
        <f>IF($A80="","",IFERROR(VLOOKUP($A80,'02_Конкуренты'!$A\$4:$B\$203,2,FALSE),"не найдено"))</f>
        <v/>
      </c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</row>
    <row r="81">
      <c r="A81" s="2" t="n"/>
      <c r="B81" s="5">
        <f>IF($A81="","",IFERROR(VLOOKUP($A81,'02_Конкуренты'!$A\$4:$B\$203,2,FALSE),"не найдено"))</f>
        <v/>
      </c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</row>
    <row r="82">
      <c r="A82" s="2" t="n"/>
      <c r="B82" s="5">
        <f>IF($A82="","",IFERROR(VLOOKUP($A82,'02_Конкуренты'!$A\$4:$B\$203,2,FALSE),"не найдено"))</f>
        <v/>
      </c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</row>
    <row r="83">
      <c r="A83" s="2" t="n"/>
      <c r="B83" s="5">
        <f>IF($A83="","",IFERROR(VLOOKUP($A83,'02_Конкуренты'!$A\$4:$B\$203,2,FALSE),"не найдено"))</f>
        <v/>
      </c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</row>
    <row r="84">
      <c r="A84" s="2" t="n"/>
      <c r="B84" s="5">
        <f>IF($A84="","",IFERROR(VLOOKUP($A84,'02_Конкуренты'!$A\$4:$B\$203,2,FALSE),"не найдено"))</f>
        <v/>
      </c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</row>
    <row r="85">
      <c r="A85" s="2" t="n"/>
      <c r="B85" s="5">
        <f>IF($A85="","",IFERROR(VLOOKUP($A85,'02_Конкуренты'!$A\$4:$B\$203,2,FALSE),"не найдено"))</f>
        <v/>
      </c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</row>
    <row r="86">
      <c r="A86" s="2" t="n"/>
      <c r="B86" s="5">
        <f>IF($A86="","",IFERROR(VLOOKUP($A86,'02_Конкуренты'!$A\$4:$B\$203,2,FALSE),"не найдено"))</f>
        <v/>
      </c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</row>
    <row r="87">
      <c r="A87" s="2" t="n"/>
      <c r="B87" s="5">
        <f>IF($A87="","",IFERROR(VLOOKUP($A87,'02_Конкуренты'!$A\$4:$B\$203,2,FALSE),"не найдено"))</f>
        <v/>
      </c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</row>
    <row r="88">
      <c r="A88" s="2" t="n"/>
      <c r="B88" s="5">
        <f>IF($A88="","",IFERROR(VLOOKUP($A88,'02_Конкуренты'!$A\$4:$B\$203,2,FALSE),"не найдено"))</f>
        <v/>
      </c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</row>
    <row r="89">
      <c r="A89" s="2" t="n"/>
      <c r="B89" s="5">
        <f>IF($A89="","",IFERROR(VLOOKUP($A89,'02_Конкуренты'!$A\$4:$B\$203,2,FALSE),"не найдено"))</f>
        <v/>
      </c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</row>
    <row r="90">
      <c r="A90" s="2" t="n"/>
      <c r="B90" s="5">
        <f>IF($A90="","",IFERROR(VLOOKUP($A90,'02_Конкуренты'!$A\$4:$B\$203,2,FALSE),"не найдено"))</f>
        <v/>
      </c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</row>
    <row r="91">
      <c r="A91" s="2" t="n"/>
      <c r="B91" s="5">
        <f>IF($A91="","",IFERROR(VLOOKUP($A91,'02_Конкуренты'!$A\$4:$B\$203,2,FALSE),"не найдено"))</f>
        <v/>
      </c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</row>
    <row r="92">
      <c r="A92" s="2" t="n"/>
      <c r="B92" s="5">
        <f>IF($A92="","",IFERROR(VLOOKUP($A92,'02_Конкуренты'!$A\$4:$B\$203,2,FALSE),"не найдено"))</f>
        <v/>
      </c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</row>
    <row r="93">
      <c r="A93" s="2" t="n"/>
      <c r="B93" s="5">
        <f>IF($A93="","",IFERROR(VLOOKUP($A93,'02_Конкуренты'!$A\$4:$B\$203,2,FALSE),"не найдено"))</f>
        <v/>
      </c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</row>
    <row r="94">
      <c r="A94" s="2" t="n"/>
      <c r="B94" s="5">
        <f>IF($A94="","",IFERROR(VLOOKUP($A94,'02_Конкуренты'!$A\$4:$B\$203,2,FALSE),"не найдено"))</f>
        <v/>
      </c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</row>
    <row r="95">
      <c r="A95" s="2" t="n"/>
      <c r="B95" s="5">
        <f>IF($A95="","",IFERROR(VLOOKUP($A95,'02_Конкуренты'!$A\$4:$B\$203,2,FALSE),"не найдено"))</f>
        <v/>
      </c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</row>
    <row r="96">
      <c r="A96" s="2" t="n"/>
      <c r="B96" s="5">
        <f>IF($A96="","",IFERROR(VLOOKUP($A96,'02_Конкуренты'!$A\$4:$B\$203,2,FALSE),"не найдено"))</f>
        <v/>
      </c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</row>
    <row r="97">
      <c r="A97" s="2" t="n"/>
      <c r="B97" s="5">
        <f>IF($A97="","",IFERROR(VLOOKUP($A97,'02_Конкуренты'!$A\$4:$B\$203,2,FALSE),"не найдено"))</f>
        <v/>
      </c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</row>
    <row r="98">
      <c r="A98" s="2" t="n"/>
      <c r="B98" s="5">
        <f>IF($A98="","",IFERROR(VLOOKUP($A98,'02_Конкуренты'!$A\$4:$B\$203,2,FALSE),"не найдено"))</f>
        <v/>
      </c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</row>
    <row r="99">
      <c r="A99" s="2" t="n"/>
      <c r="B99" s="5">
        <f>IF($A99="","",IFERROR(VLOOKUP($A99,'02_Конкуренты'!$A\$4:$B\$203,2,FALSE),"не найдено"))</f>
        <v/>
      </c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</row>
    <row r="100">
      <c r="A100" s="2" t="n"/>
      <c r="B100" s="5">
        <f>IF($A100="","",IFERROR(VLOOKUP($A100,'02_Конкуренты'!$A\$4:$B\$203,2,FALSE),"не найдено"))</f>
        <v/>
      </c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</row>
    <row r="101">
      <c r="A101" s="2" t="n"/>
      <c r="B101" s="5">
        <f>IF($A101="","",IFERROR(VLOOKUP($A101,'02_Конкуренты'!$A\$4:$B\$203,2,FALSE),"не найдено"))</f>
        <v/>
      </c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</row>
    <row r="102">
      <c r="A102" s="2" t="n"/>
      <c r="B102" s="5">
        <f>IF($A102="","",IFERROR(VLOOKUP($A102,'02_Конкуренты'!$A\$4:$B\$203,2,FALSE),"не найдено"))</f>
        <v/>
      </c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</row>
    <row r="103">
      <c r="A103" s="2" t="n"/>
      <c r="B103" s="5">
        <f>IF($A103="","",IFERROR(VLOOKUP($A103,'02_Конкуренты'!$A\$4:$B\$203,2,FALSE),"не найдено"))</f>
        <v/>
      </c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</row>
    <row r="104">
      <c r="A104" s="2" t="n"/>
      <c r="B104" s="5">
        <f>IF($A104="","",IFERROR(VLOOKUP($A104,'02_Конкуренты'!$A\$4:$B\$203,2,FALSE),"не найдено"))</f>
        <v/>
      </c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</row>
    <row r="105">
      <c r="A105" s="2" t="n"/>
      <c r="B105" s="5">
        <f>IF($A105="","",IFERROR(VLOOKUP($A105,'02_Конкуренты'!$A\$4:$B\$203,2,FALSE),"не найдено"))</f>
        <v/>
      </c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</row>
    <row r="106">
      <c r="A106" s="2" t="n"/>
      <c r="B106" s="5">
        <f>IF($A106="","",IFERROR(VLOOKUP($A106,'02_Конкуренты'!$A\$4:$B\$203,2,FALSE),"не найдено"))</f>
        <v/>
      </c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</row>
    <row r="107">
      <c r="A107" s="2" t="n"/>
      <c r="B107" s="5">
        <f>IF($A107="","",IFERROR(VLOOKUP($A107,'02_Конкуренты'!$A\$4:$B\$203,2,FALSE),"не найдено"))</f>
        <v/>
      </c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</row>
    <row r="108">
      <c r="A108" s="2" t="n"/>
      <c r="B108" s="5">
        <f>IF($A108="","",IFERROR(VLOOKUP($A108,'02_Конкуренты'!$A\$4:$B\$203,2,FALSE),"не найдено"))</f>
        <v/>
      </c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</row>
    <row r="109">
      <c r="A109" s="2" t="n"/>
      <c r="B109" s="5">
        <f>IF($A109="","",IFERROR(VLOOKUP($A109,'02_Конкуренты'!$A\$4:$B\$203,2,FALSE),"не найдено"))</f>
        <v/>
      </c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</row>
    <row r="110">
      <c r="A110" s="2" t="n"/>
      <c r="B110" s="5">
        <f>IF($A110="","",IFERROR(VLOOKUP($A110,'02_Конкуренты'!$A\$4:$B\$203,2,FALSE),"не найдено"))</f>
        <v/>
      </c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</row>
    <row r="111">
      <c r="A111" s="2" t="n"/>
      <c r="B111" s="5">
        <f>IF($A111="","",IFERROR(VLOOKUP($A111,'02_Конкуренты'!$A\$4:$B\$203,2,FALSE),"не найдено"))</f>
        <v/>
      </c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</row>
    <row r="112">
      <c r="A112" s="2" t="n"/>
      <c r="B112" s="5">
        <f>IF($A112="","",IFERROR(VLOOKUP($A112,'02_Конкуренты'!$A\$4:$B\$203,2,FALSE),"не найдено"))</f>
        <v/>
      </c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</row>
    <row r="113">
      <c r="A113" s="2" t="n"/>
      <c r="B113" s="5">
        <f>IF($A113="","",IFERROR(VLOOKUP($A113,'02_Конкуренты'!$A\$4:$B\$203,2,FALSE),"не найдено"))</f>
        <v/>
      </c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</row>
    <row r="114">
      <c r="A114" s="2" t="n"/>
      <c r="B114" s="5">
        <f>IF($A114="","",IFERROR(VLOOKUP($A114,'02_Конкуренты'!$A\$4:$B\$203,2,FALSE),"не найдено"))</f>
        <v/>
      </c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</row>
    <row r="115">
      <c r="A115" s="2" t="n"/>
      <c r="B115" s="5">
        <f>IF($A115="","",IFERROR(VLOOKUP($A115,'02_Конкуренты'!$A\$4:$B\$203,2,FALSE),"не найдено"))</f>
        <v/>
      </c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</row>
    <row r="116">
      <c r="A116" s="2" t="n"/>
      <c r="B116" s="5">
        <f>IF($A116="","",IFERROR(VLOOKUP($A116,'02_Конкуренты'!$A\$4:$B\$203,2,FALSE),"не найдено"))</f>
        <v/>
      </c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</row>
    <row r="117">
      <c r="A117" s="2" t="n"/>
      <c r="B117" s="5">
        <f>IF($A117="","",IFERROR(VLOOKUP($A117,'02_Конкуренты'!$A\$4:$B\$203,2,FALSE),"не найдено"))</f>
        <v/>
      </c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</row>
    <row r="118">
      <c r="A118" s="2" t="n"/>
      <c r="B118" s="5">
        <f>IF($A118="","",IFERROR(VLOOKUP($A118,'02_Конкуренты'!$A\$4:$B\$203,2,FALSE),"не найдено"))</f>
        <v/>
      </c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</row>
    <row r="119">
      <c r="A119" s="2" t="n"/>
      <c r="B119" s="5">
        <f>IF($A119="","",IFERROR(VLOOKUP($A119,'02_Конкуренты'!$A\$4:$B\$203,2,FALSE),"не найдено"))</f>
        <v/>
      </c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</row>
    <row r="120">
      <c r="A120" s="2" t="n"/>
      <c r="B120" s="5">
        <f>IF($A120="","",IFERROR(VLOOKUP($A120,'02_Конкуренты'!$A\$4:$B\$203,2,FALSE),"не найдено"))</f>
        <v/>
      </c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</row>
    <row r="121">
      <c r="A121" s="2" t="n"/>
      <c r="B121" s="5">
        <f>IF($A121="","",IFERROR(VLOOKUP($A121,'02_Конкуренты'!$A\$4:$B\$203,2,FALSE),"не найдено"))</f>
        <v/>
      </c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</row>
    <row r="122">
      <c r="A122" s="2" t="n"/>
      <c r="B122" s="5">
        <f>IF($A122="","",IFERROR(VLOOKUP($A122,'02_Конкуренты'!$A\$4:$B\$203,2,FALSE),"не найдено"))</f>
        <v/>
      </c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</row>
    <row r="123">
      <c r="A123" s="2" t="n"/>
      <c r="B123" s="5">
        <f>IF($A123="","",IFERROR(VLOOKUP($A123,'02_Конкуренты'!$A\$4:$B\$203,2,FALSE),"не найдено"))</f>
        <v/>
      </c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</row>
    <row r="124">
      <c r="A124" s="2" t="n"/>
      <c r="B124" s="5">
        <f>IF($A124="","",IFERROR(VLOOKUP($A124,'02_Конкуренты'!$A\$4:$B\$203,2,FALSE),"не найдено"))</f>
        <v/>
      </c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</row>
    <row r="125">
      <c r="A125" s="2" t="n"/>
      <c r="B125" s="5">
        <f>IF($A125="","",IFERROR(VLOOKUP($A125,'02_Конкуренты'!$A\$4:$B\$203,2,FALSE),"не найдено"))</f>
        <v/>
      </c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</row>
    <row r="126">
      <c r="A126" s="2" t="n"/>
      <c r="B126" s="5">
        <f>IF($A126="","",IFERROR(VLOOKUP($A126,'02_Конкуренты'!$A\$4:$B\$203,2,FALSE),"не найдено"))</f>
        <v/>
      </c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</row>
    <row r="127">
      <c r="A127" s="2" t="n"/>
      <c r="B127" s="5">
        <f>IF($A127="","",IFERROR(VLOOKUP($A127,'02_Конкуренты'!$A\$4:$B\$203,2,FALSE),"не найдено"))</f>
        <v/>
      </c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</row>
    <row r="128">
      <c r="A128" s="2" t="n"/>
      <c r="B128" s="5">
        <f>IF($A128="","",IFERROR(VLOOKUP($A128,'02_Конкуренты'!$A\$4:$B\$203,2,FALSE),"не найдено"))</f>
        <v/>
      </c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</row>
    <row r="129">
      <c r="A129" s="2" t="n"/>
      <c r="B129" s="5">
        <f>IF($A129="","",IFERROR(VLOOKUP($A129,'02_Конкуренты'!$A\$4:$B\$203,2,FALSE),"не найдено"))</f>
        <v/>
      </c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</row>
    <row r="130">
      <c r="A130" s="2" t="n"/>
      <c r="B130" s="5">
        <f>IF($A130="","",IFERROR(VLOOKUP($A130,'02_Конкуренты'!$A\$4:$B\$203,2,FALSE),"не найдено"))</f>
        <v/>
      </c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</row>
    <row r="131">
      <c r="A131" s="2" t="n"/>
      <c r="B131" s="5">
        <f>IF($A131="","",IFERROR(VLOOKUP($A131,'02_Конкуренты'!$A\$4:$B\$203,2,FALSE),"не найдено"))</f>
        <v/>
      </c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</row>
    <row r="132">
      <c r="A132" s="2" t="n"/>
      <c r="B132" s="5">
        <f>IF($A132="","",IFERROR(VLOOKUP($A132,'02_Конкуренты'!$A\$4:$B\$203,2,FALSE),"не найдено"))</f>
        <v/>
      </c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</row>
    <row r="133">
      <c r="A133" s="2" t="n"/>
      <c r="B133" s="5">
        <f>IF($A133="","",IFERROR(VLOOKUP($A133,'02_Конкуренты'!$A\$4:$B\$203,2,FALSE),"не найдено"))</f>
        <v/>
      </c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</row>
    <row r="134">
      <c r="A134" s="2" t="n"/>
      <c r="B134" s="5">
        <f>IF($A134="","",IFERROR(VLOOKUP($A134,'02_Конкуренты'!$A\$4:$B\$203,2,FALSE),"не найдено"))</f>
        <v/>
      </c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</row>
    <row r="135">
      <c r="A135" s="2" t="n"/>
      <c r="B135" s="5">
        <f>IF($A135="","",IFERROR(VLOOKUP($A135,'02_Конкуренты'!$A\$4:$B\$203,2,FALSE),"не найдено"))</f>
        <v/>
      </c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</row>
    <row r="136">
      <c r="A136" s="2" t="n"/>
      <c r="B136" s="5">
        <f>IF($A136="","",IFERROR(VLOOKUP($A136,'02_Конкуренты'!$A\$4:$B\$203,2,FALSE),"не найдено"))</f>
        <v/>
      </c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</row>
    <row r="137">
      <c r="A137" s="2" t="n"/>
      <c r="B137" s="5">
        <f>IF($A137="","",IFERROR(VLOOKUP($A137,'02_Конкуренты'!$A\$4:$B\$203,2,FALSE),"не найдено"))</f>
        <v/>
      </c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</row>
    <row r="138">
      <c r="A138" s="2" t="n"/>
      <c r="B138" s="5">
        <f>IF($A138="","",IFERROR(VLOOKUP($A138,'02_Конкуренты'!$A\$4:$B\$203,2,FALSE),"не найдено"))</f>
        <v/>
      </c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</row>
    <row r="139">
      <c r="A139" s="2" t="n"/>
      <c r="B139" s="5">
        <f>IF($A139="","",IFERROR(VLOOKUP($A139,'02_Конкуренты'!$A\$4:$B\$203,2,FALSE),"не найдено"))</f>
        <v/>
      </c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</row>
    <row r="140">
      <c r="A140" s="2" t="n"/>
      <c r="B140" s="5">
        <f>IF($A140="","",IFERROR(VLOOKUP($A140,'02_Конкуренты'!$A\$4:$B\$203,2,FALSE),"не найдено"))</f>
        <v/>
      </c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</row>
    <row r="141">
      <c r="A141" s="2" t="n"/>
      <c r="B141" s="5">
        <f>IF($A141="","",IFERROR(VLOOKUP($A141,'02_Конкуренты'!$A\$4:$B\$203,2,FALSE),"не найдено"))</f>
        <v/>
      </c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</row>
    <row r="142">
      <c r="A142" s="2" t="n"/>
      <c r="B142" s="5">
        <f>IF($A142="","",IFERROR(VLOOKUP($A142,'02_Конкуренты'!$A\$4:$B\$203,2,FALSE),"не найдено"))</f>
        <v/>
      </c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</row>
    <row r="143">
      <c r="A143" s="2" t="n"/>
      <c r="B143" s="5">
        <f>IF($A143="","",IFERROR(VLOOKUP($A143,'02_Конкуренты'!$A\$4:$B\$203,2,FALSE),"не найдено"))</f>
        <v/>
      </c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</row>
    <row r="144">
      <c r="A144" s="2" t="n"/>
      <c r="B144" s="5">
        <f>IF($A144="","",IFERROR(VLOOKUP($A144,'02_Конкуренты'!$A\$4:$B\$203,2,FALSE),"не найдено"))</f>
        <v/>
      </c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</row>
    <row r="145">
      <c r="A145" s="2" t="n"/>
      <c r="B145" s="5">
        <f>IF($A145="","",IFERROR(VLOOKUP($A145,'02_Конкуренты'!$A\$4:$B\$203,2,FALSE),"не найдено"))</f>
        <v/>
      </c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</row>
    <row r="146">
      <c r="A146" s="2" t="n"/>
      <c r="B146" s="5">
        <f>IF($A146="","",IFERROR(VLOOKUP($A146,'02_Конкуренты'!$A\$4:$B\$203,2,FALSE),"не найдено"))</f>
        <v/>
      </c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</row>
    <row r="147">
      <c r="A147" s="2" t="n"/>
      <c r="B147" s="5">
        <f>IF($A147="","",IFERROR(VLOOKUP($A147,'02_Конкуренты'!$A\$4:$B\$203,2,FALSE),"не найдено"))</f>
        <v/>
      </c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</row>
    <row r="148">
      <c r="A148" s="2" t="n"/>
      <c r="B148" s="5">
        <f>IF($A148="","",IFERROR(VLOOKUP($A148,'02_Конкуренты'!$A\$4:$B\$203,2,FALSE),"не найдено"))</f>
        <v/>
      </c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</row>
    <row r="149">
      <c r="A149" s="2" t="n"/>
      <c r="B149" s="5">
        <f>IF($A149="","",IFERROR(VLOOKUP($A149,'02_Конкуренты'!$A\$4:$B\$203,2,FALSE),"не найдено"))</f>
        <v/>
      </c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</row>
    <row r="150">
      <c r="A150" s="2" t="n"/>
      <c r="B150" s="5">
        <f>IF($A150="","",IFERROR(VLOOKUP($A150,'02_Конкуренты'!$A\$4:$B\$203,2,FALSE),"не найдено"))</f>
        <v/>
      </c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</row>
    <row r="151">
      <c r="A151" s="2" t="n"/>
      <c r="B151" s="5">
        <f>IF($A151="","",IFERROR(VLOOKUP($A151,'02_Конкуренты'!$A\$4:$B\$203,2,FALSE),"не найдено"))</f>
        <v/>
      </c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</row>
    <row r="152">
      <c r="A152" s="2" t="n"/>
      <c r="B152" s="5">
        <f>IF($A152="","",IFERROR(VLOOKUP($A152,'02_Конкуренты'!$A\$4:$B\$203,2,FALSE),"не найдено"))</f>
        <v/>
      </c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</row>
    <row r="153">
      <c r="A153" s="2" t="n"/>
      <c r="B153" s="5">
        <f>IF($A153="","",IFERROR(VLOOKUP($A153,'02_Конкуренты'!$A\$4:$B\$203,2,FALSE),"не найдено"))</f>
        <v/>
      </c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</row>
    <row r="154">
      <c r="A154" s="2" t="n"/>
      <c r="B154" s="5">
        <f>IF($A154="","",IFERROR(VLOOKUP($A154,'02_Конкуренты'!$A\$4:$B\$203,2,FALSE),"не найдено"))</f>
        <v/>
      </c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</row>
    <row r="155">
      <c r="A155" s="2" t="n"/>
      <c r="B155" s="5">
        <f>IF($A155="","",IFERROR(VLOOKUP($A155,'02_Конкуренты'!$A\$4:$B\$203,2,FALSE),"не найдено"))</f>
        <v/>
      </c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</row>
    <row r="156">
      <c r="A156" s="2" t="n"/>
      <c r="B156" s="5">
        <f>IF($A156="","",IFERROR(VLOOKUP($A156,'02_Конкуренты'!$A\$4:$B\$203,2,FALSE),"не найдено"))</f>
        <v/>
      </c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</row>
    <row r="157">
      <c r="A157" s="2" t="n"/>
      <c r="B157" s="5">
        <f>IF($A157="","",IFERROR(VLOOKUP($A157,'02_Конкуренты'!$A\$4:$B\$203,2,FALSE),"не найдено"))</f>
        <v/>
      </c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</row>
    <row r="158">
      <c r="A158" s="2" t="n"/>
      <c r="B158" s="5">
        <f>IF($A158="","",IFERROR(VLOOKUP($A158,'02_Конкуренты'!$A\$4:$B\$203,2,FALSE),"не найдено"))</f>
        <v/>
      </c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</row>
    <row r="159">
      <c r="A159" s="2" t="n"/>
      <c r="B159" s="5">
        <f>IF($A159="","",IFERROR(VLOOKUP($A159,'02_Конкуренты'!$A\$4:$B\$203,2,FALSE),"не найдено"))</f>
        <v/>
      </c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</row>
    <row r="160">
      <c r="A160" s="2" t="n"/>
      <c r="B160" s="5">
        <f>IF($A160="","",IFERROR(VLOOKUP($A160,'02_Конкуренты'!$A\$4:$B\$203,2,FALSE),"не найдено"))</f>
        <v/>
      </c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</row>
    <row r="161">
      <c r="A161" s="2" t="n"/>
      <c r="B161" s="5">
        <f>IF($A161="","",IFERROR(VLOOKUP($A161,'02_Конкуренты'!$A\$4:$B\$203,2,FALSE),"не найдено"))</f>
        <v/>
      </c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</row>
    <row r="162">
      <c r="A162" s="2" t="n"/>
      <c r="B162" s="5">
        <f>IF($A162="","",IFERROR(VLOOKUP($A162,'02_Конкуренты'!$A\$4:$B\$203,2,FALSE),"не найдено"))</f>
        <v/>
      </c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</row>
    <row r="163">
      <c r="A163" s="2" t="n"/>
      <c r="B163" s="5">
        <f>IF($A163="","",IFERROR(VLOOKUP($A163,'02_Конкуренты'!$A\$4:$B\$203,2,FALSE),"не найдено"))</f>
        <v/>
      </c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</row>
    <row r="164">
      <c r="A164" s="2" t="n"/>
      <c r="B164" s="5">
        <f>IF($A164="","",IFERROR(VLOOKUP($A164,'02_Конкуренты'!$A\$4:$B\$203,2,FALSE),"не найдено"))</f>
        <v/>
      </c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</row>
    <row r="165">
      <c r="A165" s="2" t="n"/>
      <c r="B165" s="5">
        <f>IF($A165="","",IFERROR(VLOOKUP($A165,'02_Конкуренты'!$A\$4:$B\$203,2,FALSE),"не найдено"))</f>
        <v/>
      </c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</row>
    <row r="166">
      <c r="A166" s="2" t="n"/>
      <c r="B166" s="5">
        <f>IF($A166="","",IFERROR(VLOOKUP($A166,'02_Конкуренты'!$A\$4:$B\$203,2,FALSE),"не найдено"))</f>
        <v/>
      </c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</row>
    <row r="167">
      <c r="A167" s="2" t="n"/>
      <c r="B167" s="5">
        <f>IF($A167="","",IFERROR(VLOOKUP($A167,'02_Конкуренты'!$A\$4:$B\$203,2,FALSE),"не найдено"))</f>
        <v/>
      </c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</row>
    <row r="168">
      <c r="A168" s="2" t="n"/>
      <c r="B168" s="5">
        <f>IF($A168="","",IFERROR(VLOOKUP($A168,'02_Конкуренты'!$A\$4:$B\$203,2,FALSE),"не найдено"))</f>
        <v/>
      </c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</row>
    <row r="169">
      <c r="A169" s="2" t="n"/>
      <c r="B169" s="5">
        <f>IF($A169="","",IFERROR(VLOOKUP($A169,'02_Конкуренты'!$A\$4:$B\$203,2,FALSE),"не найдено"))</f>
        <v/>
      </c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</row>
    <row r="170">
      <c r="A170" s="2" t="n"/>
      <c r="B170" s="5">
        <f>IF($A170="","",IFERROR(VLOOKUP($A170,'02_Конкуренты'!$A\$4:$B\$203,2,FALSE),"не найдено"))</f>
        <v/>
      </c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</row>
    <row r="171">
      <c r="A171" s="2" t="n"/>
      <c r="B171" s="5">
        <f>IF($A171="","",IFERROR(VLOOKUP($A171,'02_Конкуренты'!$A\$4:$B\$203,2,FALSE),"не найдено"))</f>
        <v/>
      </c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</row>
    <row r="172">
      <c r="A172" s="2" t="n"/>
      <c r="B172" s="5">
        <f>IF($A172="","",IFERROR(VLOOKUP($A172,'02_Конкуренты'!$A\$4:$B\$203,2,FALSE),"не найдено"))</f>
        <v/>
      </c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</row>
    <row r="173">
      <c r="A173" s="2" t="n"/>
      <c r="B173" s="5">
        <f>IF($A173="","",IFERROR(VLOOKUP($A173,'02_Конкуренты'!$A\$4:$B\$203,2,FALSE),"не найдено"))</f>
        <v/>
      </c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</row>
    <row r="174">
      <c r="A174" s="2" t="n"/>
      <c r="B174" s="5">
        <f>IF($A174="","",IFERROR(VLOOKUP($A174,'02_Конкуренты'!$A\$4:$B\$203,2,FALSE),"не найдено"))</f>
        <v/>
      </c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</row>
    <row r="175">
      <c r="A175" s="2" t="n"/>
      <c r="B175" s="5">
        <f>IF($A175="","",IFERROR(VLOOKUP($A175,'02_Конкуренты'!$A\$4:$B\$203,2,FALSE),"не найдено"))</f>
        <v/>
      </c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</row>
    <row r="176">
      <c r="A176" s="2" t="n"/>
      <c r="B176" s="5">
        <f>IF($A176="","",IFERROR(VLOOKUP($A176,'02_Конкуренты'!$A\$4:$B\$203,2,FALSE),"не найдено"))</f>
        <v/>
      </c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</row>
    <row r="177">
      <c r="A177" s="2" t="n"/>
      <c r="B177" s="5">
        <f>IF($A177="","",IFERROR(VLOOKUP($A177,'02_Конкуренты'!$A\$4:$B\$203,2,FALSE),"не найдено"))</f>
        <v/>
      </c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</row>
    <row r="178">
      <c r="A178" s="2" t="n"/>
      <c r="B178" s="5">
        <f>IF($A178="","",IFERROR(VLOOKUP($A178,'02_Конкуренты'!$A\$4:$B\$203,2,FALSE),"не найдено"))</f>
        <v/>
      </c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</row>
    <row r="179">
      <c r="A179" s="2" t="n"/>
      <c r="B179" s="5">
        <f>IF($A179="","",IFERROR(VLOOKUP($A179,'02_Конкуренты'!$A\$4:$B\$203,2,FALSE),"не найдено"))</f>
        <v/>
      </c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</row>
    <row r="180">
      <c r="A180" s="2" t="n"/>
      <c r="B180" s="5">
        <f>IF($A180="","",IFERROR(VLOOKUP($A180,'02_Конкуренты'!$A\$4:$B\$203,2,FALSE),"не найдено"))</f>
        <v/>
      </c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</row>
    <row r="181">
      <c r="A181" s="2" t="n"/>
      <c r="B181" s="5">
        <f>IF($A181="","",IFERROR(VLOOKUP($A181,'02_Конкуренты'!$A\$4:$B\$203,2,FALSE),"не найдено"))</f>
        <v/>
      </c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</row>
    <row r="182">
      <c r="A182" s="2" t="n"/>
      <c r="B182" s="5">
        <f>IF($A182="","",IFERROR(VLOOKUP($A182,'02_Конкуренты'!$A\$4:$B\$203,2,FALSE),"не найдено"))</f>
        <v/>
      </c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</row>
    <row r="183">
      <c r="A183" s="2" t="n"/>
      <c r="B183" s="5">
        <f>IF($A183="","",IFERROR(VLOOKUP($A183,'02_Конкуренты'!$A\$4:$B\$203,2,FALSE),"не найдено"))</f>
        <v/>
      </c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</row>
    <row r="184">
      <c r="A184" s="2" t="n"/>
      <c r="B184" s="5">
        <f>IF($A184="","",IFERROR(VLOOKUP($A184,'02_Конкуренты'!$A\$4:$B\$203,2,FALSE),"не найдено"))</f>
        <v/>
      </c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</row>
    <row r="185">
      <c r="A185" s="2" t="n"/>
      <c r="B185" s="5">
        <f>IF($A185="","",IFERROR(VLOOKUP($A185,'02_Конкуренты'!$A\$4:$B\$203,2,FALSE),"не найдено"))</f>
        <v/>
      </c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</row>
    <row r="186">
      <c r="A186" s="2" t="n"/>
      <c r="B186" s="5">
        <f>IF($A186="","",IFERROR(VLOOKUP($A186,'02_Конкуренты'!$A\$4:$B\$203,2,FALSE),"не найдено"))</f>
        <v/>
      </c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</row>
    <row r="187">
      <c r="A187" s="2" t="n"/>
      <c r="B187" s="5">
        <f>IF($A187="","",IFERROR(VLOOKUP($A187,'02_Конкуренты'!$A\$4:$B\$203,2,FALSE),"не найдено"))</f>
        <v/>
      </c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</row>
    <row r="188">
      <c r="A188" s="2" t="n"/>
      <c r="B188" s="5">
        <f>IF($A188="","",IFERROR(VLOOKUP($A188,'02_Конкуренты'!$A\$4:$B\$203,2,FALSE),"не найдено"))</f>
        <v/>
      </c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</row>
    <row r="189">
      <c r="A189" s="2" t="n"/>
      <c r="B189" s="5">
        <f>IF($A189="","",IFERROR(VLOOKUP($A189,'02_Конкуренты'!$A\$4:$B\$203,2,FALSE),"не найдено"))</f>
        <v/>
      </c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</row>
    <row r="190">
      <c r="A190" s="2" t="n"/>
      <c r="B190" s="5">
        <f>IF($A190="","",IFERROR(VLOOKUP($A190,'02_Конкуренты'!$A\$4:$B\$203,2,FALSE),"не найдено"))</f>
        <v/>
      </c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</row>
    <row r="191">
      <c r="A191" s="2" t="n"/>
      <c r="B191" s="5">
        <f>IF($A191="","",IFERROR(VLOOKUP($A191,'02_Конкуренты'!$A\$4:$B\$203,2,FALSE),"не найдено"))</f>
        <v/>
      </c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</row>
    <row r="192">
      <c r="A192" s="2" t="n"/>
      <c r="B192" s="5">
        <f>IF($A192="","",IFERROR(VLOOKUP($A192,'02_Конкуренты'!$A\$4:$B\$203,2,FALSE),"не найдено"))</f>
        <v/>
      </c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</row>
    <row r="193">
      <c r="A193" s="2" t="n"/>
      <c r="B193" s="5">
        <f>IF($A193="","",IFERROR(VLOOKUP($A193,'02_Конкуренты'!$A\$4:$B\$203,2,FALSE),"не найдено"))</f>
        <v/>
      </c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</row>
    <row r="194">
      <c r="A194" s="2" t="n"/>
      <c r="B194" s="5">
        <f>IF($A194="","",IFERROR(VLOOKUP($A194,'02_Конкуренты'!$A\$4:$B\$203,2,FALSE),"не найдено"))</f>
        <v/>
      </c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</row>
    <row r="195">
      <c r="A195" s="2" t="n"/>
      <c r="B195" s="5">
        <f>IF($A195="","",IFERROR(VLOOKUP($A195,'02_Конкуренты'!$A\$4:$B\$203,2,FALSE),"не найдено"))</f>
        <v/>
      </c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</row>
    <row r="196">
      <c r="A196" s="2" t="n"/>
      <c r="B196" s="5">
        <f>IF($A196="","",IFERROR(VLOOKUP($A196,'02_Конкуренты'!$A\$4:$B\$203,2,FALSE),"не найдено"))</f>
        <v/>
      </c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</row>
    <row r="197">
      <c r="A197" s="2" t="n"/>
      <c r="B197" s="5">
        <f>IF($A197="","",IFERROR(VLOOKUP($A197,'02_Конкуренты'!$A\$4:$B\$203,2,FALSE),"не найдено"))</f>
        <v/>
      </c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</row>
    <row r="198">
      <c r="A198" s="2" t="n"/>
      <c r="B198" s="5">
        <f>IF($A198="","",IFERROR(VLOOKUP($A198,'02_Конкуренты'!$A\$4:$B\$203,2,FALSE),"не найдено"))</f>
        <v/>
      </c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</row>
    <row r="199">
      <c r="A199" s="2" t="n"/>
      <c r="B199" s="5">
        <f>IF($A199="","",IFERROR(VLOOKUP($A199,'02_Конкуренты'!$A\$4:$B\$203,2,FALSE),"не найдено"))</f>
        <v/>
      </c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</row>
    <row r="200">
      <c r="A200" s="2" t="n"/>
      <c r="B200" s="5">
        <f>IF($A200="","",IFERROR(VLOOKUP($A200,'02_Конкуренты'!$A\$4:$B\$203,2,FALSE),"не найдено"))</f>
        <v/>
      </c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</row>
    <row r="201">
      <c r="A201" s="2" t="n"/>
      <c r="B201" s="5">
        <f>IF($A201="","",IFERROR(VLOOKUP($A201,'02_Конкуренты'!$A\$4:$B\$203,2,FALSE),"не найдено"))</f>
        <v/>
      </c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</row>
    <row r="202">
      <c r="A202" s="2" t="n"/>
      <c r="B202" s="5">
        <f>IF($A202="","",IFERROR(VLOOKUP($A202,'02_Конкуренты'!$A\$4:$B\$203,2,FALSE),"не найдено"))</f>
        <v/>
      </c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</row>
    <row r="203">
      <c r="A203" s="2" t="n"/>
      <c r="B203" s="5">
        <f>IF($A203="","",IFERROR(VLOOKUP($A203,'02_Конкуренты'!$A\$4:$B\$203,2,FALSE),"не найдено"))</f>
        <v/>
      </c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</row>
  </sheetData>
  <mergeCells count="2">
    <mergeCell ref="A2:N2"/>
    <mergeCell ref="A1:N1"/>
  </mergeCells>
  <conditionalFormatting sqref="L4:M203">
    <cfRule type="colorScale" priority="1">
      <colorScale>
        <cfvo type="min"/>
        <cfvo type="percentile" val="50"/>
        <cfvo type="max"/>
        <color rgb="FFFEE2E2"/>
        <color rgb="FFFEF3C7"/>
        <color rgb="FFDCFCE7"/>
      </colorScale>
    </cfRule>
  </conditionalFormatting>
  <dataValidations count="2">
    <dataValidation sqref="C4:C203" showDropDown="0" showInputMessage="0" showErrorMessage="0" allowBlank="0" type="list">
      <formula1>"подписка,разовая покупка,комиссия,транзакционная оплата,условно-бесплатная модель,лицензия,реклама,оплата за использование,пакетная продажа,смешанная"</formula1>
    </dataValidation>
    <dataValidation sqref="L4:M203" showDropDown="0" showInputMessage="0" showErrorMessage="0" allowBlank="0" type="list">
      <formula1>"1,2,3,4,5"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203"/>
  <sheetViews>
    <sheetView workbookViewId="0">
      <selection activeCell="D6" sqref="D6"/>
    </sheetView>
  </sheetViews>
  <sheetFormatPr baseColWidth="8" defaultRowHeight="14.25"/>
  <cols>
    <col width="14" customWidth="1" min="1" max="1"/>
    <col width="24" customWidth="1" min="2" max="2"/>
    <col width="32" customWidth="1" min="3" max="4"/>
    <col width="28" customWidth="1" min="5" max="7"/>
    <col width="26" customWidth="1" min="8" max="8"/>
    <col width="24" customWidth="1" min="9" max="9"/>
    <col width="28" customWidth="1" min="10" max="10"/>
    <col width="30" customWidth="1" min="11" max="11"/>
    <col width="20" customWidth="1" min="12" max="12"/>
    <col width="18" customWidth="1" min="13" max="13"/>
    <col width="42" customWidth="1" min="14" max="14"/>
  </cols>
  <sheetData>
    <row r="1" ht="15" customHeight="1">
      <c r="A1" s="19" t="inlineStr">
        <is>
          <t>Каналы, воронка и механика продаж</t>
        </is>
      </c>
      <c r="O1" s="14" t="n"/>
      <c r="P1" s="14" t="n"/>
      <c r="Q1" s="14" t="n"/>
      <c r="R1" s="14" t="n"/>
      <c r="S1" s="14" t="n"/>
      <c r="T1" s="14" t="n"/>
      <c r="U1" s="14" t="n"/>
      <c r="V1" s="14" t="n"/>
      <c r="W1" s="14" t="n"/>
      <c r="X1" s="14" t="n"/>
      <c r="Y1" s="14" t="n"/>
      <c r="Z1" s="14" t="n"/>
    </row>
    <row r="2" ht="19.15" customHeight="1">
      <c r="A2" s="21" t="inlineStr">
        <is>
          <t>Анализируется, как сайт превращает посетителя в пользователя, лид или покупателя</t>
        </is>
      </c>
    </row>
    <row r="3" ht="44.25" customHeight="1">
      <c r="A3" s="25" t="inlineStr">
        <is>
          <t>ID конкурента</t>
        </is>
      </c>
      <c r="B3" s="25" t="inlineStr">
        <is>
          <t>Название</t>
        </is>
      </c>
      <c r="C3" s="25" t="inlineStr">
        <is>
          <t>Главные каналы привлечения</t>
        </is>
      </c>
      <c r="D3" s="25" t="inlineStr">
        <is>
          <t>Контентная стратегия</t>
        </is>
      </c>
      <c r="E3" s="25" t="inlineStr">
        <is>
          <t>Поисковая видимость по сайту</t>
        </is>
      </c>
      <c r="F3" s="25" t="inlineStr">
        <is>
          <t>Призыв к действию</t>
        </is>
      </c>
      <c r="G3" s="25" t="inlineStr">
        <is>
          <t>Первичная конверсия</t>
        </is>
      </c>
      <c r="H3" s="25" t="inlineStr">
        <is>
          <t>Тип воронки</t>
        </is>
      </c>
      <c r="I3" s="25" t="inlineStr">
        <is>
          <t>Регистрация/заявка</t>
        </is>
      </c>
      <c r="J3" s="25" t="inlineStr">
        <is>
          <t>Демонстрация/пробный доступ</t>
        </is>
      </c>
      <c r="K3" s="25" t="inlineStr">
        <is>
          <t>Доверительные элементы</t>
        </is>
      </c>
      <c r="L3" s="25" t="inlineStr">
        <is>
          <t>Сложность пути клиента 1-5</t>
        </is>
      </c>
      <c r="M3" s="25" t="inlineStr">
        <is>
          <t>Сила воронки 1-5</t>
        </is>
      </c>
      <c r="N3" s="25" t="inlineStr">
        <is>
          <t>Вывод о рынке и каналах</t>
        </is>
      </c>
    </row>
    <row r="4" ht="99.75" customHeight="1">
      <c r="A4" s="2" t="inlineStr">
        <is>
          <t>C01</t>
        </is>
      </c>
      <c r="B4" s="5">
        <f>IF($A4="","",IFERROR(VLOOKUP($A4,'02_Конкуренты'!$A\$4:$B\$203,2,FALSE),"не найдено"))</f>
        <v/>
      </c>
      <c r="C4" s="2" t="inlineStr">
        <is>
          <t>прямые заходы 38,11 %; органический поиск 47,25 %; рефералы 5,91 %; соцсети органика 3,62 %; ИИ-ассистенты 4,42 %; e-mail 0,60 % (Similarweb Pro, Jun-Aug 2026, весь мир, снимок 30.09.2026)</t>
        </is>
      </c>
      <c r="D4" s="2" t="inlineStr">
        <is>
          <t>Документация, примеры, блог на сайте</t>
        </is>
      </c>
      <c r="E4" s="2" t="inlineStr">
        <is>
          <t>Органический поиск 47,25 % трафика (Similarweb Pro)</t>
        </is>
      </c>
      <c r="F4" s="2" t="inlineStr">
        <is>
          <t>Онлайн-сервер без призыва к регистрации; ссылки на загрузку</t>
        </is>
      </c>
      <c r="G4" s="2" t="inlineStr">
        <is>
          <t>не требуется</t>
        </is>
      </c>
      <c r="H4" s="2" t="inlineStr">
        <is>
          <t>контентная воронка</t>
        </is>
      </c>
      <c r="I4" s="2" t="inlineStr">
        <is>
          <t>не требуется</t>
        </is>
      </c>
      <c r="J4" s="2" t="inlineStr">
        <is>
          <t>онлайн-сервер без регистрации</t>
        </is>
      </c>
      <c r="K4" s="2" t="inlineStr">
        <is>
          <t>оценки расширений: VS Marketplace jebbs.plantuml 4,72 (105), JetBrains plantuml4idea 4,63 (102); G2 и Trustpilot: карточка не найдена</t>
        </is>
      </c>
      <c r="L4" s="2" t="n">
        <v>1</v>
      </c>
      <c r="M4" s="2" t="n">
        <v>2</v>
      </c>
      <c r="N4" s="2" t="inlineStr">
        <is>
          <t>Путь клиента: вход без регистрации; тип воронки - контентная воронка</t>
        </is>
      </c>
    </row>
    <row r="5" ht="114" customHeight="1">
      <c r="A5" s="2" t="inlineStr">
        <is>
          <t>C02</t>
        </is>
      </c>
      <c r="B5" s="5">
        <f>IF($A5="","",IFERROR(VLOOKUP($A5,'02_Конкуренты'!$A\$4:$B\$203,2,FALSE),"не найдено"))</f>
        <v/>
      </c>
      <c r="C5" s="2" t="inlineStr">
        <is>
          <t>прямые заходы 22,18 %; органический поиск 58,56 %; рефералы 16,50 %; соцсети органика 1,25 %; ИИ-ассистенты 1,23 %; e-mail 0,22 %; платный поиск 0,01 % (Similarweb Pro, Jun-Aug 2026, весь мир, снимок 30.09.2026)</t>
        </is>
      </c>
      <c r="D5" s="2" t="inlineStr">
        <is>
          <t>Документация, примеры, блог на сайте</t>
        </is>
      </c>
      <c r="E5" s="2" t="inlineStr">
        <is>
          <t>Органический поиск 58,56 % трафика (Similarweb Pro)</t>
        </is>
      </c>
      <c r="F5" s="2" t="inlineStr">
        <is>
          <t>«Get started», документация, живой редактор</t>
        </is>
      </c>
      <c r="G5" s="2" t="inlineStr">
        <is>
          <t>не требуется для библиотеки</t>
        </is>
      </c>
      <c r="H5" s="2" t="inlineStr">
        <is>
          <t>контентная воронка</t>
        </is>
      </c>
      <c r="I5" s="2" t="inlineStr">
        <is>
          <t>не требуется для библиотеки</t>
        </is>
      </c>
      <c r="J5" s="2" t="inlineStr">
        <is>
          <t>Mermaid Live Editor</t>
        </is>
      </c>
      <c r="K5" s="2" t="inlineStr">
        <is>
          <t>оценки расширений: VS Marketplace (bierner.markdown-mermaid 60, vstirbu 27, tomoyukim 17) и JetBrains Mermaid 2,96 (65)</t>
        </is>
      </c>
      <c r="L5" s="2" t="n">
        <v>2</v>
      </c>
      <c r="M5" s="2" t="n">
        <v>3</v>
      </c>
      <c r="N5" s="2" t="inlineStr">
        <is>
          <t>Путь клиента: регистрация или заявка; тип воронки - контентная воронка</t>
        </is>
      </c>
    </row>
    <row r="6" ht="114" customHeight="1">
      <c r="A6" s="2" t="inlineStr">
        <is>
          <t>C03</t>
        </is>
      </c>
      <c r="B6" s="5">
        <f>IF($A6="","",IFERROR(VLOOKUP($A6,'02_Конкуренты'!$A\$4:$B\$203,2,FALSE),"не найдено"))</f>
        <v/>
      </c>
      <c r="C6" s="2" t="inlineStr">
        <is>
          <t>прямые заходы 39,97 %; органический поиск 32,54 %; рефералы 10,32 %; соцсети органика 6,05 %; ИИ-ассистенты 1,62 %; e-mail 2,52 %; платный поиск 1,62 % (Similarweb Pro, Jun-Aug 2026, весь мир, снимок 30.09.2026)</t>
        </is>
      </c>
      <c r="D6" s="2" t="inlineStr">
        <is>
          <t>Документация, примеры, блог на сайте</t>
        </is>
      </c>
      <c r="E6" s="2" t="inlineStr">
        <is>
          <t>Органический поиск 32,54 % трафика (Similarweb Pro)</t>
        </is>
      </c>
      <c r="F6" s="2" t="inlineStr">
        <is>
          <t>«Start free», «Contact sales»</t>
        </is>
      </c>
      <c r="G6" s="2" t="inlineStr">
        <is>
          <t>регистрация для Free</t>
        </is>
      </c>
      <c r="H6" s="2" t="inlineStr">
        <is>
          <t>регистрация</t>
        </is>
      </c>
      <c r="I6" s="2" t="inlineStr">
        <is>
          <t>регистрация для Free</t>
        </is>
      </c>
      <c r="J6" s="2" t="inlineStr">
        <is>
          <t>Free (до 6 диаграмм)</t>
        </is>
      </c>
      <c r="K6" s="2" t="inlineStr">
        <is>
          <t>G2 (карточка Mermaid) 4,8 (16); Trustpilot 3,5 (3); Product Hunt 4,8 (26)</t>
        </is>
      </c>
      <c r="L6" s="2" t="n">
        <v>2</v>
      </c>
      <c r="M6" s="2" t="n">
        <v>4</v>
      </c>
      <c r="N6" s="2" t="inlineStr">
        <is>
          <t>Путь клиента: регистрация или заявка; тип воронки - регистрация</t>
        </is>
      </c>
    </row>
    <row r="7" ht="114" customHeight="1">
      <c r="A7" s="2" t="inlineStr">
        <is>
          <t>C04</t>
        </is>
      </c>
      <c r="B7" s="5">
        <f>IF($A7="","",IFERROR(VLOOKUP($A7,'02_Конкуренты'!$A\$4:$B\$203,2,FALSE),"не найдено"))</f>
        <v/>
      </c>
      <c r="C7" s="2" t="inlineStr">
        <is>
          <t>прямые заходы 57,33 %; органический поиск 20,91 %; рефералы 10,72 %; соцсети органика 2,59 %; ИИ-ассистенты 1,74 %; e-mail 3,78 %; платный поиск 1,32 % (Similarweb Pro, Jun-Aug 2026, весь мир, снимок 30.09.2026)</t>
        </is>
      </c>
      <c r="D7" s="2" t="inlineStr">
        <is>
          <t>Документация, примеры, блог на сайте</t>
        </is>
      </c>
      <c r="E7" s="2" t="inlineStr">
        <is>
          <t>Органический поиск 20,91 % трафика (Similarweb Pro)</t>
        </is>
      </c>
      <c r="F7" s="2" t="inlineStr">
        <is>
          <t>«Начать бесплатно», «Рассчитать для команды», «Обсудить on-prem»</t>
        </is>
      </c>
      <c r="G7" s="2" t="inlineStr">
        <is>
          <t>регистрация для Персонального</t>
        </is>
      </c>
      <c r="H7" s="2" t="inlineStr">
        <is>
          <t>корпоративные продажи</t>
        </is>
      </c>
      <c r="I7" s="2" t="inlineStr">
        <is>
          <t>регистрация для Персонального</t>
        </is>
      </c>
      <c r="J7" s="2" t="inlineStr">
        <is>
          <t>бесплатный тариф, «Попробовать всё» (Бизнес)</t>
        </is>
      </c>
      <c r="K7" s="2" t="inlineStr">
        <is>
          <t>«Нам доверяют больше 1 000 клиентов»</t>
        </is>
      </c>
      <c r="L7" s="2" t="n">
        <v>2</v>
      </c>
      <c r="M7" s="2" t="n">
        <v>4</v>
      </c>
      <c r="N7" s="2" t="inlineStr">
        <is>
          <t>Путь клиента: регистрация или заявка; тип воронки - корпоративные продажи</t>
        </is>
      </c>
    </row>
    <row r="8" ht="114" customHeight="1">
      <c r="A8" s="2" t="inlineStr">
        <is>
          <t>C05</t>
        </is>
      </c>
      <c r="B8" s="5">
        <f>IF($A8="","",IFERROR(VLOOKUP($A8,'02_Конкуренты'!$A\$4:$B\$203,2,FALSE),"не найдено"))</f>
        <v/>
      </c>
      <c r="C8" s="2" t="inlineStr">
        <is>
          <t>прямые заходы 68,39 %; органический поиск 13,96 %; рефералы 9,72 %; соцсети органика 2,07 %; ИИ-ассистенты 2,68 %; e-mail 1,19 %; платный поиск 0,02 % (Similarweb Pro, Jun-Aug 2026, весь мир, снимок 30.09.2026)</t>
        </is>
      </c>
      <c r="D8" s="2" t="inlineStr">
        <is>
          <t>Документация, примеры, блог на сайте</t>
        </is>
      </c>
      <c r="E8" s="2" t="inlineStr">
        <is>
          <t>Органический поиск 13,96 % трафика (Similarweb Pro)</t>
        </is>
      </c>
      <c r="F8" s="2" t="inlineStr">
        <is>
          <t>Открыть приложение; «Embed»; GitHub</t>
        </is>
      </c>
      <c r="G8" s="2" t="inlineStr">
        <is>
          <t>не требуется</t>
        </is>
      </c>
      <c r="H8" s="2" t="inlineStr">
        <is>
          <t>самостоятельная покупка</t>
        </is>
      </c>
      <c r="I8" s="2" t="inlineStr">
        <is>
          <t>не требуется</t>
        </is>
      </c>
      <c r="J8" s="2" t="inlineStr">
        <is>
          <t>приложение без регистрации</t>
        </is>
      </c>
      <c r="K8" s="2" t="inlineStr">
        <is>
          <t>Capterra 4,6 (773); Trustpilot draw.io 3,4 (11) и diagrams.net 3,8 (2); Atlassian Marketplace draw.io Diagrams 4,8 (1 205)</t>
        </is>
      </c>
      <c r="L8" s="2" t="n">
        <v>1</v>
      </c>
      <c r="M8" s="2" t="n">
        <v>4</v>
      </c>
      <c r="N8" s="2" t="inlineStr">
        <is>
          <t>Путь клиента: вход без регистрации; тип воронки - самостоятельная покупка</t>
        </is>
      </c>
    </row>
    <row r="9" ht="114" customHeight="1">
      <c r="A9" s="2" t="inlineStr">
        <is>
          <t>C06</t>
        </is>
      </c>
      <c r="B9" s="5">
        <f>IF($A9="","",IFERROR(VLOOKUP($A9,'02_Конкуренты'!$A\$4:$B\$203,2,FALSE),"не найдено"))</f>
        <v/>
      </c>
      <c r="C9" s="2" t="inlineStr">
        <is>
          <t>прямые заходы 11,33 %; органический поиск 55,95 %; рефералы 2,71 %; соцсети органика 1,34 %; ИИ-ассистенты 2,10 %; e-mail 0,20 %; платный поиск 22,55 % (Similarweb Pro, Jun-Aug 2026, весь мир, снимок 30.09.2026)</t>
        </is>
      </c>
      <c r="D9" s="2" t="inlineStr">
        <is>
          <t>Документация, примеры, блог на сайте</t>
        </is>
      </c>
      <c r="E9" s="2" t="inlineStr">
        <is>
          <t>Органический поиск 55,95 % трафика (Similarweb Pro)</t>
        </is>
      </c>
      <c r="F9" s="2" t="inlineStr">
        <is>
          <t>«Sign up free», вход через Google и Microsoft</t>
        </is>
      </c>
      <c r="G9" s="2" t="inlineStr">
        <is>
          <t>регистрация</t>
        </is>
      </c>
      <c r="H9" s="2" t="inlineStr">
        <is>
          <t>пробный доступ</t>
        </is>
      </c>
      <c r="I9" s="2" t="inlineStr">
        <is>
          <t>регистрация</t>
        </is>
      </c>
      <c r="J9" s="2" t="inlineStr">
        <is>
          <t>Free; пробный период 7 дней платных тарифов</t>
        </is>
      </c>
      <c r="K9" s="2" t="inlineStr">
        <is>
          <t>G2 4,5 (8 988); Capterra/GetApp/Software Advice 4,5 (2 264); Trustpilot lucidchart.com 1,5 (116)</t>
        </is>
      </c>
      <c r="L9" s="2" t="n">
        <v>2</v>
      </c>
      <c r="M9" s="2" t="n">
        <v>5</v>
      </c>
      <c r="N9" s="2" t="inlineStr">
        <is>
          <t>Путь клиента: регистрация или заявка; тип воронки - пробный доступ</t>
        </is>
      </c>
    </row>
    <row r="10" ht="28.5" customHeight="1">
      <c r="A10" s="2" t="inlineStr">
        <is>
          <t>C07</t>
        </is>
      </c>
      <c r="B10" s="5">
        <f>IF($A10="","",IFERROR(VLOOKUP($A10,'02_Конкуренты'!$A\$4:$B\$203,2,FALSE),"не найдено"))</f>
        <v/>
      </c>
      <c r="C10" s="2" t="inlineStr">
        <is>
          <t>Данные Similarweb Pro по домену не получены</t>
        </is>
      </c>
      <c r="D10" s="2" t="inlineStr">
        <is>
          <t>Документация, примеры, блог на сайте</t>
        </is>
      </c>
      <c r="E10" s="2" t="inlineStr">
        <is>
          <t>Данные Similarweb по домену не получены</t>
        </is>
      </c>
      <c r="F10" s="2" t="inlineStr">
        <is>
          <t>«Try Eraser», «Get started for free»</t>
        </is>
      </c>
      <c r="G10" s="2" t="inlineStr">
        <is>
          <t>регистрация</t>
        </is>
      </c>
      <c r="H10" s="2" t="inlineStr">
        <is>
          <t>регистрация</t>
        </is>
      </c>
      <c r="I10" s="2" t="inlineStr">
        <is>
          <t>регистрация</t>
        </is>
      </c>
      <c r="J10" s="2" t="inlineStr">
        <is>
          <t>Free (3 файла)</t>
        </is>
      </c>
      <c r="K10" s="2" t="inlineStr">
        <is>
          <t>Product Hunt 4,9 (10); расширение VS Code 4,8 (5)</t>
        </is>
      </c>
      <c r="L10" s="2" t="n">
        <v>2</v>
      </c>
      <c r="M10" s="2" t="n">
        <v>4</v>
      </c>
      <c r="N10" s="2" t="inlineStr">
        <is>
          <t>Путь клиента: регистрация или заявка; тип воронки - регистрация</t>
        </is>
      </c>
    </row>
    <row r="11" ht="28.5" customHeight="1">
      <c r="A11" s="2" t="inlineStr">
        <is>
          <t>C08</t>
        </is>
      </c>
      <c r="B11" s="5">
        <f>IF($A11="","",IFERROR(VLOOKUP($A11,'02_Конкуренты'!$A\$4:$B\$203,2,FALSE),"не найдено"))</f>
        <v/>
      </c>
      <c r="C11" s="2" t="inlineStr">
        <is>
          <t>Данные Similarweb Pro по домену не получены</t>
        </is>
      </c>
      <c r="D11" s="2" t="inlineStr">
        <is>
          <t>Страницы шаблонов и ИИ</t>
        </is>
      </c>
      <c r="E11" s="2" t="inlineStr">
        <is>
          <t>Данные Similarweb по домену не получены</t>
        </is>
      </c>
      <c r="F11" s="2" t="inlineStr">
        <is>
          <t>«Get started», «Contact sales» (Business)</t>
        </is>
      </c>
      <c r="G11" s="2" t="inlineStr">
        <is>
          <t>регистрация</t>
        </is>
      </c>
      <c r="H11" s="2" t="inlineStr">
        <is>
          <t>регистрация</t>
        </is>
      </c>
      <c r="I11" s="2" t="inlineStr">
        <is>
          <t>регистрация</t>
        </is>
      </c>
      <c r="J11" s="2" t="inlineStr">
        <is>
          <t>Free (50 объектов)</t>
        </is>
      </c>
      <c r="K11" s="2" t="inlineStr">
        <is>
          <t>Capterra 4,7 (59)</t>
        </is>
      </c>
      <c r="L11" s="2" t="n">
        <v>2</v>
      </c>
      <c r="M11" s="2" t="n">
        <v>4</v>
      </c>
      <c r="N11" s="2" t="inlineStr">
        <is>
          <t>Путь клиента: регистрация или заявка; тип воронки - регистрация</t>
        </is>
      </c>
    </row>
    <row r="12">
      <c r="A12" s="2" t="n"/>
      <c r="B12" s="5">
        <f>IF($A12="","",IFERROR(VLOOKUP($A12,'02_Конкуренты'!$A\$4:$B\$203,2,FALSE),"не найдено"))</f>
        <v/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</row>
    <row r="13">
      <c r="A13" s="2" t="n"/>
      <c r="B13" s="5">
        <f>IF($A13="","",IFERROR(VLOOKUP($A13,'02_Конкуренты'!$A\$4:$B\$203,2,FALSE),"не найдено"))</f>
        <v/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</row>
    <row r="14">
      <c r="A14" s="2" t="n"/>
      <c r="B14" s="5">
        <f>IF($A14="","",IFERROR(VLOOKUP($A14,'02_Конкуренты'!$A\$4:$B\$203,2,FALSE),"не найдено"))</f>
        <v/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</row>
    <row r="15">
      <c r="A15" s="2" t="n"/>
      <c r="B15" s="5">
        <f>IF($A15="","",IFERROR(VLOOKUP($A15,'02_Конкуренты'!$A\$4:$B\$203,2,FALSE),"не найдено"))</f>
        <v/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</row>
    <row r="16">
      <c r="A16" s="2" t="n"/>
      <c r="B16" s="5">
        <f>IF($A16="","",IFERROR(VLOOKUP($A16,'02_Конкуренты'!$A\$4:$B\$203,2,FALSE),"не найдено"))</f>
        <v/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</row>
    <row r="17">
      <c r="A17" s="2" t="n"/>
      <c r="B17" s="5">
        <f>IF($A17="","",IFERROR(VLOOKUP($A17,'02_Конкуренты'!$A\$4:$B\$203,2,FALSE),"не найдено"))</f>
        <v/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</row>
    <row r="18">
      <c r="A18" s="2" t="n"/>
      <c r="B18" s="5">
        <f>IF($A18="","",IFERROR(VLOOKUP($A18,'02_Конкуренты'!$A\$4:$B\$203,2,FALSE),"не найдено"))</f>
        <v/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</row>
    <row r="19">
      <c r="A19" s="2" t="n"/>
      <c r="B19" s="5">
        <f>IF($A19="","",IFERROR(VLOOKUP($A19,'02_Конкуренты'!$A\$4:$B\$203,2,FALSE),"не найдено"))</f>
        <v/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</row>
    <row r="20">
      <c r="A20" s="2" t="n"/>
      <c r="B20" s="5">
        <f>IF($A20="","",IFERROR(VLOOKUP($A20,'02_Конкуренты'!$A\$4:$B\$203,2,FALSE),"не найдено"))</f>
        <v/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</row>
    <row r="21">
      <c r="A21" s="2" t="n"/>
      <c r="B21" s="5">
        <f>IF($A21="","",IFERROR(VLOOKUP($A21,'02_Конкуренты'!$A\$4:$B\$203,2,FALSE),"не найдено"))</f>
        <v/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</row>
    <row r="22">
      <c r="A22" s="2" t="n"/>
      <c r="B22" s="5">
        <f>IF($A22="","",IFERROR(VLOOKUP($A22,'02_Конкуренты'!$A\$4:$B\$203,2,FALSE),"не найдено"))</f>
        <v/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</row>
    <row r="23">
      <c r="A23" s="2" t="n"/>
      <c r="B23" s="5">
        <f>IF($A23="","",IFERROR(VLOOKUP($A23,'02_Конкуренты'!$A\$4:$B\$203,2,FALSE),"не найдено"))</f>
        <v/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</row>
    <row r="24">
      <c r="A24" s="2" t="n"/>
      <c r="B24" s="5">
        <f>IF($A24="","",IFERROR(VLOOKUP($A24,'02_Конкуренты'!$A\$4:$B\$203,2,FALSE),"не найдено"))</f>
        <v/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</row>
    <row r="25">
      <c r="A25" s="2" t="n"/>
      <c r="B25" s="5">
        <f>IF($A25="","",IFERROR(VLOOKUP($A25,'02_Конкуренты'!$A\$4:$B\$203,2,FALSE),"не найдено"))</f>
        <v/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</row>
    <row r="26">
      <c r="A26" s="2" t="n"/>
      <c r="B26" s="5">
        <f>IF($A26="","",IFERROR(VLOOKUP($A26,'02_Конкуренты'!$A\$4:$B\$203,2,FALSE),"не найдено"))</f>
        <v/>
      </c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</row>
    <row r="27">
      <c r="A27" s="2" t="n"/>
      <c r="B27" s="5">
        <f>IF($A27="","",IFERROR(VLOOKUP($A27,'02_Конкуренты'!$A\$4:$B\$203,2,FALSE),"не найдено"))</f>
        <v/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</row>
    <row r="28">
      <c r="A28" s="2" t="n"/>
      <c r="B28" s="5">
        <f>IF($A28="","",IFERROR(VLOOKUP($A28,'02_Конкуренты'!$A\$4:$B\$203,2,FALSE),"не найдено"))</f>
        <v/>
      </c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</row>
    <row r="29">
      <c r="A29" s="2" t="n"/>
      <c r="B29" s="5">
        <f>IF($A29="","",IFERROR(VLOOKUP($A29,'02_Конкуренты'!$A\$4:$B\$203,2,FALSE),"не найдено"))</f>
        <v/>
      </c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</row>
    <row r="30">
      <c r="A30" s="2" t="n"/>
      <c r="B30" s="5">
        <f>IF($A30="","",IFERROR(VLOOKUP($A30,'02_Конкуренты'!$A\$4:$B\$203,2,FALSE),"не найдено"))</f>
        <v/>
      </c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</row>
    <row r="31">
      <c r="A31" s="2" t="n"/>
      <c r="B31" s="5">
        <f>IF($A31="","",IFERROR(VLOOKUP($A31,'02_Конкуренты'!$A\$4:$B\$203,2,FALSE),"не найдено"))</f>
        <v/>
      </c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</row>
    <row r="32">
      <c r="A32" s="2" t="n"/>
      <c r="B32" s="5">
        <f>IF($A32="","",IFERROR(VLOOKUP($A32,'02_Конкуренты'!$A\$4:$B\$203,2,FALSE),"не найдено"))</f>
        <v/>
      </c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</row>
    <row r="33">
      <c r="A33" s="2" t="n"/>
      <c r="B33" s="5">
        <f>IF($A33="","",IFERROR(VLOOKUP($A33,'02_Конкуренты'!$A\$4:$B\$203,2,FALSE),"не найдено"))</f>
        <v/>
      </c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</row>
    <row r="34">
      <c r="A34" s="2" t="n"/>
      <c r="B34" s="5">
        <f>IF($A34="","",IFERROR(VLOOKUP($A34,'02_Конкуренты'!$A\$4:$B\$203,2,FALSE),"не найдено"))</f>
        <v/>
      </c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</row>
    <row r="35">
      <c r="A35" s="2" t="n"/>
      <c r="B35" s="5">
        <f>IF($A35="","",IFERROR(VLOOKUP($A35,'02_Конкуренты'!$A\$4:$B\$203,2,FALSE),"не найдено"))</f>
        <v/>
      </c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</row>
    <row r="36">
      <c r="A36" s="2" t="n"/>
      <c r="B36" s="5">
        <f>IF($A36="","",IFERROR(VLOOKUP($A36,'02_Конкуренты'!$A\$4:$B\$203,2,FALSE),"не найдено"))</f>
        <v/>
      </c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</row>
    <row r="37">
      <c r="A37" s="2" t="n"/>
      <c r="B37" s="5">
        <f>IF($A37="","",IFERROR(VLOOKUP($A37,'02_Конкуренты'!$A\$4:$B\$203,2,FALSE),"не найдено"))</f>
        <v/>
      </c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</row>
    <row r="38">
      <c r="A38" s="2" t="n"/>
      <c r="B38" s="5">
        <f>IF($A38="","",IFERROR(VLOOKUP($A38,'02_Конкуренты'!$A\$4:$B\$203,2,FALSE),"не найдено"))</f>
        <v/>
      </c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</row>
    <row r="39">
      <c r="A39" s="2" t="n"/>
      <c r="B39" s="5">
        <f>IF($A39="","",IFERROR(VLOOKUP($A39,'02_Конкуренты'!$A\$4:$B\$203,2,FALSE),"не найдено"))</f>
        <v/>
      </c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</row>
    <row r="40">
      <c r="A40" s="2" t="n"/>
      <c r="B40" s="5">
        <f>IF($A40="","",IFERROR(VLOOKUP($A40,'02_Конкуренты'!$A\$4:$B\$203,2,FALSE),"не найдено"))</f>
        <v/>
      </c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</row>
    <row r="41">
      <c r="A41" s="2" t="n"/>
      <c r="B41" s="5">
        <f>IF($A41="","",IFERROR(VLOOKUP($A41,'02_Конкуренты'!$A\$4:$B\$203,2,FALSE),"не найдено"))</f>
        <v/>
      </c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</row>
    <row r="42">
      <c r="A42" s="2" t="n"/>
      <c r="B42" s="5">
        <f>IF($A42="","",IFERROR(VLOOKUP($A42,'02_Конкуренты'!$A\$4:$B\$203,2,FALSE),"не найдено"))</f>
        <v/>
      </c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</row>
    <row r="43">
      <c r="A43" s="2" t="n"/>
      <c r="B43" s="5">
        <f>IF($A43="","",IFERROR(VLOOKUP($A43,'02_Конкуренты'!$A\$4:$B\$203,2,FALSE),"не найдено"))</f>
        <v/>
      </c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</row>
    <row r="44">
      <c r="A44" s="2" t="n"/>
      <c r="B44" s="5">
        <f>IF($A44="","",IFERROR(VLOOKUP($A44,'02_Конкуренты'!$A\$4:$B\$203,2,FALSE),"не найдено"))</f>
        <v/>
      </c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</row>
    <row r="45">
      <c r="A45" s="2" t="n"/>
      <c r="B45" s="5">
        <f>IF($A45="","",IFERROR(VLOOKUP($A45,'02_Конкуренты'!$A\$4:$B\$203,2,FALSE),"не найдено"))</f>
        <v/>
      </c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</row>
    <row r="46">
      <c r="A46" s="2" t="n"/>
      <c r="B46" s="5">
        <f>IF($A46="","",IFERROR(VLOOKUP($A46,'02_Конкуренты'!$A\$4:$B\$203,2,FALSE),"не найдено"))</f>
        <v/>
      </c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</row>
    <row r="47">
      <c r="A47" s="2" t="n"/>
      <c r="B47" s="5">
        <f>IF($A47="","",IFERROR(VLOOKUP($A47,'02_Конкуренты'!$A\$4:$B\$203,2,FALSE),"не найдено"))</f>
        <v/>
      </c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</row>
    <row r="48">
      <c r="A48" s="2" t="n"/>
      <c r="B48" s="5">
        <f>IF($A48="","",IFERROR(VLOOKUP($A48,'02_Конкуренты'!$A\$4:$B\$203,2,FALSE),"не найдено"))</f>
        <v/>
      </c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</row>
    <row r="49">
      <c r="A49" s="2" t="n"/>
      <c r="B49" s="5">
        <f>IF($A49="","",IFERROR(VLOOKUP($A49,'02_Конкуренты'!$A\$4:$B\$203,2,FALSE),"не найдено"))</f>
        <v/>
      </c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</row>
    <row r="50">
      <c r="A50" s="2" t="n"/>
      <c r="B50" s="5">
        <f>IF($A50="","",IFERROR(VLOOKUP($A50,'02_Конкуренты'!$A\$4:$B\$203,2,FALSE),"не найдено"))</f>
        <v/>
      </c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</row>
    <row r="51">
      <c r="A51" s="2" t="n"/>
      <c r="B51" s="5">
        <f>IF($A51="","",IFERROR(VLOOKUP($A51,'02_Конкуренты'!$A\$4:$B\$203,2,FALSE),"не найдено"))</f>
        <v/>
      </c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</row>
    <row r="52">
      <c r="A52" s="2" t="n"/>
      <c r="B52" s="5">
        <f>IF($A52="","",IFERROR(VLOOKUP($A52,'02_Конкуренты'!$A\$4:$B\$203,2,FALSE),"не найдено"))</f>
        <v/>
      </c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</row>
    <row r="53">
      <c r="A53" s="2" t="n"/>
      <c r="B53" s="5">
        <f>IF($A53="","",IFERROR(VLOOKUP($A53,'02_Конкуренты'!$A\$4:$B\$203,2,FALSE),"не найдено"))</f>
        <v/>
      </c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</row>
    <row r="54">
      <c r="A54" s="2" t="n"/>
      <c r="B54" s="5">
        <f>IF($A54="","",IFERROR(VLOOKUP($A54,'02_Конкуренты'!$A\$4:$B\$203,2,FALSE),"не найдено"))</f>
        <v/>
      </c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</row>
    <row r="55">
      <c r="A55" s="2" t="n"/>
      <c r="B55" s="5">
        <f>IF($A55="","",IFERROR(VLOOKUP($A55,'02_Конкуренты'!$A\$4:$B\$203,2,FALSE),"не найдено"))</f>
        <v/>
      </c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</row>
    <row r="56">
      <c r="A56" s="2" t="n"/>
      <c r="B56" s="5">
        <f>IF($A56="","",IFERROR(VLOOKUP($A56,'02_Конкуренты'!$A\$4:$B\$203,2,FALSE),"не найдено"))</f>
        <v/>
      </c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</row>
    <row r="57">
      <c r="A57" s="2" t="n"/>
      <c r="B57" s="5">
        <f>IF($A57="","",IFERROR(VLOOKUP($A57,'02_Конкуренты'!$A\$4:$B\$203,2,FALSE),"не найдено"))</f>
        <v/>
      </c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</row>
    <row r="58">
      <c r="A58" s="2" t="n"/>
      <c r="B58" s="5">
        <f>IF($A58="","",IFERROR(VLOOKUP($A58,'02_Конкуренты'!$A\$4:$B\$203,2,FALSE),"не найдено"))</f>
        <v/>
      </c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</row>
    <row r="59">
      <c r="A59" s="2" t="n"/>
      <c r="B59" s="5">
        <f>IF($A59="","",IFERROR(VLOOKUP($A59,'02_Конкуренты'!$A\$4:$B\$203,2,FALSE),"не найдено"))</f>
        <v/>
      </c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</row>
    <row r="60">
      <c r="A60" s="2" t="n"/>
      <c r="B60" s="5">
        <f>IF($A60="","",IFERROR(VLOOKUP($A60,'02_Конкуренты'!$A\$4:$B\$203,2,FALSE),"не найдено"))</f>
        <v/>
      </c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</row>
    <row r="61">
      <c r="A61" s="2" t="n"/>
      <c r="B61" s="5">
        <f>IF($A61="","",IFERROR(VLOOKUP($A61,'02_Конкуренты'!$A\$4:$B\$203,2,FALSE),"не найдено"))</f>
        <v/>
      </c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</row>
    <row r="62">
      <c r="A62" s="2" t="n"/>
      <c r="B62" s="5">
        <f>IF($A62="","",IFERROR(VLOOKUP($A62,'02_Конкуренты'!$A\$4:$B\$203,2,FALSE),"не найдено"))</f>
        <v/>
      </c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</row>
    <row r="63">
      <c r="A63" s="2" t="n"/>
      <c r="B63" s="5">
        <f>IF($A63="","",IFERROR(VLOOKUP($A63,'02_Конкуренты'!$A\$4:$B\$203,2,FALSE),"не найдено"))</f>
        <v/>
      </c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</row>
    <row r="64">
      <c r="A64" s="2" t="n"/>
      <c r="B64" s="5">
        <f>IF($A64="","",IFERROR(VLOOKUP($A64,'02_Конкуренты'!$A\$4:$B\$203,2,FALSE),"не найдено"))</f>
        <v/>
      </c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</row>
    <row r="65">
      <c r="A65" s="2" t="n"/>
      <c r="B65" s="5">
        <f>IF($A65="","",IFERROR(VLOOKUP($A65,'02_Конкуренты'!$A\$4:$B\$203,2,FALSE),"не найдено"))</f>
        <v/>
      </c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</row>
    <row r="66">
      <c r="A66" s="2" t="n"/>
      <c r="B66" s="5">
        <f>IF($A66="","",IFERROR(VLOOKUP($A66,'02_Конкуренты'!$A\$4:$B\$203,2,FALSE),"не найдено"))</f>
        <v/>
      </c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</row>
    <row r="67">
      <c r="A67" s="2" t="n"/>
      <c r="B67" s="5">
        <f>IF($A67="","",IFERROR(VLOOKUP($A67,'02_Конкуренты'!$A\$4:$B\$203,2,FALSE),"не найдено"))</f>
        <v/>
      </c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</row>
    <row r="68">
      <c r="A68" s="2" t="n"/>
      <c r="B68" s="5">
        <f>IF($A68="","",IFERROR(VLOOKUP($A68,'02_Конкуренты'!$A\$4:$B\$203,2,FALSE),"не найдено"))</f>
        <v/>
      </c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</row>
    <row r="69">
      <c r="A69" s="2" t="n"/>
      <c r="B69" s="5">
        <f>IF($A69="","",IFERROR(VLOOKUP($A69,'02_Конкуренты'!$A\$4:$B\$203,2,FALSE),"не найдено"))</f>
        <v/>
      </c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</row>
    <row r="70">
      <c r="A70" s="2" t="n"/>
      <c r="B70" s="5">
        <f>IF($A70="","",IFERROR(VLOOKUP($A70,'02_Конкуренты'!$A\$4:$B\$203,2,FALSE),"не найдено"))</f>
        <v/>
      </c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</row>
    <row r="71">
      <c r="A71" s="2" t="n"/>
      <c r="B71" s="5">
        <f>IF($A71="","",IFERROR(VLOOKUP($A71,'02_Конкуренты'!$A\$4:$B\$203,2,FALSE),"не найдено"))</f>
        <v/>
      </c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</row>
    <row r="72">
      <c r="A72" s="2" t="n"/>
      <c r="B72" s="5">
        <f>IF($A72="","",IFERROR(VLOOKUP($A72,'02_Конкуренты'!$A\$4:$B\$203,2,FALSE),"не найдено"))</f>
        <v/>
      </c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</row>
    <row r="73">
      <c r="A73" s="2" t="n"/>
      <c r="B73" s="5">
        <f>IF($A73="","",IFERROR(VLOOKUP($A73,'02_Конкуренты'!$A\$4:$B\$203,2,FALSE),"не найдено"))</f>
        <v/>
      </c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</row>
    <row r="74">
      <c r="A74" s="2" t="n"/>
      <c r="B74" s="5">
        <f>IF($A74="","",IFERROR(VLOOKUP($A74,'02_Конкуренты'!$A\$4:$B\$203,2,FALSE),"не найдено"))</f>
        <v/>
      </c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</row>
    <row r="75">
      <c r="A75" s="2" t="n"/>
      <c r="B75" s="5">
        <f>IF($A75="","",IFERROR(VLOOKUP($A75,'02_Конкуренты'!$A\$4:$B\$203,2,FALSE),"не найдено"))</f>
        <v/>
      </c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</row>
    <row r="76">
      <c r="A76" s="2" t="n"/>
      <c r="B76" s="5">
        <f>IF($A76="","",IFERROR(VLOOKUP($A76,'02_Конкуренты'!$A\$4:$B\$203,2,FALSE),"не найдено"))</f>
        <v/>
      </c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</row>
    <row r="77">
      <c r="A77" s="2" t="n"/>
      <c r="B77" s="5">
        <f>IF($A77="","",IFERROR(VLOOKUP($A77,'02_Конкуренты'!$A\$4:$B\$203,2,FALSE),"не найдено"))</f>
        <v/>
      </c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</row>
    <row r="78">
      <c r="A78" s="2" t="n"/>
      <c r="B78" s="5">
        <f>IF($A78="","",IFERROR(VLOOKUP($A78,'02_Конкуренты'!$A\$4:$B\$203,2,FALSE),"не найдено"))</f>
        <v/>
      </c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</row>
    <row r="79">
      <c r="A79" s="2" t="n"/>
      <c r="B79" s="5">
        <f>IF($A79="","",IFERROR(VLOOKUP($A79,'02_Конкуренты'!$A\$4:$B\$203,2,FALSE),"не найдено"))</f>
        <v/>
      </c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</row>
    <row r="80">
      <c r="A80" s="2" t="n"/>
      <c r="B80" s="5">
        <f>IF($A80="","",IFERROR(VLOOKUP($A80,'02_Конкуренты'!$A\$4:$B\$203,2,FALSE),"не найдено"))</f>
        <v/>
      </c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</row>
    <row r="81">
      <c r="A81" s="2" t="n"/>
      <c r="B81" s="5">
        <f>IF($A81="","",IFERROR(VLOOKUP($A81,'02_Конкуренты'!$A\$4:$B\$203,2,FALSE),"не найдено"))</f>
        <v/>
      </c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</row>
    <row r="82">
      <c r="A82" s="2" t="n"/>
      <c r="B82" s="5">
        <f>IF($A82="","",IFERROR(VLOOKUP($A82,'02_Конкуренты'!$A\$4:$B\$203,2,FALSE),"не найдено"))</f>
        <v/>
      </c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</row>
    <row r="83">
      <c r="A83" s="2" t="n"/>
      <c r="B83" s="5">
        <f>IF($A83="","",IFERROR(VLOOKUP($A83,'02_Конкуренты'!$A\$4:$B\$203,2,FALSE),"не найдено"))</f>
        <v/>
      </c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</row>
    <row r="84">
      <c r="A84" s="2" t="n"/>
      <c r="B84" s="5">
        <f>IF($A84="","",IFERROR(VLOOKUP($A84,'02_Конкуренты'!$A\$4:$B\$203,2,FALSE),"не найдено"))</f>
        <v/>
      </c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</row>
    <row r="85">
      <c r="A85" s="2" t="n"/>
      <c r="B85" s="5">
        <f>IF($A85="","",IFERROR(VLOOKUP($A85,'02_Конкуренты'!$A\$4:$B\$203,2,FALSE),"не найдено"))</f>
        <v/>
      </c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</row>
    <row r="86">
      <c r="A86" s="2" t="n"/>
      <c r="B86" s="5">
        <f>IF($A86="","",IFERROR(VLOOKUP($A86,'02_Конкуренты'!$A\$4:$B\$203,2,FALSE),"не найдено"))</f>
        <v/>
      </c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</row>
    <row r="87">
      <c r="A87" s="2" t="n"/>
      <c r="B87" s="5">
        <f>IF($A87="","",IFERROR(VLOOKUP($A87,'02_Конкуренты'!$A\$4:$B\$203,2,FALSE),"не найдено"))</f>
        <v/>
      </c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</row>
    <row r="88">
      <c r="A88" s="2" t="n"/>
      <c r="B88" s="5">
        <f>IF($A88="","",IFERROR(VLOOKUP($A88,'02_Конкуренты'!$A\$4:$B\$203,2,FALSE),"не найдено"))</f>
        <v/>
      </c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</row>
    <row r="89">
      <c r="A89" s="2" t="n"/>
      <c r="B89" s="5">
        <f>IF($A89="","",IFERROR(VLOOKUP($A89,'02_Конкуренты'!$A\$4:$B\$203,2,FALSE),"не найдено"))</f>
        <v/>
      </c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</row>
    <row r="90">
      <c r="A90" s="2" t="n"/>
      <c r="B90" s="5">
        <f>IF($A90="","",IFERROR(VLOOKUP($A90,'02_Конкуренты'!$A\$4:$B\$203,2,FALSE),"не найдено"))</f>
        <v/>
      </c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</row>
    <row r="91">
      <c r="A91" s="2" t="n"/>
      <c r="B91" s="5">
        <f>IF($A91="","",IFERROR(VLOOKUP($A91,'02_Конкуренты'!$A\$4:$B\$203,2,FALSE),"не найдено"))</f>
        <v/>
      </c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</row>
    <row r="92">
      <c r="A92" s="2" t="n"/>
      <c r="B92" s="5">
        <f>IF($A92="","",IFERROR(VLOOKUP($A92,'02_Конкуренты'!$A\$4:$B\$203,2,FALSE),"не найдено"))</f>
        <v/>
      </c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</row>
    <row r="93">
      <c r="A93" s="2" t="n"/>
      <c r="B93" s="5">
        <f>IF($A93="","",IFERROR(VLOOKUP($A93,'02_Конкуренты'!$A\$4:$B\$203,2,FALSE),"не найдено"))</f>
        <v/>
      </c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</row>
    <row r="94">
      <c r="A94" s="2" t="n"/>
      <c r="B94" s="5">
        <f>IF($A94="","",IFERROR(VLOOKUP($A94,'02_Конкуренты'!$A\$4:$B\$203,2,FALSE),"не найдено"))</f>
        <v/>
      </c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</row>
    <row r="95">
      <c r="A95" s="2" t="n"/>
      <c r="B95" s="5">
        <f>IF($A95="","",IFERROR(VLOOKUP($A95,'02_Конкуренты'!$A\$4:$B\$203,2,FALSE),"не найдено"))</f>
        <v/>
      </c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</row>
    <row r="96">
      <c r="A96" s="2" t="n"/>
      <c r="B96" s="5">
        <f>IF($A96="","",IFERROR(VLOOKUP($A96,'02_Конкуренты'!$A\$4:$B\$203,2,FALSE),"не найдено"))</f>
        <v/>
      </c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</row>
    <row r="97">
      <c r="A97" s="2" t="n"/>
      <c r="B97" s="5">
        <f>IF($A97="","",IFERROR(VLOOKUP($A97,'02_Конкуренты'!$A\$4:$B\$203,2,FALSE),"не найдено"))</f>
        <v/>
      </c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</row>
    <row r="98">
      <c r="A98" s="2" t="n"/>
      <c r="B98" s="5">
        <f>IF($A98="","",IFERROR(VLOOKUP($A98,'02_Конкуренты'!$A\$4:$B\$203,2,FALSE),"не найдено"))</f>
        <v/>
      </c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</row>
    <row r="99">
      <c r="A99" s="2" t="n"/>
      <c r="B99" s="5">
        <f>IF($A99="","",IFERROR(VLOOKUP($A99,'02_Конкуренты'!$A\$4:$B\$203,2,FALSE),"не найдено"))</f>
        <v/>
      </c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</row>
    <row r="100">
      <c r="A100" s="2" t="n"/>
      <c r="B100" s="5">
        <f>IF($A100="","",IFERROR(VLOOKUP($A100,'02_Конкуренты'!$A\$4:$B\$203,2,FALSE),"не найдено"))</f>
        <v/>
      </c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</row>
    <row r="101">
      <c r="A101" s="2" t="n"/>
      <c r="B101" s="5">
        <f>IF($A101="","",IFERROR(VLOOKUP($A101,'02_Конкуренты'!$A\$4:$B\$203,2,FALSE),"не найдено"))</f>
        <v/>
      </c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</row>
    <row r="102">
      <c r="A102" s="2" t="n"/>
      <c r="B102" s="5">
        <f>IF($A102="","",IFERROR(VLOOKUP($A102,'02_Конкуренты'!$A\$4:$B\$203,2,FALSE),"не найдено"))</f>
        <v/>
      </c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</row>
    <row r="103">
      <c r="A103" s="2" t="n"/>
      <c r="B103" s="5">
        <f>IF($A103="","",IFERROR(VLOOKUP($A103,'02_Конкуренты'!$A\$4:$B\$203,2,FALSE),"не найдено"))</f>
        <v/>
      </c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</row>
    <row r="104">
      <c r="A104" s="2" t="n"/>
      <c r="B104" s="5">
        <f>IF($A104="","",IFERROR(VLOOKUP($A104,'02_Конкуренты'!$A\$4:$B\$203,2,FALSE),"не найдено"))</f>
        <v/>
      </c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</row>
    <row r="105">
      <c r="A105" s="2" t="n"/>
      <c r="B105" s="5">
        <f>IF($A105="","",IFERROR(VLOOKUP($A105,'02_Конкуренты'!$A\$4:$B\$203,2,FALSE),"не найдено"))</f>
        <v/>
      </c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</row>
    <row r="106">
      <c r="A106" s="2" t="n"/>
      <c r="B106" s="5">
        <f>IF($A106="","",IFERROR(VLOOKUP($A106,'02_Конкуренты'!$A\$4:$B\$203,2,FALSE),"не найдено"))</f>
        <v/>
      </c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</row>
    <row r="107">
      <c r="A107" s="2" t="n"/>
      <c r="B107" s="5">
        <f>IF($A107="","",IFERROR(VLOOKUP($A107,'02_Конкуренты'!$A\$4:$B\$203,2,FALSE),"не найдено"))</f>
        <v/>
      </c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</row>
    <row r="108">
      <c r="A108" s="2" t="n"/>
      <c r="B108" s="5">
        <f>IF($A108="","",IFERROR(VLOOKUP($A108,'02_Конкуренты'!$A\$4:$B\$203,2,FALSE),"не найдено"))</f>
        <v/>
      </c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</row>
    <row r="109">
      <c r="A109" s="2" t="n"/>
      <c r="B109" s="5">
        <f>IF($A109="","",IFERROR(VLOOKUP($A109,'02_Конкуренты'!$A\$4:$B\$203,2,FALSE),"не найдено"))</f>
        <v/>
      </c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</row>
    <row r="110">
      <c r="A110" s="2" t="n"/>
      <c r="B110" s="5">
        <f>IF($A110="","",IFERROR(VLOOKUP($A110,'02_Конкуренты'!$A\$4:$B\$203,2,FALSE),"не найдено"))</f>
        <v/>
      </c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</row>
    <row r="111">
      <c r="A111" s="2" t="n"/>
      <c r="B111" s="5">
        <f>IF($A111="","",IFERROR(VLOOKUP($A111,'02_Конкуренты'!$A\$4:$B\$203,2,FALSE),"не найдено"))</f>
        <v/>
      </c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</row>
    <row r="112">
      <c r="A112" s="2" t="n"/>
      <c r="B112" s="5">
        <f>IF($A112="","",IFERROR(VLOOKUP($A112,'02_Конкуренты'!$A\$4:$B\$203,2,FALSE),"не найдено"))</f>
        <v/>
      </c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</row>
    <row r="113">
      <c r="A113" s="2" t="n"/>
      <c r="B113" s="5">
        <f>IF($A113="","",IFERROR(VLOOKUP($A113,'02_Конкуренты'!$A\$4:$B\$203,2,FALSE),"не найдено"))</f>
        <v/>
      </c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</row>
    <row r="114">
      <c r="A114" s="2" t="n"/>
      <c r="B114" s="5">
        <f>IF($A114="","",IFERROR(VLOOKUP($A114,'02_Конкуренты'!$A\$4:$B\$203,2,FALSE),"не найдено"))</f>
        <v/>
      </c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</row>
    <row r="115">
      <c r="A115" s="2" t="n"/>
      <c r="B115" s="5">
        <f>IF($A115="","",IFERROR(VLOOKUP($A115,'02_Конкуренты'!$A\$4:$B\$203,2,FALSE),"не найдено"))</f>
        <v/>
      </c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</row>
    <row r="116">
      <c r="A116" s="2" t="n"/>
      <c r="B116" s="5">
        <f>IF($A116="","",IFERROR(VLOOKUP($A116,'02_Конкуренты'!$A\$4:$B\$203,2,FALSE),"не найдено"))</f>
        <v/>
      </c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</row>
    <row r="117">
      <c r="A117" s="2" t="n"/>
      <c r="B117" s="5">
        <f>IF($A117="","",IFERROR(VLOOKUP($A117,'02_Конкуренты'!$A\$4:$B\$203,2,FALSE),"не найдено"))</f>
        <v/>
      </c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</row>
    <row r="118">
      <c r="A118" s="2" t="n"/>
      <c r="B118" s="5">
        <f>IF($A118="","",IFERROR(VLOOKUP($A118,'02_Конкуренты'!$A\$4:$B\$203,2,FALSE),"не найдено"))</f>
        <v/>
      </c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</row>
    <row r="119">
      <c r="A119" s="2" t="n"/>
      <c r="B119" s="5">
        <f>IF($A119="","",IFERROR(VLOOKUP($A119,'02_Конкуренты'!$A\$4:$B\$203,2,FALSE),"не найдено"))</f>
        <v/>
      </c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</row>
    <row r="120">
      <c r="A120" s="2" t="n"/>
      <c r="B120" s="5">
        <f>IF($A120="","",IFERROR(VLOOKUP($A120,'02_Конкуренты'!$A\$4:$B\$203,2,FALSE),"не найдено"))</f>
        <v/>
      </c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</row>
    <row r="121">
      <c r="A121" s="2" t="n"/>
      <c r="B121" s="5">
        <f>IF($A121="","",IFERROR(VLOOKUP($A121,'02_Конкуренты'!$A\$4:$B\$203,2,FALSE),"не найдено"))</f>
        <v/>
      </c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</row>
    <row r="122">
      <c r="A122" s="2" t="n"/>
      <c r="B122" s="5">
        <f>IF($A122="","",IFERROR(VLOOKUP($A122,'02_Конкуренты'!$A\$4:$B\$203,2,FALSE),"не найдено"))</f>
        <v/>
      </c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</row>
    <row r="123">
      <c r="A123" s="2" t="n"/>
      <c r="B123" s="5">
        <f>IF($A123="","",IFERROR(VLOOKUP($A123,'02_Конкуренты'!$A\$4:$B\$203,2,FALSE),"не найдено"))</f>
        <v/>
      </c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</row>
    <row r="124">
      <c r="A124" s="2" t="n"/>
      <c r="B124" s="5">
        <f>IF($A124="","",IFERROR(VLOOKUP($A124,'02_Конкуренты'!$A\$4:$B\$203,2,FALSE),"не найдено"))</f>
        <v/>
      </c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</row>
    <row r="125">
      <c r="A125" s="2" t="n"/>
      <c r="B125" s="5">
        <f>IF($A125="","",IFERROR(VLOOKUP($A125,'02_Конкуренты'!$A\$4:$B\$203,2,FALSE),"не найдено"))</f>
        <v/>
      </c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</row>
    <row r="126">
      <c r="A126" s="2" t="n"/>
      <c r="B126" s="5">
        <f>IF($A126="","",IFERROR(VLOOKUP($A126,'02_Конкуренты'!$A\$4:$B\$203,2,FALSE),"не найдено"))</f>
        <v/>
      </c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</row>
    <row r="127">
      <c r="A127" s="2" t="n"/>
      <c r="B127" s="5">
        <f>IF($A127="","",IFERROR(VLOOKUP($A127,'02_Конкуренты'!$A\$4:$B\$203,2,FALSE),"не найдено"))</f>
        <v/>
      </c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</row>
    <row r="128">
      <c r="A128" s="2" t="n"/>
      <c r="B128" s="5">
        <f>IF($A128="","",IFERROR(VLOOKUP($A128,'02_Конкуренты'!$A\$4:$B\$203,2,FALSE),"не найдено"))</f>
        <v/>
      </c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</row>
    <row r="129">
      <c r="A129" s="2" t="n"/>
      <c r="B129" s="5">
        <f>IF($A129="","",IFERROR(VLOOKUP($A129,'02_Конкуренты'!$A\$4:$B\$203,2,FALSE),"не найдено"))</f>
        <v/>
      </c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</row>
    <row r="130">
      <c r="A130" s="2" t="n"/>
      <c r="B130" s="5">
        <f>IF($A130="","",IFERROR(VLOOKUP($A130,'02_Конкуренты'!$A\$4:$B\$203,2,FALSE),"не найдено"))</f>
        <v/>
      </c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</row>
    <row r="131">
      <c r="A131" s="2" t="n"/>
      <c r="B131" s="5">
        <f>IF($A131="","",IFERROR(VLOOKUP($A131,'02_Конкуренты'!$A\$4:$B\$203,2,FALSE),"не найдено"))</f>
        <v/>
      </c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</row>
    <row r="132">
      <c r="A132" s="2" t="n"/>
      <c r="B132" s="5">
        <f>IF($A132="","",IFERROR(VLOOKUP($A132,'02_Конкуренты'!$A\$4:$B\$203,2,FALSE),"не найдено"))</f>
        <v/>
      </c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</row>
    <row r="133">
      <c r="A133" s="2" t="n"/>
      <c r="B133" s="5">
        <f>IF($A133="","",IFERROR(VLOOKUP($A133,'02_Конкуренты'!$A\$4:$B\$203,2,FALSE),"не найдено"))</f>
        <v/>
      </c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</row>
    <row r="134">
      <c r="A134" s="2" t="n"/>
      <c r="B134" s="5">
        <f>IF($A134="","",IFERROR(VLOOKUP($A134,'02_Конкуренты'!$A\$4:$B\$203,2,FALSE),"не найдено"))</f>
        <v/>
      </c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</row>
    <row r="135">
      <c r="A135" s="2" t="n"/>
      <c r="B135" s="5">
        <f>IF($A135="","",IFERROR(VLOOKUP($A135,'02_Конкуренты'!$A\$4:$B\$203,2,FALSE),"не найдено"))</f>
        <v/>
      </c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</row>
    <row r="136">
      <c r="A136" s="2" t="n"/>
      <c r="B136" s="5">
        <f>IF($A136="","",IFERROR(VLOOKUP($A136,'02_Конкуренты'!$A\$4:$B\$203,2,FALSE),"не найдено"))</f>
        <v/>
      </c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</row>
    <row r="137">
      <c r="A137" s="2" t="n"/>
      <c r="B137" s="5">
        <f>IF($A137="","",IFERROR(VLOOKUP($A137,'02_Конкуренты'!$A\$4:$B\$203,2,FALSE),"не найдено"))</f>
        <v/>
      </c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</row>
    <row r="138">
      <c r="A138" s="2" t="n"/>
      <c r="B138" s="5">
        <f>IF($A138="","",IFERROR(VLOOKUP($A138,'02_Конкуренты'!$A\$4:$B\$203,2,FALSE),"не найдено"))</f>
        <v/>
      </c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</row>
    <row r="139">
      <c r="A139" s="2" t="n"/>
      <c r="B139" s="5">
        <f>IF($A139="","",IFERROR(VLOOKUP($A139,'02_Конкуренты'!$A\$4:$B\$203,2,FALSE),"не найдено"))</f>
        <v/>
      </c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</row>
    <row r="140">
      <c r="A140" s="2" t="n"/>
      <c r="B140" s="5">
        <f>IF($A140="","",IFERROR(VLOOKUP($A140,'02_Конкуренты'!$A\$4:$B\$203,2,FALSE),"не найдено"))</f>
        <v/>
      </c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</row>
    <row r="141">
      <c r="A141" s="2" t="n"/>
      <c r="B141" s="5">
        <f>IF($A141="","",IFERROR(VLOOKUP($A141,'02_Конкуренты'!$A\$4:$B\$203,2,FALSE),"не найдено"))</f>
        <v/>
      </c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</row>
    <row r="142">
      <c r="A142" s="2" t="n"/>
      <c r="B142" s="5">
        <f>IF($A142="","",IFERROR(VLOOKUP($A142,'02_Конкуренты'!$A\$4:$B\$203,2,FALSE),"не найдено"))</f>
        <v/>
      </c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</row>
    <row r="143">
      <c r="A143" s="2" t="n"/>
      <c r="B143" s="5">
        <f>IF($A143="","",IFERROR(VLOOKUP($A143,'02_Конкуренты'!$A\$4:$B\$203,2,FALSE),"не найдено"))</f>
        <v/>
      </c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</row>
    <row r="144">
      <c r="A144" s="2" t="n"/>
      <c r="B144" s="5">
        <f>IF($A144="","",IFERROR(VLOOKUP($A144,'02_Конкуренты'!$A\$4:$B\$203,2,FALSE),"не найдено"))</f>
        <v/>
      </c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</row>
    <row r="145">
      <c r="A145" s="2" t="n"/>
      <c r="B145" s="5">
        <f>IF($A145="","",IFERROR(VLOOKUP($A145,'02_Конкуренты'!$A\$4:$B\$203,2,FALSE),"не найдено"))</f>
        <v/>
      </c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</row>
    <row r="146">
      <c r="A146" s="2" t="n"/>
      <c r="B146" s="5">
        <f>IF($A146="","",IFERROR(VLOOKUP($A146,'02_Конкуренты'!$A\$4:$B\$203,2,FALSE),"не найдено"))</f>
        <v/>
      </c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</row>
    <row r="147">
      <c r="A147" s="2" t="n"/>
      <c r="B147" s="5">
        <f>IF($A147="","",IFERROR(VLOOKUP($A147,'02_Конкуренты'!$A\$4:$B\$203,2,FALSE),"не найдено"))</f>
        <v/>
      </c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</row>
    <row r="148">
      <c r="A148" s="2" t="n"/>
      <c r="B148" s="5">
        <f>IF($A148="","",IFERROR(VLOOKUP($A148,'02_Конкуренты'!$A\$4:$B\$203,2,FALSE),"не найдено"))</f>
        <v/>
      </c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</row>
    <row r="149">
      <c r="A149" s="2" t="n"/>
      <c r="B149" s="5">
        <f>IF($A149="","",IFERROR(VLOOKUP($A149,'02_Конкуренты'!$A\$4:$B\$203,2,FALSE),"не найдено"))</f>
        <v/>
      </c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</row>
    <row r="150">
      <c r="A150" s="2" t="n"/>
      <c r="B150" s="5">
        <f>IF($A150="","",IFERROR(VLOOKUP($A150,'02_Конкуренты'!$A\$4:$B\$203,2,FALSE),"не найдено"))</f>
        <v/>
      </c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</row>
    <row r="151">
      <c r="A151" s="2" t="n"/>
      <c r="B151" s="5">
        <f>IF($A151="","",IFERROR(VLOOKUP($A151,'02_Конкуренты'!$A\$4:$B\$203,2,FALSE),"не найдено"))</f>
        <v/>
      </c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</row>
    <row r="152">
      <c r="A152" s="2" t="n"/>
      <c r="B152" s="5">
        <f>IF($A152="","",IFERROR(VLOOKUP($A152,'02_Конкуренты'!$A\$4:$B\$203,2,FALSE),"не найдено"))</f>
        <v/>
      </c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</row>
    <row r="153">
      <c r="A153" s="2" t="n"/>
      <c r="B153" s="5">
        <f>IF($A153="","",IFERROR(VLOOKUP($A153,'02_Конкуренты'!$A\$4:$B\$203,2,FALSE),"не найдено"))</f>
        <v/>
      </c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</row>
    <row r="154">
      <c r="A154" s="2" t="n"/>
      <c r="B154" s="5">
        <f>IF($A154="","",IFERROR(VLOOKUP($A154,'02_Конкуренты'!$A\$4:$B\$203,2,FALSE),"не найдено"))</f>
        <v/>
      </c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</row>
    <row r="155">
      <c r="A155" s="2" t="n"/>
      <c r="B155" s="5">
        <f>IF($A155="","",IFERROR(VLOOKUP($A155,'02_Конкуренты'!$A\$4:$B\$203,2,FALSE),"не найдено"))</f>
        <v/>
      </c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</row>
    <row r="156">
      <c r="A156" s="2" t="n"/>
      <c r="B156" s="5">
        <f>IF($A156="","",IFERROR(VLOOKUP($A156,'02_Конкуренты'!$A\$4:$B\$203,2,FALSE),"не найдено"))</f>
        <v/>
      </c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</row>
    <row r="157">
      <c r="A157" s="2" t="n"/>
      <c r="B157" s="5">
        <f>IF($A157="","",IFERROR(VLOOKUP($A157,'02_Конкуренты'!$A\$4:$B\$203,2,FALSE),"не найдено"))</f>
        <v/>
      </c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</row>
    <row r="158">
      <c r="A158" s="2" t="n"/>
      <c r="B158" s="5">
        <f>IF($A158="","",IFERROR(VLOOKUP($A158,'02_Конкуренты'!$A\$4:$B\$203,2,FALSE),"не найдено"))</f>
        <v/>
      </c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</row>
    <row r="159">
      <c r="A159" s="2" t="n"/>
      <c r="B159" s="5">
        <f>IF($A159="","",IFERROR(VLOOKUP($A159,'02_Конкуренты'!$A\$4:$B\$203,2,FALSE),"не найдено"))</f>
        <v/>
      </c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</row>
    <row r="160">
      <c r="A160" s="2" t="n"/>
      <c r="B160" s="5">
        <f>IF($A160="","",IFERROR(VLOOKUP($A160,'02_Конкуренты'!$A\$4:$B\$203,2,FALSE),"не найдено"))</f>
        <v/>
      </c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</row>
    <row r="161">
      <c r="A161" s="2" t="n"/>
      <c r="B161" s="5">
        <f>IF($A161="","",IFERROR(VLOOKUP($A161,'02_Конкуренты'!$A\$4:$B\$203,2,FALSE),"не найдено"))</f>
        <v/>
      </c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</row>
    <row r="162">
      <c r="A162" s="2" t="n"/>
      <c r="B162" s="5">
        <f>IF($A162="","",IFERROR(VLOOKUP($A162,'02_Конкуренты'!$A\$4:$B\$203,2,FALSE),"не найдено"))</f>
        <v/>
      </c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</row>
    <row r="163">
      <c r="A163" s="2" t="n"/>
      <c r="B163" s="5">
        <f>IF($A163="","",IFERROR(VLOOKUP($A163,'02_Конкуренты'!$A\$4:$B\$203,2,FALSE),"не найдено"))</f>
        <v/>
      </c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</row>
    <row r="164">
      <c r="A164" s="2" t="n"/>
      <c r="B164" s="5">
        <f>IF($A164="","",IFERROR(VLOOKUP($A164,'02_Конкуренты'!$A\$4:$B\$203,2,FALSE),"не найдено"))</f>
        <v/>
      </c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</row>
    <row r="165">
      <c r="A165" s="2" t="n"/>
      <c r="B165" s="5">
        <f>IF($A165="","",IFERROR(VLOOKUP($A165,'02_Конкуренты'!$A\$4:$B\$203,2,FALSE),"не найдено"))</f>
        <v/>
      </c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</row>
    <row r="166">
      <c r="A166" s="2" t="n"/>
      <c r="B166" s="5">
        <f>IF($A166="","",IFERROR(VLOOKUP($A166,'02_Конкуренты'!$A\$4:$B\$203,2,FALSE),"не найдено"))</f>
        <v/>
      </c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</row>
    <row r="167">
      <c r="A167" s="2" t="n"/>
      <c r="B167" s="5">
        <f>IF($A167="","",IFERROR(VLOOKUP($A167,'02_Конкуренты'!$A\$4:$B\$203,2,FALSE),"не найдено"))</f>
        <v/>
      </c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</row>
    <row r="168">
      <c r="A168" s="2" t="n"/>
      <c r="B168" s="5">
        <f>IF($A168="","",IFERROR(VLOOKUP($A168,'02_Конкуренты'!$A\$4:$B\$203,2,FALSE),"не найдено"))</f>
        <v/>
      </c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</row>
    <row r="169">
      <c r="A169" s="2" t="n"/>
      <c r="B169" s="5">
        <f>IF($A169="","",IFERROR(VLOOKUP($A169,'02_Конкуренты'!$A\$4:$B\$203,2,FALSE),"не найдено"))</f>
        <v/>
      </c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</row>
    <row r="170">
      <c r="A170" s="2" t="n"/>
      <c r="B170" s="5">
        <f>IF($A170="","",IFERROR(VLOOKUP($A170,'02_Конкуренты'!$A\$4:$B\$203,2,FALSE),"не найдено"))</f>
        <v/>
      </c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</row>
    <row r="171">
      <c r="A171" s="2" t="n"/>
      <c r="B171" s="5">
        <f>IF($A171="","",IFERROR(VLOOKUP($A171,'02_Конкуренты'!$A\$4:$B\$203,2,FALSE),"не найдено"))</f>
        <v/>
      </c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</row>
    <row r="172">
      <c r="A172" s="2" t="n"/>
      <c r="B172" s="5">
        <f>IF($A172="","",IFERROR(VLOOKUP($A172,'02_Конкуренты'!$A\$4:$B\$203,2,FALSE),"не найдено"))</f>
        <v/>
      </c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</row>
    <row r="173">
      <c r="A173" s="2" t="n"/>
      <c r="B173" s="5">
        <f>IF($A173="","",IFERROR(VLOOKUP($A173,'02_Конкуренты'!$A\$4:$B\$203,2,FALSE),"не найдено"))</f>
        <v/>
      </c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</row>
    <row r="174">
      <c r="A174" s="2" t="n"/>
      <c r="B174" s="5">
        <f>IF($A174="","",IFERROR(VLOOKUP($A174,'02_Конкуренты'!$A\$4:$B\$203,2,FALSE),"не найдено"))</f>
        <v/>
      </c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</row>
    <row r="175">
      <c r="A175" s="2" t="n"/>
      <c r="B175" s="5">
        <f>IF($A175="","",IFERROR(VLOOKUP($A175,'02_Конкуренты'!$A\$4:$B\$203,2,FALSE),"не найдено"))</f>
        <v/>
      </c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</row>
    <row r="176">
      <c r="A176" s="2" t="n"/>
      <c r="B176" s="5">
        <f>IF($A176="","",IFERROR(VLOOKUP($A176,'02_Конкуренты'!$A\$4:$B\$203,2,FALSE),"не найдено"))</f>
        <v/>
      </c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</row>
    <row r="177">
      <c r="A177" s="2" t="n"/>
      <c r="B177" s="5">
        <f>IF($A177="","",IFERROR(VLOOKUP($A177,'02_Конкуренты'!$A\$4:$B\$203,2,FALSE),"не найдено"))</f>
        <v/>
      </c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</row>
    <row r="178">
      <c r="A178" s="2" t="n"/>
      <c r="B178" s="5">
        <f>IF($A178="","",IFERROR(VLOOKUP($A178,'02_Конкуренты'!$A\$4:$B\$203,2,FALSE),"не найдено"))</f>
        <v/>
      </c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</row>
    <row r="179">
      <c r="A179" s="2" t="n"/>
      <c r="B179" s="5">
        <f>IF($A179="","",IFERROR(VLOOKUP($A179,'02_Конкуренты'!$A\$4:$B\$203,2,FALSE),"не найдено"))</f>
        <v/>
      </c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</row>
    <row r="180">
      <c r="A180" s="2" t="n"/>
      <c r="B180" s="5">
        <f>IF($A180="","",IFERROR(VLOOKUP($A180,'02_Конкуренты'!$A\$4:$B\$203,2,FALSE),"не найдено"))</f>
        <v/>
      </c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</row>
    <row r="181">
      <c r="A181" s="2" t="n"/>
      <c r="B181" s="5">
        <f>IF($A181="","",IFERROR(VLOOKUP($A181,'02_Конкуренты'!$A\$4:$B\$203,2,FALSE),"не найдено"))</f>
        <v/>
      </c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</row>
    <row r="182">
      <c r="A182" s="2" t="n"/>
      <c r="B182" s="5">
        <f>IF($A182="","",IFERROR(VLOOKUP($A182,'02_Конкуренты'!$A\$4:$B\$203,2,FALSE),"не найдено"))</f>
        <v/>
      </c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</row>
    <row r="183">
      <c r="A183" s="2" t="n"/>
      <c r="B183" s="5">
        <f>IF($A183="","",IFERROR(VLOOKUP($A183,'02_Конкуренты'!$A\$4:$B\$203,2,FALSE),"не найдено"))</f>
        <v/>
      </c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</row>
    <row r="184">
      <c r="A184" s="2" t="n"/>
      <c r="B184" s="5">
        <f>IF($A184="","",IFERROR(VLOOKUP($A184,'02_Конкуренты'!$A\$4:$B\$203,2,FALSE),"не найдено"))</f>
        <v/>
      </c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</row>
    <row r="185">
      <c r="A185" s="2" t="n"/>
      <c r="B185" s="5">
        <f>IF($A185="","",IFERROR(VLOOKUP($A185,'02_Конкуренты'!$A\$4:$B\$203,2,FALSE),"не найдено"))</f>
        <v/>
      </c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</row>
    <row r="186">
      <c r="A186" s="2" t="n"/>
      <c r="B186" s="5">
        <f>IF($A186="","",IFERROR(VLOOKUP($A186,'02_Конкуренты'!$A\$4:$B\$203,2,FALSE),"не найдено"))</f>
        <v/>
      </c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</row>
    <row r="187">
      <c r="A187" s="2" t="n"/>
      <c r="B187" s="5">
        <f>IF($A187="","",IFERROR(VLOOKUP($A187,'02_Конкуренты'!$A\$4:$B\$203,2,FALSE),"не найдено"))</f>
        <v/>
      </c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</row>
    <row r="188">
      <c r="A188" s="2" t="n"/>
      <c r="B188" s="5">
        <f>IF($A188="","",IFERROR(VLOOKUP($A188,'02_Конкуренты'!$A\$4:$B\$203,2,FALSE),"не найдено"))</f>
        <v/>
      </c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</row>
    <row r="189">
      <c r="A189" s="2" t="n"/>
      <c r="B189" s="5">
        <f>IF($A189="","",IFERROR(VLOOKUP($A189,'02_Конкуренты'!$A\$4:$B\$203,2,FALSE),"не найдено"))</f>
        <v/>
      </c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</row>
    <row r="190">
      <c r="A190" s="2" t="n"/>
      <c r="B190" s="5">
        <f>IF($A190="","",IFERROR(VLOOKUP($A190,'02_Конкуренты'!$A\$4:$B\$203,2,FALSE),"не найдено"))</f>
        <v/>
      </c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</row>
    <row r="191">
      <c r="A191" s="2" t="n"/>
      <c r="B191" s="5">
        <f>IF($A191="","",IFERROR(VLOOKUP($A191,'02_Конкуренты'!$A\$4:$B\$203,2,FALSE),"не найдено"))</f>
        <v/>
      </c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</row>
    <row r="192">
      <c r="A192" s="2" t="n"/>
      <c r="B192" s="5">
        <f>IF($A192="","",IFERROR(VLOOKUP($A192,'02_Конкуренты'!$A\$4:$B\$203,2,FALSE),"не найдено"))</f>
        <v/>
      </c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</row>
    <row r="193">
      <c r="A193" s="2" t="n"/>
      <c r="B193" s="5">
        <f>IF($A193="","",IFERROR(VLOOKUP($A193,'02_Конкуренты'!$A\$4:$B\$203,2,FALSE),"не найдено"))</f>
        <v/>
      </c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</row>
    <row r="194">
      <c r="A194" s="2" t="n"/>
      <c r="B194" s="5">
        <f>IF($A194="","",IFERROR(VLOOKUP($A194,'02_Конкуренты'!$A\$4:$B\$203,2,FALSE),"не найдено"))</f>
        <v/>
      </c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</row>
    <row r="195">
      <c r="A195" s="2" t="n"/>
      <c r="B195" s="5">
        <f>IF($A195="","",IFERROR(VLOOKUP($A195,'02_Конкуренты'!$A\$4:$B\$203,2,FALSE),"не найдено"))</f>
        <v/>
      </c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</row>
    <row r="196">
      <c r="A196" s="2" t="n"/>
      <c r="B196" s="5">
        <f>IF($A196="","",IFERROR(VLOOKUP($A196,'02_Конкуренты'!$A\$4:$B\$203,2,FALSE),"не найдено"))</f>
        <v/>
      </c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</row>
    <row r="197">
      <c r="A197" s="2" t="n"/>
      <c r="B197" s="5">
        <f>IF($A197="","",IFERROR(VLOOKUP($A197,'02_Конкуренты'!$A\$4:$B\$203,2,FALSE),"не найдено"))</f>
        <v/>
      </c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</row>
    <row r="198">
      <c r="A198" s="2" t="n"/>
      <c r="B198" s="5">
        <f>IF($A198="","",IFERROR(VLOOKUP($A198,'02_Конкуренты'!$A\$4:$B\$203,2,FALSE),"не найдено"))</f>
        <v/>
      </c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</row>
    <row r="199">
      <c r="A199" s="2" t="n"/>
      <c r="B199" s="5">
        <f>IF($A199="","",IFERROR(VLOOKUP($A199,'02_Конкуренты'!$A\$4:$B\$203,2,FALSE),"не найдено"))</f>
        <v/>
      </c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</row>
    <row r="200">
      <c r="A200" s="2" t="n"/>
      <c r="B200" s="5">
        <f>IF($A200="","",IFERROR(VLOOKUP($A200,'02_Конкуренты'!$A\$4:$B\$203,2,FALSE),"не найдено"))</f>
        <v/>
      </c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</row>
    <row r="201">
      <c r="A201" s="2" t="n"/>
      <c r="B201" s="5">
        <f>IF($A201="","",IFERROR(VLOOKUP($A201,'02_Конкуренты'!$A\$4:$B\$203,2,FALSE),"не найдено"))</f>
        <v/>
      </c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</row>
    <row r="202">
      <c r="A202" s="2" t="n"/>
      <c r="B202" s="5">
        <f>IF($A202="","",IFERROR(VLOOKUP($A202,'02_Конкуренты'!$A\$4:$B\$203,2,FALSE),"не найдено"))</f>
        <v/>
      </c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</row>
    <row r="203">
      <c r="A203" s="2" t="n"/>
      <c r="B203" s="5">
        <f>IF($A203="","",IFERROR(VLOOKUP($A203,'02_Конкуренты'!$A\$4:$B\$203,2,FALSE),"не найдено"))</f>
        <v/>
      </c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</row>
  </sheetData>
  <mergeCells count="2">
    <mergeCell ref="A2:N2"/>
    <mergeCell ref="A1:N1"/>
  </mergeCells>
  <conditionalFormatting sqref="L4:M203">
    <cfRule type="colorScale" priority="1">
      <colorScale>
        <cfvo type="min"/>
        <cfvo type="percentile" val="50"/>
        <cfvo type="max"/>
        <color rgb="FFFEE2E2"/>
        <color rgb="FFFEF3C7"/>
        <color rgb="FFDCFCE7"/>
      </colorScale>
    </cfRule>
  </conditionalFormatting>
  <dataValidations count="2">
    <dataValidation sqref="H4:H203" showDropDown="0" showInputMessage="0" showErrorMessage="0" allowBlank="0" type="list">
      <formula1>"самостоятельная покупка,заявка на консультацию,демонстрация продукта,регистрация,пробный доступ,контентная воронка,корпоративные продажи,маркетплейс"</formula1>
    </dataValidation>
    <dataValidation sqref="L4:M203" showDropDown="0" showInputMessage="0" showErrorMessage="0" allowBlank="0" type="list">
      <formula1>"1,2,3,4,5"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203"/>
  <sheetViews>
    <sheetView topLeftCell="H1" workbookViewId="0">
      <selection activeCell="E9" sqref="E9"/>
    </sheetView>
  </sheetViews>
  <sheetFormatPr baseColWidth="8" defaultRowHeight="14.25"/>
  <cols>
    <col width="14" customWidth="1" min="1" max="1"/>
    <col width="24" customWidth="1" min="2" max="2"/>
    <col width="32" customWidth="1" min="3" max="3"/>
    <col width="39.5" customWidth="1" min="4" max="4"/>
    <col width="34" customWidth="1" min="5" max="5"/>
    <col width="30" customWidth="1" min="6" max="6"/>
    <col width="28" customWidth="1" min="7" max="8"/>
    <col width="30" customWidth="1" min="9" max="9"/>
    <col width="32" customWidth="1" min="10" max="10"/>
    <col width="20" customWidth="1" min="11" max="11"/>
    <col width="22" customWidth="1" min="12" max="12"/>
    <col width="28" customWidth="1" min="13" max="13"/>
    <col width="42" customWidth="1" min="14" max="14"/>
  </cols>
  <sheetData>
    <row r="1" ht="15" customHeight="1">
      <c r="A1" s="19" t="inlineStr">
        <is>
          <t>Операционная основа бизнес-модели</t>
        </is>
      </c>
      <c r="O1" s="14" t="n"/>
      <c r="P1" s="14" t="n"/>
      <c r="Q1" s="14" t="n"/>
      <c r="R1" s="14" t="n"/>
      <c r="S1" s="14" t="n"/>
      <c r="T1" s="14" t="n"/>
      <c r="U1" s="14" t="n"/>
      <c r="V1" s="14" t="n"/>
      <c r="W1" s="14" t="n"/>
      <c r="X1" s="14" t="n"/>
      <c r="Y1" s="14" t="n"/>
      <c r="Z1" s="14" t="n"/>
    </row>
    <row r="2" ht="19.15" customHeight="1">
      <c r="A2" s="21" t="inlineStr">
        <is>
          <t>Лист фиксирует, за счет каких ресурсов, процессов, партнерств и данных конкурент поддерживает цифровой товар</t>
        </is>
      </c>
    </row>
    <row r="3" ht="32.25" customHeight="1">
      <c r="A3" s="25" t="inlineStr">
        <is>
          <t>ID конкурента</t>
        </is>
      </c>
      <c r="B3" s="25" t="inlineStr">
        <is>
          <t>Название</t>
        </is>
      </c>
      <c r="C3" s="25" t="inlineStr">
        <is>
          <t>Ключевые ресурсы</t>
        </is>
      </c>
      <c r="D3" s="25" t="inlineStr">
        <is>
          <t>Ключевые процессы</t>
        </is>
      </c>
      <c r="E3" s="25" t="inlineStr">
        <is>
          <t>Технологические признаки на сайте</t>
        </is>
      </c>
      <c r="F3" s="25" t="inlineStr">
        <is>
          <t>Использование данных</t>
        </is>
      </c>
      <c r="G3" s="25" t="inlineStr">
        <is>
          <t>Интеграции</t>
        </is>
      </c>
      <c r="H3" s="25" t="inlineStr">
        <is>
          <t>Партнеры</t>
        </is>
      </c>
      <c r="I3" s="25" t="inlineStr">
        <is>
          <t>Поддержка и сервис</t>
        </is>
      </c>
      <c r="J3" s="25" t="inlineStr">
        <is>
          <t>Признаки структуры затрат</t>
        </is>
      </c>
      <c r="K3" s="25" t="inlineStr">
        <is>
          <t>Масштабируемость 1-5</t>
        </is>
      </c>
      <c r="L3" s="25" t="inlineStr">
        <is>
          <t>Трудность копирования 1-5</t>
        </is>
      </c>
      <c r="M3" s="25" t="inlineStr">
        <is>
          <t>Операционный риск</t>
        </is>
      </c>
      <c r="N3" s="25" t="inlineStr">
        <is>
          <t>Вывод об устойчивости модели</t>
        </is>
      </c>
    </row>
    <row r="4" ht="57" customHeight="1">
      <c r="A4" s="2" t="inlineStr">
        <is>
          <t>C01</t>
        </is>
      </c>
      <c r="B4" s="5">
        <f>IF($A4="","",IFERROR(VLOOKUP($A4,'02_Конкуренты'!$A\$4:$B\$203,2,FALSE),"не найдено"))</f>
        <v/>
      </c>
      <c r="C4" s="2" t="inlineStr">
        <is>
          <t>Сообщество разработчиков, домен с 2010 г</t>
        </is>
      </c>
      <c r="D4" s="2" t="inlineStr">
        <is>
          <t>Выпуск релизов, поддержка форумов</t>
        </is>
      </c>
      <c r="E4" s="2" t="inlineStr">
        <is>
          <t>Серверный рендеринг на Java; языковой справочник</t>
        </is>
      </c>
      <c r="F4" s="2" t="inlineStr">
        <is>
          <t>Диаграммы обрабатываются на сервере проекта</t>
        </is>
      </c>
      <c r="G4" s="2" t="inlineStr">
        <is>
          <t>Интеграции в вики, редакторы, IDE и языки программирования (страница running)</t>
        </is>
      </c>
      <c r="H4" s="2" t="inlineStr">
        <is>
          <t>Интеграции в вики, редакторы, IDE и языки программирования (страница running)</t>
        </is>
      </c>
      <c r="I4" s="2" t="inlineStr">
        <is>
          <t>FAQ, форум</t>
        </is>
      </c>
      <c r="J4" s="2" t="inlineStr">
        <is>
          <t>Признаки: разработка сообщества и серверы; ИИ-расходов на сайте нет</t>
        </is>
      </c>
      <c r="K4" s="2" t="n">
        <v>3</v>
      </c>
      <c r="L4" s="2" t="n">
        <v>2</v>
      </c>
      <c r="M4" s="2" t="inlineStr">
        <is>
          <t>Низкая монетизация</t>
        </is>
      </c>
      <c r="N4" s="2" t="inlineStr">
        <is>
          <t>Устойчив за счёт сообщества, не за счёт доходов</t>
        </is>
      </c>
    </row>
    <row r="5" ht="57" customHeight="1">
      <c r="A5" s="2" t="inlineStr">
        <is>
          <t>C02</t>
        </is>
      </c>
      <c r="B5" s="5">
        <f>IF($A5="","",IFERROR(VLOOKUP($A5,'02_Конкуренты'!$A\$4:$B\$203,2,FALSE),"не найдено"))</f>
        <v/>
      </c>
      <c r="C5" s="2" t="inlineStr">
        <is>
          <t>Сообщество (90 489 звёзд), команда проекта</t>
        </is>
      </c>
      <c r="D5" s="2" t="inlineStr">
        <is>
          <t>Релизы библиотеки, развитие экосистемы</t>
        </is>
      </c>
      <c r="E5" s="2" t="inlineStr">
        <is>
          <t>JavaScript-библиотека</t>
        </is>
      </c>
      <c r="F5" s="2" t="inlineStr">
        <is>
          <t>Рендеринг в браузере</t>
        </is>
      </c>
      <c r="G5" s="2" t="inlineStr">
        <is>
          <t>Интеграции сообщества: редакторы, вики, платформы (страница integrations-community)</t>
        </is>
      </c>
      <c r="H5" s="2" t="inlineStr">
        <is>
          <t>Интеграции сообщества: редакторы, вики, платформы (страница integrations-community)</t>
        </is>
      </c>
      <c r="I5" s="2" t="inlineStr">
        <is>
          <t>Документация, сообщество</t>
        </is>
      </c>
      <c r="J5" s="2" t="inlineStr">
        <is>
          <t>Признаки: разработка сообщества; платные планы вынесены в Mermaid Chart</t>
        </is>
      </c>
      <c r="K5" s="2" t="n">
        <v>4</v>
      </c>
      <c r="L5" s="2" t="n">
        <v>3</v>
      </c>
      <c r="M5" s="2" t="inlineStr">
        <is>
          <t>Зависимость от Mermaid Chart в финансировании</t>
        </is>
      </c>
      <c r="N5" s="2" t="inlineStr">
        <is>
          <t>Устойчив за счёт экосистемы</t>
        </is>
      </c>
    </row>
    <row r="6" ht="42.75" customHeight="1">
      <c r="A6" s="2" t="inlineStr">
        <is>
          <t>C03</t>
        </is>
      </c>
      <c r="B6" s="5">
        <f>IF($A6="","",IFERROR(VLOOKUP($A6,'02_Конкуренты'!$A\$4:$B\$203,2,FALSE),"не найдено"))</f>
        <v/>
      </c>
      <c r="C6" s="2" t="inlineStr">
        <is>
          <t>Команда Mermaid, облако, ИИ</t>
        </is>
      </c>
      <c r="D6" s="2" t="inlineStr">
        <is>
          <t>Развитие редактора и ИИ-функций</t>
        </is>
      </c>
      <c r="E6" s="2" t="inlineStr">
        <is>
          <t>Облачный редактор, ИИ, API</t>
        </is>
      </c>
      <c r="F6" s="2" t="inlineStr">
        <is>
          <t>Данные пользователей в облаке</t>
        </is>
      </c>
      <c r="G6" s="2" t="inlineStr">
        <is>
          <t>Плагины и интеграции (меню Product), экосистема Mermaid.js</t>
        </is>
      </c>
      <c r="H6" s="2" t="inlineStr">
        <is>
          <t>Плагины и интеграции (меню Product), экосистема Mermaid.js</t>
        </is>
      </c>
      <c r="I6" s="2" t="inlineStr">
        <is>
          <t>Документация, контакты продаж</t>
        </is>
      </c>
      <c r="J6" s="2" t="inlineStr">
        <is>
          <t>Признак: лимиты ИИ-кредитов указывают на стоимость ИИ-вызовов</t>
        </is>
      </c>
      <c r="K6" s="2" t="n">
        <v>4</v>
      </c>
      <c r="L6" s="2" t="n">
        <v>3</v>
      </c>
      <c r="M6" s="2" t="inlineStr">
        <is>
          <t>Расходы на ИИ</t>
        </is>
      </c>
      <c r="N6" s="2" t="inlineStr">
        <is>
          <t>Устойчив при росте платных мест</t>
        </is>
      </c>
    </row>
    <row r="7" ht="42.75" customHeight="1">
      <c r="A7" s="2" t="inlineStr">
        <is>
          <t>C04</t>
        </is>
      </c>
      <c r="B7" s="5">
        <f>IF($A7="","",IFERROR(VLOOKUP($A7,'02_Конкуренты'!$A\$4:$B\$203,2,FALSE),"не найдено"))</f>
        <v/>
      </c>
      <c r="C7" s="2" t="inlineStr">
        <is>
          <t>Платформа из девяти модулей, база клиентов (более 1 000)</t>
        </is>
      </c>
      <c r="D7" s="2" t="inlineStr">
        <is>
          <t>Продажи, внедрение, развитие модулей</t>
        </is>
      </c>
      <c r="E7" s="2" t="inlineStr">
        <is>
          <t>BPMN-редактор, ИИ, симуляция DES, MCP</t>
        </is>
      </c>
      <c r="F7" s="2" t="inlineStr">
        <is>
          <t>Модели процессов, реестр, оргструктура, опросы</t>
        </is>
      </c>
      <c r="G7" s="2" t="inlineStr">
        <is>
          <t>MCP-интеграции, API в Enterprise</t>
        </is>
      </c>
      <c r="H7" s="2" t="inlineStr">
        <is>
          <t>MCP-интеграции, API в Enterprise</t>
        </is>
      </c>
      <c r="I7" s="2" t="inlineStr">
        <is>
          <t>База знаний; Enterprise: аудит и ИБ</t>
        </is>
      </c>
      <c r="J7" s="2" t="inlineStr">
        <is>
          <t>Признаки: безлимитный ИИ в облачных тарифах, on-prem для крупных клиентов</t>
        </is>
      </c>
      <c r="K7" s="2" t="n">
        <v>3</v>
      </c>
      <c r="L7" s="2" t="n">
        <v>4</v>
      </c>
      <c r="M7" s="2" t="inlineStr">
        <is>
          <t>Зависимость от русскоязычного рынка</t>
        </is>
      </c>
      <c r="N7" s="2" t="inlineStr">
        <is>
          <t>Модель устойчива у корпоративных клиентов</t>
        </is>
      </c>
    </row>
    <row r="8" ht="57" customHeight="1">
      <c r="A8" s="2" t="inlineStr">
        <is>
          <t>C05</t>
        </is>
      </c>
      <c r="B8" s="5">
        <f>IF($A8="","",IFERROR(VLOOKUP($A8,'02_Конкуренты'!$A\$4:$B\$203,2,FALSE),"не найдено"))</f>
        <v/>
      </c>
      <c r="C8" s="2" t="inlineStr">
        <is>
          <t>Репозитории (63 351 звезда desktop), независимая частная компания</t>
        </is>
      </c>
      <c r="D8" s="2" t="inlineStr">
        <is>
          <t>Развитие приложения и интеграций</t>
        </is>
      </c>
      <c r="E8" s="2" t="inlineStr">
        <is>
          <t>Приложение на JavaScript, desktop, плагины</t>
        </is>
      </c>
      <c r="F8" s="2" t="inlineStr">
        <is>
          <t>Данные хранятся у пользователя</t>
        </is>
      </c>
      <c r="G8" s="2" t="inlineStr">
        <is>
          <t>Google Drive, Microsoft SharePoint и OneDrive, Atlassian Confluence и Jira, GitHub, VS Code, Notion</t>
        </is>
      </c>
      <c r="H8" s="2" t="inlineStr">
        <is>
          <t>Google Drive, Microsoft SharePoint и OneDrive, Atlassian Confluence и Jira, GitHub, VS Code, Notion</t>
        </is>
      </c>
      <c r="I8" s="2" t="inlineStr">
        <is>
          <t>Документация, GitHub</t>
        </is>
      </c>
      <c r="J8" s="2" t="inlineStr">
        <is>
          <t>Признак: «Not VC-funded», нет enterprise-тарифа</t>
        </is>
      </c>
      <c r="K8" s="2" t="n">
        <v>5</v>
      </c>
      <c r="L8" s="2" t="n">
        <v>3</v>
      </c>
      <c r="M8" s="2" t="inlineStr">
        <is>
          <t>Неясная монетизация на сайте</t>
        </is>
      </c>
      <c r="N8" s="2" t="inlineStr">
        <is>
          <t>Очень устойчив за счёт аудитории и независимости</t>
        </is>
      </c>
    </row>
    <row r="9" ht="28.5" customHeight="1">
      <c r="A9" s="2" t="inlineStr">
        <is>
          <t>C06</t>
        </is>
      </c>
      <c r="B9" s="5">
        <f>IF($A9="","",IFERROR(VLOOKUP($A9,'02_Конкуренты'!$A\$4:$B\$203,2,FALSE),"не найдено"))</f>
        <v/>
      </c>
      <c r="C9" s="2" t="inlineStr">
        <is>
          <t>Команда и инфраструктура Lucid, платформа, бренд</t>
        </is>
      </c>
      <c r="D9" s="2" t="inlineStr">
        <is>
          <t>Продажи Enterprise, развитие ИИ и платформы</t>
        </is>
      </c>
      <c r="E9" s="2" t="inlineStr">
        <is>
          <t>Облако, ИИ, платформа разработчика, интеграции</t>
        </is>
      </c>
      <c r="F9" s="2" t="inlineStr">
        <is>
          <t>Связывание данных, импорт данных</t>
        </is>
      </c>
      <c r="G9" s="2" t="inlineStr">
        <is>
          <t>Microsoft 365, Confluence, Jira, LeanIX, Ardoq, Salesforce</t>
        </is>
      </c>
      <c r="H9" s="2" t="inlineStr">
        <is>
          <t>Microsoft 365, Confluence, Jira, LeanIX, Ardoq, Salesforce</t>
        </is>
      </c>
      <c r="I9" s="2" t="inlineStr">
        <is>
          <t>Учебный центр, поддержка, Enterprise Shield</t>
        </is>
      </c>
      <c r="J9" s="2" t="inlineStr">
        <is>
          <t>Признаки: ИИ, поддержка, учебный центр, Enterprise Shield</t>
        </is>
      </c>
      <c r="K9" s="2" t="n">
        <v>5</v>
      </c>
      <c r="L9" s="2" t="n">
        <v>5</v>
      </c>
      <c r="M9" s="2" t="inlineStr">
        <is>
          <t>Высокая зависимость от платных мест</t>
        </is>
      </c>
      <c r="N9" s="2" t="inlineStr">
        <is>
          <t>Устойчив: широкий продукт и Enterprise</t>
        </is>
      </c>
    </row>
    <row r="10" ht="42.75" customHeight="1">
      <c r="A10" s="2" t="inlineStr">
        <is>
          <t>C07</t>
        </is>
      </c>
      <c r="B10" s="5">
        <f>IF($A10="","",IFERROR(VLOOKUP($A10,'02_Конкуренты'!$A\$4:$B\$203,2,FALSE),"не найдено"))</f>
        <v/>
      </c>
      <c r="C10" s="2" t="inlineStr">
        <is>
          <t>Команда продукта, ИИ-инфраструктура</t>
        </is>
      </c>
      <c r="D10" s="2" t="inlineStr">
        <is>
          <t>Развитие ИИ и интеграций</t>
        </is>
      </c>
      <c r="E10" s="2" t="inlineStr">
        <is>
          <t>ИИ-генерация, diagram-as-code, API</t>
        </is>
      </c>
      <c r="F10" s="2" t="inlineStr">
        <is>
          <t>Данные в облаке, лимиты ИИ</t>
        </is>
      </c>
      <c r="G10" s="2" t="inlineStr">
        <is>
          <t>GitHub, Notion, Confluence, VS Code</t>
        </is>
      </c>
      <c r="H10" s="2" t="inlineStr">
        <is>
          <t>GitHub, Notion, Confluence, VS Code</t>
        </is>
      </c>
      <c r="I10" s="2" t="inlineStr">
        <is>
          <t>Документация docs.eraser.io</t>
        </is>
      </c>
      <c r="J10" s="2" t="inlineStr">
        <is>
          <t>Признак: лимиты ИИ-диаграмм по тарифам указывают на стоимость ИИ</t>
        </is>
      </c>
      <c r="K10" s="2" t="n">
        <v>4</v>
      </c>
      <c r="L10" s="2" t="n">
        <v>3</v>
      </c>
      <c r="M10" s="2" t="inlineStr">
        <is>
          <t>Расходы на ИИ при росте</t>
        </is>
      </c>
      <c r="N10" s="2" t="inlineStr">
        <is>
          <t>Умеренно устойчив; зависит от ИИ-расходов</t>
        </is>
      </c>
    </row>
    <row r="11" ht="28.5" customHeight="1">
      <c r="A11" s="2" t="inlineStr">
        <is>
          <t>C08</t>
        </is>
      </c>
      <c r="B11" s="5">
        <f>IF($A11="","",IFERROR(VLOOKUP($A11,'02_Конкуренты'!$A\$4:$B\$203,2,FALSE),"не найдено"))</f>
        <v/>
      </c>
      <c r="C11" s="2" t="inlineStr">
        <is>
          <t>Команда продукта, бренд</t>
        </is>
      </c>
      <c r="D11" s="2" t="inlineStr">
        <is>
          <t>Развитие доски, диаграмм, документов</t>
        </is>
      </c>
      <c r="E11" s="2" t="inlineStr">
        <is>
          <t>Облако, desktop, ИИ</t>
        </is>
      </c>
      <c r="F11" s="2" t="inlineStr">
        <is>
          <t>Данные в облаке, история версий</t>
        </is>
      </c>
      <c r="G11" s="2" t="inlineStr">
        <is>
          <t>Интеграции указаны на сайте (число не проверялось)</t>
        </is>
      </c>
      <c r="H11" s="2" t="inlineStr">
        <is>
          <t>Интеграции указаны на сайте (число не проверялось)</t>
        </is>
      </c>
      <c r="I11" s="2" t="inlineStr">
        <is>
          <t>Раздел support, страница Security</t>
        </is>
      </c>
      <c r="J11" s="2" t="inlineStr">
        <is>
          <t>Признаки: хранилище и история версий по тарифам, ИИ</t>
        </is>
      </c>
      <c r="K11" s="2" t="n">
        <v>4</v>
      </c>
      <c r="L11" s="2" t="n">
        <v>2</v>
      </c>
      <c r="M11" s="2" t="inlineStr">
        <is>
          <t>Сильная конкуренция универсальных досок</t>
        </is>
      </c>
      <c r="N11" s="2" t="inlineStr">
        <is>
          <t>Устойчив у продуктовых команд</t>
        </is>
      </c>
    </row>
    <row r="12">
      <c r="A12" s="2" t="n"/>
      <c r="B12" s="5">
        <f>IF($A12="","",IFERROR(VLOOKUP($A12,'02_Конкуренты'!$A\$4:$B\$203,2,FALSE),"не найдено"))</f>
        <v/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</row>
    <row r="13">
      <c r="A13" s="2" t="n"/>
      <c r="B13" s="5">
        <f>IF($A13="","",IFERROR(VLOOKUP($A13,'02_Конкуренты'!$A\$4:$B\$203,2,FALSE),"не найдено"))</f>
        <v/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</row>
    <row r="14">
      <c r="A14" s="2" t="n"/>
      <c r="B14" s="5">
        <f>IF($A14="","",IFERROR(VLOOKUP($A14,'02_Конкуренты'!$A\$4:$B\$203,2,FALSE),"не найдено"))</f>
        <v/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</row>
    <row r="15">
      <c r="A15" s="2" t="n"/>
      <c r="B15" s="5">
        <f>IF($A15="","",IFERROR(VLOOKUP($A15,'02_Конкуренты'!$A\$4:$B\$203,2,FALSE),"не найдено"))</f>
        <v/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</row>
    <row r="16">
      <c r="A16" s="2" t="n"/>
      <c r="B16" s="5">
        <f>IF($A16="","",IFERROR(VLOOKUP($A16,'02_Конкуренты'!$A\$4:$B\$203,2,FALSE),"не найдено"))</f>
        <v/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</row>
    <row r="17">
      <c r="A17" s="2" t="n"/>
      <c r="B17" s="5">
        <f>IF($A17="","",IFERROR(VLOOKUP($A17,'02_Конкуренты'!$A\$4:$B\$203,2,FALSE),"не найдено"))</f>
        <v/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</row>
    <row r="18">
      <c r="A18" s="2" t="n"/>
      <c r="B18" s="5">
        <f>IF($A18="","",IFERROR(VLOOKUP($A18,'02_Конкуренты'!$A\$4:$B\$203,2,FALSE),"не найдено"))</f>
        <v/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</row>
    <row r="19">
      <c r="A19" s="2" t="n"/>
      <c r="B19" s="5">
        <f>IF($A19="","",IFERROR(VLOOKUP($A19,'02_Конкуренты'!$A\$4:$B\$203,2,FALSE),"не найдено"))</f>
        <v/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</row>
    <row r="20">
      <c r="A20" s="2" t="n"/>
      <c r="B20" s="5">
        <f>IF($A20="","",IFERROR(VLOOKUP($A20,'02_Конкуренты'!$A\$4:$B\$203,2,FALSE),"не найдено"))</f>
        <v/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</row>
    <row r="21">
      <c r="A21" s="2" t="n"/>
      <c r="B21" s="5">
        <f>IF($A21="","",IFERROR(VLOOKUP($A21,'02_Конкуренты'!$A\$4:$B\$203,2,FALSE),"не найдено"))</f>
        <v/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</row>
    <row r="22">
      <c r="A22" s="2" t="n"/>
      <c r="B22" s="5">
        <f>IF($A22="","",IFERROR(VLOOKUP($A22,'02_Конкуренты'!$A\$4:$B\$203,2,FALSE),"не найдено"))</f>
        <v/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</row>
    <row r="23">
      <c r="A23" s="2" t="n"/>
      <c r="B23" s="5">
        <f>IF($A23="","",IFERROR(VLOOKUP($A23,'02_Конкуренты'!$A\$4:$B\$203,2,FALSE),"не найдено"))</f>
        <v/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</row>
    <row r="24">
      <c r="A24" s="2" t="n"/>
      <c r="B24" s="5">
        <f>IF($A24="","",IFERROR(VLOOKUP($A24,'02_Конкуренты'!$A\$4:$B\$203,2,FALSE),"не найдено"))</f>
        <v/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</row>
    <row r="25">
      <c r="A25" s="2" t="n"/>
      <c r="B25" s="5">
        <f>IF($A25="","",IFERROR(VLOOKUP($A25,'02_Конкуренты'!$A\$4:$B\$203,2,FALSE),"не найдено"))</f>
        <v/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</row>
    <row r="26">
      <c r="A26" s="2" t="n"/>
      <c r="B26" s="5">
        <f>IF($A26="","",IFERROR(VLOOKUP($A26,'02_Конкуренты'!$A\$4:$B\$203,2,FALSE),"не найдено"))</f>
        <v/>
      </c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</row>
    <row r="27">
      <c r="A27" s="2" t="n"/>
      <c r="B27" s="5">
        <f>IF($A27="","",IFERROR(VLOOKUP($A27,'02_Конкуренты'!$A\$4:$B\$203,2,FALSE),"не найдено"))</f>
        <v/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</row>
    <row r="28">
      <c r="A28" s="2" t="n"/>
      <c r="B28" s="5">
        <f>IF($A28="","",IFERROR(VLOOKUP($A28,'02_Конкуренты'!$A\$4:$B\$203,2,FALSE),"не найдено"))</f>
        <v/>
      </c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</row>
    <row r="29">
      <c r="A29" s="2" t="n"/>
      <c r="B29" s="5">
        <f>IF($A29="","",IFERROR(VLOOKUP($A29,'02_Конкуренты'!$A\$4:$B\$203,2,FALSE),"не найдено"))</f>
        <v/>
      </c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</row>
    <row r="30">
      <c r="A30" s="2" t="n"/>
      <c r="B30" s="5">
        <f>IF($A30="","",IFERROR(VLOOKUP($A30,'02_Конкуренты'!$A\$4:$B\$203,2,FALSE),"не найдено"))</f>
        <v/>
      </c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</row>
    <row r="31">
      <c r="A31" s="2" t="n"/>
      <c r="B31" s="5">
        <f>IF($A31="","",IFERROR(VLOOKUP($A31,'02_Конкуренты'!$A\$4:$B\$203,2,FALSE),"не найдено"))</f>
        <v/>
      </c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</row>
    <row r="32">
      <c r="A32" s="2" t="n"/>
      <c r="B32" s="5">
        <f>IF($A32="","",IFERROR(VLOOKUP($A32,'02_Конкуренты'!$A\$4:$B\$203,2,FALSE),"не найдено"))</f>
        <v/>
      </c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</row>
    <row r="33">
      <c r="A33" s="2" t="n"/>
      <c r="B33" s="5">
        <f>IF($A33="","",IFERROR(VLOOKUP($A33,'02_Конкуренты'!$A\$4:$B\$203,2,FALSE),"не найдено"))</f>
        <v/>
      </c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</row>
    <row r="34">
      <c r="A34" s="2" t="n"/>
      <c r="B34" s="5">
        <f>IF($A34="","",IFERROR(VLOOKUP($A34,'02_Конкуренты'!$A\$4:$B\$203,2,FALSE),"не найдено"))</f>
        <v/>
      </c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</row>
    <row r="35">
      <c r="A35" s="2" t="n"/>
      <c r="B35" s="5">
        <f>IF($A35="","",IFERROR(VLOOKUP($A35,'02_Конкуренты'!$A\$4:$B\$203,2,FALSE),"не найдено"))</f>
        <v/>
      </c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</row>
    <row r="36">
      <c r="A36" s="2" t="n"/>
      <c r="B36" s="5">
        <f>IF($A36="","",IFERROR(VLOOKUP($A36,'02_Конкуренты'!$A\$4:$B\$203,2,FALSE),"не найдено"))</f>
        <v/>
      </c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</row>
    <row r="37">
      <c r="A37" s="2" t="n"/>
      <c r="B37" s="5">
        <f>IF($A37="","",IFERROR(VLOOKUP($A37,'02_Конкуренты'!$A\$4:$B\$203,2,FALSE),"не найдено"))</f>
        <v/>
      </c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</row>
    <row r="38">
      <c r="A38" s="2" t="n"/>
      <c r="B38" s="5">
        <f>IF($A38="","",IFERROR(VLOOKUP($A38,'02_Конкуренты'!$A\$4:$B\$203,2,FALSE),"не найдено"))</f>
        <v/>
      </c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</row>
    <row r="39">
      <c r="A39" s="2" t="n"/>
      <c r="B39" s="5">
        <f>IF($A39="","",IFERROR(VLOOKUP($A39,'02_Конкуренты'!$A\$4:$B\$203,2,FALSE),"не найдено"))</f>
        <v/>
      </c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</row>
    <row r="40">
      <c r="A40" s="2" t="n"/>
      <c r="B40" s="5">
        <f>IF($A40="","",IFERROR(VLOOKUP($A40,'02_Конкуренты'!$A\$4:$B\$203,2,FALSE),"не найдено"))</f>
        <v/>
      </c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</row>
    <row r="41">
      <c r="A41" s="2" t="n"/>
      <c r="B41" s="5">
        <f>IF($A41="","",IFERROR(VLOOKUP($A41,'02_Конкуренты'!$A\$4:$B\$203,2,FALSE),"не найдено"))</f>
        <v/>
      </c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</row>
    <row r="42">
      <c r="A42" s="2" t="n"/>
      <c r="B42" s="5">
        <f>IF($A42="","",IFERROR(VLOOKUP($A42,'02_Конкуренты'!$A\$4:$B\$203,2,FALSE),"не найдено"))</f>
        <v/>
      </c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</row>
    <row r="43">
      <c r="A43" s="2" t="n"/>
      <c r="B43" s="5">
        <f>IF($A43="","",IFERROR(VLOOKUP($A43,'02_Конкуренты'!$A\$4:$B\$203,2,FALSE),"не найдено"))</f>
        <v/>
      </c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</row>
    <row r="44">
      <c r="A44" s="2" t="n"/>
      <c r="B44" s="5">
        <f>IF($A44="","",IFERROR(VLOOKUP($A44,'02_Конкуренты'!$A\$4:$B\$203,2,FALSE),"не найдено"))</f>
        <v/>
      </c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</row>
    <row r="45">
      <c r="A45" s="2" t="n"/>
      <c r="B45" s="5">
        <f>IF($A45="","",IFERROR(VLOOKUP($A45,'02_Конкуренты'!$A\$4:$B\$203,2,FALSE),"не найдено"))</f>
        <v/>
      </c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</row>
    <row r="46">
      <c r="A46" s="2" t="n"/>
      <c r="B46" s="5">
        <f>IF($A46="","",IFERROR(VLOOKUP($A46,'02_Конкуренты'!$A\$4:$B\$203,2,FALSE),"не найдено"))</f>
        <v/>
      </c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</row>
    <row r="47">
      <c r="A47" s="2" t="n"/>
      <c r="B47" s="5">
        <f>IF($A47="","",IFERROR(VLOOKUP($A47,'02_Конкуренты'!$A\$4:$B\$203,2,FALSE),"не найдено"))</f>
        <v/>
      </c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</row>
    <row r="48">
      <c r="A48" s="2" t="n"/>
      <c r="B48" s="5">
        <f>IF($A48="","",IFERROR(VLOOKUP($A48,'02_Конкуренты'!$A\$4:$B\$203,2,FALSE),"не найдено"))</f>
        <v/>
      </c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</row>
    <row r="49">
      <c r="A49" s="2" t="n"/>
      <c r="B49" s="5">
        <f>IF($A49="","",IFERROR(VLOOKUP($A49,'02_Конкуренты'!$A\$4:$B\$203,2,FALSE),"не найдено"))</f>
        <v/>
      </c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</row>
    <row r="50">
      <c r="A50" s="2" t="n"/>
      <c r="B50" s="5">
        <f>IF($A50="","",IFERROR(VLOOKUP($A50,'02_Конкуренты'!$A\$4:$B\$203,2,FALSE),"не найдено"))</f>
        <v/>
      </c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</row>
    <row r="51">
      <c r="A51" s="2" t="n"/>
      <c r="B51" s="5">
        <f>IF($A51="","",IFERROR(VLOOKUP($A51,'02_Конкуренты'!$A\$4:$B\$203,2,FALSE),"не найдено"))</f>
        <v/>
      </c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</row>
    <row r="52">
      <c r="A52" s="2" t="n"/>
      <c r="B52" s="5">
        <f>IF($A52="","",IFERROR(VLOOKUP($A52,'02_Конкуренты'!$A\$4:$B\$203,2,FALSE),"не найдено"))</f>
        <v/>
      </c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</row>
    <row r="53">
      <c r="A53" s="2" t="n"/>
      <c r="B53" s="5">
        <f>IF($A53="","",IFERROR(VLOOKUP($A53,'02_Конкуренты'!$A\$4:$B\$203,2,FALSE),"не найдено"))</f>
        <v/>
      </c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</row>
    <row r="54">
      <c r="A54" s="2" t="n"/>
      <c r="B54" s="5">
        <f>IF($A54="","",IFERROR(VLOOKUP($A54,'02_Конкуренты'!$A\$4:$B\$203,2,FALSE),"не найдено"))</f>
        <v/>
      </c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</row>
    <row r="55">
      <c r="A55" s="2" t="n"/>
      <c r="B55" s="5">
        <f>IF($A55="","",IFERROR(VLOOKUP($A55,'02_Конкуренты'!$A\$4:$B\$203,2,FALSE),"не найдено"))</f>
        <v/>
      </c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</row>
    <row r="56">
      <c r="A56" s="2" t="n"/>
      <c r="B56" s="5">
        <f>IF($A56="","",IFERROR(VLOOKUP($A56,'02_Конкуренты'!$A\$4:$B\$203,2,FALSE),"не найдено"))</f>
        <v/>
      </c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</row>
    <row r="57">
      <c r="A57" s="2" t="n"/>
      <c r="B57" s="5">
        <f>IF($A57="","",IFERROR(VLOOKUP($A57,'02_Конкуренты'!$A\$4:$B\$203,2,FALSE),"не найдено"))</f>
        <v/>
      </c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</row>
    <row r="58">
      <c r="A58" s="2" t="n"/>
      <c r="B58" s="5">
        <f>IF($A58="","",IFERROR(VLOOKUP($A58,'02_Конкуренты'!$A\$4:$B\$203,2,FALSE),"не найдено"))</f>
        <v/>
      </c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</row>
    <row r="59">
      <c r="A59" s="2" t="n"/>
      <c r="B59" s="5">
        <f>IF($A59="","",IFERROR(VLOOKUP($A59,'02_Конкуренты'!$A\$4:$B\$203,2,FALSE),"не найдено"))</f>
        <v/>
      </c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</row>
    <row r="60">
      <c r="A60" s="2" t="n"/>
      <c r="B60" s="5">
        <f>IF($A60="","",IFERROR(VLOOKUP($A60,'02_Конкуренты'!$A\$4:$B\$203,2,FALSE),"не найдено"))</f>
        <v/>
      </c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</row>
    <row r="61">
      <c r="A61" s="2" t="n"/>
      <c r="B61" s="5">
        <f>IF($A61="","",IFERROR(VLOOKUP($A61,'02_Конкуренты'!$A\$4:$B\$203,2,FALSE),"не найдено"))</f>
        <v/>
      </c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</row>
    <row r="62">
      <c r="A62" s="2" t="n"/>
      <c r="B62" s="5">
        <f>IF($A62="","",IFERROR(VLOOKUP($A62,'02_Конкуренты'!$A\$4:$B\$203,2,FALSE),"не найдено"))</f>
        <v/>
      </c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</row>
    <row r="63">
      <c r="A63" s="2" t="n"/>
      <c r="B63" s="5">
        <f>IF($A63="","",IFERROR(VLOOKUP($A63,'02_Конкуренты'!$A\$4:$B\$203,2,FALSE),"не найдено"))</f>
        <v/>
      </c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</row>
    <row r="64">
      <c r="A64" s="2" t="n"/>
      <c r="B64" s="5">
        <f>IF($A64="","",IFERROR(VLOOKUP($A64,'02_Конкуренты'!$A\$4:$B\$203,2,FALSE),"не найдено"))</f>
        <v/>
      </c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</row>
    <row r="65">
      <c r="A65" s="2" t="n"/>
      <c r="B65" s="5">
        <f>IF($A65="","",IFERROR(VLOOKUP($A65,'02_Конкуренты'!$A\$4:$B\$203,2,FALSE),"не найдено"))</f>
        <v/>
      </c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</row>
    <row r="66">
      <c r="A66" s="2" t="n"/>
      <c r="B66" s="5">
        <f>IF($A66="","",IFERROR(VLOOKUP($A66,'02_Конкуренты'!$A\$4:$B\$203,2,FALSE),"не найдено"))</f>
        <v/>
      </c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</row>
    <row r="67">
      <c r="A67" s="2" t="n"/>
      <c r="B67" s="5">
        <f>IF($A67="","",IFERROR(VLOOKUP($A67,'02_Конкуренты'!$A\$4:$B\$203,2,FALSE),"не найдено"))</f>
        <v/>
      </c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</row>
    <row r="68">
      <c r="A68" s="2" t="n"/>
      <c r="B68" s="5">
        <f>IF($A68="","",IFERROR(VLOOKUP($A68,'02_Конкуренты'!$A\$4:$B\$203,2,FALSE),"не найдено"))</f>
        <v/>
      </c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</row>
    <row r="69">
      <c r="A69" s="2" t="n"/>
      <c r="B69" s="5">
        <f>IF($A69="","",IFERROR(VLOOKUP($A69,'02_Конкуренты'!$A\$4:$B\$203,2,FALSE),"не найдено"))</f>
        <v/>
      </c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</row>
    <row r="70">
      <c r="A70" s="2" t="n"/>
      <c r="B70" s="5">
        <f>IF($A70="","",IFERROR(VLOOKUP($A70,'02_Конкуренты'!$A\$4:$B\$203,2,FALSE),"не найдено"))</f>
        <v/>
      </c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</row>
    <row r="71">
      <c r="A71" s="2" t="n"/>
      <c r="B71" s="5">
        <f>IF($A71="","",IFERROR(VLOOKUP($A71,'02_Конкуренты'!$A\$4:$B\$203,2,FALSE),"не найдено"))</f>
        <v/>
      </c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</row>
    <row r="72">
      <c r="A72" s="2" t="n"/>
      <c r="B72" s="5">
        <f>IF($A72="","",IFERROR(VLOOKUP($A72,'02_Конкуренты'!$A\$4:$B\$203,2,FALSE),"не найдено"))</f>
        <v/>
      </c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</row>
    <row r="73">
      <c r="A73" s="2" t="n"/>
      <c r="B73" s="5">
        <f>IF($A73="","",IFERROR(VLOOKUP($A73,'02_Конкуренты'!$A\$4:$B\$203,2,FALSE),"не найдено"))</f>
        <v/>
      </c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</row>
    <row r="74">
      <c r="A74" s="2" t="n"/>
      <c r="B74" s="5">
        <f>IF($A74="","",IFERROR(VLOOKUP($A74,'02_Конкуренты'!$A\$4:$B\$203,2,FALSE),"не найдено"))</f>
        <v/>
      </c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</row>
    <row r="75">
      <c r="A75" s="2" t="n"/>
      <c r="B75" s="5">
        <f>IF($A75="","",IFERROR(VLOOKUP($A75,'02_Конкуренты'!$A\$4:$B\$203,2,FALSE),"не найдено"))</f>
        <v/>
      </c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</row>
    <row r="76">
      <c r="A76" s="2" t="n"/>
      <c r="B76" s="5">
        <f>IF($A76="","",IFERROR(VLOOKUP($A76,'02_Конкуренты'!$A\$4:$B\$203,2,FALSE),"не найдено"))</f>
        <v/>
      </c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</row>
    <row r="77">
      <c r="A77" s="2" t="n"/>
      <c r="B77" s="5">
        <f>IF($A77="","",IFERROR(VLOOKUP($A77,'02_Конкуренты'!$A\$4:$B\$203,2,FALSE),"не найдено"))</f>
        <v/>
      </c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</row>
    <row r="78">
      <c r="A78" s="2" t="n"/>
      <c r="B78" s="5">
        <f>IF($A78="","",IFERROR(VLOOKUP($A78,'02_Конкуренты'!$A\$4:$B\$203,2,FALSE),"не найдено"))</f>
        <v/>
      </c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</row>
    <row r="79">
      <c r="A79" s="2" t="n"/>
      <c r="B79" s="5">
        <f>IF($A79="","",IFERROR(VLOOKUP($A79,'02_Конкуренты'!$A\$4:$B\$203,2,FALSE),"не найдено"))</f>
        <v/>
      </c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</row>
    <row r="80">
      <c r="A80" s="2" t="n"/>
      <c r="B80" s="5">
        <f>IF($A80="","",IFERROR(VLOOKUP($A80,'02_Конкуренты'!$A\$4:$B\$203,2,FALSE),"не найдено"))</f>
        <v/>
      </c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</row>
    <row r="81">
      <c r="A81" s="2" t="n"/>
      <c r="B81" s="5">
        <f>IF($A81="","",IFERROR(VLOOKUP($A81,'02_Конкуренты'!$A\$4:$B\$203,2,FALSE),"не найдено"))</f>
        <v/>
      </c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</row>
    <row r="82">
      <c r="A82" s="2" t="n"/>
      <c r="B82" s="5">
        <f>IF($A82="","",IFERROR(VLOOKUP($A82,'02_Конкуренты'!$A\$4:$B\$203,2,FALSE),"не найдено"))</f>
        <v/>
      </c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</row>
    <row r="83">
      <c r="A83" s="2" t="n"/>
      <c r="B83" s="5">
        <f>IF($A83="","",IFERROR(VLOOKUP($A83,'02_Конкуренты'!$A\$4:$B\$203,2,FALSE),"не найдено"))</f>
        <v/>
      </c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</row>
    <row r="84">
      <c r="A84" s="2" t="n"/>
      <c r="B84" s="5">
        <f>IF($A84="","",IFERROR(VLOOKUP($A84,'02_Конкуренты'!$A\$4:$B\$203,2,FALSE),"не найдено"))</f>
        <v/>
      </c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</row>
    <row r="85">
      <c r="A85" s="2" t="n"/>
      <c r="B85" s="5">
        <f>IF($A85="","",IFERROR(VLOOKUP($A85,'02_Конкуренты'!$A\$4:$B\$203,2,FALSE),"не найдено"))</f>
        <v/>
      </c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</row>
    <row r="86">
      <c r="A86" s="2" t="n"/>
      <c r="B86" s="5">
        <f>IF($A86="","",IFERROR(VLOOKUP($A86,'02_Конкуренты'!$A\$4:$B\$203,2,FALSE),"не найдено"))</f>
        <v/>
      </c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</row>
    <row r="87">
      <c r="A87" s="2" t="n"/>
      <c r="B87" s="5">
        <f>IF($A87="","",IFERROR(VLOOKUP($A87,'02_Конкуренты'!$A\$4:$B\$203,2,FALSE),"не найдено"))</f>
        <v/>
      </c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</row>
    <row r="88">
      <c r="A88" s="2" t="n"/>
      <c r="B88" s="5">
        <f>IF($A88="","",IFERROR(VLOOKUP($A88,'02_Конкуренты'!$A\$4:$B\$203,2,FALSE),"не найдено"))</f>
        <v/>
      </c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</row>
    <row r="89">
      <c r="A89" s="2" t="n"/>
      <c r="B89" s="5">
        <f>IF($A89="","",IFERROR(VLOOKUP($A89,'02_Конкуренты'!$A\$4:$B\$203,2,FALSE),"не найдено"))</f>
        <v/>
      </c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</row>
    <row r="90">
      <c r="A90" s="2" t="n"/>
      <c r="B90" s="5">
        <f>IF($A90="","",IFERROR(VLOOKUP($A90,'02_Конкуренты'!$A\$4:$B\$203,2,FALSE),"не найдено"))</f>
        <v/>
      </c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</row>
    <row r="91">
      <c r="A91" s="2" t="n"/>
      <c r="B91" s="5">
        <f>IF($A91="","",IFERROR(VLOOKUP($A91,'02_Конкуренты'!$A\$4:$B\$203,2,FALSE),"не найдено"))</f>
        <v/>
      </c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</row>
    <row r="92">
      <c r="A92" s="2" t="n"/>
      <c r="B92" s="5">
        <f>IF($A92="","",IFERROR(VLOOKUP($A92,'02_Конкуренты'!$A\$4:$B\$203,2,FALSE),"не найдено"))</f>
        <v/>
      </c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</row>
    <row r="93">
      <c r="A93" s="2" t="n"/>
      <c r="B93" s="5">
        <f>IF($A93="","",IFERROR(VLOOKUP($A93,'02_Конкуренты'!$A\$4:$B\$203,2,FALSE),"не найдено"))</f>
        <v/>
      </c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</row>
    <row r="94">
      <c r="A94" s="2" t="n"/>
      <c r="B94" s="5">
        <f>IF($A94="","",IFERROR(VLOOKUP($A94,'02_Конкуренты'!$A\$4:$B\$203,2,FALSE),"не найдено"))</f>
        <v/>
      </c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</row>
    <row r="95">
      <c r="A95" s="2" t="n"/>
      <c r="B95" s="5">
        <f>IF($A95="","",IFERROR(VLOOKUP($A95,'02_Конкуренты'!$A\$4:$B\$203,2,FALSE),"не найдено"))</f>
        <v/>
      </c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</row>
    <row r="96">
      <c r="A96" s="2" t="n"/>
      <c r="B96" s="5">
        <f>IF($A96="","",IFERROR(VLOOKUP($A96,'02_Конкуренты'!$A\$4:$B\$203,2,FALSE),"не найдено"))</f>
        <v/>
      </c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</row>
    <row r="97">
      <c r="A97" s="2" t="n"/>
      <c r="B97" s="5">
        <f>IF($A97="","",IFERROR(VLOOKUP($A97,'02_Конкуренты'!$A\$4:$B\$203,2,FALSE),"не найдено"))</f>
        <v/>
      </c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</row>
    <row r="98">
      <c r="A98" s="2" t="n"/>
      <c r="B98" s="5">
        <f>IF($A98="","",IFERROR(VLOOKUP($A98,'02_Конкуренты'!$A\$4:$B\$203,2,FALSE),"не найдено"))</f>
        <v/>
      </c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</row>
    <row r="99">
      <c r="A99" s="2" t="n"/>
      <c r="B99" s="5">
        <f>IF($A99="","",IFERROR(VLOOKUP($A99,'02_Конкуренты'!$A\$4:$B\$203,2,FALSE),"не найдено"))</f>
        <v/>
      </c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</row>
    <row r="100">
      <c r="A100" s="2" t="n"/>
      <c r="B100" s="5">
        <f>IF($A100="","",IFERROR(VLOOKUP($A100,'02_Конкуренты'!$A\$4:$B\$203,2,FALSE),"не найдено"))</f>
        <v/>
      </c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</row>
    <row r="101">
      <c r="A101" s="2" t="n"/>
      <c r="B101" s="5">
        <f>IF($A101="","",IFERROR(VLOOKUP($A101,'02_Конкуренты'!$A\$4:$B\$203,2,FALSE),"не найдено"))</f>
        <v/>
      </c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</row>
    <row r="102">
      <c r="A102" s="2" t="n"/>
      <c r="B102" s="5">
        <f>IF($A102="","",IFERROR(VLOOKUP($A102,'02_Конкуренты'!$A\$4:$B\$203,2,FALSE),"не найдено"))</f>
        <v/>
      </c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</row>
    <row r="103">
      <c r="A103" s="2" t="n"/>
      <c r="B103" s="5">
        <f>IF($A103="","",IFERROR(VLOOKUP($A103,'02_Конкуренты'!$A\$4:$B\$203,2,FALSE),"не найдено"))</f>
        <v/>
      </c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</row>
    <row r="104">
      <c r="A104" s="2" t="n"/>
      <c r="B104" s="5">
        <f>IF($A104="","",IFERROR(VLOOKUP($A104,'02_Конкуренты'!$A\$4:$B\$203,2,FALSE),"не найдено"))</f>
        <v/>
      </c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</row>
    <row r="105">
      <c r="A105" s="2" t="n"/>
      <c r="B105" s="5">
        <f>IF($A105="","",IFERROR(VLOOKUP($A105,'02_Конкуренты'!$A\$4:$B\$203,2,FALSE),"не найдено"))</f>
        <v/>
      </c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</row>
    <row r="106">
      <c r="A106" s="2" t="n"/>
      <c r="B106" s="5">
        <f>IF($A106="","",IFERROR(VLOOKUP($A106,'02_Конкуренты'!$A\$4:$B\$203,2,FALSE),"не найдено"))</f>
        <v/>
      </c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</row>
    <row r="107">
      <c r="A107" s="2" t="n"/>
      <c r="B107" s="5">
        <f>IF($A107="","",IFERROR(VLOOKUP($A107,'02_Конкуренты'!$A\$4:$B\$203,2,FALSE),"не найдено"))</f>
        <v/>
      </c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</row>
    <row r="108">
      <c r="A108" s="2" t="n"/>
      <c r="B108" s="5">
        <f>IF($A108="","",IFERROR(VLOOKUP($A108,'02_Конкуренты'!$A\$4:$B\$203,2,FALSE),"не найдено"))</f>
        <v/>
      </c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</row>
    <row r="109">
      <c r="A109" s="2" t="n"/>
      <c r="B109" s="5">
        <f>IF($A109="","",IFERROR(VLOOKUP($A109,'02_Конкуренты'!$A\$4:$B\$203,2,FALSE),"не найдено"))</f>
        <v/>
      </c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</row>
    <row r="110">
      <c r="A110" s="2" t="n"/>
      <c r="B110" s="5">
        <f>IF($A110="","",IFERROR(VLOOKUP($A110,'02_Конкуренты'!$A\$4:$B\$203,2,FALSE),"не найдено"))</f>
        <v/>
      </c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</row>
    <row r="111">
      <c r="A111" s="2" t="n"/>
      <c r="B111" s="5">
        <f>IF($A111="","",IFERROR(VLOOKUP($A111,'02_Конкуренты'!$A\$4:$B\$203,2,FALSE),"не найдено"))</f>
        <v/>
      </c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</row>
    <row r="112">
      <c r="A112" s="2" t="n"/>
      <c r="B112" s="5">
        <f>IF($A112="","",IFERROR(VLOOKUP($A112,'02_Конкуренты'!$A\$4:$B\$203,2,FALSE),"не найдено"))</f>
        <v/>
      </c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</row>
    <row r="113">
      <c r="A113" s="2" t="n"/>
      <c r="B113" s="5">
        <f>IF($A113="","",IFERROR(VLOOKUP($A113,'02_Конкуренты'!$A\$4:$B\$203,2,FALSE),"не найдено"))</f>
        <v/>
      </c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</row>
    <row r="114">
      <c r="A114" s="2" t="n"/>
      <c r="B114" s="5">
        <f>IF($A114="","",IFERROR(VLOOKUP($A114,'02_Конкуренты'!$A\$4:$B\$203,2,FALSE),"не найдено"))</f>
        <v/>
      </c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</row>
    <row r="115">
      <c r="A115" s="2" t="n"/>
      <c r="B115" s="5">
        <f>IF($A115="","",IFERROR(VLOOKUP($A115,'02_Конкуренты'!$A\$4:$B\$203,2,FALSE),"не найдено"))</f>
        <v/>
      </c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</row>
    <row r="116">
      <c r="A116" s="2" t="n"/>
      <c r="B116" s="5">
        <f>IF($A116="","",IFERROR(VLOOKUP($A116,'02_Конкуренты'!$A\$4:$B\$203,2,FALSE),"не найдено"))</f>
        <v/>
      </c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</row>
    <row r="117">
      <c r="A117" s="2" t="n"/>
      <c r="B117" s="5">
        <f>IF($A117="","",IFERROR(VLOOKUP($A117,'02_Конкуренты'!$A\$4:$B\$203,2,FALSE),"не найдено"))</f>
        <v/>
      </c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</row>
    <row r="118">
      <c r="A118" s="2" t="n"/>
      <c r="B118" s="5">
        <f>IF($A118="","",IFERROR(VLOOKUP($A118,'02_Конкуренты'!$A\$4:$B\$203,2,FALSE),"не найдено"))</f>
        <v/>
      </c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</row>
    <row r="119">
      <c r="A119" s="2" t="n"/>
      <c r="B119" s="5">
        <f>IF($A119="","",IFERROR(VLOOKUP($A119,'02_Конкуренты'!$A\$4:$B\$203,2,FALSE),"не найдено"))</f>
        <v/>
      </c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</row>
    <row r="120">
      <c r="A120" s="2" t="n"/>
      <c r="B120" s="5">
        <f>IF($A120="","",IFERROR(VLOOKUP($A120,'02_Конкуренты'!$A\$4:$B\$203,2,FALSE),"не найдено"))</f>
        <v/>
      </c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</row>
    <row r="121">
      <c r="A121" s="2" t="n"/>
      <c r="B121" s="5">
        <f>IF($A121="","",IFERROR(VLOOKUP($A121,'02_Конкуренты'!$A\$4:$B\$203,2,FALSE),"не найдено"))</f>
        <v/>
      </c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</row>
    <row r="122">
      <c r="A122" s="2" t="n"/>
      <c r="B122" s="5">
        <f>IF($A122="","",IFERROR(VLOOKUP($A122,'02_Конкуренты'!$A\$4:$B\$203,2,FALSE),"не найдено"))</f>
        <v/>
      </c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</row>
    <row r="123">
      <c r="A123" s="2" t="n"/>
      <c r="B123" s="5">
        <f>IF($A123="","",IFERROR(VLOOKUP($A123,'02_Конкуренты'!$A\$4:$B\$203,2,FALSE),"не найдено"))</f>
        <v/>
      </c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</row>
    <row r="124">
      <c r="A124" s="2" t="n"/>
      <c r="B124" s="5">
        <f>IF($A124="","",IFERROR(VLOOKUP($A124,'02_Конкуренты'!$A\$4:$B\$203,2,FALSE),"не найдено"))</f>
        <v/>
      </c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</row>
    <row r="125">
      <c r="A125" s="2" t="n"/>
      <c r="B125" s="5">
        <f>IF($A125="","",IFERROR(VLOOKUP($A125,'02_Конкуренты'!$A\$4:$B\$203,2,FALSE),"не найдено"))</f>
        <v/>
      </c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</row>
    <row r="126">
      <c r="A126" s="2" t="n"/>
      <c r="B126" s="5">
        <f>IF($A126="","",IFERROR(VLOOKUP($A126,'02_Конкуренты'!$A\$4:$B\$203,2,FALSE),"не найдено"))</f>
        <v/>
      </c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</row>
    <row r="127">
      <c r="A127" s="2" t="n"/>
      <c r="B127" s="5">
        <f>IF($A127="","",IFERROR(VLOOKUP($A127,'02_Конкуренты'!$A\$4:$B\$203,2,FALSE),"не найдено"))</f>
        <v/>
      </c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</row>
    <row r="128">
      <c r="A128" s="2" t="n"/>
      <c r="B128" s="5">
        <f>IF($A128="","",IFERROR(VLOOKUP($A128,'02_Конкуренты'!$A\$4:$B\$203,2,FALSE),"не найдено"))</f>
        <v/>
      </c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</row>
    <row r="129">
      <c r="A129" s="2" t="n"/>
      <c r="B129" s="5">
        <f>IF($A129="","",IFERROR(VLOOKUP($A129,'02_Конкуренты'!$A\$4:$B\$203,2,FALSE),"не найдено"))</f>
        <v/>
      </c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</row>
    <row r="130">
      <c r="A130" s="2" t="n"/>
      <c r="B130" s="5">
        <f>IF($A130="","",IFERROR(VLOOKUP($A130,'02_Конкуренты'!$A\$4:$B\$203,2,FALSE),"не найдено"))</f>
        <v/>
      </c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</row>
    <row r="131">
      <c r="A131" s="2" t="n"/>
      <c r="B131" s="5">
        <f>IF($A131="","",IFERROR(VLOOKUP($A131,'02_Конкуренты'!$A\$4:$B\$203,2,FALSE),"не найдено"))</f>
        <v/>
      </c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</row>
    <row r="132">
      <c r="A132" s="2" t="n"/>
      <c r="B132" s="5">
        <f>IF($A132="","",IFERROR(VLOOKUP($A132,'02_Конкуренты'!$A\$4:$B\$203,2,FALSE),"не найдено"))</f>
        <v/>
      </c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</row>
    <row r="133">
      <c r="A133" s="2" t="n"/>
      <c r="B133" s="5">
        <f>IF($A133="","",IFERROR(VLOOKUP($A133,'02_Конкуренты'!$A\$4:$B\$203,2,FALSE),"не найдено"))</f>
        <v/>
      </c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</row>
    <row r="134">
      <c r="A134" s="2" t="n"/>
      <c r="B134" s="5">
        <f>IF($A134="","",IFERROR(VLOOKUP($A134,'02_Конкуренты'!$A\$4:$B\$203,2,FALSE),"не найдено"))</f>
        <v/>
      </c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</row>
    <row r="135">
      <c r="A135" s="2" t="n"/>
      <c r="B135" s="5">
        <f>IF($A135="","",IFERROR(VLOOKUP($A135,'02_Конкуренты'!$A\$4:$B\$203,2,FALSE),"не найдено"))</f>
        <v/>
      </c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</row>
    <row r="136">
      <c r="A136" s="2" t="n"/>
      <c r="B136" s="5">
        <f>IF($A136="","",IFERROR(VLOOKUP($A136,'02_Конкуренты'!$A\$4:$B\$203,2,FALSE),"не найдено"))</f>
        <v/>
      </c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</row>
    <row r="137">
      <c r="A137" s="2" t="n"/>
      <c r="B137" s="5">
        <f>IF($A137="","",IFERROR(VLOOKUP($A137,'02_Конкуренты'!$A\$4:$B\$203,2,FALSE),"не найдено"))</f>
        <v/>
      </c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</row>
    <row r="138">
      <c r="A138" s="2" t="n"/>
      <c r="B138" s="5">
        <f>IF($A138="","",IFERROR(VLOOKUP($A138,'02_Конкуренты'!$A\$4:$B\$203,2,FALSE),"не найдено"))</f>
        <v/>
      </c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</row>
    <row r="139">
      <c r="A139" s="2" t="n"/>
      <c r="B139" s="5">
        <f>IF($A139="","",IFERROR(VLOOKUP($A139,'02_Конкуренты'!$A\$4:$B\$203,2,FALSE),"не найдено"))</f>
        <v/>
      </c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</row>
    <row r="140">
      <c r="A140" s="2" t="n"/>
      <c r="B140" s="5">
        <f>IF($A140="","",IFERROR(VLOOKUP($A140,'02_Конкуренты'!$A\$4:$B\$203,2,FALSE),"не найдено"))</f>
        <v/>
      </c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</row>
    <row r="141">
      <c r="A141" s="2" t="n"/>
      <c r="B141" s="5">
        <f>IF($A141="","",IFERROR(VLOOKUP($A141,'02_Конкуренты'!$A\$4:$B\$203,2,FALSE),"не найдено"))</f>
        <v/>
      </c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</row>
    <row r="142">
      <c r="A142" s="2" t="n"/>
      <c r="B142" s="5">
        <f>IF($A142="","",IFERROR(VLOOKUP($A142,'02_Конкуренты'!$A\$4:$B\$203,2,FALSE),"не найдено"))</f>
        <v/>
      </c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</row>
    <row r="143">
      <c r="A143" s="2" t="n"/>
      <c r="B143" s="5">
        <f>IF($A143="","",IFERROR(VLOOKUP($A143,'02_Конкуренты'!$A\$4:$B\$203,2,FALSE),"не найдено"))</f>
        <v/>
      </c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</row>
    <row r="144">
      <c r="A144" s="2" t="n"/>
      <c r="B144" s="5">
        <f>IF($A144="","",IFERROR(VLOOKUP($A144,'02_Конкуренты'!$A\$4:$B\$203,2,FALSE),"не найдено"))</f>
        <v/>
      </c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</row>
    <row r="145">
      <c r="A145" s="2" t="n"/>
      <c r="B145" s="5">
        <f>IF($A145="","",IFERROR(VLOOKUP($A145,'02_Конкуренты'!$A\$4:$B\$203,2,FALSE),"не найдено"))</f>
        <v/>
      </c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</row>
    <row r="146">
      <c r="A146" s="2" t="n"/>
      <c r="B146" s="5">
        <f>IF($A146="","",IFERROR(VLOOKUP($A146,'02_Конкуренты'!$A\$4:$B\$203,2,FALSE),"не найдено"))</f>
        <v/>
      </c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</row>
    <row r="147">
      <c r="A147" s="2" t="n"/>
      <c r="B147" s="5">
        <f>IF($A147="","",IFERROR(VLOOKUP($A147,'02_Конкуренты'!$A\$4:$B\$203,2,FALSE),"не найдено"))</f>
        <v/>
      </c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</row>
    <row r="148">
      <c r="A148" s="2" t="n"/>
      <c r="B148" s="5">
        <f>IF($A148="","",IFERROR(VLOOKUP($A148,'02_Конкуренты'!$A\$4:$B\$203,2,FALSE),"не найдено"))</f>
        <v/>
      </c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</row>
    <row r="149">
      <c r="A149" s="2" t="n"/>
      <c r="B149" s="5">
        <f>IF($A149="","",IFERROR(VLOOKUP($A149,'02_Конкуренты'!$A\$4:$B\$203,2,FALSE),"не найдено"))</f>
        <v/>
      </c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</row>
    <row r="150">
      <c r="A150" s="2" t="n"/>
      <c r="B150" s="5">
        <f>IF($A150="","",IFERROR(VLOOKUP($A150,'02_Конкуренты'!$A\$4:$B\$203,2,FALSE),"не найдено"))</f>
        <v/>
      </c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</row>
    <row r="151">
      <c r="A151" s="2" t="n"/>
      <c r="B151" s="5">
        <f>IF($A151="","",IFERROR(VLOOKUP($A151,'02_Конкуренты'!$A\$4:$B\$203,2,FALSE),"не найдено"))</f>
        <v/>
      </c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</row>
    <row r="152">
      <c r="A152" s="2" t="n"/>
      <c r="B152" s="5">
        <f>IF($A152="","",IFERROR(VLOOKUP($A152,'02_Конкуренты'!$A\$4:$B\$203,2,FALSE),"не найдено"))</f>
        <v/>
      </c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</row>
    <row r="153">
      <c r="A153" s="2" t="n"/>
      <c r="B153" s="5">
        <f>IF($A153="","",IFERROR(VLOOKUP($A153,'02_Конкуренты'!$A\$4:$B\$203,2,FALSE),"не найдено"))</f>
        <v/>
      </c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</row>
    <row r="154">
      <c r="A154" s="2" t="n"/>
      <c r="B154" s="5">
        <f>IF($A154="","",IFERROR(VLOOKUP($A154,'02_Конкуренты'!$A\$4:$B\$203,2,FALSE),"не найдено"))</f>
        <v/>
      </c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</row>
    <row r="155">
      <c r="A155" s="2" t="n"/>
      <c r="B155" s="5">
        <f>IF($A155="","",IFERROR(VLOOKUP($A155,'02_Конкуренты'!$A\$4:$B\$203,2,FALSE),"не найдено"))</f>
        <v/>
      </c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</row>
    <row r="156">
      <c r="A156" s="2" t="n"/>
      <c r="B156" s="5">
        <f>IF($A156="","",IFERROR(VLOOKUP($A156,'02_Конкуренты'!$A\$4:$B\$203,2,FALSE),"не найдено"))</f>
        <v/>
      </c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</row>
    <row r="157">
      <c r="A157" s="2" t="n"/>
      <c r="B157" s="5">
        <f>IF($A157="","",IFERROR(VLOOKUP($A157,'02_Конкуренты'!$A\$4:$B\$203,2,FALSE),"не найдено"))</f>
        <v/>
      </c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</row>
    <row r="158">
      <c r="A158" s="2" t="n"/>
      <c r="B158" s="5">
        <f>IF($A158="","",IFERROR(VLOOKUP($A158,'02_Конкуренты'!$A\$4:$B\$203,2,FALSE),"не найдено"))</f>
        <v/>
      </c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</row>
    <row r="159">
      <c r="A159" s="2" t="n"/>
      <c r="B159" s="5">
        <f>IF($A159="","",IFERROR(VLOOKUP($A159,'02_Конкуренты'!$A\$4:$B\$203,2,FALSE),"не найдено"))</f>
        <v/>
      </c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</row>
    <row r="160">
      <c r="A160" s="2" t="n"/>
      <c r="B160" s="5">
        <f>IF($A160="","",IFERROR(VLOOKUP($A160,'02_Конкуренты'!$A\$4:$B\$203,2,FALSE),"не найдено"))</f>
        <v/>
      </c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</row>
    <row r="161">
      <c r="A161" s="2" t="n"/>
      <c r="B161" s="5">
        <f>IF($A161="","",IFERROR(VLOOKUP($A161,'02_Конкуренты'!$A\$4:$B\$203,2,FALSE),"не найдено"))</f>
        <v/>
      </c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</row>
    <row r="162">
      <c r="A162" s="2" t="n"/>
      <c r="B162" s="5">
        <f>IF($A162="","",IFERROR(VLOOKUP($A162,'02_Конкуренты'!$A\$4:$B\$203,2,FALSE),"не найдено"))</f>
        <v/>
      </c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</row>
    <row r="163">
      <c r="A163" s="2" t="n"/>
      <c r="B163" s="5">
        <f>IF($A163="","",IFERROR(VLOOKUP($A163,'02_Конкуренты'!$A\$4:$B\$203,2,FALSE),"не найдено"))</f>
        <v/>
      </c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</row>
    <row r="164">
      <c r="A164" s="2" t="n"/>
      <c r="B164" s="5">
        <f>IF($A164="","",IFERROR(VLOOKUP($A164,'02_Конкуренты'!$A\$4:$B\$203,2,FALSE),"не найдено"))</f>
        <v/>
      </c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</row>
    <row r="165">
      <c r="A165" s="2" t="n"/>
      <c r="B165" s="5">
        <f>IF($A165="","",IFERROR(VLOOKUP($A165,'02_Конкуренты'!$A\$4:$B\$203,2,FALSE),"не найдено"))</f>
        <v/>
      </c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</row>
    <row r="166">
      <c r="A166" s="2" t="n"/>
      <c r="B166" s="5">
        <f>IF($A166="","",IFERROR(VLOOKUP($A166,'02_Конкуренты'!$A\$4:$B\$203,2,FALSE),"не найдено"))</f>
        <v/>
      </c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</row>
    <row r="167">
      <c r="A167" s="2" t="n"/>
      <c r="B167" s="5">
        <f>IF($A167="","",IFERROR(VLOOKUP($A167,'02_Конкуренты'!$A\$4:$B\$203,2,FALSE),"не найдено"))</f>
        <v/>
      </c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</row>
    <row r="168">
      <c r="A168" s="2" t="n"/>
      <c r="B168" s="5">
        <f>IF($A168="","",IFERROR(VLOOKUP($A168,'02_Конкуренты'!$A\$4:$B\$203,2,FALSE),"не найдено"))</f>
        <v/>
      </c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</row>
    <row r="169">
      <c r="A169" s="2" t="n"/>
      <c r="B169" s="5">
        <f>IF($A169="","",IFERROR(VLOOKUP($A169,'02_Конкуренты'!$A\$4:$B\$203,2,FALSE),"не найдено"))</f>
        <v/>
      </c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</row>
    <row r="170">
      <c r="A170" s="2" t="n"/>
      <c r="B170" s="5">
        <f>IF($A170="","",IFERROR(VLOOKUP($A170,'02_Конкуренты'!$A\$4:$B\$203,2,FALSE),"не найдено"))</f>
        <v/>
      </c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</row>
    <row r="171">
      <c r="A171" s="2" t="n"/>
      <c r="B171" s="5">
        <f>IF($A171="","",IFERROR(VLOOKUP($A171,'02_Конкуренты'!$A\$4:$B\$203,2,FALSE),"не найдено"))</f>
        <v/>
      </c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</row>
    <row r="172">
      <c r="A172" s="2" t="n"/>
      <c r="B172" s="5">
        <f>IF($A172="","",IFERROR(VLOOKUP($A172,'02_Конкуренты'!$A\$4:$B\$203,2,FALSE),"не найдено"))</f>
        <v/>
      </c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</row>
    <row r="173">
      <c r="A173" s="2" t="n"/>
      <c r="B173" s="5">
        <f>IF($A173="","",IFERROR(VLOOKUP($A173,'02_Конкуренты'!$A\$4:$B\$203,2,FALSE),"не найдено"))</f>
        <v/>
      </c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</row>
    <row r="174">
      <c r="A174" s="2" t="n"/>
      <c r="B174" s="5">
        <f>IF($A174="","",IFERROR(VLOOKUP($A174,'02_Конкуренты'!$A\$4:$B\$203,2,FALSE),"не найдено"))</f>
        <v/>
      </c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</row>
    <row r="175">
      <c r="A175" s="2" t="n"/>
      <c r="B175" s="5">
        <f>IF($A175="","",IFERROR(VLOOKUP($A175,'02_Конкуренты'!$A\$4:$B\$203,2,FALSE),"не найдено"))</f>
        <v/>
      </c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</row>
    <row r="176">
      <c r="A176" s="2" t="n"/>
      <c r="B176" s="5">
        <f>IF($A176="","",IFERROR(VLOOKUP($A176,'02_Конкуренты'!$A\$4:$B\$203,2,FALSE),"не найдено"))</f>
        <v/>
      </c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</row>
    <row r="177">
      <c r="A177" s="2" t="n"/>
      <c r="B177" s="5">
        <f>IF($A177="","",IFERROR(VLOOKUP($A177,'02_Конкуренты'!$A\$4:$B\$203,2,FALSE),"не найдено"))</f>
        <v/>
      </c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</row>
    <row r="178">
      <c r="A178" s="2" t="n"/>
      <c r="B178" s="5">
        <f>IF($A178="","",IFERROR(VLOOKUP($A178,'02_Конкуренты'!$A\$4:$B\$203,2,FALSE),"не найдено"))</f>
        <v/>
      </c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</row>
    <row r="179">
      <c r="A179" s="2" t="n"/>
      <c r="B179" s="5">
        <f>IF($A179="","",IFERROR(VLOOKUP($A179,'02_Конкуренты'!$A\$4:$B\$203,2,FALSE),"не найдено"))</f>
        <v/>
      </c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</row>
    <row r="180">
      <c r="A180" s="2" t="n"/>
      <c r="B180" s="5">
        <f>IF($A180="","",IFERROR(VLOOKUP($A180,'02_Конкуренты'!$A\$4:$B\$203,2,FALSE),"не найдено"))</f>
        <v/>
      </c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</row>
    <row r="181">
      <c r="A181" s="2" t="n"/>
      <c r="B181" s="5">
        <f>IF($A181="","",IFERROR(VLOOKUP($A181,'02_Конкуренты'!$A\$4:$B\$203,2,FALSE),"не найдено"))</f>
        <v/>
      </c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</row>
    <row r="182">
      <c r="A182" s="2" t="n"/>
      <c r="B182" s="5">
        <f>IF($A182="","",IFERROR(VLOOKUP($A182,'02_Конкуренты'!$A\$4:$B\$203,2,FALSE),"не найдено"))</f>
        <v/>
      </c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</row>
    <row r="183">
      <c r="A183" s="2" t="n"/>
      <c r="B183" s="5">
        <f>IF($A183="","",IFERROR(VLOOKUP($A183,'02_Конкуренты'!$A\$4:$B\$203,2,FALSE),"не найдено"))</f>
        <v/>
      </c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</row>
    <row r="184">
      <c r="A184" s="2" t="n"/>
      <c r="B184" s="5">
        <f>IF($A184="","",IFERROR(VLOOKUP($A184,'02_Конкуренты'!$A\$4:$B\$203,2,FALSE),"не найдено"))</f>
        <v/>
      </c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</row>
    <row r="185">
      <c r="A185" s="2" t="n"/>
      <c r="B185" s="5">
        <f>IF($A185="","",IFERROR(VLOOKUP($A185,'02_Конкуренты'!$A\$4:$B\$203,2,FALSE),"не найдено"))</f>
        <v/>
      </c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</row>
    <row r="186">
      <c r="A186" s="2" t="n"/>
      <c r="B186" s="5">
        <f>IF($A186="","",IFERROR(VLOOKUP($A186,'02_Конкуренты'!$A\$4:$B\$203,2,FALSE),"не найдено"))</f>
        <v/>
      </c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</row>
    <row r="187">
      <c r="A187" s="2" t="n"/>
      <c r="B187" s="5">
        <f>IF($A187="","",IFERROR(VLOOKUP($A187,'02_Конкуренты'!$A\$4:$B\$203,2,FALSE),"не найдено"))</f>
        <v/>
      </c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</row>
    <row r="188">
      <c r="A188" s="2" t="n"/>
      <c r="B188" s="5">
        <f>IF($A188="","",IFERROR(VLOOKUP($A188,'02_Конкуренты'!$A\$4:$B\$203,2,FALSE),"не найдено"))</f>
        <v/>
      </c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</row>
    <row r="189">
      <c r="A189" s="2" t="n"/>
      <c r="B189" s="5">
        <f>IF($A189="","",IFERROR(VLOOKUP($A189,'02_Конкуренты'!$A\$4:$B\$203,2,FALSE),"не найдено"))</f>
        <v/>
      </c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</row>
    <row r="190">
      <c r="A190" s="2" t="n"/>
      <c r="B190" s="5">
        <f>IF($A190="","",IFERROR(VLOOKUP($A190,'02_Конкуренты'!$A\$4:$B\$203,2,FALSE),"не найдено"))</f>
        <v/>
      </c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</row>
    <row r="191">
      <c r="A191" s="2" t="n"/>
      <c r="B191" s="5">
        <f>IF($A191="","",IFERROR(VLOOKUP($A191,'02_Конкуренты'!$A\$4:$B\$203,2,FALSE),"не найдено"))</f>
        <v/>
      </c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</row>
    <row r="192">
      <c r="A192" s="2" t="n"/>
      <c r="B192" s="5">
        <f>IF($A192="","",IFERROR(VLOOKUP($A192,'02_Конкуренты'!$A\$4:$B\$203,2,FALSE),"не найдено"))</f>
        <v/>
      </c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</row>
    <row r="193">
      <c r="A193" s="2" t="n"/>
      <c r="B193" s="5">
        <f>IF($A193="","",IFERROR(VLOOKUP($A193,'02_Конкуренты'!$A\$4:$B\$203,2,FALSE),"не найдено"))</f>
        <v/>
      </c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</row>
    <row r="194">
      <c r="A194" s="2" t="n"/>
      <c r="B194" s="5">
        <f>IF($A194="","",IFERROR(VLOOKUP($A194,'02_Конкуренты'!$A\$4:$B\$203,2,FALSE),"не найдено"))</f>
        <v/>
      </c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</row>
    <row r="195">
      <c r="A195" s="2" t="n"/>
      <c r="B195" s="5">
        <f>IF($A195="","",IFERROR(VLOOKUP($A195,'02_Конкуренты'!$A\$4:$B\$203,2,FALSE),"не найдено"))</f>
        <v/>
      </c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</row>
    <row r="196">
      <c r="A196" s="2" t="n"/>
      <c r="B196" s="5">
        <f>IF($A196="","",IFERROR(VLOOKUP($A196,'02_Конкуренты'!$A\$4:$B\$203,2,FALSE),"не найдено"))</f>
        <v/>
      </c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</row>
    <row r="197">
      <c r="A197" s="2" t="n"/>
      <c r="B197" s="5">
        <f>IF($A197="","",IFERROR(VLOOKUP($A197,'02_Конкуренты'!$A\$4:$B\$203,2,FALSE),"не найдено"))</f>
        <v/>
      </c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</row>
    <row r="198">
      <c r="A198" s="2" t="n"/>
      <c r="B198" s="5">
        <f>IF($A198="","",IFERROR(VLOOKUP($A198,'02_Конкуренты'!$A\$4:$B\$203,2,FALSE),"не найдено"))</f>
        <v/>
      </c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</row>
    <row r="199">
      <c r="A199" s="2" t="n"/>
      <c r="B199" s="5">
        <f>IF($A199="","",IFERROR(VLOOKUP($A199,'02_Конкуренты'!$A\$4:$B\$203,2,FALSE),"не найдено"))</f>
        <v/>
      </c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</row>
    <row r="200">
      <c r="A200" s="2" t="n"/>
      <c r="B200" s="5">
        <f>IF($A200="","",IFERROR(VLOOKUP($A200,'02_Конкуренты'!$A\$4:$B\$203,2,FALSE),"не найдено"))</f>
        <v/>
      </c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</row>
    <row r="201">
      <c r="A201" s="2" t="n"/>
      <c r="B201" s="5">
        <f>IF($A201="","",IFERROR(VLOOKUP($A201,'02_Конкуренты'!$A\$4:$B\$203,2,FALSE),"не найдено"))</f>
        <v/>
      </c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</row>
    <row r="202">
      <c r="A202" s="2" t="n"/>
      <c r="B202" s="5">
        <f>IF($A202="","",IFERROR(VLOOKUP($A202,'02_Конкуренты'!$A\$4:$B\$203,2,FALSE),"не найдено"))</f>
        <v/>
      </c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</row>
    <row r="203">
      <c r="A203" s="2" t="n"/>
      <c r="B203" s="5">
        <f>IF($A203="","",IFERROR(VLOOKUP($A203,'02_Конкуренты'!$A\$4:$B\$203,2,FALSE),"не найдено"))</f>
        <v/>
      </c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</row>
  </sheetData>
  <mergeCells count="2">
    <mergeCell ref="A2:N2"/>
    <mergeCell ref="A1:N1"/>
  </mergeCells>
  <conditionalFormatting sqref="K4:L203">
    <cfRule type="colorScale" priority="1">
      <colorScale>
        <cfvo type="min"/>
        <cfvo type="percentile" val="50"/>
        <cfvo type="max"/>
        <color rgb="FFFEE2E2"/>
        <color rgb="FFFEF3C7"/>
        <color rgb="FFDCFCE7"/>
      </colorScale>
    </cfRule>
  </conditionalFormatting>
  <dataValidations count="1">
    <dataValidation sqref="K4:L203" showDropDown="0" showInputMessage="0" showErrorMessage="0" allowBlank="0" type="list">
      <formula1>"1,2,3,4,5"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Z203"/>
  <sheetViews>
    <sheetView workbookViewId="0">
      <selection activeCell="H22" sqref="H22"/>
    </sheetView>
  </sheetViews>
  <sheetFormatPr baseColWidth="8" defaultRowHeight="14.25"/>
  <cols>
    <col width="14" customWidth="1" min="1" max="1"/>
    <col width="24" customWidth="1" min="2" max="2"/>
    <col width="12" customWidth="1" min="3" max="6"/>
    <col width="14" customWidth="1" min="7" max="7"/>
    <col width="12" customWidth="1" min="8" max="10"/>
    <col width="14" customWidth="1" min="11" max="11"/>
    <col width="12" customWidth="1" min="12" max="12"/>
    <col width="15.75" customWidth="1" min="13" max="13"/>
    <col width="14" customWidth="1" min="14" max="14"/>
    <col width="18" customWidth="1" min="15" max="15"/>
    <col width="12" customWidth="1" min="16" max="16"/>
    <col width="18" customWidth="1" min="17" max="17"/>
  </cols>
  <sheetData>
    <row r="1" ht="15" customHeight="1">
      <c r="A1" s="19" t="inlineStr">
        <is>
          <t>Сравнительная матрица бизнес-моделей</t>
        </is>
      </c>
      <c r="R1" s="14" t="n"/>
      <c r="S1" s="14" t="n"/>
      <c r="T1" s="14" t="n"/>
      <c r="U1" s="14" t="n"/>
      <c r="V1" s="14" t="n"/>
      <c r="W1" s="14" t="n"/>
      <c r="X1" s="14" t="n"/>
      <c r="Y1" s="14" t="n"/>
      <c r="Z1" s="14" t="n"/>
    </row>
    <row r="2" ht="19.15" customHeight="1">
      <c r="A2" s="23" t="inlineStr">
        <is>
          <t>Вес</t>
        </is>
      </c>
    </row>
    <row r="3" ht="30" customHeight="1">
      <c r="A3" s="25" t="inlineStr">
        <is>
          <t>ID конкурента</t>
        </is>
      </c>
      <c r="B3" s="25" t="inlineStr">
        <is>
          <t>Название</t>
        </is>
      </c>
      <c r="C3" s="25" t="inlineStr">
        <is>
          <t>Сегменты</t>
        </is>
      </c>
      <c r="D3" s="25" t="inlineStr">
        <is>
          <t>Ценность</t>
        </is>
      </c>
      <c r="E3" s="25" t="inlineStr">
        <is>
          <t>Товар</t>
        </is>
      </c>
      <c r="F3" s="25" t="inlineStr">
        <is>
          <t>Каналы</t>
        </is>
      </c>
      <c r="G3" s="25" t="inlineStr">
        <is>
          <t>Отношения</t>
        </is>
      </c>
      <c r="H3" s="25" t="inlineStr">
        <is>
          <t>Доходы</t>
        </is>
      </c>
      <c r="I3" s="25" t="inlineStr">
        <is>
          <t>Ресурсы</t>
        </is>
      </c>
      <c r="J3" s="25" t="inlineStr">
        <is>
          <t>Партнеры</t>
        </is>
      </c>
      <c r="K3" s="25" t="inlineStr">
        <is>
          <t>Данные/сеть</t>
        </is>
      </c>
      <c r="L3" s="25" t="inlineStr">
        <is>
          <t>Масштаб</t>
        </is>
      </c>
      <c r="M3" s="25" t="inlineStr">
        <is>
          <t>Защищенность</t>
        </is>
      </c>
      <c r="N3" s="25" t="inlineStr">
        <is>
          <t>Индекс силы</t>
        </is>
      </c>
      <c r="O3" s="25" t="inlineStr">
        <is>
          <t>Доказательность</t>
        </is>
      </c>
      <c r="P3" s="25" t="inlineStr">
        <is>
          <t>Полнота</t>
        </is>
      </c>
      <c r="Q3" s="25" t="inlineStr">
        <is>
          <t>Итог с учетом надежности</t>
        </is>
      </c>
    </row>
    <row r="4">
      <c r="A4" s="2" t="inlineStr">
        <is>
          <t>C01</t>
        </is>
      </c>
      <c r="B4" s="5">
        <f>IF($A4="","",IFERROR(VLOOKUP($A4,'02_Конкуренты'!$A\$4:$B\$203,2,FALSE),"не найдено"))</f>
        <v/>
      </c>
      <c r="C4" s="2" t="n">
        <v>3</v>
      </c>
      <c r="D4" s="2" t="n">
        <v>4</v>
      </c>
      <c r="E4" s="2" t="n">
        <v>4</v>
      </c>
      <c r="F4" s="2" t="n">
        <v>3</v>
      </c>
      <c r="G4" s="2" t="n">
        <v>2</v>
      </c>
      <c r="H4" s="2" t="n">
        <v>2</v>
      </c>
      <c r="I4" s="2" t="n">
        <v>3</v>
      </c>
      <c r="J4" s="2" t="n">
        <v>4</v>
      </c>
      <c r="K4" s="2" t="n">
        <v>3</v>
      </c>
      <c r="L4" s="2" t="n">
        <v>3</v>
      </c>
      <c r="M4" s="2" t="n">
        <v>4</v>
      </c>
      <c r="N4" s="7">
        <f>IF($A4="","",SUMPRODUCT($C4:$M4,$C\$2:$M\$2)/SUM($C\$2:$M\$2))</f>
        <v/>
      </c>
      <c r="O4" s="7">
        <f>IF($A4="","",IFERROR(VLOOKUP($A4,'04_Бизнес_модель'!$A\$4:$P\$203,16,FALSE),0))</f>
        <v/>
      </c>
      <c r="P4" s="6">
        <f>IF($A4="","",IFERROR(VLOOKUP($A4,'04_Бизнес_модель'!$A\$4:$O\$203,15,FALSE),0))</f>
        <v/>
      </c>
      <c r="Q4" s="7">
        <f>IF($A4="","",$N4*0.6+$O4*0.25+$P4*5*0.15)</f>
        <v/>
      </c>
    </row>
    <row r="5">
      <c r="A5" s="2" t="inlineStr">
        <is>
          <t>C02</t>
        </is>
      </c>
      <c r="B5" s="5">
        <f>IF($A5="","",IFERROR(VLOOKUP($A5,'02_Конкуренты'!$A\$4:$B\$203,2,FALSE),"не найдено"))</f>
        <v/>
      </c>
      <c r="C5" s="2" t="n">
        <v>3</v>
      </c>
      <c r="D5" s="2" t="n">
        <v>4</v>
      </c>
      <c r="E5" s="2" t="n">
        <v>4</v>
      </c>
      <c r="F5" s="2" t="n">
        <v>3</v>
      </c>
      <c r="G5" s="2" t="n">
        <v>3</v>
      </c>
      <c r="H5" s="2" t="n">
        <v>2</v>
      </c>
      <c r="I5" s="2" t="n">
        <v>4</v>
      </c>
      <c r="J5" s="2" t="n">
        <v>4</v>
      </c>
      <c r="K5" s="2" t="n">
        <v>4</v>
      </c>
      <c r="L5" s="2" t="n">
        <v>4</v>
      </c>
      <c r="M5" s="2" t="n">
        <v>4</v>
      </c>
      <c r="N5" s="7">
        <f>IF($A5="","",SUMPRODUCT($C5:$M5,$C\$2:$M\$2)/SUM($C\$2:$M\$2))</f>
        <v/>
      </c>
      <c r="O5" s="7">
        <f>IF($A5="","",IFERROR(VLOOKUP($A5,'04_Бизнес_модель'!$A\$4:$P\$203,16,FALSE),0))</f>
        <v/>
      </c>
      <c r="P5" s="6">
        <f>IF($A5="","",IFERROR(VLOOKUP($A5,'04_Бизнес_модель'!$A\$4:$O\$203,15,FALSE),0))</f>
        <v/>
      </c>
      <c r="Q5" s="7">
        <f>IF($A5="","",$N5*0.6+$O5*0.25+$P5*5*0.15)</f>
        <v/>
      </c>
    </row>
    <row r="6">
      <c r="A6" s="2" t="inlineStr">
        <is>
          <t>C03</t>
        </is>
      </c>
      <c r="B6" s="5">
        <f>IF($A6="","",IFERROR(VLOOKUP($A6,'02_Конкуренты'!$A\$4:$B\$203,2,FALSE),"не найдено"))</f>
        <v/>
      </c>
      <c r="C6" s="2" t="n">
        <v>4</v>
      </c>
      <c r="D6" s="2" t="n">
        <v>4</v>
      </c>
      <c r="E6" s="2" t="n">
        <v>4</v>
      </c>
      <c r="F6" s="2" t="n">
        <v>4</v>
      </c>
      <c r="G6" s="2" t="n">
        <v>4</v>
      </c>
      <c r="H6" s="2" t="n">
        <v>4</v>
      </c>
      <c r="I6" s="2" t="n">
        <v>3</v>
      </c>
      <c r="J6" s="2" t="n">
        <v>4</v>
      </c>
      <c r="K6" s="2" t="n">
        <v>3</v>
      </c>
      <c r="L6" s="2" t="n">
        <v>4</v>
      </c>
      <c r="M6" s="2" t="n">
        <v>3</v>
      </c>
      <c r="N6" s="7">
        <f>IF($A6="","",SUMPRODUCT($C6:$M6,$C\$2:$M\$2)/SUM($C\$2:$M\$2))</f>
        <v/>
      </c>
      <c r="O6" s="7">
        <f>IF($A6="","",IFERROR(VLOOKUP($A6,'04_Бизнес_модель'!$A\$4:$P\$203,16,FALSE),0))</f>
        <v/>
      </c>
      <c r="P6" s="6">
        <f>IF($A6="","",IFERROR(VLOOKUP($A6,'04_Бизнес_модель'!$A\$4:$O\$203,15,FALSE),0))</f>
        <v/>
      </c>
      <c r="Q6" s="7">
        <f>IF($A6="","",$N6*0.6+$O6*0.25+$P6*5*0.15)</f>
        <v/>
      </c>
    </row>
    <row r="7">
      <c r="A7" s="2" t="inlineStr">
        <is>
          <t>C04</t>
        </is>
      </c>
      <c r="B7" s="5">
        <f>IF($A7="","",IFERROR(VLOOKUP($A7,'02_Конкуренты'!$A\$4:$B\$203,2,FALSE),"не найдено"))</f>
        <v/>
      </c>
      <c r="C7" s="2" t="n">
        <v>4</v>
      </c>
      <c r="D7" s="2" t="n">
        <v>4</v>
      </c>
      <c r="E7" s="2" t="n">
        <v>5</v>
      </c>
      <c r="F7" s="2" t="n">
        <v>4</v>
      </c>
      <c r="G7" s="2" t="n">
        <v>4</v>
      </c>
      <c r="H7" s="2" t="n">
        <v>5</v>
      </c>
      <c r="I7" s="2" t="n">
        <v>3</v>
      </c>
      <c r="J7" s="2" t="n">
        <v>3</v>
      </c>
      <c r="K7" s="2" t="n">
        <v>3</v>
      </c>
      <c r="L7" s="2" t="n">
        <v>4</v>
      </c>
      <c r="M7" s="2" t="n">
        <v>3</v>
      </c>
      <c r="N7" s="7">
        <f>IF($A7="","",SUMPRODUCT($C7:$M7,$C\$2:$M\$2)/SUM($C\$2:$M\$2))</f>
        <v/>
      </c>
      <c r="O7" s="7">
        <f>IF($A7="","",IFERROR(VLOOKUP($A7,'04_Бизнес_модель'!$A\$4:$P\$203,16,FALSE),0))</f>
        <v/>
      </c>
      <c r="P7" s="6">
        <f>IF($A7="","",IFERROR(VLOOKUP($A7,'04_Бизнес_модель'!$A\$4:$O\$203,15,FALSE),0))</f>
        <v/>
      </c>
      <c r="Q7" s="7">
        <f>IF($A7="","",$N7*0.6+$O7*0.25+$P7*5*0.15)</f>
        <v/>
      </c>
    </row>
    <row r="8">
      <c r="A8" s="2" t="inlineStr">
        <is>
          <t>C05</t>
        </is>
      </c>
      <c r="B8" s="5">
        <f>IF($A8="","",IFERROR(VLOOKUP($A8,'02_Конкуренты'!$A\$4:$B\$203,2,FALSE),"не найдено"))</f>
        <v/>
      </c>
      <c r="C8" s="2" t="n">
        <v>4</v>
      </c>
      <c r="D8" s="2" t="n">
        <v>5</v>
      </c>
      <c r="E8" s="2" t="n">
        <v>4</v>
      </c>
      <c r="F8" s="2" t="n">
        <v>3</v>
      </c>
      <c r="G8" s="2" t="n">
        <v>3</v>
      </c>
      <c r="H8" s="2" t="n">
        <v>2</v>
      </c>
      <c r="I8" s="2" t="n">
        <v>4</v>
      </c>
      <c r="J8" s="2" t="n">
        <v>5</v>
      </c>
      <c r="K8" s="2" t="n">
        <v>4</v>
      </c>
      <c r="L8" s="2" t="n">
        <v>5</v>
      </c>
      <c r="M8" s="2" t="n">
        <v>4</v>
      </c>
      <c r="N8" s="7">
        <f>IF($A8="","",SUMPRODUCT($C8:$M8,$C\$2:$M\$2)/SUM($C\$2:$M\$2))</f>
        <v/>
      </c>
      <c r="O8" s="7">
        <f>IF($A8="","",IFERROR(VLOOKUP($A8,'04_Бизнес_модель'!$A\$4:$P\$203,16,FALSE),0))</f>
        <v/>
      </c>
      <c r="P8" s="6">
        <f>IF($A8="","",IFERROR(VLOOKUP($A8,'04_Бизнес_модель'!$A\$4:$O\$203,15,FALSE),0))</f>
        <v/>
      </c>
      <c r="Q8" s="7">
        <f>IF($A8="","",$N8*0.6+$O8*0.25+$P8*5*0.15)</f>
        <v/>
      </c>
    </row>
    <row r="9">
      <c r="A9" s="2" t="inlineStr">
        <is>
          <t>C06</t>
        </is>
      </c>
      <c r="B9" s="5">
        <f>IF($A9="","",IFERROR(VLOOKUP($A9,'02_Конкуренты'!$A\$4:$B\$203,2,FALSE),"не найдено"))</f>
        <v/>
      </c>
      <c r="C9" s="2" t="n">
        <v>4</v>
      </c>
      <c r="D9" s="2" t="n">
        <v>4</v>
      </c>
      <c r="E9" s="2" t="n">
        <v>5</v>
      </c>
      <c r="F9" s="2" t="n">
        <v>5</v>
      </c>
      <c r="G9" s="2" t="n">
        <v>4</v>
      </c>
      <c r="H9" s="2" t="n">
        <v>5</v>
      </c>
      <c r="I9" s="2" t="n">
        <v>5</v>
      </c>
      <c r="J9" s="2" t="n">
        <v>5</v>
      </c>
      <c r="K9" s="2" t="n">
        <v>4</v>
      </c>
      <c r="L9" s="2" t="n">
        <v>5</v>
      </c>
      <c r="M9" s="2" t="n">
        <v>5</v>
      </c>
      <c r="N9" s="7">
        <f>IF($A9="","",SUMPRODUCT($C9:$M9,$C\$2:$M\$2)/SUM($C\$2:$M\$2))</f>
        <v/>
      </c>
      <c r="O9" s="7">
        <f>IF($A9="","",IFERROR(VLOOKUP($A9,'04_Бизнес_модель'!$A\$4:$P\$203,16,FALSE),0))</f>
        <v/>
      </c>
      <c r="P9" s="6">
        <f>IF($A9="","",IFERROR(VLOOKUP($A9,'04_Бизнес_модель'!$A\$4:$O\$203,15,FALSE),0))</f>
        <v/>
      </c>
      <c r="Q9" s="7">
        <f>IF($A9="","",$N9*0.6+$O9*0.25+$P9*5*0.15)</f>
        <v/>
      </c>
    </row>
    <row r="10">
      <c r="A10" s="2" t="inlineStr">
        <is>
          <t>C07</t>
        </is>
      </c>
      <c r="B10" s="5">
        <f>IF($A10="","",IFERROR(VLOOKUP($A10,'02_Конкуренты'!$A\$4:$B\$203,2,FALSE),"не найдено"))</f>
        <v/>
      </c>
      <c r="C10" s="2" t="n">
        <v>4</v>
      </c>
      <c r="D10" s="2" t="n">
        <v>4</v>
      </c>
      <c r="E10" s="2" t="n">
        <v>4</v>
      </c>
      <c r="F10" s="2" t="n">
        <v>4</v>
      </c>
      <c r="G10" s="2" t="n">
        <v>4</v>
      </c>
      <c r="H10" s="2" t="n">
        <v>5</v>
      </c>
      <c r="I10" s="2" t="n">
        <v>3</v>
      </c>
      <c r="J10" s="2" t="n">
        <v>4</v>
      </c>
      <c r="K10" s="2" t="n">
        <v>3</v>
      </c>
      <c r="L10" s="2" t="n">
        <v>3</v>
      </c>
      <c r="M10" s="2" t="n">
        <v>3</v>
      </c>
      <c r="N10" s="7">
        <f>IF($A10="","",SUMPRODUCT($C10:$M10,$C\$2:$M\$2)/SUM($C\$2:$M\$2))</f>
        <v/>
      </c>
      <c r="O10" s="7">
        <f>IF($A10="","",IFERROR(VLOOKUP($A10,'04_Бизнес_модель'!$A\$4:$P\$203,16,FALSE),0))</f>
        <v/>
      </c>
      <c r="P10" s="6">
        <f>IF($A10="","",IFERROR(VLOOKUP($A10,'04_Бизнес_модель'!$A\$4:$O\$203,15,FALSE),0))</f>
        <v/>
      </c>
      <c r="Q10" s="7">
        <f>IF($A10="","",$N10*0.6+$O10*0.25+$P10*5*0.15)</f>
        <v/>
      </c>
    </row>
    <row r="11">
      <c r="A11" s="2" t="inlineStr">
        <is>
          <t>C08</t>
        </is>
      </c>
      <c r="B11" s="5">
        <f>IF($A11="","",IFERROR(VLOOKUP($A11,'02_Конкуренты'!$A\$4:$B\$203,2,FALSE),"не найдено"))</f>
        <v/>
      </c>
      <c r="C11" s="2" t="n">
        <v>3</v>
      </c>
      <c r="D11" s="2" t="n">
        <v>4</v>
      </c>
      <c r="E11" s="2" t="n">
        <v>4</v>
      </c>
      <c r="F11" s="2" t="n">
        <v>4</v>
      </c>
      <c r="G11" s="2" t="n">
        <v>4</v>
      </c>
      <c r="H11" s="2" t="n">
        <v>5</v>
      </c>
      <c r="I11" s="2" t="n">
        <v>3</v>
      </c>
      <c r="J11" s="2" t="n">
        <v>3</v>
      </c>
      <c r="K11" s="2" t="n">
        <v>3</v>
      </c>
      <c r="L11" s="2" t="n">
        <v>3</v>
      </c>
      <c r="M11" s="2" t="n">
        <v>3</v>
      </c>
      <c r="N11" s="7">
        <f>IF($A11="","",SUMPRODUCT($C11:$M11,$C\$2:$M\$2)/SUM($C\$2:$M\$2))</f>
        <v/>
      </c>
      <c r="O11" s="7">
        <f>IF($A11="","",IFERROR(VLOOKUP($A11,'04_Бизнес_модель'!$A\$4:$P\$203,16,FALSE),0))</f>
        <v/>
      </c>
      <c r="P11" s="6">
        <f>IF($A11="","",IFERROR(VLOOKUP($A11,'04_Бизнес_модель'!$A\$4:$O\$203,15,FALSE),0))</f>
        <v/>
      </c>
      <c r="Q11" s="7">
        <f>IF($A11="","",$N11*0.6+$O11*0.25+$P11*5*0.15)</f>
        <v/>
      </c>
    </row>
    <row r="12">
      <c r="A12" s="2" t="n"/>
      <c r="B12" s="5">
        <f>IF($A12="","",IFERROR(VLOOKUP($A12,'02_Конкуренты'!$A\$4:$B\$203,2,FALSE),"не найдено"))</f>
        <v/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7">
        <f>IF($A12="","",SUMPRODUCT($C12:$M12,$C\$2:$M\$2)/SUM($C\$2:$M\$2))</f>
        <v/>
      </c>
      <c r="O12" s="7">
        <f>IF($A12="","",IFERROR(VLOOKUP($A12,'04_Бизнес_модель'!$A\$4:$P\$203,16,FALSE),0))</f>
        <v/>
      </c>
      <c r="P12" s="6">
        <f>IF($A12="","",IFERROR(VLOOKUP($A12,'04_Бизнес_модель'!$A\$4:$O\$203,15,FALSE),0))</f>
        <v/>
      </c>
      <c r="Q12" s="7">
        <f>IF($A12="","",$N12*0.6+$O12*0.25+$P12*5*0.15)</f>
        <v/>
      </c>
    </row>
    <row r="13">
      <c r="A13" s="2" t="n"/>
      <c r="B13" s="5">
        <f>IF($A13="","",IFERROR(VLOOKUP($A13,'02_Конкуренты'!$A\$4:$B\$203,2,FALSE),"не найдено"))</f>
        <v/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7">
        <f>IF($A13="","",SUMPRODUCT($C13:$M13,$C\$2:$M\$2)/SUM($C\$2:$M\$2))</f>
        <v/>
      </c>
      <c r="O13" s="7">
        <f>IF($A13="","",IFERROR(VLOOKUP($A13,'04_Бизнес_модель'!$A\$4:$P\$203,16,FALSE),0))</f>
        <v/>
      </c>
      <c r="P13" s="6">
        <f>IF($A13="","",IFERROR(VLOOKUP($A13,'04_Бизнес_модель'!$A\$4:$O\$203,15,FALSE),0))</f>
        <v/>
      </c>
      <c r="Q13" s="7">
        <f>IF($A13="","",$N13*0.6+$O13*0.25+$P13*5*0.15)</f>
        <v/>
      </c>
    </row>
    <row r="14">
      <c r="A14" s="2" t="n"/>
      <c r="B14" s="5">
        <f>IF($A14="","",IFERROR(VLOOKUP($A14,'02_Конкуренты'!$A\$4:$B\$203,2,FALSE),"не найдено"))</f>
        <v/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7">
        <f>IF($A14="","",SUMPRODUCT($C14:$M14,$C\$2:$M\$2)/SUM($C\$2:$M\$2))</f>
        <v/>
      </c>
      <c r="O14" s="7">
        <f>IF($A14="","",IFERROR(VLOOKUP($A14,'04_Бизнес_модель'!$A\$4:$P\$203,16,FALSE),0))</f>
        <v/>
      </c>
      <c r="P14" s="6">
        <f>IF($A14="","",IFERROR(VLOOKUP($A14,'04_Бизнес_модель'!$A\$4:$O\$203,15,FALSE),0))</f>
        <v/>
      </c>
      <c r="Q14" s="7">
        <f>IF($A14="","",$N14*0.6+$O14*0.25+$P14*5*0.15)</f>
        <v/>
      </c>
    </row>
    <row r="15">
      <c r="A15" s="2" t="n"/>
      <c r="B15" s="5">
        <f>IF($A15="","",IFERROR(VLOOKUP($A15,'02_Конкуренты'!$A\$4:$B\$203,2,FALSE),"не найдено"))</f>
        <v/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7">
        <f>IF($A15="","",SUMPRODUCT($C15:$M15,$C\$2:$M\$2)/SUM($C\$2:$M\$2))</f>
        <v/>
      </c>
      <c r="O15" s="7">
        <f>IF($A15="","",IFERROR(VLOOKUP($A15,'04_Бизнес_модель'!$A\$4:$P\$203,16,FALSE),0))</f>
        <v/>
      </c>
      <c r="P15" s="6">
        <f>IF($A15="","",IFERROR(VLOOKUP($A15,'04_Бизнес_модель'!$A\$4:$O\$203,15,FALSE),0))</f>
        <v/>
      </c>
      <c r="Q15" s="7">
        <f>IF($A15="","",$N15*0.6+$O15*0.25+$P15*5*0.15)</f>
        <v/>
      </c>
    </row>
    <row r="16">
      <c r="A16" s="2" t="n"/>
      <c r="B16" s="5">
        <f>IF($A16="","",IFERROR(VLOOKUP($A16,'02_Конкуренты'!$A\$4:$B\$203,2,FALSE),"не найдено"))</f>
        <v/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7">
        <f>IF($A16="","",SUMPRODUCT($C16:$M16,$C\$2:$M\$2)/SUM($C\$2:$M\$2))</f>
        <v/>
      </c>
      <c r="O16" s="7">
        <f>IF($A16="","",IFERROR(VLOOKUP($A16,'04_Бизнес_модель'!$A\$4:$P\$203,16,FALSE),0))</f>
        <v/>
      </c>
      <c r="P16" s="6">
        <f>IF($A16="","",IFERROR(VLOOKUP($A16,'04_Бизнес_модель'!$A\$4:$O\$203,15,FALSE),0))</f>
        <v/>
      </c>
      <c r="Q16" s="7">
        <f>IF($A16="","",$N16*0.6+$O16*0.25+$P16*5*0.15)</f>
        <v/>
      </c>
    </row>
    <row r="17">
      <c r="A17" s="2" t="n"/>
      <c r="B17" s="5">
        <f>IF($A17="","",IFERROR(VLOOKUP($A17,'02_Конкуренты'!$A\$4:$B\$203,2,FALSE),"не найдено"))</f>
        <v/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7">
        <f>IF($A17="","",SUMPRODUCT($C17:$M17,$C\$2:$M\$2)/SUM($C\$2:$M\$2))</f>
        <v/>
      </c>
      <c r="O17" s="7">
        <f>IF($A17="","",IFERROR(VLOOKUP($A17,'04_Бизнес_модель'!$A\$4:$P\$203,16,FALSE),0))</f>
        <v/>
      </c>
      <c r="P17" s="6">
        <f>IF($A17="","",IFERROR(VLOOKUP($A17,'04_Бизнес_модель'!$A\$4:$O\$203,15,FALSE),0))</f>
        <v/>
      </c>
      <c r="Q17" s="7">
        <f>IF($A17="","",$N17*0.6+$O17*0.25+$P17*5*0.15)</f>
        <v/>
      </c>
    </row>
    <row r="18">
      <c r="A18" s="2" t="n"/>
      <c r="B18" s="5">
        <f>IF($A18="","",IFERROR(VLOOKUP($A18,'02_Конкуренты'!$A\$4:$B\$203,2,FALSE),"не найдено"))</f>
        <v/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7">
        <f>IF($A18="","",SUMPRODUCT($C18:$M18,$C\$2:$M\$2)/SUM($C\$2:$M\$2))</f>
        <v/>
      </c>
      <c r="O18" s="7">
        <f>IF($A18="","",IFERROR(VLOOKUP($A18,'04_Бизнес_модель'!$A\$4:$P\$203,16,FALSE),0))</f>
        <v/>
      </c>
      <c r="P18" s="6">
        <f>IF($A18="","",IFERROR(VLOOKUP($A18,'04_Бизнес_модель'!$A\$4:$O\$203,15,FALSE),0))</f>
        <v/>
      </c>
      <c r="Q18" s="7">
        <f>IF($A18="","",$N18*0.6+$O18*0.25+$P18*5*0.15)</f>
        <v/>
      </c>
    </row>
    <row r="19">
      <c r="A19" s="2" t="n"/>
      <c r="B19" s="5">
        <f>IF($A19="","",IFERROR(VLOOKUP($A19,'02_Конкуренты'!$A\$4:$B\$203,2,FALSE),"не найдено"))</f>
        <v/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7">
        <f>IF($A19="","",SUMPRODUCT($C19:$M19,$C\$2:$M\$2)/SUM($C\$2:$M\$2))</f>
        <v/>
      </c>
      <c r="O19" s="7">
        <f>IF($A19="","",IFERROR(VLOOKUP($A19,'04_Бизнес_модель'!$A\$4:$P\$203,16,FALSE),0))</f>
        <v/>
      </c>
      <c r="P19" s="6">
        <f>IF($A19="","",IFERROR(VLOOKUP($A19,'04_Бизнес_модель'!$A\$4:$O\$203,15,FALSE),0))</f>
        <v/>
      </c>
      <c r="Q19" s="7">
        <f>IF($A19="","",$N19*0.6+$O19*0.25+$P19*5*0.15)</f>
        <v/>
      </c>
    </row>
    <row r="20">
      <c r="A20" s="2" t="n"/>
      <c r="B20" s="5">
        <f>IF($A20="","",IFERROR(VLOOKUP($A20,'02_Конкуренты'!$A\$4:$B\$203,2,FALSE),"не найдено"))</f>
        <v/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7">
        <f>IF($A20="","",SUMPRODUCT($C20:$M20,$C\$2:$M\$2)/SUM($C\$2:$M\$2))</f>
        <v/>
      </c>
      <c r="O20" s="7">
        <f>IF($A20="","",IFERROR(VLOOKUP($A20,'04_Бизнес_модель'!$A\$4:$P\$203,16,FALSE),0))</f>
        <v/>
      </c>
      <c r="P20" s="6">
        <f>IF($A20="","",IFERROR(VLOOKUP($A20,'04_Бизнес_модель'!$A\$4:$O\$203,15,FALSE),0))</f>
        <v/>
      </c>
      <c r="Q20" s="7">
        <f>IF($A20="","",$N20*0.6+$O20*0.25+$P20*5*0.15)</f>
        <v/>
      </c>
    </row>
    <row r="21">
      <c r="A21" s="2" t="n"/>
      <c r="B21" s="5">
        <f>IF($A21="","",IFERROR(VLOOKUP($A21,'02_Конкуренты'!$A\$4:$B\$203,2,FALSE),"не найдено"))</f>
        <v/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7">
        <f>IF($A21="","",SUMPRODUCT($C21:$M21,$C\$2:$M\$2)/SUM($C\$2:$M\$2))</f>
        <v/>
      </c>
      <c r="O21" s="7">
        <f>IF($A21="","",IFERROR(VLOOKUP($A21,'04_Бизнес_модель'!$A\$4:$P\$203,16,FALSE),0))</f>
        <v/>
      </c>
      <c r="P21" s="6">
        <f>IF($A21="","",IFERROR(VLOOKUP($A21,'04_Бизнес_модель'!$A\$4:$O\$203,15,FALSE),0))</f>
        <v/>
      </c>
      <c r="Q21" s="7">
        <f>IF($A21="","",$N21*0.6+$O21*0.25+$P21*5*0.15)</f>
        <v/>
      </c>
    </row>
    <row r="22">
      <c r="A22" s="2" t="n"/>
      <c r="B22" s="5">
        <f>IF($A22="","",IFERROR(VLOOKUP($A22,'02_Конкуренты'!$A\$4:$B\$203,2,FALSE),"не найдено"))</f>
        <v/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7">
        <f>IF($A22="","",SUMPRODUCT($C22:$M22,$C\$2:$M\$2)/SUM($C\$2:$M\$2))</f>
        <v/>
      </c>
      <c r="O22" s="7">
        <f>IF($A22="","",IFERROR(VLOOKUP($A22,'04_Бизнес_модель'!$A\$4:$P\$203,16,FALSE),0))</f>
        <v/>
      </c>
      <c r="P22" s="6">
        <f>IF($A22="","",IFERROR(VLOOKUP($A22,'04_Бизнес_модель'!$A\$4:$O\$203,15,FALSE),0))</f>
        <v/>
      </c>
      <c r="Q22" s="7">
        <f>IF($A22="","",$N22*0.6+$O22*0.25+$P22*5*0.15)</f>
        <v/>
      </c>
    </row>
    <row r="23">
      <c r="A23" s="2" t="n"/>
      <c r="B23" s="5">
        <f>IF($A23="","",IFERROR(VLOOKUP($A23,'02_Конкуренты'!$A\$4:$B\$203,2,FALSE),"не найдено"))</f>
        <v/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7">
        <f>IF($A23="","",SUMPRODUCT($C23:$M23,$C\$2:$M\$2)/SUM($C\$2:$M\$2))</f>
        <v/>
      </c>
      <c r="O23" s="7">
        <f>IF($A23="","",IFERROR(VLOOKUP($A23,'04_Бизнес_модель'!$A\$4:$P\$203,16,FALSE),0))</f>
        <v/>
      </c>
      <c r="P23" s="6">
        <f>IF($A23="","",IFERROR(VLOOKUP($A23,'04_Бизнес_модель'!$A\$4:$O\$203,15,FALSE),0))</f>
        <v/>
      </c>
      <c r="Q23" s="7">
        <f>IF($A23="","",$N23*0.6+$O23*0.25+$P23*5*0.15)</f>
        <v/>
      </c>
    </row>
    <row r="24">
      <c r="A24" s="2" t="n"/>
      <c r="B24" s="5">
        <f>IF($A24="","",IFERROR(VLOOKUP($A24,'02_Конкуренты'!$A\$4:$B\$203,2,FALSE),"не найдено"))</f>
        <v/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7">
        <f>IF($A24="","",SUMPRODUCT($C24:$M24,$C\$2:$M\$2)/SUM($C\$2:$M\$2))</f>
        <v/>
      </c>
      <c r="O24" s="7">
        <f>IF($A24="","",IFERROR(VLOOKUP($A24,'04_Бизнес_модель'!$A\$4:$P\$203,16,FALSE),0))</f>
        <v/>
      </c>
      <c r="P24" s="6">
        <f>IF($A24="","",IFERROR(VLOOKUP($A24,'04_Бизнес_модель'!$A\$4:$O\$203,15,FALSE),0))</f>
        <v/>
      </c>
      <c r="Q24" s="7">
        <f>IF($A24="","",$N24*0.6+$O24*0.25+$P24*5*0.15)</f>
        <v/>
      </c>
    </row>
    <row r="25">
      <c r="A25" s="2" t="n"/>
      <c r="B25" s="5">
        <f>IF($A25="","",IFERROR(VLOOKUP($A25,'02_Конкуренты'!$A\$4:$B\$203,2,FALSE),"не найдено"))</f>
        <v/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7">
        <f>IF($A25="","",SUMPRODUCT($C25:$M25,$C\$2:$M\$2)/SUM($C\$2:$M\$2))</f>
        <v/>
      </c>
      <c r="O25" s="7">
        <f>IF($A25="","",IFERROR(VLOOKUP($A25,'04_Бизнес_модель'!$A\$4:$P\$203,16,FALSE),0))</f>
        <v/>
      </c>
      <c r="P25" s="6">
        <f>IF($A25="","",IFERROR(VLOOKUP($A25,'04_Бизнес_модель'!$A\$4:$O\$203,15,FALSE),0))</f>
        <v/>
      </c>
      <c r="Q25" s="7">
        <f>IF($A25="","",$N25*0.6+$O25*0.25+$P25*5*0.15)</f>
        <v/>
      </c>
    </row>
    <row r="26">
      <c r="A26" s="2" t="n"/>
      <c r="B26" s="5">
        <f>IF($A26="","",IFERROR(VLOOKUP($A26,'02_Конкуренты'!$A\$4:$B\$203,2,FALSE),"не найдено"))</f>
        <v/>
      </c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7">
        <f>IF($A26="","",SUMPRODUCT($C26:$M26,$C\$2:$M\$2)/SUM($C\$2:$M\$2))</f>
        <v/>
      </c>
      <c r="O26" s="7">
        <f>IF($A26="","",IFERROR(VLOOKUP($A26,'04_Бизнес_модель'!$A\$4:$P\$203,16,FALSE),0))</f>
        <v/>
      </c>
      <c r="P26" s="6">
        <f>IF($A26="","",IFERROR(VLOOKUP($A26,'04_Бизнес_модель'!$A\$4:$O\$203,15,FALSE),0))</f>
        <v/>
      </c>
      <c r="Q26" s="7">
        <f>IF($A26="","",$N26*0.6+$O26*0.25+$P26*5*0.15)</f>
        <v/>
      </c>
    </row>
    <row r="27">
      <c r="A27" s="2" t="n"/>
      <c r="B27" s="5">
        <f>IF($A27="","",IFERROR(VLOOKUP($A27,'02_Конкуренты'!$A\$4:$B\$203,2,FALSE),"не найдено"))</f>
        <v/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7">
        <f>IF($A27="","",SUMPRODUCT($C27:$M27,$C\$2:$M\$2)/SUM($C\$2:$M\$2))</f>
        <v/>
      </c>
      <c r="O27" s="7">
        <f>IF($A27="","",IFERROR(VLOOKUP($A27,'04_Бизнес_модель'!$A\$4:$P\$203,16,FALSE),0))</f>
        <v/>
      </c>
      <c r="P27" s="6">
        <f>IF($A27="","",IFERROR(VLOOKUP($A27,'04_Бизнес_модель'!$A\$4:$O\$203,15,FALSE),0))</f>
        <v/>
      </c>
      <c r="Q27" s="7">
        <f>IF($A27="","",$N27*0.6+$O27*0.25+$P27*5*0.15)</f>
        <v/>
      </c>
    </row>
    <row r="28">
      <c r="A28" s="2" t="n"/>
      <c r="B28" s="5">
        <f>IF($A28="","",IFERROR(VLOOKUP($A28,'02_Конкуренты'!$A\$4:$B\$203,2,FALSE),"не найдено"))</f>
        <v/>
      </c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7">
        <f>IF($A28="","",SUMPRODUCT($C28:$M28,$C\$2:$M\$2)/SUM($C\$2:$M\$2))</f>
        <v/>
      </c>
      <c r="O28" s="7">
        <f>IF($A28="","",IFERROR(VLOOKUP($A28,'04_Бизнес_модель'!$A\$4:$P\$203,16,FALSE),0))</f>
        <v/>
      </c>
      <c r="P28" s="6">
        <f>IF($A28="","",IFERROR(VLOOKUP($A28,'04_Бизнес_модель'!$A\$4:$O\$203,15,FALSE),0))</f>
        <v/>
      </c>
      <c r="Q28" s="7">
        <f>IF($A28="","",$N28*0.6+$O28*0.25+$P28*5*0.15)</f>
        <v/>
      </c>
    </row>
    <row r="29">
      <c r="A29" s="2" t="n"/>
      <c r="B29" s="5">
        <f>IF($A29="","",IFERROR(VLOOKUP($A29,'02_Конкуренты'!$A\$4:$B\$203,2,FALSE),"не найдено"))</f>
        <v/>
      </c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7">
        <f>IF($A29="","",SUMPRODUCT($C29:$M29,$C\$2:$M\$2)/SUM($C\$2:$M\$2))</f>
        <v/>
      </c>
      <c r="O29" s="7">
        <f>IF($A29="","",IFERROR(VLOOKUP($A29,'04_Бизнес_модель'!$A\$4:$P\$203,16,FALSE),0))</f>
        <v/>
      </c>
      <c r="P29" s="6">
        <f>IF($A29="","",IFERROR(VLOOKUP($A29,'04_Бизнес_модель'!$A\$4:$O\$203,15,FALSE),0))</f>
        <v/>
      </c>
      <c r="Q29" s="7">
        <f>IF($A29="","",$N29*0.6+$O29*0.25+$P29*5*0.15)</f>
        <v/>
      </c>
    </row>
    <row r="30">
      <c r="A30" s="2" t="n"/>
      <c r="B30" s="5">
        <f>IF($A30="","",IFERROR(VLOOKUP($A30,'02_Конкуренты'!$A\$4:$B\$203,2,FALSE),"не найдено"))</f>
        <v/>
      </c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7">
        <f>IF($A30="","",SUMPRODUCT($C30:$M30,$C\$2:$M\$2)/SUM($C\$2:$M\$2))</f>
        <v/>
      </c>
      <c r="O30" s="7">
        <f>IF($A30="","",IFERROR(VLOOKUP($A30,'04_Бизнес_модель'!$A\$4:$P\$203,16,FALSE),0))</f>
        <v/>
      </c>
      <c r="P30" s="6">
        <f>IF($A30="","",IFERROR(VLOOKUP($A30,'04_Бизнес_модель'!$A\$4:$O\$203,15,FALSE),0))</f>
        <v/>
      </c>
      <c r="Q30" s="7">
        <f>IF($A30="","",$N30*0.6+$O30*0.25+$P30*5*0.15)</f>
        <v/>
      </c>
    </row>
    <row r="31">
      <c r="A31" s="2" t="n"/>
      <c r="B31" s="5">
        <f>IF($A31="","",IFERROR(VLOOKUP($A31,'02_Конкуренты'!$A\$4:$B\$203,2,FALSE),"не найдено"))</f>
        <v/>
      </c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7">
        <f>IF($A31="","",SUMPRODUCT($C31:$M31,$C\$2:$M\$2)/SUM($C\$2:$M\$2))</f>
        <v/>
      </c>
      <c r="O31" s="7">
        <f>IF($A31="","",IFERROR(VLOOKUP($A31,'04_Бизнес_модель'!$A\$4:$P\$203,16,FALSE),0))</f>
        <v/>
      </c>
      <c r="P31" s="6">
        <f>IF($A31="","",IFERROR(VLOOKUP($A31,'04_Бизнес_модель'!$A\$4:$O\$203,15,FALSE),0))</f>
        <v/>
      </c>
      <c r="Q31" s="7">
        <f>IF($A31="","",$N31*0.6+$O31*0.25+$P31*5*0.15)</f>
        <v/>
      </c>
    </row>
    <row r="32">
      <c r="A32" s="2" t="n"/>
      <c r="B32" s="5">
        <f>IF($A32="","",IFERROR(VLOOKUP($A32,'02_Конкуренты'!$A\$4:$B\$203,2,FALSE),"не найдено"))</f>
        <v/>
      </c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7">
        <f>IF($A32="","",SUMPRODUCT($C32:$M32,$C\$2:$M\$2)/SUM($C\$2:$M\$2))</f>
        <v/>
      </c>
      <c r="O32" s="7">
        <f>IF($A32="","",IFERROR(VLOOKUP($A32,'04_Бизнес_модель'!$A\$4:$P\$203,16,FALSE),0))</f>
        <v/>
      </c>
      <c r="P32" s="6">
        <f>IF($A32="","",IFERROR(VLOOKUP($A32,'04_Бизнес_модель'!$A\$4:$O\$203,15,FALSE),0))</f>
        <v/>
      </c>
      <c r="Q32" s="7">
        <f>IF($A32="","",$N32*0.6+$O32*0.25+$P32*5*0.15)</f>
        <v/>
      </c>
    </row>
    <row r="33">
      <c r="A33" s="2" t="n"/>
      <c r="B33" s="5">
        <f>IF($A33="","",IFERROR(VLOOKUP($A33,'02_Конкуренты'!$A\$4:$B\$203,2,FALSE),"не найдено"))</f>
        <v/>
      </c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7">
        <f>IF($A33="","",SUMPRODUCT($C33:$M33,$C\$2:$M\$2)/SUM($C\$2:$M\$2))</f>
        <v/>
      </c>
      <c r="O33" s="7">
        <f>IF($A33="","",IFERROR(VLOOKUP($A33,'04_Бизнес_модель'!$A\$4:$P\$203,16,FALSE),0))</f>
        <v/>
      </c>
      <c r="P33" s="6">
        <f>IF($A33="","",IFERROR(VLOOKUP($A33,'04_Бизнес_модель'!$A\$4:$O\$203,15,FALSE),0))</f>
        <v/>
      </c>
      <c r="Q33" s="7">
        <f>IF($A33="","",$N33*0.6+$O33*0.25+$P33*5*0.15)</f>
        <v/>
      </c>
    </row>
    <row r="34">
      <c r="A34" s="2" t="n"/>
      <c r="B34" s="5">
        <f>IF($A34="","",IFERROR(VLOOKUP($A34,'02_Конкуренты'!$A\$4:$B\$203,2,FALSE),"не найдено"))</f>
        <v/>
      </c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7">
        <f>IF($A34="","",SUMPRODUCT($C34:$M34,$C\$2:$M\$2)/SUM($C\$2:$M\$2))</f>
        <v/>
      </c>
      <c r="O34" s="7">
        <f>IF($A34="","",IFERROR(VLOOKUP($A34,'04_Бизнес_модель'!$A\$4:$P\$203,16,FALSE),0))</f>
        <v/>
      </c>
      <c r="P34" s="6">
        <f>IF($A34="","",IFERROR(VLOOKUP($A34,'04_Бизнес_модель'!$A\$4:$O\$203,15,FALSE),0))</f>
        <v/>
      </c>
      <c r="Q34" s="7">
        <f>IF($A34="","",$N34*0.6+$O34*0.25+$P34*5*0.15)</f>
        <v/>
      </c>
    </row>
    <row r="35">
      <c r="A35" s="2" t="n"/>
      <c r="B35" s="5">
        <f>IF($A35="","",IFERROR(VLOOKUP($A35,'02_Конкуренты'!$A\$4:$B\$203,2,FALSE),"не найдено"))</f>
        <v/>
      </c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7">
        <f>IF($A35="","",SUMPRODUCT($C35:$M35,$C\$2:$M\$2)/SUM($C\$2:$M\$2))</f>
        <v/>
      </c>
      <c r="O35" s="7">
        <f>IF($A35="","",IFERROR(VLOOKUP($A35,'04_Бизнес_модель'!$A\$4:$P\$203,16,FALSE),0))</f>
        <v/>
      </c>
      <c r="P35" s="6">
        <f>IF($A35="","",IFERROR(VLOOKUP($A35,'04_Бизнес_модель'!$A\$4:$O\$203,15,FALSE),0))</f>
        <v/>
      </c>
      <c r="Q35" s="7">
        <f>IF($A35="","",$N35*0.6+$O35*0.25+$P35*5*0.15)</f>
        <v/>
      </c>
    </row>
    <row r="36">
      <c r="A36" s="2" t="n"/>
      <c r="B36" s="5">
        <f>IF($A36="","",IFERROR(VLOOKUP($A36,'02_Конкуренты'!$A\$4:$B\$203,2,FALSE),"не найдено"))</f>
        <v/>
      </c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7">
        <f>IF($A36="","",SUMPRODUCT($C36:$M36,$C\$2:$M\$2)/SUM($C\$2:$M\$2))</f>
        <v/>
      </c>
      <c r="O36" s="7">
        <f>IF($A36="","",IFERROR(VLOOKUP($A36,'04_Бизнес_модель'!$A\$4:$P\$203,16,FALSE),0))</f>
        <v/>
      </c>
      <c r="P36" s="6">
        <f>IF($A36="","",IFERROR(VLOOKUP($A36,'04_Бизнес_модель'!$A\$4:$O\$203,15,FALSE),0))</f>
        <v/>
      </c>
      <c r="Q36" s="7">
        <f>IF($A36="","",$N36*0.6+$O36*0.25+$P36*5*0.15)</f>
        <v/>
      </c>
    </row>
    <row r="37">
      <c r="A37" s="2" t="n"/>
      <c r="B37" s="5">
        <f>IF($A37="","",IFERROR(VLOOKUP($A37,'02_Конкуренты'!$A\$4:$B\$203,2,FALSE),"не найдено"))</f>
        <v/>
      </c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7">
        <f>IF($A37="","",SUMPRODUCT($C37:$M37,$C\$2:$M\$2)/SUM($C\$2:$M\$2))</f>
        <v/>
      </c>
      <c r="O37" s="7">
        <f>IF($A37="","",IFERROR(VLOOKUP($A37,'04_Бизнес_модель'!$A\$4:$P\$203,16,FALSE),0))</f>
        <v/>
      </c>
      <c r="P37" s="6">
        <f>IF($A37="","",IFERROR(VLOOKUP($A37,'04_Бизнес_модель'!$A\$4:$O\$203,15,FALSE),0))</f>
        <v/>
      </c>
      <c r="Q37" s="7">
        <f>IF($A37="","",$N37*0.6+$O37*0.25+$P37*5*0.15)</f>
        <v/>
      </c>
    </row>
    <row r="38">
      <c r="A38" s="2" t="n"/>
      <c r="B38" s="5">
        <f>IF($A38="","",IFERROR(VLOOKUP($A38,'02_Конкуренты'!$A\$4:$B\$203,2,FALSE),"не найдено"))</f>
        <v/>
      </c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7">
        <f>IF($A38="","",SUMPRODUCT($C38:$M38,$C\$2:$M\$2)/SUM($C\$2:$M\$2))</f>
        <v/>
      </c>
      <c r="O38" s="7">
        <f>IF($A38="","",IFERROR(VLOOKUP($A38,'04_Бизнес_модель'!$A\$4:$P\$203,16,FALSE),0))</f>
        <v/>
      </c>
      <c r="P38" s="6">
        <f>IF($A38="","",IFERROR(VLOOKUP($A38,'04_Бизнес_модель'!$A\$4:$O\$203,15,FALSE),0))</f>
        <v/>
      </c>
      <c r="Q38" s="7">
        <f>IF($A38="","",$N38*0.6+$O38*0.25+$P38*5*0.15)</f>
        <v/>
      </c>
    </row>
    <row r="39">
      <c r="A39" s="2" t="n"/>
      <c r="B39" s="5">
        <f>IF($A39="","",IFERROR(VLOOKUP($A39,'02_Конкуренты'!$A\$4:$B\$203,2,FALSE),"не найдено"))</f>
        <v/>
      </c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7">
        <f>IF($A39="","",SUMPRODUCT($C39:$M39,$C\$2:$M\$2)/SUM($C\$2:$M\$2))</f>
        <v/>
      </c>
      <c r="O39" s="7">
        <f>IF($A39="","",IFERROR(VLOOKUP($A39,'04_Бизнес_модель'!$A\$4:$P\$203,16,FALSE),0))</f>
        <v/>
      </c>
      <c r="P39" s="6">
        <f>IF($A39="","",IFERROR(VLOOKUP($A39,'04_Бизнес_модель'!$A\$4:$O\$203,15,FALSE),0))</f>
        <v/>
      </c>
      <c r="Q39" s="7">
        <f>IF($A39="","",$N39*0.6+$O39*0.25+$P39*5*0.15)</f>
        <v/>
      </c>
    </row>
    <row r="40">
      <c r="A40" s="2" t="n"/>
      <c r="B40" s="5">
        <f>IF($A40="","",IFERROR(VLOOKUP($A40,'02_Конкуренты'!$A\$4:$B\$203,2,FALSE),"не найдено"))</f>
        <v/>
      </c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7">
        <f>IF($A40="","",SUMPRODUCT($C40:$M40,$C\$2:$M\$2)/SUM($C\$2:$M\$2))</f>
        <v/>
      </c>
      <c r="O40" s="7">
        <f>IF($A40="","",IFERROR(VLOOKUP($A40,'04_Бизнес_модель'!$A\$4:$P\$203,16,FALSE),0))</f>
        <v/>
      </c>
      <c r="P40" s="6">
        <f>IF($A40="","",IFERROR(VLOOKUP($A40,'04_Бизнес_модель'!$A\$4:$O\$203,15,FALSE),0))</f>
        <v/>
      </c>
      <c r="Q40" s="7">
        <f>IF($A40="","",$N40*0.6+$O40*0.25+$P40*5*0.15)</f>
        <v/>
      </c>
    </row>
    <row r="41">
      <c r="A41" s="2" t="n"/>
      <c r="B41" s="5">
        <f>IF($A41="","",IFERROR(VLOOKUP($A41,'02_Конкуренты'!$A\$4:$B\$203,2,FALSE),"не найдено"))</f>
        <v/>
      </c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7">
        <f>IF($A41="","",SUMPRODUCT($C41:$M41,$C\$2:$M\$2)/SUM($C\$2:$M\$2))</f>
        <v/>
      </c>
      <c r="O41" s="7">
        <f>IF($A41="","",IFERROR(VLOOKUP($A41,'04_Бизнес_модель'!$A\$4:$P\$203,16,FALSE),0))</f>
        <v/>
      </c>
      <c r="P41" s="6">
        <f>IF($A41="","",IFERROR(VLOOKUP($A41,'04_Бизнес_модель'!$A\$4:$O\$203,15,FALSE),0))</f>
        <v/>
      </c>
      <c r="Q41" s="7">
        <f>IF($A41="","",$N41*0.6+$O41*0.25+$P41*5*0.15)</f>
        <v/>
      </c>
    </row>
    <row r="42">
      <c r="A42" s="2" t="n"/>
      <c r="B42" s="5">
        <f>IF($A42="","",IFERROR(VLOOKUP($A42,'02_Конкуренты'!$A\$4:$B\$203,2,FALSE),"не найдено"))</f>
        <v/>
      </c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7">
        <f>IF($A42="","",SUMPRODUCT($C42:$M42,$C\$2:$M\$2)/SUM($C\$2:$M\$2))</f>
        <v/>
      </c>
      <c r="O42" s="7">
        <f>IF($A42="","",IFERROR(VLOOKUP($A42,'04_Бизнес_модель'!$A\$4:$P\$203,16,FALSE),0))</f>
        <v/>
      </c>
      <c r="P42" s="6">
        <f>IF($A42="","",IFERROR(VLOOKUP($A42,'04_Бизнес_модель'!$A\$4:$O\$203,15,FALSE),0))</f>
        <v/>
      </c>
      <c r="Q42" s="7">
        <f>IF($A42="","",$N42*0.6+$O42*0.25+$P42*5*0.15)</f>
        <v/>
      </c>
    </row>
    <row r="43">
      <c r="A43" s="2" t="n"/>
      <c r="B43" s="5">
        <f>IF($A43="","",IFERROR(VLOOKUP($A43,'02_Конкуренты'!$A\$4:$B\$203,2,FALSE),"не найдено"))</f>
        <v/>
      </c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7">
        <f>IF($A43="","",SUMPRODUCT($C43:$M43,$C\$2:$M\$2)/SUM($C\$2:$M\$2))</f>
        <v/>
      </c>
      <c r="O43" s="7">
        <f>IF($A43="","",IFERROR(VLOOKUP($A43,'04_Бизнес_модель'!$A\$4:$P\$203,16,FALSE),0))</f>
        <v/>
      </c>
      <c r="P43" s="6">
        <f>IF($A43="","",IFERROR(VLOOKUP($A43,'04_Бизнес_модель'!$A\$4:$O\$203,15,FALSE),0))</f>
        <v/>
      </c>
      <c r="Q43" s="7">
        <f>IF($A43="","",$N43*0.6+$O43*0.25+$P43*5*0.15)</f>
        <v/>
      </c>
    </row>
    <row r="44">
      <c r="A44" s="2" t="n"/>
      <c r="B44" s="5">
        <f>IF($A44="","",IFERROR(VLOOKUP($A44,'02_Конкуренты'!$A\$4:$B\$203,2,FALSE),"не найдено"))</f>
        <v/>
      </c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7">
        <f>IF($A44="","",SUMPRODUCT($C44:$M44,$C\$2:$M\$2)/SUM($C\$2:$M\$2))</f>
        <v/>
      </c>
      <c r="O44" s="7">
        <f>IF($A44="","",IFERROR(VLOOKUP($A44,'04_Бизнес_модель'!$A\$4:$P\$203,16,FALSE),0))</f>
        <v/>
      </c>
      <c r="P44" s="6">
        <f>IF($A44="","",IFERROR(VLOOKUP($A44,'04_Бизнес_модель'!$A\$4:$O\$203,15,FALSE),0))</f>
        <v/>
      </c>
      <c r="Q44" s="7">
        <f>IF($A44="","",$N44*0.6+$O44*0.25+$P44*5*0.15)</f>
        <v/>
      </c>
    </row>
    <row r="45">
      <c r="A45" s="2" t="n"/>
      <c r="B45" s="5">
        <f>IF($A45="","",IFERROR(VLOOKUP($A45,'02_Конкуренты'!$A\$4:$B\$203,2,FALSE),"не найдено"))</f>
        <v/>
      </c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7">
        <f>IF($A45="","",SUMPRODUCT($C45:$M45,$C\$2:$M\$2)/SUM($C\$2:$M\$2))</f>
        <v/>
      </c>
      <c r="O45" s="7">
        <f>IF($A45="","",IFERROR(VLOOKUP($A45,'04_Бизнес_модель'!$A\$4:$P\$203,16,FALSE),0))</f>
        <v/>
      </c>
      <c r="P45" s="6">
        <f>IF($A45="","",IFERROR(VLOOKUP($A45,'04_Бизнес_модель'!$A\$4:$O\$203,15,FALSE),0))</f>
        <v/>
      </c>
      <c r="Q45" s="7">
        <f>IF($A45="","",$N45*0.6+$O45*0.25+$P45*5*0.15)</f>
        <v/>
      </c>
    </row>
    <row r="46">
      <c r="A46" s="2" t="n"/>
      <c r="B46" s="5">
        <f>IF($A46="","",IFERROR(VLOOKUP($A46,'02_Конкуренты'!$A\$4:$B\$203,2,FALSE),"не найдено"))</f>
        <v/>
      </c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7">
        <f>IF($A46="","",SUMPRODUCT($C46:$M46,$C\$2:$M\$2)/SUM($C\$2:$M\$2))</f>
        <v/>
      </c>
      <c r="O46" s="7">
        <f>IF($A46="","",IFERROR(VLOOKUP($A46,'04_Бизнес_модель'!$A\$4:$P\$203,16,FALSE),0))</f>
        <v/>
      </c>
      <c r="P46" s="6">
        <f>IF($A46="","",IFERROR(VLOOKUP($A46,'04_Бизнес_модель'!$A\$4:$O\$203,15,FALSE),0))</f>
        <v/>
      </c>
      <c r="Q46" s="7">
        <f>IF($A46="","",$N46*0.6+$O46*0.25+$P46*5*0.15)</f>
        <v/>
      </c>
    </row>
    <row r="47">
      <c r="A47" s="2" t="n"/>
      <c r="B47" s="5">
        <f>IF($A47="","",IFERROR(VLOOKUP($A47,'02_Конкуренты'!$A\$4:$B\$203,2,FALSE),"не найдено"))</f>
        <v/>
      </c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7">
        <f>IF($A47="","",SUMPRODUCT($C47:$M47,$C\$2:$M\$2)/SUM($C\$2:$M\$2))</f>
        <v/>
      </c>
      <c r="O47" s="7">
        <f>IF($A47="","",IFERROR(VLOOKUP($A47,'04_Бизнес_модель'!$A\$4:$P\$203,16,FALSE),0))</f>
        <v/>
      </c>
      <c r="P47" s="6">
        <f>IF($A47="","",IFERROR(VLOOKUP($A47,'04_Бизнес_модель'!$A\$4:$O\$203,15,FALSE),0))</f>
        <v/>
      </c>
      <c r="Q47" s="7">
        <f>IF($A47="","",$N47*0.6+$O47*0.25+$P47*5*0.15)</f>
        <v/>
      </c>
    </row>
    <row r="48">
      <c r="A48" s="2" t="n"/>
      <c r="B48" s="5">
        <f>IF($A48="","",IFERROR(VLOOKUP($A48,'02_Конкуренты'!$A\$4:$B\$203,2,FALSE),"не найдено"))</f>
        <v/>
      </c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7">
        <f>IF($A48="","",SUMPRODUCT($C48:$M48,$C\$2:$M\$2)/SUM($C\$2:$M\$2))</f>
        <v/>
      </c>
      <c r="O48" s="7">
        <f>IF($A48="","",IFERROR(VLOOKUP($A48,'04_Бизнес_модель'!$A\$4:$P\$203,16,FALSE),0))</f>
        <v/>
      </c>
      <c r="P48" s="6">
        <f>IF($A48="","",IFERROR(VLOOKUP($A48,'04_Бизнес_модель'!$A\$4:$O\$203,15,FALSE),0))</f>
        <v/>
      </c>
      <c r="Q48" s="7">
        <f>IF($A48="","",$N48*0.6+$O48*0.25+$P48*5*0.15)</f>
        <v/>
      </c>
    </row>
    <row r="49">
      <c r="A49" s="2" t="n"/>
      <c r="B49" s="5">
        <f>IF($A49="","",IFERROR(VLOOKUP($A49,'02_Конкуренты'!$A\$4:$B\$203,2,FALSE),"не найдено"))</f>
        <v/>
      </c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7">
        <f>IF($A49="","",SUMPRODUCT($C49:$M49,$C\$2:$M\$2)/SUM($C\$2:$M\$2))</f>
        <v/>
      </c>
      <c r="O49" s="7">
        <f>IF($A49="","",IFERROR(VLOOKUP($A49,'04_Бизнес_модель'!$A\$4:$P\$203,16,FALSE),0))</f>
        <v/>
      </c>
      <c r="P49" s="6">
        <f>IF($A49="","",IFERROR(VLOOKUP($A49,'04_Бизнес_модель'!$A\$4:$O\$203,15,FALSE),0))</f>
        <v/>
      </c>
      <c r="Q49" s="7">
        <f>IF($A49="","",$N49*0.6+$O49*0.25+$P49*5*0.15)</f>
        <v/>
      </c>
    </row>
    <row r="50">
      <c r="A50" s="2" t="n"/>
      <c r="B50" s="5">
        <f>IF($A50="","",IFERROR(VLOOKUP($A50,'02_Конкуренты'!$A\$4:$B\$203,2,FALSE),"не найдено"))</f>
        <v/>
      </c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7">
        <f>IF($A50="","",SUMPRODUCT($C50:$M50,$C\$2:$M\$2)/SUM($C\$2:$M\$2))</f>
        <v/>
      </c>
      <c r="O50" s="7">
        <f>IF($A50="","",IFERROR(VLOOKUP($A50,'04_Бизнес_модель'!$A\$4:$P\$203,16,FALSE),0))</f>
        <v/>
      </c>
      <c r="P50" s="6">
        <f>IF($A50="","",IFERROR(VLOOKUP($A50,'04_Бизнес_модель'!$A\$4:$O\$203,15,FALSE),0))</f>
        <v/>
      </c>
      <c r="Q50" s="7">
        <f>IF($A50="","",$N50*0.6+$O50*0.25+$P50*5*0.15)</f>
        <v/>
      </c>
    </row>
    <row r="51">
      <c r="A51" s="2" t="n"/>
      <c r="B51" s="5">
        <f>IF($A51="","",IFERROR(VLOOKUP($A51,'02_Конкуренты'!$A\$4:$B\$203,2,FALSE),"не найдено"))</f>
        <v/>
      </c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7">
        <f>IF($A51="","",SUMPRODUCT($C51:$M51,$C\$2:$M\$2)/SUM($C\$2:$M\$2))</f>
        <v/>
      </c>
      <c r="O51" s="7">
        <f>IF($A51="","",IFERROR(VLOOKUP($A51,'04_Бизнес_модель'!$A\$4:$P\$203,16,FALSE),0))</f>
        <v/>
      </c>
      <c r="P51" s="6">
        <f>IF($A51="","",IFERROR(VLOOKUP($A51,'04_Бизнес_модель'!$A\$4:$O\$203,15,FALSE),0))</f>
        <v/>
      </c>
      <c r="Q51" s="7">
        <f>IF($A51="","",$N51*0.6+$O51*0.25+$P51*5*0.15)</f>
        <v/>
      </c>
    </row>
    <row r="52">
      <c r="A52" s="2" t="n"/>
      <c r="B52" s="5">
        <f>IF($A52="","",IFERROR(VLOOKUP($A52,'02_Конкуренты'!$A\$4:$B\$203,2,FALSE),"не найдено"))</f>
        <v/>
      </c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7">
        <f>IF($A52="","",SUMPRODUCT($C52:$M52,$C\$2:$M\$2)/SUM($C\$2:$M\$2))</f>
        <v/>
      </c>
      <c r="O52" s="7">
        <f>IF($A52="","",IFERROR(VLOOKUP($A52,'04_Бизнес_модель'!$A\$4:$P\$203,16,FALSE),0))</f>
        <v/>
      </c>
      <c r="P52" s="6">
        <f>IF($A52="","",IFERROR(VLOOKUP($A52,'04_Бизнес_модель'!$A\$4:$O\$203,15,FALSE),0))</f>
        <v/>
      </c>
      <c r="Q52" s="7">
        <f>IF($A52="","",$N52*0.6+$O52*0.25+$P52*5*0.15)</f>
        <v/>
      </c>
    </row>
    <row r="53">
      <c r="A53" s="2" t="n"/>
      <c r="B53" s="5">
        <f>IF($A53="","",IFERROR(VLOOKUP($A53,'02_Конкуренты'!$A\$4:$B\$203,2,FALSE),"не найдено"))</f>
        <v/>
      </c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7">
        <f>IF($A53="","",SUMPRODUCT($C53:$M53,$C\$2:$M\$2)/SUM($C\$2:$M\$2))</f>
        <v/>
      </c>
      <c r="O53" s="7">
        <f>IF($A53="","",IFERROR(VLOOKUP($A53,'04_Бизнес_модель'!$A\$4:$P\$203,16,FALSE),0))</f>
        <v/>
      </c>
      <c r="P53" s="6">
        <f>IF($A53="","",IFERROR(VLOOKUP($A53,'04_Бизнес_модель'!$A\$4:$O\$203,15,FALSE),0))</f>
        <v/>
      </c>
      <c r="Q53" s="7">
        <f>IF($A53="","",$N53*0.6+$O53*0.25+$P53*5*0.15)</f>
        <v/>
      </c>
    </row>
    <row r="54">
      <c r="A54" s="2" t="n"/>
      <c r="B54" s="5">
        <f>IF($A54="","",IFERROR(VLOOKUP($A54,'02_Конкуренты'!$A\$4:$B\$203,2,FALSE),"не найдено"))</f>
        <v/>
      </c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7">
        <f>IF($A54="","",SUMPRODUCT($C54:$M54,$C\$2:$M\$2)/SUM($C\$2:$M\$2))</f>
        <v/>
      </c>
      <c r="O54" s="7">
        <f>IF($A54="","",IFERROR(VLOOKUP($A54,'04_Бизнес_модель'!$A\$4:$P\$203,16,FALSE),0))</f>
        <v/>
      </c>
      <c r="P54" s="6">
        <f>IF($A54="","",IFERROR(VLOOKUP($A54,'04_Бизнес_модель'!$A\$4:$O\$203,15,FALSE),0))</f>
        <v/>
      </c>
      <c r="Q54" s="7">
        <f>IF($A54="","",$N54*0.6+$O54*0.25+$P54*5*0.15)</f>
        <v/>
      </c>
    </row>
    <row r="55">
      <c r="A55" s="2" t="n"/>
      <c r="B55" s="5">
        <f>IF($A55="","",IFERROR(VLOOKUP($A55,'02_Конкуренты'!$A\$4:$B\$203,2,FALSE),"не найдено"))</f>
        <v/>
      </c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7">
        <f>IF($A55="","",SUMPRODUCT($C55:$M55,$C\$2:$M\$2)/SUM($C\$2:$M\$2))</f>
        <v/>
      </c>
      <c r="O55" s="7">
        <f>IF($A55="","",IFERROR(VLOOKUP($A55,'04_Бизнес_модель'!$A\$4:$P\$203,16,FALSE),0))</f>
        <v/>
      </c>
      <c r="P55" s="6">
        <f>IF($A55="","",IFERROR(VLOOKUP($A55,'04_Бизнес_модель'!$A\$4:$O\$203,15,FALSE),0))</f>
        <v/>
      </c>
      <c r="Q55" s="7">
        <f>IF($A55="","",$N55*0.6+$O55*0.25+$P55*5*0.15)</f>
        <v/>
      </c>
    </row>
    <row r="56">
      <c r="A56" s="2" t="n"/>
      <c r="B56" s="5">
        <f>IF($A56="","",IFERROR(VLOOKUP($A56,'02_Конкуренты'!$A\$4:$B\$203,2,FALSE),"не найдено"))</f>
        <v/>
      </c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7">
        <f>IF($A56="","",SUMPRODUCT($C56:$M56,$C\$2:$M\$2)/SUM($C\$2:$M\$2))</f>
        <v/>
      </c>
      <c r="O56" s="7">
        <f>IF($A56="","",IFERROR(VLOOKUP($A56,'04_Бизнес_модель'!$A\$4:$P\$203,16,FALSE),0))</f>
        <v/>
      </c>
      <c r="P56" s="6">
        <f>IF($A56="","",IFERROR(VLOOKUP($A56,'04_Бизнес_модель'!$A\$4:$O\$203,15,FALSE),0))</f>
        <v/>
      </c>
      <c r="Q56" s="7">
        <f>IF($A56="","",$N56*0.6+$O56*0.25+$P56*5*0.15)</f>
        <v/>
      </c>
    </row>
    <row r="57">
      <c r="A57" s="2" t="n"/>
      <c r="B57" s="5">
        <f>IF($A57="","",IFERROR(VLOOKUP($A57,'02_Конкуренты'!$A\$4:$B\$203,2,FALSE),"не найдено"))</f>
        <v/>
      </c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7">
        <f>IF($A57="","",SUMPRODUCT($C57:$M57,$C\$2:$M\$2)/SUM($C\$2:$M\$2))</f>
        <v/>
      </c>
      <c r="O57" s="7">
        <f>IF($A57="","",IFERROR(VLOOKUP($A57,'04_Бизнес_модель'!$A\$4:$P\$203,16,FALSE),0))</f>
        <v/>
      </c>
      <c r="P57" s="6">
        <f>IF($A57="","",IFERROR(VLOOKUP($A57,'04_Бизнес_модель'!$A\$4:$O\$203,15,FALSE),0))</f>
        <v/>
      </c>
      <c r="Q57" s="7">
        <f>IF($A57="","",$N57*0.6+$O57*0.25+$P57*5*0.15)</f>
        <v/>
      </c>
    </row>
    <row r="58">
      <c r="A58" s="2" t="n"/>
      <c r="B58" s="5">
        <f>IF($A58="","",IFERROR(VLOOKUP($A58,'02_Конкуренты'!$A\$4:$B\$203,2,FALSE),"не найдено"))</f>
        <v/>
      </c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7">
        <f>IF($A58="","",SUMPRODUCT($C58:$M58,$C\$2:$M\$2)/SUM($C\$2:$M\$2))</f>
        <v/>
      </c>
      <c r="O58" s="7">
        <f>IF($A58="","",IFERROR(VLOOKUP($A58,'04_Бизнес_модель'!$A\$4:$P\$203,16,FALSE),0))</f>
        <v/>
      </c>
      <c r="P58" s="6">
        <f>IF($A58="","",IFERROR(VLOOKUP($A58,'04_Бизнес_модель'!$A\$4:$O\$203,15,FALSE),0))</f>
        <v/>
      </c>
      <c r="Q58" s="7">
        <f>IF($A58="","",$N58*0.6+$O58*0.25+$P58*5*0.15)</f>
        <v/>
      </c>
    </row>
    <row r="59">
      <c r="A59" s="2" t="n"/>
      <c r="B59" s="5">
        <f>IF($A59="","",IFERROR(VLOOKUP($A59,'02_Конкуренты'!$A\$4:$B\$203,2,FALSE),"не найдено"))</f>
        <v/>
      </c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7">
        <f>IF($A59="","",SUMPRODUCT($C59:$M59,$C\$2:$M\$2)/SUM($C\$2:$M\$2))</f>
        <v/>
      </c>
      <c r="O59" s="7">
        <f>IF($A59="","",IFERROR(VLOOKUP($A59,'04_Бизнес_модель'!$A\$4:$P\$203,16,FALSE),0))</f>
        <v/>
      </c>
      <c r="P59" s="6">
        <f>IF($A59="","",IFERROR(VLOOKUP($A59,'04_Бизнес_модель'!$A\$4:$O\$203,15,FALSE),0))</f>
        <v/>
      </c>
      <c r="Q59" s="7">
        <f>IF($A59="","",$N59*0.6+$O59*0.25+$P59*5*0.15)</f>
        <v/>
      </c>
    </row>
    <row r="60">
      <c r="A60" s="2" t="n"/>
      <c r="B60" s="5">
        <f>IF($A60="","",IFERROR(VLOOKUP($A60,'02_Конкуренты'!$A\$4:$B\$203,2,FALSE),"не найдено"))</f>
        <v/>
      </c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7">
        <f>IF($A60="","",SUMPRODUCT($C60:$M60,$C\$2:$M\$2)/SUM($C\$2:$M\$2))</f>
        <v/>
      </c>
      <c r="O60" s="7">
        <f>IF($A60="","",IFERROR(VLOOKUP($A60,'04_Бизнес_модель'!$A\$4:$P\$203,16,FALSE),0))</f>
        <v/>
      </c>
      <c r="P60" s="6">
        <f>IF($A60="","",IFERROR(VLOOKUP($A60,'04_Бизнес_модель'!$A\$4:$O\$203,15,FALSE),0))</f>
        <v/>
      </c>
      <c r="Q60" s="7">
        <f>IF($A60="","",$N60*0.6+$O60*0.25+$P60*5*0.15)</f>
        <v/>
      </c>
    </row>
    <row r="61">
      <c r="A61" s="2" t="n"/>
      <c r="B61" s="5">
        <f>IF($A61="","",IFERROR(VLOOKUP($A61,'02_Конкуренты'!$A\$4:$B\$203,2,FALSE),"не найдено"))</f>
        <v/>
      </c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7">
        <f>IF($A61="","",SUMPRODUCT($C61:$M61,$C\$2:$M\$2)/SUM($C\$2:$M\$2))</f>
        <v/>
      </c>
      <c r="O61" s="7">
        <f>IF($A61="","",IFERROR(VLOOKUP($A61,'04_Бизнес_модель'!$A\$4:$P\$203,16,FALSE),0))</f>
        <v/>
      </c>
      <c r="P61" s="6">
        <f>IF($A61="","",IFERROR(VLOOKUP($A61,'04_Бизнес_модель'!$A\$4:$O\$203,15,FALSE),0))</f>
        <v/>
      </c>
      <c r="Q61" s="7">
        <f>IF($A61="","",$N61*0.6+$O61*0.25+$P61*5*0.15)</f>
        <v/>
      </c>
    </row>
    <row r="62">
      <c r="A62" s="2" t="n"/>
      <c r="B62" s="5">
        <f>IF($A62="","",IFERROR(VLOOKUP($A62,'02_Конкуренты'!$A\$4:$B\$203,2,FALSE),"не найдено"))</f>
        <v/>
      </c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7">
        <f>IF($A62="","",SUMPRODUCT($C62:$M62,$C\$2:$M\$2)/SUM($C\$2:$M\$2))</f>
        <v/>
      </c>
      <c r="O62" s="7">
        <f>IF($A62="","",IFERROR(VLOOKUP($A62,'04_Бизнес_модель'!$A\$4:$P\$203,16,FALSE),0))</f>
        <v/>
      </c>
      <c r="P62" s="6">
        <f>IF($A62="","",IFERROR(VLOOKUP($A62,'04_Бизнес_модель'!$A\$4:$O\$203,15,FALSE),0))</f>
        <v/>
      </c>
      <c r="Q62" s="7">
        <f>IF($A62="","",$N62*0.6+$O62*0.25+$P62*5*0.15)</f>
        <v/>
      </c>
    </row>
    <row r="63">
      <c r="A63" s="2" t="n"/>
      <c r="B63" s="5">
        <f>IF($A63="","",IFERROR(VLOOKUP($A63,'02_Конкуренты'!$A\$4:$B\$203,2,FALSE),"не найдено"))</f>
        <v/>
      </c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7">
        <f>IF($A63="","",SUMPRODUCT($C63:$M63,$C\$2:$M\$2)/SUM($C\$2:$M\$2))</f>
        <v/>
      </c>
      <c r="O63" s="7">
        <f>IF($A63="","",IFERROR(VLOOKUP($A63,'04_Бизнес_модель'!$A\$4:$P\$203,16,FALSE),0))</f>
        <v/>
      </c>
      <c r="P63" s="6">
        <f>IF($A63="","",IFERROR(VLOOKUP($A63,'04_Бизнес_модель'!$A\$4:$O\$203,15,FALSE),0))</f>
        <v/>
      </c>
      <c r="Q63" s="7">
        <f>IF($A63="","",$N63*0.6+$O63*0.25+$P63*5*0.15)</f>
        <v/>
      </c>
    </row>
    <row r="64">
      <c r="A64" s="2" t="n"/>
      <c r="B64" s="5">
        <f>IF($A64="","",IFERROR(VLOOKUP($A64,'02_Конкуренты'!$A\$4:$B\$203,2,FALSE),"не найдено"))</f>
        <v/>
      </c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7">
        <f>IF($A64="","",SUMPRODUCT($C64:$M64,$C\$2:$M\$2)/SUM($C\$2:$M\$2))</f>
        <v/>
      </c>
      <c r="O64" s="7">
        <f>IF($A64="","",IFERROR(VLOOKUP($A64,'04_Бизнес_модель'!$A\$4:$P\$203,16,FALSE),0))</f>
        <v/>
      </c>
      <c r="P64" s="6">
        <f>IF($A64="","",IFERROR(VLOOKUP($A64,'04_Бизнес_модель'!$A\$4:$O\$203,15,FALSE),0))</f>
        <v/>
      </c>
      <c r="Q64" s="7">
        <f>IF($A64="","",$N64*0.6+$O64*0.25+$P64*5*0.15)</f>
        <v/>
      </c>
    </row>
    <row r="65">
      <c r="A65" s="2" t="n"/>
      <c r="B65" s="5">
        <f>IF($A65="","",IFERROR(VLOOKUP($A65,'02_Конкуренты'!$A\$4:$B\$203,2,FALSE),"не найдено"))</f>
        <v/>
      </c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7">
        <f>IF($A65="","",SUMPRODUCT($C65:$M65,$C\$2:$M\$2)/SUM($C\$2:$M\$2))</f>
        <v/>
      </c>
      <c r="O65" s="7">
        <f>IF($A65="","",IFERROR(VLOOKUP($A65,'04_Бизнес_модель'!$A\$4:$P\$203,16,FALSE),0))</f>
        <v/>
      </c>
      <c r="P65" s="6">
        <f>IF($A65="","",IFERROR(VLOOKUP($A65,'04_Бизнес_модель'!$A\$4:$O\$203,15,FALSE),0))</f>
        <v/>
      </c>
      <c r="Q65" s="7">
        <f>IF($A65="","",$N65*0.6+$O65*0.25+$P65*5*0.15)</f>
        <v/>
      </c>
    </row>
    <row r="66">
      <c r="A66" s="2" t="n"/>
      <c r="B66" s="5">
        <f>IF($A66="","",IFERROR(VLOOKUP($A66,'02_Конкуренты'!$A\$4:$B\$203,2,FALSE),"не найдено"))</f>
        <v/>
      </c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7">
        <f>IF($A66="","",SUMPRODUCT($C66:$M66,$C\$2:$M\$2)/SUM($C\$2:$M\$2))</f>
        <v/>
      </c>
      <c r="O66" s="7">
        <f>IF($A66="","",IFERROR(VLOOKUP($A66,'04_Бизнес_модель'!$A\$4:$P\$203,16,FALSE),0))</f>
        <v/>
      </c>
      <c r="P66" s="6">
        <f>IF($A66="","",IFERROR(VLOOKUP($A66,'04_Бизнес_модель'!$A\$4:$O\$203,15,FALSE),0))</f>
        <v/>
      </c>
      <c r="Q66" s="7">
        <f>IF($A66="","",$N66*0.6+$O66*0.25+$P66*5*0.15)</f>
        <v/>
      </c>
    </row>
    <row r="67">
      <c r="A67" s="2" t="n"/>
      <c r="B67" s="5">
        <f>IF($A67="","",IFERROR(VLOOKUP($A67,'02_Конкуренты'!$A\$4:$B\$203,2,FALSE),"не найдено"))</f>
        <v/>
      </c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7">
        <f>IF($A67="","",SUMPRODUCT($C67:$M67,$C\$2:$M\$2)/SUM($C\$2:$M\$2))</f>
        <v/>
      </c>
      <c r="O67" s="7">
        <f>IF($A67="","",IFERROR(VLOOKUP($A67,'04_Бизнес_модель'!$A\$4:$P\$203,16,FALSE),0))</f>
        <v/>
      </c>
      <c r="P67" s="6">
        <f>IF($A67="","",IFERROR(VLOOKUP($A67,'04_Бизнес_модель'!$A\$4:$O\$203,15,FALSE),0))</f>
        <v/>
      </c>
      <c r="Q67" s="7">
        <f>IF($A67="","",$N67*0.6+$O67*0.25+$P67*5*0.15)</f>
        <v/>
      </c>
    </row>
    <row r="68">
      <c r="A68" s="2" t="n"/>
      <c r="B68" s="5">
        <f>IF($A68="","",IFERROR(VLOOKUP($A68,'02_Конкуренты'!$A\$4:$B\$203,2,FALSE),"не найдено"))</f>
        <v/>
      </c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7">
        <f>IF($A68="","",SUMPRODUCT($C68:$M68,$C\$2:$M\$2)/SUM($C\$2:$M\$2))</f>
        <v/>
      </c>
      <c r="O68" s="7">
        <f>IF($A68="","",IFERROR(VLOOKUP($A68,'04_Бизнес_модель'!$A\$4:$P\$203,16,FALSE),0))</f>
        <v/>
      </c>
      <c r="P68" s="6">
        <f>IF($A68="","",IFERROR(VLOOKUP($A68,'04_Бизнес_модель'!$A\$4:$O\$203,15,FALSE),0))</f>
        <v/>
      </c>
      <c r="Q68" s="7">
        <f>IF($A68="","",$N68*0.6+$O68*0.25+$P68*5*0.15)</f>
        <v/>
      </c>
    </row>
    <row r="69">
      <c r="A69" s="2" t="n"/>
      <c r="B69" s="5">
        <f>IF($A69="","",IFERROR(VLOOKUP($A69,'02_Конкуренты'!$A\$4:$B\$203,2,FALSE),"не найдено"))</f>
        <v/>
      </c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7">
        <f>IF($A69="","",SUMPRODUCT($C69:$M69,$C\$2:$M\$2)/SUM($C\$2:$M\$2))</f>
        <v/>
      </c>
      <c r="O69" s="7">
        <f>IF($A69="","",IFERROR(VLOOKUP($A69,'04_Бизнес_модель'!$A\$4:$P\$203,16,FALSE),0))</f>
        <v/>
      </c>
      <c r="P69" s="6">
        <f>IF($A69="","",IFERROR(VLOOKUP($A69,'04_Бизнес_модель'!$A\$4:$O\$203,15,FALSE),0))</f>
        <v/>
      </c>
      <c r="Q69" s="7">
        <f>IF($A69="","",$N69*0.6+$O69*0.25+$P69*5*0.15)</f>
        <v/>
      </c>
    </row>
    <row r="70">
      <c r="A70" s="2" t="n"/>
      <c r="B70" s="5">
        <f>IF($A70="","",IFERROR(VLOOKUP($A70,'02_Конкуренты'!$A\$4:$B\$203,2,FALSE),"не найдено"))</f>
        <v/>
      </c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7">
        <f>IF($A70="","",SUMPRODUCT($C70:$M70,$C\$2:$M\$2)/SUM($C\$2:$M\$2))</f>
        <v/>
      </c>
      <c r="O70" s="7">
        <f>IF($A70="","",IFERROR(VLOOKUP($A70,'04_Бизнес_модель'!$A\$4:$P\$203,16,FALSE),0))</f>
        <v/>
      </c>
      <c r="P70" s="6">
        <f>IF($A70="","",IFERROR(VLOOKUP($A70,'04_Бизнес_модель'!$A\$4:$O\$203,15,FALSE),0))</f>
        <v/>
      </c>
      <c r="Q70" s="7">
        <f>IF($A70="","",$N70*0.6+$O70*0.25+$P70*5*0.15)</f>
        <v/>
      </c>
    </row>
    <row r="71">
      <c r="A71" s="2" t="n"/>
      <c r="B71" s="5">
        <f>IF($A71="","",IFERROR(VLOOKUP($A71,'02_Конкуренты'!$A\$4:$B\$203,2,FALSE),"не найдено"))</f>
        <v/>
      </c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7">
        <f>IF($A71="","",SUMPRODUCT($C71:$M71,$C\$2:$M\$2)/SUM($C\$2:$M\$2))</f>
        <v/>
      </c>
      <c r="O71" s="7">
        <f>IF($A71="","",IFERROR(VLOOKUP($A71,'04_Бизнес_модель'!$A\$4:$P\$203,16,FALSE),0))</f>
        <v/>
      </c>
      <c r="P71" s="6">
        <f>IF($A71="","",IFERROR(VLOOKUP($A71,'04_Бизнес_модель'!$A\$4:$O\$203,15,FALSE),0))</f>
        <v/>
      </c>
      <c r="Q71" s="7">
        <f>IF($A71="","",$N71*0.6+$O71*0.25+$P71*5*0.15)</f>
        <v/>
      </c>
    </row>
    <row r="72">
      <c r="A72" s="2" t="n"/>
      <c r="B72" s="5">
        <f>IF($A72="","",IFERROR(VLOOKUP($A72,'02_Конкуренты'!$A\$4:$B\$203,2,FALSE),"не найдено"))</f>
        <v/>
      </c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7">
        <f>IF($A72="","",SUMPRODUCT($C72:$M72,$C\$2:$M\$2)/SUM($C\$2:$M\$2))</f>
        <v/>
      </c>
      <c r="O72" s="7">
        <f>IF($A72="","",IFERROR(VLOOKUP($A72,'04_Бизнес_модель'!$A\$4:$P\$203,16,FALSE),0))</f>
        <v/>
      </c>
      <c r="P72" s="6">
        <f>IF($A72="","",IFERROR(VLOOKUP($A72,'04_Бизнес_модель'!$A\$4:$O\$203,15,FALSE),0))</f>
        <v/>
      </c>
      <c r="Q72" s="7">
        <f>IF($A72="","",$N72*0.6+$O72*0.25+$P72*5*0.15)</f>
        <v/>
      </c>
    </row>
    <row r="73">
      <c r="A73" s="2" t="n"/>
      <c r="B73" s="5">
        <f>IF($A73="","",IFERROR(VLOOKUP($A73,'02_Конкуренты'!$A\$4:$B\$203,2,FALSE),"не найдено"))</f>
        <v/>
      </c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7">
        <f>IF($A73="","",SUMPRODUCT($C73:$M73,$C\$2:$M\$2)/SUM($C\$2:$M\$2))</f>
        <v/>
      </c>
      <c r="O73" s="7">
        <f>IF($A73="","",IFERROR(VLOOKUP($A73,'04_Бизнес_модель'!$A\$4:$P\$203,16,FALSE),0))</f>
        <v/>
      </c>
      <c r="P73" s="6">
        <f>IF($A73="","",IFERROR(VLOOKUP($A73,'04_Бизнес_модель'!$A\$4:$O\$203,15,FALSE),0))</f>
        <v/>
      </c>
      <c r="Q73" s="7">
        <f>IF($A73="","",$N73*0.6+$O73*0.25+$P73*5*0.15)</f>
        <v/>
      </c>
    </row>
    <row r="74">
      <c r="A74" s="2" t="n"/>
      <c r="B74" s="5">
        <f>IF($A74="","",IFERROR(VLOOKUP($A74,'02_Конкуренты'!$A\$4:$B\$203,2,FALSE),"не найдено"))</f>
        <v/>
      </c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7">
        <f>IF($A74="","",SUMPRODUCT($C74:$M74,$C\$2:$M\$2)/SUM($C\$2:$M\$2))</f>
        <v/>
      </c>
      <c r="O74" s="7">
        <f>IF($A74="","",IFERROR(VLOOKUP($A74,'04_Бизнес_модель'!$A\$4:$P\$203,16,FALSE),0))</f>
        <v/>
      </c>
      <c r="P74" s="6">
        <f>IF($A74="","",IFERROR(VLOOKUP($A74,'04_Бизнес_модель'!$A\$4:$O\$203,15,FALSE),0))</f>
        <v/>
      </c>
      <c r="Q74" s="7">
        <f>IF($A74="","",$N74*0.6+$O74*0.25+$P74*5*0.15)</f>
        <v/>
      </c>
    </row>
    <row r="75">
      <c r="A75" s="2" t="n"/>
      <c r="B75" s="5">
        <f>IF($A75="","",IFERROR(VLOOKUP($A75,'02_Конкуренты'!$A\$4:$B\$203,2,FALSE),"не найдено"))</f>
        <v/>
      </c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7">
        <f>IF($A75="","",SUMPRODUCT($C75:$M75,$C\$2:$M\$2)/SUM($C\$2:$M\$2))</f>
        <v/>
      </c>
      <c r="O75" s="7">
        <f>IF($A75="","",IFERROR(VLOOKUP($A75,'04_Бизнес_модель'!$A\$4:$P\$203,16,FALSE),0))</f>
        <v/>
      </c>
      <c r="P75" s="6">
        <f>IF($A75="","",IFERROR(VLOOKUP($A75,'04_Бизнес_модель'!$A\$4:$O\$203,15,FALSE),0))</f>
        <v/>
      </c>
      <c r="Q75" s="7">
        <f>IF($A75="","",$N75*0.6+$O75*0.25+$P75*5*0.15)</f>
        <v/>
      </c>
    </row>
    <row r="76">
      <c r="A76" s="2" t="n"/>
      <c r="B76" s="5">
        <f>IF($A76="","",IFERROR(VLOOKUP($A76,'02_Конкуренты'!$A\$4:$B\$203,2,FALSE),"не найдено"))</f>
        <v/>
      </c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7">
        <f>IF($A76="","",SUMPRODUCT($C76:$M76,$C\$2:$M\$2)/SUM($C\$2:$M\$2))</f>
        <v/>
      </c>
      <c r="O76" s="7">
        <f>IF($A76="","",IFERROR(VLOOKUP($A76,'04_Бизнес_модель'!$A\$4:$P\$203,16,FALSE),0))</f>
        <v/>
      </c>
      <c r="P76" s="6">
        <f>IF($A76="","",IFERROR(VLOOKUP($A76,'04_Бизнес_модель'!$A\$4:$O\$203,15,FALSE),0))</f>
        <v/>
      </c>
      <c r="Q76" s="7">
        <f>IF($A76="","",$N76*0.6+$O76*0.25+$P76*5*0.15)</f>
        <v/>
      </c>
    </row>
    <row r="77">
      <c r="A77" s="2" t="n"/>
      <c r="B77" s="5">
        <f>IF($A77="","",IFERROR(VLOOKUP($A77,'02_Конкуренты'!$A\$4:$B\$203,2,FALSE),"не найдено"))</f>
        <v/>
      </c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7">
        <f>IF($A77="","",SUMPRODUCT($C77:$M77,$C\$2:$M\$2)/SUM($C\$2:$M\$2))</f>
        <v/>
      </c>
      <c r="O77" s="7">
        <f>IF($A77="","",IFERROR(VLOOKUP($A77,'04_Бизнес_модель'!$A\$4:$P\$203,16,FALSE),0))</f>
        <v/>
      </c>
      <c r="P77" s="6">
        <f>IF($A77="","",IFERROR(VLOOKUP($A77,'04_Бизнес_модель'!$A\$4:$O\$203,15,FALSE),0))</f>
        <v/>
      </c>
      <c r="Q77" s="7">
        <f>IF($A77="","",$N77*0.6+$O77*0.25+$P77*5*0.15)</f>
        <v/>
      </c>
    </row>
    <row r="78">
      <c r="A78" s="2" t="n"/>
      <c r="B78" s="5">
        <f>IF($A78="","",IFERROR(VLOOKUP($A78,'02_Конкуренты'!$A\$4:$B\$203,2,FALSE),"не найдено"))</f>
        <v/>
      </c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7">
        <f>IF($A78="","",SUMPRODUCT($C78:$M78,$C\$2:$M\$2)/SUM($C\$2:$M\$2))</f>
        <v/>
      </c>
      <c r="O78" s="7">
        <f>IF($A78="","",IFERROR(VLOOKUP($A78,'04_Бизнес_модель'!$A\$4:$P\$203,16,FALSE),0))</f>
        <v/>
      </c>
      <c r="P78" s="6">
        <f>IF($A78="","",IFERROR(VLOOKUP($A78,'04_Бизнес_модель'!$A\$4:$O\$203,15,FALSE),0))</f>
        <v/>
      </c>
      <c r="Q78" s="7">
        <f>IF($A78="","",$N78*0.6+$O78*0.25+$P78*5*0.15)</f>
        <v/>
      </c>
    </row>
    <row r="79">
      <c r="A79" s="2" t="n"/>
      <c r="B79" s="5">
        <f>IF($A79="","",IFERROR(VLOOKUP($A79,'02_Конкуренты'!$A\$4:$B\$203,2,FALSE),"не найдено"))</f>
        <v/>
      </c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7">
        <f>IF($A79="","",SUMPRODUCT($C79:$M79,$C\$2:$M\$2)/SUM($C\$2:$M\$2))</f>
        <v/>
      </c>
      <c r="O79" s="7">
        <f>IF($A79="","",IFERROR(VLOOKUP($A79,'04_Бизнес_модель'!$A\$4:$P\$203,16,FALSE),0))</f>
        <v/>
      </c>
      <c r="P79" s="6">
        <f>IF($A79="","",IFERROR(VLOOKUP($A79,'04_Бизнес_модель'!$A\$4:$O\$203,15,FALSE),0))</f>
        <v/>
      </c>
      <c r="Q79" s="7">
        <f>IF($A79="","",$N79*0.6+$O79*0.25+$P79*5*0.15)</f>
        <v/>
      </c>
    </row>
    <row r="80">
      <c r="A80" s="2" t="n"/>
      <c r="B80" s="5">
        <f>IF($A80="","",IFERROR(VLOOKUP($A80,'02_Конкуренты'!$A\$4:$B\$203,2,FALSE),"не найдено"))</f>
        <v/>
      </c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7">
        <f>IF($A80="","",SUMPRODUCT($C80:$M80,$C\$2:$M\$2)/SUM($C\$2:$M\$2))</f>
        <v/>
      </c>
      <c r="O80" s="7">
        <f>IF($A80="","",IFERROR(VLOOKUP($A80,'04_Бизнес_модель'!$A\$4:$P\$203,16,FALSE),0))</f>
        <v/>
      </c>
      <c r="P80" s="6">
        <f>IF($A80="","",IFERROR(VLOOKUP($A80,'04_Бизнес_модель'!$A\$4:$O\$203,15,FALSE),0))</f>
        <v/>
      </c>
      <c r="Q80" s="7">
        <f>IF($A80="","",$N80*0.6+$O80*0.25+$P80*5*0.15)</f>
        <v/>
      </c>
    </row>
    <row r="81">
      <c r="A81" s="2" t="n"/>
      <c r="B81" s="5">
        <f>IF($A81="","",IFERROR(VLOOKUP($A81,'02_Конкуренты'!$A\$4:$B\$203,2,FALSE),"не найдено"))</f>
        <v/>
      </c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7">
        <f>IF($A81="","",SUMPRODUCT($C81:$M81,$C\$2:$M\$2)/SUM($C\$2:$M\$2))</f>
        <v/>
      </c>
      <c r="O81" s="7">
        <f>IF($A81="","",IFERROR(VLOOKUP($A81,'04_Бизнес_модель'!$A\$4:$P\$203,16,FALSE),0))</f>
        <v/>
      </c>
      <c r="P81" s="6">
        <f>IF($A81="","",IFERROR(VLOOKUP($A81,'04_Бизнес_модель'!$A\$4:$O\$203,15,FALSE),0))</f>
        <v/>
      </c>
      <c r="Q81" s="7">
        <f>IF($A81="","",$N81*0.6+$O81*0.25+$P81*5*0.15)</f>
        <v/>
      </c>
    </row>
    <row r="82">
      <c r="A82" s="2" t="n"/>
      <c r="B82" s="5">
        <f>IF($A82="","",IFERROR(VLOOKUP($A82,'02_Конкуренты'!$A\$4:$B\$203,2,FALSE),"не найдено"))</f>
        <v/>
      </c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7">
        <f>IF($A82="","",SUMPRODUCT($C82:$M82,$C\$2:$M\$2)/SUM($C\$2:$M\$2))</f>
        <v/>
      </c>
      <c r="O82" s="7">
        <f>IF($A82="","",IFERROR(VLOOKUP($A82,'04_Бизнес_модель'!$A\$4:$P\$203,16,FALSE),0))</f>
        <v/>
      </c>
      <c r="P82" s="6">
        <f>IF($A82="","",IFERROR(VLOOKUP($A82,'04_Бизнес_модель'!$A\$4:$O\$203,15,FALSE),0))</f>
        <v/>
      </c>
      <c r="Q82" s="7">
        <f>IF($A82="","",$N82*0.6+$O82*0.25+$P82*5*0.15)</f>
        <v/>
      </c>
    </row>
    <row r="83">
      <c r="A83" s="2" t="n"/>
      <c r="B83" s="5">
        <f>IF($A83="","",IFERROR(VLOOKUP($A83,'02_Конкуренты'!$A\$4:$B\$203,2,FALSE),"не найдено"))</f>
        <v/>
      </c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7">
        <f>IF($A83="","",SUMPRODUCT($C83:$M83,$C\$2:$M\$2)/SUM($C\$2:$M\$2))</f>
        <v/>
      </c>
      <c r="O83" s="7">
        <f>IF($A83="","",IFERROR(VLOOKUP($A83,'04_Бизнес_модель'!$A\$4:$P\$203,16,FALSE),0))</f>
        <v/>
      </c>
      <c r="P83" s="6">
        <f>IF($A83="","",IFERROR(VLOOKUP($A83,'04_Бизнес_модель'!$A\$4:$O\$203,15,FALSE),0))</f>
        <v/>
      </c>
      <c r="Q83" s="7">
        <f>IF($A83="","",$N83*0.6+$O83*0.25+$P83*5*0.15)</f>
        <v/>
      </c>
    </row>
    <row r="84">
      <c r="A84" s="2" t="n"/>
      <c r="B84" s="5">
        <f>IF($A84="","",IFERROR(VLOOKUP($A84,'02_Конкуренты'!$A\$4:$B\$203,2,FALSE),"не найдено"))</f>
        <v/>
      </c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7">
        <f>IF($A84="","",SUMPRODUCT($C84:$M84,$C\$2:$M\$2)/SUM($C\$2:$M\$2))</f>
        <v/>
      </c>
      <c r="O84" s="7">
        <f>IF($A84="","",IFERROR(VLOOKUP($A84,'04_Бизнес_модель'!$A\$4:$P\$203,16,FALSE),0))</f>
        <v/>
      </c>
      <c r="P84" s="6">
        <f>IF($A84="","",IFERROR(VLOOKUP($A84,'04_Бизнес_модель'!$A\$4:$O\$203,15,FALSE),0))</f>
        <v/>
      </c>
      <c r="Q84" s="7">
        <f>IF($A84="","",$N84*0.6+$O84*0.25+$P84*5*0.15)</f>
        <v/>
      </c>
    </row>
    <row r="85">
      <c r="A85" s="2" t="n"/>
      <c r="B85" s="5">
        <f>IF($A85="","",IFERROR(VLOOKUP($A85,'02_Конкуренты'!$A\$4:$B\$203,2,FALSE),"не найдено"))</f>
        <v/>
      </c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7">
        <f>IF($A85="","",SUMPRODUCT($C85:$M85,$C\$2:$M\$2)/SUM($C\$2:$M\$2))</f>
        <v/>
      </c>
      <c r="O85" s="7">
        <f>IF($A85="","",IFERROR(VLOOKUP($A85,'04_Бизнес_модель'!$A\$4:$P\$203,16,FALSE),0))</f>
        <v/>
      </c>
      <c r="P85" s="6">
        <f>IF($A85="","",IFERROR(VLOOKUP($A85,'04_Бизнес_модель'!$A\$4:$O\$203,15,FALSE),0))</f>
        <v/>
      </c>
      <c r="Q85" s="7">
        <f>IF($A85="","",$N85*0.6+$O85*0.25+$P85*5*0.15)</f>
        <v/>
      </c>
    </row>
    <row r="86">
      <c r="A86" s="2" t="n"/>
      <c r="B86" s="5">
        <f>IF($A86="","",IFERROR(VLOOKUP($A86,'02_Конкуренты'!$A\$4:$B\$203,2,FALSE),"не найдено"))</f>
        <v/>
      </c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7">
        <f>IF($A86="","",SUMPRODUCT($C86:$M86,$C\$2:$M\$2)/SUM($C\$2:$M\$2))</f>
        <v/>
      </c>
      <c r="O86" s="7">
        <f>IF($A86="","",IFERROR(VLOOKUP($A86,'04_Бизнес_модель'!$A\$4:$P\$203,16,FALSE),0))</f>
        <v/>
      </c>
      <c r="P86" s="6">
        <f>IF($A86="","",IFERROR(VLOOKUP($A86,'04_Бизнес_модель'!$A\$4:$O\$203,15,FALSE),0))</f>
        <v/>
      </c>
      <c r="Q86" s="7">
        <f>IF($A86="","",$N86*0.6+$O86*0.25+$P86*5*0.15)</f>
        <v/>
      </c>
    </row>
    <row r="87">
      <c r="A87" s="2" t="n"/>
      <c r="B87" s="5">
        <f>IF($A87="","",IFERROR(VLOOKUP($A87,'02_Конкуренты'!$A\$4:$B\$203,2,FALSE),"не найдено"))</f>
        <v/>
      </c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7">
        <f>IF($A87="","",SUMPRODUCT($C87:$M87,$C\$2:$M\$2)/SUM($C\$2:$M\$2))</f>
        <v/>
      </c>
      <c r="O87" s="7">
        <f>IF($A87="","",IFERROR(VLOOKUP($A87,'04_Бизнес_модель'!$A\$4:$P\$203,16,FALSE),0))</f>
        <v/>
      </c>
      <c r="P87" s="6">
        <f>IF($A87="","",IFERROR(VLOOKUP($A87,'04_Бизнес_модель'!$A\$4:$O\$203,15,FALSE),0))</f>
        <v/>
      </c>
      <c r="Q87" s="7">
        <f>IF($A87="","",$N87*0.6+$O87*0.25+$P87*5*0.15)</f>
        <v/>
      </c>
    </row>
    <row r="88">
      <c r="A88" s="2" t="n"/>
      <c r="B88" s="5">
        <f>IF($A88="","",IFERROR(VLOOKUP($A88,'02_Конкуренты'!$A\$4:$B\$203,2,FALSE),"не найдено"))</f>
        <v/>
      </c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7">
        <f>IF($A88="","",SUMPRODUCT($C88:$M88,$C\$2:$M\$2)/SUM($C\$2:$M\$2))</f>
        <v/>
      </c>
      <c r="O88" s="7">
        <f>IF($A88="","",IFERROR(VLOOKUP($A88,'04_Бизнес_модель'!$A\$4:$P\$203,16,FALSE),0))</f>
        <v/>
      </c>
      <c r="P88" s="6">
        <f>IF($A88="","",IFERROR(VLOOKUP($A88,'04_Бизнес_модель'!$A\$4:$O\$203,15,FALSE),0))</f>
        <v/>
      </c>
      <c r="Q88" s="7">
        <f>IF($A88="","",$N88*0.6+$O88*0.25+$P88*5*0.15)</f>
        <v/>
      </c>
    </row>
    <row r="89">
      <c r="A89" s="2" t="n"/>
      <c r="B89" s="5">
        <f>IF($A89="","",IFERROR(VLOOKUP($A89,'02_Конкуренты'!$A\$4:$B\$203,2,FALSE),"не найдено"))</f>
        <v/>
      </c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7">
        <f>IF($A89="","",SUMPRODUCT($C89:$M89,$C\$2:$M\$2)/SUM($C\$2:$M\$2))</f>
        <v/>
      </c>
      <c r="O89" s="7">
        <f>IF($A89="","",IFERROR(VLOOKUP($A89,'04_Бизнес_модель'!$A\$4:$P\$203,16,FALSE),0))</f>
        <v/>
      </c>
      <c r="P89" s="6">
        <f>IF($A89="","",IFERROR(VLOOKUP($A89,'04_Бизнес_модель'!$A\$4:$O\$203,15,FALSE),0))</f>
        <v/>
      </c>
      <c r="Q89" s="7">
        <f>IF($A89="","",$N89*0.6+$O89*0.25+$P89*5*0.15)</f>
        <v/>
      </c>
    </row>
    <row r="90">
      <c r="A90" s="2" t="n"/>
      <c r="B90" s="5">
        <f>IF($A90="","",IFERROR(VLOOKUP($A90,'02_Конкуренты'!$A\$4:$B\$203,2,FALSE),"не найдено"))</f>
        <v/>
      </c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7">
        <f>IF($A90="","",SUMPRODUCT($C90:$M90,$C\$2:$M\$2)/SUM($C\$2:$M\$2))</f>
        <v/>
      </c>
      <c r="O90" s="7">
        <f>IF($A90="","",IFERROR(VLOOKUP($A90,'04_Бизнес_модель'!$A\$4:$P\$203,16,FALSE),0))</f>
        <v/>
      </c>
      <c r="P90" s="6">
        <f>IF($A90="","",IFERROR(VLOOKUP($A90,'04_Бизнес_модель'!$A\$4:$O\$203,15,FALSE),0))</f>
        <v/>
      </c>
      <c r="Q90" s="7">
        <f>IF($A90="","",$N90*0.6+$O90*0.25+$P90*5*0.15)</f>
        <v/>
      </c>
    </row>
    <row r="91">
      <c r="A91" s="2" t="n"/>
      <c r="B91" s="5">
        <f>IF($A91="","",IFERROR(VLOOKUP($A91,'02_Конкуренты'!$A\$4:$B\$203,2,FALSE),"не найдено"))</f>
        <v/>
      </c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7">
        <f>IF($A91="","",SUMPRODUCT($C91:$M91,$C\$2:$M\$2)/SUM($C\$2:$M\$2))</f>
        <v/>
      </c>
      <c r="O91" s="7">
        <f>IF($A91="","",IFERROR(VLOOKUP($A91,'04_Бизнес_модель'!$A\$4:$P\$203,16,FALSE),0))</f>
        <v/>
      </c>
      <c r="P91" s="6">
        <f>IF($A91="","",IFERROR(VLOOKUP($A91,'04_Бизнес_модель'!$A\$4:$O\$203,15,FALSE),0))</f>
        <v/>
      </c>
      <c r="Q91" s="7">
        <f>IF($A91="","",$N91*0.6+$O91*0.25+$P91*5*0.15)</f>
        <v/>
      </c>
    </row>
    <row r="92">
      <c r="A92" s="2" t="n"/>
      <c r="B92" s="5">
        <f>IF($A92="","",IFERROR(VLOOKUP($A92,'02_Конкуренты'!$A\$4:$B\$203,2,FALSE),"не найдено"))</f>
        <v/>
      </c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7">
        <f>IF($A92="","",SUMPRODUCT($C92:$M92,$C\$2:$M\$2)/SUM($C\$2:$M\$2))</f>
        <v/>
      </c>
      <c r="O92" s="7">
        <f>IF($A92="","",IFERROR(VLOOKUP($A92,'04_Бизнес_модель'!$A\$4:$P\$203,16,FALSE),0))</f>
        <v/>
      </c>
      <c r="P92" s="6">
        <f>IF($A92="","",IFERROR(VLOOKUP($A92,'04_Бизнес_модель'!$A\$4:$O\$203,15,FALSE),0))</f>
        <v/>
      </c>
      <c r="Q92" s="7">
        <f>IF($A92="","",$N92*0.6+$O92*0.25+$P92*5*0.15)</f>
        <v/>
      </c>
    </row>
    <row r="93">
      <c r="A93" s="2" t="n"/>
      <c r="B93" s="5">
        <f>IF($A93="","",IFERROR(VLOOKUP($A93,'02_Конкуренты'!$A\$4:$B\$203,2,FALSE),"не найдено"))</f>
        <v/>
      </c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7">
        <f>IF($A93="","",SUMPRODUCT($C93:$M93,$C\$2:$M\$2)/SUM($C\$2:$M\$2))</f>
        <v/>
      </c>
      <c r="O93" s="7">
        <f>IF($A93="","",IFERROR(VLOOKUP($A93,'04_Бизнес_модель'!$A\$4:$P\$203,16,FALSE),0))</f>
        <v/>
      </c>
      <c r="P93" s="6">
        <f>IF($A93="","",IFERROR(VLOOKUP($A93,'04_Бизнес_модель'!$A\$4:$O\$203,15,FALSE),0))</f>
        <v/>
      </c>
      <c r="Q93" s="7">
        <f>IF($A93="","",$N93*0.6+$O93*0.25+$P93*5*0.15)</f>
        <v/>
      </c>
    </row>
    <row r="94">
      <c r="A94" s="2" t="n"/>
      <c r="B94" s="5">
        <f>IF($A94="","",IFERROR(VLOOKUP($A94,'02_Конкуренты'!$A\$4:$B\$203,2,FALSE),"не найдено"))</f>
        <v/>
      </c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7">
        <f>IF($A94="","",SUMPRODUCT($C94:$M94,$C\$2:$M\$2)/SUM($C\$2:$M\$2))</f>
        <v/>
      </c>
      <c r="O94" s="7">
        <f>IF($A94="","",IFERROR(VLOOKUP($A94,'04_Бизнес_модель'!$A\$4:$P\$203,16,FALSE),0))</f>
        <v/>
      </c>
      <c r="P94" s="6">
        <f>IF($A94="","",IFERROR(VLOOKUP($A94,'04_Бизнес_модель'!$A\$4:$O\$203,15,FALSE),0))</f>
        <v/>
      </c>
      <c r="Q94" s="7">
        <f>IF($A94="","",$N94*0.6+$O94*0.25+$P94*5*0.15)</f>
        <v/>
      </c>
    </row>
    <row r="95">
      <c r="A95" s="2" t="n"/>
      <c r="B95" s="5">
        <f>IF($A95="","",IFERROR(VLOOKUP($A95,'02_Конкуренты'!$A\$4:$B\$203,2,FALSE),"не найдено"))</f>
        <v/>
      </c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7">
        <f>IF($A95="","",SUMPRODUCT($C95:$M95,$C\$2:$M\$2)/SUM($C\$2:$M\$2))</f>
        <v/>
      </c>
      <c r="O95" s="7">
        <f>IF($A95="","",IFERROR(VLOOKUP($A95,'04_Бизнес_модель'!$A\$4:$P\$203,16,FALSE),0))</f>
        <v/>
      </c>
      <c r="P95" s="6">
        <f>IF($A95="","",IFERROR(VLOOKUP($A95,'04_Бизнес_модель'!$A\$4:$O\$203,15,FALSE),0))</f>
        <v/>
      </c>
      <c r="Q95" s="7">
        <f>IF($A95="","",$N95*0.6+$O95*0.25+$P95*5*0.15)</f>
        <v/>
      </c>
    </row>
    <row r="96">
      <c r="A96" s="2" t="n"/>
      <c r="B96" s="5">
        <f>IF($A96="","",IFERROR(VLOOKUP($A96,'02_Конкуренты'!$A\$4:$B\$203,2,FALSE),"не найдено"))</f>
        <v/>
      </c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7">
        <f>IF($A96="","",SUMPRODUCT($C96:$M96,$C\$2:$M\$2)/SUM($C\$2:$M\$2))</f>
        <v/>
      </c>
      <c r="O96" s="7">
        <f>IF($A96="","",IFERROR(VLOOKUP($A96,'04_Бизнес_модель'!$A\$4:$P\$203,16,FALSE),0))</f>
        <v/>
      </c>
      <c r="P96" s="6">
        <f>IF($A96="","",IFERROR(VLOOKUP($A96,'04_Бизнес_модель'!$A\$4:$O\$203,15,FALSE),0))</f>
        <v/>
      </c>
      <c r="Q96" s="7">
        <f>IF($A96="","",$N96*0.6+$O96*0.25+$P96*5*0.15)</f>
        <v/>
      </c>
    </row>
    <row r="97">
      <c r="A97" s="2" t="n"/>
      <c r="B97" s="5">
        <f>IF($A97="","",IFERROR(VLOOKUP($A97,'02_Конкуренты'!$A\$4:$B\$203,2,FALSE),"не найдено"))</f>
        <v/>
      </c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7">
        <f>IF($A97="","",SUMPRODUCT($C97:$M97,$C\$2:$M\$2)/SUM($C\$2:$M\$2))</f>
        <v/>
      </c>
      <c r="O97" s="7">
        <f>IF($A97="","",IFERROR(VLOOKUP($A97,'04_Бизнес_модель'!$A\$4:$P\$203,16,FALSE),0))</f>
        <v/>
      </c>
      <c r="P97" s="6">
        <f>IF($A97="","",IFERROR(VLOOKUP($A97,'04_Бизнес_модель'!$A\$4:$O\$203,15,FALSE),0))</f>
        <v/>
      </c>
      <c r="Q97" s="7">
        <f>IF($A97="","",$N97*0.6+$O97*0.25+$P97*5*0.15)</f>
        <v/>
      </c>
    </row>
    <row r="98">
      <c r="A98" s="2" t="n"/>
      <c r="B98" s="5">
        <f>IF($A98="","",IFERROR(VLOOKUP($A98,'02_Конкуренты'!$A\$4:$B\$203,2,FALSE),"не найдено"))</f>
        <v/>
      </c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7">
        <f>IF($A98="","",SUMPRODUCT($C98:$M98,$C\$2:$M\$2)/SUM($C\$2:$M\$2))</f>
        <v/>
      </c>
      <c r="O98" s="7">
        <f>IF($A98="","",IFERROR(VLOOKUP($A98,'04_Бизнес_модель'!$A\$4:$P\$203,16,FALSE),0))</f>
        <v/>
      </c>
      <c r="P98" s="6">
        <f>IF($A98="","",IFERROR(VLOOKUP($A98,'04_Бизнес_модель'!$A\$4:$O\$203,15,FALSE),0))</f>
        <v/>
      </c>
      <c r="Q98" s="7">
        <f>IF($A98="","",$N98*0.6+$O98*0.25+$P98*5*0.15)</f>
        <v/>
      </c>
    </row>
    <row r="99">
      <c r="A99" s="2" t="n"/>
      <c r="B99" s="5">
        <f>IF($A99="","",IFERROR(VLOOKUP($A99,'02_Конкуренты'!$A\$4:$B\$203,2,FALSE),"не найдено"))</f>
        <v/>
      </c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7">
        <f>IF($A99="","",SUMPRODUCT($C99:$M99,$C\$2:$M\$2)/SUM($C\$2:$M\$2))</f>
        <v/>
      </c>
      <c r="O99" s="7">
        <f>IF($A99="","",IFERROR(VLOOKUP($A99,'04_Бизнес_модель'!$A\$4:$P\$203,16,FALSE),0))</f>
        <v/>
      </c>
      <c r="P99" s="6">
        <f>IF($A99="","",IFERROR(VLOOKUP($A99,'04_Бизнес_модель'!$A\$4:$O\$203,15,FALSE),0))</f>
        <v/>
      </c>
      <c r="Q99" s="7">
        <f>IF($A99="","",$N99*0.6+$O99*0.25+$P99*5*0.15)</f>
        <v/>
      </c>
    </row>
    <row r="100">
      <c r="A100" s="2" t="n"/>
      <c r="B100" s="5">
        <f>IF($A100="","",IFERROR(VLOOKUP($A100,'02_Конкуренты'!$A\$4:$B\$203,2,FALSE),"не найдено"))</f>
        <v/>
      </c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7">
        <f>IF($A100="","",SUMPRODUCT($C100:$M100,$C\$2:$M\$2)/SUM($C\$2:$M\$2))</f>
        <v/>
      </c>
      <c r="O100" s="7">
        <f>IF($A100="","",IFERROR(VLOOKUP($A100,'04_Бизнес_модель'!$A\$4:$P\$203,16,FALSE),0))</f>
        <v/>
      </c>
      <c r="P100" s="6">
        <f>IF($A100="","",IFERROR(VLOOKUP($A100,'04_Бизнес_модель'!$A\$4:$O\$203,15,FALSE),0))</f>
        <v/>
      </c>
      <c r="Q100" s="7">
        <f>IF($A100="","",$N100*0.6+$O100*0.25+$P100*5*0.15)</f>
        <v/>
      </c>
    </row>
    <row r="101">
      <c r="A101" s="2" t="n"/>
      <c r="B101" s="5">
        <f>IF($A101="","",IFERROR(VLOOKUP($A101,'02_Конкуренты'!$A\$4:$B\$203,2,FALSE),"не найдено"))</f>
        <v/>
      </c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7">
        <f>IF($A101="","",SUMPRODUCT($C101:$M101,$C\$2:$M\$2)/SUM($C\$2:$M\$2))</f>
        <v/>
      </c>
      <c r="O101" s="7">
        <f>IF($A101="","",IFERROR(VLOOKUP($A101,'04_Бизнес_модель'!$A\$4:$P\$203,16,FALSE),0))</f>
        <v/>
      </c>
      <c r="P101" s="6">
        <f>IF($A101="","",IFERROR(VLOOKUP($A101,'04_Бизнес_модель'!$A\$4:$O\$203,15,FALSE),0))</f>
        <v/>
      </c>
      <c r="Q101" s="7">
        <f>IF($A101="","",$N101*0.6+$O101*0.25+$P101*5*0.15)</f>
        <v/>
      </c>
    </row>
    <row r="102">
      <c r="A102" s="2" t="n"/>
      <c r="B102" s="5">
        <f>IF($A102="","",IFERROR(VLOOKUP($A102,'02_Конкуренты'!$A\$4:$B\$203,2,FALSE),"не найдено"))</f>
        <v/>
      </c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7">
        <f>IF($A102="","",SUMPRODUCT($C102:$M102,$C\$2:$M\$2)/SUM($C\$2:$M\$2))</f>
        <v/>
      </c>
      <c r="O102" s="7">
        <f>IF($A102="","",IFERROR(VLOOKUP($A102,'04_Бизнес_модель'!$A\$4:$P\$203,16,FALSE),0))</f>
        <v/>
      </c>
      <c r="P102" s="6">
        <f>IF($A102="","",IFERROR(VLOOKUP($A102,'04_Бизнес_модель'!$A\$4:$O\$203,15,FALSE),0))</f>
        <v/>
      </c>
      <c r="Q102" s="7">
        <f>IF($A102="","",$N102*0.6+$O102*0.25+$P102*5*0.15)</f>
        <v/>
      </c>
    </row>
    <row r="103">
      <c r="A103" s="2" t="n"/>
      <c r="B103" s="5">
        <f>IF($A103="","",IFERROR(VLOOKUP($A103,'02_Конкуренты'!$A\$4:$B\$203,2,FALSE),"не найдено"))</f>
        <v/>
      </c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7">
        <f>IF($A103="","",SUMPRODUCT($C103:$M103,$C\$2:$M\$2)/SUM($C\$2:$M\$2))</f>
        <v/>
      </c>
      <c r="O103" s="7">
        <f>IF($A103="","",IFERROR(VLOOKUP($A103,'04_Бизнес_модель'!$A\$4:$P\$203,16,FALSE),0))</f>
        <v/>
      </c>
      <c r="P103" s="6">
        <f>IF($A103="","",IFERROR(VLOOKUP($A103,'04_Бизнес_модель'!$A\$4:$O\$203,15,FALSE),0))</f>
        <v/>
      </c>
      <c r="Q103" s="7">
        <f>IF($A103="","",$N103*0.6+$O103*0.25+$P103*5*0.15)</f>
        <v/>
      </c>
    </row>
    <row r="104">
      <c r="A104" s="2" t="n"/>
      <c r="B104" s="5">
        <f>IF($A104="","",IFERROR(VLOOKUP($A104,'02_Конкуренты'!$A\$4:$B\$203,2,FALSE),"не найдено"))</f>
        <v/>
      </c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7">
        <f>IF($A104="","",SUMPRODUCT($C104:$M104,$C\$2:$M\$2)/SUM($C\$2:$M\$2))</f>
        <v/>
      </c>
      <c r="O104" s="7">
        <f>IF($A104="","",IFERROR(VLOOKUP($A104,'04_Бизнес_модель'!$A\$4:$P\$203,16,FALSE),0))</f>
        <v/>
      </c>
      <c r="P104" s="6">
        <f>IF($A104="","",IFERROR(VLOOKUP($A104,'04_Бизнес_модель'!$A\$4:$O\$203,15,FALSE),0))</f>
        <v/>
      </c>
      <c r="Q104" s="7">
        <f>IF($A104="","",$N104*0.6+$O104*0.25+$P104*5*0.15)</f>
        <v/>
      </c>
    </row>
    <row r="105">
      <c r="A105" s="2" t="n"/>
      <c r="B105" s="5">
        <f>IF($A105="","",IFERROR(VLOOKUP($A105,'02_Конкуренты'!$A\$4:$B\$203,2,FALSE),"не найдено"))</f>
        <v/>
      </c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7">
        <f>IF($A105="","",SUMPRODUCT($C105:$M105,$C\$2:$M\$2)/SUM($C\$2:$M\$2))</f>
        <v/>
      </c>
      <c r="O105" s="7">
        <f>IF($A105="","",IFERROR(VLOOKUP($A105,'04_Бизнес_модель'!$A\$4:$P\$203,16,FALSE),0))</f>
        <v/>
      </c>
      <c r="P105" s="6">
        <f>IF($A105="","",IFERROR(VLOOKUP($A105,'04_Бизнес_модель'!$A\$4:$O\$203,15,FALSE),0))</f>
        <v/>
      </c>
      <c r="Q105" s="7">
        <f>IF($A105="","",$N105*0.6+$O105*0.25+$P105*5*0.15)</f>
        <v/>
      </c>
    </row>
    <row r="106">
      <c r="A106" s="2" t="n"/>
      <c r="B106" s="5">
        <f>IF($A106="","",IFERROR(VLOOKUP($A106,'02_Конкуренты'!$A\$4:$B\$203,2,FALSE),"не найдено"))</f>
        <v/>
      </c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7">
        <f>IF($A106="","",SUMPRODUCT($C106:$M106,$C\$2:$M\$2)/SUM($C\$2:$M\$2))</f>
        <v/>
      </c>
      <c r="O106" s="7">
        <f>IF($A106="","",IFERROR(VLOOKUP($A106,'04_Бизнес_модель'!$A\$4:$P\$203,16,FALSE),0))</f>
        <v/>
      </c>
      <c r="P106" s="6">
        <f>IF($A106="","",IFERROR(VLOOKUP($A106,'04_Бизнес_модель'!$A\$4:$O\$203,15,FALSE),0))</f>
        <v/>
      </c>
      <c r="Q106" s="7">
        <f>IF($A106="","",$N106*0.6+$O106*0.25+$P106*5*0.15)</f>
        <v/>
      </c>
    </row>
    <row r="107">
      <c r="A107" s="2" t="n"/>
      <c r="B107" s="5">
        <f>IF($A107="","",IFERROR(VLOOKUP($A107,'02_Конкуренты'!$A\$4:$B\$203,2,FALSE),"не найдено"))</f>
        <v/>
      </c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7">
        <f>IF($A107="","",SUMPRODUCT($C107:$M107,$C\$2:$M\$2)/SUM($C\$2:$M\$2))</f>
        <v/>
      </c>
      <c r="O107" s="7">
        <f>IF($A107="","",IFERROR(VLOOKUP($A107,'04_Бизнес_модель'!$A\$4:$P\$203,16,FALSE),0))</f>
        <v/>
      </c>
      <c r="P107" s="6">
        <f>IF($A107="","",IFERROR(VLOOKUP($A107,'04_Бизнес_модель'!$A\$4:$O\$203,15,FALSE),0))</f>
        <v/>
      </c>
      <c r="Q107" s="7">
        <f>IF($A107="","",$N107*0.6+$O107*0.25+$P107*5*0.15)</f>
        <v/>
      </c>
    </row>
    <row r="108">
      <c r="A108" s="2" t="n"/>
      <c r="B108" s="5">
        <f>IF($A108="","",IFERROR(VLOOKUP($A108,'02_Конкуренты'!$A\$4:$B\$203,2,FALSE),"не найдено"))</f>
        <v/>
      </c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7">
        <f>IF($A108="","",SUMPRODUCT($C108:$M108,$C\$2:$M\$2)/SUM($C\$2:$M\$2))</f>
        <v/>
      </c>
      <c r="O108" s="7">
        <f>IF($A108="","",IFERROR(VLOOKUP($A108,'04_Бизнес_модель'!$A\$4:$P\$203,16,FALSE),0))</f>
        <v/>
      </c>
      <c r="P108" s="6">
        <f>IF($A108="","",IFERROR(VLOOKUP($A108,'04_Бизнес_модель'!$A\$4:$O\$203,15,FALSE),0))</f>
        <v/>
      </c>
      <c r="Q108" s="7">
        <f>IF($A108="","",$N108*0.6+$O108*0.25+$P108*5*0.15)</f>
        <v/>
      </c>
    </row>
    <row r="109">
      <c r="A109" s="2" t="n"/>
      <c r="B109" s="5">
        <f>IF($A109="","",IFERROR(VLOOKUP($A109,'02_Конкуренты'!$A\$4:$B\$203,2,FALSE),"не найдено"))</f>
        <v/>
      </c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7">
        <f>IF($A109="","",SUMPRODUCT($C109:$M109,$C\$2:$M\$2)/SUM($C\$2:$M\$2))</f>
        <v/>
      </c>
      <c r="O109" s="7">
        <f>IF($A109="","",IFERROR(VLOOKUP($A109,'04_Бизнес_модель'!$A\$4:$P\$203,16,FALSE),0))</f>
        <v/>
      </c>
      <c r="P109" s="6">
        <f>IF($A109="","",IFERROR(VLOOKUP($A109,'04_Бизнес_модель'!$A\$4:$O\$203,15,FALSE),0))</f>
        <v/>
      </c>
      <c r="Q109" s="7">
        <f>IF($A109="","",$N109*0.6+$O109*0.25+$P109*5*0.15)</f>
        <v/>
      </c>
    </row>
    <row r="110">
      <c r="A110" s="2" t="n"/>
      <c r="B110" s="5">
        <f>IF($A110="","",IFERROR(VLOOKUP($A110,'02_Конкуренты'!$A\$4:$B\$203,2,FALSE),"не найдено"))</f>
        <v/>
      </c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7">
        <f>IF($A110="","",SUMPRODUCT($C110:$M110,$C\$2:$M\$2)/SUM($C\$2:$M\$2))</f>
        <v/>
      </c>
      <c r="O110" s="7">
        <f>IF($A110="","",IFERROR(VLOOKUP($A110,'04_Бизнес_модель'!$A\$4:$P\$203,16,FALSE),0))</f>
        <v/>
      </c>
      <c r="P110" s="6">
        <f>IF($A110="","",IFERROR(VLOOKUP($A110,'04_Бизнес_модель'!$A\$4:$O\$203,15,FALSE),0))</f>
        <v/>
      </c>
      <c r="Q110" s="7">
        <f>IF($A110="","",$N110*0.6+$O110*0.25+$P110*5*0.15)</f>
        <v/>
      </c>
    </row>
    <row r="111">
      <c r="A111" s="2" t="n"/>
      <c r="B111" s="5">
        <f>IF($A111="","",IFERROR(VLOOKUP($A111,'02_Конкуренты'!$A\$4:$B\$203,2,FALSE),"не найдено"))</f>
        <v/>
      </c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7">
        <f>IF($A111="","",SUMPRODUCT($C111:$M111,$C\$2:$M\$2)/SUM($C\$2:$M\$2))</f>
        <v/>
      </c>
      <c r="O111" s="7">
        <f>IF($A111="","",IFERROR(VLOOKUP($A111,'04_Бизнес_модель'!$A\$4:$P\$203,16,FALSE),0))</f>
        <v/>
      </c>
      <c r="P111" s="6">
        <f>IF($A111="","",IFERROR(VLOOKUP($A111,'04_Бизнес_модель'!$A\$4:$O\$203,15,FALSE),0))</f>
        <v/>
      </c>
      <c r="Q111" s="7">
        <f>IF($A111="","",$N111*0.6+$O111*0.25+$P111*5*0.15)</f>
        <v/>
      </c>
    </row>
    <row r="112">
      <c r="A112" s="2" t="n"/>
      <c r="B112" s="5">
        <f>IF($A112="","",IFERROR(VLOOKUP($A112,'02_Конкуренты'!$A\$4:$B\$203,2,FALSE),"не найдено"))</f>
        <v/>
      </c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7">
        <f>IF($A112="","",SUMPRODUCT($C112:$M112,$C\$2:$M\$2)/SUM($C\$2:$M\$2))</f>
        <v/>
      </c>
      <c r="O112" s="7">
        <f>IF($A112="","",IFERROR(VLOOKUP($A112,'04_Бизнес_модель'!$A\$4:$P\$203,16,FALSE),0))</f>
        <v/>
      </c>
      <c r="P112" s="6">
        <f>IF($A112="","",IFERROR(VLOOKUP($A112,'04_Бизнес_модель'!$A\$4:$O\$203,15,FALSE),0))</f>
        <v/>
      </c>
      <c r="Q112" s="7">
        <f>IF($A112="","",$N112*0.6+$O112*0.25+$P112*5*0.15)</f>
        <v/>
      </c>
    </row>
    <row r="113">
      <c r="A113" s="2" t="n"/>
      <c r="B113" s="5">
        <f>IF($A113="","",IFERROR(VLOOKUP($A113,'02_Конкуренты'!$A\$4:$B\$203,2,FALSE),"не найдено"))</f>
        <v/>
      </c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7">
        <f>IF($A113="","",SUMPRODUCT($C113:$M113,$C\$2:$M\$2)/SUM($C\$2:$M\$2))</f>
        <v/>
      </c>
      <c r="O113" s="7">
        <f>IF($A113="","",IFERROR(VLOOKUP($A113,'04_Бизнес_модель'!$A\$4:$P\$203,16,FALSE),0))</f>
        <v/>
      </c>
      <c r="P113" s="6">
        <f>IF($A113="","",IFERROR(VLOOKUP($A113,'04_Бизнес_модель'!$A\$4:$O\$203,15,FALSE),0))</f>
        <v/>
      </c>
      <c r="Q113" s="7">
        <f>IF($A113="","",$N113*0.6+$O113*0.25+$P113*5*0.15)</f>
        <v/>
      </c>
    </row>
    <row r="114">
      <c r="A114" s="2" t="n"/>
      <c r="B114" s="5">
        <f>IF($A114="","",IFERROR(VLOOKUP($A114,'02_Конкуренты'!$A\$4:$B\$203,2,FALSE),"не найдено"))</f>
        <v/>
      </c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7">
        <f>IF($A114="","",SUMPRODUCT($C114:$M114,$C\$2:$M\$2)/SUM($C\$2:$M\$2))</f>
        <v/>
      </c>
      <c r="O114" s="7">
        <f>IF($A114="","",IFERROR(VLOOKUP($A114,'04_Бизнес_модель'!$A\$4:$P\$203,16,FALSE),0))</f>
        <v/>
      </c>
      <c r="P114" s="6">
        <f>IF($A114="","",IFERROR(VLOOKUP($A114,'04_Бизнес_модель'!$A\$4:$O\$203,15,FALSE),0))</f>
        <v/>
      </c>
      <c r="Q114" s="7">
        <f>IF($A114="","",$N114*0.6+$O114*0.25+$P114*5*0.15)</f>
        <v/>
      </c>
    </row>
    <row r="115">
      <c r="A115" s="2" t="n"/>
      <c r="B115" s="5">
        <f>IF($A115="","",IFERROR(VLOOKUP($A115,'02_Конкуренты'!$A\$4:$B\$203,2,FALSE),"не найдено"))</f>
        <v/>
      </c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7">
        <f>IF($A115="","",SUMPRODUCT($C115:$M115,$C\$2:$M\$2)/SUM($C\$2:$M\$2))</f>
        <v/>
      </c>
      <c r="O115" s="7">
        <f>IF($A115="","",IFERROR(VLOOKUP($A115,'04_Бизнес_модель'!$A\$4:$P\$203,16,FALSE),0))</f>
        <v/>
      </c>
      <c r="P115" s="6">
        <f>IF($A115="","",IFERROR(VLOOKUP($A115,'04_Бизнес_модель'!$A\$4:$O\$203,15,FALSE),0))</f>
        <v/>
      </c>
      <c r="Q115" s="7">
        <f>IF($A115="","",$N115*0.6+$O115*0.25+$P115*5*0.15)</f>
        <v/>
      </c>
    </row>
    <row r="116">
      <c r="A116" s="2" t="n"/>
      <c r="B116" s="5">
        <f>IF($A116="","",IFERROR(VLOOKUP($A116,'02_Конкуренты'!$A\$4:$B\$203,2,FALSE),"не найдено"))</f>
        <v/>
      </c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7">
        <f>IF($A116="","",SUMPRODUCT($C116:$M116,$C\$2:$M\$2)/SUM($C\$2:$M\$2))</f>
        <v/>
      </c>
      <c r="O116" s="7">
        <f>IF($A116="","",IFERROR(VLOOKUP($A116,'04_Бизнес_модель'!$A\$4:$P\$203,16,FALSE),0))</f>
        <v/>
      </c>
      <c r="P116" s="6">
        <f>IF($A116="","",IFERROR(VLOOKUP($A116,'04_Бизнес_модель'!$A\$4:$O\$203,15,FALSE),0))</f>
        <v/>
      </c>
      <c r="Q116" s="7">
        <f>IF($A116="","",$N116*0.6+$O116*0.25+$P116*5*0.15)</f>
        <v/>
      </c>
    </row>
    <row r="117">
      <c r="A117" s="2" t="n"/>
      <c r="B117" s="5">
        <f>IF($A117="","",IFERROR(VLOOKUP($A117,'02_Конкуренты'!$A\$4:$B\$203,2,FALSE),"не найдено"))</f>
        <v/>
      </c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7">
        <f>IF($A117="","",SUMPRODUCT($C117:$M117,$C\$2:$M\$2)/SUM($C\$2:$M\$2))</f>
        <v/>
      </c>
      <c r="O117" s="7">
        <f>IF($A117="","",IFERROR(VLOOKUP($A117,'04_Бизнес_модель'!$A\$4:$P\$203,16,FALSE),0))</f>
        <v/>
      </c>
      <c r="P117" s="6">
        <f>IF($A117="","",IFERROR(VLOOKUP($A117,'04_Бизнес_модель'!$A\$4:$O\$203,15,FALSE),0))</f>
        <v/>
      </c>
      <c r="Q117" s="7">
        <f>IF($A117="","",$N117*0.6+$O117*0.25+$P117*5*0.15)</f>
        <v/>
      </c>
    </row>
    <row r="118">
      <c r="A118" s="2" t="n"/>
      <c r="B118" s="5">
        <f>IF($A118="","",IFERROR(VLOOKUP($A118,'02_Конкуренты'!$A\$4:$B\$203,2,FALSE),"не найдено"))</f>
        <v/>
      </c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7">
        <f>IF($A118="","",SUMPRODUCT($C118:$M118,$C\$2:$M\$2)/SUM($C\$2:$M\$2))</f>
        <v/>
      </c>
      <c r="O118" s="7">
        <f>IF($A118="","",IFERROR(VLOOKUP($A118,'04_Бизнес_модель'!$A\$4:$P\$203,16,FALSE),0))</f>
        <v/>
      </c>
      <c r="P118" s="6">
        <f>IF($A118="","",IFERROR(VLOOKUP($A118,'04_Бизнес_модель'!$A\$4:$O\$203,15,FALSE),0))</f>
        <v/>
      </c>
      <c r="Q118" s="7">
        <f>IF($A118="","",$N118*0.6+$O118*0.25+$P118*5*0.15)</f>
        <v/>
      </c>
    </row>
    <row r="119">
      <c r="A119" s="2" t="n"/>
      <c r="B119" s="5">
        <f>IF($A119="","",IFERROR(VLOOKUP($A119,'02_Конкуренты'!$A\$4:$B\$203,2,FALSE),"не найдено"))</f>
        <v/>
      </c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7">
        <f>IF($A119="","",SUMPRODUCT($C119:$M119,$C\$2:$M\$2)/SUM($C\$2:$M\$2))</f>
        <v/>
      </c>
      <c r="O119" s="7">
        <f>IF($A119="","",IFERROR(VLOOKUP($A119,'04_Бизнес_модель'!$A\$4:$P\$203,16,FALSE),0))</f>
        <v/>
      </c>
      <c r="P119" s="6">
        <f>IF($A119="","",IFERROR(VLOOKUP($A119,'04_Бизнес_модель'!$A\$4:$O\$203,15,FALSE),0))</f>
        <v/>
      </c>
      <c r="Q119" s="7">
        <f>IF($A119="","",$N119*0.6+$O119*0.25+$P119*5*0.15)</f>
        <v/>
      </c>
    </row>
    <row r="120">
      <c r="A120" s="2" t="n"/>
      <c r="B120" s="5">
        <f>IF($A120="","",IFERROR(VLOOKUP($A120,'02_Конкуренты'!$A\$4:$B\$203,2,FALSE),"не найдено"))</f>
        <v/>
      </c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7">
        <f>IF($A120="","",SUMPRODUCT($C120:$M120,$C\$2:$M\$2)/SUM($C\$2:$M\$2))</f>
        <v/>
      </c>
      <c r="O120" s="7">
        <f>IF($A120="","",IFERROR(VLOOKUP($A120,'04_Бизнес_модель'!$A\$4:$P\$203,16,FALSE),0))</f>
        <v/>
      </c>
      <c r="P120" s="6">
        <f>IF($A120="","",IFERROR(VLOOKUP($A120,'04_Бизнес_модель'!$A\$4:$O\$203,15,FALSE),0))</f>
        <v/>
      </c>
      <c r="Q120" s="7">
        <f>IF($A120="","",$N120*0.6+$O120*0.25+$P120*5*0.15)</f>
        <v/>
      </c>
    </row>
    <row r="121">
      <c r="A121" s="2" t="n"/>
      <c r="B121" s="5">
        <f>IF($A121="","",IFERROR(VLOOKUP($A121,'02_Конкуренты'!$A\$4:$B\$203,2,FALSE),"не найдено"))</f>
        <v/>
      </c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7">
        <f>IF($A121="","",SUMPRODUCT($C121:$M121,$C\$2:$M\$2)/SUM($C\$2:$M\$2))</f>
        <v/>
      </c>
      <c r="O121" s="7">
        <f>IF($A121="","",IFERROR(VLOOKUP($A121,'04_Бизнес_модель'!$A\$4:$P\$203,16,FALSE),0))</f>
        <v/>
      </c>
      <c r="P121" s="6">
        <f>IF($A121="","",IFERROR(VLOOKUP($A121,'04_Бизнес_модель'!$A\$4:$O\$203,15,FALSE),0))</f>
        <v/>
      </c>
      <c r="Q121" s="7">
        <f>IF($A121="","",$N121*0.6+$O121*0.25+$P121*5*0.15)</f>
        <v/>
      </c>
    </row>
    <row r="122">
      <c r="A122" s="2" t="n"/>
      <c r="B122" s="5">
        <f>IF($A122="","",IFERROR(VLOOKUP($A122,'02_Конкуренты'!$A\$4:$B\$203,2,FALSE),"не найдено"))</f>
        <v/>
      </c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7">
        <f>IF($A122="","",SUMPRODUCT($C122:$M122,$C\$2:$M\$2)/SUM($C\$2:$M\$2))</f>
        <v/>
      </c>
      <c r="O122" s="7">
        <f>IF($A122="","",IFERROR(VLOOKUP($A122,'04_Бизнес_модель'!$A\$4:$P\$203,16,FALSE),0))</f>
        <v/>
      </c>
      <c r="P122" s="6">
        <f>IF($A122="","",IFERROR(VLOOKUP($A122,'04_Бизнес_модель'!$A\$4:$O\$203,15,FALSE),0))</f>
        <v/>
      </c>
      <c r="Q122" s="7">
        <f>IF($A122="","",$N122*0.6+$O122*0.25+$P122*5*0.15)</f>
        <v/>
      </c>
    </row>
    <row r="123">
      <c r="A123" s="2" t="n"/>
      <c r="B123" s="5">
        <f>IF($A123="","",IFERROR(VLOOKUP($A123,'02_Конкуренты'!$A\$4:$B\$203,2,FALSE),"не найдено"))</f>
        <v/>
      </c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7">
        <f>IF($A123="","",SUMPRODUCT($C123:$M123,$C\$2:$M\$2)/SUM($C\$2:$M\$2))</f>
        <v/>
      </c>
      <c r="O123" s="7">
        <f>IF($A123="","",IFERROR(VLOOKUP($A123,'04_Бизнес_модель'!$A\$4:$P\$203,16,FALSE),0))</f>
        <v/>
      </c>
      <c r="P123" s="6">
        <f>IF($A123="","",IFERROR(VLOOKUP($A123,'04_Бизнес_модель'!$A\$4:$O\$203,15,FALSE),0))</f>
        <v/>
      </c>
      <c r="Q123" s="7">
        <f>IF($A123="","",$N123*0.6+$O123*0.25+$P123*5*0.15)</f>
        <v/>
      </c>
    </row>
    <row r="124">
      <c r="A124" s="2" t="n"/>
      <c r="B124" s="5">
        <f>IF($A124="","",IFERROR(VLOOKUP($A124,'02_Конкуренты'!$A\$4:$B\$203,2,FALSE),"не найдено"))</f>
        <v/>
      </c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7">
        <f>IF($A124="","",SUMPRODUCT($C124:$M124,$C\$2:$M\$2)/SUM($C\$2:$M\$2))</f>
        <v/>
      </c>
      <c r="O124" s="7">
        <f>IF($A124="","",IFERROR(VLOOKUP($A124,'04_Бизнес_модель'!$A\$4:$P\$203,16,FALSE),0))</f>
        <v/>
      </c>
      <c r="P124" s="6">
        <f>IF($A124="","",IFERROR(VLOOKUP($A124,'04_Бизнес_модель'!$A\$4:$O\$203,15,FALSE),0))</f>
        <v/>
      </c>
      <c r="Q124" s="7">
        <f>IF($A124="","",$N124*0.6+$O124*0.25+$P124*5*0.15)</f>
        <v/>
      </c>
    </row>
    <row r="125">
      <c r="A125" s="2" t="n"/>
      <c r="B125" s="5">
        <f>IF($A125="","",IFERROR(VLOOKUP($A125,'02_Конкуренты'!$A\$4:$B\$203,2,FALSE),"не найдено"))</f>
        <v/>
      </c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7">
        <f>IF($A125="","",SUMPRODUCT($C125:$M125,$C\$2:$M\$2)/SUM($C\$2:$M\$2))</f>
        <v/>
      </c>
      <c r="O125" s="7">
        <f>IF($A125="","",IFERROR(VLOOKUP($A125,'04_Бизнес_модель'!$A\$4:$P\$203,16,FALSE),0))</f>
        <v/>
      </c>
      <c r="P125" s="6">
        <f>IF($A125="","",IFERROR(VLOOKUP($A125,'04_Бизнес_модель'!$A\$4:$O\$203,15,FALSE),0))</f>
        <v/>
      </c>
      <c r="Q125" s="7">
        <f>IF($A125="","",$N125*0.6+$O125*0.25+$P125*5*0.15)</f>
        <v/>
      </c>
    </row>
    <row r="126">
      <c r="A126" s="2" t="n"/>
      <c r="B126" s="5">
        <f>IF($A126="","",IFERROR(VLOOKUP($A126,'02_Конкуренты'!$A\$4:$B\$203,2,FALSE),"не найдено"))</f>
        <v/>
      </c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7">
        <f>IF($A126="","",SUMPRODUCT($C126:$M126,$C\$2:$M\$2)/SUM($C\$2:$M\$2))</f>
        <v/>
      </c>
      <c r="O126" s="7">
        <f>IF($A126="","",IFERROR(VLOOKUP($A126,'04_Бизнес_модель'!$A\$4:$P\$203,16,FALSE),0))</f>
        <v/>
      </c>
      <c r="P126" s="6">
        <f>IF($A126="","",IFERROR(VLOOKUP($A126,'04_Бизнес_модель'!$A\$4:$O\$203,15,FALSE),0))</f>
        <v/>
      </c>
      <c r="Q126" s="7">
        <f>IF($A126="","",$N126*0.6+$O126*0.25+$P126*5*0.15)</f>
        <v/>
      </c>
    </row>
    <row r="127">
      <c r="A127" s="2" t="n"/>
      <c r="B127" s="5">
        <f>IF($A127="","",IFERROR(VLOOKUP($A127,'02_Конкуренты'!$A\$4:$B\$203,2,FALSE),"не найдено"))</f>
        <v/>
      </c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7">
        <f>IF($A127="","",SUMPRODUCT($C127:$M127,$C\$2:$M\$2)/SUM($C\$2:$M\$2))</f>
        <v/>
      </c>
      <c r="O127" s="7">
        <f>IF($A127="","",IFERROR(VLOOKUP($A127,'04_Бизнес_модель'!$A\$4:$P\$203,16,FALSE),0))</f>
        <v/>
      </c>
      <c r="P127" s="6">
        <f>IF($A127="","",IFERROR(VLOOKUP($A127,'04_Бизнес_модель'!$A\$4:$O\$203,15,FALSE),0))</f>
        <v/>
      </c>
      <c r="Q127" s="7">
        <f>IF($A127="","",$N127*0.6+$O127*0.25+$P127*5*0.15)</f>
        <v/>
      </c>
    </row>
    <row r="128">
      <c r="A128" s="2" t="n"/>
      <c r="B128" s="5">
        <f>IF($A128="","",IFERROR(VLOOKUP($A128,'02_Конкуренты'!$A\$4:$B\$203,2,FALSE),"не найдено"))</f>
        <v/>
      </c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7">
        <f>IF($A128="","",SUMPRODUCT($C128:$M128,$C\$2:$M\$2)/SUM($C\$2:$M\$2))</f>
        <v/>
      </c>
      <c r="O128" s="7">
        <f>IF($A128="","",IFERROR(VLOOKUP($A128,'04_Бизнес_модель'!$A\$4:$P\$203,16,FALSE),0))</f>
        <v/>
      </c>
      <c r="P128" s="6">
        <f>IF($A128="","",IFERROR(VLOOKUP($A128,'04_Бизнес_модель'!$A\$4:$O\$203,15,FALSE),0))</f>
        <v/>
      </c>
      <c r="Q128" s="7">
        <f>IF($A128="","",$N128*0.6+$O128*0.25+$P128*5*0.15)</f>
        <v/>
      </c>
    </row>
    <row r="129">
      <c r="A129" s="2" t="n"/>
      <c r="B129" s="5">
        <f>IF($A129="","",IFERROR(VLOOKUP($A129,'02_Конкуренты'!$A\$4:$B\$203,2,FALSE),"не найдено"))</f>
        <v/>
      </c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7">
        <f>IF($A129="","",SUMPRODUCT($C129:$M129,$C\$2:$M\$2)/SUM($C\$2:$M\$2))</f>
        <v/>
      </c>
      <c r="O129" s="7">
        <f>IF($A129="","",IFERROR(VLOOKUP($A129,'04_Бизнес_модель'!$A\$4:$P\$203,16,FALSE),0))</f>
        <v/>
      </c>
      <c r="P129" s="6">
        <f>IF($A129="","",IFERROR(VLOOKUP($A129,'04_Бизнес_модель'!$A\$4:$O\$203,15,FALSE),0))</f>
        <v/>
      </c>
      <c r="Q129" s="7">
        <f>IF($A129="","",$N129*0.6+$O129*0.25+$P129*5*0.15)</f>
        <v/>
      </c>
    </row>
    <row r="130">
      <c r="A130" s="2" t="n"/>
      <c r="B130" s="5">
        <f>IF($A130="","",IFERROR(VLOOKUP($A130,'02_Конкуренты'!$A\$4:$B\$203,2,FALSE),"не найдено"))</f>
        <v/>
      </c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7">
        <f>IF($A130="","",SUMPRODUCT($C130:$M130,$C\$2:$M\$2)/SUM($C\$2:$M\$2))</f>
        <v/>
      </c>
      <c r="O130" s="7">
        <f>IF($A130="","",IFERROR(VLOOKUP($A130,'04_Бизнес_модель'!$A\$4:$P\$203,16,FALSE),0))</f>
        <v/>
      </c>
      <c r="P130" s="6">
        <f>IF($A130="","",IFERROR(VLOOKUP($A130,'04_Бизнес_модель'!$A\$4:$O\$203,15,FALSE),0))</f>
        <v/>
      </c>
      <c r="Q130" s="7">
        <f>IF($A130="","",$N130*0.6+$O130*0.25+$P130*5*0.15)</f>
        <v/>
      </c>
    </row>
    <row r="131">
      <c r="A131" s="2" t="n"/>
      <c r="B131" s="5">
        <f>IF($A131="","",IFERROR(VLOOKUP($A131,'02_Конкуренты'!$A\$4:$B\$203,2,FALSE),"не найдено"))</f>
        <v/>
      </c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7">
        <f>IF($A131="","",SUMPRODUCT($C131:$M131,$C\$2:$M\$2)/SUM($C\$2:$M\$2))</f>
        <v/>
      </c>
      <c r="O131" s="7">
        <f>IF($A131="","",IFERROR(VLOOKUP($A131,'04_Бизнес_модель'!$A\$4:$P\$203,16,FALSE),0))</f>
        <v/>
      </c>
      <c r="P131" s="6">
        <f>IF($A131="","",IFERROR(VLOOKUP($A131,'04_Бизнес_модель'!$A\$4:$O\$203,15,FALSE),0))</f>
        <v/>
      </c>
      <c r="Q131" s="7">
        <f>IF($A131="","",$N131*0.6+$O131*0.25+$P131*5*0.15)</f>
        <v/>
      </c>
    </row>
    <row r="132">
      <c r="A132" s="2" t="n"/>
      <c r="B132" s="5">
        <f>IF($A132="","",IFERROR(VLOOKUP($A132,'02_Конкуренты'!$A\$4:$B\$203,2,FALSE),"не найдено"))</f>
        <v/>
      </c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7">
        <f>IF($A132="","",SUMPRODUCT($C132:$M132,$C\$2:$M\$2)/SUM($C\$2:$M\$2))</f>
        <v/>
      </c>
      <c r="O132" s="7">
        <f>IF($A132="","",IFERROR(VLOOKUP($A132,'04_Бизнес_модель'!$A\$4:$P\$203,16,FALSE),0))</f>
        <v/>
      </c>
      <c r="P132" s="6">
        <f>IF($A132="","",IFERROR(VLOOKUP($A132,'04_Бизнес_модель'!$A\$4:$O\$203,15,FALSE),0))</f>
        <v/>
      </c>
      <c r="Q132" s="7">
        <f>IF($A132="","",$N132*0.6+$O132*0.25+$P132*5*0.15)</f>
        <v/>
      </c>
    </row>
    <row r="133">
      <c r="A133" s="2" t="n"/>
      <c r="B133" s="5">
        <f>IF($A133="","",IFERROR(VLOOKUP($A133,'02_Конкуренты'!$A\$4:$B\$203,2,FALSE),"не найдено"))</f>
        <v/>
      </c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7">
        <f>IF($A133="","",SUMPRODUCT($C133:$M133,$C\$2:$M\$2)/SUM($C\$2:$M\$2))</f>
        <v/>
      </c>
      <c r="O133" s="7">
        <f>IF($A133="","",IFERROR(VLOOKUP($A133,'04_Бизнес_модель'!$A\$4:$P\$203,16,FALSE),0))</f>
        <v/>
      </c>
      <c r="P133" s="6">
        <f>IF($A133="","",IFERROR(VLOOKUP($A133,'04_Бизнес_модель'!$A\$4:$O\$203,15,FALSE),0))</f>
        <v/>
      </c>
      <c r="Q133" s="7">
        <f>IF($A133="","",$N133*0.6+$O133*0.25+$P133*5*0.15)</f>
        <v/>
      </c>
    </row>
    <row r="134">
      <c r="A134" s="2" t="n"/>
      <c r="B134" s="5">
        <f>IF($A134="","",IFERROR(VLOOKUP($A134,'02_Конкуренты'!$A\$4:$B\$203,2,FALSE),"не найдено"))</f>
        <v/>
      </c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7">
        <f>IF($A134="","",SUMPRODUCT($C134:$M134,$C\$2:$M\$2)/SUM($C\$2:$M\$2))</f>
        <v/>
      </c>
      <c r="O134" s="7">
        <f>IF($A134="","",IFERROR(VLOOKUP($A134,'04_Бизнес_модель'!$A\$4:$P\$203,16,FALSE),0))</f>
        <v/>
      </c>
      <c r="P134" s="6">
        <f>IF($A134="","",IFERROR(VLOOKUP($A134,'04_Бизнес_модель'!$A\$4:$O\$203,15,FALSE),0))</f>
        <v/>
      </c>
      <c r="Q134" s="7">
        <f>IF($A134="","",$N134*0.6+$O134*0.25+$P134*5*0.15)</f>
        <v/>
      </c>
    </row>
    <row r="135">
      <c r="A135" s="2" t="n"/>
      <c r="B135" s="5">
        <f>IF($A135="","",IFERROR(VLOOKUP($A135,'02_Конкуренты'!$A\$4:$B\$203,2,FALSE),"не найдено"))</f>
        <v/>
      </c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7">
        <f>IF($A135="","",SUMPRODUCT($C135:$M135,$C\$2:$M\$2)/SUM($C\$2:$M\$2))</f>
        <v/>
      </c>
      <c r="O135" s="7">
        <f>IF($A135="","",IFERROR(VLOOKUP($A135,'04_Бизнес_модель'!$A\$4:$P\$203,16,FALSE),0))</f>
        <v/>
      </c>
      <c r="P135" s="6">
        <f>IF($A135="","",IFERROR(VLOOKUP($A135,'04_Бизнес_модель'!$A\$4:$O\$203,15,FALSE),0))</f>
        <v/>
      </c>
      <c r="Q135" s="7">
        <f>IF($A135="","",$N135*0.6+$O135*0.25+$P135*5*0.15)</f>
        <v/>
      </c>
    </row>
    <row r="136">
      <c r="A136" s="2" t="n"/>
      <c r="B136" s="5">
        <f>IF($A136="","",IFERROR(VLOOKUP($A136,'02_Конкуренты'!$A\$4:$B\$203,2,FALSE),"не найдено"))</f>
        <v/>
      </c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7">
        <f>IF($A136="","",SUMPRODUCT($C136:$M136,$C\$2:$M\$2)/SUM($C\$2:$M\$2))</f>
        <v/>
      </c>
      <c r="O136" s="7">
        <f>IF($A136="","",IFERROR(VLOOKUP($A136,'04_Бизнес_модель'!$A\$4:$P\$203,16,FALSE),0))</f>
        <v/>
      </c>
      <c r="P136" s="6">
        <f>IF($A136="","",IFERROR(VLOOKUP($A136,'04_Бизнес_модель'!$A\$4:$O\$203,15,FALSE),0))</f>
        <v/>
      </c>
      <c r="Q136" s="7">
        <f>IF($A136="","",$N136*0.6+$O136*0.25+$P136*5*0.15)</f>
        <v/>
      </c>
    </row>
    <row r="137">
      <c r="A137" s="2" t="n"/>
      <c r="B137" s="5">
        <f>IF($A137="","",IFERROR(VLOOKUP($A137,'02_Конкуренты'!$A\$4:$B\$203,2,FALSE),"не найдено"))</f>
        <v/>
      </c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7">
        <f>IF($A137="","",SUMPRODUCT($C137:$M137,$C\$2:$M\$2)/SUM($C\$2:$M\$2))</f>
        <v/>
      </c>
      <c r="O137" s="7">
        <f>IF($A137="","",IFERROR(VLOOKUP($A137,'04_Бизнес_модель'!$A\$4:$P\$203,16,FALSE),0))</f>
        <v/>
      </c>
      <c r="P137" s="6">
        <f>IF($A137="","",IFERROR(VLOOKUP($A137,'04_Бизнес_модель'!$A\$4:$O\$203,15,FALSE),0))</f>
        <v/>
      </c>
      <c r="Q137" s="7">
        <f>IF($A137="","",$N137*0.6+$O137*0.25+$P137*5*0.15)</f>
        <v/>
      </c>
    </row>
    <row r="138">
      <c r="A138" s="2" t="n"/>
      <c r="B138" s="5">
        <f>IF($A138="","",IFERROR(VLOOKUP($A138,'02_Конкуренты'!$A\$4:$B\$203,2,FALSE),"не найдено"))</f>
        <v/>
      </c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7">
        <f>IF($A138="","",SUMPRODUCT($C138:$M138,$C\$2:$M\$2)/SUM($C\$2:$M\$2))</f>
        <v/>
      </c>
      <c r="O138" s="7">
        <f>IF($A138="","",IFERROR(VLOOKUP($A138,'04_Бизнес_модель'!$A\$4:$P\$203,16,FALSE),0))</f>
        <v/>
      </c>
      <c r="P138" s="6">
        <f>IF($A138="","",IFERROR(VLOOKUP($A138,'04_Бизнес_модель'!$A\$4:$O\$203,15,FALSE),0))</f>
        <v/>
      </c>
      <c r="Q138" s="7">
        <f>IF($A138="","",$N138*0.6+$O138*0.25+$P138*5*0.15)</f>
        <v/>
      </c>
    </row>
    <row r="139">
      <c r="A139" s="2" t="n"/>
      <c r="B139" s="5">
        <f>IF($A139="","",IFERROR(VLOOKUP($A139,'02_Конкуренты'!$A\$4:$B\$203,2,FALSE),"не найдено"))</f>
        <v/>
      </c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7">
        <f>IF($A139="","",SUMPRODUCT($C139:$M139,$C\$2:$M\$2)/SUM($C\$2:$M\$2))</f>
        <v/>
      </c>
      <c r="O139" s="7">
        <f>IF($A139="","",IFERROR(VLOOKUP($A139,'04_Бизнес_модель'!$A\$4:$P\$203,16,FALSE),0))</f>
        <v/>
      </c>
      <c r="P139" s="6">
        <f>IF($A139="","",IFERROR(VLOOKUP($A139,'04_Бизнес_модель'!$A\$4:$O\$203,15,FALSE),0))</f>
        <v/>
      </c>
      <c r="Q139" s="7">
        <f>IF($A139="","",$N139*0.6+$O139*0.25+$P139*5*0.15)</f>
        <v/>
      </c>
    </row>
    <row r="140">
      <c r="A140" s="2" t="n"/>
      <c r="B140" s="5">
        <f>IF($A140="","",IFERROR(VLOOKUP($A140,'02_Конкуренты'!$A\$4:$B\$203,2,FALSE),"не найдено"))</f>
        <v/>
      </c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7">
        <f>IF($A140="","",SUMPRODUCT($C140:$M140,$C\$2:$M\$2)/SUM($C\$2:$M\$2))</f>
        <v/>
      </c>
      <c r="O140" s="7">
        <f>IF($A140="","",IFERROR(VLOOKUP($A140,'04_Бизнес_модель'!$A\$4:$P\$203,16,FALSE),0))</f>
        <v/>
      </c>
      <c r="P140" s="6">
        <f>IF($A140="","",IFERROR(VLOOKUP($A140,'04_Бизнес_модель'!$A\$4:$O\$203,15,FALSE),0))</f>
        <v/>
      </c>
      <c r="Q140" s="7">
        <f>IF($A140="","",$N140*0.6+$O140*0.25+$P140*5*0.15)</f>
        <v/>
      </c>
    </row>
    <row r="141">
      <c r="A141" s="2" t="n"/>
      <c r="B141" s="5">
        <f>IF($A141="","",IFERROR(VLOOKUP($A141,'02_Конкуренты'!$A\$4:$B\$203,2,FALSE),"не найдено"))</f>
        <v/>
      </c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7">
        <f>IF($A141="","",SUMPRODUCT($C141:$M141,$C\$2:$M\$2)/SUM($C\$2:$M\$2))</f>
        <v/>
      </c>
      <c r="O141" s="7">
        <f>IF($A141="","",IFERROR(VLOOKUP($A141,'04_Бизнес_модель'!$A\$4:$P\$203,16,FALSE),0))</f>
        <v/>
      </c>
      <c r="P141" s="6">
        <f>IF($A141="","",IFERROR(VLOOKUP($A141,'04_Бизнес_модель'!$A\$4:$O\$203,15,FALSE),0))</f>
        <v/>
      </c>
      <c r="Q141" s="7">
        <f>IF($A141="","",$N141*0.6+$O141*0.25+$P141*5*0.15)</f>
        <v/>
      </c>
    </row>
    <row r="142">
      <c r="A142" s="2" t="n"/>
      <c r="B142" s="5">
        <f>IF($A142="","",IFERROR(VLOOKUP($A142,'02_Конкуренты'!$A\$4:$B\$203,2,FALSE),"не найдено"))</f>
        <v/>
      </c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7">
        <f>IF($A142="","",SUMPRODUCT($C142:$M142,$C\$2:$M\$2)/SUM($C\$2:$M\$2))</f>
        <v/>
      </c>
      <c r="O142" s="7">
        <f>IF($A142="","",IFERROR(VLOOKUP($A142,'04_Бизнес_модель'!$A\$4:$P\$203,16,FALSE),0))</f>
        <v/>
      </c>
      <c r="P142" s="6">
        <f>IF($A142="","",IFERROR(VLOOKUP($A142,'04_Бизнес_модель'!$A\$4:$O\$203,15,FALSE),0))</f>
        <v/>
      </c>
      <c r="Q142" s="7">
        <f>IF($A142="","",$N142*0.6+$O142*0.25+$P142*5*0.15)</f>
        <v/>
      </c>
    </row>
    <row r="143">
      <c r="A143" s="2" t="n"/>
      <c r="B143" s="5">
        <f>IF($A143="","",IFERROR(VLOOKUP($A143,'02_Конкуренты'!$A\$4:$B\$203,2,FALSE),"не найдено"))</f>
        <v/>
      </c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7">
        <f>IF($A143="","",SUMPRODUCT($C143:$M143,$C\$2:$M\$2)/SUM($C\$2:$M\$2))</f>
        <v/>
      </c>
      <c r="O143" s="7">
        <f>IF($A143="","",IFERROR(VLOOKUP($A143,'04_Бизнес_модель'!$A\$4:$P\$203,16,FALSE),0))</f>
        <v/>
      </c>
      <c r="P143" s="6">
        <f>IF($A143="","",IFERROR(VLOOKUP($A143,'04_Бизнес_модель'!$A\$4:$O\$203,15,FALSE),0))</f>
        <v/>
      </c>
      <c r="Q143" s="7">
        <f>IF($A143="","",$N143*0.6+$O143*0.25+$P143*5*0.15)</f>
        <v/>
      </c>
    </row>
    <row r="144">
      <c r="A144" s="2" t="n"/>
      <c r="B144" s="5">
        <f>IF($A144="","",IFERROR(VLOOKUP($A144,'02_Конкуренты'!$A\$4:$B\$203,2,FALSE),"не найдено"))</f>
        <v/>
      </c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7">
        <f>IF($A144="","",SUMPRODUCT($C144:$M144,$C\$2:$M\$2)/SUM($C\$2:$M\$2))</f>
        <v/>
      </c>
      <c r="O144" s="7">
        <f>IF($A144="","",IFERROR(VLOOKUP($A144,'04_Бизнес_модель'!$A\$4:$P\$203,16,FALSE),0))</f>
        <v/>
      </c>
      <c r="P144" s="6">
        <f>IF($A144="","",IFERROR(VLOOKUP($A144,'04_Бизнес_модель'!$A\$4:$O\$203,15,FALSE),0))</f>
        <v/>
      </c>
      <c r="Q144" s="7">
        <f>IF($A144="","",$N144*0.6+$O144*0.25+$P144*5*0.15)</f>
        <v/>
      </c>
    </row>
    <row r="145">
      <c r="A145" s="2" t="n"/>
      <c r="B145" s="5">
        <f>IF($A145="","",IFERROR(VLOOKUP($A145,'02_Конкуренты'!$A\$4:$B\$203,2,FALSE),"не найдено"))</f>
        <v/>
      </c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7">
        <f>IF($A145="","",SUMPRODUCT($C145:$M145,$C\$2:$M\$2)/SUM($C\$2:$M\$2))</f>
        <v/>
      </c>
      <c r="O145" s="7">
        <f>IF($A145="","",IFERROR(VLOOKUP($A145,'04_Бизнес_модель'!$A\$4:$P\$203,16,FALSE),0))</f>
        <v/>
      </c>
      <c r="P145" s="6">
        <f>IF($A145="","",IFERROR(VLOOKUP($A145,'04_Бизнес_модель'!$A\$4:$O\$203,15,FALSE),0))</f>
        <v/>
      </c>
      <c r="Q145" s="7">
        <f>IF($A145="","",$N145*0.6+$O145*0.25+$P145*5*0.15)</f>
        <v/>
      </c>
    </row>
    <row r="146">
      <c r="A146" s="2" t="n"/>
      <c r="B146" s="5">
        <f>IF($A146="","",IFERROR(VLOOKUP($A146,'02_Конкуренты'!$A\$4:$B\$203,2,FALSE),"не найдено"))</f>
        <v/>
      </c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7">
        <f>IF($A146="","",SUMPRODUCT($C146:$M146,$C\$2:$M\$2)/SUM($C\$2:$M\$2))</f>
        <v/>
      </c>
      <c r="O146" s="7">
        <f>IF($A146="","",IFERROR(VLOOKUP($A146,'04_Бизнес_модель'!$A\$4:$P\$203,16,FALSE),0))</f>
        <v/>
      </c>
      <c r="P146" s="6">
        <f>IF($A146="","",IFERROR(VLOOKUP($A146,'04_Бизнес_модель'!$A\$4:$O\$203,15,FALSE),0))</f>
        <v/>
      </c>
      <c r="Q146" s="7">
        <f>IF($A146="","",$N146*0.6+$O146*0.25+$P146*5*0.15)</f>
        <v/>
      </c>
    </row>
    <row r="147">
      <c r="A147" s="2" t="n"/>
      <c r="B147" s="5">
        <f>IF($A147="","",IFERROR(VLOOKUP($A147,'02_Конкуренты'!$A\$4:$B\$203,2,FALSE),"не найдено"))</f>
        <v/>
      </c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7">
        <f>IF($A147="","",SUMPRODUCT($C147:$M147,$C\$2:$M\$2)/SUM($C\$2:$M\$2))</f>
        <v/>
      </c>
      <c r="O147" s="7">
        <f>IF($A147="","",IFERROR(VLOOKUP($A147,'04_Бизнес_модель'!$A\$4:$P\$203,16,FALSE),0))</f>
        <v/>
      </c>
      <c r="P147" s="6">
        <f>IF($A147="","",IFERROR(VLOOKUP($A147,'04_Бизнес_модель'!$A\$4:$O\$203,15,FALSE),0))</f>
        <v/>
      </c>
      <c r="Q147" s="7">
        <f>IF($A147="","",$N147*0.6+$O147*0.25+$P147*5*0.15)</f>
        <v/>
      </c>
    </row>
    <row r="148">
      <c r="A148" s="2" t="n"/>
      <c r="B148" s="5">
        <f>IF($A148="","",IFERROR(VLOOKUP($A148,'02_Конкуренты'!$A\$4:$B\$203,2,FALSE),"не найдено"))</f>
        <v/>
      </c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7">
        <f>IF($A148="","",SUMPRODUCT($C148:$M148,$C\$2:$M\$2)/SUM($C\$2:$M\$2))</f>
        <v/>
      </c>
      <c r="O148" s="7">
        <f>IF($A148="","",IFERROR(VLOOKUP($A148,'04_Бизнес_модель'!$A\$4:$P\$203,16,FALSE),0))</f>
        <v/>
      </c>
      <c r="P148" s="6">
        <f>IF($A148="","",IFERROR(VLOOKUP($A148,'04_Бизнес_модель'!$A\$4:$O\$203,15,FALSE),0))</f>
        <v/>
      </c>
      <c r="Q148" s="7">
        <f>IF($A148="","",$N148*0.6+$O148*0.25+$P148*5*0.15)</f>
        <v/>
      </c>
    </row>
    <row r="149">
      <c r="A149" s="2" t="n"/>
      <c r="B149" s="5">
        <f>IF($A149="","",IFERROR(VLOOKUP($A149,'02_Конкуренты'!$A\$4:$B\$203,2,FALSE),"не найдено"))</f>
        <v/>
      </c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7">
        <f>IF($A149="","",SUMPRODUCT($C149:$M149,$C\$2:$M\$2)/SUM($C\$2:$M\$2))</f>
        <v/>
      </c>
      <c r="O149" s="7">
        <f>IF($A149="","",IFERROR(VLOOKUP($A149,'04_Бизнес_модель'!$A\$4:$P\$203,16,FALSE),0))</f>
        <v/>
      </c>
      <c r="P149" s="6">
        <f>IF($A149="","",IFERROR(VLOOKUP($A149,'04_Бизнес_модель'!$A\$4:$O\$203,15,FALSE),0))</f>
        <v/>
      </c>
      <c r="Q149" s="7">
        <f>IF($A149="","",$N149*0.6+$O149*0.25+$P149*5*0.15)</f>
        <v/>
      </c>
    </row>
    <row r="150">
      <c r="A150" s="2" t="n"/>
      <c r="B150" s="5">
        <f>IF($A150="","",IFERROR(VLOOKUP($A150,'02_Конкуренты'!$A\$4:$B\$203,2,FALSE),"не найдено"))</f>
        <v/>
      </c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7">
        <f>IF($A150="","",SUMPRODUCT($C150:$M150,$C\$2:$M\$2)/SUM($C\$2:$M\$2))</f>
        <v/>
      </c>
      <c r="O150" s="7">
        <f>IF($A150="","",IFERROR(VLOOKUP($A150,'04_Бизнес_модель'!$A\$4:$P\$203,16,FALSE),0))</f>
        <v/>
      </c>
      <c r="P150" s="6">
        <f>IF($A150="","",IFERROR(VLOOKUP($A150,'04_Бизнес_модель'!$A\$4:$O\$203,15,FALSE),0))</f>
        <v/>
      </c>
      <c r="Q150" s="7">
        <f>IF($A150="","",$N150*0.6+$O150*0.25+$P150*5*0.15)</f>
        <v/>
      </c>
    </row>
    <row r="151">
      <c r="A151" s="2" t="n"/>
      <c r="B151" s="5">
        <f>IF($A151="","",IFERROR(VLOOKUP($A151,'02_Конкуренты'!$A\$4:$B\$203,2,FALSE),"не найдено"))</f>
        <v/>
      </c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7">
        <f>IF($A151="","",SUMPRODUCT($C151:$M151,$C\$2:$M\$2)/SUM($C\$2:$M\$2))</f>
        <v/>
      </c>
      <c r="O151" s="7">
        <f>IF($A151="","",IFERROR(VLOOKUP($A151,'04_Бизнес_модель'!$A\$4:$P\$203,16,FALSE),0))</f>
        <v/>
      </c>
      <c r="P151" s="6">
        <f>IF($A151="","",IFERROR(VLOOKUP($A151,'04_Бизнес_модель'!$A\$4:$O\$203,15,FALSE),0))</f>
        <v/>
      </c>
      <c r="Q151" s="7">
        <f>IF($A151="","",$N151*0.6+$O151*0.25+$P151*5*0.15)</f>
        <v/>
      </c>
    </row>
    <row r="152">
      <c r="A152" s="2" t="n"/>
      <c r="B152" s="5">
        <f>IF($A152="","",IFERROR(VLOOKUP($A152,'02_Конкуренты'!$A\$4:$B\$203,2,FALSE),"не найдено"))</f>
        <v/>
      </c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7">
        <f>IF($A152="","",SUMPRODUCT($C152:$M152,$C\$2:$M\$2)/SUM($C\$2:$M\$2))</f>
        <v/>
      </c>
      <c r="O152" s="7">
        <f>IF($A152="","",IFERROR(VLOOKUP($A152,'04_Бизнес_модель'!$A\$4:$P\$203,16,FALSE),0))</f>
        <v/>
      </c>
      <c r="P152" s="6">
        <f>IF($A152="","",IFERROR(VLOOKUP($A152,'04_Бизнес_модель'!$A\$4:$O\$203,15,FALSE),0))</f>
        <v/>
      </c>
      <c r="Q152" s="7">
        <f>IF($A152="","",$N152*0.6+$O152*0.25+$P152*5*0.15)</f>
        <v/>
      </c>
    </row>
    <row r="153">
      <c r="A153" s="2" t="n"/>
      <c r="B153" s="5">
        <f>IF($A153="","",IFERROR(VLOOKUP($A153,'02_Конкуренты'!$A\$4:$B\$203,2,FALSE),"не найдено"))</f>
        <v/>
      </c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7">
        <f>IF($A153="","",SUMPRODUCT($C153:$M153,$C\$2:$M\$2)/SUM($C\$2:$M\$2))</f>
        <v/>
      </c>
      <c r="O153" s="7">
        <f>IF($A153="","",IFERROR(VLOOKUP($A153,'04_Бизнес_модель'!$A\$4:$P\$203,16,FALSE),0))</f>
        <v/>
      </c>
      <c r="P153" s="6">
        <f>IF($A153="","",IFERROR(VLOOKUP($A153,'04_Бизнес_модель'!$A\$4:$O\$203,15,FALSE),0))</f>
        <v/>
      </c>
      <c r="Q153" s="7">
        <f>IF($A153="","",$N153*0.6+$O153*0.25+$P153*5*0.15)</f>
        <v/>
      </c>
    </row>
    <row r="154">
      <c r="A154" s="2" t="n"/>
      <c r="B154" s="5">
        <f>IF($A154="","",IFERROR(VLOOKUP($A154,'02_Конкуренты'!$A\$4:$B\$203,2,FALSE),"не найдено"))</f>
        <v/>
      </c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7">
        <f>IF($A154="","",SUMPRODUCT($C154:$M154,$C\$2:$M\$2)/SUM($C\$2:$M\$2))</f>
        <v/>
      </c>
      <c r="O154" s="7">
        <f>IF($A154="","",IFERROR(VLOOKUP($A154,'04_Бизнес_модель'!$A\$4:$P\$203,16,FALSE),0))</f>
        <v/>
      </c>
      <c r="P154" s="6">
        <f>IF($A154="","",IFERROR(VLOOKUP($A154,'04_Бизнес_модель'!$A\$4:$O\$203,15,FALSE),0))</f>
        <v/>
      </c>
      <c r="Q154" s="7">
        <f>IF($A154="","",$N154*0.6+$O154*0.25+$P154*5*0.15)</f>
        <v/>
      </c>
    </row>
    <row r="155">
      <c r="A155" s="2" t="n"/>
      <c r="B155" s="5">
        <f>IF($A155="","",IFERROR(VLOOKUP($A155,'02_Конкуренты'!$A\$4:$B\$203,2,FALSE),"не найдено"))</f>
        <v/>
      </c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7">
        <f>IF($A155="","",SUMPRODUCT($C155:$M155,$C\$2:$M\$2)/SUM($C\$2:$M\$2))</f>
        <v/>
      </c>
      <c r="O155" s="7">
        <f>IF($A155="","",IFERROR(VLOOKUP($A155,'04_Бизнес_модель'!$A\$4:$P\$203,16,FALSE),0))</f>
        <v/>
      </c>
      <c r="P155" s="6">
        <f>IF($A155="","",IFERROR(VLOOKUP($A155,'04_Бизнес_модель'!$A\$4:$O\$203,15,FALSE),0))</f>
        <v/>
      </c>
      <c r="Q155" s="7">
        <f>IF($A155="","",$N155*0.6+$O155*0.25+$P155*5*0.15)</f>
        <v/>
      </c>
    </row>
    <row r="156">
      <c r="A156" s="2" t="n"/>
      <c r="B156" s="5">
        <f>IF($A156="","",IFERROR(VLOOKUP($A156,'02_Конкуренты'!$A\$4:$B\$203,2,FALSE),"не найдено"))</f>
        <v/>
      </c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7">
        <f>IF($A156="","",SUMPRODUCT($C156:$M156,$C\$2:$M\$2)/SUM($C\$2:$M\$2))</f>
        <v/>
      </c>
      <c r="O156" s="7">
        <f>IF($A156="","",IFERROR(VLOOKUP($A156,'04_Бизнес_модель'!$A\$4:$P\$203,16,FALSE),0))</f>
        <v/>
      </c>
      <c r="P156" s="6">
        <f>IF($A156="","",IFERROR(VLOOKUP($A156,'04_Бизнес_модель'!$A\$4:$O\$203,15,FALSE),0))</f>
        <v/>
      </c>
      <c r="Q156" s="7">
        <f>IF($A156="","",$N156*0.6+$O156*0.25+$P156*5*0.15)</f>
        <v/>
      </c>
    </row>
    <row r="157">
      <c r="A157" s="2" t="n"/>
      <c r="B157" s="5">
        <f>IF($A157="","",IFERROR(VLOOKUP($A157,'02_Конкуренты'!$A\$4:$B\$203,2,FALSE),"не найдено"))</f>
        <v/>
      </c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7">
        <f>IF($A157="","",SUMPRODUCT($C157:$M157,$C\$2:$M\$2)/SUM($C\$2:$M\$2))</f>
        <v/>
      </c>
      <c r="O157" s="7">
        <f>IF($A157="","",IFERROR(VLOOKUP($A157,'04_Бизнес_модель'!$A\$4:$P\$203,16,FALSE),0))</f>
        <v/>
      </c>
      <c r="P157" s="6">
        <f>IF($A157="","",IFERROR(VLOOKUP($A157,'04_Бизнес_модель'!$A\$4:$O\$203,15,FALSE),0))</f>
        <v/>
      </c>
      <c r="Q157" s="7">
        <f>IF($A157="","",$N157*0.6+$O157*0.25+$P157*5*0.15)</f>
        <v/>
      </c>
    </row>
    <row r="158">
      <c r="A158" s="2" t="n"/>
      <c r="B158" s="5">
        <f>IF($A158="","",IFERROR(VLOOKUP($A158,'02_Конкуренты'!$A\$4:$B\$203,2,FALSE),"не найдено"))</f>
        <v/>
      </c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7">
        <f>IF($A158="","",SUMPRODUCT($C158:$M158,$C\$2:$M\$2)/SUM($C\$2:$M\$2))</f>
        <v/>
      </c>
      <c r="O158" s="7">
        <f>IF($A158="","",IFERROR(VLOOKUP($A158,'04_Бизнес_модель'!$A\$4:$P\$203,16,FALSE),0))</f>
        <v/>
      </c>
      <c r="P158" s="6">
        <f>IF($A158="","",IFERROR(VLOOKUP($A158,'04_Бизнес_модель'!$A\$4:$O\$203,15,FALSE),0))</f>
        <v/>
      </c>
      <c r="Q158" s="7">
        <f>IF($A158="","",$N158*0.6+$O158*0.25+$P158*5*0.15)</f>
        <v/>
      </c>
    </row>
    <row r="159">
      <c r="A159" s="2" t="n"/>
      <c r="B159" s="5">
        <f>IF($A159="","",IFERROR(VLOOKUP($A159,'02_Конкуренты'!$A\$4:$B\$203,2,FALSE),"не найдено"))</f>
        <v/>
      </c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7">
        <f>IF($A159="","",SUMPRODUCT($C159:$M159,$C\$2:$M\$2)/SUM($C\$2:$M\$2))</f>
        <v/>
      </c>
      <c r="O159" s="7">
        <f>IF($A159="","",IFERROR(VLOOKUP($A159,'04_Бизнес_модель'!$A\$4:$P\$203,16,FALSE),0))</f>
        <v/>
      </c>
      <c r="P159" s="6">
        <f>IF($A159="","",IFERROR(VLOOKUP($A159,'04_Бизнес_модель'!$A\$4:$O\$203,15,FALSE),0))</f>
        <v/>
      </c>
      <c r="Q159" s="7">
        <f>IF($A159="","",$N159*0.6+$O159*0.25+$P159*5*0.15)</f>
        <v/>
      </c>
    </row>
    <row r="160">
      <c r="A160" s="2" t="n"/>
      <c r="B160" s="5">
        <f>IF($A160="","",IFERROR(VLOOKUP($A160,'02_Конкуренты'!$A\$4:$B\$203,2,FALSE),"не найдено"))</f>
        <v/>
      </c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7">
        <f>IF($A160="","",SUMPRODUCT($C160:$M160,$C\$2:$M\$2)/SUM($C\$2:$M\$2))</f>
        <v/>
      </c>
      <c r="O160" s="7">
        <f>IF($A160="","",IFERROR(VLOOKUP($A160,'04_Бизнес_модель'!$A\$4:$P\$203,16,FALSE),0))</f>
        <v/>
      </c>
      <c r="P160" s="6">
        <f>IF($A160="","",IFERROR(VLOOKUP($A160,'04_Бизнес_модель'!$A\$4:$O\$203,15,FALSE),0))</f>
        <v/>
      </c>
      <c r="Q160" s="7">
        <f>IF($A160="","",$N160*0.6+$O160*0.25+$P160*5*0.15)</f>
        <v/>
      </c>
    </row>
    <row r="161">
      <c r="A161" s="2" t="n"/>
      <c r="B161" s="5">
        <f>IF($A161="","",IFERROR(VLOOKUP($A161,'02_Конкуренты'!$A\$4:$B\$203,2,FALSE),"не найдено"))</f>
        <v/>
      </c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7">
        <f>IF($A161="","",SUMPRODUCT($C161:$M161,$C\$2:$M\$2)/SUM($C\$2:$M\$2))</f>
        <v/>
      </c>
      <c r="O161" s="7">
        <f>IF($A161="","",IFERROR(VLOOKUP($A161,'04_Бизнес_модель'!$A\$4:$P\$203,16,FALSE),0))</f>
        <v/>
      </c>
      <c r="P161" s="6">
        <f>IF($A161="","",IFERROR(VLOOKUP($A161,'04_Бизнес_модель'!$A\$4:$O\$203,15,FALSE),0))</f>
        <v/>
      </c>
      <c r="Q161" s="7">
        <f>IF($A161="","",$N161*0.6+$O161*0.25+$P161*5*0.15)</f>
        <v/>
      </c>
    </row>
    <row r="162">
      <c r="A162" s="2" t="n"/>
      <c r="B162" s="5">
        <f>IF($A162="","",IFERROR(VLOOKUP($A162,'02_Конкуренты'!$A\$4:$B\$203,2,FALSE),"не найдено"))</f>
        <v/>
      </c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7">
        <f>IF($A162="","",SUMPRODUCT($C162:$M162,$C\$2:$M\$2)/SUM($C\$2:$M\$2))</f>
        <v/>
      </c>
      <c r="O162" s="7">
        <f>IF($A162="","",IFERROR(VLOOKUP($A162,'04_Бизнес_модель'!$A\$4:$P\$203,16,FALSE),0))</f>
        <v/>
      </c>
      <c r="P162" s="6">
        <f>IF($A162="","",IFERROR(VLOOKUP($A162,'04_Бизнес_модель'!$A\$4:$O\$203,15,FALSE),0))</f>
        <v/>
      </c>
      <c r="Q162" s="7">
        <f>IF($A162="","",$N162*0.6+$O162*0.25+$P162*5*0.15)</f>
        <v/>
      </c>
    </row>
    <row r="163">
      <c r="A163" s="2" t="n"/>
      <c r="B163" s="5">
        <f>IF($A163="","",IFERROR(VLOOKUP($A163,'02_Конкуренты'!$A\$4:$B\$203,2,FALSE),"не найдено"))</f>
        <v/>
      </c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7">
        <f>IF($A163="","",SUMPRODUCT($C163:$M163,$C\$2:$M\$2)/SUM($C\$2:$M\$2))</f>
        <v/>
      </c>
      <c r="O163" s="7">
        <f>IF($A163="","",IFERROR(VLOOKUP($A163,'04_Бизнес_модель'!$A\$4:$P\$203,16,FALSE),0))</f>
        <v/>
      </c>
      <c r="P163" s="6">
        <f>IF($A163="","",IFERROR(VLOOKUP($A163,'04_Бизнес_модель'!$A\$4:$O\$203,15,FALSE),0))</f>
        <v/>
      </c>
      <c r="Q163" s="7">
        <f>IF($A163="","",$N163*0.6+$O163*0.25+$P163*5*0.15)</f>
        <v/>
      </c>
    </row>
    <row r="164">
      <c r="A164" s="2" t="n"/>
      <c r="B164" s="5">
        <f>IF($A164="","",IFERROR(VLOOKUP($A164,'02_Конкуренты'!$A\$4:$B\$203,2,FALSE),"не найдено"))</f>
        <v/>
      </c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7">
        <f>IF($A164="","",SUMPRODUCT($C164:$M164,$C\$2:$M\$2)/SUM($C\$2:$M\$2))</f>
        <v/>
      </c>
      <c r="O164" s="7">
        <f>IF($A164="","",IFERROR(VLOOKUP($A164,'04_Бизнес_модель'!$A\$4:$P\$203,16,FALSE),0))</f>
        <v/>
      </c>
      <c r="P164" s="6">
        <f>IF($A164="","",IFERROR(VLOOKUP($A164,'04_Бизнес_модель'!$A\$4:$O\$203,15,FALSE),0))</f>
        <v/>
      </c>
      <c r="Q164" s="7">
        <f>IF($A164="","",$N164*0.6+$O164*0.25+$P164*5*0.15)</f>
        <v/>
      </c>
    </row>
    <row r="165">
      <c r="A165" s="2" t="n"/>
      <c r="B165" s="5">
        <f>IF($A165="","",IFERROR(VLOOKUP($A165,'02_Конкуренты'!$A\$4:$B\$203,2,FALSE),"не найдено"))</f>
        <v/>
      </c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7">
        <f>IF($A165="","",SUMPRODUCT($C165:$M165,$C\$2:$M\$2)/SUM($C\$2:$M\$2))</f>
        <v/>
      </c>
      <c r="O165" s="7">
        <f>IF($A165="","",IFERROR(VLOOKUP($A165,'04_Бизнес_модель'!$A\$4:$P\$203,16,FALSE),0))</f>
        <v/>
      </c>
      <c r="P165" s="6">
        <f>IF($A165="","",IFERROR(VLOOKUP($A165,'04_Бизнес_модель'!$A\$4:$O\$203,15,FALSE),0))</f>
        <v/>
      </c>
      <c r="Q165" s="7">
        <f>IF($A165="","",$N165*0.6+$O165*0.25+$P165*5*0.15)</f>
        <v/>
      </c>
    </row>
    <row r="166">
      <c r="A166" s="2" t="n"/>
      <c r="B166" s="5">
        <f>IF($A166="","",IFERROR(VLOOKUP($A166,'02_Конкуренты'!$A\$4:$B\$203,2,FALSE),"не найдено"))</f>
        <v/>
      </c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7">
        <f>IF($A166="","",SUMPRODUCT($C166:$M166,$C\$2:$M\$2)/SUM($C\$2:$M\$2))</f>
        <v/>
      </c>
      <c r="O166" s="7">
        <f>IF($A166="","",IFERROR(VLOOKUP($A166,'04_Бизнес_модель'!$A\$4:$P\$203,16,FALSE),0))</f>
        <v/>
      </c>
      <c r="P166" s="6">
        <f>IF($A166="","",IFERROR(VLOOKUP($A166,'04_Бизнес_модель'!$A\$4:$O\$203,15,FALSE),0))</f>
        <v/>
      </c>
      <c r="Q166" s="7">
        <f>IF($A166="","",$N166*0.6+$O166*0.25+$P166*5*0.15)</f>
        <v/>
      </c>
    </row>
    <row r="167">
      <c r="A167" s="2" t="n"/>
      <c r="B167" s="5">
        <f>IF($A167="","",IFERROR(VLOOKUP($A167,'02_Конкуренты'!$A\$4:$B\$203,2,FALSE),"не найдено"))</f>
        <v/>
      </c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7">
        <f>IF($A167="","",SUMPRODUCT($C167:$M167,$C\$2:$M\$2)/SUM($C\$2:$M\$2))</f>
        <v/>
      </c>
      <c r="O167" s="7">
        <f>IF($A167="","",IFERROR(VLOOKUP($A167,'04_Бизнес_модель'!$A\$4:$P\$203,16,FALSE),0))</f>
        <v/>
      </c>
      <c r="P167" s="6">
        <f>IF($A167="","",IFERROR(VLOOKUP($A167,'04_Бизнес_модель'!$A\$4:$O\$203,15,FALSE),0))</f>
        <v/>
      </c>
      <c r="Q167" s="7">
        <f>IF($A167="","",$N167*0.6+$O167*0.25+$P167*5*0.15)</f>
        <v/>
      </c>
    </row>
    <row r="168">
      <c r="A168" s="2" t="n"/>
      <c r="B168" s="5">
        <f>IF($A168="","",IFERROR(VLOOKUP($A168,'02_Конкуренты'!$A\$4:$B\$203,2,FALSE),"не найдено"))</f>
        <v/>
      </c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7">
        <f>IF($A168="","",SUMPRODUCT($C168:$M168,$C\$2:$M\$2)/SUM($C\$2:$M\$2))</f>
        <v/>
      </c>
      <c r="O168" s="7">
        <f>IF($A168="","",IFERROR(VLOOKUP($A168,'04_Бизнес_модель'!$A\$4:$P\$203,16,FALSE),0))</f>
        <v/>
      </c>
      <c r="P168" s="6">
        <f>IF($A168="","",IFERROR(VLOOKUP($A168,'04_Бизнес_модель'!$A\$4:$O\$203,15,FALSE),0))</f>
        <v/>
      </c>
      <c r="Q168" s="7">
        <f>IF($A168="","",$N168*0.6+$O168*0.25+$P168*5*0.15)</f>
        <v/>
      </c>
    </row>
    <row r="169">
      <c r="A169" s="2" t="n"/>
      <c r="B169" s="5">
        <f>IF($A169="","",IFERROR(VLOOKUP($A169,'02_Конкуренты'!$A\$4:$B\$203,2,FALSE),"не найдено"))</f>
        <v/>
      </c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7">
        <f>IF($A169="","",SUMPRODUCT($C169:$M169,$C\$2:$M\$2)/SUM($C\$2:$M\$2))</f>
        <v/>
      </c>
      <c r="O169" s="7">
        <f>IF($A169="","",IFERROR(VLOOKUP($A169,'04_Бизнес_модель'!$A\$4:$P\$203,16,FALSE),0))</f>
        <v/>
      </c>
      <c r="P169" s="6">
        <f>IF($A169="","",IFERROR(VLOOKUP($A169,'04_Бизнес_модель'!$A\$4:$O\$203,15,FALSE),0))</f>
        <v/>
      </c>
      <c r="Q169" s="7">
        <f>IF($A169="","",$N169*0.6+$O169*0.25+$P169*5*0.15)</f>
        <v/>
      </c>
    </row>
    <row r="170">
      <c r="A170" s="2" t="n"/>
      <c r="B170" s="5">
        <f>IF($A170="","",IFERROR(VLOOKUP($A170,'02_Конкуренты'!$A\$4:$B\$203,2,FALSE),"не найдено"))</f>
        <v/>
      </c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7">
        <f>IF($A170="","",SUMPRODUCT($C170:$M170,$C\$2:$M\$2)/SUM($C\$2:$M\$2))</f>
        <v/>
      </c>
      <c r="O170" s="7">
        <f>IF($A170="","",IFERROR(VLOOKUP($A170,'04_Бизнес_модель'!$A\$4:$P\$203,16,FALSE),0))</f>
        <v/>
      </c>
      <c r="P170" s="6">
        <f>IF($A170="","",IFERROR(VLOOKUP($A170,'04_Бизнес_модель'!$A\$4:$O\$203,15,FALSE),0))</f>
        <v/>
      </c>
      <c r="Q170" s="7">
        <f>IF($A170="","",$N170*0.6+$O170*0.25+$P170*5*0.15)</f>
        <v/>
      </c>
    </row>
    <row r="171">
      <c r="A171" s="2" t="n"/>
      <c r="B171" s="5">
        <f>IF($A171="","",IFERROR(VLOOKUP($A171,'02_Конкуренты'!$A\$4:$B\$203,2,FALSE),"не найдено"))</f>
        <v/>
      </c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7">
        <f>IF($A171="","",SUMPRODUCT($C171:$M171,$C\$2:$M\$2)/SUM($C\$2:$M\$2))</f>
        <v/>
      </c>
      <c r="O171" s="7">
        <f>IF($A171="","",IFERROR(VLOOKUP($A171,'04_Бизнес_модель'!$A\$4:$P\$203,16,FALSE),0))</f>
        <v/>
      </c>
      <c r="P171" s="6">
        <f>IF($A171="","",IFERROR(VLOOKUP($A171,'04_Бизнес_модель'!$A\$4:$O\$203,15,FALSE),0))</f>
        <v/>
      </c>
      <c r="Q171" s="7">
        <f>IF($A171="","",$N171*0.6+$O171*0.25+$P171*5*0.15)</f>
        <v/>
      </c>
    </row>
    <row r="172">
      <c r="A172" s="2" t="n"/>
      <c r="B172" s="5">
        <f>IF($A172="","",IFERROR(VLOOKUP($A172,'02_Конкуренты'!$A\$4:$B\$203,2,FALSE),"не найдено"))</f>
        <v/>
      </c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7">
        <f>IF($A172="","",SUMPRODUCT($C172:$M172,$C\$2:$M\$2)/SUM($C\$2:$M\$2))</f>
        <v/>
      </c>
      <c r="O172" s="7">
        <f>IF($A172="","",IFERROR(VLOOKUP($A172,'04_Бизнес_модель'!$A\$4:$P\$203,16,FALSE),0))</f>
        <v/>
      </c>
      <c r="P172" s="6">
        <f>IF($A172="","",IFERROR(VLOOKUP($A172,'04_Бизнес_модель'!$A\$4:$O\$203,15,FALSE),0))</f>
        <v/>
      </c>
      <c r="Q172" s="7">
        <f>IF($A172="","",$N172*0.6+$O172*0.25+$P172*5*0.15)</f>
        <v/>
      </c>
    </row>
    <row r="173">
      <c r="A173" s="2" t="n"/>
      <c r="B173" s="5">
        <f>IF($A173="","",IFERROR(VLOOKUP($A173,'02_Конкуренты'!$A\$4:$B\$203,2,FALSE),"не найдено"))</f>
        <v/>
      </c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7">
        <f>IF($A173="","",SUMPRODUCT($C173:$M173,$C\$2:$M\$2)/SUM($C\$2:$M\$2))</f>
        <v/>
      </c>
      <c r="O173" s="7">
        <f>IF($A173="","",IFERROR(VLOOKUP($A173,'04_Бизнес_модель'!$A\$4:$P\$203,16,FALSE),0))</f>
        <v/>
      </c>
      <c r="P173" s="6">
        <f>IF($A173="","",IFERROR(VLOOKUP($A173,'04_Бизнес_модель'!$A\$4:$O\$203,15,FALSE),0))</f>
        <v/>
      </c>
      <c r="Q173" s="7">
        <f>IF($A173="","",$N173*0.6+$O173*0.25+$P173*5*0.15)</f>
        <v/>
      </c>
    </row>
    <row r="174">
      <c r="A174" s="2" t="n"/>
      <c r="B174" s="5">
        <f>IF($A174="","",IFERROR(VLOOKUP($A174,'02_Конкуренты'!$A\$4:$B\$203,2,FALSE),"не найдено"))</f>
        <v/>
      </c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7">
        <f>IF($A174="","",SUMPRODUCT($C174:$M174,$C\$2:$M\$2)/SUM($C\$2:$M\$2))</f>
        <v/>
      </c>
      <c r="O174" s="7">
        <f>IF($A174="","",IFERROR(VLOOKUP($A174,'04_Бизнес_модель'!$A\$4:$P\$203,16,FALSE),0))</f>
        <v/>
      </c>
      <c r="P174" s="6">
        <f>IF($A174="","",IFERROR(VLOOKUP($A174,'04_Бизнес_модель'!$A\$4:$O\$203,15,FALSE),0))</f>
        <v/>
      </c>
      <c r="Q174" s="7">
        <f>IF($A174="","",$N174*0.6+$O174*0.25+$P174*5*0.15)</f>
        <v/>
      </c>
    </row>
    <row r="175">
      <c r="A175" s="2" t="n"/>
      <c r="B175" s="5">
        <f>IF($A175="","",IFERROR(VLOOKUP($A175,'02_Конкуренты'!$A\$4:$B\$203,2,FALSE),"не найдено"))</f>
        <v/>
      </c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7">
        <f>IF($A175="","",SUMPRODUCT($C175:$M175,$C\$2:$M\$2)/SUM($C\$2:$M\$2))</f>
        <v/>
      </c>
      <c r="O175" s="7">
        <f>IF($A175="","",IFERROR(VLOOKUP($A175,'04_Бизнес_модель'!$A\$4:$P\$203,16,FALSE),0))</f>
        <v/>
      </c>
      <c r="P175" s="6">
        <f>IF($A175="","",IFERROR(VLOOKUP($A175,'04_Бизнес_модель'!$A\$4:$O\$203,15,FALSE),0))</f>
        <v/>
      </c>
      <c r="Q175" s="7">
        <f>IF($A175="","",$N175*0.6+$O175*0.25+$P175*5*0.15)</f>
        <v/>
      </c>
    </row>
    <row r="176">
      <c r="A176" s="2" t="n"/>
      <c r="B176" s="5">
        <f>IF($A176="","",IFERROR(VLOOKUP($A176,'02_Конкуренты'!$A\$4:$B\$203,2,FALSE),"не найдено"))</f>
        <v/>
      </c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7">
        <f>IF($A176="","",SUMPRODUCT($C176:$M176,$C\$2:$M\$2)/SUM($C\$2:$M\$2))</f>
        <v/>
      </c>
      <c r="O176" s="7">
        <f>IF($A176="","",IFERROR(VLOOKUP($A176,'04_Бизнес_модель'!$A\$4:$P\$203,16,FALSE),0))</f>
        <v/>
      </c>
      <c r="P176" s="6">
        <f>IF($A176="","",IFERROR(VLOOKUP($A176,'04_Бизнес_модель'!$A\$4:$O\$203,15,FALSE),0))</f>
        <v/>
      </c>
      <c r="Q176" s="7">
        <f>IF($A176="","",$N176*0.6+$O176*0.25+$P176*5*0.15)</f>
        <v/>
      </c>
    </row>
    <row r="177">
      <c r="A177" s="2" t="n"/>
      <c r="B177" s="5">
        <f>IF($A177="","",IFERROR(VLOOKUP($A177,'02_Конкуренты'!$A\$4:$B\$203,2,FALSE),"не найдено"))</f>
        <v/>
      </c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7">
        <f>IF($A177="","",SUMPRODUCT($C177:$M177,$C\$2:$M\$2)/SUM($C\$2:$M\$2))</f>
        <v/>
      </c>
      <c r="O177" s="7">
        <f>IF($A177="","",IFERROR(VLOOKUP($A177,'04_Бизнес_модель'!$A\$4:$P\$203,16,FALSE),0))</f>
        <v/>
      </c>
      <c r="P177" s="6">
        <f>IF($A177="","",IFERROR(VLOOKUP($A177,'04_Бизнес_модель'!$A\$4:$O\$203,15,FALSE),0))</f>
        <v/>
      </c>
      <c r="Q177" s="7">
        <f>IF($A177="","",$N177*0.6+$O177*0.25+$P177*5*0.15)</f>
        <v/>
      </c>
    </row>
    <row r="178">
      <c r="A178" s="2" t="n"/>
      <c r="B178" s="5">
        <f>IF($A178="","",IFERROR(VLOOKUP($A178,'02_Конкуренты'!$A\$4:$B\$203,2,FALSE),"не найдено"))</f>
        <v/>
      </c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7">
        <f>IF($A178="","",SUMPRODUCT($C178:$M178,$C\$2:$M\$2)/SUM($C\$2:$M\$2))</f>
        <v/>
      </c>
      <c r="O178" s="7">
        <f>IF($A178="","",IFERROR(VLOOKUP($A178,'04_Бизнес_модель'!$A\$4:$P\$203,16,FALSE),0))</f>
        <v/>
      </c>
      <c r="P178" s="6">
        <f>IF($A178="","",IFERROR(VLOOKUP($A178,'04_Бизнес_модель'!$A\$4:$O\$203,15,FALSE),0))</f>
        <v/>
      </c>
      <c r="Q178" s="7">
        <f>IF($A178="","",$N178*0.6+$O178*0.25+$P178*5*0.15)</f>
        <v/>
      </c>
    </row>
    <row r="179">
      <c r="A179" s="2" t="n"/>
      <c r="B179" s="5">
        <f>IF($A179="","",IFERROR(VLOOKUP($A179,'02_Конкуренты'!$A\$4:$B\$203,2,FALSE),"не найдено"))</f>
        <v/>
      </c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7">
        <f>IF($A179="","",SUMPRODUCT($C179:$M179,$C\$2:$M\$2)/SUM($C\$2:$M\$2))</f>
        <v/>
      </c>
      <c r="O179" s="7">
        <f>IF($A179="","",IFERROR(VLOOKUP($A179,'04_Бизнес_модель'!$A\$4:$P\$203,16,FALSE),0))</f>
        <v/>
      </c>
      <c r="P179" s="6">
        <f>IF($A179="","",IFERROR(VLOOKUP($A179,'04_Бизнес_модель'!$A\$4:$O\$203,15,FALSE),0))</f>
        <v/>
      </c>
      <c r="Q179" s="7">
        <f>IF($A179="","",$N179*0.6+$O179*0.25+$P179*5*0.15)</f>
        <v/>
      </c>
    </row>
    <row r="180">
      <c r="A180" s="2" t="n"/>
      <c r="B180" s="5">
        <f>IF($A180="","",IFERROR(VLOOKUP($A180,'02_Конкуренты'!$A\$4:$B\$203,2,FALSE),"не найдено"))</f>
        <v/>
      </c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7">
        <f>IF($A180="","",SUMPRODUCT($C180:$M180,$C\$2:$M\$2)/SUM($C\$2:$M\$2))</f>
        <v/>
      </c>
      <c r="O180" s="7">
        <f>IF($A180="","",IFERROR(VLOOKUP($A180,'04_Бизнес_модель'!$A\$4:$P\$203,16,FALSE),0))</f>
        <v/>
      </c>
      <c r="P180" s="6">
        <f>IF($A180="","",IFERROR(VLOOKUP($A180,'04_Бизнес_модель'!$A\$4:$O\$203,15,FALSE),0))</f>
        <v/>
      </c>
      <c r="Q180" s="7">
        <f>IF($A180="","",$N180*0.6+$O180*0.25+$P180*5*0.15)</f>
        <v/>
      </c>
    </row>
    <row r="181">
      <c r="A181" s="2" t="n"/>
      <c r="B181" s="5">
        <f>IF($A181="","",IFERROR(VLOOKUP($A181,'02_Конкуренты'!$A\$4:$B\$203,2,FALSE),"не найдено"))</f>
        <v/>
      </c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7">
        <f>IF($A181="","",SUMPRODUCT($C181:$M181,$C\$2:$M\$2)/SUM($C\$2:$M\$2))</f>
        <v/>
      </c>
      <c r="O181" s="7">
        <f>IF($A181="","",IFERROR(VLOOKUP($A181,'04_Бизнес_модель'!$A\$4:$P\$203,16,FALSE),0))</f>
        <v/>
      </c>
      <c r="P181" s="6">
        <f>IF($A181="","",IFERROR(VLOOKUP($A181,'04_Бизнес_модель'!$A\$4:$O\$203,15,FALSE),0))</f>
        <v/>
      </c>
      <c r="Q181" s="7">
        <f>IF($A181="","",$N181*0.6+$O181*0.25+$P181*5*0.15)</f>
        <v/>
      </c>
    </row>
    <row r="182">
      <c r="A182" s="2" t="n"/>
      <c r="B182" s="5">
        <f>IF($A182="","",IFERROR(VLOOKUP($A182,'02_Конкуренты'!$A\$4:$B\$203,2,FALSE),"не найдено"))</f>
        <v/>
      </c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7">
        <f>IF($A182="","",SUMPRODUCT($C182:$M182,$C\$2:$M\$2)/SUM($C\$2:$M\$2))</f>
        <v/>
      </c>
      <c r="O182" s="7">
        <f>IF($A182="","",IFERROR(VLOOKUP($A182,'04_Бизнес_модель'!$A\$4:$P\$203,16,FALSE),0))</f>
        <v/>
      </c>
      <c r="P182" s="6">
        <f>IF($A182="","",IFERROR(VLOOKUP($A182,'04_Бизнес_модель'!$A\$4:$O\$203,15,FALSE),0))</f>
        <v/>
      </c>
      <c r="Q182" s="7">
        <f>IF($A182="","",$N182*0.6+$O182*0.25+$P182*5*0.15)</f>
        <v/>
      </c>
    </row>
    <row r="183">
      <c r="A183" s="2" t="n"/>
      <c r="B183" s="5">
        <f>IF($A183="","",IFERROR(VLOOKUP($A183,'02_Конкуренты'!$A\$4:$B\$203,2,FALSE),"не найдено"))</f>
        <v/>
      </c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7">
        <f>IF($A183="","",SUMPRODUCT($C183:$M183,$C\$2:$M\$2)/SUM($C\$2:$M\$2))</f>
        <v/>
      </c>
      <c r="O183" s="7">
        <f>IF($A183="","",IFERROR(VLOOKUP($A183,'04_Бизнес_модель'!$A\$4:$P\$203,16,FALSE),0))</f>
        <v/>
      </c>
      <c r="P183" s="6">
        <f>IF($A183="","",IFERROR(VLOOKUP($A183,'04_Бизнес_модель'!$A\$4:$O\$203,15,FALSE),0))</f>
        <v/>
      </c>
      <c r="Q183" s="7">
        <f>IF($A183="","",$N183*0.6+$O183*0.25+$P183*5*0.15)</f>
        <v/>
      </c>
    </row>
    <row r="184">
      <c r="A184" s="2" t="n"/>
      <c r="B184" s="5">
        <f>IF($A184="","",IFERROR(VLOOKUP($A184,'02_Конкуренты'!$A\$4:$B\$203,2,FALSE),"не найдено"))</f>
        <v/>
      </c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7">
        <f>IF($A184="","",SUMPRODUCT($C184:$M184,$C\$2:$M\$2)/SUM($C\$2:$M\$2))</f>
        <v/>
      </c>
      <c r="O184" s="7">
        <f>IF($A184="","",IFERROR(VLOOKUP($A184,'04_Бизнес_модель'!$A\$4:$P\$203,16,FALSE),0))</f>
        <v/>
      </c>
      <c r="P184" s="6">
        <f>IF($A184="","",IFERROR(VLOOKUP($A184,'04_Бизнес_модель'!$A\$4:$O\$203,15,FALSE),0))</f>
        <v/>
      </c>
      <c r="Q184" s="7">
        <f>IF($A184="","",$N184*0.6+$O184*0.25+$P184*5*0.15)</f>
        <v/>
      </c>
    </row>
    <row r="185">
      <c r="A185" s="2" t="n"/>
      <c r="B185" s="5">
        <f>IF($A185="","",IFERROR(VLOOKUP($A185,'02_Конкуренты'!$A\$4:$B\$203,2,FALSE),"не найдено"))</f>
        <v/>
      </c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7">
        <f>IF($A185="","",SUMPRODUCT($C185:$M185,$C\$2:$M\$2)/SUM($C\$2:$M\$2))</f>
        <v/>
      </c>
      <c r="O185" s="7">
        <f>IF($A185="","",IFERROR(VLOOKUP($A185,'04_Бизнес_модель'!$A\$4:$P\$203,16,FALSE),0))</f>
        <v/>
      </c>
      <c r="P185" s="6">
        <f>IF($A185="","",IFERROR(VLOOKUP($A185,'04_Бизнес_модель'!$A\$4:$O\$203,15,FALSE),0))</f>
        <v/>
      </c>
      <c r="Q185" s="7">
        <f>IF($A185="","",$N185*0.6+$O185*0.25+$P185*5*0.15)</f>
        <v/>
      </c>
    </row>
    <row r="186">
      <c r="A186" s="2" t="n"/>
      <c r="B186" s="5">
        <f>IF($A186="","",IFERROR(VLOOKUP($A186,'02_Конкуренты'!$A\$4:$B\$203,2,FALSE),"не найдено"))</f>
        <v/>
      </c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7">
        <f>IF($A186="","",SUMPRODUCT($C186:$M186,$C\$2:$M\$2)/SUM($C\$2:$M\$2))</f>
        <v/>
      </c>
      <c r="O186" s="7">
        <f>IF($A186="","",IFERROR(VLOOKUP($A186,'04_Бизнес_модель'!$A\$4:$P\$203,16,FALSE),0))</f>
        <v/>
      </c>
      <c r="P186" s="6">
        <f>IF($A186="","",IFERROR(VLOOKUP($A186,'04_Бизнес_модель'!$A\$4:$O\$203,15,FALSE),0))</f>
        <v/>
      </c>
      <c r="Q186" s="7">
        <f>IF($A186="","",$N186*0.6+$O186*0.25+$P186*5*0.15)</f>
        <v/>
      </c>
    </row>
    <row r="187">
      <c r="A187" s="2" t="n"/>
      <c r="B187" s="5">
        <f>IF($A187="","",IFERROR(VLOOKUP($A187,'02_Конкуренты'!$A\$4:$B\$203,2,FALSE),"не найдено"))</f>
        <v/>
      </c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7">
        <f>IF($A187="","",SUMPRODUCT($C187:$M187,$C\$2:$M\$2)/SUM($C\$2:$M\$2))</f>
        <v/>
      </c>
      <c r="O187" s="7">
        <f>IF($A187="","",IFERROR(VLOOKUP($A187,'04_Бизнес_модель'!$A\$4:$P\$203,16,FALSE),0))</f>
        <v/>
      </c>
      <c r="P187" s="6">
        <f>IF($A187="","",IFERROR(VLOOKUP($A187,'04_Бизнес_модель'!$A\$4:$O\$203,15,FALSE),0))</f>
        <v/>
      </c>
      <c r="Q187" s="7">
        <f>IF($A187="","",$N187*0.6+$O187*0.25+$P187*5*0.15)</f>
        <v/>
      </c>
    </row>
    <row r="188">
      <c r="A188" s="2" t="n"/>
      <c r="B188" s="5">
        <f>IF($A188="","",IFERROR(VLOOKUP($A188,'02_Конкуренты'!$A\$4:$B\$203,2,FALSE),"не найдено"))</f>
        <v/>
      </c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7">
        <f>IF($A188="","",SUMPRODUCT($C188:$M188,$C\$2:$M\$2)/SUM($C\$2:$M\$2))</f>
        <v/>
      </c>
      <c r="O188" s="7">
        <f>IF($A188="","",IFERROR(VLOOKUP($A188,'04_Бизнес_модель'!$A\$4:$P\$203,16,FALSE),0))</f>
        <v/>
      </c>
      <c r="P188" s="6">
        <f>IF($A188="","",IFERROR(VLOOKUP($A188,'04_Бизнес_модель'!$A\$4:$O\$203,15,FALSE),0))</f>
        <v/>
      </c>
      <c r="Q188" s="7">
        <f>IF($A188="","",$N188*0.6+$O188*0.25+$P188*5*0.15)</f>
        <v/>
      </c>
    </row>
    <row r="189">
      <c r="A189" s="2" t="n"/>
      <c r="B189" s="5">
        <f>IF($A189="","",IFERROR(VLOOKUP($A189,'02_Конкуренты'!$A\$4:$B\$203,2,FALSE),"не найдено"))</f>
        <v/>
      </c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7">
        <f>IF($A189="","",SUMPRODUCT($C189:$M189,$C\$2:$M\$2)/SUM($C\$2:$M\$2))</f>
        <v/>
      </c>
      <c r="O189" s="7">
        <f>IF($A189="","",IFERROR(VLOOKUP($A189,'04_Бизнес_модель'!$A\$4:$P\$203,16,FALSE),0))</f>
        <v/>
      </c>
      <c r="P189" s="6">
        <f>IF($A189="","",IFERROR(VLOOKUP($A189,'04_Бизнес_модель'!$A\$4:$O\$203,15,FALSE),0))</f>
        <v/>
      </c>
      <c r="Q189" s="7">
        <f>IF($A189="","",$N189*0.6+$O189*0.25+$P189*5*0.15)</f>
        <v/>
      </c>
    </row>
    <row r="190">
      <c r="A190" s="2" t="n"/>
      <c r="B190" s="5">
        <f>IF($A190="","",IFERROR(VLOOKUP($A190,'02_Конкуренты'!$A\$4:$B\$203,2,FALSE),"не найдено"))</f>
        <v/>
      </c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7">
        <f>IF($A190="","",SUMPRODUCT($C190:$M190,$C\$2:$M\$2)/SUM($C\$2:$M\$2))</f>
        <v/>
      </c>
      <c r="O190" s="7">
        <f>IF($A190="","",IFERROR(VLOOKUP($A190,'04_Бизнес_модель'!$A\$4:$P\$203,16,FALSE),0))</f>
        <v/>
      </c>
      <c r="P190" s="6">
        <f>IF($A190="","",IFERROR(VLOOKUP($A190,'04_Бизнес_модель'!$A\$4:$O\$203,15,FALSE),0))</f>
        <v/>
      </c>
      <c r="Q190" s="7">
        <f>IF($A190="","",$N190*0.6+$O190*0.25+$P190*5*0.15)</f>
        <v/>
      </c>
    </row>
    <row r="191">
      <c r="A191" s="2" t="n"/>
      <c r="B191" s="5">
        <f>IF($A191="","",IFERROR(VLOOKUP($A191,'02_Конкуренты'!$A\$4:$B\$203,2,FALSE),"не найдено"))</f>
        <v/>
      </c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7">
        <f>IF($A191="","",SUMPRODUCT($C191:$M191,$C\$2:$M\$2)/SUM($C\$2:$M\$2))</f>
        <v/>
      </c>
      <c r="O191" s="7">
        <f>IF($A191="","",IFERROR(VLOOKUP($A191,'04_Бизнес_модель'!$A\$4:$P\$203,16,FALSE),0))</f>
        <v/>
      </c>
      <c r="P191" s="6">
        <f>IF($A191="","",IFERROR(VLOOKUP($A191,'04_Бизнес_модель'!$A\$4:$O\$203,15,FALSE),0))</f>
        <v/>
      </c>
      <c r="Q191" s="7">
        <f>IF($A191="","",$N191*0.6+$O191*0.25+$P191*5*0.15)</f>
        <v/>
      </c>
    </row>
    <row r="192">
      <c r="A192" s="2" t="n"/>
      <c r="B192" s="5">
        <f>IF($A192="","",IFERROR(VLOOKUP($A192,'02_Конкуренты'!$A\$4:$B\$203,2,FALSE),"не найдено"))</f>
        <v/>
      </c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7">
        <f>IF($A192="","",SUMPRODUCT($C192:$M192,$C\$2:$M\$2)/SUM($C\$2:$M\$2))</f>
        <v/>
      </c>
      <c r="O192" s="7">
        <f>IF($A192="","",IFERROR(VLOOKUP($A192,'04_Бизнес_модель'!$A\$4:$P\$203,16,FALSE),0))</f>
        <v/>
      </c>
      <c r="P192" s="6">
        <f>IF($A192="","",IFERROR(VLOOKUP($A192,'04_Бизнес_модель'!$A\$4:$O\$203,15,FALSE),0))</f>
        <v/>
      </c>
      <c r="Q192" s="7">
        <f>IF($A192="","",$N192*0.6+$O192*0.25+$P192*5*0.15)</f>
        <v/>
      </c>
    </row>
    <row r="193">
      <c r="A193" s="2" t="n"/>
      <c r="B193" s="5">
        <f>IF($A193="","",IFERROR(VLOOKUP($A193,'02_Конкуренты'!$A\$4:$B\$203,2,FALSE),"не найдено"))</f>
        <v/>
      </c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7">
        <f>IF($A193="","",SUMPRODUCT($C193:$M193,$C\$2:$M\$2)/SUM($C\$2:$M\$2))</f>
        <v/>
      </c>
      <c r="O193" s="7">
        <f>IF($A193="","",IFERROR(VLOOKUP($A193,'04_Бизнес_модель'!$A\$4:$P\$203,16,FALSE),0))</f>
        <v/>
      </c>
      <c r="P193" s="6">
        <f>IF($A193="","",IFERROR(VLOOKUP($A193,'04_Бизнес_модель'!$A\$4:$O\$203,15,FALSE),0))</f>
        <v/>
      </c>
      <c r="Q193" s="7">
        <f>IF($A193="","",$N193*0.6+$O193*0.25+$P193*5*0.15)</f>
        <v/>
      </c>
    </row>
    <row r="194">
      <c r="A194" s="2" t="n"/>
      <c r="B194" s="5">
        <f>IF($A194="","",IFERROR(VLOOKUP($A194,'02_Конкуренты'!$A\$4:$B\$203,2,FALSE),"не найдено"))</f>
        <v/>
      </c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7">
        <f>IF($A194="","",SUMPRODUCT($C194:$M194,$C\$2:$M\$2)/SUM($C\$2:$M\$2))</f>
        <v/>
      </c>
      <c r="O194" s="7">
        <f>IF($A194="","",IFERROR(VLOOKUP($A194,'04_Бизнес_модель'!$A\$4:$P\$203,16,FALSE),0))</f>
        <v/>
      </c>
      <c r="P194" s="6">
        <f>IF($A194="","",IFERROR(VLOOKUP($A194,'04_Бизнес_модель'!$A\$4:$O\$203,15,FALSE),0))</f>
        <v/>
      </c>
      <c r="Q194" s="7">
        <f>IF($A194="","",$N194*0.6+$O194*0.25+$P194*5*0.15)</f>
        <v/>
      </c>
    </row>
    <row r="195">
      <c r="A195" s="2" t="n"/>
      <c r="B195" s="5">
        <f>IF($A195="","",IFERROR(VLOOKUP($A195,'02_Конкуренты'!$A\$4:$B\$203,2,FALSE),"не найдено"))</f>
        <v/>
      </c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7">
        <f>IF($A195="","",SUMPRODUCT($C195:$M195,$C\$2:$M\$2)/SUM($C\$2:$M\$2))</f>
        <v/>
      </c>
      <c r="O195" s="7">
        <f>IF($A195="","",IFERROR(VLOOKUP($A195,'04_Бизнес_модель'!$A\$4:$P\$203,16,FALSE),0))</f>
        <v/>
      </c>
      <c r="P195" s="6">
        <f>IF($A195="","",IFERROR(VLOOKUP($A195,'04_Бизнес_модель'!$A\$4:$O\$203,15,FALSE),0))</f>
        <v/>
      </c>
      <c r="Q195" s="7">
        <f>IF($A195="","",$N195*0.6+$O195*0.25+$P195*5*0.15)</f>
        <v/>
      </c>
    </row>
    <row r="196">
      <c r="A196" s="2" t="n"/>
      <c r="B196" s="5">
        <f>IF($A196="","",IFERROR(VLOOKUP($A196,'02_Конкуренты'!$A\$4:$B\$203,2,FALSE),"не найдено"))</f>
        <v/>
      </c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7">
        <f>IF($A196="","",SUMPRODUCT($C196:$M196,$C\$2:$M\$2)/SUM($C\$2:$M\$2))</f>
        <v/>
      </c>
      <c r="O196" s="7">
        <f>IF($A196="","",IFERROR(VLOOKUP($A196,'04_Бизнес_модель'!$A\$4:$P\$203,16,FALSE),0))</f>
        <v/>
      </c>
      <c r="P196" s="6">
        <f>IF($A196="","",IFERROR(VLOOKUP($A196,'04_Бизнес_модель'!$A\$4:$O\$203,15,FALSE),0))</f>
        <v/>
      </c>
      <c r="Q196" s="7">
        <f>IF($A196="","",$N196*0.6+$O196*0.25+$P196*5*0.15)</f>
        <v/>
      </c>
    </row>
    <row r="197">
      <c r="A197" s="2" t="n"/>
      <c r="B197" s="5">
        <f>IF($A197="","",IFERROR(VLOOKUP($A197,'02_Конкуренты'!$A\$4:$B\$203,2,FALSE),"не найдено"))</f>
        <v/>
      </c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7">
        <f>IF($A197="","",SUMPRODUCT($C197:$M197,$C\$2:$M\$2)/SUM($C\$2:$M\$2))</f>
        <v/>
      </c>
      <c r="O197" s="7">
        <f>IF($A197="","",IFERROR(VLOOKUP($A197,'04_Бизнес_модель'!$A\$4:$P\$203,16,FALSE),0))</f>
        <v/>
      </c>
      <c r="P197" s="6">
        <f>IF($A197="","",IFERROR(VLOOKUP($A197,'04_Бизнес_модель'!$A\$4:$O\$203,15,FALSE),0))</f>
        <v/>
      </c>
      <c r="Q197" s="7">
        <f>IF($A197="","",$N197*0.6+$O197*0.25+$P197*5*0.15)</f>
        <v/>
      </c>
    </row>
    <row r="198">
      <c r="A198" s="2" t="n"/>
      <c r="B198" s="5">
        <f>IF($A198="","",IFERROR(VLOOKUP($A198,'02_Конкуренты'!$A\$4:$B\$203,2,FALSE),"не найдено"))</f>
        <v/>
      </c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7">
        <f>IF($A198="","",SUMPRODUCT($C198:$M198,$C\$2:$M\$2)/SUM($C\$2:$M\$2))</f>
        <v/>
      </c>
      <c r="O198" s="7">
        <f>IF($A198="","",IFERROR(VLOOKUP($A198,'04_Бизнес_модель'!$A\$4:$P\$203,16,FALSE),0))</f>
        <v/>
      </c>
      <c r="P198" s="6">
        <f>IF($A198="","",IFERROR(VLOOKUP($A198,'04_Бизнес_модель'!$A\$4:$O\$203,15,FALSE),0))</f>
        <v/>
      </c>
      <c r="Q198" s="7">
        <f>IF($A198="","",$N198*0.6+$O198*0.25+$P198*5*0.15)</f>
        <v/>
      </c>
    </row>
    <row r="199">
      <c r="A199" s="2" t="n"/>
      <c r="B199" s="5">
        <f>IF($A199="","",IFERROR(VLOOKUP($A199,'02_Конкуренты'!$A\$4:$B\$203,2,FALSE),"не найдено"))</f>
        <v/>
      </c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7">
        <f>IF($A199="","",SUMPRODUCT($C199:$M199,$C\$2:$M\$2)/SUM($C\$2:$M\$2))</f>
        <v/>
      </c>
      <c r="O199" s="7">
        <f>IF($A199="","",IFERROR(VLOOKUP($A199,'04_Бизнес_модель'!$A\$4:$P\$203,16,FALSE),0))</f>
        <v/>
      </c>
      <c r="P199" s="6">
        <f>IF($A199="","",IFERROR(VLOOKUP($A199,'04_Бизнес_модель'!$A\$4:$O\$203,15,FALSE),0))</f>
        <v/>
      </c>
      <c r="Q199" s="7">
        <f>IF($A199="","",$N199*0.6+$O199*0.25+$P199*5*0.15)</f>
        <v/>
      </c>
    </row>
    <row r="200">
      <c r="A200" s="2" t="n"/>
      <c r="B200" s="5">
        <f>IF($A200="","",IFERROR(VLOOKUP($A200,'02_Конкуренты'!$A\$4:$B\$203,2,FALSE),"не найдено"))</f>
        <v/>
      </c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7">
        <f>IF($A200="","",SUMPRODUCT($C200:$M200,$C\$2:$M\$2)/SUM($C\$2:$M\$2))</f>
        <v/>
      </c>
      <c r="O200" s="7">
        <f>IF($A200="","",IFERROR(VLOOKUP($A200,'04_Бизнес_модель'!$A\$4:$P\$203,16,FALSE),0))</f>
        <v/>
      </c>
      <c r="P200" s="6">
        <f>IF($A200="","",IFERROR(VLOOKUP($A200,'04_Бизнес_модель'!$A\$4:$O\$203,15,FALSE),0))</f>
        <v/>
      </c>
      <c r="Q200" s="7">
        <f>IF($A200="","",$N200*0.6+$O200*0.25+$P200*5*0.15)</f>
        <v/>
      </c>
    </row>
    <row r="201">
      <c r="A201" s="2" t="n"/>
      <c r="B201" s="5">
        <f>IF($A201="","",IFERROR(VLOOKUP($A201,'02_Конкуренты'!$A\$4:$B\$203,2,FALSE),"не найдено"))</f>
        <v/>
      </c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7">
        <f>IF($A201="","",SUMPRODUCT($C201:$M201,$C\$2:$M\$2)/SUM($C\$2:$M\$2))</f>
        <v/>
      </c>
      <c r="O201" s="7">
        <f>IF($A201="","",IFERROR(VLOOKUP($A201,'04_Бизнес_модель'!$A\$4:$P\$203,16,FALSE),0))</f>
        <v/>
      </c>
      <c r="P201" s="6">
        <f>IF($A201="","",IFERROR(VLOOKUP($A201,'04_Бизнес_модель'!$A\$4:$O\$203,15,FALSE),0))</f>
        <v/>
      </c>
      <c r="Q201" s="7">
        <f>IF($A201="","",$N201*0.6+$O201*0.25+$P201*5*0.15)</f>
        <v/>
      </c>
    </row>
    <row r="202">
      <c r="A202" s="2" t="n"/>
      <c r="B202" s="5">
        <f>IF($A202="","",IFERROR(VLOOKUP($A202,'02_Конкуренты'!$A\$4:$B\$203,2,FALSE),"не найдено"))</f>
        <v/>
      </c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7">
        <f>IF($A202="","",SUMPRODUCT($C202:$M202,$C\$2:$M\$2)/SUM($C\$2:$M\$2))</f>
        <v/>
      </c>
      <c r="O202" s="7">
        <f>IF($A202="","",IFERROR(VLOOKUP($A202,'04_Бизнес_модель'!$A\$4:$P\$203,16,FALSE),0))</f>
        <v/>
      </c>
      <c r="P202" s="6">
        <f>IF($A202="","",IFERROR(VLOOKUP($A202,'04_Бизнес_модель'!$A\$4:$O\$203,15,FALSE),0))</f>
        <v/>
      </c>
      <c r="Q202" s="7">
        <f>IF($A202="","",$N202*0.6+$O202*0.25+$P202*5*0.15)</f>
        <v/>
      </c>
    </row>
    <row r="203">
      <c r="A203" s="2" t="n"/>
      <c r="B203" s="5">
        <f>IF($A203="","",IFERROR(VLOOKUP($A203,'02_Конкуренты'!$A\$4:$B\$203,2,FALSE),"не найдено"))</f>
        <v/>
      </c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7">
        <f>IF($A203="","",SUMPRODUCT($C203:$M203,$C\$2:$M\$2)/SUM($C\$2:$M\$2))</f>
        <v/>
      </c>
      <c r="O203" s="7">
        <f>IF($A203="","",IFERROR(VLOOKUP($A203,'04_Бизнес_модель'!$A\$4:$P\$203,16,FALSE),0))</f>
        <v/>
      </c>
      <c r="P203" s="6">
        <f>IF($A203="","",IFERROR(VLOOKUP($A203,'04_Бизнес_модель'!$A\$4:$O\$203,15,FALSE),0))</f>
        <v/>
      </c>
      <c r="Q203" s="7">
        <f>IF($A203="","",$N203*0.6+$O203*0.25+$P203*5*0.15)</f>
        <v/>
      </c>
    </row>
  </sheetData>
  <mergeCells count="2">
    <mergeCell ref="A2:Q2"/>
    <mergeCell ref="A1:Q1"/>
  </mergeCells>
  <conditionalFormatting sqref="N4:Q203">
    <cfRule type="colorScale" priority="1">
      <colorScale>
        <cfvo type="min"/>
        <cfvo type="percentile" val="50"/>
        <cfvo type="max"/>
        <color rgb="FFFEE2E2"/>
        <color rgb="FFFEF3C7"/>
        <color rgb="FFDCFCE7"/>
      </colorScale>
    </cfRule>
  </conditionalFormatting>
  <dataValidations count="1">
    <dataValidation sqref="C4:M203" showDropDown="0" showInputMessage="0" showErrorMessage="0" allowBlank="0" type="list">
      <formula1>"1,2,3,4,5"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Z203"/>
  <sheetViews>
    <sheetView topLeftCell="B12" workbookViewId="0">
      <selection activeCell="G20" sqref="G20"/>
    </sheetView>
  </sheetViews>
  <sheetFormatPr baseColWidth="8" defaultRowHeight="14.25"/>
  <cols>
    <col width="54.25" customWidth="1" min="1" max="1"/>
    <col width="26" customWidth="1" min="2" max="2"/>
    <col width="42" customWidth="1" min="3" max="3"/>
    <col width="18" customWidth="1" min="4" max="5"/>
    <col width="24" customWidth="1" min="6" max="6"/>
    <col width="42" customWidth="1" min="7" max="8"/>
  </cols>
  <sheetData>
    <row r="1" ht="15" customHeight="1">
      <c r="A1" s="19" t="inlineStr">
        <is>
          <t>Определение рыночного стандарта бизнес-модели</t>
        </is>
      </c>
      <c r="I1" s="14" t="n"/>
      <c r="J1" s="14" t="n"/>
      <c r="K1" s="14" t="n"/>
      <c r="L1" s="14" t="n"/>
      <c r="M1" s="14" t="n"/>
      <c r="N1" s="14" t="n"/>
      <c r="O1" s="14" t="n"/>
      <c r="P1" s="14" t="n"/>
      <c r="Q1" s="14" t="n"/>
      <c r="R1" s="14" t="n"/>
      <c r="S1" s="14" t="n"/>
      <c r="T1" s="14" t="n"/>
      <c r="U1" s="14" t="n"/>
      <c r="V1" s="14" t="n"/>
      <c r="W1" s="14" t="n"/>
      <c r="X1" s="14" t="n"/>
      <c r="Y1" s="14" t="n"/>
      <c r="Z1" s="14" t="n"/>
    </row>
    <row r="2" ht="19.15" customHeight="1">
      <c r="A2" s="21" t="inlineStr">
        <is>
          <t>Повторяющиеся практики отделяются от настоящих конкурентных преимуществ. Порог стандарта можно корректировать в методике, базово используется 70%</t>
        </is>
      </c>
    </row>
    <row r="3" ht="30" customHeight="1">
      <c r="A3" s="25" t="inlineStr">
        <is>
          <t>Практика/элемент</t>
        </is>
      </c>
      <c r="B3" s="25" t="inlineStr">
        <is>
          <t>Блок бизнес-модели</t>
        </is>
      </c>
      <c r="C3" s="25" t="inlineStr">
        <is>
          <t>Описание признака</t>
        </is>
      </c>
      <c r="D3" s="25" t="inlineStr">
        <is>
          <t>Кол-во конкурентов с признаком</t>
        </is>
      </c>
      <c r="E3" s="25" t="inlineStr">
        <is>
          <t>Доля конкурентов</t>
        </is>
      </c>
      <c r="F3" s="25" t="inlineStr">
        <is>
          <t>Статус</t>
        </is>
      </c>
      <c r="G3" s="25" t="inlineStr">
        <is>
          <t>Управленческий вывод</t>
        </is>
      </c>
      <c r="H3" s="25" t="inlineStr">
        <is>
          <t>Подтверждающие URL/факты</t>
        </is>
      </c>
    </row>
    <row r="4" ht="28.5" customHeight="1">
      <c r="A4" s="2" t="inlineStr">
        <is>
          <t>Бесплатный доступ или Free-тариф</t>
        </is>
      </c>
      <c r="B4" s="2" t="inlineStr">
        <is>
          <t>потоки доходов</t>
        </is>
      </c>
      <c r="C4" s="2" t="inlineStr">
        <is>
          <t>Начать работу без оплаты</t>
        </is>
      </c>
      <c r="D4" s="2" t="n">
        <v>8</v>
      </c>
      <c r="E4" s="6">
        <f>IF($D4="","",IFERROR($D4/'12_Сводка'!$B\$5,0))</f>
        <v/>
      </c>
      <c r="F4" s="5">
        <f>IF($A4="","",IF($E4&gt;=0.7,"рыночный стандарт",IF($E4&gt;=0.4,"формирующийся стандарт",IF($E4&gt;=0.2,"зона дифференциации","слабый сигнал"))))</f>
        <v/>
      </c>
      <c r="G4" s="5">
        <f>IF($A4="","",IF($F4="рыночный стандарт","необходимо включить в минимально приемлемое предложение",IF($F4="формирующийся стандарт","проверить значимость для клиента и вероятность закрепления",IF($F4="зона дифференциации","может использоваться как поле позиционирования","не использовать без дополнительной проверки"))))</f>
        <v/>
      </c>
      <c r="H4" s="2" t="inlineStr">
        <is>
          <t>Открытый код или тариф Free на страницах 8 из 8 конкурентов</t>
        </is>
      </c>
    </row>
    <row r="5" ht="28.5" customHeight="1">
      <c r="A5" s="2" t="inlineStr">
        <is>
          <t>Платная подписка по тарифным уровням</t>
        </is>
      </c>
      <c r="B5" s="2" t="inlineStr">
        <is>
          <t>потоки доходов</t>
        </is>
      </c>
      <c r="C5" s="2" t="inlineStr">
        <is>
          <t>Получить расширенные возможности за оплату</t>
        </is>
      </c>
      <c r="D5" s="2" t="n">
        <v>5</v>
      </c>
      <c r="E5" s="6">
        <f>IF($D5="","",IFERROR($D5/'12_Сводка'!$B\$5,0))</f>
        <v/>
      </c>
      <c r="F5" s="5">
        <f>IF($A5="","",IF($E5&gt;=0.7,"рыночный стандарт",IF($E5&gt;=0.4,"формирующийся стандарт",IF($E5&gt;=0.2,"зона дифференциации","слабый сигнал"))))</f>
        <v/>
      </c>
      <c r="G5" s="5">
        <f>IF($A5="","",IF($F5="рыночный стандарт","необходимо включить в минимально приемлемое предложение",IF($F5="формирующийся стандарт","проверить значимость для клиента и вероятность закрепления",IF($F5="зона дифференциации","может использоваться как поле позиционирования","не использовать без дополнительной проверки"))))</f>
        <v/>
      </c>
      <c r="H5" s="2" t="inlineStr">
        <is>
          <t>Страницы тарифов Mermaid Chart, Storm, Lucidchart, Eraser, Whimsical</t>
        </is>
      </c>
    </row>
    <row r="6" ht="28.5" customHeight="1">
      <c r="A6" s="2" t="inlineStr">
        <is>
          <t>Открытая страница тарифов</t>
        </is>
      </c>
      <c r="B6" s="2" t="inlineStr">
        <is>
          <t>потоки доходов</t>
        </is>
      </c>
      <c r="C6" s="2" t="inlineStr">
        <is>
          <t>Понять цену и состав тарифа до регистрации</t>
        </is>
      </c>
      <c r="D6" s="2" t="n">
        <v>5</v>
      </c>
      <c r="E6" s="6">
        <f>IF($D6="","",IFERROR($D6/'12_Сводка'!$B\$5,0))</f>
        <v/>
      </c>
      <c r="F6" s="5">
        <f>IF($A6="","",IF($E6&gt;=0.7,"рыночный стандарт",IF($E6&gt;=0.4,"формирующийся стандарт",IF($E6&gt;=0.2,"зона дифференциации","слабый сигнал"))))</f>
        <v/>
      </c>
      <c r="G6" s="5">
        <f>IF($A6="","",IF($F6="рыночный стандарт","необходимо включить в минимально приемлемое предложение",IF($F6="формирующийся стандарт","проверить значимость для клиента и вероятность закрепления",IF($F6="зона дифференциации","может использоваться как поле позиционирования","не использовать без дополнительной проверки"))))</f>
        <v/>
      </c>
      <c r="H6" s="2" t="inlineStr">
        <is>
          <t>Страницы тарифов (01.10.2026)</t>
        </is>
      </c>
    </row>
    <row r="7" ht="28.5" customHeight="1">
      <c r="A7" s="2" t="inlineStr">
        <is>
          <t>Корпоративный тариф (Enterprise или on-prem)</t>
        </is>
      </c>
      <c r="B7" s="2" t="inlineStr">
        <is>
          <t>потоки доходов</t>
        </is>
      </c>
      <c r="C7" s="2" t="inlineStr">
        <is>
          <t>Подключить организацию целиком</t>
        </is>
      </c>
      <c r="D7" s="2" t="n">
        <v>4</v>
      </c>
      <c r="E7" s="6">
        <f>IF($D7="","",IFERROR($D7/'12_Сводка'!$B\$5,0))</f>
        <v/>
      </c>
      <c r="F7" s="5">
        <f>IF($A7="","",IF($E7&gt;=0.7,"рыночный стандарт",IF($E7&gt;=0.4,"формирующийся стандарт",IF($E7&gt;=0.2,"зона дифференциации","слабый сигнал"))))</f>
        <v/>
      </c>
      <c r="G7" s="5">
        <f>IF($A7="","",IF($F7="рыночный стандарт","необходимо включить в минимально приемлемое предложение",IF($F7="формирующийся стандарт","проверить значимость для клиента и вероятность закрепления",IF($F7="зона дифференциации","может использоваться как поле позиционирования","не использовать без дополнительной проверки"))))</f>
        <v/>
      </c>
      <c r="H7" s="2" t="inlineStr">
        <is>
          <t>Enterprise по запросу на страницах тарифов; Storm: on-prem от 990 тыс. руб. в год</t>
        </is>
      </c>
    </row>
    <row r="8" ht="28.5" customHeight="1">
      <c r="A8" s="2" t="inlineStr">
        <is>
          <t>Скидка или цена при годовой оплате</t>
        </is>
      </c>
      <c r="B8" s="2" t="inlineStr">
        <is>
          <t>потоки доходов</t>
        </is>
      </c>
      <c r="C8" s="2" t="inlineStr">
        <is>
          <t>Снизить стоимость при долгом использовании</t>
        </is>
      </c>
      <c r="D8" s="2" t="n">
        <v>4</v>
      </c>
      <c r="E8" s="6">
        <f>IF($D8="","",IFERROR($D8/'12_Сводка'!$B\$5,0))</f>
        <v/>
      </c>
      <c r="F8" s="5">
        <f>IF($A8="","",IF($E8&gt;=0.7,"рыночный стандарт",IF($E8&gt;=0.4,"формирующийся стандарт",IF($E8&gt;=0.2,"зона дифференциации","слабый сигнал"))))</f>
        <v/>
      </c>
      <c r="G8" s="5">
        <f>IF($A8="","",IF($F8="рыночный стандарт","необходимо включить в минимально приемлемое предложение",IF($F8="формирующийся стандарт","проверить значимость для клиента и вероятность закрепления",IF($F8="зона дифференциации","может использоваться как поле позиционирования","не использовать без дополнительной проверки"))))</f>
        <v/>
      </c>
      <c r="H8" s="2" t="inlineStr">
        <is>
          <t>Цены «billed annually» (Mermaid Chart, Lucidchart, Eraser), скидка 20 % (Storm)</t>
        </is>
      </c>
    </row>
    <row r="9" ht="28.5" customHeight="1">
      <c r="A9" s="2" t="inlineStr">
        <is>
          <t>Пробный период платного тарифа</t>
        </is>
      </c>
      <c r="B9" s="2" t="inlineStr">
        <is>
          <t>потоки доходов</t>
        </is>
      </c>
      <c r="C9" s="2" t="inlineStr">
        <is>
          <t>Проверить платные функции до оплаты</t>
        </is>
      </c>
      <c r="D9" s="2" t="n">
        <v>1</v>
      </c>
      <c r="E9" s="6">
        <f>IF($D9="","",IFERROR($D9/'12_Сводка'!$B\$5,0))</f>
        <v/>
      </c>
      <c r="F9" s="5">
        <f>IF($A9="","",IF($E9&gt;=0.7,"рыночный стандарт",IF($E9&gt;=0.4,"формирующийся стандарт",IF($E9&gt;=0.2,"зона дифференциации","слабый сигнал"))))</f>
        <v/>
      </c>
      <c r="G9" s="5">
        <f>IF($A9="","",IF($F9="рыночный стандарт","необходимо включить в минимально приемлемое предложение",IF($F9="формирующийся стандарт","проверить значимость для клиента и вероятность закрепления",IF($F9="зона дифференциации","может использоваться как поле позиционирования","не использовать без дополнительной проверки"))))</f>
        <v/>
      </c>
      <c r="H9" s="2" t="inlineStr">
        <is>
          <t>FAQ Lucidchart: пробный период 7 дней</t>
        </is>
      </c>
    </row>
    <row r="10" ht="42.75" customHeight="1">
      <c r="A10" s="2" t="inlineStr">
        <is>
          <t>Бесплатные гости или зрители</t>
        </is>
      </c>
      <c r="B10" s="2" t="inlineStr">
        <is>
          <t>отношения с клиентами</t>
        </is>
      </c>
      <c r="C10" s="2" t="inlineStr">
        <is>
          <t>Показать диаграмму без оплаты за каждого читателя</t>
        </is>
      </c>
      <c r="D10" s="2" t="n">
        <v>4</v>
      </c>
      <c r="E10" s="6">
        <f>IF($D10="","",IFERROR($D10/'12_Сводка'!$B\$5,0))</f>
        <v/>
      </c>
      <c r="F10" s="5">
        <f>IF($A10="","",IF($E10&gt;=0.7,"рыночный стандарт",IF($E10&gt;=0.4,"формирующийся стандарт",IF($E10&gt;=0.2,"зона дифференциации","слабый сигнал"))))</f>
        <v/>
      </c>
      <c r="G10" s="5">
        <f>IF($A10="","",IF($F10="рыночный стандарт","необходимо включить в минимально приемлемое предложение",IF($F10="формирующийся стандарт","проверить значимость для клиента и вероятность закрепления",IF($F10="зона дифференциации","может использоваться как поле позиционирования","не использовать без дополнительной проверки"))))</f>
        <v/>
      </c>
      <c r="H10" s="2" t="inlineStr">
        <is>
          <t>Unlimited viewer seats (Mermaid Chart Premium); 100 гостей на участника (Storm); unlimited guests (Eraser, Whimsical)</t>
        </is>
      </c>
    </row>
    <row r="11" ht="28.5" customHeight="1">
      <c r="A11" s="2" t="inlineStr">
        <is>
          <t>Интеграции с другими сервисами</t>
        </is>
      </c>
      <c r="B11" s="2" t="inlineStr">
        <is>
          <t>ключевые партнеры</t>
        </is>
      </c>
      <c r="C11" s="2" t="inlineStr">
        <is>
          <t>Встроить инструмент в рабочие процессы</t>
        </is>
      </c>
      <c r="D11" s="2" t="n">
        <v>8</v>
      </c>
      <c r="E11" s="6">
        <f>IF($D11="","",IFERROR($D11/'12_Сводка'!$B\$5,0))</f>
        <v/>
      </c>
      <c r="F11" s="5">
        <f>IF($A11="","",IF($E11&gt;=0.7,"рыночный стандарт",IF($E11&gt;=0.4,"формирующийся стандарт",IF($E11&gt;=0.2,"зона дифференциации","слабый сигнал"))))</f>
        <v/>
      </c>
      <c r="G11" s="5">
        <f>IF($A11="","",IF($F11="рыночный стандарт","необходимо включить в минимально приемлемое предложение",IF($F11="формирующийся стандарт","проверить значимость для клиента и вероятность закрепления",IF($F11="зона дифференциации","может использоваться как поле позиционирования","не использовать без дополнительной проверки"))))</f>
        <v/>
      </c>
      <c r="H11" s="2" t="inlineStr">
        <is>
          <t>Разделы и упоминания интеграций на страницах 8 из 8 конкурентов</t>
        </is>
      </c>
    </row>
    <row r="12" ht="42.75" customHeight="1">
      <c r="A12" s="2" t="inlineStr">
        <is>
          <t>API или платформа разработчика</t>
        </is>
      </c>
      <c r="B12" s="2" t="inlineStr">
        <is>
          <t>цифровой товар</t>
        </is>
      </c>
      <c r="C12" s="2" t="inlineStr">
        <is>
          <t>Автоматизировать генерацию диаграмм</t>
        </is>
      </c>
      <c r="D12" s="2" t="n">
        <v>5</v>
      </c>
      <c r="E12" s="6">
        <f>IF($D12="","",IFERROR($D12/'12_Сводка'!$B\$5,0))</f>
        <v/>
      </c>
      <c r="F12" s="5">
        <f>IF($A12="","",IF($E12&gt;=0.7,"рыночный стандарт",IF($E12&gt;=0.4,"формирующийся стандарт",IF($E12&gt;=0.2,"зона дифференциации","слабый сигнал"))))</f>
        <v/>
      </c>
      <c r="G12" s="5">
        <f>IF($A12="","",IF($F12="рыночный стандарт","необходимо включить в минимально приемлемое предложение",IF($F12="формирующийся стандарт","проверить значимость для клиента и вероятность закрепления",IF($F12="зона дифференциации","может использоваться как поле позиционирования","не использовать без дополнительной проверки"))))</f>
        <v/>
      </c>
      <c r="H12" s="2" t="inlineStr">
        <is>
          <t>API Mermaid; пункт API в меню Mermaid Chart; API в Enterprise Storm; Developer platform Lucidchart; API calls Eraser</t>
        </is>
      </c>
    </row>
    <row r="13" ht="28.5" customHeight="1">
      <c r="A13" s="2" t="inlineStr">
        <is>
          <t>ИИ-генерация или ИИ-помощник</t>
        </is>
      </c>
      <c r="B13" s="2" t="inlineStr">
        <is>
          <t>цифровой товар</t>
        </is>
      </c>
      <c r="C13" s="2" t="inlineStr">
        <is>
          <t>Ускорить создание диаграммы по описанию</t>
        </is>
      </c>
      <c r="D13" s="2" t="n">
        <v>5</v>
      </c>
      <c r="E13" s="6">
        <f>IF($D13="","",IFERROR($D13/'12_Сводка'!$B\$5,0))</f>
        <v/>
      </c>
      <c r="F13" s="5">
        <f>IF($A13="","",IF($E13&gt;=0.7,"рыночный стандарт",IF($E13&gt;=0.4,"формирующийся стандарт",IF($E13&gt;=0.2,"зона дифференциации","слабый сигнал"))))</f>
        <v/>
      </c>
      <c r="G13" s="5">
        <f>IF($A13="","",IF($F13="рыночный стандарт","необходимо включить в минимально приемлемое предложение",IF($F13="формирующийся стандарт","проверить значимость для клиента и вероятность закрепления",IF($F13="зона дифференциации","может использоваться как поле позиционирования","не использовать без дополнительной проверки"))))</f>
        <v/>
      </c>
      <c r="H13" s="2" t="inlineStr">
        <is>
          <t>ИИ-кредиты (Mermaid Chart); ИИ-ассистент (Storm); Lucid AI; Eraser AI; ИИ в Whimsical</t>
        </is>
      </c>
    </row>
    <row r="14" ht="28.5" customHeight="1">
      <c r="A14" s="2" t="inlineStr">
        <is>
          <t>Единый вход SSO или SAML</t>
        </is>
      </c>
      <c r="B14" s="2" t="inlineStr">
        <is>
          <t>потоки доходов</t>
        </is>
      </c>
      <c r="C14" s="2" t="inlineStr">
        <is>
          <t>Подключить корпоративную учётную запись</t>
        </is>
      </c>
      <c r="D14" s="2" t="n">
        <v>5</v>
      </c>
      <c r="E14" s="6">
        <f>IF($D14="","",IFERROR($D14/'12_Сводка'!$B\$5,0))</f>
        <v/>
      </c>
      <c r="F14" s="5">
        <f>IF($A14="","",IF($E14&gt;=0.7,"рыночный стандарт",IF($E14&gt;=0.4,"формирующийся стандарт",IF($E14&gt;=0.2,"зона дифференциации","слабый сигнал"))))</f>
        <v/>
      </c>
      <c r="G14" s="5">
        <f>IF($A14="","",IF($F14="рыночный стандарт","необходимо включить в минимально приемлемое предложение",IF($F14="формирующийся стандарт","проверить значимость для клиента и вероятность закрепления",IF($F14="зона дифференциации","может использоваться как поле позиционирования","не использовать без дополнительной проверки"))))</f>
        <v/>
      </c>
      <c r="H14" s="2" t="inlineStr">
        <is>
          <t>SSO или SAML в старших тарифах</t>
        </is>
      </c>
    </row>
    <row r="15" ht="28.5" customHeight="1">
      <c r="A15" s="2" t="inlineStr">
        <is>
          <t>Открытый код и сообщество</t>
        </is>
      </c>
      <c r="B15" s="2" t="inlineStr">
        <is>
          <t>ключевые ресурсы</t>
        </is>
      </c>
      <c r="C15" s="2" t="inlineStr">
        <is>
          <t>Доверять инструменту и расширять его</t>
        </is>
      </c>
      <c r="D15" s="2" t="n">
        <v>3</v>
      </c>
      <c r="E15" s="6">
        <f>IF($D15="","",IFERROR($D15/'12_Сводка'!$B\$5,0))</f>
        <v/>
      </c>
      <c r="F15" s="5">
        <f>IF($A15="","",IF($E15&gt;=0.7,"рыночный стандарт",IF($E15&gt;=0.4,"формирующийся стандарт",IF($E15&gt;=0.2,"зона дифференциации","слабый сигнал"))))</f>
        <v/>
      </c>
      <c r="G15" s="5">
        <f>IF($A15="","",IF($F15="рыночный стандарт","необходимо включить в минимально приемлемое предложение",IF($F15="формирующийся стандарт","проверить значимость для клиента и вероятность закрепления",IF($F15="зона дифференциации","может использоваться как поле позиционирования","не использовать без дополнительной проверки"))))</f>
        <v/>
      </c>
      <c r="H15" s="2" t="inlineStr">
        <is>
          <t>GitHub API, 30.09.2026; лицензия Apache 2.0 у draw.io</t>
        </is>
      </c>
    </row>
    <row r="16" ht="28.5" customHeight="1">
      <c r="A16" s="2" t="inlineStr">
        <is>
          <t>Независимые отзывы и оценки</t>
        </is>
      </c>
      <c r="B16" s="2" t="inlineStr">
        <is>
          <t>отношения с клиентами</t>
        </is>
      </c>
      <c r="C16" s="2" t="inlineStr">
        <is>
          <t>Оценить качество до выбора</t>
        </is>
      </c>
      <c r="D16" s="2" t="n">
        <v>7</v>
      </c>
      <c r="E16" s="6">
        <f>IF($D16="","",IFERROR($D16/'12_Сводка'!$B\$5,0))</f>
        <v/>
      </c>
      <c r="F16" s="5">
        <f>IF($A16="","",IF($E16&gt;=0.7,"рыночный стандарт",IF($E16&gt;=0.4,"формирующийся стандарт",IF($E16&gt;=0.2,"зона дифференциации","слабый сигнал"))))</f>
        <v/>
      </c>
      <c r="G16" s="5">
        <f>IF($A16="","",IF($F16="рыночный стандарт","необходимо включить в минимально приемлемое предложение",IF($F16="формирующийся стандарт","проверить значимость для клиента и вероятность закрепления",IF($F16="зона дифференциации","может использоваться как поле позиционирования","не использовать без дополнительной проверки"))))</f>
        <v/>
      </c>
      <c r="H16" s="2" t="inlineStr">
        <is>
          <t>G2, Capterra, Trustpilot, каталоги расширений (ЛР2-3, ЛР4)</t>
        </is>
      </c>
    </row>
    <row r="17" ht="57" customHeight="1">
      <c r="A17" s="2" t="inlineStr">
        <is>
          <t>Данные о числе пользователей или клиентов на сайте</t>
        </is>
      </c>
      <c r="B17" s="2" t="inlineStr">
        <is>
          <t>отношения с клиентами</t>
        </is>
      </c>
      <c r="C17" s="2" t="inlineStr">
        <is>
          <t>Оценить масштаб и надёжность продукта</t>
        </is>
      </c>
      <c r="D17" s="2" t="n">
        <v>4</v>
      </c>
      <c r="E17" s="6">
        <f>IF($D17="","",IFERROR($D17/'12_Сводка'!$B\$5,0))</f>
        <v/>
      </c>
      <c r="F17" s="5">
        <f>IF($A17="","",IF($E17&gt;=0.7,"рыночный стандарт",IF($E17&gt;=0.4,"формирующийся стандарт",IF($E17&gt;=0.2,"зона дифференциации","слабый сигнал"))))</f>
        <v/>
      </c>
      <c r="G17" s="5">
        <f>IF($A17="","",IF($F17="рыночный стандарт","необходимо включить в минимально приемлемое предложение",IF($F17="формирующийся стандарт","проверить значимость для клиента и вероятность закрепления",IF($F17="зона дифференциации","может использоваться как поле позиционирования","не использовать без дополнительной проверки"))))</f>
        <v/>
      </c>
      <c r="H17" s="2" t="inlineStr">
        <is>
          <t>5M человек и 200k компаний (Mermaid Chart); более 1 000 клиентов (Storm); 100M+ пользователей (draw.io); 99 % Fortune 500 (Lucidchart)</t>
        </is>
      </c>
    </row>
    <row r="18" ht="42.75" customHeight="1">
      <c r="A18" s="2" t="inlineStr">
        <is>
          <t>Раздел или упоминание о безопасности и приватности</t>
        </is>
      </c>
      <c r="B18" s="2" t="inlineStr">
        <is>
          <t>ценностное предложение</t>
        </is>
      </c>
      <c r="C18" s="2" t="inlineStr">
        <is>
          <t>Понять, где хранятся данные</t>
        </is>
      </c>
      <c r="D18" s="2" t="n">
        <v>6</v>
      </c>
      <c r="E18" s="6">
        <f>IF($D18="","",IFERROR($D18/'12_Сводка'!$B\$5,0))</f>
        <v/>
      </c>
      <c r="F18" s="5">
        <f>IF($A18="","",IF($E18&gt;=0.7,"рыночный стандарт",IF($E18&gt;=0.4,"формирующийся стандарт",IF($E18&gt;=0.2,"зона дифференциации","слабый сигнал"))))</f>
        <v/>
      </c>
      <c r="G18" s="5">
        <f>IF($A18="","",IF($F18="рыночный стандарт","необходимо включить в минимально приемлемое предложение",IF($F18="формирующийся стандарт","проверить значимость для клиента и вероятность закрепления",IF($F18="зона дифференциации","может использоваться как поле позиционирования","не использовать без дополнительной проверки"))))</f>
        <v/>
      </c>
      <c r="H18" s="2" t="inlineStr">
        <is>
          <t>Страница Security (Whimsical); раздел безопасности (Lucidchart, Eraser); privacy-first (draw.io)</t>
        </is>
      </c>
    </row>
    <row r="19" ht="42.75" customHeight="1">
      <c r="A19" s="2" t="inlineStr">
        <is>
          <t>Документация и руководства</t>
        </is>
      </c>
      <c r="B19" s="2" t="inlineStr">
        <is>
          <t>отношения с клиентами</t>
        </is>
      </c>
      <c r="C19" s="2" t="inlineStr">
        <is>
          <t>Научиться пользоваться без обращения в поддержку</t>
        </is>
      </c>
      <c r="D19" s="2" t="n">
        <v>6</v>
      </c>
      <c r="E19" s="6">
        <f>IF($D19="","",IFERROR($D19/'12_Сводка'!$B\$5,0))</f>
        <v/>
      </c>
      <c r="F19" s="5">
        <f>IF($A19="","",IF($E19&gt;=0.7,"рыночный стандарт",IF($E19&gt;=0.4,"формирующийся стандарт",IF($E19&gt;=0.2,"зона дифференциации","слабый сигнал"))))</f>
        <v/>
      </c>
      <c r="G19" s="5">
        <f>IF($A19="","",IF($F19="рыночный стандарт","необходимо включить в минимально приемлемое предложение",IF($F19="формирующийся стандарт","проверить значимость для клиента и вероятность закрепления",IF($F19="зона дифференциации","может использоваться как поле позиционирования","не использовать без дополнительной проверки"))))</f>
        <v/>
      </c>
      <c r="H19" s="2" t="inlineStr">
        <is>
          <t>PlantUML Language Reference Guide; Mermaid User Guide; docs.mermaidchart.com; docs.eraser.io; Learning center Lucidchart</t>
        </is>
      </c>
    </row>
    <row r="20" ht="42.75" customHeight="1">
      <c r="A20" s="2" t="inlineStr">
        <is>
          <t>Развёртывание на своём сервере</t>
        </is>
      </c>
      <c r="B20" s="2" t="inlineStr">
        <is>
          <t>структура затрат</t>
        </is>
      </c>
      <c r="C20" s="2" t="inlineStr">
        <is>
          <t>Хранить данные внутри организации</t>
        </is>
      </c>
      <c r="D20" s="2" t="n">
        <v>4</v>
      </c>
      <c r="E20" s="6">
        <f>IF($D20="","",IFERROR($D20/'12_Сводка'!$B\$5,0))</f>
        <v/>
      </c>
      <c r="F20" s="5">
        <f>IF($A20="","",IF($E20&gt;=0.7,"рыночный стандарт",IF($E20&gt;=0.4,"формирующийся стандарт",IF($E20&gt;=0.2,"зона дифференциации","слабый сигнал"))))</f>
        <v/>
      </c>
      <c r="G20" s="5">
        <f>IF($A20="","",IF($F20="рыночный стандарт","необходимо включить в минимально приемлемое предложение",IF($F20="формирующийся стандарт","проверить значимость для клиента и вероятность закрепления",IF($F20="зона дифференциации","может использоваться как поле позиционирования","не использовать без дополнительной проверки"))))</f>
        <v/>
      </c>
      <c r="H20" s="2" t="inlineStr">
        <is>
          <t>Страницы running и download (PlantUML); библиотека Mermaid; on-prem (Storm); Flexible deployments (Eraser Enterprise)</t>
        </is>
      </c>
    </row>
    <row r="21" ht="28.5" customHeight="1">
      <c r="A21" s="2" t="inlineStr">
        <is>
          <t>Вход и личный кабинет</t>
        </is>
      </c>
      <c r="B21" s="2" t="inlineStr">
        <is>
          <t>каналы</t>
        </is>
      </c>
      <c r="C21" s="2" t="inlineStr">
        <is>
          <t>Сохранять диаграммы и настройки</t>
        </is>
      </c>
      <c r="D21" s="2" t="n">
        <v>5</v>
      </c>
      <c r="E21" s="6">
        <f>IF($D21="","",IFERROR($D21/'12_Сводка'!$B\$5,0))</f>
        <v/>
      </c>
      <c r="F21" s="5">
        <f>IF($A21="","",IF($E21&gt;=0.7,"рыночный стандарт",IF($E21&gt;=0.4,"формирующийся стандарт",IF($E21&gt;=0.2,"зона дифференциации","слабый сигнал"))))</f>
        <v/>
      </c>
      <c r="G21" s="5">
        <f>IF($A21="","",IF($F21="рыночный стандарт","необходимо включить в минимально приемлемое предложение",IF($F21="формирующийся стандарт","проверить значимость для клиента и вероятность закрепления",IF($F21="зона дифференциации","может использоваться как поле позиционирования","не использовать без дополнительной проверки"))))</f>
        <v/>
      </c>
      <c r="H21" s="2" t="inlineStr">
        <is>
          <t>Ссылки на вход на главных страницах</t>
        </is>
      </c>
    </row>
    <row r="22" ht="28.5" customHeight="1">
      <c r="A22" s="2" t="inlineStr">
        <is>
          <t>Русскоязычный интерфейс и тарифы в рублях</t>
        </is>
      </c>
      <c r="B22" s="2" t="inlineStr">
        <is>
          <t>целевые сегменты</t>
        </is>
      </c>
      <c r="C22" s="2" t="inlineStr">
        <is>
          <t>Работать на русском языке и платить в рублях</t>
        </is>
      </c>
      <c r="D22" s="2" t="n">
        <v>1</v>
      </c>
      <c r="E22" s="6">
        <f>IF($D22="","",IFERROR($D22/'12_Сводка'!$B\$5,0))</f>
        <v/>
      </c>
      <c r="F22" s="5">
        <f>IF($A22="","",IF($E22&gt;=0.7,"рыночный стандарт",IF($E22&gt;=0.4,"формирующийся стандарт",IF($E22&gt;=0.2,"зона дифференциации","слабый сигнал"))))</f>
        <v/>
      </c>
      <c r="G22" s="5">
        <f>IF($A22="","",IF($F22="рыночный стандарт","необходимо включить в минимально приемлемое предложение",IF($F22="формирующийся стандарт","проверить значимость для клиента и вероятность закрепления",IF($F22="зона дифференциации","может использоваться как поле позиционирования","не использовать без дополнительной проверки"))))</f>
        <v/>
      </c>
      <c r="H22" s="2" t="inlineStr">
        <is>
          <t>Сайт и тарифы Storm на русском языке, цены в рублях</t>
        </is>
      </c>
    </row>
    <row r="23">
      <c r="A23" s="2" t="n"/>
      <c r="B23" s="2" t="n"/>
      <c r="C23" s="2" t="n"/>
      <c r="D23" s="2" t="n"/>
      <c r="E23" s="6">
        <f>IF($D23="","",IFERROR($D23/'12_Сводка'!$B\$5,0))</f>
        <v/>
      </c>
      <c r="F23" s="5">
        <f>IF($A23="","",IF($E23&gt;=0.7,"рыночный стандарт",IF($E23&gt;=0.4,"формирующийся стандарт",IF($E23&gt;=0.2,"зона дифференциации","слабый сигнал"))))</f>
        <v/>
      </c>
      <c r="G23" s="5">
        <f>IF($A23="","",IF($F23="рыночный стандарт","необходимо включить в минимально приемлемое предложение",IF($F23="формирующийся стандарт","проверить значимость для клиента и вероятность закрепления",IF($F23="зона дифференциации","может использоваться как поле позиционирования","не использовать без дополнительной проверки"))))</f>
        <v/>
      </c>
      <c r="H23" s="2" t="n"/>
    </row>
    <row r="24">
      <c r="A24" s="2" t="n"/>
      <c r="B24" s="2" t="n"/>
      <c r="C24" s="2" t="n"/>
      <c r="D24" s="2" t="n"/>
      <c r="E24" s="6">
        <f>IF($D24="","",IFERROR($D24/'12_Сводка'!$B\$5,0))</f>
        <v/>
      </c>
      <c r="F24" s="5">
        <f>IF($A24="","",IF($E24&gt;=0.7,"рыночный стандарт",IF($E24&gt;=0.4,"формирующийся стандарт",IF($E24&gt;=0.2,"зона дифференциации","слабый сигнал"))))</f>
        <v/>
      </c>
      <c r="G24" s="5">
        <f>IF($A24="","",IF($F24="рыночный стандарт","необходимо включить в минимально приемлемое предложение",IF($F24="формирующийся стандарт","проверить значимость для клиента и вероятность закрепления",IF($F24="зона дифференциации","может использоваться как поле позиционирования","не использовать без дополнительной проверки"))))</f>
        <v/>
      </c>
      <c r="H24" s="2" t="n"/>
    </row>
    <row r="25">
      <c r="A25" s="2" t="n"/>
      <c r="B25" s="2" t="n"/>
      <c r="C25" s="2" t="n"/>
      <c r="D25" s="2" t="n"/>
      <c r="E25" s="6">
        <f>IF($D25="","",IFERROR($D25/'12_Сводка'!$B\$5,0))</f>
        <v/>
      </c>
      <c r="F25" s="5">
        <f>IF($A25="","",IF($E25&gt;=0.7,"рыночный стандарт",IF($E25&gt;=0.4,"формирующийся стандарт",IF($E25&gt;=0.2,"зона дифференциации","слабый сигнал"))))</f>
        <v/>
      </c>
      <c r="G25" s="5">
        <f>IF($A25="","",IF($F25="рыночный стандарт","необходимо включить в минимально приемлемое предложение",IF($F25="формирующийся стандарт","проверить значимость для клиента и вероятность закрепления",IF($F25="зона дифференциации","может использоваться как поле позиционирования","не использовать без дополнительной проверки"))))</f>
        <v/>
      </c>
      <c r="H25" s="2" t="n"/>
    </row>
    <row r="26">
      <c r="A26" s="2" t="n"/>
      <c r="B26" s="2" t="n"/>
      <c r="C26" s="2" t="n"/>
      <c r="D26" s="2" t="n"/>
      <c r="E26" s="6">
        <f>IF($D26="","",IFERROR($D26/'12_Сводка'!$B\$5,0))</f>
        <v/>
      </c>
      <c r="F26" s="5">
        <f>IF($A26="","",IF($E26&gt;=0.7,"рыночный стандарт",IF($E26&gt;=0.4,"формирующийся стандарт",IF($E26&gt;=0.2,"зона дифференциации","слабый сигнал"))))</f>
        <v/>
      </c>
      <c r="G26" s="5">
        <f>IF($A26="","",IF($F26="рыночный стандарт","необходимо включить в минимально приемлемое предложение",IF($F26="формирующийся стандарт","проверить значимость для клиента и вероятность закрепления",IF($F26="зона дифференциации","может использоваться как поле позиционирования","не использовать без дополнительной проверки"))))</f>
        <v/>
      </c>
      <c r="H26" s="2" t="n"/>
    </row>
    <row r="27">
      <c r="A27" s="2" t="n"/>
      <c r="B27" s="2" t="n"/>
      <c r="C27" s="2" t="n"/>
      <c r="D27" s="2" t="n"/>
      <c r="E27" s="6">
        <f>IF($D27="","",IFERROR($D27/'12_Сводка'!$B\$5,0))</f>
        <v/>
      </c>
      <c r="F27" s="5">
        <f>IF($A27="","",IF($E27&gt;=0.7,"рыночный стандарт",IF($E27&gt;=0.4,"формирующийся стандарт",IF($E27&gt;=0.2,"зона дифференциации","слабый сигнал"))))</f>
        <v/>
      </c>
      <c r="G27" s="5">
        <f>IF($A27="","",IF($F27="рыночный стандарт","необходимо включить в минимально приемлемое предложение",IF($F27="формирующийся стандарт","проверить значимость для клиента и вероятность закрепления",IF($F27="зона дифференциации","может использоваться как поле позиционирования","не использовать без дополнительной проверки"))))</f>
        <v/>
      </c>
      <c r="H27" s="2" t="n"/>
    </row>
    <row r="28">
      <c r="A28" s="2" t="n"/>
      <c r="B28" s="2" t="n"/>
      <c r="C28" s="2" t="n"/>
      <c r="D28" s="2" t="n"/>
      <c r="E28" s="6">
        <f>IF($D28="","",IFERROR($D28/'12_Сводка'!$B\$5,0))</f>
        <v/>
      </c>
      <c r="F28" s="5">
        <f>IF($A28="","",IF($E28&gt;=0.7,"рыночный стандарт",IF($E28&gt;=0.4,"формирующийся стандарт",IF($E28&gt;=0.2,"зона дифференциации","слабый сигнал"))))</f>
        <v/>
      </c>
      <c r="G28" s="5">
        <f>IF($A28="","",IF($F28="рыночный стандарт","необходимо включить в минимально приемлемое предложение",IF($F28="формирующийся стандарт","проверить значимость для клиента и вероятность закрепления",IF($F28="зона дифференциации","может использоваться как поле позиционирования","не использовать без дополнительной проверки"))))</f>
        <v/>
      </c>
      <c r="H28" s="2" t="n"/>
    </row>
    <row r="29">
      <c r="A29" s="2" t="n"/>
      <c r="B29" s="2" t="n"/>
      <c r="C29" s="2" t="n"/>
      <c r="D29" s="2" t="n"/>
      <c r="E29" s="6">
        <f>IF($D29="","",IFERROR($D29/'12_Сводка'!$B\$5,0))</f>
        <v/>
      </c>
      <c r="F29" s="5">
        <f>IF($A29="","",IF($E29&gt;=0.7,"рыночный стандарт",IF($E29&gt;=0.4,"формирующийся стандарт",IF($E29&gt;=0.2,"зона дифференциации","слабый сигнал"))))</f>
        <v/>
      </c>
      <c r="G29" s="5">
        <f>IF($A29="","",IF($F29="рыночный стандарт","необходимо включить в минимально приемлемое предложение",IF($F29="формирующийся стандарт","проверить значимость для клиента и вероятность закрепления",IF($F29="зона дифференциации","может использоваться как поле позиционирования","не использовать без дополнительной проверки"))))</f>
        <v/>
      </c>
      <c r="H29" s="2" t="n"/>
    </row>
    <row r="30">
      <c r="A30" s="2" t="n"/>
      <c r="B30" s="2" t="n"/>
      <c r="C30" s="2" t="n"/>
      <c r="D30" s="2" t="n"/>
      <c r="E30" s="6">
        <f>IF($D30="","",IFERROR($D30/'12_Сводка'!$B\$5,0))</f>
        <v/>
      </c>
      <c r="F30" s="5">
        <f>IF($A30="","",IF($E30&gt;=0.7,"рыночный стандарт",IF($E30&gt;=0.4,"формирующийся стандарт",IF($E30&gt;=0.2,"зона дифференциации","слабый сигнал"))))</f>
        <v/>
      </c>
      <c r="G30" s="5">
        <f>IF($A30="","",IF($F30="рыночный стандарт","необходимо включить в минимально приемлемое предложение",IF($F30="формирующийся стандарт","проверить значимость для клиента и вероятность закрепления",IF($F30="зона дифференциации","может использоваться как поле позиционирования","не использовать без дополнительной проверки"))))</f>
        <v/>
      </c>
      <c r="H30" s="2" t="n"/>
    </row>
    <row r="31">
      <c r="A31" s="2" t="n"/>
      <c r="B31" s="2" t="n"/>
      <c r="C31" s="2" t="n"/>
      <c r="D31" s="2" t="n"/>
      <c r="E31" s="6">
        <f>IF($D31="","",IFERROR($D31/'12_Сводка'!$B\$5,0))</f>
        <v/>
      </c>
      <c r="F31" s="5">
        <f>IF($A31="","",IF($E31&gt;=0.7,"рыночный стандарт",IF($E31&gt;=0.4,"формирующийся стандарт",IF($E31&gt;=0.2,"зона дифференциации","слабый сигнал"))))</f>
        <v/>
      </c>
      <c r="G31" s="5">
        <f>IF($A31="","",IF($F31="рыночный стандарт","необходимо включить в минимально приемлемое предложение",IF($F31="формирующийся стандарт","проверить значимость для клиента и вероятность закрепления",IF($F31="зона дифференциации","может использоваться как поле позиционирования","не использовать без дополнительной проверки"))))</f>
        <v/>
      </c>
      <c r="H31" s="2" t="n"/>
    </row>
    <row r="32">
      <c r="A32" s="2" t="n"/>
      <c r="B32" s="2" t="n"/>
      <c r="C32" s="2" t="n"/>
      <c r="D32" s="2" t="n"/>
      <c r="E32" s="6">
        <f>IF($D32="","",IFERROR($D32/'12_Сводка'!$B\$5,0))</f>
        <v/>
      </c>
      <c r="F32" s="5">
        <f>IF($A32="","",IF($E32&gt;=0.7,"рыночный стандарт",IF($E32&gt;=0.4,"формирующийся стандарт",IF($E32&gt;=0.2,"зона дифференциации","слабый сигнал"))))</f>
        <v/>
      </c>
      <c r="G32" s="5">
        <f>IF($A32="","",IF($F32="рыночный стандарт","необходимо включить в минимально приемлемое предложение",IF($F32="формирующийся стандарт","проверить значимость для клиента и вероятность закрепления",IF($F32="зона дифференциации","может использоваться как поле позиционирования","не использовать без дополнительной проверки"))))</f>
        <v/>
      </c>
      <c r="H32" s="2" t="n"/>
    </row>
    <row r="33">
      <c r="A33" s="2" t="n"/>
      <c r="B33" s="2" t="n"/>
      <c r="C33" s="2" t="n"/>
      <c r="D33" s="2" t="n"/>
      <c r="E33" s="6">
        <f>IF($D33="","",IFERROR($D33/'12_Сводка'!$B\$5,0))</f>
        <v/>
      </c>
      <c r="F33" s="5">
        <f>IF($A33="","",IF($E33&gt;=0.7,"рыночный стандарт",IF($E33&gt;=0.4,"формирующийся стандарт",IF($E33&gt;=0.2,"зона дифференциации","слабый сигнал"))))</f>
        <v/>
      </c>
      <c r="G33" s="5">
        <f>IF($A33="","",IF($F33="рыночный стандарт","необходимо включить в минимально приемлемое предложение",IF($F33="формирующийся стандарт","проверить значимость для клиента и вероятность закрепления",IF($F33="зона дифференциации","может использоваться как поле позиционирования","не использовать без дополнительной проверки"))))</f>
        <v/>
      </c>
      <c r="H33" s="2" t="n"/>
    </row>
    <row r="34">
      <c r="A34" s="2" t="n"/>
      <c r="B34" s="2" t="n"/>
      <c r="C34" s="2" t="n"/>
      <c r="D34" s="2" t="n"/>
      <c r="E34" s="6">
        <f>IF($D34="","",IFERROR($D34/'12_Сводка'!$B\$5,0))</f>
        <v/>
      </c>
      <c r="F34" s="5">
        <f>IF($A34="","",IF($E34&gt;=0.7,"рыночный стандарт",IF($E34&gt;=0.4,"формирующийся стандарт",IF($E34&gt;=0.2,"зона дифференциации","слабый сигнал"))))</f>
        <v/>
      </c>
      <c r="G34" s="5">
        <f>IF($A34="","",IF($F34="рыночный стандарт","необходимо включить в минимально приемлемое предложение",IF($F34="формирующийся стандарт","проверить значимость для клиента и вероятность закрепления",IF($F34="зона дифференциации","может использоваться как поле позиционирования","не использовать без дополнительной проверки"))))</f>
        <v/>
      </c>
      <c r="H34" s="2" t="n"/>
    </row>
    <row r="35">
      <c r="A35" s="2" t="n"/>
      <c r="B35" s="2" t="n"/>
      <c r="C35" s="2" t="n"/>
      <c r="D35" s="2" t="n"/>
      <c r="E35" s="6">
        <f>IF($D35="","",IFERROR($D35/'12_Сводка'!$B\$5,0))</f>
        <v/>
      </c>
      <c r="F35" s="5">
        <f>IF($A35="","",IF($E35&gt;=0.7,"рыночный стандарт",IF($E35&gt;=0.4,"формирующийся стандарт",IF($E35&gt;=0.2,"зона дифференциации","слабый сигнал"))))</f>
        <v/>
      </c>
      <c r="G35" s="5">
        <f>IF($A35="","",IF($F35="рыночный стандарт","необходимо включить в минимально приемлемое предложение",IF($F35="формирующийся стандарт","проверить значимость для клиента и вероятность закрепления",IF($F35="зона дифференциации","может использоваться как поле позиционирования","не использовать без дополнительной проверки"))))</f>
        <v/>
      </c>
      <c r="H35" s="2" t="n"/>
    </row>
    <row r="36">
      <c r="A36" s="2" t="n"/>
      <c r="B36" s="2" t="n"/>
      <c r="C36" s="2" t="n"/>
      <c r="D36" s="2" t="n"/>
      <c r="E36" s="6">
        <f>IF($D36="","",IFERROR($D36/'12_Сводка'!$B\$5,0))</f>
        <v/>
      </c>
      <c r="F36" s="5">
        <f>IF($A36="","",IF($E36&gt;=0.7,"рыночный стандарт",IF($E36&gt;=0.4,"формирующийся стандарт",IF($E36&gt;=0.2,"зона дифференциации","слабый сигнал"))))</f>
        <v/>
      </c>
      <c r="G36" s="5">
        <f>IF($A36="","",IF($F36="рыночный стандарт","необходимо включить в минимально приемлемое предложение",IF($F36="формирующийся стандарт","проверить значимость для клиента и вероятность закрепления",IF($F36="зона дифференциации","может использоваться как поле позиционирования","не использовать без дополнительной проверки"))))</f>
        <v/>
      </c>
      <c r="H36" s="2" t="n"/>
    </row>
    <row r="37">
      <c r="A37" s="2" t="n"/>
      <c r="B37" s="2" t="n"/>
      <c r="C37" s="2" t="n"/>
      <c r="D37" s="2" t="n"/>
      <c r="E37" s="6">
        <f>IF($D37="","",IFERROR($D37/'12_Сводка'!$B\$5,0))</f>
        <v/>
      </c>
      <c r="F37" s="5">
        <f>IF($A37="","",IF($E37&gt;=0.7,"рыночный стандарт",IF($E37&gt;=0.4,"формирующийся стандарт",IF($E37&gt;=0.2,"зона дифференциации","слабый сигнал"))))</f>
        <v/>
      </c>
      <c r="G37" s="5">
        <f>IF($A37="","",IF($F37="рыночный стандарт","необходимо включить в минимально приемлемое предложение",IF($F37="формирующийся стандарт","проверить значимость для клиента и вероятность закрепления",IF($F37="зона дифференциации","может использоваться как поле позиционирования","не использовать без дополнительной проверки"))))</f>
        <v/>
      </c>
      <c r="H37" s="2" t="n"/>
    </row>
    <row r="38">
      <c r="A38" s="2" t="n"/>
      <c r="B38" s="2" t="n"/>
      <c r="C38" s="2" t="n"/>
      <c r="D38" s="2" t="n"/>
      <c r="E38" s="6">
        <f>IF($D38="","",IFERROR($D38/'12_Сводка'!$B\$5,0))</f>
        <v/>
      </c>
      <c r="F38" s="5">
        <f>IF($A38="","",IF($E38&gt;=0.7,"рыночный стандарт",IF($E38&gt;=0.4,"формирующийся стандарт",IF($E38&gt;=0.2,"зона дифференциации","слабый сигнал"))))</f>
        <v/>
      </c>
      <c r="G38" s="5">
        <f>IF($A38="","",IF($F38="рыночный стандарт","необходимо включить в минимально приемлемое предложение",IF($F38="формирующийся стандарт","проверить значимость для клиента и вероятность закрепления",IF($F38="зона дифференциации","может использоваться как поле позиционирования","не использовать без дополнительной проверки"))))</f>
        <v/>
      </c>
      <c r="H38" s="2" t="n"/>
    </row>
    <row r="39">
      <c r="A39" s="2" t="n"/>
      <c r="B39" s="2" t="n"/>
      <c r="C39" s="2" t="n"/>
      <c r="D39" s="2" t="n"/>
      <c r="E39" s="6">
        <f>IF($D39="","",IFERROR($D39/'12_Сводка'!$B\$5,0))</f>
        <v/>
      </c>
      <c r="F39" s="5">
        <f>IF($A39="","",IF($E39&gt;=0.7,"рыночный стандарт",IF($E39&gt;=0.4,"формирующийся стандарт",IF($E39&gt;=0.2,"зона дифференциации","слабый сигнал"))))</f>
        <v/>
      </c>
      <c r="G39" s="5">
        <f>IF($A39="","",IF($F39="рыночный стандарт","необходимо включить в минимально приемлемое предложение",IF($F39="формирующийся стандарт","проверить значимость для клиента и вероятность закрепления",IF($F39="зона дифференциации","может использоваться как поле позиционирования","не использовать без дополнительной проверки"))))</f>
        <v/>
      </c>
      <c r="H39" s="2" t="n"/>
    </row>
    <row r="40">
      <c r="A40" s="2" t="n"/>
      <c r="B40" s="2" t="n"/>
      <c r="C40" s="2" t="n"/>
      <c r="D40" s="2" t="n"/>
      <c r="E40" s="6">
        <f>IF($D40="","",IFERROR($D40/'12_Сводка'!$B\$5,0))</f>
        <v/>
      </c>
      <c r="F40" s="5">
        <f>IF($A40="","",IF($E40&gt;=0.7,"рыночный стандарт",IF($E40&gt;=0.4,"формирующийся стандарт",IF($E40&gt;=0.2,"зона дифференциации","слабый сигнал"))))</f>
        <v/>
      </c>
      <c r="G40" s="5">
        <f>IF($A40="","",IF($F40="рыночный стандарт","необходимо включить в минимально приемлемое предложение",IF($F40="формирующийся стандарт","проверить значимость для клиента и вероятность закрепления",IF($F40="зона дифференциации","может использоваться как поле позиционирования","не использовать без дополнительной проверки"))))</f>
        <v/>
      </c>
      <c r="H40" s="2" t="n"/>
    </row>
    <row r="41">
      <c r="A41" s="2" t="n"/>
      <c r="B41" s="2" t="n"/>
      <c r="C41" s="2" t="n"/>
      <c r="D41" s="2" t="n"/>
      <c r="E41" s="6">
        <f>IF($D41="","",IFERROR($D41/'12_Сводка'!$B\$5,0))</f>
        <v/>
      </c>
      <c r="F41" s="5">
        <f>IF($A41="","",IF($E41&gt;=0.7,"рыночный стандарт",IF($E41&gt;=0.4,"формирующийся стандарт",IF($E41&gt;=0.2,"зона дифференциации","слабый сигнал"))))</f>
        <v/>
      </c>
      <c r="G41" s="5">
        <f>IF($A41="","",IF($F41="рыночный стандарт","необходимо включить в минимально приемлемое предложение",IF($F41="формирующийся стандарт","проверить значимость для клиента и вероятность закрепления",IF($F41="зона дифференциации","может использоваться как поле позиционирования","не использовать без дополнительной проверки"))))</f>
        <v/>
      </c>
      <c r="H41" s="2" t="n"/>
    </row>
    <row r="42">
      <c r="A42" s="2" t="n"/>
      <c r="B42" s="2" t="n"/>
      <c r="C42" s="2" t="n"/>
      <c r="D42" s="2" t="n"/>
      <c r="E42" s="6">
        <f>IF($D42="","",IFERROR($D42/'12_Сводка'!$B\$5,0))</f>
        <v/>
      </c>
      <c r="F42" s="5">
        <f>IF($A42="","",IF($E42&gt;=0.7,"рыночный стандарт",IF($E42&gt;=0.4,"формирующийся стандарт",IF($E42&gt;=0.2,"зона дифференциации","слабый сигнал"))))</f>
        <v/>
      </c>
      <c r="G42" s="5">
        <f>IF($A42="","",IF($F42="рыночный стандарт","необходимо включить в минимально приемлемое предложение",IF($F42="формирующийся стандарт","проверить значимость для клиента и вероятность закрепления",IF($F42="зона дифференциации","может использоваться как поле позиционирования","не использовать без дополнительной проверки"))))</f>
        <v/>
      </c>
      <c r="H42" s="2" t="n"/>
    </row>
    <row r="43">
      <c r="A43" s="2" t="n"/>
      <c r="B43" s="2" t="n"/>
      <c r="C43" s="2" t="n"/>
      <c r="D43" s="2" t="n"/>
      <c r="E43" s="6">
        <f>IF($D43="","",IFERROR($D43/'12_Сводка'!$B\$5,0))</f>
        <v/>
      </c>
      <c r="F43" s="5">
        <f>IF($A43="","",IF($E43&gt;=0.7,"рыночный стандарт",IF($E43&gt;=0.4,"формирующийся стандарт",IF($E43&gt;=0.2,"зона дифференциации","слабый сигнал"))))</f>
        <v/>
      </c>
      <c r="G43" s="5">
        <f>IF($A43="","",IF($F43="рыночный стандарт","необходимо включить в минимально приемлемое предложение",IF($F43="формирующийся стандарт","проверить значимость для клиента и вероятность закрепления",IF($F43="зона дифференциации","может использоваться как поле позиционирования","не использовать без дополнительной проверки"))))</f>
        <v/>
      </c>
      <c r="H43" s="2" t="n"/>
    </row>
    <row r="44">
      <c r="A44" s="2" t="n"/>
      <c r="B44" s="2" t="n"/>
      <c r="C44" s="2" t="n"/>
      <c r="D44" s="2" t="n"/>
      <c r="E44" s="6">
        <f>IF($D44="","",IFERROR($D44/'12_Сводка'!$B\$5,0))</f>
        <v/>
      </c>
      <c r="F44" s="5">
        <f>IF($A44="","",IF($E44&gt;=0.7,"рыночный стандарт",IF($E44&gt;=0.4,"формирующийся стандарт",IF($E44&gt;=0.2,"зона дифференциации","слабый сигнал"))))</f>
        <v/>
      </c>
      <c r="G44" s="5">
        <f>IF($A44="","",IF($F44="рыночный стандарт","необходимо включить в минимально приемлемое предложение",IF($F44="формирующийся стандарт","проверить значимость для клиента и вероятность закрепления",IF($F44="зона дифференциации","может использоваться как поле позиционирования","не использовать без дополнительной проверки"))))</f>
        <v/>
      </c>
      <c r="H44" s="2" t="n"/>
    </row>
    <row r="45">
      <c r="A45" s="2" t="n"/>
      <c r="B45" s="2" t="n"/>
      <c r="C45" s="2" t="n"/>
      <c r="D45" s="2" t="n"/>
      <c r="E45" s="6">
        <f>IF($D45="","",IFERROR($D45/'12_Сводка'!$B\$5,0))</f>
        <v/>
      </c>
      <c r="F45" s="5">
        <f>IF($A45="","",IF($E45&gt;=0.7,"рыночный стандарт",IF($E45&gt;=0.4,"формирующийся стандарт",IF($E45&gt;=0.2,"зона дифференциации","слабый сигнал"))))</f>
        <v/>
      </c>
      <c r="G45" s="5">
        <f>IF($A45="","",IF($F45="рыночный стандарт","необходимо включить в минимально приемлемое предложение",IF($F45="формирующийся стандарт","проверить значимость для клиента и вероятность закрепления",IF($F45="зона дифференциации","может использоваться как поле позиционирования","не использовать без дополнительной проверки"))))</f>
        <v/>
      </c>
      <c r="H45" s="2" t="n"/>
    </row>
    <row r="46">
      <c r="A46" s="2" t="n"/>
      <c r="B46" s="2" t="n"/>
      <c r="C46" s="2" t="n"/>
      <c r="D46" s="2" t="n"/>
      <c r="E46" s="6">
        <f>IF($D46="","",IFERROR($D46/'12_Сводка'!$B\$5,0))</f>
        <v/>
      </c>
      <c r="F46" s="5">
        <f>IF($A46="","",IF($E46&gt;=0.7,"рыночный стандарт",IF($E46&gt;=0.4,"формирующийся стандарт",IF($E46&gt;=0.2,"зона дифференциации","слабый сигнал"))))</f>
        <v/>
      </c>
      <c r="G46" s="5">
        <f>IF($A46="","",IF($F46="рыночный стандарт","необходимо включить в минимально приемлемое предложение",IF($F46="формирующийся стандарт","проверить значимость для клиента и вероятность закрепления",IF($F46="зона дифференциации","может использоваться как поле позиционирования","не использовать без дополнительной проверки"))))</f>
        <v/>
      </c>
      <c r="H46" s="2" t="n"/>
    </row>
    <row r="47">
      <c r="A47" s="2" t="n"/>
      <c r="B47" s="2" t="n"/>
      <c r="C47" s="2" t="n"/>
      <c r="D47" s="2" t="n"/>
      <c r="E47" s="6">
        <f>IF($D47="","",IFERROR($D47/'12_Сводка'!$B\$5,0))</f>
        <v/>
      </c>
      <c r="F47" s="5">
        <f>IF($A47="","",IF($E47&gt;=0.7,"рыночный стандарт",IF($E47&gt;=0.4,"формирующийся стандарт",IF($E47&gt;=0.2,"зона дифференциации","слабый сигнал"))))</f>
        <v/>
      </c>
      <c r="G47" s="5">
        <f>IF($A47="","",IF($F47="рыночный стандарт","необходимо включить в минимально приемлемое предложение",IF($F47="формирующийся стандарт","проверить значимость для клиента и вероятность закрепления",IF($F47="зона дифференциации","может использоваться как поле позиционирования","не использовать без дополнительной проверки"))))</f>
        <v/>
      </c>
      <c r="H47" s="2" t="n"/>
    </row>
    <row r="48">
      <c r="A48" s="2" t="n"/>
      <c r="B48" s="2" t="n"/>
      <c r="C48" s="2" t="n"/>
      <c r="D48" s="2" t="n"/>
      <c r="E48" s="6">
        <f>IF($D48="","",IFERROR($D48/'12_Сводка'!$B\$5,0))</f>
        <v/>
      </c>
      <c r="F48" s="5">
        <f>IF($A48="","",IF($E48&gt;=0.7,"рыночный стандарт",IF($E48&gt;=0.4,"формирующийся стандарт",IF($E48&gt;=0.2,"зона дифференциации","слабый сигнал"))))</f>
        <v/>
      </c>
      <c r="G48" s="5">
        <f>IF($A48="","",IF($F48="рыночный стандарт","необходимо включить в минимально приемлемое предложение",IF($F48="формирующийся стандарт","проверить значимость для клиента и вероятность закрепления",IF($F48="зона дифференциации","может использоваться как поле позиционирования","не использовать без дополнительной проверки"))))</f>
        <v/>
      </c>
      <c r="H48" s="2" t="n"/>
    </row>
    <row r="49">
      <c r="A49" s="2" t="n"/>
      <c r="B49" s="2" t="n"/>
      <c r="C49" s="2" t="n"/>
      <c r="D49" s="2" t="n"/>
      <c r="E49" s="6">
        <f>IF($D49="","",IFERROR($D49/'12_Сводка'!$B\$5,0))</f>
        <v/>
      </c>
      <c r="F49" s="5">
        <f>IF($A49="","",IF($E49&gt;=0.7,"рыночный стандарт",IF($E49&gt;=0.4,"формирующийся стандарт",IF($E49&gt;=0.2,"зона дифференциации","слабый сигнал"))))</f>
        <v/>
      </c>
      <c r="G49" s="5">
        <f>IF($A49="","",IF($F49="рыночный стандарт","необходимо включить в минимально приемлемое предложение",IF($F49="формирующийся стандарт","проверить значимость для клиента и вероятность закрепления",IF($F49="зона дифференциации","может использоваться как поле позиционирования","не использовать без дополнительной проверки"))))</f>
        <v/>
      </c>
      <c r="H49" s="2" t="n"/>
    </row>
    <row r="50">
      <c r="A50" s="2" t="n"/>
      <c r="B50" s="2" t="n"/>
      <c r="C50" s="2" t="n"/>
      <c r="D50" s="2" t="n"/>
      <c r="E50" s="6">
        <f>IF($D50="","",IFERROR($D50/'12_Сводка'!$B\$5,0))</f>
        <v/>
      </c>
      <c r="F50" s="5">
        <f>IF($A50="","",IF($E50&gt;=0.7,"рыночный стандарт",IF($E50&gt;=0.4,"формирующийся стандарт",IF($E50&gt;=0.2,"зона дифференциации","слабый сигнал"))))</f>
        <v/>
      </c>
      <c r="G50" s="5">
        <f>IF($A50="","",IF($F50="рыночный стандарт","необходимо включить в минимально приемлемое предложение",IF($F50="формирующийся стандарт","проверить значимость для клиента и вероятность закрепления",IF($F50="зона дифференциации","может использоваться как поле позиционирования","не использовать без дополнительной проверки"))))</f>
        <v/>
      </c>
      <c r="H50" s="2" t="n"/>
    </row>
    <row r="51">
      <c r="A51" s="2" t="n"/>
      <c r="B51" s="2" t="n"/>
      <c r="C51" s="2" t="n"/>
      <c r="D51" s="2" t="n"/>
      <c r="E51" s="6">
        <f>IF($D51="","",IFERROR($D51/'12_Сводка'!$B\$5,0))</f>
        <v/>
      </c>
      <c r="F51" s="5">
        <f>IF($A51="","",IF($E51&gt;=0.7,"рыночный стандарт",IF($E51&gt;=0.4,"формирующийся стандарт",IF($E51&gt;=0.2,"зона дифференциации","слабый сигнал"))))</f>
        <v/>
      </c>
      <c r="G51" s="5">
        <f>IF($A51="","",IF($F51="рыночный стандарт","необходимо включить в минимально приемлемое предложение",IF($F51="формирующийся стандарт","проверить значимость для клиента и вероятность закрепления",IF($F51="зона дифференциации","может использоваться как поле позиционирования","не использовать без дополнительной проверки"))))</f>
        <v/>
      </c>
      <c r="H51" s="2" t="n"/>
    </row>
    <row r="52">
      <c r="A52" s="2" t="n"/>
      <c r="B52" s="2" t="n"/>
      <c r="C52" s="2" t="n"/>
      <c r="D52" s="2" t="n"/>
      <c r="E52" s="6">
        <f>IF($D52="","",IFERROR($D52/'12_Сводка'!$B\$5,0))</f>
        <v/>
      </c>
      <c r="F52" s="5">
        <f>IF($A52="","",IF($E52&gt;=0.7,"рыночный стандарт",IF($E52&gt;=0.4,"формирующийся стандарт",IF($E52&gt;=0.2,"зона дифференциации","слабый сигнал"))))</f>
        <v/>
      </c>
      <c r="G52" s="5">
        <f>IF($A52="","",IF($F52="рыночный стандарт","необходимо включить в минимально приемлемое предложение",IF($F52="формирующийся стандарт","проверить значимость для клиента и вероятность закрепления",IF($F52="зона дифференциации","может использоваться как поле позиционирования","не использовать без дополнительной проверки"))))</f>
        <v/>
      </c>
      <c r="H52" s="2" t="n"/>
    </row>
    <row r="53">
      <c r="A53" s="2" t="n"/>
      <c r="B53" s="2" t="n"/>
      <c r="C53" s="2" t="n"/>
      <c r="D53" s="2" t="n"/>
      <c r="E53" s="6">
        <f>IF($D53="","",IFERROR($D53/'12_Сводка'!$B\$5,0))</f>
        <v/>
      </c>
      <c r="F53" s="5">
        <f>IF($A53="","",IF($E53&gt;=0.7,"рыночный стандарт",IF($E53&gt;=0.4,"формирующийся стандарт",IF($E53&gt;=0.2,"зона дифференциации","слабый сигнал"))))</f>
        <v/>
      </c>
      <c r="G53" s="5">
        <f>IF($A53="","",IF($F53="рыночный стандарт","необходимо включить в минимально приемлемое предложение",IF($F53="формирующийся стандарт","проверить значимость для клиента и вероятность закрепления",IF($F53="зона дифференциации","может использоваться как поле позиционирования","не использовать без дополнительной проверки"))))</f>
        <v/>
      </c>
      <c r="H53" s="2" t="n"/>
    </row>
    <row r="54">
      <c r="A54" s="2" t="n"/>
      <c r="B54" s="2" t="n"/>
      <c r="C54" s="2" t="n"/>
      <c r="D54" s="2" t="n"/>
      <c r="E54" s="6">
        <f>IF($D54="","",IFERROR($D54/'12_Сводка'!$B\$5,0))</f>
        <v/>
      </c>
      <c r="F54" s="5">
        <f>IF($A54="","",IF($E54&gt;=0.7,"рыночный стандарт",IF($E54&gt;=0.4,"формирующийся стандарт",IF($E54&gt;=0.2,"зона дифференциации","слабый сигнал"))))</f>
        <v/>
      </c>
      <c r="G54" s="5">
        <f>IF($A54="","",IF($F54="рыночный стандарт","необходимо включить в минимально приемлемое предложение",IF($F54="формирующийся стандарт","проверить значимость для клиента и вероятность закрепления",IF($F54="зона дифференциации","может использоваться как поле позиционирования","не использовать без дополнительной проверки"))))</f>
        <v/>
      </c>
      <c r="H54" s="2" t="n"/>
    </row>
    <row r="55">
      <c r="A55" s="2" t="n"/>
      <c r="B55" s="2" t="n"/>
      <c r="C55" s="2" t="n"/>
      <c r="D55" s="2" t="n"/>
      <c r="E55" s="6">
        <f>IF($D55="","",IFERROR($D55/'12_Сводка'!$B\$5,0))</f>
        <v/>
      </c>
      <c r="F55" s="5">
        <f>IF($A55="","",IF($E55&gt;=0.7,"рыночный стандарт",IF($E55&gt;=0.4,"формирующийся стандарт",IF($E55&gt;=0.2,"зона дифференциации","слабый сигнал"))))</f>
        <v/>
      </c>
      <c r="G55" s="5">
        <f>IF($A55="","",IF($F55="рыночный стандарт","необходимо включить в минимально приемлемое предложение",IF($F55="формирующийся стандарт","проверить значимость для клиента и вероятность закрепления",IF($F55="зона дифференциации","может использоваться как поле позиционирования","не использовать без дополнительной проверки"))))</f>
        <v/>
      </c>
      <c r="H55" s="2" t="n"/>
    </row>
    <row r="56">
      <c r="A56" s="2" t="n"/>
      <c r="B56" s="2" t="n"/>
      <c r="C56" s="2" t="n"/>
      <c r="D56" s="2" t="n"/>
      <c r="E56" s="6">
        <f>IF($D56="","",IFERROR($D56/'12_Сводка'!$B\$5,0))</f>
        <v/>
      </c>
      <c r="F56" s="5">
        <f>IF($A56="","",IF($E56&gt;=0.7,"рыночный стандарт",IF($E56&gt;=0.4,"формирующийся стандарт",IF($E56&gt;=0.2,"зона дифференциации","слабый сигнал"))))</f>
        <v/>
      </c>
      <c r="G56" s="5">
        <f>IF($A56="","",IF($F56="рыночный стандарт","необходимо включить в минимально приемлемое предложение",IF($F56="формирующийся стандарт","проверить значимость для клиента и вероятность закрепления",IF($F56="зона дифференциации","может использоваться как поле позиционирования","не использовать без дополнительной проверки"))))</f>
        <v/>
      </c>
      <c r="H56" s="2" t="n"/>
    </row>
    <row r="57">
      <c r="A57" s="2" t="n"/>
      <c r="B57" s="2" t="n"/>
      <c r="C57" s="2" t="n"/>
      <c r="D57" s="2" t="n"/>
      <c r="E57" s="6">
        <f>IF($D57="","",IFERROR($D57/'12_Сводка'!$B\$5,0))</f>
        <v/>
      </c>
      <c r="F57" s="5">
        <f>IF($A57="","",IF($E57&gt;=0.7,"рыночный стандарт",IF($E57&gt;=0.4,"формирующийся стандарт",IF($E57&gt;=0.2,"зона дифференциации","слабый сигнал"))))</f>
        <v/>
      </c>
      <c r="G57" s="5">
        <f>IF($A57="","",IF($F57="рыночный стандарт","необходимо включить в минимально приемлемое предложение",IF($F57="формирующийся стандарт","проверить значимость для клиента и вероятность закрепления",IF($F57="зона дифференциации","может использоваться как поле позиционирования","не использовать без дополнительной проверки"))))</f>
        <v/>
      </c>
      <c r="H57" s="2" t="n"/>
    </row>
    <row r="58">
      <c r="A58" s="2" t="n"/>
      <c r="B58" s="2" t="n"/>
      <c r="C58" s="2" t="n"/>
      <c r="D58" s="2" t="n"/>
      <c r="E58" s="6">
        <f>IF($D58="","",IFERROR($D58/'12_Сводка'!$B\$5,0))</f>
        <v/>
      </c>
      <c r="F58" s="5">
        <f>IF($A58="","",IF($E58&gt;=0.7,"рыночный стандарт",IF($E58&gt;=0.4,"формирующийся стандарт",IF($E58&gt;=0.2,"зона дифференциации","слабый сигнал"))))</f>
        <v/>
      </c>
      <c r="G58" s="5">
        <f>IF($A58="","",IF($F58="рыночный стандарт","необходимо включить в минимально приемлемое предложение",IF($F58="формирующийся стандарт","проверить значимость для клиента и вероятность закрепления",IF($F58="зона дифференциации","может использоваться как поле позиционирования","не использовать без дополнительной проверки"))))</f>
        <v/>
      </c>
      <c r="H58" s="2" t="n"/>
    </row>
    <row r="59">
      <c r="A59" s="2" t="n"/>
      <c r="B59" s="2" t="n"/>
      <c r="C59" s="2" t="n"/>
      <c r="D59" s="2" t="n"/>
      <c r="E59" s="6">
        <f>IF($D59="","",IFERROR($D59/'12_Сводка'!$B\$5,0))</f>
        <v/>
      </c>
      <c r="F59" s="5">
        <f>IF($A59="","",IF($E59&gt;=0.7,"рыночный стандарт",IF($E59&gt;=0.4,"формирующийся стандарт",IF($E59&gt;=0.2,"зона дифференциации","слабый сигнал"))))</f>
        <v/>
      </c>
      <c r="G59" s="5">
        <f>IF($A59="","",IF($F59="рыночный стандарт","необходимо включить в минимально приемлемое предложение",IF($F59="формирующийся стандарт","проверить значимость для клиента и вероятность закрепления",IF($F59="зона дифференциации","может использоваться как поле позиционирования","не использовать без дополнительной проверки"))))</f>
        <v/>
      </c>
      <c r="H59" s="2" t="n"/>
    </row>
    <row r="60">
      <c r="A60" s="2" t="n"/>
      <c r="B60" s="2" t="n"/>
      <c r="C60" s="2" t="n"/>
      <c r="D60" s="2" t="n"/>
      <c r="E60" s="6">
        <f>IF($D60="","",IFERROR($D60/'12_Сводка'!$B\$5,0))</f>
        <v/>
      </c>
      <c r="F60" s="5">
        <f>IF($A60="","",IF($E60&gt;=0.7,"рыночный стандарт",IF($E60&gt;=0.4,"формирующийся стандарт",IF($E60&gt;=0.2,"зона дифференциации","слабый сигнал"))))</f>
        <v/>
      </c>
      <c r="G60" s="5">
        <f>IF($A60="","",IF($F60="рыночный стандарт","необходимо включить в минимально приемлемое предложение",IF($F60="формирующийся стандарт","проверить значимость для клиента и вероятность закрепления",IF($F60="зона дифференциации","может использоваться как поле позиционирования","не использовать без дополнительной проверки"))))</f>
        <v/>
      </c>
      <c r="H60" s="2" t="n"/>
    </row>
    <row r="61">
      <c r="A61" s="2" t="n"/>
      <c r="B61" s="2" t="n"/>
      <c r="C61" s="2" t="n"/>
      <c r="D61" s="2" t="n"/>
      <c r="E61" s="6">
        <f>IF($D61="","",IFERROR($D61/'12_Сводка'!$B\$5,0))</f>
        <v/>
      </c>
      <c r="F61" s="5">
        <f>IF($A61="","",IF($E61&gt;=0.7,"рыночный стандарт",IF($E61&gt;=0.4,"формирующийся стандарт",IF($E61&gt;=0.2,"зона дифференциации","слабый сигнал"))))</f>
        <v/>
      </c>
      <c r="G61" s="5">
        <f>IF($A61="","",IF($F61="рыночный стандарт","необходимо включить в минимально приемлемое предложение",IF($F61="формирующийся стандарт","проверить значимость для клиента и вероятность закрепления",IF($F61="зона дифференциации","может использоваться как поле позиционирования","не использовать без дополнительной проверки"))))</f>
        <v/>
      </c>
      <c r="H61" s="2" t="n"/>
    </row>
    <row r="62">
      <c r="A62" s="2" t="n"/>
      <c r="B62" s="2" t="n"/>
      <c r="C62" s="2" t="n"/>
      <c r="D62" s="2" t="n"/>
      <c r="E62" s="6">
        <f>IF($D62="","",IFERROR($D62/'12_Сводка'!$B\$5,0))</f>
        <v/>
      </c>
      <c r="F62" s="5">
        <f>IF($A62="","",IF($E62&gt;=0.7,"рыночный стандарт",IF($E62&gt;=0.4,"формирующийся стандарт",IF($E62&gt;=0.2,"зона дифференциации","слабый сигнал"))))</f>
        <v/>
      </c>
      <c r="G62" s="5">
        <f>IF($A62="","",IF($F62="рыночный стандарт","необходимо включить в минимально приемлемое предложение",IF($F62="формирующийся стандарт","проверить значимость для клиента и вероятность закрепления",IF($F62="зона дифференциации","может использоваться как поле позиционирования","не использовать без дополнительной проверки"))))</f>
        <v/>
      </c>
      <c r="H62" s="2" t="n"/>
    </row>
    <row r="63">
      <c r="A63" s="2" t="n"/>
      <c r="B63" s="2" t="n"/>
      <c r="C63" s="2" t="n"/>
      <c r="D63" s="2" t="n"/>
      <c r="E63" s="6">
        <f>IF($D63="","",IFERROR($D63/'12_Сводка'!$B\$5,0))</f>
        <v/>
      </c>
      <c r="F63" s="5">
        <f>IF($A63="","",IF($E63&gt;=0.7,"рыночный стандарт",IF($E63&gt;=0.4,"формирующийся стандарт",IF($E63&gt;=0.2,"зона дифференциации","слабый сигнал"))))</f>
        <v/>
      </c>
      <c r="G63" s="5">
        <f>IF($A63="","",IF($F63="рыночный стандарт","необходимо включить в минимально приемлемое предложение",IF($F63="формирующийся стандарт","проверить значимость для клиента и вероятность закрепления",IF($F63="зона дифференциации","может использоваться как поле позиционирования","не использовать без дополнительной проверки"))))</f>
        <v/>
      </c>
      <c r="H63" s="2" t="n"/>
    </row>
    <row r="64">
      <c r="A64" s="2" t="n"/>
      <c r="B64" s="2" t="n"/>
      <c r="C64" s="2" t="n"/>
      <c r="D64" s="2" t="n"/>
      <c r="E64" s="6">
        <f>IF($D64="","",IFERROR($D64/'12_Сводка'!$B\$5,0))</f>
        <v/>
      </c>
      <c r="F64" s="5">
        <f>IF($A64="","",IF($E64&gt;=0.7,"рыночный стандарт",IF($E64&gt;=0.4,"формирующийся стандарт",IF($E64&gt;=0.2,"зона дифференциации","слабый сигнал"))))</f>
        <v/>
      </c>
      <c r="G64" s="5">
        <f>IF($A64="","",IF($F64="рыночный стандарт","необходимо включить в минимально приемлемое предложение",IF($F64="формирующийся стандарт","проверить значимость для клиента и вероятность закрепления",IF($F64="зона дифференциации","может использоваться как поле позиционирования","не использовать без дополнительной проверки"))))</f>
        <v/>
      </c>
      <c r="H64" s="2" t="n"/>
    </row>
    <row r="65">
      <c r="A65" s="2" t="n"/>
      <c r="B65" s="2" t="n"/>
      <c r="C65" s="2" t="n"/>
      <c r="D65" s="2" t="n"/>
      <c r="E65" s="6">
        <f>IF($D65="","",IFERROR($D65/'12_Сводка'!$B\$5,0))</f>
        <v/>
      </c>
      <c r="F65" s="5">
        <f>IF($A65="","",IF($E65&gt;=0.7,"рыночный стандарт",IF($E65&gt;=0.4,"формирующийся стандарт",IF($E65&gt;=0.2,"зона дифференциации","слабый сигнал"))))</f>
        <v/>
      </c>
      <c r="G65" s="5">
        <f>IF($A65="","",IF($F65="рыночный стандарт","необходимо включить в минимально приемлемое предложение",IF($F65="формирующийся стандарт","проверить значимость для клиента и вероятность закрепления",IF($F65="зона дифференциации","может использоваться как поле позиционирования","не использовать без дополнительной проверки"))))</f>
        <v/>
      </c>
      <c r="H65" s="2" t="n"/>
    </row>
    <row r="66">
      <c r="A66" s="2" t="n"/>
      <c r="B66" s="2" t="n"/>
      <c r="C66" s="2" t="n"/>
      <c r="D66" s="2" t="n"/>
      <c r="E66" s="6">
        <f>IF($D66="","",IFERROR($D66/'12_Сводка'!$B\$5,0))</f>
        <v/>
      </c>
      <c r="F66" s="5">
        <f>IF($A66="","",IF($E66&gt;=0.7,"рыночный стандарт",IF($E66&gt;=0.4,"формирующийся стандарт",IF($E66&gt;=0.2,"зона дифференциации","слабый сигнал"))))</f>
        <v/>
      </c>
      <c r="G66" s="5">
        <f>IF($A66="","",IF($F66="рыночный стандарт","необходимо включить в минимально приемлемое предложение",IF($F66="формирующийся стандарт","проверить значимость для клиента и вероятность закрепления",IF($F66="зона дифференциации","может использоваться как поле позиционирования","не использовать без дополнительной проверки"))))</f>
        <v/>
      </c>
      <c r="H66" s="2" t="n"/>
    </row>
    <row r="67">
      <c r="A67" s="2" t="n"/>
      <c r="B67" s="2" t="n"/>
      <c r="C67" s="2" t="n"/>
      <c r="D67" s="2" t="n"/>
      <c r="E67" s="6">
        <f>IF($D67="","",IFERROR($D67/'12_Сводка'!$B\$5,0))</f>
        <v/>
      </c>
      <c r="F67" s="5">
        <f>IF($A67="","",IF($E67&gt;=0.7,"рыночный стандарт",IF($E67&gt;=0.4,"формирующийся стандарт",IF($E67&gt;=0.2,"зона дифференциации","слабый сигнал"))))</f>
        <v/>
      </c>
      <c r="G67" s="5">
        <f>IF($A67="","",IF($F67="рыночный стандарт","необходимо включить в минимально приемлемое предложение",IF($F67="формирующийся стандарт","проверить значимость для клиента и вероятность закрепления",IF($F67="зона дифференциации","может использоваться как поле позиционирования","не использовать без дополнительной проверки"))))</f>
        <v/>
      </c>
      <c r="H67" s="2" t="n"/>
    </row>
    <row r="68">
      <c r="A68" s="2" t="n"/>
      <c r="B68" s="2" t="n"/>
      <c r="C68" s="2" t="n"/>
      <c r="D68" s="2" t="n"/>
      <c r="E68" s="6">
        <f>IF($D68="","",IFERROR($D68/'12_Сводка'!$B\$5,0))</f>
        <v/>
      </c>
      <c r="F68" s="5">
        <f>IF($A68="","",IF($E68&gt;=0.7,"рыночный стандарт",IF($E68&gt;=0.4,"формирующийся стандарт",IF($E68&gt;=0.2,"зона дифференциации","слабый сигнал"))))</f>
        <v/>
      </c>
      <c r="G68" s="5">
        <f>IF($A68="","",IF($F68="рыночный стандарт","необходимо включить в минимально приемлемое предложение",IF($F68="формирующийся стандарт","проверить значимость для клиента и вероятность закрепления",IF($F68="зона дифференциации","может использоваться как поле позиционирования","не использовать без дополнительной проверки"))))</f>
        <v/>
      </c>
      <c r="H68" s="2" t="n"/>
    </row>
    <row r="69">
      <c r="A69" s="2" t="n"/>
      <c r="B69" s="2" t="n"/>
      <c r="C69" s="2" t="n"/>
      <c r="D69" s="2" t="n"/>
      <c r="E69" s="6">
        <f>IF($D69="","",IFERROR($D69/'12_Сводка'!$B\$5,0))</f>
        <v/>
      </c>
      <c r="F69" s="5">
        <f>IF($A69="","",IF($E69&gt;=0.7,"рыночный стандарт",IF($E69&gt;=0.4,"формирующийся стандарт",IF($E69&gt;=0.2,"зона дифференциации","слабый сигнал"))))</f>
        <v/>
      </c>
      <c r="G69" s="5">
        <f>IF($A69="","",IF($F69="рыночный стандарт","необходимо включить в минимально приемлемое предложение",IF($F69="формирующийся стандарт","проверить значимость для клиента и вероятность закрепления",IF($F69="зона дифференциации","может использоваться как поле позиционирования","не использовать без дополнительной проверки"))))</f>
        <v/>
      </c>
      <c r="H69" s="2" t="n"/>
    </row>
    <row r="70">
      <c r="A70" s="2" t="n"/>
      <c r="B70" s="2" t="n"/>
      <c r="C70" s="2" t="n"/>
      <c r="D70" s="2" t="n"/>
      <c r="E70" s="6">
        <f>IF($D70="","",IFERROR($D70/'12_Сводка'!$B\$5,0))</f>
        <v/>
      </c>
      <c r="F70" s="5">
        <f>IF($A70="","",IF($E70&gt;=0.7,"рыночный стандарт",IF($E70&gt;=0.4,"формирующийся стандарт",IF($E70&gt;=0.2,"зона дифференциации","слабый сигнал"))))</f>
        <v/>
      </c>
      <c r="G70" s="5">
        <f>IF($A70="","",IF($F70="рыночный стандарт","необходимо включить в минимально приемлемое предложение",IF($F70="формирующийся стандарт","проверить значимость для клиента и вероятность закрепления",IF($F70="зона дифференциации","может использоваться как поле позиционирования","не использовать без дополнительной проверки"))))</f>
        <v/>
      </c>
      <c r="H70" s="2" t="n"/>
    </row>
    <row r="71">
      <c r="A71" s="2" t="n"/>
      <c r="B71" s="2" t="n"/>
      <c r="C71" s="2" t="n"/>
      <c r="D71" s="2" t="n"/>
      <c r="E71" s="6">
        <f>IF($D71="","",IFERROR($D71/'12_Сводка'!$B\$5,0))</f>
        <v/>
      </c>
      <c r="F71" s="5">
        <f>IF($A71="","",IF($E71&gt;=0.7,"рыночный стандарт",IF($E71&gt;=0.4,"формирующийся стандарт",IF($E71&gt;=0.2,"зона дифференциации","слабый сигнал"))))</f>
        <v/>
      </c>
      <c r="G71" s="5">
        <f>IF($A71="","",IF($F71="рыночный стандарт","необходимо включить в минимально приемлемое предложение",IF($F71="формирующийся стандарт","проверить значимость для клиента и вероятность закрепления",IF($F71="зона дифференциации","может использоваться как поле позиционирования","не использовать без дополнительной проверки"))))</f>
        <v/>
      </c>
      <c r="H71" s="2" t="n"/>
    </row>
    <row r="72">
      <c r="A72" s="2" t="n"/>
      <c r="B72" s="2" t="n"/>
      <c r="C72" s="2" t="n"/>
      <c r="D72" s="2" t="n"/>
      <c r="E72" s="6">
        <f>IF($D72="","",IFERROR($D72/'12_Сводка'!$B\$5,0))</f>
        <v/>
      </c>
      <c r="F72" s="5">
        <f>IF($A72="","",IF($E72&gt;=0.7,"рыночный стандарт",IF($E72&gt;=0.4,"формирующийся стандарт",IF($E72&gt;=0.2,"зона дифференциации","слабый сигнал"))))</f>
        <v/>
      </c>
      <c r="G72" s="5">
        <f>IF($A72="","",IF($F72="рыночный стандарт","необходимо включить в минимально приемлемое предложение",IF($F72="формирующийся стандарт","проверить значимость для клиента и вероятность закрепления",IF($F72="зона дифференциации","может использоваться как поле позиционирования","не использовать без дополнительной проверки"))))</f>
        <v/>
      </c>
      <c r="H72" s="2" t="n"/>
    </row>
    <row r="73">
      <c r="A73" s="2" t="n"/>
      <c r="B73" s="2" t="n"/>
      <c r="C73" s="2" t="n"/>
      <c r="D73" s="2" t="n"/>
      <c r="E73" s="6">
        <f>IF($D73="","",IFERROR($D73/'12_Сводка'!$B\$5,0))</f>
        <v/>
      </c>
      <c r="F73" s="5">
        <f>IF($A73="","",IF($E73&gt;=0.7,"рыночный стандарт",IF($E73&gt;=0.4,"формирующийся стандарт",IF($E73&gt;=0.2,"зона дифференциации","слабый сигнал"))))</f>
        <v/>
      </c>
      <c r="G73" s="5">
        <f>IF($A73="","",IF($F73="рыночный стандарт","необходимо включить в минимально приемлемое предложение",IF($F73="формирующийся стандарт","проверить значимость для клиента и вероятность закрепления",IF($F73="зона дифференциации","может использоваться как поле позиционирования","не использовать без дополнительной проверки"))))</f>
        <v/>
      </c>
      <c r="H73" s="2" t="n"/>
    </row>
    <row r="74">
      <c r="A74" s="2" t="n"/>
      <c r="B74" s="2" t="n"/>
      <c r="C74" s="2" t="n"/>
      <c r="D74" s="2" t="n"/>
      <c r="E74" s="6">
        <f>IF($D74="","",IFERROR($D74/'12_Сводка'!$B\$5,0))</f>
        <v/>
      </c>
      <c r="F74" s="5">
        <f>IF($A74="","",IF($E74&gt;=0.7,"рыночный стандарт",IF($E74&gt;=0.4,"формирующийся стандарт",IF($E74&gt;=0.2,"зона дифференциации","слабый сигнал"))))</f>
        <v/>
      </c>
      <c r="G74" s="5">
        <f>IF($A74="","",IF($F74="рыночный стандарт","необходимо включить в минимально приемлемое предложение",IF($F74="формирующийся стандарт","проверить значимость для клиента и вероятность закрепления",IF($F74="зона дифференциации","может использоваться как поле позиционирования","не использовать без дополнительной проверки"))))</f>
        <v/>
      </c>
      <c r="H74" s="2" t="n"/>
    </row>
    <row r="75">
      <c r="A75" s="2" t="n"/>
      <c r="B75" s="2" t="n"/>
      <c r="C75" s="2" t="n"/>
      <c r="D75" s="2" t="n"/>
      <c r="E75" s="6">
        <f>IF($D75="","",IFERROR($D75/'12_Сводка'!$B\$5,0))</f>
        <v/>
      </c>
      <c r="F75" s="5">
        <f>IF($A75="","",IF($E75&gt;=0.7,"рыночный стандарт",IF($E75&gt;=0.4,"формирующийся стандарт",IF($E75&gt;=0.2,"зона дифференциации","слабый сигнал"))))</f>
        <v/>
      </c>
      <c r="G75" s="5">
        <f>IF($A75="","",IF($F75="рыночный стандарт","необходимо включить в минимально приемлемое предложение",IF($F75="формирующийся стандарт","проверить значимость для клиента и вероятность закрепления",IF($F75="зона дифференциации","может использоваться как поле позиционирования","не использовать без дополнительной проверки"))))</f>
        <v/>
      </c>
      <c r="H75" s="2" t="n"/>
    </row>
    <row r="76">
      <c r="A76" s="2" t="n"/>
      <c r="B76" s="2" t="n"/>
      <c r="C76" s="2" t="n"/>
      <c r="D76" s="2" t="n"/>
      <c r="E76" s="6">
        <f>IF($D76="","",IFERROR($D76/'12_Сводка'!$B\$5,0))</f>
        <v/>
      </c>
      <c r="F76" s="5">
        <f>IF($A76="","",IF($E76&gt;=0.7,"рыночный стандарт",IF($E76&gt;=0.4,"формирующийся стандарт",IF($E76&gt;=0.2,"зона дифференциации","слабый сигнал"))))</f>
        <v/>
      </c>
      <c r="G76" s="5">
        <f>IF($A76="","",IF($F76="рыночный стандарт","необходимо включить в минимально приемлемое предложение",IF($F76="формирующийся стандарт","проверить значимость для клиента и вероятность закрепления",IF($F76="зона дифференциации","может использоваться как поле позиционирования","не использовать без дополнительной проверки"))))</f>
        <v/>
      </c>
      <c r="H76" s="2" t="n"/>
    </row>
    <row r="77">
      <c r="A77" s="2" t="n"/>
      <c r="B77" s="2" t="n"/>
      <c r="C77" s="2" t="n"/>
      <c r="D77" s="2" t="n"/>
      <c r="E77" s="6">
        <f>IF($D77="","",IFERROR($D77/'12_Сводка'!$B\$5,0))</f>
        <v/>
      </c>
      <c r="F77" s="5">
        <f>IF($A77="","",IF($E77&gt;=0.7,"рыночный стандарт",IF($E77&gt;=0.4,"формирующийся стандарт",IF($E77&gt;=0.2,"зона дифференциации","слабый сигнал"))))</f>
        <v/>
      </c>
      <c r="G77" s="5">
        <f>IF($A77="","",IF($F77="рыночный стандарт","необходимо включить в минимально приемлемое предложение",IF($F77="формирующийся стандарт","проверить значимость для клиента и вероятность закрепления",IF($F77="зона дифференциации","может использоваться как поле позиционирования","не использовать без дополнительной проверки"))))</f>
        <v/>
      </c>
      <c r="H77" s="2" t="n"/>
    </row>
    <row r="78">
      <c r="A78" s="2" t="n"/>
      <c r="B78" s="2" t="n"/>
      <c r="C78" s="2" t="n"/>
      <c r="D78" s="2" t="n"/>
      <c r="E78" s="6">
        <f>IF($D78="","",IFERROR($D78/'12_Сводка'!$B\$5,0))</f>
        <v/>
      </c>
      <c r="F78" s="5">
        <f>IF($A78="","",IF($E78&gt;=0.7,"рыночный стандарт",IF($E78&gt;=0.4,"формирующийся стандарт",IF($E78&gt;=0.2,"зона дифференциации","слабый сигнал"))))</f>
        <v/>
      </c>
      <c r="G78" s="5">
        <f>IF($A78="","",IF($F78="рыночный стандарт","необходимо включить в минимально приемлемое предложение",IF($F78="формирующийся стандарт","проверить значимость для клиента и вероятность закрепления",IF($F78="зона дифференциации","может использоваться как поле позиционирования","не использовать без дополнительной проверки"))))</f>
        <v/>
      </c>
      <c r="H78" s="2" t="n"/>
    </row>
    <row r="79">
      <c r="A79" s="2" t="n"/>
      <c r="B79" s="2" t="n"/>
      <c r="C79" s="2" t="n"/>
      <c r="D79" s="2" t="n"/>
      <c r="E79" s="6">
        <f>IF($D79="","",IFERROR($D79/'12_Сводка'!$B\$5,0))</f>
        <v/>
      </c>
      <c r="F79" s="5">
        <f>IF($A79="","",IF($E79&gt;=0.7,"рыночный стандарт",IF($E79&gt;=0.4,"формирующийся стандарт",IF($E79&gt;=0.2,"зона дифференциации","слабый сигнал"))))</f>
        <v/>
      </c>
      <c r="G79" s="5">
        <f>IF($A79="","",IF($F79="рыночный стандарт","необходимо включить в минимально приемлемое предложение",IF($F79="формирующийся стандарт","проверить значимость для клиента и вероятность закрепления",IF($F79="зона дифференциации","может использоваться как поле позиционирования","не использовать без дополнительной проверки"))))</f>
        <v/>
      </c>
      <c r="H79" s="2" t="n"/>
    </row>
    <row r="80">
      <c r="A80" s="2" t="n"/>
      <c r="B80" s="2" t="n"/>
      <c r="C80" s="2" t="n"/>
      <c r="D80" s="2" t="n"/>
      <c r="E80" s="6">
        <f>IF($D80="","",IFERROR($D80/'12_Сводка'!$B\$5,0))</f>
        <v/>
      </c>
      <c r="F80" s="5">
        <f>IF($A80="","",IF($E80&gt;=0.7,"рыночный стандарт",IF($E80&gt;=0.4,"формирующийся стандарт",IF($E80&gt;=0.2,"зона дифференциации","слабый сигнал"))))</f>
        <v/>
      </c>
      <c r="G80" s="5">
        <f>IF($A80="","",IF($F80="рыночный стандарт","необходимо включить в минимально приемлемое предложение",IF($F80="формирующийся стандарт","проверить значимость для клиента и вероятность закрепления",IF($F80="зона дифференциации","может использоваться как поле позиционирования","не использовать без дополнительной проверки"))))</f>
        <v/>
      </c>
      <c r="H80" s="2" t="n"/>
    </row>
    <row r="81">
      <c r="A81" s="2" t="n"/>
      <c r="B81" s="2" t="n"/>
      <c r="C81" s="2" t="n"/>
      <c r="D81" s="2" t="n"/>
      <c r="E81" s="6">
        <f>IF($D81="","",IFERROR($D81/'12_Сводка'!$B\$5,0))</f>
        <v/>
      </c>
      <c r="F81" s="5">
        <f>IF($A81="","",IF($E81&gt;=0.7,"рыночный стандарт",IF($E81&gt;=0.4,"формирующийся стандарт",IF($E81&gt;=0.2,"зона дифференциации","слабый сигнал"))))</f>
        <v/>
      </c>
      <c r="G81" s="5">
        <f>IF($A81="","",IF($F81="рыночный стандарт","необходимо включить в минимально приемлемое предложение",IF($F81="формирующийся стандарт","проверить значимость для клиента и вероятность закрепления",IF($F81="зона дифференциации","может использоваться как поле позиционирования","не использовать без дополнительной проверки"))))</f>
        <v/>
      </c>
      <c r="H81" s="2" t="n"/>
    </row>
    <row r="82">
      <c r="A82" s="2" t="n"/>
      <c r="B82" s="2" t="n"/>
      <c r="C82" s="2" t="n"/>
      <c r="D82" s="2" t="n"/>
      <c r="E82" s="6">
        <f>IF($D82="","",IFERROR($D82/'12_Сводка'!$B\$5,0))</f>
        <v/>
      </c>
      <c r="F82" s="5">
        <f>IF($A82="","",IF($E82&gt;=0.7,"рыночный стандарт",IF($E82&gt;=0.4,"формирующийся стандарт",IF($E82&gt;=0.2,"зона дифференциации","слабый сигнал"))))</f>
        <v/>
      </c>
      <c r="G82" s="5">
        <f>IF($A82="","",IF($F82="рыночный стандарт","необходимо включить в минимально приемлемое предложение",IF($F82="формирующийся стандарт","проверить значимость для клиента и вероятность закрепления",IF($F82="зона дифференциации","может использоваться как поле позиционирования","не использовать без дополнительной проверки"))))</f>
        <v/>
      </c>
      <c r="H82" s="2" t="n"/>
    </row>
    <row r="83">
      <c r="A83" s="2" t="n"/>
      <c r="B83" s="2" t="n"/>
      <c r="C83" s="2" t="n"/>
      <c r="D83" s="2" t="n"/>
      <c r="E83" s="6">
        <f>IF($D83="","",IFERROR($D83/'12_Сводка'!$B\$5,0))</f>
        <v/>
      </c>
      <c r="F83" s="5">
        <f>IF($A83="","",IF($E83&gt;=0.7,"рыночный стандарт",IF($E83&gt;=0.4,"формирующийся стандарт",IF($E83&gt;=0.2,"зона дифференциации","слабый сигнал"))))</f>
        <v/>
      </c>
      <c r="G83" s="5">
        <f>IF($A83="","",IF($F83="рыночный стандарт","необходимо включить в минимально приемлемое предложение",IF($F83="формирующийся стандарт","проверить значимость для клиента и вероятность закрепления",IF($F83="зона дифференциации","может использоваться как поле позиционирования","не использовать без дополнительной проверки"))))</f>
        <v/>
      </c>
      <c r="H83" s="2" t="n"/>
    </row>
    <row r="84">
      <c r="A84" s="2" t="n"/>
      <c r="B84" s="2" t="n"/>
      <c r="C84" s="2" t="n"/>
      <c r="D84" s="2" t="n"/>
      <c r="E84" s="6">
        <f>IF($D84="","",IFERROR($D84/'12_Сводка'!$B\$5,0))</f>
        <v/>
      </c>
      <c r="F84" s="5">
        <f>IF($A84="","",IF($E84&gt;=0.7,"рыночный стандарт",IF($E84&gt;=0.4,"формирующийся стандарт",IF($E84&gt;=0.2,"зона дифференциации","слабый сигнал"))))</f>
        <v/>
      </c>
      <c r="G84" s="5">
        <f>IF($A84="","",IF($F84="рыночный стандарт","необходимо включить в минимально приемлемое предложение",IF($F84="формирующийся стандарт","проверить значимость для клиента и вероятность закрепления",IF($F84="зона дифференциации","может использоваться как поле позиционирования","не использовать без дополнительной проверки"))))</f>
        <v/>
      </c>
      <c r="H84" s="2" t="n"/>
    </row>
    <row r="85">
      <c r="A85" s="2" t="n"/>
      <c r="B85" s="2" t="n"/>
      <c r="C85" s="2" t="n"/>
      <c r="D85" s="2" t="n"/>
      <c r="E85" s="6">
        <f>IF($D85="","",IFERROR($D85/'12_Сводка'!$B\$5,0))</f>
        <v/>
      </c>
      <c r="F85" s="5">
        <f>IF($A85="","",IF($E85&gt;=0.7,"рыночный стандарт",IF($E85&gt;=0.4,"формирующийся стандарт",IF($E85&gt;=0.2,"зона дифференциации","слабый сигнал"))))</f>
        <v/>
      </c>
      <c r="G85" s="5">
        <f>IF($A85="","",IF($F85="рыночный стандарт","необходимо включить в минимально приемлемое предложение",IF($F85="формирующийся стандарт","проверить значимость для клиента и вероятность закрепления",IF($F85="зона дифференциации","может использоваться как поле позиционирования","не использовать без дополнительной проверки"))))</f>
        <v/>
      </c>
      <c r="H85" s="2" t="n"/>
    </row>
    <row r="86">
      <c r="A86" s="2" t="n"/>
      <c r="B86" s="2" t="n"/>
      <c r="C86" s="2" t="n"/>
      <c r="D86" s="2" t="n"/>
      <c r="E86" s="6">
        <f>IF($D86="","",IFERROR($D86/'12_Сводка'!$B\$5,0))</f>
        <v/>
      </c>
      <c r="F86" s="5">
        <f>IF($A86="","",IF($E86&gt;=0.7,"рыночный стандарт",IF($E86&gt;=0.4,"формирующийся стандарт",IF($E86&gt;=0.2,"зона дифференциации","слабый сигнал"))))</f>
        <v/>
      </c>
      <c r="G86" s="5">
        <f>IF($A86="","",IF($F86="рыночный стандарт","необходимо включить в минимально приемлемое предложение",IF($F86="формирующийся стандарт","проверить значимость для клиента и вероятность закрепления",IF($F86="зона дифференциации","может использоваться как поле позиционирования","не использовать без дополнительной проверки"))))</f>
        <v/>
      </c>
      <c r="H86" s="2" t="n"/>
    </row>
    <row r="87">
      <c r="A87" s="2" t="n"/>
      <c r="B87" s="2" t="n"/>
      <c r="C87" s="2" t="n"/>
      <c r="D87" s="2" t="n"/>
      <c r="E87" s="6">
        <f>IF($D87="","",IFERROR($D87/'12_Сводка'!$B\$5,0))</f>
        <v/>
      </c>
      <c r="F87" s="5">
        <f>IF($A87="","",IF($E87&gt;=0.7,"рыночный стандарт",IF($E87&gt;=0.4,"формирующийся стандарт",IF($E87&gt;=0.2,"зона дифференциации","слабый сигнал"))))</f>
        <v/>
      </c>
      <c r="G87" s="5">
        <f>IF($A87="","",IF($F87="рыночный стандарт","необходимо включить в минимально приемлемое предложение",IF($F87="формирующийся стандарт","проверить значимость для клиента и вероятность закрепления",IF($F87="зона дифференциации","может использоваться как поле позиционирования","не использовать без дополнительной проверки"))))</f>
        <v/>
      </c>
      <c r="H87" s="2" t="n"/>
    </row>
    <row r="88">
      <c r="A88" s="2" t="n"/>
      <c r="B88" s="2" t="n"/>
      <c r="C88" s="2" t="n"/>
      <c r="D88" s="2" t="n"/>
      <c r="E88" s="6">
        <f>IF($D88="","",IFERROR($D88/'12_Сводка'!$B\$5,0))</f>
        <v/>
      </c>
      <c r="F88" s="5">
        <f>IF($A88="","",IF($E88&gt;=0.7,"рыночный стандарт",IF($E88&gt;=0.4,"формирующийся стандарт",IF($E88&gt;=0.2,"зона дифференциации","слабый сигнал"))))</f>
        <v/>
      </c>
      <c r="G88" s="5">
        <f>IF($A88="","",IF($F88="рыночный стандарт","необходимо включить в минимально приемлемое предложение",IF($F88="формирующийся стандарт","проверить значимость для клиента и вероятность закрепления",IF($F88="зона дифференциации","может использоваться как поле позиционирования","не использовать без дополнительной проверки"))))</f>
        <v/>
      </c>
      <c r="H88" s="2" t="n"/>
    </row>
    <row r="89">
      <c r="A89" s="2" t="n"/>
      <c r="B89" s="2" t="n"/>
      <c r="C89" s="2" t="n"/>
      <c r="D89" s="2" t="n"/>
      <c r="E89" s="6">
        <f>IF($D89="","",IFERROR($D89/'12_Сводка'!$B\$5,0))</f>
        <v/>
      </c>
      <c r="F89" s="5">
        <f>IF($A89="","",IF($E89&gt;=0.7,"рыночный стандарт",IF($E89&gt;=0.4,"формирующийся стандарт",IF($E89&gt;=0.2,"зона дифференциации","слабый сигнал"))))</f>
        <v/>
      </c>
      <c r="G89" s="5">
        <f>IF($A89="","",IF($F89="рыночный стандарт","необходимо включить в минимально приемлемое предложение",IF($F89="формирующийся стандарт","проверить значимость для клиента и вероятность закрепления",IF($F89="зона дифференциации","может использоваться как поле позиционирования","не использовать без дополнительной проверки"))))</f>
        <v/>
      </c>
      <c r="H89" s="2" t="n"/>
    </row>
    <row r="90">
      <c r="A90" s="2" t="n"/>
      <c r="B90" s="2" t="n"/>
      <c r="C90" s="2" t="n"/>
      <c r="D90" s="2" t="n"/>
      <c r="E90" s="6">
        <f>IF($D90="","",IFERROR($D90/'12_Сводка'!$B\$5,0))</f>
        <v/>
      </c>
      <c r="F90" s="5">
        <f>IF($A90="","",IF($E90&gt;=0.7,"рыночный стандарт",IF($E90&gt;=0.4,"формирующийся стандарт",IF($E90&gt;=0.2,"зона дифференциации","слабый сигнал"))))</f>
        <v/>
      </c>
      <c r="G90" s="5">
        <f>IF($A90="","",IF($F90="рыночный стандарт","необходимо включить в минимально приемлемое предложение",IF($F90="формирующийся стандарт","проверить значимость для клиента и вероятность закрепления",IF($F90="зона дифференциации","может использоваться как поле позиционирования","не использовать без дополнительной проверки"))))</f>
        <v/>
      </c>
      <c r="H90" s="2" t="n"/>
    </row>
    <row r="91">
      <c r="A91" s="2" t="n"/>
      <c r="B91" s="2" t="n"/>
      <c r="C91" s="2" t="n"/>
      <c r="D91" s="2" t="n"/>
      <c r="E91" s="6">
        <f>IF($D91="","",IFERROR($D91/'12_Сводка'!$B\$5,0))</f>
        <v/>
      </c>
      <c r="F91" s="5">
        <f>IF($A91="","",IF($E91&gt;=0.7,"рыночный стандарт",IF($E91&gt;=0.4,"формирующийся стандарт",IF($E91&gt;=0.2,"зона дифференциации","слабый сигнал"))))</f>
        <v/>
      </c>
      <c r="G91" s="5">
        <f>IF($A91="","",IF($F91="рыночный стандарт","необходимо включить в минимально приемлемое предложение",IF($F91="формирующийся стандарт","проверить значимость для клиента и вероятность закрепления",IF($F91="зона дифференциации","может использоваться как поле позиционирования","не использовать без дополнительной проверки"))))</f>
        <v/>
      </c>
      <c r="H91" s="2" t="n"/>
    </row>
    <row r="92">
      <c r="A92" s="2" t="n"/>
      <c r="B92" s="2" t="n"/>
      <c r="C92" s="2" t="n"/>
      <c r="D92" s="2" t="n"/>
      <c r="E92" s="6">
        <f>IF($D92="","",IFERROR($D92/'12_Сводка'!$B\$5,0))</f>
        <v/>
      </c>
      <c r="F92" s="5">
        <f>IF($A92="","",IF($E92&gt;=0.7,"рыночный стандарт",IF($E92&gt;=0.4,"формирующийся стандарт",IF($E92&gt;=0.2,"зона дифференциации","слабый сигнал"))))</f>
        <v/>
      </c>
      <c r="G92" s="5">
        <f>IF($A92="","",IF($F92="рыночный стандарт","необходимо включить в минимально приемлемое предложение",IF($F92="формирующийся стандарт","проверить значимость для клиента и вероятность закрепления",IF($F92="зона дифференциации","может использоваться как поле позиционирования","не использовать без дополнительной проверки"))))</f>
        <v/>
      </c>
      <c r="H92" s="2" t="n"/>
    </row>
    <row r="93">
      <c r="A93" s="2" t="n"/>
      <c r="B93" s="2" t="n"/>
      <c r="C93" s="2" t="n"/>
      <c r="D93" s="2" t="n"/>
      <c r="E93" s="6">
        <f>IF($D93="","",IFERROR($D93/'12_Сводка'!$B\$5,0))</f>
        <v/>
      </c>
      <c r="F93" s="5">
        <f>IF($A93="","",IF($E93&gt;=0.7,"рыночный стандарт",IF($E93&gt;=0.4,"формирующийся стандарт",IF($E93&gt;=0.2,"зона дифференциации","слабый сигнал"))))</f>
        <v/>
      </c>
      <c r="G93" s="5">
        <f>IF($A93="","",IF($F93="рыночный стандарт","необходимо включить в минимально приемлемое предложение",IF($F93="формирующийся стандарт","проверить значимость для клиента и вероятность закрепления",IF($F93="зона дифференциации","может использоваться как поле позиционирования","не использовать без дополнительной проверки"))))</f>
        <v/>
      </c>
      <c r="H93" s="2" t="n"/>
    </row>
    <row r="94">
      <c r="A94" s="2" t="n"/>
      <c r="B94" s="2" t="n"/>
      <c r="C94" s="2" t="n"/>
      <c r="D94" s="2" t="n"/>
      <c r="E94" s="6">
        <f>IF($D94="","",IFERROR($D94/'12_Сводка'!$B\$5,0))</f>
        <v/>
      </c>
      <c r="F94" s="5">
        <f>IF($A94="","",IF($E94&gt;=0.7,"рыночный стандарт",IF($E94&gt;=0.4,"формирующийся стандарт",IF($E94&gt;=0.2,"зона дифференциации","слабый сигнал"))))</f>
        <v/>
      </c>
      <c r="G94" s="5">
        <f>IF($A94="","",IF($F94="рыночный стандарт","необходимо включить в минимально приемлемое предложение",IF($F94="формирующийся стандарт","проверить значимость для клиента и вероятность закрепления",IF($F94="зона дифференциации","может использоваться как поле позиционирования","не использовать без дополнительной проверки"))))</f>
        <v/>
      </c>
      <c r="H94" s="2" t="n"/>
    </row>
    <row r="95">
      <c r="A95" s="2" t="n"/>
      <c r="B95" s="2" t="n"/>
      <c r="C95" s="2" t="n"/>
      <c r="D95" s="2" t="n"/>
      <c r="E95" s="6">
        <f>IF($D95="","",IFERROR($D95/'12_Сводка'!$B\$5,0))</f>
        <v/>
      </c>
      <c r="F95" s="5">
        <f>IF($A95="","",IF($E95&gt;=0.7,"рыночный стандарт",IF($E95&gt;=0.4,"формирующийся стандарт",IF($E95&gt;=0.2,"зона дифференциации","слабый сигнал"))))</f>
        <v/>
      </c>
      <c r="G95" s="5">
        <f>IF($A95="","",IF($F95="рыночный стандарт","необходимо включить в минимально приемлемое предложение",IF($F95="формирующийся стандарт","проверить значимость для клиента и вероятность закрепления",IF($F95="зона дифференциации","может использоваться как поле позиционирования","не использовать без дополнительной проверки"))))</f>
        <v/>
      </c>
      <c r="H95" s="2" t="n"/>
    </row>
    <row r="96">
      <c r="A96" s="2" t="n"/>
      <c r="B96" s="2" t="n"/>
      <c r="C96" s="2" t="n"/>
      <c r="D96" s="2" t="n"/>
      <c r="E96" s="6">
        <f>IF($D96="","",IFERROR($D96/'12_Сводка'!$B\$5,0))</f>
        <v/>
      </c>
      <c r="F96" s="5">
        <f>IF($A96="","",IF($E96&gt;=0.7,"рыночный стандарт",IF($E96&gt;=0.4,"формирующийся стандарт",IF($E96&gt;=0.2,"зона дифференциации","слабый сигнал"))))</f>
        <v/>
      </c>
      <c r="G96" s="5">
        <f>IF($A96="","",IF($F96="рыночный стандарт","необходимо включить в минимально приемлемое предложение",IF($F96="формирующийся стандарт","проверить значимость для клиента и вероятность закрепления",IF($F96="зона дифференциации","может использоваться как поле позиционирования","не использовать без дополнительной проверки"))))</f>
        <v/>
      </c>
      <c r="H96" s="2" t="n"/>
    </row>
    <row r="97">
      <c r="A97" s="2" t="n"/>
      <c r="B97" s="2" t="n"/>
      <c r="C97" s="2" t="n"/>
      <c r="D97" s="2" t="n"/>
      <c r="E97" s="6">
        <f>IF($D97="","",IFERROR($D97/'12_Сводка'!$B\$5,0))</f>
        <v/>
      </c>
      <c r="F97" s="5">
        <f>IF($A97="","",IF($E97&gt;=0.7,"рыночный стандарт",IF($E97&gt;=0.4,"формирующийся стандарт",IF($E97&gt;=0.2,"зона дифференциации","слабый сигнал"))))</f>
        <v/>
      </c>
      <c r="G97" s="5">
        <f>IF($A97="","",IF($F97="рыночный стандарт","необходимо включить в минимально приемлемое предложение",IF($F97="формирующийся стандарт","проверить значимость для клиента и вероятность закрепления",IF($F97="зона дифференциации","может использоваться как поле позиционирования","не использовать без дополнительной проверки"))))</f>
        <v/>
      </c>
      <c r="H97" s="2" t="n"/>
    </row>
    <row r="98">
      <c r="A98" s="2" t="n"/>
      <c r="B98" s="2" t="n"/>
      <c r="C98" s="2" t="n"/>
      <c r="D98" s="2" t="n"/>
      <c r="E98" s="6">
        <f>IF($D98="","",IFERROR($D98/'12_Сводка'!$B\$5,0))</f>
        <v/>
      </c>
      <c r="F98" s="5">
        <f>IF($A98="","",IF($E98&gt;=0.7,"рыночный стандарт",IF($E98&gt;=0.4,"формирующийся стандарт",IF($E98&gt;=0.2,"зона дифференциации","слабый сигнал"))))</f>
        <v/>
      </c>
      <c r="G98" s="5">
        <f>IF($A98="","",IF($F98="рыночный стандарт","необходимо включить в минимально приемлемое предложение",IF($F98="формирующийся стандарт","проверить значимость для клиента и вероятность закрепления",IF($F98="зона дифференциации","может использоваться как поле позиционирования","не использовать без дополнительной проверки"))))</f>
        <v/>
      </c>
      <c r="H98" s="2" t="n"/>
    </row>
    <row r="99">
      <c r="A99" s="2" t="n"/>
      <c r="B99" s="2" t="n"/>
      <c r="C99" s="2" t="n"/>
      <c r="D99" s="2" t="n"/>
      <c r="E99" s="6">
        <f>IF($D99="","",IFERROR($D99/'12_Сводка'!$B\$5,0))</f>
        <v/>
      </c>
      <c r="F99" s="5">
        <f>IF($A99="","",IF($E99&gt;=0.7,"рыночный стандарт",IF($E99&gt;=0.4,"формирующийся стандарт",IF($E99&gt;=0.2,"зона дифференциации","слабый сигнал"))))</f>
        <v/>
      </c>
      <c r="G99" s="5">
        <f>IF($A99="","",IF($F99="рыночный стандарт","необходимо включить в минимально приемлемое предложение",IF($F99="формирующийся стандарт","проверить значимость для клиента и вероятность закрепления",IF($F99="зона дифференциации","может использоваться как поле позиционирования","не использовать без дополнительной проверки"))))</f>
        <v/>
      </c>
      <c r="H99" s="2" t="n"/>
    </row>
    <row r="100">
      <c r="A100" s="2" t="n"/>
      <c r="B100" s="2" t="n"/>
      <c r="C100" s="2" t="n"/>
      <c r="D100" s="2" t="n"/>
      <c r="E100" s="6">
        <f>IF($D100="","",IFERROR($D100/'12_Сводка'!$B\$5,0))</f>
        <v/>
      </c>
      <c r="F100" s="5">
        <f>IF($A100="","",IF($E100&gt;=0.7,"рыночный стандарт",IF($E100&gt;=0.4,"формирующийся стандарт",IF($E100&gt;=0.2,"зона дифференциации","слабый сигнал"))))</f>
        <v/>
      </c>
      <c r="G100" s="5">
        <f>IF($A100="","",IF($F100="рыночный стандарт","необходимо включить в минимально приемлемое предложение",IF($F100="формирующийся стандарт","проверить значимость для клиента и вероятность закрепления",IF($F100="зона дифференциации","может использоваться как поле позиционирования","не использовать без дополнительной проверки"))))</f>
        <v/>
      </c>
      <c r="H100" s="2" t="n"/>
    </row>
    <row r="101">
      <c r="A101" s="2" t="n"/>
      <c r="B101" s="2" t="n"/>
      <c r="C101" s="2" t="n"/>
      <c r="D101" s="2" t="n"/>
      <c r="E101" s="6">
        <f>IF($D101="","",IFERROR($D101/'12_Сводка'!$B\$5,0))</f>
        <v/>
      </c>
      <c r="F101" s="5">
        <f>IF($A101="","",IF($E101&gt;=0.7,"рыночный стандарт",IF($E101&gt;=0.4,"формирующийся стандарт",IF($E101&gt;=0.2,"зона дифференциации","слабый сигнал"))))</f>
        <v/>
      </c>
      <c r="G101" s="5">
        <f>IF($A101="","",IF($F101="рыночный стандарт","необходимо включить в минимально приемлемое предложение",IF($F101="формирующийся стандарт","проверить значимость для клиента и вероятность закрепления",IF($F101="зона дифференциации","может использоваться как поле позиционирования","не использовать без дополнительной проверки"))))</f>
        <v/>
      </c>
      <c r="H101" s="2" t="n"/>
    </row>
    <row r="102">
      <c r="A102" s="2" t="n"/>
      <c r="B102" s="2" t="n"/>
      <c r="C102" s="2" t="n"/>
      <c r="D102" s="2" t="n"/>
      <c r="E102" s="6">
        <f>IF($D102="","",IFERROR($D102/'12_Сводка'!$B\$5,0))</f>
        <v/>
      </c>
      <c r="F102" s="5">
        <f>IF($A102="","",IF($E102&gt;=0.7,"рыночный стандарт",IF($E102&gt;=0.4,"формирующийся стандарт",IF($E102&gt;=0.2,"зона дифференциации","слабый сигнал"))))</f>
        <v/>
      </c>
      <c r="G102" s="5">
        <f>IF($A102="","",IF($F102="рыночный стандарт","необходимо включить в минимально приемлемое предложение",IF($F102="формирующийся стандарт","проверить значимость для клиента и вероятность закрепления",IF($F102="зона дифференциации","может использоваться как поле позиционирования","не использовать без дополнительной проверки"))))</f>
        <v/>
      </c>
      <c r="H102" s="2" t="n"/>
    </row>
    <row r="103">
      <c r="A103" s="2" t="n"/>
      <c r="B103" s="2" t="n"/>
      <c r="C103" s="2" t="n"/>
      <c r="D103" s="2" t="n"/>
      <c r="E103" s="6">
        <f>IF($D103="","",IFERROR($D103/'12_Сводка'!$B\$5,0))</f>
        <v/>
      </c>
      <c r="F103" s="5">
        <f>IF($A103="","",IF($E103&gt;=0.7,"рыночный стандарт",IF($E103&gt;=0.4,"формирующийся стандарт",IF($E103&gt;=0.2,"зона дифференциации","слабый сигнал"))))</f>
        <v/>
      </c>
      <c r="G103" s="5">
        <f>IF($A103="","",IF($F103="рыночный стандарт","необходимо включить в минимально приемлемое предложение",IF($F103="формирующийся стандарт","проверить значимость для клиента и вероятность закрепления",IF($F103="зона дифференциации","может использоваться как поле позиционирования","не использовать без дополнительной проверки"))))</f>
        <v/>
      </c>
      <c r="H103" s="2" t="n"/>
    </row>
    <row r="104">
      <c r="A104" s="2" t="n"/>
      <c r="B104" s="2" t="n"/>
      <c r="C104" s="2" t="n"/>
      <c r="D104" s="2" t="n"/>
      <c r="E104" s="6">
        <f>IF($D104="","",IFERROR($D104/'12_Сводка'!$B\$5,0))</f>
        <v/>
      </c>
      <c r="F104" s="5">
        <f>IF($A104="","",IF($E104&gt;=0.7,"рыночный стандарт",IF($E104&gt;=0.4,"формирующийся стандарт",IF($E104&gt;=0.2,"зона дифференциации","слабый сигнал"))))</f>
        <v/>
      </c>
      <c r="G104" s="5">
        <f>IF($A104="","",IF($F104="рыночный стандарт","необходимо включить в минимально приемлемое предложение",IF($F104="формирующийся стандарт","проверить значимость для клиента и вероятность закрепления",IF($F104="зона дифференциации","может использоваться как поле позиционирования","не использовать без дополнительной проверки"))))</f>
        <v/>
      </c>
      <c r="H104" s="2" t="n"/>
    </row>
    <row r="105">
      <c r="A105" s="2" t="n"/>
      <c r="B105" s="2" t="n"/>
      <c r="C105" s="2" t="n"/>
      <c r="D105" s="2" t="n"/>
      <c r="E105" s="6">
        <f>IF($D105="","",IFERROR($D105/'12_Сводка'!$B\$5,0))</f>
        <v/>
      </c>
      <c r="F105" s="5">
        <f>IF($A105="","",IF($E105&gt;=0.7,"рыночный стандарт",IF($E105&gt;=0.4,"формирующийся стандарт",IF($E105&gt;=0.2,"зона дифференциации","слабый сигнал"))))</f>
        <v/>
      </c>
      <c r="G105" s="5">
        <f>IF($A105="","",IF($F105="рыночный стандарт","необходимо включить в минимально приемлемое предложение",IF($F105="формирующийся стандарт","проверить значимость для клиента и вероятность закрепления",IF($F105="зона дифференциации","может использоваться как поле позиционирования","не использовать без дополнительной проверки"))))</f>
        <v/>
      </c>
      <c r="H105" s="2" t="n"/>
    </row>
    <row r="106">
      <c r="A106" s="2" t="n"/>
      <c r="B106" s="2" t="n"/>
      <c r="C106" s="2" t="n"/>
      <c r="D106" s="2" t="n"/>
      <c r="E106" s="6">
        <f>IF($D106="","",IFERROR($D106/'12_Сводка'!$B\$5,0))</f>
        <v/>
      </c>
      <c r="F106" s="5">
        <f>IF($A106="","",IF($E106&gt;=0.7,"рыночный стандарт",IF($E106&gt;=0.4,"формирующийся стандарт",IF($E106&gt;=0.2,"зона дифференциации","слабый сигнал"))))</f>
        <v/>
      </c>
      <c r="G106" s="5">
        <f>IF($A106="","",IF($F106="рыночный стандарт","необходимо включить в минимально приемлемое предложение",IF($F106="формирующийся стандарт","проверить значимость для клиента и вероятность закрепления",IF($F106="зона дифференциации","может использоваться как поле позиционирования","не использовать без дополнительной проверки"))))</f>
        <v/>
      </c>
      <c r="H106" s="2" t="n"/>
    </row>
    <row r="107">
      <c r="A107" s="2" t="n"/>
      <c r="B107" s="2" t="n"/>
      <c r="C107" s="2" t="n"/>
      <c r="D107" s="2" t="n"/>
      <c r="E107" s="6">
        <f>IF($D107="","",IFERROR($D107/'12_Сводка'!$B\$5,0))</f>
        <v/>
      </c>
      <c r="F107" s="5">
        <f>IF($A107="","",IF($E107&gt;=0.7,"рыночный стандарт",IF($E107&gt;=0.4,"формирующийся стандарт",IF($E107&gt;=0.2,"зона дифференциации","слабый сигнал"))))</f>
        <v/>
      </c>
      <c r="G107" s="5">
        <f>IF($A107="","",IF($F107="рыночный стандарт","необходимо включить в минимально приемлемое предложение",IF($F107="формирующийся стандарт","проверить значимость для клиента и вероятность закрепления",IF($F107="зона дифференциации","может использоваться как поле позиционирования","не использовать без дополнительной проверки"))))</f>
        <v/>
      </c>
      <c r="H107" s="2" t="n"/>
    </row>
    <row r="108">
      <c r="A108" s="2" t="n"/>
      <c r="B108" s="2" t="n"/>
      <c r="C108" s="2" t="n"/>
      <c r="D108" s="2" t="n"/>
      <c r="E108" s="6">
        <f>IF($D108="","",IFERROR($D108/'12_Сводка'!$B\$5,0))</f>
        <v/>
      </c>
      <c r="F108" s="5">
        <f>IF($A108="","",IF($E108&gt;=0.7,"рыночный стандарт",IF($E108&gt;=0.4,"формирующийся стандарт",IF($E108&gt;=0.2,"зона дифференциации","слабый сигнал"))))</f>
        <v/>
      </c>
      <c r="G108" s="5">
        <f>IF($A108="","",IF($F108="рыночный стандарт","необходимо включить в минимально приемлемое предложение",IF($F108="формирующийся стандарт","проверить значимость для клиента и вероятность закрепления",IF($F108="зона дифференциации","может использоваться как поле позиционирования","не использовать без дополнительной проверки"))))</f>
        <v/>
      </c>
      <c r="H108" s="2" t="n"/>
    </row>
    <row r="109">
      <c r="A109" s="2" t="n"/>
      <c r="B109" s="2" t="n"/>
      <c r="C109" s="2" t="n"/>
      <c r="D109" s="2" t="n"/>
      <c r="E109" s="6">
        <f>IF($D109="","",IFERROR($D109/'12_Сводка'!$B\$5,0))</f>
        <v/>
      </c>
      <c r="F109" s="5">
        <f>IF($A109="","",IF($E109&gt;=0.7,"рыночный стандарт",IF($E109&gt;=0.4,"формирующийся стандарт",IF($E109&gt;=0.2,"зона дифференциации","слабый сигнал"))))</f>
        <v/>
      </c>
      <c r="G109" s="5">
        <f>IF($A109="","",IF($F109="рыночный стандарт","необходимо включить в минимально приемлемое предложение",IF($F109="формирующийся стандарт","проверить значимость для клиента и вероятность закрепления",IF($F109="зона дифференциации","может использоваться как поле позиционирования","не использовать без дополнительной проверки"))))</f>
        <v/>
      </c>
      <c r="H109" s="2" t="n"/>
    </row>
    <row r="110">
      <c r="A110" s="2" t="n"/>
      <c r="B110" s="2" t="n"/>
      <c r="C110" s="2" t="n"/>
      <c r="D110" s="2" t="n"/>
      <c r="E110" s="6">
        <f>IF($D110="","",IFERROR($D110/'12_Сводка'!$B\$5,0))</f>
        <v/>
      </c>
      <c r="F110" s="5">
        <f>IF($A110="","",IF($E110&gt;=0.7,"рыночный стандарт",IF($E110&gt;=0.4,"формирующийся стандарт",IF($E110&gt;=0.2,"зона дифференциации","слабый сигнал"))))</f>
        <v/>
      </c>
      <c r="G110" s="5">
        <f>IF($A110="","",IF($F110="рыночный стандарт","необходимо включить в минимально приемлемое предложение",IF($F110="формирующийся стандарт","проверить значимость для клиента и вероятность закрепления",IF($F110="зона дифференциации","может использоваться как поле позиционирования","не использовать без дополнительной проверки"))))</f>
        <v/>
      </c>
      <c r="H110" s="2" t="n"/>
    </row>
    <row r="111">
      <c r="A111" s="2" t="n"/>
      <c r="B111" s="2" t="n"/>
      <c r="C111" s="2" t="n"/>
      <c r="D111" s="2" t="n"/>
      <c r="E111" s="6">
        <f>IF($D111="","",IFERROR($D111/'12_Сводка'!$B\$5,0))</f>
        <v/>
      </c>
      <c r="F111" s="5">
        <f>IF($A111="","",IF($E111&gt;=0.7,"рыночный стандарт",IF($E111&gt;=0.4,"формирующийся стандарт",IF($E111&gt;=0.2,"зона дифференциации","слабый сигнал"))))</f>
        <v/>
      </c>
      <c r="G111" s="5">
        <f>IF($A111="","",IF($F111="рыночный стандарт","необходимо включить в минимально приемлемое предложение",IF($F111="формирующийся стандарт","проверить значимость для клиента и вероятность закрепления",IF($F111="зона дифференциации","может использоваться как поле позиционирования","не использовать без дополнительной проверки"))))</f>
        <v/>
      </c>
      <c r="H111" s="2" t="n"/>
    </row>
    <row r="112">
      <c r="A112" s="2" t="n"/>
      <c r="B112" s="2" t="n"/>
      <c r="C112" s="2" t="n"/>
      <c r="D112" s="2" t="n"/>
      <c r="E112" s="6">
        <f>IF($D112="","",IFERROR($D112/'12_Сводка'!$B\$5,0))</f>
        <v/>
      </c>
      <c r="F112" s="5">
        <f>IF($A112="","",IF($E112&gt;=0.7,"рыночный стандарт",IF($E112&gt;=0.4,"формирующийся стандарт",IF($E112&gt;=0.2,"зона дифференциации","слабый сигнал"))))</f>
        <v/>
      </c>
      <c r="G112" s="5">
        <f>IF($A112="","",IF($F112="рыночный стандарт","необходимо включить в минимально приемлемое предложение",IF($F112="формирующийся стандарт","проверить значимость для клиента и вероятность закрепления",IF($F112="зона дифференциации","может использоваться как поле позиционирования","не использовать без дополнительной проверки"))))</f>
        <v/>
      </c>
      <c r="H112" s="2" t="n"/>
    </row>
    <row r="113">
      <c r="A113" s="2" t="n"/>
      <c r="B113" s="2" t="n"/>
      <c r="C113" s="2" t="n"/>
      <c r="D113" s="2" t="n"/>
      <c r="E113" s="6">
        <f>IF($D113="","",IFERROR($D113/'12_Сводка'!$B\$5,0))</f>
        <v/>
      </c>
      <c r="F113" s="5">
        <f>IF($A113="","",IF($E113&gt;=0.7,"рыночный стандарт",IF($E113&gt;=0.4,"формирующийся стандарт",IF($E113&gt;=0.2,"зона дифференциации","слабый сигнал"))))</f>
        <v/>
      </c>
      <c r="G113" s="5">
        <f>IF($A113="","",IF($F113="рыночный стандарт","необходимо включить в минимально приемлемое предложение",IF($F113="формирующийся стандарт","проверить значимость для клиента и вероятность закрепления",IF($F113="зона дифференциации","может использоваться как поле позиционирования","не использовать без дополнительной проверки"))))</f>
        <v/>
      </c>
      <c r="H113" s="2" t="n"/>
    </row>
    <row r="114">
      <c r="A114" s="2" t="n"/>
      <c r="B114" s="2" t="n"/>
      <c r="C114" s="2" t="n"/>
      <c r="D114" s="2" t="n"/>
      <c r="E114" s="6">
        <f>IF($D114="","",IFERROR($D114/'12_Сводка'!$B\$5,0))</f>
        <v/>
      </c>
      <c r="F114" s="5">
        <f>IF($A114="","",IF($E114&gt;=0.7,"рыночный стандарт",IF($E114&gt;=0.4,"формирующийся стандарт",IF($E114&gt;=0.2,"зона дифференциации","слабый сигнал"))))</f>
        <v/>
      </c>
      <c r="G114" s="5">
        <f>IF($A114="","",IF($F114="рыночный стандарт","необходимо включить в минимально приемлемое предложение",IF($F114="формирующийся стандарт","проверить значимость для клиента и вероятность закрепления",IF($F114="зона дифференциации","может использоваться как поле позиционирования","не использовать без дополнительной проверки"))))</f>
        <v/>
      </c>
      <c r="H114" s="2" t="n"/>
    </row>
    <row r="115">
      <c r="A115" s="2" t="n"/>
      <c r="B115" s="2" t="n"/>
      <c r="C115" s="2" t="n"/>
      <c r="D115" s="2" t="n"/>
      <c r="E115" s="6">
        <f>IF($D115="","",IFERROR($D115/'12_Сводка'!$B\$5,0))</f>
        <v/>
      </c>
      <c r="F115" s="5">
        <f>IF($A115="","",IF($E115&gt;=0.7,"рыночный стандарт",IF($E115&gt;=0.4,"формирующийся стандарт",IF($E115&gt;=0.2,"зона дифференциации","слабый сигнал"))))</f>
        <v/>
      </c>
      <c r="G115" s="5">
        <f>IF($A115="","",IF($F115="рыночный стандарт","необходимо включить в минимально приемлемое предложение",IF($F115="формирующийся стандарт","проверить значимость для клиента и вероятность закрепления",IF($F115="зона дифференциации","может использоваться как поле позиционирования","не использовать без дополнительной проверки"))))</f>
        <v/>
      </c>
      <c r="H115" s="2" t="n"/>
    </row>
    <row r="116">
      <c r="A116" s="2" t="n"/>
      <c r="B116" s="2" t="n"/>
      <c r="C116" s="2" t="n"/>
      <c r="D116" s="2" t="n"/>
      <c r="E116" s="6">
        <f>IF($D116="","",IFERROR($D116/'12_Сводка'!$B\$5,0))</f>
        <v/>
      </c>
      <c r="F116" s="5">
        <f>IF($A116="","",IF($E116&gt;=0.7,"рыночный стандарт",IF($E116&gt;=0.4,"формирующийся стандарт",IF($E116&gt;=0.2,"зона дифференциации","слабый сигнал"))))</f>
        <v/>
      </c>
      <c r="G116" s="5">
        <f>IF($A116="","",IF($F116="рыночный стандарт","необходимо включить в минимально приемлемое предложение",IF($F116="формирующийся стандарт","проверить значимость для клиента и вероятность закрепления",IF($F116="зона дифференциации","может использоваться как поле позиционирования","не использовать без дополнительной проверки"))))</f>
        <v/>
      </c>
      <c r="H116" s="2" t="n"/>
    </row>
    <row r="117">
      <c r="A117" s="2" t="n"/>
      <c r="B117" s="2" t="n"/>
      <c r="C117" s="2" t="n"/>
      <c r="D117" s="2" t="n"/>
      <c r="E117" s="6">
        <f>IF($D117="","",IFERROR($D117/'12_Сводка'!$B\$5,0))</f>
        <v/>
      </c>
      <c r="F117" s="5">
        <f>IF($A117="","",IF($E117&gt;=0.7,"рыночный стандарт",IF($E117&gt;=0.4,"формирующийся стандарт",IF($E117&gt;=0.2,"зона дифференциации","слабый сигнал"))))</f>
        <v/>
      </c>
      <c r="G117" s="5">
        <f>IF($A117="","",IF($F117="рыночный стандарт","необходимо включить в минимально приемлемое предложение",IF($F117="формирующийся стандарт","проверить значимость для клиента и вероятность закрепления",IF($F117="зона дифференциации","может использоваться как поле позиционирования","не использовать без дополнительной проверки"))))</f>
        <v/>
      </c>
      <c r="H117" s="2" t="n"/>
    </row>
    <row r="118">
      <c r="A118" s="2" t="n"/>
      <c r="B118" s="2" t="n"/>
      <c r="C118" s="2" t="n"/>
      <c r="D118" s="2" t="n"/>
      <c r="E118" s="6">
        <f>IF($D118="","",IFERROR($D118/'12_Сводка'!$B\$5,0))</f>
        <v/>
      </c>
      <c r="F118" s="5">
        <f>IF($A118="","",IF($E118&gt;=0.7,"рыночный стандарт",IF($E118&gt;=0.4,"формирующийся стандарт",IF($E118&gt;=0.2,"зона дифференциации","слабый сигнал"))))</f>
        <v/>
      </c>
      <c r="G118" s="5">
        <f>IF($A118="","",IF($F118="рыночный стандарт","необходимо включить в минимально приемлемое предложение",IF($F118="формирующийся стандарт","проверить значимость для клиента и вероятность закрепления",IF($F118="зона дифференциации","может использоваться как поле позиционирования","не использовать без дополнительной проверки"))))</f>
        <v/>
      </c>
      <c r="H118" s="2" t="n"/>
    </row>
    <row r="119">
      <c r="A119" s="2" t="n"/>
      <c r="B119" s="2" t="n"/>
      <c r="C119" s="2" t="n"/>
      <c r="D119" s="2" t="n"/>
      <c r="E119" s="6">
        <f>IF($D119="","",IFERROR($D119/'12_Сводка'!$B\$5,0))</f>
        <v/>
      </c>
      <c r="F119" s="5">
        <f>IF($A119="","",IF($E119&gt;=0.7,"рыночный стандарт",IF($E119&gt;=0.4,"формирующийся стандарт",IF($E119&gt;=0.2,"зона дифференциации","слабый сигнал"))))</f>
        <v/>
      </c>
      <c r="G119" s="5">
        <f>IF($A119="","",IF($F119="рыночный стандарт","необходимо включить в минимально приемлемое предложение",IF($F119="формирующийся стандарт","проверить значимость для клиента и вероятность закрепления",IF($F119="зона дифференциации","может использоваться как поле позиционирования","не использовать без дополнительной проверки"))))</f>
        <v/>
      </c>
      <c r="H119" s="2" t="n"/>
    </row>
    <row r="120">
      <c r="A120" s="2" t="n"/>
      <c r="B120" s="2" t="n"/>
      <c r="C120" s="2" t="n"/>
      <c r="D120" s="2" t="n"/>
      <c r="E120" s="6">
        <f>IF($D120="","",IFERROR($D120/'12_Сводка'!$B\$5,0))</f>
        <v/>
      </c>
      <c r="F120" s="5">
        <f>IF($A120="","",IF($E120&gt;=0.7,"рыночный стандарт",IF($E120&gt;=0.4,"формирующийся стандарт",IF($E120&gt;=0.2,"зона дифференциации","слабый сигнал"))))</f>
        <v/>
      </c>
      <c r="G120" s="5">
        <f>IF($A120="","",IF($F120="рыночный стандарт","необходимо включить в минимально приемлемое предложение",IF($F120="формирующийся стандарт","проверить значимость для клиента и вероятность закрепления",IF($F120="зона дифференциации","может использоваться как поле позиционирования","не использовать без дополнительной проверки"))))</f>
        <v/>
      </c>
      <c r="H120" s="2" t="n"/>
    </row>
    <row r="121">
      <c r="A121" s="2" t="n"/>
      <c r="B121" s="2" t="n"/>
      <c r="C121" s="2" t="n"/>
      <c r="D121" s="2" t="n"/>
      <c r="E121" s="6">
        <f>IF($D121="","",IFERROR($D121/'12_Сводка'!$B\$5,0))</f>
        <v/>
      </c>
      <c r="F121" s="5">
        <f>IF($A121="","",IF($E121&gt;=0.7,"рыночный стандарт",IF($E121&gt;=0.4,"формирующийся стандарт",IF($E121&gt;=0.2,"зона дифференциации","слабый сигнал"))))</f>
        <v/>
      </c>
      <c r="G121" s="5">
        <f>IF($A121="","",IF($F121="рыночный стандарт","необходимо включить в минимально приемлемое предложение",IF($F121="формирующийся стандарт","проверить значимость для клиента и вероятность закрепления",IF($F121="зона дифференциации","может использоваться как поле позиционирования","не использовать без дополнительной проверки"))))</f>
        <v/>
      </c>
      <c r="H121" s="2" t="n"/>
    </row>
    <row r="122">
      <c r="A122" s="2" t="n"/>
      <c r="B122" s="2" t="n"/>
      <c r="C122" s="2" t="n"/>
      <c r="D122" s="2" t="n"/>
      <c r="E122" s="6">
        <f>IF($D122="","",IFERROR($D122/'12_Сводка'!$B\$5,0))</f>
        <v/>
      </c>
      <c r="F122" s="5">
        <f>IF($A122="","",IF($E122&gt;=0.7,"рыночный стандарт",IF($E122&gt;=0.4,"формирующийся стандарт",IF($E122&gt;=0.2,"зона дифференциации","слабый сигнал"))))</f>
        <v/>
      </c>
      <c r="G122" s="5">
        <f>IF($A122="","",IF($F122="рыночный стандарт","необходимо включить в минимально приемлемое предложение",IF($F122="формирующийся стандарт","проверить значимость для клиента и вероятность закрепления",IF($F122="зона дифференциации","может использоваться как поле позиционирования","не использовать без дополнительной проверки"))))</f>
        <v/>
      </c>
      <c r="H122" s="2" t="n"/>
    </row>
    <row r="123">
      <c r="A123" s="2" t="n"/>
      <c r="B123" s="2" t="n"/>
      <c r="C123" s="2" t="n"/>
      <c r="D123" s="2" t="n"/>
      <c r="E123" s="6">
        <f>IF($D123="","",IFERROR($D123/'12_Сводка'!$B\$5,0))</f>
        <v/>
      </c>
      <c r="F123" s="5">
        <f>IF($A123="","",IF($E123&gt;=0.7,"рыночный стандарт",IF($E123&gt;=0.4,"формирующийся стандарт",IF($E123&gt;=0.2,"зона дифференциации","слабый сигнал"))))</f>
        <v/>
      </c>
      <c r="G123" s="5">
        <f>IF($A123="","",IF($F123="рыночный стандарт","необходимо включить в минимально приемлемое предложение",IF($F123="формирующийся стандарт","проверить значимость для клиента и вероятность закрепления",IF($F123="зона дифференциации","может использоваться как поле позиционирования","не использовать без дополнительной проверки"))))</f>
        <v/>
      </c>
      <c r="H123" s="2" t="n"/>
    </row>
    <row r="124">
      <c r="A124" s="2" t="n"/>
      <c r="B124" s="2" t="n"/>
      <c r="C124" s="2" t="n"/>
      <c r="D124" s="2" t="n"/>
      <c r="E124" s="6">
        <f>IF($D124="","",IFERROR($D124/'12_Сводка'!$B\$5,0))</f>
        <v/>
      </c>
      <c r="F124" s="5">
        <f>IF($A124="","",IF($E124&gt;=0.7,"рыночный стандарт",IF($E124&gt;=0.4,"формирующийся стандарт",IF($E124&gt;=0.2,"зона дифференциации","слабый сигнал"))))</f>
        <v/>
      </c>
      <c r="G124" s="5">
        <f>IF($A124="","",IF($F124="рыночный стандарт","необходимо включить в минимально приемлемое предложение",IF($F124="формирующийся стандарт","проверить значимость для клиента и вероятность закрепления",IF($F124="зона дифференциации","может использоваться как поле позиционирования","не использовать без дополнительной проверки"))))</f>
        <v/>
      </c>
      <c r="H124" s="2" t="n"/>
    </row>
    <row r="125">
      <c r="A125" s="2" t="n"/>
      <c r="B125" s="2" t="n"/>
      <c r="C125" s="2" t="n"/>
      <c r="D125" s="2" t="n"/>
      <c r="E125" s="6">
        <f>IF($D125="","",IFERROR($D125/'12_Сводка'!$B\$5,0))</f>
        <v/>
      </c>
      <c r="F125" s="5">
        <f>IF($A125="","",IF($E125&gt;=0.7,"рыночный стандарт",IF($E125&gt;=0.4,"формирующийся стандарт",IF($E125&gt;=0.2,"зона дифференциации","слабый сигнал"))))</f>
        <v/>
      </c>
      <c r="G125" s="5">
        <f>IF($A125="","",IF($F125="рыночный стандарт","необходимо включить в минимально приемлемое предложение",IF($F125="формирующийся стандарт","проверить значимость для клиента и вероятность закрепления",IF($F125="зона дифференциации","может использоваться как поле позиционирования","не использовать без дополнительной проверки"))))</f>
        <v/>
      </c>
      <c r="H125" s="2" t="n"/>
    </row>
    <row r="126">
      <c r="A126" s="2" t="n"/>
      <c r="B126" s="2" t="n"/>
      <c r="C126" s="2" t="n"/>
      <c r="D126" s="2" t="n"/>
      <c r="E126" s="6">
        <f>IF($D126="","",IFERROR($D126/'12_Сводка'!$B\$5,0))</f>
        <v/>
      </c>
      <c r="F126" s="5">
        <f>IF($A126="","",IF($E126&gt;=0.7,"рыночный стандарт",IF($E126&gt;=0.4,"формирующийся стандарт",IF($E126&gt;=0.2,"зона дифференциации","слабый сигнал"))))</f>
        <v/>
      </c>
      <c r="G126" s="5">
        <f>IF($A126="","",IF($F126="рыночный стандарт","необходимо включить в минимально приемлемое предложение",IF($F126="формирующийся стандарт","проверить значимость для клиента и вероятность закрепления",IF($F126="зона дифференциации","может использоваться как поле позиционирования","не использовать без дополнительной проверки"))))</f>
        <v/>
      </c>
      <c r="H126" s="2" t="n"/>
    </row>
    <row r="127">
      <c r="A127" s="2" t="n"/>
      <c r="B127" s="2" t="n"/>
      <c r="C127" s="2" t="n"/>
      <c r="D127" s="2" t="n"/>
      <c r="E127" s="6">
        <f>IF($D127="","",IFERROR($D127/'12_Сводка'!$B\$5,0))</f>
        <v/>
      </c>
      <c r="F127" s="5">
        <f>IF($A127="","",IF($E127&gt;=0.7,"рыночный стандарт",IF($E127&gt;=0.4,"формирующийся стандарт",IF($E127&gt;=0.2,"зона дифференциации","слабый сигнал"))))</f>
        <v/>
      </c>
      <c r="G127" s="5">
        <f>IF($A127="","",IF($F127="рыночный стандарт","необходимо включить в минимально приемлемое предложение",IF($F127="формирующийся стандарт","проверить значимость для клиента и вероятность закрепления",IF($F127="зона дифференциации","может использоваться как поле позиционирования","не использовать без дополнительной проверки"))))</f>
        <v/>
      </c>
      <c r="H127" s="2" t="n"/>
    </row>
    <row r="128">
      <c r="A128" s="2" t="n"/>
      <c r="B128" s="2" t="n"/>
      <c r="C128" s="2" t="n"/>
      <c r="D128" s="2" t="n"/>
      <c r="E128" s="6">
        <f>IF($D128="","",IFERROR($D128/'12_Сводка'!$B\$5,0))</f>
        <v/>
      </c>
      <c r="F128" s="5">
        <f>IF($A128="","",IF($E128&gt;=0.7,"рыночный стандарт",IF($E128&gt;=0.4,"формирующийся стандарт",IF($E128&gt;=0.2,"зона дифференциации","слабый сигнал"))))</f>
        <v/>
      </c>
      <c r="G128" s="5">
        <f>IF($A128="","",IF($F128="рыночный стандарт","необходимо включить в минимально приемлемое предложение",IF($F128="формирующийся стандарт","проверить значимость для клиента и вероятность закрепления",IF($F128="зона дифференциации","может использоваться как поле позиционирования","не использовать без дополнительной проверки"))))</f>
        <v/>
      </c>
      <c r="H128" s="2" t="n"/>
    </row>
    <row r="129">
      <c r="A129" s="2" t="n"/>
      <c r="B129" s="2" t="n"/>
      <c r="C129" s="2" t="n"/>
      <c r="D129" s="2" t="n"/>
      <c r="E129" s="6">
        <f>IF($D129="","",IFERROR($D129/'12_Сводка'!$B\$5,0))</f>
        <v/>
      </c>
      <c r="F129" s="5">
        <f>IF($A129="","",IF($E129&gt;=0.7,"рыночный стандарт",IF($E129&gt;=0.4,"формирующийся стандарт",IF($E129&gt;=0.2,"зона дифференциации","слабый сигнал"))))</f>
        <v/>
      </c>
      <c r="G129" s="5">
        <f>IF($A129="","",IF($F129="рыночный стандарт","необходимо включить в минимально приемлемое предложение",IF($F129="формирующийся стандарт","проверить значимость для клиента и вероятность закрепления",IF($F129="зона дифференциации","может использоваться как поле позиционирования","не использовать без дополнительной проверки"))))</f>
        <v/>
      </c>
      <c r="H129" s="2" t="n"/>
    </row>
    <row r="130">
      <c r="A130" s="2" t="n"/>
      <c r="B130" s="2" t="n"/>
      <c r="C130" s="2" t="n"/>
      <c r="D130" s="2" t="n"/>
      <c r="E130" s="6">
        <f>IF($D130="","",IFERROR($D130/'12_Сводка'!$B\$5,0))</f>
        <v/>
      </c>
      <c r="F130" s="5">
        <f>IF($A130="","",IF($E130&gt;=0.7,"рыночный стандарт",IF($E130&gt;=0.4,"формирующийся стандарт",IF($E130&gt;=0.2,"зона дифференциации","слабый сигнал"))))</f>
        <v/>
      </c>
      <c r="G130" s="5">
        <f>IF($A130="","",IF($F130="рыночный стандарт","необходимо включить в минимально приемлемое предложение",IF($F130="формирующийся стандарт","проверить значимость для клиента и вероятность закрепления",IF($F130="зона дифференциации","может использоваться как поле позиционирования","не использовать без дополнительной проверки"))))</f>
        <v/>
      </c>
      <c r="H130" s="2" t="n"/>
    </row>
    <row r="131">
      <c r="A131" s="2" t="n"/>
      <c r="B131" s="2" t="n"/>
      <c r="C131" s="2" t="n"/>
      <c r="D131" s="2" t="n"/>
      <c r="E131" s="6">
        <f>IF($D131="","",IFERROR($D131/'12_Сводка'!$B\$5,0))</f>
        <v/>
      </c>
      <c r="F131" s="5">
        <f>IF($A131="","",IF($E131&gt;=0.7,"рыночный стандарт",IF($E131&gt;=0.4,"формирующийся стандарт",IF($E131&gt;=0.2,"зона дифференциации","слабый сигнал"))))</f>
        <v/>
      </c>
      <c r="G131" s="5">
        <f>IF($A131="","",IF($F131="рыночный стандарт","необходимо включить в минимально приемлемое предложение",IF($F131="формирующийся стандарт","проверить значимость для клиента и вероятность закрепления",IF($F131="зона дифференциации","может использоваться как поле позиционирования","не использовать без дополнительной проверки"))))</f>
        <v/>
      </c>
      <c r="H131" s="2" t="n"/>
    </row>
    <row r="132">
      <c r="A132" s="2" t="n"/>
      <c r="B132" s="2" t="n"/>
      <c r="C132" s="2" t="n"/>
      <c r="D132" s="2" t="n"/>
      <c r="E132" s="6">
        <f>IF($D132="","",IFERROR($D132/'12_Сводка'!$B\$5,0))</f>
        <v/>
      </c>
      <c r="F132" s="5">
        <f>IF($A132="","",IF($E132&gt;=0.7,"рыночный стандарт",IF($E132&gt;=0.4,"формирующийся стандарт",IF($E132&gt;=0.2,"зона дифференциации","слабый сигнал"))))</f>
        <v/>
      </c>
      <c r="G132" s="5">
        <f>IF($A132="","",IF($F132="рыночный стандарт","необходимо включить в минимально приемлемое предложение",IF($F132="формирующийся стандарт","проверить значимость для клиента и вероятность закрепления",IF($F132="зона дифференциации","может использоваться как поле позиционирования","не использовать без дополнительной проверки"))))</f>
        <v/>
      </c>
      <c r="H132" s="2" t="n"/>
    </row>
    <row r="133">
      <c r="A133" s="2" t="n"/>
      <c r="B133" s="2" t="n"/>
      <c r="C133" s="2" t="n"/>
      <c r="D133" s="2" t="n"/>
      <c r="E133" s="6">
        <f>IF($D133="","",IFERROR($D133/'12_Сводка'!$B\$5,0))</f>
        <v/>
      </c>
      <c r="F133" s="5">
        <f>IF($A133="","",IF($E133&gt;=0.7,"рыночный стандарт",IF($E133&gt;=0.4,"формирующийся стандарт",IF($E133&gt;=0.2,"зона дифференциации","слабый сигнал"))))</f>
        <v/>
      </c>
      <c r="G133" s="5">
        <f>IF($A133="","",IF($F133="рыночный стандарт","необходимо включить в минимально приемлемое предложение",IF($F133="формирующийся стандарт","проверить значимость для клиента и вероятность закрепления",IF($F133="зона дифференциации","может использоваться как поле позиционирования","не использовать без дополнительной проверки"))))</f>
        <v/>
      </c>
      <c r="H133" s="2" t="n"/>
    </row>
    <row r="134">
      <c r="A134" s="2" t="n"/>
      <c r="B134" s="2" t="n"/>
      <c r="C134" s="2" t="n"/>
      <c r="D134" s="2" t="n"/>
      <c r="E134" s="6">
        <f>IF($D134="","",IFERROR($D134/'12_Сводка'!$B\$5,0))</f>
        <v/>
      </c>
      <c r="F134" s="5">
        <f>IF($A134="","",IF($E134&gt;=0.7,"рыночный стандарт",IF($E134&gt;=0.4,"формирующийся стандарт",IF($E134&gt;=0.2,"зона дифференциации","слабый сигнал"))))</f>
        <v/>
      </c>
      <c r="G134" s="5">
        <f>IF($A134="","",IF($F134="рыночный стандарт","необходимо включить в минимально приемлемое предложение",IF($F134="формирующийся стандарт","проверить значимость для клиента и вероятность закрепления",IF($F134="зона дифференциации","может использоваться как поле позиционирования","не использовать без дополнительной проверки"))))</f>
        <v/>
      </c>
      <c r="H134" s="2" t="n"/>
    </row>
    <row r="135">
      <c r="A135" s="2" t="n"/>
      <c r="B135" s="2" t="n"/>
      <c r="C135" s="2" t="n"/>
      <c r="D135" s="2" t="n"/>
      <c r="E135" s="6">
        <f>IF($D135="","",IFERROR($D135/'12_Сводка'!$B\$5,0))</f>
        <v/>
      </c>
      <c r="F135" s="5">
        <f>IF($A135="","",IF($E135&gt;=0.7,"рыночный стандарт",IF($E135&gt;=0.4,"формирующийся стандарт",IF($E135&gt;=0.2,"зона дифференциации","слабый сигнал"))))</f>
        <v/>
      </c>
      <c r="G135" s="5">
        <f>IF($A135="","",IF($F135="рыночный стандарт","необходимо включить в минимально приемлемое предложение",IF($F135="формирующийся стандарт","проверить значимость для клиента и вероятность закрепления",IF($F135="зона дифференциации","может использоваться как поле позиционирования","не использовать без дополнительной проверки"))))</f>
        <v/>
      </c>
      <c r="H135" s="2" t="n"/>
    </row>
    <row r="136">
      <c r="A136" s="2" t="n"/>
      <c r="B136" s="2" t="n"/>
      <c r="C136" s="2" t="n"/>
      <c r="D136" s="2" t="n"/>
      <c r="E136" s="6">
        <f>IF($D136="","",IFERROR($D136/'12_Сводка'!$B\$5,0))</f>
        <v/>
      </c>
      <c r="F136" s="5">
        <f>IF($A136="","",IF($E136&gt;=0.7,"рыночный стандарт",IF($E136&gt;=0.4,"формирующийся стандарт",IF($E136&gt;=0.2,"зона дифференциации","слабый сигнал"))))</f>
        <v/>
      </c>
      <c r="G136" s="5">
        <f>IF($A136="","",IF($F136="рыночный стандарт","необходимо включить в минимально приемлемое предложение",IF($F136="формирующийся стандарт","проверить значимость для клиента и вероятность закрепления",IF($F136="зона дифференциации","может использоваться как поле позиционирования","не использовать без дополнительной проверки"))))</f>
        <v/>
      </c>
      <c r="H136" s="2" t="n"/>
    </row>
    <row r="137">
      <c r="A137" s="2" t="n"/>
      <c r="B137" s="2" t="n"/>
      <c r="C137" s="2" t="n"/>
      <c r="D137" s="2" t="n"/>
      <c r="E137" s="6">
        <f>IF($D137="","",IFERROR($D137/'12_Сводка'!$B\$5,0))</f>
        <v/>
      </c>
      <c r="F137" s="5">
        <f>IF($A137="","",IF($E137&gt;=0.7,"рыночный стандарт",IF($E137&gt;=0.4,"формирующийся стандарт",IF($E137&gt;=0.2,"зона дифференциации","слабый сигнал"))))</f>
        <v/>
      </c>
      <c r="G137" s="5">
        <f>IF($A137="","",IF($F137="рыночный стандарт","необходимо включить в минимально приемлемое предложение",IF($F137="формирующийся стандарт","проверить значимость для клиента и вероятность закрепления",IF($F137="зона дифференциации","может использоваться как поле позиционирования","не использовать без дополнительной проверки"))))</f>
        <v/>
      </c>
      <c r="H137" s="2" t="n"/>
    </row>
    <row r="138">
      <c r="A138" s="2" t="n"/>
      <c r="B138" s="2" t="n"/>
      <c r="C138" s="2" t="n"/>
      <c r="D138" s="2" t="n"/>
      <c r="E138" s="6">
        <f>IF($D138="","",IFERROR($D138/'12_Сводка'!$B\$5,0))</f>
        <v/>
      </c>
      <c r="F138" s="5">
        <f>IF($A138="","",IF($E138&gt;=0.7,"рыночный стандарт",IF($E138&gt;=0.4,"формирующийся стандарт",IF($E138&gt;=0.2,"зона дифференциации","слабый сигнал"))))</f>
        <v/>
      </c>
      <c r="G138" s="5">
        <f>IF($A138="","",IF($F138="рыночный стандарт","необходимо включить в минимально приемлемое предложение",IF($F138="формирующийся стандарт","проверить значимость для клиента и вероятность закрепления",IF($F138="зона дифференциации","может использоваться как поле позиционирования","не использовать без дополнительной проверки"))))</f>
        <v/>
      </c>
      <c r="H138" s="2" t="n"/>
    </row>
    <row r="139">
      <c r="A139" s="2" t="n"/>
      <c r="B139" s="2" t="n"/>
      <c r="C139" s="2" t="n"/>
      <c r="D139" s="2" t="n"/>
      <c r="E139" s="6">
        <f>IF($D139="","",IFERROR($D139/'12_Сводка'!$B\$5,0))</f>
        <v/>
      </c>
      <c r="F139" s="5">
        <f>IF($A139="","",IF($E139&gt;=0.7,"рыночный стандарт",IF($E139&gt;=0.4,"формирующийся стандарт",IF($E139&gt;=0.2,"зона дифференциации","слабый сигнал"))))</f>
        <v/>
      </c>
      <c r="G139" s="5">
        <f>IF($A139="","",IF($F139="рыночный стандарт","необходимо включить в минимально приемлемое предложение",IF($F139="формирующийся стандарт","проверить значимость для клиента и вероятность закрепления",IF($F139="зона дифференциации","может использоваться как поле позиционирования","не использовать без дополнительной проверки"))))</f>
        <v/>
      </c>
      <c r="H139" s="2" t="n"/>
    </row>
    <row r="140">
      <c r="A140" s="2" t="n"/>
      <c r="B140" s="2" t="n"/>
      <c r="C140" s="2" t="n"/>
      <c r="D140" s="2" t="n"/>
      <c r="E140" s="6">
        <f>IF($D140="","",IFERROR($D140/'12_Сводка'!$B\$5,0))</f>
        <v/>
      </c>
      <c r="F140" s="5">
        <f>IF($A140="","",IF($E140&gt;=0.7,"рыночный стандарт",IF($E140&gt;=0.4,"формирующийся стандарт",IF($E140&gt;=0.2,"зона дифференциации","слабый сигнал"))))</f>
        <v/>
      </c>
      <c r="G140" s="5">
        <f>IF($A140="","",IF($F140="рыночный стандарт","необходимо включить в минимально приемлемое предложение",IF($F140="формирующийся стандарт","проверить значимость для клиента и вероятность закрепления",IF($F140="зона дифференциации","может использоваться как поле позиционирования","не использовать без дополнительной проверки"))))</f>
        <v/>
      </c>
      <c r="H140" s="2" t="n"/>
    </row>
    <row r="141">
      <c r="A141" s="2" t="n"/>
      <c r="B141" s="2" t="n"/>
      <c r="C141" s="2" t="n"/>
      <c r="D141" s="2" t="n"/>
      <c r="E141" s="6">
        <f>IF($D141="","",IFERROR($D141/'12_Сводка'!$B\$5,0))</f>
        <v/>
      </c>
      <c r="F141" s="5">
        <f>IF($A141="","",IF($E141&gt;=0.7,"рыночный стандарт",IF($E141&gt;=0.4,"формирующийся стандарт",IF($E141&gt;=0.2,"зона дифференциации","слабый сигнал"))))</f>
        <v/>
      </c>
      <c r="G141" s="5">
        <f>IF($A141="","",IF($F141="рыночный стандарт","необходимо включить в минимально приемлемое предложение",IF($F141="формирующийся стандарт","проверить значимость для клиента и вероятность закрепления",IF($F141="зона дифференциации","может использоваться как поле позиционирования","не использовать без дополнительной проверки"))))</f>
        <v/>
      </c>
      <c r="H141" s="2" t="n"/>
    </row>
    <row r="142">
      <c r="A142" s="2" t="n"/>
      <c r="B142" s="2" t="n"/>
      <c r="C142" s="2" t="n"/>
      <c r="D142" s="2" t="n"/>
      <c r="E142" s="6">
        <f>IF($D142="","",IFERROR($D142/'12_Сводка'!$B\$5,0))</f>
        <v/>
      </c>
      <c r="F142" s="5">
        <f>IF($A142="","",IF($E142&gt;=0.7,"рыночный стандарт",IF($E142&gt;=0.4,"формирующийся стандарт",IF($E142&gt;=0.2,"зона дифференциации","слабый сигнал"))))</f>
        <v/>
      </c>
      <c r="G142" s="5">
        <f>IF($A142="","",IF($F142="рыночный стандарт","необходимо включить в минимально приемлемое предложение",IF($F142="формирующийся стандарт","проверить значимость для клиента и вероятность закрепления",IF($F142="зона дифференциации","может использоваться как поле позиционирования","не использовать без дополнительной проверки"))))</f>
        <v/>
      </c>
      <c r="H142" s="2" t="n"/>
    </row>
    <row r="143">
      <c r="A143" s="2" t="n"/>
      <c r="B143" s="2" t="n"/>
      <c r="C143" s="2" t="n"/>
      <c r="D143" s="2" t="n"/>
      <c r="E143" s="6">
        <f>IF($D143="","",IFERROR($D143/'12_Сводка'!$B\$5,0))</f>
        <v/>
      </c>
      <c r="F143" s="5">
        <f>IF($A143="","",IF($E143&gt;=0.7,"рыночный стандарт",IF($E143&gt;=0.4,"формирующийся стандарт",IF($E143&gt;=0.2,"зона дифференциации","слабый сигнал"))))</f>
        <v/>
      </c>
      <c r="G143" s="5">
        <f>IF($A143="","",IF($F143="рыночный стандарт","необходимо включить в минимально приемлемое предложение",IF($F143="формирующийся стандарт","проверить значимость для клиента и вероятность закрепления",IF($F143="зона дифференциации","может использоваться как поле позиционирования","не использовать без дополнительной проверки"))))</f>
        <v/>
      </c>
      <c r="H143" s="2" t="n"/>
    </row>
    <row r="144">
      <c r="A144" s="2" t="n"/>
      <c r="B144" s="2" t="n"/>
      <c r="C144" s="2" t="n"/>
      <c r="D144" s="2" t="n"/>
      <c r="E144" s="6">
        <f>IF($D144="","",IFERROR($D144/'12_Сводка'!$B\$5,0))</f>
        <v/>
      </c>
      <c r="F144" s="5">
        <f>IF($A144="","",IF($E144&gt;=0.7,"рыночный стандарт",IF($E144&gt;=0.4,"формирующийся стандарт",IF($E144&gt;=0.2,"зона дифференциации","слабый сигнал"))))</f>
        <v/>
      </c>
      <c r="G144" s="5">
        <f>IF($A144="","",IF($F144="рыночный стандарт","необходимо включить в минимально приемлемое предложение",IF($F144="формирующийся стандарт","проверить значимость для клиента и вероятность закрепления",IF($F144="зона дифференциации","может использоваться как поле позиционирования","не использовать без дополнительной проверки"))))</f>
        <v/>
      </c>
      <c r="H144" s="2" t="n"/>
    </row>
    <row r="145">
      <c r="A145" s="2" t="n"/>
      <c r="B145" s="2" t="n"/>
      <c r="C145" s="2" t="n"/>
      <c r="D145" s="2" t="n"/>
      <c r="E145" s="6">
        <f>IF($D145="","",IFERROR($D145/'12_Сводка'!$B\$5,0))</f>
        <v/>
      </c>
      <c r="F145" s="5">
        <f>IF($A145="","",IF($E145&gt;=0.7,"рыночный стандарт",IF($E145&gt;=0.4,"формирующийся стандарт",IF($E145&gt;=0.2,"зона дифференциации","слабый сигнал"))))</f>
        <v/>
      </c>
      <c r="G145" s="5">
        <f>IF($A145="","",IF($F145="рыночный стандарт","необходимо включить в минимально приемлемое предложение",IF($F145="формирующийся стандарт","проверить значимость для клиента и вероятность закрепления",IF($F145="зона дифференциации","может использоваться как поле позиционирования","не использовать без дополнительной проверки"))))</f>
        <v/>
      </c>
      <c r="H145" s="2" t="n"/>
    </row>
    <row r="146">
      <c r="A146" s="2" t="n"/>
      <c r="B146" s="2" t="n"/>
      <c r="C146" s="2" t="n"/>
      <c r="D146" s="2" t="n"/>
      <c r="E146" s="6">
        <f>IF($D146="","",IFERROR($D146/'12_Сводка'!$B\$5,0))</f>
        <v/>
      </c>
      <c r="F146" s="5">
        <f>IF($A146="","",IF($E146&gt;=0.7,"рыночный стандарт",IF($E146&gt;=0.4,"формирующийся стандарт",IF($E146&gt;=0.2,"зона дифференциации","слабый сигнал"))))</f>
        <v/>
      </c>
      <c r="G146" s="5">
        <f>IF($A146="","",IF($F146="рыночный стандарт","необходимо включить в минимально приемлемое предложение",IF($F146="формирующийся стандарт","проверить значимость для клиента и вероятность закрепления",IF($F146="зона дифференциации","может использоваться как поле позиционирования","не использовать без дополнительной проверки"))))</f>
        <v/>
      </c>
      <c r="H146" s="2" t="n"/>
    </row>
    <row r="147">
      <c r="A147" s="2" t="n"/>
      <c r="B147" s="2" t="n"/>
      <c r="C147" s="2" t="n"/>
      <c r="D147" s="2" t="n"/>
      <c r="E147" s="6">
        <f>IF($D147="","",IFERROR($D147/'12_Сводка'!$B\$5,0))</f>
        <v/>
      </c>
      <c r="F147" s="5">
        <f>IF($A147="","",IF($E147&gt;=0.7,"рыночный стандарт",IF($E147&gt;=0.4,"формирующийся стандарт",IF($E147&gt;=0.2,"зона дифференциации","слабый сигнал"))))</f>
        <v/>
      </c>
      <c r="G147" s="5">
        <f>IF($A147="","",IF($F147="рыночный стандарт","необходимо включить в минимально приемлемое предложение",IF($F147="формирующийся стандарт","проверить значимость для клиента и вероятность закрепления",IF($F147="зона дифференциации","может использоваться как поле позиционирования","не использовать без дополнительной проверки"))))</f>
        <v/>
      </c>
      <c r="H147" s="2" t="n"/>
    </row>
    <row r="148">
      <c r="A148" s="2" t="n"/>
      <c r="B148" s="2" t="n"/>
      <c r="C148" s="2" t="n"/>
      <c r="D148" s="2" t="n"/>
      <c r="E148" s="6">
        <f>IF($D148="","",IFERROR($D148/'12_Сводка'!$B\$5,0))</f>
        <v/>
      </c>
      <c r="F148" s="5">
        <f>IF($A148="","",IF($E148&gt;=0.7,"рыночный стандарт",IF($E148&gt;=0.4,"формирующийся стандарт",IF($E148&gt;=0.2,"зона дифференциации","слабый сигнал"))))</f>
        <v/>
      </c>
      <c r="G148" s="5">
        <f>IF($A148="","",IF($F148="рыночный стандарт","необходимо включить в минимально приемлемое предложение",IF($F148="формирующийся стандарт","проверить значимость для клиента и вероятность закрепления",IF($F148="зона дифференциации","может использоваться как поле позиционирования","не использовать без дополнительной проверки"))))</f>
        <v/>
      </c>
      <c r="H148" s="2" t="n"/>
    </row>
    <row r="149">
      <c r="A149" s="2" t="n"/>
      <c r="B149" s="2" t="n"/>
      <c r="C149" s="2" t="n"/>
      <c r="D149" s="2" t="n"/>
      <c r="E149" s="6">
        <f>IF($D149="","",IFERROR($D149/'12_Сводка'!$B\$5,0))</f>
        <v/>
      </c>
      <c r="F149" s="5">
        <f>IF($A149="","",IF($E149&gt;=0.7,"рыночный стандарт",IF($E149&gt;=0.4,"формирующийся стандарт",IF($E149&gt;=0.2,"зона дифференциации","слабый сигнал"))))</f>
        <v/>
      </c>
      <c r="G149" s="5">
        <f>IF($A149="","",IF($F149="рыночный стандарт","необходимо включить в минимально приемлемое предложение",IF($F149="формирующийся стандарт","проверить значимость для клиента и вероятность закрепления",IF($F149="зона дифференциации","может использоваться как поле позиционирования","не использовать без дополнительной проверки"))))</f>
        <v/>
      </c>
      <c r="H149" s="2" t="n"/>
    </row>
    <row r="150">
      <c r="A150" s="2" t="n"/>
      <c r="B150" s="2" t="n"/>
      <c r="C150" s="2" t="n"/>
      <c r="D150" s="2" t="n"/>
      <c r="E150" s="6">
        <f>IF($D150="","",IFERROR($D150/'12_Сводка'!$B\$5,0))</f>
        <v/>
      </c>
      <c r="F150" s="5">
        <f>IF($A150="","",IF($E150&gt;=0.7,"рыночный стандарт",IF($E150&gt;=0.4,"формирующийся стандарт",IF($E150&gt;=0.2,"зона дифференциации","слабый сигнал"))))</f>
        <v/>
      </c>
      <c r="G150" s="5">
        <f>IF($A150="","",IF($F150="рыночный стандарт","необходимо включить в минимально приемлемое предложение",IF($F150="формирующийся стандарт","проверить значимость для клиента и вероятность закрепления",IF($F150="зона дифференциации","может использоваться как поле позиционирования","не использовать без дополнительной проверки"))))</f>
        <v/>
      </c>
      <c r="H150" s="2" t="n"/>
    </row>
    <row r="151">
      <c r="A151" s="2" t="n"/>
      <c r="B151" s="2" t="n"/>
      <c r="C151" s="2" t="n"/>
      <c r="D151" s="2" t="n"/>
      <c r="E151" s="6">
        <f>IF($D151="","",IFERROR($D151/'12_Сводка'!$B\$5,0))</f>
        <v/>
      </c>
      <c r="F151" s="5">
        <f>IF($A151="","",IF($E151&gt;=0.7,"рыночный стандарт",IF($E151&gt;=0.4,"формирующийся стандарт",IF($E151&gt;=0.2,"зона дифференциации","слабый сигнал"))))</f>
        <v/>
      </c>
      <c r="G151" s="5">
        <f>IF($A151="","",IF($F151="рыночный стандарт","необходимо включить в минимально приемлемое предложение",IF($F151="формирующийся стандарт","проверить значимость для клиента и вероятность закрепления",IF($F151="зона дифференциации","может использоваться как поле позиционирования","не использовать без дополнительной проверки"))))</f>
        <v/>
      </c>
      <c r="H151" s="2" t="n"/>
    </row>
    <row r="152">
      <c r="A152" s="2" t="n"/>
      <c r="B152" s="2" t="n"/>
      <c r="C152" s="2" t="n"/>
      <c r="D152" s="2" t="n"/>
      <c r="E152" s="6">
        <f>IF($D152="","",IFERROR($D152/'12_Сводка'!$B\$5,0))</f>
        <v/>
      </c>
      <c r="F152" s="5">
        <f>IF($A152="","",IF($E152&gt;=0.7,"рыночный стандарт",IF($E152&gt;=0.4,"формирующийся стандарт",IF($E152&gt;=0.2,"зона дифференциации","слабый сигнал"))))</f>
        <v/>
      </c>
      <c r="G152" s="5">
        <f>IF($A152="","",IF($F152="рыночный стандарт","необходимо включить в минимально приемлемое предложение",IF($F152="формирующийся стандарт","проверить значимость для клиента и вероятность закрепления",IF($F152="зона дифференциации","может использоваться как поле позиционирования","не использовать без дополнительной проверки"))))</f>
        <v/>
      </c>
      <c r="H152" s="2" t="n"/>
    </row>
    <row r="153">
      <c r="A153" s="2" t="n"/>
      <c r="B153" s="2" t="n"/>
      <c r="C153" s="2" t="n"/>
      <c r="D153" s="2" t="n"/>
      <c r="E153" s="6">
        <f>IF($D153="","",IFERROR($D153/'12_Сводка'!$B\$5,0))</f>
        <v/>
      </c>
      <c r="F153" s="5">
        <f>IF($A153="","",IF($E153&gt;=0.7,"рыночный стандарт",IF($E153&gt;=0.4,"формирующийся стандарт",IF($E153&gt;=0.2,"зона дифференциации","слабый сигнал"))))</f>
        <v/>
      </c>
      <c r="G153" s="5">
        <f>IF($A153="","",IF($F153="рыночный стандарт","необходимо включить в минимально приемлемое предложение",IF($F153="формирующийся стандарт","проверить значимость для клиента и вероятность закрепления",IF($F153="зона дифференциации","может использоваться как поле позиционирования","не использовать без дополнительной проверки"))))</f>
        <v/>
      </c>
      <c r="H153" s="2" t="n"/>
    </row>
    <row r="154">
      <c r="A154" s="2" t="n"/>
      <c r="B154" s="2" t="n"/>
      <c r="C154" s="2" t="n"/>
      <c r="D154" s="2" t="n"/>
      <c r="E154" s="6">
        <f>IF($D154="","",IFERROR($D154/'12_Сводка'!$B\$5,0))</f>
        <v/>
      </c>
      <c r="F154" s="5">
        <f>IF($A154="","",IF($E154&gt;=0.7,"рыночный стандарт",IF($E154&gt;=0.4,"формирующийся стандарт",IF($E154&gt;=0.2,"зона дифференциации","слабый сигнал"))))</f>
        <v/>
      </c>
      <c r="G154" s="5">
        <f>IF($A154="","",IF($F154="рыночный стандарт","необходимо включить в минимально приемлемое предложение",IF($F154="формирующийся стандарт","проверить значимость для клиента и вероятность закрепления",IF($F154="зона дифференциации","может использоваться как поле позиционирования","не использовать без дополнительной проверки"))))</f>
        <v/>
      </c>
      <c r="H154" s="2" t="n"/>
    </row>
    <row r="155">
      <c r="A155" s="2" t="n"/>
      <c r="B155" s="2" t="n"/>
      <c r="C155" s="2" t="n"/>
      <c r="D155" s="2" t="n"/>
      <c r="E155" s="6">
        <f>IF($D155="","",IFERROR($D155/'12_Сводка'!$B\$5,0))</f>
        <v/>
      </c>
      <c r="F155" s="5">
        <f>IF($A155="","",IF($E155&gt;=0.7,"рыночный стандарт",IF($E155&gt;=0.4,"формирующийся стандарт",IF($E155&gt;=0.2,"зона дифференциации","слабый сигнал"))))</f>
        <v/>
      </c>
      <c r="G155" s="5">
        <f>IF($A155="","",IF($F155="рыночный стандарт","необходимо включить в минимально приемлемое предложение",IF($F155="формирующийся стандарт","проверить значимость для клиента и вероятность закрепления",IF($F155="зона дифференциации","может использоваться как поле позиционирования","не использовать без дополнительной проверки"))))</f>
        <v/>
      </c>
      <c r="H155" s="2" t="n"/>
    </row>
    <row r="156">
      <c r="A156" s="2" t="n"/>
      <c r="B156" s="2" t="n"/>
      <c r="C156" s="2" t="n"/>
      <c r="D156" s="2" t="n"/>
      <c r="E156" s="6">
        <f>IF($D156="","",IFERROR($D156/'12_Сводка'!$B\$5,0))</f>
        <v/>
      </c>
      <c r="F156" s="5">
        <f>IF($A156="","",IF($E156&gt;=0.7,"рыночный стандарт",IF($E156&gt;=0.4,"формирующийся стандарт",IF($E156&gt;=0.2,"зона дифференциации","слабый сигнал"))))</f>
        <v/>
      </c>
      <c r="G156" s="5">
        <f>IF($A156="","",IF($F156="рыночный стандарт","необходимо включить в минимально приемлемое предложение",IF($F156="формирующийся стандарт","проверить значимость для клиента и вероятность закрепления",IF($F156="зона дифференциации","может использоваться как поле позиционирования","не использовать без дополнительной проверки"))))</f>
        <v/>
      </c>
      <c r="H156" s="2" t="n"/>
    </row>
    <row r="157">
      <c r="A157" s="2" t="n"/>
      <c r="B157" s="2" t="n"/>
      <c r="C157" s="2" t="n"/>
      <c r="D157" s="2" t="n"/>
      <c r="E157" s="6">
        <f>IF($D157="","",IFERROR($D157/'12_Сводка'!$B\$5,0))</f>
        <v/>
      </c>
      <c r="F157" s="5">
        <f>IF($A157="","",IF($E157&gt;=0.7,"рыночный стандарт",IF($E157&gt;=0.4,"формирующийся стандарт",IF($E157&gt;=0.2,"зона дифференциации","слабый сигнал"))))</f>
        <v/>
      </c>
      <c r="G157" s="5">
        <f>IF($A157="","",IF($F157="рыночный стандарт","необходимо включить в минимально приемлемое предложение",IF($F157="формирующийся стандарт","проверить значимость для клиента и вероятность закрепления",IF($F157="зона дифференциации","может использоваться как поле позиционирования","не использовать без дополнительной проверки"))))</f>
        <v/>
      </c>
      <c r="H157" s="2" t="n"/>
    </row>
    <row r="158">
      <c r="A158" s="2" t="n"/>
      <c r="B158" s="2" t="n"/>
      <c r="C158" s="2" t="n"/>
      <c r="D158" s="2" t="n"/>
      <c r="E158" s="6">
        <f>IF($D158="","",IFERROR($D158/'12_Сводка'!$B\$5,0))</f>
        <v/>
      </c>
      <c r="F158" s="5">
        <f>IF($A158="","",IF($E158&gt;=0.7,"рыночный стандарт",IF($E158&gt;=0.4,"формирующийся стандарт",IF($E158&gt;=0.2,"зона дифференциации","слабый сигнал"))))</f>
        <v/>
      </c>
      <c r="G158" s="5">
        <f>IF($A158="","",IF($F158="рыночный стандарт","необходимо включить в минимально приемлемое предложение",IF($F158="формирующийся стандарт","проверить значимость для клиента и вероятность закрепления",IF($F158="зона дифференциации","может использоваться как поле позиционирования","не использовать без дополнительной проверки"))))</f>
        <v/>
      </c>
      <c r="H158" s="2" t="n"/>
    </row>
    <row r="159">
      <c r="A159" s="2" t="n"/>
      <c r="B159" s="2" t="n"/>
      <c r="C159" s="2" t="n"/>
      <c r="D159" s="2" t="n"/>
      <c r="E159" s="6">
        <f>IF($D159="","",IFERROR($D159/'12_Сводка'!$B\$5,0))</f>
        <v/>
      </c>
      <c r="F159" s="5">
        <f>IF($A159="","",IF($E159&gt;=0.7,"рыночный стандарт",IF($E159&gt;=0.4,"формирующийся стандарт",IF($E159&gt;=0.2,"зона дифференциации","слабый сигнал"))))</f>
        <v/>
      </c>
      <c r="G159" s="5">
        <f>IF($A159="","",IF($F159="рыночный стандарт","необходимо включить в минимально приемлемое предложение",IF($F159="формирующийся стандарт","проверить значимость для клиента и вероятность закрепления",IF($F159="зона дифференциации","может использоваться как поле позиционирования","не использовать без дополнительной проверки"))))</f>
        <v/>
      </c>
      <c r="H159" s="2" t="n"/>
    </row>
    <row r="160">
      <c r="A160" s="2" t="n"/>
      <c r="B160" s="2" t="n"/>
      <c r="C160" s="2" t="n"/>
      <c r="D160" s="2" t="n"/>
      <c r="E160" s="6">
        <f>IF($D160="","",IFERROR($D160/'12_Сводка'!$B\$5,0))</f>
        <v/>
      </c>
      <c r="F160" s="5">
        <f>IF($A160="","",IF($E160&gt;=0.7,"рыночный стандарт",IF($E160&gt;=0.4,"формирующийся стандарт",IF($E160&gt;=0.2,"зона дифференциации","слабый сигнал"))))</f>
        <v/>
      </c>
      <c r="G160" s="5">
        <f>IF($A160="","",IF($F160="рыночный стандарт","необходимо включить в минимально приемлемое предложение",IF($F160="формирующийся стандарт","проверить значимость для клиента и вероятность закрепления",IF($F160="зона дифференциации","может использоваться как поле позиционирования","не использовать без дополнительной проверки"))))</f>
        <v/>
      </c>
      <c r="H160" s="2" t="n"/>
    </row>
    <row r="161">
      <c r="A161" s="2" t="n"/>
      <c r="B161" s="2" t="n"/>
      <c r="C161" s="2" t="n"/>
      <c r="D161" s="2" t="n"/>
      <c r="E161" s="6">
        <f>IF($D161="","",IFERROR($D161/'12_Сводка'!$B\$5,0))</f>
        <v/>
      </c>
      <c r="F161" s="5">
        <f>IF($A161="","",IF($E161&gt;=0.7,"рыночный стандарт",IF($E161&gt;=0.4,"формирующийся стандарт",IF($E161&gt;=0.2,"зона дифференциации","слабый сигнал"))))</f>
        <v/>
      </c>
      <c r="G161" s="5">
        <f>IF($A161="","",IF($F161="рыночный стандарт","необходимо включить в минимально приемлемое предложение",IF($F161="формирующийся стандарт","проверить значимость для клиента и вероятность закрепления",IF($F161="зона дифференциации","может использоваться как поле позиционирования","не использовать без дополнительной проверки"))))</f>
        <v/>
      </c>
      <c r="H161" s="2" t="n"/>
    </row>
    <row r="162">
      <c r="A162" s="2" t="n"/>
      <c r="B162" s="2" t="n"/>
      <c r="C162" s="2" t="n"/>
      <c r="D162" s="2" t="n"/>
      <c r="E162" s="6">
        <f>IF($D162="","",IFERROR($D162/'12_Сводка'!$B\$5,0))</f>
        <v/>
      </c>
      <c r="F162" s="5">
        <f>IF($A162="","",IF($E162&gt;=0.7,"рыночный стандарт",IF($E162&gt;=0.4,"формирующийся стандарт",IF($E162&gt;=0.2,"зона дифференциации","слабый сигнал"))))</f>
        <v/>
      </c>
      <c r="G162" s="5">
        <f>IF($A162="","",IF($F162="рыночный стандарт","необходимо включить в минимально приемлемое предложение",IF($F162="формирующийся стандарт","проверить значимость для клиента и вероятность закрепления",IF($F162="зона дифференциации","может использоваться как поле позиционирования","не использовать без дополнительной проверки"))))</f>
        <v/>
      </c>
      <c r="H162" s="2" t="n"/>
    </row>
    <row r="163">
      <c r="A163" s="2" t="n"/>
      <c r="B163" s="2" t="n"/>
      <c r="C163" s="2" t="n"/>
      <c r="D163" s="2" t="n"/>
      <c r="E163" s="6">
        <f>IF($D163="","",IFERROR($D163/'12_Сводка'!$B\$5,0))</f>
        <v/>
      </c>
      <c r="F163" s="5">
        <f>IF($A163="","",IF($E163&gt;=0.7,"рыночный стандарт",IF($E163&gt;=0.4,"формирующийся стандарт",IF($E163&gt;=0.2,"зона дифференциации","слабый сигнал"))))</f>
        <v/>
      </c>
      <c r="G163" s="5">
        <f>IF($A163="","",IF($F163="рыночный стандарт","необходимо включить в минимально приемлемое предложение",IF($F163="формирующийся стандарт","проверить значимость для клиента и вероятность закрепления",IF($F163="зона дифференциации","может использоваться как поле позиционирования","не использовать без дополнительной проверки"))))</f>
        <v/>
      </c>
      <c r="H163" s="2" t="n"/>
    </row>
    <row r="164">
      <c r="A164" s="2" t="n"/>
      <c r="B164" s="2" t="n"/>
      <c r="C164" s="2" t="n"/>
      <c r="D164" s="2" t="n"/>
      <c r="E164" s="6">
        <f>IF($D164="","",IFERROR($D164/'12_Сводка'!$B\$5,0))</f>
        <v/>
      </c>
      <c r="F164" s="5">
        <f>IF($A164="","",IF($E164&gt;=0.7,"рыночный стандарт",IF($E164&gt;=0.4,"формирующийся стандарт",IF($E164&gt;=0.2,"зона дифференциации","слабый сигнал"))))</f>
        <v/>
      </c>
      <c r="G164" s="5">
        <f>IF($A164="","",IF($F164="рыночный стандарт","необходимо включить в минимально приемлемое предложение",IF($F164="формирующийся стандарт","проверить значимость для клиента и вероятность закрепления",IF($F164="зона дифференциации","может использоваться как поле позиционирования","не использовать без дополнительной проверки"))))</f>
        <v/>
      </c>
      <c r="H164" s="2" t="n"/>
    </row>
    <row r="165">
      <c r="A165" s="2" t="n"/>
      <c r="B165" s="2" t="n"/>
      <c r="C165" s="2" t="n"/>
      <c r="D165" s="2" t="n"/>
      <c r="E165" s="6">
        <f>IF($D165="","",IFERROR($D165/'12_Сводка'!$B\$5,0))</f>
        <v/>
      </c>
      <c r="F165" s="5">
        <f>IF($A165="","",IF($E165&gt;=0.7,"рыночный стандарт",IF($E165&gt;=0.4,"формирующийся стандарт",IF($E165&gt;=0.2,"зона дифференциации","слабый сигнал"))))</f>
        <v/>
      </c>
      <c r="G165" s="5">
        <f>IF($A165="","",IF($F165="рыночный стандарт","необходимо включить в минимально приемлемое предложение",IF($F165="формирующийся стандарт","проверить значимость для клиента и вероятность закрепления",IF($F165="зона дифференциации","может использоваться как поле позиционирования","не использовать без дополнительной проверки"))))</f>
        <v/>
      </c>
      <c r="H165" s="2" t="n"/>
    </row>
    <row r="166">
      <c r="A166" s="2" t="n"/>
      <c r="B166" s="2" t="n"/>
      <c r="C166" s="2" t="n"/>
      <c r="D166" s="2" t="n"/>
      <c r="E166" s="6">
        <f>IF($D166="","",IFERROR($D166/'12_Сводка'!$B\$5,0))</f>
        <v/>
      </c>
      <c r="F166" s="5">
        <f>IF($A166="","",IF($E166&gt;=0.7,"рыночный стандарт",IF($E166&gt;=0.4,"формирующийся стандарт",IF($E166&gt;=0.2,"зона дифференциации","слабый сигнал"))))</f>
        <v/>
      </c>
      <c r="G166" s="5">
        <f>IF($A166="","",IF($F166="рыночный стандарт","необходимо включить в минимально приемлемое предложение",IF($F166="формирующийся стандарт","проверить значимость для клиента и вероятность закрепления",IF($F166="зона дифференциации","может использоваться как поле позиционирования","не использовать без дополнительной проверки"))))</f>
        <v/>
      </c>
      <c r="H166" s="2" t="n"/>
    </row>
    <row r="167">
      <c r="A167" s="2" t="n"/>
      <c r="B167" s="2" t="n"/>
      <c r="C167" s="2" t="n"/>
      <c r="D167" s="2" t="n"/>
      <c r="E167" s="6">
        <f>IF($D167="","",IFERROR($D167/'12_Сводка'!$B\$5,0))</f>
        <v/>
      </c>
      <c r="F167" s="5">
        <f>IF($A167="","",IF($E167&gt;=0.7,"рыночный стандарт",IF($E167&gt;=0.4,"формирующийся стандарт",IF($E167&gt;=0.2,"зона дифференциации","слабый сигнал"))))</f>
        <v/>
      </c>
      <c r="G167" s="5">
        <f>IF($A167="","",IF($F167="рыночный стандарт","необходимо включить в минимально приемлемое предложение",IF($F167="формирующийся стандарт","проверить значимость для клиента и вероятность закрепления",IF($F167="зона дифференциации","может использоваться как поле позиционирования","не использовать без дополнительной проверки"))))</f>
        <v/>
      </c>
      <c r="H167" s="2" t="n"/>
    </row>
    <row r="168">
      <c r="A168" s="2" t="n"/>
      <c r="B168" s="2" t="n"/>
      <c r="C168" s="2" t="n"/>
      <c r="D168" s="2" t="n"/>
      <c r="E168" s="6">
        <f>IF($D168="","",IFERROR($D168/'12_Сводка'!$B\$5,0))</f>
        <v/>
      </c>
      <c r="F168" s="5">
        <f>IF($A168="","",IF($E168&gt;=0.7,"рыночный стандарт",IF($E168&gt;=0.4,"формирующийся стандарт",IF($E168&gt;=0.2,"зона дифференциации","слабый сигнал"))))</f>
        <v/>
      </c>
      <c r="G168" s="5">
        <f>IF($A168="","",IF($F168="рыночный стандарт","необходимо включить в минимально приемлемое предложение",IF($F168="формирующийся стандарт","проверить значимость для клиента и вероятность закрепления",IF($F168="зона дифференциации","может использоваться как поле позиционирования","не использовать без дополнительной проверки"))))</f>
        <v/>
      </c>
      <c r="H168" s="2" t="n"/>
    </row>
    <row r="169">
      <c r="A169" s="2" t="n"/>
      <c r="B169" s="2" t="n"/>
      <c r="C169" s="2" t="n"/>
      <c r="D169" s="2" t="n"/>
      <c r="E169" s="6">
        <f>IF($D169="","",IFERROR($D169/'12_Сводка'!$B\$5,0))</f>
        <v/>
      </c>
      <c r="F169" s="5">
        <f>IF($A169="","",IF($E169&gt;=0.7,"рыночный стандарт",IF($E169&gt;=0.4,"формирующийся стандарт",IF($E169&gt;=0.2,"зона дифференциации","слабый сигнал"))))</f>
        <v/>
      </c>
      <c r="G169" s="5">
        <f>IF($A169="","",IF($F169="рыночный стандарт","необходимо включить в минимально приемлемое предложение",IF($F169="формирующийся стандарт","проверить значимость для клиента и вероятность закрепления",IF($F169="зона дифференциации","может использоваться как поле позиционирования","не использовать без дополнительной проверки"))))</f>
        <v/>
      </c>
      <c r="H169" s="2" t="n"/>
    </row>
    <row r="170">
      <c r="A170" s="2" t="n"/>
      <c r="B170" s="2" t="n"/>
      <c r="C170" s="2" t="n"/>
      <c r="D170" s="2" t="n"/>
      <c r="E170" s="6">
        <f>IF($D170="","",IFERROR($D170/'12_Сводка'!$B\$5,0))</f>
        <v/>
      </c>
      <c r="F170" s="5">
        <f>IF($A170="","",IF($E170&gt;=0.7,"рыночный стандарт",IF($E170&gt;=0.4,"формирующийся стандарт",IF($E170&gt;=0.2,"зона дифференциации","слабый сигнал"))))</f>
        <v/>
      </c>
      <c r="G170" s="5">
        <f>IF($A170="","",IF($F170="рыночный стандарт","необходимо включить в минимально приемлемое предложение",IF($F170="формирующийся стандарт","проверить значимость для клиента и вероятность закрепления",IF($F170="зона дифференциации","может использоваться как поле позиционирования","не использовать без дополнительной проверки"))))</f>
        <v/>
      </c>
      <c r="H170" s="2" t="n"/>
    </row>
    <row r="171">
      <c r="A171" s="2" t="n"/>
      <c r="B171" s="2" t="n"/>
      <c r="C171" s="2" t="n"/>
      <c r="D171" s="2" t="n"/>
      <c r="E171" s="6">
        <f>IF($D171="","",IFERROR($D171/'12_Сводка'!$B\$5,0))</f>
        <v/>
      </c>
      <c r="F171" s="5">
        <f>IF($A171="","",IF($E171&gt;=0.7,"рыночный стандарт",IF($E171&gt;=0.4,"формирующийся стандарт",IF($E171&gt;=0.2,"зона дифференциации","слабый сигнал"))))</f>
        <v/>
      </c>
      <c r="G171" s="5">
        <f>IF($A171="","",IF($F171="рыночный стандарт","необходимо включить в минимально приемлемое предложение",IF($F171="формирующийся стандарт","проверить значимость для клиента и вероятность закрепления",IF($F171="зона дифференциации","может использоваться как поле позиционирования","не использовать без дополнительной проверки"))))</f>
        <v/>
      </c>
      <c r="H171" s="2" t="n"/>
    </row>
    <row r="172">
      <c r="A172" s="2" t="n"/>
      <c r="B172" s="2" t="n"/>
      <c r="C172" s="2" t="n"/>
      <c r="D172" s="2" t="n"/>
      <c r="E172" s="6">
        <f>IF($D172="","",IFERROR($D172/'12_Сводка'!$B\$5,0))</f>
        <v/>
      </c>
      <c r="F172" s="5">
        <f>IF($A172="","",IF($E172&gt;=0.7,"рыночный стандарт",IF($E172&gt;=0.4,"формирующийся стандарт",IF($E172&gt;=0.2,"зона дифференциации","слабый сигнал"))))</f>
        <v/>
      </c>
      <c r="G172" s="5">
        <f>IF($A172="","",IF($F172="рыночный стандарт","необходимо включить в минимально приемлемое предложение",IF($F172="формирующийся стандарт","проверить значимость для клиента и вероятность закрепления",IF($F172="зона дифференциации","может использоваться как поле позиционирования","не использовать без дополнительной проверки"))))</f>
        <v/>
      </c>
      <c r="H172" s="2" t="n"/>
    </row>
    <row r="173">
      <c r="A173" s="2" t="n"/>
      <c r="B173" s="2" t="n"/>
      <c r="C173" s="2" t="n"/>
      <c r="D173" s="2" t="n"/>
      <c r="E173" s="6">
        <f>IF($D173="","",IFERROR($D173/'12_Сводка'!$B\$5,0))</f>
        <v/>
      </c>
      <c r="F173" s="5">
        <f>IF($A173="","",IF($E173&gt;=0.7,"рыночный стандарт",IF($E173&gt;=0.4,"формирующийся стандарт",IF($E173&gt;=0.2,"зона дифференциации","слабый сигнал"))))</f>
        <v/>
      </c>
      <c r="G173" s="5">
        <f>IF($A173="","",IF($F173="рыночный стандарт","необходимо включить в минимально приемлемое предложение",IF($F173="формирующийся стандарт","проверить значимость для клиента и вероятность закрепления",IF($F173="зона дифференциации","может использоваться как поле позиционирования","не использовать без дополнительной проверки"))))</f>
        <v/>
      </c>
      <c r="H173" s="2" t="n"/>
    </row>
    <row r="174">
      <c r="A174" s="2" t="n"/>
      <c r="B174" s="2" t="n"/>
      <c r="C174" s="2" t="n"/>
      <c r="D174" s="2" t="n"/>
      <c r="E174" s="6">
        <f>IF($D174="","",IFERROR($D174/'12_Сводка'!$B\$5,0))</f>
        <v/>
      </c>
      <c r="F174" s="5">
        <f>IF($A174="","",IF($E174&gt;=0.7,"рыночный стандарт",IF($E174&gt;=0.4,"формирующийся стандарт",IF($E174&gt;=0.2,"зона дифференциации","слабый сигнал"))))</f>
        <v/>
      </c>
      <c r="G174" s="5">
        <f>IF($A174="","",IF($F174="рыночный стандарт","необходимо включить в минимально приемлемое предложение",IF($F174="формирующийся стандарт","проверить значимость для клиента и вероятность закрепления",IF($F174="зона дифференциации","может использоваться как поле позиционирования","не использовать без дополнительной проверки"))))</f>
        <v/>
      </c>
      <c r="H174" s="2" t="n"/>
    </row>
    <row r="175">
      <c r="A175" s="2" t="n"/>
      <c r="B175" s="2" t="n"/>
      <c r="C175" s="2" t="n"/>
      <c r="D175" s="2" t="n"/>
      <c r="E175" s="6">
        <f>IF($D175="","",IFERROR($D175/'12_Сводка'!$B\$5,0))</f>
        <v/>
      </c>
      <c r="F175" s="5">
        <f>IF($A175="","",IF($E175&gt;=0.7,"рыночный стандарт",IF($E175&gt;=0.4,"формирующийся стандарт",IF($E175&gt;=0.2,"зона дифференциации","слабый сигнал"))))</f>
        <v/>
      </c>
      <c r="G175" s="5">
        <f>IF($A175="","",IF($F175="рыночный стандарт","необходимо включить в минимально приемлемое предложение",IF($F175="формирующийся стандарт","проверить значимость для клиента и вероятность закрепления",IF($F175="зона дифференциации","может использоваться как поле позиционирования","не использовать без дополнительной проверки"))))</f>
        <v/>
      </c>
      <c r="H175" s="2" t="n"/>
    </row>
    <row r="176">
      <c r="A176" s="2" t="n"/>
      <c r="B176" s="2" t="n"/>
      <c r="C176" s="2" t="n"/>
      <c r="D176" s="2" t="n"/>
      <c r="E176" s="6">
        <f>IF($D176="","",IFERROR($D176/'12_Сводка'!$B\$5,0))</f>
        <v/>
      </c>
      <c r="F176" s="5">
        <f>IF($A176="","",IF($E176&gt;=0.7,"рыночный стандарт",IF($E176&gt;=0.4,"формирующийся стандарт",IF($E176&gt;=0.2,"зона дифференциации","слабый сигнал"))))</f>
        <v/>
      </c>
      <c r="G176" s="5">
        <f>IF($A176="","",IF($F176="рыночный стандарт","необходимо включить в минимально приемлемое предложение",IF($F176="формирующийся стандарт","проверить значимость для клиента и вероятность закрепления",IF($F176="зона дифференциации","может использоваться как поле позиционирования","не использовать без дополнительной проверки"))))</f>
        <v/>
      </c>
      <c r="H176" s="2" t="n"/>
    </row>
    <row r="177">
      <c r="A177" s="2" t="n"/>
      <c r="B177" s="2" t="n"/>
      <c r="C177" s="2" t="n"/>
      <c r="D177" s="2" t="n"/>
      <c r="E177" s="6">
        <f>IF($D177="","",IFERROR($D177/'12_Сводка'!$B\$5,0))</f>
        <v/>
      </c>
      <c r="F177" s="5">
        <f>IF($A177="","",IF($E177&gt;=0.7,"рыночный стандарт",IF($E177&gt;=0.4,"формирующийся стандарт",IF($E177&gt;=0.2,"зона дифференциации","слабый сигнал"))))</f>
        <v/>
      </c>
      <c r="G177" s="5">
        <f>IF($A177="","",IF($F177="рыночный стандарт","необходимо включить в минимально приемлемое предложение",IF($F177="формирующийся стандарт","проверить значимость для клиента и вероятность закрепления",IF($F177="зона дифференциации","может использоваться как поле позиционирования","не использовать без дополнительной проверки"))))</f>
        <v/>
      </c>
      <c r="H177" s="2" t="n"/>
    </row>
    <row r="178">
      <c r="A178" s="2" t="n"/>
      <c r="B178" s="2" t="n"/>
      <c r="C178" s="2" t="n"/>
      <c r="D178" s="2" t="n"/>
      <c r="E178" s="6">
        <f>IF($D178="","",IFERROR($D178/'12_Сводка'!$B\$5,0))</f>
        <v/>
      </c>
      <c r="F178" s="5">
        <f>IF($A178="","",IF($E178&gt;=0.7,"рыночный стандарт",IF($E178&gt;=0.4,"формирующийся стандарт",IF($E178&gt;=0.2,"зона дифференциации","слабый сигнал"))))</f>
        <v/>
      </c>
      <c r="G178" s="5">
        <f>IF($A178="","",IF($F178="рыночный стандарт","необходимо включить в минимально приемлемое предложение",IF($F178="формирующийся стандарт","проверить значимость для клиента и вероятность закрепления",IF($F178="зона дифференциации","может использоваться как поле позиционирования","не использовать без дополнительной проверки"))))</f>
        <v/>
      </c>
      <c r="H178" s="2" t="n"/>
    </row>
    <row r="179">
      <c r="A179" s="2" t="n"/>
      <c r="B179" s="2" t="n"/>
      <c r="C179" s="2" t="n"/>
      <c r="D179" s="2" t="n"/>
      <c r="E179" s="6">
        <f>IF($D179="","",IFERROR($D179/'12_Сводка'!$B\$5,0))</f>
        <v/>
      </c>
      <c r="F179" s="5">
        <f>IF($A179="","",IF($E179&gt;=0.7,"рыночный стандарт",IF($E179&gt;=0.4,"формирующийся стандарт",IF($E179&gt;=0.2,"зона дифференциации","слабый сигнал"))))</f>
        <v/>
      </c>
      <c r="G179" s="5">
        <f>IF($A179="","",IF($F179="рыночный стандарт","необходимо включить в минимально приемлемое предложение",IF($F179="формирующийся стандарт","проверить значимость для клиента и вероятность закрепления",IF($F179="зона дифференциации","может использоваться как поле позиционирования","не использовать без дополнительной проверки"))))</f>
        <v/>
      </c>
      <c r="H179" s="2" t="n"/>
    </row>
    <row r="180">
      <c r="A180" s="2" t="n"/>
      <c r="B180" s="2" t="n"/>
      <c r="C180" s="2" t="n"/>
      <c r="D180" s="2" t="n"/>
      <c r="E180" s="6">
        <f>IF($D180="","",IFERROR($D180/'12_Сводка'!$B\$5,0))</f>
        <v/>
      </c>
      <c r="F180" s="5">
        <f>IF($A180="","",IF($E180&gt;=0.7,"рыночный стандарт",IF($E180&gt;=0.4,"формирующийся стандарт",IF($E180&gt;=0.2,"зона дифференциации","слабый сигнал"))))</f>
        <v/>
      </c>
      <c r="G180" s="5">
        <f>IF($A180="","",IF($F180="рыночный стандарт","необходимо включить в минимально приемлемое предложение",IF($F180="формирующийся стандарт","проверить значимость для клиента и вероятность закрепления",IF($F180="зона дифференциации","может использоваться как поле позиционирования","не использовать без дополнительной проверки"))))</f>
        <v/>
      </c>
      <c r="H180" s="2" t="n"/>
    </row>
    <row r="181">
      <c r="A181" s="2" t="n"/>
      <c r="B181" s="2" t="n"/>
      <c r="C181" s="2" t="n"/>
      <c r="D181" s="2" t="n"/>
      <c r="E181" s="6">
        <f>IF($D181="","",IFERROR($D181/'12_Сводка'!$B\$5,0))</f>
        <v/>
      </c>
      <c r="F181" s="5">
        <f>IF($A181="","",IF($E181&gt;=0.7,"рыночный стандарт",IF($E181&gt;=0.4,"формирующийся стандарт",IF($E181&gt;=0.2,"зона дифференциации","слабый сигнал"))))</f>
        <v/>
      </c>
      <c r="G181" s="5">
        <f>IF($A181="","",IF($F181="рыночный стандарт","необходимо включить в минимально приемлемое предложение",IF($F181="формирующийся стандарт","проверить значимость для клиента и вероятность закрепления",IF($F181="зона дифференциации","может использоваться как поле позиционирования","не использовать без дополнительной проверки"))))</f>
        <v/>
      </c>
      <c r="H181" s="2" t="n"/>
    </row>
    <row r="182">
      <c r="A182" s="2" t="n"/>
      <c r="B182" s="2" t="n"/>
      <c r="C182" s="2" t="n"/>
      <c r="D182" s="2" t="n"/>
      <c r="E182" s="6">
        <f>IF($D182="","",IFERROR($D182/'12_Сводка'!$B\$5,0))</f>
        <v/>
      </c>
      <c r="F182" s="5">
        <f>IF($A182="","",IF($E182&gt;=0.7,"рыночный стандарт",IF($E182&gt;=0.4,"формирующийся стандарт",IF($E182&gt;=0.2,"зона дифференциации","слабый сигнал"))))</f>
        <v/>
      </c>
      <c r="G182" s="5">
        <f>IF($A182="","",IF($F182="рыночный стандарт","необходимо включить в минимально приемлемое предложение",IF($F182="формирующийся стандарт","проверить значимость для клиента и вероятность закрепления",IF($F182="зона дифференциации","может использоваться как поле позиционирования","не использовать без дополнительной проверки"))))</f>
        <v/>
      </c>
      <c r="H182" s="2" t="n"/>
    </row>
    <row r="183">
      <c r="A183" s="2" t="n"/>
      <c r="B183" s="2" t="n"/>
      <c r="C183" s="2" t="n"/>
      <c r="D183" s="2" t="n"/>
      <c r="E183" s="6">
        <f>IF($D183="","",IFERROR($D183/'12_Сводка'!$B\$5,0))</f>
        <v/>
      </c>
      <c r="F183" s="5">
        <f>IF($A183="","",IF($E183&gt;=0.7,"рыночный стандарт",IF($E183&gt;=0.4,"формирующийся стандарт",IF($E183&gt;=0.2,"зона дифференциации","слабый сигнал"))))</f>
        <v/>
      </c>
      <c r="G183" s="5">
        <f>IF($A183="","",IF($F183="рыночный стандарт","необходимо включить в минимально приемлемое предложение",IF($F183="формирующийся стандарт","проверить значимость для клиента и вероятность закрепления",IF($F183="зона дифференциации","может использоваться как поле позиционирования","не использовать без дополнительной проверки"))))</f>
        <v/>
      </c>
      <c r="H183" s="2" t="n"/>
    </row>
    <row r="184">
      <c r="A184" s="2" t="n"/>
      <c r="B184" s="2" t="n"/>
      <c r="C184" s="2" t="n"/>
      <c r="D184" s="2" t="n"/>
      <c r="E184" s="6">
        <f>IF($D184="","",IFERROR($D184/'12_Сводка'!$B\$5,0))</f>
        <v/>
      </c>
      <c r="F184" s="5">
        <f>IF($A184="","",IF($E184&gt;=0.7,"рыночный стандарт",IF($E184&gt;=0.4,"формирующийся стандарт",IF($E184&gt;=0.2,"зона дифференциации","слабый сигнал"))))</f>
        <v/>
      </c>
      <c r="G184" s="5">
        <f>IF($A184="","",IF($F184="рыночный стандарт","необходимо включить в минимально приемлемое предложение",IF($F184="формирующийся стандарт","проверить значимость для клиента и вероятность закрепления",IF($F184="зона дифференциации","может использоваться как поле позиционирования","не использовать без дополнительной проверки"))))</f>
        <v/>
      </c>
      <c r="H184" s="2" t="n"/>
    </row>
    <row r="185">
      <c r="A185" s="2" t="n"/>
      <c r="B185" s="2" t="n"/>
      <c r="C185" s="2" t="n"/>
      <c r="D185" s="2" t="n"/>
      <c r="E185" s="6">
        <f>IF($D185="","",IFERROR($D185/'12_Сводка'!$B\$5,0))</f>
        <v/>
      </c>
      <c r="F185" s="5">
        <f>IF($A185="","",IF($E185&gt;=0.7,"рыночный стандарт",IF($E185&gt;=0.4,"формирующийся стандарт",IF($E185&gt;=0.2,"зона дифференциации","слабый сигнал"))))</f>
        <v/>
      </c>
      <c r="G185" s="5">
        <f>IF($A185="","",IF($F185="рыночный стандарт","необходимо включить в минимально приемлемое предложение",IF($F185="формирующийся стандарт","проверить значимость для клиента и вероятность закрепления",IF($F185="зона дифференциации","может использоваться как поле позиционирования","не использовать без дополнительной проверки"))))</f>
        <v/>
      </c>
      <c r="H185" s="2" t="n"/>
    </row>
    <row r="186">
      <c r="A186" s="2" t="n"/>
      <c r="B186" s="2" t="n"/>
      <c r="C186" s="2" t="n"/>
      <c r="D186" s="2" t="n"/>
      <c r="E186" s="6">
        <f>IF($D186="","",IFERROR($D186/'12_Сводка'!$B\$5,0))</f>
        <v/>
      </c>
      <c r="F186" s="5">
        <f>IF($A186="","",IF($E186&gt;=0.7,"рыночный стандарт",IF($E186&gt;=0.4,"формирующийся стандарт",IF($E186&gt;=0.2,"зона дифференциации","слабый сигнал"))))</f>
        <v/>
      </c>
      <c r="G186" s="5">
        <f>IF($A186="","",IF($F186="рыночный стандарт","необходимо включить в минимально приемлемое предложение",IF($F186="формирующийся стандарт","проверить значимость для клиента и вероятность закрепления",IF($F186="зона дифференциации","может использоваться как поле позиционирования","не использовать без дополнительной проверки"))))</f>
        <v/>
      </c>
      <c r="H186" s="2" t="n"/>
    </row>
    <row r="187">
      <c r="A187" s="2" t="n"/>
      <c r="B187" s="2" t="n"/>
      <c r="C187" s="2" t="n"/>
      <c r="D187" s="2" t="n"/>
      <c r="E187" s="6">
        <f>IF($D187="","",IFERROR($D187/'12_Сводка'!$B\$5,0))</f>
        <v/>
      </c>
      <c r="F187" s="5">
        <f>IF($A187="","",IF($E187&gt;=0.7,"рыночный стандарт",IF($E187&gt;=0.4,"формирующийся стандарт",IF($E187&gt;=0.2,"зона дифференциации","слабый сигнал"))))</f>
        <v/>
      </c>
      <c r="G187" s="5">
        <f>IF($A187="","",IF($F187="рыночный стандарт","необходимо включить в минимально приемлемое предложение",IF($F187="формирующийся стандарт","проверить значимость для клиента и вероятность закрепления",IF($F187="зона дифференциации","может использоваться как поле позиционирования","не использовать без дополнительной проверки"))))</f>
        <v/>
      </c>
      <c r="H187" s="2" t="n"/>
    </row>
    <row r="188">
      <c r="A188" s="2" t="n"/>
      <c r="B188" s="2" t="n"/>
      <c r="C188" s="2" t="n"/>
      <c r="D188" s="2" t="n"/>
      <c r="E188" s="6">
        <f>IF($D188="","",IFERROR($D188/'12_Сводка'!$B\$5,0))</f>
        <v/>
      </c>
      <c r="F188" s="5">
        <f>IF($A188="","",IF($E188&gt;=0.7,"рыночный стандарт",IF($E188&gt;=0.4,"формирующийся стандарт",IF($E188&gt;=0.2,"зона дифференциации","слабый сигнал"))))</f>
        <v/>
      </c>
      <c r="G188" s="5">
        <f>IF($A188="","",IF($F188="рыночный стандарт","необходимо включить в минимально приемлемое предложение",IF($F188="формирующийся стандарт","проверить значимость для клиента и вероятность закрепления",IF($F188="зона дифференциации","может использоваться как поле позиционирования","не использовать без дополнительной проверки"))))</f>
        <v/>
      </c>
      <c r="H188" s="2" t="n"/>
    </row>
    <row r="189">
      <c r="A189" s="2" t="n"/>
      <c r="B189" s="2" t="n"/>
      <c r="C189" s="2" t="n"/>
      <c r="D189" s="2" t="n"/>
      <c r="E189" s="6">
        <f>IF($D189="","",IFERROR($D189/'12_Сводка'!$B\$5,0))</f>
        <v/>
      </c>
      <c r="F189" s="5">
        <f>IF($A189="","",IF($E189&gt;=0.7,"рыночный стандарт",IF($E189&gt;=0.4,"формирующийся стандарт",IF($E189&gt;=0.2,"зона дифференциации","слабый сигнал"))))</f>
        <v/>
      </c>
      <c r="G189" s="5">
        <f>IF($A189="","",IF($F189="рыночный стандарт","необходимо включить в минимально приемлемое предложение",IF($F189="формирующийся стандарт","проверить значимость для клиента и вероятность закрепления",IF($F189="зона дифференциации","может использоваться как поле позиционирования","не использовать без дополнительной проверки"))))</f>
        <v/>
      </c>
      <c r="H189" s="2" t="n"/>
    </row>
    <row r="190">
      <c r="A190" s="2" t="n"/>
      <c r="B190" s="2" t="n"/>
      <c r="C190" s="2" t="n"/>
      <c r="D190" s="2" t="n"/>
      <c r="E190" s="6">
        <f>IF($D190="","",IFERROR($D190/'12_Сводка'!$B\$5,0))</f>
        <v/>
      </c>
      <c r="F190" s="5">
        <f>IF($A190="","",IF($E190&gt;=0.7,"рыночный стандарт",IF($E190&gt;=0.4,"формирующийся стандарт",IF($E190&gt;=0.2,"зона дифференциации","слабый сигнал"))))</f>
        <v/>
      </c>
      <c r="G190" s="5">
        <f>IF($A190="","",IF($F190="рыночный стандарт","необходимо включить в минимально приемлемое предложение",IF($F190="формирующийся стандарт","проверить значимость для клиента и вероятность закрепления",IF($F190="зона дифференциации","может использоваться как поле позиционирования","не использовать без дополнительной проверки"))))</f>
        <v/>
      </c>
      <c r="H190" s="2" t="n"/>
    </row>
    <row r="191">
      <c r="A191" s="2" t="n"/>
      <c r="B191" s="2" t="n"/>
      <c r="C191" s="2" t="n"/>
      <c r="D191" s="2" t="n"/>
      <c r="E191" s="6">
        <f>IF($D191="","",IFERROR($D191/'12_Сводка'!$B\$5,0))</f>
        <v/>
      </c>
      <c r="F191" s="5">
        <f>IF($A191="","",IF($E191&gt;=0.7,"рыночный стандарт",IF($E191&gt;=0.4,"формирующийся стандарт",IF($E191&gt;=0.2,"зона дифференциации","слабый сигнал"))))</f>
        <v/>
      </c>
      <c r="G191" s="5">
        <f>IF($A191="","",IF($F191="рыночный стандарт","необходимо включить в минимально приемлемое предложение",IF($F191="формирующийся стандарт","проверить значимость для клиента и вероятность закрепления",IF($F191="зона дифференциации","может использоваться как поле позиционирования","не использовать без дополнительной проверки"))))</f>
        <v/>
      </c>
      <c r="H191" s="2" t="n"/>
    </row>
    <row r="192">
      <c r="A192" s="2" t="n"/>
      <c r="B192" s="2" t="n"/>
      <c r="C192" s="2" t="n"/>
      <c r="D192" s="2" t="n"/>
      <c r="E192" s="6">
        <f>IF($D192="","",IFERROR($D192/'12_Сводка'!$B\$5,0))</f>
        <v/>
      </c>
      <c r="F192" s="5">
        <f>IF($A192="","",IF($E192&gt;=0.7,"рыночный стандарт",IF($E192&gt;=0.4,"формирующийся стандарт",IF($E192&gt;=0.2,"зона дифференциации","слабый сигнал"))))</f>
        <v/>
      </c>
      <c r="G192" s="5">
        <f>IF($A192="","",IF($F192="рыночный стандарт","необходимо включить в минимально приемлемое предложение",IF($F192="формирующийся стандарт","проверить значимость для клиента и вероятность закрепления",IF($F192="зона дифференциации","может использоваться как поле позиционирования","не использовать без дополнительной проверки"))))</f>
        <v/>
      </c>
      <c r="H192" s="2" t="n"/>
    </row>
    <row r="193">
      <c r="A193" s="2" t="n"/>
      <c r="B193" s="2" t="n"/>
      <c r="C193" s="2" t="n"/>
      <c r="D193" s="2" t="n"/>
      <c r="E193" s="6">
        <f>IF($D193="","",IFERROR($D193/'12_Сводка'!$B\$5,0))</f>
        <v/>
      </c>
      <c r="F193" s="5">
        <f>IF($A193="","",IF($E193&gt;=0.7,"рыночный стандарт",IF($E193&gt;=0.4,"формирующийся стандарт",IF($E193&gt;=0.2,"зона дифференциации","слабый сигнал"))))</f>
        <v/>
      </c>
      <c r="G193" s="5">
        <f>IF($A193="","",IF($F193="рыночный стандарт","необходимо включить в минимально приемлемое предложение",IF($F193="формирующийся стандарт","проверить значимость для клиента и вероятность закрепления",IF($F193="зона дифференциации","может использоваться как поле позиционирования","не использовать без дополнительной проверки"))))</f>
        <v/>
      </c>
      <c r="H193" s="2" t="n"/>
    </row>
    <row r="194">
      <c r="A194" s="2" t="n"/>
      <c r="B194" s="2" t="n"/>
      <c r="C194" s="2" t="n"/>
      <c r="D194" s="2" t="n"/>
      <c r="E194" s="6">
        <f>IF($D194="","",IFERROR($D194/'12_Сводка'!$B\$5,0))</f>
        <v/>
      </c>
      <c r="F194" s="5">
        <f>IF($A194="","",IF($E194&gt;=0.7,"рыночный стандарт",IF($E194&gt;=0.4,"формирующийся стандарт",IF($E194&gt;=0.2,"зона дифференциации","слабый сигнал"))))</f>
        <v/>
      </c>
      <c r="G194" s="5">
        <f>IF($A194="","",IF($F194="рыночный стандарт","необходимо включить в минимально приемлемое предложение",IF($F194="формирующийся стандарт","проверить значимость для клиента и вероятность закрепления",IF($F194="зона дифференциации","может использоваться как поле позиционирования","не использовать без дополнительной проверки"))))</f>
        <v/>
      </c>
      <c r="H194" s="2" t="n"/>
    </row>
    <row r="195">
      <c r="A195" s="2" t="n"/>
      <c r="B195" s="2" t="n"/>
      <c r="C195" s="2" t="n"/>
      <c r="D195" s="2" t="n"/>
      <c r="E195" s="6">
        <f>IF($D195="","",IFERROR($D195/'12_Сводка'!$B\$5,0))</f>
        <v/>
      </c>
      <c r="F195" s="5">
        <f>IF($A195="","",IF($E195&gt;=0.7,"рыночный стандарт",IF($E195&gt;=0.4,"формирующийся стандарт",IF($E195&gt;=0.2,"зона дифференциации","слабый сигнал"))))</f>
        <v/>
      </c>
      <c r="G195" s="5">
        <f>IF($A195="","",IF($F195="рыночный стандарт","необходимо включить в минимально приемлемое предложение",IF($F195="формирующийся стандарт","проверить значимость для клиента и вероятность закрепления",IF($F195="зона дифференциации","может использоваться как поле позиционирования","не использовать без дополнительной проверки"))))</f>
        <v/>
      </c>
      <c r="H195" s="2" t="n"/>
    </row>
    <row r="196">
      <c r="A196" s="2" t="n"/>
      <c r="B196" s="2" t="n"/>
      <c r="C196" s="2" t="n"/>
      <c r="D196" s="2" t="n"/>
      <c r="E196" s="6">
        <f>IF($D196="","",IFERROR($D196/'12_Сводка'!$B\$5,0))</f>
        <v/>
      </c>
      <c r="F196" s="5">
        <f>IF($A196="","",IF($E196&gt;=0.7,"рыночный стандарт",IF($E196&gt;=0.4,"формирующийся стандарт",IF($E196&gt;=0.2,"зона дифференциации","слабый сигнал"))))</f>
        <v/>
      </c>
      <c r="G196" s="5">
        <f>IF($A196="","",IF($F196="рыночный стандарт","необходимо включить в минимально приемлемое предложение",IF($F196="формирующийся стандарт","проверить значимость для клиента и вероятность закрепления",IF($F196="зона дифференциации","может использоваться как поле позиционирования","не использовать без дополнительной проверки"))))</f>
        <v/>
      </c>
      <c r="H196" s="2" t="n"/>
    </row>
    <row r="197">
      <c r="A197" s="2" t="n"/>
      <c r="B197" s="2" t="n"/>
      <c r="C197" s="2" t="n"/>
      <c r="D197" s="2" t="n"/>
      <c r="E197" s="6">
        <f>IF($D197="","",IFERROR($D197/'12_Сводка'!$B\$5,0))</f>
        <v/>
      </c>
      <c r="F197" s="5">
        <f>IF($A197="","",IF($E197&gt;=0.7,"рыночный стандарт",IF($E197&gt;=0.4,"формирующийся стандарт",IF($E197&gt;=0.2,"зона дифференциации","слабый сигнал"))))</f>
        <v/>
      </c>
      <c r="G197" s="5">
        <f>IF($A197="","",IF($F197="рыночный стандарт","необходимо включить в минимально приемлемое предложение",IF($F197="формирующийся стандарт","проверить значимость для клиента и вероятность закрепления",IF($F197="зона дифференциации","может использоваться как поле позиционирования","не использовать без дополнительной проверки"))))</f>
        <v/>
      </c>
      <c r="H197" s="2" t="n"/>
    </row>
    <row r="198">
      <c r="A198" s="2" t="n"/>
      <c r="B198" s="2" t="n"/>
      <c r="C198" s="2" t="n"/>
      <c r="D198" s="2" t="n"/>
      <c r="E198" s="6">
        <f>IF($D198="","",IFERROR($D198/'12_Сводка'!$B\$5,0))</f>
        <v/>
      </c>
      <c r="F198" s="5">
        <f>IF($A198="","",IF($E198&gt;=0.7,"рыночный стандарт",IF($E198&gt;=0.4,"формирующийся стандарт",IF($E198&gt;=0.2,"зона дифференциации","слабый сигнал"))))</f>
        <v/>
      </c>
      <c r="G198" s="5">
        <f>IF($A198="","",IF($F198="рыночный стандарт","необходимо включить в минимально приемлемое предложение",IF($F198="формирующийся стандарт","проверить значимость для клиента и вероятность закрепления",IF($F198="зона дифференциации","может использоваться как поле позиционирования","не использовать без дополнительной проверки"))))</f>
        <v/>
      </c>
      <c r="H198" s="2" t="n"/>
    </row>
    <row r="199">
      <c r="A199" s="2" t="n"/>
      <c r="B199" s="2" t="n"/>
      <c r="C199" s="2" t="n"/>
      <c r="D199" s="2" t="n"/>
      <c r="E199" s="6">
        <f>IF($D199="","",IFERROR($D199/'12_Сводка'!$B\$5,0))</f>
        <v/>
      </c>
      <c r="F199" s="5">
        <f>IF($A199="","",IF($E199&gt;=0.7,"рыночный стандарт",IF($E199&gt;=0.4,"формирующийся стандарт",IF($E199&gt;=0.2,"зона дифференциации","слабый сигнал"))))</f>
        <v/>
      </c>
      <c r="G199" s="5">
        <f>IF($A199="","",IF($F199="рыночный стандарт","необходимо включить в минимально приемлемое предложение",IF($F199="формирующийся стандарт","проверить значимость для клиента и вероятность закрепления",IF($F199="зона дифференциации","может использоваться как поле позиционирования","не использовать без дополнительной проверки"))))</f>
        <v/>
      </c>
      <c r="H199" s="2" t="n"/>
    </row>
    <row r="200">
      <c r="A200" s="2" t="n"/>
      <c r="B200" s="2" t="n"/>
      <c r="C200" s="2" t="n"/>
      <c r="D200" s="2" t="n"/>
      <c r="E200" s="6">
        <f>IF($D200="","",IFERROR($D200/'12_Сводка'!$B\$5,0))</f>
        <v/>
      </c>
      <c r="F200" s="5">
        <f>IF($A200="","",IF($E200&gt;=0.7,"рыночный стандарт",IF($E200&gt;=0.4,"формирующийся стандарт",IF($E200&gt;=0.2,"зона дифференциации","слабый сигнал"))))</f>
        <v/>
      </c>
      <c r="G200" s="5">
        <f>IF($A200="","",IF($F200="рыночный стандарт","необходимо включить в минимально приемлемое предложение",IF($F200="формирующийся стандарт","проверить значимость для клиента и вероятность закрепления",IF($F200="зона дифференциации","может использоваться как поле позиционирования","не использовать без дополнительной проверки"))))</f>
        <v/>
      </c>
      <c r="H200" s="2" t="n"/>
    </row>
    <row r="201">
      <c r="A201" s="2" t="n"/>
      <c r="B201" s="2" t="n"/>
      <c r="C201" s="2" t="n"/>
      <c r="D201" s="2" t="n"/>
      <c r="E201" s="6">
        <f>IF($D201="","",IFERROR($D201/'12_Сводка'!$B\$5,0))</f>
        <v/>
      </c>
      <c r="F201" s="5">
        <f>IF($A201="","",IF($E201&gt;=0.7,"рыночный стандарт",IF($E201&gt;=0.4,"формирующийся стандарт",IF($E201&gt;=0.2,"зона дифференциации","слабый сигнал"))))</f>
        <v/>
      </c>
      <c r="G201" s="5">
        <f>IF($A201="","",IF($F201="рыночный стандарт","необходимо включить в минимально приемлемое предложение",IF($F201="формирующийся стандарт","проверить значимость для клиента и вероятность закрепления",IF($F201="зона дифференциации","может использоваться как поле позиционирования","не использовать без дополнительной проверки"))))</f>
        <v/>
      </c>
      <c r="H201" s="2" t="n"/>
    </row>
    <row r="202">
      <c r="A202" s="2" t="n"/>
      <c r="B202" s="2" t="n"/>
      <c r="C202" s="2" t="n"/>
      <c r="D202" s="2" t="n"/>
      <c r="E202" s="6">
        <f>IF($D202="","",IFERROR($D202/'12_Сводка'!$B\$5,0))</f>
        <v/>
      </c>
      <c r="F202" s="5">
        <f>IF($A202="","",IF($E202&gt;=0.7,"рыночный стандарт",IF($E202&gt;=0.4,"формирующийся стандарт",IF($E202&gt;=0.2,"зона дифференциации","слабый сигнал"))))</f>
        <v/>
      </c>
      <c r="G202" s="5">
        <f>IF($A202="","",IF($F202="рыночный стандарт","необходимо включить в минимально приемлемое предложение",IF($F202="формирующийся стандарт","проверить значимость для клиента и вероятность закрепления",IF($F202="зона дифференциации","может использоваться как поле позиционирования","не использовать без дополнительной проверки"))))</f>
        <v/>
      </c>
      <c r="H202" s="2" t="n"/>
    </row>
    <row r="203">
      <c r="A203" s="2" t="n"/>
      <c r="B203" s="2" t="n"/>
      <c r="C203" s="2" t="n"/>
      <c r="D203" s="2" t="n"/>
      <c r="E203" s="6">
        <f>IF($D203="","",IFERROR($D203/'12_Сводка'!$B\$5,0))</f>
        <v/>
      </c>
      <c r="F203" s="5">
        <f>IF($A203="","",IF($E203&gt;=0.7,"рыночный стандарт",IF($E203&gt;=0.4,"формирующийся стандарт",IF($E203&gt;=0.2,"зона дифференциации","слабый сигнал"))))</f>
        <v/>
      </c>
      <c r="G203" s="5">
        <f>IF($A203="","",IF($F203="рыночный стандарт","необходимо включить в минимально приемлемое предложение",IF($F203="формирующийся стандарт","проверить значимость для клиента и вероятность закрепления",IF($F203="зона дифференциации","может использоваться как поле позиционирования","не использовать без дополнительной проверки"))))</f>
        <v/>
      </c>
      <c r="H203" s="2" t="n"/>
    </row>
  </sheetData>
  <mergeCells count="2">
    <mergeCell ref="A2:H2"/>
    <mergeCell ref="A1:H1"/>
  </mergeCells>
  <conditionalFormatting sqref="E4:E203">
    <cfRule type="colorScale" priority="1">
      <colorScale>
        <cfvo type="min"/>
        <cfvo type="percentile" val="50"/>
        <cfvo type="max"/>
        <color rgb="FFFEE2E2"/>
        <color rgb="FFFEF3C7"/>
        <color rgb="FFDCFCE7"/>
      </colorScale>
    </cfRule>
  </conditionalFormatting>
  <dataValidations count="1">
    <dataValidation sqref="B4:B203" showDropDown="0" showInputMessage="0" showErrorMessage="0" allowBlank="0" type="list">
      <formula1>"целевые сегменты,ценностное предложение,цифровой товар,каналы,отношения с клиентами,потоки доходов,ключевые ресурсы,ключевые виды деятельности,ключевые партнеры,структура затрат,данные и сетевые эффекты,масштабирование"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Z203"/>
  <sheetViews>
    <sheetView topLeftCell="C1" workbookViewId="0">
      <selection activeCell="G22" sqref="G22"/>
    </sheetView>
  </sheetViews>
  <sheetFormatPr baseColWidth="8" defaultRowHeight="14.25"/>
  <cols>
    <col width="14" customWidth="1" min="1" max="1"/>
    <col width="24" customWidth="1" min="2" max="2"/>
    <col width="42" customWidth="1" min="3" max="3"/>
    <col width="24" customWidth="1" min="4" max="4"/>
    <col width="28" customWidth="1" min="5" max="5"/>
    <col width="36" customWidth="1" min="6" max="6"/>
    <col width="14" customWidth="1" min="7" max="7"/>
    <col width="22" customWidth="1" min="8" max="9"/>
    <col width="18" customWidth="1" min="10" max="10"/>
    <col width="16" customWidth="1" min="11" max="11"/>
    <col width="32" customWidth="1" min="12" max="12"/>
    <col width="42" customWidth="1" min="13" max="13"/>
  </cols>
  <sheetData>
    <row r="1" ht="15" customHeight="1">
      <c r="A1" s="19" t="inlineStr">
        <is>
          <t>Конкурентные преимущества по бизнес-модели</t>
        </is>
      </c>
      <c r="N1" s="14" t="n"/>
      <c r="O1" s="14" t="n"/>
      <c r="P1" s="14" t="n"/>
      <c r="Q1" s="14" t="n"/>
      <c r="R1" s="14" t="n"/>
      <c r="S1" s="14" t="n"/>
      <c r="T1" s="14" t="n"/>
      <c r="U1" s="14" t="n"/>
      <c r="V1" s="14" t="n"/>
      <c r="W1" s="14" t="n"/>
      <c r="X1" s="14" t="n"/>
      <c r="Y1" s="14" t="n"/>
      <c r="Z1" s="14" t="n"/>
    </row>
    <row r="2" ht="19.15" customHeight="1">
      <c r="A2" s="21" t="inlineStr">
        <is>
          <t>Оцениваются только преимущества, которые подтверждаются публичными фактами сайта или устойчивой совокупностью признаков</t>
        </is>
      </c>
    </row>
    <row r="3" ht="40.5" customHeight="1">
      <c r="A3" s="25" t="inlineStr">
        <is>
          <t>ID конкурента</t>
        </is>
      </c>
      <c r="B3" s="25" t="inlineStr">
        <is>
          <t>Название</t>
        </is>
      </c>
      <c r="C3" s="25" t="inlineStr">
        <is>
          <t>Гипотеза преимущества</t>
        </is>
      </c>
      <c r="D3" s="25" t="inlineStr">
        <is>
          <t>Тип преимущества</t>
        </is>
      </c>
      <c r="E3" s="25" t="inlineStr">
        <is>
          <t>Связанный блок бизнес-модели</t>
        </is>
      </c>
      <c r="F3" s="25" t="inlineStr">
        <is>
          <t>Подтверждающие страницы</t>
        </is>
      </c>
      <c r="G3" s="25" t="inlineStr">
        <is>
          <t>Сила 1-5</t>
        </is>
      </c>
      <c r="H3" s="25" t="inlineStr">
        <is>
          <t>Трудность копирования 1-5</t>
        </is>
      </c>
      <c r="I3" s="25" t="inlineStr">
        <is>
          <t>Коммерческая значимость 1-5</t>
        </is>
      </c>
      <c r="J3" s="25" t="inlineStr">
        <is>
          <t>Доказательность 1-5</t>
        </is>
      </c>
      <c r="K3" s="25" t="inlineStr">
        <is>
          <t>Итоговый балл</t>
        </is>
      </c>
      <c r="L3" s="25" t="inlineStr">
        <is>
          <t>Интерпретация</t>
        </is>
      </c>
      <c r="M3" s="25" t="inlineStr">
        <is>
          <t>Риск для нашей модели</t>
        </is>
      </c>
    </row>
    <row r="4" ht="28.5" customHeight="1">
      <c r="A4" s="2" t="inlineStr">
        <is>
          <t>C07</t>
        </is>
      </c>
      <c r="B4" s="5">
        <f>IF($A4="","",IFERROR(VLOOKUP($A4,'02_Конкуренты'!$A\$4:$B\$203,2,FALSE),"не найдено"))</f>
        <v/>
      </c>
      <c r="C4" s="2" t="inlineStr">
        <is>
          <t>Тарифы с лимитами ИИ-диаграмм и diagram-as-code в бесплатном тарифе</t>
        </is>
      </c>
      <c r="D4" s="2" t="inlineStr">
        <is>
          <t>товарное</t>
        </is>
      </c>
      <c r="E4" s="2" t="inlineStr">
        <is>
          <t>цифровой товар</t>
        </is>
      </c>
      <c r="F4" s="2" t="inlineStr">
        <is>
          <t>eraser.io/pricing</t>
        </is>
      </c>
      <c r="G4" s="2" t="n">
        <v>4</v>
      </c>
      <c r="H4" s="2" t="n">
        <v>3</v>
      </c>
      <c r="I4" s="2" t="n">
        <v>4</v>
      </c>
      <c r="J4" s="2" t="n">
        <v>5</v>
      </c>
      <c r="K4" s="7">
        <f>IF($A4="","",$G4*0.3+$H4*0.25+$I4*0.25+$J4*0.2)</f>
        <v/>
      </c>
      <c r="L4" s="5">
        <f>IF($A4="","",IF($K4&gt;=4,"сильное преимущество",IF($K4&gt;=3,"умеренное преимущество",IF($K4&gt;=2,"слабое преимущество","недостаточно подтверждений"))))</f>
        <v/>
      </c>
      <c r="M4" s="2" t="inlineStr">
        <is>
          <t>ИИ-генерация диаграмм обесценивает текстовый подход; необходим сопоставимый ИИ-функционал в NotaCode</t>
        </is>
      </c>
    </row>
    <row r="5" ht="28.5" customHeight="1">
      <c r="A5" s="2" t="inlineStr">
        <is>
          <t>C04</t>
        </is>
      </c>
      <c r="B5" s="5">
        <f>IF($A5="","",IFERROR(VLOOKUP($A5,'02_Конкуренты'!$A\$4:$B\$203,2,FALSE),"не найдено"))</f>
        <v/>
      </c>
      <c r="C5" s="2" t="inlineStr">
        <is>
          <t>Бесплатный тариф с безлимитным ИИ и тарифы в рублях; on-prem</t>
        </is>
      </c>
      <c r="D5" s="2" t="inlineStr">
        <is>
          <t>ценовое</t>
        </is>
      </c>
      <c r="E5" s="2" t="inlineStr">
        <is>
          <t>потоки доходов</t>
        </is>
      </c>
      <c r="F5" s="2" t="inlineStr">
        <is>
          <t>stormbpmn.com/pricing</t>
        </is>
      </c>
      <c r="G5" s="2" t="n">
        <v>4</v>
      </c>
      <c r="H5" s="2" t="n">
        <v>4</v>
      </c>
      <c r="I5" s="2" t="n">
        <v>4</v>
      </c>
      <c r="J5" s="2" t="n">
        <v>5</v>
      </c>
      <c r="K5" s="7">
        <f>IF($A5="","",$G5*0.3+$H5*0.25+$I5*0.25+$J5*0.2)</f>
        <v/>
      </c>
      <c r="L5" s="5">
        <f>IF($A5="","",IF($K5&gt;=4,"сильное преимущество",IF($K5&gt;=3,"умеренное преимущество",IF($K5&gt;=2,"слабое преимущество","недостаточно подтверждений"))))</f>
        <v/>
      </c>
      <c r="M5" s="2" t="inlineStr">
        <is>
          <t>On-prem и рублёвые тарифы перехватывают корпоративный русскоязычный сегмент; NotaCode нужен аналог</t>
        </is>
      </c>
    </row>
    <row r="6" ht="28.5" customHeight="1">
      <c r="A6" s="2" t="inlineStr">
        <is>
          <t>C06</t>
        </is>
      </c>
      <c r="B6" s="5">
        <f>IF($A6="","",IFERROR(VLOOKUP($A6,'02_Конкуренты'!$A\$4:$B\$203,2,FALSE),"не найдено"))</f>
        <v/>
      </c>
      <c r="C6" s="2" t="inlineStr">
        <is>
          <t>Лестница тарифов с пробным периодом и Enterprise Shield</t>
        </is>
      </c>
      <c r="D6" s="2" t="inlineStr">
        <is>
          <t>товарное</t>
        </is>
      </c>
      <c r="E6" s="2" t="inlineStr">
        <is>
          <t>потоки доходов</t>
        </is>
      </c>
      <c r="F6" s="2" t="inlineStr">
        <is>
          <t>lucid.app/pricing/lucidchart</t>
        </is>
      </c>
      <c r="G6" s="2" t="n">
        <v>5</v>
      </c>
      <c r="H6" s="2" t="n">
        <v>5</v>
      </c>
      <c r="I6" s="2" t="n">
        <v>5</v>
      </c>
      <c r="J6" s="2" t="n">
        <v>5</v>
      </c>
      <c r="K6" s="7">
        <f>IF($A6="","",$G6*0.3+$H6*0.25+$I6*0.25+$J6*0.2)</f>
        <v/>
      </c>
      <c r="L6" s="5">
        <f>IF($A6="","",IF($K6&gt;=4,"сильное преимущество",IF($K6&gt;=3,"умеренное преимущество",IF($K6&gt;=2,"слабое преимущество","недостаточно подтверждений"))))</f>
        <v/>
      </c>
      <c r="M6" s="2" t="inlineStr">
        <is>
          <t>Enterprise-лестница с SSO и Shield сложна для повторения на старте; риск потери крупных клиентов</t>
        </is>
      </c>
    </row>
    <row r="7" ht="28.5" customHeight="1">
      <c r="A7" s="2" t="inlineStr">
        <is>
          <t>C05</t>
        </is>
      </c>
      <c r="B7" s="5">
        <f>IF($A7="","",IFERROR(VLOOKUP($A7,'02_Конкуренты'!$A\$4:$B\$203,2,FALSE),"не найдено"))</f>
        <v/>
      </c>
      <c r="C7" s="2" t="inlineStr">
        <is>
          <t>Бесплатное приложение без enterprise-тарифа и данные у пользователя</t>
        </is>
      </c>
      <c r="D7" s="2" t="inlineStr">
        <is>
          <t>брендовое</t>
        </is>
      </c>
      <c r="E7" s="2" t="inlineStr">
        <is>
          <t>ценностное предложение</t>
        </is>
      </c>
      <c r="F7" s="2" t="inlineStr">
        <is>
          <t>drawio.com</t>
        </is>
      </c>
      <c r="G7" s="2" t="n">
        <v>4</v>
      </c>
      <c r="H7" s="2" t="n">
        <v>4</v>
      </c>
      <c r="I7" s="2" t="n">
        <v>4</v>
      </c>
      <c r="J7" s="2" t="n">
        <v>4</v>
      </c>
      <c r="K7" s="7">
        <f>IF($A7="","",$G7*0.3+$H7*0.25+$I7*0.25+$J7*0.2)</f>
        <v/>
      </c>
      <c r="L7" s="5">
        <f>IF($A7="","",IF($K7&gt;=4,"сильное преимущество",IF($K7&gt;=3,"умеренное преимущество",IF($K7&gt;=2,"слабое преимущество","недостаточно подтверждений"))))</f>
        <v/>
      </c>
      <c r="M7" s="2" t="inlineStr">
        <is>
          <t>Бесплатность без ограничений удерживает пользователей без бюджета; NotaCode должен обосновать платность</t>
        </is>
      </c>
    </row>
    <row r="8" ht="28.5" customHeight="1">
      <c r="A8" s="2" t="inlineStr">
        <is>
          <t>C02</t>
        </is>
      </c>
      <c r="B8" s="5">
        <f>IF($A8="","",IFERROR(VLOOKUP($A8,'02_Конкуренты'!$A\$4:$B\$203,2,FALSE),"не найдено"))</f>
        <v/>
      </c>
      <c r="C8" s="2" t="inlineStr">
        <is>
          <t>Экосистема интеграций и сообщество 90 489 звёзд</t>
        </is>
      </c>
      <c r="D8" s="2" t="inlineStr">
        <is>
          <t>партнерское</t>
        </is>
      </c>
      <c r="E8" s="2" t="inlineStr">
        <is>
          <t>ключевые партнеры</t>
        </is>
      </c>
      <c r="F8" s="2" t="inlineStr">
        <is>
          <t>mermaid.js.org/ecosystem</t>
        </is>
      </c>
      <c r="G8" s="2" t="n">
        <v>5</v>
      </c>
      <c r="H8" s="2" t="n">
        <v>4</v>
      </c>
      <c r="I8" s="2" t="n">
        <v>3</v>
      </c>
      <c r="J8" s="2" t="n">
        <v>5</v>
      </c>
      <c r="K8" s="7">
        <f>IF($A8="","",$G8*0.3+$H8*0.25+$I8*0.25+$J8*0.2)</f>
        <v/>
      </c>
      <c r="L8" s="5">
        <f>IF($A8="","",IF($K8&gt;=4,"сильное преимущество",IF($K8&gt;=3,"умеренное преимущество",IF($K8&gt;=2,"слабое преимущество","недостаточно подтверждений"))))</f>
        <v/>
      </c>
      <c r="M8" s="2" t="inlineStr">
        <is>
          <t>Экосистема 90К звёзд формирует отраслевой стандарт; NotaCode нужна совместимость с Mermaid-синтаксисом</t>
        </is>
      </c>
    </row>
    <row r="9">
      <c r="A9" s="2" t="inlineStr">
        <is>
          <t>C03</t>
        </is>
      </c>
      <c r="B9" s="5">
        <f>IF($A9="","",IFERROR(VLOOKUP($A9,'02_Конкуренты'!$A\$4:$B\$203,2,FALSE),"не найдено"))</f>
        <v/>
      </c>
      <c r="C9" s="2" t="inlineStr">
        <is>
          <t>Зрители без оплаты и четыре ясных тарифа</t>
        </is>
      </c>
      <c r="D9" s="2" t="inlineStr">
        <is>
          <t>ценовое</t>
        </is>
      </c>
      <c r="E9" s="2" t="inlineStr">
        <is>
          <t>потоки доходов</t>
        </is>
      </c>
      <c r="F9" s="2" t="inlineStr">
        <is>
          <t>mermaid.ai/pricing</t>
        </is>
      </c>
      <c r="G9" s="2" t="n">
        <v>4</v>
      </c>
      <c r="H9" s="2" t="n">
        <v>3</v>
      </c>
      <c r="I9" s="2" t="n">
        <v>4</v>
      </c>
      <c r="J9" s="2" t="n">
        <v>5</v>
      </c>
      <c r="K9" s="7">
        <f>IF($A9="","",$G9*0.3+$H9*0.25+$I9*0.25+$J9*0.2)</f>
        <v/>
      </c>
      <c r="L9" s="5">
        <f>IF($A9="","",IF($K9&gt;=4,"сильное преимущество",IF($K9&gt;=3,"умеренное преимущество",IF($K9&gt;=2,"слабое преимущество","недостаточно подтверждений"))))</f>
        <v/>
      </c>
      <c r="M9" s="2" t="inlineStr">
        <is>
          <t>Схожая модель зрителей без оплаты; прямой конкурент в сегменте diagram-as-code с облачным хранением</t>
        </is>
      </c>
    </row>
    <row r="10" ht="28.5" customHeight="1">
      <c r="A10" s="2" t="inlineStr">
        <is>
          <t>C08</t>
        </is>
      </c>
      <c r="B10" s="5">
        <f>IF($A10="","",IFERROR(VLOOKUP($A10,'02_Конкуренты'!$A\$4:$B\$203,2,FALSE),"не найдено"))</f>
        <v/>
      </c>
      <c r="C10" s="2" t="inlineStr">
        <is>
          <t>Гости и зрители без ограничений на всех тарифах</t>
        </is>
      </c>
      <c r="D10" s="2" t="inlineStr">
        <is>
          <t>ценовое</t>
        </is>
      </c>
      <c r="E10" s="2" t="inlineStr">
        <is>
          <t>отношения с клиентами</t>
        </is>
      </c>
      <c r="F10" s="2" t="inlineStr">
        <is>
          <t>whimsical.com/pricing</t>
        </is>
      </c>
      <c r="G10" s="2" t="n">
        <v>3</v>
      </c>
      <c r="H10" s="2" t="n">
        <v>3</v>
      </c>
      <c r="I10" s="2" t="n">
        <v>3</v>
      </c>
      <c r="J10" s="2" t="n">
        <v>5</v>
      </c>
      <c r="K10" s="7">
        <f>IF($A10="","",$G10*0.3+$H10*0.25+$I10*0.25+$J10*0.2)</f>
        <v/>
      </c>
      <c r="L10" s="5">
        <f>IF($A10="","",IF($K10&gt;=4,"сильное преимущество",IF($K10&gt;=3,"умеренное преимущество",IF($K10&gt;=2,"слабое преимущество","недостаточно подтверждений"))))</f>
        <v/>
      </c>
      <c r="M10" s="2" t="inlineStr">
        <is>
          <t>Низкий риск: иной целевой сегмент (продуктовые команды); пересечение только по вайрфреймам</t>
        </is>
      </c>
    </row>
    <row r="11" ht="28.5" customHeight="1">
      <c r="A11" s="2" t="inlineStr">
        <is>
          <t>C01</t>
        </is>
      </c>
      <c r="B11" s="5">
        <f>IF($A11="","",IFERROR(VLOOKUP($A11,'02_Конкуренты'!$A\$4:$B\$203,2,FALSE),"не найдено"))</f>
        <v/>
      </c>
      <c r="C11" s="2" t="inlineStr">
        <is>
          <t>Многолетний стандарт для UML из текста, запуск на своём сервере</t>
        </is>
      </c>
      <c r="D11" s="2" t="inlineStr">
        <is>
          <t>технологическое</t>
        </is>
      </c>
      <c r="E11" s="2" t="inlineStr">
        <is>
          <t>ключевые ресурсы</t>
        </is>
      </c>
      <c r="F11" s="2" t="inlineStr">
        <is>
          <t>plantuml.com/running</t>
        </is>
      </c>
      <c r="G11" s="2" t="n">
        <v>4</v>
      </c>
      <c r="H11" s="2" t="n">
        <v>2</v>
      </c>
      <c r="I11" s="2" t="n">
        <v>4</v>
      </c>
      <c r="J11" s="2" t="n">
        <v>4</v>
      </c>
      <c r="K11" s="7">
        <f>IF($A11="","",$G11*0.3+$H11*0.25+$I11*0.25+$J11*0.2)</f>
        <v/>
      </c>
      <c r="L11" s="5">
        <f>IF($A11="","",IF($K11&gt;=4,"сильное преимущество",IF($K11&gt;=3,"умеренное преимущество",IF($K11&gt;=2,"слабое преимущество","недостаточно подтверждений"))))</f>
        <v/>
      </c>
      <c r="M11" s="2" t="inlineStr">
        <is>
          <t>Сетевой эффект многолетнего стандарта сложно переломить; выгоднее поддерживать PlantUML-синтаксис</t>
        </is>
      </c>
    </row>
    <row r="12">
      <c r="A12" s="2" t="n"/>
      <c r="B12" s="5">
        <f>IF($A12="","",IFERROR(VLOOKUP($A12,'02_Конкуренты'!$A\$4:$B\$203,2,FALSE),"не найдено"))</f>
        <v/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7">
        <f>IF($A12="","",$G12*0.3+$H12*0.25+$I12*0.25+$J12*0.2)</f>
        <v/>
      </c>
      <c r="L12" s="5">
        <f>IF($A12="","",IF($K12&gt;=4,"сильное преимущество",IF($K12&gt;=3,"умеренное преимущество",IF($K12&gt;=2,"слабое преимущество","недостаточно подтверждений"))))</f>
        <v/>
      </c>
      <c r="M12" s="2" t="n"/>
    </row>
    <row r="13">
      <c r="A13" s="2" t="n"/>
      <c r="B13" s="5">
        <f>IF($A13="","",IFERROR(VLOOKUP($A13,'02_Конкуренты'!$A\$4:$B\$203,2,FALSE),"не найдено"))</f>
        <v/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7">
        <f>IF($A13="","",$G13*0.3+$H13*0.25+$I13*0.25+$J13*0.2)</f>
        <v/>
      </c>
      <c r="L13" s="5">
        <f>IF($A13="","",IF($K13&gt;=4,"сильное преимущество",IF($K13&gt;=3,"умеренное преимущество",IF($K13&gt;=2,"слабое преимущество","недостаточно подтверждений"))))</f>
        <v/>
      </c>
      <c r="M13" s="2" t="n"/>
    </row>
    <row r="14">
      <c r="A14" s="2" t="n"/>
      <c r="B14" s="5">
        <f>IF($A14="","",IFERROR(VLOOKUP($A14,'02_Конкуренты'!$A\$4:$B\$203,2,FALSE),"не найдено"))</f>
        <v/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7">
        <f>IF($A14="","",$G14*0.3+$H14*0.25+$I14*0.25+$J14*0.2)</f>
        <v/>
      </c>
      <c r="L14" s="5">
        <f>IF($A14="","",IF($K14&gt;=4,"сильное преимущество",IF($K14&gt;=3,"умеренное преимущество",IF($K14&gt;=2,"слабое преимущество","недостаточно подтверждений"))))</f>
        <v/>
      </c>
      <c r="M14" s="2" t="n"/>
    </row>
    <row r="15">
      <c r="A15" s="2" t="n"/>
      <c r="B15" s="5">
        <f>IF($A15="","",IFERROR(VLOOKUP($A15,'02_Конкуренты'!$A\$4:$B\$203,2,FALSE),"не найдено"))</f>
        <v/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7">
        <f>IF($A15="","",$G15*0.3+$H15*0.25+$I15*0.25+$J15*0.2)</f>
        <v/>
      </c>
      <c r="L15" s="5">
        <f>IF($A15="","",IF($K15&gt;=4,"сильное преимущество",IF($K15&gt;=3,"умеренное преимущество",IF($K15&gt;=2,"слабое преимущество","недостаточно подтверждений"))))</f>
        <v/>
      </c>
      <c r="M15" s="2" t="n"/>
    </row>
    <row r="16">
      <c r="A16" s="2" t="n"/>
      <c r="B16" s="5">
        <f>IF($A16="","",IFERROR(VLOOKUP($A16,'02_Конкуренты'!$A\$4:$B\$203,2,FALSE),"не найдено"))</f>
        <v/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7">
        <f>IF($A16="","",$G16*0.3+$H16*0.25+$I16*0.25+$J16*0.2)</f>
        <v/>
      </c>
      <c r="L16" s="5">
        <f>IF($A16="","",IF($K16&gt;=4,"сильное преимущество",IF($K16&gt;=3,"умеренное преимущество",IF($K16&gt;=2,"слабое преимущество","недостаточно подтверждений"))))</f>
        <v/>
      </c>
      <c r="M16" s="2" t="n"/>
    </row>
    <row r="17">
      <c r="A17" s="2" t="n"/>
      <c r="B17" s="5">
        <f>IF($A17="","",IFERROR(VLOOKUP($A17,'02_Конкуренты'!$A\$4:$B\$203,2,FALSE),"не найдено"))</f>
        <v/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7">
        <f>IF($A17="","",$G17*0.3+$H17*0.25+$I17*0.25+$J17*0.2)</f>
        <v/>
      </c>
      <c r="L17" s="5">
        <f>IF($A17="","",IF($K17&gt;=4,"сильное преимущество",IF($K17&gt;=3,"умеренное преимущество",IF($K17&gt;=2,"слабое преимущество","недостаточно подтверждений"))))</f>
        <v/>
      </c>
      <c r="M17" s="2" t="n"/>
    </row>
    <row r="18">
      <c r="A18" s="2" t="n"/>
      <c r="B18" s="5">
        <f>IF($A18="","",IFERROR(VLOOKUP($A18,'02_Конкуренты'!$A\$4:$B\$203,2,FALSE),"не найдено"))</f>
        <v/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7">
        <f>IF($A18="","",$G18*0.3+$H18*0.25+$I18*0.25+$J18*0.2)</f>
        <v/>
      </c>
      <c r="L18" s="5">
        <f>IF($A18="","",IF($K18&gt;=4,"сильное преимущество",IF($K18&gt;=3,"умеренное преимущество",IF($K18&gt;=2,"слабое преимущество","недостаточно подтверждений"))))</f>
        <v/>
      </c>
      <c r="M18" s="2" t="n"/>
    </row>
    <row r="19">
      <c r="A19" s="2" t="n"/>
      <c r="B19" s="5">
        <f>IF($A19="","",IFERROR(VLOOKUP($A19,'02_Конкуренты'!$A\$4:$B\$203,2,FALSE),"не найдено"))</f>
        <v/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7">
        <f>IF($A19="","",$G19*0.3+$H19*0.25+$I19*0.25+$J19*0.2)</f>
        <v/>
      </c>
      <c r="L19" s="5">
        <f>IF($A19="","",IF($K19&gt;=4,"сильное преимущество",IF($K19&gt;=3,"умеренное преимущество",IF($K19&gt;=2,"слабое преимущество","недостаточно подтверждений"))))</f>
        <v/>
      </c>
      <c r="M19" s="2" t="n"/>
    </row>
    <row r="20">
      <c r="A20" s="2" t="n"/>
      <c r="B20" s="5">
        <f>IF($A20="","",IFERROR(VLOOKUP($A20,'02_Конкуренты'!$A\$4:$B\$203,2,FALSE),"не найдено"))</f>
        <v/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7">
        <f>IF($A20="","",$G20*0.3+$H20*0.25+$I20*0.25+$J20*0.2)</f>
        <v/>
      </c>
      <c r="L20" s="5">
        <f>IF($A20="","",IF($K20&gt;=4,"сильное преимущество",IF($K20&gt;=3,"умеренное преимущество",IF($K20&gt;=2,"слабое преимущество","недостаточно подтверждений"))))</f>
        <v/>
      </c>
      <c r="M20" s="2" t="n"/>
    </row>
    <row r="21">
      <c r="A21" s="2" t="n"/>
      <c r="B21" s="5">
        <f>IF($A21="","",IFERROR(VLOOKUP($A21,'02_Конкуренты'!$A\$4:$B\$203,2,FALSE),"не найдено"))</f>
        <v/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7">
        <f>IF($A21="","",$G21*0.3+$H21*0.25+$I21*0.25+$J21*0.2)</f>
        <v/>
      </c>
      <c r="L21" s="5">
        <f>IF($A21="","",IF($K21&gt;=4,"сильное преимущество",IF($K21&gt;=3,"умеренное преимущество",IF($K21&gt;=2,"слабое преимущество","недостаточно подтверждений"))))</f>
        <v/>
      </c>
      <c r="M21" s="2" t="n"/>
    </row>
    <row r="22">
      <c r="A22" s="2" t="n"/>
      <c r="B22" s="5">
        <f>IF($A22="","",IFERROR(VLOOKUP($A22,'02_Конкуренты'!$A\$4:$B\$203,2,FALSE),"не найдено"))</f>
        <v/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7">
        <f>IF($A22="","",$G22*0.3+$H22*0.25+$I22*0.25+$J22*0.2)</f>
        <v/>
      </c>
      <c r="L22" s="5">
        <f>IF($A22="","",IF($K22&gt;=4,"сильное преимущество",IF($K22&gt;=3,"умеренное преимущество",IF($K22&gt;=2,"слабое преимущество","недостаточно подтверждений"))))</f>
        <v/>
      </c>
      <c r="M22" s="2" t="n"/>
    </row>
    <row r="23">
      <c r="A23" s="2" t="n"/>
      <c r="B23" s="5">
        <f>IF($A23="","",IFERROR(VLOOKUP($A23,'02_Конкуренты'!$A\$4:$B\$203,2,FALSE),"не найдено"))</f>
        <v/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7">
        <f>IF($A23="","",$G23*0.3+$H23*0.25+$I23*0.25+$J23*0.2)</f>
        <v/>
      </c>
      <c r="L23" s="5">
        <f>IF($A23="","",IF($K23&gt;=4,"сильное преимущество",IF($K23&gt;=3,"умеренное преимущество",IF($K23&gt;=2,"слабое преимущество","недостаточно подтверждений"))))</f>
        <v/>
      </c>
      <c r="M23" s="2" t="n"/>
    </row>
    <row r="24">
      <c r="A24" s="2" t="n"/>
      <c r="B24" s="5">
        <f>IF($A24="","",IFERROR(VLOOKUP($A24,'02_Конкуренты'!$A\$4:$B\$203,2,FALSE),"не найдено"))</f>
        <v/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7">
        <f>IF($A24="","",$G24*0.3+$H24*0.25+$I24*0.25+$J24*0.2)</f>
        <v/>
      </c>
      <c r="L24" s="5">
        <f>IF($A24="","",IF($K24&gt;=4,"сильное преимущество",IF($K24&gt;=3,"умеренное преимущество",IF($K24&gt;=2,"слабое преимущество","недостаточно подтверждений"))))</f>
        <v/>
      </c>
      <c r="M24" s="2" t="n"/>
    </row>
    <row r="25">
      <c r="A25" s="2" t="n"/>
      <c r="B25" s="5">
        <f>IF($A25="","",IFERROR(VLOOKUP($A25,'02_Конкуренты'!$A\$4:$B\$203,2,FALSE),"не найдено"))</f>
        <v/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7">
        <f>IF($A25="","",$G25*0.3+$H25*0.25+$I25*0.25+$J25*0.2)</f>
        <v/>
      </c>
      <c r="L25" s="5">
        <f>IF($A25="","",IF($K25&gt;=4,"сильное преимущество",IF($K25&gt;=3,"умеренное преимущество",IF($K25&gt;=2,"слабое преимущество","недостаточно подтверждений"))))</f>
        <v/>
      </c>
      <c r="M25" s="2" t="n"/>
    </row>
    <row r="26">
      <c r="A26" s="2" t="n"/>
      <c r="B26" s="5">
        <f>IF($A26="","",IFERROR(VLOOKUP($A26,'02_Конкуренты'!$A\$4:$B\$203,2,FALSE),"не найдено"))</f>
        <v/>
      </c>
      <c r="C26" s="2" t="n"/>
      <c r="D26" s="2" t="n"/>
      <c r="E26" s="2" t="n"/>
      <c r="F26" s="2" t="n"/>
      <c r="G26" s="2" t="n"/>
      <c r="H26" s="2" t="n"/>
      <c r="I26" s="2" t="n"/>
      <c r="J26" s="2" t="n"/>
      <c r="K26" s="7">
        <f>IF($A26="","",$G26*0.3+$H26*0.25+$I26*0.25+$J26*0.2)</f>
        <v/>
      </c>
      <c r="L26" s="5">
        <f>IF($A26="","",IF($K26&gt;=4,"сильное преимущество",IF($K26&gt;=3,"умеренное преимущество",IF($K26&gt;=2,"слабое преимущество","недостаточно подтверждений"))))</f>
        <v/>
      </c>
      <c r="M26" s="2" t="n"/>
    </row>
    <row r="27">
      <c r="A27" s="2" t="n"/>
      <c r="B27" s="5">
        <f>IF($A27="","",IFERROR(VLOOKUP($A27,'02_Конкуренты'!$A\$4:$B\$203,2,FALSE),"не найдено"))</f>
        <v/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7">
        <f>IF($A27="","",$G27*0.3+$H27*0.25+$I27*0.25+$J27*0.2)</f>
        <v/>
      </c>
      <c r="L27" s="5">
        <f>IF($A27="","",IF($K27&gt;=4,"сильное преимущество",IF($K27&gt;=3,"умеренное преимущество",IF($K27&gt;=2,"слабое преимущество","недостаточно подтверждений"))))</f>
        <v/>
      </c>
      <c r="M27" s="2" t="n"/>
    </row>
    <row r="28">
      <c r="A28" s="2" t="n"/>
      <c r="B28" s="5">
        <f>IF($A28="","",IFERROR(VLOOKUP($A28,'02_Конкуренты'!$A\$4:$B\$203,2,FALSE),"не найдено"))</f>
        <v/>
      </c>
      <c r="C28" s="2" t="n"/>
      <c r="D28" s="2" t="n"/>
      <c r="E28" s="2" t="n"/>
      <c r="F28" s="2" t="n"/>
      <c r="G28" s="2" t="n"/>
      <c r="H28" s="2" t="n"/>
      <c r="I28" s="2" t="n"/>
      <c r="J28" s="2" t="n"/>
      <c r="K28" s="7">
        <f>IF($A28="","",$G28*0.3+$H28*0.25+$I28*0.25+$J28*0.2)</f>
        <v/>
      </c>
      <c r="L28" s="5">
        <f>IF($A28="","",IF($K28&gt;=4,"сильное преимущество",IF($K28&gt;=3,"умеренное преимущество",IF($K28&gt;=2,"слабое преимущество","недостаточно подтверждений"))))</f>
        <v/>
      </c>
      <c r="M28" s="2" t="n"/>
    </row>
    <row r="29">
      <c r="A29" s="2" t="n"/>
      <c r="B29" s="5">
        <f>IF($A29="","",IFERROR(VLOOKUP($A29,'02_Конкуренты'!$A\$4:$B\$203,2,FALSE),"не найдено"))</f>
        <v/>
      </c>
      <c r="C29" s="2" t="n"/>
      <c r="D29" s="2" t="n"/>
      <c r="E29" s="2" t="n"/>
      <c r="F29" s="2" t="n"/>
      <c r="G29" s="2" t="n"/>
      <c r="H29" s="2" t="n"/>
      <c r="I29" s="2" t="n"/>
      <c r="J29" s="2" t="n"/>
      <c r="K29" s="7">
        <f>IF($A29="","",$G29*0.3+$H29*0.25+$I29*0.25+$J29*0.2)</f>
        <v/>
      </c>
      <c r="L29" s="5">
        <f>IF($A29="","",IF($K29&gt;=4,"сильное преимущество",IF($K29&gt;=3,"умеренное преимущество",IF($K29&gt;=2,"слабое преимущество","недостаточно подтверждений"))))</f>
        <v/>
      </c>
      <c r="M29" s="2" t="n"/>
    </row>
    <row r="30">
      <c r="A30" s="2" t="n"/>
      <c r="B30" s="5">
        <f>IF($A30="","",IFERROR(VLOOKUP($A30,'02_Конкуренты'!$A\$4:$B\$203,2,FALSE),"не найдено"))</f>
        <v/>
      </c>
      <c r="C30" s="2" t="n"/>
      <c r="D30" s="2" t="n"/>
      <c r="E30" s="2" t="n"/>
      <c r="F30" s="2" t="n"/>
      <c r="G30" s="2" t="n"/>
      <c r="H30" s="2" t="n"/>
      <c r="I30" s="2" t="n"/>
      <c r="J30" s="2" t="n"/>
      <c r="K30" s="7">
        <f>IF($A30="","",$G30*0.3+$H30*0.25+$I30*0.25+$J30*0.2)</f>
        <v/>
      </c>
      <c r="L30" s="5">
        <f>IF($A30="","",IF($K30&gt;=4,"сильное преимущество",IF($K30&gt;=3,"умеренное преимущество",IF($K30&gt;=2,"слабое преимущество","недостаточно подтверждений"))))</f>
        <v/>
      </c>
      <c r="M30" s="2" t="n"/>
    </row>
    <row r="31">
      <c r="A31" s="2" t="n"/>
      <c r="B31" s="5">
        <f>IF($A31="","",IFERROR(VLOOKUP($A31,'02_Конкуренты'!$A\$4:$B\$203,2,FALSE),"не найдено"))</f>
        <v/>
      </c>
      <c r="C31" s="2" t="n"/>
      <c r="D31" s="2" t="n"/>
      <c r="E31" s="2" t="n"/>
      <c r="F31" s="2" t="n"/>
      <c r="G31" s="2" t="n"/>
      <c r="H31" s="2" t="n"/>
      <c r="I31" s="2" t="n"/>
      <c r="J31" s="2" t="n"/>
      <c r="K31" s="7">
        <f>IF($A31="","",$G31*0.3+$H31*0.25+$I31*0.25+$J31*0.2)</f>
        <v/>
      </c>
      <c r="L31" s="5">
        <f>IF($A31="","",IF($K31&gt;=4,"сильное преимущество",IF($K31&gt;=3,"умеренное преимущество",IF($K31&gt;=2,"слабое преимущество","недостаточно подтверждений"))))</f>
        <v/>
      </c>
      <c r="M31" s="2" t="n"/>
    </row>
    <row r="32">
      <c r="A32" s="2" t="n"/>
      <c r="B32" s="5">
        <f>IF($A32="","",IFERROR(VLOOKUP($A32,'02_Конкуренты'!$A\$4:$B\$203,2,FALSE),"не найдено"))</f>
        <v/>
      </c>
      <c r="C32" s="2" t="n"/>
      <c r="D32" s="2" t="n"/>
      <c r="E32" s="2" t="n"/>
      <c r="F32" s="2" t="n"/>
      <c r="G32" s="2" t="n"/>
      <c r="H32" s="2" t="n"/>
      <c r="I32" s="2" t="n"/>
      <c r="J32" s="2" t="n"/>
      <c r="K32" s="7">
        <f>IF($A32="","",$G32*0.3+$H32*0.25+$I32*0.25+$J32*0.2)</f>
        <v/>
      </c>
      <c r="L32" s="5">
        <f>IF($A32="","",IF($K32&gt;=4,"сильное преимущество",IF($K32&gt;=3,"умеренное преимущество",IF($K32&gt;=2,"слабое преимущество","недостаточно подтверждений"))))</f>
        <v/>
      </c>
      <c r="M32" s="2" t="n"/>
    </row>
    <row r="33">
      <c r="A33" s="2" t="n"/>
      <c r="B33" s="5">
        <f>IF($A33="","",IFERROR(VLOOKUP($A33,'02_Конкуренты'!$A\$4:$B\$203,2,FALSE),"не найдено"))</f>
        <v/>
      </c>
      <c r="C33" s="2" t="n"/>
      <c r="D33" s="2" t="n"/>
      <c r="E33" s="2" t="n"/>
      <c r="F33" s="2" t="n"/>
      <c r="G33" s="2" t="n"/>
      <c r="H33" s="2" t="n"/>
      <c r="I33" s="2" t="n"/>
      <c r="J33" s="2" t="n"/>
      <c r="K33" s="7">
        <f>IF($A33="","",$G33*0.3+$H33*0.25+$I33*0.25+$J33*0.2)</f>
        <v/>
      </c>
      <c r="L33" s="5">
        <f>IF($A33="","",IF($K33&gt;=4,"сильное преимущество",IF($K33&gt;=3,"умеренное преимущество",IF($K33&gt;=2,"слабое преимущество","недостаточно подтверждений"))))</f>
        <v/>
      </c>
      <c r="M33" s="2" t="n"/>
    </row>
    <row r="34">
      <c r="A34" s="2" t="n"/>
      <c r="B34" s="5">
        <f>IF($A34="","",IFERROR(VLOOKUP($A34,'02_Конкуренты'!$A\$4:$B\$203,2,FALSE),"не найдено"))</f>
        <v/>
      </c>
      <c r="C34" s="2" t="n"/>
      <c r="D34" s="2" t="n"/>
      <c r="E34" s="2" t="n"/>
      <c r="F34" s="2" t="n"/>
      <c r="G34" s="2" t="n"/>
      <c r="H34" s="2" t="n"/>
      <c r="I34" s="2" t="n"/>
      <c r="J34" s="2" t="n"/>
      <c r="K34" s="7">
        <f>IF($A34="","",$G34*0.3+$H34*0.25+$I34*0.25+$J34*0.2)</f>
        <v/>
      </c>
      <c r="L34" s="5">
        <f>IF($A34="","",IF($K34&gt;=4,"сильное преимущество",IF($K34&gt;=3,"умеренное преимущество",IF($K34&gt;=2,"слабое преимущество","недостаточно подтверждений"))))</f>
        <v/>
      </c>
      <c r="M34" s="2" t="n"/>
    </row>
    <row r="35">
      <c r="A35" s="2" t="n"/>
      <c r="B35" s="5">
        <f>IF($A35="","",IFERROR(VLOOKUP($A35,'02_Конкуренты'!$A\$4:$B\$203,2,FALSE),"не найдено"))</f>
        <v/>
      </c>
      <c r="C35" s="2" t="n"/>
      <c r="D35" s="2" t="n"/>
      <c r="E35" s="2" t="n"/>
      <c r="F35" s="2" t="n"/>
      <c r="G35" s="2" t="n"/>
      <c r="H35" s="2" t="n"/>
      <c r="I35" s="2" t="n"/>
      <c r="J35" s="2" t="n"/>
      <c r="K35" s="7">
        <f>IF($A35="","",$G35*0.3+$H35*0.25+$I35*0.25+$J35*0.2)</f>
        <v/>
      </c>
      <c r="L35" s="5">
        <f>IF($A35="","",IF($K35&gt;=4,"сильное преимущество",IF($K35&gt;=3,"умеренное преимущество",IF($K35&gt;=2,"слабое преимущество","недостаточно подтверждений"))))</f>
        <v/>
      </c>
      <c r="M35" s="2" t="n"/>
    </row>
    <row r="36">
      <c r="A36" s="2" t="n"/>
      <c r="B36" s="5">
        <f>IF($A36="","",IFERROR(VLOOKUP($A36,'02_Конкуренты'!$A\$4:$B\$203,2,FALSE),"не найдено"))</f>
        <v/>
      </c>
      <c r="C36" s="2" t="n"/>
      <c r="D36" s="2" t="n"/>
      <c r="E36" s="2" t="n"/>
      <c r="F36" s="2" t="n"/>
      <c r="G36" s="2" t="n"/>
      <c r="H36" s="2" t="n"/>
      <c r="I36" s="2" t="n"/>
      <c r="J36" s="2" t="n"/>
      <c r="K36" s="7">
        <f>IF($A36="","",$G36*0.3+$H36*0.25+$I36*0.25+$J36*0.2)</f>
        <v/>
      </c>
      <c r="L36" s="5">
        <f>IF($A36="","",IF($K36&gt;=4,"сильное преимущество",IF($K36&gt;=3,"умеренное преимущество",IF($K36&gt;=2,"слабое преимущество","недостаточно подтверждений"))))</f>
        <v/>
      </c>
      <c r="M36" s="2" t="n"/>
    </row>
    <row r="37">
      <c r="A37" s="2" t="n"/>
      <c r="B37" s="5">
        <f>IF($A37="","",IFERROR(VLOOKUP($A37,'02_Конкуренты'!$A\$4:$B\$203,2,FALSE),"не найдено"))</f>
        <v/>
      </c>
      <c r="C37" s="2" t="n"/>
      <c r="D37" s="2" t="n"/>
      <c r="E37" s="2" t="n"/>
      <c r="F37" s="2" t="n"/>
      <c r="G37" s="2" t="n"/>
      <c r="H37" s="2" t="n"/>
      <c r="I37" s="2" t="n"/>
      <c r="J37" s="2" t="n"/>
      <c r="K37" s="7">
        <f>IF($A37="","",$G37*0.3+$H37*0.25+$I37*0.25+$J37*0.2)</f>
        <v/>
      </c>
      <c r="L37" s="5">
        <f>IF($A37="","",IF($K37&gt;=4,"сильное преимущество",IF($K37&gt;=3,"умеренное преимущество",IF($K37&gt;=2,"слабое преимущество","недостаточно подтверждений"))))</f>
        <v/>
      </c>
      <c r="M37" s="2" t="n"/>
    </row>
    <row r="38">
      <c r="A38" s="2" t="n"/>
      <c r="B38" s="5">
        <f>IF($A38="","",IFERROR(VLOOKUP($A38,'02_Конкуренты'!$A\$4:$B\$203,2,FALSE),"не найдено"))</f>
        <v/>
      </c>
      <c r="C38" s="2" t="n"/>
      <c r="D38" s="2" t="n"/>
      <c r="E38" s="2" t="n"/>
      <c r="F38" s="2" t="n"/>
      <c r="G38" s="2" t="n"/>
      <c r="H38" s="2" t="n"/>
      <c r="I38" s="2" t="n"/>
      <c r="J38" s="2" t="n"/>
      <c r="K38" s="7">
        <f>IF($A38="","",$G38*0.3+$H38*0.25+$I38*0.25+$J38*0.2)</f>
        <v/>
      </c>
      <c r="L38" s="5">
        <f>IF($A38="","",IF($K38&gt;=4,"сильное преимущество",IF($K38&gt;=3,"умеренное преимущество",IF($K38&gt;=2,"слабое преимущество","недостаточно подтверждений"))))</f>
        <v/>
      </c>
      <c r="M38" s="2" t="n"/>
    </row>
    <row r="39">
      <c r="A39" s="2" t="n"/>
      <c r="B39" s="5">
        <f>IF($A39="","",IFERROR(VLOOKUP($A39,'02_Конкуренты'!$A\$4:$B\$203,2,FALSE),"не найдено"))</f>
        <v/>
      </c>
      <c r="C39" s="2" t="n"/>
      <c r="D39" s="2" t="n"/>
      <c r="E39" s="2" t="n"/>
      <c r="F39" s="2" t="n"/>
      <c r="G39" s="2" t="n"/>
      <c r="H39" s="2" t="n"/>
      <c r="I39" s="2" t="n"/>
      <c r="J39" s="2" t="n"/>
      <c r="K39" s="7">
        <f>IF($A39="","",$G39*0.3+$H39*0.25+$I39*0.25+$J39*0.2)</f>
        <v/>
      </c>
      <c r="L39" s="5">
        <f>IF($A39="","",IF($K39&gt;=4,"сильное преимущество",IF($K39&gt;=3,"умеренное преимущество",IF($K39&gt;=2,"слабое преимущество","недостаточно подтверждений"))))</f>
        <v/>
      </c>
      <c r="M39" s="2" t="n"/>
    </row>
    <row r="40">
      <c r="A40" s="2" t="n"/>
      <c r="B40" s="5">
        <f>IF($A40="","",IFERROR(VLOOKUP($A40,'02_Конкуренты'!$A\$4:$B\$203,2,FALSE),"не найдено"))</f>
        <v/>
      </c>
      <c r="C40" s="2" t="n"/>
      <c r="D40" s="2" t="n"/>
      <c r="E40" s="2" t="n"/>
      <c r="F40" s="2" t="n"/>
      <c r="G40" s="2" t="n"/>
      <c r="H40" s="2" t="n"/>
      <c r="I40" s="2" t="n"/>
      <c r="J40" s="2" t="n"/>
      <c r="K40" s="7">
        <f>IF($A40="","",$G40*0.3+$H40*0.25+$I40*0.25+$J40*0.2)</f>
        <v/>
      </c>
      <c r="L40" s="5">
        <f>IF($A40="","",IF($K40&gt;=4,"сильное преимущество",IF($K40&gt;=3,"умеренное преимущество",IF($K40&gt;=2,"слабое преимущество","недостаточно подтверждений"))))</f>
        <v/>
      </c>
      <c r="M40" s="2" t="n"/>
    </row>
    <row r="41">
      <c r="A41" s="2" t="n"/>
      <c r="B41" s="5">
        <f>IF($A41="","",IFERROR(VLOOKUP($A41,'02_Конкуренты'!$A\$4:$B\$203,2,FALSE),"не найдено"))</f>
        <v/>
      </c>
      <c r="C41" s="2" t="n"/>
      <c r="D41" s="2" t="n"/>
      <c r="E41" s="2" t="n"/>
      <c r="F41" s="2" t="n"/>
      <c r="G41" s="2" t="n"/>
      <c r="H41" s="2" t="n"/>
      <c r="I41" s="2" t="n"/>
      <c r="J41" s="2" t="n"/>
      <c r="K41" s="7">
        <f>IF($A41="","",$G41*0.3+$H41*0.25+$I41*0.25+$J41*0.2)</f>
        <v/>
      </c>
      <c r="L41" s="5">
        <f>IF($A41="","",IF($K41&gt;=4,"сильное преимущество",IF($K41&gt;=3,"умеренное преимущество",IF($K41&gt;=2,"слабое преимущество","недостаточно подтверждений"))))</f>
        <v/>
      </c>
      <c r="M41" s="2" t="n"/>
    </row>
    <row r="42">
      <c r="A42" s="2" t="n"/>
      <c r="B42" s="5">
        <f>IF($A42="","",IFERROR(VLOOKUP($A42,'02_Конкуренты'!$A\$4:$B\$203,2,FALSE),"не найдено"))</f>
        <v/>
      </c>
      <c r="C42" s="2" t="n"/>
      <c r="D42" s="2" t="n"/>
      <c r="E42" s="2" t="n"/>
      <c r="F42" s="2" t="n"/>
      <c r="G42" s="2" t="n"/>
      <c r="H42" s="2" t="n"/>
      <c r="I42" s="2" t="n"/>
      <c r="J42" s="2" t="n"/>
      <c r="K42" s="7">
        <f>IF($A42="","",$G42*0.3+$H42*0.25+$I42*0.25+$J42*0.2)</f>
        <v/>
      </c>
      <c r="L42" s="5">
        <f>IF($A42="","",IF($K42&gt;=4,"сильное преимущество",IF($K42&gt;=3,"умеренное преимущество",IF($K42&gt;=2,"слабое преимущество","недостаточно подтверждений"))))</f>
        <v/>
      </c>
      <c r="M42" s="2" t="n"/>
    </row>
    <row r="43">
      <c r="A43" s="2" t="n"/>
      <c r="B43" s="5">
        <f>IF($A43="","",IFERROR(VLOOKUP($A43,'02_Конкуренты'!$A\$4:$B\$203,2,FALSE),"не найдено"))</f>
        <v/>
      </c>
      <c r="C43" s="2" t="n"/>
      <c r="D43" s="2" t="n"/>
      <c r="E43" s="2" t="n"/>
      <c r="F43" s="2" t="n"/>
      <c r="G43" s="2" t="n"/>
      <c r="H43" s="2" t="n"/>
      <c r="I43" s="2" t="n"/>
      <c r="J43" s="2" t="n"/>
      <c r="K43" s="7">
        <f>IF($A43="","",$G43*0.3+$H43*0.25+$I43*0.25+$J43*0.2)</f>
        <v/>
      </c>
      <c r="L43" s="5">
        <f>IF($A43="","",IF($K43&gt;=4,"сильное преимущество",IF($K43&gt;=3,"умеренное преимущество",IF($K43&gt;=2,"слабое преимущество","недостаточно подтверждений"))))</f>
        <v/>
      </c>
      <c r="M43" s="2" t="n"/>
    </row>
    <row r="44">
      <c r="A44" s="2" t="n"/>
      <c r="B44" s="5">
        <f>IF($A44="","",IFERROR(VLOOKUP($A44,'02_Конкуренты'!$A\$4:$B\$203,2,FALSE),"не найдено"))</f>
        <v/>
      </c>
      <c r="C44" s="2" t="n"/>
      <c r="D44" s="2" t="n"/>
      <c r="E44" s="2" t="n"/>
      <c r="F44" s="2" t="n"/>
      <c r="G44" s="2" t="n"/>
      <c r="H44" s="2" t="n"/>
      <c r="I44" s="2" t="n"/>
      <c r="J44" s="2" t="n"/>
      <c r="K44" s="7">
        <f>IF($A44="","",$G44*0.3+$H44*0.25+$I44*0.25+$J44*0.2)</f>
        <v/>
      </c>
      <c r="L44" s="5">
        <f>IF($A44="","",IF($K44&gt;=4,"сильное преимущество",IF($K44&gt;=3,"умеренное преимущество",IF($K44&gt;=2,"слабое преимущество","недостаточно подтверждений"))))</f>
        <v/>
      </c>
      <c r="M44" s="2" t="n"/>
    </row>
    <row r="45">
      <c r="A45" s="2" t="n"/>
      <c r="B45" s="5">
        <f>IF($A45="","",IFERROR(VLOOKUP($A45,'02_Конкуренты'!$A\$4:$B\$203,2,FALSE),"не найдено"))</f>
        <v/>
      </c>
      <c r="C45" s="2" t="n"/>
      <c r="D45" s="2" t="n"/>
      <c r="E45" s="2" t="n"/>
      <c r="F45" s="2" t="n"/>
      <c r="G45" s="2" t="n"/>
      <c r="H45" s="2" t="n"/>
      <c r="I45" s="2" t="n"/>
      <c r="J45" s="2" t="n"/>
      <c r="K45" s="7">
        <f>IF($A45="","",$G45*0.3+$H45*0.25+$I45*0.25+$J45*0.2)</f>
        <v/>
      </c>
      <c r="L45" s="5">
        <f>IF($A45="","",IF($K45&gt;=4,"сильное преимущество",IF($K45&gt;=3,"умеренное преимущество",IF($K45&gt;=2,"слабое преимущество","недостаточно подтверждений"))))</f>
        <v/>
      </c>
      <c r="M45" s="2" t="n"/>
    </row>
    <row r="46">
      <c r="A46" s="2" t="n"/>
      <c r="B46" s="5">
        <f>IF($A46="","",IFERROR(VLOOKUP($A46,'02_Конкуренты'!$A\$4:$B\$203,2,FALSE),"не найдено"))</f>
        <v/>
      </c>
      <c r="C46" s="2" t="n"/>
      <c r="D46" s="2" t="n"/>
      <c r="E46" s="2" t="n"/>
      <c r="F46" s="2" t="n"/>
      <c r="G46" s="2" t="n"/>
      <c r="H46" s="2" t="n"/>
      <c r="I46" s="2" t="n"/>
      <c r="J46" s="2" t="n"/>
      <c r="K46" s="7">
        <f>IF($A46="","",$G46*0.3+$H46*0.25+$I46*0.25+$J46*0.2)</f>
        <v/>
      </c>
      <c r="L46" s="5">
        <f>IF($A46="","",IF($K46&gt;=4,"сильное преимущество",IF($K46&gt;=3,"умеренное преимущество",IF($K46&gt;=2,"слабое преимущество","недостаточно подтверждений"))))</f>
        <v/>
      </c>
      <c r="M46" s="2" t="n"/>
    </row>
    <row r="47">
      <c r="A47" s="2" t="n"/>
      <c r="B47" s="5">
        <f>IF($A47="","",IFERROR(VLOOKUP($A47,'02_Конкуренты'!$A\$4:$B\$203,2,FALSE),"не найдено"))</f>
        <v/>
      </c>
      <c r="C47" s="2" t="n"/>
      <c r="D47" s="2" t="n"/>
      <c r="E47" s="2" t="n"/>
      <c r="F47" s="2" t="n"/>
      <c r="G47" s="2" t="n"/>
      <c r="H47" s="2" t="n"/>
      <c r="I47" s="2" t="n"/>
      <c r="J47" s="2" t="n"/>
      <c r="K47" s="7">
        <f>IF($A47="","",$G47*0.3+$H47*0.25+$I47*0.25+$J47*0.2)</f>
        <v/>
      </c>
      <c r="L47" s="5">
        <f>IF($A47="","",IF($K47&gt;=4,"сильное преимущество",IF($K47&gt;=3,"умеренное преимущество",IF($K47&gt;=2,"слабое преимущество","недостаточно подтверждений"))))</f>
        <v/>
      </c>
      <c r="M47" s="2" t="n"/>
    </row>
    <row r="48">
      <c r="A48" s="2" t="n"/>
      <c r="B48" s="5">
        <f>IF($A48="","",IFERROR(VLOOKUP($A48,'02_Конкуренты'!$A\$4:$B\$203,2,FALSE),"не найдено"))</f>
        <v/>
      </c>
      <c r="C48" s="2" t="n"/>
      <c r="D48" s="2" t="n"/>
      <c r="E48" s="2" t="n"/>
      <c r="F48" s="2" t="n"/>
      <c r="G48" s="2" t="n"/>
      <c r="H48" s="2" t="n"/>
      <c r="I48" s="2" t="n"/>
      <c r="J48" s="2" t="n"/>
      <c r="K48" s="7">
        <f>IF($A48="","",$G48*0.3+$H48*0.25+$I48*0.25+$J48*0.2)</f>
        <v/>
      </c>
      <c r="L48" s="5">
        <f>IF($A48="","",IF($K48&gt;=4,"сильное преимущество",IF($K48&gt;=3,"умеренное преимущество",IF($K48&gt;=2,"слабое преимущество","недостаточно подтверждений"))))</f>
        <v/>
      </c>
      <c r="M48" s="2" t="n"/>
    </row>
    <row r="49">
      <c r="A49" s="2" t="n"/>
      <c r="B49" s="5">
        <f>IF($A49="","",IFERROR(VLOOKUP($A49,'02_Конкуренты'!$A\$4:$B\$203,2,FALSE),"не найдено"))</f>
        <v/>
      </c>
      <c r="C49" s="2" t="n"/>
      <c r="D49" s="2" t="n"/>
      <c r="E49" s="2" t="n"/>
      <c r="F49" s="2" t="n"/>
      <c r="G49" s="2" t="n"/>
      <c r="H49" s="2" t="n"/>
      <c r="I49" s="2" t="n"/>
      <c r="J49" s="2" t="n"/>
      <c r="K49" s="7">
        <f>IF($A49="","",$G49*0.3+$H49*0.25+$I49*0.25+$J49*0.2)</f>
        <v/>
      </c>
      <c r="L49" s="5">
        <f>IF($A49="","",IF($K49&gt;=4,"сильное преимущество",IF($K49&gt;=3,"умеренное преимущество",IF($K49&gt;=2,"слабое преимущество","недостаточно подтверждений"))))</f>
        <v/>
      </c>
      <c r="M49" s="2" t="n"/>
    </row>
    <row r="50">
      <c r="A50" s="2" t="n"/>
      <c r="B50" s="5">
        <f>IF($A50="","",IFERROR(VLOOKUP($A50,'02_Конкуренты'!$A\$4:$B\$203,2,FALSE),"не найдено"))</f>
        <v/>
      </c>
      <c r="C50" s="2" t="n"/>
      <c r="D50" s="2" t="n"/>
      <c r="E50" s="2" t="n"/>
      <c r="F50" s="2" t="n"/>
      <c r="G50" s="2" t="n"/>
      <c r="H50" s="2" t="n"/>
      <c r="I50" s="2" t="n"/>
      <c r="J50" s="2" t="n"/>
      <c r="K50" s="7">
        <f>IF($A50="","",$G50*0.3+$H50*0.25+$I50*0.25+$J50*0.2)</f>
        <v/>
      </c>
      <c r="L50" s="5">
        <f>IF($A50="","",IF($K50&gt;=4,"сильное преимущество",IF($K50&gt;=3,"умеренное преимущество",IF($K50&gt;=2,"слабое преимущество","недостаточно подтверждений"))))</f>
        <v/>
      </c>
      <c r="M50" s="2" t="n"/>
    </row>
    <row r="51">
      <c r="A51" s="2" t="n"/>
      <c r="B51" s="5">
        <f>IF($A51="","",IFERROR(VLOOKUP($A51,'02_Конкуренты'!$A\$4:$B\$203,2,FALSE),"не найдено"))</f>
        <v/>
      </c>
      <c r="C51" s="2" t="n"/>
      <c r="D51" s="2" t="n"/>
      <c r="E51" s="2" t="n"/>
      <c r="F51" s="2" t="n"/>
      <c r="G51" s="2" t="n"/>
      <c r="H51" s="2" t="n"/>
      <c r="I51" s="2" t="n"/>
      <c r="J51" s="2" t="n"/>
      <c r="K51" s="7">
        <f>IF($A51="","",$G51*0.3+$H51*0.25+$I51*0.25+$J51*0.2)</f>
        <v/>
      </c>
      <c r="L51" s="5">
        <f>IF($A51="","",IF($K51&gt;=4,"сильное преимущество",IF($K51&gt;=3,"умеренное преимущество",IF($K51&gt;=2,"слабое преимущество","недостаточно подтверждений"))))</f>
        <v/>
      </c>
      <c r="M51" s="2" t="n"/>
    </row>
    <row r="52">
      <c r="A52" s="2" t="n"/>
      <c r="B52" s="5">
        <f>IF($A52="","",IFERROR(VLOOKUP($A52,'02_Конкуренты'!$A\$4:$B\$203,2,FALSE),"не найдено"))</f>
        <v/>
      </c>
      <c r="C52" s="2" t="n"/>
      <c r="D52" s="2" t="n"/>
      <c r="E52" s="2" t="n"/>
      <c r="F52" s="2" t="n"/>
      <c r="G52" s="2" t="n"/>
      <c r="H52" s="2" t="n"/>
      <c r="I52" s="2" t="n"/>
      <c r="J52" s="2" t="n"/>
      <c r="K52" s="7">
        <f>IF($A52="","",$G52*0.3+$H52*0.25+$I52*0.25+$J52*0.2)</f>
        <v/>
      </c>
      <c r="L52" s="5">
        <f>IF($A52="","",IF($K52&gt;=4,"сильное преимущество",IF($K52&gt;=3,"умеренное преимущество",IF($K52&gt;=2,"слабое преимущество","недостаточно подтверждений"))))</f>
        <v/>
      </c>
      <c r="M52" s="2" t="n"/>
    </row>
    <row r="53">
      <c r="A53" s="2" t="n"/>
      <c r="B53" s="5">
        <f>IF($A53="","",IFERROR(VLOOKUP($A53,'02_Конкуренты'!$A\$4:$B\$203,2,FALSE),"не найдено"))</f>
        <v/>
      </c>
      <c r="C53" s="2" t="n"/>
      <c r="D53" s="2" t="n"/>
      <c r="E53" s="2" t="n"/>
      <c r="F53" s="2" t="n"/>
      <c r="G53" s="2" t="n"/>
      <c r="H53" s="2" t="n"/>
      <c r="I53" s="2" t="n"/>
      <c r="J53" s="2" t="n"/>
      <c r="K53" s="7">
        <f>IF($A53="","",$G53*0.3+$H53*0.25+$I53*0.25+$J53*0.2)</f>
        <v/>
      </c>
      <c r="L53" s="5">
        <f>IF($A53="","",IF($K53&gt;=4,"сильное преимущество",IF($K53&gt;=3,"умеренное преимущество",IF($K53&gt;=2,"слабое преимущество","недостаточно подтверждений"))))</f>
        <v/>
      </c>
      <c r="M53" s="2" t="n"/>
    </row>
    <row r="54">
      <c r="A54" s="2" t="n"/>
      <c r="B54" s="5">
        <f>IF($A54="","",IFERROR(VLOOKUP($A54,'02_Конкуренты'!$A\$4:$B\$203,2,FALSE),"не найдено"))</f>
        <v/>
      </c>
      <c r="C54" s="2" t="n"/>
      <c r="D54" s="2" t="n"/>
      <c r="E54" s="2" t="n"/>
      <c r="F54" s="2" t="n"/>
      <c r="G54" s="2" t="n"/>
      <c r="H54" s="2" t="n"/>
      <c r="I54" s="2" t="n"/>
      <c r="J54" s="2" t="n"/>
      <c r="K54" s="7">
        <f>IF($A54="","",$G54*0.3+$H54*0.25+$I54*0.25+$J54*0.2)</f>
        <v/>
      </c>
      <c r="L54" s="5">
        <f>IF($A54="","",IF($K54&gt;=4,"сильное преимущество",IF($K54&gt;=3,"умеренное преимущество",IF($K54&gt;=2,"слабое преимущество","недостаточно подтверждений"))))</f>
        <v/>
      </c>
      <c r="M54" s="2" t="n"/>
    </row>
    <row r="55">
      <c r="A55" s="2" t="n"/>
      <c r="B55" s="5">
        <f>IF($A55="","",IFERROR(VLOOKUP($A55,'02_Конкуренты'!$A\$4:$B\$203,2,FALSE),"не найдено"))</f>
        <v/>
      </c>
      <c r="C55" s="2" t="n"/>
      <c r="D55" s="2" t="n"/>
      <c r="E55" s="2" t="n"/>
      <c r="F55" s="2" t="n"/>
      <c r="G55" s="2" t="n"/>
      <c r="H55" s="2" t="n"/>
      <c r="I55" s="2" t="n"/>
      <c r="J55" s="2" t="n"/>
      <c r="K55" s="7">
        <f>IF($A55="","",$G55*0.3+$H55*0.25+$I55*0.25+$J55*0.2)</f>
        <v/>
      </c>
      <c r="L55" s="5">
        <f>IF($A55="","",IF($K55&gt;=4,"сильное преимущество",IF($K55&gt;=3,"умеренное преимущество",IF($K55&gt;=2,"слабое преимущество","недостаточно подтверждений"))))</f>
        <v/>
      </c>
      <c r="M55" s="2" t="n"/>
    </row>
    <row r="56">
      <c r="A56" s="2" t="n"/>
      <c r="B56" s="5">
        <f>IF($A56="","",IFERROR(VLOOKUP($A56,'02_Конкуренты'!$A\$4:$B\$203,2,FALSE),"не найдено"))</f>
        <v/>
      </c>
      <c r="C56" s="2" t="n"/>
      <c r="D56" s="2" t="n"/>
      <c r="E56" s="2" t="n"/>
      <c r="F56" s="2" t="n"/>
      <c r="G56" s="2" t="n"/>
      <c r="H56" s="2" t="n"/>
      <c r="I56" s="2" t="n"/>
      <c r="J56" s="2" t="n"/>
      <c r="K56" s="7">
        <f>IF($A56="","",$G56*0.3+$H56*0.25+$I56*0.25+$J56*0.2)</f>
        <v/>
      </c>
      <c r="L56" s="5">
        <f>IF($A56="","",IF($K56&gt;=4,"сильное преимущество",IF($K56&gt;=3,"умеренное преимущество",IF($K56&gt;=2,"слабое преимущество","недостаточно подтверждений"))))</f>
        <v/>
      </c>
      <c r="M56" s="2" t="n"/>
    </row>
    <row r="57">
      <c r="A57" s="2" t="n"/>
      <c r="B57" s="5">
        <f>IF($A57="","",IFERROR(VLOOKUP($A57,'02_Конкуренты'!$A\$4:$B\$203,2,FALSE),"не найдено"))</f>
        <v/>
      </c>
      <c r="C57" s="2" t="n"/>
      <c r="D57" s="2" t="n"/>
      <c r="E57" s="2" t="n"/>
      <c r="F57" s="2" t="n"/>
      <c r="G57" s="2" t="n"/>
      <c r="H57" s="2" t="n"/>
      <c r="I57" s="2" t="n"/>
      <c r="J57" s="2" t="n"/>
      <c r="K57" s="7">
        <f>IF($A57="","",$G57*0.3+$H57*0.25+$I57*0.25+$J57*0.2)</f>
        <v/>
      </c>
      <c r="L57" s="5">
        <f>IF($A57="","",IF($K57&gt;=4,"сильное преимущество",IF($K57&gt;=3,"умеренное преимущество",IF($K57&gt;=2,"слабое преимущество","недостаточно подтверждений"))))</f>
        <v/>
      </c>
      <c r="M57" s="2" t="n"/>
    </row>
    <row r="58">
      <c r="A58" s="2" t="n"/>
      <c r="B58" s="5">
        <f>IF($A58="","",IFERROR(VLOOKUP($A58,'02_Конкуренты'!$A\$4:$B\$203,2,FALSE),"не найдено"))</f>
        <v/>
      </c>
      <c r="C58" s="2" t="n"/>
      <c r="D58" s="2" t="n"/>
      <c r="E58" s="2" t="n"/>
      <c r="F58" s="2" t="n"/>
      <c r="G58" s="2" t="n"/>
      <c r="H58" s="2" t="n"/>
      <c r="I58" s="2" t="n"/>
      <c r="J58" s="2" t="n"/>
      <c r="K58" s="7">
        <f>IF($A58="","",$G58*0.3+$H58*0.25+$I58*0.25+$J58*0.2)</f>
        <v/>
      </c>
      <c r="L58" s="5">
        <f>IF($A58="","",IF($K58&gt;=4,"сильное преимущество",IF($K58&gt;=3,"умеренное преимущество",IF($K58&gt;=2,"слабое преимущество","недостаточно подтверждений"))))</f>
        <v/>
      </c>
      <c r="M58" s="2" t="n"/>
    </row>
    <row r="59">
      <c r="A59" s="2" t="n"/>
      <c r="B59" s="5">
        <f>IF($A59="","",IFERROR(VLOOKUP($A59,'02_Конкуренты'!$A\$4:$B\$203,2,FALSE),"не найдено"))</f>
        <v/>
      </c>
      <c r="C59" s="2" t="n"/>
      <c r="D59" s="2" t="n"/>
      <c r="E59" s="2" t="n"/>
      <c r="F59" s="2" t="n"/>
      <c r="G59" s="2" t="n"/>
      <c r="H59" s="2" t="n"/>
      <c r="I59" s="2" t="n"/>
      <c r="J59" s="2" t="n"/>
      <c r="K59" s="7">
        <f>IF($A59="","",$G59*0.3+$H59*0.25+$I59*0.25+$J59*0.2)</f>
        <v/>
      </c>
      <c r="L59" s="5">
        <f>IF($A59="","",IF($K59&gt;=4,"сильное преимущество",IF($K59&gt;=3,"умеренное преимущество",IF($K59&gt;=2,"слабое преимущество","недостаточно подтверждений"))))</f>
        <v/>
      </c>
      <c r="M59" s="2" t="n"/>
    </row>
    <row r="60">
      <c r="A60" s="2" t="n"/>
      <c r="B60" s="5">
        <f>IF($A60="","",IFERROR(VLOOKUP($A60,'02_Конкуренты'!$A\$4:$B\$203,2,FALSE),"не найдено"))</f>
        <v/>
      </c>
      <c r="C60" s="2" t="n"/>
      <c r="D60" s="2" t="n"/>
      <c r="E60" s="2" t="n"/>
      <c r="F60" s="2" t="n"/>
      <c r="G60" s="2" t="n"/>
      <c r="H60" s="2" t="n"/>
      <c r="I60" s="2" t="n"/>
      <c r="J60" s="2" t="n"/>
      <c r="K60" s="7">
        <f>IF($A60="","",$G60*0.3+$H60*0.25+$I60*0.25+$J60*0.2)</f>
        <v/>
      </c>
      <c r="L60" s="5">
        <f>IF($A60="","",IF($K60&gt;=4,"сильное преимущество",IF($K60&gt;=3,"умеренное преимущество",IF($K60&gt;=2,"слабое преимущество","недостаточно подтверждений"))))</f>
        <v/>
      </c>
      <c r="M60" s="2" t="n"/>
    </row>
    <row r="61">
      <c r="A61" s="2" t="n"/>
      <c r="B61" s="5">
        <f>IF($A61="","",IFERROR(VLOOKUP($A61,'02_Конкуренты'!$A\$4:$B\$203,2,FALSE),"не найдено"))</f>
        <v/>
      </c>
      <c r="C61" s="2" t="n"/>
      <c r="D61" s="2" t="n"/>
      <c r="E61" s="2" t="n"/>
      <c r="F61" s="2" t="n"/>
      <c r="G61" s="2" t="n"/>
      <c r="H61" s="2" t="n"/>
      <c r="I61" s="2" t="n"/>
      <c r="J61" s="2" t="n"/>
      <c r="K61" s="7">
        <f>IF($A61="","",$G61*0.3+$H61*0.25+$I61*0.25+$J61*0.2)</f>
        <v/>
      </c>
      <c r="L61" s="5">
        <f>IF($A61="","",IF($K61&gt;=4,"сильное преимущество",IF($K61&gt;=3,"умеренное преимущество",IF($K61&gt;=2,"слабое преимущество","недостаточно подтверждений"))))</f>
        <v/>
      </c>
      <c r="M61" s="2" t="n"/>
    </row>
    <row r="62">
      <c r="A62" s="2" t="n"/>
      <c r="B62" s="5">
        <f>IF($A62="","",IFERROR(VLOOKUP($A62,'02_Конкуренты'!$A\$4:$B\$203,2,FALSE),"не найдено"))</f>
        <v/>
      </c>
      <c r="C62" s="2" t="n"/>
      <c r="D62" s="2" t="n"/>
      <c r="E62" s="2" t="n"/>
      <c r="F62" s="2" t="n"/>
      <c r="G62" s="2" t="n"/>
      <c r="H62" s="2" t="n"/>
      <c r="I62" s="2" t="n"/>
      <c r="J62" s="2" t="n"/>
      <c r="K62" s="7">
        <f>IF($A62="","",$G62*0.3+$H62*0.25+$I62*0.25+$J62*0.2)</f>
        <v/>
      </c>
      <c r="L62" s="5">
        <f>IF($A62="","",IF($K62&gt;=4,"сильное преимущество",IF($K62&gt;=3,"умеренное преимущество",IF($K62&gt;=2,"слабое преимущество","недостаточно подтверждений"))))</f>
        <v/>
      </c>
      <c r="M62" s="2" t="n"/>
    </row>
    <row r="63">
      <c r="A63" s="2" t="n"/>
      <c r="B63" s="5">
        <f>IF($A63="","",IFERROR(VLOOKUP($A63,'02_Конкуренты'!$A\$4:$B\$203,2,FALSE),"не найдено"))</f>
        <v/>
      </c>
      <c r="C63" s="2" t="n"/>
      <c r="D63" s="2" t="n"/>
      <c r="E63" s="2" t="n"/>
      <c r="F63" s="2" t="n"/>
      <c r="G63" s="2" t="n"/>
      <c r="H63" s="2" t="n"/>
      <c r="I63" s="2" t="n"/>
      <c r="J63" s="2" t="n"/>
      <c r="K63" s="7">
        <f>IF($A63="","",$G63*0.3+$H63*0.25+$I63*0.25+$J63*0.2)</f>
        <v/>
      </c>
      <c r="L63" s="5">
        <f>IF($A63="","",IF($K63&gt;=4,"сильное преимущество",IF($K63&gt;=3,"умеренное преимущество",IF($K63&gt;=2,"слабое преимущество","недостаточно подтверждений"))))</f>
        <v/>
      </c>
      <c r="M63" s="2" t="n"/>
    </row>
    <row r="64">
      <c r="A64" s="2" t="n"/>
      <c r="B64" s="5">
        <f>IF($A64="","",IFERROR(VLOOKUP($A64,'02_Конкуренты'!$A\$4:$B\$203,2,FALSE),"не найдено"))</f>
        <v/>
      </c>
      <c r="C64" s="2" t="n"/>
      <c r="D64" s="2" t="n"/>
      <c r="E64" s="2" t="n"/>
      <c r="F64" s="2" t="n"/>
      <c r="G64" s="2" t="n"/>
      <c r="H64" s="2" t="n"/>
      <c r="I64" s="2" t="n"/>
      <c r="J64" s="2" t="n"/>
      <c r="K64" s="7">
        <f>IF($A64="","",$G64*0.3+$H64*0.25+$I64*0.25+$J64*0.2)</f>
        <v/>
      </c>
      <c r="L64" s="5">
        <f>IF($A64="","",IF($K64&gt;=4,"сильное преимущество",IF($K64&gt;=3,"умеренное преимущество",IF($K64&gt;=2,"слабое преимущество","недостаточно подтверждений"))))</f>
        <v/>
      </c>
      <c r="M64" s="2" t="n"/>
    </row>
    <row r="65">
      <c r="A65" s="2" t="n"/>
      <c r="B65" s="5">
        <f>IF($A65="","",IFERROR(VLOOKUP($A65,'02_Конкуренты'!$A\$4:$B\$203,2,FALSE),"не найдено"))</f>
        <v/>
      </c>
      <c r="C65" s="2" t="n"/>
      <c r="D65" s="2" t="n"/>
      <c r="E65" s="2" t="n"/>
      <c r="F65" s="2" t="n"/>
      <c r="G65" s="2" t="n"/>
      <c r="H65" s="2" t="n"/>
      <c r="I65" s="2" t="n"/>
      <c r="J65" s="2" t="n"/>
      <c r="K65" s="7">
        <f>IF($A65="","",$G65*0.3+$H65*0.25+$I65*0.25+$J65*0.2)</f>
        <v/>
      </c>
      <c r="L65" s="5">
        <f>IF($A65="","",IF($K65&gt;=4,"сильное преимущество",IF($K65&gt;=3,"умеренное преимущество",IF($K65&gt;=2,"слабое преимущество","недостаточно подтверждений"))))</f>
        <v/>
      </c>
      <c r="M65" s="2" t="n"/>
    </row>
    <row r="66">
      <c r="A66" s="2" t="n"/>
      <c r="B66" s="5">
        <f>IF($A66="","",IFERROR(VLOOKUP($A66,'02_Конкуренты'!$A\$4:$B\$203,2,FALSE),"не найдено"))</f>
        <v/>
      </c>
      <c r="C66" s="2" t="n"/>
      <c r="D66" s="2" t="n"/>
      <c r="E66" s="2" t="n"/>
      <c r="F66" s="2" t="n"/>
      <c r="G66" s="2" t="n"/>
      <c r="H66" s="2" t="n"/>
      <c r="I66" s="2" t="n"/>
      <c r="J66" s="2" t="n"/>
      <c r="K66" s="7">
        <f>IF($A66="","",$G66*0.3+$H66*0.25+$I66*0.25+$J66*0.2)</f>
        <v/>
      </c>
      <c r="L66" s="5">
        <f>IF($A66="","",IF($K66&gt;=4,"сильное преимущество",IF($K66&gt;=3,"умеренное преимущество",IF($K66&gt;=2,"слабое преимущество","недостаточно подтверждений"))))</f>
        <v/>
      </c>
      <c r="M66" s="2" t="n"/>
    </row>
    <row r="67">
      <c r="A67" s="2" t="n"/>
      <c r="B67" s="5">
        <f>IF($A67="","",IFERROR(VLOOKUP($A67,'02_Конкуренты'!$A\$4:$B\$203,2,FALSE),"не найдено"))</f>
        <v/>
      </c>
      <c r="C67" s="2" t="n"/>
      <c r="D67" s="2" t="n"/>
      <c r="E67" s="2" t="n"/>
      <c r="F67" s="2" t="n"/>
      <c r="G67" s="2" t="n"/>
      <c r="H67" s="2" t="n"/>
      <c r="I67" s="2" t="n"/>
      <c r="J67" s="2" t="n"/>
      <c r="K67" s="7">
        <f>IF($A67="","",$G67*0.3+$H67*0.25+$I67*0.25+$J67*0.2)</f>
        <v/>
      </c>
      <c r="L67" s="5">
        <f>IF($A67="","",IF($K67&gt;=4,"сильное преимущество",IF($K67&gt;=3,"умеренное преимущество",IF($K67&gt;=2,"слабое преимущество","недостаточно подтверждений"))))</f>
        <v/>
      </c>
      <c r="M67" s="2" t="n"/>
    </row>
    <row r="68">
      <c r="A68" s="2" t="n"/>
      <c r="B68" s="5">
        <f>IF($A68="","",IFERROR(VLOOKUP($A68,'02_Конкуренты'!$A\$4:$B\$203,2,FALSE),"не найдено"))</f>
        <v/>
      </c>
      <c r="C68" s="2" t="n"/>
      <c r="D68" s="2" t="n"/>
      <c r="E68" s="2" t="n"/>
      <c r="F68" s="2" t="n"/>
      <c r="G68" s="2" t="n"/>
      <c r="H68" s="2" t="n"/>
      <c r="I68" s="2" t="n"/>
      <c r="J68" s="2" t="n"/>
      <c r="K68" s="7">
        <f>IF($A68="","",$G68*0.3+$H68*0.25+$I68*0.25+$J68*0.2)</f>
        <v/>
      </c>
      <c r="L68" s="5">
        <f>IF($A68="","",IF($K68&gt;=4,"сильное преимущество",IF($K68&gt;=3,"умеренное преимущество",IF($K68&gt;=2,"слабое преимущество","недостаточно подтверждений"))))</f>
        <v/>
      </c>
      <c r="M68" s="2" t="n"/>
    </row>
    <row r="69">
      <c r="A69" s="2" t="n"/>
      <c r="B69" s="5">
        <f>IF($A69="","",IFERROR(VLOOKUP($A69,'02_Конкуренты'!$A\$4:$B\$203,2,FALSE),"не найдено"))</f>
        <v/>
      </c>
      <c r="C69" s="2" t="n"/>
      <c r="D69" s="2" t="n"/>
      <c r="E69" s="2" t="n"/>
      <c r="F69" s="2" t="n"/>
      <c r="G69" s="2" t="n"/>
      <c r="H69" s="2" t="n"/>
      <c r="I69" s="2" t="n"/>
      <c r="J69" s="2" t="n"/>
      <c r="K69" s="7">
        <f>IF($A69="","",$G69*0.3+$H69*0.25+$I69*0.25+$J69*0.2)</f>
        <v/>
      </c>
      <c r="L69" s="5">
        <f>IF($A69="","",IF($K69&gt;=4,"сильное преимущество",IF($K69&gt;=3,"умеренное преимущество",IF($K69&gt;=2,"слабое преимущество","недостаточно подтверждений"))))</f>
        <v/>
      </c>
      <c r="M69" s="2" t="n"/>
    </row>
    <row r="70">
      <c r="A70" s="2" t="n"/>
      <c r="B70" s="5">
        <f>IF($A70="","",IFERROR(VLOOKUP($A70,'02_Конкуренты'!$A\$4:$B\$203,2,FALSE),"не найдено"))</f>
        <v/>
      </c>
      <c r="C70" s="2" t="n"/>
      <c r="D70" s="2" t="n"/>
      <c r="E70" s="2" t="n"/>
      <c r="F70" s="2" t="n"/>
      <c r="G70" s="2" t="n"/>
      <c r="H70" s="2" t="n"/>
      <c r="I70" s="2" t="n"/>
      <c r="J70" s="2" t="n"/>
      <c r="K70" s="7">
        <f>IF($A70="","",$G70*0.3+$H70*0.25+$I70*0.25+$J70*0.2)</f>
        <v/>
      </c>
      <c r="L70" s="5">
        <f>IF($A70="","",IF($K70&gt;=4,"сильное преимущество",IF($K70&gt;=3,"умеренное преимущество",IF($K70&gt;=2,"слабое преимущество","недостаточно подтверждений"))))</f>
        <v/>
      </c>
      <c r="M70" s="2" t="n"/>
    </row>
    <row r="71">
      <c r="A71" s="2" t="n"/>
      <c r="B71" s="5">
        <f>IF($A71="","",IFERROR(VLOOKUP($A71,'02_Конкуренты'!$A\$4:$B\$203,2,FALSE),"не найдено"))</f>
        <v/>
      </c>
      <c r="C71" s="2" t="n"/>
      <c r="D71" s="2" t="n"/>
      <c r="E71" s="2" t="n"/>
      <c r="F71" s="2" t="n"/>
      <c r="G71" s="2" t="n"/>
      <c r="H71" s="2" t="n"/>
      <c r="I71" s="2" t="n"/>
      <c r="J71" s="2" t="n"/>
      <c r="K71" s="7">
        <f>IF($A71="","",$G71*0.3+$H71*0.25+$I71*0.25+$J71*0.2)</f>
        <v/>
      </c>
      <c r="L71" s="5">
        <f>IF($A71="","",IF($K71&gt;=4,"сильное преимущество",IF($K71&gt;=3,"умеренное преимущество",IF($K71&gt;=2,"слабое преимущество","недостаточно подтверждений"))))</f>
        <v/>
      </c>
      <c r="M71" s="2" t="n"/>
    </row>
    <row r="72">
      <c r="A72" s="2" t="n"/>
      <c r="B72" s="5">
        <f>IF($A72="","",IFERROR(VLOOKUP($A72,'02_Конкуренты'!$A\$4:$B\$203,2,FALSE),"не найдено"))</f>
        <v/>
      </c>
      <c r="C72" s="2" t="n"/>
      <c r="D72" s="2" t="n"/>
      <c r="E72" s="2" t="n"/>
      <c r="F72" s="2" t="n"/>
      <c r="G72" s="2" t="n"/>
      <c r="H72" s="2" t="n"/>
      <c r="I72" s="2" t="n"/>
      <c r="J72" s="2" t="n"/>
      <c r="K72" s="7">
        <f>IF($A72="","",$G72*0.3+$H72*0.25+$I72*0.25+$J72*0.2)</f>
        <v/>
      </c>
      <c r="L72" s="5">
        <f>IF($A72="","",IF($K72&gt;=4,"сильное преимущество",IF($K72&gt;=3,"умеренное преимущество",IF($K72&gt;=2,"слабое преимущество","недостаточно подтверждений"))))</f>
        <v/>
      </c>
      <c r="M72" s="2" t="n"/>
    </row>
    <row r="73">
      <c r="A73" s="2" t="n"/>
      <c r="B73" s="5">
        <f>IF($A73="","",IFERROR(VLOOKUP($A73,'02_Конкуренты'!$A\$4:$B\$203,2,FALSE),"не найдено"))</f>
        <v/>
      </c>
      <c r="C73" s="2" t="n"/>
      <c r="D73" s="2" t="n"/>
      <c r="E73" s="2" t="n"/>
      <c r="F73" s="2" t="n"/>
      <c r="G73" s="2" t="n"/>
      <c r="H73" s="2" t="n"/>
      <c r="I73" s="2" t="n"/>
      <c r="J73" s="2" t="n"/>
      <c r="K73" s="7">
        <f>IF($A73="","",$G73*0.3+$H73*0.25+$I73*0.25+$J73*0.2)</f>
        <v/>
      </c>
      <c r="L73" s="5">
        <f>IF($A73="","",IF($K73&gt;=4,"сильное преимущество",IF($K73&gt;=3,"умеренное преимущество",IF($K73&gt;=2,"слабое преимущество","недостаточно подтверждений"))))</f>
        <v/>
      </c>
      <c r="M73" s="2" t="n"/>
    </row>
    <row r="74">
      <c r="A74" s="2" t="n"/>
      <c r="B74" s="5">
        <f>IF($A74="","",IFERROR(VLOOKUP($A74,'02_Конкуренты'!$A\$4:$B\$203,2,FALSE),"не найдено"))</f>
        <v/>
      </c>
      <c r="C74" s="2" t="n"/>
      <c r="D74" s="2" t="n"/>
      <c r="E74" s="2" t="n"/>
      <c r="F74" s="2" t="n"/>
      <c r="G74" s="2" t="n"/>
      <c r="H74" s="2" t="n"/>
      <c r="I74" s="2" t="n"/>
      <c r="J74" s="2" t="n"/>
      <c r="K74" s="7">
        <f>IF($A74="","",$G74*0.3+$H74*0.25+$I74*0.25+$J74*0.2)</f>
        <v/>
      </c>
      <c r="L74" s="5">
        <f>IF($A74="","",IF($K74&gt;=4,"сильное преимущество",IF($K74&gt;=3,"умеренное преимущество",IF($K74&gt;=2,"слабое преимущество","недостаточно подтверждений"))))</f>
        <v/>
      </c>
      <c r="M74" s="2" t="n"/>
    </row>
    <row r="75">
      <c r="A75" s="2" t="n"/>
      <c r="B75" s="5">
        <f>IF($A75="","",IFERROR(VLOOKUP($A75,'02_Конкуренты'!$A\$4:$B\$203,2,FALSE),"не найдено"))</f>
        <v/>
      </c>
      <c r="C75" s="2" t="n"/>
      <c r="D75" s="2" t="n"/>
      <c r="E75" s="2" t="n"/>
      <c r="F75" s="2" t="n"/>
      <c r="G75" s="2" t="n"/>
      <c r="H75" s="2" t="n"/>
      <c r="I75" s="2" t="n"/>
      <c r="J75" s="2" t="n"/>
      <c r="K75" s="7">
        <f>IF($A75="","",$G75*0.3+$H75*0.25+$I75*0.25+$J75*0.2)</f>
        <v/>
      </c>
      <c r="L75" s="5">
        <f>IF($A75="","",IF($K75&gt;=4,"сильное преимущество",IF($K75&gt;=3,"умеренное преимущество",IF($K75&gt;=2,"слабое преимущество","недостаточно подтверждений"))))</f>
        <v/>
      </c>
      <c r="M75" s="2" t="n"/>
    </row>
    <row r="76">
      <c r="A76" s="2" t="n"/>
      <c r="B76" s="5">
        <f>IF($A76="","",IFERROR(VLOOKUP($A76,'02_Конкуренты'!$A\$4:$B\$203,2,FALSE),"не найдено"))</f>
        <v/>
      </c>
      <c r="C76" s="2" t="n"/>
      <c r="D76" s="2" t="n"/>
      <c r="E76" s="2" t="n"/>
      <c r="F76" s="2" t="n"/>
      <c r="G76" s="2" t="n"/>
      <c r="H76" s="2" t="n"/>
      <c r="I76" s="2" t="n"/>
      <c r="J76" s="2" t="n"/>
      <c r="K76" s="7">
        <f>IF($A76="","",$G76*0.3+$H76*0.25+$I76*0.25+$J76*0.2)</f>
        <v/>
      </c>
      <c r="L76" s="5">
        <f>IF($A76="","",IF($K76&gt;=4,"сильное преимущество",IF($K76&gt;=3,"умеренное преимущество",IF($K76&gt;=2,"слабое преимущество","недостаточно подтверждений"))))</f>
        <v/>
      </c>
      <c r="M76" s="2" t="n"/>
    </row>
    <row r="77">
      <c r="A77" s="2" t="n"/>
      <c r="B77" s="5">
        <f>IF($A77="","",IFERROR(VLOOKUP($A77,'02_Конкуренты'!$A\$4:$B\$203,2,FALSE),"не найдено"))</f>
        <v/>
      </c>
      <c r="C77" s="2" t="n"/>
      <c r="D77" s="2" t="n"/>
      <c r="E77" s="2" t="n"/>
      <c r="F77" s="2" t="n"/>
      <c r="G77" s="2" t="n"/>
      <c r="H77" s="2" t="n"/>
      <c r="I77" s="2" t="n"/>
      <c r="J77" s="2" t="n"/>
      <c r="K77" s="7">
        <f>IF($A77="","",$G77*0.3+$H77*0.25+$I77*0.25+$J77*0.2)</f>
        <v/>
      </c>
      <c r="L77" s="5">
        <f>IF($A77="","",IF($K77&gt;=4,"сильное преимущество",IF($K77&gt;=3,"умеренное преимущество",IF($K77&gt;=2,"слабое преимущество","недостаточно подтверждений"))))</f>
        <v/>
      </c>
      <c r="M77" s="2" t="n"/>
    </row>
    <row r="78">
      <c r="A78" s="2" t="n"/>
      <c r="B78" s="5">
        <f>IF($A78="","",IFERROR(VLOOKUP($A78,'02_Конкуренты'!$A\$4:$B\$203,2,FALSE),"не найдено"))</f>
        <v/>
      </c>
      <c r="C78" s="2" t="n"/>
      <c r="D78" s="2" t="n"/>
      <c r="E78" s="2" t="n"/>
      <c r="F78" s="2" t="n"/>
      <c r="G78" s="2" t="n"/>
      <c r="H78" s="2" t="n"/>
      <c r="I78" s="2" t="n"/>
      <c r="J78" s="2" t="n"/>
      <c r="K78" s="7">
        <f>IF($A78="","",$G78*0.3+$H78*0.25+$I78*0.25+$J78*0.2)</f>
        <v/>
      </c>
      <c r="L78" s="5">
        <f>IF($A78="","",IF($K78&gt;=4,"сильное преимущество",IF($K78&gt;=3,"умеренное преимущество",IF($K78&gt;=2,"слабое преимущество","недостаточно подтверждений"))))</f>
        <v/>
      </c>
      <c r="M78" s="2" t="n"/>
    </row>
    <row r="79">
      <c r="A79" s="2" t="n"/>
      <c r="B79" s="5">
        <f>IF($A79="","",IFERROR(VLOOKUP($A79,'02_Конкуренты'!$A\$4:$B\$203,2,FALSE),"не найдено"))</f>
        <v/>
      </c>
      <c r="C79" s="2" t="n"/>
      <c r="D79" s="2" t="n"/>
      <c r="E79" s="2" t="n"/>
      <c r="F79" s="2" t="n"/>
      <c r="G79" s="2" t="n"/>
      <c r="H79" s="2" t="n"/>
      <c r="I79" s="2" t="n"/>
      <c r="J79" s="2" t="n"/>
      <c r="K79" s="7">
        <f>IF($A79="","",$G79*0.3+$H79*0.25+$I79*0.25+$J79*0.2)</f>
        <v/>
      </c>
      <c r="L79" s="5">
        <f>IF($A79="","",IF($K79&gt;=4,"сильное преимущество",IF($K79&gt;=3,"умеренное преимущество",IF($K79&gt;=2,"слабое преимущество","недостаточно подтверждений"))))</f>
        <v/>
      </c>
      <c r="M79" s="2" t="n"/>
    </row>
    <row r="80">
      <c r="A80" s="2" t="n"/>
      <c r="B80" s="5">
        <f>IF($A80="","",IFERROR(VLOOKUP($A80,'02_Конкуренты'!$A\$4:$B\$203,2,FALSE),"не найдено"))</f>
        <v/>
      </c>
      <c r="C80" s="2" t="n"/>
      <c r="D80" s="2" t="n"/>
      <c r="E80" s="2" t="n"/>
      <c r="F80" s="2" t="n"/>
      <c r="G80" s="2" t="n"/>
      <c r="H80" s="2" t="n"/>
      <c r="I80" s="2" t="n"/>
      <c r="J80" s="2" t="n"/>
      <c r="K80" s="7">
        <f>IF($A80="","",$G80*0.3+$H80*0.25+$I80*0.25+$J80*0.2)</f>
        <v/>
      </c>
      <c r="L80" s="5">
        <f>IF($A80="","",IF($K80&gt;=4,"сильное преимущество",IF($K80&gt;=3,"умеренное преимущество",IF($K80&gt;=2,"слабое преимущество","недостаточно подтверждений"))))</f>
        <v/>
      </c>
      <c r="M80" s="2" t="n"/>
    </row>
    <row r="81">
      <c r="A81" s="2" t="n"/>
      <c r="B81" s="5">
        <f>IF($A81="","",IFERROR(VLOOKUP($A81,'02_Конкуренты'!$A\$4:$B\$203,2,FALSE),"не найдено"))</f>
        <v/>
      </c>
      <c r="C81" s="2" t="n"/>
      <c r="D81" s="2" t="n"/>
      <c r="E81" s="2" t="n"/>
      <c r="F81" s="2" t="n"/>
      <c r="G81" s="2" t="n"/>
      <c r="H81" s="2" t="n"/>
      <c r="I81" s="2" t="n"/>
      <c r="J81" s="2" t="n"/>
      <c r="K81" s="7">
        <f>IF($A81="","",$G81*0.3+$H81*0.25+$I81*0.25+$J81*0.2)</f>
        <v/>
      </c>
      <c r="L81" s="5">
        <f>IF($A81="","",IF($K81&gt;=4,"сильное преимущество",IF($K81&gt;=3,"умеренное преимущество",IF($K81&gt;=2,"слабое преимущество","недостаточно подтверждений"))))</f>
        <v/>
      </c>
      <c r="M81" s="2" t="n"/>
    </row>
    <row r="82">
      <c r="A82" s="2" t="n"/>
      <c r="B82" s="5">
        <f>IF($A82="","",IFERROR(VLOOKUP($A82,'02_Конкуренты'!$A\$4:$B\$203,2,FALSE),"не найдено"))</f>
        <v/>
      </c>
      <c r="C82" s="2" t="n"/>
      <c r="D82" s="2" t="n"/>
      <c r="E82" s="2" t="n"/>
      <c r="F82" s="2" t="n"/>
      <c r="G82" s="2" t="n"/>
      <c r="H82" s="2" t="n"/>
      <c r="I82" s="2" t="n"/>
      <c r="J82" s="2" t="n"/>
      <c r="K82" s="7">
        <f>IF($A82="","",$G82*0.3+$H82*0.25+$I82*0.25+$J82*0.2)</f>
        <v/>
      </c>
      <c r="L82" s="5">
        <f>IF($A82="","",IF($K82&gt;=4,"сильное преимущество",IF($K82&gt;=3,"умеренное преимущество",IF($K82&gt;=2,"слабое преимущество","недостаточно подтверждений"))))</f>
        <v/>
      </c>
      <c r="M82" s="2" t="n"/>
    </row>
    <row r="83">
      <c r="A83" s="2" t="n"/>
      <c r="B83" s="5">
        <f>IF($A83="","",IFERROR(VLOOKUP($A83,'02_Конкуренты'!$A\$4:$B\$203,2,FALSE),"не найдено"))</f>
        <v/>
      </c>
      <c r="C83" s="2" t="n"/>
      <c r="D83" s="2" t="n"/>
      <c r="E83" s="2" t="n"/>
      <c r="F83" s="2" t="n"/>
      <c r="G83" s="2" t="n"/>
      <c r="H83" s="2" t="n"/>
      <c r="I83" s="2" t="n"/>
      <c r="J83" s="2" t="n"/>
      <c r="K83" s="7">
        <f>IF($A83="","",$G83*0.3+$H83*0.25+$I83*0.25+$J83*0.2)</f>
        <v/>
      </c>
      <c r="L83" s="5">
        <f>IF($A83="","",IF($K83&gt;=4,"сильное преимущество",IF($K83&gt;=3,"умеренное преимущество",IF($K83&gt;=2,"слабое преимущество","недостаточно подтверждений"))))</f>
        <v/>
      </c>
      <c r="M83" s="2" t="n"/>
    </row>
    <row r="84">
      <c r="A84" s="2" t="n"/>
      <c r="B84" s="5">
        <f>IF($A84="","",IFERROR(VLOOKUP($A84,'02_Конкуренты'!$A\$4:$B\$203,2,FALSE),"не найдено"))</f>
        <v/>
      </c>
      <c r="C84" s="2" t="n"/>
      <c r="D84" s="2" t="n"/>
      <c r="E84" s="2" t="n"/>
      <c r="F84" s="2" t="n"/>
      <c r="G84" s="2" t="n"/>
      <c r="H84" s="2" t="n"/>
      <c r="I84" s="2" t="n"/>
      <c r="J84" s="2" t="n"/>
      <c r="K84" s="7">
        <f>IF($A84="","",$G84*0.3+$H84*0.25+$I84*0.25+$J84*0.2)</f>
        <v/>
      </c>
      <c r="L84" s="5">
        <f>IF($A84="","",IF($K84&gt;=4,"сильное преимущество",IF($K84&gt;=3,"умеренное преимущество",IF($K84&gt;=2,"слабое преимущество","недостаточно подтверждений"))))</f>
        <v/>
      </c>
      <c r="M84" s="2" t="n"/>
    </row>
    <row r="85">
      <c r="A85" s="2" t="n"/>
      <c r="B85" s="5">
        <f>IF($A85="","",IFERROR(VLOOKUP($A85,'02_Конкуренты'!$A\$4:$B\$203,2,FALSE),"не найдено"))</f>
        <v/>
      </c>
      <c r="C85" s="2" t="n"/>
      <c r="D85" s="2" t="n"/>
      <c r="E85" s="2" t="n"/>
      <c r="F85" s="2" t="n"/>
      <c r="G85" s="2" t="n"/>
      <c r="H85" s="2" t="n"/>
      <c r="I85" s="2" t="n"/>
      <c r="J85" s="2" t="n"/>
      <c r="K85" s="7">
        <f>IF($A85="","",$G85*0.3+$H85*0.25+$I85*0.25+$J85*0.2)</f>
        <v/>
      </c>
      <c r="L85" s="5">
        <f>IF($A85="","",IF($K85&gt;=4,"сильное преимущество",IF($K85&gt;=3,"умеренное преимущество",IF($K85&gt;=2,"слабое преимущество","недостаточно подтверждений"))))</f>
        <v/>
      </c>
      <c r="M85" s="2" t="n"/>
    </row>
    <row r="86">
      <c r="A86" s="2" t="n"/>
      <c r="B86" s="5">
        <f>IF($A86="","",IFERROR(VLOOKUP($A86,'02_Конкуренты'!$A\$4:$B\$203,2,FALSE),"не найдено"))</f>
        <v/>
      </c>
      <c r="C86" s="2" t="n"/>
      <c r="D86" s="2" t="n"/>
      <c r="E86" s="2" t="n"/>
      <c r="F86" s="2" t="n"/>
      <c r="G86" s="2" t="n"/>
      <c r="H86" s="2" t="n"/>
      <c r="I86" s="2" t="n"/>
      <c r="J86" s="2" t="n"/>
      <c r="K86" s="7">
        <f>IF($A86="","",$G86*0.3+$H86*0.25+$I86*0.25+$J86*0.2)</f>
        <v/>
      </c>
      <c r="L86" s="5">
        <f>IF($A86="","",IF($K86&gt;=4,"сильное преимущество",IF($K86&gt;=3,"умеренное преимущество",IF($K86&gt;=2,"слабое преимущество","недостаточно подтверждений"))))</f>
        <v/>
      </c>
      <c r="M86" s="2" t="n"/>
    </row>
    <row r="87">
      <c r="A87" s="2" t="n"/>
      <c r="B87" s="5">
        <f>IF($A87="","",IFERROR(VLOOKUP($A87,'02_Конкуренты'!$A\$4:$B\$203,2,FALSE),"не найдено"))</f>
        <v/>
      </c>
      <c r="C87" s="2" t="n"/>
      <c r="D87" s="2" t="n"/>
      <c r="E87" s="2" t="n"/>
      <c r="F87" s="2" t="n"/>
      <c r="G87" s="2" t="n"/>
      <c r="H87" s="2" t="n"/>
      <c r="I87" s="2" t="n"/>
      <c r="J87" s="2" t="n"/>
      <c r="K87" s="7">
        <f>IF($A87="","",$G87*0.3+$H87*0.25+$I87*0.25+$J87*0.2)</f>
        <v/>
      </c>
      <c r="L87" s="5">
        <f>IF($A87="","",IF($K87&gt;=4,"сильное преимущество",IF($K87&gt;=3,"умеренное преимущество",IF($K87&gt;=2,"слабое преимущество","недостаточно подтверждений"))))</f>
        <v/>
      </c>
      <c r="M87" s="2" t="n"/>
    </row>
    <row r="88">
      <c r="A88" s="2" t="n"/>
      <c r="B88" s="5">
        <f>IF($A88="","",IFERROR(VLOOKUP($A88,'02_Конкуренты'!$A\$4:$B\$203,2,FALSE),"не найдено"))</f>
        <v/>
      </c>
      <c r="C88" s="2" t="n"/>
      <c r="D88" s="2" t="n"/>
      <c r="E88" s="2" t="n"/>
      <c r="F88" s="2" t="n"/>
      <c r="G88" s="2" t="n"/>
      <c r="H88" s="2" t="n"/>
      <c r="I88" s="2" t="n"/>
      <c r="J88" s="2" t="n"/>
      <c r="K88" s="7">
        <f>IF($A88="","",$G88*0.3+$H88*0.25+$I88*0.25+$J88*0.2)</f>
        <v/>
      </c>
      <c r="L88" s="5">
        <f>IF($A88="","",IF($K88&gt;=4,"сильное преимущество",IF($K88&gt;=3,"умеренное преимущество",IF($K88&gt;=2,"слабое преимущество","недостаточно подтверждений"))))</f>
        <v/>
      </c>
      <c r="M88" s="2" t="n"/>
    </row>
    <row r="89">
      <c r="A89" s="2" t="n"/>
      <c r="B89" s="5">
        <f>IF($A89="","",IFERROR(VLOOKUP($A89,'02_Конкуренты'!$A\$4:$B\$203,2,FALSE),"не найдено"))</f>
        <v/>
      </c>
      <c r="C89" s="2" t="n"/>
      <c r="D89" s="2" t="n"/>
      <c r="E89" s="2" t="n"/>
      <c r="F89" s="2" t="n"/>
      <c r="G89" s="2" t="n"/>
      <c r="H89" s="2" t="n"/>
      <c r="I89" s="2" t="n"/>
      <c r="J89" s="2" t="n"/>
      <c r="K89" s="7">
        <f>IF($A89="","",$G89*0.3+$H89*0.25+$I89*0.25+$J89*0.2)</f>
        <v/>
      </c>
      <c r="L89" s="5">
        <f>IF($A89="","",IF($K89&gt;=4,"сильное преимущество",IF($K89&gt;=3,"умеренное преимущество",IF($K89&gt;=2,"слабое преимущество","недостаточно подтверждений"))))</f>
        <v/>
      </c>
      <c r="M89" s="2" t="n"/>
    </row>
    <row r="90">
      <c r="A90" s="2" t="n"/>
      <c r="B90" s="5">
        <f>IF($A90="","",IFERROR(VLOOKUP($A90,'02_Конкуренты'!$A\$4:$B\$203,2,FALSE),"не найдено"))</f>
        <v/>
      </c>
      <c r="C90" s="2" t="n"/>
      <c r="D90" s="2" t="n"/>
      <c r="E90" s="2" t="n"/>
      <c r="F90" s="2" t="n"/>
      <c r="G90" s="2" t="n"/>
      <c r="H90" s="2" t="n"/>
      <c r="I90" s="2" t="n"/>
      <c r="J90" s="2" t="n"/>
      <c r="K90" s="7">
        <f>IF($A90="","",$G90*0.3+$H90*0.25+$I90*0.25+$J90*0.2)</f>
        <v/>
      </c>
      <c r="L90" s="5">
        <f>IF($A90="","",IF($K90&gt;=4,"сильное преимущество",IF($K90&gt;=3,"умеренное преимущество",IF($K90&gt;=2,"слабое преимущество","недостаточно подтверждений"))))</f>
        <v/>
      </c>
      <c r="M90" s="2" t="n"/>
    </row>
    <row r="91">
      <c r="A91" s="2" t="n"/>
      <c r="B91" s="5">
        <f>IF($A91="","",IFERROR(VLOOKUP($A91,'02_Конкуренты'!$A\$4:$B\$203,2,FALSE),"не найдено"))</f>
        <v/>
      </c>
      <c r="C91" s="2" t="n"/>
      <c r="D91" s="2" t="n"/>
      <c r="E91" s="2" t="n"/>
      <c r="F91" s="2" t="n"/>
      <c r="G91" s="2" t="n"/>
      <c r="H91" s="2" t="n"/>
      <c r="I91" s="2" t="n"/>
      <c r="J91" s="2" t="n"/>
      <c r="K91" s="7">
        <f>IF($A91="","",$G91*0.3+$H91*0.25+$I91*0.25+$J91*0.2)</f>
        <v/>
      </c>
      <c r="L91" s="5">
        <f>IF($A91="","",IF($K91&gt;=4,"сильное преимущество",IF($K91&gt;=3,"умеренное преимущество",IF($K91&gt;=2,"слабое преимущество","недостаточно подтверждений"))))</f>
        <v/>
      </c>
      <c r="M91" s="2" t="n"/>
    </row>
    <row r="92">
      <c r="A92" s="2" t="n"/>
      <c r="B92" s="5">
        <f>IF($A92="","",IFERROR(VLOOKUP($A92,'02_Конкуренты'!$A\$4:$B\$203,2,FALSE),"не найдено"))</f>
        <v/>
      </c>
      <c r="C92" s="2" t="n"/>
      <c r="D92" s="2" t="n"/>
      <c r="E92" s="2" t="n"/>
      <c r="F92" s="2" t="n"/>
      <c r="G92" s="2" t="n"/>
      <c r="H92" s="2" t="n"/>
      <c r="I92" s="2" t="n"/>
      <c r="J92" s="2" t="n"/>
      <c r="K92" s="7">
        <f>IF($A92="","",$G92*0.3+$H92*0.25+$I92*0.25+$J92*0.2)</f>
        <v/>
      </c>
      <c r="L92" s="5">
        <f>IF($A92="","",IF($K92&gt;=4,"сильное преимущество",IF($K92&gt;=3,"умеренное преимущество",IF($K92&gt;=2,"слабое преимущество","недостаточно подтверждений"))))</f>
        <v/>
      </c>
      <c r="M92" s="2" t="n"/>
    </row>
    <row r="93">
      <c r="A93" s="2" t="n"/>
      <c r="B93" s="5">
        <f>IF($A93="","",IFERROR(VLOOKUP($A93,'02_Конкуренты'!$A\$4:$B\$203,2,FALSE),"не найдено"))</f>
        <v/>
      </c>
      <c r="C93" s="2" t="n"/>
      <c r="D93" s="2" t="n"/>
      <c r="E93" s="2" t="n"/>
      <c r="F93" s="2" t="n"/>
      <c r="G93" s="2" t="n"/>
      <c r="H93" s="2" t="n"/>
      <c r="I93" s="2" t="n"/>
      <c r="J93" s="2" t="n"/>
      <c r="K93" s="7">
        <f>IF($A93="","",$G93*0.3+$H93*0.25+$I93*0.25+$J93*0.2)</f>
        <v/>
      </c>
      <c r="L93" s="5">
        <f>IF($A93="","",IF($K93&gt;=4,"сильное преимущество",IF($K93&gt;=3,"умеренное преимущество",IF($K93&gt;=2,"слабое преимущество","недостаточно подтверждений"))))</f>
        <v/>
      </c>
      <c r="M93" s="2" t="n"/>
    </row>
    <row r="94">
      <c r="A94" s="2" t="n"/>
      <c r="B94" s="5">
        <f>IF($A94="","",IFERROR(VLOOKUP($A94,'02_Конкуренты'!$A\$4:$B\$203,2,FALSE),"не найдено"))</f>
        <v/>
      </c>
      <c r="C94" s="2" t="n"/>
      <c r="D94" s="2" t="n"/>
      <c r="E94" s="2" t="n"/>
      <c r="F94" s="2" t="n"/>
      <c r="G94" s="2" t="n"/>
      <c r="H94" s="2" t="n"/>
      <c r="I94" s="2" t="n"/>
      <c r="J94" s="2" t="n"/>
      <c r="K94" s="7">
        <f>IF($A94="","",$G94*0.3+$H94*0.25+$I94*0.25+$J94*0.2)</f>
        <v/>
      </c>
      <c r="L94" s="5">
        <f>IF($A94="","",IF($K94&gt;=4,"сильное преимущество",IF($K94&gt;=3,"умеренное преимущество",IF($K94&gt;=2,"слабое преимущество","недостаточно подтверждений"))))</f>
        <v/>
      </c>
      <c r="M94" s="2" t="n"/>
    </row>
    <row r="95">
      <c r="A95" s="2" t="n"/>
      <c r="B95" s="5">
        <f>IF($A95="","",IFERROR(VLOOKUP($A95,'02_Конкуренты'!$A\$4:$B\$203,2,FALSE),"не найдено"))</f>
        <v/>
      </c>
      <c r="C95" s="2" t="n"/>
      <c r="D95" s="2" t="n"/>
      <c r="E95" s="2" t="n"/>
      <c r="F95" s="2" t="n"/>
      <c r="G95" s="2" t="n"/>
      <c r="H95" s="2" t="n"/>
      <c r="I95" s="2" t="n"/>
      <c r="J95" s="2" t="n"/>
      <c r="K95" s="7">
        <f>IF($A95="","",$G95*0.3+$H95*0.25+$I95*0.25+$J95*0.2)</f>
        <v/>
      </c>
      <c r="L95" s="5">
        <f>IF($A95="","",IF($K95&gt;=4,"сильное преимущество",IF($K95&gt;=3,"умеренное преимущество",IF($K95&gt;=2,"слабое преимущество","недостаточно подтверждений"))))</f>
        <v/>
      </c>
      <c r="M95" s="2" t="n"/>
    </row>
    <row r="96">
      <c r="A96" s="2" t="n"/>
      <c r="B96" s="5">
        <f>IF($A96="","",IFERROR(VLOOKUP($A96,'02_Конкуренты'!$A\$4:$B\$203,2,FALSE),"не найдено"))</f>
        <v/>
      </c>
      <c r="C96" s="2" t="n"/>
      <c r="D96" s="2" t="n"/>
      <c r="E96" s="2" t="n"/>
      <c r="F96" s="2" t="n"/>
      <c r="G96" s="2" t="n"/>
      <c r="H96" s="2" t="n"/>
      <c r="I96" s="2" t="n"/>
      <c r="J96" s="2" t="n"/>
      <c r="K96" s="7">
        <f>IF($A96="","",$G96*0.3+$H96*0.25+$I96*0.25+$J96*0.2)</f>
        <v/>
      </c>
      <c r="L96" s="5">
        <f>IF($A96="","",IF($K96&gt;=4,"сильное преимущество",IF($K96&gt;=3,"умеренное преимущество",IF($K96&gt;=2,"слабое преимущество","недостаточно подтверждений"))))</f>
        <v/>
      </c>
      <c r="M96" s="2" t="n"/>
    </row>
    <row r="97">
      <c r="A97" s="2" t="n"/>
      <c r="B97" s="5">
        <f>IF($A97="","",IFERROR(VLOOKUP($A97,'02_Конкуренты'!$A\$4:$B\$203,2,FALSE),"не найдено"))</f>
        <v/>
      </c>
      <c r="C97" s="2" t="n"/>
      <c r="D97" s="2" t="n"/>
      <c r="E97" s="2" t="n"/>
      <c r="F97" s="2" t="n"/>
      <c r="G97" s="2" t="n"/>
      <c r="H97" s="2" t="n"/>
      <c r="I97" s="2" t="n"/>
      <c r="J97" s="2" t="n"/>
      <c r="K97" s="7">
        <f>IF($A97="","",$G97*0.3+$H97*0.25+$I97*0.25+$J97*0.2)</f>
        <v/>
      </c>
      <c r="L97" s="5">
        <f>IF($A97="","",IF($K97&gt;=4,"сильное преимущество",IF($K97&gt;=3,"умеренное преимущество",IF($K97&gt;=2,"слабое преимущество","недостаточно подтверждений"))))</f>
        <v/>
      </c>
      <c r="M97" s="2" t="n"/>
    </row>
    <row r="98">
      <c r="A98" s="2" t="n"/>
      <c r="B98" s="5">
        <f>IF($A98="","",IFERROR(VLOOKUP($A98,'02_Конкуренты'!$A\$4:$B\$203,2,FALSE),"не найдено"))</f>
        <v/>
      </c>
      <c r="C98" s="2" t="n"/>
      <c r="D98" s="2" t="n"/>
      <c r="E98" s="2" t="n"/>
      <c r="F98" s="2" t="n"/>
      <c r="G98" s="2" t="n"/>
      <c r="H98" s="2" t="n"/>
      <c r="I98" s="2" t="n"/>
      <c r="J98" s="2" t="n"/>
      <c r="K98" s="7">
        <f>IF($A98="","",$G98*0.3+$H98*0.25+$I98*0.25+$J98*0.2)</f>
        <v/>
      </c>
      <c r="L98" s="5">
        <f>IF($A98="","",IF($K98&gt;=4,"сильное преимущество",IF($K98&gt;=3,"умеренное преимущество",IF($K98&gt;=2,"слабое преимущество","недостаточно подтверждений"))))</f>
        <v/>
      </c>
      <c r="M98" s="2" t="n"/>
    </row>
    <row r="99">
      <c r="A99" s="2" t="n"/>
      <c r="B99" s="5">
        <f>IF($A99="","",IFERROR(VLOOKUP($A99,'02_Конкуренты'!$A\$4:$B\$203,2,FALSE),"не найдено"))</f>
        <v/>
      </c>
      <c r="C99" s="2" t="n"/>
      <c r="D99" s="2" t="n"/>
      <c r="E99" s="2" t="n"/>
      <c r="F99" s="2" t="n"/>
      <c r="G99" s="2" t="n"/>
      <c r="H99" s="2" t="n"/>
      <c r="I99" s="2" t="n"/>
      <c r="J99" s="2" t="n"/>
      <c r="K99" s="7">
        <f>IF($A99="","",$G99*0.3+$H99*0.25+$I99*0.25+$J99*0.2)</f>
        <v/>
      </c>
      <c r="L99" s="5">
        <f>IF($A99="","",IF($K99&gt;=4,"сильное преимущество",IF($K99&gt;=3,"умеренное преимущество",IF($K99&gt;=2,"слабое преимущество","недостаточно подтверждений"))))</f>
        <v/>
      </c>
      <c r="M99" s="2" t="n"/>
    </row>
    <row r="100">
      <c r="A100" s="2" t="n"/>
      <c r="B100" s="5">
        <f>IF($A100="","",IFERROR(VLOOKUP($A100,'02_Конкуренты'!$A\$4:$B\$203,2,FALSE),"не найдено"))</f>
        <v/>
      </c>
      <c r="C100" s="2" t="n"/>
      <c r="D100" s="2" t="n"/>
      <c r="E100" s="2" t="n"/>
      <c r="F100" s="2" t="n"/>
      <c r="G100" s="2" t="n"/>
      <c r="H100" s="2" t="n"/>
      <c r="I100" s="2" t="n"/>
      <c r="J100" s="2" t="n"/>
      <c r="K100" s="7">
        <f>IF($A100="","",$G100*0.3+$H100*0.25+$I100*0.25+$J100*0.2)</f>
        <v/>
      </c>
      <c r="L100" s="5">
        <f>IF($A100="","",IF($K100&gt;=4,"сильное преимущество",IF($K100&gt;=3,"умеренное преимущество",IF($K100&gt;=2,"слабое преимущество","недостаточно подтверждений"))))</f>
        <v/>
      </c>
      <c r="M100" s="2" t="n"/>
    </row>
    <row r="101">
      <c r="A101" s="2" t="n"/>
      <c r="B101" s="5">
        <f>IF($A101="","",IFERROR(VLOOKUP($A101,'02_Конкуренты'!$A\$4:$B\$203,2,FALSE),"не найдено"))</f>
        <v/>
      </c>
      <c r="C101" s="2" t="n"/>
      <c r="D101" s="2" t="n"/>
      <c r="E101" s="2" t="n"/>
      <c r="F101" s="2" t="n"/>
      <c r="G101" s="2" t="n"/>
      <c r="H101" s="2" t="n"/>
      <c r="I101" s="2" t="n"/>
      <c r="J101" s="2" t="n"/>
      <c r="K101" s="7">
        <f>IF($A101="","",$G101*0.3+$H101*0.25+$I101*0.25+$J101*0.2)</f>
        <v/>
      </c>
      <c r="L101" s="5">
        <f>IF($A101="","",IF($K101&gt;=4,"сильное преимущество",IF($K101&gt;=3,"умеренное преимущество",IF($K101&gt;=2,"слабое преимущество","недостаточно подтверждений"))))</f>
        <v/>
      </c>
      <c r="M101" s="2" t="n"/>
    </row>
    <row r="102">
      <c r="A102" s="2" t="n"/>
      <c r="B102" s="5">
        <f>IF($A102="","",IFERROR(VLOOKUP($A102,'02_Конкуренты'!$A\$4:$B\$203,2,FALSE),"не найдено"))</f>
        <v/>
      </c>
      <c r="C102" s="2" t="n"/>
      <c r="D102" s="2" t="n"/>
      <c r="E102" s="2" t="n"/>
      <c r="F102" s="2" t="n"/>
      <c r="G102" s="2" t="n"/>
      <c r="H102" s="2" t="n"/>
      <c r="I102" s="2" t="n"/>
      <c r="J102" s="2" t="n"/>
      <c r="K102" s="7">
        <f>IF($A102="","",$G102*0.3+$H102*0.25+$I102*0.25+$J102*0.2)</f>
        <v/>
      </c>
      <c r="L102" s="5">
        <f>IF($A102="","",IF($K102&gt;=4,"сильное преимущество",IF($K102&gt;=3,"умеренное преимущество",IF($K102&gt;=2,"слабое преимущество","недостаточно подтверждений"))))</f>
        <v/>
      </c>
      <c r="M102" s="2" t="n"/>
    </row>
    <row r="103">
      <c r="A103" s="2" t="n"/>
      <c r="B103" s="5">
        <f>IF($A103="","",IFERROR(VLOOKUP($A103,'02_Конкуренты'!$A\$4:$B\$203,2,FALSE),"не найдено"))</f>
        <v/>
      </c>
      <c r="C103" s="2" t="n"/>
      <c r="D103" s="2" t="n"/>
      <c r="E103" s="2" t="n"/>
      <c r="F103" s="2" t="n"/>
      <c r="G103" s="2" t="n"/>
      <c r="H103" s="2" t="n"/>
      <c r="I103" s="2" t="n"/>
      <c r="J103" s="2" t="n"/>
      <c r="K103" s="7">
        <f>IF($A103="","",$G103*0.3+$H103*0.25+$I103*0.25+$J103*0.2)</f>
        <v/>
      </c>
      <c r="L103" s="5">
        <f>IF($A103="","",IF($K103&gt;=4,"сильное преимущество",IF($K103&gt;=3,"умеренное преимущество",IF($K103&gt;=2,"слабое преимущество","недостаточно подтверждений"))))</f>
        <v/>
      </c>
      <c r="M103" s="2" t="n"/>
    </row>
    <row r="104">
      <c r="A104" s="2" t="n"/>
      <c r="B104" s="5">
        <f>IF($A104="","",IFERROR(VLOOKUP($A104,'02_Конкуренты'!$A\$4:$B\$203,2,FALSE),"не найдено"))</f>
        <v/>
      </c>
      <c r="C104" s="2" t="n"/>
      <c r="D104" s="2" t="n"/>
      <c r="E104" s="2" t="n"/>
      <c r="F104" s="2" t="n"/>
      <c r="G104" s="2" t="n"/>
      <c r="H104" s="2" t="n"/>
      <c r="I104" s="2" t="n"/>
      <c r="J104" s="2" t="n"/>
      <c r="K104" s="7">
        <f>IF($A104="","",$G104*0.3+$H104*0.25+$I104*0.25+$J104*0.2)</f>
        <v/>
      </c>
      <c r="L104" s="5">
        <f>IF($A104="","",IF($K104&gt;=4,"сильное преимущество",IF($K104&gt;=3,"умеренное преимущество",IF($K104&gt;=2,"слабое преимущество","недостаточно подтверждений"))))</f>
        <v/>
      </c>
      <c r="M104" s="2" t="n"/>
    </row>
    <row r="105">
      <c r="A105" s="2" t="n"/>
      <c r="B105" s="5">
        <f>IF($A105="","",IFERROR(VLOOKUP($A105,'02_Конкуренты'!$A\$4:$B\$203,2,FALSE),"не найдено"))</f>
        <v/>
      </c>
      <c r="C105" s="2" t="n"/>
      <c r="D105" s="2" t="n"/>
      <c r="E105" s="2" t="n"/>
      <c r="F105" s="2" t="n"/>
      <c r="G105" s="2" t="n"/>
      <c r="H105" s="2" t="n"/>
      <c r="I105" s="2" t="n"/>
      <c r="J105" s="2" t="n"/>
      <c r="K105" s="7">
        <f>IF($A105="","",$G105*0.3+$H105*0.25+$I105*0.25+$J105*0.2)</f>
        <v/>
      </c>
      <c r="L105" s="5">
        <f>IF($A105="","",IF($K105&gt;=4,"сильное преимущество",IF($K105&gt;=3,"умеренное преимущество",IF($K105&gt;=2,"слабое преимущество","недостаточно подтверждений"))))</f>
        <v/>
      </c>
      <c r="M105" s="2" t="n"/>
    </row>
    <row r="106">
      <c r="A106" s="2" t="n"/>
      <c r="B106" s="5">
        <f>IF($A106="","",IFERROR(VLOOKUP($A106,'02_Конкуренты'!$A\$4:$B\$203,2,FALSE),"не найдено"))</f>
        <v/>
      </c>
      <c r="C106" s="2" t="n"/>
      <c r="D106" s="2" t="n"/>
      <c r="E106" s="2" t="n"/>
      <c r="F106" s="2" t="n"/>
      <c r="G106" s="2" t="n"/>
      <c r="H106" s="2" t="n"/>
      <c r="I106" s="2" t="n"/>
      <c r="J106" s="2" t="n"/>
      <c r="K106" s="7">
        <f>IF($A106="","",$G106*0.3+$H106*0.25+$I106*0.25+$J106*0.2)</f>
        <v/>
      </c>
      <c r="L106" s="5">
        <f>IF($A106="","",IF($K106&gt;=4,"сильное преимущество",IF($K106&gt;=3,"умеренное преимущество",IF($K106&gt;=2,"слабое преимущество","недостаточно подтверждений"))))</f>
        <v/>
      </c>
      <c r="M106" s="2" t="n"/>
    </row>
    <row r="107">
      <c r="A107" s="2" t="n"/>
      <c r="B107" s="5">
        <f>IF($A107="","",IFERROR(VLOOKUP($A107,'02_Конкуренты'!$A\$4:$B\$203,2,FALSE),"не найдено"))</f>
        <v/>
      </c>
      <c r="C107" s="2" t="n"/>
      <c r="D107" s="2" t="n"/>
      <c r="E107" s="2" t="n"/>
      <c r="F107" s="2" t="n"/>
      <c r="G107" s="2" t="n"/>
      <c r="H107" s="2" t="n"/>
      <c r="I107" s="2" t="n"/>
      <c r="J107" s="2" t="n"/>
      <c r="K107" s="7">
        <f>IF($A107="","",$G107*0.3+$H107*0.25+$I107*0.25+$J107*0.2)</f>
        <v/>
      </c>
      <c r="L107" s="5">
        <f>IF($A107="","",IF($K107&gt;=4,"сильное преимущество",IF($K107&gt;=3,"умеренное преимущество",IF($K107&gt;=2,"слабое преимущество","недостаточно подтверждений"))))</f>
        <v/>
      </c>
      <c r="M107" s="2" t="n"/>
    </row>
    <row r="108">
      <c r="A108" s="2" t="n"/>
      <c r="B108" s="5">
        <f>IF($A108="","",IFERROR(VLOOKUP($A108,'02_Конкуренты'!$A\$4:$B\$203,2,FALSE),"не найдено"))</f>
        <v/>
      </c>
      <c r="C108" s="2" t="n"/>
      <c r="D108" s="2" t="n"/>
      <c r="E108" s="2" t="n"/>
      <c r="F108" s="2" t="n"/>
      <c r="G108" s="2" t="n"/>
      <c r="H108" s="2" t="n"/>
      <c r="I108" s="2" t="n"/>
      <c r="J108" s="2" t="n"/>
      <c r="K108" s="7">
        <f>IF($A108="","",$G108*0.3+$H108*0.25+$I108*0.25+$J108*0.2)</f>
        <v/>
      </c>
      <c r="L108" s="5">
        <f>IF($A108="","",IF($K108&gt;=4,"сильное преимущество",IF($K108&gt;=3,"умеренное преимущество",IF($K108&gt;=2,"слабое преимущество","недостаточно подтверждений"))))</f>
        <v/>
      </c>
      <c r="M108" s="2" t="n"/>
    </row>
    <row r="109">
      <c r="A109" s="2" t="n"/>
      <c r="B109" s="5">
        <f>IF($A109="","",IFERROR(VLOOKUP($A109,'02_Конкуренты'!$A\$4:$B\$203,2,FALSE),"не найдено"))</f>
        <v/>
      </c>
      <c r="C109" s="2" t="n"/>
      <c r="D109" s="2" t="n"/>
      <c r="E109" s="2" t="n"/>
      <c r="F109" s="2" t="n"/>
      <c r="G109" s="2" t="n"/>
      <c r="H109" s="2" t="n"/>
      <c r="I109" s="2" t="n"/>
      <c r="J109" s="2" t="n"/>
      <c r="K109" s="7">
        <f>IF($A109="","",$G109*0.3+$H109*0.25+$I109*0.25+$J109*0.2)</f>
        <v/>
      </c>
      <c r="L109" s="5">
        <f>IF($A109="","",IF($K109&gt;=4,"сильное преимущество",IF($K109&gt;=3,"умеренное преимущество",IF($K109&gt;=2,"слабое преимущество","недостаточно подтверждений"))))</f>
        <v/>
      </c>
      <c r="M109" s="2" t="n"/>
    </row>
    <row r="110">
      <c r="A110" s="2" t="n"/>
      <c r="B110" s="5">
        <f>IF($A110="","",IFERROR(VLOOKUP($A110,'02_Конкуренты'!$A\$4:$B\$203,2,FALSE),"не найдено"))</f>
        <v/>
      </c>
      <c r="C110" s="2" t="n"/>
      <c r="D110" s="2" t="n"/>
      <c r="E110" s="2" t="n"/>
      <c r="F110" s="2" t="n"/>
      <c r="G110" s="2" t="n"/>
      <c r="H110" s="2" t="n"/>
      <c r="I110" s="2" t="n"/>
      <c r="J110" s="2" t="n"/>
      <c r="K110" s="7">
        <f>IF($A110="","",$G110*0.3+$H110*0.25+$I110*0.25+$J110*0.2)</f>
        <v/>
      </c>
      <c r="L110" s="5">
        <f>IF($A110="","",IF($K110&gt;=4,"сильное преимущество",IF($K110&gt;=3,"умеренное преимущество",IF($K110&gt;=2,"слабое преимущество","недостаточно подтверждений"))))</f>
        <v/>
      </c>
      <c r="M110" s="2" t="n"/>
    </row>
    <row r="111">
      <c r="A111" s="2" t="n"/>
      <c r="B111" s="5">
        <f>IF($A111="","",IFERROR(VLOOKUP($A111,'02_Конкуренты'!$A\$4:$B\$203,2,FALSE),"не найдено"))</f>
        <v/>
      </c>
      <c r="C111" s="2" t="n"/>
      <c r="D111" s="2" t="n"/>
      <c r="E111" s="2" t="n"/>
      <c r="F111" s="2" t="n"/>
      <c r="G111" s="2" t="n"/>
      <c r="H111" s="2" t="n"/>
      <c r="I111" s="2" t="n"/>
      <c r="J111" s="2" t="n"/>
      <c r="K111" s="7">
        <f>IF($A111="","",$G111*0.3+$H111*0.25+$I111*0.25+$J111*0.2)</f>
        <v/>
      </c>
      <c r="L111" s="5">
        <f>IF($A111="","",IF($K111&gt;=4,"сильное преимущество",IF($K111&gt;=3,"умеренное преимущество",IF($K111&gt;=2,"слабое преимущество","недостаточно подтверждений"))))</f>
        <v/>
      </c>
      <c r="M111" s="2" t="n"/>
    </row>
    <row r="112">
      <c r="A112" s="2" t="n"/>
      <c r="B112" s="5">
        <f>IF($A112="","",IFERROR(VLOOKUP($A112,'02_Конкуренты'!$A\$4:$B\$203,2,FALSE),"не найдено"))</f>
        <v/>
      </c>
      <c r="C112" s="2" t="n"/>
      <c r="D112" s="2" t="n"/>
      <c r="E112" s="2" t="n"/>
      <c r="F112" s="2" t="n"/>
      <c r="G112" s="2" t="n"/>
      <c r="H112" s="2" t="n"/>
      <c r="I112" s="2" t="n"/>
      <c r="J112" s="2" t="n"/>
      <c r="K112" s="7">
        <f>IF($A112="","",$G112*0.3+$H112*0.25+$I112*0.25+$J112*0.2)</f>
        <v/>
      </c>
      <c r="L112" s="5">
        <f>IF($A112="","",IF($K112&gt;=4,"сильное преимущество",IF($K112&gt;=3,"умеренное преимущество",IF($K112&gt;=2,"слабое преимущество","недостаточно подтверждений"))))</f>
        <v/>
      </c>
      <c r="M112" s="2" t="n"/>
    </row>
    <row r="113">
      <c r="A113" s="2" t="n"/>
      <c r="B113" s="5">
        <f>IF($A113="","",IFERROR(VLOOKUP($A113,'02_Конкуренты'!$A\$4:$B\$203,2,FALSE),"не найдено"))</f>
        <v/>
      </c>
      <c r="C113" s="2" t="n"/>
      <c r="D113" s="2" t="n"/>
      <c r="E113" s="2" t="n"/>
      <c r="F113" s="2" t="n"/>
      <c r="G113" s="2" t="n"/>
      <c r="H113" s="2" t="n"/>
      <c r="I113" s="2" t="n"/>
      <c r="J113" s="2" t="n"/>
      <c r="K113" s="7">
        <f>IF($A113="","",$G113*0.3+$H113*0.25+$I113*0.25+$J113*0.2)</f>
        <v/>
      </c>
      <c r="L113" s="5">
        <f>IF($A113="","",IF($K113&gt;=4,"сильное преимущество",IF($K113&gt;=3,"умеренное преимущество",IF($K113&gt;=2,"слабое преимущество","недостаточно подтверждений"))))</f>
        <v/>
      </c>
      <c r="M113" s="2" t="n"/>
    </row>
    <row r="114">
      <c r="A114" s="2" t="n"/>
      <c r="B114" s="5">
        <f>IF($A114="","",IFERROR(VLOOKUP($A114,'02_Конкуренты'!$A\$4:$B\$203,2,FALSE),"не найдено"))</f>
        <v/>
      </c>
      <c r="C114" s="2" t="n"/>
      <c r="D114" s="2" t="n"/>
      <c r="E114" s="2" t="n"/>
      <c r="F114" s="2" t="n"/>
      <c r="G114" s="2" t="n"/>
      <c r="H114" s="2" t="n"/>
      <c r="I114" s="2" t="n"/>
      <c r="J114" s="2" t="n"/>
      <c r="K114" s="7">
        <f>IF($A114="","",$G114*0.3+$H114*0.25+$I114*0.25+$J114*0.2)</f>
        <v/>
      </c>
      <c r="L114" s="5">
        <f>IF($A114="","",IF($K114&gt;=4,"сильное преимущество",IF($K114&gt;=3,"умеренное преимущество",IF($K114&gt;=2,"слабое преимущество","недостаточно подтверждений"))))</f>
        <v/>
      </c>
      <c r="M114" s="2" t="n"/>
    </row>
    <row r="115">
      <c r="A115" s="2" t="n"/>
      <c r="B115" s="5">
        <f>IF($A115="","",IFERROR(VLOOKUP($A115,'02_Конкуренты'!$A\$4:$B\$203,2,FALSE),"не найдено"))</f>
        <v/>
      </c>
      <c r="C115" s="2" t="n"/>
      <c r="D115" s="2" t="n"/>
      <c r="E115" s="2" t="n"/>
      <c r="F115" s="2" t="n"/>
      <c r="G115" s="2" t="n"/>
      <c r="H115" s="2" t="n"/>
      <c r="I115" s="2" t="n"/>
      <c r="J115" s="2" t="n"/>
      <c r="K115" s="7">
        <f>IF($A115="","",$G115*0.3+$H115*0.25+$I115*0.25+$J115*0.2)</f>
        <v/>
      </c>
      <c r="L115" s="5">
        <f>IF($A115="","",IF($K115&gt;=4,"сильное преимущество",IF($K115&gt;=3,"умеренное преимущество",IF($K115&gt;=2,"слабое преимущество","недостаточно подтверждений"))))</f>
        <v/>
      </c>
      <c r="M115" s="2" t="n"/>
    </row>
    <row r="116">
      <c r="A116" s="2" t="n"/>
      <c r="B116" s="5">
        <f>IF($A116="","",IFERROR(VLOOKUP($A116,'02_Конкуренты'!$A\$4:$B\$203,2,FALSE),"не найдено"))</f>
        <v/>
      </c>
      <c r="C116" s="2" t="n"/>
      <c r="D116" s="2" t="n"/>
      <c r="E116" s="2" t="n"/>
      <c r="F116" s="2" t="n"/>
      <c r="G116" s="2" t="n"/>
      <c r="H116" s="2" t="n"/>
      <c r="I116" s="2" t="n"/>
      <c r="J116" s="2" t="n"/>
      <c r="K116" s="7">
        <f>IF($A116="","",$G116*0.3+$H116*0.25+$I116*0.25+$J116*0.2)</f>
        <v/>
      </c>
      <c r="L116" s="5">
        <f>IF($A116="","",IF($K116&gt;=4,"сильное преимущество",IF($K116&gt;=3,"умеренное преимущество",IF($K116&gt;=2,"слабое преимущество","недостаточно подтверждений"))))</f>
        <v/>
      </c>
      <c r="M116" s="2" t="n"/>
    </row>
    <row r="117">
      <c r="A117" s="2" t="n"/>
      <c r="B117" s="5">
        <f>IF($A117="","",IFERROR(VLOOKUP($A117,'02_Конкуренты'!$A\$4:$B\$203,2,FALSE),"не найдено"))</f>
        <v/>
      </c>
      <c r="C117" s="2" t="n"/>
      <c r="D117" s="2" t="n"/>
      <c r="E117" s="2" t="n"/>
      <c r="F117" s="2" t="n"/>
      <c r="G117" s="2" t="n"/>
      <c r="H117" s="2" t="n"/>
      <c r="I117" s="2" t="n"/>
      <c r="J117" s="2" t="n"/>
      <c r="K117" s="7">
        <f>IF($A117="","",$G117*0.3+$H117*0.25+$I117*0.25+$J117*0.2)</f>
        <v/>
      </c>
      <c r="L117" s="5">
        <f>IF($A117="","",IF($K117&gt;=4,"сильное преимущество",IF($K117&gt;=3,"умеренное преимущество",IF($K117&gt;=2,"слабое преимущество","недостаточно подтверждений"))))</f>
        <v/>
      </c>
      <c r="M117" s="2" t="n"/>
    </row>
    <row r="118">
      <c r="A118" s="2" t="n"/>
      <c r="B118" s="5">
        <f>IF($A118="","",IFERROR(VLOOKUP($A118,'02_Конкуренты'!$A\$4:$B\$203,2,FALSE),"не найдено"))</f>
        <v/>
      </c>
      <c r="C118" s="2" t="n"/>
      <c r="D118" s="2" t="n"/>
      <c r="E118" s="2" t="n"/>
      <c r="F118" s="2" t="n"/>
      <c r="G118" s="2" t="n"/>
      <c r="H118" s="2" t="n"/>
      <c r="I118" s="2" t="n"/>
      <c r="J118" s="2" t="n"/>
      <c r="K118" s="7">
        <f>IF($A118="","",$G118*0.3+$H118*0.25+$I118*0.25+$J118*0.2)</f>
        <v/>
      </c>
      <c r="L118" s="5">
        <f>IF($A118="","",IF($K118&gt;=4,"сильное преимущество",IF($K118&gt;=3,"умеренное преимущество",IF($K118&gt;=2,"слабое преимущество","недостаточно подтверждений"))))</f>
        <v/>
      </c>
      <c r="M118" s="2" t="n"/>
    </row>
    <row r="119">
      <c r="A119" s="2" t="n"/>
      <c r="B119" s="5">
        <f>IF($A119="","",IFERROR(VLOOKUP($A119,'02_Конкуренты'!$A\$4:$B\$203,2,FALSE),"не найдено"))</f>
        <v/>
      </c>
      <c r="C119" s="2" t="n"/>
      <c r="D119" s="2" t="n"/>
      <c r="E119" s="2" t="n"/>
      <c r="F119" s="2" t="n"/>
      <c r="G119" s="2" t="n"/>
      <c r="H119" s="2" t="n"/>
      <c r="I119" s="2" t="n"/>
      <c r="J119" s="2" t="n"/>
      <c r="K119" s="7">
        <f>IF($A119="","",$G119*0.3+$H119*0.25+$I119*0.25+$J119*0.2)</f>
        <v/>
      </c>
      <c r="L119" s="5">
        <f>IF($A119="","",IF($K119&gt;=4,"сильное преимущество",IF($K119&gt;=3,"умеренное преимущество",IF($K119&gt;=2,"слабое преимущество","недостаточно подтверждений"))))</f>
        <v/>
      </c>
      <c r="M119" s="2" t="n"/>
    </row>
    <row r="120">
      <c r="A120" s="2" t="n"/>
      <c r="B120" s="5">
        <f>IF($A120="","",IFERROR(VLOOKUP($A120,'02_Конкуренты'!$A\$4:$B\$203,2,FALSE),"не найдено"))</f>
        <v/>
      </c>
      <c r="C120" s="2" t="n"/>
      <c r="D120" s="2" t="n"/>
      <c r="E120" s="2" t="n"/>
      <c r="F120" s="2" t="n"/>
      <c r="G120" s="2" t="n"/>
      <c r="H120" s="2" t="n"/>
      <c r="I120" s="2" t="n"/>
      <c r="J120" s="2" t="n"/>
      <c r="K120" s="7">
        <f>IF($A120="","",$G120*0.3+$H120*0.25+$I120*0.25+$J120*0.2)</f>
        <v/>
      </c>
      <c r="L120" s="5">
        <f>IF($A120="","",IF($K120&gt;=4,"сильное преимущество",IF($K120&gt;=3,"умеренное преимущество",IF($K120&gt;=2,"слабое преимущество","недостаточно подтверждений"))))</f>
        <v/>
      </c>
      <c r="M120" s="2" t="n"/>
    </row>
    <row r="121">
      <c r="A121" s="2" t="n"/>
      <c r="B121" s="5">
        <f>IF($A121="","",IFERROR(VLOOKUP($A121,'02_Конкуренты'!$A\$4:$B\$203,2,FALSE),"не найдено"))</f>
        <v/>
      </c>
      <c r="C121" s="2" t="n"/>
      <c r="D121" s="2" t="n"/>
      <c r="E121" s="2" t="n"/>
      <c r="F121" s="2" t="n"/>
      <c r="G121" s="2" t="n"/>
      <c r="H121" s="2" t="n"/>
      <c r="I121" s="2" t="n"/>
      <c r="J121" s="2" t="n"/>
      <c r="K121" s="7">
        <f>IF($A121="","",$G121*0.3+$H121*0.25+$I121*0.25+$J121*0.2)</f>
        <v/>
      </c>
      <c r="L121" s="5">
        <f>IF($A121="","",IF($K121&gt;=4,"сильное преимущество",IF($K121&gt;=3,"умеренное преимущество",IF($K121&gt;=2,"слабое преимущество","недостаточно подтверждений"))))</f>
        <v/>
      </c>
      <c r="M121" s="2" t="n"/>
    </row>
    <row r="122">
      <c r="A122" s="2" t="n"/>
      <c r="B122" s="5">
        <f>IF($A122="","",IFERROR(VLOOKUP($A122,'02_Конкуренты'!$A\$4:$B\$203,2,FALSE),"не найдено"))</f>
        <v/>
      </c>
      <c r="C122" s="2" t="n"/>
      <c r="D122" s="2" t="n"/>
      <c r="E122" s="2" t="n"/>
      <c r="F122" s="2" t="n"/>
      <c r="G122" s="2" t="n"/>
      <c r="H122" s="2" t="n"/>
      <c r="I122" s="2" t="n"/>
      <c r="J122" s="2" t="n"/>
      <c r="K122" s="7">
        <f>IF($A122="","",$G122*0.3+$H122*0.25+$I122*0.25+$J122*0.2)</f>
        <v/>
      </c>
      <c r="L122" s="5">
        <f>IF($A122="","",IF($K122&gt;=4,"сильное преимущество",IF($K122&gt;=3,"умеренное преимущество",IF($K122&gt;=2,"слабое преимущество","недостаточно подтверждений"))))</f>
        <v/>
      </c>
      <c r="M122" s="2" t="n"/>
    </row>
    <row r="123">
      <c r="A123" s="2" t="n"/>
      <c r="B123" s="5">
        <f>IF($A123="","",IFERROR(VLOOKUP($A123,'02_Конкуренты'!$A\$4:$B\$203,2,FALSE),"не найдено"))</f>
        <v/>
      </c>
      <c r="C123" s="2" t="n"/>
      <c r="D123" s="2" t="n"/>
      <c r="E123" s="2" t="n"/>
      <c r="F123" s="2" t="n"/>
      <c r="G123" s="2" t="n"/>
      <c r="H123" s="2" t="n"/>
      <c r="I123" s="2" t="n"/>
      <c r="J123" s="2" t="n"/>
      <c r="K123" s="7">
        <f>IF($A123="","",$G123*0.3+$H123*0.25+$I123*0.25+$J123*0.2)</f>
        <v/>
      </c>
      <c r="L123" s="5">
        <f>IF($A123="","",IF($K123&gt;=4,"сильное преимущество",IF($K123&gt;=3,"умеренное преимущество",IF($K123&gt;=2,"слабое преимущество","недостаточно подтверждений"))))</f>
        <v/>
      </c>
      <c r="M123" s="2" t="n"/>
    </row>
    <row r="124">
      <c r="A124" s="2" t="n"/>
      <c r="B124" s="5">
        <f>IF($A124="","",IFERROR(VLOOKUP($A124,'02_Конкуренты'!$A\$4:$B\$203,2,FALSE),"не найдено"))</f>
        <v/>
      </c>
      <c r="C124" s="2" t="n"/>
      <c r="D124" s="2" t="n"/>
      <c r="E124" s="2" t="n"/>
      <c r="F124" s="2" t="n"/>
      <c r="G124" s="2" t="n"/>
      <c r="H124" s="2" t="n"/>
      <c r="I124" s="2" t="n"/>
      <c r="J124" s="2" t="n"/>
      <c r="K124" s="7">
        <f>IF($A124="","",$G124*0.3+$H124*0.25+$I124*0.25+$J124*0.2)</f>
        <v/>
      </c>
      <c r="L124" s="5">
        <f>IF($A124="","",IF($K124&gt;=4,"сильное преимущество",IF($K124&gt;=3,"умеренное преимущество",IF($K124&gt;=2,"слабое преимущество","недостаточно подтверждений"))))</f>
        <v/>
      </c>
      <c r="M124" s="2" t="n"/>
    </row>
    <row r="125">
      <c r="A125" s="2" t="n"/>
      <c r="B125" s="5">
        <f>IF($A125="","",IFERROR(VLOOKUP($A125,'02_Конкуренты'!$A\$4:$B\$203,2,FALSE),"не найдено"))</f>
        <v/>
      </c>
      <c r="C125" s="2" t="n"/>
      <c r="D125" s="2" t="n"/>
      <c r="E125" s="2" t="n"/>
      <c r="F125" s="2" t="n"/>
      <c r="G125" s="2" t="n"/>
      <c r="H125" s="2" t="n"/>
      <c r="I125" s="2" t="n"/>
      <c r="J125" s="2" t="n"/>
      <c r="K125" s="7">
        <f>IF($A125="","",$G125*0.3+$H125*0.25+$I125*0.25+$J125*0.2)</f>
        <v/>
      </c>
      <c r="L125" s="5">
        <f>IF($A125="","",IF($K125&gt;=4,"сильное преимущество",IF($K125&gt;=3,"умеренное преимущество",IF($K125&gt;=2,"слабое преимущество","недостаточно подтверждений"))))</f>
        <v/>
      </c>
      <c r="M125" s="2" t="n"/>
    </row>
    <row r="126">
      <c r="A126" s="2" t="n"/>
      <c r="B126" s="5">
        <f>IF($A126="","",IFERROR(VLOOKUP($A126,'02_Конкуренты'!$A\$4:$B\$203,2,FALSE),"не найдено"))</f>
        <v/>
      </c>
      <c r="C126" s="2" t="n"/>
      <c r="D126" s="2" t="n"/>
      <c r="E126" s="2" t="n"/>
      <c r="F126" s="2" t="n"/>
      <c r="G126" s="2" t="n"/>
      <c r="H126" s="2" t="n"/>
      <c r="I126" s="2" t="n"/>
      <c r="J126" s="2" t="n"/>
      <c r="K126" s="7">
        <f>IF($A126="","",$G126*0.3+$H126*0.25+$I126*0.25+$J126*0.2)</f>
        <v/>
      </c>
      <c r="L126" s="5">
        <f>IF($A126="","",IF($K126&gt;=4,"сильное преимущество",IF($K126&gt;=3,"умеренное преимущество",IF($K126&gt;=2,"слабое преимущество","недостаточно подтверждений"))))</f>
        <v/>
      </c>
      <c r="M126" s="2" t="n"/>
    </row>
    <row r="127">
      <c r="A127" s="2" t="n"/>
      <c r="B127" s="5">
        <f>IF($A127="","",IFERROR(VLOOKUP($A127,'02_Конкуренты'!$A\$4:$B\$203,2,FALSE),"не найдено"))</f>
        <v/>
      </c>
      <c r="C127" s="2" t="n"/>
      <c r="D127" s="2" t="n"/>
      <c r="E127" s="2" t="n"/>
      <c r="F127" s="2" t="n"/>
      <c r="G127" s="2" t="n"/>
      <c r="H127" s="2" t="n"/>
      <c r="I127" s="2" t="n"/>
      <c r="J127" s="2" t="n"/>
      <c r="K127" s="7">
        <f>IF($A127="","",$G127*0.3+$H127*0.25+$I127*0.25+$J127*0.2)</f>
        <v/>
      </c>
      <c r="L127" s="5">
        <f>IF($A127="","",IF($K127&gt;=4,"сильное преимущество",IF($K127&gt;=3,"умеренное преимущество",IF($K127&gt;=2,"слабое преимущество","недостаточно подтверждений"))))</f>
        <v/>
      </c>
      <c r="M127" s="2" t="n"/>
    </row>
    <row r="128">
      <c r="A128" s="2" t="n"/>
      <c r="B128" s="5">
        <f>IF($A128="","",IFERROR(VLOOKUP($A128,'02_Конкуренты'!$A\$4:$B\$203,2,FALSE),"не найдено"))</f>
        <v/>
      </c>
      <c r="C128" s="2" t="n"/>
      <c r="D128" s="2" t="n"/>
      <c r="E128" s="2" t="n"/>
      <c r="F128" s="2" t="n"/>
      <c r="G128" s="2" t="n"/>
      <c r="H128" s="2" t="n"/>
      <c r="I128" s="2" t="n"/>
      <c r="J128" s="2" t="n"/>
      <c r="K128" s="7">
        <f>IF($A128="","",$G128*0.3+$H128*0.25+$I128*0.25+$J128*0.2)</f>
        <v/>
      </c>
      <c r="L128" s="5">
        <f>IF($A128="","",IF($K128&gt;=4,"сильное преимущество",IF($K128&gt;=3,"умеренное преимущество",IF($K128&gt;=2,"слабое преимущество","недостаточно подтверждений"))))</f>
        <v/>
      </c>
      <c r="M128" s="2" t="n"/>
    </row>
    <row r="129">
      <c r="A129" s="2" t="n"/>
      <c r="B129" s="5">
        <f>IF($A129="","",IFERROR(VLOOKUP($A129,'02_Конкуренты'!$A\$4:$B\$203,2,FALSE),"не найдено"))</f>
        <v/>
      </c>
      <c r="C129" s="2" t="n"/>
      <c r="D129" s="2" t="n"/>
      <c r="E129" s="2" t="n"/>
      <c r="F129" s="2" t="n"/>
      <c r="G129" s="2" t="n"/>
      <c r="H129" s="2" t="n"/>
      <c r="I129" s="2" t="n"/>
      <c r="J129" s="2" t="n"/>
      <c r="K129" s="7">
        <f>IF($A129="","",$G129*0.3+$H129*0.25+$I129*0.25+$J129*0.2)</f>
        <v/>
      </c>
      <c r="L129" s="5">
        <f>IF($A129="","",IF($K129&gt;=4,"сильное преимущество",IF($K129&gt;=3,"умеренное преимущество",IF($K129&gt;=2,"слабое преимущество","недостаточно подтверждений"))))</f>
        <v/>
      </c>
      <c r="M129" s="2" t="n"/>
    </row>
    <row r="130">
      <c r="A130" s="2" t="n"/>
      <c r="B130" s="5">
        <f>IF($A130="","",IFERROR(VLOOKUP($A130,'02_Конкуренты'!$A\$4:$B\$203,2,FALSE),"не найдено"))</f>
        <v/>
      </c>
      <c r="C130" s="2" t="n"/>
      <c r="D130" s="2" t="n"/>
      <c r="E130" s="2" t="n"/>
      <c r="F130" s="2" t="n"/>
      <c r="G130" s="2" t="n"/>
      <c r="H130" s="2" t="n"/>
      <c r="I130" s="2" t="n"/>
      <c r="J130" s="2" t="n"/>
      <c r="K130" s="7">
        <f>IF($A130="","",$G130*0.3+$H130*0.25+$I130*0.25+$J130*0.2)</f>
        <v/>
      </c>
      <c r="L130" s="5">
        <f>IF($A130="","",IF($K130&gt;=4,"сильное преимущество",IF($K130&gt;=3,"умеренное преимущество",IF($K130&gt;=2,"слабое преимущество","недостаточно подтверждений"))))</f>
        <v/>
      </c>
      <c r="M130" s="2" t="n"/>
    </row>
    <row r="131">
      <c r="A131" s="2" t="n"/>
      <c r="B131" s="5">
        <f>IF($A131="","",IFERROR(VLOOKUP($A131,'02_Конкуренты'!$A\$4:$B\$203,2,FALSE),"не найдено"))</f>
        <v/>
      </c>
      <c r="C131" s="2" t="n"/>
      <c r="D131" s="2" t="n"/>
      <c r="E131" s="2" t="n"/>
      <c r="F131" s="2" t="n"/>
      <c r="G131" s="2" t="n"/>
      <c r="H131" s="2" t="n"/>
      <c r="I131" s="2" t="n"/>
      <c r="J131" s="2" t="n"/>
      <c r="K131" s="7">
        <f>IF($A131="","",$G131*0.3+$H131*0.25+$I131*0.25+$J131*0.2)</f>
        <v/>
      </c>
      <c r="L131" s="5">
        <f>IF($A131="","",IF($K131&gt;=4,"сильное преимущество",IF($K131&gt;=3,"умеренное преимущество",IF($K131&gt;=2,"слабое преимущество","недостаточно подтверждений"))))</f>
        <v/>
      </c>
      <c r="M131" s="2" t="n"/>
    </row>
    <row r="132">
      <c r="A132" s="2" t="n"/>
      <c r="B132" s="5">
        <f>IF($A132="","",IFERROR(VLOOKUP($A132,'02_Конкуренты'!$A\$4:$B\$203,2,FALSE),"не найдено"))</f>
        <v/>
      </c>
      <c r="C132" s="2" t="n"/>
      <c r="D132" s="2" t="n"/>
      <c r="E132" s="2" t="n"/>
      <c r="F132" s="2" t="n"/>
      <c r="G132" s="2" t="n"/>
      <c r="H132" s="2" t="n"/>
      <c r="I132" s="2" t="n"/>
      <c r="J132" s="2" t="n"/>
      <c r="K132" s="7">
        <f>IF($A132="","",$G132*0.3+$H132*0.25+$I132*0.25+$J132*0.2)</f>
        <v/>
      </c>
      <c r="L132" s="5">
        <f>IF($A132="","",IF($K132&gt;=4,"сильное преимущество",IF($K132&gt;=3,"умеренное преимущество",IF($K132&gt;=2,"слабое преимущество","недостаточно подтверждений"))))</f>
        <v/>
      </c>
      <c r="M132" s="2" t="n"/>
    </row>
    <row r="133">
      <c r="A133" s="2" t="n"/>
      <c r="B133" s="5">
        <f>IF($A133="","",IFERROR(VLOOKUP($A133,'02_Конкуренты'!$A\$4:$B\$203,2,FALSE),"не найдено"))</f>
        <v/>
      </c>
      <c r="C133" s="2" t="n"/>
      <c r="D133" s="2" t="n"/>
      <c r="E133" s="2" t="n"/>
      <c r="F133" s="2" t="n"/>
      <c r="G133" s="2" t="n"/>
      <c r="H133" s="2" t="n"/>
      <c r="I133" s="2" t="n"/>
      <c r="J133" s="2" t="n"/>
      <c r="K133" s="7">
        <f>IF($A133="","",$G133*0.3+$H133*0.25+$I133*0.25+$J133*0.2)</f>
        <v/>
      </c>
      <c r="L133" s="5">
        <f>IF($A133="","",IF($K133&gt;=4,"сильное преимущество",IF($K133&gt;=3,"умеренное преимущество",IF($K133&gt;=2,"слабое преимущество","недостаточно подтверждений"))))</f>
        <v/>
      </c>
      <c r="M133" s="2" t="n"/>
    </row>
    <row r="134">
      <c r="A134" s="2" t="n"/>
      <c r="B134" s="5">
        <f>IF($A134="","",IFERROR(VLOOKUP($A134,'02_Конкуренты'!$A\$4:$B\$203,2,FALSE),"не найдено"))</f>
        <v/>
      </c>
      <c r="C134" s="2" t="n"/>
      <c r="D134" s="2" t="n"/>
      <c r="E134" s="2" t="n"/>
      <c r="F134" s="2" t="n"/>
      <c r="G134" s="2" t="n"/>
      <c r="H134" s="2" t="n"/>
      <c r="I134" s="2" t="n"/>
      <c r="J134" s="2" t="n"/>
      <c r="K134" s="7">
        <f>IF($A134="","",$G134*0.3+$H134*0.25+$I134*0.25+$J134*0.2)</f>
        <v/>
      </c>
      <c r="L134" s="5">
        <f>IF($A134="","",IF($K134&gt;=4,"сильное преимущество",IF($K134&gt;=3,"умеренное преимущество",IF($K134&gt;=2,"слабое преимущество","недостаточно подтверждений"))))</f>
        <v/>
      </c>
      <c r="M134" s="2" t="n"/>
    </row>
    <row r="135">
      <c r="A135" s="2" t="n"/>
      <c r="B135" s="5">
        <f>IF($A135="","",IFERROR(VLOOKUP($A135,'02_Конкуренты'!$A\$4:$B\$203,2,FALSE),"не найдено"))</f>
        <v/>
      </c>
      <c r="C135" s="2" t="n"/>
      <c r="D135" s="2" t="n"/>
      <c r="E135" s="2" t="n"/>
      <c r="F135" s="2" t="n"/>
      <c r="G135" s="2" t="n"/>
      <c r="H135" s="2" t="n"/>
      <c r="I135" s="2" t="n"/>
      <c r="J135" s="2" t="n"/>
      <c r="K135" s="7">
        <f>IF($A135="","",$G135*0.3+$H135*0.25+$I135*0.25+$J135*0.2)</f>
        <v/>
      </c>
      <c r="L135" s="5">
        <f>IF($A135="","",IF($K135&gt;=4,"сильное преимущество",IF($K135&gt;=3,"умеренное преимущество",IF($K135&gt;=2,"слабое преимущество","недостаточно подтверждений"))))</f>
        <v/>
      </c>
      <c r="M135" s="2" t="n"/>
    </row>
    <row r="136">
      <c r="A136" s="2" t="n"/>
      <c r="B136" s="5">
        <f>IF($A136="","",IFERROR(VLOOKUP($A136,'02_Конкуренты'!$A\$4:$B\$203,2,FALSE),"не найдено"))</f>
        <v/>
      </c>
      <c r="C136" s="2" t="n"/>
      <c r="D136" s="2" t="n"/>
      <c r="E136" s="2" t="n"/>
      <c r="F136" s="2" t="n"/>
      <c r="G136" s="2" t="n"/>
      <c r="H136" s="2" t="n"/>
      <c r="I136" s="2" t="n"/>
      <c r="J136" s="2" t="n"/>
      <c r="K136" s="7">
        <f>IF($A136="","",$G136*0.3+$H136*0.25+$I136*0.25+$J136*0.2)</f>
        <v/>
      </c>
      <c r="L136" s="5">
        <f>IF($A136="","",IF($K136&gt;=4,"сильное преимущество",IF($K136&gt;=3,"умеренное преимущество",IF($K136&gt;=2,"слабое преимущество","недостаточно подтверждений"))))</f>
        <v/>
      </c>
      <c r="M136" s="2" t="n"/>
    </row>
    <row r="137">
      <c r="A137" s="2" t="n"/>
      <c r="B137" s="5">
        <f>IF($A137="","",IFERROR(VLOOKUP($A137,'02_Конкуренты'!$A\$4:$B\$203,2,FALSE),"не найдено"))</f>
        <v/>
      </c>
      <c r="C137" s="2" t="n"/>
      <c r="D137" s="2" t="n"/>
      <c r="E137" s="2" t="n"/>
      <c r="F137" s="2" t="n"/>
      <c r="G137" s="2" t="n"/>
      <c r="H137" s="2" t="n"/>
      <c r="I137" s="2" t="n"/>
      <c r="J137" s="2" t="n"/>
      <c r="K137" s="7">
        <f>IF($A137="","",$G137*0.3+$H137*0.25+$I137*0.25+$J137*0.2)</f>
        <v/>
      </c>
      <c r="L137" s="5">
        <f>IF($A137="","",IF($K137&gt;=4,"сильное преимущество",IF($K137&gt;=3,"умеренное преимущество",IF($K137&gt;=2,"слабое преимущество","недостаточно подтверждений"))))</f>
        <v/>
      </c>
      <c r="M137" s="2" t="n"/>
    </row>
    <row r="138">
      <c r="A138" s="2" t="n"/>
      <c r="B138" s="5">
        <f>IF($A138="","",IFERROR(VLOOKUP($A138,'02_Конкуренты'!$A\$4:$B\$203,2,FALSE),"не найдено"))</f>
        <v/>
      </c>
      <c r="C138" s="2" t="n"/>
      <c r="D138" s="2" t="n"/>
      <c r="E138" s="2" t="n"/>
      <c r="F138" s="2" t="n"/>
      <c r="G138" s="2" t="n"/>
      <c r="H138" s="2" t="n"/>
      <c r="I138" s="2" t="n"/>
      <c r="J138" s="2" t="n"/>
      <c r="K138" s="7">
        <f>IF($A138="","",$G138*0.3+$H138*0.25+$I138*0.25+$J138*0.2)</f>
        <v/>
      </c>
      <c r="L138" s="5">
        <f>IF($A138="","",IF($K138&gt;=4,"сильное преимущество",IF($K138&gt;=3,"умеренное преимущество",IF($K138&gt;=2,"слабое преимущество","недостаточно подтверждений"))))</f>
        <v/>
      </c>
      <c r="M138" s="2" t="n"/>
    </row>
    <row r="139">
      <c r="A139" s="2" t="n"/>
      <c r="B139" s="5">
        <f>IF($A139="","",IFERROR(VLOOKUP($A139,'02_Конкуренты'!$A\$4:$B\$203,2,FALSE),"не найдено"))</f>
        <v/>
      </c>
      <c r="C139" s="2" t="n"/>
      <c r="D139" s="2" t="n"/>
      <c r="E139" s="2" t="n"/>
      <c r="F139" s="2" t="n"/>
      <c r="G139" s="2" t="n"/>
      <c r="H139" s="2" t="n"/>
      <c r="I139" s="2" t="n"/>
      <c r="J139" s="2" t="n"/>
      <c r="K139" s="7">
        <f>IF($A139="","",$G139*0.3+$H139*0.25+$I139*0.25+$J139*0.2)</f>
        <v/>
      </c>
      <c r="L139" s="5">
        <f>IF($A139="","",IF($K139&gt;=4,"сильное преимущество",IF($K139&gt;=3,"умеренное преимущество",IF($K139&gt;=2,"слабое преимущество","недостаточно подтверждений"))))</f>
        <v/>
      </c>
      <c r="M139" s="2" t="n"/>
    </row>
    <row r="140">
      <c r="A140" s="2" t="n"/>
      <c r="B140" s="5">
        <f>IF($A140="","",IFERROR(VLOOKUP($A140,'02_Конкуренты'!$A\$4:$B\$203,2,FALSE),"не найдено"))</f>
        <v/>
      </c>
      <c r="C140" s="2" t="n"/>
      <c r="D140" s="2" t="n"/>
      <c r="E140" s="2" t="n"/>
      <c r="F140" s="2" t="n"/>
      <c r="G140" s="2" t="n"/>
      <c r="H140" s="2" t="n"/>
      <c r="I140" s="2" t="n"/>
      <c r="J140" s="2" t="n"/>
      <c r="K140" s="7">
        <f>IF($A140="","",$G140*0.3+$H140*0.25+$I140*0.25+$J140*0.2)</f>
        <v/>
      </c>
      <c r="L140" s="5">
        <f>IF($A140="","",IF($K140&gt;=4,"сильное преимущество",IF($K140&gt;=3,"умеренное преимущество",IF($K140&gt;=2,"слабое преимущество","недостаточно подтверждений"))))</f>
        <v/>
      </c>
      <c r="M140" s="2" t="n"/>
    </row>
    <row r="141">
      <c r="A141" s="2" t="n"/>
      <c r="B141" s="5">
        <f>IF($A141="","",IFERROR(VLOOKUP($A141,'02_Конкуренты'!$A\$4:$B\$203,2,FALSE),"не найдено"))</f>
        <v/>
      </c>
      <c r="C141" s="2" t="n"/>
      <c r="D141" s="2" t="n"/>
      <c r="E141" s="2" t="n"/>
      <c r="F141" s="2" t="n"/>
      <c r="G141" s="2" t="n"/>
      <c r="H141" s="2" t="n"/>
      <c r="I141" s="2" t="n"/>
      <c r="J141" s="2" t="n"/>
      <c r="K141" s="7">
        <f>IF($A141="","",$G141*0.3+$H141*0.25+$I141*0.25+$J141*0.2)</f>
        <v/>
      </c>
      <c r="L141" s="5">
        <f>IF($A141="","",IF($K141&gt;=4,"сильное преимущество",IF($K141&gt;=3,"умеренное преимущество",IF($K141&gt;=2,"слабое преимущество","недостаточно подтверждений"))))</f>
        <v/>
      </c>
      <c r="M141" s="2" t="n"/>
    </row>
    <row r="142">
      <c r="A142" s="2" t="n"/>
      <c r="B142" s="5">
        <f>IF($A142="","",IFERROR(VLOOKUP($A142,'02_Конкуренты'!$A\$4:$B\$203,2,FALSE),"не найдено"))</f>
        <v/>
      </c>
      <c r="C142" s="2" t="n"/>
      <c r="D142" s="2" t="n"/>
      <c r="E142" s="2" t="n"/>
      <c r="F142" s="2" t="n"/>
      <c r="G142" s="2" t="n"/>
      <c r="H142" s="2" t="n"/>
      <c r="I142" s="2" t="n"/>
      <c r="J142" s="2" t="n"/>
      <c r="K142" s="7">
        <f>IF($A142="","",$G142*0.3+$H142*0.25+$I142*0.25+$J142*0.2)</f>
        <v/>
      </c>
      <c r="L142" s="5">
        <f>IF($A142="","",IF($K142&gt;=4,"сильное преимущество",IF($K142&gt;=3,"умеренное преимущество",IF($K142&gt;=2,"слабое преимущество","недостаточно подтверждений"))))</f>
        <v/>
      </c>
      <c r="M142" s="2" t="n"/>
    </row>
    <row r="143">
      <c r="A143" s="2" t="n"/>
      <c r="B143" s="5">
        <f>IF($A143="","",IFERROR(VLOOKUP($A143,'02_Конкуренты'!$A\$4:$B\$203,2,FALSE),"не найдено"))</f>
        <v/>
      </c>
      <c r="C143" s="2" t="n"/>
      <c r="D143" s="2" t="n"/>
      <c r="E143" s="2" t="n"/>
      <c r="F143" s="2" t="n"/>
      <c r="G143" s="2" t="n"/>
      <c r="H143" s="2" t="n"/>
      <c r="I143" s="2" t="n"/>
      <c r="J143" s="2" t="n"/>
      <c r="K143" s="7">
        <f>IF($A143="","",$G143*0.3+$H143*0.25+$I143*0.25+$J143*0.2)</f>
        <v/>
      </c>
      <c r="L143" s="5">
        <f>IF($A143="","",IF($K143&gt;=4,"сильное преимущество",IF($K143&gt;=3,"умеренное преимущество",IF($K143&gt;=2,"слабое преимущество","недостаточно подтверждений"))))</f>
        <v/>
      </c>
      <c r="M143" s="2" t="n"/>
    </row>
    <row r="144">
      <c r="A144" s="2" t="n"/>
      <c r="B144" s="5">
        <f>IF($A144="","",IFERROR(VLOOKUP($A144,'02_Конкуренты'!$A\$4:$B\$203,2,FALSE),"не найдено"))</f>
        <v/>
      </c>
      <c r="C144" s="2" t="n"/>
      <c r="D144" s="2" t="n"/>
      <c r="E144" s="2" t="n"/>
      <c r="F144" s="2" t="n"/>
      <c r="G144" s="2" t="n"/>
      <c r="H144" s="2" t="n"/>
      <c r="I144" s="2" t="n"/>
      <c r="J144" s="2" t="n"/>
      <c r="K144" s="7">
        <f>IF($A144="","",$G144*0.3+$H144*0.25+$I144*0.25+$J144*0.2)</f>
        <v/>
      </c>
      <c r="L144" s="5">
        <f>IF($A144="","",IF($K144&gt;=4,"сильное преимущество",IF($K144&gt;=3,"умеренное преимущество",IF($K144&gt;=2,"слабое преимущество","недостаточно подтверждений"))))</f>
        <v/>
      </c>
      <c r="M144" s="2" t="n"/>
    </row>
    <row r="145">
      <c r="A145" s="2" t="n"/>
      <c r="B145" s="5">
        <f>IF($A145="","",IFERROR(VLOOKUP($A145,'02_Конкуренты'!$A\$4:$B\$203,2,FALSE),"не найдено"))</f>
        <v/>
      </c>
      <c r="C145" s="2" t="n"/>
      <c r="D145" s="2" t="n"/>
      <c r="E145" s="2" t="n"/>
      <c r="F145" s="2" t="n"/>
      <c r="G145" s="2" t="n"/>
      <c r="H145" s="2" t="n"/>
      <c r="I145" s="2" t="n"/>
      <c r="J145" s="2" t="n"/>
      <c r="K145" s="7">
        <f>IF($A145="","",$G145*0.3+$H145*0.25+$I145*0.25+$J145*0.2)</f>
        <v/>
      </c>
      <c r="L145" s="5">
        <f>IF($A145="","",IF($K145&gt;=4,"сильное преимущество",IF($K145&gt;=3,"умеренное преимущество",IF($K145&gt;=2,"слабое преимущество","недостаточно подтверждений"))))</f>
        <v/>
      </c>
      <c r="M145" s="2" t="n"/>
    </row>
    <row r="146">
      <c r="A146" s="2" t="n"/>
      <c r="B146" s="5">
        <f>IF($A146="","",IFERROR(VLOOKUP($A146,'02_Конкуренты'!$A\$4:$B\$203,2,FALSE),"не найдено"))</f>
        <v/>
      </c>
      <c r="C146" s="2" t="n"/>
      <c r="D146" s="2" t="n"/>
      <c r="E146" s="2" t="n"/>
      <c r="F146" s="2" t="n"/>
      <c r="G146" s="2" t="n"/>
      <c r="H146" s="2" t="n"/>
      <c r="I146" s="2" t="n"/>
      <c r="J146" s="2" t="n"/>
      <c r="K146" s="7">
        <f>IF($A146="","",$G146*0.3+$H146*0.25+$I146*0.25+$J146*0.2)</f>
        <v/>
      </c>
      <c r="L146" s="5">
        <f>IF($A146="","",IF($K146&gt;=4,"сильное преимущество",IF($K146&gt;=3,"умеренное преимущество",IF($K146&gt;=2,"слабое преимущество","недостаточно подтверждений"))))</f>
        <v/>
      </c>
      <c r="M146" s="2" t="n"/>
    </row>
    <row r="147">
      <c r="A147" s="2" t="n"/>
      <c r="B147" s="5">
        <f>IF($A147="","",IFERROR(VLOOKUP($A147,'02_Конкуренты'!$A\$4:$B\$203,2,FALSE),"не найдено"))</f>
        <v/>
      </c>
      <c r="C147" s="2" t="n"/>
      <c r="D147" s="2" t="n"/>
      <c r="E147" s="2" t="n"/>
      <c r="F147" s="2" t="n"/>
      <c r="G147" s="2" t="n"/>
      <c r="H147" s="2" t="n"/>
      <c r="I147" s="2" t="n"/>
      <c r="J147" s="2" t="n"/>
      <c r="K147" s="7">
        <f>IF($A147="","",$G147*0.3+$H147*0.25+$I147*0.25+$J147*0.2)</f>
        <v/>
      </c>
      <c r="L147" s="5">
        <f>IF($A147="","",IF($K147&gt;=4,"сильное преимущество",IF($K147&gt;=3,"умеренное преимущество",IF($K147&gt;=2,"слабое преимущество","недостаточно подтверждений"))))</f>
        <v/>
      </c>
      <c r="M147" s="2" t="n"/>
    </row>
    <row r="148">
      <c r="A148" s="2" t="n"/>
      <c r="B148" s="5">
        <f>IF($A148="","",IFERROR(VLOOKUP($A148,'02_Конкуренты'!$A\$4:$B\$203,2,FALSE),"не найдено"))</f>
        <v/>
      </c>
      <c r="C148" s="2" t="n"/>
      <c r="D148" s="2" t="n"/>
      <c r="E148" s="2" t="n"/>
      <c r="F148" s="2" t="n"/>
      <c r="G148" s="2" t="n"/>
      <c r="H148" s="2" t="n"/>
      <c r="I148" s="2" t="n"/>
      <c r="J148" s="2" t="n"/>
      <c r="K148" s="7">
        <f>IF($A148="","",$G148*0.3+$H148*0.25+$I148*0.25+$J148*0.2)</f>
        <v/>
      </c>
      <c r="L148" s="5">
        <f>IF($A148="","",IF($K148&gt;=4,"сильное преимущество",IF($K148&gt;=3,"умеренное преимущество",IF($K148&gt;=2,"слабое преимущество","недостаточно подтверждений"))))</f>
        <v/>
      </c>
      <c r="M148" s="2" t="n"/>
    </row>
    <row r="149">
      <c r="A149" s="2" t="n"/>
      <c r="B149" s="5">
        <f>IF($A149="","",IFERROR(VLOOKUP($A149,'02_Конкуренты'!$A\$4:$B\$203,2,FALSE),"не найдено"))</f>
        <v/>
      </c>
      <c r="C149" s="2" t="n"/>
      <c r="D149" s="2" t="n"/>
      <c r="E149" s="2" t="n"/>
      <c r="F149" s="2" t="n"/>
      <c r="G149" s="2" t="n"/>
      <c r="H149" s="2" t="n"/>
      <c r="I149" s="2" t="n"/>
      <c r="J149" s="2" t="n"/>
      <c r="K149" s="7">
        <f>IF($A149="","",$G149*0.3+$H149*0.25+$I149*0.25+$J149*0.2)</f>
        <v/>
      </c>
      <c r="L149" s="5">
        <f>IF($A149="","",IF($K149&gt;=4,"сильное преимущество",IF($K149&gt;=3,"умеренное преимущество",IF($K149&gt;=2,"слабое преимущество","недостаточно подтверждений"))))</f>
        <v/>
      </c>
      <c r="M149" s="2" t="n"/>
    </row>
    <row r="150">
      <c r="A150" s="2" t="n"/>
      <c r="B150" s="5">
        <f>IF($A150="","",IFERROR(VLOOKUP($A150,'02_Конкуренты'!$A\$4:$B\$203,2,FALSE),"не найдено"))</f>
        <v/>
      </c>
      <c r="C150" s="2" t="n"/>
      <c r="D150" s="2" t="n"/>
      <c r="E150" s="2" t="n"/>
      <c r="F150" s="2" t="n"/>
      <c r="G150" s="2" t="n"/>
      <c r="H150" s="2" t="n"/>
      <c r="I150" s="2" t="n"/>
      <c r="J150" s="2" t="n"/>
      <c r="K150" s="7">
        <f>IF($A150="","",$G150*0.3+$H150*0.25+$I150*0.25+$J150*0.2)</f>
        <v/>
      </c>
      <c r="L150" s="5">
        <f>IF($A150="","",IF($K150&gt;=4,"сильное преимущество",IF($K150&gt;=3,"умеренное преимущество",IF($K150&gt;=2,"слабое преимущество","недостаточно подтверждений"))))</f>
        <v/>
      </c>
      <c r="M150" s="2" t="n"/>
    </row>
    <row r="151">
      <c r="A151" s="2" t="n"/>
      <c r="B151" s="5">
        <f>IF($A151="","",IFERROR(VLOOKUP($A151,'02_Конкуренты'!$A\$4:$B\$203,2,FALSE),"не найдено"))</f>
        <v/>
      </c>
      <c r="C151" s="2" t="n"/>
      <c r="D151" s="2" t="n"/>
      <c r="E151" s="2" t="n"/>
      <c r="F151" s="2" t="n"/>
      <c r="G151" s="2" t="n"/>
      <c r="H151" s="2" t="n"/>
      <c r="I151" s="2" t="n"/>
      <c r="J151" s="2" t="n"/>
      <c r="K151" s="7">
        <f>IF($A151="","",$G151*0.3+$H151*0.25+$I151*0.25+$J151*0.2)</f>
        <v/>
      </c>
      <c r="L151" s="5">
        <f>IF($A151="","",IF($K151&gt;=4,"сильное преимущество",IF($K151&gt;=3,"умеренное преимущество",IF($K151&gt;=2,"слабое преимущество","недостаточно подтверждений"))))</f>
        <v/>
      </c>
      <c r="M151" s="2" t="n"/>
    </row>
    <row r="152">
      <c r="A152" s="2" t="n"/>
      <c r="B152" s="5">
        <f>IF($A152="","",IFERROR(VLOOKUP($A152,'02_Конкуренты'!$A\$4:$B\$203,2,FALSE),"не найдено"))</f>
        <v/>
      </c>
      <c r="C152" s="2" t="n"/>
      <c r="D152" s="2" t="n"/>
      <c r="E152" s="2" t="n"/>
      <c r="F152" s="2" t="n"/>
      <c r="G152" s="2" t="n"/>
      <c r="H152" s="2" t="n"/>
      <c r="I152" s="2" t="n"/>
      <c r="J152" s="2" t="n"/>
      <c r="K152" s="7">
        <f>IF($A152="","",$G152*0.3+$H152*0.25+$I152*0.25+$J152*0.2)</f>
        <v/>
      </c>
      <c r="L152" s="5">
        <f>IF($A152="","",IF($K152&gt;=4,"сильное преимущество",IF($K152&gt;=3,"умеренное преимущество",IF($K152&gt;=2,"слабое преимущество","недостаточно подтверждений"))))</f>
        <v/>
      </c>
      <c r="M152" s="2" t="n"/>
    </row>
    <row r="153">
      <c r="A153" s="2" t="n"/>
      <c r="B153" s="5">
        <f>IF($A153="","",IFERROR(VLOOKUP($A153,'02_Конкуренты'!$A\$4:$B\$203,2,FALSE),"не найдено"))</f>
        <v/>
      </c>
      <c r="C153" s="2" t="n"/>
      <c r="D153" s="2" t="n"/>
      <c r="E153" s="2" t="n"/>
      <c r="F153" s="2" t="n"/>
      <c r="G153" s="2" t="n"/>
      <c r="H153" s="2" t="n"/>
      <c r="I153" s="2" t="n"/>
      <c r="J153" s="2" t="n"/>
      <c r="K153" s="7">
        <f>IF($A153="","",$G153*0.3+$H153*0.25+$I153*0.25+$J153*0.2)</f>
        <v/>
      </c>
      <c r="L153" s="5">
        <f>IF($A153="","",IF($K153&gt;=4,"сильное преимущество",IF($K153&gt;=3,"умеренное преимущество",IF($K153&gt;=2,"слабое преимущество","недостаточно подтверждений"))))</f>
        <v/>
      </c>
      <c r="M153" s="2" t="n"/>
    </row>
    <row r="154">
      <c r="A154" s="2" t="n"/>
      <c r="B154" s="5">
        <f>IF($A154="","",IFERROR(VLOOKUP($A154,'02_Конкуренты'!$A\$4:$B\$203,2,FALSE),"не найдено"))</f>
        <v/>
      </c>
      <c r="C154" s="2" t="n"/>
      <c r="D154" s="2" t="n"/>
      <c r="E154" s="2" t="n"/>
      <c r="F154" s="2" t="n"/>
      <c r="G154" s="2" t="n"/>
      <c r="H154" s="2" t="n"/>
      <c r="I154" s="2" t="n"/>
      <c r="J154" s="2" t="n"/>
      <c r="K154" s="7">
        <f>IF($A154="","",$G154*0.3+$H154*0.25+$I154*0.25+$J154*0.2)</f>
        <v/>
      </c>
      <c r="L154" s="5">
        <f>IF($A154="","",IF($K154&gt;=4,"сильное преимущество",IF($K154&gt;=3,"умеренное преимущество",IF($K154&gt;=2,"слабое преимущество","недостаточно подтверждений"))))</f>
        <v/>
      </c>
      <c r="M154" s="2" t="n"/>
    </row>
    <row r="155">
      <c r="A155" s="2" t="n"/>
      <c r="B155" s="5">
        <f>IF($A155="","",IFERROR(VLOOKUP($A155,'02_Конкуренты'!$A\$4:$B\$203,2,FALSE),"не найдено"))</f>
        <v/>
      </c>
      <c r="C155" s="2" t="n"/>
      <c r="D155" s="2" t="n"/>
      <c r="E155" s="2" t="n"/>
      <c r="F155" s="2" t="n"/>
      <c r="G155" s="2" t="n"/>
      <c r="H155" s="2" t="n"/>
      <c r="I155" s="2" t="n"/>
      <c r="J155" s="2" t="n"/>
      <c r="K155" s="7">
        <f>IF($A155="","",$G155*0.3+$H155*0.25+$I155*0.25+$J155*0.2)</f>
        <v/>
      </c>
      <c r="L155" s="5">
        <f>IF($A155="","",IF($K155&gt;=4,"сильное преимущество",IF($K155&gt;=3,"умеренное преимущество",IF($K155&gt;=2,"слабое преимущество","недостаточно подтверждений"))))</f>
        <v/>
      </c>
      <c r="M155" s="2" t="n"/>
    </row>
    <row r="156">
      <c r="A156" s="2" t="n"/>
      <c r="B156" s="5">
        <f>IF($A156="","",IFERROR(VLOOKUP($A156,'02_Конкуренты'!$A\$4:$B\$203,2,FALSE),"не найдено"))</f>
        <v/>
      </c>
      <c r="C156" s="2" t="n"/>
      <c r="D156" s="2" t="n"/>
      <c r="E156" s="2" t="n"/>
      <c r="F156" s="2" t="n"/>
      <c r="G156" s="2" t="n"/>
      <c r="H156" s="2" t="n"/>
      <c r="I156" s="2" t="n"/>
      <c r="J156" s="2" t="n"/>
      <c r="K156" s="7">
        <f>IF($A156="","",$G156*0.3+$H156*0.25+$I156*0.25+$J156*0.2)</f>
        <v/>
      </c>
      <c r="L156" s="5">
        <f>IF($A156="","",IF($K156&gt;=4,"сильное преимущество",IF($K156&gt;=3,"умеренное преимущество",IF($K156&gt;=2,"слабое преимущество","недостаточно подтверждений"))))</f>
        <v/>
      </c>
      <c r="M156" s="2" t="n"/>
    </row>
    <row r="157">
      <c r="A157" s="2" t="n"/>
      <c r="B157" s="5">
        <f>IF($A157="","",IFERROR(VLOOKUP($A157,'02_Конкуренты'!$A\$4:$B\$203,2,FALSE),"не найдено"))</f>
        <v/>
      </c>
      <c r="C157" s="2" t="n"/>
      <c r="D157" s="2" t="n"/>
      <c r="E157" s="2" t="n"/>
      <c r="F157" s="2" t="n"/>
      <c r="G157" s="2" t="n"/>
      <c r="H157" s="2" t="n"/>
      <c r="I157" s="2" t="n"/>
      <c r="J157" s="2" t="n"/>
      <c r="K157" s="7">
        <f>IF($A157="","",$G157*0.3+$H157*0.25+$I157*0.25+$J157*0.2)</f>
        <v/>
      </c>
      <c r="L157" s="5">
        <f>IF($A157="","",IF($K157&gt;=4,"сильное преимущество",IF($K157&gt;=3,"умеренное преимущество",IF($K157&gt;=2,"слабое преимущество","недостаточно подтверждений"))))</f>
        <v/>
      </c>
      <c r="M157" s="2" t="n"/>
    </row>
    <row r="158">
      <c r="A158" s="2" t="n"/>
      <c r="B158" s="5">
        <f>IF($A158="","",IFERROR(VLOOKUP($A158,'02_Конкуренты'!$A\$4:$B\$203,2,FALSE),"не найдено"))</f>
        <v/>
      </c>
      <c r="C158" s="2" t="n"/>
      <c r="D158" s="2" t="n"/>
      <c r="E158" s="2" t="n"/>
      <c r="F158" s="2" t="n"/>
      <c r="G158" s="2" t="n"/>
      <c r="H158" s="2" t="n"/>
      <c r="I158" s="2" t="n"/>
      <c r="J158" s="2" t="n"/>
      <c r="K158" s="7">
        <f>IF($A158="","",$G158*0.3+$H158*0.25+$I158*0.25+$J158*0.2)</f>
        <v/>
      </c>
      <c r="L158" s="5">
        <f>IF($A158="","",IF($K158&gt;=4,"сильное преимущество",IF($K158&gt;=3,"умеренное преимущество",IF($K158&gt;=2,"слабое преимущество","недостаточно подтверждений"))))</f>
        <v/>
      </c>
      <c r="M158" s="2" t="n"/>
    </row>
    <row r="159">
      <c r="A159" s="2" t="n"/>
      <c r="B159" s="5">
        <f>IF($A159="","",IFERROR(VLOOKUP($A159,'02_Конкуренты'!$A\$4:$B\$203,2,FALSE),"не найдено"))</f>
        <v/>
      </c>
      <c r="C159" s="2" t="n"/>
      <c r="D159" s="2" t="n"/>
      <c r="E159" s="2" t="n"/>
      <c r="F159" s="2" t="n"/>
      <c r="G159" s="2" t="n"/>
      <c r="H159" s="2" t="n"/>
      <c r="I159" s="2" t="n"/>
      <c r="J159" s="2" t="n"/>
      <c r="K159" s="7">
        <f>IF($A159="","",$G159*0.3+$H159*0.25+$I159*0.25+$J159*0.2)</f>
        <v/>
      </c>
      <c r="L159" s="5">
        <f>IF($A159="","",IF($K159&gt;=4,"сильное преимущество",IF($K159&gt;=3,"умеренное преимущество",IF($K159&gt;=2,"слабое преимущество","недостаточно подтверждений"))))</f>
        <v/>
      </c>
      <c r="M159" s="2" t="n"/>
    </row>
    <row r="160">
      <c r="A160" s="2" t="n"/>
      <c r="B160" s="5">
        <f>IF($A160="","",IFERROR(VLOOKUP($A160,'02_Конкуренты'!$A\$4:$B\$203,2,FALSE),"не найдено"))</f>
        <v/>
      </c>
      <c r="C160" s="2" t="n"/>
      <c r="D160" s="2" t="n"/>
      <c r="E160" s="2" t="n"/>
      <c r="F160" s="2" t="n"/>
      <c r="G160" s="2" t="n"/>
      <c r="H160" s="2" t="n"/>
      <c r="I160" s="2" t="n"/>
      <c r="J160" s="2" t="n"/>
      <c r="K160" s="7">
        <f>IF($A160="","",$G160*0.3+$H160*0.25+$I160*0.25+$J160*0.2)</f>
        <v/>
      </c>
      <c r="L160" s="5">
        <f>IF($A160="","",IF($K160&gt;=4,"сильное преимущество",IF($K160&gt;=3,"умеренное преимущество",IF($K160&gt;=2,"слабое преимущество","недостаточно подтверждений"))))</f>
        <v/>
      </c>
      <c r="M160" s="2" t="n"/>
    </row>
    <row r="161">
      <c r="A161" s="2" t="n"/>
      <c r="B161" s="5">
        <f>IF($A161="","",IFERROR(VLOOKUP($A161,'02_Конкуренты'!$A\$4:$B\$203,2,FALSE),"не найдено"))</f>
        <v/>
      </c>
      <c r="C161" s="2" t="n"/>
      <c r="D161" s="2" t="n"/>
      <c r="E161" s="2" t="n"/>
      <c r="F161" s="2" t="n"/>
      <c r="G161" s="2" t="n"/>
      <c r="H161" s="2" t="n"/>
      <c r="I161" s="2" t="n"/>
      <c r="J161" s="2" t="n"/>
      <c r="K161" s="7">
        <f>IF($A161="","",$G161*0.3+$H161*0.25+$I161*0.25+$J161*0.2)</f>
        <v/>
      </c>
      <c r="L161" s="5">
        <f>IF($A161="","",IF($K161&gt;=4,"сильное преимущество",IF($K161&gt;=3,"умеренное преимущество",IF($K161&gt;=2,"слабое преимущество","недостаточно подтверждений"))))</f>
        <v/>
      </c>
      <c r="M161" s="2" t="n"/>
    </row>
    <row r="162">
      <c r="A162" s="2" t="n"/>
      <c r="B162" s="5">
        <f>IF($A162="","",IFERROR(VLOOKUP($A162,'02_Конкуренты'!$A\$4:$B\$203,2,FALSE),"не найдено"))</f>
        <v/>
      </c>
      <c r="C162" s="2" t="n"/>
      <c r="D162" s="2" t="n"/>
      <c r="E162" s="2" t="n"/>
      <c r="F162" s="2" t="n"/>
      <c r="G162" s="2" t="n"/>
      <c r="H162" s="2" t="n"/>
      <c r="I162" s="2" t="n"/>
      <c r="J162" s="2" t="n"/>
      <c r="K162" s="7">
        <f>IF($A162="","",$G162*0.3+$H162*0.25+$I162*0.25+$J162*0.2)</f>
        <v/>
      </c>
      <c r="L162" s="5">
        <f>IF($A162="","",IF($K162&gt;=4,"сильное преимущество",IF($K162&gt;=3,"умеренное преимущество",IF($K162&gt;=2,"слабое преимущество","недостаточно подтверждений"))))</f>
        <v/>
      </c>
      <c r="M162" s="2" t="n"/>
    </row>
    <row r="163">
      <c r="A163" s="2" t="n"/>
      <c r="B163" s="5">
        <f>IF($A163="","",IFERROR(VLOOKUP($A163,'02_Конкуренты'!$A\$4:$B\$203,2,FALSE),"не найдено"))</f>
        <v/>
      </c>
      <c r="C163" s="2" t="n"/>
      <c r="D163" s="2" t="n"/>
      <c r="E163" s="2" t="n"/>
      <c r="F163" s="2" t="n"/>
      <c r="G163" s="2" t="n"/>
      <c r="H163" s="2" t="n"/>
      <c r="I163" s="2" t="n"/>
      <c r="J163" s="2" t="n"/>
      <c r="K163" s="7">
        <f>IF($A163="","",$G163*0.3+$H163*0.25+$I163*0.25+$J163*0.2)</f>
        <v/>
      </c>
      <c r="L163" s="5">
        <f>IF($A163="","",IF($K163&gt;=4,"сильное преимущество",IF($K163&gt;=3,"умеренное преимущество",IF($K163&gt;=2,"слабое преимущество","недостаточно подтверждений"))))</f>
        <v/>
      </c>
      <c r="M163" s="2" t="n"/>
    </row>
    <row r="164">
      <c r="A164" s="2" t="n"/>
      <c r="B164" s="5">
        <f>IF($A164="","",IFERROR(VLOOKUP($A164,'02_Конкуренты'!$A\$4:$B\$203,2,FALSE),"не найдено"))</f>
        <v/>
      </c>
      <c r="C164" s="2" t="n"/>
      <c r="D164" s="2" t="n"/>
      <c r="E164" s="2" t="n"/>
      <c r="F164" s="2" t="n"/>
      <c r="G164" s="2" t="n"/>
      <c r="H164" s="2" t="n"/>
      <c r="I164" s="2" t="n"/>
      <c r="J164" s="2" t="n"/>
      <c r="K164" s="7">
        <f>IF($A164="","",$G164*0.3+$H164*0.25+$I164*0.25+$J164*0.2)</f>
        <v/>
      </c>
      <c r="L164" s="5">
        <f>IF($A164="","",IF($K164&gt;=4,"сильное преимущество",IF($K164&gt;=3,"умеренное преимущество",IF($K164&gt;=2,"слабое преимущество","недостаточно подтверждений"))))</f>
        <v/>
      </c>
      <c r="M164" s="2" t="n"/>
    </row>
    <row r="165">
      <c r="A165" s="2" t="n"/>
      <c r="B165" s="5">
        <f>IF($A165="","",IFERROR(VLOOKUP($A165,'02_Конкуренты'!$A\$4:$B\$203,2,FALSE),"не найдено"))</f>
        <v/>
      </c>
      <c r="C165" s="2" t="n"/>
      <c r="D165" s="2" t="n"/>
      <c r="E165" s="2" t="n"/>
      <c r="F165" s="2" t="n"/>
      <c r="G165" s="2" t="n"/>
      <c r="H165" s="2" t="n"/>
      <c r="I165" s="2" t="n"/>
      <c r="J165" s="2" t="n"/>
      <c r="K165" s="7">
        <f>IF($A165="","",$G165*0.3+$H165*0.25+$I165*0.25+$J165*0.2)</f>
        <v/>
      </c>
      <c r="L165" s="5">
        <f>IF($A165="","",IF($K165&gt;=4,"сильное преимущество",IF($K165&gt;=3,"умеренное преимущество",IF($K165&gt;=2,"слабое преимущество","недостаточно подтверждений"))))</f>
        <v/>
      </c>
      <c r="M165" s="2" t="n"/>
    </row>
    <row r="166">
      <c r="A166" s="2" t="n"/>
      <c r="B166" s="5">
        <f>IF($A166="","",IFERROR(VLOOKUP($A166,'02_Конкуренты'!$A\$4:$B\$203,2,FALSE),"не найдено"))</f>
        <v/>
      </c>
      <c r="C166" s="2" t="n"/>
      <c r="D166" s="2" t="n"/>
      <c r="E166" s="2" t="n"/>
      <c r="F166" s="2" t="n"/>
      <c r="G166" s="2" t="n"/>
      <c r="H166" s="2" t="n"/>
      <c r="I166" s="2" t="n"/>
      <c r="J166" s="2" t="n"/>
      <c r="K166" s="7">
        <f>IF($A166="","",$G166*0.3+$H166*0.25+$I166*0.25+$J166*0.2)</f>
        <v/>
      </c>
      <c r="L166" s="5">
        <f>IF($A166="","",IF($K166&gt;=4,"сильное преимущество",IF($K166&gt;=3,"умеренное преимущество",IF($K166&gt;=2,"слабое преимущество","недостаточно подтверждений"))))</f>
        <v/>
      </c>
      <c r="M166" s="2" t="n"/>
    </row>
    <row r="167">
      <c r="A167" s="2" t="n"/>
      <c r="B167" s="5">
        <f>IF($A167="","",IFERROR(VLOOKUP($A167,'02_Конкуренты'!$A\$4:$B\$203,2,FALSE),"не найдено"))</f>
        <v/>
      </c>
      <c r="C167" s="2" t="n"/>
      <c r="D167" s="2" t="n"/>
      <c r="E167" s="2" t="n"/>
      <c r="F167" s="2" t="n"/>
      <c r="G167" s="2" t="n"/>
      <c r="H167" s="2" t="n"/>
      <c r="I167" s="2" t="n"/>
      <c r="J167" s="2" t="n"/>
      <c r="K167" s="7">
        <f>IF($A167="","",$G167*0.3+$H167*0.25+$I167*0.25+$J167*0.2)</f>
        <v/>
      </c>
      <c r="L167" s="5">
        <f>IF($A167="","",IF($K167&gt;=4,"сильное преимущество",IF($K167&gt;=3,"умеренное преимущество",IF($K167&gt;=2,"слабое преимущество","недостаточно подтверждений"))))</f>
        <v/>
      </c>
      <c r="M167" s="2" t="n"/>
    </row>
    <row r="168">
      <c r="A168" s="2" t="n"/>
      <c r="B168" s="5">
        <f>IF($A168="","",IFERROR(VLOOKUP($A168,'02_Конкуренты'!$A\$4:$B\$203,2,FALSE),"не найдено"))</f>
        <v/>
      </c>
      <c r="C168" s="2" t="n"/>
      <c r="D168" s="2" t="n"/>
      <c r="E168" s="2" t="n"/>
      <c r="F168" s="2" t="n"/>
      <c r="G168" s="2" t="n"/>
      <c r="H168" s="2" t="n"/>
      <c r="I168" s="2" t="n"/>
      <c r="J168" s="2" t="n"/>
      <c r="K168" s="7">
        <f>IF($A168="","",$G168*0.3+$H168*0.25+$I168*0.25+$J168*0.2)</f>
        <v/>
      </c>
      <c r="L168" s="5">
        <f>IF($A168="","",IF($K168&gt;=4,"сильное преимущество",IF($K168&gt;=3,"умеренное преимущество",IF($K168&gt;=2,"слабое преимущество","недостаточно подтверждений"))))</f>
        <v/>
      </c>
      <c r="M168" s="2" t="n"/>
    </row>
    <row r="169">
      <c r="A169" s="2" t="n"/>
      <c r="B169" s="5">
        <f>IF($A169="","",IFERROR(VLOOKUP($A169,'02_Конкуренты'!$A\$4:$B\$203,2,FALSE),"не найдено"))</f>
        <v/>
      </c>
      <c r="C169" s="2" t="n"/>
      <c r="D169" s="2" t="n"/>
      <c r="E169" s="2" t="n"/>
      <c r="F169" s="2" t="n"/>
      <c r="G169" s="2" t="n"/>
      <c r="H169" s="2" t="n"/>
      <c r="I169" s="2" t="n"/>
      <c r="J169" s="2" t="n"/>
      <c r="K169" s="7">
        <f>IF($A169="","",$G169*0.3+$H169*0.25+$I169*0.25+$J169*0.2)</f>
        <v/>
      </c>
      <c r="L169" s="5">
        <f>IF($A169="","",IF($K169&gt;=4,"сильное преимущество",IF($K169&gt;=3,"умеренное преимущество",IF($K169&gt;=2,"слабое преимущество","недостаточно подтверждений"))))</f>
        <v/>
      </c>
      <c r="M169" s="2" t="n"/>
    </row>
    <row r="170">
      <c r="A170" s="2" t="n"/>
      <c r="B170" s="5">
        <f>IF($A170="","",IFERROR(VLOOKUP($A170,'02_Конкуренты'!$A\$4:$B\$203,2,FALSE),"не найдено"))</f>
        <v/>
      </c>
      <c r="C170" s="2" t="n"/>
      <c r="D170" s="2" t="n"/>
      <c r="E170" s="2" t="n"/>
      <c r="F170" s="2" t="n"/>
      <c r="G170" s="2" t="n"/>
      <c r="H170" s="2" t="n"/>
      <c r="I170" s="2" t="n"/>
      <c r="J170" s="2" t="n"/>
      <c r="K170" s="7">
        <f>IF($A170="","",$G170*0.3+$H170*0.25+$I170*0.25+$J170*0.2)</f>
        <v/>
      </c>
      <c r="L170" s="5">
        <f>IF($A170="","",IF($K170&gt;=4,"сильное преимущество",IF($K170&gt;=3,"умеренное преимущество",IF($K170&gt;=2,"слабое преимущество","недостаточно подтверждений"))))</f>
        <v/>
      </c>
      <c r="M170" s="2" t="n"/>
    </row>
    <row r="171">
      <c r="A171" s="2" t="n"/>
      <c r="B171" s="5">
        <f>IF($A171="","",IFERROR(VLOOKUP($A171,'02_Конкуренты'!$A\$4:$B\$203,2,FALSE),"не найдено"))</f>
        <v/>
      </c>
      <c r="C171" s="2" t="n"/>
      <c r="D171" s="2" t="n"/>
      <c r="E171" s="2" t="n"/>
      <c r="F171" s="2" t="n"/>
      <c r="G171" s="2" t="n"/>
      <c r="H171" s="2" t="n"/>
      <c r="I171" s="2" t="n"/>
      <c r="J171" s="2" t="n"/>
      <c r="K171" s="7">
        <f>IF($A171="","",$G171*0.3+$H171*0.25+$I171*0.25+$J171*0.2)</f>
        <v/>
      </c>
      <c r="L171" s="5">
        <f>IF($A171="","",IF($K171&gt;=4,"сильное преимущество",IF($K171&gt;=3,"умеренное преимущество",IF($K171&gt;=2,"слабое преимущество","недостаточно подтверждений"))))</f>
        <v/>
      </c>
      <c r="M171" s="2" t="n"/>
    </row>
    <row r="172">
      <c r="A172" s="2" t="n"/>
      <c r="B172" s="5">
        <f>IF($A172="","",IFERROR(VLOOKUP($A172,'02_Конкуренты'!$A\$4:$B\$203,2,FALSE),"не найдено"))</f>
        <v/>
      </c>
      <c r="C172" s="2" t="n"/>
      <c r="D172" s="2" t="n"/>
      <c r="E172" s="2" t="n"/>
      <c r="F172" s="2" t="n"/>
      <c r="G172" s="2" t="n"/>
      <c r="H172" s="2" t="n"/>
      <c r="I172" s="2" t="n"/>
      <c r="J172" s="2" t="n"/>
      <c r="K172" s="7">
        <f>IF($A172="","",$G172*0.3+$H172*0.25+$I172*0.25+$J172*0.2)</f>
        <v/>
      </c>
      <c r="L172" s="5">
        <f>IF($A172="","",IF($K172&gt;=4,"сильное преимущество",IF($K172&gt;=3,"умеренное преимущество",IF($K172&gt;=2,"слабое преимущество","недостаточно подтверждений"))))</f>
        <v/>
      </c>
      <c r="M172" s="2" t="n"/>
    </row>
    <row r="173">
      <c r="A173" s="2" t="n"/>
      <c r="B173" s="5">
        <f>IF($A173="","",IFERROR(VLOOKUP($A173,'02_Конкуренты'!$A\$4:$B\$203,2,FALSE),"не найдено"))</f>
        <v/>
      </c>
      <c r="C173" s="2" t="n"/>
      <c r="D173" s="2" t="n"/>
      <c r="E173" s="2" t="n"/>
      <c r="F173" s="2" t="n"/>
      <c r="G173" s="2" t="n"/>
      <c r="H173" s="2" t="n"/>
      <c r="I173" s="2" t="n"/>
      <c r="J173" s="2" t="n"/>
      <c r="K173" s="7">
        <f>IF($A173="","",$G173*0.3+$H173*0.25+$I173*0.25+$J173*0.2)</f>
        <v/>
      </c>
      <c r="L173" s="5">
        <f>IF($A173="","",IF($K173&gt;=4,"сильное преимущество",IF($K173&gt;=3,"умеренное преимущество",IF($K173&gt;=2,"слабое преимущество","недостаточно подтверждений"))))</f>
        <v/>
      </c>
      <c r="M173" s="2" t="n"/>
    </row>
    <row r="174">
      <c r="A174" s="2" t="n"/>
      <c r="B174" s="5">
        <f>IF($A174="","",IFERROR(VLOOKUP($A174,'02_Конкуренты'!$A\$4:$B\$203,2,FALSE),"не найдено"))</f>
        <v/>
      </c>
      <c r="C174" s="2" t="n"/>
      <c r="D174" s="2" t="n"/>
      <c r="E174" s="2" t="n"/>
      <c r="F174" s="2" t="n"/>
      <c r="G174" s="2" t="n"/>
      <c r="H174" s="2" t="n"/>
      <c r="I174" s="2" t="n"/>
      <c r="J174" s="2" t="n"/>
      <c r="K174" s="7">
        <f>IF($A174="","",$G174*0.3+$H174*0.25+$I174*0.25+$J174*0.2)</f>
        <v/>
      </c>
      <c r="L174" s="5">
        <f>IF($A174="","",IF($K174&gt;=4,"сильное преимущество",IF($K174&gt;=3,"умеренное преимущество",IF($K174&gt;=2,"слабое преимущество","недостаточно подтверждений"))))</f>
        <v/>
      </c>
      <c r="M174" s="2" t="n"/>
    </row>
    <row r="175">
      <c r="A175" s="2" t="n"/>
      <c r="B175" s="5">
        <f>IF($A175="","",IFERROR(VLOOKUP($A175,'02_Конкуренты'!$A\$4:$B\$203,2,FALSE),"не найдено"))</f>
        <v/>
      </c>
      <c r="C175" s="2" t="n"/>
      <c r="D175" s="2" t="n"/>
      <c r="E175" s="2" t="n"/>
      <c r="F175" s="2" t="n"/>
      <c r="G175" s="2" t="n"/>
      <c r="H175" s="2" t="n"/>
      <c r="I175" s="2" t="n"/>
      <c r="J175" s="2" t="n"/>
      <c r="K175" s="7">
        <f>IF($A175="","",$G175*0.3+$H175*0.25+$I175*0.25+$J175*0.2)</f>
        <v/>
      </c>
      <c r="L175" s="5">
        <f>IF($A175="","",IF($K175&gt;=4,"сильное преимущество",IF($K175&gt;=3,"умеренное преимущество",IF($K175&gt;=2,"слабое преимущество","недостаточно подтверждений"))))</f>
        <v/>
      </c>
      <c r="M175" s="2" t="n"/>
    </row>
    <row r="176">
      <c r="A176" s="2" t="n"/>
      <c r="B176" s="5">
        <f>IF($A176="","",IFERROR(VLOOKUP($A176,'02_Конкуренты'!$A\$4:$B\$203,2,FALSE),"не найдено"))</f>
        <v/>
      </c>
      <c r="C176" s="2" t="n"/>
      <c r="D176" s="2" t="n"/>
      <c r="E176" s="2" t="n"/>
      <c r="F176" s="2" t="n"/>
      <c r="G176" s="2" t="n"/>
      <c r="H176" s="2" t="n"/>
      <c r="I176" s="2" t="n"/>
      <c r="J176" s="2" t="n"/>
      <c r="K176" s="7">
        <f>IF($A176="","",$G176*0.3+$H176*0.25+$I176*0.25+$J176*0.2)</f>
        <v/>
      </c>
      <c r="L176" s="5">
        <f>IF($A176="","",IF($K176&gt;=4,"сильное преимущество",IF($K176&gt;=3,"умеренное преимущество",IF($K176&gt;=2,"слабое преимущество","недостаточно подтверждений"))))</f>
        <v/>
      </c>
      <c r="M176" s="2" t="n"/>
    </row>
    <row r="177">
      <c r="A177" s="2" t="n"/>
      <c r="B177" s="5">
        <f>IF($A177="","",IFERROR(VLOOKUP($A177,'02_Конкуренты'!$A\$4:$B\$203,2,FALSE),"не найдено"))</f>
        <v/>
      </c>
      <c r="C177" s="2" t="n"/>
      <c r="D177" s="2" t="n"/>
      <c r="E177" s="2" t="n"/>
      <c r="F177" s="2" t="n"/>
      <c r="G177" s="2" t="n"/>
      <c r="H177" s="2" t="n"/>
      <c r="I177" s="2" t="n"/>
      <c r="J177" s="2" t="n"/>
      <c r="K177" s="7">
        <f>IF($A177="","",$G177*0.3+$H177*0.25+$I177*0.25+$J177*0.2)</f>
        <v/>
      </c>
      <c r="L177" s="5">
        <f>IF($A177="","",IF($K177&gt;=4,"сильное преимущество",IF($K177&gt;=3,"умеренное преимущество",IF($K177&gt;=2,"слабое преимущество","недостаточно подтверждений"))))</f>
        <v/>
      </c>
      <c r="M177" s="2" t="n"/>
    </row>
    <row r="178">
      <c r="A178" s="2" t="n"/>
      <c r="B178" s="5">
        <f>IF($A178="","",IFERROR(VLOOKUP($A178,'02_Конкуренты'!$A\$4:$B\$203,2,FALSE),"не найдено"))</f>
        <v/>
      </c>
      <c r="C178" s="2" t="n"/>
      <c r="D178" s="2" t="n"/>
      <c r="E178" s="2" t="n"/>
      <c r="F178" s="2" t="n"/>
      <c r="G178" s="2" t="n"/>
      <c r="H178" s="2" t="n"/>
      <c r="I178" s="2" t="n"/>
      <c r="J178" s="2" t="n"/>
      <c r="K178" s="7">
        <f>IF($A178="","",$G178*0.3+$H178*0.25+$I178*0.25+$J178*0.2)</f>
        <v/>
      </c>
      <c r="L178" s="5">
        <f>IF($A178="","",IF($K178&gt;=4,"сильное преимущество",IF($K178&gt;=3,"умеренное преимущество",IF($K178&gt;=2,"слабое преимущество","недостаточно подтверждений"))))</f>
        <v/>
      </c>
      <c r="M178" s="2" t="n"/>
    </row>
    <row r="179">
      <c r="A179" s="2" t="n"/>
      <c r="B179" s="5">
        <f>IF($A179="","",IFERROR(VLOOKUP($A179,'02_Конкуренты'!$A\$4:$B\$203,2,FALSE),"не найдено"))</f>
        <v/>
      </c>
      <c r="C179" s="2" t="n"/>
      <c r="D179" s="2" t="n"/>
      <c r="E179" s="2" t="n"/>
      <c r="F179" s="2" t="n"/>
      <c r="G179" s="2" t="n"/>
      <c r="H179" s="2" t="n"/>
      <c r="I179" s="2" t="n"/>
      <c r="J179" s="2" t="n"/>
      <c r="K179" s="7">
        <f>IF($A179="","",$G179*0.3+$H179*0.25+$I179*0.25+$J179*0.2)</f>
        <v/>
      </c>
      <c r="L179" s="5">
        <f>IF($A179="","",IF($K179&gt;=4,"сильное преимущество",IF($K179&gt;=3,"умеренное преимущество",IF($K179&gt;=2,"слабое преимущество","недостаточно подтверждений"))))</f>
        <v/>
      </c>
      <c r="M179" s="2" t="n"/>
    </row>
    <row r="180">
      <c r="A180" s="2" t="n"/>
      <c r="B180" s="5">
        <f>IF($A180="","",IFERROR(VLOOKUP($A180,'02_Конкуренты'!$A\$4:$B\$203,2,FALSE),"не найдено"))</f>
        <v/>
      </c>
      <c r="C180" s="2" t="n"/>
      <c r="D180" s="2" t="n"/>
      <c r="E180" s="2" t="n"/>
      <c r="F180" s="2" t="n"/>
      <c r="G180" s="2" t="n"/>
      <c r="H180" s="2" t="n"/>
      <c r="I180" s="2" t="n"/>
      <c r="J180" s="2" t="n"/>
      <c r="K180" s="7">
        <f>IF($A180="","",$G180*0.3+$H180*0.25+$I180*0.25+$J180*0.2)</f>
        <v/>
      </c>
      <c r="L180" s="5">
        <f>IF($A180="","",IF($K180&gt;=4,"сильное преимущество",IF($K180&gt;=3,"умеренное преимущество",IF($K180&gt;=2,"слабое преимущество","недостаточно подтверждений"))))</f>
        <v/>
      </c>
      <c r="M180" s="2" t="n"/>
    </row>
    <row r="181">
      <c r="A181" s="2" t="n"/>
      <c r="B181" s="5">
        <f>IF($A181="","",IFERROR(VLOOKUP($A181,'02_Конкуренты'!$A\$4:$B\$203,2,FALSE),"не найдено"))</f>
        <v/>
      </c>
      <c r="C181" s="2" t="n"/>
      <c r="D181" s="2" t="n"/>
      <c r="E181" s="2" t="n"/>
      <c r="F181" s="2" t="n"/>
      <c r="G181" s="2" t="n"/>
      <c r="H181" s="2" t="n"/>
      <c r="I181" s="2" t="n"/>
      <c r="J181" s="2" t="n"/>
      <c r="K181" s="7">
        <f>IF($A181="","",$G181*0.3+$H181*0.25+$I181*0.25+$J181*0.2)</f>
        <v/>
      </c>
      <c r="L181" s="5">
        <f>IF($A181="","",IF($K181&gt;=4,"сильное преимущество",IF($K181&gt;=3,"умеренное преимущество",IF($K181&gt;=2,"слабое преимущество","недостаточно подтверждений"))))</f>
        <v/>
      </c>
      <c r="M181" s="2" t="n"/>
    </row>
    <row r="182">
      <c r="A182" s="2" t="n"/>
      <c r="B182" s="5">
        <f>IF($A182="","",IFERROR(VLOOKUP($A182,'02_Конкуренты'!$A\$4:$B\$203,2,FALSE),"не найдено"))</f>
        <v/>
      </c>
      <c r="C182" s="2" t="n"/>
      <c r="D182" s="2" t="n"/>
      <c r="E182" s="2" t="n"/>
      <c r="F182" s="2" t="n"/>
      <c r="G182" s="2" t="n"/>
      <c r="H182" s="2" t="n"/>
      <c r="I182" s="2" t="n"/>
      <c r="J182" s="2" t="n"/>
      <c r="K182" s="7">
        <f>IF($A182="","",$G182*0.3+$H182*0.25+$I182*0.25+$J182*0.2)</f>
        <v/>
      </c>
      <c r="L182" s="5">
        <f>IF($A182="","",IF($K182&gt;=4,"сильное преимущество",IF($K182&gt;=3,"умеренное преимущество",IF($K182&gt;=2,"слабое преимущество","недостаточно подтверждений"))))</f>
        <v/>
      </c>
      <c r="M182" s="2" t="n"/>
    </row>
    <row r="183">
      <c r="A183" s="2" t="n"/>
      <c r="B183" s="5">
        <f>IF($A183="","",IFERROR(VLOOKUP($A183,'02_Конкуренты'!$A\$4:$B\$203,2,FALSE),"не найдено"))</f>
        <v/>
      </c>
      <c r="C183" s="2" t="n"/>
      <c r="D183" s="2" t="n"/>
      <c r="E183" s="2" t="n"/>
      <c r="F183" s="2" t="n"/>
      <c r="G183" s="2" t="n"/>
      <c r="H183" s="2" t="n"/>
      <c r="I183" s="2" t="n"/>
      <c r="J183" s="2" t="n"/>
      <c r="K183" s="7">
        <f>IF($A183="","",$G183*0.3+$H183*0.25+$I183*0.25+$J183*0.2)</f>
        <v/>
      </c>
      <c r="L183" s="5">
        <f>IF($A183="","",IF($K183&gt;=4,"сильное преимущество",IF($K183&gt;=3,"умеренное преимущество",IF($K183&gt;=2,"слабое преимущество","недостаточно подтверждений"))))</f>
        <v/>
      </c>
      <c r="M183" s="2" t="n"/>
    </row>
    <row r="184">
      <c r="A184" s="2" t="n"/>
      <c r="B184" s="5">
        <f>IF($A184="","",IFERROR(VLOOKUP($A184,'02_Конкуренты'!$A\$4:$B\$203,2,FALSE),"не найдено"))</f>
        <v/>
      </c>
      <c r="C184" s="2" t="n"/>
      <c r="D184" s="2" t="n"/>
      <c r="E184" s="2" t="n"/>
      <c r="F184" s="2" t="n"/>
      <c r="G184" s="2" t="n"/>
      <c r="H184" s="2" t="n"/>
      <c r="I184" s="2" t="n"/>
      <c r="J184" s="2" t="n"/>
      <c r="K184" s="7">
        <f>IF($A184="","",$G184*0.3+$H184*0.25+$I184*0.25+$J184*0.2)</f>
        <v/>
      </c>
      <c r="L184" s="5">
        <f>IF($A184="","",IF($K184&gt;=4,"сильное преимущество",IF($K184&gt;=3,"умеренное преимущество",IF($K184&gt;=2,"слабое преимущество","недостаточно подтверждений"))))</f>
        <v/>
      </c>
      <c r="M184" s="2" t="n"/>
    </row>
    <row r="185">
      <c r="A185" s="2" t="n"/>
      <c r="B185" s="5">
        <f>IF($A185="","",IFERROR(VLOOKUP($A185,'02_Конкуренты'!$A\$4:$B\$203,2,FALSE),"не найдено"))</f>
        <v/>
      </c>
      <c r="C185" s="2" t="n"/>
      <c r="D185" s="2" t="n"/>
      <c r="E185" s="2" t="n"/>
      <c r="F185" s="2" t="n"/>
      <c r="G185" s="2" t="n"/>
      <c r="H185" s="2" t="n"/>
      <c r="I185" s="2" t="n"/>
      <c r="J185" s="2" t="n"/>
      <c r="K185" s="7">
        <f>IF($A185="","",$G185*0.3+$H185*0.25+$I185*0.25+$J185*0.2)</f>
        <v/>
      </c>
      <c r="L185" s="5">
        <f>IF($A185="","",IF($K185&gt;=4,"сильное преимущество",IF($K185&gt;=3,"умеренное преимущество",IF($K185&gt;=2,"слабое преимущество","недостаточно подтверждений"))))</f>
        <v/>
      </c>
      <c r="M185" s="2" t="n"/>
    </row>
    <row r="186">
      <c r="A186" s="2" t="n"/>
      <c r="B186" s="5">
        <f>IF($A186="","",IFERROR(VLOOKUP($A186,'02_Конкуренты'!$A\$4:$B\$203,2,FALSE),"не найдено"))</f>
        <v/>
      </c>
      <c r="C186" s="2" t="n"/>
      <c r="D186" s="2" t="n"/>
      <c r="E186" s="2" t="n"/>
      <c r="F186" s="2" t="n"/>
      <c r="G186" s="2" t="n"/>
      <c r="H186" s="2" t="n"/>
      <c r="I186" s="2" t="n"/>
      <c r="J186" s="2" t="n"/>
      <c r="K186" s="7">
        <f>IF($A186="","",$G186*0.3+$H186*0.25+$I186*0.25+$J186*0.2)</f>
        <v/>
      </c>
      <c r="L186" s="5">
        <f>IF($A186="","",IF($K186&gt;=4,"сильное преимущество",IF($K186&gt;=3,"умеренное преимущество",IF($K186&gt;=2,"слабое преимущество","недостаточно подтверждений"))))</f>
        <v/>
      </c>
      <c r="M186" s="2" t="n"/>
    </row>
    <row r="187">
      <c r="A187" s="2" t="n"/>
      <c r="B187" s="5">
        <f>IF($A187="","",IFERROR(VLOOKUP($A187,'02_Конкуренты'!$A\$4:$B\$203,2,FALSE),"не найдено"))</f>
        <v/>
      </c>
      <c r="C187" s="2" t="n"/>
      <c r="D187" s="2" t="n"/>
      <c r="E187" s="2" t="n"/>
      <c r="F187" s="2" t="n"/>
      <c r="G187" s="2" t="n"/>
      <c r="H187" s="2" t="n"/>
      <c r="I187" s="2" t="n"/>
      <c r="J187" s="2" t="n"/>
      <c r="K187" s="7">
        <f>IF($A187="","",$G187*0.3+$H187*0.25+$I187*0.25+$J187*0.2)</f>
        <v/>
      </c>
      <c r="L187" s="5">
        <f>IF($A187="","",IF($K187&gt;=4,"сильное преимущество",IF($K187&gt;=3,"умеренное преимущество",IF($K187&gt;=2,"слабое преимущество","недостаточно подтверждений"))))</f>
        <v/>
      </c>
      <c r="M187" s="2" t="n"/>
    </row>
    <row r="188">
      <c r="A188" s="2" t="n"/>
      <c r="B188" s="5">
        <f>IF($A188="","",IFERROR(VLOOKUP($A188,'02_Конкуренты'!$A\$4:$B\$203,2,FALSE),"не найдено"))</f>
        <v/>
      </c>
      <c r="C188" s="2" t="n"/>
      <c r="D188" s="2" t="n"/>
      <c r="E188" s="2" t="n"/>
      <c r="F188" s="2" t="n"/>
      <c r="G188" s="2" t="n"/>
      <c r="H188" s="2" t="n"/>
      <c r="I188" s="2" t="n"/>
      <c r="J188" s="2" t="n"/>
      <c r="K188" s="7">
        <f>IF($A188="","",$G188*0.3+$H188*0.25+$I188*0.25+$J188*0.2)</f>
        <v/>
      </c>
      <c r="L188" s="5">
        <f>IF($A188="","",IF($K188&gt;=4,"сильное преимущество",IF($K188&gt;=3,"умеренное преимущество",IF($K188&gt;=2,"слабое преимущество","недостаточно подтверждений"))))</f>
        <v/>
      </c>
      <c r="M188" s="2" t="n"/>
    </row>
    <row r="189">
      <c r="A189" s="2" t="n"/>
      <c r="B189" s="5">
        <f>IF($A189="","",IFERROR(VLOOKUP($A189,'02_Конкуренты'!$A\$4:$B\$203,2,FALSE),"не найдено"))</f>
        <v/>
      </c>
      <c r="C189" s="2" t="n"/>
      <c r="D189" s="2" t="n"/>
      <c r="E189" s="2" t="n"/>
      <c r="F189" s="2" t="n"/>
      <c r="G189" s="2" t="n"/>
      <c r="H189" s="2" t="n"/>
      <c r="I189" s="2" t="n"/>
      <c r="J189" s="2" t="n"/>
      <c r="K189" s="7">
        <f>IF($A189="","",$G189*0.3+$H189*0.25+$I189*0.25+$J189*0.2)</f>
        <v/>
      </c>
      <c r="L189" s="5">
        <f>IF($A189="","",IF($K189&gt;=4,"сильное преимущество",IF($K189&gt;=3,"умеренное преимущество",IF($K189&gt;=2,"слабое преимущество","недостаточно подтверждений"))))</f>
        <v/>
      </c>
      <c r="M189" s="2" t="n"/>
    </row>
    <row r="190">
      <c r="A190" s="2" t="n"/>
      <c r="B190" s="5">
        <f>IF($A190="","",IFERROR(VLOOKUP($A190,'02_Конкуренты'!$A\$4:$B\$203,2,FALSE),"не найдено"))</f>
        <v/>
      </c>
      <c r="C190" s="2" t="n"/>
      <c r="D190" s="2" t="n"/>
      <c r="E190" s="2" t="n"/>
      <c r="F190" s="2" t="n"/>
      <c r="G190" s="2" t="n"/>
      <c r="H190" s="2" t="n"/>
      <c r="I190" s="2" t="n"/>
      <c r="J190" s="2" t="n"/>
      <c r="K190" s="7">
        <f>IF($A190="","",$G190*0.3+$H190*0.25+$I190*0.25+$J190*0.2)</f>
        <v/>
      </c>
      <c r="L190" s="5">
        <f>IF($A190="","",IF($K190&gt;=4,"сильное преимущество",IF($K190&gt;=3,"умеренное преимущество",IF($K190&gt;=2,"слабое преимущество","недостаточно подтверждений"))))</f>
        <v/>
      </c>
      <c r="M190" s="2" t="n"/>
    </row>
    <row r="191">
      <c r="A191" s="2" t="n"/>
      <c r="B191" s="5">
        <f>IF($A191="","",IFERROR(VLOOKUP($A191,'02_Конкуренты'!$A\$4:$B\$203,2,FALSE),"не найдено"))</f>
        <v/>
      </c>
      <c r="C191" s="2" t="n"/>
      <c r="D191" s="2" t="n"/>
      <c r="E191" s="2" t="n"/>
      <c r="F191" s="2" t="n"/>
      <c r="G191" s="2" t="n"/>
      <c r="H191" s="2" t="n"/>
      <c r="I191" s="2" t="n"/>
      <c r="J191" s="2" t="n"/>
      <c r="K191" s="7">
        <f>IF($A191="","",$G191*0.3+$H191*0.25+$I191*0.25+$J191*0.2)</f>
        <v/>
      </c>
      <c r="L191" s="5">
        <f>IF($A191="","",IF($K191&gt;=4,"сильное преимущество",IF($K191&gt;=3,"умеренное преимущество",IF($K191&gt;=2,"слабое преимущество","недостаточно подтверждений"))))</f>
        <v/>
      </c>
      <c r="M191" s="2" t="n"/>
    </row>
    <row r="192">
      <c r="A192" s="2" t="n"/>
      <c r="B192" s="5">
        <f>IF($A192="","",IFERROR(VLOOKUP($A192,'02_Конкуренты'!$A\$4:$B\$203,2,FALSE),"не найдено"))</f>
        <v/>
      </c>
      <c r="C192" s="2" t="n"/>
      <c r="D192" s="2" t="n"/>
      <c r="E192" s="2" t="n"/>
      <c r="F192" s="2" t="n"/>
      <c r="G192" s="2" t="n"/>
      <c r="H192" s="2" t="n"/>
      <c r="I192" s="2" t="n"/>
      <c r="J192" s="2" t="n"/>
      <c r="K192" s="7">
        <f>IF($A192="","",$G192*0.3+$H192*0.25+$I192*0.25+$J192*0.2)</f>
        <v/>
      </c>
      <c r="L192" s="5">
        <f>IF($A192="","",IF($K192&gt;=4,"сильное преимущество",IF($K192&gt;=3,"умеренное преимущество",IF($K192&gt;=2,"слабое преимущество","недостаточно подтверждений"))))</f>
        <v/>
      </c>
      <c r="M192" s="2" t="n"/>
    </row>
    <row r="193">
      <c r="A193" s="2" t="n"/>
      <c r="B193" s="5">
        <f>IF($A193="","",IFERROR(VLOOKUP($A193,'02_Конкуренты'!$A\$4:$B\$203,2,FALSE),"не найдено"))</f>
        <v/>
      </c>
      <c r="C193" s="2" t="n"/>
      <c r="D193" s="2" t="n"/>
      <c r="E193" s="2" t="n"/>
      <c r="F193" s="2" t="n"/>
      <c r="G193" s="2" t="n"/>
      <c r="H193" s="2" t="n"/>
      <c r="I193" s="2" t="n"/>
      <c r="J193" s="2" t="n"/>
      <c r="K193" s="7">
        <f>IF($A193="","",$G193*0.3+$H193*0.25+$I193*0.25+$J193*0.2)</f>
        <v/>
      </c>
      <c r="L193" s="5">
        <f>IF($A193="","",IF($K193&gt;=4,"сильное преимущество",IF($K193&gt;=3,"умеренное преимущество",IF($K193&gt;=2,"слабое преимущество","недостаточно подтверждений"))))</f>
        <v/>
      </c>
      <c r="M193" s="2" t="n"/>
    </row>
    <row r="194">
      <c r="A194" s="2" t="n"/>
      <c r="B194" s="5">
        <f>IF($A194="","",IFERROR(VLOOKUP($A194,'02_Конкуренты'!$A\$4:$B\$203,2,FALSE),"не найдено"))</f>
        <v/>
      </c>
      <c r="C194" s="2" t="n"/>
      <c r="D194" s="2" t="n"/>
      <c r="E194" s="2" t="n"/>
      <c r="F194" s="2" t="n"/>
      <c r="G194" s="2" t="n"/>
      <c r="H194" s="2" t="n"/>
      <c r="I194" s="2" t="n"/>
      <c r="J194" s="2" t="n"/>
      <c r="K194" s="7">
        <f>IF($A194="","",$G194*0.3+$H194*0.25+$I194*0.25+$J194*0.2)</f>
        <v/>
      </c>
      <c r="L194" s="5">
        <f>IF($A194="","",IF($K194&gt;=4,"сильное преимущество",IF($K194&gt;=3,"умеренное преимущество",IF($K194&gt;=2,"слабое преимущество","недостаточно подтверждений"))))</f>
        <v/>
      </c>
      <c r="M194" s="2" t="n"/>
    </row>
    <row r="195">
      <c r="A195" s="2" t="n"/>
      <c r="B195" s="5">
        <f>IF($A195="","",IFERROR(VLOOKUP($A195,'02_Конкуренты'!$A\$4:$B\$203,2,FALSE),"не найдено"))</f>
        <v/>
      </c>
      <c r="C195" s="2" t="n"/>
      <c r="D195" s="2" t="n"/>
      <c r="E195" s="2" t="n"/>
      <c r="F195" s="2" t="n"/>
      <c r="G195" s="2" t="n"/>
      <c r="H195" s="2" t="n"/>
      <c r="I195" s="2" t="n"/>
      <c r="J195" s="2" t="n"/>
      <c r="K195" s="7">
        <f>IF($A195="","",$G195*0.3+$H195*0.25+$I195*0.25+$J195*0.2)</f>
        <v/>
      </c>
      <c r="L195" s="5">
        <f>IF($A195="","",IF($K195&gt;=4,"сильное преимущество",IF($K195&gt;=3,"умеренное преимущество",IF($K195&gt;=2,"слабое преимущество","недостаточно подтверждений"))))</f>
        <v/>
      </c>
      <c r="M195" s="2" t="n"/>
    </row>
    <row r="196">
      <c r="A196" s="2" t="n"/>
      <c r="B196" s="5">
        <f>IF($A196="","",IFERROR(VLOOKUP($A196,'02_Конкуренты'!$A\$4:$B\$203,2,FALSE),"не найдено"))</f>
        <v/>
      </c>
      <c r="C196" s="2" t="n"/>
      <c r="D196" s="2" t="n"/>
      <c r="E196" s="2" t="n"/>
      <c r="F196" s="2" t="n"/>
      <c r="G196" s="2" t="n"/>
      <c r="H196" s="2" t="n"/>
      <c r="I196" s="2" t="n"/>
      <c r="J196" s="2" t="n"/>
      <c r="K196" s="7">
        <f>IF($A196="","",$G196*0.3+$H196*0.25+$I196*0.25+$J196*0.2)</f>
        <v/>
      </c>
      <c r="L196" s="5">
        <f>IF($A196="","",IF($K196&gt;=4,"сильное преимущество",IF($K196&gt;=3,"умеренное преимущество",IF($K196&gt;=2,"слабое преимущество","недостаточно подтверждений"))))</f>
        <v/>
      </c>
      <c r="M196" s="2" t="n"/>
    </row>
    <row r="197">
      <c r="A197" s="2" t="n"/>
      <c r="B197" s="5">
        <f>IF($A197="","",IFERROR(VLOOKUP($A197,'02_Конкуренты'!$A\$4:$B\$203,2,FALSE),"не найдено"))</f>
        <v/>
      </c>
      <c r="C197" s="2" t="n"/>
      <c r="D197" s="2" t="n"/>
      <c r="E197" s="2" t="n"/>
      <c r="F197" s="2" t="n"/>
      <c r="G197" s="2" t="n"/>
      <c r="H197" s="2" t="n"/>
      <c r="I197" s="2" t="n"/>
      <c r="J197" s="2" t="n"/>
      <c r="K197" s="7">
        <f>IF($A197="","",$G197*0.3+$H197*0.25+$I197*0.25+$J197*0.2)</f>
        <v/>
      </c>
      <c r="L197" s="5">
        <f>IF($A197="","",IF($K197&gt;=4,"сильное преимущество",IF($K197&gt;=3,"умеренное преимущество",IF($K197&gt;=2,"слабое преимущество","недостаточно подтверждений"))))</f>
        <v/>
      </c>
      <c r="M197" s="2" t="n"/>
    </row>
    <row r="198">
      <c r="A198" s="2" t="n"/>
      <c r="B198" s="5">
        <f>IF($A198="","",IFERROR(VLOOKUP($A198,'02_Конкуренты'!$A\$4:$B\$203,2,FALSE),"не найдено"))</f>
        <v/>
      </c>
      <c r="C198" s="2" t="n"/>
      <c r="D198" s="2" t="n"/>
      <c r="E198" s="2" t="n"/>
      <c r="F198" s="2" t="n"/>
      <c r="G198" s="2" t="n"/>
      <c r="H198" s="2" t="n"/>
      <c r="I198" s="2" t="n"/>
      <c r="J198" s="2" t="n"/>
      <c r="K198" s="7">
        <f>IF($A198="","",$G198*0.3+$H198*0.25+$I198*0.25+$J198*0.2)</f>
        <v/>
      </c>
      <c r="L198" s="5">
        <f>IF($A198="","",IF($K198&gt;=4,"сильное преимущество",IF($K198&gt;=3,"умеренное преимущество",IF($K198&gt;=2,"слабое преимущество","недостаточно подтверждений"))))</f>
        <v/>
      </c>
      <c r="M198" s="2" t="n"/>
    </row>
    <row r="199">
      <c r="A199" s="2" t="n"/>
      <c r="B199" s="5">
        <f>IF($A199="","",IFERROR(VLOOKUP($A199,'02_Конкуренты'!$A\$4:$B\$203,2,FALSE),"не найдено"))</f>
        <v/>
      </c>
      <c r="C199" s="2" t="n"/>
      <c r="D199" s="2" t="n"/>
      <c r="E199" s="2" t="n"/>
      <c r="F199" s="2" t="n"/>
      <c r="G199" s="2" t="n"/>
      <c r="H199" s="2" t="n"/>
      <c r="I199" s="2" t="n"/>
      <c r="J199" s="2" t="n"/>
      <c r="K199" s="7">
        <f>IF($A199="","",$G199*0.3+$H199*0.25+$I199*0.25+$J199*0.2)</f>
        <v/>
      </c>
      <c r="L199" s="5">
        <f>IF($A199="","",IF($K199&gt;=4,"сильное преимущество",IF($K199&gt;=3,"умеренное преимущество",IF($K199&gt;=2,"слабое преимущество","недостаточно подтверждений"))))</f>
        <v/>
      </c>
      <c r="M199" s="2" t="n"/>
    </row>
    <row r="200">
      <c r="A200" s="2" t="n"/>
      <c r="B200" s="5">
        <f>IF($A200="","",IFERROR(VLOOKUP($A200,'02_Конкуренты'!$A\$4:$B\$203,2,FALSE),"не найдено"))</f>
        <v/>
      </c>
      <c r="C200" s="2" t="n"/>
      <c r="D200" s="2" t="n"/>
      <c r="E200" s="2" t="n"/>
      <c r="F200" s="2" t="n"/>
      <c r="G200" s="2" t="n"/>
      <c r="H200" s="2" t="n"/>
      <c r="I200" s="2" t="n"/>
      <c r="J200" s="2" t="n"/>
      <c r="K200" s="7">
        <f>IF($A200="","",$G200*0.3+$H200*0.25+$I200*0.25+$J200*0.2)</f>
        <v/>
      </c>
      <c r="L200" s="5">
        <f>IF($A200="","",IF($K200&gt;=4,"сильное преимущество",IF($K200&gt;=3,"умеренное преимущество",IF($K200&gt;=2,"слабое преимущество","недостаточно подтверждений"))))</f>
        <v/>
      </c>
      <c r="M200" s="2" t="n"/>
    </row>
    <row r="201">
      <c r="A201" s="2" t="n"/>
      <c r="B201" s="5">
        <f>IF($A201="","",IFERROR(VLOOKUP($A201,'02_Конкуренты'!$A\$4:$B\$203,2,FALSE),"не найдено"))</f>
        <v/>
      </c>
      <c r="C201" s="2" t="n"/>
      <c r="D201" s="2" t="n"/>
      <c r="E201" s="2" t="n"/>
      <c r="F201" s="2" t="n"/>
      <c r="G201" s="2" t="n"/>
      <c r="H201" s="2" t="n"/>
      <c r="I201" s="2" t="n"/>
      <c r="J201" s="2" t="n"/>
      <c r="K201" s="7">
        <f>IF($A201="","",$G201*0.3+$H201*0.25+$I201*0.25+$J201*0.2)</f>
        <v/>
      </c>
      <c r="L201" s="5">
        <f>IF($A201="","",IF($K201&gt;=4,"сильное преимущество",IF($K201&gt;=3,"умеренное преимущество",IF($K201&gt;=2,"слабое преимущество","недостаточно подтверждений"))))</f>
        <v/>
      </c>
      <c r="M201" s="2" t="n"/>
    </row>
    <row r="202">
      <c r="A202" s="2" t="n"/>
      <c r="B202" s="5">
        <f>IF($A202="","",IFERROR(VLOOKUP($A202,'02_Конкуренты'!$A\$4:$B\$203,2,FALSE),"не найдено"))</f>
        <v/>
      </c>
      <c r="C202" s="2" t="n"/>
      <c r="D202" s="2" t="n"/>
      <c r="E202" s="2" t="n"/>
      <c r="F202" s="2" t="n"/>
      <c r="G202" s="2" t="n"/>
      <c r="H202" s="2" t="n"/>
      <c r="I202" s="2" t="n"/>
      <c r="J202" s="2" t="n"/>
      <c r="K202" s="7">
        <f>IF($A202="","",$G202*0.3+$H202*0.25+$I202*0.25+$J202*0.2)</f>
        <v/>
      </c>
      <c r="L202" s="5">
        <f>IF($A202="","",IF($K202&gt;=4,"сильное преимущество",IF($K202&gt;=3,"умеренное преимущество",IF($K202&gt;=2,"слабое преимущество","недостаточно подтверждений"))))</f>
        <v/>
      </c>
      <c r="M202" s="2" t="n"/>
    </row>
    <row r="203">
      <c r="A203" s="2" t="n"/>
      <c r="B203" s="5">
        <f>IF($A203="","",IFERROR(VLOOKUP($A203,'02_Конкуренты'!$A\$4:$B\$203,2,FALSE),"не найдено"))</f>
        <v/>
      </c>
      <c r="C203" s="2" t="n"/>
      <c r="D203" s="2" t="n"/>
      <c r="E203" s="2" t="n"/>
      <c r="F203" s="2" t="n"/>
      <c r="G203" s="2" t="n"/>
      <c r="H203" s="2" t="n"/>
      <c r="I203" s="2" t="n"/>
      <c r="J203" s="2" t="n"/>
      <c r="K203" s="7">
        <f>IF($A203="","",$G203*0.3+$H203*0.25+$I203*0.25+$J203*0.2)</f>
        <v/>
      </c>
      <c r="L203" s="5">
        <f>IF($A203="","",IF($K203&gt;=4,"сильное преимущество",IF($K203&gt;=3,"умеренное преимущество",IF($K203&gt;=2,"слабое преимущество","недостаточно подтверждений"))))</f>
        <v/>
      </c>
      <c r="M203" s="2" t="n"/>
    </row>
  </sheetData>
  <mergeCells count="2">
    <mergeCell ref="A2:M2"/>
    <mergeCell ref="A1:M1"/>
  </mergeCells>
  <conditionalFormatting sqref="K4:K203">
    <cfRule type="colorScale" priority="1">
      <colorScale>
        <cfvo type="min"/>
        <cfvo type="percentile" val="50"/>
        <cfvo type="max"/>
        <color rgb="FFFEE2E2"/>
        <color rgb="FFFEF3C7"/>
        <color rgb="FFDCFCE7"/>
      </colorScale>
    </cfRule>
  </conditionalFormatting>
  <dataValidations count="3">
    <dataValidation sqref="D4:D203" showDropDown="0" showInputMessage="0" showErrorMessage="0" allowBlank="0" type="list">
      <formula1>"товарное,ценовое,канальное,технологическое,данные,партнерское,брендовое,сервисное,операционное"</formula1>
    </dataValidation>
    <dataValidation sqref="E4:E203" showDropDown="0" showInputMessage="0" showErrorMessage="0" allowBlank="0" type="list">
      <formula1>"целевые сегменты,ценностное предложение,цифровой товар,каналы,отношения с клиентами,потоки доходов,ключевые ресурсы,ключевые виды деятельности,ключевые партнеры,структура затрат,данные и сетевые эффекты,масштабирование"</formula1>
    </dataValidation>
    <dataValidation sqref="G4:J203" showDropDown="0" showInputMessage="0" showErrorMessage="0" allowBlank="0" type="list">
      <formula1>"1,2,3,4,5"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Z27"/>
  <sheetViews>
    <sheetView zoomScale="63" workbookViewId="0">
      <selection activeCell="C41" sqref="C41"/>
    </sheetView>
  </sheetViews>
  <sheetFormatPr baseColWidth="8" defaultRowHeight="14.25"/>
  <cols>
    <col width="34" customWidth="1" min="1" max="1"/>
    <col width="86" customWidth="1" min="2" max="2"/>
    <col width="52" customWidth="1" min="3" max="3"/>
    <col width="10" customWidth="1" min="5" max="5"/>
    <col width="32" customWidth="1" min="6" max="6"/>
    <col width="16" customWidth="1" min="7" max="7"/>
  </cols>
  <sheetData>
    <row r="1" ht="15" customHeight="1">
      <c r="A1" s="19" t="inlineStr">
        <is>
          <t>Сводка анализа бизнес-моделей конкурентов</t>
        </is>
      </c>
      <c r="K1" s="14" t="n"/>
      <c r="L1" s="14" t="n"/>
      <c r="M1" s="14" t="n"/>
      <c r="N1" s="14" t="n"/>
      <c r="O1" s="14" t="n"/>
      <c r="P1" s="14" t="n"/>
      <c r="Q1" s="14" t="n"/>
      <c r="R1" s="14" t="n"/>
      <c r="S1" s="14" t="n"/>
      <c r="T1" s="14" t="n"/>
      <c r="U1" s="14" t="n"/>
      <c r="V1" s="14" t="n"/>
      <c r="W1" s="14" t="n"/>
      <c r="X1" s="14" t="n"/>
      <c r="Y1" s="14" t="n"/>
      <c r="Z1" s="14" t="n"/>
    </row>
    <row r="2" ht="19.15" customHeight="1">
      <c r="A2" s="21" t="inlineStr">
        <is>
          <t>Контроль заполнения, надежности выводов и рейтинга бизнес-моделей. Данные подтягиваются из рабочих листов</t>
        </is>
      </c>
    </row>
    <row r="3"/>
    <row r="4" ht="45" customHeight="1">
      <c r="A4" s="25" t="inlineStr">
        <is>
          <t>Показатель</t>
        </is>
      </c>
      <c r="B4" s="25" t="inlineStr">
        <is>
          <t>Значение</t>
        </is>
      </c>
      <c r="C4" s="25" t="inlineStr">
        <is>
          <t>Интерпретация</t>
        </is>
      </c>
      <c r="E4" s="25" t="inlineStr">
        <is>
          <t>Рейтинг конкурентов</t>
        </is>
      </c>
      <c r="F4" s="25" t="n"/>
      <c r="G4" s="25" t="n"/>
    </row>
    <row r="5" ht="31.5" customHeight="1">
      <c r="A5" s="8" t="inlineStr">
        <is>
          <t>Конкурентов в реестре</t>
        </is>
      </c>
      <c r="B5" s="8">
        <f>COUNTA('02_Конкуренты'!$A\$4:$A\$203)</f>
        <v/>
      </c>
      <c r="C5" s="8" t="inlineStr">
        <is>
          <t>Сколько объектов анализа внесено на лист 02_Конкуренты</t>
        </is>
      </c>
      <c r="E5" s="11" t="inlineStr">
        <is>
          <t>Место</t>
        </is>
      </c>
      <c r="F5" s="11" t="inlineStr">
        <is>
          <t>Конкурент</t>
        </is>
      </c>
      <c r="G5" s="11" t="inlineStr">
        <is>
          <t>Итоговый балл</t>
        </is>
      </c>
    </row>
    <row r="6" ht="31.5" customHeight="1">
      <c r="A6" s="8" t="inlineStr">
        <is>
          <t>Конкурентов со статусом «завершен»</t>
        </is>
      </c>
      <c r="B6" s="8">
        <f>COUNTIF('02_Конкуренты'!$H\$4:$H\$203,"завершен")</f>
        <v/>
      </c>
      <c r="C6" s="8" t="inlineStr">
        <is>
          <t>Сколько профилей можно использовать для итоговых выводов</t>
        </is>
      </c>
      <c r="E6" s="2">
        <f>1</f>
        <v/>
      </c>
      <c r="F6" s="2">
        <f>IFERROR(INDEX('09_Матрица'!$B\$4:$B\$203,MATCH(LARGE('09_Матрица'!$Q\$4:$Q\$203,ROW(A1)),'09_Матрица'!$Q\$4:$Q\$203,0)),"")</f>
        <v/>
      </c>
      <c r="G6" s="12">
        <f>IFERROR(LARGE('09_Матрица'!$Q\$4:$Q\$203,ROW(A1)),"")</f>
        <v/>
      </c>
    </row>
    <row r="7" ht="15.75" customHeight="1">
      <c r="A7" s="8" t="inlineStr">
        <is>
          <t>Доля завершенных профилей</t>
        </is>
      </c>
      <c r="B7" s="9">
        <f>IFERROR($B\$6/$B\$5,0)</f>
        <v/>
      </c>
      <c r="C7" s="8" t="inlineStr">
        <is>
          <t>Контроль готовности исследования</t>
        </is>
      </c>
      <c r="E7" s="2">
        <f>2</f>
        <v/>
      </c>
      <c r="F7" s="2">
        <f>IFERROR(INDEX('09_Матрица'!$B\$4:$B\$203,MATCH(LARGE('09_Матрица'!$Q\$4:$Q\$203,ROW(A2)),'09_Матрица'!$Q\$4:$Q\$203,0)),"")</f>
        <v/>
      </c>
      <c r="G7" s="12">
        <f>IFERROR(LARGE('09_Матрица'!$Q\$4:$Q\$203,ROW(A2)),"")</f>
        <v/>
      </c>
    </row>
    <row r="8" ht="31.5" customHeight="1">
      <c r="A8" s="8" t="inlineStr">
        <is>
          <t>Средняя полнота бизнес-модели</t>
        </is>
      </c>
      <c r="B8" s="9">
        <f>IFERROR(AVERAGE('04_Бизнес_модель'!$O\$4:$O\$203),0)</f>
        <v/>
      </c>
      <c r="C8" s="8" t="inlineStr">
        <is>
          <t>Насколько полно заполнены ключевые блоки бизнес-модели</t>
        </is>
      </c>
      <c r="E8" s="2">
        <f>3</f>
        <v/>
      </c>
      <c r="F8" s="2">
        <f>IFERROR(INDEX('09_Матрица'!$B\$4:$B\$203,MATCH(LARGE('09_Матрица'!$Q\$4:$Q\$203,ROW(A3)),'09_Матрица'!$Q\$4:$Q\$203,0)),"")</f>
        <v/>
      </c>
      <c r="G8" s="12">
        <f>IFERROR(LARGE('09_Матрица'!$Q\$4:$Q\$203,ROW(A3)),"")</f>
        <v/>
      </c>
    </row>
    <row r="9" ht="31.5" customHeight="1">
      <c r="A9" s="8" t="inlineStr">
        <is>
          <t>Средняя доказательность выводов</t>
        </is>
      </c>
      <c r="B9" s="10">
        <f>IFERROR(AVERAGE('04_Бизнес_модель'!$P\$4:$P\$203),0)</f>
        <v/>
      </c>
      <c r="C9" s="8" t="inlineStr">
        <is>
          <t>Насколько выводы подтверждены фактами с сайта</t>
        </is>
      </c>
      <c r="E9" s="2">
        <f>4</f>
        <v/>
      </c>
      <c r="F9" s="2">
        <f>IFERROR(INDEX('09_Матрица'!$B\$4:$B\$203,MATCH(LARGE('09_Матрица'!$Q\$4:$Q\$203,ROW(A4)),'09_Матрица'!$Q\$4:$Q\$203,0)),"")</f>
        <v/>
      </c>
      <c r="G9" s="12">
        <f>IFERROR(LARGE('09_Матрица'!$Q\$4:$Q\$203,ROW(A4)),"")</f>
        <v/>
      </c>
    </row>
    <row r="10" ht="31.5" customHeight="1">
      <c r="A10" s="8" t="inlineStr">
        <is>
          <t>Средний индекс силы бизнес-модели</t>
        </is>
      </c>
      <c r="B10" s="10">
        <f>IFERROR(AVERAGE('09_Матрица'!$Q\$4:$Q\$203),0)</f>
        <v/>
      </c>
      <c r="C10" s="8" t="inlineStr">
        <is>
          <t>Сопоставимая оценка по матрице бизнес-модели</t>
        </is>
      </c>
      <c r="E10" s="2">
        <f>5</f>
        <v/>
      </c>
      <c r="F10" s="2">
        <f>IFERROR(INDEX('09_Матрица'!$B\$4:$B\$203,MATCH(LARGE('09_Матрица'!$Q\$4:$Q\$203,ROW(A5)),'09_Матрица'!$Q\$4:$Q\$203,0)),"")</f>
        <v/>
      </c>
      <c r="G10" s="12">
        <f>IFERROR(LARGE('09_Матрица'!$Q\$4:$Q\$203,ROW(A5)),"")</f>
        <v/>
      </c>
    </row>
    <row r="11" ht="31.5" customHeight="1">
      <c r="A11" s="8" t="inlineStr">
        <is>
          <t>Количество зафиксированных преимуществ</t>
        </is>
      </c>
      <c r="B11" s="8">
        <f>COUNTIF('11_Преимущества'!$A\$4:$A\$203,"&lt;&gt;")</f>
        <v/>
      </c>
      <c r="C11" s="8" t="inlineStr">
        <is>
          <t>Сколько гипотез преимуществ внесено на лист 11_Преимущества</t>
        </is>
      </c>
      <c r="E11" s="2">
        <f>6</f>
        <v/>
      </c>
      <c r="F11" s="2">
        <f>IFERROR(INDEX('09_Матрица'!$B\$4:$B\$203,MATCH(LARGE('09_Матрица'!$Q\$4:$Q\$203,ROW(A6)),'09_Матрица'!$Q\$4:$Q\$203,0)),"")</f>
        <v/>
      </c>
      <c r="G11" s="12">
        <f>IFERROR(LARGE('09_Матрица'!$Q\$4:$Q\$203,ROW(A6)),"")</f>
        <v/>
      </c>
    </row>
    <row r="12">
      <c r="E12" s="2">
        <f>7</f>
        <v/>
      </c>
      <c r="F12" s="2">
        <f>IFERROR(INDEX('09_Матрица'!$B\$4:$B\$203,MATCH(LARGE('09_Матрица'!$Q\$4:$Q\$203,ROW(A7)),'09_Матрица'!$Q\$4:$Q\$203,0)),"")</f>
        <v/>
      </c>
      <c r="G12" s="12">
        <f>IFERROR(LARGE('09_Матрица'!$Q\$4:$Q\$203,ROW(A7)),"")</f>
        <v/>
      </c>
    </row>
    <row r="13">
      <c r="E13" s="2">
        <f>8</f>
        <v/>
      </c>
      <c r="F13" s="2">
        <f>IFERROR(INDEX('09_Матрица'!$B\$4:$B\$203,MATCH(LARGE('09_Матрица'!$Q\$4:$Q\$203,ROW(A8)),'09_Матрица'!$Q\$4:$Q\$203,0)),"")</f>
        <v/>
      </c>
      <c r="G13" s="12">
        <f>IFERROR(LARGE('09_Матрица'!$Q\$4:$Q\$203,ROW(A8)),"")</f>
        <v/>
      </c>
    </row>
    <row r="14" ht="30" customHeight="1">
      <c r="A14" s="25" t="inlineStr">
        <is>
          <t>Классификация практик бизнес-модели</t>
        </is>
      </c>
      <c r="B14" s="25" t="n"/>
      <c r="C14" s="25" t="n"/>
      <c r="E14" s="2">
        <f>9</f>
        <v/>
      </c>
      <c r="F14" s="2">
        <f>IFERROR(INDEX('09_Матрица'!$B\$4:$B\$203,MATCH(LARGE('09_Матрица'!$Q\$4:$Q\$203,ROW(A9)),'09_Матрица'!$Q\$4:$Q\$203,0)),"")</f>
        <v/>
      </c>
      <c r="G14" s="12">
        <f>IFERROR(LARGE('09_Матрица'!$Q\$4:$Q\$203,ROW(A9)),"")</f>
        <v/>
      </c>
    </row>
    <row r="15" ht="15" customHeight="1">
      <c r="A15" s="11" t="inlineStr">
        <is>
          <t>Статус</t>
        </is>
      </c>
      <c r="B15" s="11" t="inlineStr">
        <is>
          <t>Количество</t>
        </is>
      </c>
      <c r="C15" s="11" t="inlineStr">
        <is>
          <t>Что означает</t>
        </is>
      </c>
      <c r="E15" s="2">
        <f>10</f>
        <v/>
      </c>
      <c r="F15" s="2">
        <f>IFERROR(INDEX('09_Матрица'!$B\$4:$B\$203,MATCH(LARGE('09_Матрица'!$Q\$4:$Q\$203,ROW(A10)),'09_Матрица'!$Q\$4:$Q\$203,0)),"")</f>
        <v/>
      </c>
      <c r="G15" s="12">
        <f>IFERROR(LARGE('09_Матрица'!$Q\$4:$Q\$203,ROW(A10)),"")</f>
        <v/>
      </c>
    </row>
    <row r="16" ht="28.5" customHeight="1">
      <c r="A16" s="2" t="inlineStr">
        <is>
          <t>рыночный стандарт</t>
        </is>
      </c>
      <c r="B16" s="2">
        <f>COUNTIF('10_Стандарт'!$F\$4:$F\$203,"рыночный стандарт")</f>
        <v/>
      </c>
      <c r="C16" s="2" t="inlineStr">
        <is>
          <t>Минимальный уровень, без которого товар или модель воспринимаются слабее рынка</t>
        </is>
      </c>
    </row>
    <row r="17">
      <c r="A17" s="2" t="inlineStr">
        <is>
          <t>формирующийся стандарт</t>
        </is>
      </c>
      <c r="B17" s="2">
        <f>COUNTIF('10_Стандарт'!$F\$4:$F\$203,"формирующийся стандарт")</f>
        <v/>
      </c>
      <c r="C17" s="2" t="inlineStr">
        <is>
          <t>Практика уже заметна, но еще не стала обязательной</t>
        </is>
      </c>
    </row>
    <row r="18">
      <c r="A18" s="2" t="inlineStr">
        <is>
          <t>зона дифференциации</t>
        </is>
      </c>
      <c r="B18" s="2">
        <f>COUNTIF('10_Стандарт'!$F\$4:$F\$203,"зона дифференциации")</f>
        <v/>
      </c>
      <c r="C18" s="2" t="inlineStr">
        <is>
          <t>Поле, где можно отличаться от конкурентов</t>
        </is>
      </c>
    </row>
    <row r="19" ht="28.5" customHeight="1">
      <c r="A19" s="2" t="inlineStr">
        <is>
          <t>слабый сигнал</t>
        </is>
      </c>
      <c r="B19" s="2">
        <f>COUNTIF('10_Стандарт'!$F\$4:$F\$203,"слабый сигнал")</f>
        <v/>
      </c>
      <c r="C19" s="2" t="inlineStr">
        <is>
          <t>Требует дополнительной проверки до управленческого вывода</t>
        </is>
      </c>
    </row>
    <row r="20"/>
    <row r="21"/>
    <row r="22" ht="15" customHeight="1">
      <c r="A22" s="25" t="inlineStr">
        <is>
          <t>Шаблон итогового вывода</t>
        </is>
      </c>
    </row>
    <row r="23" ht="28.5" customHeight="1">
      <c r="A23" s="22" t="inlineStr">
        <is>
          <t>1. Рыночный стандарт бизнес-модели</t>
        </is>
      </c>
      <c r="B23" s="22" t="inlineStr">
        <is>
          <t>Рыночный стандарт (порог шаблона 70 %): бесплатный доступ и интеграции (8 из 8), независимые отзывы (7 из 8), раздел о безопасности и документация (по 6 из 8)</t>
        </is>
      </c>
    </row>
    <row r="24" ht="42.75" customHeight="1">
      <c r="A24" s="22" t="inlineStr">
        <is>
          <t>2. Доминирующая логика получения выручки</t>
        </is>
      </c>
      <c r="B24" s="22" t="inlineStr">
        <is>
          <t>Преобладает условно-бесплатная модель: Free плюс подписка за пользователя или редактора в месяц (Mermaid Chart, Storm, Lucidchart, Eraser, Whimsical - 5 из 8); три инструмента бесплатны с открытым кодом (PlantUML, Mermaid, draw.io)</t>
        </is>
      </c>
    </row>
    <row r="25" ht="71.25" customHeight="1">
      <c r="A25" s="22" t="inlineStr">
        <is>
          <t>3. Зоны конкурентной дифференциации</t>
        </is>
      </c>
      <c r="B25" s="22" t="inlineStr">
        <is>
          <t>Зона дифференциации по порогам шаблона: открытый код и сообщество (3 из 8). Формирующийся стандарт: подписка, открытая страница тарифов, ИИ, API, SSO, вход (по 5 из 8), корпоративный тариф, годовая оплата, гости, данные о числе клиентов (по 4 из 8). Слабые сигналы (по 1 из 8): пробный период (Lucidchart), тарифы в рублях (Storm); IDEF0, DFD и сети Петри на сайтах не найдены</t>
        </is>
      </c>
    </row>
    <row r="26" ht="28.5" customHeight="1">
      <c r="A26" s="22" t="inlineStr">
        <is>
          <t>4. Наиболее сильные конкуренты</t>
        </is>
      </c>
      <c r="B26" s="22" t="inlineStr">
        <is>
          <t>Сильнейшие по итогу матрицы с учётом надёжности: Lucidchart (4,52), Storm (StormBPMN) (4,05), Eraser (4,01); профили опираются на просмотренные страницы, доказательность 3,6-4,0</t>
        </is>
      </c>
    </row>
    <row r="27" ht="42.75" customHeight="1">
      <c r="A27" s="22" t="inlineStr">
        <is>
          <t>5. Риски копирования чужой модели</t>
        </is>
      </c>
      <c r="B27" s="22" t="inlineStr">
        <is>
          <t>Видимые элементы (тарифы, лимиты, отзывы) копировать можно; ресурсы (сообщество 90 489 звёзд Mermaid, 100M+ пользователей draw.io, Fortune 500 у Lucidchart) и партнёрства быстро не повторяются</t>
        </is>
      </c>
    </row>
  </sheetData>
  <mergeCells count="3">
    <mergeCell ref="A22:J22"/>
    <mergeCell ref="A1:J1"/>
    <mergeCell ref="A2:J2"/>
  </mergeCells>
  <pageMargins left="0.7" right="0.7" top="0.75" bottom="0.75" header="0.3" footer="0.3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3"/>
  <sheetViews>
    <sheetView tabSelected="1" workbookViewId="0">
      <selection activeCell="C35" sqref="C35"/>
    </sheetView>
  </sheetViews>
  <sheetFormatPr baseColWidth="8" defaultRowHeight="12.75"/>
  <cols>
    <col width="22.625" customWidth="1" style="15" min="1" max="1"/>
    <col width="8.625" customWidth="1" style="15" min="2" max="2"/>
    <col width="150.625" customWidth="1" style="15" min="3" max="3"/>
    <col width="9" customWidth="1" style="15" min="4" max="16384"/>
  </cols>
  <sheetData>
    <row r="1" ht="15.75" customHeight="1">
      <c r="A1" s="16" t="inlineStr">
        <is>
          <t>Журнал рабочей копии: исправления, источники, правила, ограничения</t>
        </is>
      </c>
    </row>
    <row r="2"/>
    <row r="3">
      <c r="A3" s="17" t="inlineStr">
        <is>
          <t>Раздел</t>
        </is>
      </c>
      <c r="B3" s="17" t="inlineStr">
        <is>
          <t>Код</t>
        </is>
      </c>
      <c r="C3" s="17" t="inlineStr">
        <is>
          <t>Содержание</t>
        </is>
      </c>
    </row>
    <row r="4" ht="25.5" customHeight="1">
      <c r="A4" s="18" t="inlineStr">
        <is>
          <t>Исправление шаблона</t>
        </is>
      </c>
      <c r="B4" s="18" t="inlineStr">
        <is>
          <t>Д-1</t>
        </is>
      </c>
      <c r="C4" s="18" t="inlineStr">
        <is>
          <t>Лист 10_Стандарт, столбец E (Доля конкурентов): формула делила на ячейку 12_Сводка!B4 (заголовок «Значение»), поэтому доля везде была 0 и статус «слабый сигнал». Знаменатель заменён на 12_Сводка!B5 (число конкурентов в реестре); остальная логика сохранена</t>
        </is>
      </c>
    </row>
    <row r="5" ht="25.5" customHeight="1">
      <c r="A5" s="18" t="inlineStr">
        <is>
          <t>Источники</t>
        </is>
      </c>
      <c r="B5" s="18" t="inlineStr">
        <is>
          <t>И-1</t>
        </is>
      </c>
      <c r="C5" s="18" t="inlineStr">
        <is>
          <t>Страницы тарифов, главные страницы, документация конкурентов: автоматическое извлечение текста 01.10.2026 и чтение во встроенном браузере (Lucidchart, тарифы Mermaid Chart); Similarweb Pro, GitHub, отзывы - ЛР1-ЛР4 (30.09.2026)</t>
        </is>
      </c>
    </row>
    <row r="6">
      <c r="A6" s="18" t="inlineStr">
        <is>
          <t>Выборка</t>
        </is>
      </c>
      <c r="B6" s="18" t="inlineStr">
        <is>
          <t>В-1</t>
        </is>
      </c>
      <c r="C6" s="18" t="inlineStr">
        <is>
          <t>8 конкурентов части В. Типы по справочнику 13_Справочники: PlantUML - прямой; Storm - смежная модель; Whimsical - заменитель; остальные - косвенные</t>
        </is>
      </c>
    </row>
    <row r="7" ht="25.5" customHeight="1">
      <c r="A7" s="18" t="inlineStr">
        <is>
          <t>Правило</t>
        </is>
      </c>
      <c r="B7" s="18" t="inlineStr">
        <is>
          <t>П-1</t>
        </is>
      </c>
      <c r="C7" s="18" t="inlineStr">
        <is>
          <t>Доказательность 1-5: 5 - данные GitHub API и страницы тарифов SaaS-конкурентов; 4 - явное описание на странице, главная страница; 3 - найдено по ключевым словам или данным Similarweb</t>
        </is>
      </c>
    </row>
    <row r="8">
      <c r="A8" s="18" t="inlineStr">
        <is>
          <t>Правило</t>
        </is>
      </c>
      <c r="B8" s="18" t="inlineStr">
        <is>
          <t>П-2</t>
        </is>
      </c>
      <c r="C8" s="18" t="inlineStr">
        <is>
          <t>Баллы 09_Матрица (1-5) - экспертная оценка силы подтверждения блока и положения на рынке; веса в строке 2 заданы шаблоном. Оценки 1-5 листов 06, 07, 08, 11 - экспертные</t>
        </is>
      </c>
    </row>
    <row r="9">
      <c r="A9" s="18" t="inlineStr">
        <is>
          <t>Правило</t>
        </is>
      </c>
      <c r="B9" s="18" t="inlineStr">
        <is>
          <t>П-3</t>
        </is>
      </c>
      <c r="C9" s="18" t="inlineStr">
        <is>
          <t>Статус «завершен»: все 12 блоков заполнены; блоки деятельности, партнёров, затрат и сетевых эффектов основаны на косвенных признаках и гипотезах и помечены в тексте</t>
        </is>
      </c>
    </row>
    <row r="10" ht="25.5" customHeight="1">
      <c r="A10" s="18" t="inlineStr">
        <is>
          <t>Ограничения</t>
        </is>
      </c>
      <c r="B10" s="18" t="inlineStr">
        <is>
          <t>О-1</t>
        </is>
      </c>
      <c r="C10" s="18" t="inlineStr">
        <is>
          <t>Страницы просмотрены с одного устройства и из одной страны; рекламные библиотеки и выдача поиска не проверялись (доступ закрыт)</t>
        </is>
      </c>
    </row>
    <row r="11">
      <c r="A11" t="inlineStr">
        <is>
          <t>Дозаполнение</t>
        </is>
      </c>
      <c r="B11" t="inlineStr">
        <is>
          <t>Д-2</t>
        </is>
      </c>
      <c r="C11" t="inlineStr">
        <is>
          <t>05_Товар_ценность: заполнены столбцы 8 (Клиентская проблема), 9 (Клиентский результат), 13 (Вывод о роли товара) для C01–C08 (24 ячейки)</t>
        </is>
      </c>
    </row>
    <row r="12">
      <c r="A12" t="inlineStr">
        <is>
          <t>Дозаполнение</t>
        </is>
      </c>
      <c r="B12" t="inlineStr">
        <is>
          <t>Д-3</t>
        </is>
      </c>
      <c r="C12" t="inlineStr">
        <is>
          <t>06_Монетизация: восстановлены формулы VLOOKUP в столбце «Название» (col2), повреждённые автозаменой при очистке текста</t>
        </is>
      </c>
    </row>
    <row r="13">
      <c r="A13" t="inlineStr">
        <is>
          <t>Дозаполнение</t>
        </is>
      </c>
      <c r="B13" t="inlineStr">
        <is>
          <t>Д-4</t>
        </is>
      </c>
      <c r="C13" t="inlineStr">
        <is>
          <t>11_Преимущества: заполнен столбец 13 (Риск для нашей модели) для C01–C08 (8 ячеек)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К. А. Хаджинова</dc:creator>
  <dc:title xmlns:dc="http://purl.org/dc/elements/1.1/">Анализ бизнес-моделей конкурентов: NotaCode</dc:title>
  <dcterms:created xmlns:dcterms="http://purl.org/dc/terms/" xmlns:xsi="http://www.w3.org/2001/XMLSchema-instance" xsi:type="dcterms:W3CDTF">2026-10-04T14:13:05Z</dcterms:created>
  <dcterms:modified xmlns:dcterms="http://purl.org/dc/terms/" xmlns:xsi="http://www.w3.org/2001/XMLSchema-instance" xsi:type="dcterms:W3CDTF">2026-10-04T14:43:40Z</dcterms:modified>
  <cp:lastModifiedBy>Aliaksandr Khajynau</cp:lastModifiedBy>
</cp:coreProperties>
</file>