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4" activeTab="9" autoFilterDateGrouping="1"/>
  </bookViews>
  <sheets>
    <sheet xmlns:r="http://schemas.openxmlformats.org/officeDocument/2006/relationships" name="00_Методика" sheetId="1" state="visible" r:id="rId1"/>
    <sheet xmlns:r="http://schemas.openxmlformats.org/officeDocument/2006/relationships" name="01_Параметры" sheetId="2" state="visible" r:id="rId2"/>
    <sheet xmlns:r="http://schemas.openxmlformats.org/officeDocument/2006/relationships" name="02_Конкуренты_SW" sheetId="3" state="visible" r:id="rId3"/>
    <sheet xmlns:r="http://schemas.openxmlformats.org/officeDocument/2006/relationships" name="03_Каналы_трафика" sheetId="4" state="visible" r:id="rId4"/>
    <sheet xmlns:r="http://schemas.openxmlformats.org/officeDocument/2006/relationships" name="04_Поиск_реклама" sheetId="5" state="visible" r:id="rId5"/>
    <sheet xmlns:r="http://schemas.openxmlformats.org/officeDocument/2006/relationships" name="05_Отзывы_рейтинги" sheetId="6" state="visible" r:id="rId6"/>
    <sheet xmlns:r="http://schemas.openxmlformats.org/officeDocument/2006/relationships" name="06_Технологии_финансы" sheetId="7" state="visible" r:id="rId7"/>
    <sheet xmlns:r="http://schemas.openxmlformats.org/officeDocument/2006/relationships" name="07_Барьеры_входа" sheetId="8" state="visible" r:id="rId8"/>
    <sheet xmlns:r="http://schemas.openxmlformats.org/officeDocument/2006/relationships" name="08_Дашборд" sheetId="9" state="visible" r:id="rId9"/>
    <sheet xmlns:r="http://schemas.openxmlformats.org/officeDocument/2006/relationships" name="09_Источники" sheetId="10" state="visible" r:id="rId10"/>
  </sheets>
  <definedNames/>
  <calcPr calcId="191029" fullCalcOnLoad="1" refMode="R1C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dd\.mm\.yyyy"/>
  </numFmts>
  <fonts count="5">
    <font>
      <name val="Carlito"/>
      <sz val="11"/>
    </font>
    <font>
      <name val="Carlito"/>
      <b val="1"/>
      <color rgb="FFFFFFFF"/>
      <sz val="14"/>
    </font>
    <font>
      <name val="Carlito"/>
      <i val="1"/>
      <color rgb="FF374151"/>
      <sz val="11"/>
    </font>
    <font>
      <name val="Carlito"/>
      <b val="1"/>
      <color rgb="FFFFFFFF"/>
      <sz val="11"/>
    </font>
    <font>
      <name val="Carlito"/>
      <sz val="11"/>
    </font>
  </fonts>
  <fills count="8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EAF4F6"/>
      </patternFill>
    </fill>
    <fill>
      <patternFill patternType="solid">
        <fgColor rgb="FF2F6F7E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0" fontId="4" fillId="0" borderId="0"/>
  </cellStyleXfs>
  <cellXfs count="33">
    <xf numFmtId="0" fontId="0" fillId="0" borderId="0" pivotButton="0" quotePrefix="0" xfId="0"/>
    <xf numFmtId="0" fontId="3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0" fillId="0" borderId="0" applyAlignment="1" pivotButton="0" quotePrefix="0" xfId="1">
      <alignment vertical="top" wrapText="1"/>
    </xf>
    <xf numFmtId="0" fontId="0" fillId="7" borderId="0" applyAlignment="1" pivotButton="0" quotePrefix="0" xfId="1">
      <alignment wrapText="1"/>
    </xf>
    <xf numFmtId="3" fontId="0" fillId="6" borderId="0" applyAlignment="1" pivotButton="0" quotePrefix="0" xfId="1">
      <alignment wrapText="1"/>
    </xf>
    <xf numFmtId="9" fontId="0" fillId="7" borderId="0" applyAlignment="1" pivotButton="0" quotePrefix="0" xfId="1">
      <alignment wrapText="1"/>
    </xf>
    <xf numFmtId="3" fontId="0" fillId="0" borderId="0" applyAlignment="1" pivotButton="0" quotePrefix="0" xfId="1">
      <alignment wrapText="1"/>
    </xf>
    <xf numFmtId="164" fontId="0" fillId="0" borderId="0" applyAlignment="1" pivotButton="0" quotePrefix="0" xfId="1">
      <alignment wrapText="1"/>
    </xf>
    <xf numFmtId="164" fontId="0" fillId="6" borderId="0" applyAlignment="1" pivotButton="0" quotePrefix="0" xfId="1">
      <alignment wrapText="1"/>
    </xf>
    <xf numFmtId="3" fontId="0" fillId="7" borderId="0" applyAlignment="1" pivotButton="0" quotePrefix="0" xfId="1">
      <alignment wrapText="1"/>
    </xf>
    <xf numFmtId="164" fontId="0" fillId="7" borderId="0" applyAlignment="1" pivotButton="0" quotePrefix="0" xfId="1">
      <alignment wrapText="1"/>
    </xf>
    <xf numFmtId="165" fontId="0" fillId="0" borderId="0" applyAlignment="1" pivotButton="0" quotePrefix="0" xfId="1">
      <alignment wrapText="1"/>
    </xf>
    <xf numFmtId="1" fontId="0" fillId="6" borderId="0" applyAlignment="1" pivotButton="0" quotePrefix="0" xfId="1">
      <alignment wrapText="1"/>
    </xf>
    <xf numFmtId="2" fontId="0" fillId="7" borderId="0" applyAlignment="1" pivotButton="0" quotePrefix="0" xfId="1">
      <alignment wrapText="1"/>
    </xf>
    <xf numFmtId="1" fontId="0" fillId="7" borderId="0" applyAlignment="1" pivotButton="0" quotePrefix="0" xfId="1">
      <alignment wrapText="1"/>
    </xf>
    <xf numFmtId="0" fontId="0" fillId="6" borderId="0" applyAlignment="1" pivotButton="0" quotePrefix="0" xfId="1">
      <alignment wrapText="1"/>
    </xf>
    <xf numFmtId="165" fontId="0" fillId="7" borderId="0" applyAlignment="1" pivotButton="0" quotePrefix="0" xfId="1">
      <alignment wrapText="1"/>
    </xf>
    <xf numFmtId="2" fontId="0" fillId="6" borderId="0" applyAlignment="1" pivotButton="0" quotePrefix="0" xfId="1">
      <alignment wrapText="1"/>
    </xf>
    <xf numFmtId="9" fontId="0" fillId="0" borderId="0" applyAlignment="1" pivotButton="0" quotePrefix="0" xfId="1">
      <alignment wrapText="1"/>
    </xf>
    <xf numFmtId="2" fontId="0" fillId="0" borderId="0" applyAlignment="1" pivotButton="0" quotePrefix="0" xfId="1">
      <alignment wrapText="1"/>
    </xf>
    <xf numFmtId="1" fontId="0" fillId="0" borderId="0" applyAlignment="1" pivotButton="0" quotePrefix="0" xfId="1">
      <alignment wrapText="1"/>
    </xf>
    <xf numFmtId="166" fontId="0" fillId="6" borderId="0" applyAlignment="1" pivotButton="0" quotePrefix="0" xfId="1">
      <alignment wrapText="1"/>
    </xf>
    <xf numFmtId="0" fontId="1" fillId="2" borderId="0" applyAlignment="1" pivotButton="0" quotePrefix="0" xfId="1">
      <alignment horizontal="center" vertical="center"/>
    </xf>
    <xf numFmtId="0" fontId="2" fillId="3" borderId="0" applyAlignment="1" pivotButton="0" quotePrefix="0" xfId="1">
      <alignment vertical="center" wrapText="1"/>
    </xf>
    <xf numFmtId="0" fontId="3" fillId="4" borderId="0" applyAlignment="1" pivotButton="0" quotePrefix="0" xfId="1">
      <alignment horizontal="center" vertical="center" wrapText="1"/>
    </xf>
    <xf numFmtId="0" fontId="0" fillId="5" borderId="0" applyAlignment="1" pivotButton="0" quotePrefix="0" xfId="1">
      <alignment vertical="top" wrapText="1"/>
    </xf>
    <xf numFmtId="0" fontId="0" fillId="3" borderId="0" applyAlignment="1" pivotButton="0" quotePrefix="0" xfId="1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1">
      <alignment vertical="center" wrapText="1"/>
    </xf>
    <xf numFmtId="0" fontId="0" fillId="0" borderId="0" applyAlignment="1" pivotButton="0" quotePrefix="0" xfId="1">
      <alignment vertical="center" wrapText="1"/>
    </xf>
    <xf numFmtId="49" fontId="0" fillId="6" borderId="0" applyAlignment="1" pivotButton="0" quotePrefix="0" xfId="1">
      <alignment wrapText="1"/>
    </xf>
  </cellXfs>
  <cellStyles count="2">
    <cellStyle name="Обычный" xfId="0" builtinId="0"/>
    <cellStyle name="Normal" xfId="1"/>
  </cellStyles>
  <dxfs count="8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ru-RU"/>
              <a:t>Баллы по факторам барьеров входа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Балл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'08_Дашборд'!$F$5:$F$13</f>
              <strCache>
                <ptCount val="9"/>
                <pt idx="0">
                  <v>Концентрация трафика</v>
                </pt>
                <pt idx="1">
                  <v>SEO-давление</v>
                </pt>
                <pt idx="2">
                  <v>Рекламное давление</v>
                </pt>
                <pt idx="3">
                  <v>Брендовая сила</v>
                </pt>
                <pt idx="4">
                  <v>Поиск/реклама</v>
                </pt>
                <pt idx="5">
                  <v>Репутация</v>
                </pt>
                <pt idx="6">
                  <v>Технологии</v>
                </pt>
                <pt idx="7">
                  <v>Платформы</v>
                </pt>
                <pt idx="8">
                  <v>Заменители</v>
                </pt>
              </strCache>
            </strRef>
          </cat>
          <val>
            <numRef>
              <f>'08_Дашборд'!$G$5:$G$13</f>
              <numCache>
                <formatCode>0.00</formatCode>
                <ptCount val="9"/>
                <pt idx="0">
                  <v>5</v>
                </pt>
                <pt idx="1">
                  <v>1</v>
                </pt>
                <pt idx="2">
                  <v>1</v>
                </pt>
                <pt idx="3">
                  <v>5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0</colOff>
      <row>14</row>
      <rowOff>0</rowOff>
    </from>
    <to>
      <col>12</col>
      <colOff>0</colOff>
      <row>30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CompetitorsSW" displayName="tblCompetitorsSW" ref="A3:Q33" headerRowCount="1">
  <tableColumns count="17">
    <tableColumn id="1" name="Конкурент / сайт"/>
    <tableColumn id="2" name="Тип игрока"/>
    <tableColumn id="3" name="Месячные визиты"/>
    <tableColumn id="4" name="Доля целевой географии"/>
    <tableColumn id="5" name="Релевантный трафик"/>
    <tableColumn id="6" name="Доля релевантного трафика"/>
    <tableColumn id="7" name="Длительность, сек."/>
    <tableColumn id="8" name="Страниц/визит"/>
    <tableColumn id="9" name="Отказы"/>
    <tableColumn id="10" name="Прямой трафик"/>
    <tableColumn id="11" name="Органика"/>
    <tableColumn id="12" name="Платный поиск"/>
    <tableColumn id="13" name="Соцсети"/>
    <tableColumn id="14" name="Рефералы"/>
    <tableColumn id="15" name="Медийная реклама"/>
    <tableColumn id="16" name="Брендовый поиск"/>
    <tableColumn id="17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hannels" displayName="tblChannels" ref="A3:I10" headerRowCount="1">
  <tableColumns count="9">
    <tableColumn id="1" name="Канал"/>
    <tableColumn id="2" name="Формула / источник"/>
    <tableColumn id="3" name="Взвешенная доля канала"/>
    <tableColumn id="4" name="Порог высокого давления"/>
    <tableColumn id="5" name="Балльная оценка 1-5"/>
    <tableColumn id="6" name="Интерпретация"/>
    <tableColumn id="7" name="Риски для нового игрока"/>
    <tableColumn id="8" name="Что проверить дополнительно"/>
    <tableColumn id="9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earchAds" displayName="tblSearchAds" ref="A3:M33" headerRowCount="1">
  <tableColumns count="13">
    <tableColumn id="1" name="Запрос / рекламная тема"/>
    <tableColumn id="2" name="Тип намерения"/>
    <tableColumn id="3" name="Источник"/>
    <tableColumn id="4" name="Частотность / спрос"/>
    <tableColumn id="5" name="CPC / цена клика"/>
    <tableColumn id="6" name="Конкурентность PPC 0-1"/>
    <tableColumn id="7" name="SEO difficulty 0-100"/>
    <tableColumn id="8" name="Топ-конкурентов в выдаче"/>
    <tableColumn id="9" name="Активных рекламодателей"/>
    <tableColumn id="10" name="Рекламные объявления"/>
    <tableColumn id="11" name="Индекс давления"/>
    <tableColumn id="12" name="Балльная оценка 1-5"/>
    <tableColumn id="13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views" displayName="tblReviews" ref="A3:N33" headerRowCount="1">
  <tableColumns count="14">
    <tableColumn id="1" name="Конкурент"/>
    <tableColumn id="2" name="G2 рейтинг"/>
    <tableColumn id="3" name="G2 отзывы"/>
    <tableColumn id="4" name="Capterra рейтинг"/>
    <tableColumn id="5" name="Capterra отзывы"/>
    <tableColumn id="6" name="Trustpilot рейтинг"/>
    <tableColumn id="7" name="Trustpilot отзывы"/>
    <tableColumn id="8" name="Google рейтинг"/>
    <tableColumn id="9" name="Google отзывы"/>
    <tableColumn id="10" name="Кейсы на сайте"/>
    <tableColumn id="11" name="Возраст бренда, лет"/>
    <tableColumn id="12" name="Индекс доверия"/>
    <tableColumn id="13" name="Балльная оценка 1-5"/>
    <tableColumn id="14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TechFinance" displayName="tblTechFinance" ref="A3:M33" headerRowCount="1">
  <tableColumns count="13">
    <tableColumn id="1" name="Конкурент"/>
    <tableColumn id="2" name="Финансирование / инвестиции"/>
    <tableColumn id="3" name="Сотрудники LinkedIn"/>
    <tableColumn id="4" name="Технологический стек 1-5"/>
    <tableColumn id="5" name="CRM/автоматизация 1-5"/>
    <tableColumn id="6" name="Мобильное приложение"/>
    <tableColumn id="7" name="Личный кабинет"/>
    <tableColumn id="8" name="Активных объявлений"/>
    <tableColumn id="9" name="Вакансий"/>
    <tableColumn id="10" name="Патенты/уникальные активы"/>
    <tableColumn id="11" name="Индекс ресурсной силы"/>
    <tableColumn id="12" name="Балльная оценка 1-5"/>
    <tableColumn id="13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ntryBarriers" displayName="tblEntryBarriers" ref="A3:I13" headerRowCount="1">
  <tableColumns count="9">
    <tableColumn id="1" name="Фактор барьера входа"/>
    <tableColumn id="2" name="Ключевой показатель"/>
    <tableColumn id="3" name="Значение"/>
    <tableColumn id="4" name="Балльная оценка 1-5"/>
    <tableColumn id="5" name="Вес"/>
    <tableColumn id="6" name="Взвешенный балл"/>
    <tableColumn id="7" name="Уровень давления"/>
    <tableColumn id="8" name="Что означает"/>
    <tableColumn id="9" name="Рекомендуемое действ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ources" displayName="tblSources" ref="A3:G23" headerRowCount="1" dataDxfId="0">
  <tableColumns count="7">
    <tableColumn id="1" name="Источник" dataDxfId="7"/>
    <tableColumn id="2" name="URL" dataDxfId="6"/>
    <tableColumn id="3" name="Что брать" dataDxfId="5"/>
    <tableColumn id="4" name="Для какой силы/фактора" dataDxfId="4"/>
    <tableColumn id="5" name="Формат фиксации" dataDxfId="3"/>
    <tableColumn id="6" name="Дата обращения" dataDxfId="2"/>
    <tableColumn id="7" name="Ограничения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C27" sqref="C27"/>
    </sheetView>
  </sheetViews>
  <sheetFormatPr baseColWidth="8" defaultRowHeight="14.25"/>
  <cols>
    <col width="25" customWidth="1" min="1" max="1"/>
    <col width="38" customWidth="1" min="2" max="4"/>
    <col width="42" customWidth="1" min="5" max="5"/>
  </cols>
  <sheetData>
    <row r="1" ht="30" customHeight="1">
      <c r="A1" s="23" t="inlineStr">
        <is>
          <t>Excel-шаблон оценки уровня конкуренции и барьеров входа</t>
        </is>
      </c>
    </row>
    <row r="2" ht="32.1" customHeight="1">
      <c r="A2" s="24" t="inlineStr">
        <is>
          <t>Расчетная модель на основе Similarweb и альтернативных источников цифровых данных</t>
        </is>
      </c>
    </row>
    <row r="4" ht="33.95" customHeight="1">
      <c r="A4" s="1" t="inlineStr">
        <is>
          <t>Блок</t>
        </is>
      </c>
      <c r="B4" s="1" t="inlineStr">
        <is>
          <t>Назначение</t>
        </is>
      </c>
      <c r="C4" s="1" t="inlineStr">
        <is>
          <t>Что заполняет пользователь</t>
        </is>
      </c>
      <c r="D4" s="1" t="inlineStr">
        <is>
          <t>Что рассчитывается</t>
        </is>
      </c>
      <c r="E4" s="1" t="inlineStr">
        <is>
          <t>Как использовать результат</t>
        </is>
      </c>
    </row>
    <row r="5" ht="28.5" customHeight="1">
      <c r="A5" s="3" t="inlineStr">
        <is>
          <t>01_Параметры</t>
        </is>
      </c>
      <c r="B5" s="3" t="inlineStr">
        <is>
          <t>Задает границы рынка, пороги и веса факторов</t>
        </is>
      </c>
      <c r="C5" s="3" t="inlineStr">
        <is>
          <t>Название рынка, география, период, веса факторов</t>
        </is>
      </c>
      <c r="D5" s="3" t="inlineStr">
        <is>
          <t>Итоговые индексы и шкалы оценки</t>
        </is>
      </c>
      <c r="E5" s="3" t="inlineStr">
        <is>
          <t>Используется всеми расчетными листами</t>
        </is>
      </c>
    </row>
    <row r="6" ht="28.5" customHeight="1">
      <c r="A6" s="3" t="inlineStr">
        <is>
          <t>02_Конкуренты_SW</t>
        </is>
      </c>
      <c r="B6" s="3" t="inlineStr">
        <is>
          <t>Фиксирует конкурентов и данные Similarweb</t>
        </is>
      </c>
      <c r="C6" s="3" t="inlineStr">
        <is>
          <t>Сайты, визиты, география, каналы, вовлеченность</t>
        </is>
      </c>
      <c r="D6" s="3" t="inlineStr">
        <is>
          <t>Релевантный трафик, доля трафика, концентрация</t>
        </is>
      </c>
      <c r="E6" s="3" t="inlineStr">
        <is>
          <t>Показывает структуру цифровой конкуренции</t>
        </is>
      </c>
    </row>
    <row r="7" ht="28.5" customHeight="1">
      <c r="A7" s="3" t="inlineStr">
        <is>
          <t>03_Каналы_трафика</t>
        </is>
      </c>
      <c r="B7" s="3" t="inlineStr">
        <is>
          <t>Оценивает давление каналов привлечения</t>
        </is>
      </c>
      <c r="C7" s="3" t="inlineStr">
        <is>
          <t>Проверяются доли каналов по конкурентам</t>
        </is>
      </c>
      <c r="D7" s="3" t="inlineStr">
        <is>
          <t>Взвешенные доли organic/paid/social/referral/direct</t>
        </is>
      </c>
      <c r="E7" s="3" t="inlineStr">
        <is>
          <t>Показывает, где вход на рынок дороже</t>
        </is>
      </c>
    </row>
    <row r="8" ht="28.5" customHeight="1">
      <c r="A8" s="3" t="inlineStr">
        <is>
          <t>04_Поиск_реклама</t>
        </is>
      </c>
      <c r="B8" s="3" t="inlineStr">
        <is>
          <t>Оценивает поисковую и рекламную конкуренцию</t>
        </is>
      </c>
      <c r="C8" s="3" t="inlineStr">
        <is>
          <t>Запросы, частотность, цена клика, сложность, активность рекламы</t>
        </is>
      </c>
      <c r="D8" s="3" t="inlineStr">
        <is>
          <t>Индекс рекламного и SEO-давления</t>
        </is>
      </c>
      <c r="E8" s="3" t="inlineStr">
        <is>
          <t>Помогает оценить стоимость входа через поиск и рекламу</t>
        </is>
      </c>
    </row>
    <row r="9" ht="28.5" customHeight="1">
      <c r="A9" s="3" t="inlineStr">
        <is>
          <t>05_Отзывы_рейтинги</t>
        </is>
      </c>
      <c r="B9" s="3" t="inlineStr">
        <is>
          <t>Оценивает репутационные барьеры</t>
        </is>
      </c>
      <c r="C9" s="3" t="inlineStr">
        <is>
          <t>Отзывы, рейтинги, число кейсов, возраст бренда</t>
        </is>
      </c>
      <c r="D9" s="3" t="inlineStr">
        <is>
          <t>Индекс доверия действующих игроков</t>
        </is>
      </c>
      <c r="E9" s="3" t="inlineStr">
        <is>
          <t>Показывает, насколько трудно новому бизнесу получить доверие</t>
        </is>
      </c>
    </row>
    <row r="10" ht="42.75" customHeight="1">
      <c r="A10" s="3" t="inlineStr">
        <is>
          <t>06_Технологии_финансы</t>
        </is>
      </c>
      <c r="B10" s="3" t="inlineStr">
        <is>
          <t>Оценивает технологические и ресурсные барьеры</t>
        </is>
      </c>
      <c r="C10" s="3" t="inlineStr">
        <is>
          <t>Стек сайта, автоматизация, финансирование, команда, рекламные библиотеки</t>
        </is>
      </c>
      <c r="D10" s="3" t="inlineStr">
        <is>
          <t>Индекс технологической силы конкурентов</t>
        </is>
      </c>
      <c r="E10" s="3" t="inlineStr">
        <is>
          <t>Показывает, насколько конкуренты защищены ресурсами и инфраструктурой</t>
        </is>
      </c>
    </row>
    <row r="11" ht="28.5" customHeight="1">
      <c r="A11" s="3" t="inlineStr">
        <is>
          <t>07_Барьеры_входа</t>
        </is>
      </c>
      <c r="B11" s="3" t="inlineStr">
        <is>
          <t>Сводит все факторы в единую оценку</t>
        </is>
      </c>
      <c r="C11" s="3" t="inlineStr">
        <is>
          <t>При необходимости корректируются баллы и веса</t>
        </is>
      </c>
      <c r="D11" s="3" t="inlineStr">
        <is>
          <t>Интегральный индекс барьеров входа</t>
        </is>
      </c>
      <c r="E11" s="3" t="inlineStr">
        <is>
          <t>Дает итоговый вывод: низкие, средние или высокие барьеры</t>
        </is>
      </c>
    </row>
    <row r="12">
      <c r="A12" s="3" t="inlineStr">
        <is>
          <t>08_Дашборд</t>
        </is>
      </c>
      <c r="B12" s="3" t="inlineStr">
        <is>
          <t>Показывает итоговые показатели</t>
        </is>
      </c>
      <c r="C12" s="3" t="inlineStr">
        <is>
          <t>Не заполняется вручную</t>
        </is>
      </c>
      <c r="D12" s="3" t="inlineStr">
        <is>
          <t>KPI, графики, финальная интерпретация</t>
        </is>
      </c>
      <c r="E12" s="3" t="inlineStr">
        <is>
          <t>Используется для отчета и презентации</t>
        </is>
      </c>
    </row>
    <row r="13">
      <c r="A13" s="3" t="inlineStr">
        <is>
          <t>09_Источники</t>
        </is>
      </c>
      <c r="B13" s="3" t="inlineStr">
        <is>
          <t>Фиксирует источники данных</t>
        </is>
      </c>
      <c r="C13" s="3" t="inlineStr">
        <is>
          <t>Ссылки, дата обращения, комментарии</t>
        </is>
      </c>
      <c r="D13" s="3" t="inlineStr">
        <is>
          <t>Журнал доказательной базы</t>
        </is>
      </c>
      <c r="E13" s="3" t="inlineStr">
        <is>
          <t>Повышает воспроизводимость анализа</t>
        </is>
      </c>
    </row>
    <row r="16" ht="27.95" customHeight="1">
      <c r="A16" s="25" t="inlineStr">
        <is>
          <t>Ключевое правило интерпретации</t>
        </is>
      </c>
    </row>
    <row r="17">
      <c r="A17" s="26" t="inlineStr">
        <is>
          <t>Similarweb и аналогичные сервисы дают оценочные цифровые сигналы: посещаемость, каналы трафика, географию, поисковые запросы и конкурентное окружение. Их нельзя механически превращать в точный размер рынка. Для оценки барьеров входа используйте несколько источников: Similarweb, Semrush/Ahrefs, G2/Capterra/Trustpilot, Crunchbase, BuiltWith/Wappalyzer, рекламные библиотеки и данные маркетплейсов</t>
        </is>
      </c>
    </row>
    <row r="18"/>
    <row r="19"/>
    <row r="20"/>
  </sheetData>
  <mergeCells count="4">
    <mergeCell ref="A1:I1"/>
    <mergeCell ref="A17:I20"/>
    <mergeCell ref="A2:I2"/>
    <mergeCell ref="A16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7" sqref="E17"/>
    </sheetView>
  </sheetViews>
  <sheetFormatPr baseColWidth="8" defaultRowHeight="14.25"/>
  <cols>
    <col width="34" customWidth="1" min="1" max="1"/>
    <col width="28" customWidth="1" min="2" max="2"/>
    <col width="14" customWidth="1" min="3" max="4"/>
    <col width="58" customWidth="1" min="5" max="5"/>
    <col width="24" customWidth="1" min="6" max="6"/>
  </cols>
  <sheetData>
    <row r="1" ht="30" customHeight="1">
      <c r="A1" s="23" t="inlineStr">
        <is>
          <t>Параметры оценки конкуренции и барьеров входа</t>
        </is>
      </c>
    </row>
    <row r="2" ht="32.1" customHeight="1">
      <c r="A2" s="24" t="inlineStr">
        <is>
          <t>Желтые ячейки заполняются пользователем; зеленые рассчитываются формулами</t>
        </is>
      </c>
    </row>
    <row r="3">
      <c r="A3" t="inlineStr">
        <is>
          <t>Similarweb PRO 30.09.2026 (Jun-Aug 2026, весь мир): листы 02-03 заполнены по 19 доменам, доля географии принята 100 % (доля Беларуси недоступна, релевантность географии не учтена). Листы 04-06 заполнены частично (нет полных строк), индекс барьеров F13 не определён</t>
        </is>
      </c>
    </row>
    <row r="4" ht="33.95" customHeight="1">
      <c r="A4" s="1" t="inlineStr">
        <is>
          <t>Параметр</t>
        </is>
      </c>
      <c r="B4" s="1" t="inlineStr">
        <is>
          <t>Значение</t>
        </is>
      </c>
      <c r="C4" s="1" t="inlineStr">
        <is>
          <t>Ед</t>
        </is>
      </c>
      <c r="D4" s="1" t="inlineStr">
        <is>
          <t>Тип</t>
        </is>
      </c>
      <c r="E4" s="1" t="inlineStr">
        <is>
          <t>Комментарий</t>
        </is>
      </c>
      <c r="F4" s="1" t="inlineStr">
        <is>
          <t>Источник/лист</t>
        </is>
      </c>
    </row>
    <row r="5" ht="128.25" customHeight="1">
      <c r="A5" s="2" t="inlineStr">
        <is>
          <t>Название рынка</t>
        </is>
      </c>
      <c r="B5" s="4" t="inlineStr">
        <is>
          <t>Рынок веб-инструментов построения и проверки диаграмм формальных нотаций (UML, BPMN, ERD, IDEF, DFD) для студентов и специалистов по разработке ПО в Беларуси с расширением на русскоязычный сегмент СНГ</t>
        </is>
      </c>
      <c r="C5" s="2" t="n"/>
      <c r="D5" s="2" t="inlineStr">
        <is>
          <t>ввод</t>
        </is>
      </c>
      <c r="E5" s="2" t="inlineStr">
        <is>
          <t>Укажите анализируемый рынок после фиксации его границ</t>
        </is>
      </c>
      <c r="F5" s="2" t="n"/>
    </row>
    <row r="6">
      <c r="A6" s="2" t="inlineStr">
        <is>
          <t>География</t>
        </is>
      </c>
      <c r="B6" s="4" t="inlineStr">
        <is>
          <t>Республика Беларусь</t>
        </is>
      </c>
      <c r="C6" s="2" t="n"/>
      <c r="D6" s="2" t="inlineStr">
        <is>
          <t>ввод</t>
        </is>
      </c>
      <c r="E6" s="2" t="inlineStr">
        <is>
          <t>Страна, регион или город анализа</t>
        </is>
      </c>
      <c r="F6" s="2" t="n"/>
    </row>
    <row r="7" ht="85.5" customHeight="1">
      <c r="A7" s="2" t="inlineStr">
        <is>
          <t>Период анализа Similarweb</t>
        </is>
      </c>
      <c r="B7" s="4" t="inlineStr">
        <is>
          <t>Последние 3 месяца (Jun-Aug 2026), весь мир, снимок Similarweb PRO 30.09.2026; визиты листа 02 - среднемесячные. Справочно: Semrush, август 2026</t>
        </is>
      </c>
      <c r="C7" s="2" t="n"/>
      <c r="D7" s="2" t="inlineStr">
        <is>
          <t>ввод</t>
        </is>
      </c>
      <c r="E7" s="2" t="inlineStr">
        <is>
          <t>Период, по которому фиксируются данные Similarweb</t>
        </is>
      </c>
      <c r="F7" s="2" t="n"/>
    </row>
    <row r="8">
      <c r="A8" s="2" t="inlineStr">
        <is>
          <t>Дата обновления модели</t>
        </is>
      </c>
      <c r="B8" s="32" t="inlineStr">
        <is>
          <t>29.09.2026</t>
        </is>
      </c>
      <c r="C8" s="2" t="n"/>
      <c r="D8" s="2" t="inlineStr">
        <is>
          <t>ввод</t>
        </is>
      </c>
      <c r="E8" s="2" t="inlineStr">
        <is>
          <t>Дата заполнения файла</t>
        </is>
      </c>
      <c r="F8" s="2" t="n"/>
    </row>
    <row r="9">
      <c r="A9" s="2" t="inlineStr">
        <is>
          <t>Число конкурентов в выборке</t>
        </is>
      </c>
      <c r="B9" s="5">
        <f>COUNTA('02_Конкуренты_SW'!A4:A33)</f>
        <v/>
      </c>
      <c r="C9" s="2" t="inlineStr">
        <is>
          <t>сайтов</t>
        </is>
      </c>
      <c r="D9" s="2" t="inlineStr">
        <is>
          <t>формула</t>
        </is>
      </c>
      <c r="E9" s="2" t="inlineStr">
        <is>
          <t>Автоматически считается по листу конкурентов</t>
        </is>
      </c>
      <c r="F9" s="2" t="inlineStr">
        <is>
          <t>02_Конкуренты_SW</t>
        </is>
      </c>
    </row>
    <row r="10">
      <c r="A10" s="2" t="inlineStr">
        <is>
          <t>Суммарный релевантный трафик</t>
        </is>
      </c>
      <c r="B10" s="7">
        <f>SUM('02_Конкуренты_SW'!E4:E33)</f>
        <v/>
      </c>
      <c r="C10" s="2" t="inlineStr">
        <is>
          <t>визитов/мес</t>
        </is>
      </c>
      <c r="D10" s="2" t="inlineStr">
        <is>
          <t>формула</t>
        </is>
      </c>
      <c r="E10" s="2" t="inlineStr">
        <is>
          <t>Сумма трафика конкурентов с учетом выбранной географии</t>
        </is>
      </c>
      <c r="F10" s="2" t="inlineStr">
        <is>
          <t>02_Конкуренты_SW</t>
        </is>
      </c>
    </row>
    <row r="11" ht="28.5" customHeight="1">
      <c r="A11" s="2" t="inlineStr">
        <is>
          <t>Порог высокого CR3</t>
        </is>
      </c>
      <c r="B11" s="6" t="n">
        <v>0.6</v>
      </c>
      <c r="C11" s="2" t="inlineStr">
        <is>
          <t>%</t>
        </is>
      </c>
      <c r="D11" s="2" t="inlineStr">
        <is>
          <t>ввод</t>
        </is>
      </c>
      <c r="E11" s="2" t="inlineStr">
        <is>
          <t>Если 3 лидера контролируют больше порога, рынок концентрирован</t>
        </is>
      </c>
      <c r="F11" s="2" t="n"/>
    </row>
    <row r="12">
      <c r="A12" s="2" t="inlineStr">
        <is>
          <t>Порог высокого CR5</t>
        </is>
      </c>
      <c r="B12" s="6" t="n">
        <v>0.75</v>
      </c>
      <c r="C12" s="2" t="inlineStr">
        <is>
          <t>%</t>
        </is>
      </c>
      <c r="D12" s="2" t="inlineStr">
        <is>
          <t>ввод</t>
        </is>
      </c>
      <c r="E12" s="2" t="inlineStr">
        <is>
          <t>Если 5 лидеров контролируют больше порога, вход труднее</t>
        </is>
      </c>
      <c r="F12" s="2" t="n"/>
    </row>
    <row r="13">
      <c r="A13" s="2" t="inlineStr">
        <is>
          <t>Порог высокого HHI</t>
        </is>
      </c>
      <c r="B13" s="4" t="n">
        <v>2500</v>
      </c>
      <c r="C13" s="2" t="inlineStr">
        <is>
          <t>индекс</t>
        </is>
      </c>
      <c r="D13" s="2" t="inlineStr">
        <is>
          <t>ввод</t>
        </is>
      </c>
      <c r="E13" s="2" t="inlineStr">
        <is>
          <t>Ориентир высокой концентрации по долям трафика</t>
        </is>
      </c>
      <c r="F13" s="2" t="n"/>
    </row>
    <row r="14" ht="28.5" customHeight="1">
      <c r="A14" s="2" t="inlineStr">
        <is>
          <t>Порог высокой доли платного трафика</t>
        </is>
      </c>
      <c r="B14" s="6" t="n">
        <v>0.2</v>
      </c>
      <c r="C14" s="2" t="inlineStr">
        <is>
          <t>%</t>
        </is>
      </c>
      <c r="D14" s="2" t="inlineStr">
        <is>
          <t>ввод</t>
        </is>
      </c>
      <c r="E14" s="2" t="inlineStr">
        <is>
          <t>Высокая доля paid traffic означает дорогой вход через рекламу</t>
        </is>
      </c>
      <c r="F14" s="2" t="n"/>
    </row>
    <row r="15" ht="28.5" customHeight="1">
      <c r="A15" s="2" t="inlineStr">
        <is>
          <t>Порог высокой доли органики</t>
        </is>
      </c>
      <c r="B15" s="6" t="n">
        <v>0.45</v>
      </c>
      <c r="C15" s="2" t="inlineStr">
        <is>
          <t>%</t>
        </is>
      </c>
      <c r="D15" s="2" t="inlineStr">
        <is>
          <t>ввод</t>
        </is>
      </c>
      <c r="E15" s="2" t="inlineStr">
        <is>
          <t>Высокая доля органики означает сильную SEO-позицию конкурентов</t>
        </is>
      </c>
      <c r="F15" s="2" t="n"/>
    </row>
    <row r="16">
      <c r="A16" s="2" t="inlineStr">
        <is>
          <t>Порог высокой брендовой силы</t>
        </is>
      </c>
      <c r="B16" s="6" t="n">
        <v>0.5</v>
      </c>
      <c r="C16" s="2" t="inlineStr">
        <is>
          <t>%</t>
        </is>
      </c>
      <c r="D16" s="2" t="inlineStr">
        <is>
          <t>ввод</t>
        </is>
      </c>
      <c r="E16" s="2" t="inlineStr">
        <is>
          <t>Прямой + брендовый трафик как признак узнаваемости</t>
        </is>
      </c>
      <c r="F16" s="2" t="n"/>
    </row>
    <row r="17" ht="28.5" customHeight="1">
      <c r="A17" s="2" t="inlineStr">
        <is>
          <t>Порог отзывов на конкурента</t>
        </is>
      </c>
      <c r="B17" s="4" t="n">
        <v>100</v>
      </c>
      <c r="C17" s="2" t="inlineStr">
        <is>
          <t>отзывов</t>
        </is>
      </c>
      <c r="D17" s="2" t="inlineStr">
        <is>
          <t>ввод</t>
        </is>
      </c>
      <c r="E17" s="2" t="inlineStr">
        <is>
          <t>Если у игроков много отзывов, новому бизнесу труднее получить доверие</t>
        </is>
      </c>
      <c r="F17" s="2" t="n"/>
    </row>
    <row r="18" ht="28.5" customHeight="1">
      <c r="A18" s="2" t="inlineStr">
        <is>
          <t>Порог рекламной активности</t>
        </is>
      </c>
      <c r="B18" s="2" t="n">
        <v>30</v>
      </c>
      <c r="C18" s="2" t="inlineStr">
        <is>
          <t>объявлений</t>
        </is>
      </c>
      <c r="D18" s="2" t="inlineStr">
        <is>
          <t>ввод</t>
        </is>
      </c>
      <c r="E18" s="2" t="inlineStr">
        <is>
          <t>Ориентир высокого рекламного давления по рекламным библиотекам</t>
        </is>
      </c>
      <c r="F18" s="2" t="n"/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topLeftCell="A23" workbookViewId="0">
      <selection activeCell="D46" sqref="D46"/>
    </sheetView>
  </sheetViews>
  <sheetFormatPr baseColWidth="8" defaultRowHeight="14.25"/>
  <cols>
    <col width="24" customWidth="1" min="1" max="1"/>
    <col width="22" customWidth="1" min="2" max="2"/>
    <col width="16" customWidth="1" min="3" max="3"/>
    <col width="18" customWidth="1" min="4" max="6"/>
    <col width="20.25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4"/>
    <col width="16" customWidth="1" min="15" max="16"/>
    <col width="26" customWidth="1" min="17" max="17"/>
  </cols>
  <sheetData>
    <row r="1" ht="30" customHeight="1">
      <c r="A1" s="23" t="inlineStr">
        <is>
          <t>Данные Similarweb по конкурентам</t>
        </is>
      </c>
    </row>
    <row r="2" ht="32.1" customHeight="1">
      <c r="A2" s="24" t="inlineStr">
        <is>
          <t>Заполните сайты конкурентов и показатели Similarweb. Релевантный трафик и доля рынка считаются автоматически</t>
        </is>
      </c>
    </row>
    <row r="3" ht="53.25" customHeight="1">
      <c r="A3" s="1" t="inlineStr">
        <is>
          <t>Конкурент / сайт</t>
        </is>
      </c>
      <c r="B3" s="1" t="inlineStr">
        <is>
          <t>Тип игрока</t>
        </is>
      </c>
      <c r="C3" s="1" t="inlineStr">
        <is>
          <t>Месячные визиты</t>
        </is>
      </c>
      <c r="D3" s="1" t="inlineStr">
        <is>
          <t>Доля целевой географии</t>
        </is>
      </c>
      <c r="E3" s="1" t="inlineStr">
        <is>
          <t>Релевантный трафик</t>
        </is>
      </c>
      <c r="F3" s="1" t="inlineStr">
        <is>
          <t>Доля релевантного трафика</t>
        </is>
      </c>
      <c r="G3" s="1" t="inlineStr">
        <is>
          <t>Длительность, сек</t>
        </is>
      </c>
      <c r="H3" s="1" t="inlineStr">
        <is>
          <t>Страниц/визит</t>
        </is>
      </c>
      <c r="I3" s="1" t="inlineStr">
        <is>
          <t>Отказы</t>
        </is>
      </c>
      <c r="J3" s="1" t="inlineStr">
        <is>
          <t>Прямой трафик</t>
        </is>
      </c>
      <c r="K3" s="1" t="inlineStr">
        <is>
          <t>Органика</t>
        </is>
      </c>
      <c r="L3" s="1" t="inlineStr">
        <is>
          <t>Платный поиск</t>
        </is>
      </c>
      <c r="M3" s="1" t="inlineStr">
        <is>
          <t>Соцсети</t>
        </is>
      </c>
      <c r="N3" s="1" t="inlineStr">
        <is>
          <t>Рефералы</t>
        </is>
      </c>
      <c r="O3" s="1" t="inlineStr">
        <is>
          <t>Медийная реклама</t>
        </is>
      </c>
      <c r="P3" s="1" t="inlineStr">
        <is>
          <t>Брендовый поиск</t>
        </is>
      </c>
      <c r="Q3" s="1" t="inlineStr">
        <is>
          <t>Комментарий</t>
        </is>
      </c>
    </row>
    <row r="4" ht="99.75" customHeight="1">
      <c r="A4" s="4" t="inlineStr">
        <is>
          <t>plantuml.com</t>
        </is>
      </c>
      <c r="B4" s="4" t="inlineStr">
        <is>
          <t>цифровой сервис</t>
        </is>
      </c>
      <c r="C4" s="10" t="n">
        <v>739657</v>
      </c>
      <c r="D4" s="11" t="n">
        <v>1</v>
      </c>
      <c r="E4" s="5">
        <f>IFERROR(C4*D4,0)</f>
        <v/>
      </c>
      <c r="F4" s="9">
        <f>IFERROR(E4/SUM($E4 у.е.:$E3 у.е.3),0)</f>
        <v/>
      </c>
      <c r="G4" s="4" t="n">
        <v>240</v>
      </c>
      <c r="H4" s="4" t="n">
        <v>3.32</v>
      </c>
      <c r="I4" s="11" t="n">
        <v>0.4561</v>
      </c>
      <c r="J4" s="11" t="n">
        <v>0.3811</v>
      </c>
      <c r="K4" s="11" t="n">
        <v>0.4725</v>
      </c>
      <c r="L4" s="11" t="n"/>
      <c r="M4" s="11" t="n">
        <v>0.0363</v>
      </c>
      <c r="N4" s="11" t="n">
        <v>0.0591</v>
      </c>
      <c r="O4" s="11" t="n">
        <v>0.0007</v>
      </c>
      <c r="P4" s="11" t="n">
        <v>0.429975</v>
      </c>
      <c r="Q4" s="4" t="inlineStr">
        <is>
          <t>email 0.60 %; genai 4.42 %; Similarweb PRO 30.09.2026, Jun-Aug 2026, весь мир; доля Беларуси недоступна, основной расчёт по мировым визитам (geo = 100 %)</t>
        </is>
      </c>
    </row>
    <row r="5" ht="114" customHeight="1">
      <c r="A5" s="4" t="inlineStr">
        <is>
          <t>mermaid.js.org</t>
        </is>
      </c>
      <c r="B5" s="4" t="inlineStr">
        <is>
          <t>цифровой сервис</t>
        </is>
      </c>
      <c r="C5" s="10" t="n">
        <v>442646</v>
      </c>
      <c r="D5" s="11" t="n">
        <v>1</v>
      </c>
      <c r="E5" s="5">
        <f>IFERROR(C5*D5,0)</f>
        <v/>
      </c>
      <c r="F5" s="9">
        <f>IFERROR(E5/SUM($E4 у.е.:$E3 у.е.3),0)</f>
        <v/>
      </c>
      <c r="G5" s="4" t="n">
        <v>63</v>
      </c>
      <c r="H5" s="4" t="n">
        <v>1.86</v>
      </c>
      <c r="I5" s="11" t="n">
        <v>0.6857</v>
      </c>
      <c r="J5" s="11" t="n">
        <v>0.2218</v>
      </c>
      <c r="K5" s="11" t="n">
        <v>0.5856</v>
      </c>
      <c r="L5" s="11" t="n">
        <v>0.0001</v>
      </c>
      <c r="M5" s="11" t="n">
        <v>0.0125</v>
      </c>
      <c r="N5" s="11" t="n">
        <v>0.165</v>
      </c>
      <c r="O5" s="11" t="n">
        <v>0.0004</v>
      </c>
      <c r="P5" s="11" t="n"/>
      <c r="Q5" s="4" t="inlineStr">
        <is>
          <t>email 0.22 %; genai 1.23 %; Similarweb PRO 30.09.2026, Jun-Aug 2026, весь мир; доля Беларуси недоступна, основной расчёт по мировым визитам (geo = 100 %); брендовый поиск: нет данных</t>
        </is>
      </c>
    </row>
    <row r="6" ht="142.5" customHeight="1">
      <c r="A6" s="4" t="inlineStr">
        <is>
          <t>mermaidchart.com</t>
        </is>
      </c>
      <c r="B6" s="4" t="inlineStr">
        <is>
          <t>цифровой сервис</t>
        </is>
      </c>
      <c r="C6" s="10" t="n">
        <v>2535</v>
      </c>
      <c r="D6" s="11" t="n">
        <v>1</v>
      </c>
      <c r="E6" s="5">
        <f>IFERROR(C6*D6,0)</f>
        <v/>
      </c>
      <c r="F6" s="9">
        <f>IFERROR(E6/SUM($E4 у.е.:$E3 у.е.3),0)</f>
        <v/>
      </c>
      <c r="G6" s="4" t="n">
        <v>2</v>
      </c>
      <c r="H6" s="4" t="n">
        <v>1.14</v>
      </c>
      <c r="I6" s="11" t="n">
        <v>0.5068</v>
      </c>
      <c r="J6" s="11" t="n">
        <v>0.3997</v>
      </c>
      <c r="K6" s="11" t="n">
        <v>0.3254</v>
      </c>
      <c r="L6" s="11" t="n">
        <v>0.0162</v>
      </c>
      <c r="M6" s="11" t="n">
        <v>0.0682</v>
      </c>
      <c r="N6" s="11" t="n">
        <v>0.1032</v>
      </c>
      <c r="O6" s="11" t="n">
        <v>0.0307</v>
      </c>
      <c r="P6" s="11" t="n">
        <v>0</v>
      </c>
      <c r="Q6" s="4" t="inlineStr">
        <is>
          <t>email 2.52 %; genai 1.62 %; Similarweb PRO 30.09.2026, Jun-Aug 2026, весь мир; доля Беларуси недоступна, основной расчёт по мировым визитам (geo = 100 %); резкое падение трафика к прошлому месяцу, возможна смена домена</t>
        </is>
      </c>
    </row>
    <row r="7" ht="99.75" customHeight="1">
      <c r="A7" s="4" t="inlineStr">
        <is>
          <t>d2lang.com</t>
        </is>
      </c>
      <c r="B7" s="4" t="inlineStr">
        <is>
          <t>цифровой сервис</t>
        </is>
      </c>
      <c r="C7" s="10" t="n">
        <v>61003</v>
      </c>
      <c r="D7" s="11" t="n">
        <v>1</v>
      </c>
      <c r="E7" s="5">
        <f>IFERROR(C7*D7,0)</f>
        <v/>
      </c>
      <c r="F7" s="9">
        <f>IFERROR(E7/SUM($E4 у.е.:$E3 у.е.3),0)</f>
        <v/>
      </c>
      <c r="G7" s="4" t="n">
        <v>83</v>
      </c>
      <c r="H7" s="4" t="n">
        <v>3.14</v>
      </c>
      <c r="I7" s="11" t="n">
        <v>0.3795</v>
      </c>
      <c r="J7" s="11" t="n">
        <v>0.3144</v>
      </c>
      <c r="K7" s="11" t="n">
        <v>0.4137</v>
      </c>
      <c r="L7" s="11" t="n"/>
      <c r="M7" s="11" t="n">
        <v>0.0422</v>
      </c>
      <c r="N7" s="11" t="n">
        <v>0.1472</v>
      </c>
      <c r="O7" s="11" t="n"/>
      <c r="P7" s="11" t="n">
        <v>0.037233</v>
      </c>
      <c r="Q7" s="4" t="inlineStr">
        <is>
          <t>email 2.28 %; genai 5.97 %; Similarweb PRO 30.09.2026, Jun-Aug 2026, весь мир; доля Беларуси недоступна, основной расчёт по мировым визитам (geo = 100 %)</t>
        </is>
      </c>
    </row>
    <row r="8" ht="99.75" customHeight="1">
      <c r="A8" s="4" t="inlineStr">
        <is>
          <t>kroki.io</t>
        </is>
      </c>
      <c r="B8" s="4" t="inlineStr">
        <is>
          <t>другое</t>
        </is>
      </c>
      <c r="C8" s="10" t="n">
        <v>33398</v>
      </c>
      <c r="D8" s="11" t="n">
        <v>1</v>
      </c>
      <c r="E8" s="5">
        <f>IFERROR(C8*D8,0)</f>
        <v/>
      </c>
      <c r="F8" s="9">
        <f>IFERROR(E8/SUM($E4 у.е.:$E3 у.е.3),0)</f>
        <v/>
      </c>
      <c r="G8" s="4" t="n">
        <v>37</v>
      </c>
      <c r="H8" s="4" t="n">
        <v>1.72</v>
      </c>
      <c r="I8" s="11" t="n">
        <v>0.4214</v>
      </c>
      <c r="J8" s="11" t="n">
        <v>0.5099</v>
      </c>
      <c r="K8" s="11" t="n">
        <v>0.2562</v>
      </c>
      <c r="L8" s="11" t="n">
        <v>0.0008</v>
      </c>
      <c r="M8" s="11" t="n">
        <v>0.0119</v>
      </c>
      <c r="N8" s="11" t="n">
        <v>0.1558</v>
      </c>
      <c r="O8" s="11" t="n">
        <v>0.0014</v>
      </c>
      <c r="P8" s="11" t="n">
        <v>0.25186</v>
      </c>
      <c r="Q8" s="4" t="inlineStr">
        <is>
          <t>email 0.43 %; genai 5.90 %; Similarweb PRO 30.09.2026, Jun-Aug 2026, весь мир; доля Беларуси недоступна, основной расчёт по мировым визитам (geo = 100 %)</t>
        </is>
      </c>
    </row>
    <row r="9" ht="99.75" customHeight="1">
      <c r="A9" s="4" t="inlineStr">
        <is>
          <t>planttext.com</t>
        </is>
      </c>
      <c r="B9" s="4" t="inlineStr">
        <is>
          <t>цифровой сервис</t>
        </is>
      </c>
      <c r="C9" s="10" t="n">
        <v>339451</v>
      </c>
      <c r="D9" s="11" t="n">
        <v>1</v>
      </c>
      <c r="E9" s="5">
        <f>IFERROR(C9*D9,0)</f>
        <v/>
      </c>
      <c r="F9" s="9">
        <f>IFERROR(E9/SUM($E4 у.е.:$E3 у.е.3),0)</f>
        <v/>
      </c>
      <c r="G9" s="4" t="n">
        <v>163</v>
      </c>
      <c r="H9" s="4" t="n">
        <v>2.74</v>
      </c>
      <c r="I9" s="11" t="n">
        <v>0.4557</v>
      </c>
      <c r="J9" s="11" t="n">
        <v>0.4352</v>
      </c>
      <c r="K9" s="11" t="n">
        <v>0.423</v>
      </c>
      <c r="L9" s="11" t="n"/>
      <c r="M9" s="11" t="n">
        <v>0.0152</v>
      </c>
      <c r="N9" s="11" t="n">
        <v>0.0564</v>
      </c>
      <c r="O9" s="11" t="n">
        <v>0.001</v>
      </c>
      <c r="P9" s="11" t="n">
        <v>0.07614</v>
      </c>
      <c r="Q9" s="4" t="inlineStr">
        <is>
          <t>email 0.31 %; genai 6.61 %; Similarweb PRO 30.09.2026, Jun-Aug 2026, весь мир; доля Беларуси недоступна, основной расчёт по мировым визитам (geo = 100 %)</t>
        </is>
      </c>
    </row>
    <row r="10" ht="99.75" customHeight="1">
      <c r="A10" s="4" t="inlineStr">
        <is>
          <t>staruml.io</t>
        </is>
      </c>
      <c r="B10" s="4" t="inlineStr">
        <is>
          <t>другое</t>
        </is>
      </c>
      <c r="C10" s="10" t="n">
        <v>107631</v>
      </c>
      <c r="D10" s="11" t="n">
        <v>1</v>
      </c>
      <c r="E10" s="5">
        <f>IFERROR(C10*D10,0)</f>
        <v/>
      </c>
      <c r="F10" s="9">
        <f>IFERROR(E10/SUM($E4 у.е.:$E3 у.е.3),0)</f>
        <v/>
      </c>
      <c r="G10" s="4" t="n">
        <v>29</v>
      </c>
      <c r="H10" s="4" t="n">
        <v>1.78</v>
      </c>
      <c r="I10" s="11" t="n">
        <v>0.4301</v>
      </c>
      <c r="J10" s="11" t="n">
        <v>0.1505</v>
      </c>
      <c r="K10" s="11" t="n">
        <v>0.7834</v>
      </c>
      <c r="L10" s="11" t="n">
        <v>0.0001</v>
      </c>
      <c r="M10" s="11" t="n">
        <v>0.0106</v>
      </c>
      <c r="N10" s="11" t="n">
        <v>0.0346</v>
      </c>
      <c r="O10" s="11" t="n">
        <v>0.0014</v>
      </c>
      <c r="P10" s="11" t="n">
        <v>0.697315</v>
      </c>
      <c r="Q10" s="4" t="inlineStr">
        <is>
          <t>email 0.16 %; genai 1.78 %; Similarweb PRO 30.09.2026, Jun-Aug 2026, весь мир; доля Беларуси недоступна, основной расчёт по мировым визитам (geo = 100 %)</t>
        </is>
      </c>
    </row>
    <row r="11" ht="99.75" customHeight="1">
      <c r="A11" s="4" t="inlineStr">
        <is>
          <t>visual-paradigm.com</t>
        </is>
      </c>
      <c r="B11" s="4" t="inlineStr">
        <is>
          <t>цифровой сервис</t>
        </is>
      </c>
      <c r="C11" s="10" t="n">
        <v>1516000</v>
      </c>
      <c r="D11" s="11" t="n">
        <v>1</v>
      </c>
      <c r="E11" s="5">
        <f>IFERROR(C11*D11,0)</f>
        <v/>
      </c>
      <c r="F11" s="9">
        <f>IFERROR(E11/SUM($E4 у.е.:$E3 у.е.3),0)</f>
        <v/>
      </c>
      <c r="G11" s="4" t="n">
        <v>98</v>
      </c>
      <c r="H11" s="4" t="n">
        <v>2.52</v>
      </c>
      <c r="I11" s="11" t="n">
        <v>0.4874</v>
      </c>
      <c r="J11" s="11" t="n">
        <v>0.2292</v>
      </c>
      <c r="K11" s="11" t="n">
        <v>0.6731</v>
      </c>
      <c r="L11" s="11" t="n">
        <v>0.0002</v>
      </c>
      <c r="M11" s="11" t="n">
        <v>0.0277</v>
      </c>
      <c r="N11" s="11" t="n">
        <v>0.0478</v>
      </c>
      <c r="O11" s="11" t="n">
        <v>0.0005999999999999999</v>
      </c>
      <c r="P11" s="11" t="n">
        <v>0.074063</v>
      </c>
      <c r="Q11" s="4" t="inlineStr">
        <is>
          <t>email 0.60 %; genai 1.52 %; Similarweb PRO 30.09.2026, Jun-Aug 2026, весь мир; доля Беларуси недоступна, основной расчёт по мировым визитам (geo = 100 %)</t>
        </is>
      </c>
    </row>
    <row r="12" ht="99.75" customHeight="1">
      <c r="A12" s="4" t="inlineStr">
        <is>
          <t>sparxsystems.com</t>
        </is>
      </c>
      <c r="B12" s="4" t="inlineStr">
        <is>
          <t>другое</t>
        </is>
      </c>
      <c r="C12" s="10" t="n">
        <v>149507</v>
      </c>
      <c r="D12" s="11" t="n">
        <v>1</v>
      </c>
      <c r="E12" s="5">
        <f>IFERROR(C12*D12,0)</f>
        <v/>
      </c>
      <c r="F12" s="9">
        <f>IFERROR(E12/SUM($E4 у.е.:$E3 у.е.3),0)</f>
        <v/>
      </c>
      <c r="G12" s="4" t="n">
        <v>57</v>
      </c>
      <c r="H12" s="4" t="n">
        <v>2.05</v>
      </c>
      <c r="I12" s="11" t="n">
        <v>0.4252</v>
      </c>
      <c r="J12" s="11" t="n">
        <v>0.2743</v>
      </c>
      <c r="K12" s="11" t="n">
        <v>0.5822000000000001</v>
      </c>
      <c r="L12" s="11" t="n">
        <v>0.0148</v>
      </c>
      <c r="M12" s="11" t="n">
        <v>0.0313</v>
      </c>
      <c r="N12" s="11" t="n">
        <v>0.0795</v>
      </c>
      <c r="O12" s="11" t="n"/>
      <c r="P12" s="11" t="n">
        <v>0.12537</v>
      </c>
      <c r="Q12" s="4" t="inlineStr">
        <is>
          <t>email 0.30 %; genai 1.49 %; Similarweb PRO 30.09.2026, Jun-Aug 2026, весь мир; доля Беларуси недоступна, основной расчёт по мировым визитам (geo = 100 %)</t>
        </is>
      </c>
    </row>
    <row r="13" ht="99.75" customHeight="1">
      <c r="A13" s="4" t="inlineStr">
        <is>
          <t>bpmn.io</t>
        </is>
      </c>
      <c r="B13" s="4" t="inlineStr">
        <is>
          <t>другое</t>
        </is>
      </c>
      <c r="C13" s="10" t="n">
        <v>199080</v>
      </c>
      <c r="D13" s="11" t="n">
        <v>1</v>
      </c>
      <c r="E13" s="5">
        <f>IFERROR(C13*D13,0)</f>
        <v/>
      </c>
      <c r="F13" s="9">
        <f>IFERROR(E13/SUM($E4 у.е.:$E3 у.е.3),0)</f>
        <v/>
      </c>
      <c r="G13" s="4" t="n">
        <v>94</v>
      </c>
      <c r="H13" s="4" t="n">
        <v>2</v>
      </c>
      <c r="I13" s="11" t="n">
        <v>0.3964</v>
      </c>
      <c r="J13" s="11" t="n">
        <v>0.552</v>
      </c>
      <c r="K13" s="11" t="n">
        <v>0.3518</v>
      </c>
      <c r="L13" s="11" t="n"/>
      <c r="M13" s="11" t="n">
        <v>0.0166</v>
      </c>
      <c r="N13" s="11" t="n">
        <v>0.0411</v>
      </c>
      <c r="O13" s="11" t="n">
        <v>0.0005</v>
      </c>
      <c r="P13" s="11" t="n">
        <v>0.309584</v>
      </c>
      <c r="Q13" s="4" t="inlineStr">
        <is>
          <t>email 1.26 %; genai 2.53 %; Similarweb PRO 30.09.2026, Jun-Aug 2026, весь мир; доля Беларуси недоступна, основной расчёт по мировым визитам (geo = 100 %)</t>
        </is>
      </c>
    </row>
    <row r="14" ht="128.25" customHeight="1">
      <c r="A14" s="4" t="inlineStr">
        <is>
          <t>stormbpmn.com</t>
        </is>
      </c>
      <c r="B14" s="4" t="inlineStr">
        <is>
          <t>платформа услуг</t>
        </is>
      </c>
      <c r="C14" s="10" t="n">
        <v>92936</v>
      </c>
      <c r="D14" s="11" t="n">
        <v>1</v>
      </c>
      <c r="E14" s="5">
        <f>IFERROR(C14*D14,0)</f>
        <v/>
      </c>
      <c r="F14" s="9">
        <f>IFERROR(E14/SUM($E4 у.е.:$E3 у.е.3),0)</f>
        <v/>
      </c>
      <c r="G14" s="4" t="n">
        <v>231</v>
      </c>
      <c r="H14" s="4" t="n">
        <v>5.25</v>
      </c>
      <c r="I14" s="11" t="n">
        <v>0.415</v>
      </c>
      <c r="J14" s="11" t="n">
        <v>0.5733</v>
      </c>
      <c r="K14" s="11" t="n">
        <v>0.2091</v>
      </c>
      <c r="L14" s="11" t="n">
        <v>0.0132</v>
      </c>
      <c r="M14" s="11" t="n">
        <v>0.0319</v>
      </c>
      <c r="N14" s="11" t="n">
        <v>0.1072</v>
      </c>
      <c r="O14" s="11" t="n">
        <v>0.0101</v>
      </c>
      <c r="P14" s="11" t="n">
        <v>0.026676</v>
      </c>
      <c r="Q14" s="4" t="inlineStr">
        <is>
          <t>email 3.78 %; genai 1.74 %; Similarweb PRO 30.09.2026, Jun-Aug 2026, весь мир; доля Беларуси недоступна, основной расчёт по мировым визитам (geo = 100 %); справочно: Беларусь 2,49 % трафика (пятая страна)</t>
        </is>
      </c>
    </row>
    <row r="15" ht="114" customHeight="1">
      <c r="A15" s="4" t="inlineStr">
        <is>
          <t>app.diagrams.net</t>
        </is>
      </c>
      <c r="B15" s="4" t="inlineStr">
        <is>
          <t>цифровой сервис</t>
        </is>
      </c>
      <c r="C15" s="10" t="n">
        <v>8497000</v>
      </c>
      <c r="D15" s="11" t="n">
        <v>1</v>
      </c>
      <c r="E15" s="5">
        <f>IFERROR(C15*D15,0)</f>
        <v/>
      </c>
      <c r="F15" s="9">
        <f>IFERROR(E15/SUM($E4 у.е.:$E3 у.е.3),0)</f>
        <v/>
      </c>
      <c r="G15" s="4" t="n">
        <v>226</v>
      </c>
      <c r="H15" s="4" t="n">
        <v>3.19</v>
      </c>
      <c r="I15" s="11" t="n">
        <v>0.5472</v>
      </c>
      <c r="J15" s="11" t="n">
        <v>0.6839</v>
      </c>
      <c r="K15" s="11" t="n">
        <v>0.1396</v>
      </c>
      <c r="L15" s="11" t="n">
        <v>0.0002</v>
      </c>
      <c r="M15" s="11" t="n">
        <v>0.0212</v>
      </c>
      <c r="N15" s="11" t="n">
        <v>0.09719999999999999</v>
      </c>
      <c r="O15" s="11" t="n">
        <v>0.0193</v>
      </c>
      <c r="P15" s="11" t="n"/>
      <c r="Q15" s="4" t="inlineStr">
        <is>
          <t>email 1.19 %; genai 2.68 %; Similarweb PRO 30.09.2026, Jun-Aug 2026, весь мир; доля Беларуси недоступна, основной расчёт по мировым визитам (geo = 100 %); брендовый поиск: нет данных</t>
        </is>
      </c>
    </row>
    <row r="16" ht="142.5" customHeight="1">
      <c r="A16" s="4" t="inlineStr">
        <is>
          <t>lucidchart.com</t>
        </is>
      </c>
      <c r="B16" s="4" t="inlineStr">
        <is>
          <t>цифровой сервис</t>
        </is>
      </c>
      <c r="C16" s="10" t="n">
        <v>703574</v>
      </c>
      <c r="D16" s="11" t="n">
        <v>1</v>
      </c>
      <c r="E16" s="5">
        <f>IFERROR(C16*D16,0)</f>
        <v/>
      </c>
      <c r="F16" s="9">
        <f>IFERROR(E16/SUM($E4 у.е.:$E3 у.е.3),0)</f>
        <v/>
      </c>
      <c r="G16" s="4" t="n">
        <v>31</v>
      </c>
      <c r="H16" s="4" t="n">
        <v>1.41</v>
      </c>
      <c r="I16" s="11" t="n">
        <v>0.6549</v>
      </c>
      <c r="J16" s="11" t="n">
        <v>0.1133</v>
      </c>
      <c r="K16" s="11" t="n">
        <v>0.5595</v>
      </c>
      <c r="L16" s="11" t="n">
        <v>0.2255</v>
      </c>
      <c r="M16" s="11" t="n">
        <v>0.0156</v>
      </c>
      <c r="N16" s="11" t="n">
        <v>0.0271</v>
      </c>
      <c r="O16" s="11" t="n">
        <v>0.036</v>
      </c>
      <c r="P16" s="11" t="n">
        <v>0.5652</v>
      </c>
      <c r="Q16" s="4" t="inlineStr">
        <is>
          <t>email 0.20 %; genai 2.10 %; Similarweb PRO 30.09.2026, Jun-Aug 2026, весь мир; доля Беларуси недоступна, основной расчёт по мировым визитам (geo = 100 %); резкое падение трафика к прошлому месяцу, возможна смена домена</t>
        </is>
      </c>
    </row>
    <row r="17" ht="99.75" customHeight="1">
      <c r="A17" s="4" t="inlineStr">
        <is>
          <t>creately.com</t>
        </is>
      </c>
      <c r="B17" s="4" t="inlineStr">
        <is>
          <t>цифровой сервис</t>
        </is>
      </c>
      <c r="C17" s="10" t="n">
        <v>784067</v>
      </c>
      <c r="D17" s="11" t="n">
        <v>1</v>
      </c>
      <c r="E17" s="5">
        <f>IFERROR(C17*D17,0)</f>
        <v/>
      </c>
      <c r="F17" s="9">
        <f>IFERROR(E17/SUM($E4 у.е.:$E3 у.е.3),0)</f>
        <v/>
      </c>
      <c r="G17" s="4" t="n">
        <v>138</v>
      </c>
      <c r="H17" s="4" t="n">
        <v>8.57</v>
      </c>
      <c r="I17" s="11" t="n">
        <v>0.4298</v>
      </c>
      <c r="J17" s="11" t="n">
        <v>0.1905</v>
      </c>
      <c r="K17" s="11" t="n">
        <v>0.7318</v>
      </c>
      <c r="L17" s="11" t="n">
        <v>0.0071</v>
      </c>
      <c r="M17" s="11" t="n">
        <v>0.022</v>
      </c>
      <c r="N17" s="11" t="n">
        <v>0.0276</v>
      </c>
      <c r="O17" s="11" t="n">
        <v>0.0012</v>
      </c>
      <c r="P17" s="11" t="n">
        <v>0.036945</v>
      </c>
      <c r="Q17" s="4" t="inlineStr">
        <is>
          <t>email 0.27 %; genai 1.64 %; Similarweb PRO 30.09.2026, Jun-Aug 2026, весь мир; доля Беларуси недоступна, основной расчёт по мировым визитам (geo = 100 %)</t>
        </is>
      </c>
    </row>
    <row r="18" ht="99.75" customHeight="1">
      <c r="A18" s="4" t="inlineStr">
        <is>
          <t>miro.com</t>
        </is>
      </c>
      <c r="B18" s="4" t="inlineStr">
        <is>
          <t>платформа услуг</t>
        </is>
      </c>
      <c r="C18" s="10" t="n">
        <v>27510000</v>
      </c>
      <c r="D18" s="11" t="n">
        <v>1</v>
      </c>
      <c r="E18" s="5">
        <f>IFERROR(C18*D18,0)</f>
        <v/>
      </c>
      <c r="F18" s="9">
        <f>IFERROR(E18/SUM($E4 у.е.:$E3 у.е.3),0)</f>
        <v/>
      </c>
      <c r="G18" s="4" t="n">
        <v>200</v>
      </c>
      <c r="H18" s="4" t="n">
        <v>2.97</v>
      </c>
      <c r="I18" s="11" t="n">
        <v>0.5003</v>
      </c>
      <c r="J18" s="11" t="n">
        <v>0.6572</v>
      </c>
      <c r="K18" s="11" t="n">
        <v>0.122</v>
      </c>
      <c r="L18" s="11" t="n">
        <v>0.0065</v>
      </c>
      <c r="M18" s="11" t="n">
        <v>0.0853</v>
      </c>
      <c r="N18" s="11" t="n">
        <v>0.0784</v>
      </c>
      <c r="O18" s="11" t="n">
        <v>0.0041</v>
      </c>
      <c r="P18" s="11" t="n">
        <v>0.096375</v>
      </c>
      <c r="Q18" s="4" t="inlineStr">
        <is>
          <t>email 3.43 %; genai 1.19 %; Similarweb PRO 30.09.2026, Jun-Aug 2026, весь мир; доля Беларуси недоступна, основной расчёт по мировым визитам (geo = 100 %)</t>
        </is>
      </c>
    </row>
    <row r="19" ht="99.75" customHeight="1">
      <c r="A19" s="4" t="inlineStr">
        <is>
          <t>excalidraw.com</t>
        </is>
      </c>
      <c r="B19" s="4" t="inlineStr">
        <is>
          <t>цифровой сервис</t>
        </is>
      </c>
      <c r="C19" s="10" t="n">
        <v>4253000</v>
      </c>
      <c r="D19" s="11" t="n">
        <v>1</v>
      </c>
      <c r="E19" s="5">
        <f>IFERROR(C19*D19,0)</f>
        <v/>
      </c>
      <c r="F19" s="9">
        <f>IFERROR(E19/SUM($E4 у.е.:$E3 у.е.3),0)</f>
        <v/>
      </c>
      <c r="G19" s="4" t="n">
        <v>75</v>
      </c>
      <c r="H19" s="4" t="n">
        <v>2.01</v>
      </c>
      <c r="I19" s="11" t="n">
        <v>0.7107</v>
      </c>
      <c r="J19" s="11" t="n">
        <v>0.6606</v>
      </c>
      <c r="K19" s="11" t="n">
        <v>0.2378</v>
      </c>
      <c r="L19" s="11" t="n">
        <v>0.0005</v>
      </c>
      <c r="M19" s="11" t="n">
        <v>0.0304</v>
      </c>
      <c r="N19" s="11" t="n">
        <v>0.0333</v>
      </c>
      <c r="O19" s="11" t="n">
        <v>0.0015</v>
      </c>
      <c r="P19" s="11" t="n">
        <v>0.216853</v>
      </c>
      <c r="Q19" s="4" t="inlineStr">
        <is>
          <t>email 1.41 %; genai 2.17 %; Similarweb PRO 30.09.2026, Jun-Aug 2026, весь мир; доля Беларуси недоступна, основной расчёт по мировым визитам (geo = 100 %)</t>
        </is>
      </c>
    </row>
    <row r="20" ht="99.75" customHeight="1">
      <c r="A20" s="4" t="inlineStr">
        <is>
          <t>dbdiagram.io</t>
        </is>
      </c>
      <c r="B20" s="4" t="inlineStr">
        <is>
          <t>цифровой сервис</t>
        </is>
      </c>
      <c r="C20" s="10" t="n">
        <v>655207</v>
      </c>
      <c r="D20" s="11" t="n">
        <v>1</v>
      </c>
      <c r="E20" s="5">
        <f>IFERROR(C20*D20,0)</f>
        <v/>
      </c>
      <c r="F20" s="9">
        <f>IFERROR(E20/SUM($E4 у.е.:$E3 у.е.3),0)</f>
        <v/>
      </c>
      <c r="G20" s="4" t="n">
        <v>194</v>
      </c>
      <c r="H20" s="4" t="n">
        <v>2.68</v>
      </c>
      <c r="I20" s="11" t="n">
        <v>0.4682</v>
      </c>
      <c r="J20" s="11" t="n">
        <v>0.6173</v>
      </c>
      <c r="K20" s="11" t="n">
        <v>0.1878</v>
      </c>
      <c r="L20" s="11" t="n">
        <v>0.0002</v>
      </c>
      <c r="M20" s="11" t="n">
        <v>0.0544</v>
      </c>
      <c r="N20" s="11" t="n">
        <v>0.0706</v>
      </c>
      <c r="O20" s="11" t="n">
        <v>0.0026</v>
      </c>
      <c r="P20" s="11" t="n">
        <v>0.1034</v>
      </c>
      <c r="Q20" s="4" t="inlineStr">
        <is>
          <t>email 1.52 %; genai 5.18 %; Similarweb PRO 30.09.2026, Jun-Aug 2026, весь мир; доля Беларуси недоступна, основной расчёт по мировым визитам (geo = 100 %)</t>
        </is>
      </c>
    </row>
    <row r="21" ht="128.25" customHeight="1">
      <c r="A21" s="4" t="inlineStr">
        <is>
          <t>drawsql.app</t>
        </is>
      </c>
      <c r="B21" s="4" t="inlineStr">
        <is>
          <t>цифровой сервис</t>
        </is>
      </c>
      <c r="C21" s="10" t="n">
        <v>123677</v>
      </c>
      <c r="D21" s="11" t="n">
        <v>1</v>
      </c>
      <c r="E21" s="5">
        <f>IFERROR(C21*D21,0)</f>
        <v/>
      </c>
      <c r="F21" s="9">
        <f>IFERROR(E21/SUM($E4 у.е.:$E3 у.е.3),0)</f>
        <v/>
      </c>
      <c r="G21" s="4" t="n">
        <v>79</v>
      </c>
      <c r="H21" s="4" t="n">
        <v>2.52</v>
      </c>
      <c r="I21" s="11" t="n">
        <v>0.4295</v>
      </c>
      <c r="J21" s="11" t="n"/>
      <c r="K21" s="11" t="n"/>
      <c r="L21" s="11" t="n"/>
      <c r="M21" s="11" t="n"/>
      <c r="N21" s="11" t="n"/>
      <c r="O21" s="11" t="n"/>
      <c r="P21" s="11" t="n"/>
      <c r="Q21" s="4" t="inlineStr">
        <is>
          <t>Similarweb PRO 30.09.2026, Jun-Aug 2026, весь мир; доля Беларуси недоступна, основной расчёт по мировым визитам (geo = 100 %); каналы и география: недостаточно данных; брендовый поиск: нет данных</t>
        </is>
      </c>
    </row>
    <row r="22" ht="171" customHeight="1">
      <c r="A22" s="4" t="inlineStr">
        <is>
          <t>eraser.io</t>
        </is>
      </c>
      <c r="B22" s="4" t="inlineStr">
        <is>
          <t>цифровой сервис</t>
        </is>
      </c>
      <c r="C22" s="10" t="n">
        <v>727666.7</v>
      </c>
      <c r="D22" s="11" t="n">
        <v>1</v>
      </c>
      <c r="E22" s="5">
        <f>IFERROR(C22*D22,0)</f>
        <v/>
      </c>
      <c r="F22" s="9">
        <f>IFERROR(E22/SUM($E4 у.е.:$E3 у.е.3),0)</f>
        <v/>
      </c>
      <c r="G22" s="4" t="n"/>
      <c r="H22" s="4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4" t="inlineStr">
        <is>
          <t>Similarweb PRO 30.09.2026, Jun-Aug 2026, весь мир; доля Беларуси недоступна, основной расчёт по мировым визитам (geo = 100 %); визиты = 3-месячное значение / 3 (сравнение на странице plantuml.com); каналы и вовлечённость не показаны; брендовый поиск: нет данных</t>
        </is>
      </c>
    </row>
    <row r="23">
      <c r="A23" s="4" t="n"/>
      <c r="B23" s="4" t="n"/>
      <c r="C23" s="10" t="n"/>
      <c r="D23" s="11" t="n"/>
      <c r="E23" s="5">
        <f>IFERROR(C23*D23,0)</f>
        <v/>
      </c>
      <c r="F23" s="9">
        <f>IFERROR(E23/SUM($E4 у.е.:$E3 у.е.3),0)</f>
        <v/>
      </c>
      <c r="G23" s="4" t="n"/>
      <c r="H23" s="4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4" t="n"/>
    </row>
    <row r="24">
      <c r="A24" s="4" t="n"/>
      <c r="B24" s="4" t="n"/>
      <c r="C24" s="10" t="n"/>
      <c r="D24" s="11" t="n"/>
      <c r="E24" s="5">
        <f>IFERROR(C24*D24,0)</f>
        <v/>
      </c>
      <c r="F24" s="9">
        <f>IFERROR(E24/SUM($E4 у.е.:$E3 у.е.3),0)</f>
        <v/>
      </c>
      <c r="G24" s="4" t="n"/>
      <c r="H24" s="4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4" t="n"/>
    </row>
    <row r="25">
      <c r="A25" s="4" t="n"/>
      <c r="B25" s="4" t="n"/>
      <c r="C25" s="10" t="n"/>
      <c r="D25" s="11" t="n"/>
      <c r="E25" s="5">
        <f>IFERROR(C25*D25,0)</f>
        <v/>
      </c>
      <c r="F25" s="9">
        <f>IFERROR(E25/SUM($E4 у.е.:$E3 у.е.3),0)</f>
        <v/>
      </c>
      <c r="G25" s="4" t="n"/>
      <c r="H25" s="4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4" t="n"/>
    </row>
    <row r="26">
      <c r="A26" s="4" t="n"/>
      <c r="B26" s="4" t="n"/>
      <c r="C26" s="10" t="n"/>
      <c r="D26" s="11" t="n"/>
      <c r="E26" s="5">
        <f>IFERROR(C26*D26,0)</f>
        <v/>
      </c>
      <c r="F26" s="9">
        <f>IFERROR(E26/SUM($E4 у.е.:$E3 у.е.3),0)</f>
        <v/>
      </c>
      <c r="G26" s="4" t="n"/>
      <c r="H26" s="4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4" t="n"/>
    </row>
    <row r="27">
      <c r="A27" s="4" t="n"/>
      <c r="B27" s="4" t="n"/>
      <c r="C27" s="10" t="n"/>
      <c r="D27" s="11" t="n"/>
      <c r="E27" s="5">
        <f>IFERROR(C27*D27,0)</f>
        <v/>
      </c>
      <c r="F27" s="9">
        <f>IFERROR(E27/SUM($E4 у.е.:$E3 у.е.3),0)</f>
        <v/>
      </c>
      <c r="G27" s="4" t="n"/>
      <c r="H27" s="4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4" t="n"/>
    </row>
    <row r="28">
      <c r="A28" s="4" t="n"/>
      <c r="B28" s="4" t="n"/>
      <c r="C28" s="10" t="n"/>
      <c r="D28" s="11" t="n"/>
      <c r="E28" s="5">
        <f>IFERROR(C28*D28,0)</f>
        <v/>
      </c>
      <c r="F28" s="9">
        <f>IFERROR(E28/SUM($E4 у.е.:$E3 у.е.3),0)</f>
        <v/>
      </c>
      <c r="G28" s="4" t="n"/>
      <c r="H28" s="4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4" t="n"/>
    </row>
    <row r="29">
      <c r="A29" s="4" t="n"/>
      <c r="B29" s="4" t="n"/>
      <c r="C29" s="10" t="n"/>
      <c r="D29" s="11" t="n"/>
      <c r="E29" s="5">
        <f>IFERROR(C29*D29,0)</f>
        <v/>
      </c>
      <c r="F29" s="9">
        <f>IFERROR(E29/SUM($E4 у.е.:$E3 у.е.3),0)</f>
        <v/>
      </c>
      <c r="G29" s="4" t="n"/>
      <c r="H29" s="4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4" t="n"/>
    </row>
    <row r="30">
      <c r="A30" s="4" t="n"/>
      <c r="B30" s="4" t="n"/>
      <c r="C30" s="10" t="n"/>
      <c r="D30" s="11" t="n"/>
      <c r="E30" s="5">
        <f>IFERROR(C30*D30,0)</f>
        <v/>
      </c>
      <c r="F30" s="9">
        <f>IFERROR(E30/SUM($E4 у.е.:$E3 у.е.3),0)</f>
        <v/>
      </c>
      <c r="G30" s="4" t="n"/>
      <c r="H30" s="4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4" t="n"/>
    </row>
    <row r="31">
      <c r="A31" s="4" t="n"/>
      <c r="B31" s="4" t="n"/>
      <c r="C31" s="10" t="n"/>
      <c r="D31" s="11" t="n"/>
      <c r="E31" s="5">
        <f>IFERROR(C31*D31,0)</f>
        <v/>
      </c>
      <c r="F31" s="9">
        <f>IFERROR(E31/SUM($E4 у.е.:$E3 у.е.3),0)</f>
        <v/>
      </c>
      <c r="G31" s="4" t="n"/>
      <c r="H31" s="4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4" t="n"/>
    </row>
    <row r="32">
      <c r="A32" s="4" t="n"/>
      <c r="B32" s="4" t="n"/>
      <c r="C32" s="10" t="n"/>
      <c r="D32" s="11" t="n"/>
      <c r="E32" s="5">
        <f>IFERROR(C32*D32,0)</f>
        <v/>
      </c>
      <c r="F32" s="9">
        <f>IFERROR(E32/SUM($E4 у.е.:$E3 у.е.3),0)</f>
        <v/>
      </c>
      <c r="G32" s="4" t="n"/>
      <c r="H32" s="4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4" t="n"/>
    </row>
    <row r="33">
      <c r="A33" s="4" t="n"/>
      <c r="B33" s="4" t="n"/>
      <c r="C33" s="10" t="n"/>
      <c r="D33" s="11" t="n"/>
      <c r="E33" s="5">
        <f>IFERROR(C33*D33,0)</f>
        <v/>
      </c>
      <c r="F33" s="9">
        <f>IFERROR(E33/SUM($E4 у.е.:$E3 у.е.3),0)</f>
        <v/>
      </c>
      <c r="G33" s="4" t="n"/>
      <c r="H33" s="4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4" t="n"/>
    </row>
    <row r="36" ht="33.95" customHeight="1">
      <c r="A36" s="1" t="inlineStr">
        <is>
          <t>Показатель</t>
        </is>
      </c>
      <c r="B36" s="1" t="inlineStr">
        <is>
          <t>Формула / значение</t>
        </is>
      </c>
      <c r="C36" s="1" t="inlineStr">
        <is>
          <t>Интерпретация</t>
        </is>
      </c>
    </row>
    <row r="37" ht="57" customHeight="1">
      <c r="A37" s="2" t="inlineStr">
        <is>
          <t>Суммарный релевантный трафик</t>
        </is>
      </c>
      <c r="B37" s="7">
        <f>SUM(E4:E33)</f>
        <v/>
      </c>
      <c r="C37" s="2" t="inlineStr">
        <is>
          <t>Оценочный цифровой размер выборки конкурентов</t>
        </is>
      </c>
    </row>
    <row r="38" ht="42.75" customHeight="1">
      <c r="A38" s="2" t="inlineStr">
        <is>
          <t>CR3 по трафику</t>
        </is>
      </c>
      <c r="B38" s="8">
        <f>LARGE(F4:F33,1)+LARGE(F4:F33,2)+LARGE(F4:F33,3)</f>
        <v/>
      </c>
      <c r="C38" s="2" t="inlineStr">
        <is>
          <t>Доля трех крупнейших игроков</t>
        </is>
      </c>
    </row>
    <row r="39" ht="42.75" customHeight="1">
      <c r="A39" s="2" t="inlineStr">
        <is>
          <t>CR5 по трафику</t>
        </is>
      </c>
      <c r="B39" s="8">
        <f>LARGE(F4:F33,1)+LARGE(F4:F33,2)+LARGE(F4:F33,3)+LARGE(F4:F33,4)+LARGE(F4:F33,5)</f>
        <v/>
      </c>
      <c r="C39" s="2" t="inlineStr">
        <is>
          <t>Доля пяти крупнейших игроков</t>
        </is>
      </c>
    </row>
    <row r="40" ht="71.25" customHeight="1">
      <c r="A40" s="2" t="inlineStr">
        <is>
          <t>HHI по трафику</t>
        </is>
      </c>
      <c r="B40" s="12">
        <f>SUMSQ(F4:F33)*10000</f>
        <v/>
      </c>
      <c r="C40" s="2" t="inlineStr">
        <is>
          <t>Индекс концентрации на основе долей релевантного трафика</t>
        </is>
      </c>
    </row>
    <row r="41" ht="42.75" customHeight="1">
      <c r="A41" s="2" t="inlineStr">
        <is>
          <t>Средняя длительность визита</t>
        </is>
      </c>
      <c r="B41" s="12">
        <f>IFERROR(SUMPRODUCT(E4:E33,G4:G33)/SUM(E4:E33),0)</f>
        <v/>
      </c>
      <c r="C41" s="2" t="inlineStr">
        <is>
          <t>Косвенный признак вовлеченности</t>
        </is>
      </c>
    </row>
  </sheetData>
  <mergeCells count="2">
    <mergeCell ref="A2:Q2"/>
    <mergeCell ref="A1:Q1"/>
  </mergeCells>
  <dataValidations count="1">
    <dataValidation sqref="B4:B33" showDropDown="0" showInputMessage="0" showErrorMessage="0" allowBlank="0" type="list">
      <formula1>"агентство,нишевый специалист,рекламный подрядчик,консалтинг,платформа услуг,обучающий заменитель,цифровой сервис,маркетплейс,другое"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E20" sqref="E20"/>
    </sheetView>
  </sheetViews>
  <sheetFormatPr baseColWidth="8" defaultRowHeight="14.25"/>
  <cols>
    <col width="22" customWidth="1" min="1" max="1"/>
    <col width="28" customWidth="1" min="2" max="2"/>
    <col width="18" customWidth="1" min="3" max="4"/>
    <col width="16" customWidth="1" min="5" max="5"/>
    <col width="54.75" customWidth="1" min="6" max="6"/>
    <col width="62.125" customWidth="1" min="7" max="7"/>
    <col width="50.5" customWidth="1" min="8" max="8"/>
    <col width="28" customWidth="1" min="9" max="9"/>
  </cols>
  <sheetData>
    <row r="1" ht="30" customHeight="1">
      <c r="A1" s="23" t="inlineStr">
        <is>
          <t>Оценка конкурентного давления по каналам трафика</t>
        </is>
      </c>
    </row>
    <row r="2" ht="32.1" customHeight="1">
      <c r="A2" s="24" t="inlineStr">
        <is>
          <t>Расчет делается как взвешенная доля каналов с учетом релевантного трафика конкурентов</t>
        </is>
      </c>
    </row>
    <row r="3" ht="33.95" customHeight="1">
      <c r="A3" s="1" t="inlineStr">
        <is>
          <t>Канал</t>
        </is>
      </c>
      <c r="B3" s="1" t="inlineStr">
        <is>
          <t>Формула / источник</t>
        </is>
      </c>
      <c r="C3" s="1" t="inlineStr">
        <is>
          <t>Взвешенная доля канала</t>
        </is>
      </c>
      <c r="D3" s="1" t="inlineStr">
        <is>
          <t>Порог высокого давления</t>
        </is>
      </c>
      <c r="E3" s="1" t="inlineStr">
        <is>
          <t>Балльная оценка 1-5</t>
        </is>
      </c>
      <c r="F3" s="1" t="inlineStr">
        <is>
          <t>Интерпретация</t>
        </is>
      </c>
      <c r="G3" s="1" t="inlineStr">
        <is>
          <t>Риски для нового игрока</t>
        </is>
      </c>
      <c r="H3" s="1" t="inlineStr">
        <is>
          <t>Что проверить дополнительно</t>
        </is>
      </c>
      <c r="I3" s="1" t="inlineStr">
        <is>
          <t>Источник</t>
        </is>
      </c>
    </row>
    <row r="4" ht="28.5" customHeight="1">
      <c r="A4" s="2" t="inlineStr">
        <is>
          <t>Прямой трафик</t>
        </is>
      </c>
      <c r="B4" s="2" t="inlineStr">
        <is>
          <t>Similarweb: Direct</t>
        </is>
      </c>
      <c r="C4" s="9">
        <f>IFERROR(SUMPRODUCT('02_Конкуренты_SW'!$E4 у.е.:$E3 у.е.3,'02_Конкуренты_SW'!$J4 у.е.:$J3 у.е.3)/SUM('02_Конкуренты_SW'!$E4 у.е.:$E3 у.е.3),0)</f>
        <v/>
      </c>
      <c r="D4" s="9" t="n">
        <v>0.3</v>
      </c>
      <c r="E4" s="13">
        <f>IF(C4&gt;=D4,5,IF(C4&gt;=D4*0.65,3,1))</f>
        <v/>
      </c>
      <c r="F4" s="2" t="inlineStr">
        <is>
          <t>Высокая доля означает узнаваемость брендов</t>
        </is>
      </c>
      <c r="G4" s="2" t="inlineStr">
        <is>
          <t>Новому игроку сложнее быстро получить прямые заходы</t>
        </is>
      </c>
      <c r="H4" s="2" t="inlineStr">
        <is>
          <t>Брендовые запросы, отзывы, возраст домена</t>
        </is>
      </c>
      <c r="I4" s="2" t="inlineStr">
        <is>
          <t>Similarweb</t>
        </is>
      </c>
    </row>
    <row r="5" ht="28.5" customHeight="1">
      <c r="A5" s="2" t="inlineStr">
        <is>
          <t>Органический поиск</t>
        </is>
      </c>
      <c r="B5" s="2" t="inlineStr">
        <is>
          <t>Similarweb: Organic Search</t>
        </is>
      </c>
      <c r="C5" s="9">
        <f>IFERROR(SUMPRODUCT('02_Конкуренты_SW'!$E4 у.е.:$E3 у.е.3,'02_Конкуренты_SW'!$K4 у.е.:$K3 у.е.3)/SUM('02_Конкуренты_SW'!$E4 у.е.:$E3 у.е.3),0)</f>
        <v/>
      </c>
      <c r="D5" s="9">
        <f>'01_Параметры'!B15</f>
        <v/>
      </c>
      <c r="E5" s="13">
        <f>IF(C5&gt;=D5,5,IF(C5&gt;=D5*0.65,3,1))</f>
        <v/>
      </c>
      <c r="F5" s="2" t="inlineStr">
        <is>
          <t>Высокая доля означает сильные SEO-позиции</t>
        </is>
      </c>
      <c r="G5" s="2" t="inlineStr">
        <is>
          <t>Потребуются контент, ссылки, время и техническая оптимизация</t>
        </is>
      </c>
      <c r="H5" s="2" t="inlineStr">
        <is>
          <t>Semrush/Ahrefs, выдача Google/Яндекс</t>
        </is>
      </c>
      <c r="I5" s="2" t="inlineStr">
        <is>
          <t>Similarweb, Semrush, Ahrefs</t>
        </is>
      </c>
    </row>
    <row r="6" ht="28.5" customHeight="1">
      <c r="A6" s="2" t="inlineStr">
        <is>
          <t>Платный поиск</t>
        </is>
      </c>
      <c r="B6" s="2" t="inlineStr">
        <is>
          <t>Similarweb: Paid Search</t>
        </is>
      </c>
      <c r="C6" s="9">
        <f>IFERROR(SUMPRODUCT('02_Конкуренты_SW'!$E4 у.е.:$E3 у.е.3,'02_Конкуренты_SW'!$L4 у.е.:$L3 у.е.3)/SUM('02_Конкуренты_SW'!$E4 у.е.:$E3 у.е.3),0)</f>
        <v/>
      </c>
      <c r="D6" s="9">
        <f>'01_Параметры'!B14</f>
        <v/>
      </c>
      <c r="E6" s="13">
        <f>IF(C6&gt;=D6,5,IF(C6&gt;=D6*0.65,3,1))</f>
        <v/>
      </c>
      <c r="F6" s="2" t="inlineStr">
        <is>
          <t>Высокая доля означает рекламное давление</t>
        </is>
      </c>
      <c r="G6" s="2" t="inlineStr">
        <is>
          <t>Вход через рекламу может быть дорогим</t>
        </is>
      </c>
      <c r="H6" s="2" t="inlineStr">
        <is>
          <t>Google Ads, Яндекс Директ, рекламные библиотеки</t>
        </is>
      </c>
      <c r="I6" s="2" t="inlineStr">
        <is>
          <t>Similarweb, Ads libraries</t>
        </is>
      </c>
    </row>
    <row r="7" ht="28.5" customHeight="1">
      <c r="A7" s="2" t="inlineStr">
        <is>
          <t>Социальные сети</t>
        </is>
      </c>
      <c r="B7" s="2" t="inlineStr">
        <is>
          <t>Similarweb: Social</t>
        </is>
      </c>
      <c r="C7" s="9">
        <f>IFERROR(SUMPRODUCT('02_Конкуренты_SW'!$E4 у.е.:$E3 у.е.3,'02_Конкуренты_SW'!$M4 у.е.:$M3 у.е.3)/SUM('02_Конкуренты_SW'!$E4 у.е.:$E3 у.е.3),0)</f>
        <v/>
      </c>
      <c r="D7" s="9" t="n">
        <v>0.2</v>
      </c>
      <c r="E7" s="13">
        <f>IF(C7&gt;=D7,5,IF(C7&gt;=D7*0.65,3,1))</f>
        <v/>
      </c>
      <c r="F7" s="2" t="inlineStr">
        <is>
          <t>Высокая доля означает сильные социальные каналы</t>
        </is>
      </c>
      <c r="G7" s="2" t="inlineStr">
        <is>
          <t>Нужно развивать контент и сообщество</t>
        </is>
      </c>
      <c r="H7" s="2" t="inlineStr">
        <is>
          <t>Meta/TikTok/YouTube/LinkedIn активность</t>
        </is>
      </c>
      <c r="I7" s="2" t="inlineStr">
        <is>
          <t>Similarweb, социальные сети</t>
        </is>
      </c>
    </row>
    <row r="8" ht="28.5" customHeight="1">
      <c r="A8" s="2" t="inlineStr">
        <is>
          <t>Реферальный трафик</t>
        </is>
      </c>
      <c r="B8" s="2" t="inlineStr">
        <is>
          <t>Similarweb: Referrals</t>
        </is>
      </c>
      <c r="C8" s="9">
        <f>IFERROR(SUMPRODUCT('02_Конкуренты_SW'!$E4 у.е.:$E3 у.е.3,'02_Конкуренты_SW'!$N4 у.е.:$N3 у.е.3)/SUM('02_Конкуренты_SW'!$E4 у.е.:$E3 у.е.3),0)</f>
        <v/>
      </c>
      <c r="D8" s="9" t="n">
        <v>0.15</v>
      </c>
      <c r="E8" s="13">
        <f>IF(C8&gt;=D8,5,IF(C8&gt;=D8*0.65,3,1))</f>
        <v/>
      </c>
      <c r="F8" s="2" t="inlineStr">
        <is>
          <t>Высокая доля означает партнерские и медийные связи</t>
        </is>
      </c>
      <c r="G8" s="2" t="inlineStr">
        <is>
          <t>Потребуются партнерства и присутствие в каталогах</t>
        </is>
      </c>
      <c r="H8" s="2" t="inlineStr">
        <is>
          <t>Каталоги, медиа, партнерские сайты</t>
        </is>
      </c>
      <c r="I8" s="2" t="inlineStr">
        <is>
          <t>Similarweb, каталоги</t>
        </is>
      </c>
    </row>
    <row r="9" ht="28.5" customHeight="1">
      <c r="A9" s="2" t="inlineStr">
        <is>
          <t>Медийная реклама</t>
        </is>
      </c>
      <c r="B9" s="2" t="inlineStr">
        <is>
          <t>Similarweb: Display</t>
        </is>
      </c>
      <c r="C9" s="9">
        <f>IFERROR(SUMPRODUCT('02_Конкуренты_SW'!$E4 у.е.:$E3 у.е.3,'02_Конкуренты_SW'!$O4 у.е.:$O3 у.е.3)/SUM('02_Конкуренты_SW'!$E4 у.е.:$E3 у.е.3),0)</f>
        <v/>
      </c>
      <c r="D9" s="9" t="n">
        <v>0.1</v>
      </c>
      <c r="E9" s="13">
        <f>IF(C9&gt;=D9,5,IF(C9&gt;=D9*0.65,3,1))</f>
        <v/>
      </c>
      <c r="F9" s="2" t="inlineStr">
        <is>
          <t>Высокая доля означает платное медийное давление</t>
        </is>
      </c>
      <c r="G9" s="2" t="inlineStr">
        <is>
          <t>Нужны бюджеты на охват и ретаргетинг</t>
        </is>
      </c>
      <c r="H9" s="2" t="inlineStr">
        <is>
          <t>Библиотеки рекламы, креативы, баннеры</t>
        </is>
      </c>
      <c r="I9" s="2" t="inlineStr">
        <is>
          <t>Similarweb, рекламные библиотеки</t>
        </is>
      </c>
    </row>
    <row r="10" ht="28.5" customHeight="1">
      <c r="A10" s="2" t="inlineStr">
        <is>
          <t>Брендовая сила</t>
        </is>
      </c>
      <c r="B10" s="2" t="inlineStr">
        <is>
          <t>Direct + Brand Search</t>
        </is>
      </c>
      <c r="C10" s="9">
        <f>IFERROR(SUMPRODUCT('02_Конкуренты_SW'!$E4 у.е.:$E3 у.е.3,('02_Конкуренты_SW'!$J4 у.е.:$J3 у.е.3+'02_Конкуренты_SW'!$P4 у.е.:$P3 у.е.3))/SUM('02_Конкуренты_SW'!$E4 у.е.:$E3 у.е.3),0)</f>
        <v/>
      </c>
      <c r="D10" s="9">
        <f>'01_Параметры'!B16</f>
        <v/>
      </c>
      <c r="E10" s="13">
        <f>IF(C10&gt;=D10,5,IF(C10&gt;=D10*0.65,3,1))</f>
        <v/>
      </c>
      <c r="F10" s="2" t="inlineStr">
        <is>
          <t>Высокая доля означает устойчивое доверие и узнаваемость</t>
        </is>
      </c>
      <c r="G10" s="2" t="inlineStr">
        <is>
          <t>Новому игроку сложнее перехватить спрос</t>
        </is>
      </c>
      <c r="H10" s="2" t="inlineStr">
        <is>
          <t>Google Trends по брендам, брендовые запросы</t>
        </is>
      </c>
      <c r="I10" s="2" t="inlineStr">
        <is>
          <t>Similarweb, Trends, Wordstat</t>
        </is>
      </c>
    </row>
  </sheetData>
  <mergeCells count="2">
    <mergeCell ref="A1:I1"/>
    <mergeCell ref="A2:I2"/>
  </mergeCells>
  <conditionalFormatting sqref="E4:E1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topLeftCell="A26" workbookViewId="0">
      <selection activeCell="C48" sqref="C48"/>
    </sheetView>
  </sheetViews>
  <sheetFormatPr baseColWidth="8" defaultRowHeight="14.25"/>
  <cols>
    <col width="28" customWidth="1" min="1" max="1"/>
    <col width="18" customWidth="1" min="2" max="2"/>
    <col width="26" customWidth="1" min="3" max="3"/>
    <col width="36" customWidth="1" min="4" max="4"/>
    <col width="14" customWidth="1" min="5" max="5"/>
    <col width="16" customWidth="1" min="6" max="7"/>
    <col width="18" customWidth="1" min="8" max="10"/>
    <col width="16" customWidth="1" min="11" max="12"/>
    <col width="70.5" customWidth="1" min="13" max="13"/>
  </cols>
  <sheetData>
    <row r="1" ht="30" customHeight="1">
      <c r="A1" s="23" t="inlineStr">
        <is>
          <t>Оценка поисковой и рекламной конкуренции</t>
        </is>
      </c>
    </row>
    <row r="2" ht="32.1" customHeight="1">
      <c r="A2" s="24" t="inlineStr">
        <is>
          <t>Вводятся данные из Google/Яндекс, Semrush/Ahrefs, рекламных библиотек и Similarweb</t>
        </is>
      </c>
    </row>
    <row r="3" ht="33.95" customHeight="1">
      <c r="A3" s="1" t="inlineStr">
        <is>
          <t>Запрос / рекламная тема</t>
        </is>
      </c>
      <c r="B3" s="1" t="inlineStr">
        <is>
          <t>Тип намерения</t>
        </is>
      </c>
      <c r="C3" s="1" t="inlineStr">
        <is>
          <t>Источник</t>
        </is>
      </c>
      <c r="D3" s="1" t="inlineStr">
        <is>
          <t>Частотность / спрос</t>
        </is>
      </c>
      <c r="E3" s="1" t="inlineStr">
        <is>
          <t>CPC / цена клика</t>
        </is>
      </c>
      <c r="F3" s="1" t="inlineStr">
        <is>
          <t>Конкурентность PPC 0-1</t>
        </is>
      </c>
      <c r="G3" s="1" t="inlineStr">
        <is>
          <t>SEO difficulty 0-100</t>
        </is>
      </c>
      <c r="H3" s="1" t="inlineStr">
        <is>
          <t>Топ-конкурентов в выдаче</t>
        </is>
      </c>
      <c r="I3" s="1" t="inlineStr">
        <is>
          <t>Активных рекламодателей</t>
        </is>
      </c>
      <c r="J3" s="1" t="inlineStr">
        <is>
          <t>Рекламные объявления</t>
        </is>
      </c>
      <c r="K3" s="1" t="inlineStr">
        <is>
          <t>Индекс давления</t>
        </is>
      </c>
      <c r="L3" s="1" t="inlineStr">
        <is>
          <t>Балльная оценка 1-5</t>
        </is>
      </c>
      <c r="M3" s="1" t="inlineStr">
        <is>
          <t>Комментарий</t>
        </is>
      </c>
    </row>
    <row r="4" ht="71.25" customHeight="1">
      <c r="A4" s="4" t="inlineStr">
        <is>
          <t>uml</t>
        </is>
      </c>
      <c r="B4" s="4" t="inlineStr">
        <is>
          <t>информационный</t>
        </is>
      </c>
      <c r="C4" s="4" t="inlineStr">
        <is>
          <t>Вордстат, Беларусь, все устройства, 29.08.2026-27.09.2026 (снято 30.09.2026)</t>
        </is>
      </c>
      <c r="D4" s="10" t="n">
        <v>652</v>
      </c>
      <c r="E4" s="14" t="n">
        <v>0.3</v>
      </c>
      <c r="F4" s="14" t="n">
        <v>0.15</v>
      </c>
      <c r="G4" s="15" t="n">
        <v>45</v>
      </c>
      <c r="H4" s="4" t="n">
        <v>10</v>
      </c>
      <c r="I4" s="4" t="n">
        <v>2</v>
      </c>
      <c r="J4" s="4" t="n">
        <v>2</v>
      </c>
      <c r="K4" s="9">
        <f>MIN(1,AVERAGE(MIN(E4/2,1),F4,G4/100,MIN(H4/10,1),MIN(J4/50,1)))</f>
        <v/>
      </c>
      <c r="L4" s="16">
        <f>IF(K4&gt;=0.7,5,IF(K4&gt;=0.4,3,1))</f>
        <v/>
      </c>
      <c r="M4" s="2" t="inlineStr">
        <is>
          <t>CPC 0,30 у.е.: оценка по аналогичным IT-запросам в СНГ (ниже мирового ~0 у.е.,80 из-за малого объёма рынка); PPC 0,15: низкая конкурентность в Беларуси; SEO 45: средняя сложность (информационный запрос с учебным контентом); top=10: 10 результатов в выдаче; ads=2: оценка по Google Ads Transparency для ниши</t>
        </is>
      </c>
    </row>
    <row r="5" ht="57" customHeight="1">
      <c r="A5" s="4" t="inlineStr">
        <is>
          <t>bpmn</t>
        </is>
      </c>
      <c r="B5" s="4" t="inlineStr">
        <is>
          <t>информационный</t>
        </is>
      </c>
      <c r="C5" s="4" t="inlineStr">
        <is>
          <t>Вордстат, Беларусь, все устройства, 29.08.2026-27.09.2026 (снято 30.09.2026)</t>
        </is>
      </c>
      <c r="D5" s="10" t="n">
        <v>473</v>
      </c>
      <c r="E5" s="14" t="n">
        <v>0.45</v>
      </c>
      <c r="F5" s="14" t="n">
        <v>0.2</v>
      </c>
      <c r="G5" s="15" t="n">
        <v>38</v>
      </c>
      <c r="H5" s="4" t="n">
        <v>10</v>
      </c>
      <c r="I5" s="4" t="n">
        <v>1</v>
      </c>
      <c r="J5" s="4" t="n">
        <v>1</v>
      </c>
      <c r="K5" s="9">
        <f>MIN(1,AVERAGE(MIN(E5/2,1),F5,G5/100,MIN(H5/10,1),MIN(J5/50,1)))</f>
        <v/>
      </c>
      <c r="L5" s="16">
        <f>IF(K5&gt;=0.7,5,IF(K5&gt;=0.4,3,1))</f>
        <v/>
      </c>
      <c r="M5" s="2" t="inlineStr">
        <is>
          <t>CPC 0,45 у.е.: оценка для нишевого B2B-запроса в СНГ; PPC 0,20; SEO 38: умеренная сложность; top=10; ads=1: единичная реклама в нише</t>
        </is>
      </c>
    </row>
    <row r="6" ht="57" customHeight="1">
      <c r="A6" s="4" t="inlineStr">
        <is>
          <t>plantuml</t>
        </is>
      </c>
      <c r="B6" s="4" t="inlineStr">
        <is>
          <t>брендовый</t>
        </is>
      </c>
      <c r="C6" s="4" t="inlineStr">
        <is>
          <t>Вордстат, Беларусь, все устройства, 29.08.2026-27.09.2026 (снято 30.09.2026)</t>
        </is>
      </c>
      <c r="D6" s="10" t="n">
        <v>200</v>
      </c>
      <c r="E6" s="14" t="n">
        <v>1.24</v>
      </c>
      <c r="F6" s="14" t="n">
        <v>0.1</v>
      </c>
      <c r="G6" s="15" t="n">
        <v>25</v>
      </c>
      <c r="H6" s="4" t="n">
        <v>10</v>
      </c>
      <c r="I6" s="4" t="n">
        <v>0</v>
      </c>
      <c r="J6" s="4" t="n">
        <v>0</v>
      </c>
      <c r="K6" s="9">
        <f>MIN(1,AVERAGE(MIN(E6/2,1),F6,G6/100,MIN(H6/10,1),MIN(J6/50,1)))</f>
        <v/>
      </c>
      <c r="L6" s="16">
        <f>IF(K6&gt;=0.7,5,IF(K6&gt;=0.4,3,1))</f>
        <v/>
      </c>
      <c r="M6" s="2" t="inlineStr">
        <is>
          <t>CPC 1,24 у.е.: Similarweb через ЛР2-3, табл. 26 (весь мир, desktop, 30.09.2026); PPC 0,10: минимальная конкуренция по брендовому запросу; SEO 25: низкая сложность (брендовый); top=10; ads=0: рекламы на брендовый запрос OSS-инструмента нет</t>
        </is>
      </c>
    </row>
    <row r="7" ht="57" customHeight="1">
      <c r="A7" s="4" t="inlineStr">
        <is>
          <t>idef0</t>
        </is>
      </c>
      <c r="B7" s="4" t="inlineStr">
        <is>
          <t>информационный</t>
        </is>
      </c>
      <c r="C7" s="4" t="inlineStr">
        <is>
          <t>Вордстат, Беларусь, все устройства, 29.08.2026-27.09.2026 (снято 30.09.2026)</t>
        </is>
      </c>
      <c r="D7" s="10" t="n">
        <v>101</v>
      </c>
      <c r="E7" s="14" t="n">
        <v>0.25</v>
      </c>
      <c r="F7" s="14" t="n">
        <v>0.05</v>
      </c>
      <c r="G7" s="15" t="n">
        <v>20</v>
      </c>
      <c r="H7" s="4" t="n">
        <v>10</v>
      </c>
      <c r="I7" s="4" t="n">
        <v>0</v>
      </c>
      <c r="J7" s="4" t="n">
        <v>0</v>
      </c>
      <c r="K7" s="9">
        <f>MIN(1,AVERAGE(MIN(E7/2,1),F7,G7/100,MIN(H7/10,1),MIN(J7/50,1)))</f>
        <v/>
      </c>
      <c r="L7" s="16">
        <f>IF(K7&gt;=0.7,5,IF(K7&gt;=0.4,3,1))</f>
        <v/>
      </c>
      <c r="M7" s="2" t="inlineStr">
        <is>
          <t>CPC 0,25 у.е.: оценка для узкоспециального инженерного запроса; PPC 0,05: практически нет рекламодателей; SEO 20: низкая сложность; top=10; ads=0: реклама отсутствует</t>
        </is>
      </c>
    </row>
    <row r="8" ht="57" customHeight="1">
      <c r="A8" s="4" t="inlineStr">
        <is>
          <t>dfd диаграмма</t>
        </is>
      </c>
      <c r="B8" s="4" t="inlineStr">
        <is>
          <t>информационный</t>
        </is>
      </c>
      <c r="C8" s="4" t="inlineStr">
        <is>
          <t>Вордстат, Беларусь, все устройства, 29.08.2026-27.09.2026 (снято 30.09.2026)</t>
        </is>
      </c>
      <c r="D8" s="10" t="n">
        <v>28</v>
      </c>
      <c r="E8" s="14" t="n">
        <v>0.35</v>
      </c>
      <c r="F8" s="14" t="n">
        <v>0.12</v>
      </c>
      <c r="G8" s="15" t="n">
        <v>30</v>
      </c>
      <c r="H8" s="4" t="n">
        <v>10</v>
      </c>
      <c r="I8" s="4" t="n">
        <v>1</v>
      </c>
      <c r="J8" s="4" t="n">
        <v>1</v>
      </c>
      <c r="K8" s="9">
        <f>MIN(1,AVERAGE(MIN(E8/2,1),F8,G8/100,MIN(H8/10,1),MIN(J8/50,1)))</f>
        <v/>
      </c>
      <c r="L8" s="16">
        <f>IF(K8&gt;=0.7,5,IF(K8&gt;=0.4,3,1))</f>
        <v/>
      </c>
      <c r="M8" s="2" t="inlineStr">
        <is>
          <t>CPC 0,35 у.е.: оценка; PPC 0,12; SEO 30: умеренная; top=10; ads=1</t>
        </is>
      </c>
    </row>
    <row r="9" ht="57" customHeight="1">
      <c r="A9" s="4" t="inlineStr">
        <is>
          <t>erd диаграмма</t>
        </is>
      </c>
      <c r="B9" s="4" t="inlineStr">
        <is>
          <t>информационный</t>
        </is>
      </c>
      <c r="C9" s="4" t="inlineStr">
        <is>
          <t>Вордстат, Беларусь, все устройства, 29.08.2026-27.09.2026 (снято 30.09.2026)</t>
        </is>
      </c>
      <c r="D9" s="10" t="n">
        <v>25</v>
      </c>
      <c r="E9" s="14" t="n">
        <v>0.35</v>
      </c>
      <c r="F9" s="14" t="n">
        <v>0.12</v>
      </c>
      <c r="G9" s="15" t="n">
        <v>35</v>
      </c>
      <c r="H9" s="4" t="n">
        <v>10</v>
      </c>
      <c r="I9" s="4" t="n">
        <v>1</v>
      </c>
      <c r="J9" s="4" t="n">
        <v>1</v>
      </c>
      <c r="K9" s="9">
        <f>MIN(1,AVERAGE(MIN(E9/2,1),F9,G9/100,MIN(H9/10,1),MIN(J9/50,1)))</f>
        <v/>
      </c>
      <c r="L9" s="16">
        <f>IF(K9&gt;=0.7,5,IF(K9&gt;=0.4,3,1))</f>
        <v/>
      </c>
      <c r="M9" s="2" t="inlineStr">
        <is>
          <t>CPC 0,35 у.е.: оценка; PPC 0,12; SEO 35; top=10; ads=1</t>
        </is>
      </c>
    </row>
    <row r="10" ht="57" customHeight="1">
      <c r="A10" s="4" t="inlineStr">
        <is>
          <t>сеть петри</t>
        </is>
      </c>
      <c r="B10" s="4" t="inlineStr">
        <is>
          <t>информационный</t>
        </is>
      </c>
      <c r="C10" s="4" t="inlineStr">
        <is>
          <t>Вордстат, Беларусь, все устройства, 29.08.2026-27.09.2026 (снято 30.09.2026)</t>
        </is>
      </c>
      <c r="D10" s="10" t="n">
        <v>16</v>
      </c>
      <c r="E10" s="14" t="n">
        <v>0.2</v>
      </c>
      <c r="F10" s="14" t="n">
        <v>0.05</v>
      </c>
      <c r="G10" s="15" t="n">
        <v>15</v>
      </c>
      <c r="H10" s="4" t="n">
        <v>10</v>
      </c>
      <c r="I10" s="4" t="n">
        <v>0</v>
      </c>
      <c r="J10" s="4" t="n">
        <v>0</v>
      </c>
      <c r="K10" s="9">
        <f>MIN(1,AVERAGE(MIN(E10/2,1),F10,G10/100,MIN(H10/10,1),MIN(J10/50,1)))</f>
        <v/>
      </c>
      <c r="L10" s="16">
        <f>IF(K10&gt;=0.7,5,IF(K10&gt;=0.4,3,1))</f>
        <v/>
      </c>
      <c r="M10" s="2" t="inlineStr">
        <is>
          <t>CPC 0,20 у.е.: оценка для очень узкого академического запроса; PPC 0,05; SEO 15: низкая сложность; top=10; ads=0</t>
        </is>
      </c>
    </row>
    <row r="11" ht="57" customHeight="1">
      <c r="A11" s="4" t="inlineStr">
        <is>
          <t>конструктор диаграмм онлайн</t>
        </is>
      </c>
      <c r="B11" s="4" t="inlineStr">
        <is>
          <t>инструментальный</t>
        </is>
      </c>
      <c r="C11" s="4" t="inlineStr">
        <is>
          <t>Вордстат, Беларусь, все устройства, 29.08.2026-27.09.2026 (снято 30.09.2026)</t>
        </is>
      </c>
      <c r="D11" s="10" t="n">
        <v>6</v>
      </c>
      <c r="E11" s="14" t="n">
        <v>1.2</v>
      </c>
      <c r="F11" s="14" t="n">
        <v>0.35</v>
      </c>
      <c r="G11" s="15" t="n">
        <v>42</v>
      </c>
      <c r="H11" s="4" t="n">
        <v>10</v>
      </c>
      <c r="I11" s="4" t="n">
        <v>3</v>
      </c>
      <c r="J11" s="4" t="n">
        <v>3</v>
      </c>
      <c r="K11" s="9">
        <f>MIN(1,AVERAGE(MIN(E11/2,1),F11,G11/100,MIN(H11/10,1),MIN(J11/50,1)))</f>
        <v/>
      </c>
      <c r="L11" s="16">
        <f>IF(K11&gt;=0.7,5,IF(K11&gt;=0.4,3,1))</f>
        <v/>
      </c>
      <c r="M11" s="2" t="inlineStr">
        <is>
          <t>CPC 1,20 у.е.: коммерческий инструментальный запрос, высокое намерение к покупке; PPC 0,35: умеренная конкуренция; SEO 42; top=10; ads=3: Lucidchart, Miro, Creately</t>
        </is>
      </c>
    </row>
    <row r="12" ht="57" customHeight="1">
      <c r="A12" s="4" t="inlineStr">
        <is>
          <t>нейросеть схема</t>
        </is>
      </c>
      <c r="B12" s="4" t="inlineStr">
        <is>
          <t>инструментальный</t>
        </is>
      </c>
      <c r="C12" s="4" t="inlineStr">
        <is>
          <t>Вордстат, Беларусь, все устройства, 29.08.2026-27.09.2026 (снято 30.09.2026)</t>
        </is>
      </c>
      <c r="D12" s="10" t="n">
        <v>81</v>
      </c>
      <c r="E12" s="14" t="n">
        <v>0.3</v>
      </c>
      <c r="F12" s="14" t="n">
        <v>0.15</v>
      </c>
      <c r="G12" s="15" t="n">
        <v>28</v>
      </c>
      <c r="H12" s="4" t="n">
        <v>10</v>
      </c>
      <c r="I12" s="4" t="n">
        <v>1</v>
      </c>
      <c r="J12" s="4" t="n">
        <v>1</v>
      </c>
      <c r="K12" s="9">
        <f>MIN(1,AVERAGE(MIN(E12/2,1),F12,G12/100,MIN(H12/10,1),MIN(J12/50,1)))</f>
        <v/>
      </c>
      <c r="L12" s="16">
        <f>IF(K12&gt;=0.7,5,IF(K12&gt;=0.4,3,1))</f>
        <v/>
      </c>
      <c r="M12" s="2" t="inlineStr">
        <is>
          <t>CPC 0,30 у.е.: оценка (AI-запрос, рынок в росте); PPC 0,15; SEO 28; top=10; ads=1</t>
        </is>
      </c>
    </row>
    <row r="13" ht="57" customHeight="1">
      <c r="A13" s="4" t="inlineStr">
        <is>
          <t>нейросеть диаграмма</t>
        </is>
      </c>
      <c r="B13" s="4" t="inlineStr">
        <is>
          <t>инструментальный</t>
        </is>
      </c>
      <c r="C13" s="4" t="inlineStr">
        <is>
          <t>Вордстат, Беларусь, все устройства, 29.08.2026-27.09.2026 (снято 30.09.2026)</t>
        </is>
      </c>
      <c r="D13" s="10" t="n">
        <v>28</v>
      </c>
      <c r="E13" s="14" t="n">
        <v>0.3</v>
      </c>
      <c r="F13" s="14" t="n">
        <v>0.15</v>
      </c>
      <c r="G13" s="15" t="n">
        <v>28</v>
      </c>
      <c r="H13" s="4" t="n">
        <v>10</v>
      </c>
      <c r="I13" s="4" t="n">
        <v>1</v>
      </c>
      <c r="J13" s="4" t="n">
        <v>1</v>
      </c>
      <c r="K13" s="9">
        <f>MIN(1,AVERAGE(MIN(E13/2,1),F13,G13/100,MIN(H13/10,1),MIN(J13/50,1)))</f>
        <v/>
      </c>
      <c r="L13" s="16">
        <f>IF(K13&gt;=0.7,5,IF(K13&gt;=0.4,3,1))</f>
        <v/>
      </c>
      <c r="M13" s="2" t="inlineStr">
        <is>
          <t>CPC 0,30 у.е.: оценка; PPC 0,15; SEO 28; top=10; ads=1</t>
        </is>
      </c>
    </row>
    <row r="14">
      <c r="A14" s="4" t="n"/>
      <c r="B14" s="4" t="n"/>
      <c r="C14" s="4" t="n"/>
      <c r="D14" s="10" t="n"/>
      <c r="E14" s="14" t="n"/>
      <c r="F14" s="14" t="n"/>
      <c r="G14" s="15" t="n"/>
      <c r="H14" s="4" t="n"/>
      <c r="I14" s="4" t="n"/>
      <c r="J14" s="4" t="n"/>
      <c r="K14" s="9" t="n"/>
      <c r="L14" s="16" t="n"/>
      <c r="M14" s="2" t="n"/>
    </row>
    <row r="15">
      <c r="A15" s="4" t="n"/>
      <c r="B15" s="4" t="n"/>
      <c r="C15" s="4" t="n"/>
      <c r="D15" s="10" t="n"/>
      <c r="E15" s="14" t="n"/>
      <c r="F15" s="14" t="n"/>
      <c r="G15" s="15" t="n"/>
      <c r="H15" s="4" t="n"/>
      <c r="I15" s="4" t="n"/>
      <c r="J15" s="4" t="n"/>
      <c r="K15" s="9" t="n"/>
      <c r="L15" s="16" t="n"/>
      <c r="M15" s="2" t="n"/>
    </row>
    <row r="16">
      <c r="A16" s="4" t="n"/>
      <c r="B16" s="4" t="n"/>
      <c r="C16" s="4" t="n"/>
      <c r="D16" s="10" t="n"/>
      <c r="E16" s="14" t="n"/>
      <c r="F16" s="14" t="n"/>
      <c r="G16" s="15" t="n"/>
      <c r="H16" s="4" t="n"/>
      <c r="I16" s="4" t="n"/>
      <c r="J16" s="4" t="n"/>
      <c r="K16" s="9" t="n"/>
      <c r="L16" s="16" t="n"/>
      <c r="M16" s="2" t="n"/>
    </row>
    <row r="17">
      <c r="A17" s="4" t="n"/>
      <c r="B17" s="4" t="n"/>
      <c r="C17" s="4" t="n"/>
      <c r="D17" s="10" t="n"/>
      <c r="E17" s="14" t="n"/>
      <c r="F17" s="14" t="n"/>
      <c r="G17" s="15" t="n"/>
      <c r="H17" s="4" t="n"/>
      <c r="I17" s="4" t="n"/>
      <c r="J17" s="4" t="n"/>
      <c r="K17" s="9" t="n"/>
      <c r="L17" s="16" t="n"/>
      <c r="M17" s="2" t="n"/>
    </row>
    <row r="18">
      <c r="A18" s="4" t="n"/>
      <c r="B18" s="4" t="n"/>
      <c r="C18" s="4" t="n"/>
      <c r="D18" s="10" t="n"/>
      <c r="E18" s="14" t="n"/>
      <c r="F18" s="14" t="n"/>
      <c r="G18" s="15" t="n"/>
      <c r="H18" s="4" t="n"/>
      <c r="I18" s="4" t="n"/>
      <c r="J18" s="4" t="n"/>
      <c r="K18" s="9" t="n"/>
      <c r="L18" s="16" t="n"/>
      <c r="M18" s="2" t="n"/>
    </row>
    <row r="19">
      <c r="A19" s="4" t="n"/>
      <c r="B19" s="4" t="n"/>
      <c r="C19" s="4" t="n"/>
      <c r="D19" s="10" t="n"/>
      <c r="E19" s="14" t="n"/>
      <c r="F19" s="14" t="n"/>
      <c r="G19" s="15" t="n"/>
      <c r="H19" s="4" t="n"/>
      <c r="I19" s="4" t="n"/>
      <c r="J19" s="4" t="n"/>
      <c r="K19" s="9" t="n"/>
      <c r="L19" s="16" t="n"/>
      <c r="M19" s="2" t="n"/>
    </row>
    <row r="20">
      <c r="A20" s="4" t="n"/>
      <c r="B20" s="4" t="n"/>
      <c r="C20" s="4" t="n"/>
      <c r="D20" s="10" t="n"/>
      <c r="E20" s="14" t="n"/>
      <c r="F20" s="14" t="n"/>
      <c r="G20" s="15" t="n"/>
      <c r="H20" s="4" t="n"/>
      <c r="I20" s="4" t="n"/>
      <c r="J20" s="4" t="n"/>
      <c r="K20" s="9" t="n"/>
      <c r="L20" s="16" t="n"/>
      <c r="M20" s="2" t="n"/>
    </row>
    <row r="21">
      <c r="A21" s="4" t="n"/>
      <c r="B21" s="4" t="n"/>
      <c r="C21" s="4" t="n"/>
      <c r="D21" s="10" t="n"/>
      <c r="E21" s="14" t="n"/>
      <c r="F21" s="14" t="n"/>
      <c r="G21" s="15" t="n"/>
      <c r="H21" s="4" t="n"/>
      <c r="I21" s="4" t="n"/>
      <c r="J21" s="4" t="n"/>
      <c r="K21" s="9" t="n"/>
      <c r="L21" s="16" t="n"/>
      <c r="M21" s="2" t="n"/>
    </row>
    <row r="22">
      <c r="A22" s="4" t="n"/>
      <c r="B22" s="4" t="n"/>
      <c r="C22" s="4" t="n"/>
      <c r="D22" s="10" t="n"/>
      <c r="E22" s="14" t="n"/>
      <c r="F22" s="14" t="n"/>
      <c r="G22" s="15" t="n"/>
      <c r="H22" s="4" t="n"/>
      <c r="I22" s="4" t="n"/>
      <c r="J22" s="4" t="n"/>
      <c r="K22" s="9" t="n"/>
      <c r="L22" s="16" t="n"/>
      <c r="M22" s="2" t="n"/>
    </row>
    <row r="23">
      <c r="A23" s="4" t="n"/>
      <c r="B23" s="4" t="n"/>
      <c r="C23" s="4" t="n"/>
      <c r="D23" s="10" t="n"/>
      <c r="E23" s="14" t="n"/>
      <c r="F23" s="14" t="n"/>
      <c r="G23" s="15" t="n"/>
      <c r="H23" s="4" t="n"/>
      <c r="I23" s="4" t="n"/>
      <c r="J23" s="4" t="n"/>
      <c r="K23" s="9" t="n"/>
      <c r="L23" s="16" t="n"/>
      <c r="M23" s="2" t="n"/>
    </row>
    <row r="24">
      <c r="A24" s="4" t="n"/>
      <c r="B24" s="4" t="n"/>
      <c r="C24" s="4" t="n"/>
      <c r="D24" s="10" t="n"/>
      <c r="E24" s="14" t="n"/>
      <c r="F24" s="14" t="n"/>
      <c r="G24" s="15" t="n"/>
      <c r="H24" s="4" t="n"/>
      <c r="I24" s="4" t="n"/>
      <c r="J24" s="4" t="n"/>
      <c r="K24" s="9" t="n"/>
      <c r="L24" s="16" t="n"/>
      <c r="M24" s="2" t="n"/>
    </row>
    <row r="25">
      <c r="A25" s="4" t="n"/>
      <c r="B25" s="4" t="n"/>
      <c r="C25" s="4" t="n"/>
      <c r="D25" s="10" t="n"/>
      <c r="E25" s="14" t="n"/>
      <c r="F25" s="14" t="n"/>
      <c r="G25" s="15" t="n"/>
      <c r="H25" s="4" t="n"/>
      <c r="I25" s="4" t="n"/>
      <c r="J25" s="4" t="n"/>
      <c r="K25" s="9" t="n"/>
      <c r="L25" s="16" t="n"/>
      <c r="M25" s="2" t="n"/>
    </row>
    <row r="26">
      <c r="A26" s="4" t="n"/>
      <c r="B26" s="4" t="n"/>
      <c r="C26" s="4" t="n"/>
      <c r="D26" s="10" t="n"/>
      <c r="E26" s="14" t="n"/>
      <c r="F26" s="14" t="n"/>
      <c r="G26" s="15" t="n"/>
      <c r="H26" s="4" t="n"/>
      <c r="I26" s="4" t="n"/>
      <c r="J26" s="4" t="n"/>
      <c r="K26" s="9" t="n"/>
      <c r="L26" s="16" t="n"/>
      <c r="M26" s="2" t="n"/>
    </row>
    <row r="27">
      <c r="A27" s="4" t="n"/>
      <c r="B27" s="4" t="n"/>
      <c r="C27" s="4" t="n"/>
      <c r="D27" s="10" t="n"/>
      <c r="E27" s="14" t="n"/>
      <c r="F27" s="14" t="n"/>
      <c r="G27" s="15" t="n"/>
      <c r="H27" s="4" t="n"/>
      <c r="I27" s="4" t="n"/>
      <c r="J27" s="4" t="n"/>
      <c r="K27" s="9" t="n"/>
      <c r="L27" s="16" t="n"/>
      <c r="M27" s="2" t="n"/>
    </row>
    <row r="28">
      <c r="A28" s="4" t="n"/>
      <c r="B28" s="4" t="n"/>
      <c r="C28" s="4" t="n"/>
      <c r="D28" s="10" t="n"/>
      <c r="E28" s="14" t="n"/>
      <c r="F28" s="14" t="n"/>
      <c r="G28" s="15" t="n"/>
      <c r="H28" s="4" t="n"/>
      <c r="I28" s="4" t="n"/>
      <c r="J28" s="4" t="n"/>
      <c r="K28" s="9" t="n"/>
      <c r="L28" s="16" t="n"/>
      <c r="M28" s="2" t="n"/>
    </row>
    <row r="29">
      <c r="A29" s="4" t="n"/>
      <c r="B29" s="4" t="n"/>
      <c r="C29" s="4" t="n"/>
      <c r="D29" s="10" t="n"/>
      <c r="E29" s="14" t="n"/>
      <c r="F29" s="14" t="n"/>
      <c r="G29" s="15" t="n"/>
      <c r="H29" s="4" t="n"/>
      <c r="I29" s="4" t="n"/>
      <c r="J29" s="4" t="n"/>
      <c r="K29" s="9" t="n"/>
      <c r="L29" s="16" t="n"/>
      <c r="M29" s="2" t="n"/>
    </row>
    <row r="30">
      <c r="A30" s="4" t="n"/>
      <c r="B30" s="4" t="n"/>
      <c r="C30" s="4" t="n"/>
      <c r="D30" s="10" t="n"/>
      <c r="E30" s="14" t="n"/>
      <c r="F30" s="14" t="n"/>
      <c r="G30" s="15" t="n"/>
      <c r="H30" s="4" t="n"/>
      <c r="I30" s="4" t="n"/>
      <c r="J30" s="4" t="n"/>
      <c r="K30" s="9" t="n"/>
      <c r="L30" s="16" t="n"/>
      <c r="M30" s="2" t="n"/>
    </row>
    <row r="31">
      <c r="A31" s="4" t="n"/>
      <c r="B31" s="4" t="n"/>
      <c r="C31" s="4" t="n"/>
      <c r="D31" s="10" t="n"/>
      <c r="E31" s="14" t="n"/>
      <c r="F31" s="14" t="n"/>
      <c r="G31" s="15" t="n"/>
      <c r="H31" s="4" t="n"/>
      <c r="I31" s="4" t="n"/>
      <c r="J31" s="4" t="n"/>
      <c r="K31" s="9" t="n"/>
      <c r="L31" s="16" t="n"/>
      <c r="M31" s="2" t="n"/>
    </row>
    <row r="32">
      <c r="A32" s="4" t="n"/>
      <c r="B32" s="4" t="n"/>
      <c r="C32" s="4" t="n"/>
      <c r="D32" s="10" t="n"/>
      <c r="E32" s="14" t="n"/>
      <c r="F32" s="14" t="n"/>
      <c r="G32" s="15" t="n"/>
      <c r="H32" s="4" t="n"/>
      <c r="I32" s="4" t="n"/>
      <c r="J32" s="4" t="n"/>
      <c r="K32" s="9" t="n"/>
      <c r="L32" s="16" t="n"/>
      <c r="M32" s="2" t="n"/>
    </row>
    <row r="33">
      <c r="A33" s="4" t="n"/>
      <c r="B33" s="4" t="n"/>
      <c r="C33" s="4" t="n"/>
      <c r="D33" s="10" t="n"/>
      <c r="E33" s="14" t="n"/>
      <c r="F33" s="14" t="n"/>
      <c r="G33" s="15" t="n"/>
      <c r="H33" s="4" t="n"/>
      <c r="I33" s="4" t="n"/>
      <c r="J33" s="4" t="n"/>
      <c r="K33" s="9" t="n"/>
      <c r="L33" s="16" t="n"/>
      <c r="M33" s="2" t="n"/>
    </row>
    <row r="36" ht="33.95" customHeight="1">
      <c r="A36" s="1" t="inlineStr">
        <is>
          <t>Сводный показатель</t>
        </is>
      </c>
      <c r="B36" s="1" t="inlineStr">
        <is>
          <t>Значение</t>
        </is>
      </c>
      <c r="C36" s="1" t="inlineStr">
        <is>
          <t>Оценка</t>
        </is>
      </c>
      <c r="D36" s="1" t="inlineStr">
        <is>
          <t>Интерпретация</t>
        </is>
      </c>
    </row>
    <row r="37" ht="42.75" customHeight="1">
      <c r="A37" s="28" t="inlineStr">
        <is>
          <t>Средний индекс поисково-рекламного давления</t>
        </is>
      </c>
      <c r="B37" s="8">
        <f>AVERAGE(K4:K33)</f>
        <v/>
      </c>
      <c r="C37" s="28">
        <f>IF(B37&gt;=0.7,"высокое",IF(B37&gt;=0.4,"среднее","низкое"))</f>
        <v/>
      </c>
      <c r="D37" s="28" t="inlineStr">
        <is>
          <t>Учитывает CPC, PPC-конкурентность, SEO difficulty, число конкурентов и рекламных объявлений</t>
        </is>
      </c>
    </row>
    <row r="38" ht="28.5" customHeight="1">
      <c r="A38" s="28" t="inlineStr">
        <is>
          <t>Доля высококонкурентных запросов</t>
        </is>
      </c>
      <c r="B38" s="8">
        <f>COUNTIF(L4:L33,5)/COUNT(L4:L33)</f>
        <v/>
      </c>
      <c r="C38" s="28">
        <f>IF(B38&gt;=0.5,"высокая доля",IF(B38&gt;=0.25,"средняя доля","низкая доля"))</f>
        <v/>
      </c>
      <c r="D38" s="28" t="inlineStr">
        <is>
          <t>Доля запросов с баллом 5</t>
        </is>
      </c>
    </row>
    <row r="39" ht="42.75" customHeight="1">
      <c r="A39" s="28" t="inlineStr">
        <is>
          <t>Вывод</t>
        </is>
      </c>
      <c r="B39" s="28" t="n"/>
      <c r="C39" s="28" t="n"/>
      <c r="D39" s="28" t="inlineStr">
        <is>
          <t>Если оба показателя высокие, вход через поиск и рекламу требует существенного бюджета</t>
        </is>
      </c>
    </row>
  </sheetData>
  <mergeCells count="2">
    <mergeCell ref="A2:M2"/>
    <mergeCell ref="A1:M1"/>
  </mergeCells>
  <conditionalFormatting sqref="L4:L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sqref="B4:B33" showDropDown="0" showInputMessage="0" showErrorMessage="0" allowBlank="0" type="list">
      <formula1>"информационный,проблемный,коммерческий,инструментальный,брендовый,региональный"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topLeftCell="A22" workbookViewId="0">
      <selection activeCell="A37" sqref="A37:D38"/>
    </sheetView>
  </sheetViews>
  <sheetFormatPr baseColWidth="8" defaultRowHeight="14.25"/>
  <cols>
    <col width="24" customWidth="1" min="1" max="1"/>
    <col width="12" customWidth="1" min="2" max="3"/>
    <col width="38.875" customWidth="1" min="4" max="4"/>
    <col width="14" customWidth="1" min="5" max="9"/>
    <col width="12" customWidth="1" min="10" max="10"/>
    <col width="14" customWidth="1" min="11" max="11"/>
    <col width="16" customWidth="1" min="12" max="13"/>
    <col width="28" customWidth="1" min="14" max="14"/>
  </cols>
  <sheetData>
    <row r="1" ht="30" customHeight="1">
      <c r="A1" s="23" t="inlineStr">
        <is>
          <t>Оценка репутационных барьеров: отзывы, рейтинги, кейсы</t>
        </is>
      </c>
    </row>
    <row r="2" ht="32.1" customHeight="1">
      <c r="A2" s="24" t="inlineStr">
        <is>
          <t>Заполняется по G2, Capterra, Trustpilot, Google Maps, App Store, Google Play, маркетплейсам и сайтам конкурентов</t>
        </is>
      </c>
    </row>
    <row r="3" ht="33.95" customHeight="1">
      <c r="A3" s="1" t="inlineStr">
        <is>
          <t>Конкурент</t>
        </is>
      </c>
      <c r="B3" s="1" t="inlineStr">
        <is>
          <t>G2 рейтинг</t>
        </is>
      </c>
      <c r="C3" s="1" t="inlineStr">
        <is>
          <t>G2 отзывы</t>
        </is>
      </c>
      <c r="D3" s="1" t="inlineStr">
        <is>
          <t>Capterra рейтинг</t>
        </is>
      </c>
      <c r="E3" s="1" t="inlineStr">
        <is>
          <t>Capterra отзывы</t>
        </is>
      </c>
      <c r="F3" s="1" t="inlineStr">
        <is>
          <t>Trustpilot рейтинг</t>
        </is>
      </c>
      <c r="G3" s="1" t="inlineStr">
        <is>
          <t>Trustpilot отзывы</t>
        </is>
      </c>
      <c r="H3" s="1" t="inlineStr">
        <is>
          <t>Google рейтинг</t>
        </is>
      </c>
      <c r="I3" s="1" t="inlineStr">
        <is>
          <t>Google отзывы</t>
        </is>
      </c>
      <c r="J3" s="1" t="inlineStr">
        <is>
          <t>Кейсы на сайте</t>
        </is>
      </c>
      <c r="K3" s="1" t="inlineStr">
        <is>
          <t>Возраст бренда, лет</t>
        </is>
      </c>
      <c r="L3" s="1" t="inlineStr">
        <is>
          <t>Индекс доверия</t>
        </is>
      </c>
      <c r="M3" s="1" t="inlineStr">
        <is>
          <t>Балльная оценка 1-5</t>
        </is>
      </c>
      <c r="N3" s="1" t="inlineStr">
        <is>
          <t>Комментарий</t>
        </is>
      </c>
    </row>
    <row r="4" ht="85.5" customHeight="1">
      <c r="A4" s="4" t="inlineStr">
        <is>
          <t>plantuml.com</t>
        </is>
      </c>
      <c r="B4" s="17" t="n"/>
      <c r="C4" s="10" t="n"/>
      <c r="D4" s="4" t="n"/>
      <c r="E4" s="4" t="n"/>
      <c r="F4" s="4" t="n"/>
      <c r="G4" s="4" t="n"/>
      <c r="H4" s="4" t="n"/>
      <c r="I4" s="4" t="n"/>
      <c r="J4" s="4" t="n">
        <v>0</v>
      </c>
      <c r="K4" s="4" t="n">
        <v>15.8</v>
      </c>
      <c r="L4" s="9">
        <f>MIN(1,AVERAGE(IFERROR(AVERAGE(B4,D4,F4,H4)/5,0),MIN((C4+E4+G4+I4)/300,1),MIN(J4/30,1),MIN(K4/10,1)))</f>
        <v/>
      </c>
      <c r="M4" s="16">
        <f>IF(L4&gt;=0.7,5,IF(L4&gt;=0.4,3,1))</f>
        <v/>
      </c>
      <c r="N4" s="2" t="inlineStr">
        <is>
          <t>возраст: домен по RDAP; G2: профиль не найден; Trustpilot: профиль не найден; кейсы: OSS-проект, публичных историй нет; Capterra: переход отклонён</t>
        </is>
      </c>
    </row>
    <row r="5" ht="114" customHeight="1">
      <c r="A5" s="4" t="inlineStr">
        <is>
          <t>mermaid.js.org</t>
        </is>
      </c>
      <c r="B5" s="17" t="n"/>
      <c r="C5" s="10" t="n"/>
      <c r="D5" s="4" t="n"/>
      <c r="E5" s="4" t="n"/>
      <c r="F5" s="4" t="n"/>
      <c r="G5" s="4" t="n"/>
      <c r="H5" s="4" t="n"/>
      <c r="I5" s="4" t="n"/>
      <c r="J5" s="4" t="n">
        <v>0</v>
      </c>
      <c r="K5" s="4" t="n">
        <v>11.9</v>
      </c>
      <c r="L5" s="9">
        <f>MIN(1,AVERAGE(IFERROR(AVERAGE(B5,D5,F5,H5)/5,0),MIN((C5+E5+G5+I5)/300,1),MIN(J5/30,1),MIN(K5/10,1)))</f>
        <v/>
      </c>
      <c r="M5" s="16">
        <f>IF(L5&gt;=0.7,5,IF(L5&gt;=0.4,3,1))</f>
        <v/>
      </c>
      <c r="N5" s="2" t="inlineStr">
        <is>
          <t>возраст: дата создания репозитория mermaid-js/mermaid (GitHub); G2: профиль не найден; Trustpilot: профиль не найден; кейсы: OSS-библиотека, историй нет; Capterra: переход отклонён</t>
        </is>
      </c>
    </row>
    <row r="6" ht="85.5" customHeight="1">
      <c r="A6" s="4" t="inlineStr">
        <is>
          <t>mermaidchart.com</t>
        </is>
      </c>
      <c r="B6" s="17" t="n">
        <v>4.8</v>
      </c>
      <c r="C6" s="10" t="n">
        <v>16</v>
      </c>
      <c r="D6" s="4" t="n"/>
      <c r="E6" s="4" t="n"/>
      <c r="F6" s="4" t="n">
        <v>3.5</v>
      </c>
      <c r="G6" s="4" t="n">
        <v>3</v>
      </c>
      <c r="H6" s="4" t="n"/>
      <c r="I6" s="4" t="n"/>
      <c r="J6" s="4" t="n">
        <v>2</v>
      </c>
      <c r="K6" s="4" t="n">
        <v>4.3</v>
      </c>
      <c r="L6" s="9">
        <f>MIN(1,AVERAGE(IFERROR(AVERAGE(B6,D6,F6,H6)/5,0),MIN((C6+E6+G6+I6)/300,1),MIN(J6/30,1),MIN(K6/10,1)))</f>
        <v/>
      </c>
      <c r="M6" s="16">
        <f>IF(L6&gt;=0.7,5,IF(L6&gt;=0.4,3,1))</f>
        <v/>
      </c>
      <c r="N6" s="2" t="inlineStr">
        <is>
          <t>возраст: домен по RDAP; G2: 4,8 / 16 отзывов 03.10.2026; Trustpilot: 3,5 / 3 отзыва; кейсы: 2 истории на сайте 03.10.2026; Capterra: переход отклонён</t>
        </is>
      </c>
    </row>
    <row r="7" ht="71.25" customHeight="1">
      <c r="A7" s="4" t="inlineStr">
        <is>
          <t>d2lang.com</t>
        </is>
      </c>
      <c r="B7" s="17" t="n"/>
      <c r="C7" s="10" t="n"/>
      <c r="D7" s="4" t="n"/>
      <c r="E7" s="4" t="n"/>
      <c r="F7" s="4" t="n"/>
      <c r="G7" s="4" t="n"/>
      <c r="H7" s="4" t="n"/>
      <c r="I7" s="4" t="n"/>
      <c r="J7" s="4" t="n">
        <v>1</v>
      </c>
      <c r="K7" s="4" t="n">
        <v>3.9</v>
      </c>
      <c r="L7" s="9">
        <f>MIN(1,AVERAGE(IFERROR(AVERAGE(B7,D7,F7,H7)/5,0),MIN((C7+E7+G7+I7)/300,1),MIN(J7/30,1),MIN(K7/10,1)))</f>
        <v/>
      </c>
      <c r="M7" s="16">
        <f>IF(L7&gt;=0.7,5,IF(L7&gt;=0.4,3,1))</f>
        <v/>
      </c>
      <c r="N7" s="2" t="inlineStr">
        <is>
          <t>возраст: домен по RDAP; G2: профиль не найден; Trustpilot: профиль не найден; кейсы: 1 история в документации; Capterra: переход отклонён</t>
        </is>
      </c>
    </row>
    <row r="8" ht="71.25" customHeight="1">
      <c r="A8" s="4" t="inlineStr">
        <is>
          <t>kroki.io</t>
        </is>
      </c>
      <c r="B8" s="17" t="n"/>
      <c r="C8" s="10" t="n"/>
      <c r="D8" s="4" t="n"/>
      <c r="E8" s="4" t="n"/>
      <c r="F8" s="4" t="n"/>
      <c r="G8" s="4" t="n"/>
      <c r="H8" s="4" t="n"/>
      <c r="I8" s="4" t="n"/>
      <c r="J8" s="4" t="n">
        <v>0</v>
      </c>
      <c r="K8" s="4" t="n">
        <v>7.7</v>
      </c>
      <c r="L8" s="9">
        <f>MIN(1,AVERAGE(IFERROR(AVERAGE(B8,D8,F8,H8)/5,0),MIN((C8+E8+G8+I8)/300,1),MIN(J8/30,1),MIN(K8/10,1)))</f>
        <v/>
      </c>
      <c r="M8" s="16">
        <f>IF(L8&gt;=0.7,5,IF(L8&gt;=0.4,3,1))</f>
        <v/>
      </c>
      <c r="N8" s="2" t="inlineStr">
        <is>
          <t>возраст: домен по RDAP; G2: профиль не найден; Trustpilot: профиль не найден; кейсы: нет публичных историй; Capterra: переход отклонён</t>
        </is>
      </c>
    </row>
    <row r="9" ht="71.25" customHeight="1">
      <c r="A9" s="4" t="inlineStr">
        <is>
          <t>planttext.com</t>
        </is>
      </c>
      <c r="B9" s="17" t="n"/>
      <c r="C9" s="10" t="n"/>
      <c r="D9" s="4" t="n"/>
      <c r="E9" s="4" t="n"/>
      <c r="F9" s="4" t="n"/>
      <c r="G9" s="4" t="n"/>
      <c r="H9" s="4" t="n"/>
      <c r="I9" s="4" t="n"/>
      <c r="J9" s="4" t="n">
        <v>0</v>
      </c>
      <c r="K9" s="4" t="n">
        <v>12.8</v>
      </c>
      <c r="L9" s="9">
        <f>MIN(1,AVERAGE(IFERROR(AVERAGE(B9,D9,F9,H9)/5,0),MIN((C9+E9+G9+I9)/300,1),MIN(J9/30,1),MIN(K9/10,1)))</f>
        <v/>
      </c>
      <c r="M9" s="16">
        <f>IF(L9&gt;=0.7,5,IF(L9&gt;=0.4,3,1))</f>
        <v/>
      </c>
      <c r="N9" s="2" t="inlineStr">
        <is>
          <t>возраст: домен по RDAP; G2: профиль не найден; Trustpilot: профиль не найден; кейсы: нет; Capterra: переход отклонён</t>
        </is>
      </c>
    </row>
    <row r="10" ht="85.5" customHeight="1">
      <c r="A10" s="4" t="inlineStr">
        <is>
          <t>staruml.io</t>
        </is>
      </c>
      <c r="B10" s="17" t="n"/>
      <c r="C10" s="10" t="n"/>
      <c r="D10" s="4" t="n"/>
      <c r="E10" s="4" t="n"/>
      <c r="F10" s="4" t="n"/>
      <c r="G10" s="4" t="n"/>
      <c r="H10" s="4" t="n"/>
      <c r="I10" s="4" t="n"/>
      <c r="J10" s="4" t="n">
        <v>3</v>
      </c>
      <c r="K10" s="4" t="n">
        <v>13.2</v>
      </c>
      <c r="L10" s="9">
        <f>MIN(1,AVERAGE(IFERROR(AVERAGE(B10,D10,F10,H10)/5,0),MIN((C10+E10+G10+I10)/300,1),MIN(J10/30,1),MIN(K10/10,1)))</f>
        <v/>
      </c>
      <c r="M10" s="16">
        <f>IF(L10&gt;=0.7,5,IF(L10&gt;=0.4,3,1))</f>
        <v/>
      </c>
      <c r="N10" s="2" t="inlineStr">
        <is>
          <t>возраст: домен по RDAP; G2: профиль не найден; Trustpilot: профиль не найден; кейсы: 3 истории в документации MKLab; Capterra: переход отклонён</t>
        </is>
      </c>
    </row>
    <row r="11" ht="99.75" customHeight="1">
      <c r="A11" s="4" t="inlineStr">
        <is>
          <t>visual-paradigm.com</t>
        </is>
      </c>
      <c r="B11" s="17" t="n"/>
      <c r="C11" s="10" t="n"/>
      <c r="D11" s="4" t="n"/>
      <c r="E11" s="4" t="n"/>
      <c r="F11" s="4" t="n">
        <v>3.5</v>
      </c>
      <c r="G11" s="4" t="n">
        <v>2</v>
      </c>
      <c r="H11" s="4" t="n"/>
      <c r="I11" s="4" t="n"/>
      <c r="J11" s="4" t="n">
        <v>5</v>
      </c>
      <c r="K11" s="4" t="n">
        <v>25.3</v>
      </c>
      <c r="L11" s="9">
        <f>MIN(1,AVERAGE(IFERROR(AVERAGE(B11,D11,F11,H11)/5,0),MIN((C11+E11+G11+I11)/300,1),MIN(J11/30,1),MIN(K11/10,1)))</f>
        <v/>
      </c>
      <c r="M11" s="16">
        <f>IF(L11&gt;=0.7,5,IF(L11&gt;=0.4,3,1))</f>
        <v/>
      </c>
      <c r="N11" s="2" t="inlineStr">
        <is>
          <t>возраст: домен по RDAP; Trustpilot: 3,5 / 2 отзыва; кейсы: 5 историй на visual-paradigm.com/customers/ 03.10.2026; G2: профиль не найден; Capterra: переход отклонён</t>
        </is>
      </c>
    </row>
    <row r="12" ht="114" customHeight="1">
      <c r="A12" s="4" t="inlineStr">
        <is>
          <t>sparxsystems.com</t>
        </is>
      </c>
      <c r="B12" s="17" t="n"/>
      <c r="C12" s="10" t="n"/>
      <c r="D12" s="4" t="n"/>
      <c r="E12" s="4" t="n"/>
      <c r="F12" s="4" t="n"/>
      <c r="G12" s="4" t="n">
        <v>0</v>
      </c>
      <c r="H12" s="4" t="n"/>
      <c r="I12" s="4" t="n"/>
      <c r="J12" s="4" t="n">
        <v>3</v>
      </c>
      <c r="K12" s="4" t="n">
        <v>24.2</v>
      </c>
      <c r="L12" s="9">
        <f>MIN(1,AVERAGE(IFERROR(AVERAGE(B12,D12,F12,H12)/5,0),MIN((C12+E12+G12+I12)/300,1),MIN(J12/30,1),MIN(K12/10,1)))</f>
        <v/>
      </c>
      <c r="M12" s="16">
        <f>IF(L12&gt;=0.7,5,IF(L12&gt;=0.4,3,1))</f>
        <v/>
      </c>
      <c r="N12" s="2" t="inlineStr">
        <is>
          <t>возраст: домен по RDAP; Trustpilot: 0 отзывов (профиль без отзывов); кейсы: 3 истории на sparxsystems.com/case-studies/ 03.10.2026; G2: профиль не найден; Capterra: переход отклонён</t>
        </is>
      </c>
    </row>
    <row r="13" ht="99.75" customHeight="1">
      <c r="A13" s="4" t="inlineStr">
        <is>
          <t>bpmn.io</t>
        </is>
      </c>
      <c r="B13" s="17" t="n"/>
      <c r="C13" s="10" t="n"/>
      <c r="D13" s="4" t="n"/>
      <c r="E13" s="4" t="n"/>
      <c r="F13" s="4" t="n"/>
      <c r="G13" s="4" t="n"/>
      <c r="H13" s="4" t="n"/>
      <c r="I13" s="4" t="n"/>
      <c r="J13" s="4" t="n">
        <v>2</v>
      </c>
      <c r="K13" s="4" t="n">
        <v>12.7</v>
      </c>
      <c r="L13" s="9">
        <f>MIN(1,AVERAGE(IFERROR(AVERAGE(B13,D13,F13,H13)/5,0),MIN((C13+E13+G13+I13)/300,1),MIN(J13/30,1),MIN(K13/10,1)))</f>
        <v/>
      </c>
      <c r="M13" s="16">
        <f>IF(L13&gt;=0.7,5,IF(L13&gt;=0.4,3,1))</f>
        <v/>
      </c>
      <c r="N13" s="2" t="inlineStr">
        <is>
          <t>возраст: домен по RDAP; G2: профиль не найден; Trustpilot: профиль не найден; кейсы: 2 истории внедрения в Camunda/bpmn.io документации; Capterra: переход отклонён</t>
        </is>
      </c>
    </row>
    <row r="14" ht="85.5" customHeight="1">
      <c r="A14" s="4" t="inlineStr">
        <is>
          <t>stormbpmn.com</t>
        </is>
      </c>
      <c r="B14" s="17" t="n"/>
      <c r="C14" s="10" t="n"/>
      <c r="D14" s="4" t="n"/>
      <c r="E14" s="4" t="n"/>
      <c r="F14" s="4" t="n"/>
      <c r="G14" s="4" t="n"/>
      <c r="H14" s="4" t="n"/>
      <c r="I14" s="4" t="n"/>
      <c r="J14" s="4" t="n">
        <v>3</v>
      </c>
      <c r="K14" s="4" t="n">
        <v>4.5</v>
      </c>
      <c r="L14" s="9">
        <f>MIN(1,AVERAGE(IFERROR(AVERAGE(B14,D14,F14,H14)/5,0),MIN((C14+E14+G14+I14)/300,1),MIN(J14/30,1),MIN(K14/10,1)))</f>
        <v/>
      </c>
      <c r="M14" s="16">
        <f>IF(L14&gt;=0.7,5,IF(L14&gt;=0.4,3,1))</f>
        <v/>
      </c>
      <c r="N14" s="2" t="inlineStr">
        <is>
          <t>возраст: домен по RDAP; G2: профиль не найден; Trustpilot: профиль не найден; кейсы: 3 истории на stormbpmn.com 03.10.2026; Capterra: переход отклонён</t>
        </is>
      </c>
    </row>
    <row r="15" ht="85.5" customHeight="1">
      <c r="A15" s="4" t="inlineStr">
        <is>
          <t>app.diagrams.net</t>
        </is>
      </c>
      <c r="B15" s="17" t="n">
        <v>4.4</v>
      </c>
      <c r="C15" s="10" t="n">
        <v>450</v>
      </c>
      <c r="D15" s="4" t="n"/>
      <c r="E15" s="4" t="n"/>
      <c r="F15" s="4" t="n">
        <v>3.8</v>
      </c>
      <c r="G15" s="4" t="n">
        <v>2</v>
      </c>
      <c r="H15" s="4" t="n"/>
      <c r="I15" s="4" t="n"/>
      <c r="J15" s="4" t="n">
        <v>0</v>
      </c>
      <c r="K15" s="4" t="n">
        <v>16.5</v>
      </c>
      <c r="L15" s="9">
        <f>MIN(1,AVERAGE(IFERROR(AVERAGE(B15,D15,F15,H15)/5,0),MIN((C15+E15+G15+I15)/300,1),MIN(J15/30,1),MIN(K15/10,1)))</f>
        <v/>
      </c>
      <c r="M15" s="16">
        <f>IF(L15&gt;=0.7,5,IF(L15&gt;=0.4,3,1))</f>
        <v/>
      </c>
      <c r="N15" s="2" t="inlineStr">
        <is>
          <t>возраст: домен по RDAP; G2: 4,4 / 450 отзывов (draw.io) 03.10.2026; Trustpilot: 3,8 / 2 отзыва; кейсы: публичных историй нет; Capterra: переход отклонён</t>
        </is>
      </c>
    </row>
    <row r="16" ht="99.75" customHeight="1">
      <c r="A16" s="4" t="inlineStr">
        <is>
          <t>lucidchart.com</t>
        </is>
      </c>
      <c r="B16" s="17" t="n">
        <v>4.5</v>
      </c>
      <c r="C16" s="10" t="n">
        <v>8988</v>
      </c>
      <c r="D16" s="4" t="n"/>
      <c r="E16" s="4" t="n"/>
      <c r="F16" s="4" t="n">
        <v>1.5</v>
      </c>
      <c r="G16" s="4" t="n">
        <v>116</v>
      </c>
      <c r="H16" s="4" t="n"/>
      <c r="I16" s="4" t="n"/>
      <c r="J16" s="4" t="n">
        <v>15</v>
      </c>
      <c r="K16" s="4" t="n">
        <v>18</v>
      </c>
      <c r="L16" s="9">
        <f>MIN(1,AVERAGE(IFERROR(AVERAGE(B16,D16,F16,H16)/5,0),MIN((C16+E16+G16+I16)/300,1),MIN(J16/30,1),MIN(K16/10,1)))</f>
        <v/>
      </c>
      <c r="M16" s="16">
        <f>IF(L16&gt;=0.7,5,IF(L16&gt;=0.4,3,1))</f>
        <v/>
      </c>
      <c r="N16" s="2" t="inlineStr">
        <is>
          <t>возраст: домен по RDAP; G2: 4,5 / 8988 отзывов 03.10.2026; Trustpilot: 1,5 / 116 отзывов; кейсы: 15 историй на lucid.app/customers/ 03.10.2026; Capterra: переход отклонён</t>
        </is>
      </c>
    </row>
    <row r="17" ht="99.75" customHeight="1">
      <c r="A17" s="4" t="inlineStr">
        <is>
          <t>creately.com</t>
        </is>
      </c>
      <c r="B17" s="17" t="n">
        <v>4.4</v>
      </c>
      <c r="C17" s="10" t="n">
        <v>1394</v>
      </c>
      <c r="D17" s="4" t="n"/>
      <c r="E17" s="4" t="n"/>
      <c r="F17" s="4" t="n">
        <v>1.9</v>
      </c>
      <c r="G17" s="4" t="n">
        <v>58</v>
      </c>
      <c r="H17" s="4" t="n"/>
      <c r="I17" s="4" t="n"/>
      <c r="J17" s="4" t="n">
        <v>8</v>
      </c>
      <c r="K17" s="4" t="n">
        <v>18.2</v>
      </c>
      <c r="L17" s="9">
        <f>MIN(1,AVERAGE(IFERROR(AVERAGE(B17,D17,F17,H17)/5,0),MIN((C17+E17+G17+I17)/300,1),MIN(J17/30,1),MIN(K17/10,1)))</f>
        <v/>
      </c>
      <c r="M17" s="16">
        <f>IF(L17&gt;=0.7,5,IF(L17&gt;=0.4,3,1))</f>
        <v/>
      </c>
      <c r="N17" s="2" t="inlineStr">
        <is>
          <t>возраст: домен по RDAP; G2: 4,4 / 1394 отзыва 03.10.2026; Trustpilot: 1,9 / 58 отзывов; кейсы: 8 историй на creately.com/customers/ 03.10.2026; Capterra: переход отклонён</t>
        </is>
      </c>
    </row>
    <row r="18" ht="99.75" customHeight="1">
      <c r="A18" s="4" t="inlineStr">
        <is>
          <t>miro.com</t>
        </is>
      </c>
      <c r="B18" s="17" t="n">
        <v>4.6</v>
      </c>
      <c r="C18" s="10" t="n">
        <v>13583</v>
      </c>
      <c r="D18" s="4" t="n"/>
      <c r="E18" s="4" t="n"/>
      <c r="F18" s="4" t="n">
        <v>2.1</v>
      </c>
      <c r="G18" s="4" t="n">
        <v>155</v>
      </c>
      <c r="H18" s="4" t="n"/>
      <c r="I18" s="4" t="n"/>
      <c r="J18" s="4" t="n">
        <v>25</v>
      </c>
      <c r="K18" s="4" t="n">
        <v>31.1</v>
      </c>
      <c r="L18" s="9">
        <f>MIN(1,AVERAGE(IFERROR(AVERAGE(B18,D18,F18,H18)/5,0),MIN((C18+E18+G18+I18)/300,1),MIN(J18/30,1),MIN(K18/10,1)))</f>
        <v/>
      </c>
      <c r="M18" s="16">
        <f>IF(L18&gt;=0.7,5,IF(L18&gt;=0.4,3,1))</f>
        <v/>
      </c>
      <c r="N18" s="2" t="inlineStr">
        <is>
          <t>возраст: домен по RDAP; G2: 4,6 / 13583 отзыва 03.10.2026; Trustpilot: 2,1 / 155 отзывов; кейсы: 25+ историй на miro.com/customers/ 03.10.2026; Capterra: переход отклонён</t>
        </is>
      </c>
    </row>
    <row r="19" ht="71.25" customHeight="1">
      <c r="A19" s="4" t="inlineStr">
        <is>
          <t>excalidraw.com</t>
        </is>
      </c>
      <c r="B19" s="17" t="n"/>
      <c r="C19" s="10" t="n"/>
      <c r="D19" s="4" t="n"/>
      <c r="E19" s="4" t="n"/>
      <c r="F19" s="4" t="n"/>
      <c r="G19" s="4" t="n"/>
      <c r="H19" s="4" t="n"/>
      <c r="I19" s="4" t="n"/>
      <c r="J19" s="4" t="n">
        <v>0</v>
      </c>
      <c r="K19" s="4" t="n">
        <v>6.7</v>
      </c>
      <c r="L19" s="9">
        <f>MIN(1,AVERAGE(IFERROR(AVERAGE(B19,D19,F19,H19)/5,0),MIN((C19+E19+G19+I19)/300,1),MIN(J19/30,1),MIN(K19/10,1)))</f>
        <v/>
      </c>
      <c r="M19" s="16">
        <f>IF(L19&gt;=0.7,5,IF(L19&gt;=0.4,3,1))</f>
        <v/>
      </c>
      <c r="N19" s="2" t="inlineStr">
        <is>
          <t>возраст: домен по RDAP; G2: профиль не найден; Trustpilot: профиль не найден; кейсы: нет (OSS); Capterra: переход отклонён</t>
        </is>
      </c>
    </row>
    <row r="20" ht="85.5" customHeight="1">
      <c r="A20" s="4" t="inlineStr">
        <is>
          <t>dbdiagram.io</t>
        </is>
      </c>
      <c r="B20" s="17" t="n"/>
      <c r="C20" s="10" t="n"/>
      <c r="D20" s="4" t="n"/>
      <c r="E20" s="4" t="n"/>
      <c r="F20" s="4" t="n"/>
      <c r="G20" s="4" t="n"/>
      <c r="H20" s="4" t="n"/>
      <c r="I20" s="4" t="n"/>
      <c r="J20" s="4" t="n">
        <v>2</v>
      </c>
      <c r="K20" s="4" t="n">
        <v>8.1</v>
      </c>
      <c r="L20" s="9">
        <f>MIN(1,AVERAGE(IFERROR(AVERAGE(B20,D20,F20,H20)/5,0),MIN((C20+E20+G20+I20)/300,1),MIN(J20/30,1),MIN(K20/10,1)))</f>
        <v/>
      </c>
      <c r="M20" s="16">
        <f>IF(L20&gt;=0.7,5,IF(L20&gt;=0.4,3,1))</f>
        <v/>
      </c>
      <c r="N20" s="2" t="inlineStr">
        <is>
          <t>возраст: домен по RDAP; G2: профиль не найден; Trustpilot: профиль не найден; кейсы: 2 истории на holistics.io 03.10.2026; Capterra: переход отклонён</t>
        </is>
      </c>
    </row>
    <row r="21" ht="71.25" customHeight="1">
      <c r="A21" s="4" t="inlineStr">
        <is>
          <t>drawsql.app</t>
        </is>
      </c>
      <c r="B21" s="17" t="n"/>
      <c r="C21" s="10" t="n"/>
      <c r="D21" s="4" t="n"/>
      <c r="E21" s="4" t="n"/>
      <c r="F21" s="4" t="n"/>
      <c r="G21" s="4" t="n"/>
      <c r="H21" s="4" t="n"/>
      <c r="I21" s="4" t="n"/>
      <c r="J21" s="4" t="n">
        <v>1</v>
      </c>
      <c r="K21" s="4" t="n">
        <v>8.4</v>
      </c>
      <c r="L21" s="9">
        <f>MIN(1,AVERAGE(IFERROR(AVERAGE(B21,D21,F21,H21)/5,0),MIN((C21+E21+G21+I21)/300,1),MIN(J21/30,1),MIN(K21/10,1)))</f>
        <v/>
      </c>
      <c r="M21" s="16">
        <f>IF(L21&gt;=0.7,5,IF(L21&gt;=0.4,3,1))</f>
        <v/>
      </c>
      <c r="N21" s="2" t="inlineStr">
        <is>
          <t>возраст: домен по RDAP; G2: профиль не найден; Trustpilot: профиль не найден; кейсы: 1 история 03.10.2026; Capterra: переход отклонён</t>
        </is>
      </c>
    </row>
    <row r="22" ht="85.5" customHeight="1">
      <c r="A22" s="4" t="inlineStr">
        <is>
          <t>eraser.io</t>
        </is>
      </c>
      <c r="B22" s="17" t="n"/>
      <c r="C22" s="10" t="n"/>
      <c r="D22" s="4" t="n"/>
      <c r="E22" s="4" t="n"/>
      <c r="F22" s="4" t="n"/>
      <c r="G22" s="4" t="n"/>
      <c r="H22" s="4" t="n"/>
      <c r="I22" s="4" t="n"/>
      <c r="J22" s="4" t="n">
        <v>3</v>
      </c>
      <c r="K22" s="4" t="n">
        <v>12</v>
      </c>
      <c r="L22" s="9">
        <f>MIN(1,AVERAGE(IFERROR(AVERAGE(B22,D22,F22,H22)/5,0),MIN((C22+E22+G22+I22)/300,1),MIN(J22/30,1),MIN(K22/10,1)))</f>
        <v/>
      </c>
      <c r="M22" s="16">
        <f>IF(L22&gt;=0.7,5,IF(L22&gt;=0.4,3,1))</f>
        <v/>
      </c>
      <c r="N22" s="2" t="inlineStr">
        <is>
          <t>возраст: домен по RDAP; G2: профиль не найден; Trustpilot: профиль не найден; кейсы: 3 истории на eraser.io 03.10.2026; Capterra: переход отклонён</t>
        </is>
      </c>
    </row>
    <row r="23">
      <c r="A23" s="4" t="n"/>
      <c r="B23" s="17" t="n"/>
      <c r="C23" s="10" t="n"/>
      <c r="D23" s="4" t="n"/>
      <c r="E23" s="4" t="n"/>
      <c r="F23" s="4" t="n"/>
      <c r="G23" s="4" t="n"/>
      <c r="H23" s="4" t="n"/>
      <c r="I23" s="4" t="n"/>
      <c r="J23" s="4" t="n"/>
      <c r="K23" s="4" t="n"/>
      <c r="L23" s="9" t="n"/>
      <c r="M23" s="16" t="n"/>
      <c r="N23" s="2" t="n"/>
    </row>
    <row r="24">
      <c r="A24" s="4" t="n"/>
      <c r="B24" s="17" t="n"/>
      <c r="C24" s="10" t="n"/>
      <c r="D24" s="4" t="n"/>
      <c r="E24" s="4" t="n"/>
      <c r="F24" s="4" t="n"/>
      <c r="G24" s="4" t="n"/>
      <c r="H24" s="4" t="n"/>
      <c r="I24" s="4" t="n"/>
      <c r="J24" s="4" t="n"/>
      <c r="K24" s="4" t="n"/>
      <c r="L24" s="9" t="n"/>
      <c r="M24" s="16" t="n"/>
      <c r="N24" s="2" t="n"/>
    </row>
    <row r="25">
      <c r="A25" s="4" t="n"/>
      <c r="B25" s="17" t="n"/>
      <c r="C25" s="10" t="n"/>
      <c r="D25" s="4" t="n"/>
      <c r="E25" s="4" t="n"/>
      <c r="F25" s="4" t="n"/>
      <c r="G25" s="4" t="n"/>
      <c r="H25" s="4" t="n"/>
      <c r="I25" s="4" t="n"/>
      <c r="J25" s="4" t="n"/>
      <c r="K25" s="4" t="n"/>
      <c r="L25" s="9" t="n"/>
      <c r="M25" s="16" t="n"/>
      <c r="N25" s="2" t="n"/>
    </row>
    <row r="26">
      <c r="A26" s="4" t="n"/>
      <c r="B26" s="17" t="n"/>
      <c r="C26" s="10" t="n"/>
      <c r="D26" s="4" t="n"/>
      <c r="E26" s="4" t="n"/>
      <c r="F26" s="4" t="n"/>
      <c r="G26" s="4" t="n"/>
      <c r="H26" s="4" t="n"/>
      <c r="I26" s="4" t="n"/>
      <c r="J26" s="4" t="n"/>
      <c r="K26" s="4" t="n"/>
      <c r="L26" s="9" t="n"/>
      <c r="M26" s="16" t="n"/>
      <c r="N26" s="2" t="n"/>
    </row>
    <row r="27">
      <c r="A27" s="4" t="n"/>
      <c r="B27" s="17" t="n"/>
      <c r="C27" s="10" t="n"/>
      <c r="D27" s="4" t="n"/>
      <c r="E27" s="4" t="n"/>
      <c r="F27" s="4" t="n"/>
      <c r="G27" s="4" t="n"/>
      <c r="H27" s="4" t="n"/>
      <c r="I27" s="4" t="n"/>
      <c r="J27" s="4" t="n"/>
      <c r="K27" s="4" t="n"/>
      <c r="L27" s="9" t="n"/>
      <c r="M27" s="16" t="n"/>
      <c r="N27" s="2" t="n"/>
    </row>
    <row r="28">
      <c r="A28" s="4" t="n"/>
      <c r="B28" s="17" t="n"/>
      <c r="C28" s="10" t="n"/>
      <c r="D28" s="4" t="n"/>
      <c r="E28" s="4" t="n"/>
      <c r="F28" s="4" t="n"/>
      <c r="G28" s="4" t="n"/>
      <c r="H28" s="4" t="n"/>
      <c r="I28" s="4" t="n"/>
      <c r="J28" s="4" t="n"/>
      <c r="K28" s="4" t="n"/>
      <c r="L28" s="9" t="n"/>
      <c r="M28" s="16" t="n"/>
      <c r="N28" s="2" t="n"/>
    </row>
    <row r="29">
      <c r="A29" s="4" t="n"/>
      <c r="B29" s="17" t="n"/>
      <c r="C29" s="10" t="n"/>
      <c r="D29" s="4" t="n"/>
      <c r="E29" s="4" t="n"/>
      <c r="F29" s="4" t="n"/>
      <c r="G29" s="4" t="n"/>
      <c r="H29" s="4" t="n"/>
      <c r="I29" s="4" t="n"/>
      <c r="J29" s="4" t="n"/>
      <c r="K29" s="4" t="n"/>
      <c r="L29" s="9" t="n"/>
      <c r="M29" s="16" t="n"/>
      <c r="N29" s="2" t="n"/>
    </row>
    <row r="30">
      <c r="A30" s="4" t="n"/>
      <c r="B30" s="17" t="n"/>
      <c r="C30" s="10" t="n"/>
      <c r="D30" s="4" t="n"/>
      <c r="E30" s="4" t="n"/>
      <c r="F30" s="4" t="n"/>
      <c r="G30" s="4" t="n"/>
      <c r="H30" s="4" t="n"/>
      <c r="I30" s="4" t="n"/>
      <c r="J30" s="4" t="n"/>
      <c r="K30" s="4" t="n"/>
      <c r="L30" s="9" t="n"/>
      <c r="M30" s="16" t="n"/>
      <c r="N30" s="2" t="n"/>
    </row>
    <row r="31">
      <c r="A31" s="4" t="n"/>
      <c r="B31" s="17" t="n"/>
      <c r="C31" s="10" t="n"/>
      <c r="D31" s="4" t="n"/>
      <c r="E31" s="4" t="n"/>
      <c r="F31" s="4" t="n"/>
      <c r="G31" s="4" t="n"/>
      <c r="H31" s="4" t="n"/>
      <c r="I31" s="4" t="n"/>
      <c r="J31" s="4" t="n"/>
      <c r="K31" s="4" t="n"/>
      <c r="L31" s="9" t="n"/>
      <c r="M31" s="16" t="n"/>
      <c r="N31" s="2" t="n"/>
    </row>
    <row r="32">
      <c r="A32" s="4" t="n"/>
      <c r="B32" s="17" t="n"/>
      <c r="C32" s="10" t="n"/>
      <c r="D32" s="4" t="n"/>
      <c r="E32" s="4" t="n"/>
      <c r="F32" s="4" t="n"/>
      <c r="G32" s="4" t="n"/>
      <c r="H32" s="4" t="n"/>
      <c r="I32" s="4" t="n"/>
      <c r="J32" s="4" t="n"/>
      <c r="K32" s="4" t="n"/>
      <c r="L32" s="9" t="n"/>
      <c r="M32" s="16" t="n"/>
      <c r="N32" s="2" t="n"/>
    </row>
    <row r="33">
      <c r="A33" s="4" t="n"/>
      <c r="B33" s="17" t="n"/>
      <c r="C33" s="10" t="n"/>
      <c r="D33" s="4" t="n"/>
      <c r="E33" s="4" t="n"/>
      <c r="F33" s="4" t="n"/>
      <c r="G33" s="4" t="n"/>
      <c r="H33" s="4" t="n"/>
      <c r="I33" s="4" t="n"/>
      <c r="J33" s="4" t="n"/>
      <c r="K33" s="4" t="n"/>
      <c r="L33" s="9" t="n"/>
      <c r="M33" s="16" t="n"/>
      <c r="N33" s="2" t="n"/>
    </row>
    <row r="36" ht="33.95" customHeight="1">
      <c r="A36" s="1" t="inlineStr">
        <is>
          <t>Сводный показатель</t>
        </is>
      </c>
      <c r="B36" s="1" t="inlineStr">
        <is>
          <t>Значение</t>
        </is>
      </c>
      <c r="C36" s="1" t="inlineStr">
        <is>
          <t>Оценка</t>
        </is>
      </c>
      <c r="D36" s="1" t="inlineStr">
        <is>
          <t>Интерпретация</t>
        </is>
      </c>
    </row>
    <row r="37" ht="28.5" customHeight="1">
      <c r="A37" s="28" t="inlineStr">
        <is>
          <t>Средний индекс доверия конкурентов</t>
        </is>
      </c>
      <c r="B37" s="8">
        <f>AVERAGE(L4:L33)</f>
        <v/>
      </c>
      <c r="C37" s="28">
        <f>IF(B37&gt;=0.7,"высокий",IF(B37&gt;=0.4,"средний","низкий"))</f>
        <v/>
      </c>
      <c r="D37" s="28" t="inlineStr">
        <is>
          <t>Высокий индекс означает сильный репутационный барьер</t>
        </is>
      </c>
    </row>
    <row r="38" ht="28.5" customHeight="1">
      <c r="A38" s="28" t="inlineStr">
        <is>
          <t>Среднее число отзывов на конкурента</t>
        </is>
      </c>
      <c r="B38" s="7">
        <f>SUMPRODUCT(C4:C33+E4:E33+G4:G33+I4:I33)/COUNTA(A4:A33)</f>
        <v/>
      </c>
      <c r="C38" s="28">
        <f>IF(B38&gt;='01_Параметры'!B17,"высокий барьер",IF(B38&gt;='01_Параметры'!B17*0.5,"средний барьер","низкий барьер"))</f>
        <v/>
      </c>
      <c r="D38" s="28" t="inlineStr">
        <is>
          <t>Показывает объем накопленного социального доказательства</t>
        </is>
      </c>
    </row>
  </sheetData>
  <mergeCells count="2">
    <mergeCell ref="A2:N2"/>
    <mergeCell ref="A1:N1"/>
  </mergeCells>
  <conditionalFormatting sqref="M4:M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topLeftCell="H1" workbookViewId="0">
      <selection activeCell="Q6" sqref="Q6"/>
    </sheetView>
  </sheetViews>
  <sheetFormatPr baseColWidth="8" defaultRowHeight="14.25"/>
  <cols>
    <col width="24" customWidth="1" min="1" max="1"/>
    <col width="19.125" customWidth="1" min="2" max="2"/>
    <col width="16" customWidth="1" min="3" max="3"/>
    <col width="30.125" customWidth="1" min="4" max="4"/>
    <col width="22.125" customWidth="1" min="5" max="5"/>
    <col width="14" customWidth="1" min="6" max="7"/>
    <col width="18" customWidth="1" min="8" max="8"/>
    <col width="12" customWidth="1" min="9" max="9"/>
    <col width="22.125" customWidth="1" min="10" max="10"/>
    <col width="18" customWidth="1" min="11" max="11"/>
    <col width="16" customWidth="1" min="12" max="12"/>
    <col width="62.125" customWidth="1" min="13" max="13"/>
  </cols>
  <sheetData>
    <row r="1" ht="30" customHeight="1">
      <c r="A1" s="23" t="inlineStr">
        <is>
          <t>Оценка технологических, финансовых и организационных барьеров</t>
        </is>
      </c>
    </row>
    <row r="2" ht="32.1" customHeight="1">
      <c r="A2" s="24" t="inlineStr">
        <is>
          <t>Используйте Crunchbase, LinkedIn, BuiltWith, Wappalyzer, рекламные библиотеки, GitHub, вакансии и сайты конкурентов</t>
        </is>
      </c>
    </row>
    <row r="3" ht="33.95" customHeight="1">
      <c r="A3" s="1" t="inlineStr">
        <is>
          <t>Конкурент</t>
        </is>
      </c>
      <c r="B3" s="1" t="inlineStr">
        <is>
          <t>Финансирование / инвестиции</t>
        </is>
      </c>
      <c r="C3" s="1" t="inlineStr">
        <is>
          <t>Сотрудники LinkedIn</t>
        </is>
      </c>
      <c r="D3" s="1" t="inlineStr">
        <is>
          <t>Технологический стек 1-5</t>
        </is>
      </c>
      <c r="E3" s="1" t="inlineStr">
        <is>
          <t>CRM/автоматизация 1-5</t>
        </is>
      </c>
      <c r="F3" s="1" t="inlineStr">
        <is>
          <t>Мобильное приложение</t>
        </is>
      </c>
      <c r="G3" s="1" t="inlineStr">
        <is>
          <t>Личный кабинет</t>
        </is>
      </c>
      <c r="H3" s="1" t="inlineStr">
        <is>
          <t>Активных объявлений</t>
        </is>
      </c>
      <c r="I3" s="1" t="inlineStr">
        <is>
          <t>Вакансий</t>
        </is>
      </c>
      <c r="J3" s="1" t="inlineStr">
        <is>
          <t>Патенты/уникальные активы</t>
        </is>
      </c>
      <c r="K3" s="1" t="inlineStr">
        <is>
          <t>Индекс ресурсной силы</t>
        </is>
      </c>
      <c r="L3" s="1" t="inlineStr">
        <is>
          <t>Балльная оценка 1-5</t>
        </is>
      </c>
      <c r="M3" s="1" t="inlineStr">
        <is>
          <t>Комментарий</t>
        </is>
      </c>
    </row>
    <row r="4" ht="71.25" customFormat="1" customHeight="1" s="28">
      <c r="A4" s="4" t="inlineStr">
        <is>
          <t>plantuml.com</t>
        </is>
      </c>
      <c r="B4" s="10" t="n">
        <v>0</v>
      </c>
      <c r="C4" s="15" t="n">
        <v>1</v>
      </c>
      <c r="D4" s="15" t="n">
        <v>2</v>
      </c>
      <c r="E4" s="15" t="n">
        <v>0</v>
      </c>
      <c r="F4" s="4" t="inlineStr">
        <is>
          <t>нет</t>
        </is>
      </c>
      <c r="G4" s="4" t="inlineStr">
        <is>
          <t>нет</t>
        </is>
      </c>
      <c r="H4" s="4" t="n">
        <v>0</v>
      </c>
      <c r="I4" s="4" t="n">
        <v>0</v>
      </c>
      <c r="J4" s="4" t="n">
        <v>1</v>
      </c>
      <c r="K4" s="9">
        <f>MIN(1,AVERAGE(MIN(B4/500000,1),MIN(C4/60,1),D4/5,E4/5,IF(F4="да",1,0),IF(G4="да",1,0),MIN(H4/50,1),MIN(I4/6,1),IF(J4&gt;0,1,0)))</f>
        <v/>
      </c>
      <c r="L4" s="16">
        <f>IF(K4&gt;=0.7,5,IF(K4&gt;=0.4,3,1))</f>
        <v/>
      </c>
      <c r="M4" s="2" t="inlineStr">
        <is>
          <t>Индивидуальный OSS-проект (Arnaud Roques, Франция); GitHub plantuml/plantuml: 13 346 звёзд 30.09.2026; fund=0: без коммерческого финансирования; staff=1: один основной разработчик; stack=2: Java-сервер, legacy-архитектура; crm=0: нет коммерческой команды; assets=1: открытый GitHub-репозиторий</t>
        </is>
      </c>
    </row>
    <row r="5" ht="57" customFormat="1" customHeight="1" s="28">
      <c r="A5" s="4" t="inlineStr">
        <is>
          <t>mermaid.js.org</t>
        </is>
      </c>
      <c r="B5" s="10" t="n">
        <v>0</v>
      </c>
      <c r="C5" s="15" t="n">
        <v>5</v>
      </c>
      <c r="D5" s="15" t="n">
        <v>3</v>
      </c>
      <c r="E5" s="15" t="n">
        <v>0</v>
      </c>
      <c r="F5" s="4" t="inlineStr">
        <is>
          <t>нет</t>
        </is>
      </c>
      <c r="G5" s="4" t="inlineStr">
        <is>
          <t>нет</t>
        </is>
      </c>
      <c r="H5" s="4" t="n">
        <v>0</v>
      </c>
      <c r="I5" s="4" t="n">
        <v>0</v>
      </c>
      <c r="J5" s="4" t="n">
        <v>1</v>
      </c>
      <c r="K5" s="9">
        <f>MIN(1,AVERAGE(MIN(B5/500000,1),MIN(C5/60,1),D5/5,E5/5,IF(F5="да",1,0),IF(G5="да",1,0),MIN(H5/50,1),MIN(I5/6,1),IF(J5&gt;0,1,0)))</f>
        <v/>
      </c>
      <c r="L5" s="16">
        <f>IF(K5&gt;=0.7,5,IF(K5&gt;=0.4,3,1))</f>
        <v/>
      </c>
      <c r="M5" s="2" t="inlineStr">
        <is>
          <t>OSS-библиотека (mermaid-js org); GitHub mermaid-js/mermaid: 90 489 звёзд 30.09.2026; fund=0: финансирование через Open Collective; staff=5: оценка по GitHub contributors; stack=3: TypeScript/Node.js; crm=0: нет продаж; assets=1: публичный репозиторий</t>
        </is>
      </c>
    </row>
    <row r="6" ht="71.25" customFormat="1" customHeight="1" s="28">
      <c r="A6" s="4" t="inlineStr">
        <is>
          <t>mermaidchart.com</t>
        </is>
      </c>
      <c r="B6" s="10" t="n">
        <v>0</v>
      </c>
      <c r="C6" s="15" t="n">
        <v>10</v>
      </c>
      <c r="D6" s="15" t="n">
        <v>3</v>
      </c>
      <c r="E6" s="15" t="n">
        <v>1</v>
      </c>
      <c r="F6" s="4" t="inlineStr">
        <is>
          <t>нет</t>
        </is>
      </c>
      <c r="G6" s="4" t="inlineStr">
        <is>
          <t>да</t>
        </is>
      </c>
      <c r="H6" s="4" t="n">
        <v>3</v>
      </c>
      <c r="I6" s="4" t="n">
        <v>1</v>
      </c>
      <c r="J6" s="4" t="n">
        <v>1</v>
      </c>
      <c r="K6" s="9">
        <f>MIN(1,AVERAGE(MIN(B6/500000,1),MIN(C6/60,1),D6/5,E6/5,IF(F6="да",1,0),IF(G6="да",1,0),MIN(H6/50,1),MIN(I6/6,1),IF(J6&gt;0,1,0)))</f>
        <v/>
      </c>
      <c r="L6" s="16">
        <f>IF(K6&gt;=0.7,5,IF(K6&gt;=0.4,3,1))</f>
        <v/>
      </c>
      <c r="M6" s="2" t="inlineStr">
        <is>
          <t>Коммерческий SaaS команды Mermaid (2022); fund=0: публично не подтверждено; staff=10: оценка по LinkedIn/GitHub 03.10.2026; stack=3: современный web-стек; crm=1: базовый email-маркетинг; ads=3: Google Ads Transparency 03.10.2026; jobs=1: вакансия на сайте; assets=1: GitHub-репозиторий</t>
        </is>
      </c>
    </row>
    <row r="7" ht="57" customFormat="1" customHeight="1" s="28">
      <c r="A7" s="4" t="inlineStr">
        <is>
          <t>d2lang.com</t>
        </is>
      </c>
      <c r="B7" s="10" t="n">
        <v>0</v>
      </c>
      <c r="C7" s="15" t="n">
        <v>5</v>
      </c>
      <c r="D7" s="15" t="n">
        <v>3</v>
      </c>
      <c r="E7" s="15" t="n">
        <v>0</v>
      </c>
      <c r="F7" s="4" t="inlineStr">
        <is>
          <t>нет</t>
        </is>
      </c>
      <c r="G7" s="4" t="inlineStr">
        <is>
          <t>нет</t>
        </is>
      </c>
      <c r="H7" s="4" t="n">
        <v>0</v>
      </c>
      <c r="I7" s="4" t="n">
        <v>0</v>
      </c>
      <c r="J7" s="4" t="n">
        <v>1</v>
      </c>
      <c r="K7" s="9">
        <f>MIN(1,AVERAGE(MIN(B7/500000,1),MIN(C7/60,1),D7/5,E7/5,IF(F7="да",1,0),IF(G7="да",1,0),MIN(H7/50,1),MIN(I7/6,1),IF(J7&gt;0,1,0)))</f>
        <v/>
      </c>
      <c r="L7" s="16">
        <f>IF(K7&gt;=0.7,5,IF(K7&gt;=0.4,3,1))</f>
        <v/>
      </c>
      <c r="M7" s="2" t="inlineStr">
        <is>
          <t>Terrastruct Inc (США); GitHub terrastruct/d2: 25 544 звезды 30.09.2026; fund=0: публично не подтверждено (bootstrapped); staff=5: оценка по LinkedIn/GitHub; stack=3: Go-CLI + веб-плеер; crm=0: нет продаж; assets=1: GitHub</t>
        </is>
      </c>
    </row>
    <row r="8" ht="42.75" customFormat="1" customHeight="1" s="28">
      <c r="A8" s="4" t="inlineStr">
        <is>
          <t>kroki.io</t>
        </is>
      </c>
      <c r="B8" s="10" t="n">
        <v>0</v>
      </c>
      <c r="C8" s="15" t="n">
        <v>2</v>
      </c>
      <c r="D8" s="15" t="n">
        <v>2</v>
      </c>
      <c r="E8" s="15" t="n">
        <v>0</v>
      </c>
      <c r="F8" s="4" t="inlineStr">
        <is>
          <t>нет</t>
        </is>
      </c>
      <c r="G8" s="4" t="inlineStr">
        <is>
          <t>нет</t>
        </is>
      </c>
      <c r="H8" s="4" t="n">
        <v>0</v>
      </c>
      <c r="I8" s="4" t="n">
        <v>0</v>
      </c>
      <c r="J8" s="4" t="n">
        <v>1</v>
      </c>
      <c r="K8" s="9">
        <f>MIN(1,AVERAGE(MIN(B8/500000,1),MIN(C8/60,1),D8/5,E8/5,IF(F8="да",1,0),IF(G8="да",1,0),MIN(H8/50,1),MIN(I8/6,1),IF(J8&gt;0,1,0)))</f>
        <v/>
      </c>
      <c r="L8" s="16">
        <f>IF(K8&gt;=0.7,5,IF(K8&gt;=0.4,3,1))</f>
        <v/>
      </c>
      <c r="M8" s="2" t="inlineStr">
        <is>
          <t>Малый OSS-проект (Yuzutech); GitHub yuzutech/kroki: 4 351 звезда 30.09.2026; fund=0; staff=2: оценка по GitHub contributors; stack=2: Docker/Java; crm=0; assets=1: GitHub</t>
        </is>
      </c>
    </row>
    <row r="9" ht="42.75" customFormat="1" customHeight="1" s="28">
      <c r="A9" s="4" t="inlineStr">
        <is>
          <t>planttext.com</t>
        </is>
      </c>
      <c r="B9" s="10" t="n">
        <v>0</v>
      </c>
      <c r="C9" s="15" t="n">
        <v>2</v>
      </c>
      <c r="D9" s="15" t="n">
        <v>2</v>
      </c>
      <c r="E9" s="15" t="n">
        <v>0</v>
      </c>
      <c r="F9" s="4" t="inlineStr">
        <is>
          <t>нет</t>
        </is>
      </c>
      <c r="G9" s="4" t="inlineStr">
        <is>
          <t>нет</t>
        </is>
      </c>
      <c r="H9" s="4" t="n">
        <v>0</v>
      </c>
      <c r="I9" s="4" t="n">
        <v>0</v>
      </c>
      <c r="J9" s="4" t="n">
        <v>0</v>
      </c>
      <c r="K9" s="9">
        <f>MIN(1,AVERAGE(MIN(B9/500000,1),MIN(C9/60,1),D9/5,E9/5,IF(F9="да",1,0),IF(G9="да",1,0),MIN(H9/50,1),MIN(I9/6,1),IF(J9&gt;0,1,0)))</f>
        <v/>
      </c>
      <c r="L9" s="16">
        <f>IF(K9&gt;=0.7,5,IF(K9&gt;=0.4,3,1))</f>
        <v/>
      </c>
      <c r="M9" s="2" t="inlineStr">
        <is>
          <t>Веб-фронтенд для PlantUML; fund=0; staff=2: оценка; stack=2: статический веб; crm=0; assets=0: публичного репозитория нет; источник: публичный анализ 03.10.2026</t>
        </is>
      </c>
    </row>
    <row r="10" ht="42.75" customFormat="1" customHeight="1" s="28">
      <c r="A10" s="4" t="inlineStr">
        <is>
          <t>staruml.io</t>
        </is>
      </c>
      <c r="B10" s="10" t="n">
        <v>0</v>
      </c>
      <c r="C10" s="15" t="n">
        <v>5</v>
      </c>
      <c r="D10" s="15" t="n">
        <v>3</v>
      </c>
      <c r="E10" s="15" t="n">
        <v>1</v>
      </c>
      <c r="F10" s="4" t="inlineStr">
        <is>
          <t>нет</t>
        </is>
      </c>
      <c r="G10" s="4" t="inlineStr">
        <is>
          <t>нет</t>
        </is>
      </c>
      <c r="H10" s="4" t="n">
        <v>2</v>
      </c>
      <c r="I10" s="4" t="n">
        <v>0</v>
      </c>
      <c r="J10" s="4" t="n">
        <v>1</v>
      </c>
      <c r="K10" s="9">
        <f>MIN(1,AVERAGE(MIN(B10/500000,1),MIN(C10/60,1),D10/5,E10/5,IF(F10="да",1,0),IF(G10="да",1,0),MIN(H10/50,1),MIN(I10/6,1),IF(J10&gt;0,1,0)))</f>
        <v/>
      </c>
      <c r="L10" s="16">
        <f>IF(K10&gt;=0.7,5,IF(K10&gt;=0.4,3,1))</f>
        <v/>
      </c>
      <c r="M10" s="2" t="inlineStr">
        <is>
          <t>MKLab (Корея); fund=0: bootstrapped; staff=5: оценка по публичным источникам; stack=3: Electron/JavaScript; crm=1: базовая форма связи; ads=2: Google Ads 03.10.2026; assets=1: GitHub-репозиторий</t>
        </is>
      </c>
    </row>
    <row r="11" ht="71.25" customFormat="1" customHeight="1" s="28">
      <c r="A11" s="4" t="inlineStr">
        <is>
          <t>visual-paradigm.com</t>
        </is>
      </c>
      <c r="B11" s="10" t="n">
        <v>0</v>
      </c>
      <c r="C11" s="15" t="n">
        <v>100</v>
      </c>
      <c r="D11" s="15" t="n">
        <v>4</v>
      </c>
      <c r="E11" s="15" t="n">
        <v>3</v>
      </c>
      <c r="F11" s="4" t="inlineStr">
        <is>
          <t>да</t>
        </is>
      </c>
      <c r="G11" s="4" t="inlineStr">
        <is>
          <t>да</t>
        </is>
      </c>
      <c r="H11" s="4" t="n">
        <v>5</v>
      </c>
      <c r="I11" s="4" t="n">
        <v>3</v>
      </c>
      <c r="J11" s="4" t="n">
        <v>0</v>
      </c>
      <c r="K11" s="9">
        <f>MIN(1,AVERAGE(MIN(B11/500000,1),MIN(C11/60,1),D11/5,E11/5,IF(F11="да",1,0),IF(G11="да",1,0),MIN(H11/50,1),MIN(I11/6,1),IF(J11&gt;0,1,0)))</f>
        <v/>
      </c>
      <c r="L11" s="16">
        <f>IF(K11&gt;=0.7,5,IF(K11&gt;=0.4,3,1))</f>
        <v/>
      </c>
      <c r="M11" s="2" t="inlineStr">
        <is>
          <t>Visual Paradigm International (Гонконг); fund=0: bootstrapped; staff=100: оценка по LinkedIn 03.10.2026 (диапазон 51-200); stack=4: зрелый enterprise Java+web; crm=3: CRM для enterprise-продаж (форма, чат, демо); app=да: VP Online Mobile (iOS/Android); cabinet=да: VPP-аккаунт; ads=5: Google Ads Transparency 03.10.2026; jobs=3</t>
        </is>
      </c>
    </row>
    <row r="12" ht="71.25" customFormat="1" customHeight="1" s="28">
      <c r="A12" s="4" t="inlineStr">
        <is>
          <t>sparxsystems.com</t>
        </is>
      </c>
      <c r="B12" s="10" t="n">
        <v>0</v>
      </c>
      <c r="C12" s="15" t="n">
        <v>50</v>
      </c>
      <c r="D12" s="15" t="n">
        <v>3</v>
      </c>
      <c r="E12" s="15" t="n">
        <v>2</v>
      </c>
      <c r="F12" s="4" t="inlineStr">
        <is>
          <t>нет</t>
        </is>
      </c>
      <c r="G12" s="4" t="inlineStr">
        <is>
          <t>нет</t>
        </is>
      </c>
      <c r="H12" s="4" t="n">
        <v>3</v>
      </c>
      <c r="I12" s="4" t="n">
        <v>2</v>
      </c>
      <c r="J12" s="4" t="n">
        <v>0</v>
      </c>
      <c r="K12" s="9">
        <f>MIN(1,AVERAGE(MIN(B12/500000,1),MIN(C12/60,1),D12/5,E12/5,IF(F12="да",1,0),IF(G12="да",1,0),MIN(H12/50,1),MIN(I12/6,1),IF(J12&gt;0,1,0)))</f>
        <v/>
      </c>
      <c r="L12" s="16">
        <f>IF(K12&gt;=0.7,5,IF(K12&gt;=0.4,3,1))</f>
        <v/>
      </c>
      <c r="M12" s="2" t="inlineStr">
        <is>
          <t>Sparx Systems (Австралия); fund=0: bootstrapped; staff=50: оценка по LinkedIn 03.10.2026; stack=3: Windows-native + web-API; crm=2: sales@sparxsystems.com + CRM для лицензий; ads=3: Google Ads 03.10.2026; jobs=2: вакансии на сайте 03.10.2026; assets=0: проприетарное ПО</t>
        </is>
      </c>
    </row>
    <row r="13" ht="57" customFormat="1" customHeight="1" s="28">
      <c r="A13" s="4" t="inlineStr">
        <is>
          <t>bpmn.io</t>
        </is>
      </c>
      <c r="B13" s="10" t="n">
        <v>0</v>
      </c>
      <c r="C13" s="15" t="n">
        <v>10</v>
      </c>
      <c r="D13" s="15" t="n">
        <v>3</v>
      </c>
      <c r="E13" s="15" t="n">
        <v>0</v>
      </c>
      <c r="F13" s="4" t="inlineStr">
        <is>
          <t>нет</t>
        </is>
      </c>
      <c r="G13" s="4" t="inlineStr">
        <is>
          <t>нет</t>
        </is>
      </c>
      <c r="H13" s="4" t="n">
        <v>0</v>
      </c>
      <c r="I13" s="4" t="n">
        <v>0</v>
      </c>
      <c r="J13" s="4" t="n">
        <v>1</v>
      </c>
      <c r="K13" s="9">
        <f>MIN(1,AVERAGE(MIN(B13/500000,1),MIN(C13/60,1),D13/5,E13/5,IF(F13="да",1,0),IF(G13="да",1,0),MIN(H13/50,1),MIN(I13/6,1),IF(J13&gt;0,1,0)))</f>
        <v/>
      </c>
      <c r="L13" s="16">
        <f>IF(K13&gt;=0.7,5,IF(K13&gt;=0.4,3,1))</f>
        <v/>
      </c>
      <c r="M13" s="2" t="inlineStr">
        <is>
          <t>Проект Camunda GmbH (Берлин); GitHub bpmn-io/bpmn-js: 9 675 звёзд 30.09.2026; fund=0: OSS-проект внутри Camunda; staff=10: оценка bpmn.io-команды; stack=3: JavaScript/React; crm=0: нет прямых продаж; assets=1: GitHub</t>
        </is>
      </c>
    </row>
    <row r="14" ht="57" customFormat="1" customHeight="1" s="28">
      <c r="A14" s="4" t="inlineStr">
        <is>
          <t>stormbpmn.com</t>
        </is>
      </c>
      <c r="B14" s="10" t="n">
        <v>0</v>
      </c>
      <c r="C14" s="15" t="n">
        <v>20</v>
      </c>
      <c r="D14" s="15" t="n">
        <v>3</v>
      </c>
      <c r="E14" s="15" t="n">
        <v>2</v>
      </c>
      <c r="F14" s="4" t="inlineStr">
        <is>
          <t>нет</t>
        </is>
      </c>
      <c r="G14" s="4" t="inlineStr">
        <is>
          <t>да</t>
        </is>
      </c>
      <c r="H14" s="4" t="n">
        <v>3</v>
      </c>
      <c r="I14" s="4" t="n">
        <v>1</v>
      </c>
      <c r="J14" s="4" t="n">
        <v>0</v>
      </c>
      <c r="K14" s="9">
        <f>MIN(1,AVERAGE(MIN(B14/500000,1),MIN(C14/60,1),D14/5,E14/5,IF(F14="да",1,0),IF(G14="да",1,0),MIN(H14/50,1),MIN(I14/6,1),IF(J14&gt;0,1,0)))</f>
        <v/>
      </c>
      <c r="L14" s="16">
        <f>IF(K14&gt;=0.7,5,IF(K14&gt;=0.4,3,1))</f>
        <v/>
      </c>
      <c r="M14" s="2" t="inlineStr">
        <is>
          <t>StormBPMN (Россия); fund=0: bootstrapped; staff=20: оценка по публичным источникам 03.10.2026; stack=3: современный web-стек; crm=2: онлайн-продажи + поддержка; cabinet=да; ads=3: контекстная реклама в Яндекс; jobs=1; assets=0</t>
        </is>
      </c>
    </row>
    <row r="15" ht="71.25" customFormat="1" customHeight="1" s="28">
      <c r="A15" s="4" t="inlineStr">
        <is>
          <t>app.diagrams.net</t>
        </is>
      </c>
      <c r="B15" s="10" t="n">
        <v>0</v>
      </c>
      <c r="C15" s="15" t="n">
        <v>10</v>
      </c>
      <c r="D15" s="15" t="n">
        <v>3</v>
      </c>
      <c r="E15" s="15" t="n">
        <v>1</v>
      </c>
      <c r="F15" s="4" t="inlineStr">
        <is>
          <t>нет</t>
        </is>
      </c>
      <c r="G15" s="4" t="inlineStr">
        <is>
          <t>нет</t>
        </is>
      </c>
      <c r="H15" s="4" t="n">
        <v>2</v>
      </c>
      <c r="I15" s="4" t="n">
        <v>0</v>
      </c>
      <c r="J15" s="4" t="n">
        <v>1</v>
      </c>
      <c r="K15" s="9">
        <f>MIN(1,AVERAGE(MIN(B15/500000,1),MIN(C15/60,1),D15/5,E15/5,IF(F15="да",1,0),IF(G15="да",1,0),MIN(H15/50,1),MIN(I15/6,1),IF(J15&gt;0,1,0)))</f>
        <v/>
      </c>
      <c r="L15" s="16">
        <f>IF(K15&gt;=0.7,5,IF(K15&gt;=0.4,3,1))</f>
        <v/>
      </c>
      <c r="M15" s="2" t="inlineStr">
        <is>
          <t>JGraph Ltd (Великобритания); GitHub jgraph/drawio: 8 502 зв., jgraph/drawio-desktop: 63 351 зв. 30.09.2026; fund=0: bootstrapped JGraph; staff=10: оценка LinkedIn 03.10.2026; stack=3: JavaScript/Electron; crm=1: базовый support; ads=2: Google Ads 03.10.2026; cabinet=нет: работает без аккаунта; assets=1: GitHub</t>
        </is>
      </c>
    </row>
    <row r="16" ht="85.5" customFormat="1" customHeight="1" s="28">
      <c r="A16" s="4" t="inlineStr">
        <is>
          <t>lucidchart.com</t>
        </is>
      </c>
      <c r="B16" s="10" t="n">
        <v>72000000</v>
      </c>
      <c r="C16" s="15" t="n">
        <v>700</v>
      </c>
      <c r="D16" s="15" t="n">
        <v>4</v>
      </c>
      <c r="E16" s="15" t="n">
        <v>4</v>
      </c>
      <c r="F16" s="4" t="inlineStr">
        <is>
          <t>да</t>
        </is>
      </c>
      <c r="G16" s="4" t="inlineStr">
        <is>
          <t>да</t>
        </is>
      </c>
      <c r="H16" s="4" t="n">
        <v>50</v>
      </c>
      <c r="I16" s="4" t="n">
        <v>20</v>
      </c>
      <c r="J16" s="4" t="n">
        <v>0</v>
      </c>
      <c r="K16" s="9">
        <f>MIN(1,AVERAGE(MIN(B16/500000,1),MIN(C16/60,1),D16/5,E16/5,IF(F16="да",1,0),IF(G16="да",1,0),MIN(H16/50,1),MIN(I16/6,1),IF(J16&gt;0,1,0)))</f>
        <v/>
      </c>
      <c r="L16" s="16">
        <f>IF(K16&gt;=0.7,5,IF(K16&gt;=0.4,3,1))</f>
        <v/>
      </c>
      <c r="M16" s="2" t="inlineStr">
        <is>
          <t>Lucid Software (США); fund=72M у.е.: Series A-C Crunchbase (до 2020), Series D не раскрыт; staff=700: LinkedIn 03.10.2026; stack=4: зрелый SaaS (React/Node/AWS); crm=4: Salesforce/HubSpot для enterprise; app=да: Lucid iOS/Android; cabinet=да; ads=50: Google/LinkedIn Ads Transparency 03.10.2026; jobs=20: careers.lucid.app 03.10.2026; assets=0</t>
        </is>
      </c>
    </row>
    <row r="17" ht="71.25" customFormat="1" customHeight="1" s="28">
      <c r="A17" s="4" t="inlineStr">
        <is>
          <t>creately.com</t>
        </is>
      </c>
      <c r="B17" s="10" t="n">
        <v>3000000</v>
      </c>
      <c r="C17" s="15" t="n">
        <v>100</v>
      </c>
      <c r="D17" s="15" t="n">
        <v>4</v>
      </c>
      <c r="E17" s="15" t="n">
        <v>3</v>
      </c>
      <c r="F17" s="4" t="inlineStr">
        <is>
          <t>да</t>
        </is>
      </c>
      <c r="G17" s="4" t="inlineStr">
        <is>
          <t>да</t>
        </is>
      </c>
      <c r="H17" s="4" t="n">
        <v>10</v>
      </c>
      <c r="I17" s="4" t="n">
        <v>3</v>
      </c>
      <c r="J17" s="4" t="n">
        <v>0</v>
      </c>
      <c r="K17" s="9">
        <f>MIN(1,AVERAGE(MIN(B17/500000,1),MIN(C17/60,1),D17/5,E17/5,IF(F17="да",1,0),IF(G17="да",1,0),MIN(H17/50,1),MIN(I17/6,1),IF(J17&gt;0,1,0)))</f>
        <v/>
      </c>
      <c r="L17" s="16">
        <f>IF(K17&gt;=0.7,5,IF(K17&gt;=0.4,3,1))</f>
        <v/>
      </c>
      <c r="M17" s="2" t="inlineStr">
        <is>
          <t>Cinergix Pty Ltd (Австралия); fund=3M у.е.: оценка по публичным источникам; staff=100: LinkedIn 03.10.2026 (51-200); stack=4: SaaS React+Node; crm=3: CRM + customer success; app=да: iOS app; cabinet=да; ads=10: Google Ads 03.10.2026; jobs=3: careers.creately.com 03.10.2026; assets=0</t>
        </is>
      </c>
    </row>
    <row r="18" ht="85.5" customFormat="1" customHeight="1" s="28">
      <c r="A18" s="4" t="inlineStr">
        <is>
          <t>miro.com</t>
        </is>
      </c>
      <c r="B18" s="10" t="n">
        <v>476000000</v>
      </c>
      <c r="C18" s="15" t="n">
        <v>2000</v>
      </c>
      <c r="D18" s="15" t="n">
        <v>5</v>
      </c>
      <c r="E18" s="15" t="n">
        <v>5</v>
      </c>
      <c r="F18" s="4" t="inlineStr">
        <is>
          <t>да</t>
        </is>
      </c>
      <c r="G18" s="4" t="inlineStr">
        <is>
          <t>да</t>
        </is>
      </c>
      <c r="H18" s="4" t="n">
        <v>50</v>
      </c>
      <c r="I18" s="4" t="n">
        <v>50</v>
      </c>
      <c r="J18" s="4" t="n">
        <v>1</v>
      </c>
      <c r="K18" s="9">
        <f>MIN(1,AVERAGE(MIN(B18/500000,1),MIN(C18/60,1),D18/5,E18/5,IF(F18="да",1,0),IF(G18="да",1,0),MIN(H18/50,1),MIN(I18/6,1),IF(J18&gt;0,1,0)))</f>
        <v/>
      </c>
      <c r="L18" s="16">
        <f>IF(K18&gt;=0.7,5,IF(K18&gt;=0.4,3,1))</f>
        <v/>
      </c>
      <c r="M18" s="2" t="inlineStr">
        <is>
          <t>Miro (RealtimeBoard Inc, США); fund=476M у.е.: Series A-C Crunchbase (до 2022); staff=2000: LinkedIn 03.10.2026 (1001-5000); stack=5: enterprise SaaS full-stack; crm=5: Salesforce+Gainsight+Intercom; app=да: iOS+Android; cabinet=да; ads=50: Google/LinkedIn/FB Ads 03.10.2026; jobs=50: мир.com/careers/ 03.10.2026; assets=1: GitHub SDK</t>
        </is>
      </c>
    </row>
    <row r="19" ht="57" customFormat="1" customHeight="1" s="28">
      <c r="A19" s="4" t="inlineStr">
        <is>
          <t>excalidraw.com</t>
        </is>
      </c>
      <c r="B19" s="10" t="n">
        <v>0</v>
      </c>
      <c r="C19" s="15" t="n">
        <v>5</v>
      </c>
      <c r="D19" s="15" t="n">
        <v>3</v>
      </c>
      <c r="E19" s="15" t="n">
        <v>1</v>
      </c>
      <c r="F19" s="4" t="inlineStr">
        <is>
          <t>нет</t>
        </is>
      </c>
      <c r="G19" s="4" t="inlineStr">
        <is>
          <t>да</t>
        </is>
      </c>
      <c r="H19" s="4" t="n">
        <v>0</v>
      </c>
      <c r="I19" s="4" t="n">
        <v>0</v>
      </c>
      <c r="J19" s="4" t="n">
        <v>1</v>
      </c>
      <c r="K19" s="9">
        <f>MIN(1,AVERAGE(MIN(B19/500000,1),MIN(C19/60,1),D19/5,E19/5,IF(F19="да",1,0),IF(G19="да",1,0),MIN(H19/50,1),MIN(I19/6,1),IF(J19&gt;0,1,0)))</f>
        <v/>
      </c>
      <c r="L19" s="16">
        <f>IF(K19&gt;=0.7,5,IF(K19&gt;=0.4,3,1))</f>
        <v/>
      </c>
      <c r="M19" s="2" t="inlineStr">
        <is>
          <t>OSS-проект (Excalidraw Inc, США); GitHub excalidraw/excalidraw: 133 301 звезда 30.09.2026; fund=0: OSS; staff=5: оценка по GitHub contributors; stack=3: React PWA; crm=1: Excalidraw+ email-маркетинг; cabinet=да: Excalidraw+ аккаунт; ads=0; assets=1: GitHub</t>
        </is>
      </c>
    </row>
    <row r="20" ht="71.25" customFormat="1" customHeight="1" s="28">
      <c r="A20" s="4" t="inlineStr">
        <is>
          <t>dbdiagram.io</t>
        </is>
      </c>
      <c r="B20" s="10" t="n">
        <v>0</v>
      </c>
      <c r="C20" s="15" t="n">
        <v>30</v>
      </c>
      <c r="D20" s="15" t="n">
        <v>3</v>
      </c>
      <c r="E20" s="15" t="n">
        <v>2</v>
      </c>
      <c r="F20" s="4" t="inlineStr">
        <is>
          <t>нет</t>
        </is>
      </c>
      <c r="G20" s="4" t="inlineStr">
        <is>
          <t>да</t>
        </is>
      </c>
      <c r="H20" s="4" t="n">
        <v>2</v>
      </c>
      <c r="I20" s="4" t="n">
        <v>2</v>
      </c>
      <c r="J20" s="4" t="n">
        <v>1</v>
      </c>
      <c r="K20" s="9">
        <f>MIN(1,AVERAGE(MIN(B20/500000,1),MIN(C20/60,1),D20/5,E20/5,IF(F20="да",1,0),IF(G20="да",1,0),MIN(H20/50,1),MIN(I20/6,1),IF(J20&gt;0,1,0)))</f>
        <v/>
      </c>
      <c r="L20" s="16">
        <f>IF(K20&gt;=0.7,5,IF(K20&gt;=0.4,3,1))</f>
        <v/>
      </c>
      <c r="M20" s="2" t="inlineStr">
        <is>
          <t>holistics.io (Сингапур); GitHub holistics/dbml: 2 880 звёзд; fund=0: bootstrapped (данные Holistics); staff=30: оценка LinkedIn 03.10.2026; stack=3: Vue.js+Ruby on Rails; crm=2: email + HubSpot (оценка); cabinet=да; ads=2: Google Ads 03.10.2026; jobs=2; assets=1: GitHub DBML</t>
        </is>
      </c>
    </row>
    <row r="21" ht="42.75" customFormat="1" customHeight="1" s="28">
      <c r="A21" s="4" t="inlineStr">
        <is>
          <t>drawsql.app</t>
        </is>
      </c>
      <c r="B21" s="10" t="n">
        <v>0</v>
      </c>
      <c r="C21" s="15" t="n">
        <v>5</v>
      </c>
      <c r="D21" s="15" t="n">
        <v>2</v>
      </c>
      <c r="E21" s="15" t="n">
        <v>1</v>
      </c>
      <c r="F21" s="4" t="inlineStr">
        <is>
          <t>нет</t>
        </is>
      </c>
      <c r="G21" s="4" t="inlineStr">
        <is>
          <t>да</t>
        </is>
      </c>
      <c r="H21" s="4" t="n">
        <v>1</v>
      </c>
      <c r="I21" s="4" t="n">
        <v>0</v>
      </c>
      <c r="J21" s="4" t="n">
        <v>0</v>
      </c>
      <c r="K21" s="9">
        <f>MIN(1,AVERAGE(MIN(B21/500000,1),MIN(C21/60,1),D21/5,E21/5,IF(F21="да",1,0),IF(G21="да",1,0),MIN(H21/50,1),MIN(I21/6,1),IF(J21&gt;0,1,0)))</f>
        <v/>
      </c>
      <c r="L21" s="16">
        <f>IF(K21&gt;=0.7,5,IF(K21&gt;=0.4,3,1))</f>
        <v/>
      </c>
      <c r="M21" s="2" t="inlineStr">
        <is>
          <t>Малый стартап; fund=0: публично не подтверждено; staff=5: оценка; stack=2: базовый web-стек; crm=1: email-форма; cabinet=да; ads=1; assets=0; источник: публичный анализ 03.10.2026</t>
        </is>
      </c>
    </row>
    <row r="22" ht="71.25" customFormat="1" customHeight="1" s="28">
      <c r="A22" s="4" t="inlineStr">
        <is>
          <t>eraser.io</t>
        </is>
      </c>
      <c r="B22" s="10" t="n">
        <v>4000000</v>
      </c>
      <c r="C22" s="15" t="n">
        <v>15</v>
      </c>
      <c r="D22" s="15" t="n">
        <v>3</v>
      </c>
      <c r="E22" s="15" t="n">
        <v>2</v>
      </c>
      <c r="F22" s="4" t="inlineStr">
        <is>
          <t>нет</t>
        </is>
      </c>
      <c r="G22" s="4" t="inlineStr">
        <is>
          <t>да</t>
        </is>
      </c>
      <c r="H22" s="4" t="n">
        <v>5</v>
      </c>
      <c r="I22" s="4" t="n">
        <v>3</v>
      </c>
      <c r="J22" s="4" t="n">
        <v>1</v>
      </c>
      <c r="K22" s="9">
        <f>MIN(1,AVERAGE(MIN(B22/500000,1),MIN(C22/60,1),D22/5,E22/5,IF(F22="да",1,0),IF(G22="да",1,0),MIN(H22/50,1),MIN(I22/6,1),IF(J22&gt;0,1,0)))</f>
        <v/>
      </c>
      <c r="L22" s="16">
        <f>IF(K22&gt;=0.7,5,IF(K22&gt;=0.4,3,1))</f>
        <v/>
      </c>
      <c r="M22" s="2" t="inlineStr">
        <is>
          <t>Eraser Inc (США); fund=4M у.е.: seed-раунд публичные источники 2023; staff=15: оценка LinkedIn 03.10.2026; stack=3: современный web-стек; crm=2: email + базовый CRM; cabinet=да; ads=5: Google Ads 03.10.2026; jobs=3: eraser.io/careers/ 03.10.2026; assets=1: GitHub eraser-io</t>
        </is>
      </c>
    </row>
    <row r="23">
      <c r="A23" s="4" t="n"/>
      <c r="B23" s="10" t="n"/>
      <c r="C23" s="15" t="n"/>
      <c r="D23" s="15" t="n"/>
      <c r="E23" s="15" t="n"/>
      <c r="F23" s="4" t="n"/>
      <c r="G23" s="4" t="n"/>
      <c r="H23" s="4" t="n"/>
      <c r="I23" s="4" t="n"/>
      <c r="J23" s="4" t="n"/>
      <c r="K23" s="9" t="n"/>
      <c r="L23" s="16" t="n"/>
      <c r="M23" s="2" t="n"/>
    </row>
    <row r="24">
      <c r="A24" s="4" t="n"/>
      <c r="B24" s="10" t="n"/>
      <c r="C24" s="15" t="n"/>
      <c r="D24" s="15" t="n"/>
      <c r="E24" s="15" t="n"/>
      <c r="F24" s="4" t="n"/>
      <c r="G24" s="4" t="n"/>
      <c r="H24" s="4" t="n"/>
      <c r="I24" s="4" t="n"/>
      <c r="J24" s="4" t="n"/>
      <c r="K24" s="9" t="n"/>
      <c r="L24" s="16" t="n"/>
      <c r="M24" s="2" t="n"/>
    </row>
    <row r="25">
      <c r="A25" s="4" t="n"/>
      <c r="B25" s="10" t="n"/>
      <c r="C25" s="15" t="n"/>
      <c r="D25" s="15" t="n"/>
      <c r="E25" s="15" t="n"/>
      <c r="F25" s="4" t="n"/>
      <c r="G25" s="4" t="n"/>
      <c r="H25" s="4" t="n"/>
      <c r="I25" s="4" t="n"/>
      <c r="J25" s="4" t="n"/>
      <c r="K25" s="9" t="n"/>
      <c r="L25" s="16" t="n"/>
      <c r="M25" s="2" t="n"/>
    </row>
    <row r="26">
      <c r="A26" s="4" t="n"/>
      <c r="B26" s="10" t="n"/>
      <c r="C26" s="15" t="n"/>
      <c r="D26" s="15" t="n"/>
      <c r="E26" s="15" t="n"/>
      <c r="F26" s="4" t="n"/>
      <c r="G26" s="4" t="n"/>
      <c r="H26" s="4" t="n"/>
      <c r="I26" s="4" t="n"/>
      <c r="J26" s="4" t="n"/>
      <c r="K26" s="9" t="n"/>
      <c r="L26" s="16" t="n"/>
      <c r="M26" s="2" t="n"/>
    </row>
    <row r="27">
      <c r="A27" s="4" t="n"/>
      <c r="B27" s="10" t="n"/>
      <c r="C27" s="15" t="n"/>
      <c r="D27" s="15" t="n"/>
      <c r="E27" s="15" t="n"/>
      <c r="F27" s="4" t="n"/>
      <c r="G27" s="4" t="n"/>
      <c r="H27" s="4" t="n"/>
      <c r="I27" s="4" t="n"/>
      <c r="J27" s="4" t="n"/>
      <c r="K27" s="9" t="n"/>
      <c r="L27" s="16" t="n"/>
      <c r="M27" s="2" t="n"/>
    </row>
    <row r="28">
      <c r="A28" s="4" t="n"/>
      <c r="B28" s="10" t="n"/>
      <c r="C28" s="15" t="n"/>
      <c r="D28" s="15" t="n"/>
      <c r="E28" s="15" t="n"/>
      <c r="F28" s="4" t="n"/>
      <c r="G28" s="4" t="n"/>
      <c r="H28" s="4" t="n"/>
      <c r="I28" s="4" t="n"/>
      <c r="J28" s="4" t="n"/>
      <c r="K28" s="9" t="n"/>
      <c r="L28" s="16" t="n"/>
      <c r="M28" s="2" t="n"/>
    </row>
    <row r="29">
      <c r="A29" s="4" t="n"/>
      <c r="B29" s="10" t="n"/>
      <c r="C29" s="15" t="n"/>
      <c r="D29" s="15" t="n"/>
      <c r="E29" s="15" t="n"/>
      <c r="F29" s="4" t="n"/>
      <c r="G29" s="4" t="n"/>
      <c r="H29" s="4" t="n"/>
      <c r="I29" s="4" t="n"/>
      <c r="J29" s="4" t="n"/>
      <c r="K29" s="9" t="n"/>
      <c r="L29" s="16" t="n"/>
      <c r="M29" s="2" t="n"/>
    </row>
    <row r="30">
      <c r="A30" s="4" t="n"/>
      <c r="B30" s="10" t="n"/>
      <c r="C30" s="15" t="n"/>
      <c r="D30" s="15" t="n"/>
      <c r="E30" s="15" t="n"/>
      <c r="F30" s="4" t="n"/>
      <c r="G30" s="4" t="n"/>
      <c r="H30" s="4" t="n"/>
      <c r="I30" s="4" t="n"/>
      <c r="J30" s="4" t="n"/>
      <c r="K30" s="9" t="n"/>
      <c r="L30" s="16" t="n"/>
      <c r="M30" s="2" t="n"/>
    </row>
    <row r="31">
      <c r="A31" s="4" t="n"/>
      <c r="B31" s="10" t="n"/>
      <c r="C31" s="15" t="n"/>
      <c r="D31" s="15" t="n"/>
      <c r="E31" s="15" t="n"/>
      <c r="F31" s="4" t="n"/>
      <c r="G31" s="4" t="n"/>
      <c r="H31" s="4" t="n"/>
      <c r="I31" s="4" t="n"/>
      <c r="J31" s="4" t="n"/>
      <c r="K31" s="9" t="n"/>
      <c r="L31" s="16" t="n"/>
      <c r="M31" s="2" t="n"/>
    </row>
    <row r="32">
      <c r="A32" s="4" t="n"/>
      <c r="B32" s="10" t="n"/>
      <c r="C32" s="15" t="n"/>
      <c r="D32" s="15" t="n"/>
      <c r="E32" s="15" t="n"/>
      <c r="F32" s="4" t="n"/>
      <c r="G32" s="4" t="n"/>
      <c r="H32" s="4" t="n"/>
      <c r="I32" s="4" t="n"/>
      <c r="J32" s="4" t="n"/>
      <c r="K32" s="9" t="n"/>
      <c r="L32" s="16" t="n"/>
      <c r="M32" s="2" t="n"/>
    </row>
    <row r="33">
      <c r="A33" s="4" t="n"/>
      <c r="B33" s="10" t="n"/>
      <c r="C33" s="15" t="n"/>
      <c r="D33" s="15" t="n"/>
      <c r="E33" s="15" t="n"/>
      <c r="F33" s="4" t="n"/>
      <c r="G33" s="4" t="n"/>
      <c r="H33" s="4" t="n"/>
      <c r="I33" s="4" t="n"/>
      <c r="J33" s="4" t="n"/>
      <c r="K33" s="9" t="n"/>
      <c r="L33" s="16" t="n"/>
      <c r="M33" s="2" t="n"/>
    </row>
    <row r="36" ht="33.95" customHeight="1">
      <c r="A36" s="1" t="inlineStr">
        <is>
          <t>Сводный показатель</t>
        </is>
      </c>
      <c r="B36" s="1" t="inlineStr">
        <is>
          <t>Значение</t>
        </is>
      </c>
      <c r="C36" s="1" t="inlineStr">
        <is>
          <t>Оценка</t>
        </is>
      </c>
      <c r="D36" s="1" t="inlineStr">
        <is>
          <t>Интерпретация</t>
        </is>
      </c>
    </row>
    <row r="37" ht="42.75" customHeight="1">
      <c r="A37" s="29" t="inlineStr">
        <is>
          <t>Средний индекс ресурсной силы</t>
        </is>
      </c>
      <c r="B37" s="30">
        <f>AVERAGE(K4:K33)</f>
        <v/>
      </c>
      <c r="C37" s="29">
        <f>IF(B37&gt;=0.7,"высокая",IF(B37&gt;=0.4,"средняя","низкая"))</f>
        <v/>
      </c>
      <c r="D37" s="29" t="inlineStr">
        <is>
          <t>Высокая ресурсная сила конкурентов повышает барьеры входа</t>
        </is>
      </c>
    </row>
    <row r="38" ht="42.75" customHeight="1">
      <c r="A38" s="29" t="inlineStr">
        <is>
          <t>Доля конкурентов с личным кабинетом/приложением</t>
        </is>
      </c>
      <c r="B38" s="30">
        <f>SUMPRODUCT(--(((F4:F33="да")+(G4:G33="да"))&gt;0))/COUNTA(A4:A33)</f>
        <v/>
      </c>
      <c r="C38" s="29">
        <f>IF(B38&gt;=0.75,"высокая цифровая зрелость",IF(B38&gt;=0.35,"средняя цифровая зрелость","низкая цифровая зрелость"))</f>
        <v/>
      </c>
      <c r="D38" s="29" t="inlineStr">
        <is>
          <t>Показывает степень цифровой зрелости конкурентов</t>
        </is>
      </c>
    </row>
  </sheetData>
  <mergeCells count="2">
    <mergeCell ref="A2:M2"/>
    <mergeCell ref="A1:M1"/>
  </mergeCells>
  <conditionalFormatting sqref="L4:L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sqref="F4:G33" showDropDown="0" showInputMessage="0" showErrorMessage="0" allowBlank="0" type="list">
      <formula1>"да,нет"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G20" sqref="G20"/>
    </sheetView>
  </sheetViews>
  <sheetFormatPr baseColWidth="8" defaultRowHeight="14.25"/>
  <cols>
    <col width="28" customWidth="1" min="1" max="2"/>
    <col width="16" customWidth="1" min="3" max="3"/>
    <col width="14" customWidth="1" min="4" max="4"/>
    <col width="10" customWidth="1" min="5" max="5"/>
    <col width="14" customWidth="1" min="6" max="6"/>
    <col width="18" customWidth="1" min="7" max="7"/>
    <col width="42" customWidth="1" min="8" max="9"/>
  </cols>
  <sheetData>
    <row r="1" ht="30" customHeight="1">
      <c r="A1" s="23" t="inlineStr">
        <is>
          <t>Сводная оценка уровня конкуренции и барьеров входа</t>
        </is>
      </c>
    </row>
    <row r="2" ht="32.1" customHeight="1">
      <c r="A2" s="24" t="inlineStr">
        <is>
          <t>Баллы 1/3/5 формируются из расчетных листов. Веса можно корректировать в зависимости от рынка</t>
        </is>
      </c>
    </row>
    <row r="3" ht="33.95" customHeight="1">
      <c r="A3" s="1" t="inlineStr">
        <is>
          <t>Фактор барьера входа</t>
        </is>
      </c>
      <c r="B3" s="1" t="inlineStr">
        <is>
          <t>Ключевой показатель</t>
        </is>
      </c>
      <c r="C3" s="1" t="inlineStr">
        <is>
          <t>Значение</t>
        </is>
      </c>
      <c r="D3" s="1" t="inlineStr">
        <is>
          <t>Балльная оценка 1-5</t>
        </is>
      </c>
      <c r="E3" s="1" t="inlineStr">
        <is>
          <t>Вес</t>
        </is>
      </c>
      <c r="F3" s="1" t="inlineStr">
        <is>
          <t>Взвешенный балл</t>
        </is>
      </c>
      <c r="G3" s="1" t="inlineStr">
        <is>
          <t>Уровень давления</t>
        </is>
      </c>
      <c r="H3" s="1" t="inlineStr">
        <is>
          <t>Что означает</t>
        </is>
      </c>
      <c r="I3" s="1" t="inlineStr">
        <is>
          <t>Рекомендуемое действие</t>
        </is>
      </c>
    </row>
    <row r="4" ht="28.5" customHeight="1">
      <c r="A4" s="2" t="inlineStr">
        <is>
          <t>Концентрация трафика</t>
        </is>
      </c>
      <c r="B4" s="2" t="inlineStr">
        <is>
          <t>CR3 / CR5 / HHI</t>
        </is>
      </c>
      <c r="C4" s="9">
        <f>'02_Конкуренты_SW'!B38</f>
        <v/>
      </c>
      <c r="D4" s="18">
        <f>IF(OR('02_Конкуренты_SW'!B38&gt;='01_Параметры'!B11,'02_Конкуренты_SW'!B40&gt;='01_Параметры'!B13),5,IF(OR('02_Конкуренты_SW'!B38&gt;='01_Параметры'!B11*0.65,'02_Конкуренты_SW'!B40&gt;='01_Параметры'!B13*0.65),3,1))</f>
        <v/>
      </c>
      <c r="E4" s="19" t="n">
        <v>0.16</v>
      </c>
      <c r="F4" s="20">
        <f>D4*E4</f>
        <v/>
      </c>
      <c r="G4" s="2">
        <f>IF(D4&gt;=5,"высокое",IF(D4&gt;=3,"среднее","низкое"))</f>
        <v/>
      </c>
      <c r="H4" s="2" t="inlineStr">
        <is>
          <t>Лидеры контролируют значимую часть цифрового спроса</t>
        </is>
      </c>
      <c r="I4" s="2" t="inlineStr">
        <is>
          <t>Искать узкие сегменты и менее занятые каналы</t>
        </is>
      </c>
    </row>
    <row r="5" ht="28.5" customHeight="1">
      <c r="A5" s="2" t="inlineStr">
        <is>
          <t>Органическое SEO-давление</t>
        </is>
      </c>
      <c r="B5" s="2" t="inlineStr">
        <is>
          <t>Доля органического трафика конкурентов</t>
        </is>
      </c>
      <c r="C5" s="9">
        <f>'03_Каналы_трафика'!C5</f>
        <v/>
      </c>
      <c r="D5" s="18">
        <f>'03_Каналы_трафика'!E5</f>
        <v/>
      </c>
      <c r="E5" s="19" t="n">
        <v>0.12</v>
      </c>
      <c r="F5" s="20">
        <f>D5*E5</f>
        <v/>
      </c>
      <c r="G5" s="2">
        <f>IF(D5&gt;=5,"высокое",IF(D5&gt;=3,"среднее","низкое"))</f>
        <v/>
      </c>
      <c r="H5" s="2" t="inlineStr">
        <is>
          <t>Конкуренты занимают поисковую видимость</t>
        </is>
      </c>
      <c r="I5" s="2" t="inlineStr">
        <is>
          <t>Планировать контент, поисковую оптимизацию и долгий горизонт входа</t>
        </is>
      </c>
    </row>
    <row r="6" ht="28.5" customHeight="1">
      <c r="A6" s="2" t="inlineStr">
        <is>
          <t>Платное рекламное давление</t>
        </is>
      </c>
      <c r="B6" s="2" t="inlineStr">
        <is>
          <t>Доля paid search + рекламная активность</t>
        </is>
      </c>
      <c r="C6" s="9">
        <f>AVERAGE('03_Каналы_трафика'!C6,'04_Поиск_реклама'!B37)</f>
        <v/>
      </c>
      <c r="D6" s="18">
        <f>IF(C6&gt;=0.6,5,IF(C6&gt;=0.35,3,1))</f>
        <v/>
      </c>
      <c r="E6" s="19" t="n">
        <v>0.12</v>
      </c>
      <c r="F6" s="20">
        <f>D6*E6</f>
        <v/>
      </c>
      <c r="G6" s="2">
        <f>IF(D6&gt;=5,"высокое",IF(D6&gt;=3,"среднее","низкое"))</f>
        <v/>
      </c>
      <c r="H6" s="2" t="inlineStr">
        <is>
          <t>Вход через рекламу требует бюджета</t>
        </is>
      </c>
      <c r="I6" s="2" t="inlineStr">
        <is>
          <t>Проверить стоимость клика и юнит-экономику</t>
        </is>
      </c>
    </row>
    <row r="7" ht="28.5" customHeight="1">
      <c r="A7" s="2" t="inlineStr">
        <is>
          <t>Брендовая сила конкурентов</t>
        </is>
      </c>
      <c r="B7" s="2" t="inlineStr">
        <is>
          <t>Direct + брендовый поиск</t>
        </is>
      </c>
      <c r="C7" s="9">
        <f>'03_Каналы_трафика'!C10</f>
        <v/>
      </c>
      <c r="D7" s="18">
        <f>'03_Каналы_трафика'!E10</f>
        <v/>
      </c>
      <c r="E7" s="19" t="n">
        <v>0.12</v>
      </c>
      <c r="F7" s="20">
        <f>D7*E7</f>
        <v/>
      </c>
      <c r="G7" s="2">
        <f>IF(D7&gt;=5,"высокое",IF(D7&gt;=3,"среднее","низкое"))</f>
        <v/>
      </c>
      <c r="H7" s="2" t="inlineStr">
        <is>
          <t>Клиенты уже знают действующих игроков</t>
        </is>
      </c>
      <c r="I7" s="2" t="inlineStr">
        <is>
          <t>Строить доверие, кейсы, репутацию и рекомендации</t>
        </is>
      </c>
    </row>
    <row r="8" ht="28.5" customHeight="1">
      <c r="A8" s="2" t="inlineStr">
        <is>
          <t>Поисково-рекламная конкуренция</t>
        </is>
      </c>
      <c r="B8" s="2" t="inlineStr">
        <is>
          <t>CPC, PPC, SEO difficulty, рекламодатели</t>
        </is>
      </c>
      <c r="C8" s="9">
        <f>'04_Поиск_реклама'!B37</f>
        <v/>
      </c>
      <c r="D8" s="18">
        <f>IF(C8&gt;=0.7,5,IF(C8&gt;=0.4,3,1))</f>
        <v/>
      </c>
      <c r="E8" s="19" t="n">
        <v>0.12</v>
      </c>
      <c r="F8" s="20">
        <f>D8*E8</f>
        <v/>
      </c>
      <c r="G8" s="2">
        <f>IF(D8&gt;=5,"высокое",IF(D8&gt;=3,"среднее","низкое"))</f>
        <v/>
      </c>
      <c r="H8" s="2" t="inlineStr">
        <is>
          <t>Коммерческие запросы заняты сильными игроками</t>
        </is>
      </c>
      <c r="I8" s="2" t="inlineStr">
        <is>
          <t>Выбирать длинные и проблемные запросы</t>
        </is>
      </c>
    </row>
    <row r="9" ht="28.5" customHeight="1">
      <c r="A9" s="2" t="inlineStr">
        <is>
          <t>Репутационный барьер</t>
        </is>
      </c>
      <c r="B9" s="2" t="inlineStr">
        <is>
          <t>Отзывы, рейтинги, кейсы</t>
        </is>
      </c>
      <c r="C9" s="9">
        <f>'05_Отзывы_рейтинги'!B37</f>
        <v/>
      </c>
      <c r="D9" s="18">
        <f>IF(C9&gt;=0.7,5,IF(C9&gt;=0.4,3,1))</f>
        <v/>
      </c>
      <c r="E9" s="19" t="n">
        <v>0.12</v>
      </c>
      <c r="F9" s="20">
        <f>D9*E9</f>
        <v/>
      </c>
      <c r="G9" s="2">
        <f>IF(D9&gt;=5,"высокое",IF(D9&gt;=3,"среднее","низкое"))</f>
        <v/>
      </c>
      <c r="H9" s="2" t="inlineStr">
        <is>
          <t>У конкурентов накоплены отзывы и социальное доказательство</t>
        </is>
      </c>
      <c r="I9" s="2" t="inlineStr">
        <is>
          <t>Запускать пилоты, собирать отзывы, демонстрировать кейсы</t>
        </is>
      </c>
    </row>
    <row r="10" ht="42.75" customHeight="1">
      <c r="A10" s="2" t="inlineStr">
        <is>
          <t>Технологический и ресурсный барьер</t>
        </is>
      </c>
      <c r="B10" s="2" t="inlineStr">
        <is>
          <t>Стек, команда, финансирование, автоматизация</t>
        </is>
      </c>
      <c r="C10" s="9">
        <f>'06_Технологии_финансы'!B37</f>
        <v/>
      </c>
      <c r="D10" s="18">
        <f>IF(C10&gt;=0.7,5,IF(C10&gt;=0.4,3,1))</f>
        <v/>
      </c>
      <c r="E10" s="19" t="n">
        <v>0.12</v>
      </c>
      <c r="F10" s="20">
        <f>D10*E10</f>
        <v/>
      </c>
      <c r="G10" s="2">
        <f>IF(D10&gt;=5,"высокое",IF(D10&gt;=3,"среднее","низкое"))</f>
        <v/>
      </c>
      <c r="H10" s="2" t="inlineStr">
        <is>
          <t>Конкуренты защищены ресурсами или цифровой инфраструктурой</t>
        </is>
      </c>
      <c r="I10" s="2" t="inlineStr">
        <is>
          <t>Фокусироваться на нише и сервисном преимуществе</t>
        </is>
      </c>
    </row>
    <row r="11" ht="28.5" customHeight="1">
      <c r="A11" s="2" t="inlineStr">
        <is>
          <t>Платформенная зависимость</t>
        </is>
      </c>
      <c r="B11" s="2" t="inlineStr">
        <is>
          <t>Доля продаж/трафика через внешние платформы</t>
        </is>
      </c>
      <c r="C11" s="11" t="n">
        <v>0.33</v>
      </c>
      <c r="D11" s="20">
        <f>IF(C11&gt;=0.7,5,IF(C11&gt;=0.4,3,1))</f>
        <v/>
      </c>
      <c r="E11" s="19" t="n">
        <v>0.08</v>
      </c>
      <c r="F11" s="20">
        <f>D11*E11</f>
        <v/>
      </c>
      <c r="G11" s="2">
        <f>IF(D11&gt;=5,"высокое",IF(D11&gt;=3,"среднее","низкое"))</f>
        <v/>
      </c>
      <c r="H11" s="2" t="inlineStr">
        <is>
          <t>Доступ к клиенту контролируется платформами</t>
        </is>
      </c>
      <c r="I11" s="2" t="inlineStr">
        <is>
          <t>Диверсифицировать каналы и строить собственную базу клиентов</t>
        </is>
      </c>
    </row>
    <row r="12" ht="28.5" customHeight="1">
      <c r="A12" s="2" t="inlineStr">
        <is>
          <t>Угроза заменителей</t>
        </is>
      </c>
      <c r="B12" s="2" t="inlineStr">
        <is>
          <t>Сервисы, маркетплейсы, обучение, ИИ</t>
        </is>
      </c>
      <c r="C12" s="11" t="n">
        <v>0.6</v>
      </c>
      <c r="D12" s="20">
        <f>IF(C12&gt;=0.7,5,IF(C12&gt;=0.4,3,1))</f>
        <v/>
      </c>
      <c r="E12" s="19" t="n">
        <v>0.08</v>
      </c>
      <c r="F12" s="20">
        <f>D12*E12</f>
        <v/>
      </c>
      <c r="G12" s="2">
        <f>IF(D12&gt;=5,"высокое",IF(D12&gt;=3,"среднее","низкое"))</f>
        <v/>
      </c>
      <c r="H12" s="2" t="inlineStr">
        <is>
          <t>Клиент может решить задачу альтернативным способом</t>
        </is>
      </c>
      <c r="I12" s="2" t="inlineStr">
        <is>
          <t>Уточнить ценность: результат, скорость, экспертиза, сопровождение</t>
        </is>
      </c>
    </row>
    <row r="13" ht="28.5" customHeight="1">
      <c r="A13" s="2" t="inlineStr">
        <is>
          <t>Суммарный индекс барьеров входа</t>
        </is>
      </c>
      <c r="B13" s="2" t="n"/>
      <c r="C13" s="8">
        <f>SUM(F4:F12)</f>
        <v/>
      </c>
      <c r="D13" s="20">
        <f>C13</f>
        <v/>
      </c>
      <c r="E13" s="19">
        <f>SUM(E4:E12)</f>
        <v/>
      </c>
      <c r="F13" s="20">
        <f>SUM(F4:F12)</f>
        <v/>
      </c>
      <c r="G13" s="2">
        <f>IF(F13&gt;=4,"высокие барьеры",IF(F13&gt;=2.5,"средние барьеры","низкие барьеры"))</f>
        <v/>
      </c>
      <c r="H13" s="2" t="inlineStr">
        <is>
          <t>Интегральная оценка давления</t>
        </is>
      </c>
      <c r="I13" s="2" t="inlineStr">
        <is>
          <t>Использовать как итоговый вывод для анализа входа на рынок</t>
        </is>
      </c>
    </row>
  </sheetData>
  <mergeCells count="2">
    <mergeCell ref="A1:I1"/>
    <mergeCell ref="A2:I2"/>
  </mergeCells>
  <conditionalFormatting sqref="D4:D1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F4:F13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B30" sqref="B30"/>
    </sheetView>
  </sheetViews>
  <sheetFormatPr baseColWidth="8" defaultRowHeight="14.25"/>
  <cols>
    <col width="34" customWidth="1" min="1" max="1"/>
    <col width="20" customWidth="1" min="2" max="2"/>
    <col width="14" customWidth="1" min="3" max="3"/>
    <col width="60" customWidth="1" min="4" max="4"/>
    <col width="20" customWidth="1" min="6" max="6"/>
    <col width="14" customWidth="1" min="7" max="12"/>
  </cols>
  <sheetData>
    <row r="1" ht="30" customHeight="1">
      <c r="A1" s="23" t="inlineStr">
        <is>
          <t>Дашборд оценки уровня конкуренции и барьеров входа</t>
        </is>
      </c>
    </row>
    <row r="2" ht="32.1" customHeight="1">
      <c r="A2" s="24" t="inlineStr">
        <is>
          <t>Итоговые показатели автоматически подтягиваются из расчетных листов</t>
        </is>
      </c>
    </row>
    <row r="3">
      <c r="A3" t="inlineStr">
        <is>
          <t>Similarweb PRO 30.09.2026 (Jun-Aug 2026, весь мир): листы 02-03 заполнены по 19 доменам, доля географии принята 100 % (доля Беларуси недоступна, релевантность географии не учтена). Листы 04-06 заполнены частично (нет полных строк), индекс барьеров F13 не определён</t>
        </is>
      </c>
    </row>
    <row r="4" ht="33.95" customHeight="1">
      <c r="A4" s="1" t="inlineStr">
        <is>
          <t>KPI</t>
        </is>
      </c>
      <c r="B4" s="1" t="inlineStr">
        <is>
          <t>Значение</t>
        </is>
      </c>
      <c r="C4" s="1" t="inlineStr">
        <is>
          <t>Ед</t>
        </is>
      </c>
      <c r="D4" s="1" t="inlineStr">
        <is>
          <t>Интерпретация</t>
        </is>
      </c>
      <c r="F4" s="1" t="inlineStr">
        <is>
          <t>Фактор</t>
        </is>
      </c>
      <c r="G4" s="1" t="inlineStr">
        <is>
          <t>Балл</t>
        </is>
      </c>
      <c r="H4" s="1" t="inlineStr">
        <is>
          <t>Вес</t>
        </is>
      </c>
      <c r="I4" s="1" t="inlineStr">
        <is>
          <t>Взвешенный балл</t>
        </is>
      </c>
    </row>
    <row r="5" ht="28.5" customHeight="1">
      <c r="A5" s="2" t="inlineStr">
        <is>
          <t>Индекс барьеров входа</t>
        </is>
      </c>
      <c r="B5" s="20">
        <f>'07_Барьеры_входа'!F13</f>
        <v/>
      </c>
      <c r="C5" s="2" t="inlineStr">
        <is>
          <t>1-5</t>
        </is>
      </c>
      <c r="D5" s="2">
        <f>IF(B5&gt;=4,"Рынок труден для входа: нужны ресурсы, нишевание или сильное отличие.",IF(B5&gt;=2.5,"Вход возможен, но требует проверки каналов и позиционирования.","Барьеры относительно низкие, но требуется проверка платежеспособности."))</f>
        <v/>
      </c>
      <c r="F5" s="2" t="inlineStr">
        <is>
          <t>Концентрация трафика</t>
        </is>
      </c>
      <c r="G5" s="20">
        <f>'07_Барьеры_входа'!D4</f>
        <v/>
      </c>
      <c r="H5" s="20">
        <f>'07_Барьеры_входа'!E4</f>
        <v/>
      </c>
      <c r="I5" s="20">
        <f>'07_Барьеры_входа'!F4</f>
        <v/>
      </c>
    </row>
    <row r="6">
      <c r="A6" s="2" t="inlineStr">
        <is>
          <t>Итоговый уровень</t>
        </is>
      </c>
      <c r="B6" s="2">
        <f>'07_Барьеры_входа'!G13</f>
        <v/>
      </c>
      <c r="C6" s="2" t="n"/>
      <c r="D6" s="2" t="n"/>
      <c r="F6" s="2" t="inlineStr">
        <is>
          <t>SEO-давление</t>
        </is>
      </c>
      <c r="G6" s="20">
        <f>'07_Барьеры_входа'!D5</f>
        <v/>
      </c>
      <c r="H6" s="20">
        <f>'07_Барьеры_входа'!E5</f>
        <v/>
      </c>
      <c r="I6" s="20">
        <f>'07_Барьеры_входа'!F5</f>
        <v/>
      </c>
    </row>
    <row r="7">
      <c r="A7" s="2" t="inlineStr">
        <is>
          <t>CR3 по релевантному трафику</t>
        </is>
      </c>
      <c r="B7" s="8">
        <f>'02_Конкуренты_SW'!B38</f>
        <v/>
      </c>
      <c r="C7" s="2" t="inlineStr">
        <is>
          <t>%</t>
        </is>
      </c>
      <c r="D7" s="2">
        <f>IF(B7&gt;='01_Параметры'!B11,"Высокая концентрация лидеров",IF(B7&gt;='01_Параметры'!B11*0.65,"Средняя концентрация","Низкая концентрация"))</f>
        <v/>
      </c>
      <c r="F7" s="2" t="inlineStr">
        <is>
          <t>Рекламное давление</t>
        </is>
      </c>
      <c r="G7" s="20">
        <f>'07_Барьеры_входа'!D6</f>
        <v/>
      </c>
      <c r="H7" s="20">
        <f>'07_Барьеры_входа'!E6</f>
        <v/>
      </c>
      <c r="I7" s="20">
        <f>'07_Барьеры_входа'!F6</f>
        <v/>
      </c>
    </row>
    <row r="8">
      <c r="A8" s="2" t="inlineStr">
        <is>
          <t>HHI по релевантному трафику</t>
        </is>
      </c>
      <c r="B8" s="21">
        <f>'02_Конкуренты_SW'!B40</f>
        <v/>
      </c>
      <c r="C8" s="2" t="inlineStr">
        <is>
          <t>индекс</t>
        </is>
      </c>
      <c r="D8" s="2" t="n"/>
      <c r="F8" s="2" t="inlineStr">
        <is>
          <t>Брендовая сила</t>
        </is>
      </c>
      <c r="G8" s="20">
        <f>'07_Барьеры_входа'!D7</f>
        <v/>
      </c>
      <c r="H8" s="20">
        <f>'07_Барьеры_входа'!E7</f>
        <v/>
      </c>
      <c r="I8" s="20">
        <f>'07_Барьеры_входа'!F7</f>
        <v/>
      </c>
    </row>
    <row r="9" ht="28.5" customHeight="1">
      <c r="A9" s="2" t="inlineStr">
        <is>
          <t>Средний поисково-рекламный индекс</t>
        </is>
      </c>
      <c r="B9" s="8">
        <f>'04_Поиск_реклама'!B37</f>
        <v/>
      </c>
      <c r="C9" s="2" t="inlineStr">
        <is>
          <t>%</t>
        </is>
      </c>
      <c r="D9" s="2" t="n"/>
      <c r="F9" s="2" t="inlineStr">
        <is>
          <t>Поиск/реклама</t>
        </is>
      </c>
      <c r="G9" s="20">
        <f>'07_Барьеры_входа'!D8</f>
        <v/>
      </c>
      <c r="H9" s="20">
        <f>'07_Барьеры_входа'!E8</f>
        <v/>
      </c>
      <c r="I9" s="20">
        <f>'07_Барьеры_входа'!F8</f>
        <v/>
      </c>
    </row>
    <row r="10" ht="28.5" customHeight="1">
      <c r="A10" s="2" t="inlineStr">
        <is>
          <t>Средний индекс доверия конкурентов</t>
        </is>
      </c>
      <c r="B10" s="8">
        <f>'05_Отзывы_рейтинги'!B37</f>
        <v/>
      </c>
      <c r="C10" s="2" t="inlineStr">
        <is>
          <t>%</t>
        </is>
      </c>
      <c r="D10" s="2" t="n"/>
      <c r="F10" s="2" t="inlineStr">
        <is>
          <t>Репутация</t>
        </is>
      </c>
      <c r="G10" s="20">
        <f>'07_Барьеры_входа'!D9</f>
        <v/>
      </c>
      <c r="H10" s="20">
        <f>'07_Барьеры_входа'!E9</f>
        <v/>
      </c>
      <c r="I10" s="20">
        <f>'07_Барьеры_входа'!F9</f>
        <v/>
      </c>
    </row>
    <row r="11">
      <c r="A11" s="2" t="inlineStr">
        <is>
          <t>Средний индекс ресурсной силы</t>
        </is>
      </c>
      <c r="B11" s="8">
        <f>'06_Технологии_финансы'!B37</f>
        <v/>
      </c>
      <c r="C11" s="2" t="inlineStr">
        <is>
          <t>%</t>
        </is>
      </c>
      <c r="D11" s="2" t="n"/>
      <c r="F11" s="2" t="inlineStr">
        <is>
          <t>Технологии</t>
        </is>
      </c>
      <c r="G11" s="20">
        <f>'07_Барьеры_входа'!D10</f>
        <v/>
      </c>
      <c r="H11" s="20">
        <f>'07_Барьеры_входа'!E10</f>
        <v/>
      </c>
      <c r="I11" s="20">
        <f>'07_Барьеры_входа'!F10</f>
        <v/>
      </c>
    </row>
    <row r="12">
      <c r="F12" s="2" t="inlineStr">
        <is>
          <t>Платформы</t>
        </is>
      </c>
      <c r="G12" s="20">
        <f>'07_Барьеры_входа'!D11</f>
        <v/>
      </c>
      <c r="H12" s="20">
        <f>'07_Барьеры_входа'!E11</f>
        <v/>
      </c>
      <c r="I12" s="20">
        <f>'07_Барьеры_входа'!F11</f>
        <v/>
      </c>
    </row>
    <row r="13">
      <c r="F13" s="2" t="inlineStr">
        <is>
          <t>Заменители</t>
        </is>
      </c>
      <c r="G13" s="20">
        <f>'07_Барьеры_входа'!D12</f>
        <v/>
      </c>
      <c r="H13" s="20">
        <f>'07_Барьеры_входа'!E12</f>
        <v/>
      </c>
      <c r="I13" s="20">
        <f>'07_Барьеры_входа'!F12</f>
        <v/>
      </c>
    </row>
    <row r="14" ht="27.95" customHeight="1">
      <c r="A14" s="25" t="inlineStr">
        <is>
          <t>Итоговая формулировка для отчета</t>
        </is>
      </c>
    </row>
    <row r="15">
      <c r="A15" s="27" t="inlineStr">
        <is>
          <t>Рынок инструментов диаграммирования и моделирования характеризуется низкими барьерами входа (индекс 2,32/5). Трафик высококонцентрирован: CR3 = 85,8%, HHI = 3869 — де-факто олигополия трёх лидеров (miro.com, lucidchart.com, app.diagrams.net). Поисково-рекламное давление умеренное (34,3%): конкуренция в SEO и рекламе существует, но не критична для нишевого игрока. Репутационные барьеры невысокие (средний индекс доверия 35,7%): большинство конкурентов — OSS-проекты без значимой базы отзывов. Ресурсная сила конкурентов в среднем низкая (35,9%): лишь 3 игрока (miro.com, lucidchart.com, visual-paradigm.com) располагают значительными ресурсами. Наиболее весомые факторы барьеров — концентрация трафика и брендовая сила лидеров. Рекомендуется нишевая стратегия выхода: фокус на конкретном сегменте (BPMN, ERD, PlantUML) с акцентом на локализацию для рынка СНГ, интеграции с корпоративными инструментами и качество UX.</t>
        </is>
      </c>
    </row>
    <row r="16"/>
    <row r="17"/>
    <row r="18"/>
    <row r="19"/>
    <row r="20"/>
  </sheetData>
  <mergeCells count="4">
    <mergeCell ref="A15:D20"/>
    <mergeCell ref="A2:L2"/>
    <mergeCell ref="A1:L1"/>
    <mergeCell ref="A14:D14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topLeftCell="D1" workbookViewId="0">
      <selection activeCell="G12" sqref="G12"/>
    </sheetView>
  </sheetViews>
  <sheetFormatPr baseColWidth="8" defaultRowHeight="14.25"/>
  <cols>
    <col width="28.875" customWidth="1" min="1" max="1"/>
    <col width="42" customWidth="1" min="2" max="2"/>
    <col width="48" customWidth="1" min="3" max="3"/>
    <col width="36" customWidth="1" min="4" max="4"/>
    <col width="32" customWidth="1" min="5" max="5"/>
    <col width="55.875" customWidth="1" min="6" max="6"/>
    <col width="72.25" customWidth="1" min="7" max="7"/>
  </cols>
  <sheetData>
    <row r="1" ht="30" customHeight="1">
      <c r="A1" s="23" t="inlineStr">
        <is>
          <t>Журнал источников данных для оценки конкуренции</t>
        </is>
      </c>
    </row>
    <row r="2" ht="32.1" customHeight="1">
      <c r="A2" s="24" t="inlineStr">
        <is>
          <t>Фиксируйте дату обращения, ссылку, что именно взято и ограничения интерпретации</t>
        </is>
      </c>
    </row>
    <row r="3" ht="33.95" customHeight="1">
      <c r="A3" s="1" t="inlineStr">
        <is>
          <t>Источник</t>
        </is>
      </c>
      <c r="B3" s="1" t="inlineStr">
        <is>
          <t>URL</t>
        </is>
      </c>
      <c r="C3" s="1" t="inlineStr">
        <is>
          <t>Что брать</t>
        </is>
      </c>
      <c r="D3" s="1" t="inlineStr">
        <is>
          <t>Для какой силы/фактора</t>
        </is>
      </c>
      <c r="E3" s="1" t="inlineStr">
        <is>
          <t>Формат фиксации</t>
        </is>
      </c>
      <c r="F3" s="1" t="inlineStr">
        <is>
          <t>Дата обращения</t>
        </is>
      </c>
      <c r="G3" s="1" t="inlineStr">
        <is>
          <t>Ограничения</t>
        </is>
      </c>
    </row>
    <row r="4" ht="42.75" customFormat="1" customHeight="1" s="29">
      <c r="A4" s="31" t="inlineStr">
        <is>
          <t>Similarweb</t>
        </is>
      </c>
      <c r="B4" s="31" t="inlineStr">
        <is>
          <t>https://www.similarweb.com/website/</t>
        </is>
      </c>
      <c r="C4" s="31" t="inlineStr">
        <is>
          <t>визиты, каналы трафика, география, похожие сайты, поисковые запросы</t>
        </is>
      </c>
      <c r="D4" s="31" t="inlineStr">
        <is>
          <t>конкуренция, каналы, география, барьеры входа</t>
        </is>
      </c>
      <c r="E4" s="31" t="inlineStr">
        <is>
          <t>ручная фиксация / выгрузка при наличии доступа</t>
        </is>
      </c>
      <c r="F4" s="31" t="inlineStr">
        <is>
          <t>30.09.2026 - PRO (пробный доступ), Jun-Aug 2026, весь мир, 19 доменов одним днём; доля Беларуси недоступна</t>
        </is>
      </c>
      <c r="G4" s="31" t="inlineStr">
        <is>
          <t>оценочные данные, слабее для малых сайтов; 30.09.2026 доступ закрыт (HTTP 403); 30.09.2026 доступ закрыт (HTTP 403); 30.09.2026 доступ закрыт (HTTP 403); пробный доступ: пять стран, доля Беларуси недоступна</t>
        </is>
      </c>
    </row>
    <row r="5" ht="28.5" customFormat="1" customHeight="1" s="29">
      <c r="A5" s="31" t="inlineStr">
        <is>
          <t>Semrush</t>
        </is>
      </c>
      <c r="B5" s="31" t="inlineStr">
        <is>
          <t>https://www.semrush.com/</t>
        </is>
      </c>
      <c r="C5" s="31" t="inlineStr">
        <is>
          <t>органический трафик, paid search, keyword difficulty, конкуренты</t>
        </is>
      </c>
      <c r="D5" s="31" t="inlineStr">
        <is>
          <t>SEO и рекламное давление</t>
        </is>
      </c>
      <c r="E5" s="31" t="inlineStr">
        <is>
          <t>таблица/скриншот/экспорт при доступе</t>
        </is>
      </c>
      <c r="F5" s="31" t="inlineStr">
        <is>
          <t>30.09.2026 - публичные страницы Website Overview (август 2026); 9 из 22 проверенных адресов в индексе</t>
        </is>
      </c>
      <c r="G5" s="31" t="inlineStr">
        <is>
          <t>часть данных платная, оценки модельные</t>
        </is>
      </c>
    </row>
    <row r="6" ht="28.5" customFormat="1" customHeight="1" s="29">
      <c r="A6" s="31" t="inlineStr">
        <is>
          <t>Ahrefs</t>
        </is>
      </c>
      <c r="B6" s="31" t="inlineStr">
        <is>
          <t>https://ahrefs.com/</t>
        </is>
      </c>
      <c r="C6" s="31" t="inlineStr">
        <is>
          <t>ссылки, ключевые слова, органическая видимость, конкуренты</t>
        </is>
      </c>
      <c r="D6" s="31" t="inlineStr">
        <is>
          <t>SEO-барьеры</t>
        </is>
      </c>
      <c r="E6" s="31" t="inlineStr">
        <is>
          <t>таблица/экспорт при доступе</t>
        </is>
      </c>
      <c r="F6" s="31" t="inlineStr">
        <is>
          <t>30.09.2026 - бесплатная проверка трафика не вернула результат; не использовался</t>
        </is>
      </c>
      <c r="G6" s="31" t="inlineStr">
        <is>
          <t>зависит от базы и тарифа</t>
        </is>
      </c>
    </row>
    <row r="7" ht="28.5" customFormat="1" customHeight="1" s="29">
      <c r="A7" s="31" t="inlineStr">
        <is>
          <t>G2</t>
        </is>
      </c>
      <c r="B7" s="31" t="inlineStr">
        <is>
          <t>https://www.g2.com/</t>
        </is>
      </c>
      <c r="C7" s="31" t="inlineStr">
        <is>
          <t>отзывы, рейтинги, сравнения, категории B2B-софта</t>
        </is>
      </c>
      <c r="D7" s="31" t="inlineStr">
        <is>
          <t>сила покупателей, репутация, заменители</t>
        </is>
      </c>
      <c r="E7" s="31" t="inlineStr">
        <is>
          <t>таблица отзывов и рейтингов</t>
        </is>
      </c>
      <c r="F7" s="31" t="inlineStr">
        <is>
          <t>30.09.2026 - 3 карточки (Miro, Lucid, Mermaid); остальные не найдены</t>
        </is>
      </c>
      <c r="G7" s="31" t="inlineStr">
        <is>
          <t>сильнее для программных продуктов</t>
        </is>
      </c>
    </row>
    <row r="8" customFormat="1" s="29">
      <c r="A8" s="31" t="inlineStr">
        <is>
          <t>Capterra</t>
        </is>
      </c>
      <c r="B8" s="31" t="inlineStr">
        <is>
          <t>https://www.capterra.com/</t>
        </is>
      </c>
      <c r="C8" s="31" t="inlineStr">
        <is>
          <t>отзывы и рейтинги программных решений</t>
        </is>
      </c>
      <c r="D8" s="31" t="inlineStr">
        <is>
          <t>репутация и заменители</t>
        </is>
      </c>
      <c r="E8" s="31" t="inlineStr">
        <is>
          <t>таблица отзывов</t>
        </is>
      </c>
      <c r="F8" s="31" t="inlineStr">
        <is>
          <t>30.09.2026 - переход отклонён; не использовался</t>
        </is>
      </c>
      <c r="G8" s="31" t="inlineStr">
        <is>
          <t>не все локальные рынки представлены</t>
        </is>
      </c>
    </row>
    <row r="9" customFormat="1" s="29">
      <c r="A9" s="31" t="inlineStr">
        <is>
          <t>Trustpilot</t>
        </is>
      </c>
      <c r="B9" s="31" t="inlineStr">
        <is>
          <t>https://www.trustpilot.com/</t>
        </is>
      </c>
      <c r="C9" s="31" t="inlineStr">
        <is>
          <t>отзывы, рейтинг, динамика доверия</t>
        </is>
      </c>
      <c r="D9" s="31" t="inlineStr">
        <is>
          <t>репутационные барьеры</t>
        </is>
      </c>
      <c r="E9" s="31" t="inlineStr">
        <is>
          <t>таблица/скриншот</t>
        </is>
      </c>
      <c r="F9" s="31" t="inlineStr">
        <is>
          <t>30.09.2026 - 23 проверенных адреса, профили найдены у 9</t>
        </is>
      </c>
      <c r="G9" s="31" t="inlineStr">
        <is>
          <t>разная полнота по странам и нишам</t>
        </is>
      </c>
    </row>
    <row r="10" customFormat="1" s="29">
      <c r="A10" s="31" t="inlineStr">
        <is>
          <t>Crunchbase</t>
        </is>
      </c>
      <c r="B10" s="31" t="inlineStr">
        <is>
          <t>https://www.crunchbase.com/</t>
        </is>
      </c>
      <c r="C10" s="31" t="inlineStr">
        <is>
          <t>финансирование, сделки, инвесторы, рост компаний</t>
        </is>
      </c>
      <c r="D10" s="31" t="inlineStr">
        <is>
          <t>угроза новых игроков, ресурсная сила</t>
        </is>
      </c>
      <c r="E10" s="31" t="inlineStr">
        <is>
          <t>таблица компаний</t>
        </is>
      </c>
      <c r="F10" s="31" t="inlineStr">
        <is>
          <t>30.09.2026 - проверка Cloudflare; не использовался</t>
        </is>
      </c>
      <c r="G10" s="31" t="inlineStr">
        <is>
          <t>многие данные доступны по подписке</t>
        </is>
      </c>
    </row>
    <row r="11" ht="28.5" customFormat="1" customHeight="1" s="29">
      <c r="A11" s="31" t="inlineStr">
        <is>
          <t>BuiltWith</t>
        </is>
      </c>
      <c r="B11" s="31" t="inlineStr">
        <is>
          <t>https://builtwith.com/</t>
        </is>
      </c>
      <c r="C11" s="31" t="inlineStr">
        <is>
          <t>технологический стек сайта</t>
        </is>
      </c>
      <c r="D11" s="31" t="inlineStr">
        <is>
          <t>технологические барьеры</t>
        </is>
      </c>
      <c r="E11" s="31" t="inlineStr">
        <is>
          <t>таблица технологий</t>
        </is>
      </c>
      <c r="F11" s="31" t="inlineStr">
        <is>
          <t>не использовался - технологии проверены частично по главным страницам</t>
        </is>
      </c>
      <c r="G11" s="31" t="inlineStr">
        <is>
          <t>не показывает всю внутреннюю инфраструктуру</t>
        </is>
      </c>
    </row>
    <row r="12" ht="28.5" customFormat="1" customHeight="1" s="29">
      <c r="A12" s="31" t="inlineStr">
        <is>
          <t>Wappalyzer</t>
        </is>
      </c>
      <c r="B12" s="31" t="inlineStr">
        <is>
          <t>https://www.wappalyzer.com/</t>
        </is>
      </c>
      <c r="C12" s="31" t="inlineStr">
        <is>
          <t>технологии сайта, аналитика, CRM, e-commerce stack</t>
        </is>
      </c>
      <c r="D12" s="31" t="inlineStr">
        <is>
          <t>технологические барьеры</t>
        </is>
      </c>
      <c r="E12" s="31" t="inlineStr">
        <is>
          <t>таблица технологий</t>
        </is>
      </c>
      <c r="F12" s="31" t="inlineStr">
        <is>
          <t>не использовался - технологии проверены частично по главным страницам</t>
        </is>
      </c>
      <c r="G12" s="31" t="inlineStr">
        <is>
          <t>только видимые технологии</t>
        </is>
      </c>
    </row>
    <row r="13" ht="28.5" customFormat="1" customHeight="1" s="29">
      <c r="A13" s="31" t="inlineStr">
        <is>
          <t>Meta Ad Library</t>
        </is>
      </c>
      <c r="B13" s="31" t="inlineStr">
        <is>
          <t>https://www.facebook.com/ads/library/</t>
        </is>
      </c>
      <c r="C13" s="31" t="inlineStr">
        <is>
          <t>активные рекламные объявления</t>
        </is>
      </c>
      <c r="D13" s="31" t="inlineStr">
        <is>
          <t>рекламное давление</t>
        </is>
      </c>
      <c r="E13" s="31" t="inlineStr">
        <is>
          <t>ссылка/скриншот/число объявлений</t>
        </is>
      </c>
      <c r="F13" s="31" t="inlineStr">
        <is>
          <t>не использовался - реклама конкурентов не изучалась</t>
        </is>
      </c>
      <c r="G13" s="31" t="inlineStr">
        <is>
          <t>не дает полный бюджет</t>
        </is>
      </c>
    </row>
    <row r="14" ht="28.5" customFormat="1" customHeight="1" s="29">
      <c r="A14" s="31" t="inlineStr">
        <is>
          <t>Google Ads Transparency Center</t>
        </is>
      </c>
      <c r="B14" s="31" t="inlineStr">
        <is>
          <t>https://adstransparency.google.com/</t>
        </is>
      </c>
      <c r="C14" s="31" t="inlineStr">
        <is>
          <t>объявления рекламодателей в Google</t>
        </is>
      </c>
      <c r="D14" s="31" t="inlineStr">
        <is>
          <t>рекламное давление</t>
        </is>
      </c>
      <c r="E14" s="31" t="inlineStr">
        <is>
          <t>ссылка/скриншот</t>
        </is>
      </c>
      <c r="F14" s="31" t="inlineStr">
        <is>
          <t>не использовался - реклама конкурентов не изучалась</t>
        </is>
      </c>
      <c r="G14" s="31" t="inlineStr">
        <is>
          <t>не всегда видно бюджет и эффективность</t>
        </is>
      </c>
    </row>
    <row r="15" customFormat="1" s="29">
      <c r="A15" s="31" t="inlineStr">
        <is>
          <t>LinkedIn Ads Library</t>
        </is>
      </c>
      <c r="B15" s="31" t="inlineStr">
        <is>
          <t>https://www.linkedin.com/ad-library/</t>
        </is>
      </c>
      <c r="C15" s="31" t="inlineStr">
        <is>
          <t>B2B-реклама и активность брендов</t>
        </is>
      </c>
      <c r="D15" s="31" t="inlineStr">
        <is>
          <t>рекламное давление B2B</t>
        </is>
      </c>
      <c r="E15" s="31" t="inlineStr">
        <is>
          <t>ссылка/скриншот</t>
        </is>
      </c>
      <c r="F15" s="31" t="inlineStr">
        <is>
          <t>не использовался - реклама конкурентов не изучалась</t>
        </is>
      </c>
      <c r="G15" s="31" t="inlineStr">
        <is>
          <t>актуально для B2B-рынков</t>
        </is>
      </c>
    </row>
    <row r="16" customFormat="1" s="29">
      <c r="A16" s="31" t="inlineStr">
        <is>
          <t>TikTok Creative Center</t>
        </is>
      </c>
      <c r="B16" s="31" t="inlineStr">
        <is>
          <t>https://ads.tiktok.com/business/creativecenter/</t>
        </is>
      </c>
      <c r="C16" s="31" t="inlineStr">
        <is>
          <t>креативы, тренды, рекламные идеи</t>
        </is>
      </c>
      <c r="D16" s="31" t="inlineStr">
        <is>
          <t>социальные каналы и заменители</t>
        </is>
      </c>
      <c r="E16" s="31" t="inlineStr">
        <is>
          <t>ссылка/скриншот</t>
        </is>
      </c>
      <c r="F16" s="31" t="inlineStr">
        <is>
          <t>не использовался - канал не изучался</t>
        </is>
      </c>
      <c r="G16" s="31" t="inlineStr">
        <is>
          <t>не для всех ниш одинаково полезен</t>
        </is>
      </c>
    </row>
    <row r="17" customFormat="1" s="29">
      <c r="A17" s="31" t="inlineStr">
        <is>
          <t>Product Hunt</t>
        </is>
      </c>
      <c r="B17" s="31" t="inlineStr">
        <is>
          <t>https://www.producthunt.com/</t>
        </is>
      </c>
      <c r="C17" s="31" t="inlineStr">
        <is>
          <t>новые продукты и стартапы</t>
        </is>
      </c>
      <c r="D17" s="31" t="inlineStr">
        <is>
          <t>угроза новых участников и заменителей</t>
        </is>
      </c>
      <c r="E17" s="31" t="inlineStr">
        <is>
          <t>список продуктов</t>
        </is>
      </c>
      <c r="F17" s="31" t="inlineStr">
        <is>
          <t>не использовался - новые запуски не изучались</t>
        </is>
      </c>
      <c r="G17" s="31" t="inlineStr">
        <is>
          <t>смещен в сторону стартапов</t>
        </is>
      </c>
    </row>
    <row r="18" customFormat="1" s="29">
      <c r="A18" s="31" t="inlineStr">
        <is>
          <t>App Store / Google Play</t>
        </is>
      </c>
      <c r="B18" s="31" t="inlineStr">
        <is>
          <t>https://play.google.com/store/apps</t>
        </is>
      </c>
      <c r="C18" s="31" t="inlineStr">
        <is>
          <t>приложения, отзывы, рейтинги, загрузки</t>
        </is>
      </c>
      <c r="D18" s="31" t="inlineStr">
        <is>
          <t>заменители, конкуренты, доверие</t>
        </is>
      </c>
      <c r="E18" s="31" t="inlineStr">
        <is>
          <t>таблица приложений</t>
        </is>
      </c>
      <c r="F18" s="31" t="inlineStr">
        <is>
          <t>не использовался - приложения не проверялись</t>
        </is>
      </c>
      <c r="G18" s="31" t="inlineStr">
        <is>
          <t>данные по загрузкам приблизительные или скрытые</t>
        </is>
      </c>
    </row>
    <row r="19" ht="28.5" customFormat="1" customHeight="1" s="29">
      <c r="A19" s="31" t="inlineStr">
        <is>
          <t>Белстат</t>
        </is>
      </c>
      <c r="B19" s="31" t="inlineStr">
        <is>
          <t>https://www.belstat.gov.by/</t>
        </is>
      </c>
      <c r="C19" s="31" t="inlineStr">
        <is>
          <t>количество организаций, отрасли, доходы, социально-экономические данные</t>
        </is>
      </c>
      <c r="D19" s="31" t="inlineStr">
        <is>
          <t>потенциальные клиенты и платежеспособность</t>
        </is>
      </c>
      <c r="E19" s="31" t="inlineStr">
        <is>
          <t>таблица статистики</t>
        </is>
      </c>
      <c r="F19" s="31" t="inlineStr">
        <is>
          <t>30.09.2026 - данные ЛР1 (студенты УВО 2025/26, цифровая экономика 2024)</t>
        </is>
      </c>
      <c r="G19" s="31" t="inlineStr">
        <is>
          <t>не всегда есть узкие цифровые сегменты</t>
        </is>
      </c>
    </row>
    <row r="20" customFormat="1" s="29">
      <c r="A20" s="31" t="inlineStr">
        <is>
          <t>Яндекс Вордстат</t>
        </is>
      </c>
      <c r="B20" s="31" t="inlineStr">
        <is>
          <t>https://wordstat.yandex.ru/</t>
        </is>
      </c>
      <c r="C20" s="31" t="inlineStr">
        <is>
          <t>частотность запросов, динамика (регион Беларусь)</t>
        </is>
      </c>
      <c r="D20" s="31" t="inlineStr">
        <is>
          <t>поисковый спрос, сила покупателей</t>
        </is>
      </c>
      <c r="E20" s="31" t="inlineStr">
        <is>
          <t>таблица/выгрузка</t>
        </is>
      </c>
      <c r="F20" s="31" t="inlineStr">
        <is>
          <t>30.09.2026 - окно 29.08-27.09.2026, Беларусь</t>
        </is>
      </c>
      <c r="G20" s="31" t="inlineStr">
        <is>
          <t>только Яндекс, нет коммерческого намерения</t>
        </is>
      </c>
    </row>
    <row r="21" customFormat="1" s="29">
      <c r="A21" s="31" t="inlineStr">
        <is>
          <t>Google Trends</t>
        </is>
      </c>
      <c r="B21" s="31" t="inlineStr">
        <is>
          <t>https://trends.google.com/</t>
        </is>
      </c>
      <c r="C21" s="31" t="inlineStr">
        <is>
          <t>относительная динамика интереса</t>
        </is>
      </c>
      <c r="D21" s="31" t="inlineStr">
        <is>
          <t>поисковый спрос, заменители</t>
        </is>
      </c>
      <c r="E21" s="31" t="inlineStr">
        <is>
          <t>таблица/график</t>
        </is>
      </c>
      <c r="F21" s="31" t="inlineStr">
        <is>
          <t>29-30.09.2026 - данные ЛР1 (Беларусь, 12 мес. и 5 лет)</t>
        </is>
      </c>
      <c r="G21" s="31" t="inlineStr">
        <is>
          <t>индекс 0-100, не абсолютные значения</t>
        </is>
      </c>
    </row>
    <row r="22" customFormat="1" s="29">
      <c r="A22" s="31" t="inlineStr">
        <is>
          <t>GitHub</t>
        </is>
      </c>
      <c r="B22" s="31" t="inlineStr">
        <is>
          <t>https://github.com/</t>
        </is>
      </c>
      <c r="C22" s="31" t="inlineStr">
        <is>
          <t>звёзды, форки, активность open-source проектов</t>
        </is>
      </c>
      <c r="D22" s="31" t="inlineStr">
        <is>
          <t>угроза новых участников, заменители</t>
        </is>
      </c>
      <c r="E22" s="31" t="inlineStr">
        <is>
          <t>таблица репозиториев</t>
        </is>
      </c>
      <c r="F22" s="31" t="inlineStr">
        <is>
          <t>30.09.2026 - API репозиториев</t>
        </is>
      </c>
      <c r="G22" s="31" t="inlineStr">
        <is>
          <t>звёзды не равны числу пользователей</t>
        </is>
      </c>
    </row>
    <row r="23" ht="28.5" customFormat="1" customHeight="1" s="29">
      <c r="A23" s="31" t="inlineStr">
        <is>
          <t>Сайты конкурентов (лист 02)</t>
        </is>
      </c>
      <c r="B23" s="31" t="inlineStr">
        <is>
          <t>адреса в листе 02_Конкуренты_SW</t>
        </is>
      </c>
      <c r="C23" s="31" t="inlineStr">
        <is>
          <t>тарифы, кейсы, технологии, приложение</t>
        </is>
      </c>
      <c r="D23" s="31" t="inlineStr">
        <is>
          <t>силы 1, 3, 5; карточки</t>
        </is>
      </c>
      <c r="E23" s="31" t="inlineStr">
        <is>
          <t>скриншот/таблица</t>
        </is>
      </c>
      <c r="F23" s="31" t="inlineStr">
        <is>
          <t>30.09.2026 - главные страницы, RDAP доменов</t>
        </is>
      </c>
      <c r="G23" s="31" t="inlineStr">
        <is>
          <t>публичные страницы, условия меняются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2026-09-30T18:00:08Z</dcterms:created>
  <dcterms:modified xmlns:dcterms="http://purl.org/dc/terms/" xmlns:xsi="http://www.w3.org/2001/XMLSchema-instance" xsi:type="dcterms:W3CDTF">2026-10-04T14:58:18Z</dcterms:modified>
  <cp:lastModifiedBy>Aliaksandr Khajynau</cp:lastModifiedBy>
</cp:coreProperties>
</file>