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5" activeTab="11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Банк_анализа" sheetId="2" state="visible" r:id="rId2"/>
    <sheet xmlns:r="http://schemas.openxmlformats.org/officeDocument/2006/relationships" name="Реестр_единиц" sheetId="3" state="visible" r:id="rId3"/>
    <sheet xmlns:r="http://schemas.openxmlformats.org/officeDocument/2006/relationships" name="Оценка_релизов" sheetId="4" state="visible" r:id="rId4"/>
    <sheet xmlns:r="http://schemas.openxmlformats.org/officeDocument/2006/relationships" name="Первый_релиз" sheetId="5" state="visible" r:id="rId5"/>
    <sheet xmlns:r="http://schemas.openxmlformats.org/officeDocument/2006/relationships" name="Следующие_релизы" sheetId="6" state="visible" r:id="rId6"/>
    <sheet xmlns:r="http://schemas.openxmlformats.org/officeDocument/2006/relationships" name="Дорожная_карта" sheetId="7" state="visible" r:id="rId7"/>
    <sheet xmlns:r="http://schemas.openxmlformats.org/officeDocument/2006/relationships" name="Проверка_ценности" sheetId="8" state="visible" r:id="rId8"/>
    <sheet xmlns:r="http://schemas.openxmlformats.org/officeDocument/2006/relationships" name="Риски_зависимости" sheetId="9" state="visible" r:id="rId9"/>
    <sheet xmlns:r="http://schemas.openxmlformats.org/officeDocument/2006/relationships" name="Дашборд" sheetId="10" state="visible" r:id="rId10"/>
    <sheet xmlns:r="http://schemas.openxmlformats.org/officeDocument/2006/relationships" name="Справочники" sheetId="11" state="visible" r:id="rId11"/>
    <sheet xmlns:r="http://schemas.openxmlformats.org/officeDocument/2006/relationships" name="Журнал_6_5" sheetId="12" state="visible" r:id="rId12"/>
  </sheets>
  <definedNames/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yyyy\-mm\-dd"/>
  </numFmts>
  <fonts count="9">
    <font>
      <name val="Carlito"/>
      <sz val="11"/>
    </font>
    <font>
      <name val="Carlito"/>
      <b val="1"/>
      <color rgb="FFFFFFFF"/>
      <sz val="14"/>
    </font>
    <font>
      <name val="Carlito"/>
      <b val="1"/>
      <color rgb="FF17365D"/>
      <sz val="11"/>
    </font>
    <font>
      <name val="Carlito"/>
      <color rgb="FF000000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0"/>
    </font>
    <font>
      <name val="Carlito"/>
      <charset val="204"/>
      <b val="1"/>
      <sz val="10"/>
    </font>
    <font>
      <name val="Carlito"/>
      <charset val="204"/>
      <b val="1"/>
      <sz val="12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27">
    <xf numFmtId="0" fontId="0" fillId="0" borderId="0" pivotButton="0" quotePrefix="0" xfId="0"/>
    <xf numFmtId="0" fontId="2" fillId="3" borderId="0" applyAlignment="1" pivotButton="0" quotePrefix="0" xfId="1">
      <alignment horizontal="left" vertical="center" wrapText="1"/>
    </xf>
    <xf numFmtId="0" fontId="3" fillId="4" borderId="0" applyAlignment="1" pivotButton="0" quotePrefix="0" xfId="1">
      <alignment vertical="top" wrapText="1"/>
    </xf>
    <xf numFmtId="0" fontId="4" fillId="5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1" fontId="3" fillId="4" borderId="0" applyAlignment="1" pivotButton="0" quotePrefix="0" xfId="1">
      <alignment vertical="top" wrapText="1"/>
    </xf>
    <xf numFmtId="0" fontId="3" fillId="6" borderId="0" applyAlignment="1" pivotButton="0" quotePrefix="0" xfId="1">
      <alignment vertical="top" wrapText="1"/>
    </xf>
    <xf numFmtId="2" fontId="3" fillId="6" borderId="0" applyAlignment="1" pivotButton="0" quotePrefix="0" xfId="1">
      <alignment vertical="top" wrapText="1"/>
    </xf>
    <xf numFmtId="164" fontId="3" fillId="4" borderId="0" applyAlignment="1" pivotButton="0" quotePrefix="0" xfId="1">
      <alignment vertical="top" wrapText="1"/>
    </xf>
    <xf numFmtId="0" fontId="6" fillId="0" borderId="0" pivotButton="0" quotePrefix="0" xfId="0"/>
    <xf numFmtId="0" fontId="8" fillId="0" borderId="0" pivotButton="0" quotePrefix="0" xfId="0"/>
    <xf numFmtId="0" fontId="7" fillId="7" borderId="1" pivotButton="0" quotePrefix="0" xfId="0"/>
    <xf numFmtId="0" fontId="6" fillId="0" borderId="1" applyAlignment="1" pivotButton="0" quotePrefix="0" xfId="0">
      <alignment vertical="top" wrapText="1"/>
    </xf>
    <xf numFmtId="0" fontId="1" fillId="2" borderId="0" applyAlignment="1" pivotButton="0" quotePrefix="0" xfId="1">
      <alignment horizontal="center" vertical="center" wrapText="1"/>
    </xf>
    <xf numFmtId="0" fontId="3" fillId="4" borderId="0" applyAlignment="1" pivotButton="0" quotePrefix="0" xfId="1">
      <alignment vertical="top"/>
    </xf>
    <xf numFmtId="0" fontId="0" fillId="0" borderId="0" pivotButton="0" quotePrefix="0" xfId="0"/>
    <xf numFmtId="0" fontId="3" fillId="4" borderId="0" applyAlignment="1" pivotButton="0" quotePrefix="0" xfId="1">
      <alignment vertical="center" wrapText="1"/>
    </xf>
    <xf numFmtId="0" fontId="0" fillId="0" borderId="0" applyAlignment="1" pivotButton="0" quotePrefix="0" xfId="1">
      <alignment vertical="center" wrapText="1"/>
    </xf>
    <xf numFmtId="2" fontId="3" fillId="6" borderId="0" applyAlignment="1" pivotButton="0" quotePrefix="0" xfId="1">
      <alignment vertical="center" wrapText="1"/>
    </xf>
    <xf numFmtId="0" fontId="3" fillId="6" borderId="0" applyAlignment="1" pivotButton="0" quotePrefix="0" xfId="1">
      <alignment vertical="center" wrapText="1"/>
    </xf>
    <xf numFmtId="164" fontId="3" fillId="4" borderId="0" applyAlignment="1" pivotButton="0" quotePrefix="0" xfId="1">
      <alignment vertical="center" wrapText="1"/>
    </xf>
    <xf numFmtId="0" fontId="3" fillId="6" borderId="0" applyAlignment="1" pivotButton="0" quotePrefix="0" xfId="1">
      <alignment vertical="top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1">
      <alignment horizontal="left"/>
    </xf>
    <xf numFmtId="0" fontId="3" fillId="6" borderId="0" pivotButton="0" quotePrefix="0" xfId="1"/>
    <xf numFmtId="0" fontId="3" fillId="4" borderId="0" pivotButton="0" quotePrefix="0" xfId="1"/>
    <xf numFmtId="2" fontId="3" fillId="6" borderId="0" pivotButton="0" quotePrefix="0" xfId="1"/>
  </cellXfs>
  <cellStyles count="2">
    <cellStyle name="Обычный" xfId="0" builtinId="0"/>
    <cellStyle name="Normal" xfId="1"/>
  </cellStyles>
  <dxfs count="1">
    <dxf>
      <alignment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Дашборд!$E$4:$E$6</f>
              <strCache>
                <ptCount val="3"/>
                <pt idx="0">
                  <v>Первый релиз</v>
                </pt>
                <pt idx="1">
                  <v>Следующий релиз</v>
                </pt>
                <pt idx="2">
                  <v>Не включать / проверить</v>
                </pt>
              </strCache>
            </strRef>
          </cat>
          <val>
            <numRef>
              <f>Дашборд!$F$4:$F$6</f>
              <numCache>
                <formatCode>General</formatCode>
                <ptCount val="3"/>
                <pt idx="0">
                  <v>10</v>
                </pt>
                <pt idx="1">
                  <v>1</v>
                </pt>
                <pt idx="2">
                  <v>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v>Оценка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Дашборд!$A$13:$A$19</f>
              <strCache>
                <ptCount val="7"/>
                <pt idx="0">
                  <v>Ценность</v>
                </pt>
                <pt idx="1">
                  <v>Доход</v>
                </pt>
                <pt idx="2">
                  <v>Удержание</v>
                </pt>
                <pt idx="3">
                  <v>Рост</v>
                </pt>
                <pt idx="4">
                  <v>Доказательность</v>
                </pt>
                <pt idx="5">
                  <v>Быстрота</v>
                </pt>
                <pt idx="6">
                  <v>Дешевизна</v>
                </pt>
              </strCache>
            </strRef>
          </cat>
          <val>
            <numRef>
              <f>Дашборд!$B$13:$B$19</f>
              <numCache>
                <formatCode>0.00</formatCode>
                <ptCount val="7"/>
                <pt idx="0">
                  <v>4.4</v>
                </pt>
                <pt idx="1">
                  <v>3.8</v>
                </pt>
                <pt idx="2">
                  <v>3.2</v>
                </pt>
                <pt idx="3">
                  <v>3.2</v>
                </pt>
                <pt idx="4">
                  <v>4</v>
                </pt>
                <pt idx="5">
                  <v>4.1</v>
                </pt>
                <pt idx="6">
                  <v>4.1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7</col>
      <colOff>0</colOff>
      <row>2</row>
      <rowOff>0</rowOff>
    </from>
    <to>
      <col>11</col>
      <colOff>0</colOff>
      <row>14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0</colOff>
      <row>11</row>
      <rowOff>0</rowOff>
    </from>
    <to>
      <col>11</col>
      <colOff>0</colOff>
      <row>30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BankAnalysisTable" displayName="BankAnalysisTable" ref="A1:L101" headerRowCount="1">
  <tableColumns count="12">
    <tableColumn id="1" name="ID вывода"/>
    <tableColumn id="2" name="Вид анализа"/>
    <tableColumn id="3" name="Объект анализа"/>
    <tableColumn id="4" name="Ключевой вывод"/>
    <tableColumn id="5" name="Проблема / потребность"/>
    <tableColumn id="6" name="Пользовательский сегмент"/>
    <tableColumn id="7" name="Доказательство"/>
    <tableColumn id="8" name="Источник / ссылка"/>
    <tableColumn id="9" name="Достоверность 1–5"/>
    <tableColumn id="10" name="Значимость 1–5"/>
    <tableColumn id="11" name="Вывод для релизов"/>
    <tableColumn id="12" name="Связанная единица разработ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easeRegistryTable" displayName="ReleaseRegistryTable" ref="A1:U101" headerRowCount="1">
  <tableColumns count="21">
    <tableColumn id="1" name="ID"/>
    <tableColumn id="2" name="Тип единицы"/>
    <tableColumn id="3" name="Название единицы разработки"/>
    <tableColumn id="4" name="Роль / сегмент"/>
    <tableColumn id="5" name="Связанный сценарий"/>
    <tableColumn id="6" name="Блок Канвас"/>
    <tableColumn id="7" name="Связь с ценностным предложением 1–5"/>
    <tableColumn id="8" name="Критичность для первого дохода 1–5"/>
    <tableColumn id="9" name="Потенциал удержания 1–5"/>
    <tableColumn id="10" name="Потенциал роста аудитории 1–5"/>
    <tableColumn id="11" name="Доказательность 1–5"/>
    <tableColumn id="12" name="Рыночный стандарт 1–5"/>
    <tableColumn id="13" name="Быстрота реализации 1–5"/>
    <tableColumn id="14" name="Дешевизна реализации 1–5"/>
    <tableColumn id="15" name="Технический риск 1–5"/>
    <tableColumn id="16" name="Риск потери ценности при переносе 1–5"/>
    <tableColumn id="17" name="Балл первого релиза"/>
    <tableColumn id="18" name="Балл следующих релизов"/>
    <tableColumn id="19" name="Рекомендованный релиз"/>
    <tableColumn id="20" name="Решение"/>
    <tableColumn id="21" name="Обоснов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rstReleasePlanTable" displayName="FirstReleasePlanTable" ref="A3:H50" headerRowCount="1">
  <tableColumns count="8">
    <tableColumn id="1" name="ID"/>
    <tableColumn id="2" name="Единица первого релиза"/>
    <tableColumn id="3" name="Зачем нужна в первом релизе"/>
    <tableColumn id="4" name="Проверяемая гипотеза"/>
    <tableColumn id="5" name="Минимальная реализация"/>
    <tableColumn id="6" name="Критерий готовности"/>
    <tableColumn id="7" name="Метрика после запуска"/>
    <tableColumn id="8" name="Ответственны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extReleasePlanTable" displayName="NextReleasePlanTable" ref="A3:I60" headerRowCount="1">
  <tableColumns count="9">
    <tableColumn id="1" name="ID"/>
    <tableColumn id="2" name="Релиз"/>
    <tableColumn id="3" name="Единица развития"/>
    <tableColumn id="4" name="Основание переноса"/>
    <tableColumn id="5" name="Условие включения"/>
    <tableColumn id="6" name="Ожидаемый эффект"/>
    <tableColumn id="7" name="Связанная метрика"/>
    <tableColumn id="8" name="Зависимости"/>
    <tableColumn id="9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oadmapTable" displayName="RoadmapTable" ref="A3:K30" headerRowCount="1">
  <tableColumns count="11">
    <tableColumn id="1" name="Релиз"/>
    <tableColumn id="2" name="Цель релиза"/>
    <tableColumn id="3" name="Состав"/>
    <tableColumn id="4" name="Ключевая гипотеза"/>
    <tableColumn id="5" name="Что измеряем"/>
    <tableColumn id="6" name="Критерий перехода к следующему релизу"/>
    <tableColumn id="7" name="Ограничение бюджета / срока"/>
    <tableColumn id="8" name="Риски"/>
    <tableColumn id="9" name="Решение по запуску"/>
    <tableColumn id="10" name="Дата начала"/>
    <tableColumn id="11" name="Дата окончани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alueCheckTable" displayName="ValueCheckTable" ref="A3:I80" headerRowCount="1">
  <tableColumns count="9">
    <tableColumn id="1" name="Блок проверки"/>
    <tableColumn id="2" name="Контрольный вопрос"/>
    <tableColumn id="3" name="Оценка 1–5"/>
    <tableColumn id="4" name="Доказательство"/>
    <tableColumn id="5" name="Риск при низкой оценке"/>
    <tableColumn id="6" name="Решение"/>
    <tableColumn id="7" name="Что добавить / изменить"/>
    <tableColumn id="8" name="Ответственный"/>
    <tableColumn id="9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isksTable" displayName="RisksTable" ref="A3:J100" headerRowCount="1" headerRowDxfId="0">
  <tableColumns count="10">
    <tableColumn id="1" name="ID"/>
    <tableColumn id="2" name="Единица / решение"/>
    <tableColumn id="3" name="Риск"/>
    <tableColumn id="4" name="Тип риска"/>
    <tableColumn id="5" name="Вероятность 1–5"/>
    <tableColumn id="6" name="Влияние 1–5"/>
    <tableColumn id="7" name="Индекс риска"/>
    <tableColumn id="8" name="Митигирующее действие"/>
    <tableColumn id="9" name="Связанный релиз"/>
    <tableColumn id="10" name="Ответственны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C6" sqref="C6"/>
    </sheetView>
  </sheetViews>
  <sheetFormatPr baseColWidth="8" defaultRowHeight="14.25"/>
  <cols>
    <col width="20.125" customWidth="1" style="15" min="1" max="1"/>
    <col width="80" customWidth="1" style="15" min="2" max="2"/>
    <col width="62" customWidth="1" style="15" min="3" max="3"/>
  </cols>
  <sheetData>
    <row r="1" ht="16.15" customHeight="1" s="15">
      <c r="A1" s="13" t="inlineStr">
        <is>
          <t>Шаблон деления разработки сайта или мобильного приложения на первый и последующие релизы</t>
        </is>
      </c>
    </row>
    <row r="2"/>
    <row r="3" ht="54" customHeight="1" s="15">
      <c r="A3" s="1" t="inlineStr">
        <is>
          <t>Назначение файла</t>
        </is>
      </c>
      <c r="B3" s="16" t="inlineStr">
        <is>
          <t>Помочь разделить разработку цифрового товара на первый релиз и последующие релизы так, чтобы быстро и экономно выйти на рынок, но не разрушить ценностное предложение, удержание и потенциал роста аудитории</t>
        </is>
      </c>
    </row>
    <row r="4" ht="66.75" customHeight="1" s="15">
      <c r="A4" s="1" t="inlineStr">
        <is>
          <t>Логика работы</t>
        </is>
      </c>
      <c r="B4" s="16" t="inlineStr">
        <is>
          <t>1) перенесите выводы всех предыдущих анализов в лист «Банк_анализа»; 2) опишите страницы, экраны, функции, интеграции и контентные блоки в листе «Реестр_единиц»; 3) заполните баллы 1–5; 4) используйте расчетный рекомендованный релиз; 5) проверьте первый релиз на целостность ценности и монетизации</t>
        </is>
      </c>
    </row>
    <row r="5" ht="55.5" customHeight="1" s="15">
      <c r="A5" s="1" t="inlineStr">
        <is>
          <t>Принцип первого релиза</t>
        </is>
      </c>
      <c r="B5" s="16" t="inlineStr">
        <is>
          <t>Первый релиз должен содержать минимальный набор, который позволяет пользователю получить заявленную ценность, бизнесу — проверить спрос и монетизацию, а продукту — собрать данные для следующего роста</t>
        </is>
      </c>
    </row>
    <row r="6" ht="71.25" customHeight="1" s="15">
      <c r="A6" s="1" t="inlineStr">
        <is>
          <t>Что нельзя переносить из первого релиза</t>
        </is>
      </c>
      <c r="B6" s="16" t="inlineStr">
        <is>
          <t>Нельзя переносить элементы, без которых пользователь не достигает ключевого результата, невозможно проверить основную гипотезу, не работает единица монетизации, не собирается критически важная обратная связь или разрывается основной пользовательский сценарий</t>
        </is>
      </c>
    </row>
    <row r="7" ht="57.75" customHeight="1" s="15">
      <c r="A7" s="1" t="inlineStr">
        <is>
          <t>Как читать расчет</t>
        </is>
      </c>
      <c r="B7" s="16" t="inlineStr">
        <is>
          <t>Рекомендованный релиз формируется по баллам: связь с ценностным предложением, критичность для первого дохода, удержание, рост, доказательность, рыночный стандарт, быстрота и дешевизна реализации, технический риск и риск потери ценности при переносе</t>
        </is>
      </c>
    </row>
    <row r="8" ht="48" customHeight="1" s="15">
      <c r="A8" s="1" t="inlineStr">
        <is>
          <t>Редактируемые поля</t>
        </is>
      </c>
      <c r="B8" s="16" t="inlineStr">
        <is>
          <t>Желтые поля предназначены для ввода. Зеленые поля являются расчетными. Справочники и выпадающие списки находятся на листе «Справочники»</t>
        </is>
      </c>
    </row>
    <row r="9"/>
    <row r="10" ht="19.15" customHeight="1" s="15">
      <c r="A10" s="3" t="inlineStr">
        <is>
          <t>Шаг</t>
        </is>
      </c>
      <c r="B10" s="3" t="inlineStr">
        <is>
          <t>Действие</t>
        </is>
      </c>
      <c r="C10" s="3" t="inlineStr">
        <is>
          <t>Результат</t>
        </is>
      </c>
    </row>
    <row r="11" ht="49.5" customHeight="1" s="15">
      <c r="A11" s="17" t="n">
        <v>1</v>
      </c>
      <c r="B11" s="17" t="inlineStr">
        <is>
          <t>Собрать выводы из анализа проблем, отзывов, конкурентов, ценностного предложения, цифрового товара, Канвас, сценариев и страниц/экранов</t>
        </is>
      </c>
      <c r="C11" s="17" t="inlineStr">
        <is>
          <t>Единый банк доказанных оснований для решений по релизам</t>
        </is>
      </c>
    </row>
    <row r="12" ht="33" customHeight="1" s="15">
      <c r="A12" s="17" t="n">
        <v>2</v>
      </c>
      <c r="B12" s="17" t="inlineStr">
        <is>
          <t>Разложить будущий сайт или приложение на интерфейсные и функциональные единицы</t>
        </is>
      </c>
      <c r="C12" s="17" t="inlineStr">
        <is>
          <t>Перечень кандидатов на включение в релизы</t>
        </is>
      </c>
    </row>
    <row r="13" ht="29.25" customHeight="1" s="15">
      <c r="A13" s="17" t="n">
        <v>3</v>
      </c>
      <c r="B13" s="17" t="inlineStr">
        <is>
          <t>Оценить каждую единицу по шкалам 1–5</t>
        </is>
      </c>
      <c r="C13" s="17" t="inlineStr">
        <is>
          <t>Сравнимые баллы для быстрого и обоснованного выбора состава первого релиза</t>
        </is>
      </c>
    </row>
    <row r="14" ht="43.5" customHeight="1" s="15">
      <c r="A14" s="17" t="n">
        <v>4</v>
      </c>
      <c r="B14" s="17" t="inlineStr">
        <is>
          <t>Проверить, не нарушается ли ценностное предложение, монетизация, удержание и рост при переносе части функций</t>
        </is>
      </c>
      <c r="C14" s="17" t="inlineStr">
        <is>
          <t>Сбалансированный первый релиз без избыточной разработки</t>
        </is>
      </c>
    </row>
    <row r="15" ht="27" customHeight="1" s="15">
      <c r="A15" s="17" t="n">
        <v>5</v>
      </c>
      <c r="B15" s="17" t="inlineStr">
        <is>
          <t>Сформировать дорожную карту последующих релизов</t>
        </is>
      </c>
      <c r="C15" s="17" t="inlineStr">
        <is>
          <t>Последовательность развития продукта после выхода на рынок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topLeftCell="G1" workbookViewId="0">
      <selection activeCell="K19" sqref="K19"/>
    </sheetView>
  </sheetViews>
  <sheetFormatPr baseColWidth="8" defaultRowHeight="14.25"/>
  <cols>
    <col width="14" customWidth="1" style="15" min="1" max="1"/>
    <col width="30.375" customWidth="1" style="15" min="2" max="2"/>
    <col width="28" customWidth="1" style="15" min="3" max="3"/>
    <col width="92.125" customWidth="1" style="15" min="4" max="4"/>
    <col width="33.875" customWidth="1" style="15" min="5" max="5"/>
    <col width="28.625" customWidth="1" style="15" min="6" max="6"/>
    <col width="56" customWidth="1" style="15" min="7" max="7"/>
    <col width="32" customWidth="1" style="15" min="8" max="8"/>
    <col width="15" customWidth="1" style="15" min="9" max="10"/>
    <col width="67.625" customWidth="1" style="15" min="11" max="11"/>
    <col width="32" customWidth="1" style="15" min="12" max="12"/>
  </cols>
  <sheetData>
    <row r="1" ht="27" customHeight="1" s="15">
      <c r="A1" s="3" t="inlineStr">
        <is>
          <t>ID вывода</t>
        </is>
      </c>
      <c r="B1" s="3" t="inlineStr">
        <is>
          <t>Вид анализа</t>
        </is>
      </c>
      <c r="C1" s="3" t="inlineStr">
        <is>
          <t>Объект анализа</t>
        </is>
      </c>
      <c r="D1" s="3" t="inlineStr">
        <is>
          <t>Ключевой вывод</t>
        </is>
      </c>
      <c r="E1" s="3" t="inlineStr">
        <is>
          <t>Проблема / потребность</t>
        </is>
      </c>
      <c r="F1" s="3" t="inlineStr">
        <is>
          <t>Пользовательский сегмент</t>
        </is>
      </c>
      <c r="G1" s="3" t="inlineStr">
        <is>
          <t>Доказательство</t>
        </is>
      </c>
      <c r="H1" s="3" t="inlineStr">
        <is>
          <t>Источник / ссылка</t>
        </is>
      </c>
      <c r="I1" s="3" t="inlineStr">
        <is>
          <t>Достоверность 1–5</t>
        </is>
      </c>
      <c r="J1" s="3" t="inlineStr">
        <is>
          <t>Значимость 1–5</t>
        </is>
      </c>
      <c r="K1" s="3" t="inlineStr">
        <is>
          <t>Вывод для релизов</t>
        </is>
      </c>
      <c r="L1" s="3" t="inlineStr">
        <is>
          <t>Связанная единица разработки</t>
        </is>
      </c>
    </row>
    <row r="2" ht="28.5" customHeight="1" s="15">
      <c r="A2" s="2" t="inlineStr">
        <is>
          <t>A-001</t>
        </is>
      </c>
      <c r="B2" s="2" t="inlineStr">
        <is>
          <t>Проблемы клиентов</t>
        </is>
      </c>
      <c r="C2" s="2" t="inlineStr">
        <is>
          <t>Проблема P-002</t>
        </is>
      </c>
      <c r="D2" s="2" t="inlineStr">
        <is>
          <t>Нет единого инструмента для всех нотаций проекта</t>
        </is>
      </c>
      <c r="E2" s="2" t="inlineStr">
        <is>
          <t>Нет единого инструмента</t>
        </is>
      </c>
      <c r="F2" s="2" t="inlineStr">
        <is>
          <t>Студенты и аналитики ПО</t>
        </is>
      </c>
      <c r="G2" s="2" t="inlineStr">
        <is>
          <t>ЛР5: IDEF0, DFD, сети Петри не найдены у 8 конкурентов</t>
        </is>
      </c>
      <c r="H2" s="2" t="inlineStr">
        <is>
          <t>6.1; ЛР5</t>
        </is>
      </c>
      <c r="I2" s="5" t="n">
        <v>4</v>
      </c>
      <c r="J2" s="5" t="n">
        <v>5</v>
      </c>
      <c r="K2" s="2" t="inlineStr">
        <is>
          <t>Ядро ценности - выбор нотации и редактор в первый релиз</t>
        </is>
      </c>
      <c r="L2" s="2" t="inlineStr">
        <is>
          <t>U-007, U-008</t>
        </is>
      </c>
    </row>
    <row r="3" ht="28.5" customHeight="1" s="15">
      <c r="A3" s="2" t="inlineStr">
        <is>
          <t>A-002</t>
        </is>
      </c>
      <c r="B3" s="2" t="inlineStr">
        <is>
          <t>Рыночный стандарт</t>
        </is>
      </c>
      <c r="C3" s="2" t="inlineStr">
        <is>
          <t>Стандарт товара</t>
        </is>
      </c>
      <c r="D3" s="2" t="inlineStr">
        <is>
          <t>Бесплатный доступ, экспорт, интеграции - у 8 из 8; документация и безопасность - у 6 из 8</t>
        </is>
      </c>
      <c r="E3" s="2" t="inlineStr">
        <is>
          <t>Ожидаемый минимум</t>
        </is>
      </c>
      <c r="F3" s="2" t="inlineStr">
        <is>
          <t>Все</t>
        </is>
      </c>
      <c r="G3" s="2" t="inlineStr">
        <is>
          <t>ЛР5: листы 07_Стандарт_рынка, 10_Стандарт</t>
        </is>
      </c>
      <c r="H3" s="2" t="inlineStr">
        <is>
          <t>ЛР5</t>
        </is>
      </c>
      <c r="I3" s="5" t="n">
        <v>4</v>
      </c>
      <c r="J3" s="5" t="n">
        <v>5</v>
      </c>
      <c r="K3" s="2" t="inlineStr">
        <is>
          <t>Стандарт включается в первый релиз в базовой форме</t>
        </is>
      </c>
      <c r="L3" s="2" t="inlineStr">
        <is>
          <t>U-003, U-009, U-004</t>
        </is>
      </c>
    </row>
    <row r="4" ht="28.5" customHeight="1" s="15">
      <c r="A4" s="2" t="inlineStr">
        <is>
          <t>A-003</t>
        </is>
      </c>
      <c r="B4" s="2" t="inlineStr">
        <is>
          <t>Монетизация</t>
        </is>
      </c>
      <c r="C4" s="2" t="inlineStr">
        <is>
          <t>Единица монетизации</t>
        </is>
      </c>
      <c r="D4" s="2" t="inlineStr">
        <is>
          <t>Подписка Pro 40 USD в год; Free без оплаты</t>
        </is>
      </c>
      <c r="E4" s="2" t="inlineStr">
        <is>
          <t>Платёжная готовность</t>
        </is>
      </c>
      <c r="F4" s="2" t="inlineStr">
        <is>
          <t>Аналитики и разработчики</t>
        </is>
      </c>
      <c r="G4" s="2" t="inlineStr">
        <is>
          <t>6.1: M-001; опрос: 18 из 27 готовы платить</t>
        </is>
      </c>
      <c r="H4" s="2" t="inlineStr">
        <is>
          <t>6.1; ЛР4</t>
        </is>
      </c>
      <c r="I4" s="5" t="n">
        <v>3</v>
      </c>
      <c r="J4" s="5" t="n">
        <v>5</v>
      </c>
      <c r="K4" s="2" t="inlineStr">
        <is>
          <t>Один проверяемый способ монетизации обязателен в первом релизе</t>
        </is>
      </c>
      <c r="L4" s="2" t="inlineStr">
        <is>
          <t>U-003, U-006</t>
        </is>
      </c>
    </row>
    <row r="5" ht="42.75" customHeight="1" s="15">
      <c r="A5" s="2" t="inlineStr">
        <is>
          <t>A-004</t>
        </is>
      </c>
      <c r="B5" s="2" t="inlineStr">
        <is>
          <t>Бизнес-логика</t>
        </is>
      </c>
      <c r="C5" s="2" t="inlineStr">
        <is>
          <t>Сценарии 6.3</t>
        </is>
      </c>
      <c r="D5" s="2" t="inlineStr">
        <is>
          <t>Критический сценарий - оформление подписки; высокие - первая диаграмма и экспорт</t>
        </is>
      </c>
      <c r="E5" s="2" t="inlineStr">
        <is>
          <t>Основные сценарии</t>
        </is>
      </c>
      <c r="F5" s="2" t="inlineStr">
        <is>
          <t>Все роли</t>
        </is>
      </c>
      <c r="G5" s="2" t="inlineStr">
        <is>
          <t>6.3: индекс сценариев</t>
        </is>
      </c>
      <c r="H5" s="2" t="n">
        <v>6.3</v>
      </c>
      <c r="I5" s="5" t="n">
        <v>4</v>
      </c>
      <c r="J5" s="5" t="n">
        <v>5</v>
      </c>
      <c r="K5" s="2" t="inlineStr">
        <is>
          <t>Сценарии S-004, S-006, S-008 входят в первый релиз</t>
        </is>
      </c>
      <c r="L5" s="2" t="inlineStr">
        <is>
          <t>U-008, U-009, U-006</t>
        </is>
      </c>
    </row>
    <row r="6" ht="42.75" customHeight="1" s="15">
      <c r="A6" s="2" t="inlineStr">
        <is>
          <t>A-005</t>
        </is>
      </c>
      <c r="B6" s="2" t="inlineStr">
        <is>
          <t>Страницы и экраны</t>
        </is>
      </c>
      <c r="C6" s="2" t="inlineStr">
        <is>
          <t>Приоритет единиц 6.4</t>
        </is>
      </c>
      <c r="D6" s="2" t="inlineStr">
        <is>
          <t>P1 по формуле: выбор нотации, редактор, экспорт; тарифы, регистрация, оплата - цепочка воронки</t>
        </is>
      </c>
      <c r="E6" s="2" t="inlineStr">
        <is>
          <t>Состав интерфейса</t>
        </is>
      </c>
      <c r="F6" s="2" t="inlineStr">
        <is>
          <t>Все роли</t>
        </is>
      </c>
      <c r="G6" s="2" t="inlineStr">
        <is>
          <t>6.4: лист Приоритизация</t>
        </is>
      </c>
      <c r="H6" s="2" t="n">
        <v>6.4</v>
      </c>
      <c r="I6" s="5" t="n">
        <v>4</v>
      </c>
      <c r="J6" s="5" t="n">
        <v>5</v>
      </c>
      <c r="K6" s="2" t="inlineStr">
        <is>
          <t>Цепочка обнаружение - выбор - оплата - результат сохраняется</t>
        </is>
      </c>
      <c r="L6" s="2" t="inlineStr">
        <is>
          <t>U-003, U-005, U-006</t>
        </is>
      </c>
    </row>
    <row r="7" ht="28.5" customHeight="1" s="15">
      <c r="A7" s="2" t="inlineStr">
        <is>
          <t>A-006</t>
        </is>
      </c>
      <c r="B7" s="2" t="inlineStr">
        <is>
          <t>Рост</t>
        </is>
      </c>
      <c r="C7" s="2" t="inlineStr">
        <is>
          <t>Каналы</t>
        </is>
      </c>
      <c r="D7" s="2" t="inlineStr">
        <is>
          <t>Основной канал - поиск 47-59 % трафика; реферальные механики - перенос</t>
        </is>
      </c>
      <c r="E7" s="2" t="inlineStr">
        <is>
          <t>Рост аудитории</t>
        </is>
      </c>
      <c r="F7" s="2" t="inlineStr">
        <is>
          <t>Студенты</t>
        </is>
      </c>
      <c r="G7" s="2" t="inlineStr">
        <is>
          <t>ЛР4: Similarweb Pro</t>
        </is>
      </c>
      <c r="H7" s="2" t="inlineStr">
        <is>
          <t>ЛР4</t>
        </is>
      </c>
      <c r="I7" s="5" t="n">
        <v>4</v>
      </c>
      <c r="J7" s="5" t="n">
        <v>3</v>
      </c>
      <c r="K7" s="2" t="inlineStr">
        <is>
          <t>Рост аудитории переносится в релиз 3</t>
        </is>
      </c>
      <c r="L7" s="2" t="inlineStr">
        <is>
          <t>U-018</t>
        </is>
      </c>
    </row>
    <row r="8" ht="28.5" customHeight="1" s="15">
      <c r="A8" s="2" t="inlineStr">
        <is>
          <t>A-007</t>
        </is>
      </c>
      <c r="B8" s="2" t="inlineStr">
        <is>
          <t>Конкурентные преимущества</t>
        </is>
      </c>
      <c r="C8" s="2" t="inlineStr">
        <is>
          <t>Eraser, Mermaid Chart</t>
        </is>
      </c>
      <c r="D8" s="2" t="inlineStr">
        <is>
          <t>Лимиты ИИ используются как тарифный ограничитель; технический риск высокий</t>
        </is>
      </c>
      <c r="E8" s="2" t="inlineStr">
        <is>
          <t>ИИ-ассистент</t>
        </is>
      </c>
      <c r="F8" s="2" t="inlineStr">
        <is>
          <t>Аналитики</t>
        </is>
      </c>
      <c r="G8" s="2" t="inlineStr">
        <is>
          <t>Страницы тарифов, 01.10.2026</t>
        </is>
      </c>
      <c r="H8" s="2" t="inlineStr">
        <is>
          <t>ЛР5</t>
        </is>
      </c>
      <c r="I8" s="5" t="n">
        <v>4</v>
      </c>
      <c r="J8" s="5" t="n">
        <v>3</v>
      </c>
      <c r="K8" s="2" t="inlineStr">
        <is>
          <t>ИИ-ассистент - во второй релиз</t>
        </is>
      </c>
      <c r="L8" s="2" t="inlineStr">
        <is>
          <t>U-013</t>
        </is>
      </c>
    </row>
    <row r="9" ht="28.5" customHeight="1" s="15">
      <c r="A9" s="2" t="inlineStr">
        <is>
          <t>A-008</t>
        </is>
      </c>
      <c r="B9" s="2" t="inlineStr">
        <is>
          <t>Отзывы и опрос</t>
        </is>
      </c>
      <c r="C9" s="2" t="inlineStr">
        <is>
          <t>Опрос студентов</t>
        </is>
      </c>
      <c r="D9" s="2" t="inlineStr">
        <is>
          <t>Коллаборация важна 26 из 27; сложность реализации высокая</t>
        </is>
      </c>
      <c r="E9" s="2" t="inlineStr">
        <is>
          <t>Совместная работа</t>
        </is>
      </c>
      <c r="F9" s="2" t="inlineStr">
        <is>
          <t>Студенты</t>
        </is>
      </c>
      <c r="G9" s="2" t="inlineStr">
        <is>
          <t>ЛР4: survey_students.csv (данные сгенерированы)</t>
        </is>
      </c>
      <c r="H9" s="2" t="inlineStr">
        <is>
          <t>ЛР4</t>
        </is>
      </c>
      <c r="I9" s="5" t="n">
        <v>2</v>
      </c>
      <c r="J9" s="5" t="n">
        <v>4</v>
      </c>
      <c r="K9" s="2" t="inlineStr">
        <is>
          <t>Совместное редактирование - в релиз 3 или 4</t>
        </is>
      </c>
      <c r="L9" s="2" t="inlineStr">
        <is>
          <t>U-017</t>
        </is>
      </c>
    </row>
  </sheetData>
  <dataValidations count="1">
    <dataValidation sqref="I2:J101" showDropDown="0" showInputMessage="0" showErrorMessage="0" allowBlank="0" type="whole">
      <formula1>1</formula1>
      <formula2>5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"/>
  <sheetViews>
    <sheetView topLeftCell="O1" workbookViewId="0">
      <selection activeCell="U9" sqref="U9"/>
    </sheetView>
  </sheetViews>
  <sheetFormatPr baseColWidth="8" defaultRowHeight="14.25"/>
  <cols>
    <col width="10" customWidth="1" style="15" min="1" max="1"/>
    <col width="21" customWidth="1" style="15" min="2" max="2"/>
    <col width="40.75" customWidth="1" style="15" min="3" max="3"/>
    <col width="28.75" customWidth="1" style="15" min="4" max="4"/>
    <col width="28" customWidth="1" style="15" min="5" max="5"/>
    <col width="26.625" customWidth="1" style="15" min="6" max="6"/>
    <col width="18" customWidth="1" style="15" min="7" max="10"/>
    <col width="15" customWidth="1" style="15" min="11" max="12"/>
    <col width="17" customWidth="1" style="15" min="13" max="14"/>
    <col width="15" customWidth="1" style="15" min="15" max="15"/>
    <col width="20" customWidth="1" style="15" min="16" max="16"/>
    <col width="15" customWidth="1" style="15" min="17" max="17"/>
    <col width="17" customWidth="1" style="15" min="18" max="18"/>
    <col width="27.875" customWidth="1" style="15" min="19" max="19"/>
    <col width="47.75" customWidth="1" style="15" min="20" max="20"/>
    <col width="69.875" customWidth="1" style="15" min="21" max="21"/>
  </cols>
  <sheetData>
    <row r="1" ht="67.5" customHeight="1" s="15">
      <c r="A1" s="3" t="inlineStr">
        <is>
          <t>ID</t>
        </is>
      </c>
      <c r="B1" s="3" t="inlineStr">
        <is>
          <t>Тип единицы</t>
        </is>
      </c>
      <c r="C1" s="3" t="inlineStr">
        <is>
          <t>Название единицы разработки</t>
        </is>
      </c>
      <c r="D1" s="3" t="inlineStr">
        <is>
          <t>Роль / сегмент</t>
        </is>
      </c>
      <c r="E1" s="3" t="inlineStr">
        <is>
          <t>Связанный сценарий</t>
        </is>
      </c>
      <c r="F1" s="3" t="inlineStr">
        <is>
          <t>Блок Канвас</t>
        </is>
      </c>
      <c r="G1" s="3" t="inlineStr">
        <is>
          <t>Связь с ценностным предложением 1–5</t>
        </is>
      </c>
      <c r="H1" s="3" t="inlineStr">
        <is>
          <t>Критичность для первого дохода 1–5</t>
        </is>
      </c>
      <c r="I1" s="3" t="inlineStr">
        <is>
          <t>Потенциал удержания 1–5</t>
        </is>
      </c>
      <c r="J1" s="3" t="inlineStr">
        <is>
          <t>Потенциал роста аудитории 1–5</t>
        </is>
      </c>
      <c r="K1" s="3" t="inlineStr">
        <is>
          <t>Доказательность 1–5</t>
        </is>
      </c>
      <c r="L1" s="3" t="inlineStr">
        <is>
          <t>Рыночный стандарт 1–5</t>
        </is>
      </c>
      <c r="M1" s="3" t="inlineStr">
        <is>
          <t>Быстрота реализации 1–5</t>
        </is>
      </c>
      <c r="N1" s="3" t="inlineStr">
        <is>
          <t>Дешевизна реализации 1–5</t>
        </is>
      </c>
      <c r="O1" s="3" t="inlineStr">
        <is>
          <t>Технический риск 1–5</t>
        </is>
      </c>
      <c r="P1" s="3" t="inlineStr">
        <is>
          <t>Риск потери ценности при переносе 1–5</t>
        </is>
      </c>
      <c r="Q1" s="3" t="inlineStr">
        <is>
          <t>Балл первого релиза</t>
        </is>
      </c>
      <c r="R1" s="3" t="inlineStr">
        <is>
          <t>Балл следующих релизов</t>
        </is>
      </c>
      <c r="S1" s="3" t="inlineStr">
        <is>
          <t>Рекомендованный релиз</t>
        </is>
      </c>
      <c r="T1" s="3" t="inlineStr">
        <is>
          <t>Решение</t>
        </is>
      </c>
      <c r="U1" s="3" t="inlineStr">
        <is>
          <t>Обоснование</t>
        </is>
      </c>
    </row>
    <row r="2" ht="28.5" customHeight="1" s="15">
      <c r="A2" s="2" t="inlineStr">
        <is>
          <t>U-001</t>
        </is>
      </c>
      <c r="B2" s="2" t="inlineStr">
        <is>
          <t>Страница сайта</t>
        </is>
      </c>
      <c r="C2" s="2" t="inlineStr">
        <is>
          <t>Главная страница</t>
        </is>
      </c>
      <c r="D2" s="2" t="inlineStr">
        <is>
          <t>Посетитель</t>
        </is>
      </c>
      <c r="E2" s="2" t="inlineStr">
        <is>
          <t>SC-001</t>
        </is>
      </c>
      <c r="F2" s="2" t="inlineStr">
        <is>
          <t>Каналы</t>
        </is>
      </c>
      <c r="G2" s="2" t="n">
        <v>4</v>
      </c>
      <c r="H2" s="2" t="n">
        <v>3</v>
      </c>
      <c r="I2" s="2" t="n">
        <v>2</v>
      </c>
      <c r="J2" s="2" t="n">
        <v>4</v>
      </c>
      <c r="K2" s="2" t="n">
        <v>4</v>
      </c>
      <c r="L2" s="2" t="n">
        <v>5</v>
      </c>
      <c r="M2" s="2" t="n">
        <v>5</v>
      </c>
      <c r="N2" s="2" t="n">
        <v>5</v>
      </c>
      <c r="O2" s="2" t="n">
        <v>1</v>
      </c>
      <c r="P2" s="2" t="n">
        <v>3</v>
      </c>
      <c r="Q2" s="6">
        <f>ROUND((G2*0.18)+(H2*0.15)+(I2*0.12)+(J2*0.08)+(K2*0.13)+(L2*0.1)+(M2*0.12)+(N2*0.12)-(O2*0.07)+(P2*0.1),2)</f>
        <v/>
      </c>
      <c r="R2" s="6">
        <f>ROUND((I2*0.16)+(J2*0.2)+(K2*0.12)+(L2*0.1)+((6-M2)*0.08)+((6-N2)*0.08)+(O2*0.06)+(P2*0.14)+(G2*0.06),2)</f>
        <v/>
      </c>
      <c r="S2" s="6">
        <f>IF(A2="","",IF(AND(G2&gt;=4,H2&gt;=4,K2&gt;=3,P2&gt;=4),"Первый релиз",IF(Q2&gt;=3.7,"Первый релиз",IF(R2&gt;=3.6,"Следующий релиз","Не включать / проверить"))))</f>
        <v/>
      </c>
      <c r="T2" s="6">
        <f>IF(A2="","",IF(S2="Первый релиз","Включить в минимальный рыночный выпуск",IF(S2="Следующий релиз","Запланировать после проверки первого релиза","Оставить как гипотезу / проверить позже")))</f>
        <v/>
      </c>
      <c r="U2" s="2" t="inlineStr">
        <is>
          <t>Объясняет обещание и ведёт к регистрации; поиск - основной канал (ЛР4)</t>
        </is>
      </c>
    </row>
    <row r="3" ht="28.5" customHeight="1" s="15">
      <c r="A3" s="2" t="inlineStr">
        <is>
          <t>U-002</t>
        </is>
      </c>
      <c r="B3" s="2" t="inlineStr">
        <is>
          <t>Страница сайта</t>
        </is>
      </c>
      <c r="C3" s="2" t="inlineStr">
        <is>
          <t>Возможности и нотации</t>
        </is>
      </c>
      <c r="D3" s="2" t="inlineStr">
        <is>
          <t>Посетитель</t>
        </is>
      </c>
      <c r="E3" s="2" t="inlineStr">
        <is>
          <t>SC-002</t>
        </is>
      </c>
      <c r="F3" s="2" t="inlineStr">
        <is>
          <t>Ценностные предложения</t>
        </is>
      </c>
      <c r="G3" s="2" t="n">
        <v>5</v>
      </c>
      <c r="H3" s="2" t="n">
        <v>3</v>
      </c>
      <c r="I3" s="2" t="n">
        <v>2</v>
      </c>
      <c r="J3" s="2" t="n">
        <v>4</v>
      </c>
      <c r="K3" s="2" t="n">
        <v>4</v>
      </c>
      <c r="L3" s="2" t="n">
        <v>4</v>
      </c>
      <c r="M3" s="2" t="n">
        <v>4</v>
      </c>
      <c r="N3" s="2" t="n">
        <v>4</v>
      </c>
      <c r="O3" s="2" t="n">
        <v>1</v>
      </c>
      <c r="P3" s="2" t="n">
        <v>4</v>
      </c>
      <c r="Q3" s="6">
        <f>ROUND((G3*0.18)+(H3*0.15)+(I3*0.12)+(J3*0.08)+(K3*0.13)+(L3*0.1)+(M3*0.12)+(N3*0.12)-(O3*0.07)+(P3*0.1),2)</f>
        <v/>
      </c>
      <c r="R3" s="6">
        <f>ROUND((I3*0.16)+(J3*0.2)+(K3*0.12)+(L3*0.1)+((6-M3)*0.08)+((6-N3)*0.08)+(O3*0.06)+(P3*0.14)+(G3*0.06),2)</f>
        <v/>
      </c>
      <c r="S3" s="6">
        <f>IF(A3="","",IF(AND(G3&gt;=4,H3&gt;=4,K3&gt;=3,P3&gt;=4),"Первый релиз",IF(Q3&gt;=3.7,"Первый релиз",IF(R3&gt;=3.6,"Следующий релиз","Не включать / проверить"))))</f>
        <v/>
      </c>
      <c r="T3" s="6">
        <f>IF(A3="","",IF(S3="Первый релиз","Включить в минимальный рыночный выпуск",IF(S3="Следующий релиз","Запланировать после проверки первого релиза","Оставить как гипотезу / проверить позже")))</f>
        <v/>
      </c>
      <c r="U3" s="2" t="inlineStr">
        <is>
          <t>Показывает конкурентное отличие: нотации IDEF0, DFD, сети Петри (ЛР5)</t>
        </is>
      </c>
    </row>
    <row r="4" ht="28.5" customHeight="1" s="15">
      <c r="A4" s="2" t="inlineStr">
        <is>
          <t>U-003</t>
        </is>
      </c>
      <c r="B4" s="2" t="inlineStr">
        <is>
          <t>Страница сайта</t>
        </is>
      </c>
      <c r="C4" s="2" t="inlineStr">
        <is>
          <t>Тарифы Free и Pro</t>
        </is>
      </c>
      <c r="D4" s="2" t="inlineStr">
        <is>
          <t>Потенциальный клиент</t>
        </is>
      </c>
      <c r="E4" s="2" t="inlineStr">
        <is>
          <t>SC-002</t>
        </is>
      </c>
      <c r="F4" s="2" t="inlineStr">
        <is>
          <t>Потоки доходов</t>
        </is>
      </c>
      <c r="G4" s="2" t="n">
        <v>4</v>
      </c>
      <c r="H4" s="2" t="n">
        <v>5</v>
      </c>
      <c r="I4" s="2" t="n">
        <v>3</v>
      </c>
      <c r="J4" s="2" t="n">
        <v>3</v>
      </c>
      <c r="K4" s="2" t="n">
        <v>4</v>
      </c>
      <c r="L4" s="2" t="n">
        <v>5</v>
      </c>
      <c r="M4" s="2" t="n">
        <v>5</v>
      </c>
      <c r="N4" s="2" t="n">
        <v>5</v>
      </c>
      <c r="O4" s="2" t="n">
        <v>1</v>
      </c>
      <c r="P4" s="2" t="n">
        <v>4</v>
      </c>
      <c r="Q4" s="6">
        <f>ROUND((G4*0.18)+(H4*0.15)+(I4*0.12)+(J4*0.08)+(K4*0.13)+(L4*0.1)+(M4*0.12)+(N4*0.12)-(O4*0.07)+(P4*0.1),2)</f>
        <v/>
      </c>
      <c r="R4" s="6">
        <f>ROUND((I4*0.16)+(J4*0.2)+(K4*0.12)+(L4*0.1)+((6-M4)*0.08)+((6-N4)*0.08)+(O4*0.06)+(P4*0.14)+(G4*0.06),2)</f>
        <v/>
      </c>
      <c r="S4" s="6">
        <f>IF(A4="","",IF(AND(G4&gt;=4,H4&gt;=4,K4&gt;=3,P4&gt;=4),"Первый релиз",IF(Q4&gt;=3.7,"Первый релиз",IF(R4&gt;=3.6,"Следующий релиз","Не включать / проверить"))))</f>
        <v/>
      </c>
      <c r="T4" s="6">
        <f>IF(A4="","",IF(S4="Первый релиз","Включить в минимальный рыночный выпуск",IF(S4="Следующий релиз","Запланировать после проверки первого релиза","Оставить как гипотезу / проверить позже")))</f>
        <v/>
      </c>
      <c r="U4" s="2" t="inlineStr">
        <is>
          <t>Открытая страница тарифов у 5 из 8 конкурентов (ЛР5)</t>
        </is>
      </c>
    </row>
    <row r="5" ht="28.5" customHeight="1" s="15">
      <c r="A5" s="2" t="inlineStr">
        <is>
          <t>U-004</t>
        </is>
      </c>
      <c r="B5" s="2" t="inlineStr">
        <is>
          <t>Страница сайта</t>
        </is>
      </c>
      <c r="C5" s="2" t="inlineStr">
        <is>
          <t>Документация и примеры</t>
        </is>
      </c>
      <c r="D5" s="2" t="inlineStr">
        <is>
          <t>Активный пользователь</t>
        </is>
      </c>
      <c r="E5" s="2" t="inlineStr">
        <is>
          <t>SC-010</t>
        </is>
      </c>
      <c r="F5" s="2" t="inlineStr">
        <is>
          <t>Отношения с клиентами</t>
        </is>
      </c>
      <c r="G5" s="2" t="n">
        <v>3</v>
      </c>
      <c r="H5" s="2" t="n">
        <v>2</v>
      </c>
      <c r="I5" s="2" t="n">
        <v>4</v>
      </c>
      <c r="J5" s="2" t="n">
        <v>3</v>
      </c>
      <c r="K5" s="2" t="n">
        <v>4</v>
      </c>
      <c r="L5" s="2" t="n">
        <v>4</v>
      </c>
      <c r="M5" s="2" t="n">
        <v>3</v>
      </c>
      <c r="N5" s="2" t="n">
        <v>3</v>
      </c>
      <c r="O5" s="2" t="n">
        <v>2</v>
      </c>
      <c r="P5" s="2" t="n">
        <v>3</v>
      </c>
      <c r="Q5" s="6">
        <f>ROUND((G5*0.18)+(H5*0.15)+(I5*0.12)+(J5*0.08)+(K5*0.13)+(L5*0.1)+(M5*0.12)+(N5*0.12)-(O5*0.07)+(P5*0.1),2)</f>
        <v/>
      </c>
      <c r="R5" s="6">
        <f>ROUND((I5*0.16)+(J5*0.2)+(K5*0.12)+(L5*0.1)+((6-M5)*0.08)+((6-N5)*0.08)+(O5*0.06)+(P5*0.14)+(G5*0.06),2)</f>
        <v/>
      </c>
      <c r="S5" s="6">
        <f>IF(A5="","",IF(AND(G5&gt;=4,H5&gt;=4,K5&gt;=3,P5&gt;=4),"Первый релиз",IF(Q5&gt;=3.7,"Первый релиз",IF(R5&gt;=3.6,"Следующий релиз","Не включать / проверить"))))</f>
        <v/>
      </c>
      <c r="T5" s="6">
        <f>IF(A5="","",IF(S5="Первый релиз","Включить в минимальный рыночный выпуск",IF(S5="Следующий релиз","Запланировать после проверки первого релиза","Оставить как гипотезу / проверить позже")))</f>
        <v/>
      </c>
      <c r="U5" s="2" t="inlineStr">
        <is>
          <t>Документация у 6 из 8 конкурентов (ЛР5)</t>
        </is>
      </c>
    </row>
    <row r="6" ht="28.5" customHeight="1" s="15">
      <c r="A6" s="2" t="inlineStr">
        <is>
          <t>U-005</t>
        </is>
      </c>
      <c r="B6" s="2" t="inlineStr">
        <is>
          <t>Страница сайта</t>
        </is>
      </c>
      <c r="C6" s="2" t="inlineStr">
        <is>
          <t>Регистрация и вход</t>
        </is>
      </c>
      <c r="D6" s="2" t="inlineStr">
        <is>
          <t>Новый пользователь</t>
        </is>
      </c>
      <c r="E6" s="2" t="inlineStr">
        <is>
          <t>SC-003</t>
        </is>
      </c>
      <c r="F6" s="2" t="inlineStr">
        <is>
          <t>Каналы</t>
        </is>
      </c>
      <c r="G6" s="2" t="n">
        <v>4</v>
      </c>
      <c r="H6" s="2" t="n">
        <v>4</v>
      </c>
      <c r="I6" s="2" t="n">
        <v>4</v>
      </c>
      <c r="J6" s="2" t="n">
        <v>3</v>
      </c>
      <c r="K6" s="2" t="n">
        <v>4</v>
      </c>
      <c r="L6" s="2" t="n">
        <v>5</v>
      </c>
      <c r="M6" s="2" t="n">
        <v>4</v>
      </c>
      <c r="N6" s="2" t="n">
        <v>4</v>
      </c>
      <c r="O6" s="2" t="n">
        <v>2</v>
      </c>
      <c r="P6" s="2" t="n">
        <v>5</v>
      </c>
      <c r="Q6" s="6">
        <f>ROUND((G6*0.18)+(H6*0.15)+(I6*0.12)+(J6*0.08)+(K6*0.13)+(L6*0.1)+(M6*0.12)+(N6*0.12)-(O6*0.07)+(P6*0.1),2)</f>
        <v/>
      </c>
      <c r="R6" s="6">
        <f>ROUND((I6*0.16)+(J6*0.2)+(K6*0.12)+(L6*0.1)+((6-M6)*0.08)+((6-N6)*0.08)+(O6*0.06)+(P6*0.14)+(G6*0.06),2)</f>
        <v/>
      </c>
      <c r="S6" s="6">
        <f>IF(A6="","",IF(AND(G6&gt;=4,H6&gt;=4,K6&gt;=3,P6&gt;=4),"Первый релиз",IF(Q6&gt;=3.7,"Первый релиз",IF(R6&gt;=3.6,"Следующий релиз","Не включать / проверить"))))</f>
        <v/>
      </c>
      <c r="T6" s="6">
        <f>IF(A6="","",IF(S6="Первый релиз","Включить в минимальный рыночный выпуск",IF(S6="Следующий релиз","Запланировать после проверки первого релиза","Оставить как гипотезу / проверить позже")))</f>
        <v/>
      </c>
      <c r="U6" s="2" t="inlineStr">
        <is>
          <t>Вход нужен для сохранения диаграмм и подписки</t>
        </is>
      </c>
    </row>
    <row r="7" ht="28.5" customHeight="1" s="15">
      <c r="A7" s="2" t="inlineStr">
        <is>
          <t>U-006</t>
        </is>
      </c>
      <c r="B7" s="2" t="inlineStr">
        <is>
          <t>Страница сайта</t>
        </is>
      </c>
      <c r="C7" s="2" t="inlineStr">
        <is>
          <t>Оплата Pro</t>
        </is>
      </c>
      <c r="D7" s="2" t="inlineStr">
        <is>
          <t>Платящий клиент</t>
        </is>
      </c>
      <c r="E7" s="2" t="inlineStr">
        <is>
          <t>SC-008</t>
        </is>
      </c>
      <c r="F7" s="2" t="inlineStr">
        <is>
          <t>Потоки доходов</t>
        </is>
      </c>
      <c r="G7" s="2" t="n">
        <v>4</v>
      </c>
      <c r="H7" s="2" t="n">
        <v>5</v>
      </c>
      <c r="I7" s="2" t="n">
        <v>4</v>
      </c>
      <c r="J7" s="2" t="n">
        <v>2</v>
      </c>
      <c r="K7" s="2" t="n">
        <v>3</v>
      </c>
      <c r="L7" s="2" t="n">
        <v>5</v>
      </c>
      <c r="M7" s="2" t="n">
        <v>3</v>
      </c>
      <c r="N7" s="2" t="n">
        <v>3</v>
      </c>
      <c r="O7" s="2" t="n">
        <v>4</v>
      </c>
      <c r="P7" s="2" t="n">
        <v>4</v>
      </c>
      <c r="Q7" s="6">
        <f>ROUND((G7*0.18)+(H7*0.15)+(I7*0.12)+(J7*0.08)+(K7*0.13)+(L7*0.1)+(M7*0.12)+(N7*0.12)-(O7*0.07)+(P7*0.1),2)</f>
        <v/>
      </c>
      <c r="R7" s="6">
        <f>ROUND((I7*0.16)+(J7*0.2)+(K7*0.12)+(L7*0.1)+((6-M7)*0.08)+((6-N7)*0.08)+(O7*0.06)+(P7*0.14)+(G7*0.06),2)</f>
        <v/>
      </c>
      <c r="S7" s="6">
        <f>IF(A7="","",IF(AND(G7&gt;=4,H7&gt;=4,K7&gt;=3,P7&gt;=4),"Первый релиз",IF(Q7&gt;=3.7,"Первый релиз",IF(R7&gt;=3.6,"Следующий релиз","Не включать / проверить"))))</f>
        <v/>
      </c>
      <c r="T7" s="6">
        <f>IF(A7="","",IF(S7="Первый релиз","Включить в минимальный рыночный выпуск",IF(S7="Следующий релиз","Запланировать после проверки первого релиза","Оставить как гипотезу / проверить позже")))</f>
        <v/>
      </c>
      <c r="U7" s="2" t="inlineStr">
        <is>
          <t>Монетизация - граница экономии (6.5, п. 7.5)</t>
        </is>
      </c>
    </row>
    <row r="8" ht="28.5" customHeight="1" s="15">
      <c r="A8" s="2" t="inlineStr">
        <is>
          <t>U-007</t>
        </is>
      </c>
      <c r="B8" s="2" t="inlineStr">
        <is>
          <t>Экран приложения</t>
        </is>
      </c>
      <c r="C8" s="2" t="inlineStr">
        <is>
          <t>Выбор нотации и шаблона</t>
        </is>
      </c>
      <c r="D8" s="2" t="inlineStr">
        <is>
          <t>Новый пользователь</t>
        </is>
      </c>
      <c r="E8" s="2" t="inlineStr">
        <is>
          <t>SC-005</t>
        </is>
      </c>
      <c r="F8" s="2" t="inlineStr">
        <is>
          <t>Ценностные предложения</t>
        </is>
      </c>
      <c r="G8" s="2" t="n">
        <v>5</v>
      </c>
      <c r="H8" s="2" t="n">
        <v>3</v>
      </c>
      <c r="I8" s="2" t="n">
        <v>3</v>
      </c>
      <c r="J8" s="2" t="n">
        <v>3</v>
      </c>
      <c r="K8" s="2" t="n">
        <v>4</v>
      </c>
      <c r="L8" s="2" t="n">
        <v>5</v>
      </c>
      <c r="M8" s="2" t="n">
        <v>5</v>
      </c>
      <c r="N8" s="2" t="n">
        <v>5</v>
      </c>
      <c r="O8" s="2" t="n">
        <v>1</v>
      </c>
      <c r="P8" s="2" t="n">
        <v>5</v>
      </c>
      <c r="Q8" s="6">
        <f>ROUND((G8*0.18)+(H8*0.15)+(I8*0.12)+(J8*0.08)+(K8*0.13)+(L8*0.1)+(M8*0.12)+(N8*0.12)-(O8*0.07)+(P8*0.1),2)</f>
        <v/>
      </c>
      <c r="R8" s="6">
        <f>ROUND((I8*0.16)+(J8*0.2)+(K8*0.12)+(L8*0.1)+((6-M8)*0.08)+((6-N8)*0.08)+(O8*0.06)+(P8*0.14)+(G8*0.06),2)</f>
        <v/>
      </c>
      <c r="S8" s="6">
        <f>IF(A8="","",IF(AND(G8&gt;=4,H8&gt;=4,K8&gt;=3,P8&gt;=4),"Первый релиз",IF(Q8&gt;=3.7,"Первый релиз",IF(R8&gt;=3.6,"Следующий релиз","Не включать / проверить"))))</f>
        <v/>
      </c>
      <c r="T8" s="6">
        <f>IF(A8="","",IF(S8="Первый релиз","Включить в минимальный рыночный выпуск",IF(S8="Следующий релиз","Запланировать после проверки первого релиза","Оставить как гипотезу / проверить позже")))</f>
        <v/>
      </c>
      <c r="U8" s="2" t="inlineStr">
        <is>
          <t>Вход в ядро ценности; показывает набор нотаций</t>
        </is>
      </c>
    </row>
    <row r="9" ht="28.5" customHeight="1" s="15">
      <c r="A9" s="2" t="inlineStr">
        <is>
          <t>U-008</t>
        </is>
      </c>
      <c r="B9" s="2" t="inlineStr">
        <is>
          <t>Экран приложения</t>
        </is>
      </c>
      <c r="C9" s="2" t="inlineStr">
        <is>
          <t>Рабочая область редактора</t>
        </is>
      </c>
      <c r="D9" s="2" t="inlineStr">
        <is>
          <t>Новый пользователь</t>
        </is>
      </c>
      <c r="E9" s="2" t="inlineStr">
        <is>
          <t>SC-004</t>
        </is>
      </c>
      <c r="F9" s="2" t="inlineStr">
        <is>
          <t>Ценностные предложения</t>
        </is>
      </c>
      <c r="G9" s="2" t="n">
        <v>5</v>
      </c>
      <c r="H9" s="2" t="n">
        <v>4</v>
      </c>
      <c r="I9" s="2" t="n">
        <v>5</v>
      </c>
      <c r="J9" s="2" t="n">
        <v>4</v>
      </c>
      <c r="K9" s="2" t="n">
        <v>4</v>
      </c>
      <c r="L9" s="2" t="n">
        <v>5</v>
      </c>
      <c r="M9" s="2" t="n">
        <v>2</v>
      </c>
      <c r="N9" s="2" t="n">
        <v>2</v>
      </c>
      <c r="O9" s="2" t="n">
        <v>4</v>
      </c>
      <c r="P9" s="2" t="n">
        <v>5</v>
      </c>
      <c r="Q9" s="6">
        <f>ROUND((G9*0.18)+(H9*0.15)+(I9*0.12)+(J9*0.08)+(K9*0.13)+(L9*0.1)+(M9*0.12)+(N9*0.12)-(O9*0.07)+(P9*0.1),2)</f>
        <v/>
      </c>
      <c r="R9" s="6">
        <f>ROUND((I9*0.16)+(J9*0.2)+(K9*0.12)+(L9*0.1)+((6-M9)*0.08)+((6-N9)*0.08)+(O9*0.06)+(P9*0.14)+(G9*0.06),2)</f>
        <v/>
      </c>
      <c r="S9" s="6">
        <f>IF(A9="","",IF(AND(G9&gt;=4,H9&gt;=4,K9&gt;=3,P9&gt;=4),"Первый релиз",IF(Q9&gt;=3.7,"Первый релиз",IF(R9&gt;=3.6,"Следующий релиз","Не включать / проверить"))))</f>
        <v/>
      </c>
      <c r="T9" s="6">
        <f>IF(A9="","",IF(S9="Первый релиз","Включить в минимальный рыночный выпуск",IF(S9="Следующий релиз","Запланировать после проверки первого релиза","Оставить как гипотезу / проверить позже")))</f>
        <v/>
      </c>
      <c r="U9" s="2" t="inlineStr">
        <is>
          <t>Ядро цифрового товара</t>
        </is>
      </c>
    </row>
    <row r="10" ht="28.5" customHeight="1" s="15">
      <c r="A10" s="2" t="inlineStr">
        <is>
          <t>U-009</t>
        </is>
      </c>
      <c r="B10" s="2" t="inlineStr">
        <is>
          <t>Экран приложения</t>
        </is>
      </c>
      <c r="C10" s="2" t="inlineStr">
        <is>
          <t>Результат и экспорт</t>
        </is>
      </c>
      <c r="D10" s="2" t="inlineStr">
        <is>
          <t>Новый пользователь</t>
        </is>
      </c>
      <c r="E10" s="2" t="inlineStr">
        <is>
          <t>SC-006</t>
        </is>
      </c>
      <c r="F10" s="2" t="inlineStr">
        <is>
          <t>Ценностные предложения</t>
        </is>
      </c>
      <c r="G10" s="2" t="n">
        <v>5</v>
      </c>
      <c r="H10" s="2" t="n">
        <v>4</v>
      </c>
      <c r="I10" s="2" t="n">
        <v>3</v>
      </c>
      <c r="J10" s="2" t="n">
        <v>4</v>
      </c>
      <c r="K10" s="2" t="n">
        <v>5</v>
      </c>
      <c r="L10" s="2" t="n">
        <v>5</v>
      </c>
      <c r="M10" s="2" t="n">
        <v>4</v>
      </c>
      <c r="N10" s="2" t="n">
        <v>4</v>
      </c>
      <c r="O10" s="2" t="n">
        <v>2</v>
      </c>
      <c r="P10" s="2" t="n">
        <v>5</v>
      </c>
      <c r="Q10" s="6">
        <f>ROUND((G10*0.18)+(H10*0.15)+(I10*0.12)+(J10*0.08)+(K10*0.13)+(L10*0.1)+(M10*0.12)+(N10*0.12)-(O10*0.07)+(P10*0.1),2)</f>
        <v/>
      </c>
      <c r="R10" s="6">
        <f>ROUND((I10*0.16)+(J10*0.2)+(K10*0.12)+(L10*0.1)+((6-M10)*0.08)+((6-N10)*0.08)+(O10*0.06)+(P10*0.14)+(G10*0.06),2)</f>
        <v/>
      </c>
      <c r="S10" s="6">
        <f>IF(A10="","",IF(AND(G10&gt;=4,H10&gt;=4,K10&gt;=3,P10&gt;=4),"Первый релиз",IF(Q10&gt;=3.7,"Первый релиз",IF(R10&gt;=3.6,"Следующий релиз","Не включать / проверить"))))</f>
        <v/>
      </c>
      <c r="T10" s="6">
        <f>IF(A10="","",IF(S10="Первый релиз","Включить в минимальный рыночный выпуск",IF(S10="Следующий релиз","Запланировать после проверки первого релиза","Оставить как гипотезу / проверить позже")))</f>
        <v/>
      </c>
      <c r="U10" s="2" t="inlineStr">
        <is>
          <t>Экспорт у 8 из 8 конкурентов; PNG важен 27 из 27 (опрос)</t>
        </is>
      </c>
    </row>
    <row r="11" ht="28.5" customHeight="1" s="15">
      <c r="A11" s="2" t="inlineStr">
        <is>
          <t>U-010</t>
        </is>
      </c>
      <c r="B11" s="2" t="inlineStr">
        <is>
          <t>Экран приложения</t>
        </is>
      </c>
      <c r="C11" s="2" t="inlineStr">
        <is>
          <t>Мои диаграммы</t>
        </is>
      </c>
      <c r="D11" s="2" t="inlineStr">
        <is>
          <t>Активный пользователь</t>
        </is>
      </c>
      <c r="E11" s="2" t="inlineStr">
        <is>
          <t>SC-007</t>
        </is>
      </c>
      <c r="F11" s="2" t="inlineStr">
        <is>
          <t>Отношения с клиентами</t>
        </is>
      </c>
      <c r="G11" s="2" t="n">
        <v>4</v>
      </c>
      <c r="H11" s="2" t="n">
        <v>2</v>
      </c>
      <c r="I11" s="2" t="n">
        <v>5</v>
      </c>
      <c r="J11" s="2" t="n">
        <v>2</v>
      </c>
      <c r="K11" s="2" t="n">
        <v>3</v>
      </c>
      <c r="L11" s="2" t="n">
        <v>4</v>
      </c>
      <c r="M11" s="2" t="n">
        <v>3</v>
      </c>
      <c r="N11" s="2" t="n">
        <v>3</v>
      </c>
      <c r="O11" s="2" t="n">
        <v>3</v>
      </c>
      <c r="P11" s="2" t="n">
        <v>3</v>
      </c>
      <c r="Q11" s="6">
        <f>ROUND((G11*0.18)+(H11*0.15)+(I11*0.12)+(J11*0.08)+(K11*0.13)+(L11*0.1)+(M11*0.12)+(N11*0.12)-(O11*0.07)+(P11*0.1),2)</f>
        <v/>
      </c>
      <c r="R11" s="6">
        <f>ROUND((I11*0.16)+(J11*0.2)+(K11*0.12)+(L11*0.1)+((6-M11)*0.08)+((6-N11)*0.08)+(O11*0.06)+(P11*0.14)+(G11*0.06),2)</f>
        <v/>
      </c>
      <c r="S11" s="6">
        <f>IF(A11="","",IF(AND(G11&gt;=4,H11&gt;=4,K11&gt;=3,P11&gt;=4),"Первый релиз",IF(Q11&gt;=3.7,"Первый релиз",IF(R11&gt;=3.6,"Следующий релиз","Не включать / проверить"))))</f>
        <v/>
      </c>
      <c r="T11" s="6">
        <f>IF(A11="","",IF(S11="Первый релиз","Включить в минимальный рыночный выпуск",IF(S11="Следующий релиз","Запланировать после проверки первого релиза","Оставить как гипотезу / проверить позже")))</f>
        <v/>
      </c>
      <c r="U11" s="2" t="inlineStr">
        <is>
          <t>Возврат пользователя; история версий у 5 из 8</t>
        </is>
      </c>
    </row>
    <row r="12" ht="28.5" customHeight="1" s="15">
      <c r="A12" s="2" t="inlineStr">
        <is>
          <t>U-011</t>
        </is>
      </c>
      <c r="B12" s="2" t="inlineStr">
        <is>
          <t>Экран приложения</t>
        </is>
      </c>
      <c r="C12" s="2" t="inlineStr">
        <is>
          <t>Подсказка об ошибке синтаксиса</t>
        </is>
      </c>
      <c r="D12" s="2" t="inlineStr">
        <is>
          <t>Новый пользователь</t>
        </is>
      </c>
      <c r="E12" s="2" t="inlineStr">
        <is>
          <t>SC-009</t>
        </is>
      </c>
      <c r="F12" s="2" t="inlineStr">
        <is>
          <t>Отношения с клиентами</t>
        </is>
      </c>
      <c r="G12" s="2" t="n">
        <v>4</v>
      </c>
      <c r="H12" s="2" t="n">
        <v>2</v>
      </c>
      <c r="I12" s="2" t="n">
        <v>4</v>
      </c>
      <c r="J12" s="2" t="n">
        <v>3</v>
      </c>
      <c r="K12" s="2" t="n">
        <v>2</v>
      </c>
      <c r="L12" s="2" t="n">
        <v>2</v>
      </c>
      <c r="M12" s="2" t="n">
        <v>2</v>
      </c>
      <c r="N12" s="2" t="n">
        <v>2</v>
      </c>
      <c r="O12" s="2" t="n">
        <v>4</v>
      </c>
      <c r="P12" s="2" t="n">
        <v>3</v>
      </c>
      <c r="Q12" s="6">
        <f>ROUND((G12*0.18)+(H12*0.15)+(I12*0.12)+(J12*0.08)+(K12*0.13)+(L12*0.1)+(M12*0.12)+(N12*0.12)-(O12*0.07)+(P12*0.1),2)</f>
        <v/>
      </c>
      <c r="R12" s="6">
        <f>ROUND((I12*0.16)+(J12*0.2)+(K12*0.12)+(L12*0.1)+((6-M12)*0.08)+((6-N12)*0.08)+(O12*0.06)+(P12*0.14)+(G12*0.06),2)</f>
        <v/>
      </c>
      <c r="S12" s="6">
        <f>IF(A12="","",IF(AND(G12&gt;=4,H12&gt;=4,K12&gt;=3,P12&gt;=4),"Первый релиз",IF(Q12&gt;=3.7,"Первый релиз",IF(R12&gt;=3.6,"Следующий релиз","Не включать / проверить"))))</f>
        <v/>
      </c>
      <c r="T12" s="6">
        <f>IF(A12="","",IF(S12="Первый релиз","Включить в минимальный рыночный выпуск",IF(S12="Следующий релиз","Запланировать после проверки первого релиза","Оставить как гипотезу / проверить позже")))</f>
        <v/>
      </c>
      <c r="U12" s="2" t="inlineStr">
        <is>
          <t>Данных о реализации у конкурентов нет (гипотеза)</t>
        </is>
      </c>
    </row>
    <row r="13" ht="28.5" customHeight="1" s="15">
      <c r="A13" s="2" t="inlineStr">
        <is>
          <t>U-012</t>
        </is>
      </c>
      <c r="B13" s="2" t="inlineStr">
        <is>
          <t>Экран приложения</t>
        </is>
      </c>
      <c r="C13" s="2" t="inlineStr">
        <is>
          <t>Профиль и подписка</t>
        </is>
      </c>
      <c r="D13" s="2" t="inlineStr">
        <is>
          <t>Платящий клиент</t>
        </is>
      </c>
      <c r="E13" s="2" t="inlineStr">
        <is>
          <t>SC-008</t>
        </is>
      </c>
      <c r="F13" s="2" t="inlineStr">
        <is>
          <t>Потоки доходов</t>
        </is>
      </c>
      <c r="G13" s="2" t="n">
        <v>3</v>
      </c>
      <c r="H13" s="2" t="n">
        <v>4</v>
      </c>
      <c r="I13" s="2" t="n">
        <v>4</v>
      </c>
      <c r="J13" s="2" t="n">
        <v>2</v>
      </c>
      <c r="K13" s="2" t="n">
        <v>3</v>
      </c>
      <c r="L13" s="2" t="n">
        <v>4</v>
      </c>
      <c r="M13" s="2" t="n">
        <v>4</v>
      </c>
      <c r="N13" s="2" t="n">
        <v>4</v>
      </c>
      <c r="O13" s="2" t="n">
        <v>2</v>
      </c>
      <c r="P13" s="2" t="n">
        <v>3</v>
      </c>
      <c r="Q13" s="6">
        <f>ROUND((G13*0.18)+(H13*0.15)+(I13*0.12)+(J13*0.08)+(K13*0.13)+(L13*0.1)+(M13*0.12)+(N13*0.12)-(O13*0.07)+(P13*0.1),2)</f>
        <v/>
      </c>
      <c r="R13" s="6">
        <f>ROUND((I13*0.16)+(J13*0.2)+(K13*0.12)+(L13*0.1)+((6-M13)*0.08)+((6-N13)*0.08)+(O13*0.06)+(P13*0.14)+(G13*0.06),2)</f>
        <v/>
      </c>
      <c r="S13" s="6">
        <f>IF(A13="","",IF(AND(G13&gt;=4,H13&gt;=4,K13&gt;=3,P13&gt;=4),"Первый релиз",IF(Q13&gt;=3.7,"Первый релиз",IF(R13&gt;=3.6,"Следующий релиз","Не включать / проверить"))))</f>
        <v/>
      </c>
      <c r="T13" s="6">
        <f>IF(A13="","",IF(S13="Первый релиз","Включить в минимальный рыночный выпуск",IF(S13="Следующий релиз","Запланировать после проверки первого релиза","Оставить как гипотезу / проверить позже")))</f>
        <v/>
      </c>
      <c r="U13" s="2" t="inlineStr">
        <is>
          <t>Продление подписки</t>
        </is>
      </c>
    </row>
    <row r="14" ht="28.5" customHeight="1" s="15">
      <c r="A14" s="2" t="inlineStr">
        <is>
          <t>U-013</t>
        </is>
      </c>
      <c r="B14" s="2" t="inlineStr">
        <is>
          <t>Экран приложения</t>
        </is>
      </c>
      <c r="C14" s="2" t="inlineStr">
        <is>
          <t>ИИ-ассистент (заглушка в MVP)</t>
        </is>
      </c>
      <c r="D14" s="2" t="inlineStr">
        <is>
          <t>Новый пользователь</t>
        </is>
      </c>
      <c r="E14" s="2" t="inlineStr">
        <is>
          <t>SC-004</t>
        </is>
      </c>
      <c r="F14" s="2" t="inlineStr">
        <is>
          <t>Ценностные предложения</t>
        </is>
      </c>
      <c r="G14" s="2" t="n">
        <v>4</v>
      </c>
      <c r="H14" s="2" t="n">
        <v>4</v>
      </c>
      <c r="I14" s="2" t="n">
        <v>3</v>
      </c>
      <c r="J14" s="2" t="n">
        <v>4</v>
      </c>
      <c r="K14" s="2" t="n">
        <v>3</v>
      </c>
      <c r="L14" s="2" t="n">
        <v>3</v>
      </c>
      <c r="M14" s="2" t="n">
        <v>2</v>
      </c>
      <c r="N14" s="2" t="n">
        <v>2</v>
      </c>
      <c r="O14" s="2" t="n">
        <v>5</v>
      </c>
      <c r="P14" s="2" t="n">
        <v>3</v>
      </c>
      <c r="Q14" s="6">
        <f>ROUND((G14*0.18)+(H14*0.15)+(I14*0.12)+(J14*0.08)+(K14*0.13)+(L14*0.1)+(M14*0.12)+(N14*0.12)-(O14*0.07)+(P14*0.1),2)</f>
        <v/>
      </c>
      <c r="R14" s="6">
        <f>ROUND((I14*0.16)+(J14*0.2)+(K14*0.12)+(L14*0.1)+((6-M14)*0.08)+((6-N14)*0.08)+(O14*0.06)+(P14*0.14)+(G14*0.06),2)</f>
        <v/>
      </c>
      <c r="S14" s="6">
        <f>IF(A14="","",IF(AND(G14&gt;=4,H14&gt;=4,K14&gt;=3,P14&gt;=4),"Первый релиз",IF(Q14&gt;=3.7,"Первый релиз",IF(R14&gt;=3.6,"Следующий релиз","Не включать / проверить"))))</f>
        <v/>
      </c>
      <c r="T14" s="6">
        <f>IF(A14="","",IF(S14="Первый релиз","Включить в минимальный рыночный выпуск",IF(S14="Следующий релиз","Запланировать после проверки первого релиза","Оставить как гипотезу / проверить позже")))</f>
        <v/>
      </c>
      <c r="U14" s="2" t="inlineStr">
        <is>
          <t>ИИ у 5 из 8 конкурентов; лимиты ИИ - тарифный ограничитель</t>
        </is>
      </c>
    </row>
    <row r="15" ht="28.5" customHeight="1" s="15">
      <c r="A15" s="2" t="inlineStr">
        <is>
          <t>U-014</t>
        </is>
      </c>
      <c r="B15" s="2" t="inlineStr">
        <is>
          <t>Функция</t>
        </is>
      </c>
      <c r="C15" s="2" t="inlineStr">
        <is>
          <t>Аналитика событий и обратная связь</t>
        </is>
      </c>
      <c r="D15" s="2" t="inlineStr">
        <is>
          <t>Внутренний администратор</t>
        </is>
      </c>
      <c r="E15" s="2" t="inlineStr">
        <is>
          <t>SC-001</t>
        </is>
      </c>
      <c r="F15" s="2" t="inlineStr">
        <is>
          <t>Ключевые виды деятельности</t>
        </is>
      </c>
      <c r="G15" s="2" t="n">
        <v>4</v>
      </c>
      <c r="H15" s="2" t="n">
        <v>4</v>
      </c>
      <c r="I15" s="2" t="n">
        <v>4</v>
      </c>
      <c r="J15" s="2" t="n">
        <v>3</v>
      </c>
      <c r="K15" s="2" t="n">
        <v>4</v>
      </c>
      <c r="L15" s="2" t="n">
        <v>4</v>
      </c>
      <c r="M15" s="2" t="n">
        <v>4</v>
      </c>
      <c r="N15" s="2" t="n">
        <v>4</v>
      </c>
      <c r="O15" s="2" t="n">
        <v>2</v>
      </c>
      <c r="P15" s="2" t="n">
        <v>5</v>
      </c>
      <c r="Q15" s="6">
        <f>ROUND((G15*0.18)+(H15*0.15)+(I15*0.12)+(J15*0.08)+(K15*0.13)+(L15*0.1)+(M15*0.12)+(N15*0.12)-(O15*0.07)+(P15*0.1),2)</f>
        <v/>
      </c>
      <c r="R15" s="6">
        <f>ROUND((I15*0.16)+(J15*0.2)+(K15*0.12)+(L15*0.1)+((6-M15)*0.08)+((6-N15)*0.08)+(O15*0.06)+(P15*0.14)+(G15*0.06),2)</f>
        <v/>
      </c>
      <c r="S15" s="6">
        <f>IF(A15="","",IF(AND(G15&gt;=4,H15&gt;=4,K15&gt;=3,P15&gt;=4),"Первый релиз",IF(Q15&gt;=3.7,"Первый релиз",IF(R15&gt;=3.6,"Следующий релиз","Не включать / проверить"))))</f>
        <v/>
      </c>
      <c r="T15" s="6">
        <f>IF(A15="","",IF(S15="Первый релиз","Включить в минимальный рыночный выпуск",IF(S15="Следующий релиз","Запланировать после проверки первого релиза","Оставить как гипотезу / проверить позже")))</f>
        <v/>
      </c>
      <c r="U15" s="2" t="inlineStr">
        <is>
          <t>События и обратная связь включаются обязательно (6.5, п. 7.6)</t>
        </is>
      </c>
    </row>
    <row r="16" ht="28.5" customHeight="1" s="15">
      <c r="A16" s="2" t="inlineStr">
        <is>
          <t>U-015</t>
        </is>
      </c>
      <c r="B16" s="2" t="inlineStr">
        <is>
          <t>Страница сайта</t>
        </is>
      </c>
      <c r="C16" s="2" t="inlineStr">
        <is>
          <t>Правовые тексты и конфиденциальность</t>
        </is>
      </c>
      <c r="D16" s="2" t="inlineStr">
        <is>
          <t>Посетитель</t>
        </is>
      </c>
      <c r="E16" s="2" t="inlineStr">
        <is>
          <t>SC-003</t>
        </is>
      </c>
      <c r="F16" s="2" t="inlineStr">
        <is>
          <t>Ключевые виды деятельности</t>
        </is>
      </c>
      <c r="G16" s="2" t="n">
        <v>4</v>
      </c>
      <c r="H16" s="2" t="n">
        <v>3</v>
      </c>
      <c r="I16" s="2" t="n">
        <v>2</v>
      </c>
      <c r="J16" s="2" t="n">
        <v>2</v>
      </c>
      <c r="K16" s="2" t="n">
        <v>4</v>
      </c>
      <c r="L16" s="2" t="n">
        <v>5</v>
      </c>
      <c r="M16" s="2" t="n">
        <v>5</v>
      </c>
      <c r="N16" s="2" t="n">
        <v>5</v>
      </c>
      <c r="O16" s="2" t="n">
        <v>1</v>
      </c>
      <c r="P16" s="2" t="n">
        <v>5</v>
      </c>
      <c r="Q16" s="6">
        <f>ROUND((G16*0.18)+(H16*0.15)+(I16*0.12)+(J16*0.08)+(K16*0.13)+(L16*0.1)+(M16*0.12)+(N16*0.12)-(O16*0.07)+(P16*0.1),2)</f>
        <v/>
      </c>
      <c r="R16" s="6">
        <f>ROUND((I16*0.16)+(J16*0.2)+(K16*0.12)+(L16*0.1)+((6-M16)*0.08)+((6-N16)*0.08)+(O16*0.06)+(P16*0.14)+(G16*0.06),2)</f>
        <v/>
      </c>
      <c r="S16" s="6">
        <f>IF(A16="","",IF(AND(G16&gt;=4,H16&gt;=4,K16&gt;=3,P16&gt;=4),"Первый релиз",IF(Q16&gt;=3.7,"Первый релиз",IF(R16&gt;=3.6,"Следующий релиз","Не включать / проверить"))))</f>
        <v/>
      </c>
      <c r="T16" s="6">
        <f>IF(A16="","",IF(S16="Первый релиз","Включить в минимальный рыночный выпуск",IF(S16="Следующий релиз","Запланировать после проверки первого релиза","Оставить как гипотезу / проверить позже")))</f>
        <v/>
      </c>
      <c r="U16" s="2" t="inlineStr">
        <is>
          <t>Раздел о безопасности у 6 из 8 конкурентов; правовые требования</t>
        </is>
      </c>
    </row>
    <row r="17" ht="28.5" customHeight="1" s="15">
      <c r="A17" s="2" t="inlineStr">
        <is>
          <t>U-016</t>
        </is>
      </c>
      <c r="B17" s="2" t="inlineStr">
        <is>
          <t>Функция</t>
        </is>
      </c>
      <c r="C17" s="2" t="inlineStr">
        <is>
          <t>Форма обращения в поддержку</t>
        </is>
      </c>
      <c r="D17" s="2" t="inlineStr">
        <is>
          <t>Новый пользователь</t>
        </is>
      </c>
      <c r="E17" s="2" t="inlineStr">
        <is>
          <t>SC-009</t>
        </is>
      </c>
      <c r="F17" s="2" t="inlineStr">
        <is>
          <t>Отношения с клиентами</t>
        </is>
      </c>
      <c r="G17" s="2" t="n">
        <v>3</v>
      </c>
      <c r="H17" s="2" t="n">
        <v>2</v>
      </c>
      <c r="I17" s="2" t="n">
        <v>4</v>
      </c>
      <c r="J17" s="2" t="n">
        <v>3</v>
      </c>
      <c r="K17" s="2" t="n">
        <v>3</v>
      </c>
      <c r="L17" s="2" t="n">
        <v>4</v>
      </c>
      <c r="M17" s="2" t="n">
        <v>4</v>
      </c>
      <c r="N17" s="2" t="n">
        <v>4</v>
      </c>
      <c r="O17" s="2" t="n">
        <v>1</v>
      </c>
      <c r="P17" s="2" t="n">
        <v>4</v>
      </c>
      <c r="Q17" s="6">
        <f>ROUND((G17*0.18)+(H17*0.15)+(I17*0.12)+(J17*0.08)+(K17*0.13)+(L17*0.1)+(M17*0.12)+(N17*0.12)-(O17*0.07)+(P17*0.1),2)</f>
        <v/>
      </c>
      <c r="R17" s="6">
        <f>ROUND((I17*0.16)+(J17*0.2)+(K17*0.12)+(L17*0.1)+((6-M17)*0.08)+((6-N17)*0.08)+(O17*0.06)+(P17*0.14)+(G17*0.06),2)</f>
        <v/>
      </c>
      <c r="S17" s="6">
        <f>IF(A17="","",IF(AND(G17&gt;=4,H17&gt;=4,K17&gt;=3,P17&gt;=4),"Первый релиз",IF(Q17&gt;=3.7,"Первый релиз",IF(R17&gt;=3.6,"Следующий релиз","Не включать / проверить"))))</f>
        <v/>
      </c>
      <c r="T17" s="6">
        <f>IF(A17="","",IF(S17="Первый релиз","Включить в минимальный рыночный выпуск",IF(S17="Следующий релиз","Запланировать после проверки первого релиза","Оставить как гипотезу / проверить позже")))</f>
        <v/>
      </c>
      <c r="U17" s="2" t="inlineStr">
        <is>
          <t>Базовая поддержка в первом релизе</t>
        </is>
      </c>
    </row>
    <row r="18" ht="28.5" customHeight="1" s="15">
      <c r="A18" s="2" t="inlineStr">
        <is>
          <t>U-017</t>
        </is>
      </c>
      <c r="B18" s="2" t="inlineStr">
        <is>
          <t>Функция</t>
        </is>
      </c>
      <c r="C18" s="2" t="inlineStr">
        <is>
          <t>Совместное редактирование</t>
        </is>
      </c>
      <c r="D18" s="2" t="inlineStr">
        <is>
          <t>Администратор клиента</t>
        </is>
      </c>
      <c r="E18" s="2" t="inlineStr">
        <is>
          <t>SC-011</t>
        </is>
      </c>
      <c r="F18" s="2" t="inlineStr">
        <is>
          <t>Потоки доходов</t>
        </is>
      </c>
      <c r="G18" s="2" t="n">
        <v>4</v>
      </c>
      <c r="H18" s="2" t="n">
        <v>3</v>
      </c>
      <c r="I18" s="2" t="n">
        <v>4</v>
      </c>
      <c r="J18" s="2" t="n">
        <v>5</v>
      </c>
      <c r="K18" s="2" t="n">
        <v>3</v>
      </c>
      <c r="L18" s="2" t="n">
        <v>3</v>
      </c>
      <c r="M18" s="2" t="n">
        <v>1</v>
      </c>
      <c r="N18" s="2" t="n">
        <v>1</v>
      </c>
      <c r="O18" s="2" t="n">
        <v>5</v>
      </c>
      <c r="P18" s="2" t="n">
        <v>2</v>
      </c>
      <c r="Q18" s="6">
        <f>ROUND((G18*0.18)+(H18*0.15)+(I18*0.12)+(J18*0.08)+(K18*0.13)+(L18*0.1)+(M18*0.12)+(N18*0.12)-(O18*0.07)+(P18*0.1),2)</f>
        <v/>
      </c>
      <c r="R18" s="6">
        <f>ROUND((I18*0.16)+(J18*0.2)+(K18*0.12)+(L18*0.1)+((6-M18)*0.08)+((6-N18)*0.08)+(O18*0.06)+(P18*0.14)+(G18*0.06),2)</f>
        <v/>
      </c>
      <c r="S18" s="6">
        <f>IF(A18="","",IF(AND(G18&gt;=4,H18&gt;=4,K18&gt;=3,P18&gt;=4),"Первый релиз",IF(Q18&gt;=3.7,"Первый релиз",IF(R18&gt;=3.6,"Следующий релиз","Не включать / проверить"))))</f>
        <v/>
      </c>
      <c r="T18" s="6">
        <f>IF(A18="","",IF(S18="Первый релиз","Включить в минимальный рыночный выпуск",IF(S18="Следующий релиз","Запланировать после проверки первого релиза","Оставить как гипотезу / проверить позже")))</f>
        <v/>
      </c>
      <c r="U18" s="2" t="inlineStr">
        <is>
          <t>Коллаборация у 6 из 8; важна 26 из 27 (опрос)</t>
        </is>
      </c>
    </row>
    <row r="19" ht="28.5" customHeight="1" s="15">
      <c r="A19" s="2" t="inlineStr">
        <is>
          <t>U-018</t>
        </is>
      </c>
      <c r="B19" s="2" t="inlineStr">
        <is>
          <t>Функция</t>
        </is>
      </c>
      <c r="C19" s="2" t="inlineStr">
        <is>
          <t>Реферальные механики</t>
        </is>
      </c>
      <c r="D19" s="2" t="inlineStr">
        <is>
          <t>Активный пользователь</t>
        </is>
      </c>
      <c r="E19" s="2" t="inlineStr">
        <is>
          <t>SC-012</t>
        </is>
      </c>
      <c r="F19" s="2" t="inlineStr">
        <is>
          <t>Каналы</t>
        </is>
      </c>
      <c r="G19" s="2" t="n">
        <v>2</v>
      </c>
      <c r="H19" s="2" t="n">
        <v>1</v>
      </c>
      <c r="I19" s="2" t="n">
        <v>2</v>
      </c>
      <c r="J19" s="2" t="n">
        <v>5</v>
      </c>
      <c r="K19" s="2" t="n">
        <v>2</v>
      </c>
      <c r="L19" s="2" t="n">
        <v>2</v>
      </c>
      <c r="M19" s="2" t="n">
        <v>3</v>
      </c>
      <c r="N19" s="2" t="n">
        <v>3</v>
      </c>
      <c r="O19" s="2" t="n">
        <v>2</v>
      </c>
      <c r="P19" s="2" t="n">
        <v>1</v>
      </c>
      <c r="Q19" s="6">
        <f>ROUND((G19*0.18)+(H19*0.15)+(I19*0.12)+(J19*0.08)+(K19*0.13)+(L19*0.1)+(M19*0.12)+(N19*0.12)-(O19*0.07)+(P19*0.1),2)</f>
        <v/>
      </c>
      <c r="R19" s="6">
        <f>ROUND((I19*0.16)+(J19*0.2)+(K19*0.12)+(L19*0.1)+((6-M19)*0.08)+((6-N19)*0.08)+(O19*0.06)+(P19*0.14)+(G19*0.06),2)</f>
        <v/>
      </c>
      <c r="S19" s="6">
        <f>IF(A19="","",IF(AND(G19&gt;=4,H19&gt;=4,K19&gt;=3,P19&gt;=4),"Первый релиз",IF(Q19&gt;=3.7,"Первый релиз",IF(R19&gt;=3.6,"Следующий релиз","Не включать / проверить"))))</f>
        <v/>
      </c>
      <c r="T19" s="6">
        <f>IF(A19="","",IF(S19="Первый релиз","Включить в минимальный рыночный выпуск",IF(S19="Следующий релиз","Запланировать после проверки первого релиза","Оставить как гипотезу / проверить позже")))</f>
        <v/>
      </c>
      <c r="U19" s="2" t="inlineStr">
        <is>
          <t>Рост аудитории переносится</t>
        </is>
      </c>
    </row>
    <row r="20" ht="28.5" customHeight="1" s="15">
      <c r="A20" s="2" t="inlineStr">
        <is>
          <t>U-019</t>
        </is>
      </c>
      <c r="B20" s="2" t="inlineStr">
        <is>
          <t>Функция</t>
        </is>
      </c>
      <c r="C20" s="2" t="inlineStr">
        <is>
          <t>API и интеграции</t>
        </is>
      </c>
      <c r="D20" s="2" t="inlineStr">
        <is>
          <t>Платящий клиент</t>
        </is>
      </c>
      <c r="E20" s="2" t="inlineStr">
        <is>
          <t>SC-011</t>
        </is>
      </c>
      <c r="F20" s="2" t="inlineStr">
        <is>
          <t>Ключевые партнеры</t>
        </is>
      </c>
      <c r="G20" s="2" t="n">
        <v>3</v>
      </c>
      <c r="H20" s="2" t="n">
        <v>3</v>
      </c>
      <c r="I20" s="2" t="n">
        <v>3</v>
      </c>
      <c r="J20" s="2" t="n">
        <v>4</v>
      </c>
      <c r="K20" s="2" t="n">
        <v>2</v>
      </c>
      <c r="L20" s="2" t="n">
        <v>3</v>
      </c>
      <c r="M20" s="2" t="n">
        <v>1</v>
      </c>
      <c r="N20" s="2" t="n">
        <v>1</v>
      </c>
      <c r="O20" s="2" t="n">
        <v>5</v>
      </c>
      <c r="P20" s="2" t="n">
        <v>2</v>
      </c>
      <c r="Q20" s="6">
        <f>ROUND((G20*0.18)+(H20*0.15)+(I20*0.12)+(J20*0.08)+(K20*0.13)+(L20*0.1)+(M20*0.12)+(N20*0.12)-(O20*0.07)+(P20*0.1),2)</f>
        <v/>
      </c>
      <c r="R20" s="6">
        <f>ROUND((I20*0.16)+(J20*0.2)+(K20*0.12)+(L20*0.1)+((6-M20)*0.08)+((6-N20)*0.08)+(O20*0.06)+(P20*0.14)+(G20*0.06),2)</f>
        <v/>
      </c>
      <c r="S20" s="6">
        <f>IF(A20="","",IF(AND(G20&gt;=4,H20&gt;=4,K20&gt;=3,P20&gt;=4),"Первый релиз",IF(Q20&gt;=3.7,"Первый релиз",IF(R20&gt;=3.6,"Следующий релиз","Не включать / проверить"))))</f>
        <v/>
      </c>
      <c r="T20" s="6">
        <f>IF(A20="","",IF(S20="Первый релиз","Включить в минимальный рыночный выпуск",IF(S20="Следующий релиз","Запланировать после проверки первого релиза","Оставить как гипотезу / проверить позже")))</f>
        <v/>
      </c>
      <c r="U20" s="2" t="inlineStr">
        <is>
          <t>Интеграции у 8 из 8, API у 5 из 8 (ЛР5)</t>
        </is>
      </c>
    </row>
    <row r="21" ht="28.5" customHeight="1" s="15">
      <c r="A21" s="2" t="inlineStr">
        <is>
          <t>U-020</t>
        </is>
      </c>
      <c r="B21" s="2" t="inlineStr">
        <is>
          <t>Функция</t>
        </is>
      </c>
      <c r="C21" s="2" t="inlineStr">
        <is>
          <t>Командный тариф</t>
        </is>
      </c>
      <c r="D21" s="2" t="inlineStr">
        <is>
          <t>Администратор клиента</t>
        </is>
      </c>
      <c r="E21" s="2" t="inlineStr">
        <is>
          <t>SC-011</t>
        </is>
      </c>
      <c r="F21" s="2" t="inlineStr">
        <is>
          <t>Потоки доходов</t>
        </is>
      </c>
      <c r="G21" s="2" t="n">
        <v>3</v>
      </c>
      <c r="H21" s="2" t="n">
        <v>4</v>
      </c>
      <c r="I21" s="2" t="n">
        <v>3</v>
      </c>
      <c r="J21" s="2" t="n">
        <v>3</v>
      </c>
      <c r="K21" s="2" t="n">
        <v>2</v>
      </c>
      <c r="L21" s="2" t="n">
        <v>3</v>
      </c>
      <c r="M21" s="2" t="n">
        <v>2</v>
      </c>
      <c r="N21" s="2" t="n">
        <v>2</v>
      </c>
      <c r="O21" s="2" t="n">
        <v>3</v>
      </c>
      <c r="P21" s="2" t="n">
        <v>2</v>
      </c>
      <c r="Q21" s="6">
        <f>ROUND((G21*0.18)+(H21*0.15)+(I21*0.12)+(J21*0.08)+(K21*0.13)+(L21*0.1)+(M21*0.12)+(N21*0.12)-(O21*0.07)+(P21*0.1),2)</f>
        <v/>
      </c>
      <c r="R21" s="6">
        <f>ROUND((I21*0.16)+(J21*0.2)+(K21*0.12)+(L21*0.1)+((6-M21)*0.08)+((6-N21)*0.08)+(O21*0.06)+(P21*0.14)+(G21*0.06),2)</f>
        <v/>
      </c>
      <c r="S21" s="6">
        <f>IF(A21="","",IF(AND(G21&gt;=4,H21&gt;=4,K21&gt;=3,P21&gt;=4),"Первый релиз",IF(Q21&gt;=3.7,"Первый релиз",IF(R21&gt;=3.6,"Следующий релиз","Не включать / проверить"))))</f>
        <v/>
      </c>
      <c r="T21" s="6">
        <f>IF(A21="","",IF(S21="Первый релиз","Включить в минимальный рыночный выпуск",IF(S21="Следующий релиз","Запланировать после проверки первого релиза","Оставить как гипотезу / проверить позже")))</f>
        <v/>
      </c>
      <c r="U21" s="2" t="inlineStr">
        <is>
          <t>Enterprise у 4 из 8 конкурентов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6">
        <f>ROUND((G22*0.18)+(H22*0.15)+(I22*0.12)+(J22*0.08)+(K22*0.13)+(L22*0.1)+(M22*0.12)+(N22*0.12)-(O22*0.07)+(P22*0.1),2)</f>
        <v/>
      </c>
      <c r="R22" s="6">
        <f>ROUND((I22*0.16)+(J22*0.2)+(K22*0.12)+(L22*0.1)+((6-M22)*0.08)+((6-N22)*0.08)+(O22*0.06)+(P22*0.14)+(G22*0.06),2)</f>
        <v/>
      </c>
      <c r="S22" s="6">
        <f>IF(A22="","",IF(AND(G22&gt;=4,H22&gt;=4,K22&gt;=3,P22&gt;=4),"Первый релиз",IF(Q22&gt;=3.7,"Первый релиз",IF(R22&gt;=3.6,"Следующий релиз","Не включать / проверить"))))</f>
        <v/>
      </c>
      <c r="T22" s="6">
        <f>IF(A22="","",IF(S22="Первый релиз","Включить в минимальный рыночный выпуск",IF(S22="Следующий релиз","Запланировать после проверки первого релиза","Оставить как гипотезу / проверить позже")))</f>
        <v/>
      </c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6">
        <f>ROUND((G23*0.18)+(H23*0.15)+(I23*0.12)+(J23*0.08)+(K23*0.13)+(L23*0.1)+(M23*0.12)+(N23*0.12)-(O23*0.07)+(P23*0.1),2)</f>
        <v/>
      </c>
      <c r="R23" s="6">
        <f>ROUND((I23*0.16)+(J23*0.2)+(K23*0.12)+(L23*0.1)+((6-M23)*0.08)+((6-N23)*0.08)+(O23*0.06)+(P23*0.14)+(G23*0.06),2)</f>
        <v/>
      </c>
      <c r="S23" s="6">
        <f>IF(A23="","",IF(AND(G23&gt;=4,H23&gt;=4,K23&gt;=3,P23&gt;=4),"Первый релиз",IF(Q23&gt;=3.7,"Первый релиз",IF(R23&gt;=3.6,"Следующий релиз","Не включать / проверить"))))</f>
        <v/>
      </c>
      <c r="T23" s="6">
        <f>IF(A23="","",IF(S23="Первый релиз","Включить в минимальный рыночный выпуск",IF(S23="Следующий релиз","Запланировать после проверки первого релиза","Оставить как гипотезу / проверить позже")))</f>
        <v/>
      </c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6">
        <f>ROUND((G24*0.18)+(H24*0.15)+(I24*0.12)+(J24*0.08)+(K24*0.13)+(L24*0.1)+(M24*0.12)+(N24*0.12)-(O24*0.07)+(P24*0.1),2)</f>
        <v/>
      </c>
      <c r="R24" s="6">
        <f>ROUND((I24*0.16)+(J24*0.2)+(K24*0.12)+(L24*0.1)+((6-M24)*0.08)+((6-N24)*0.08)+(O24*0.06)+(P24*0.14)+(G24*0.06),2)</f>
        <v/>
      </c>
      <c r="S24" s="6">
        <f>IF(A24="","",IF(AND(G24&gt;=4,H24&gt;=4,K24&gt;=3,P24&gt;=4),"Первый релиз",IF(Q24&gt;=3.7,"Первый релиз",IF(R24&gt;=3.6,"Следующий релиз","Не включать / проверить"))))</f>
        <v/>
      </c>
      <c r="T24" s="6">
        <f>IF(A24="","",IF(S24="Первый релиз","Включить в минимальный рыночный выпуск",IF(S24="Следующий релиз","Запланировать после проверки первого релиза","Оставить как гипотезу / проверить позже")))</f>
        <v/>
      </c>
      <c r="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6">
        <f>ROUND((G25*0.18)+(H25*0.15)+(I25*0.12)+(J25*0.08)+(K25*0.13)+(L25*0.1)+(M25*0.12)+(N25*0.12)-(O25*0.07)+(P25*0.1),2)</f>
        <v/>
      </c>
      <c r="R25" s="6">
        <f>ROUND((I25*0.16)+(J25*0.2)+(K25*0.12)+(L25*0.1)+((6-M25)*0.08)+((6-N25)*0.08)+(O25*0.06)+(P25*0.14)+(G25*0.06),2)</f>
        <v/>
      </c>
      <c r="S25" s="6">
        <f>IF(A25="","",IF(AND(G25&gt;=4,H25&gt;=4,K25&gt;=3,P25&gt;=4),"Первый релиз",IF(Q25&gt;=3.7,"Первый релиз",IF(R25&gt;=3.6,"Следующий релиз","Не включать / проверить"))))</f>
        <v/>
      </c>
      <c r="T25" s="6">
        <f>IF(A25="","",IF(S25="Первый релиз","Включить в минимальный рыночный выпуск",IF(S25="Следующий релиз","Запланировать после проверки первого релиза","Оставить как гипотезу / проверить позже")))</f>
        <v/>
      </c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6">
        <f>ROUND((G26*0.18)+(H26*0.15)+(I26*0.12)+(J26*0.08)+(K26*0.13)+(L26*0.1)+(M26*0.12)+(N26*0.12)-(O26*0.07)+(P26*0.1),2)</f>
        <v/>
      </c>
      <c r="R26" s="6">
        <f>ROUND((I26*0.16)+(J26*0.2)+(K26*0.12)+(L26*0.1)+((6-M26)*0.08)+((6-N26)*0.08)+(O26*0.06)+(P26*0.14)+(G26*0.06),2)</f>
        <v/>
      </c>
      <c r="S26" s="6">
        <f>IF(A26="","",IF(AND(G26&gt;=4,H26&gt;=4,K26&gt;=3,P26&gt;=4),"Первый релиз",IF(Q26&gt;=3.7,"Первый релиз",IF(R26&gt;=3.6,"Следующий релиз","Не включать / проверить"))))</f>
        <v/>
      </c>
      <c r="T26" s="6">
        <f>IF(A26="","",IF(S26="Первый релиз","Включить в минимальный рыночный выпуск",IF(S26="Следующий релиз","Запланировать после проверки первого релиза","Оставить как гипотезу / проверить позже")))</f>
        <v/>
      </c>
      <c r="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6">
        <f>ROUND((G27*0.18)+(H27*0.15)+(I27*0.12)+(J27*0.08)+(K27*0.13)+(L27*0.1)+(M27*0.12)+(N27*0.12)-(O27*0.07)+(P27*0.1),2)</f>
        <v/>
      </c>
      <c r="R27" s="6">
        <f>ROUND((I27*0.16)+(J27*0.2)+(K27*0.12)+(L27*0.1)+((6-M27)*0.08)+((6-N27)*0.08)+(O27*0.06)+(P27*0.14)+(G27*0.06),2)</f>
        <v/>
      </c>
      <c r="S27" s="6">
        <f>IF(A27="","",IF(AND(G27&gt;=4,H27&gt;=4,K27&gt;=3,P27&gt;=4),"Первый релиз",IF(Q27&gt;=3.7,"Первый релиз",IF(R27&gt;=3.6,"Следующий релиз","Не включать / проверить"))))</f>
        <v/>
      </c>
      <c r="T27" s="6">
        <f>IF(A27="","",IF(S27="Первый релиз","Включить в минимальный рыночный выпуск",IF(S27="Следующий релиз","Запланировать после проверки первого релиза","Оставить как гипотезу / проверить позже")))</f>
        <v/>
      </c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6">
        <f>ROUND((G28*0.18)+(H28*0.15)+(I28*0.12)+(J28*0.08)+(K28*0.13)+(L28*0.1)+(M28*0.12)+(N28*0.12)-(O28*0.07)+(P28*0.1),2)</f>
        <v/>
      </c>
      <c r="R28" s="6">
        <f>ROUND((I28*0.16)+(J28*0.2)+(K28*0.12)+(L28*0.1)+((6-M28)*0.08)+((6-N28)*0.08)+(O28*0.06)+(P28*0.14)+(G28*0.06),2)</f>
        <v/>
      </c>
      <c r="S28" s="6">
        <f>IF(A28="","",IF(AND(G28&gt;=4,H28&gt;=4,K28&gt;=3,P28&gt;=4),"Первый релиз",IF(Q28&gt;=3.7,"Первый релиз",IF(R28&gt;=3.6,"Следующий релиз","Не включать / проверить"))))</f>
        <v/>
      </c>
      <c r="T28" s="6">
        <f>IF(A28="","",IF(S28="Первый релиз","Включить в минимальный рыночный выпуск",IF(S28="Следующий релиз","Запланировать после проверки первого релиза","Оставить как гипотезу / проверить позже")))</f>
        <v/>
      </c>
      <c r="U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6">
        <f>ROUND((G29*0.18)+(H29*0.15)+(I29*0.12)+(J29*0.08)+(K29*0.13)+(L29*0.1)+(M29*0.12)+(N29*0.12)-(O29*0.07)+(P29*0.1),2)</f>
        <v/>
      </c>
      <c r="R29" s="6">
        <f>ROUND((I29*0.16)+(J29*0.2)+(K29*0.12)+(L29*0.1)+((6-M29)*0.08)+((6-N29)*0.08)+(O29*0.06)+(P29*0.14)+(G29*0.06),2)</f>
        <v/>
      </c>
      <c r="S29" s="6">
        <f>IF(A29="","",IF(AND(G29&gt;=4,H29&gt;=4,K29&gt;=3,P29&gt;=4),"Первый релиз",IF(Q29&gt;=3.7,"Первый релиз",IF(R29&gt;=3.6,"Следующий релиз","Не включать / проверить"))))</f>
        <v/>
      </c>
      <c r="T29" s="6">
        <f>IF(A29="","",IF(S29="Первый релиз","Включить в минимальный рыночный выпуск",IF(S29="Следующий релиз","Запланировать после проверки первого релиза","Оставить как гипотезу / проверить позже")))</f>
        <v/>
      </c>
      <c r="U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6">
        <f>ROUND((G30*0.18)+(H30*0.15)+(I30*0.12)+(J30*0.08)+(K30*0.13)+(L30*0.1)+(M30*0.12)+(N30*0.12)-(O30*0.07)+(P30*0.1),2)</f>
        <v/>
      </c>
      <c r="R30" s="6">
        <f>ROUND((I30*0.16)+(J30*0.2)+(K30*0.12)+(L30*0.1)+((6-M30)*0.08)+((6-N30)*0.08)+(O30*0.06)+(P30*0.14)+(G30*0.06),2)</f>
        <v/>
      </c>
      <c r="S30" s="6">
        <f>IF(A30="","",IF(AND(G30&gt;=4,H30&gt;=4,K30&gt;=3,P30&gt;=4),"Первый релиз",IF(Q30&gt;=3.7,"Первый релиз",IF(R30&gt;=3.6,"Следующий релиз","Не включать / проверить"))))</f>
        <v/>
      </c>
      <c r="T30" s="6">
        <f>IF(A30="","",IF(S30="Первый релиз","Включить в минимальный рыночный выпуск",IF(S30="Следующий релиз","Запланировать после проверки первого релиза","Оставить как гипотезу / проверить позже")))</f>
        <v/>
      </c>
      <c r="U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6">
        <f>ROUND((G31*0.18)+(H31*0.15)+(I31*0.12)+(J31*0.08)+(K31*0.13)+(L31*0.1)+(M31*0.12)+(N31*0.12)-(O31*0.07)+(P31*0.1),2)</f>
        <v/>
      </c>
      <c r="R31" s="6">
        <f>ROUND((I31*0.16)+(J31*0.2)+(K31*0.12)+(L31*0.1)+((6-M31)*0.08)+((6-N31)*0.08)+(O31*0.06)+(P31*0.14)+(G31*0.06),2)</f>
        <v/>
      </c>
      <c r="S31" s="6">
        <f>IF(A31="","",IF(AND(G31&gt;=4,H31&gt;=4,K31&gt;=3,P31&gt;=4),"Первый релиз",IF(Q31&gt;=3.7,"Первый релиз",IF(R31&gt;=3.6,"Следующий релиз","Не включать / проверить"))))</f>
        <v/>
      </c>
      <c r="T31" s="6">
        <f>IF(A31="","",IF(S31="Первый релиз","Включить в минимальный рыночный выпуск",IF(S31="Следующий релиз","Запланировать после проверки первого релиза","Оставить как гипотезу / проверить позже")))</f>
        <v/>
      </c>
      <c r="U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6">
        <f>ROUND((G32*0.18)+(H32*0.15)+(I32*0.12)+(J32*0.08)+(K32*0.13)+(L32*0.1)+(M32*0.12)+(N32*0.12)-(O32*0.07)+(P32*0.1),2)</f>
        <v/>
      </c>
      <c r="R32" s="6">
        <f>ROUND((I32*0.16)+(J32*0.2)+(K32*0.12)+(L32*0.1)+((6-M32)*0.08)+((6-N32)*0.08)+(O32*0.06)+(P32*0.14)+(G32*0.06),2)</f>
        <v/>
      </c>
      <c r="S32" s="6">
        <f>IF(A32="","",IF(AND(G32&gt;=4,H32&gt;=4,K32&gt;=3,P32&gt;=4),"Первый релиз",IF(Q32&gt;=3.7,"Первый релиз",IF(R32&gt;=3.6,"Следующий релиз","Не включать / проверить"))))</f>
        <v/>
      </c>
      <c r="T32" s="6">
        <f>IF(A32="","",IF(S32="Первый релиз","Включить в минимальный рыночный выпуск",IF(S32="Следующий релиз","Запланировать после проверки первого релиза","Оставить как гипотезу / проверить позже")))</f>
        <v/>
      </c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6">
        <f>ROUND((G33*0.18)+(H33*0.15)+(I33*0.12)+(J33*0.08)+(K33*0.13)+(L33*0.1)+(M33*0.12)+(N33*0.12)-(O33*0.07)+(P33*0.1),2)</f>
        <v/>
      </c>
      <c r="R33" s="6">
        <f>ROUND((I33*0.16)+(J33*0.2)+(K33*0.12)+(L33*0.1)+((6-M33)*0.08)+((6-N33)*0.08)+(O33*0.06)+(P33*0.14)+(G33*0.06),2)</f>
        <v/>
      </c>
      <c r="S33" s="6">
        <f>IF(A33="","",IF(AND(G33&gt;=4,H33&gt;=4,K33&gt;=3,P33&gt;=4),"Первый релиз",IF(Q33&gt;=3.7,"Первый релиз",IF(R33&gt;=3.6,"Следующий релиз","Не включать / проверить"))))</f>
        <v/>
      </c>
      <c r="T33" s="6">
        <f>IF(A33="","",IF(S33="Первый релиз","Включить в минимальный рыночный выпуск",IF(S33="Следующий релиз","Запланировать после проверки первого релиза","Оставить как гипотезу / проверить позже")))</f>
        <v/>
      </c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6">
        <f>ROUND((G34*0.18)+(H34*0.15)+(I34*0.12)+(J34*0.08)+(K34*0.13)+(L34*0.1)+(M34*0.12)+(N34*0.12)-(O34*0.07)+(P34*0.1),2)</f>
        <v/>
      </c>
      <c r="R34" s="6">
        <f>ROUND((I34*0.16)+(J34*0.2)+(K34*0.12)+(L34*0.1)+((6-M34)*0.08)+((6-N34)*0.08)+(O34*0.06)+(P34*0.14)+(G34*0.06),2)</f>
        <v/>
      </c>
      <c r="S34" s="6">
        <f>IF(A34="","",IF(AND(G34&gt;=4,H34&gt;=4,K34&gt;=3,P34&gt;=4),"Первый релиз",IF(Q34&gt;=3.7,"Первый релиз",IF(R34&gt;=3.6,"Следующий релиз","Не включать / проверить"))))</f>
        <v/>
      </c>
      <c r="T34" s="6">
        <f>IF(A34="","",IF(S34="Первый релиз","Включить в минимальный рыночный выпуск",IF(S34="Следующий релиз","Запланировать после проверки первого релиза","Оставить как гипотезу / проверить позже")))</f>
        <v/>
      </c>
      <c r="U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6">
        <f>ROUND((G35*0.18)+(H35*0.15)+(I35*0.12)+(J35*0.08)+(K35*0.13)+(L35*0.1)+(M35*0.12)+(N35*0.12)-(O35*0.07)+(P35*0.1),2)</f>
        <v/>
      </c>
      <c r="R35" s="6">
        <f>ROUND((I35*0.16)+(J35*0.2)+(K35*0.12)+(L35*0.1)+((6-M35)*0.08)+((6-N35)*0.08)+(O35*0.06)+(P35*0.14)+(G35*0.06),2)</f>
        <v/>
      </c>
      <c r="S35" s="6">
        <f>IF(A35="","",IF(AND(G35&gt;=4,H35&gt;=4,K35&gt;=3,P35&gt;=4),"Первый релиз",IF(Q35&gt;=3.7,"Первый релиз",IF(R35&gt;=3.6,"Следующий релиз","Не включать / проверить"))))</f>
        <v/>
      </c>
      <c r="T35" s="6">
        <f>IF(A35="","",IF(S35="Первый релиз","Включить в минимальный рыночный выпуск",IF(S35="Следующий релиз","Запланировать после проверки первого релиза","Оставить как гипотезу / проверить позже")))</f>
        <v/>
      </c>
      <c r="U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6">
        <f>ROUND((G36*0.18)+(H36*0.15)+(I36*0.12)+(J36*0.08)+(K36*0.13)+(L36*0.1)+(M36*0.12)+(N36*0.12)-(O36*0.07)+(P36*0.1),2)</f>
        <v/>
      </c>
      <c r="R36" s="6">
        <f>ROUND((I36*0.16)+(J36*0.2)+(K36*0.12)+(L36*0.1)+((6-M36)*0.08)+((6-N36)*0.08)+(O36*0.06)+(P36*0.14)+(G36*0.06),2)</f>
        <v/>
      </c>
      <c r="S36" s="6">
        <f>IF(A36="","",IF(AND(G36&gt;=4,H36&gt;=4,K36&gt;=3,P36&gt;=4),"Первый релиз",IF(Q36&gt;=3.7,"Первый релиз",IF(R36&gt;=3.6,"Следующий релиз","Не включать / проверить"))))</f>
        <v/>
      </c>
      <c r="T36" s="6">
        <f>IF(A36="","",IF(S36="Первый релиз","Включить в минимальный рыночный выпуск",IF(S36="Следующий релиз","Запланировать после проверки первого релиза","Оставить как гипотезу / проверить позже")))</f>
        <v/>
      </c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6">
        <f>ROUND((G37*0.18)+(H37*0.15)+(I37*0.12)+(J37*0.08)+(K37*0.13)+(L37*0.1)+(M37*0.12)+(N37*0.12)-(O37*0.07)+(P37*0.1),2)</f>
        <v/>
      </c>
      <c r="R37" s="6">
        <f>ROUND((I37*0.16)+(J37*0.2)+(K37*0.12)+(L37*0.1)+((6-M37)*0.08)+((6-N37)*0.08)+(O37*0.06)+(P37*0.14)+(G37*0.06),2)</f>
        <v/>
      </c>
      <c r="S37" s="6">
        <f>IF(A37="","",IF(AND(G37&gt;=4,H37&gt;=4,K37&gt;=3,P37&gt;=4),"Первый релиз",IF(Q37&gt;=3.7,"Первый релиз",IF(R37&gt;=3.6,"Следующий релиз","Не включать / проверить"))))</f>
        <v/>
      </c>
      <c r="T37" s="6">
        <f>IF(A37="","",IF(S37="Первый релиз","Включить в минимальный рыночный выпуск",IF(S37="Следующий релиз","Запланировать после проверки первого релиза","Оставить как гипотезу / проверить позже")))</f>
        <v/>
      </c>
      <c r="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6">
        <f>ROUND((G38*0.18)+(H38*0.15)+(I38*0.12)+(J38*0.08)+(K38*0.13)+(L38*0.1)+(M38*0.12)+(N38*0.12)-(O38*0.07)+(P38*0.1),2)</f>
        <v/>
      </c>
      <c r="R38" s="6">
        <f>ROUND((I38*0.16)+(J38*0.2)+(K38*0.12)+(L38*0.1)+((6-M38)*0.08)+((6-N38)*0.08)+(O38*0.06)+(P38*0.14)+(G38*0.06),2)</f>
        <v/>
      </c>
      <c r="S38" s="6">
        <f>IF(A38="","",IF(AND(G38&gt;=4,H38&gt;=4,K38&gt;=3,P38&gt;=4),"Первый релиз",IF(Q38&gt;=3.7,"Первый релиз",IF(R38&gt;=3.6,"Следующий релиз","Не включать / проверить"))))</f>
        <v/>
      </c>
      <c r="T38" s="6">
        <f>IF(A38="","",IF(S38="Первый релиз","Включить в минимальный рыночный выпуск",IF(S38="Следующий релиз","Запланировать после проверки первого релиза","Оставить как гипотезу / проверить позже")))</f>
        <v/>
      </c>
      <c r="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6">
        <f>ROUND((G39*0.18)+(H39*0.15)+(I39*0.12)+(J39*0.08)+(K39*0.13)+(L39*0.1)+(M39*0.12)+(N39*0.12)-(O39*0.07)+(P39*0.1),2)</f>
        <v/>
      </c>
      <c r="R39" s="6">
        <f>ROUND((I39*0.16)+(J39*0.2)+(K39*0.12)+(L39*0.1)+((6-M39)*0.08)+((6-N39)*0.08)+(O39*0.06)+(P39*0.14)+(G39*0.06),2)</f>
        <v/>
      </c>
      <c r="S39" s="6">
        <f>IF(A39="","",IF(AND(G39&gt;=4,H39&gt;=4,K39&gt;=3,P39&gt;=4),"Первый релиз",IF(Q39&gt;=3.7,"Первый релиз",IF(R39&gt;=3.6,"Следующий релиз","Не включать / проверить"))))</f>
        <v/>
      </c>
      <c r="T39" s="6">
        <f>IF(A39="","",IF(S39="Первый релиз","Включить в минимальный рыночный выпуск",IF(S39="Следующий релиз","Запланировать после проверки первого релиза","Оставить как гипотезу / проверить позже")))</f>
        <v/>
      </c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6">
        <f>ROUND((G40*0.18)+(H40*0.15)+(I40*0.12)+(J40*0.08)+(K40*0.13)+(L40*0.1)+(M40*0.12)+(N40*0.12)-(O40*0.07)+(P40*0.1),2)</f>
        <v/>
      </c>
      <c r="R40" s="6">
        <f>ROUND((I40*0.16)+(J40*0.2)+(K40*0.12)+(L40*0.1)+((6-M40)*0.08)+((6-N40)*0.08)+(O40*0.06)+(P40*0.14)+(G40*0.06),2)</f>
        <v/>
      </c>
      <c r="S40" s="6">
        <f>IF(A40="","",IF(AND(G40&gt;=4,H40&gt;=4,K40&gt;=3,P40&gt;=4),"Первый релиз",IF(Q40&gt;=3.7,"Первый релиз",IF(R40&gt;=3.6,"Следующий релиз","Не включать / проверить"))))</f>
        <v/>
      </c>
      <c r="T40" s="6">
        <f>IF(A40="","",IF(S40="Первый релиз","Включить в минимальный рыночный выпуск",IF(S40="Следующий релиз","Запланировать после проверки первого релиза","Оставить как гипотезу / проверить позже")))</f>
        <v/>
      </c>
      <c r="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6">
        <f>ROUND((G41*0.18)+(H41*0.15)+(I41*0.12)+(J41*0.08)+(K41*0.13)+(L41*0.1)+(M41*0.12)+(N41*0.12)-(O41*0.07)+(P41*0.1),2)</f>
        <v/>
      </c>
      <c r="R41" s="6">
        <f>ROUND((I41*0.16)+(J41*0.2)+(K41*0.12)+(L41*0.1)+((6-M41)*0.08)+((6-N41)*0.08)+(O41*0.06)+(P41*0.14)+(G41*0.06),2)</f>
        <v/>
      </c>
      <c r="S41" s="6">
        <f>IF(A41="","",IF(AND(G41&gt;=4,H41&gt;=4,K41&gt;=3,P41&gt;=4),"Первый релиз",IF(Q41&gt;=3.7,"Первый релиз",IF(R41&gt;=3.6,"Следующий релиз","Не включать / проверить"))))</f>
        <v/>
      </c>
      <c r="T41" s="6">
        <f>IF(A41="","",IF(S41="Первый релиз","Включить в минимальный рыночный выпуск",IF(S41="Следующий релиз","Запланировать после проверки первого релиза","Оставить как гипотезу / проверить позже")))</f>
        <v/>
      </c>
      <c r="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6">
        <f>ROUND((G42*0.18)+(H42*0.15)+(I42*0.12)+(J42*0.08)+(K42*0.13)+(L42*0.1)+(M42*0.12)+(N42*0.12)-(O42*0.07)+(P42*0.1),2)</f>
        <v/>
      </c>
      <c r="R42" s="6">
        <f>ROUND((I42*0.16)+(J42*0.2)+(K42*0.12)+(L42*0.1)+((6-M42)*0.08)+((6-N42)*0.08)+(O42*0.06)+(P42*0.14)+(G42*0.06),2)</f>
        <v/>
      </c>
      <c r="S42" s="6">
        <f>IF(A42="","",IF(AND(G42&gt;=4,H42&gt;=4,K42&gt;=3,P42&gt;=4),"Первый релиз",IF(Q42&gt;=3.7,"Первый релиз",IF(R42&gt;=3.6,"Следующий релиз","Не включать / проверить"))))</f>
        <v/>
      </c>
      <c r="T42" s="6">
        <f>IF(A42="","",IF(S42="Первый релиз","Включить в минимальный рыночный выпуск",IF(S42="Следующий релиз","Запланировать после проверки первого релиза","Оставить как гипотезу / проверить позже")))</f>
        <v/>
      </c>
      <c r="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6">
        <f>ROUND((G43*0.18)+(H43*0.15)+(I43*0.12)+(J43*0.08)+(K43*0.13)+(L43*0.1)+(M43*0.12)+(N43*0.12)-(O43*0.07)+(P43*0.1),2)</f>
        <v/>
      </c>
      <c r="R43" s="6">
        <f>ROUND((I43*0.16)+(J43*0.2)+(K43*0.12)+(L43*0.1)+((6-M43)*0.08)+((6-N43)*0.08)+(O43*0.06)+(P43*0.14)+(G43*0.06),2)</f>
        <v/>
      </c>
      <c r="S43" s="6">
        <f>IF(A43="","",IF(AND(G43&gt;=4,H43&gt;=4,K43&gt;=3,P43&gt;=4),"Первый релиз",IF(Q43&gt;=3.7,"Первый релиз",IF(R43&gt;=3.6,"Следующий релиз","Не включать / проверить"))))</f>
        <v/>
      </c>
      <c r="T43" s="6">
        <f>IF(A43="","",IF(S43="Первый релиз","Включить в минимальный рыночный выпуск",IF(S43="Следующий релиз","Запланировать после проверки первого релиза","Оставить как гипотезу / проверить позже")))</f>
        <v/>
      </c>
      <c r="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6">
        <f>ROUND((G44*0.18)+(H44*0.15)+(I44*0.12)+(J44*0.08)+(K44*0.13)+(L44*0.1)+(M44*0.12)+(N44*0.12)-(O44*0.07)+(P44*0.1),2)</f>
        <v/>
      </c>
      <c r="R44" s="6">
        <f>ROUND((I44*0.16)+(J44*0.2)+(K44*0.12)+(L44*0.1)+((6-M44)*0.08)+((6-N44)*0.08)+(O44*0.06)+(P44*0.14)+(G44*0.06),2)</f>
        <v/>
      </c>
      <c r="S44" s="6">
        <f>IF(A44="","",IF(AND(G44&gt;=4,H44&gt;=4,K44&gt;=3,P44&gt;=4),"Первый релиз",IF(Q44&gt;=3.7,"Первый релиз",IF(R44&gt;=3.6,"Следующий релиз","Не включать / проверить"))))</f>
        <v/>
      </c>
      <c r="T44" s="6">
        <f>IF(A44="","",IF(S44="Первый релиз","Включить в минимальный рыночный выпуск",IF(S44="Следующий релиз","Запланировать после проверки первого релиза","Оставить как гипотезу / проверить позже")))</f>
        <v/>
      </c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6">
        <f>ROUND((G45*0.18)+(H45*0.15)+(I45*0.12)+(J45*0.08)+(K45*0.13)+(L45*0.1)+(M45*0.12)+(N45*0.12)-(O45*0.07)+(P45*0.1),2)</f>
        <v/>
      </c>
      <c r="R45" s="6">
        <f>ROUND((I45*0.16)+(J45*0.2)+(K45*0.12)+(L45*0.1)+((6-M45)*0.08)+((6-N45)*0.08)+(O45*0.06)+(P45*0.14)+(G45*0.06),2)</f>
        <v/>
      </c>
      <c r="S45" s="6">
        <f>IF(A45="","",IF(AND(G45&gt;=4,H45&gt;=4,K45&gt;=3,P45&gt;=4),"Первый релиз",IF(Q45&gt;=3.7,"Первый релиз",IF(R45&gt;=3.6,"Следующий релиз","Не включать / проверить"))))</f>
        <v/>
      </c>
      <c r="T45" s="6">
        <f>IF(A45="","",IF(S45="Первый релиз","Включить в минимальный рыночный выпуск",IF(S45="Следующий релиз","Запланировать после проверки первого релиза","Оставить как гипотезу / проверить позже")))</f>
        <v/>
      </c>
      <c r="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6">
        <f>ROUND((G46*0.18)+(H46*0.15)+(I46*0.12)+(J46*0.08)+(K46*0.13)+(L46*0.1)+(M46*0.12)+(N46*0.12)-(O46*0.07)+(P46*0.1),2)</f>
        <v/>
      </c>
      <c r="R46" s="6">
        <f>ROUND((I46*0.16)+(J46*0.2)+(K46*0.12)+(L46*0.1)+((6-M46)*0.08)+((6-N46)*0.08)+(O46*0.06)+(P46*0.14)+(G46*0.06),2)</f>
        <v/>
      </c>
      <c r="S46" s="6">
        <f>IF(A46="","",IF(AND(G46&gt;=4,H46&gt;=4,K46&gt;=3,P46&gt;=4),"Первый релиз",IF(Q46&gt;=3.7,"Первый релиз",IF(R46&gt;=3.6,"Следующий релиз","Не включать / проверить"))))</f>
        <v/>
      </c>
      <c r="T46" s="6">
        <f>IF(A46="","",IF(S46="Первый релиз","Включить в минимальный рыночный выпуск",IF(S46="Следующий релиз","Запланировать после проверки первого релиза","Оставить как гипотезу / проверить позже")))</f>
        <v/>
      </c>
      <c r="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6">
        <f>ROUND((G47*0.18)+(H47*0.15)+(I47*0.12)+(J47*0.08)+(K47*0.13)+(L47*0.1)+(M47*0.12)+(N47*0.12)-(O47*0.07)+(P47*0.1),2)</f>
        <v/>
      </c>
      <c r="R47" s="6">
        <f>ROUND((I47*0.16)+(J47*0.2)+(K47*0.12)+(L47*0.1)+((6-M47)*0.08)+((6-N47)*0.08)+(O47*0.06)+(P47*0.14)+(G47*0.06),2)</f>
        <v/>
      </c>
      <c r="S47" s="6">
        <f>IF(A47="","",IF(AND(G47&gt;=4,H47&gt;=4,K47&gt;=3,P47&gt;=4),"Первый релиз",IF(Q47&gt;=3.7,"Первый релиз",IF(R47&gt;=3.6,"Следующий релиз","Не включать / проверить"))))</f>
        <v/>
      </c>
      <c r="T47" s="6">
        <f>IF(A47="","",IF(S47="Первый релиз","Включить в минимальный рыночный выпуск",IF(S47="Следующий релиз","Запланировать после проверки первого релиза","Оставить как гипотезу / проверить позже")))</f>
        <v/>
      </c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6">
        <f>ROUND((G48*0.18)+(H48*0.15)+(I48*0.12)+(J48*0.08)+(K48*0.13)+(L48*0.1)+(M48*0.12)+(N48*0.12)-(O48*0.07)+(P48*0.1),2)</f>
        <v/>
      </c>
      <c r="R48" s="6">
        <f>ROUND((I48*0.16)+(J48*0.2)+(K48*0.12)+(L48*0.1)+((6-M48)*0.08)+((6-N48)*0.08)+(O48*0.06)+(P48*0.14)+(G48*0.06),2)</f>
        <v/>
      </c>
      <c r="S48" s="6">
        <f>IF(A48="","",IF(AND(G48&gt;=4,H48&gt;=4,K48&gt;=3,P48&gt;=4),"Первый релиз",IF(Q48&gt;=3.7,"Первый релиз",IF(R48&gt;=3.6,"Следующий релиз","Не включать / проверить"))))</f>
        <v/>
      </c>
      <c r="T48" s="6">
        <f>IF(A48="","",IF(S48="Первый релиз","Включить в минимальный рыночный выпуск",IF(S48="Следующий релиз","Запланировать после проверки первого релиза","Оставить как гипотезу / проверить позже")))</f>
        <v/>
      </c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6">
        <f>ROUND((G49*0.18)+(H49*0.15)+(I49*0.12)+(J49*0.08)+(K49*0.13)+(L49*0.1)+(M49*0.12)+(N49*0.12)-(O49*0.07)+(P49*0.1),2)</f>
        <v/>
      </c>
      <c r="R49" s="6">
        <f>ROUND((I49*0.16)+(J49*0.2)+(K49*0.12)+(L49*0.1)+((6-M49)*0.08)+((6-N49)*0.08)+(O49*0.06)+(P49*0.14)+(G49*0.06),2)</f>
        <v/>
      </c>
      <c r="S49" s="6">
        <f>IF(A49="","",IF(AND(G49&gt;=4,H49&gt;=4,K49&gt;=3,P49&gt;=4),"Первый релиз",IF(Q49&gt;=3.7,"Первый релиз",IF(R49&gt;=3.6,"Следующий релиз","Не включать / проверить"))))</f>
        <v/>
      </c>
      <c r="T49" s="6">
        <f>IF(A49="","",IF(S49="Первый релиз","Включить в минимальный рыночный выпуск",IF(S49="Следующий релиз","Запланировать после проверки первого релиза","Оставить как гипотезу / проверить позже")))</f>
        <v/>
      </c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6">
        <f>ROUND((G50*0.18)+(H50*0.15)+(I50*0.12)+(J50*0.08)+(K50*0.13)+(L50*0.1)+(M50*0.12)+(N50*0.12)-(O50*0.07)+(P50*0.1),2)</f>
        <v/>
      </c>
      <c r="R50" s="6">
        <f>ROUND((I50*0.16)+(J50*0.2)+(K50*0.12)+(L50*0.1)+((6-M50)*0.08)+((6-N50)*0.08)+(O50*0.06)+(P50*0.14)+(G50*0.06),2)</f>
        <v/>
      </c>
      <c r="S50" s="6">
        <f>IF(A50="","",IF(AND(G50&gt;=4,H50&gt;=4,K50&gt;=3,P50&gt;=4),"Первый релиз",IF(Q50&gt;=3.7,"Первый релиз",IF(R50&gt;=3.6,"Следующий релиз","Не включать / проверить"))))</f>
        <v/>
      </c>
      <c r="T50" s="6">
        <f>IF(A50="","",IF(S50="Первый релиз","Включить в минимальный рыночный выпуск",IF(S50="Следующий релиз","Запланировать после проверки первого релиза","Оставить как гипотезу / проверить позже")))</f>
        <v/>
      </c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6">
        <f>ROUND((G51*0.18)+(H51*0.15)+(I51*0.12)+(J51*0.08)+(K51*0.13)+(L51*0.1)+(M51*0.12)+(N51*0.12)-(O51*0.07)+(P51*0.1),2)</f>
        <v/>
      </c>
      <c r="R51" s="6">
        <f>ROUND((I51*0.16)+(J51*0.2)+(K51*0.12)+(L51*0.1)+((6-M51)*0.08)+((6-N51)*0.08)+(O51*0.06)+(P51*0.14)+(G51*0.06),2)</f>
        <v/>
      </c>
      <c r="S51" s="6">
        <f>IF(A51="","",IF(AND(G51&gt;=4,H51&gt;=4,K51&gt;=3,P51&gt;=4),"Первый релиз",IF(Q51&gt;=3.7,"Первый релиз",IF(R51&gt;=3.6,"Следующий релиз","Не включать / проверить"))))</f>
        <v/>
      </c>
      <c r="T51" s="6">
        <f>IF(A51="","",IF(S51="Первый релиз","Включить в минимальный рыночный выпуск",IF(S51="Следующий релиз","Запланировать после проверки первого релиза","Оставить как гипотезу / проверить позже")))</f>
        <v/>
      </c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6">
        <f>ROUND((G52*0.18)+(H52*0.15)+(I52*0.12)+(J52*0.08)+(K52*0.13)+(L52*0.1)+(M52*0.12)+(N52*0.12)-(O52*0.07)+(P52*0.1),2)</f>
        <v/>
      </c>
      <c r="R52" s="6">
        <f>ROUND((I52*0.16)+(J52*0.2)+(K52*0.12)+(L52*0.1)+((6-M52)*0.08)+((6-N52)*0.08)+(O52*0.06)+(P52*0.14)+(G52*0.06),2)</f>
        <v/>
      </c>
      <c r="S52" s="6">
        <f>IF(A52="","",IF(AND(G52&gt;=4,H52&gt;=4,K52&gt;=3,P52&gt;=4),"Первый релиз",IF(Q52&gt;=3.7,"Первый релиз",IF(R52&gt;=3.6,"Следующий релиз","Не включать / проверить"))))</f>
        <v/>
      </c>
      <c r="T52" s="6">
        <f>IF(A52="","",IF(S52="Первый релиз","Включить в минимальный рыночный выпуск",IF(S52="Следующий релиз","Запланировать после проверки первого релиза","Оставить как гипотезу / проверить позже")))</f>
        <v/>
      </c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6">
        <f>ROUND((G53*0.18)+(H53*0.15)+(I53*0.12)+(J53*0.08)+(K53*0.13)+(L53*0.1)+(M53*0.12)+(N53*0.12)-(O53*0.07)+(P53*0.1),2)</f>
        <v/>
      </c>
      <c r="R53" s="6">
        <f>ROUND((I53*0.16)+(J53*0.2)+(K53*0.12)+(L53*0.1)+((6-M53)*0.08)+((6-N53)*0.08)+(O53*0.06)+(P53*0.14)+(G53*0.06),2)</f>
        <v/>
      </c>
      <c r="S53" s="6">
        <f>IF(A53="","",IF(AND(G53&gt;=4,H53&gt;=4,K53&gt;=3,P53&gt;=4),"Первый релиз",IF(Q53&gt;=3.7,"Первый релиз",IF(R53&gt;=3.6,"Следующий релиз","Не включать / проверить"))))</f>
        <v/>
      </c>
      <c r="T53" s="6">
        <f>IF(A53="","",IF(S53="Первый релиз","Включить в минимальный рыночный выпуск",IF(S53="Следующий релиз","Запланировать после проверки первого релиза","Оставить как гипотезу / проверить позже")))</f>
        <v/>
      </c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6">
        <f>ROUND((G54*0.18)+(H54*0.15)+(I54*0.12)+(J54*0.08)+(K54*0.13)+(L54*0.1)+(M54*0.12)+(N54*0.12)-(O54*0.07)+(P54*0.1),2)</f>
        <v/>
      </c>
      <c r="R54" s="6">
        <f>ROUND((I54*0.16)+(J54*0.2)+(K54*0.12)+(L54*0.1)+((6-M54)*0.08)+((6-N54)*0.08)+(O54*0.06)+(P54*0.14)+(G54*0.06),2)</f>
        <v/>
      </c>
      <c r="S54" s="6">
        <f>IF(A54="","",IF(AND(G54&gt;=4,H54&gt;=4,K54&gt;=3,P54&gt;=4),"Первый релиз",IF(Q54&gt;=3.7,"Первый релиз",IF(R54&gt;=3.6,"Следующий релиз","Не включать / проверить"))))</f>
        <v/>
      </c>
      <c r="T54" s="6">
        <f>IF(A54="","",IF(S54="Первый релиз","Включить в минимальный рыночный выпуск",IF(S54="Следующий релиз","Запланировать после проверки первого релиза","Оставить как гипотезу / проверить позже")))</f>
        <v/>
      </c>
      <c r="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6">
        <f>ROUND((G55*0.18)+(H55*0.15)+(I55*0.12)+(J55*0.08)+(K55*0.13)+(L55*0.1)+(M55*0.12)+(N55*0.12)-(O55*0.07)+(P55*0.1),2)</f>
        <v/>
      </c>
      <c r="R55" s="6">
        <f>ROUND((I55*0.16)+(J55*0.2)+(K55*0.12)+(L55*0.1)+((6-M55)*0.08)+((6-N55)*0.08)+(O55*0.06)+(P55*0.14)+(G55*0.06),2)</f>
        <v/>
      </c>
      <c r="S55" s="6">
        <f>IF(A55="","",IF(AND(G55&gt;=4,H55&gt;=4,K55&gt;=3,P55&gt;=4),"Первый релиз",IF(Q55&gt;=3.7,"Первый релиз",IF(R55&gt;=3.6,"Следующий релиз","Не включать / проверить"))))</f>
        <v/>
      </c>
      <c r="T55" s="6">
        <f>IF(A55="","",IF(S55="Первый релиз","Включить в минимальный рыночный выпуск",IF(S55="Следующий релиз","Запланировать после проверки первого релиза","Оставить как гипотезу / проверить позже")))</f>
        <v/>
      </c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6">
        <f>ROUND((G56*0.18)+(H56*0.15)+(I56*0.12)+(J56*0.08)+(K56*0.13)+(L56*0.1)+(M56*0.12)+(N56*0.12)-(O56*0.07)+(P56*0.1),2)</f>
        <v/>
      </c>
      <c r="R56" s="6">
        <f>ROUND((I56*0.16)+(J56*0.2)+(K56*0.12)+(L56*0.1)+((6-M56)*0.08)+((6-N56)*0.08)+(O56*0.06)+(P56*0.14)+(G56*0.06),2)</f>
        <v/>
      </c>
      <c r="S56" s="6">
        <f>IF(A56="","",IF(AND(G56&gt;=4,H56&gt;=4,K56&gt;=3,P56&gt;=4),"Первый релиз",IF(Q56&gt;=3.7,"Первый релиз",IF(R56&gt;=3.6,"Следующий релиз","Не включать / проверить"))))</f>
        <v/>
      </c>
      <c r="T56" s="6">
        <f>IF(A56="","",IF(S56="Первый релиз","Включить в минимальный рыночный выпуск",IF(S56="Следующий релиз","Запланировать после проверки первого релиза","Оставить как гипотезу / проверить позже")))</f>
        <v/>
      </c>
      <c r="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6">
        <f>ROUND((G57*0.18)+(H57*0.15)+(I57*0.12)+(J57*0.08)+(K57*0.13)+(L57*0.1)+(M57*0.12)+(N57*0.12)-(O57*0.07)+(P57*0.1),2)</f>
        <v/>
      </c>
      <c r="R57" s="6">
        <f>ROUND((I57*0.16)+(J57*0.2)+(K57*0.12)+(L57*0.1)+((6-M57)*0.08)+((6-N57)*0.08)+(O57*0.06)+(P57*0.14)+(G57*0.06),2)</f>
        <v/>
      </c>
      <c r="S57" s="6">
        <f>IF(A57="","",IF(AND(G57&gt;=4,H57&gt;=4,K57&gt;=3,P57&gt;=4),"Первый релиз",IF(Q57&gt;=3.7,"Первый релиз",IF(R57&gt;=3.6,"Следующий релиз","Не включать / проверить"))))</f>
        <v/>
      </c>
      <c r="T57" s="6">
        <f>IF(A57="","",IF(S57="Первый релиз","Включить в минимальный рыночный выпуск",IF(S57="Следующий релиз","Запланировать после проверки первого релиза","Оставить как гипотезу / проверить позже")))</f>
        <v/>
      </c>
      <c r="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6">
        <f>ROUND((G58*0.18)+(H58*0.15)+(I58*0.12)+(J58*0.08)+(K58*0.13)+(L58*0.1)+(M58*0.12)+(N58*0.12)-(O58*0.07)+(P58*0.1),2)</f>
        <v/>
      </c>
      <c r="R58" s="6">
        <f>ROUND((I58*0.16)+(J58*0.2)+(K58*0.12)+(L58*0.1)+((6-M58)*0.08)+((6-N58)*0.08)+(O58*0.06)+(P58*0.14)+(G58*0.06),2)</f>
        <v/>
      </c>
      <c r="S58" s="6">
        <f>IF(A58="","",IF(AND(G58&gt;=4,H58&gt;=4,K58&gt;=3,P58&gt;=4),"Первый релиз",IF(Q58&gt;=3.7,"Первый релиз",IF(R58&gt;=3.6,"Следующий релиз","Не включать / проверить"))))</f>
        <v/>
      </c>
      <c r="T58" s="6">
        <f>IF(A58="","",IF(S58="Первый релиз","Включить в минимальный рыночный выпуск",IF(S58="Следующий релиз","Запланировать после проверки первого релиза","Оставить как гипотезу / проверить позже")))</f>
        <v/>
      </c>
      <c r="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6">
        <f>ROUND((G59*0.18)+(H59*0.15)+(I59*0.12)+(J59*0.08)+(K59*0.13)+(L59*0.1)+(M59*0.12)+(N59*0.12)-(O59*0.07)+(P59*0.1),2)</f>
        <v/>
      </c>
      <c r="R59" s="6">
        <f>ROUND((I59*0.16)+(J59*0.2)+(K59*0.12)+(L59*0.1)+((6-M59)*0.08)+((6-N59)*0.08)+(O59*0.06)+(P59*0.14)+(G59*0.06),2)</f>
        <v/>
      </c>
      <c r="S59" s="6">
        <f>IF(A59="","",IF(AND(G59&gt;=4,H59&gt;=4,K59&gt;=3,P59&gt;=4),"Первый релиз",IF(Q59&gt;=3.7,"Первый релиз",IF(R59&gt;=3.6,"Следующий релиз","Не включать / проверить"))))</f>
        <v/>
      </c>
      <c r="T59" s="6">
        <f>IF(A59="","",IF(S59="Первый релиз","Включить в минимальный рыночный выпуск",IF(S59="Следующий релиз","Запланировать после проверки первого релиза","Оставить как гипотезу / проверить позже")))</f>
        <v/>
      </c>
      <c r="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6">
        <f>ROUND((G60*0.18)+(H60*0.15)+(I60*0.12)+(J60*0.08)+(K60*0.13)+(L60*0.1)+(M60*0.12)+(N60*0.12)-(O60*0.07)+(P60*0.1),2)</f>
        <v/>
      </c>
      <c r="R60" s="6">
        <f>ROUND((I60*0.16)+(J60*0.2)+(K60*0.12)+(L60*0.1)+((6-M60)*0.08)+((6-N60)*0.08)+(O60*0.06)+(P60*0.14)+(G60*0.06),2)</f>
        <v/>
      </c>
      <c r="S60" s="6">
        <f>IF(A60="","",IF(AND(G60&gt;=4,H60&gt;=4,K60&gt;=3,P60&gt;=4),"Первый релиз",IF(Q60&gt;=3.7,"Первый релиз",IF(R60&gt;=3.6,"Следующий релиз","Не включать / проверить"))))</f>
        <v/>
      </c>
      <c r="T60" s="6">
        <f>IF(A60="","",IF(S60="Первый релиз","Включить в минимальный рыночный выпуск",IF(S60="Следующий релиз","Запланировать после проверки первого релиза","Оставить как гипотезу / проверить позже")))</f>
        <v/>
      </c>
      <c r="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6">
        <f>ROUND((G61*0.18)+(H61*0.15)+(I61*0.12)+(J61*0.08)+(K61*0.13)+(L61*0.1)+(M61*0.12)+(N61*0.12)-(O61*0.07)+(P61*0.1),2)</f>
        <v/>
      </c>
      <c r="R61" s="6">
        <f>ROUND((I61*0.16)+(J61*0.2)+(K61*0.12)+(L61*0.1)+((6-M61)*0.08)+((6-N61)*0.08)+(O61*0.06)+(P61*0.14)+(G61*0.06),2)</f>
        <v/>
      </c>
      <c r="S61" s="6">
        <f>IF(A61="","",IF(AND(G61&gt;=4,H61&gt;=4,K61&gt;=3,P61&gt;=4),"Первый релиз",IF(Q61&gt;=3.7,"Первый релиз",IF(R61&gt;=3.6,"Следующий релиз","Не включать / проверить"))))</f>
        <v/>
      </c>
      <c r="T61" s="6">
        <f>IF(A61="","",IF(S61="Первый релиз","Включить в минимальный рыночный выпуск",IF(S61="Следующий релиз","Запланировать после проверки первого релиза","Оставить как гипотезу / проверить позже")))</f>
        <v/>
      </c>
      <c r="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6">
        <f>ROUND((G62*0.18)+(H62*0.15)+(I62*0.12)+(J62*0.08)+(K62*0.13)+(L62*0.1)+(M62*0.12)+(N62*0.12)-(O62*0.07)+(P62*0.1),2)</f>
        <v/>
      </c>
      <c r="R62" s="6">
        <f>ROUND((I62*0.16)+(J62*0.2)+(K62*0.12)+(L62*0.1)+((6-M62)*0.08)+((6-N62)*0.08)+(O62*0.06)+(P62*0.14)+(G62*0.06),2)</f>
        <v/>
      </c>
      <c r="S62" s="6">
        <f>IF(A62="","",IF(AND(G62&gt;=4,H62&gt;=4,K62&gt;=3,P62&gt;=4),"Первый релиз",IF(Q62&gt;=3.7,"Первый релиз",IF(R62&gt;=3.6,"Следующий релиз","Не включать / проверить"))))</f>
        <v/>
      </c>
      <c r="T62" s="6">
        <f>IF(A62="","",IF(S62="Первый релиз","Включить в минимальный рыночный выпуск",IF(S62="Следующий релиз","Запланировать после проверки первого релиза","Оставить как гипотезу / проверить позже")))</f>
        <v/>
      </c>
      <c r="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6">
        <f>ROUND((G63*0.18)+(H63*0.15)+(I63*0.12)+(J63*0.08)+(K63*0.13)+(L63*0.1)+(M63*0.12)+(N63*0.12)-(O63*0.07)+(P63*0.1),2)</f>
        <v/>
      </c>
      <c r="R63" s="6">
        <f>ROUND((I63*0.16)+(J63*0.2)+(K63*0.12)+(L63*0.1)+((6-M63)*0.08)+((6-N63)*0.08)+(O63*0.06)+(P63*0.14)+(G63*0.06),2)</f>
        <v/>
      </c>
      <c r="S63" s="6">
        <f>IF(A63="","",IF(AND(G63&gt;=4,H63&gt;=4,K63&gt;=3,P63&gt;=4),"Первый релиз",IF(Q63&gt;=3.7,"Первый релиз",IF(R63&gt;=3.6,"Следующий релиз","Не включать / проверить"))))</f>
        <v/>
      </c>
      <c r="T63" s="6">
        <f>IF(A63="","",IF(S63="Первый релиз","Включить в минимальный рыночный выпуск",IF(S63="Следующий релиз","Запланировать после проверки первого релиза","Оставить как гипотезу / проверить позже")))</f>
        <v/>
      </c>
      <c r="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6">
        <f>ROUND((G64*0.18)+(H64*0.15)+(I64*0.12)+(J64*0.08)+(K64*0.13)+(L64*0.1)+(M64*0.12)+(N64*0.12)-(O64*0.07)+(P64*0.1),2)</f>
        <v/>
      </c>
      <c r="R64" s="6">
        <f>ROUND((I64*0.16)+(J64*0.2)+(K64*0.12)+(L64*0.1)+((6-M64)*0.08)+((6-N64)*0.08)+(O64*0.06)+(P64*0.14)+(G64*0.06),2)</f>
        <v/>
      </c>
      <c r="S64" s="6">
        <f>IF(A64="","",IF(AND(G64&gt;=4,H64&gt;=4,K64&gt;=3,P64&gt;=4),"Первый релиз",IF(Q64&gt;=3.7,"Первый релиз",IF(R64&gt;=3.6,"Следующий релиз","Не включать / проверить"))))</f>
        <v/>
      </c>
      <c r="T64" s="6">
        <f>IF(A64="","",IF(S64="Первый релиз","Включить в минимальный рыночный выпуск",IF(S64="Следующий релиз","Запланировать после проверки первого релиза","Оставить как гипотезу / проверить позже")))</f>
        <v/>
      </c>
      <c r="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6">
        <f>ROUND((G65*0.18)+(H65*0.15)+(I65*0.12)+(J65*0.08)+(K65*0.13)+(L65*0.1)+(M65*0.12)+(N65*0.12)-(O65*0.07)+(P65*0.1),2)</f>
        <v/>
      </c>
      <c r="R65" s="6">
        <f>ROUND((I65*0.16)+(J65*0.2)+(K65*0.12)+(L65*0.1)+((6-M65)*0.08)+((6-N65)*0.08)+(O65*0.06)+(P65*0.14)+(G65*0.06),2)</f>
        <v/>
      </c>
      <c r="S65" s="6">
        <f>IF(A65="","",IF(AND(G65&gt;=4,H65&gt;=4,K65&gt;=3,P65&gt;=4),"Первый релиз",IF(Q65&gt;=3.7,"Первый релиз",IF(R65&gt;=3.6,"Следующий релиз","Не включать / проверить"))))</f>
        <v/>
      </c>
      <c r="T65" s="6">
        <f>IF(A65="","",IF(S65="Первый релиз","Включить в минимальный рыночный выпуск",IF(S65="Следующий релиз","Запланировать после проверки первого релиза","Оставить как гипотезу / проверить позже")))</f>
        <v/>
      </c>
      <c r="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6">
        <f>ROUND((G66*0.18)+(H66*0.15)+(I66*0.12)+(J66*0.08)+(K66*0.13)+(L66*0.1)+(M66*0.12)+(N66*0.12)-(O66*0.07)+(P66*0.1),2)</f>
        <v/>
      </c>
      <c r="R66" s="6">
        <f>ROUND((I66*0.16)+(J66*0.2)+(K66*0.12)+(L66*0.1)+((6-M66)*0.08)+((6-N66)*0.08)+(O66*0.06)+(P66*0.14)+(G66*0.06),2)</f>
        <v/>
      </c>
      <c r="S66" s="6">
        <f>IF(A66="","",IF(AND(G66&gt;=4,H66&gt;=4,K66&gt;=3,P66&gt;=4),"Первый релиз",IF(Q66&gt;=3.7,"Первый релиз",IF(R66&gt;=3.6,"Следующий релиз","Не включать / проверить"))))</f>
        <v/>
      </c>
      <c r="T66" s="6">
        <f>IF(A66="","",IF(S66="Первый релиз","Включить в минимальный рыночный выпуск",IF(S66="Следующий релиз","Запланировать после проверки первого релиза","Оставить как гипотезу / проверить позже")))</f>
        <v/>
      </c>
      <c r="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6">
        <f>ROUND((G67*0.18)+(H67*0.15)+(I67*0.12)+(J67*0.08)+(K67*0.13)+(L67*0.1)+(M67*0.12)+(N67*0.12)-(O67*0.07)+(P67*0.1),2)</f>
        <v/>
      </c>
      <c r="R67" s="6">
        <f>ROUND((I67*0.16)+(J67*0.2)+(K67*0.12)+(L67*0.1)+((6-M67)*0.08)+((6-N67)*0.08)+(O67*0.06)+(P67*0.14)+(G67*0.06),2)</f>
        <v/>
      </c>
      <c r="S67" s="6">
        <f>IF(A67="","",IF(AND(G67&gt;=4,H67&gt;=4,K67&gt;=3,P67&gt;=4),"Первый релиз",IF(Q67&gt;=3.7,"Первый релиз",IF(R67&gt;=3.6,"Следующий релиз","Не включать / проверить"))))</f>
        <v/>
      </c>
      <c r="T67" s="6">
        <f>IF(A67="","",IF(S67="Первый релиз","Включить в минимальный рыночный выпуск",IF(S67="Следующий релиз","Запланировать после проверки первого релиза","Оставить как гипотезу / проверить позже")))</f>
        <v/>
      </c>
      <c r="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6">
        <f>ROUND((G68*0.18)+(H68*0.15)+(I68*0.12)+(J68*0.08)+(K68*0.13)+(L68*0.1)+(M68*0.12)+(N68*0.12)-(O68*0.07)+(P68*0.1),2)</f>
        <v/>
      </c>
      <c r="R68" s="6">
        <f>ROUND((I68*0.16)+(J68*0.2)+(K68*0.12)+(L68*0.1)+((6-M68)*0.08)+((6-N68)*0.08)+(O68*0.06)+(P68*0.14)+(G68*0.06),2)</f>
        <v/>
      </c>
      <c r="S68" s="6">
        <f>IF(A68="","",IF(AND(G68&gt;=4,H68&gt;=4,K68&gt;=3,P68&gt;=4),"Первый релиз",IF(Q68&gt;=3.7,"Первый релиз",IF(R68&gt;=3.6,"Следующий релиз","Не включать / проверить"))))</f>
        <v/>
      </c>
      <c r="T68" s="6">
        <f>IF(A68="","",IF(S68="Первый релиз","Включить в минимальный рыночный выпуск",IF(S68="Следующий релиз","Запланировать после проверки первого релиза","Оставить как гипотезу / проверить позже")))</f>
        <v/>
      </c>
      <c r="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6">
        <f>ROUND((G69*0.18)+(H69*0.15)+(I69*0.12)+(J69*0.08)+(K69*0.13)+(L69*0.1)+(M69*0.12)+(N69*0.12)-(O69*0.07)+(P69*0.1),2)</f>
        <v/>
      </c>
      <c r="R69" s="6">
        <f>ROUND((I69*0.16)+(J69*0.2)+(K69*0.12)+(L69*0.1)+((6-M69)*0.08)+((6-N69)*0.08)+(O69*0.06)+(P69*0.14)+(G69*0.06),2)</f>
        <v/>
      </c>
      <c r="S69" s="6">
        <f>IF(A69="","",IF(AND(G69&gt;=4,H69&gt;=4,K69&gt;=3,P69&gt;=4),"Первый релиз",IF(Q69&gt;=3.7,"Первый релиз",IF(R69&gt;=3.6,"Следующий релиз","Не включать / проверить"))))</f>
        <v/>
      </c>
      <c r="T69" s="6">
        <f>IF(A69="","",IF(S69="Первый релиз","Включить в минимальный рыночный выпуск",IF(S69="Следующий релиз","Запланировать после проверки первого релиза","Оставить как гипотезу / проверить позже")))</f>
        <v/>
      </c>
      <c r="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6">
        <f>ROUND((G70*0.18)+(H70*0.15)+(I70*0.12)+(J70*0.08)+(K70*0.13)+(L70*0.1)+(M70*0.12)+(N70*0.12)-(O70*0.07)+(P70*0.1),2)</f>
        <v/>
      </c>
      <c r="R70" s="6">
        <f>ROUND((I70*0.16)+(J70*0.2)+(K70*0.12)+(L70*0.1)+((6-M70)*0.08)+((6-N70)*0.08)+(O70*0.06)+(P70*0.14)+(G70*0.06),2)</f>
        <v/>
      </c>
      <c r="S70" s="6">
        <f>IF(A70="","",IF(AND(G70&gt;=4,H70&gt;=4,K70&gt;=3,P70&gt;=4),"Первый релиз",IF(Q70&gt;=3.7,"Первый релиз",IF(R70&gt;=3.6,"Следующий релиз","Не включать / проверить"))))</f>
        <v/>
      </c>
      <c r="T70" s="6">
        <f>IF(A70="","",IF(S70="Первый релиз","Включить в минимальный рыночный выпуск",IF(S70="Следующий релиз","Запланировать после проверки первого релиза","Оставить как гипотезу / проверить позже")))</f>
        <v/>
      </c>
      <c r="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6">
        <f>ROUND((G71*0.18)+(H71*0.15)+(I71*0.12)+(J71*0.08)+(K71*0.13)+(L71*0.1)+(M71*0.12)+(N71*0.12)-(O71*0.07)+(P71*0.1),2)</f>
        <v/>
      </c>
      <c r="R71" s="6">
        <f>ROUND((I71*0.16)+(J71*0.2)+(K71*0.12)+(L71*0.1)+((6-M71)*0.08)+((6-N71)*0.08)+(O71*0.06)+(P71*0.14)+(G71*0.06),2)</f>
        <v/>
      </c>
      <c r="S71" s="6">
        <f>IF(A71="","",IF(AND(G71&gt;=4,H71&gt;=4,K71&gt;=3,P71&gt;=4),"Первый релиз",IF(Q71&gt;=3.7,"Первый релиз",IF(R71&gt;=3.6,"Следующий релиз","Не включать / проверить"))))</f>
        <v/>
      </c>
      <c r="T71" s="6">
        <f>IF(A71="","",IF(S71="Первый релиз","Включить в минимальный рыночный выпуск",IF(S71="Следующий релиз","Запланировать после проверки первого релиза","Оставить как гипотезу / проверить позже")))</f>
        <v/>
      </c>
      <c r="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6">
        <f>ROUND((G72*0.18)+(H72*0.15)+(I72*0.12)+(J72*0.08)+(K72*0.13)+(L72*0.1)+(M72*0.12)+(N72*0.12)-(O72*0.07)+(P72*0.1),2)</f>
        <v/>
      </c>
      <c r="R72" s="6">
        <f>ROUND((I72*0.16)+(J72*0.2)+(K72*0.12)+(L72*0.1)+((6-M72)*0.08)+((6-N72)*0.08)+(O72*0.06)+(P72*0.14)+(G72*0.06),2)</f>
        <v/>
      </c>
      <c r="S72" s="6">
        <f>IF(A72="","",IF(AND(G72&gt;=4,H72&gt;=4,K72&gt;=3,P72&gt;=4),"Первый релиз",IF(Q72&gt;=3.7,"Первый релиз",IF(R72&gt;=3.6,"Следующий релиз","Не включать / проверить"))))</f>
        <v/>
      </c>
      <c r="T72" s="6">
        <f>IF(A72="","",IF(S72="Первый релиз","Включить в минимальный рыночный выпуск",IF(S72="Следующий релиз","Запланировать после проверки первого релиза","Оставить как гипотезу / проверить позже")))</f>
        <v/>
      </c>
      <c r="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6">
        <f>ROUND((G73*0.18)+(H73*0.15)+(I73*0.12)+(J73*0.08)+(K73*0.13)+(L73*0.1)+(M73*0.12)+(N73*0.12)-(O73*0.07)+(P73*0.1),2)</f>
        <v/>
      </c>
      <c r="R73" s="6">
        <f>ROUND((I73*0.16)+(J73*0.2)+(K73*0.12)+(L73*0.1)+((6-M73)*0.08)+((6-N73)*0.08)+(O73*0.06)+(P73*0.14)+(G73*0.06),2)</f>
        <v/>
      </c>
      <c r="S73" s="6">
        <f>IF(A73="","",IF(AND(G73&gt;=4,H73&gt;=4,K73&gt;=3,P73&gt;=4),"Первый релиз",IF(Q73&gt;=3.7,"Первый релиз",IF(R73&gt;=3.6,"Следующий релиз","Не включать / проверить"))))</f>
        <v/>
      </c>
      <c r="T73" s="6">
        <f>IF(A73="","",IF(S73="Первый релиз","Включить в минимальный рыночный выпуск",IF(S73="Следующий релиз","Запланировать после проверки первого релиза","Оставить как гипотезу / проверить позже")))</f>
        <v/>
      </c>
      <c r="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6">
        <f>ROUND((G74*0.18)+(H74*0.15)+(I74*0.12)+(J74*0.08)+(K74*0.13)+(L74*0.1)+(M74*0.12)+(N74*0.12)-(O74*0.07)+(P74*0.1),2)</f>
        <v/>
      </c>
      <c r="R74" s="6">
        <f>ROUND((I74*0.16)+(J74*0.2)+(K74*0.12)+(L74*0.1)+((6-M74)*0.08)+((6-N74)*0.08)+(O74*0.06)+(P74*0.14)+(G74*0.06),2)</f>
        <v/>
      </c>
      <c r="S74" s="6">
        <f>IF(A74="","",IF(AND(G74&gt;=4,H74&gt;=4,K74&gt;=3,P74&gt;=4),"Первый релиз",IF(Q74&gt;=3.7,"Первый релиз",IF(R74&gt;=3.6,"Следующий релиз","Не включать / проверить"))))</f>
        <v/>
      </c>
      <c r="T74" s="6">
        <f>IF(A74="","",IF(S74="Первый релиз","Включить в минимальный рыночный выпуск",IF(S74="Следующий релиз","Запланировать после проверки первого релиза","Оставить как гипотезу / проверить позже")))</f>
        <v/>
      </c>
      <c r="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6">
        <f>ROUND((G75*0.18)+(H75*0.15)+(I75*0.12)+(J75*0.08)+(K75*0.13)+(L75*0.1)+(M75*0.12)+(N75*0.12)-(O75*0.07)+(P75*0.1),2)</f>
        <v/>
      </c>
      <c r="R75" s="6">
        <f>ROUND((I75*0.16)+(J75*0.2)+(K75*0.12)+(L75*0.1)+((6-M75)*0.08)+((6-N75)*0.08)+(O75*0.06)+(P75*0.14)+(G75*0.06),2)</f>
        <v/>
      </c>
      <c r="S75" s="6">
        <f>IF(A75="","",IF(AND(G75&gt;=4,H75&gt;=4,K75&gt;=3,P75&gt;=4),"Первый релиз",IF(Q75&gt;=3.7,"Первый релиз",IF(R75&gt;=3.6,"Следующий релиз","Не включать / проверить"))))</f>
        <v/>
      </c>
      <c r="T75" s="6">
        <f>IF(A75="","",IF(S75="Первый релиз","Включить в минимальный рыночный выпуск",IF(S75="Следующий релиз","Запланировать после проверки первого релиза","Оставить как гипотезу / проверить позже")))</f>
        <v/>
      </c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6">
        <f>ROUND((G76*0.18)+(H76*0.15)+(I76*0.12)+(J76*0.08)+(K76*0.13)+(L76*0.1)+(M76*0.12)+(N76*0.12)-(O76*0.07)+(P76*0.1),2)</f>
        <v/>
      </c>
      <c r="R76" s="6">
        <f>ROUND((I76*0.16)+(J76*0.2)+(K76*0.12)+(L76*0.1)+((6-M76)*0.08)+((6-N76)*0.08)+(O76*0.06)+(P76*0.14)+(G76*0.06),2)</f>
        <v/>
      </c>
      <c r="S76" s="6">
        <f>IF(A76="","",IF(AND(G76&gt;=4,H76&gt;=4,K76&gt;=3,P76&gt;=4),"Первый релиз",IF(Q76&gt;=3.7,"Первый релиз",IF(R76&gt;=3.6,"Следующий релиз","Не включать / проверить"))))</f>
        <v/>
      </c>
      <c r="T76" s="6">
        <f>IF(A76="","",IF(S76="Первый релиз","Включить в минимальный рыночный выпуск",IF(S76="Следующий релиз","Запланировать после проверки первого релиза","Оставить как гипотезу / проверить позже")))</f>
        <v/>
      </c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6">
        <f>ROUND((G77*0.18)+(H77*0.15)+(I77*0.12)+(J77*0.08)+(K77*0.13)+(L77*0.1)+(M77*0.12)+(N77*0.12)-(O77*0.07)+(P77*0.1),2)</f>
        <v/>
      </c>
      <c r="R77" s="6">
        <f>ROUND((I77*0.16)+(J77*0.2)+(K77*0.12)+(L77*0.1)+((6-M77)*0.08)+((6-N77)*0.08)+(O77*0.06)+(P77*0.14)+(G77*0.06),2)</f>
        <v/>
      </c>
      <c r="S77" s="6">
        <f>IF(A77="","",IF(AND(G77&gt;=4,H77&gt;=4,K77&gt;=3,P77&gt;=4),"Первый релиз",IF(Q77&gt;=3.7,"Первый релиз",IF(R77&gt;=3.6,"Следующий релиз","Не включать / проверить"))))</f>
        <v/>
      </c>
      <c r="T77" s="6">
        <f>IF(A77="","",IF(S77="Первый релиз","Включить в минимальный рыночный выпуск",IF(S77="Следующий релиз","Запланировать после проверки первого релиза","Оставить как гипотезу / проверить позже")))</f>
        <v/>
      </c>
      <c r="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6">
        <f>ROUND((G78*0.18)+(H78*0.15)+(I78*0.12)+(J78*0.08)+(K78*0.13)+(L78*0.1)+(M78*0.12)+(N78*0.12)-(O78*0.07)+(P78*0.1),2)</f>
        <v/>
      </c>
      <c r="R78" s="6">
        <f>ROUND((I78*0.16)+(J78*0.2)+(K78*0.12)+(L78*0.1)+((6-M78)*0.08)+((6-N78)*0.08)+(O78*0.06)+(P78*0.14)+(G78*0.06),2)</f>
        <v/>
      </c>
      <c r="S78" s="6">
        <f>IF(A78="","",IF(AND(G78&gt;=4,H78&gt;=4,K78&gt;=3,P78&gt;=4),"Первый релиз",IF(Q78&gt;=3.7,"Первый релиз",IF(R78&gt;=3.6,"Следующий релиз","Не включать / проверить"))))</f>
        <v/>
      </c>
      <c r="T78" s="6">
        <f>IF(A78="","",IF(S78="Первый релиз","Включить в минимальный рыночный выпуск",IF(S78="Следующий релиз","Запланировать после проверки первого релиза","Оставить как гипотезу / проверить позже")))</f>
        <v/>
      </c>
      <c r="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6">
        <f>ROUND((G79*0.18)+(H79*0.15)+(I79*0.12)+(J79*0.08)+(K79*0.13)+(L79*0.1)+(M79*0.12)+(N79*0.12)-(O79*0.07)+(P79*0.1),2)</f>
        <v/>
      </c>
      <c r="R79" s="6">
        <f>ROUND((I79*0.16)+(J79*0.2)+(K79*0.12)+(L79*0.1)+((6-M79)*0.08)+((6-N79)*0.08)+(O79*0.06)+(P79*0.14)+(G79*0.06),2)</f>
        <v/>
      </c>
      <c r="S79" s="6">
        <f>IF(A79="","",IF(AND(G79&gt;=4,H79&gt;=4,K79&gt;=3,P79&gt;=4),"Первый релиз",IF(Q79&gt;=3.7,"Первый релиз",IF(R79&gt;=3.6,"Следующий релиз","Не включать / проверить"))))</f>
        <v/>
      </c>
      <c r="T79" s="6">
        <f>IF(A79="","",IF(S79="Первый релиз","Включить в минимальный рыночный выпуск",IF(S79="Следующий релиз","Запланировать после проверки первого релиза","Оставить как гипотезу / проверить позже")))</f>
        <v/>
      </c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6">
        <f>ROUND((G80*0.18)+(H80*0.15)+(I80*0.12)+(J80*0.08)+(K80*0.13)+(L80*0.1)+(M80*0.12)+(N80*0.12)-(O80*0.07)+(P80*0.1),2)</f>
        <v/>
      </c>
      <c r="R80" s="6">
        <f>ROUND((I80*0.16)+(J80*0.2)+(K80*0.12)+(L80*0.1)+((6-M80)*0.08)+((6-N80)*0.08)+(O80*0.06)+(P80*0.14)+(G80*0.06),2)</f>
        <v/>
      </c>
      <c r="S80" s="6">
        <f>IF(A80="","",IF(AND(G80&gt;=4,H80&gt;=4,K80&gt;=3,P80&gt;=4),"Первый релиз",IF(Q80&gt;=3.7,"Первый релиз",IF(R80&gt;=3.6,"Следующий релиз","Не включать / проверить"))))</f>
        <v/>
      </c>
      <c r="T80" s="6">
        <f>IF(A80="","",IF(S80="Первый релиз","Включить в минимальный рыночный выпуск",IF(S80="Следующий релиз","Запланировать после проверки первого релиза","Оставить как гипотезу / проверить позже")))</f>
        <v/>
      </c>
      <c r="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6">
        <f>ROUND((G81*0.18)+(H81*0.15)+(I81*0.12)+(J81*0.08)+(K81*0.13)+(L81*0.1)+(M81*0.12)+(N81*0.12)-(O81*0.07)+(P81*0.1),2)</f>
        <v/>
      </c>
      <c r="R81" s="6">
        <f>ROUND((I81*0.16)+(J81*0.2)+(K81*0.12)+(L81*0.1)+((6-M81)*0.08)+((6-N81)*0.08)+(O81*0.06)+(P81*0.14)+(G81*0.06),2)</f>
        <v/>
      </c>
      <c r="S81" s="6">
        <f>IF(A81="","",IF(AND(G81&gt;=4,H81&gt;=4,K81&gt;=3,P81&gt;=4),"Первый релиз",IF(Q81&gt;=3.7,"Первый релиз",IF(R81&gt;=3.6,"Следующий релиз","Не включать / проверить"))))</f>
        <v/>
      </c>
      <c r="T81" s="6">
        <f>IF(A81="","",IF(S81="Первый релиз","Включить в минимальный рыночный выпуск",IF(S81="Следующий релиз","Запланировать после проверки первого релиза","Оставить как гипотезу / проверить позже")))</f>
        <v/>
      </c>
      <c r="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6">
        <f>ROUND((G82*0.18)+(H82*0.15)+(I82*0.12)+(J82*0.08)+(K82*0.13)+(L82*0.1)+(M82*0.12)+(N82*0.12)-(O82*0.07)+(P82*0.1),2)</f>
        <v/>
      </c>
      <c r="R82" s="6">
        <f>ROUND((I82*0.16)+(J82*0.2)+(K82*0.12)+(L82*0.1)+((6-M82)*0.08)+((6-N82)*0.08)+(O82*0.06)+(P82*0.14)+(G82*0.06),2)</f>
        <v/>
      </c>
      <c r="S82" s="6">
        <f>IF(A82="","",IF(AND(G82&gt;=4,H82&gt;=4,K82&gt;=3,P82&gt;=4),"Первый релиз",IF(Q82&gt;=3.7,"Первый релиз",IF(R82&gt;=3.6,"Следующий релиз","Не включать / проверить"))))</f>
        <v/>
      </c>
      <c r="T82" s="6">
        <f>IF(A82="","",IF(S82="Первый релиз","Включить в минимальный рыночный выпуск",IF(S82="Следующий релиз","Запланировать после проверки первого релиза","Оставить как гипотезу / проверить позже")))</f>
        <v/>
      </c>
      <c r="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6">
        <f>ROUND((G83*0.18)+(H83*0.15)+(I83*0.12)+(J83*0.08)+(K83*0.13)+(L83*0.1)+(M83*0.12)+(N83*0.12)-(O83*0.07)+(P83*0.1),2)</f>
        <v/>
      </c>
      <c r="R83" s="6">
        <f>ROUND((I83*0.16)+(J83*0.2)+(K83*0.12)+(L83*0.1)+((6-M83)*0.08)+((6-N83)*0.08)+(O83*0.06)+(P83*0.14)+(G83*0.06),2)</f>
        <v/>
      </c>
      <c r="S83" s="6">
        <f>IF(A83="","",IF(AND(G83&gt;=4,H83&gt;=4,K83&gt;=3,P83&gt;=4),"Первый релиз",IF(Q83&gt;=3.7,"Первый релиз",IF(R83&gt;=3.6,"Следующий релиз","Не включать / проверить"))))</f>
        <v/>
      </c>
      <c r="T83" s="6">
        <f>IF(A83="","",IF(S83="Первый релиз","Включить в минимальный рыночный выпуск",IF(S83="Следующий релиз","Запланировать после проверки первого релиза","Оставить как гипотезу / проверить позже")))</f>
        <v/>
      </c>
      <c r="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6">
        <f>ROUND((G84*0.18)+(H84*0.15)+(I84*0.12)+(J84*0.08)+(K84*0.13)+(L84*0.1)+(M84*0.12)+(N84*0.12)-(O84*0.07)+(P84*0.1),2)</f>
        <v/>
      </c>
      <c r="R84" s="6">
        <f>ROUND((I84*0.16)+(J84*0.2)+(K84*0.12)+(L84*0.1)+((6-M84)*0.08)+((6-N84)*0.08)+(O84*0.06)+(P84*0.14)+(G84*0.06),2)</f>
        <v/>
      </c>
      <c r="S84" s="6">
        <f>IF(A84="","",IF(AND(G84&gt;=4,H84&gt;=4,K84&gt;=3,P84&gt;=4),"Первый релиз",IF(Q84&gt;=3.7,"Первый релиз",IF(R84&gt;=3.6,"Следующий релиз","Не включать / проверить"))))</f>
        <v/>
      </c>
      <c r="T84" s="6">
        <f>IF(A84="","",IF(S84="Первый релиз","Включить в минимальный рыночный выпуск",IF(S84="Следующий релиз","Запланировать после проверки первого релиза","Оставить как гипотезу / проверить позже")))</f>
        <v/>
      </c>
      <c r="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6">
        <f>ROUND((G85*0.18)+(H85*0.15)+(I85*0.12)+(J85*0.08)+(K85*0.13)+(L85*0.1)+(M85*0.12)+(N85*0.12)-(O85*0.07)+(P85*0.1),2)</f>
        <v/>
      </c>
      <c r="R85" s="6">
        <f>ROUND((I85*0.16)+(J85*0.2)+(K85*0.12)+(L85*0.1)+((6-M85)*0.08)+((6-N85)*0.08)+(O85*0.06)+(P85*0.14)+(G85*0.06),2)</f>
        <v/>
      </c>
      <c r="S85" s="6">
        <f>IF(A85="","",IF(AND(G85&gt;=4,H85&gt;=4,K85&gt;=3,P85&gt;=4),"Первый релиз",IF(Q85&gt;=3.7,"Первый релиз",IF(R85&gt;=3.6,"Следующий релиз","Не включать / проверить"))))</f>
        <v/>
      </c>
      <c r="T85" s="6">
        <f>IF(A85="","",IF(S85="Первый релиз","Включить в минимальный рыночный выпуск",IF(S85="Следующий релиз","Запланировать после проверки первого релиза","Оставить как гипотезу / проверить позже")))</f>
        <v/>
      </c>
      <c r="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6">
        <f>ROUND((G86*0.18)+(H86*0.15)+(I86*0.12)+(J86*0.08)+(K86*0.13)+(L86*0.1)+(M86*0.12)+(N86*0.12)-(O86*0.07)+(P86*0.1),2)</f>
        <v/>
      </c>
      <c r="R86" s="6">
        <f>ROUND((I86*0.16)+(J86*0.2)+(K86*0.12)+(L86*0.1)+((6-M86)*0.08)+((6-N86)*0.08)+(O86*0.06)+(P86*0.14)+(G86*0.06),2)</f>
        <v/>
      </c>
      <c r="S86" s="6">
        <f>IF(A86="","",IF(AND(G86&gt;=4,H86&gt;=4,K86&gt;=3,P86&gt;=4),"Первый релиз",IF(Q86&gt;=3.7,"Первый релиз",IF(R86&gt;=3.6,"Следующий релиз","Не включать / проверить"))))</f>
        <v/>
      </c>
      <c r="T86" s="6">
        <f>IF(A86="","",IF(S86="Первый релиз","Включить в минимальный рыночный выпуск",IF(S86="Следующий релиз","Запланировать после проверки первого релиза","Оставить как гипотезу / проверить позже")))</f>
        <v/>
      </c>
      <c r="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6">
        <f>ROUND((G87*0.18)+(H87*0.15)+(I87*0.12)+(J87*0.08)+(K87*0.13)+(L87*0.1)+(M87*0.12)+(N87*0.12)-(O87*0.07)+(P87*0.1),2)</f>
        <v/>
      </c>
      <c r="R87" s="6">
        <f>ROUND((I87*0.16)+(J87*0.2)+(K87*0.12)+(L87*0.1)+((6-M87)*0.08)+((6-N87)*0.08)+(O87*0.06)+(P87*0.14)+(G87*0.06),2)</f>
        <v/>
      </c>
      <c r="S87" s="6">
        <f>IF(A87="","",IF(AND(G87&gt;=4,H87&gt;=4,K87&gt;=3,P87&gt;=4),"Первый релиз",IF(Q87&gt;=3.7,"Первый релиз",IF(R87&gt;=3.6,"Следующий релиз","Не включать / проверить"))))</f>
        <v/>
      </c>
      <c r="T87" s="6">
        <f>IF(A87="","",IF(S87="Первый релиз","Включить в минимальный рыночный выпуск",IF(S87="Следующий релиз","Запланировать после проверки первого релиза","Оставить как гипотезу / проверить позже")))</f>
        <v/>
      </c>
      <c r="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6">
        <f>ROUND((G88*0.18)+(H88*0.15)+(I88*0.12)+(J88*0.08)+(K88*0.13)+(L88*0.1)+(M88*0.12)+(N88*0.12)-(O88*0.07)+(P88*0.1),2)</f>
        <v/>
      </c>
      <c r="R88" s="6">
        <f>ROUND((I88*0.16)+(J88*0.2)+(K88*0.12)+(L88*0.1)+((6-M88)*0.08)+((6-N88)*0.08)+(O88*0.06)+(P88*0.14)+(G88*0.06),2)</f>
        <v/>
      </c>
      <c r="S88" s="6">
        <f>IF(A88="","",IF(AND(G88&gt;=4,H88&gt;=4,K88&gt;=3,P88&gt;=4),"Первый релиз",IF(Q88&gt;=3.7,"Первый релиз",IF(R88&gt;=3.6,"Следующий релиз","Не включать / проверить"))))</f>
        <v/>
      </c>
      <c r="T88" s="6">
        <f>IF(A88="","",IF(S88="Первый релиз","Включить в минимальный рыночный выпуск",IF(S88="Следующий релиз","Запланировать после проверки первого релиза","Оставить как гипотезу / проверить позже")))</f>
        <v/>
      </c>
      <c r="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6">
        <f>ROUND((G89*0.18)+(H89*0.15)+(I89*0.12)+(J89*0.08)+(K89*0.13)+(L89*0.1)+(M89*0.12)+(N89*0.12)-(O89*0.07)+(P89*0.1),2)</f>
        <v/>
      </c>
      <c r="R89" s="6">
        <f>ROUND((I89*0.16)+(J89*0.2)+(K89*0.12)+(L89*0.1)+((6-M89)*0.08)+((6-N89)*0.08)+(O89*0.06)+(P89*0.14)+(G89*0.06),2)</f>
        <v/>
      </c>
      <c r="S89" s="6">
        <f>IF(A89="","",IF(AND(G89&gt;=4,H89&gt;=4,K89&gt;=3,P89&gt;=4),"Первый релиз",IF(Q89&gt;=3.7,"Первый релиз",IF(R89&gt;=3.6,"Следующий релиз","Не включать / проверить"))))</f>
        <v/>
      </c>
      <c r="T89" s="6">
        <f>IF(A89="","",IF(S89="Первый релиз","Включить в минимальный рыночный выпуск",IF(S89="Следующий релиз","Запланировать после проверки первого релиза","Оставить как гипотезу / проверить позже")))</f>
        <v/>
      </c>
      <c r="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6">
        <f>ROUND((G90*0.18)+(H90*0.15)+(I90*0.12)+(J90*0.08)+(K90*0.13)+(L90*0.1)+(M90*0.12)+(N90*0.12)-(O90*0.07)+(P90*0.1),2)</f>
        <v/>
      </c>
      <c r="R90" s="6">
        <f>ROUND((I90*0.16)+(J90*0.2)+(K90*0.12)+(L90*0.1)+((6-M90)*0.08)+((6-N90)*0.08)+(O90*0.06)+(P90*0.14)+(G90*0.06),2)</f>
        <v/>
      </c>
      <c r="S90" s="6">
        <f>IF(A90="","",IF(AND(G90&gt;=4,H90&gt;=4,K90&gt;=3,P90&gt;=4),"Первый релиз",IF(Q90&gt;=3.7,"Первый релиз",IF(R90&gt;=3.6,"Следующий релиз","Не включать / проверить"))))</f>
        <v/>
      </c>
      <c r="T90" s="6">
        <f>IF(A90="","",IF(S90="Первый релиз","Включить в минимальный рыночный выпуск",IF(S90="Следующий релиз","Запланировать после проверки первого релиза","Оставить как гипотезу / проверить позже")))</f>
        <v/>
      </c>
      <c r="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6">
        <f>ROUND((G91*0.18)+(H91*0.15)+(I91*0.12)+(J91*0.08)+(K91*0.13)+(L91*0.1)+(M91*0.12)+(N91*0.12)-(O91*0.07)+(P91*0.1),2)</f>
        <v/>
      </c>
      <c r="R91" s="6">
        <f>ROUND((I91*0.16)+(J91*0.2)+(K91*0.12)+(L91*0.1)+((6-M91)*0.08)+((6-N91)*0.08)+(O91*0.06)+(P91*0.14)+(G91*0.06),2)</f>
        <v/>
      </c>
      <c r="S91" s="6">
        <f>IF(A91="","",IF(AND(G91&gt;=4,H91&gt;=4,K91&gt;=3,P91&gt;=4),"Первый релиз",IF(Q91&gt;=3.7,"Первый релиз",IF(R91&gt;=3.6,"Следующий релиз","Не включать / проверить"))))</f>
        <v/>
      </c>
      <c r="T91" s="6">
        <f>IF(A91="","",IF(S91="Первый релиз","Включить в минимальный рыночный выпуск",IF(S91="Следующий релиз","Запланировать после проверки первого релиза","Оставить как гипотезу / проверить позже")))</f>
        <v/>
      </c>
      <c r="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6">
        <f>ROUND((G92*0.18)+(H92*0.15)+(I92*0.12)+(J92*0.08)+(K92*0.13)+(L92*0.1)+(M92*0.12)+(N92*0.12)-(O92*0.07)+(P92*0.1),2)</f>
        <v/>
      </c>
      <c r="R92" s="6">
        <f>ROUND((I92*0.16)+(J92*0.2)+(K92*0.12)+(L92*0.1)+((6-M92)*0.08)+((6-N92)*0.08)+(O92*0.06)+(P92*0.14)+(G92*0.06),2)</f>
        <v/>
      </c>
      <c r="S92" s="6">
        <f>IF(A92="","",IF(AND(G92&gt;=4,H92&gt;=4,K92&gt;=3,P92&gt;=4),"Первый релиз",IF(Q92&gt;=3.7,"Первый релиз",IF(R92&gt;=3.6,"Следующий релиз","Не включать / проверить"))))</f>
        <v/>
      </c>
      <c r="T92" s="6">
        <f>IF(A92="","",IF(S92="Первый релиз","Включить в минимальный рыночный выпуск",IF(S92="Следующий релиз","Запланировать после проверки первого релиза","Оставить как гипотезу / проверить позже")))</f>
        <v/>
      </c>
      <c r="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6">
        <f>ROUND((G93*0.18)+(H93*0.15)+(I93*0.12)+(J93*0.08)+(K93*0.13)+(L93*0.1)+(M93*0.12)+(N93*0.12)-(O93*0.07)+(P93*0.1),2)</f>
        <v/>
      </c>
      <c r="R93" s="6">
        <f>ROUND((I93*0.16)+(J93*0.2)+(K93*0.12)+(L93*0.1)+((6-M93)*0.08)+((6-N93)*0.08)+(O93*0.06)+(P93*0.14)+(G93*0.06),2)</f>
        <v/>
      </c>
      <c r="S93" s="6">
        <f>IF(A93="","",IF(AND(G93&gt;=4,H93&gt;=4,K93&gt;=3,P93&gt;=4),"Первый релиз",IF(Q93&gt;=3.7,"Первый релиз",IF(R93&gt;=3.6,"Следующий релиз","Не включать / проверить"))))</f>
        <v/>
      </c>
      <c r="T93" s="6">
        <f>IF(A93="","",IF(S93="Первый релиз","Включить в минимальный рыночный выпуск",IF(S93="Следующий релиз","Запланировать после проверки первого релиза","Оставить как гипотезу / проверить позже")))</f>
        <v/>
      </c>
      <c r="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6">
        <f>ROUND((G94*0.18)+(H94*0.15)+(I94*0.12)+(J94*0.08)+(K94*0.13)+(L94*0.1)+(M94*0.12)+(N94*0.12)-(O94*0.07)+(P94*0.1),2)</f>
        <v/>
      </c>
      <c r="R94" s="6">
        <f>ROUND((I94*0.16)+(J94*0.2)+(K94*0.12)+(L94*0.1)+((6-M94)*0.08)+((6-N94)*0.08)+(O94*0.06)+(P94*0.14)+(G94*0.06),2)</f>
        <v/>
      </c>
      <c r="S94" s="6">
        <f>IF(A94="","",IF(AND(G94&gt;=4,H94&gt;=4,K94&gt;=3,P94&gt;=4),"Первый релиз",IF(Q94&gt;=3.7,"Первый релиз",IF(R94&gt;=3.6,"Следующий релиз","Не включать / проверить"))))</f>
        <v/>
      </c>
      <c r="T94" s="6">
        <f>IF(A94="","",IF(S94="Первый релиз","Включить в минимальный рыночный выпуск",IF(S94="Следующий релиз","Запланировать после проверки первого релиза","Оставить как гипотезу / проверить позже")))</f>
        <v/>
      </c>
      <c r="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6">
        <f>ROUND((G95*0.18)+(H95*0.15)+(I95*0.12)+(J95*0.08)+(K95*0.13)+(L95*0.1)+(M95*0.12)+(N95*0.12)-(O95*0.07)+(P95*0.1),2)</f>
        <v/>
      </c>
      <c r="R95" s="6">
        <f>ROUND((I95*0.16)+(J95*0.2)+(K95*0.12)+(L95*0.1)+((6-M95)*0.08)+((6-N95)*0.08)+(O95*0.06)+(P95*0.14)+(G95*0.06),2)</f>
        <v/>
      </c>
      <c r="S95" s="6">
        <f>IF(A95="","",IF(AND(G95&gt;=4,H95&gt;=4,K95&gt;=3,P95&gt;=4),"Первый релиз",IF(Q95&gt;=3.7,"Первый релиз",IF(R95&gt;=3.6,"Следующий релиз","Не включать / проверить"))))</f>
        <v/>
      </c>
      <c r="T95" s="6">
        <f>IF(A95="","",IF(S95="Первый релиз","Включить в минимальный рыночный выпуск",IF(S95="Следующий релиз","Запланировать после проверки первого релиза","Оставить как гипотезу / проверить позже")))</f>
        <v/>
      </c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6">
        <f>ROUND((G96*0.18)+(H96*0.15)+(I96*0.12)+(J96*0.08)+(K96*0.13)+(L96*0.1)+(M96*0.12)+(N96*0.12)-(O96*0.07)+(P96*0.1),2)</f>
        <v/>
      </c>
      <c r="R96" s="6">
        <f>ROUND((I96*0.16)+(J96*0.2)+(K96*0.12)+(L96*0.1)+((6-M96)*0.08)+((6-N96)*0.08)+(O96*0.06)+(P96*0.14)+(G96*0.06),2)</f>
        <v/>
      </c>
      <c r="S96" s="6">
        <f>IF(A96="","",IF(AND(G96&gt;=4,H96&gt;=4,K96&gt;=3,P96&gt;=4),"Первый релиз",IF(Q96&gt;=3.7,"Первый релиз",IF(R96&gt;=3.6,"Следующий релиз","Не включать / проверить"))))</f>
        <v/>
      </c>
      <c r="T96" s="6">
        <f>IF(A96="","",IF(S96="Первый релиз","Включить в минимальный рыночный выпуск",IF(S96="Следующий релиз","Запланировать после проверки первого релиза","Оставить как гипотезу / проверить позже")))</f>
        <v/>
      </c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6">
        <f>ROUND((G97*0.18)+(H97*0.15)+(I97*0.12)+(J97*0.08)+(K97*0.13)+(L97*0.1)+(M97*0.12)+(N97*0.12)-(O97*0.07)+(P97*0.1),2)</f>
        <v/>
      </c>
      <c r="R97" s="6">
        <f>ROUND((I97*0.16)+(J97*0.2)+(K97*0.12)+(L97*0.1)+((6-M97)*0.08)+((6-N97)*0.08)+(O97*0.06)+(P97*0.14)+(G97*0.06),2)</f>
        <v/>
      </c>
      <c r="S97" s="6">
        <f>IF(A97="","",IF(AND(G97&gt;=4,H97&gt;=4,K97&gt;=3,P97&gt;=4),"Первый релиз",IF(Q97&gt;=3.7,"Первый релиз",IF(R97&gt;=3.6,"Следующий релиз","Не включать / проверить"))))</f>
        <v/>
      </c>
      <c r="T97" s="6">
        <f>IF(A97="","",IF(S97="Первый релиз","Включить в минимальный рыночный выпуск",IF(S97="Следующий релиз","Запланировать после проверки первого релиза","Оставить как гипотезу / проверить позже")))</f>
        <v/>
      </c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6">
        <f>ROUND((G98*0.18)+(H98*0.15)+(I98*0.12)+(J98*0.08)+(K98*0.13)+(L98*0.1)+(M98*0.12)+(N98*0.12)-(O98*0.07)+(P98*0.1),2)</f>
        <v/>
      </c>
      <c r="R98" s="6">
        <f>ROUND((I98*0.16)+(J98*0.2)+(K98*0.12)+(L98*0.1)+((6-M98)*0.08)+((6-N98)*0.08)+(O98*0.06)+(P98*0.14)+(G98*0.06),2)</f>
        <v/>
      </c>
      <c r="S98" s="6">
        <f>IF(A98="","",IF(AND(G98&gt;=4,H98&gt;=4,K98&gt;=3,P98&gt;=4),"Первый релиз",IF(Q98&gt;=3.7,"Первый релиз",IF(R98&gt;=3.6,"Следующий релиз","Не включать / проверить"))))</f>
        <v/>
      </c>
      <c r="T98" s="6">
        <f>IF(A98="","",IF(S98="Первый релиз","Включить в минимальный рыночный выпуск",IF(S98="Следующий релиз","Запланировать после проверки первого релиза","Оставить как гипотезу / проверить позже")))</f>
        <v/>
      </c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6">
        <f>ROUND((G99*0.18)+(H99*0.15)+(I99*0.12)+(J99*0.08)+(K99*0.13)+(L99*0.1)+(M99*0.12)+(N99*0.12)-(O99*0.07)+(P99*0.1),2)</f>
        <v/>
      </c>
      <c r="R99" s="6">
        <f>ROUND((I99*0.16)+(J99*0.2)+(K99*0.12)+(L99*0.1)+((6-M99)*0.08)+((6-N99)*0.08)+(O99*0.06)+(P99*0.14)+(G99*0.06),2)</f>
        <v/>
      </c>
      <c r="S99" s="6">
        <f>IF(A99="","",IF(AND(G99&gt;=4,H99&gt;=4,K99&gt;=3,P99&gt;=4),"Первый релиз",IF(Q99&gt;=3.7,"Первый релиз",IF(R99&gt;=3.6,"Следующий релиз","Не включать / проверить"))))</f>
        <v/>
      </c>
      <c r="T99" s="6">
        <f>IF(A99="","",IF(S99="Первый релиз","Включить в минимальный рыночный выпуск",IF(S99="Следующий релиз","Запланировать после проверки первого релиза","Оставить как гипотезу / проверить позже")))</f>
        <v/>
      </c>
      <c r="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6">
        <f>ROUND((G100*0.18)+(H100*0.15)+(I100*0.12)+(J100*0.08)+(K100*0.13)+(L100*0.1)+(M100*0.12)+(N100*0.12)-(O100*0.07)+(P100*0.1),2)</f>
        <v/>
      </c>
      <c r="R100" s="6">
        <f>ROUND((I100*0.16)+(J100*0.2)+(K100*0.12)+(L100*0.1)+((6-M100)*0.08)+((6-N100)*0.08)+(O100*0.06)+(P100*0.14)+(G100*0.06),2)</f>
        <v/>
      </c>
      <c r="S100" s="6">
        <f>IF(A100="","",IF(AND(G100&gt;=4,H100&gt;=4,K100&gt;=3,P100&gt;=4),"Первый релиз",IF(Q100&gt;=3.7,"Первый релиз",IF(R100&gt;=3.6,"Следующий релиз","Не включать / проверить"))))</f>
        <v/>
      </c>
      <c r="T100" s="6">
        <f>IF(A100="","",IF(S100="Первый релиз","Включить в минимальный рыночный выпуск",IF(S100="Следующий релиз","Запланировать после проверки первого релиза","Оставить как гипотезу / проверить позже")))</f>
        <v/>
      </c>
      <c r="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6">
        <f>ROUND((G101*0.18)+(H101*0.15)+(I101*0.12)+(J101*0.08)+(K101*0.13)+(L101*0.1)+(M101*0.12)+(N101*0.12)-(O101*0.07)+(P101*0.1),2)</f>
        <v/>
      </c>
      <c r="R101" s="6">
        <f>ROUND((I101*0.16)+(J101*0.2)+(K101*0.12)+(L101*0.1)+((6-M101)*0.08)+((6-N101)*0.08)+(O101*0.06)+(P101*0.14)+(G101*0.06),2)</f>
        <v/>
      </c>
      <c r="S101" s="6">
        <f>IF(A101="","",IF(AND(G101&gt;=4,H101&gt;=4,K101&gt;=3,P101&gt;=4),"Первый релиз",IF(Q101&gt;=3.7,"Первый релиз",IF(R101&gt;=3.6,"Следующий релиз","Не включать / проверить"))))</f>
        <v/>
      </c>
      <c r="T101" s="6">
        <f>IF(A101="","",IF(S101="Первый релиз","Включить в минимальный рыночный выпуск",IF(S101="Следующий релиз","Запланировать после проверки первого релиза","Оставить как гипотезу / проверить позже")))</f>
        <v/>
      </c>
      <c r="U101" s="2" t="n"/>
    </row>
  </sheetData>
  <conditionalFormatting sqref="Q2:Q1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2:R10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G2:P101" showDropDown="0" showInputMessage="0" showErrorMessage="0" allowBlank="0" type="whole">
      <formula1>1</formula1>
      <formula2>5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topLeftCell="B1" workbookViewId="0">
      <selection activeCell="D12" sqref="D12"/>
    </sheetView>
  </sheetViews>
  <sheetFormatPr baseColWidth="8" defaultRowHeight="14.25"/>
  <cols>
    <col width="24" customWidth="1" style="15" min="1" max="1"/>
    <col width="18" customWidth="1" style="15" min="2" max="2"/>
    <col width="22" customWidth="1" style="15" min="3" max="4"/>
    <col width="24" customWidth="1" style="15" min="5" max="6"/>
    <col width="20" customWidth="1" style="15" min="7" max="7"/>
    <col width="18" customWidth="1" style="15" min="8" max="8"/>
    <col width="22" customWidth="1" style="15" min="9" max="9"/>
    <col width="42" customWidth="1" style="15" min="10" max="10"/>
  </cols>
  <sheetData>
    <row r="1" ht="16.15" customHeight="1" s="15">
      <c r="A1" s="13" t="inlineStr">
        <is>
          <t>Сводная оценка состава релизов</t>
        </is>
      </c>
    </row>
    <row r="2"/>
    <row r="3" ht="44.25" customHeight="1" s="15">
      <c r="A3" s="3" t="inlineStr">
        <is>
          <t>Релиз</t>
        </is>
      </c>
      <c r="B3" s="3" t="inlineStr">
        <is>
          <t>Количество единиц</t>
        </is>
      </c>
      <c r="C3" s="3" t="inlineStr">
        <is>
          <t>Средний балл первого релиза</t>
        </is>
      </c>
      <c r="D3" s="3" t="inlineStr">
        <is>
          <t>Средняя доказательность</t>
        </is>
      </c>
      <c r="E3" s="3" t="inlineStr">
        <is>
          <t>Средняя связь с ценностью</t>
        </is>
      </c>
      <c r="F3" s="3" t="inlineStr">
        <is>
          <t>Средняя критичность дохода</t>
        </is>
      </c>
      <c r="G3" s="3" t="inlineStr">
        <is>
          <t>Среднее удержание</t>
        </is>
      </c>
      <c r="H3" s="3" t="inlineStr">
        <is>
          <t>Средний рост</t>
        </is>
      </c>
      <c r="I3" s="3" t="inlineStr">
        <is>
          <t>Средний технический риск</t>
        </is>
      </c>
      <c r="J3" s="3" t="inlineStr">
        <is>
          <t>Интерпретация</t>
        </is>
      </c>
    </row>
    <row r="4" ht="20.25" customHeight="1" s="15">
      <c r="A4" s="1" t="inlineStr">
        <is>
          <t>Первый релиз</t>
        </is>
      </c>
      <c r="B4" s="18">
        <f>COUNTIF(Реестр_единиц!$S$2:$S$101,A4)</f>
        <v/>
      </c>
      <c r="C4" s="18">
        <f>IFERROR(AVERAGEIF(Реестр_единиц!$S$2:$S$101,A4,Реестр_единиц!$Q$2:$Q$101),0)</f>
        <v/>
      </c>
      <c r="D4" s="18">
        <f>IFERROR(AVERAGEIF(Реестр_единиц!$S$2:$S$101,A4,Реестр_единиц!$K$2:$K$101),0)</f>
        <v/>
      </c>
      <c r="E4" s="18">
        <f>IFERROR(AVERAGEIF(Реестр_единиц!$S$2:$S$101,A4,Реестр_единиц!$G$2:$G$101),0)</f>
        <v/>
      </c>
      <c r="F4" s="18">
        <f>IFERROR(AVERAGEIF(Реестр_единиц!$S$2:$S$101,A4,Реестр_единиц!$H$2:$H$101),0)</f>
        <v/>
      </c>
      <c r="G4" s="18">
        <f>IFERROR(AVERAGEIF(Реестр_единиц!$S$2:$S$101,A4,Реестр_единиц!$I$2:$I$101),0)</f>
        <v/>
      </c>
      <c r="H4" s="18">
        <f>IFERROR(AVERAGEIF(Реестр_единиц!$S$2:$S$101,A4,Реестр_единиц!$J$2:$J$101),0)</f>
        <v/>
      </c>
      <c r="I4" s="18">
        <f>IFERROR(AVERAGEIF(Реестр_единиц!$S$2:$S$101,A4,Реестр_единиц!$O$2:$O$101),0)</f>
        <v/>
      </c>
      <c r="J4" s="19">
        <f>IF(B4=0,"Нет выбранных единиц",IF(AND(E4&gt;=4,D4&gt;=3.5),"Состав достаточно обоснован","Требуется дополнительная проверка"))</f>
        <v/>
      </c>
    </row>
    <row r="5" ht="21" customHeight="1" s="15">
      <c r="A5" s="1" t="inlineStr">
        <is>
          <t>Следующий релиз</t>
        </is>
      </c>
      <c r="B5" s="18">
        <f>COUNTIF(Реестр_единиц!$S$2:$S$101,A5)</f>
        <v/>
      </c>
      <c r="C5" s="18">
        <f>IFERROR(AVERAGEIF(Реестр_единиц!$S$2:$S$101,A5,Реестр_единиц!$Q$2:$Q$101),0)</f>
        <v/>
      </c>
      <c r="D5" s="18">
        <f>IFERROR(AVERAGEIF(Реестр_единиц!$S$2:$S$101,A5,Реестр_единиц!$K$2:$K$101),0)</f>
        <v/>
      </c>
      <c r="E5" s="18">
        <f>IFERROR(AVERAGEIF(Реестр_единиц!$S$2:$S$101,A5,Реестр_единиц!$G$2:$G$101),0)</f>
        <v/>
      </c>
      <c r="F5" s="18">
        <f>IFERROR(AVERAGEIF(Реестр_единиц!$S$2:$S$101,A5,Реестр_единиц!$H$2:$H$101),0)</f>
        <v/>
      </c>
      <c r="G5" s="18">
        <f>IFERROR(AVERAGEIF(Реестр_единиц!$S$2:$S$101,A5,Реестр_единиц!$I$2:$I$101),0)</f>
        <v/>
      </c>
      <c r="H5" s="18">
        <f>IFERROR(AVERAGEIF(Реестр_единиц!$S$2:$S$101,A5,Реестр_единиц!$J$2:$J$101),0)</f>
        <v/>
      </c>
      <c r="I5" s="18">
        <f>IFERROR(AVERAGEIF(Реестр_единиц!$S$2:$S$101,A5,Реестр_единиц!$O$2:$O$101),0)</f>
        <v/>
      </c>
      <c r="J5" s="19">
        <f>IF(B5=0,"Нет выбранных единиц",IF(AND(E5&gt;=4,D5&gt;=3.5),"Состав достаточно обоснован","Требуется дополнительная проверка"))</f>
        <v/>
      </c>
    </row>
    <row r="6" ht="23.25" customHeight="1" s="15">
      <c r="A6" s="1" t="inlineStr">
        <is>
          <t>Не включать / проверить</t>
        </is>
      </c>
      <c r="B6" s="18">
        <f>COUNTIF(Реестр_единиц!$S$2:$S$101,A6)</f>
        <v/>
      </c>
      <c r="C6" s="18">
        <f>IFERROR(AVERAGEIF(Реестр_единиц!$S$2:$S$101,A6,Реестр_единиц!$Q$2:$Q$101),0)</f>
        <v/>
      </c>
      <c r="D6" s="18">
        <f>IFERROR(AVERAGEIF(Реестр_единиц!$S$2:$S$101,A6,Реестр_единиц!$K$2:$K$101),0)</f>
        <v/>
      </c>
      <c r="E6" s="18">
        <f>IFERROR(AVERAGEIF(Реестр_единиц!$S$2:$S$101,A6,Реестр_единиц!$G$2:$G$101),0)</f>
        <v/>
      </c>
      <c r="F6" s="18">
        <f>IFERROR(AVERAGEIF(Реестр_единиц!$S$2:$S$101,A6,Реестр_единиц!$H$2:$H$101),0)</f>
        <v/>
      </c>
      <c r="G6" s="18">
        <f>IFERROR(AVERAGEIF(Реестр_единиц!$S$2:$S$101,A6,Реестр_единиц!$I$2:$I$101),0)</f>
        <v/>
      </c>
      <c r="H6" s="18">
        <f>IFERROR(AVERAGEIF(Реестр_единиц!$S$2:$S$101,A6,Реестр_единиц!$J$2:$J$101),0)</f>
        <v/>
      </c>
      <c r="I6" s="18">
        <f>IFERROR(AVERAGEIF(Реестр_единиц!$S$2:$S$101,A6,Реестр_единиц!$O$2:$O$101),0)</f>
        <v/>
      </c>
      <c r="J6" s="19">
        <f>IF(B6=0,"Нет выбранных единиц",IF(AND(E6&gt;=4,D6&gt;=3.5),"Состав достаточно обоснован","Требуется дополнительная проверка"))</f>
        <v/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C6" sqref="C6"/>
    </sheetView>
  </sheetViews>
  <sheetFormatPr baseColWidth="8" defaultRowHeight="14.25"/>
  <cols>
    <col width="12" customWidth="1" style="15" min="1" max="1"/>
    <col width="42.375" customWidth="1" style="15" min="2" max="2"/>
    <col width="68.25" customWidth="1" style="15" min="3" max="3"/>
    <col width="65.375" customWidth="1" style="15" min="4" max="4"/>
    <col width="61.875" customWidth="1" style="15" min="5" max="5"/>
    <col width="76.875" customWidth="1" style="15" min="6" max="6"/>
    <col width="34.75" customWidth="1" style="15" min="7" max="7"/>
    <col width="22.625" customWidth="1" style="15" min="8" max="8"/>
  </cols>
  <sheetData>
    <row r="1" ht="16.15" customHeight="1" s="15">
      <c r="A1" s="13" t="inlineStr">
        <is>
          <t>План первого релиза: быстрый и экономный выход на рынок без разрушения ценности</t>
        </is>
      </c>
    </row>
    <row r="2"/>
    <row r="3" ht="18" customHeight="1" s="15">
      <c r="A3" s="3" t="inlineStr">
        <is>
          <t>ID</t>
        </is>
      </c>
      <c r="B3" s="3" t="inlineStr">
        <is>
          <t>Единица первого релиза</t>
        </is>
      </c>
      <c r="C3" s="3" t="inlineStr">
        <is>
          <t>Зачем нужна в первом релизе</t>
        </is>
      </c>
      <c r="D3" s="3" t="inlineStr">
        <is>
          <t>Проверяемая гипотеза</t>
        </is>
      </c>
      <c r="E3" s="3" t="inlineStr">
        <is>
          <t>Минимальная реализация</t>
        </is>
      </c>
      <c r="F3" s="3" t="inlineStr">
        <is>
          <t>Критерий готовности</t>
        </is>
      </c>
      <c r="G3" s="3" t="inlineStr">
        <is>
          <t>Метрика после запуска</t>
        </is>
      </c>
      <c r="H3" s="3" t="inlineStr">
        <is>
          <t>Ответственный</t>
        </is>
      </c>
    </row>
    <row r="4" ht="28.5" customHeight="1" s="15">
      <c r="A4" s="2" t="inlineStr">
        <is>
          <t>FR-001</t>
        </is>
      </c>
      <c r="B4" s="2" t="inlineStr">
        <is>
          <t>Главная страница</t>
        </is>
      </c>
      <c r="C4" s="2" t="inlineStr">
        <is>
          <t>Объясняет обещание и ведёт к регистрации; поиск - основной канал (ЛР4)</t>
        </is>
      </c>
      <c r="D4" s="2" t="inlineStr">
        <is>
          <t>Пользователь использует единицу и достигает цели сценария SC-001</t>
        </is>
      </c>
      <c r="E4" s="2" t="inlineStr">
        <is>
          <t>Минимальная реализация без автоматизации и персонализации</t>
        </is>
      </c>
      <c r="F4" s="2" t="inlineStr">
        <is>
          <t>Единица работает в основном сценарии SC-001 и показывает состояния ошибки</t>
        </is>
      </c>
      <c r="G4" s="2" t="inlineStr">
        <is>
          <t>Доля завершений сценария SC-001</t>
        </is>
      </c>
      <c r="H4" s="2" t="inlineStr">
        <is>
          <t>Руководитель проекта</t>
        </is>
      </c>
    </row>
    <row r="5" ht="28.5" customHeight="1" s="15">
      <c r="A5" s="2" t="inlineStr">
        <is>
          <t>FR-002</t>
        </is>
      </c>
      <c r="B5" s="2" t="inlineStr">
        <is>
          <t>Возможности и нотации</t>
        </is>
      </c>
      <c r="C5" s="2" t="inlineStr">
        <is>
          <t>Показывает конкурентное отличие: нотации IDEF0, DFD, сети Петри (ЛР5)</t>
        </is>
      </c>
      <c r="D5" s="2" t="inlineStr">
        <is>
          <t>Пользователь использует единицу и достигает цели сценария SC-002</t>
        </is>
      </c>
      <c r="E5" s="2" t="inlineStr">
        <is>
          <t>Минимальная реализация без автоматизации и персонализации</t>
        </is>
      </c>
      <c r="F5" s="2" t="inlineStr">
        <is>
          <t>Единица работает в основном сценарии SC-002 и показывает состояния ошибки</t>
        </is>
      </c>
      <c r="G5" s="2" t="inlineStr">
        <is>
          <t>Доля завершений сценария SC-002</t>
        </is>
      </c>
      <c r="H5" s="2" t="inlineStr">
        <is>
          <t>Руководитель проекта</t>
        </is>
      </c>
    </row>
    <row r="6" ht="28.5" customHeight="1" s="15">
      <c r="A6" s="2" t="inlineStr">
        <is>
          <t>FR-003</t>
        </is>
      </c>
      <c r="B6" s="2" t="inlineStr">
        <is>
          <t>Тарифы Free и Pro</t>
        </is>
      </c>
      <c r="C6" s="2" t="inlineStr">
        <is>
          <t>Открытая страница тарифов у 5 из 8 конкурентов (ЛР5)</t>
        </is>
      </c>
      <c r="D6" s="2" t="inlineStr">
        <is>
          <t>Пользователь использует единицу и достигает цели сценария SC-002</t>
        </is>
      </c>
      <c r="E6" s="2" t="inlineStr">
        <is>
          <t>Минимальная реализация без автоматизации и персонализации</t>
        </is>
      </c>
      <c r="F6" s="2" t="inlineStr">
        <is>
          <t>Единица работает в основном сценарии SC-002 и показывает состояния ошибки</t>
        </is>
      </c>
      <c r="G6" s="2" t="inlineStr">
        <is>
          <t>Доля завершений сценария SC-002</t>
        </is>
      </c>
      <c r="H6" s="2" t="inlineStr">
        <is>
          <t>Руководитель проекта</t>
        </is>
      </c>
    </row>
    <row r="7" ht="28.5" customHeight="1" s="15">
      <c r="A7" s="2" t="inlineStr">
        <is>
          <t>FR-004</t>
        </is>
      </c>
      <c r="B7" s="2" t="inlineStr">
        <is>
          <t>Регистрация и вход</t>
        </is>
      </c>
      <c r="C7" s="2" t="inlineStr">
        <is>
          <t>Вход нужен для сохранения диаграмм и подписки</t>
        </is>
      </c>
      <c r="D7" s="2" t="inlineStr">
        <is>
          <t>Пользователь использует единицу и достигает цели сценария SC-003</t>
        </is>
      </c>
      <c r="E7" s="2" t="inlineStr">
        <is>
          <t>Минимальная реализация без автоматизации и персонализации</t>
        </is>
      </c>
      <c r="F7" s="2" t="inlineStr">
        <is>
          <t>Единица работает в основном сценарии SC-003 и показывает состояния ошибки</t>
        </is>
      </c>
      <c r="G7" s="2" t="inlineStr">
        <is>
          <t>Доля завершений сценария SC-003</t>
        </is>
      </c>
      <c r="H7" s="2" t="inlineStr">
        <is>
          <t>Руководитель проекта</t>
        </is>
      </c>
    </row>
    <row r="8" ht="28.5" customHeight="1" s="15">
      <c r="A8" s="2" t="inlineStr">
        <is>
          <t>FR-005</t>
        </is>
      </c>
      <c r="B8" s="2" t="inlineStr">
        <is>
          <t>Оплата Pro</t>
        </is>
      </c>
      <c r="C8" s="2" t="inlineStr">
        <is>
          <t>Монетизация - граница экономии (6.5, п. 7.5)</t>
        </is>
      </c>
      <c r="D8" s="2" t="inlineStr">
        <is>
          <t>Пользователь использует единицу и достигает цели сценария SC-008</t>
        </is>
      </c>
      <c r="E8" s="2" t="inlineStr">
        <is>
          <t>Минимальная реализация без автоматизации и персонализации</t>
        </is>
      </c>
      <c r="F8" s="2" t="inlineStr">
        <is>
          <t>Единица работает в основном сценарии SC-008 и показывает состояния ошибки</t>
        </is>
      </c>
      <c r="G8" s="2" t="inlineStr">
        <is>
          <t>Доля завершений сценария SC-008</t>
        </is>
      </c>
      <c r="H8" s="2" t="inlineStr">
        <is>
          <t>Руководитель проекта</t>
        </is>
      </c>
    </row>
    <row r="9" ht="28.5" customHeight="1" s="15">
      <c r="A9" s="2" t="inlineStr">
        <is>
          <t>FR-006</t>
        </is>
      </c>
      <c r="B9" s="2" t="inlineStr">
        <is>
          <t>Выбор нотации и шаблона</t>
        </is>
      </c>
      <c r="C9" s="2" t="inlineStr">
        <is>
          <t>Вход в ядро ценности; показывает набор нотаций</t>
        </is>
      </c>
      <c r="D9" s="2" t="inlineStr">
        <is>
          <t>Пользователь использует единицу и достигает цели сценария SC-005</t>
        </is>
      </c>
      <c r="E9" s="2" t="inlineStr">
        <is>
          <t>Минимальная реализация без автоматизации и персонализации</t>
        </is>
      </c>
      <c r="F9" s="2" t="inlineStr">
        <is>
          <t>Единица работает в основном сценарии SC-005 и показывает состояния ошибки</t>
        </is>
      </c>
      <c r="G9" s="2" t="inlineStr">
        <is>
          <t>Доля завершений сценария SC-005</t>
        </is>
      </c>
      <c r="H9" s="2" t="inlineStr">
        <is>
          <t>Руководитель проекта</t>
        </is>
      </c>
    </row>
    <row r="10" ht="28.5" customHeight="1" s="15">
      <c r="A10" s="2" t="inlineStr">
        <is>
          <t>FR-007</t>
        </is>
      </c>
      <c r="B10" s="2" t="inlineStr">
        <is>
          <t>Рабочая область редактора</t>
        </is>
      </c>
      <c r="C10" s="2" t="inlineStr">
        <is>
          <t>Ядро цифрового товара</t>
        </is>
      </c>
      <c r="D10" s="2" t="inlineStr">
        <is>
          <t>Пользователь использует единицу и достигает цели сценария SC-004</t>
        </is>
      </c>
      <c r="E10" s="2" t="inlineStr">
        <is>
          <t>Минимальная реализация без автоматизации и персонализации</t>
        </is>
      </c>
      <c r="F10" s="2" t="inlineStr">
        <is>
          <t>Единица работает в основном сценарии SC-004 и показывает состояния ошибки</t>
        </is>
      </c>
      <c r="G10" s="2" t="inlineStr">
        <is>
          <t>Доля завершений сценария SC-004</t>
        </is>
      </c>
      <c r="H10" s="2" t="inlineStr">
        <is>
          <t>Руководитель проекта</t>
        </is>
      </c>
    </row>
    <row r="11" ht="28.5" customHeight="1" s="15">
      <c r="A11" s="2" t="inlineStr">
        <is>
          <t>FR-008</t>
        </is>
      </c>
      <c r="B11" s="2" t="inlineStr">
        <is>
          <t>Результат и экспорт</t>
        </is>
      </c>
      <c r="C11" s="2" t="inlineStr">
        <is>
          <t>Экспорт у 8 из 8 конкурентов; PNG важен 27 из 27 (опрос)</t>
        </is>
      </c>
      <c r="D11" s="2" t="inlineStr">
        <is>
          <t>Пользователь использует единицу и достигает цели сценария SC-006</t>
        </is>
      </c>
      <c r="E11" s="2" t="inlineStr">
        <is>
          <t>Минимальная реализация без автоматизации и персонализации</t>
        </is>
      </c>
      <c r="F11" s="2" t="inlineStr">
        <is>
          <t>Единица работает в основном сценарии SC-006 и показывает состояния ошибки</t>
        </is>
      </c>
      <c r="G11" s="2" t="inlineStr">
        <is>
          <t>Доля завершений сценария SC-006</t>
        </is>
      </c>
      <c r="H11" s="2" t="inlineStr">
        <is>
          <t>Руководитель проекта</t>
        </is>
      </c>
    </row>
    <row r="12" ht="28.5" customHeight="1" s="15">
      <c r="A12" s="2" t="inlineStr">
        <is>
          <t>FR-009</t>
        </is>
      </c>
      <c r="B12" s="2" t="inlineStr">
        <is>
          <t>Аналитика событий и обратная связь</t>
        </is>
      </c>
      <c r="C12" s="2" t="inlineStr">
        <is>
          <t>События и обратная связь включаются обязательно (6.5, п. 7.6)</t>
        </is>
      </c>
      <c r="D12" s="2" t="inlineStr">
        <is>
          <t>Пользователь использует единицу и достигает цели сценария SC-001</t>
        </is>
      </c>
      <c r="E12" s="2" t="inlineStr">
        <is>
          <t>Минимальная реализация без автоматизации и персонализации</t>
        </is>
      </c>
      <c r="F12" s="2" t="inlineStr">
        <is>
          <t>Единица работает в основном сценарии SC-001 и показывает состояния ошибки</t>
        </is>
      </c>
      <c r="G12" s="2" t="inlineStr">
        <is>
          <t>Доля завершений сценария SC-001</t>
        </is>
      </c>
      <c r="H12" s="2" t="inlineStr">
        <is>
          <t>Руководитель проекта</t>
        </is>
      </c>
    </row>
    <row r="13" ht="28.5" customHeight="1" s="15">
      <c r="A13" s="2" t="inlineStr">
        <is>
          <t>FR-010</t>
        </is>
      </c>
      <c r="B13" s="2" t="inlineStr">
        <is>
          <t>Правовые тексты и конфиденциальность</t>
        </is>
      </c>
      <c r="C13" s="2" t="inlineStr">
        <is>
          <t>Раздел о безопасности у 6 из 8 конкурентов; правовые требования</t>
        </is>
      </c>
      <c r="D13" s="2" t="inlineStr">
        <is>
          <t>Пользователь использует единицу и достигает цели сценария SC-003</t>
        </is>
      </c>
      <c r="E13" s="2" t="inlineStr">
        <is>
          <t>Минимальная реализация без автоматизации и персонализации</t>
        </is>
      </c>
      <c r="F13" s="2" t="inlineStr">
        <is>
          <t>Единица работает в основном сценарии SC-003 и показывает состояния ошибки</t>
        </is>
      </c>
      <c r="G13" s="2" t="inlineStr">
        <is>
          <t>Доля завершений сценария SC-003</t>
        </is>
      </c>
      <c r="H13" s="2" t="inlineStr">
        <is>
          <t>Руководитель проекта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I18" sqref="I18"/>
    </sheetView>
  </sheetViews>
  <sheetFormatPr baseColWidth="8" defaultRowHeight="14.25"/>
  <cols>
    <col width="12" customWidth="1" style="15" min="1" max="1"/>
    <col width="15" customWidth="1" style="15" min="2" max="2"/>
    <col width="34.125" customWidth="1" style="15" min="3" max="3"/>
    <col width="77.5" customWidth="1" style="15" min="4" max="4"/>
    <col width="36.25" customWidth="1" style="15" min="5" max="5"/>
    <col width="34.875" customWidth="1" style="15" min="6" max="6"/>
    <col width="28" customWidth="1" style="15" min="7" max="7"/>
    <col width="32" customWidth="1" style="15" min="8" max="8"/>
    <col width="50.5" customWidth="1" style="15" min="9" max="9"/>
  </cols>
  <sheetData>
    <row r="1" ht="16.15" customHeight="1" s="15">
      <c r="A1" s="13" t="inlineStr">
        <is>
          <t>План последующих релизов: развитие удержания, роста и операционной эффективности</t>
        </is>
      </c>
    </row>
    <row r="2"/>
    <row r="3" ht="18" customHeight="1" s="15">
      <c r="A3" s="3" t="inlineStr">
        <is>
          <t>ID</t>
        </is>
      </c>
      <c r="B3" s="3" t="inlineStr">
        <is>
          <t>Релиз</t>
        </is>
      </c>
      <c r="C3" s="3" t="inlineStr">
        <is>
          <t>Единица развития</t>
        </is>
      </c>
      <c r="D3" s="3" t="inlineStr">
        <is>
          <t>Основание переноса</t>
        </is>
      </c>
      <c r="E3" s="3" t="inlineStr">
        <is>
          <t>Условие включения</t>
        </is>
      </c>
      <c r="F3" s="3" t="inlineStr">
        <is>
          <t>Ожидаемый эффект</t>
        </is>
      </c>
      <c r="G3" s="3" t="inlineStr">
        <is>
          <t>Связанная метрика</t>
        </is>
      </c>
      <c r="H3" s="3" t="inlineStr">
        <is>
          <t>Зависимости</t>
        </is>
      </c>
      <c r="I3" s="3" t="inlineStr">
        <is>
          <t>Комментарий</t>
        </is>
      </c>
    </row>
    <row r="4" ht="28.5" customHeight="1" s="15">
      <c r="A4" s="2" t="inlineStr">
        <is>
          <t>NR-001</t>
        </is>
      </c>
      <c r="B4" s="2" t="inlineStr">
        <is>
          <t>Релиз 2</t>
        </is>
      </c>
      <c r="C4" s="2" t="inlineStr">
        <is>
          <t>Документация и примеры</t>
        </is>
      </c>
      <c r="D4" s="2" t="inlineStr">
        <is>
          <t>Не входит в минимальную цепочку первого релиза; балл следующих релизов 3,32</t>
        </is>
      </c>
      <c r="E4" s="2" t="inlineStr">
        <is>
          <t>Есть данные поведения релиза 1</t>
        </is>
      </c>
      <c r="F4" s="2" t="inlineStr">
        <is>
          <t>Рост удержания или дохода</t>
        </is>
      </c>
      <c r="G4" s="2" t="inlineStr">
        <is>
          <t>Метрика единицы U-004</t>
        </is>
      </c>
      <c r="H4" s="2" t="inlineStr">
        <is>
          <t>Стабильное ядро релиза 1</t>
        </is>
      </c>
      <c r="I4" s="2" t="inlineStr">
        <is>
          <t>Документация у 6 из 8 конкурентов (ЛР5)</t>
        </is>
      </c>
    </row>
    <row r="5" ht="28.5" customHeight="1" s="15">
      <c r="A5" s="2" t="inlineStr">
        <is>
          <t>NR-002</t>
        </is>
      </c>
      <c r="B5" s="2" t="inlineStr">
        <is>
          <t>Релиз 2</t>
        </is>
      </c>
      <c r="C5" s="2" t="inlineStr">
        <is>
          <t>Мои диаграммы</t>
        </is>
      </c>
      <c r="D5" s="2" t="inlineStr">
        <is>
          <t>Не входит в минимальную цепочку первого релиза; балл следующих релизов 3,28</t>
        </is>
      </c>
      <c r="E5" s="2" t="inlineStr">
        <is>
          <t>Есть данные поведения релиза 1</t>
        </is>
      </c>
      <c r="F5" s="2" t="inlineStr">
        <is>
          <t>Рост удержания или дохода</t>
        </is>
      </c>
      <c r="G5" s="2" t="inlineStr">
        <is>
          <t>Метрика единицы U-010</t>
        </is>
      </c>
      <c r="H5" s="2" t="inlineStr">
        <is>
          <t>Стабильное ядро релиза 1</t>
        </is>
      </c>
      <c r="I5" s="2" t="inlineStr">
        <is>
          <t>Возврат пользователя; история версий у 5 из 8</t>
        </is>
      </c>
    </row>
    <row r="6" ht="28.5" customHeight="1" s="15">
      <c r="A6" s="2" t="inlineStr">
        <is>
          <t>NR-003</t>
        </is>
      </c>
      <c r="B6" s="2" t="inlineStr">
        <is>
          <t>Релиз 2</t>
        </is>
      </c>
      <c r="C6" s="2" t="inlineStr">
        <is>
          <t>Подсказка об ошибке синтаксиса</t>
        </is>
      </c>
      <c r="D6" s="2" t="inlineStr">
        <is>
          <t>Не входит в минимальную цепочку первого релиза; балл следующих релизов 3,22</t>
        </is>
      </c>
      <c r="E6" s="2" t="inlineStr">
        <is>
          <t>Есть данные поведения релиза 1</t>
        </is>
      </c>
      <c r="F6" s="2" t="inlineStr">
        <is>
          <t>Рост удержания или дохода</t>
        </is>
      </c>
      <c r="G6" s="2" t="inlineStr">
        <is>
          <t>Метрика единицы U-011</t>
        </is>
      </c>
      <c r="H6" s="2" t="inlineStr">
        <is>
          <t>Стабильное ядро релиза 1</t>
        </is>
      </c>
      <c r="I6" s="2" t="inlineStr">
        <is>
          <t>Данных о реализации у конкурентов нет (гипотеза)</t>
        </is>
      </c>
    </row>
    <row r="7" ht="28.5" customHeight="1" s="15">
      <c r="A7" s="2" t="inlineStr">
        <is>
          <t>NR-004</t>
        </is>
      </c>
      <c r="B7" s="2" t="inlineStr">
        <is>
          <t>Релиз 2</t>
        </is>
      </c>
      <c r="C7" s="2" t="inlineStr">
        <is>
          <t>Профиль и подписка</t>
        </is>
      </c>
      <c r="D7" s="2" t="inlineStr">
        <is>
          <t>Не входит в минимальную цепочку первого релиза; балл следующих релизов 2,84</t>
        </is>
      </c>
      <c r="E7" s="2" t="inlineStr">
        <is>
          <t>Есть данные поведения релиза 1</t>
        </is>
      </c>
      <c r="F7" s="2" t="inlineStr">
        <is>
          <t>Рост удержания или дохода</t>
        </is>
      </c>
      <c r="G7" s="2" t="inlineStr">
        <is>
          <t>Метрика единицы U-012</t>
        </is>
      </c>
      <c r="H7" s="2" t="inlineStr">
        <is>
          <t>Стабильное ядро релиза 1</t>
        </is>
      </c>
      <c r="I7" s="2" t="inlineStr">
        <is>
          <t>Продление подписки</t>
        </is>
      </c>
    </row>
    <row r="8" ht="28.5" customHeight="1" s="15">
      <c r="A8" s="2" t="inlineStr">
        <is>
          <t>NR-005</t>
        </is>
      </c>
      <c r="B8" s="2" t="inlineStr">
        <is>
          <t>Релиз 2</t>
        </is>
      </c>
      <c r="C8" s="2" t="inlineStr">
        <is>
          <t>ИИ-ассистент (заглушка в MVP)</t>
        </is>
      </c>
      <c r="D8" s="2" t="inlineStr">
        <is>
          <t>Не входит в минимальную цепочку первого релиза; балл следующих релизов 3,54</t>
        </is>
      </c>
      <c r="E8" s="2" t="inlineStr">
        <is>
          <t>Есть данные поведения релиза 1</t>
        </is>
      </c>
      <c r="F8" s="2" t="inlineStr">
        <is>
          <t>Рост удержания или дохода</t>
        </is>
      </c>
      <c r="G8" s="2" t="inlineStr">
        <is>
          <t>Метрика единицы U-013</t>
        </is>
      </c>
      <c r="H8" s="2" t="inlineStr">
        <is>
          <t>Стабильное ядро релиза 1</t>
        </is>
      </c>
      <c r="I8" s="2" t="inlineStr">
        <is>
          <t>ИИ у 5 из 8 конкурентов; лимиты ИИ - тарифный ограничитель</t>
        </is>
      </c>
    </row>
    <row r="9" ht="28.5" customHeight="1" s="15">
      <c r="A9" s="2" t="inlineStr">
        <is>
          <t>NR-006</t>
        </is>
      </c>
      <c r="B9" s="2" t="inlineStr">
        <is>
          <t>Релиз 4</t>
        </is>
      </c>
      <c r="C9" s="2" t="inlineStr">
        <is>
          <t>Форма обращения в поддержку</t>
        </is>
      </c>
      <c r="D9" s="2" t="inlineStr">
        <is>
          <t>Не входит в минимальную цепочку первого релиза; балл следующих релизов 3,12</t>
        </is>
      </c>
      <c r="E9" s="2" t="inlineStr">
        <is>
          <t>Есть данные поведения релиза 1</t>
        </is>
      </c>
      <c r="F9" s="2" t="inlineStr">
        <is>
          <t>Рост удержания или дохода</t>
        </is>
      </c>
      <c r="G9" s="2" t="inlineStr">
        <is>
          <t>Метрика единицы U-016</t>
        </is>
      </c>
      <c r="H9" s="2" t="inlineStr">
        <is>
          <t>Стабильное ядро релиза 1</t>
        </is>
      </c>
      <c r="I9" s="2" t="inlineStr">
        <is>
          <t>Базовая поддержка в первом релизе</t>
        </is>
      </c>
    </row>
    <row r="10" ht="28.5" customHeight="1" s="15">
      <c r="A10" s="2" t="inlineStr">
        <is>
          <t>NR-007</t>
        </is>
      </c>
      <c r="B10" s="2" t="inlineStr">
        <is>
          <t>Релиз 2</t>
        </is>
      </c>
      <c r="C10" s="2" t="inlineStr">
        <is>
          <t>Совместное редактирование</t>
        </is>
      </c>
      <c r="D10" s="2" t="inlineStr">
        <is>
          <t>Не входит в минимальную цепочку первого релиза; балл следующих релизов 3,92</t>
        </is>
      </c>
      <c r="E10" s="2" t="inlineStr">
        <is>
          <t>Есть данные поведения релиза 1</t>
        </is>
      </c>
      <c r="F10" s="2" t="inlineStr">
        <is>
          <t>Рост удержания или дохода</t>
        </is>
      </c>
      <c r="G10" s="2" t="inlineStr">
        <is>
          <t>Метрика единицы U-017</t>
        </is>
      </c>
      <c r="H10" s="2" t="inlineStr">
        <is>
          <t>Стабильное ядро релиза 1</t>
        </is>
      </c>
      <c r="I10" s="2" t="inlineStr">
        <is>
          <t>Коллаборация у 6 из 8; важна 26 из 27 (опрос)</t>
        </is>
      </c>
    </row>
    <row r="11" ht="28.5" customHeight="1" s="15">
      <c r="A11" s="2" t="inlineStr">
        <is>
          <t>NR-008</t>
        </is>
      </c>
      <c r="B11" s="2" t="inlineStr">
        <is>
          <t>Релиз 3</t>
        </is>
      </c>
      <c r="C11" s="2" t="inlineStr">
        <is>
          <t>Реферальные механики</t>
        </is>
      </c>
      <c r="D11" s="2" t="inlineStr">
        <is>
          <t>Не входит в минимальную цепочку первого релиза; балл следующих релизов 2,62</t>
        </is>
      </c>
      <c r="E11" s="2" t="inlineStr">
        <is>
          <t>Есть данные поведения релиза 1</t>
        </is>
      </c>
      <c r="F11" s="2" t="inlineStr">
        <is>
          <t>Рост удержания или дохода</t>
        </is>
      </c>
      <c r="G11" s="2" t="inlineStr">
        <is>
          <t>Метрика единицы U-018</t>
        </is>
      </c>
      <c r="H11" s="2" t="inlineStr">
        <is>
          <t>Стабильное ядро релиза 1</t>
        </is>
      </c>
      <c r="I11" s="2" t="inlineStr">
        <is>
          <t>Рост аудитории переносится</t>
        </is>
      </c>
    </row>
    <row r="12" ht="28.5" customHeight="1" s="15">
      <c r="A12" s="2" t="inlineStr">
        <is>
          <t>NR-009</t>
        </is>
      </c>
      <c r="B12" s="2" t="inlineStr">
        <is>
          <t>Релиз 4</t>
        </is>
      </c>
      <c r="C12" s="2" t="inlineStr">
        <is>
          <t>API и интеграции</t>
        </is>
      </c>
      <c r="D12" s="2" t="inlineStr">
        <is>
          <t>Не входит в минимальную цепочку первого релиза; балл следующих релизов 3,38</t>
        </is>
      </c>
      <c r="E12" s="2" t="inlineStr">
        <is>
          <t>Есть данные поведения релиза 1</t>
        </is>
      </c>
      <c r="F12" s="2" t="inlineStr">
        <is>
          <t>Рост удержания или дохода</t>
        </is>
      </c>
      <c r="G12" s="2" t="inlineStr">
        <is>
          <t>Метрика единицы U-019</t>
        </is>
      </c>
      <c r="H12" s="2" t="inlineStr">
        <is>
          <t>Стабильное ядро релиза 1</t>
        </is>
      </c>
      <c r="I12" s="2" t="inlineStr">
        <is>
          <t>Интеграции у 8 из 8, API у 5 из 8 (ЛР5)</t>
        </is>
      </c>
    </row>
    <row r="13" ht="28.5" customHeight="1" s="15">
      <c r="A13" s="2" t="inlineStr">
        <is>
          <t>NR-010</t>
        </is>
      </c>
      <c r="B13" s="2" t="inlineStr">
        <is>
          <t>Релиз 4</t>
        </is>
      </c>
      <c r="C13" s="2" t="inlineStr">
        <is>
          <t>Командный тариф</t>
        </is>
      </c>
      <c r="D13" s="2" t="inlineStr">
        <is>
          <t>Не входит в минимальную цепочку первого релиза; балл следующих релизов 2,9</t>
        </is>
      </c>
      <c r="E13" s="2" t="inlineStr">
        <is>
          <t>Есть данные поведения релиза 1</t>
        </is>
      </c>
      <c r="F13" s="2" t="inlineStr">
        <is>
          <t>Рост удержания или дохода</t>
        </is>
      </c>
      <c r="G13" s="2" t="inlineStr">
        <is>
          <t>Метрика единицы U-020</t>
        </is>
      </c>
      <c r="H13" s="2" t="inlineStr">
        <is>
          <t>Стабильное ядро релиза 1</t>
        </is>
      </c>
      <c r="I13" s="2" t="inlineStr">
        <is>
          <t>Enterprise у 4 из 8 конкурентов</t>
        </is>
      </c>
    </row>
  </sheetData>
  <mergeCells count="1">
    <mergeCell ref="A1:I1"/>
  </mergeCells>
  <dataValidations count="1">
    <dataValidation sqref="B4:B60" showDropDown="0" showInputMessage="0" showErrorMessage="0" allowBlank="0" type="list">
      <formula1>"Релиз 2,Релиз 3,Релиз 4,Бэклог"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topLeftCell="I1" workbookViewId="0">
      <selection activeCell="O15" sqref="O15"/>
    </sheetView>
  </sheetViews>
  <sheetFormatPr baseColWidth="8" defaultRowHeight="14.25"/>
  <cols>
    <col width="18" customWidth="1" style="15" min="1" max="1"/>
    <col width="58.125" customWidth="1" style="15" min="2" max="2"/>
    <col width="188" customWidth="1" style="15" min="3" max="3"/>
    <col width="49" customWidth="1" style="15" min="4" max="4"/>
    <col width="59.375" customWidth="1" style="15" min="5" max="5"/>
    <col width="48" customWidth="1" style="15" min="6" max="6"/>
    <col width="32" customWidth="1" style="15" min="7" max="7"/>
    <col width="53.875" customWidth="1" style="15" min="8" max="8"/>
    <col width="51.5" customWidth="1" style="15" min="9" max="9"/>
    <col width="24.875" customWidth="1" style="15" min="10" max="10"/>
    <col width="22.5" customWidth="1" style="15" min="11" max="11"/>
  </cols>
  <sheetData>
    <row r="1" ht="16.15" customHeight="1" s="15">
      <c r="A1" s="13" t="inlineStr">
        <is>
          <t>Дорожная карта релизов</t>
        </is>
      </c>
    </row>
    <row r="2"/>
    <row r="3" ht="39" customHeight="1" s="15">
      <c r="A3" s="3" t="inlineStr">
        <is>
          <t>Релиз</t>
        </is>
      </c>
      <c r="B3" s="3" t="inlineStr">
        <is>
          <t>Цель релиза</t>
        </is>
      </c>
      <c r="C3" s="3" t="inlineStr">
        <is>
          <t>Состав</t>
        </is>
      </c>
      <c r="D3" s="3" t="inlineStr">
        <is>
          <t>Ключевая гипотеза</t>
        </is>
      </c>
      <c r="E3" s="3" t="inlineStr">
        <is>
          <t>Что измеряем</t>
        </is>
      </c>
      <c r="F3" s="3" t="inlineStr">
        <is>
          <t>Критерий перехода к следующему релизу</t>
        </is>
      </c>
      <c r="G3" s="3" t="inlineStr">
        <is>
          <t>Ограничение бюджета / срока</t>
        </is>
      </c>
      <c r="H3" s="3" t="inlineStr">
        <is>
          <t>Риски</t>
        </is>
      </c>
      <c r="I3" s="3" t="inlineStr">
        <is>
          <t>Решение по запуску</t>
        </is>
      </c>
      <c r="J3" s="3" t="inlineStr">
        <is>
          <t>Дата начала</t>
        </is>
      </c>
      <c r="K3" s="3" t="inlineStr">
        <is>
          <t>Дата окончания</t>
        </is>
      </c>
    </row>
    <row r="4">
      <c r="A4" s="16" t="inlineStr">
        <is>
          <t>Релиз 0</t>
        </is>
      </c>
      <c r="B4" s="16" t="inlineStr">
        <is>
          <t>Прототип, тексты, правовые документы, события аналитики</t>
        </is>
      </c>
      <c r="C4" s="16" t="inlineStr">
        <is>
          <t>Прототип страниц и экранов 6.4, правовые тексты, события аналитики, ручные процедуры</t>
        </is>
      </c>
      <c r="D4" s="16" t="inlineStr">
        <is>
          <t>Состав первого релиза понятен пользователям</t>
        </is>
      </c>
      <c r="E4" s="16" t="inlineStr">
        <is>
          <t>Результаты проверки прототипа</t>
        </is>
      </c>
      <c r="F4" s="16" t="inlineStr">
        <is>
          <t>Прототип подтверждён</t>
        </is>
      </c>
      <c r="G4" s="16" t="inlineStr">
        <is>
          <t>🔲 ДОСНЯТЬ: бюджет</t>
        </is>
      </c>
      <c r="H4" s="16" t="inlineStr">
        <is>
          <t>Расхождение прототипа и ожиданий</t>
        </is>
      </c>
      <c r="I4" s="16" t="inlineStr">
        <is>
          <t>До релиза 1</t>
        </is>
      </c>
      <c r="J4" s="20" t="inlineStr">
        <is>
          <t>🔲 ДОСНЯТЬ: даты</t>
        </is>
      </c>
      <c r="K4" s="20" t="inlineStr">
        <is>
          <t>🔲 ДОСНЯТЬ: даты</t>
        </is>
      </c>
    </row>
    <row r="5">
      <c r="A5" s="16" t="inlineStr">
        <is>
          <t>Релиз 1</t>
        </is>
      </c>
      <c r="B5" s="16" t="inlineStr">
        <is>
          <t>Проверить ЦП и готовность платить</t>
        </is>
      </c>
      <c r="C5" s="16" t="inlineStr">
        <is>
          <t>Главная, возможности, тарифы, регистрация, выбор нотации, редактор с нотациями волны 1 (UML, ERD, IDEF0, IDEF1X, IDEF3, DFD), экспорт, оплата или заявка Pro, правовые тексты, аналитика, поддержка</t>
        </is>
      </c>
      <c r="D5" s="16" t="inlineStr">
        <is>
          <t>Пользователь строит диаграмму и понимает цену Pro</t>
        </is>
      </c>
      <c r="E5" s="16" t="inlineStr">
        <is>
          <t>Доля первой диаграммы, конверсия в Pro, повторные заходы</t>
        </is>
      </c>
      <c r="F5" s="16" t="inlineStr">
        <is>
          <t>Есть первая диаграмма и признаки спроса на Pro</t>
        </is>
      </c>
      <c r="G5" s="16" t="inlineStr">
        <is>
          <t>🔲 ДОСНЯТЬ: срок и бюджет</t>
        </is>
      </c>
      <c r="H5" s="16" t="inlineStr">
        <is>
          <t>Сложность разбора нотаций; нет платёжного провайдера</t>
        </is>
      </c>
      <c r="I5" s="16" t="inlineStr">
        <is>
          <t>Запустить после контрольного листа первого релиза</t>
        </is>
      </c>
      <c r="J5" s="20" t="inlineStr">
        <is>
          <t>🔲 ДОСНЯТЬ: даты</t>
        </is>
      </c>
      <c r="K5" s="20" t="inlineStr">
        <is>
          <t>🔲 ДОСНЯТЬ: даты</t>
        </is>
      </c>
    </row>
    <row r="6">
      <c r="A6" s="16" t="inlineStr">
        <is>
          <t>Релиз 2</t>
        </is>
      </c>
      <c r="B6" s="16" t="inlineStr">
        <is>
          <t>Удержание и качество</t>
        </is>
      </c>
      <c r="C6" s="16" t="inlineStr">
        <is>
          <t>Расширенное хранение и история версий, подсказки об ошибках, ИИ-ассистент с квотами, документация, нотации BPMN 2.0 (волна 2)</t>
        </is>
      </c>
      <c r="D6" s="16" t="inlineStr">
        <is>
          <t>Пользователи возвращаются</t>
        </is>
      </c>
      <c r="E6" s="16" t="inlineStr">
        <is>
          <t>Удержание на 7 и 30 дней, число ИИ-запросов</t>
        </is>
      </c>
      <c r="F6" s="16" t="inlineStr">
        <is>
          <t>Удержание не ниже целевого (🔲 ДОСНЯТЬ: порог)</t>
        </is>
      </c>
      <c r="G6" s="16" t="inlineStr">
        <is>
          <t>Расходы на ИИ в пределах тарифа</t>
        </is>
      </c>
      <c r="H6" s="16" t="inlineStr">
        <is>
          <t>Рост расходов на ИИ</t>
        </is>
      </c>
      <c r="I6" s="16" t="inlineStr">
        <is>
          <t>После данных релиза 1</t>
        </is>
      </c>
      <c r="J6" s="20" t="inlineStr">
        <is>
          <t>🔲 ДОСНЯТЬ: даты</t>
        </is>
      </c>
      <c r="K6" s="20" t="inlineStr">
        <is>
          <t>🔲 ДОСНЯТЬ: даты</t>
        </is>
      </c>
    </row>
    <row r="7">
      <c r="A7" s="16" t="inlineStr">
        <is>
          <t>Релиз 3</t>
        </is>
      </c>
      <c r="B7" s="16" t="inlineStr">
        <is>
          <t>Рост аудитории</t>
        </is>
      </c>
      <c r="C7" s="16" t="inlineStr">
        <is>
          <t>Сети Петри (волна 3), реферальные механики, публичные страницы нотаций, контент, вузы</t>
        </is>
      </c>
      <c r="D7" s="16" t="inlineStr">
        <is>
          <t>Аудитория растёт без платной рекламы</t>
        </is>
      </c>
      <c r="E7" s="16" t="inlineStr">
        <is>
          <t>Новые пользователи по каналам</t>
        </is>
      </c>
      <c r="F7" s="16" t="inlineStr">
        <is>
          <t>Подтверждены ценность и удержание</t>
        </is>
      </c>
      <c r="G7" s="16" t="inlineStr">
        <is>
          <t>Маркетинговый бюджет</t>
        </is>
      </c>
      <c r="H7" s="16" t="inlineStr">
        <is>
          <t>Низкая конверсия страниц</t>
        </is>
      </c>
      <c r="I7" s="16" t="inlineStr">
        <is>
          <t>После подтверждения удержания</t>
        </is>
      </c>
      <c r="J7" s="20" t="inlineStr">
        <is>
          <t>🔲 ДОСНЯТЬ: даты</t>
        </is>
      </c>
      <c r="K7" s="20" t="inlineStr">
        <is>
          <t>🔲 ДОСНЯТЬ: даты</t>
        </is>
      </c>
    </row>
    <row r="8">
      <c r="A8" s="16" t="inlineStr">
        <is>
          <t>Релиз 4</t>
        </is>
      </c>
      <c r="B8" s="16" t="inlineStr">
        <is>
          <t>Расширение продукта</t>
        </is>
      </c>
      <c r="C8" s="16" t="inlineStr">
        <is>
          <t>Совместное редактирование, командный тариф, API и интеграции</t>
        </is>
      </c>
      <c r="D8" s="16" t="inlineStr">
        <is>
          <t>Командам нужна общая работа</t>
        </is>
      </c>
      <c r="E8" s="16" t="inlineStr">
        <is>
          <t>Средний доход, число команд</t>
        </is>
      </c>
      <c r="F8" s="16" t="inlineStr">
        <is>
          <t>Понята экономика и спрос команд</t>
        </is>
      </c>
      <c r="G8" s="16" t="inlineStr">
        <is>
          <t>Серверная синхронизация</t>
        </is>
      </c>
      <c r="H8" s="16" t="inlineStr">
        <is>
          <t>Сложность синхронизации</t>
        </is>
      </c>
      <c r="I8" s="16" t="inlineStr">
        <is>
          <t>После расчёта экономики</t>
        </is>
      </c>
      <c r="J8" s="20" t="inlineStr">
        <is>
          <t>🔲 ДОСНЯТЬ: даты</t>
        </is>
      </c>
      <c r="K8" s="20" t="inlineStr">
        <is>
          <t>🔲 ДОСНЯТЬ: даты</t>
        </is>
      </c>
    </row>
    <row r="9">
      <c r="A9" s="16" t="inlineStr">
        <is>
          <t>Релиз 5</t>
        </is>
      </c>
      <c r="B9" s="16" t="inlineStr">
        <is>
          <t>Масштабирование</t>
        </is>
      </c>
      <c r="C9" s="16" t="inlineStr">
        <is>
          <t>Автоматизация поддержки, администрирование, производительность, безопасность</t>
        </is>
      </c>
      <c r="D9" s="16" t="inlineStr">
        <is>
          <t>Нагрузка стабильно растёт</t>
        </is>
      </c>
      <c r="E9" s="16" t="inlineStr">
        <is>
          <t>Нагрузка, стоимость поддержки</t>
        </is>
      </c>
      <c r="F9" s="16" t="inlineStr">
        <is>
          <t>Повторяемая нагрузка</t>
        </is>
      </c>
      <c r="G9" s="16" t="inlineStr">
        <is>
          <t>Инфраструктура</t>
        </is>
      </c>
      <c r="H9" s="16" t="inlineStr">
        <is>
          <t>Рост затрат</t>
        </is>
      </c>
      <c r="I9" s="16" t="inlineStr">
        <is>
          <t>При росте нагрузки</t>
        </is>
      </c>
      <c r="J9" s="20" t="inlineStr">
        <is>
          <t>🔲 ДОСНЯТЬ: даты</t>
        </is>
      </c>
      <c r="K9" s="20" t="inlineStr">
        <is>
          <t>🔲 ДОСНЯТЬ: даты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topLeftCell="E1" workbookViewId="0">
      <selection activeCell="B15" sqref="B15"/>
    </sheetView>
  </sheetViews>
  <sheetFormatPr baseColWidth="8" defaultRowHeight="14.25"/>
  <cols>
    <col width="18" customWidth="1" style="15" min="1" max="1"/>
    <col width="90" customWidth="1" style="15" min="2" max="2"/>
    <col width="14" customWidth="1" style="15" min="3" max="3"/>
    <col width="136.875" customWidth="1" style="15" min="4" max="4"/>
    <col width="42" customWidth="1" style="15" min="5" max="5"/>
    <col width="34" customWidth="1" style="15" min="6" max="6"/>
    <col width="38" customWidth="1" style="15" min="7" max="7"/>
    <col width="26.125" customWidth="1" style="15" min="8" max="8"/>
    <col width="18" customWidth="1" style="15" min="9" max="9"/>
  </cols>
  <sheetData>
    <row r="1" ht="16.15" customHeight="1" s="15">
      <c r="A1" s="13" t="inlineStr">
        <is>
          <t>Контрольный лист: первый релиз сохраняет ценностное предложение, монетизацию, удержание и рост</t>
        </is>
      </c>
    </row>
    <row r="2"/>
    <row r="3" ht="18" customHeight="1" s="15">
      <c r="A3" s="3" t="inlineStr">
        <is>
          <t>Блок проверки</t>
        </is>
      </c>
      <c r="B3" s="3" t="inlineStr">
        <is>
          <t>Контрольный вопрос</t>
        </is>
      </c>
      <c r="C3" s="3" t="inlineStr">
        <is>
          <t>Оценка 1–5</t>
        </is>
      </c>
      <c r="D3" s="3" t="inlineStr">
        <is>
          <t>Доказательство</t>
        </is>
      </c>
      <c r="E3" s="3" t="inlineStr">
        <is>
          <t>Риск при низкой оценке</t>
        </is>
      </c>
      <c r="F3" s="3" t="inlineStr">
        <is>
          <t>Решение</t>
        </is>
      </c>
      <c r="G3" s="3" t="inlineStr">
        <is>
          <t>Что добавить / изменить</t>
        </is>
      </c>
      <c r="H3" s="3" t="inlineStr">
        <is>
          <t>Ответственный</t>
        </is>
      </c>
      <c r="I3" s="3" t="inlineStr">
        <is>
          <t>Статус</t>
        </is>
      </c>
    </row>
    <row r="4">
      <c r="A4" s="14" t="inlineStr">
        <is>
          <t>Ценность</t>
        </is>
      </c>
      <c r="B4" s="14" t="inlineStr">
        <is>
          <t>Может ли пользователь получить диаграмму в выбранной нотации из текста в первом релизе?</t>
        </is>
      </c>
      <c r="C4" s="14" t="n">
        <v>4</v>
      </c>
      <c r="D4" s="14" t="inlineStr">
        <is>
          <t>Ядро: U-007, U-008, U-009</t>
        </is>
      </c>
      <c r="E4" s="2" t="inlineStr">
        <is>
          <t>Без ядра нечего проверять</t>
        </is>
      </c>
      <c r="F4" s="2" t="inlineStr">
        <is>
          <t>Оставить в первом релизе</t>
        </is>
      </c>
      <c r="G4" s="2" t="n"/>
      <c r="H4" s="2" t="inlineStr">
        <is>
          <t>Руководитель проекта</t>
        </is>
      </c>
      <c r="I4" s="2" t="inlineStr">
        <is>
          <t>Готово</t>
        </is>
      </c>
    </row>
    <row r="5" ht="28.5" customHeight="1" s="15">
      <c r="A5" s="14" t="inlineStr">
        <is>
          <t>Проблема</t>
        </is>
      </c>
      <c r="B5" s="14" t="inlineStr">
        <is>
          <t>Закрывает ли первый релиз проблему P-002 (единый набор нотаций)?</t>
        </is>
      </c>
      <c r="C5" s="14" t="n">
        <v>3</v>
      </c>
      <c r="D5" s="14" t="inlineStr">
        <is>
          <t>Нотации первого релиза - волна 1 документации NotaCode (UML, ERD, IDEF0, IDEF1X, IDEF3, DFD); BPMN 2.0 - волна 2, сети Петри - волна 3</t>
        </is>
      </c>
      <c r="E5" s="2" t="inlineStr">
        <is>
          <t>Ценностное отличие проявится позже</t>
        </is>
      </c>
      <c r="F5" s="2" t="inlineStr">
        <is>
          <t>Показать нотации на странице возможностей</t>
        </is>
      </c>
      <c r="G5" s="2" t="n"/>
      <c r="H5" s="2" t="inlineStr">
        <is>
          <t>Руководитель проекта</t>
        </is>
      </c>
      <c r="I5" s="2" t="inlineStr">
        <is>
          <t>В работе</t>
        </is>
      </c>
    </row>
    <row r="6">
      <c r="A6" s="14" t="inlineStr">
        <is>
          <t>Монетизация</t>
        </is>
      </c>
      <c r="B6" s="14" t="inlineStr">
        <is>
          <t>Есть ли в первом релизе способ проверить готовность платить?</t>
        </is>
      </c>
      <c r="C6" s="14" t="n">
        <v>4</v>
      </c>
      <c r="D6" s="14" t="inlineStr">
        <is>
          <t>Тарифы U-003 и оплата U-006 (вариант Б) или заявка (вариант А)</t>
        </is>
      </c>
      <c r="E6" s="2" t="inlineStr">
        <is>
          <t>Нельзя проверить цену Pro</t>
        </is>
      </c>
      <c r="F6" s="2" t="inlineStr">
        <is>
          <t>Включить оплату или заявку</t>
        </is>
      </c>
      <c r="G6" s="2" t="n"/>
      <c r="H6" s="2" t="inlineStr">
        <is>
          <t>Руководитель проекта</t>
        </is>
      </c>
      <c r="I6" s="2" t="inlineStr">
        <is>
          <t>Готово</t>
        </is>
      </c>
    </row>
    <row r="7" ht="28.5" customHeight="1" s="15">
      <c r="A7" s="14" t="inlineStr">
        <is>
          <t>Удержание</t>
        </is>
      </c>
      <c r="B7" s="14" t="inlineStr">
        <is>
          <t>Есть ли причина вернуться?</t>
        </is>
      </c>
      <c r="C7" s="14" t="n">
        <v>3</v>
      </c>
      <c r="D7" s="14" t="inlineStr">
        <is>
          <t>Мои диаграммы U-010 - во втором релизе; в первом - сохранение через вход</t>
        </is>
      </c>
      <c r="E7" s="2" t="inlineStr">
        <is>
          <t>Пользователь не вернётся</t>
        </is>
      </c>
      <c r="F7" s="2" t="inlineStr">
        <is>
          <t>Минимальное сохранение в первом релизе</t>
        </is>
      </c>
      <c r="G7" s="2" t="n"/>
      <c r="H7" s="2" t="inlineStr">
        <is>
          <t>Руководитель проекта</t>
        </is>
      </c>
      <c r="I7" s="2" t="inlineStr">
        <is>
          <t>В работе</t>
        </is>
      </c>
    </row>
    <row r="8">
      <c r="A8" s="14" t="inlineStr">
        <is>
          <t>Рост</t>
        </is>
      </c>
      <c r="B8" s="14" t="inlineStr">
        <is>
          <t>Может ли аудитория расти без платной рекламы?</t>
        </is>
      </c>
      <c r="C8" s="14" t="n">
        <v>3</v>
      </c>
      <c r="D8" s="14" t="inlineStr">
        <is>
          <t>Поисковый трафик 47-59 % у текстовых инструментов (ЛР4)</t>
        </is>
      </c>
      <c r="E8" s="2" t="inlineStr">
        <is>
          <t>Мало поискового трафика</t>
        </is>
      </c>
      <c r="F8" s="2" t="inlineStr">
        <is>
          <t>Страницы нотаций для поиска</t>
        </is>
      </c>
      <c r="G8" s="2" t="n"/>
      <c r="H8" s="2" t="inlineStr">
        <is>
          <t>Руководитель проекта</t>
        </is>
      </c>
      <c r="I8" s="2" t="inlineStr">
        <is>
          <t>В работе</t>
        </is>
      </c>
    </row>
    <row r="9">
      <c r="A9" s="14" t="inlineStr">
        <is>
          <t>Экономичность</t>
        </is>
      </c>
      <c r="B9" s="14" t="inlineStr">
        <is>
          <t>Можно ли выпустить первый релиз за короткий срок и малый бюджет?</t>
        </is>
      </c>
      <c r="C9" s="14" t="n">
        <v>3</v>
      </c>
      <c r="D9" s="14" t="inlineStr">
        <is>
          <t>Исключены ИИ, коллаборация, API, реферальные механики</t>
        </is>
      </c>
      <c r="E9" s="2" t="inlineStr">
        <is>
          <t>Бюджет и сроки не определены</t>
        </is>
      </c>
      <c r="F9" s="2" t="inlineStr">
        <is>
          <t>🔲 ДОСНЯТЬ: срок и бюджет</t>
        </is>
      </c>
      <c r="G9" s="2" t="n"/>
      <c r="H9" s="2" t="inlineStr">
        <is>
          <t>Руководитель проекта</t>
        </is>
      </c>
      <c r="I9" s="2" t="inlineStr">
        <is>
          <t>В работе</t>
        </is>
      </c>
    </row>
  </sheetData>
  <mergeCells count="1">
    <mergeCell ref="A1:I1"/>
  </mergeCells>
  <conditionalFormatting sqref="C4:C8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C4:C80" showDropDown="0" showInputMessage="0" showErrorMessage="0" allowBlank="0" type="whole">
      <formula1>1</formula1>
      <formula2>5</formula2>
    </dataValidation>
    <dataValidation sqref="I4:I80" showDropDown="0" showInputMessage="0" showErrorMessage="0" allowBlank="0" type="list">
      <formula1>"Не начато,В работе,Готово,Требует решения"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H17" sqref="H17"/>
    </sheetView>
  </sheetViews>
  <sheetFormatPr baseColWidth="8" defaultRowHeight="14.25"/>
  <cols>
    <col width="10" customWidth="1" style="15" min="1" max="1"/>
    <col width="25.75" customWidth="1" style="15" min="2" max="2"/>
    <col width="92.875" customWidth="1" style="15" min="3" max="3"/>
    <col width="18" customWidth="1" style="15" min="4" max="4"/>
    <col width="14" customWidth="1" style="15" min="5" max="5"/>
    <col width="12" customWidth="1" style="15" min="6" max="6"/>
    <col width="14" customWidth="1" style="15" min="7" max="7"/>
    <col width="81.5" customWidth="1" style="15" min="8" max="8"/>
    <col width="18" customWidth="1" style="15" min="9" max="9"/>
    <col width="22" customWidth="1" style="15" min="10" max="10"/>
  </cols>
  <sheetData>
    <row r="1" ht="16.15" customHeight="1" s="15">
      <c r="A1" s="13" t="inlineStr">
        <is>
          <t>Риски, зависимости и условия переноса функций между релизами</t>
        </is>
      </c>
    </row>
    <row r="2"/>
    <row r="3" ht="36" customFormat="1" customHeight="1" s="22">
      <c r="A3" s="3" t="inlineStr">
        <is>
          <t>ID</t>
        </is>
      </c>
      <c r="B3" s="3" t="inlineStr">
        <is>
          <t>Единица / решение</t>
        </is>
      </c>
      <c r="C3" s="3" t="inlineStr">
        <is>
          <t>Риск</t>
        </is>
      </c>
      <c r="D3" s="3" t="inlineStr">
        <is>
          <t>Тип риска</t>
        </is>
      </c>
      <c r="E3" s="3" t="inlineStr">
        <is>
          <t>Вероятность 1–5</t>
        </is>
      </c>
      <c r="F3" s="3" t="inlineStr">
        <is>
          <t>Влияние 1–5</t>
        </is>
      </c>
      <c r="G3" s="3" t="inlineStr">
        <is>
          <t>Индекс риска</t>
        </is>
      </c>
      <c r="H3" s="3" t="inlineStr">
        <is>
          <t>Митигирующее действие</t>
        </is>
      </c>
      <c r="I3" s="3" t="inlineStr">
        <is>
          <t>Связанный релиз</t>
        </is>
      </c>
      <c r="J3" s="3" t="inlineStr">
        <is>
          <t>Ответственный</t>
        </is>
      </c>
    </row>
    <row r="4">
      <c r="A4" s="14" t="inlineStr">
        <is>
          <t>R-001</t>
        </is>
      </c>
      <c r="B4" s="14" t="inlineStr">
        <is>
          <t>U-008</t>
        </is>
      </c>
      <c r="C4" s="14" t="inlineStr">
        <is>
          <t>Сложность разбора нотаций задерживает ядро</t>
        </is>
      </c>
      <c r="D4" s="14" t="inlineStr">
        <is>
          <t>Технический</t>
        </is>
      </c>
      <c r="E4" s="14" t="n">
        <v>4</v>
      </c>
      <c r="F4" s="14" t="n">
        <v>5</v>
      </c>
      <c r="G4" s="21">
        <f>IF(A4="","",E4*F4)</f>
        <v/>
      </c>
      <c r="H4" s="14" t="inlineStr">
        <is>
          <t>Начать с UML и ERD, остальные нотации - итерациями; ограничить объём первой версии</t>
        </is>
      </c>
      <c r="I4" s="2" t="inlineStr">
        <is>
          <t>Первый релиз</t>
        </is>
      </c>
      <c r="J4" s="2" t="inlineStr">
        <is>
          <t>Руководитель проекта</t>
        </is>
      </c>
    </row>
    <row r="5">
      <c r="A5" s="14" t="inlineStr">
        <is>
          <t>R-002</t>
        </is>
      </c>
      <c r="B5" s="14" t="inlineStr">
        <is>
          <t>U-006</t>
        </is>
      </c>
      <c r="C5" s="14" t="inlineStr">
        <is>
          <t>Отсутствие платёжного провайдера для Беларуси</t>
        </is>
      </c>
      <c r="D5" s="14" t="inlineStr">
        <is>
          <t>Монетизация</t>
        </is>
      </c>
      <c r="E5" s="14" t="n">
        <v>4</v>
      </c>
      <c r="F5" s="14" t="n">
        <v>4</v>
      </c>
      <c r="G5" s="21">
        <f>IF(A5="","",E5*F5)</f>
        <v/>
      </c>
      <c r="H5" s="14" t="inlineStr">
        <is>
          <t>Вариант А: заявка на Pro без онлайн-оплаты; выбор провайдера до релиза</t>
        </is>
      </c>
      <c r="I5" s="2" t="inlineStr">
        <is>
          <t>Первый релиз</t>
        </is>
      </c>
      <c r="J5" s="2" t="inlineStr">
        <is>
          <t>Руководитель проекта</t>
        </is>
      </c>
    </row>
    <row r="6">
      <c r="A6" s="14" t="inlineStr">
        <is>
          <t>R-003</t>
        </is>
      </c>
      <c r="B6" s="14" t="inlineStr">
        <is>
          <t>U-014</t>
        </is>
      </c>
      <c r="C6" s="14" t="inlineStr">
        <is>
          <t>Без аналитики нельзя принять решение о релизе 2</t>
        </is>
      </c>
      <c r="D6" s="14" t="inlineStr">
        <is>
          <t>Данные</t>
        </is>
      </c>
      <c r="E6" s="14" t="n">
        <v>3</v>
      </c>
      <c r="F6" s="14" t="n">
        <v>5</v>
      </c>
      <c r="G6" s="21">
        <f>IF(A6="","",E6*F6)</f>
        <v/>
      </c>
      <c r="H6" s="14" t="inlineStr">
        <is>
          <t>Оставить минимальный набор событий в релизе 1</t>
        </is>
      </c>
      <c r="I6" s="2" t="inlineStr">
        <is>
          <t>Первый релиз</t>
        </is>
      </c>
      <c r="J6" s="2" t="inlineStr">
        <is>
          <t>Руководитель проекта</t>
        </is>
      </c>
    </row>
    <row r="7">
      <c r="A7" s="14" t="inlineStr">
        <is>
          <t>R-004</t>
        </is>
      </c>
      <c r="B7" s="14" t="inlineStr">
        <is>
          <t>U-007</t>
        </is>
      </c>
      <c r="C7" s="14" t="inlineStr">
        <is>
          <t>BPMN 2.0 (волна 2) и сети Петри (волна 3) не попадут в первый релиз, набор нотаций будет неполным</t>
        </is>
      </c>
      <c r="D7" s="14" t="inlineStr">
        <is>
          <t>Ценность</t>
        </is>
      </c>
      <c r="E7" s="14" t="n">
        <v>3</v>
      </c>
      <c r="F7" s="14" t="n">
        <v>4</v>
      </c>
      <c r="G7" s="21">
        <f>IF(A7="","",E7*F7)</f>
        <v/>
      </c>
      <c r="H7" s="14" t="inlineStr">
        <is>
          <t>Показать полный перечень нотаций на странице возможностей с пометкой о волнах</t>
        </is>
      </c>
      <c r="I7" s="2" t="inlineStr">
        <is>
          <t>Релиз 2</t>
        </is>
      </c>
      <c r="J7" s="2" t="inlineStr">
        <is>
          <t>Руководитель проекта</t>
        </is>
      </c>
    </row>
    <row r="8">
      <c r="A8" s="14" t="inlineStr">
        <is>
          <t>R-005</t>
        </is>
      </c>
      <c r="B8" s="14" t="inlineStr">
        <is>
          <t>U-013</t>
        </is>
      </c>
      <c r="C8" s="14" t="inlineStr">
        <is>
          <t>Расходы на ИИ-вызовы растут быстрее выручки</t>
        </is>
      </c>
      <c r="D8" s="14" t="inlineStr">
        <is>
          <t>Экономика</t>
        </is>
      </c>
      <c r="E8" s="14" t="n">
        <v>4</v>
      </c>
      <c r="F8" s="14" t="n">
        <v>4</v>
      </c>
      <c r="G8" s="21">
        <f>IF(A8="","",E8*F8)</f>
        <v/>
      </c>
      <c r="H8" s="14" t="inlineStr">
        <is>
          <t>Лимиты ИИ по тарифам; отложить до релиза 2</t>
        </is>
      </c>
      <c r="I8" s="2" t="inlineStr">
        <is>
          <t>Релиз 2</t>
        </is>
      </c>
      <c r="J8" s="2" t="inlineStr">
        <is>
          <t>Руководитель проекта</t>
        </is>
      </c>
    </row>
    <row r="9">
      <c r="A9" s="14" t="inlineStr">
        <is>
          <t>R-006</t>
        </is>
      </c>
      <c r="B9" s="14" t="inlineStr">
        <is>
          <t>U-004</t>
        </is>
      </c>
      <c r="C9" s="14" t="inlineStr">
        <is>
          <t>Мало документации - рост обращений в поддержку</t>
        </is>
      </c>
      <c r="D9" s="14" t="inlineStr">
        <is>
          <t>Поддержка</t>
        </is>
      </c>
      <c r="E9" s="14" t="n">
        <v>3</v>
      </c>
      <c r="F9" s="14" t="n">
        <v>3</v>
      </c>
      <c r="G9" s="21">
        <f>IF(A9="","",E9*F9)</f>
        <v/>
      </c>
      <c r="H9" s="14" t="inlineStr">
        <is>
          <t>Минимальные примеры в первом релизе, база знаний - в релизе 2</t>
        </is>
      </c>
      <c r="I9" s="2" t="inlineStr">
        <is>
          <t>Релиз 2</t>
        </is>
      </c>
      <c r="J9" s="2" t="inlineStr">
        <is>
          <t>Руководитель проекта</t>
        </is>
      </c>
    </row>
    <row r="10">
      <c r="A10" s="14" t="inlineStr">
        <is>
          <t>R-007</t>
        </is>
      </c>
      <c r="B10" s="14" t="inlineStr">
        <is>
          <t>U-017</t>
        </is>
      </c>
      <c r="C10" s="14" t="inlineStr">
        <is>
          <t>Совместное редактирование требует серверной синхронизации</t>
        </is>
      </c>
      <c r="D10" s="14" t="inlineStr">
        <is>
          <t>Технический</t>
        </is>
      </c>
      <c r="E10" s="14" t="n">
        <v>5</v>
      </c>
      <c r="F10" s="14" t="n">
        <v>4</v>
      </c>
      <c r="G10" s="21">
        <f>IF(A10="","",E10*F10)</f>
        <v/>
      </c>
      <c r="H10" s="14" t="inlineStr">
        <is>
          <t>Отложить до подтверждённого спроса</t>
        </is>
      </c>
      <c r="I10" s="2" t="inlineStr">
        <is>
          <t>Релиз 4</t>
        </is>
      </c>
      <c r="J10" s="2" t="inlineStr">
        <is>
          <t>Руководитель проекта</t>
        </is>
      </c>
    </row>
    <row r="11">
      <c r="A11" s="14" t="inlineStr">
        <is>
          <t>R-008</t>
        </is>
      </c>
      <c r="B11" s="14" t="inlineStr">
        <is>
          <t>U-015</t>
        </is>
      </c>
      <c r="C11" s="14" t="inlineStr">
        <is>
          <t>Правовые тексты не готовы к запуску</t>
        </is>
      </c>
      <c r="D11" s="14" t="inlineStr">
        <is>
          <t>Правовой</t>
        </is>
      </c>
      <c r="E11" s="14" t="n">
        <v>3</v>
      </c>
      <c r="F11" s="14" t="n">
        <v>5</v>
      </c>
      <c r="G11" s="21">
        <f>IF(A11="","",E11*F11)</f>
        <v/>
      </c>
      <c r="H11" s="14" t="inlineStr">
        <is>
          <t>Подготовить политику конфиденциальности и условия до релиза 1</t>
        </is>
      </c>
      <c r="I11" s="2" t="inlineStr">
        <is>
          <t>Первый релиз</t>
        </is>
      </c>
      <c r="J11" s="2" t="inlineStr">
        <is>
          <t>Руководитель проекта</t>
        </is>
      </c>
    </row>
    <row r="12">
      <c r="A12" s="2" t="n"/>
      <c r="B12" s="2" t="n"/>
      <c r="C12" s="2" t="n"/>
      <c r="D12" s="2" t="n"/>
      <c r="E12" s="2" t="n"/>
      <c r="F12" s="2" t="n"/>
      <c r="G12" s="6">
        <f>IF(A12="","",E12*F12)</f>
        <v/>
      </c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6">
        <f>IF(A13="","",E13*F13)</f>
        <v/>
      </c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6">
        <f>IF(A14="","",E14*F14)</f>
        <v/>
      </c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6">
        <f>IF(A15="","",E15*F15)</f>
        <v/>
      </c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6">
        <f>IF(A16="","",E16*F16)</f>
        <v/>
      </c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6">
        <f>IF(A17="","",E17*F17)</f>
        <v/>
      </c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6">
        <f>IF(A18="","",E18*F18)</f>
        <v/>
      </c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6">
        <f>IF(A19="","",E19*F19)</f>
        <v/>
      </c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6">
        <f>IF(A20="","",E20*F20)</f>
        <v/>
      </c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6">
        <f>IF(A21="","",E21*F21)</f>
        <v/>
      </c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6">
        <f>IF(A22="","",E22*F22)</f>
        <v/>
      </c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6">
        <f>IF(A23="","",E23*F23)</f>
        <v/>
      </c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6">
        <f>IF(A24="","",E24*F24)</f>
        <v/>
      </c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6">
        <f>IF(A25="","",E25*F25)</f>
        <v/>
      </c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6">
        <f>IF(A26="","",E26*F26)</f>
        <v/>
      </c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6">
        <f>IF(A27="","",E27*F27)</f>
        <v/>
      </c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6">
        <f>IF(A28="","",E28*F28)</f>
        <v/>
      </c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6">
        <f>IF(A29="","",E29*F29)</f>
        <v/>
      </c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6">
        <f>IF(A30="","",E30*F30)</f>
        <v/>
      </c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6">
        <f>IF(A31="","",E31*F31)</f>
        <v/>
      </c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6">
        <f>IF(A32="","",E32*F32)</f>
        <v/>
      </c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6">
        <f>IF(A33="","",E33*F33)</f>
        <v/>
      </c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6">
        <f>IF(A34="","",E34*F34)</f>
        <v/>
      </c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6">
        <f>IF(A35="","",E35*F35)</f>
        <v/>
      </c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6">
        <f>IF(A36="","",E36*F36)</f>
        <v/>
      </c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6">
        <f>IF(A37="","",E37*F37)</f>
        <v/>
      </c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6">
        <f>IF(A38="","",E38*F38)</f>
        <v/>
      </c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6">
        <f>IF(A39="","",E39*F39)</f>
        <v/>
      </c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6">
        <f>IF(A40="","",E40*F40)</f>
        <v/>
      </c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6">
        <f>IF(A41="","",E41*F41)</f>
        <v/>
      </c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6">
        <f>IF(A42="","",E42*F42)</f>
        <v/>
      </c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6">
        <f>IF(A43="","",E43*F43)</f>
        <v/>
      </c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6">
        <f>IF(A44="","",E44*F44)</f>
        <v/>
      </c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6">
        <f>IF(A45="","",E45*F45)</f>
        <v/>
      </c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6">
        <f>IF(A46="","",E46*F46)</f>
        <v/>
      </c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6">
        <f>IF(A47="","",E47*F47)</f>
        <v/>
      </c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6">
        <f>IF(A48="","",E48*F48)</f>
        <v/>
      </c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6">
        <f>IF(A49="","",E49*F49)</f>
        <v/>
      </c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6">
        <f>IF(A50="","",E50*F50)</f>
        <v/>
      </c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6">
        <f>IF(A51="","",E51*F51)</f>
        <v/>
      </c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6">
        <f>IF(A52="","",E52*F52)</f>
        <v/>
      </c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6">
        <f>IF(A53="","",E53*F53)</f>
        <v/>
      </c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6">
        <f>IF(A54="","",E54*F54)</f>
        <v/>
      </c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6">
        <f>IF(A55="","",E55*F55)</f>
        <v/>
      </c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6">
        <f>IF(A56="","",E56*F56)</f>
        <v/>
      </c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6">
        <f>IF(A57="","",E57*F57)</f>
        <v/>
      </c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6">
        <f>IF(A58="","",E58*F58)</f>
        <v/>
      </c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6">
        <f>IF(A59="","",E59*F59)</f>
        <v/>
      </c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6">
        <f>IF(A60="","",E60*F60)</f>
        <v/>
      </c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6">
        <f>IF(A61="","",E61*F61)</f>
        <v/>
      </c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6">
        <f>IF(A62="","",E62*F62)</f>
        <v/>
      </c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6">
        <f>IF(A63="","",E63*F63)</f>
        <v/>
      </c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6">
        <f>IF(A64="","",E64*F64)</f>
        <v/>
      </c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6">
        <f>IF(A65="","",E65*F65)</f>
        <v/>
      </c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6">
        <f>IF(A66="","",E66*F66)</f>
        <v/>
      </c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6">
        <f>IF(A67="","",E67*F67)</f>
        <v/>
      </c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6">
        <f>IF(A68="","",E68*F68)</f>
        <v/>
      </c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6">
        <f>IF(A69="","",E69*F69)</f>
        <v/>
      </c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6">
        <f>IF(A70="","",E70*F70)</f>
        <v/>
      </c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6">
        <f>IF(A71="","",E71*F71)</f>
        <v/>
      </c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6">
        <f>IF(A72="","",E72*F72)</f>
        <v/>
      </c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6">
        <f>IF(A73="","",E73*F73)</f>
        <v/>
      </c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6">
        <f>IF(A74="","",E74*F74)</f>
        <v/>
      </c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6">
        <f>IF(A75="","",E75*F75)</f>
        <v/>
      </c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6">
        <f>IF(A76="","",E76*F76)</f>
        <v/>
      </c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6">
        <f>IF(A77="","",E77*F77)</f>
        <v/>
      </c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6">
        <f>IF(A78="","",E78*F78)</f>
        <v/>
      </c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6">
        <f>IF(A79="","",E79*F79)</f>
        <v/>
      </c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6">
        <f>IF(A80="","",E80*F80)</f>
        <v/>
      </c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6">
        <f>IF(A81="","",E81*F81)</f>
        <v/>
      </c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6">
        <f>IF(A82="","",E82*F82)</f>
        <v/>
      </c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6">
        <f>IF(A83="","",E83*F83)</f>
        <v/>
      </c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6">
        <f>IF(A84="","",E84*F84)</f>
        <v/>
      </c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6">
        <f>IF(A85="","",E85*F85)</f>
        <v/>
      </c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6">
        <f>IF(A86="","",E86*F86)</f>
        <v/>
      </c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6">
        <f>IF(A87="","",E87*F87)</f>
        <v/>
      </c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6">
        <f>IF(A88="","",E88*F88)</f>
        <v/>
      </c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6">
        <f>IF(A89="","",E89*F89)</f>
        <v/>
      </c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6">
        <f>IF(A90="","",E90*F90)</f>
        <v/>
      </c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6">
        <f>IF(A91="","",E91*F91)</f>
        <v/>
      </c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6">
        <f>IF(A92="","",E92*F92)</f>
        <v/>
      </c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6">
        <f>IF(A93="","",E93*F93)</f>
        <v/>
      </c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6">
        <f>IF(A94="","",E94*F94)</f>
        <v/>
      </c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6">
        <f>IF(A95="","",E95*F95)</f>
        <v/>
      </c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6">
        <f>IF(A96="","",E96*F96)</f>
        <v/>
      </c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6">
        <f>IF(A97="","",E97*F97)</f>
        <v/>
      </c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6">
        <f>IF(A98="","",E98*F98)</f>
        <v/>
      </c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6">
        <f>IF(A99="","",E99*F99)</f>
        <v/>
      </c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6">
        <f>IF(A100="","",E100*F100)</f>
        <v/>
      </c>
      <c r="H100" s="2" t="n"/>
      <c r="I100" s="2" t="n"/>
      <c r="J100" s="2" t="n"/>
    </row>
  </sheetData>
  <mergeCells count="1">
    <mergeCell ref="A1:J1"/>
  </mergeCells>
  <conditionalFormatting sqref="G4:G10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3">
    <dataValidation sqref="E4:F100" showDropDown="0" showInputMessage="0" showErrorMessage="0" allowBlank="0" type="whole">
      <formula1>1</formula1>
      <formula2>5</formula2>
    </dataValidation>
    <dataValidation sqref="D4:D100" showDropDown="0" showInputMessage="0" showErrorMessage="0" allowBlank="0" type="list">
      <formula1>"Ценность,Данные,Стоимость,Срок,Технология,Монетизация,Удержание,Рост"</formula1>
    </dataValidation>
    <dataValidation sqref="I4:I100" showDropDown="0" showInputMessage="0" showErrorMessage="0" allowBlank="0" type="list">
      <formula1>"Первый релиз,Следующий релиз,Бэклог"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C34" sqref="C34"/>
    </sheetView>
  </sheetViews>
  <sheetFormatPr baseColWidth="8" defaultRowHeight="14.25"/>
  <cols>
    <col width="52" customWidth="1" style="15" min="1" max="1"/>
    <col width="18" customWidth="1" style="15" min="2" max="2"/>
    <col width="77.5" customWidth="1" style="15" min="3" max="3"/>
    <col width="24" customWidth="1" style="15" min="4" max="4"/>
    <col width="28" customWidth="1" style="15" min="5" max="5"/>
    <col width="16" customWidth="1" style="15" min="6" max="6"/>
  </cols>
  <sheetData>
    <row r="1" ht="16.15" customHeight="1" s="15">
      <c r="A1" s="13" t="inlineStr">
        <is>
          <t>Дашборд готовности релизного плана</t>
        </is>
      </c>
    </row>
    <row r="2"/>
    <row r="3" ht="18" customHeight="1" s="15">
      <c r="A3" s="3" t="inlineStr">
        <is>
          <t>Показатель</t>
        </is>
      </c>
      <c r="B3" s="3" t="inlineStr">
        <is>
          <t>Значение</t>
        </is>
      </c>
      <c r="C3" s="3" t="inlineStr">
        <is>
          <t>Интерпретация</t>
        </is>
      </c>
      <c r="D3" s="4" t="n"/>
      <c r="E3" s="3" t="inlineStr">
        <is>
          <t>Релиз</t>
        </is>
      </c>
      <c r="F3" s="3" t="inlineStr">
        <is>
          <t>Количество</t>
        </is>
      </c>
    </row>
    <row r="4" ht="15" customHeight="1" s="15">
      <c r="A4" s="23" t="inlineStr">
        <is>
          <t>Всего единиц разработки</t>
        </is>
      </c>
      <c r="B4" s="24">
        <f>COUNTA(Реестр_единиц!$A$2:$A$101)</f>
        <v/>
      </c>
      <c r="C4" s="25" t="inlineStr">
        <is>
          <t>Количество страниц, экранов, функций, интеграций и контентных блоков в реестре</t>
        </is>
      </c>
      <c r="D4" s="4" t="n"/>
      <c r="E4" s="1" t="inlineStr">
        <is>
          <t>Первый релиз</t>
        </is>
      </c>
      <c r="F4" s="6">
        <f>COUNTIF(Реестр_единиц!$S$2:$S$101,E4)</f>
        <v/>
      </c>
    </row>
    <row r="5" ht="15" customHeight="1" s="15">
      <c r="A5" s="23" t="inlineStr">
        <is>
          <t>Единиц в первом релизе</t>
        </is>
      </c>
      <c r="B5" s="24">
        <f>COUNTIF(Реестр_единиц!$S$2:$S$101,"Первый релиз")</f>
        <v/>
      </c>
      <c r="C5" s="25" t="inlineStr">
        <is>
          <t>Объем минимального рыночного выпуска</t>
        </is>
      </c>
      <c r="D5" s="4" t="n"/>
      <c r="E5" s="1" t="inlineStr">
        <is>
          <t>Следующий релиз</t>
        </is>
      </c>
      <c r="F5" s="6">
        <f>COUNTIF(Реестр_единиц!$S$2:$S$101,E5)</f>
        <v/>
      </c>
    </row>
    <row r="6" ht="15" customHeight="1" s="15">
      <c r="A6" s="23" t="inlineStr">
        <is>
          <t>Средний балл первого релиза</t>
        </is>
      </c>
      <c r="B6" s="26">
        <f>IFERROR(AVERAGEIF(Реестр_единиц!$S$2:$S$101,"Первый релиз",Реестр_единиц!$Q$2:$Q$101),0)</f>
        <v/>
      </c>
      <c r="C6" s="25" t="inlineStr">
        <is>
          <t>Насколько первый релиз сочетает ценность, скорость и экономичность</t>
        </is>
      </c>
      <c r="D6" s="4" t="n"/>
      <c r="E6" s="1" t="inlineStr">
        <is>
          <t>Не включать / проверить</t>
        </is>
      </c>
      <c r="F6" s="6">
        <f>COUNTIF(Реестр_единиц!$S$2:$S$101,E6)</f>
        <v/>
      </c>
    </row>
    <row r="7" ht="15" customHeight="1" s="15">
      <c r="A7" s="23" t="inlineStr">
        <is>
          <t>Средняя связь с ценностным предложением в первом релизе</t>
        </is>
      </c>
      <c r="B7" s="26">
        <f>IFERROR(AVERAGEIF(Реестр_единиц!$S$2:$S$101,"Первый релиз",Реестр_единиц!$G$2:$G$101),0)</f>
        <v/>
      </c>
      <c r="C7" s="25" t="inlineStr">
        <is>
          <t>Должна быть высокой, иначе первый релиз теряет смысл</t>
        </is>
      </c>
      <c r="D7" s="4" t="n"/>
      <c r="E7" s="4" t="n"/>
      <c r="F7" s="4" t="n"/>
    </row>
    <row r="8" ht="15" customHeight="1" s="15">
      <c r="A8" s="23" t="inlineStr">
        <is>
          <t>Средний риск первого релиза</t>
        </is>
      </c>
      <c r="B8" s="26">
        <f>IFERROR(AVERAGEIF(Реестр_единиц!$S$2:$S$101,"Первый релиз",Реестр_единиц!$O$2:$O$101),0)</f>
        <v/>
      </c>
      <c r="C8" s="25" t="inlineStr">
        <is>
          <t>Чем ниже, тем проще старт</t>
        </is>
      </c>
      <c r="D8" s="4" t="n"/>
      <c r="E8" s="4" t="n"/>
      <c r="F8" s="4" t="n"/>
    </row>
    <row r="9" ht="15" customHeight="1" s="15">
      <c r="A9" s="23" t="inlineStr">
        <is>
          <t>Средняя оценка контрольного листа ценности</t>
        </is>
      </c>
      <c r="B9" s="26">
        <f>IFERROR(AVERAGE(Проверка_ценности!$C$4:$C$80),0)</f>
        <v/>
      </c>
      <c r="C9" s="25" t="inlineStr">
        <is>
          <t>Показывает, насколько сохранены ценность, монетизация, удержание и рост</t>
        </is>
      </c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 ht="30" customHeight="1" s="15">
      <c r="A12" s="3" t="inlineStr">
        <is>
          <t>Критерий</t>
        </is>
      </c>
      <c r="B12" s="3" t="inlineStr">
        <is>
          <t>Средняя оценка первого релиза</t>
        </is>
      </c>
      <c r="C12" s="4" t="n"/>
      <c r="D12" s="4" t="n"/>
      <c r="E12" s="4" t="n"/>
      <c r="F12" s="4" t="n"/>
    </row>
    <row r="13" ht="15" customHeight="1" s="15">
      <c r="A13" s="1" t="inlineStr">
        <is>
          <t>Ценность</t>
        </is>
      </c>
      <c r="B13" s="7">
        <f>IFERROR(AVERAGEIF(Реестр_единиц!$S$2:$S$101,"Первый релиз",Реестр_единиц!$G$2:$G$101),0)</f>
        <v/>
      </c>
      <c r="C13" s="4" t="n"/>
      <c r="D13" s="4" t="n"/>
      <c r="E13" s="4" t="n"/>
      <c r="F13" s="4" t="n"/>
    </row>
    <row r="14" ht="15" customHeight="1" s="15">
      <c r="A14" s="1" t="inlineStr">
        <is>
          <t>Доход</t>
        </is>
      </c>
      <c r="B14" s="7">
        <f>IFERROR(AVERAGEIF(Реестр_единиц!$S$2:$S$101,"Первый релиз",Реестр_единиц!$H$2:$H$101),0)</f>
        <v/>
      </c>
      <c r="C14" s="4" t="n"/>
      <c r="D14" s="4" t="n"/>
      <c r="E14" s="4" t="n"/>
      <c r="F14" s="4" t="n"/>
    </row>
    <row r="15" ht="15" customHeight="1" s="15">
      <c r="A15" s="1" t="inlineStr">
        <is>
          <t>Удержание</t>
        </is>
      </c>
      <c r="B15" s="7">
        <f>IFERROR(AVERAGEIF(Реестр_единиц!$S$2:$S$101,"Первый релиз",Реестр_единиц!$I$2:$I$101),0)</f>
        <v/>
      </c>
      <c r="C15" s="4" t="n"/>
      <c r="D15" s="4" t="n"/>
      <c r="E15" s="4" t="n"/>
      <c r="F15" s="4" t="n"/>
    </row>
    <row r="16" ht="15" customHeight="1" s="15">
      <c r="A16" s="1" t="inlineStr">
        <is>
          <t>Рост</t>
        </is>
      </c>
      <c r="B16" s="7">
        <f>IFERROR(AVERAGEIF(Реестр_единиц!$S$2:$S$101,"Первый релиз",Реестр_единиц!$J$2:$J$101),0)</f>
        <v/>
      </c>
      <c r="C16" s="4" t="n"/>
      <c r="D16" s="4" t="n"/>
      <c r="E16" s="4" t="n"/>
      <c r="F16" s="4" t="n"/>
    </row>
    <row r="17" ht="15" customHeight="1" s="15">
      <c r="A17" s="1" t="inlineStr">
        <is>
          <t>Доказательность</t>
        </is>
      </c>
      <c r="B17" s="7">
        <f>IFERROR(AVERAGEIF(Реестр_единиц!$S$2:$S$101,"Первый релиз",Реестр_единиц!$K$2:$K$101),0)</f>
        <v/>
      </c>
      <c r="C17" s="4" t="n"/>
      <c r="D17" s="4" t="n"/>
      <c r="E17" s="4" t="n"/>
      <c r="F17" s="4" t="n"/>
    </row>
    <row r="18" ht="15" customHeight="1" s="15">
      <c r="A18" s="1" t="inlineStr">
        <is>
          <t>Быстрота</t>
        </is>
      </c>
      <c r="B18" s="7">
        <f>IFERROR(AVERAGEIF(Реестр_единиц!$S$2:$S$101,"Первый релиз",Реестр_единиц!$M$2:$M$101),0)</f>
        <v/>
      </c>
      <c r="C18" s="4" t="n"/>
      <c r="D18" s="4" t="n"/>
      <c r="E18" s="4" t="n"/>
      <c r="F18" s="4" t="n"/>
    </row>
    <row r="19" ht="15" customHeight="1" s="15">
      <c r="A19" s="1" t="inlineStr">
        <is>
          <t>Дешевизна</t>
        </is>
      </c>
      <c r="B19" s="7">
        <f>IFERROR(AVERAGEIF(Реестр_единиц!$S$2:$S$101,"Первый релиз",Реестр_единиц!$N$2:$N$101),0)</f>
        <v/>
      </c>
      <c r="C19" s="4" t="n"/>
      <c r="D19" s="4" t="n"/>
      <c r="E19" s="4" t="n"/>
      <c r="F19" s="4" t="n"/>
    </row>
  </sheetData>
  <mergeCells count="1">
    <mergeCell ref="A1:K1"/>
  </mergeCells>
  <conditionalFormatting sqref="B13:B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E18" sqref="E18"/>
    </sheetView>
  </sheetViews>
  <sheetFormatPr baseColWidth="8" defaultRowHeight="14.25"/>
  <cols>
    <col width="31.75" customWidth="1" style="15" min="1" max="1"/>
    <col width="20" customWidth="1" style="15" min="2" max="2"/>
    <col width="26" customWidth="1" style="15" min="3" max="3"/>
    <col width="30" customWidth="1" style="15" min="4" max="4"/>
    <col width="28" customWidth="1" style="15" min="5" max="5"/>
    <col width="22" customWidth="1" style="15" min="6" max="6"/>
    <col width="18.875" customWidth="1" style="15" min="7" max="7"/>
    <col width="27.625" customWidth="1" style="15" min="8" max="8"/>
  </cols>
  <sheetData>
    <row r="1" ht="16.15" customHeight="1" s="15">
      <c r="A1" s="13" t="inlineStr">
        <is>
          <t>Справочники для выпадающих списков и шкал оценки</t>
        </is>
      </c>
    </row>
    <row r="2"/>
    <row r="3" ht="18" customHeight="1" s="15">
      <c r="A3" s="3" t="inlineStr">
        <is>
          <t>Вид анализа</t>
        </is>
      </c>
      <c r="B3" s="3" t="inlineStr">
        <is>
          <t>Статус</t>
        </is>
      </c>
      <c r="C3" s="3" t="inlineStr">
        <is>
          <t>Тип единицы</t>
        </is>
      </c>
      <c r="D3" s="3" t="inlineStr">
        <is>
          <t>Блок Канвас</t>
        </is>
      </c>
      <c r="E3" s="3" t="inlineStr">
        <is>
          <t>Рекомендованный релиз</t>
        </is>
      </c>
      <c r="F3" s="3" t="inlineStr">
        <is>
          <t>Шкала</t>
        </is>
      </c>
      <c r="G3" s="3" t="inlineStr">
        <is>
          <t>Тип риска</t>
        </is>
      </c>
      <c r="H3" s="3" t="inlineStr">
        <is>
          <t>Тип метрики</t>
        </is>
      </c>
    </row>
    <row r="4">
      <c r="A4" s="4" t="inlineStr">
        <is>
          <t>Анализ проблем</t>
        </is>
      </c>
      <c r="B4" s="4" t="inlineStr">
        <is>
          <t>Не начато</t>
        </is>
      </c>
      <c r="C4" s="4" t="inlineStr">
        <is>
          <t>Страница сайта</t>
        </is>
      </c>
      <c r="D4" s="4" t="inlineStr">
        <is>
          <t>Потребительские сегменты</t>
        </is>
      </c>
      <c r="E4" s="4" t="inlineStr">
        <is>
          <t>Первый релиз</t>
        </is>
      </c>
      <c r="F4" s="4" t="inlineStr">
        <is>
          <t>1 — очень низко</t>
        </is>
      </c>
      <c r="G4" s="4" t="inlineStr">
        <is>
          <t>Ценность</t>
        </is>
      </c>
      <c r="H4" s="4" t="inlineStr">
        <is>
          <t>Активация</t>
        </is>
      </c>
    </row>
    <row r="5">
      <c r="A5" s="4" t="inlineStr">
        <is>
          <t>Анализ отзывов</t>
        </is>
      </c>
      <c r="B5" s="4" t="inlineStr">
        <is>
          <t>В работе</t>
        </is>
      </c>
      <c r="C5" s="4" t="inlineStr">
        <is>
          <t>Экран приложения</t>
        </is>
      </c>
      <c r="D5" s="4" t="inlineStr">
        <is>
          <t>Ценностное предложение</t>
        </is>
      </c>
      <c r="E5" s="4" t="inlineStr">
        <is>
          <t>Следующий релиз</t>
        </is>
      </c>
      <c r="F5" s="4" t="inlineStr">
        <is>
          <t>2 — низко</t>
        </is>
      </c>
      <c r="G5" s="4" t="inlineStr">
        <is>
          <t>Данные</t>
        </is>
      </c>
      <c r="H5" s="4" t="inlineStr">
        <is>
          <t>Конверсия</t>
        </is>
      </c>
    </row>
    <row r="6">
      <c r="A6" s="4" t="inlineStr">
        <is>
          <t>Анализ конкурентов по сайтам</t>
        </is>
      </c>
      <c r="B6" s="4" t="inlineStr">
        <is>
          <t>Готово</t>
        </is>
      </c>
      <c r="C6" s="4" t="inlineStr">
        <is>
          <t>Функция</t>
        </is>
      </c>
      <c r="D6" s="4" t="inlineStr">
        <is>
          <t>Каналы</t>
        </is>
      </c>
      <c r="E6" s="4" t="inlineStr">
        <is>
          <t>Не включать / проверить</t>
        </is>
      </c>
      <c r="F6" s="4" t="inlineStr">
        <is>
          <t>3 — средне</t>
        </is>
      </c>
      <c r="G6" s="4" t="inlineStr">
        <is>
          <t>Стоимость</t>
        </is>
      </c>
      <c r="H6" s="4" t="inlineStr">
        <is>
          <t>Удержание</t>
        </is>
      </c>
    </row>
    <row r="7">
      <c r="A7" s="4" t="inlineStr">
        <is>
          <t>Классификация конкурентов</t>
        </is>
      </c>
      <c r="B7" s="4" t="inlineStr">
        <is>
          <t>Требует решения</t>
        </is>
      </c>
      <c r="C7" s="4" t="inlineStr">
        <is>
          <t>Интеграция</t>
        </is>
      </c>
      <c r="D7" s="4" t="inlineStr">
        <is>
          <t>Отношения с клиентами</t>
        </is>
      </c>
      <c r="E7" s="4" t="n"/>
      <c r="F7" s="4" t="inlineStr">
        <is>
          <t>4 — высоко</t>
        </is>
      </c>
      <c r="G7" s="4" t="inlineStr">
        <is>
          <t>Срок</t>
        </is>
      </c>
      <c r="H7" s="4" t="inlineStr">
        <is>
          <t>Повторное использование</t>
        </is>
      </c>
    </row>
    <row r="8">
      <c r="A8" s="4" t="inlineStr">
        <is>
          <t>Ценностное предложение</t>
        </is>
      </c>
      <c r="B8" s="4" t="n"/>
      <c r="C8" s="4" t="inlineStr">
        <is>
          <t>Контентный блок</t>
        </is>
      </c>
      <c r="D8" s="4" t="inlineStr">
        <is>
          <t>Потоки доходов</t>
        </is>
      </c>
      <c r="E8" s="4" t="n"/>
      <c r="F8" s="4" t="inlineStr">
        <is>
          <t>5 — очень высоко</t>
        </is>
      </c>
      <c r="G8" s="4" t="inlineStr">
        <is>
          <t>Технология</t>
        </is>
      </c>
      <c r="H8" s="4" t="inlineStr">
        <is>
          <t>Рост аудитории</t>
        </is>
      </c>
    </row>
    <row r="9">
      <c r="A9" s="4" t="inlineStr">
        <is>
          <t>Цифровой товар</t>
        </is>
      </c>
      <c r="B9" s="4" t="n"/>
      <c r="C9" s="4" t="inlineStr">
        <is>
          <t>Форма</t>
        </is>
      </c>
      <c r="D9" s="4" t="inlineStr">
        <is>
          <t>Ключевые ресурсы</t>
        </is>
      </c>
      <c r="E9" s="4" t="n"/>
      <c r="F9" s="4" t="n"/>
      <c r="G9" s="4" t="inlineStr">
        <is>
          <t>Монетизация</t>
        </is>
      </c>
      <c r="H9" s="4" t="inlineStr">
        <is>
          <t>Выручка</t>
        </is>
      </c>
    </row>
    <row r="10">
      <c r="A10" s="4" t="inlineStr">
        <is>
          <t>Канвас</t>
        </is>
      </c>
      <c r="B10" s="4" t="n"/>
      <c r="C10" s="4" t="inlineStr">
        <is>
          <t>Административная функция</t>
        </is>
      </c>
      <c r="D10" s="4" t="inlineStr">
        <is>
          <t>Ключевые виды деятельности</t>
        </is>
      </c>
      <c r="E10" s="4" t="n"/>
      <c r="F10" s="4" t="n"/>
      <c r="G10" s="4" t="inlineStr">
        <is>
          <t>Удержание</t>
        </is>
      </c>
      <c r="H10" s="4" t="inlineStr">
        <is>
          <t>Обращения в поддержку</t>
        </is>
      </c>
    </row>
    <row r="11">
      <c r="A11" s="4" t="inlineStr">
        <is>
          <t>Пользовательские сценарии</t>
        </is>
      </c>
      <c r="B11" s="4" t="n"/>
      <c r="C11" s="4" t="inlineStr">
        <is>
          <t>Аналитика</t>
        </is>
      </c>
      <c r="D11" s="4" t="inlineStr">
        <is>
          <t>Ключевые партнеры</t>
        </is>
      </c>
      <c r="E11" s="4" t="n"/>
      <c r="F11" s="4" t="n"/>
      <c r="G11" s="4" t="inlineStr">
        <is>
          <t>Рост</t>
        </is>
      </c>
      <c r="H11" s="4" t="inlineStr">
        <is>
          <t>Стоимость привлечения</t>
        </is>
      </c>
    </row>
    <row r="12">
      <c r="A12" s="4" t="inlineStr">
        <is>
          <t>Страницы и экраны</t>
        </is>
      </c>
      <c r="B12" s="4" t="n"/>
      <c r="C12" s="4" t="n"/>
      <c r="D12" s="4" t="inlineStr">
        <is>
          <t>Структура затрат</t>
        </is>
      </c>
      <c r="E12" s="4" t="n"/>
      <c r="F12" s="4" t="n"/>
      <c r="G12" s="4" t="n"/>
      <c r="H12" s="4" t="inlineStr">
        <is>
          <t>Срок реализации</t>
        </is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C32" sqref="C32"/>
    </sheetView>
  </sheetViews>
  <sheetFormatPr baseColWidth="8" defaultRowHeight="12.75"/>
  <cols>
    <col width="26.625" customWidth="1" style="9" min="1" max="1"/>
    <col width="8.625" customWidth="1" style="9" min="2" max="2"/>
    <col width="150.625" customWidth="1" style="9" min="3" max="3"/>
    <col width="9" customWidth="1" style="9" min="4" max="16384"/>
  </cols>
  <sheetData>
    <row r="1" ht="15.75" customHeight="1" s="15">
      <c r="A1" s="10" t="inlineStr">
        <is>
          <t>Журнал рабочей копии: формулы, варианты релизов, ограничения</t>
        </is>
      </c>
    </row>
    <row r="2"/>
    <row r="3">
      <c r="A3" s="11" t="inlineStr">
        <is>
          <t>Раздел</t>
        </is>
      </c>
      <c r="B3" s="11" t="inlineStr">
        <is>
          <t>Код</t>
        </is>
      </c>
      <c r="C3" s="11" t="inlineStr">
        <is>
          <t>Содержание</t>
        </is>
      </c>
    </row>
    <row r="4" ht="25.5" customHeight="1" s="15">
      <c r="A4" s="12" t="inlineStr">
        <is>
          <t>Формула</t>
        </is>
      </c>
      <c r="B4" s="12" t="inlineStr">
        <is>
          <t>Ф-1</t>
        </is>
      </c>
      <c r="C4" s="12" t="inlineStr">
        <is>
          <t>Применён расчёт шаблона: балл первого релиза и балл следующих релизов (шкала 1-5, 10 критериев), рекомендованный релиз - по правилам шаблона. ИРП по формуле docx (0-5, 9 показателей) не считался</t>
        </is>
      </c>
    </row>
    <row r="5">
      <c r="A5" s="12" t="inlineStr">
        <is>
          <t>Первый релиз по формуле</t>
        </is>
      </c>
      <c r="B5" s="12" t="inlineStr">
        <is>
          <t>Р-1</t>
        </is>
      </c>
      <c r="C5" s="12" t="inlineStr">
        <is>
          <t>Единицы, рекомендованные в первый релиз: U-001, U-002, U-003, U-005, U-006, U-007, U-008, U-009, U-014, U-015 (10 из 20)</t>
        </is>
      </c>
    </row>
    <row r="6" ht="38.25" customHeight="1" s="15">
      <c r="A6" s="12" t="inlineStr">
        <is>
          <t>Расхождение с формулой</t>
        </is>
      </c>
      <c r="B6" s="12" t="inlineStr">
        <is>
          <t>Р-3</t>
        </is>
      </c>
      <c r="C6" s="12" t="inlineStr">
        <is>
          <t>По формуле шаблона документация, мои диаграммы, подсказки об ошибках, профиль, ИИ-ассистент и форма поддержки получают «Не включать / проверить» (кроме совместного редактирования - «Следующий»). В листе «Следующие_релизы» они назначены в релиз 2 (удержание и качество) и далее вручную по методике 6.5 (п. 7.8): форма поддержки и правовые тексты - минимальный состав первого релиза</t>
        </is>
      </c>
    </row>
    <row r="7" ht="51" customHeight="1" s="15">
      <c r="A7" s="12" t="inlineStr">
        <is>
          <t>Вариант А</t>
        </is>
      </c>
      <c r="B7" s="12" t="inlineStr">
        <is>
          <t>В-А</t>
        </is>
      </c>
      <c r="C7" s="12" t="inlineStr">
        <is>
          <t>Вариант А «Быстрый выход»: Free и заявка на Pro без онлайн-оплаты. Состав релиза 1: главная, возможности, тарифы, регистрация, выбор нотации, редактор, экспорт, правовые тексты, аналитика, форма поддержки. Нотации волны 1 (UML, ERD, IDEF0, IDEF1X, IDEF3, DFD) и заглушка ИИ-ассистента входят. Исключения: онлайн-оплата, реальный ИИ-ассистент, BPMN 2.0 и сети Петри, подсказки об ошибках, совместная работа. Метрики: доля пользователей, построивших первую диаграмму; число заявок на Pro. Риск: платёжная готовность проверяется косвенно</t>
        </is>
      </c>
    </row>
    <row r="8" ht="38.25" customHeight="1" s="15">
      <c r="A8" s="12" t="inlineStr">
        <is>
          <t>Вариант Б</t>
        </is>
      </c>
      <c r="B8" s="12" t="inlineStr">
        <is>
          <t>В-Б</t>
        </is>
      </c>
      <c r="C8" s="12" t="inlineStr">
        <is>
          <t>Вариант Б «С оплатой»: Free и онлайн-оплата Pro (40 USD в год). Состав релиза 1: вариант А плюс оплата Pro и профиль с подпиской. Исключения: реальный ИИ-ассистент (в первом релизе заглушка), BPMN 2.0 и сети Петри, подсказки об ошибках, совместная работа, API. Метрики: доля первой диаграммы, конверсия Free в Pro, повторное использование. Риск: нужен платёжный провайдер и срок увеличивается</t>
        </is>
      </c>
    </row>
    <row r="9">
      <c r="A9" s="12" t="inlineStr">
        <is>
          <t>Рекомендация</t>
        </is>
      </c>
      <c r="B9" s="12" t="inlineStr">
        <is>
          <t>Р-2</t>
        </is>
      </c>
      <c r="C9" s="12" t="inlineStr">
        <is>
          <t>Рекомендуется вариант Б, если платёжный провайдер выбран до релиза 1: граница экономии - один проверяемый способ монетизации; иначе вариант А как временный</t>
        </is>
      </c>
    </row>
    <row r="10">
      <c r="A10" s="12" t="inlineStr">
        <is>
          <t>Ограничения</t>
        </is>
      </c>
      <c r="B10" s="12" t="inlineStr">
        <is>
          <t>О-1</t>
        </is>
      </c>
      <c r="C10" s="12" t="inlineStr">
        <is>
          <t>Оценки экспертные; сроки, бюджет и пороги метрик не заданы. 🔲 ДОСНЯТЬ: срок и бюджет релиза 1, целевые значения метрик, даты релизов, платёжный провайдер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:title xmlns:dc="http://purl.org/dc/elements/1.1/">Релизы NotaCode</dc:title>
  <dcterms:created xmlns:dcterms="http://purl.org/dc/terms/" xmlns:xsi="http://www.w3.org/2001/XMLSchema-instance" xsi:type="dcterms:W3CDTF">2026-10-04T14:42:39Z</dcterms:created>
  <dcterms:modified xmlns:dcterms="http://purl.org/dc/terms/" xmlns:xsi="http://www.w3.org/2001/XMLSchema-instance" xsi:type="dcterms:W3CDTF">2026-10-04T14:43:43Z</dcterms:modified>
  <cp:lastModifiedBy>Aliaksandr Khajynau</cp:lastModifiedBy>
</cp:coreProperties>
</file>