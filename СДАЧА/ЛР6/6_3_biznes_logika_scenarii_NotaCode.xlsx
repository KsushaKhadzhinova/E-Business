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5" activeTab="11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Банк анализа" sheetId="2" state="visible" r:id="rId2"/>
    <sheet xmlns:r="http://schemas.openxmlformats.org/officeDocument/2006/relationships" name="Бизнес-логика" sheetId="3" state="visible" r:id="rId3"/>
    <sheet xmlns:r="http://schemas.openxmlformats.org/officeDocument/2006/relationships" name="Роли и сегменты" sheetId="4" state="visible" r:id="rId4"/>
    <sheet xmlns:r="http://schemas.openxmlformats.org/officeDocument/2006/relationships" name="Пользовательские сценарии" sheetId="5" state="visible" r:id="rId5"/>
    <sheet xmlns:r="http://schemas.openxmlformats.org/officeDocument/2006/relationships" name="Карта сценариев" sheetId="6" state="visible" r:id="rId6"/>
    <sheet xmlns:r="http://schemas.openxmlformats.org/officeDocument/2006/relationships" name="Функциональные требования" sheetId="7" state="visible" r:id="rId7"/>
    <sheet xmlns:r="http://schemas.openxmlformats.org/officeDocument/2006/relationships" name="Приоритизация" sheetId="8" state="visible" r:id="rId8"/>
    <sheet xmlns:r="http://schemas.openxmlformats.org/officeDocument/2006/relationships" name="Связность" sheetId="9" state="visible" r:id="rId9"/>
    <sheet xmlns:r="http://schemas.openxmlformats.org/officeDocument/2006/relationships" name="Дашборд" sheetId="10" state="visible" r:id="rId10"/>
    <sheet xmlns:r="http://schemas.openxmlformats.org/officeDocument/2006/relationships" name="Справочники" sheetId="11" state="visible" r:id="rId11"/>
    <sheet xmlns:r="http://schemas.openxmlformats.org/officeDocument/2006/relationships" name="Журнал_6_3" sheetId="12" state="visible" r:id="rId12"/>
  </sheets>
  <definedNames/>
  <calcPr calcId="191029" fullCalcOnLoad="1" refMode="R1C1"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Carlito"/>
      <b val="1"/>
      <color rgb="FFFFFFFF"/>
      <sz val="14"/>
    </font>
    <font>
      <name val="Carlito"/>
      <b val="1"/>
      <color rgb="FF1F2937"/>
      <sz val="11"/>
    </font>
    <font>
      <name val="Carlito"/>
      <b val="1"/>
      <color rgb="FFFFFFFF"/>
      <sz val="11"/>
    </font>
    <font>
      <name val="Carlito"/>
      <sz val="11"/>
    </font>
    <font>
      <name val="Carlito"/>
      <sz val="10"/>
    </font>
    <font>
      <name val="Carlito"/>
      <charset val="204"/>
      <b val="1"/>
      <sz val="10"/>
    </font>
    <font>
      <name val="Carlito"/>
      <charset val="204"/>
      <b val="1"/>
      <sz val="12"/>
    </font>
  </fonts>
  <fills count="9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rgb="FFC6E0B4"/>
      </patternFill>
    </fill>
    <fill>
      <patternFill patternType="solid">
        <fgColor rgb="FFD9EAF7"/>
      </patternFill>
    </fill>
    <fill>
      <patternFill patternType="solid">
        <fgColor rgb="FFFFFDE7"/>
      </patternFill>
    </fill>
    <fill>
      <patternFill patternType="solid">
        <fgColor rgb="FF1F4E79"/>
      </patternFill>
    </fill>
    <fill>
      <patternFill patternType="solid">
        <fgColor rgb="FFE8F5E9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4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wrapText="1"/>
    </xf>
    <xf numFmtId="0" fontId="0" fillId="0" borderId="0" applyAlignment="1" pivotButton="0" quotePrefix="0" xfId="1">
      <alignment vertical="top" wrapText="1"/>
    </xf>
    <xf numFmtId="0" fontId="0" fillId="5" borderId="0" applyAlignment="1" pivotButton="0" quotePrefix="0" xfId="1">
      <alignment vertical="top" wrapText="1"/>
    </xf>
    <xf numFmtId="0" fontId="3" fillId="6" borderId="0" applyAlignment="1" pivotButton="0" quotePrefix="0" xfId="1">
      <alignment horizontal="center" vertical="center" wrapText="1"/>
    </xf>
    <xf numFmtId="1" fontId="0" fillId="5" borderId="0" applyAlignment="1" pivotButton="0" quotePrefix="0" xfId="1">
      <alignment vertical="top" wrapText="1"/>
    </xf>
    <xf numFmtId="2" fontId="0" fillId="7" borderId="0" applyAlignment="1" pivotButton="0" quotePrefix="0" xfId="1">
      <alignment vertical="top" wrapText="1"/>
    </xf>
    <xf numFmtId="0" fontId="0" fillId="7" borderId="0" applyAlignment="1" pivotButton="0" quotePrefix="0" xfId="1">
      <alignment vertical="top" wrapText="1"/>
    </xf>
    <xf numFmtId="9" fontId="0" fillId="7" borderId="0" applyAlignment="1" pivotButton="0" quotePrefix="0" xfId="1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6" fillId="8" borderId="1" pivotButton="0" quotePrefix="0" xfId="0"/>
    <xf numFmtId="0" fontId="5" fillId="0" borderId="1" applyAlignment="1" pivotButton="0" quotePrefix="0" xfId="0">
      <alignment vertical="top" wrapText="1"/>
    </xf>
    <xf numFmtId="0" fontId="1" fillId="2" borderId="0" applyAlignment="1" pivotButton="0" quotePrefix="0" xfId="1">
      <alignment horizontal="left" vertical="center" wrapText="1"/>
    </xf>
    <xf numFmtId="0" fontId="2" fillId="4" borderId="0" applyAlignment="1" pivotButton="0" quotePrefix="0" xfId="1">
      <alignment horizontal="left" vertical="center" wrapText="1"/>
    </xf>
    <xf numFmtId="0" fontId="4" fillId="5" borderId="0" applyAlignment="1" pivotButton="0" quotePrefix="0" xfId="1">
      <alignment vertical="top"/>
    </xf>
    <xf numFmtId="0" fontId="0" fillId="0" borderId="0" applyAlignment="1" pivotButton="0" quotePrefix="0" xfId="1">
      <alignment vertical="top"/>
    </xf>
  </cellXfs>
  <cellStyles count="2">
    <cellStyle name="Обычный" xfId="0" builtinId="0"/>
    <cellStyle name="Normal" xfId="1"/>
  </cellStyles>
  <dxfs count="18">
    <dxf>
      <alignment horizontal="center" vertical="center" wrapText="1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font>
        <b val="1"/>
      </font>
      <fill>
        <patternFill patternType="solid">
          <bgColor rgb="FFFCE4D6"/>
        </patternFill>
      </fill>
    </dxf>
    <dxf>
      <font>
        <b val="1"/>
      </font>
      <fill>
        <patternFill patternType="solid">
          <bgColor rgb="FFE2F0D9"/>
        </patternFill>
      </fill>
    </dxf>
    <dxf>
      <font>
        <b val="1"/>
      </font>
      <fill>
        <patternFill patternType="solid">
          <bgColor rgb="FFFCE4D6"/>
        </patternFill>
      </fill>
    </dxf>
    <dxf>
      <font>
        <b val="1"/>
      </font>
      <fill>
        <patternFill patternType="solid">
          <bgColor rgb="FFE2F0D9"/>
        </patternFill>
      </fill>
    </dxf>
    <dxf>
      <font>
        <b val="1"/>
      </font>
      <fill>
        <patternFill patternType="solid">
          <bgColor rgb="FFE2F0D9"/>
        </patternFill>
      </fill>
    </dxf>
    <dxf>
      <font>
        <b val="1"/>
        <color rgb="FF1F2937"/>
      </font>
      <fill>
        <patternFill patternType="solid">
          <bgColor rgb="FFFFC000"/>
        </patternFill>
      </fill>
    </dxf>
    <dxf>
      <font>
        <b val="1"/>
        <color rgb="FFFFFFFF"/>
      </font>
      <fill>
        <patternFill patternType="solid">
          <bgColor rgb="FFC00000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ru-RU"/>
              <a:t>Сценарии и требования по приоритетам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Сценарии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Дашборд!$F$5:$F$9</f>
              <strCache>
                <ptCount val="5"/>
                <pt idx="0">
                  <v>Критический</v>
                </pt>
                <pt idx="1">
                  <v>Высокий</v>
                </pt>
                <pt idx="2">
                  <v>Средний</v>
                </pt>
                <pt idx="3">
                  <v>Низкий</v>
                </pt>
                <pt idx="4">
                  <v>Отложить</v>
                </pt>
              </strCache>
            </strRef>
          </cat>
          <val>
            <numRef>
              <f>Дашборд!$G$5:$G$9</f>
              <numCache>
                <formatCode>General</formatCode>
                <ptCount val="5"/>
                <pt idx="0">
                  <v>1</v>
                </pt>
                <pt idx="1">
                  <v>5</v>
                </pt>
                <pt idx="2">
                  <v>2</v>
                </pt>
                <pt idx="3">
                  <v>3</v>
                </pt>
                <pt idx="4">
                  <v>1</v>
                </pt>
              </numCache>
            </numRef>
          </val>
        </ser>
        <ser>
          <idx val="1"/>
          <order val="1"/>
          <tx>
            <v>Требования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Дашборд!$F$5:$F$9</f>
              <strCache>
                <ptCount val="5"/>
                <pt idx="0">
                  <v>Критический</v>
                </pt>
                <pt idx="1">
                  <v>Высокий</v>
                </pt>
                <pt idx="2">
                  <v>Средний</v>
                </pt>
                <pt idx="3">
                  <v>Низкий</v>
                </pt>
                <pt idx="4">
                  <v>Отложить</v>
                </pt>
              </strCache>
            </strRef>
          </cat>
          <val>
            <numRef>
              <f>Дашборд!$H$5:$H$9</f>
              <numCache>
                <formatCode>General</formatCode>
                <ptCount val="5"/>
                <pt idx="0">
                  <v>2</v>
                </pt>
                <pt idx="1">
                  <v>3</v>
                </pt>
                <pt idx="2">
                  <v>6</v>
                </pt>
                <pt idx="3">
                  <v>2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10</col>
      <colOff>0</colOff>
      <row>2</row>
      <rowOff>0</rowOff>
    </from>
    <to>
      <col>19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InstructionTable" displayName="InstructionTable" ref="A9:H17" headerRowCount="1" dataDxfId="1">
  <tableColumns count="8">
    <tableColumn id="1" name="Этап" dataDxfId="9"/>
    <tableColumn id="2" name="Что сделать" dataDxfId="8"/>
    <tableColumn id="3" name="Основной лист" dataDxfId="7"/>
    <tableColumn id="4" name="Результат" dataDxfId="6"/>
    <tableColumn id="5" name="Проверка качества" dataDxfId="5"/>
    <tableColumn id="6" name="Связь с методикой" dataDxfId="4"/>
    <tableColumn id="7" name="Ответственный" dataDxfId="3"/>
    <tableColumn id="8" name="Статус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nalysisBankTable" displayName="AnalysisBankTable" ref="A3:N203" headerRowCount="1" headerRowDxfId="0">
  <tableColumns count="14">
    <tableColumn id="1" name="ID вывода"/>
    <tableColumn id="2" name="Направление анализа"/>
    <tableColumn id="3" name="Объект анализа"/>
    <tableColumn id="4" name="Краткий вывод"/>
    <tableColumn id="5" name="Подтверждающий факт"/>
    <tableColumn id="6" name="Источник / ссылка"/>
    <tableColumn id="7" name="Сила доказательства (1-4)"/>
    <tableColumn id="8" name="Значимость для модели (1-5)"/>
    <tableColumn id="9" name="Риск ошибочной интерпретации (1-5)"/>
    <tableColumn id="10" name="Индекс опоры"/>
    <tableColumn id="11" name="Связанный блок Канвас"/>
    <tableColumn id="12" name="Связанная проблема / роль / сценарий"/>
    <tableColumn id="13" name="Решение использовать"/>
    <tableColumn id="14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usinessLogicTable" displayName="BusinessLogicTable" ref="A3:O203" headerRowCount="1">
  <tableColumns count="15">
    <tableColumn id="1" name="ID элемента"/>
    <tableColumn id="2" name="Элемент бизнес-логики"/>
    <tableColumn id="3" name="Тип бизнес-логики"/>
    <tableColumn id="4" name="Какая ценность создается"/>
    <tableColumn id="5" name="Для кого"/>
    <tableColumn id="6" name="Цифровой товар / функция"/>
    <tableColumn id="7" name="Процесс или механизм"/>
    <tableColumn id="8" name="Источник выручки / единица монетизации"/>
    <tableColumn id="9" name="Связанный вывод анализа"/>
    <tableColumn id="10" name="Доказательность (1-4)"/>
    <tableColumn id="11" name="Влияние на модель (1-5)"/>
    <tableColumn id="12" name="Проверка связности"/>
    <tableColumn id="13" name="Индекс надежности"/>
    <tableColumn id="14" name="Статус"/>
    <tableColumn id="15" name="Нужное уточнени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olesSegmentsTable" displayName="RolesSegmentsTable" ref="A3:N203" headerRowCount="1">
  <tableColumns count="14">
    <tableColumn id="1" name="ID роли"/>
    <tableColumn id="2" name="Роль / сегмент"/>
    <tableColumn id="3" name="Потребительская задача"/>
    <tableColumn id="4" name="Проблема"/>
    <tableColumn id="5" name="Мотивация"/>
    <tableColumn id="6" name="Ограничения"/>
    <tableColumn id="7" name="Готовность платить (1-5)"/>
    <tableColumn id="8" name="Частота потребности (1-5)"/>
    <tableColumn id="9" name="Ценность сегмента"/>
    <tableColumn id="10" name="Канал входа"/>
    <tableColumn id="11" name="Связанный блок Канвас"/>
    <tableColumn id="12" name="Основание из анализа"/>
    <tableColumn id="13" name="Доказательность (1-4)"/>
    <tableColumn id="14" name="Стату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UserScenariosTable" displayName="UserScenariosTable" ref="A3:U203" headerRowCount="1">
  <tableColumns count="21">
    <tableColumn id="1" name="ID сценария"/>
    <tableColumn id="2" name="Название сценария"/>
    <tableColumn id="3" name="Роль"/>
    <tableColumn id="4" name="Этап"/>
    <tableColumn id="5" name="Тип сценария"/>
    <tableColumn id="6" name="Исходная проблема"/>
    <tableColumn id="7" name="Цель пользователя"/>
    <tableColumn id="8" name="Триггер"/>
    <tableColumn id="9" name="Основной путь"/>
    <tableColumn id="10" name="Альтернативный путь / ошибка"/>
    <tableColumn id="11" name="Результат для пользователя"/>
    <tableColumn id="12" name="Результат для бизнес-модели"/>
    <tableColumn id="13" name="Единица монетизации"/>
    <tableColumn id="14" name="Частота потребности (1-5)"/>
    <tableColumn id="15" name="Значимость проблемы (1-5)"/>
    <tableColumn id="16" name="Влияние на выручку (1-5)"/>
    <tableColumn id="17" name="Доказательность (1-4)"/>
    <tableColumn id="18" name="Индекс сценария"/>
    <tableColumn id="19" name="Приоритет"/>
    <tableColumn id="20" name="Статус"/>
    <tableColumn id="21" name="Источник анализа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cenarioMapTable" displayName="ScenarioMapTable" ref="A3:O103" headerRowCount="1">
  <tableColumns count="15">
    <tableColumn id="1" name="ID сценария"/>
    <tableColumn id="2" name="Роль"/>
    <tableColumn id="3" name="Сценарий"/>
    <tableColumn id="4" name="Привлечение"/>
    <tableColumn id="5" name="Первичный интерес"/>
    <tableColumn id="6" name="Регистрация"/>
    <tableColumn id="7" name="Настройка"/>
    <tableColumn id="8" name="Получение ценности"/>
    <tableColumn id="9" name="Оплата"/>
    <tableColumn id="10" name="Повторное использование"/>
    <tableColumn id="11" name="Поддержка"/>
    <tableColumn id="12" name="Удержание"/>
    <tableColumn id="13" name="Разрыв / риск"/>
    <tableColumn id="14" name="Критическая точка"/>
    <tableColumn id="15" name="Комментарий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unctionalRequirementsTable" displayName="FunctionalRequirementsTable" ref="A3:Q203" headerRowCount="1">
  <tableColumns count="17">
    <tableColumn id="1" name="ID требования"/>
    <tableColumn id="2" name="Требование"/>
    <tableColumn id="3" name="Связанный сценарий"/>
    <tableColumn id="4" name="Роль"/>
    <tableColumn id="5" name="Пользовательская задача"/>
    <tableColumn id="6" name="Бизнес-цель"/>
    <tableColumn id="7" name="Категория Кано"/>
    <tableColumn id="8" name="Уровень товара по Левитту"/>
    <tableColumn id="9" name="Влияние на ценность (1-5)"/>
    <tableColumn id="10" name="Влияние на монетизацию (1-5)"/>
    <tableColumn id="11" name="Сложность реализации (1-5)"/>
    <tableColumn id="12" name="Доказательность (1-4)"/>
    <tableColumn id="13" name="Индекс приоритета"/>
    <tableColumn id="14" name="Приоритет"/>
    <tableColumn id="15" name="MVP"/>
    <tableColumn id="16" name="Статус"/>
    <tableColumn id="17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rioritizationTable" displayName="PrioritizationTable" ref="A3:N203" headerRowCount="1">
  <tableColumns count="14">
    <tableColumn id="1" name="ID инициативы"/>
    <tableColumn id="2" name="Инициатива"/>
    <tableColumn id="3" name="Тип"/>
    <tableColumn id="4" name="Связанный сценарий"/>
    <tableColumn id="5" name="Связанное требование"/>
    <tableColumn id="6" name="Пользовательская ценность (1-5)"/>
    <tableColumn id="7" name="Бизнес-эффект (1-5)"/>
    <tableColumn id="8" name="Доказательность (1-4)"/>
    <tableColumn id="9" name="Сложность (1-5)"/>
    <tableColumn id="10" name="Риск (1-5)"/>
    <tableColumn id="11" name="Итоговый индекс"/>
    <tableColumn id="12" name="Решение"/>
    <tableColumn id="13" name="Период реализации"/>
    <tableColumn id="14" name="Комментарий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CoherenceTable" displayName="CoherenceTable" ref="A3:I13" headerRowCount="1">
  <tableColumns count="9">
    <tableColumn id="1" name="Контрольная точка"/>
    <tableColumn id="2" name="Что проверяется"/>
    <tableColumn id="3" name="Проверочный вопрос"/>
    <tableColumn id="4" name="Источник листа"/>
    <tableColumn id="5" name="Критерий прохождения"/>
    <tableColumn id="6" name="Количество"/>
    <tableColumn id="7" name="Порог"/>
    <tableColumn id="8" name="Статус"/>
    <tableColumn id="9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topLeftCell="D1" workbookViewId="0">
      <selection activeCell="E27" sqref="E27"/>
    </sheetView>
  </sheetViews>
  <sheetFormatPr baseColWidth="8" defaultRowHeight="14.25"/>
  <cols>
    <col width="8" customWidth="1" min="1" max="1"/>
    <col width="47.875" customWidth="1" min="2" max="2"/>
    <col width="27.25" customWidth="1" min="3" max="3"/>
    <col width="69.5" customWidth="1" min="4" max="4"/>
    <col width="65.5" customWidth="1" min="5" max="5"/>
    <col width="59.375" customWidth="1" min="6" max="6"/>
    <col width="18" customWidth="1" min="7" max="8"/>
  </cols>
  <sheetData>
    <row r="1" ht="15" customHeight="1">
      <c r="A1" s="14" t="inlineStr">
        <is>
          <t>Excel-шаблон к методике формулирования бизнес-логики и пользовательских сценариев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/>
    <row r="3" ht="17.1" customHeight="1">
      <c r="A3" s="15" t="inlineStr">
        <is>
          <t>Назначение файла</t>
        </is>
      </c>
    </row>
    <row r="4" ht="17.1" customHeight="1">
      <c r="A4" s="16" t="inlineStr">
        <is>
          <t>Этот файл предназначен для последовательной сборки бизнес-логики цифрового товара и пользовательских сценариев на основе всех ранее выполненных видов анализа: проблем, отзывов, конкурентов, рыночного стандарта, ценностного предложения, цифрового товара и Канвас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</row>
    <row r="5" ht="17.1" customHeight="1">
      <c r="A5" s="16" t="inlineStr">
        <is>
          <t>Ключевой принцип: каждый элемент бизнес-логики и каждый пользовательский сценарий должен иметь источник, доказательство, связь с ценностным предложением, цифровым товаром, монетизацией и блоком бизнес-модели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</row>
    <row r="6" ht="17.1" customHeight="1">
      <c r="A6" s="16" t="inlineStr">
        <is>
          <t>Сначала заполняется «Банк анализа», затем «Бизнес-логика», «Роли и сегменты», «Пользовательские сценарии», «Функциональные требования», «Приоритизация» и «Связность». Лист «Дашборд» рассчитывается автоматически</t>
        </is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</row>
    <row r="7" ht="17.1" customHeight="1">
      <c r="A7" s="16" t="inlineStr">
        <is>
          <t>Желтые ячейки — зоны ручного ввода. Зеленые ячейки — расчетные поля. Выпадающие списки берутся из листа «Справочники»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</row>
    <row r="8" ht="17.1" customHeight="1"/>
    <row r="9" ht="17.1" customHeight="1">
      <c r="A9" s="5" t="inlineStr">
        <is>
          <t>Этап</t>
        </is>
      </c>
      <c r="B9" s="5" t="inlineStr">
        <is>
          <t>Что сделать</t>
        </is>
      </c>
      <c r="C9" s="5" t="inlineStr">
        <is>
          <t>Основной лист</t>
        </is>
      </c>
      <c r="D9" s="5" t="inlineStr">
        <is>
          <t>Результат</t>
        </is>
      </c>
      <c r="E9" s="5" t="inlineStr">
        <is>
          <t>Проверка качества</t>
        </is>
      </c>
      <c r="F9" s="5" t="inlineStr">
        <is>
          <t>Связь с методикой</t>
        </is>
      </c>
      <c r="G9" s="5" t="inlineStr">
        <is>
          <t>Ответственный</t>
        </is>
      </c>
      <c r="H9" s="5" t="inlineStr">
        <is>
          <t>Статус</t>
        </is>
      </c>
    </row>
    <row r="10" ht="17.1" customHeight="1">
      <c r="A10" s="17" t="n">
        <v>1</v>
      </c>
      <c r="B10" s="17" t="inlineStr">
        <is>
          <t>Перенести ключевые выводы из всех видов анализа</t>
        </is>
      </c>
      <c r="C10" s="17" t="inlineStr">
        <is>
          <t>Банк анализа</t>
        </is>
      </c>
      <c r="D10" s="17" t="inlineStr">
        <is>
          <t>Единая доказательная база</t>
        </is>
      </c>
      <c r="E10" s="17" t="inlineStr">
        <is>
          <t>Есть ссылка/факт/уровень доказательности</t>
        </is>
      </c>
      <c r="F10" s="17" t="inlineStr">
        <is>
          <t>Анализ проблем, отзывов, конкурентов, Канвас</t>
        </is>
      </c>
      <c r="G10" s="17" t="inlineStr">
        <is>
          <t>Хаджынова К.А</t>
        </is>
      </c>
      <c r="H10" s="17" t="inlineStr">
        <is>
          <t>Пройдено</t>
        </is>
      </c>
    </row>
    <row r="11" ht="17.1" customHeight="1">
      <c r="A11" s="17" t="n">
        <v>2</v>
      </c>
      <c r="B11" s="17" t="inlineStr">
        <is>
          <t>Сформулировать элементы бизнес-логики</t>
        </is>
      </c>
      <c r="C11" s="17" t="inlineStr">
        <is>
          <t>Бизнес-логика</t>
        </is>
      </c>
      <c r="D11" s="17" t="inlineStr">
        <is>
          <t>Понятно, за счет чего создается, доставляется и монетизируется ценность</t>
        </is>
      </c>
      <c r="E11" s="17" t="inlineStr">
        <is>
          <t>Для элемента указаны ценность, товар, процесс и выручка</t>
        </is>
      </c>
      <c r="F11" s="17" t="inlineStr">
        <is>
          <t>Сборка бизнес-модели</t>
        </is>
      </c>
      <c r="G11" s="17" t="inlineStr">
        <is>
          <t>Хаджынова К.А</t>
        </is>
      </c>
      <c r="H11" s="17" t="inlineStr">
        <is>
          <t>Пройдено</t>
        </is>
      </c>
    </row>
    <row r="12" ht="17.1" customHeight="1">
      <c r="A12" s="17" t="n">
        <v>3</v>
      </c>
      <c r="B12" s="17" t="inlineStr">
        <is>
          <t>Описать роли и сегменты пользователей</t>
        </is>
      </c>
      <c r="C12" s="17" t="inlineStr">
        <is>
          <t>Роли и сегменты</t>
        </is>
      </c>
      <c r="D12" s="17" t="inlineStr">
        <is>
          <t>Понятно, кто участвует в сценариях</t>
        </is>
      </c>
      <c r="E12" s="17" t="inlineStr">
        <is>
          <t>У каждой роли есть задача, проблема и основание</t>
        </is>
      </c>
      <c r="F12" s="17" t="inlineStr">
        <is>
          <t>Потребительские сегменты Канвас</t>
        </is>
      </c>
      <c r="G12" s="17" t="inlineStr">
        <is>
          <t>Хаджынова К.А</t>
        </is>
      </c>
      <c r="H12" s="17" t="inlineStr">
        <is>
          <t>Пройдено</t>
        </is>
      </c>
    </row>
    <row r="13" ht="17.1" customHeight="1">
      <c r="A13" s="17" t="n">
        <v>4</v>
      </c>
      <c r="B13" s="17" t="inlineStr">
        <is>
          <t>Собрать пользовательские сценарии</t>
        </is>
      </c>
      <c r="C13" s="17" t="inlineStr">
        <is>
          <t>Пользовательские сценарии</t>
        </is>
      </c>
      <c r="D13" s="17" t="inlineStr">
        <is>
          <t>Описаны основные, монетизационные, сервисные и удерживающие сценарии</t>
        </is>
      </c>
      <c r="E13" s="17" t="inlineStr">
        <is>
          <t>У сценария есть проблема, цель, результат и монетизация</t>
        </is>
      </c>
      <c r="F13" s="17" t="inlineStr">
        <is>
          <t>Переход от ценности к поведению пользователя</t>
        </is>
      </c>
      <c r="G13" s="17" t="inlineStr">
        <is>
          <t>Хаджынова К.А</t>
        </is>
      </c>
      <c r="H13" s="17" t="inlineStr">
        <is>
          <t>Пройдено</t>
        </is>
      </c>
    </row>
    <row r="14" ht="17.1" customHeight="1">
      <c r="A14" s="17" t="n">
        <v>5</v>
      </c>
      <c r="B14" s="17" t="inlineStr">
        <is>
          <t>Разложить сценарии по этапам взаимодействия</t>
        </is>
      </c>
      <c r="C14" s="17" t="inlineStr">
        <is>
          <t>Карта сценариев</t>
        </is>
      </c>
      <c r="D14" s="17" t="inlineStr">
        <is>
          <t>Видны точки входа, оплаты, поддержки и удержания</t>
        </is>
      </c>
      <c r="E14" s="17" t="inlineStr">
        <is>
          <t>Нет разрывов между этапами</t>
        </is>
      </c>
      <c r="F14" s="17" t="inlineStr">
        <is>
          <t>Клиентский путь</t>
        </is>
      </c>
      <c r="G14" s="17" t="inlineStr">
        <is>
          <t>Хаджынова К.А</t>
        </is>
      </c>
      <c r="H14" s="17" t="inlineStr">
        <is>
          <t>Пройдено</t>
        </is>
      </c>
    </row>
    <row r="15" ht="17.1" customHeight="1">
      <c r="A15" s="17" t="n">
        <v>6</v>
      </c>
      <c r="B15" s="17" t="inlineStr">
        <is>
          <t>Перевести сценарии в требования</t>
        </is>
      </c>
      <c r="C15" s="17" t="inlineStr">
        <is>
          <t>Функциональные требования</t>
        </is>
      </c>
      <c r="D15" s="17" t="inlineStr">
        <is>
          <t>Получен перечень функций и требований</t>
        </is>
      </c>
      <c r="E15" s="17" t="inlineStr">
        <is>
          <t>Требование связано со сценарием и бизнес-целью</t>
        </is>
      </c>
      <c r="F15" s="17" t="inlineStr">
        <is>
          <t>Товар как носитель ценности</t>
        </is>
      </c>
      <c r="G15" s="17" t="inlineStr">
        <is>
          <t>Хаджынова К.А</t>
        </is>
      </c>
      <c r="H15" s="17" t="inlineStr">
        <is>
          <t>Пройдено</t>
        </is>
      </c>
    </row>
    <row r="16" ht="17.1" customHeight="1">
      <c r="A16" s="17" t="n">
        <v>7</v>
      </c>
      <c r="B16" s="17" t="inlineStr">
        <is>
          <t>Приоритизировать инициативы</t>
        </is>
      </c>
      <c r="C16" s="17" t="inlineStr">
        <is>
          <t>Приоритизация</t>
        </is>
      </c>
      <c r="D16" s="17" t="inlineStr">
        <is>
          <t>Определена очередность разработки</t>
        </is>
      </c>
      <c r="E16" s="17" t="inlineStr">
        <is>
          <t>Приоритет зависит от ценности, эффекта, доказательности и сложности</t>
        </is>
      </c>
      <c r="F16" s="17" t="inlineStr">
        <is>
          <t>MVP и развитие продукта</t>
        </is>
      </c>
      <c r="G16" s="17" t="inlineStr">
        <is>
          <t>Хаджынова К.А</t>
        </is>
      </c>
      <c r="H16" s="17" t="inlineStr">
        <is>
          <t>Пройдено</t>
        </is>
      </c>
    </row>
    <row r="17" ht="17.1" customHeight="1">
      <c r="A17" s="17" t="n">
        <v>8</v>
      </c>
      <c r="B17" s="17" t="inlineStr">
        <is>
          <t>Проверить связность всей конструкции</t>
        </is>
      </c>
      <c r="C17" s="17" t="inlineStr">
        <is>
          <t>Связность</t>
        </is>
      </c>
      <c r="D17" s="17" t="inlineStr">
        <is>
          <t>Выявлены слабые места модели</t>
        </is>
      </c>
      <c r="E17" s="17" t="inlineStr">
        <is>
          <t>Контрольные точки пройдены</t>
        </is>
      </c>
      <c r="F17" s="17" t="inlineStr">
        <is>
          <t>Цепочка «анализ → логика → сценарий → товар → монетизация»</t>
        </is>
      </c>
      <c r="G17" s="17" t="inlineStr">
        <is>
          <t>Хаджынова К.А</t>
        </is>
      </c>
      <c r="H17" s="17" t="inlineStr">
        <is>
          <t>Пройдено</t>
        </is>
      </c>
    </row>
    <row r="18" ht="17.1" customHeight="1"/>
    <row r="19" ht="17.1" customHeight="1"/>
    <row r="20" ht="17.1" customHeight="1"/>
    <row r="21" ht="17.1" customHeight="1"/>
    <row r="22" ht="17.1" customHeight="1"/>
    <row r="23" ht="17.1" customHeight="1"/>
    <row r="24" ht="17.1" customHeight="1"/>
    <row r="25" ht="17.1" customHeight="1"/>
    <row r="26" ht="17.1" customHeight="1"/>
    <row r="27" ht="17.1" customHeight="1"/>
    <row r="28" ht="17.1" customHeight="1"/>
    <row r="29" ht="17.1" customHeight="1"/>
    <row r="30" ht="17.1" customHeight="1"/>
    <row r="31" ht="17.1" customHeight="1"/>
    <row r="32" ht="17.1" customHeight="1"/>
    <row r="33" ht="17.1" customHeight="1"/>
    <row r="34" ht="17.1" customHeight="1"/>
    <row r="35" ht="17.1" customHeight="1"/>
    <row r="36" ht="17.1" customHeight="1"/>
    <row r="37" ht="17.1" customHeight="1"/>
    <row r="38" ht="17.1" customHeight="1"/>
    <row r="39" ht="17.1" customHeight="1"/>
    <row r="40" ht="17.1" customHeight="1"/>
    <row r="41" ht="17.1" customHeight="1"/>
    <row r="42" ht="17.1" customHeight="1"/>
    <row r="43" ht="17.1" customHeight="1"/>
    <row r="44" ht="17.1" customHeight="1"/>
    <row r="45" ht="17.1" customHeight="1"/>
    <row r="46" ht="17.1" customHeight="1"/>
    <row r="47" ht="17.1" customHeight="1"/>
    <row r="48" ht="17.1" customHeight="1"/>
    <row r="49" ht="17.1" customHeight="1"/>
    <row r="50" ht="17.1" customHeight="1"/>
    <row r="51" ht="17.1" customHeight="1"/>
    <row r="52" ht="17.1" customHeight="1"/>
    <row r="53" ht="17.1" customHeight="1"/>
    <row r="54" ht="17.1" customHeight="1"/>
    <row r="55" ht="17.1" customHeight="1"/>
    <row r="56" ht="17.1" customHeight="1"/>
    <row r="57" ht="17.1" customHeight="1"/>
    <row r="58" ht="17.1" customHeight="1"/>
    <row r="59" ht="17.1" customHeight="1"/>
    <row r="60" ht="17.1" customHeight="1"/>
    <row r="61" ht="17.1" customHeight="1"/>
    <row r="62" ht="17.1" customHeight="1"/>
    <row r="63" ht="17.1" customHeight="1"/>
    <row r="64" ht="17.1" customHeight="1"/>
    <row r="65" ht="17.1" customHeight="1"/>
    <row r="66" ht="17.1" customHeight="1"/>
    <row r="67" ht="17.1" customHeight="1"/>
    <row r="68" ht="17.1" customHeight="1"/>
    <row r="69" ht="17.1" customHeight="1"/>
    <row r="70" ht="17.1" customHeight="1"/>
    <row r="71" ht="17.1" customHeight="1"/>
    <row r="72" ht="17.1" customHeight="1"/>
    <row r="73" ht="17.1" customHeight="1"/>
    <row r="74" ht="17.1" customHeight="1"/>
    <row r="75" ht="17.1" customHeight="1"/>
    <row r="76" ht="17.1" customHeight="1"/>
    <row r="77" ht="17.1" customHeight="1"/>
    <row r="78" ht="17.1" customHeight="1"/>
    <row r="79" ht="17.1" customHeight="1"/>
    <row r="80" ht="17.1" customHeight="1"/>
    <row r="81" ht="17.1" customHeight="1"/>
    <row r="82" ht="17.1" customHeight="1"/>
    <row r="83" ht="17.1" customHeight="1"/>
    <row r="84" ht="17.1" customHeight="1"/>
    <row r="85" ht="17.1" customHeight="1"/>
    <row r="86" ht="17.1" customHeight="1"/>
    <row r="87" ht="17.1" customHeight="1"/>
    <row r="88" ht="17.1" customHeight="1"/>
    <row r="89" ht="17.1" customHeight="1"/>
    <row r="90" ht="17.1" customHeight="1"/>
    <row r="91" ht="17.1" customHeight="1"/>
    <row r="92" ht="17.1" customHeight="1"/>
    <row r="93" ht="17.1" customHeight="1"/>
    <row r="94" ht="17.1" customHeight="1"/>
    <row r="95" ht="17.1" customHeight="1"/>
    <row r="96" ht="17.1" customHeight="1"/>
    <row r="97" ht="17.1" customHeight="1"/>
    <row r="98" ht="17.1" customHeight="1"/>
    <row r="99" ht="17.1" customHeight="1"/>
    <row r="100" ht="17.1" customHeight="1"/>
    <row r="101" ht="17.1" customHeight="1"/>
    <row r="102" ht="17.1" customHeight="1"/>
    <row r="103" ht="17.1" customHeight="1"/>
    <row r="104" ht="17.1" customHeight="1"/>
    <row r="105" ht="17.1" customHeight="1"/>
    <row r="106" ht="17.1" customHeight="1"/>
    <row r="107" ht="17.1" customHeight="1"/>
    <row r="108" ht="17.1" customHeight="1"/>
    <row r="109" ht="17.1" customHeight="1"/>
    <row r="110" ht="17.1" customHeight="1"/>
    <row r="111" ht="17.1" customHeight="1"/>
    <row r="112" ht="17.1" customHeight="1"/>
    <row r="113" ht="17.1" customHeight="1"/>
    <row r="114" ht="17.1" customHeight="1"/>
    <row r="115" ht="17.1" customHeight="1"/>
    <row r="116" ht="17.1" customHeight="1"/>
    <row r="117" ht="17.1" customHeight="1"/>
    <row r="118" ht="17.1" customHeight="1"/>
    <row r="119" ht="17.1" customHeight="1"/>
    <row r="120" ht="17.1" customHeight="1"/>
    <row r="121" ht="17.1" customHeight="1"/>
    <row r="122" ht="17.1" customHeight="1"/>
    <row r="123" ht="17.1" customHeight="1"/>
    <row r="124" ht="17.1" customHeight="1"/>
    <row r="125" ht="17.1" customHeight="1"/>
    <row r="126" ht="17.1" customHeight="1"/>
    <row r="127" ht="17.1" customHeight="1"/>
    <row r="128" ht="17.1" customHeight="1"/>
    <row r="129" ht="17.1" customHeight="1"/>
    <row r="130" ht="17.1" customHeight="1"/>
    <row r="131" ht="17.1" customHeight="1"/>
    <row r="132" ht="17.1" customHeight="1"/>
    <row r="133" ht="17.1" customHeight="1"/>
    <row r="134" ht="17.1" customHeight="1"/>
    <row r="135" ht="17.1" customHeight="1"/>
    <row r="136" ht="17.1" customHeight="1"/>
    <row r="137" ht="17.1" customHeight="1"/>
    <row r="138" ht="17.1" customHeight="1"/>
    <row r="139" ht="17.1" customHeight="1"/>
    <row r="140" ht="17.1" customHeight="1"/>
    <row r="141" ht="17.1" customHeight="1"/>
    <row r="142" ht="17.1" customHeight="1"/>
    <row r="143" ht="17.1" customHeight="1"/>
    <row r="144" ht="17.1" customHeight="1"/>
    <row r="145" ht="17.1" customHeight="1"/>
    <row r="146" ht="17.1" customHeight="1"/>
    <row r="147" ht="17.1" customHeight="1"/>
    <row r="148" ht="17.1" customHeight="1"/>
    <row r="149" ht="17.1" customHeight="1"/>
    <row r="150" ht="17.1" customHeight="1"/>
    <row r="151" ht="17.1" customHeight="1"/>
    <row r="152" ht="17.1" customHeight="1"/>
    <row r="153" ht="17.1" customHeight="1"/>
    <row r="154" ht="17.1" customHeight="1"/>
    <row r="155" ht="17.1" customHeight="1"/>
    <row r="156" ht="17.1" customHeight="1"/>
    <row r="157" ht="17.1" customHeight="1"/>
    <row r="158" ht="17.1" customHeight="1"/>
    <row r="159" ht="17.1" customHeight="1"/>
    <row r="160" ht="17.1" customHeight="1"/>
    <row r="161" ht="17.1" customHeight="1"/>
    <row r="162" ht="17.1" customHeight="1"/>
    <row r="163" ht="17.1" customHeight="1"/>
    <row r="164" ht="17.1" customHeight="1"/>
    <row r="165" ht="17.1" customHeight="1"/>
    <row r="166" ht="17.1" customHeight="1"/>
    <row r="167" ht="17.1" customHeight="1"/>
    <row r="168" ht="17.1" customHeight="1"/>
    <row r="169" ht="17.1" customHeight="1"/>
    <row r="170" ht="17.1" customHeight="1"/>
    <row r="171" ht="17.1" customHeight="1"/>
    <row r="172" ht="17.1" customHeight="1"/>
    <row r="173" ht="17.1" customHeight="1"/>
    <row r="174" ht="17.1" customHeight="1"/>
    <row r="175" ht="17.1" customHeight="1"/>
    <row r="176" ht="17.1" customHeight="1"/>
    <row r="177" ht="17.1" customHeight="1"/>
    <row r="178" ht="17.1" customHeight="1"/>
    <row r="179" ht="17.1" customHeight="1"/>
    <row r="180" ht="17.1" customHeight="1"/>
    <row r="181" ht="17.1" customHeight="1"/>
    <row r="182" ht="17.1" customHeight="1"/>
    <row r="183" ht="17.1" customHeight="1"/>
    <row r="184" ht="17.1" customHeight="1"/>
    <row r="185" ht="17.1" customHeight="1"/>
    <row r="186" ht="17.1" customHeight="1"/>
    <row r="187" ht="17.1" customHeight="1"/>
    <row r="188" ht="17.1" customHeight="1"/>
    <row r="189" ht="17.1" customHeight="1"/>
    <row r="190" ht="17.1" customHeight="1"/>
    <row r="191" ht="17.1" customHeight="1"/>
    <row r="192" ht="17.1" customHeight="1"/>
    <row r="193" ht="17.1" customHeight="1"/>
    <row r="194" ht="17.1" customHeight="1"/>
    <row r="195" ht="17.1" customHeight="1"/>
    <row r="196" ht="17.1" customHeight="1"/>
    <row r="197" ht="17.1" customHeight="1"/>
    <row r="198" ht="17.1" customHeight="1"/>
    <row r="199" ht="17.1" customHeight="1"/>
    <row r="200" ht="17.1" customHeight="1"/>
    <row r="201" ht="17.1" customHeight="1"/>
    <row r="202" ht="17.1" customHeight="1"/>
    <row r="203" ht="17.1" customHeight="1"/>
  </sheetData>
  <mergeCells count="2">
    <mergeCell ref="A3:H3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"/>
  <sheetViews>
    <sheetView topLeftCell="G1" workbookViewId="0">
      <selection activeCell="L15" sqref="L15"/>
    </sheetView>
  </sheetViews>
  <sheetFormatPr baseColWidth="8" defaultRowHeight="14.25"/>
  <cols>
    <col width="14" customWidth="1" min="1" max="1"/>
    <col width="30" customWidth="1" min="2" max="3"/>
    <col width="75.875" customWidth="1" min="4" max="4"/>
    <col width="90.25" customWidth="1" min="5" max="5"/>
    <col width="67.75" customWidth="1" min="6" max="6"/>
    <col width="21.125" customWidth="1" min="7" max="7"/>
    <col width="20" customWidth="1" min="8" max="8"/>
    <col width="22" customWidth="1" min="9" max="9"/>
    <col width="16" customWidth="1" min="10" max="10"/>
    <col width="25" customWidth="1" min="11" max="11"/>
    <col width="34" customWidth="1" min="12" max="12"/>
    <col width="35.75" customWidth="1" min="13" max="13"/>
    <col width="30" customWidth="1" min="14" max="14"/>
  </cols>
  <sheetData>
    <row r="1" ht="15" customHeight="1">
      <c r="A1" s="14" t="inlineStr">
        <is>
          <t>Банк выводов из всех видов анализа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/>
    <row r="3" ht="51.75" customHeight="1">
      <c r="A3" s="5" t="inlineStr">
        <is>
          <t>ID вывода</t>
        </is>
      </c>
      <c r="B3" s="5" t="inlineStr">
        <is>
          <t>Направление анализа</t>
        </is>
      </c>
      <c r="C3" s="5" t="inlineStr">
        <is>
          <t>Объект анализа</t>
        </is>
      </c>
      <c r="D3" s="5" t="inlineStr">
        <is>
          <t>Краткий вывод</t>
        </is>
      </c>
      <c r="E3" s="5" t="inlineStr">
        <is>
          <t>Подтверждающий факт</t>
        </is>
      </c>
      <c r="F3" s="5" t="inlineStr">
        <is>
          <t>Источник / ссылка</t>
        </is>
      </c>
      <c r="G3" s="5" t="inlineStr">
        <is>
          <t>Сила доказательства (1-4)</t>
        </is>
      </c>
      <c r="H3" s="5" t="inlineStr">
        <is>
          <t>Значимость для модели (1-5)</t>
        </is>
      </c>
      <c r="I3" s="5" t="inlineStr">
        <is>
          <t>Риск ошибочной интерпретации (1-5)</t>
        </is>
      </c>
      <c r="J3" s="5" t="inlineStr">
        <is>
          <t>Индекс опоры</t>
        </is>
      </c>
      <c r="K3" s="5" t="inlineStr">
        <is>
          <t>Связанный блок Канвас</t>
        </is>
      </c>
      <c r="L3" s="5" t="inlineStr">
        <is>
          <t>Связанная проблема / роль / сценарий</t>
        </is>
      </c>
      <c r="M3" s="5" t="inlineStr">
        <is>
          <t>Решение использовать</t>
        </is>
      </c>
      <c r="N3" s="5" t="inlineStr">
        <is>
          <t>Комментарий</t>
        </is>
      </c>
    </row>
    <row r="4" ht="42.75" customHeight="1">
      <c r="A4" s="4" t="inlineStr">
        <is>
          <t>A-001</t>
        </is>
      </c>
      <c r="B4" s="4" t="inlineStr">
        <is>
          <t>Анализ проблем клиентов</t>
        </is>
      </c>
      <c r="C4" s="4" t="inlineStr">
        <is>
          <t>Проблема P-002</t>
        </is>
      </c>
      <c r="D4" s="4" t="inlineStr">
        <is>
          <t>Нет единого инструмента для всех нотаций проекта</t>
        </is>
      </c>
      <c r="E4" s="4" t="inlineStr">
        <is>
          <t>IDEF0, DFD, сети Петри не найдены у 8 конкурентов; UML, BPMN, ERD вместе - только у Lucidchart</t>
        </is>
      </c>
      <c r="F4" s="4" t="inlineStr">
        <is>
          <t>6.1: Excel/6_1_...; ЛР5 (Excel/analiz_konkurentov_Levitt_Kano_NotaCode.xlsx)</t>
        </is>
      </c>
      <c r="G4" s="6" t="n">
        <v>3</v>
      </c>
      <c r="H4" s="6" t="n">
        <v>5</v>
      </c>
      <c r="I4" s="6" t="n">
        <v>2</v>
      </c>
      <c r="J4" s="7">
        <f>IFERROR((G4*H4)*(6-I4)/20,"")</f>
        <v/>
      </c>
      <c r="K4" s="4" t="inlineStr">
        <is>
          <t>Ценностные предложения</t>
        </is>
      </c>
      <c r="L4" s="4" t="inlineStr">
        <is>
          <t>Проблема P-002; сценарий S-005</t>
        </is>
      </c>
      <c r="M4" s="8">
        <f>IF(J4="","",IF(J4&gt;=3,"Использовать",IF(J4&gt;=1.8,"Проверить дополнительно","Не использовать как основание")))</f>
        <v/>
      </c>
      <c r="N4" s="4" t="inlineStr">
        <is>
          <t>Наиболее значимый вывод по P-002; основание ЦП VP-001</t>
        </is>
      </c>
    </row>
    <row r="5" ht="28.5" customHeight="1">
      <c r="A5" s="4" t="inlineStr">
        <is>
          <t>A-002</t>
        </is>
      </c>
      <c r="B5" s="4" t="inlineStr">
        <is>
          <t>Анализ проблем клиентов</t>
        </is>
      </c>
      <c r="C5" s="4" t="inlineStr">
        <is>
          <t>Проблема P-001</t>
        </is>
      </c>
      <c r="D5" s="4" t="inlineStr">
        <is>
          <t>Текстовые языки требуют изучения синтаксиса</t>
        </is>
      </c>
      <c r="E5" s="4" t="inlineStr">
        <is>
          <t>Сложность Mermaid в опросе 2,6 из 5 (27 студентов, данные сгенерированы)</t>
        </is>
      </c>
      <c r="F5" s="4" t="inlineStr">
        <is>
          <t>ЛР4, survey_students.csv</t>
        </is>
      </c>
      <c r="G5" s="6" t="n">
        <v>2</v>
      </c>
      <c r="H5" s="6" t="n">
        <v>4</v>
      </c>
      <c r="I5" s="6" t="n">
        <v>3</v>
      </c>
      <c r="J5" s="7">
        <f>IFERROR((G5*H5)*(6-I5)/20,"")</f>
        <v/>
      </c>
      <c r="K5" s="4" t="inlineStr">
        <is>
          <t>Ценностные предложения</t>
        </is>
      </c>
      <c r="L5" s="4" t="inlineStr">
        <is>
          <t>Проблема P-001; сценарий S-004</t>
        </is>
      </c>
      <c r="M5" s="8">
        <f>IF(J5="","",IF(J5&gt;=3,"Использовать",IF(J5&gt;=1.8,"Проверить дополнительно","Не использовать как основание")))</f>
        <v/>
      </c>
      <c r="N5" s="4" t="n"/>
    </row>
    <row r="6" ht="28.5" customHeight="1">
      <c r="A6" s="4" t="inlineStr">
        <is>
          <t>A-003</t>
        </is>
      </c>
      <c r="B6" s="4" t="inlineStr">
        <is>
          <t>Анализ конкурентов по сайтам</t>
        </is>
      </c>
      <c r="C6" s="4" t="inlineStr">
        <is>
          <t>Тарифы 5 конкурентов</t>
        </is>
      </c>
      <c r="D6" s="4" t="inlineStr">
        <is>
          <t>Платные редакторы тарифицируются за пользователя от 9 у.е. в месяц</t>
        </is>
      </c>
      <c r="E6" s="4" t="inlineStr">
        <is>
          <t>Mermaid Chart 10 и 20, Lucidchart 9 и 10, Eraser 15 и 45, Whimsical 10 и 20 у.е</t>
        </is>
      </c>
      <c r="F6" s="4" t="inlineStr">
        <is>
          <t>Страницы тарифов, 01.10.2026</t>
        </is>
      </c>
      <c r="G6" s="6" t="n">
        <v>4</v>
      </c>
      <c r="H6" s="6" t="n">
        <v>5</v>
      </c>
      <c r="I6" s="6" t="n">
        <v>1</v>
      </c>
      <c r="J6" s="7">
        <f>IFERROR((G6*H6)*(6-I6)/20,"")</f>
        <v/>
      </c>
      <c r="K6" s="4" t="inlineStr">
        <is>
          <t>Потоки доходов</t>
        </is>
      </c>
      <c r="L6" s="4" t="inlineStr">
        <is>
          <t>Сценарий S-008; требование F-010</t>
        </is>
      </c>
      <c r="M6" s="8">
        <f>IF(J6="","",IF(J6&gt;=3,"Использовать",IF(J6&gt;=1.8,"Проверить дополнительно","Не использовать как основание")))</f>
        <v/>
      </c>
      <c r="N6" s="4" t="n"/>
    </row>
    <row r="7" ht="42.75" customHeight="1">
      <c r="A7" s="4" t="inlineStr">
        <is>
          <t>A-004</t>
        </is>
      </c>
      <c r="B7" s="4" t="inlineStr">
        <is>
          <t>Анализ бизнес-моделей конкурентов</t>
        </is>
      </c>
      <c r="C7" s="4" t="inlineStr">
        <is>
          <t>Рыночный стандарт бизнес-модели</t>
        </is>
      </c>
      <c r="D7" s="4" t="inlineStr">
        <is>
          <t>Условно-бесплатная модель у 5 из 8, бесплатный доступ у 8 из 8</t>
        </is>
      </c>
      <c r="E7" s="4" t="inlineStr">
        <is>
          <t>Лист 10_Стандарт ЛР5</t>
        </is>
      </c>
      <c r="F7" s="4" t="inlineStr">
        <is>
          <t>ЛР5 (Excel/analiz_biznes_modeli_konkurentov_NotaCode.xlsx)</t>
        </is>
      </c>
      <c r="G7" s="6" t="n">
        <v>4</v>
      </c>
      <c r="H7" s="6" t="n">
        <v>5</v>
      </c>
      <c r="I7" s="6" t="n">
        <v>1</v>
      </c>
      <c r="J7" s="7">
        <f>IFERROR((G7*H7)*(6-I7)/20,"")</f>
        <v/>
      </c>
      <c r="K7" s="4" t="inlineStr">
        <is>
          <t>Потоки доходов</t>
        </is>
      </c>
      <c r="L7" s="4" t="inlineStr">
        <is>
          <t>Единица монетизации M-001</t>
        </is>
      </c>
      <c r="M7" s="8">
        <f>IF(J7="","",IF(J7&gt;=3,"Использовать",IF(J7&gt;=1.8,"Проверить дополнительно","Не использовать как основание")))</f>
        <v/>
      </c>
      <c r="N7" s="4" t="n"/>
    </row>
    <row r="8" ht="42.75" customHeight="1">
      <c r="A8" s="4" t="inlineStr">
        <is>
          <t>A-005</t>
        </is>
      </c>
      <c r="B8" s="4" t="inlineStr">
        <is>
          <t>Анализ цифрового товара и рыночного стандарта</t>
        </is>
      </c>
      <c r="C8" s="4" t="inlineStr">
        <is>
          <t>Рыночный стандарт товара</t>
        </is>
      </c>
      <c r="D8" s="4" t="inlineStr">
        <is>
          <t>Экспорт у 8 из 8, документация у 6 из 8, совместная работа у 6 из 8, вход у 5 из 8</t>
        </is>
      </c>
      <c r="E8" s="4" t="inlineStr">
        <is>
          <t>Лист 07_Стандарт_рынка ЛР5</t>
        </is>
      </c>
      <c r="F8" s="4" t="inlineStr">
        <is>
          <t>ЛР5 (Excel/analiz_konkurentov_Levitt_Kano_NotaCode.xlsx)</t>
        </is>
      </c>
      <c r="G8" s="6" t="n">
        <v>4</v>
      </c>
      <c r="H8" s="6" t="n">
        <v>5</v>
      </c>
      <c r="I8" s="6" t="n">
        <v>1</v>
      </c>
      <c r="J8" s="7">
        <f>IFERROR((G8*H8)*(6-I8)/20,"")</f>
        <v/>
      </c>
      <c r="K8" s="4" t="inlineStr">
        <is>
          <t>Ценностные предложения</t>
        </is>
      </c>
      <c r="L8" s="4" t="inlineStr">
        <is>
          <t>Требования F-005, F-006, F-012</t>
        </is>
      </c>
      <c r="M8" s="8">
        <f>IF(J8="","",IF(J8&gt;=3,"Использовать",IF(J8&gt;=1.8,"Проверить дополнительно","Не использовать как основание")))</f>
        <v/>
      </c>
      <c r="N8" s="4" t="n"/>
    </row>
    <row r="9" ht="42.75" customHeight="1">
      <c r="A9" s="4" t="inlineStr">
        <is>
          <t>A-006</t>
        </is>
      </c>
      <c r="B9" s="4" t="inlineStr">
        <is>
          <t>Классификация компаний по уровням конкуренции</t>
        </is>
      </c>
      <c r="C9" s="4" t="inlineStr">
        <is>
          <t>22 компании</t>
        </is>
      </c>
      <c r="D9" s="4" t="inlineStr">
        <is>
          <t>Один прямой конкурент (PlantUML) и четыре близких: ядро - текстовые инструменты</t>
        </is>
      </c>
      <c r="E9" s="4" t="inlineStr">
        <is>
          <t>Лист 06_Сводка ЛР5, средний балл 2,83</t>
        </is>
      </c>
      <c r="F9" s="4" t="inlineStr">
        <is>
          <t>ЛР5 (klassifikaciya_urovni_konkurencii_NotaCode.xlsx)</t>
        </is>
      </c>
      <c r="G9" s="6" t="n">
        <v>3</v>
      </c>
      <c r="H9" s="6" t="n">
        <v>4</v>
      </c>
      <c r="I9" s="6" t="n">
        <v>2</v>
      </c>
      <c r="J9" s="7">
        <f>IFERROR((G9*H9)*(6-I9)/20,"")</f>
        <v/>
      </c>
      <c r="K9" s="4" t="inlineStr">
        <is>
          <t>Потребительские сегменты</t>
        </is>
      </c>
      <c r="L9" s="4" t="inlineStr">
        <is>
          <t>Роли R-001, R-003</t>
        </is>
      </c>
      <c r="M9" s="8">
        <f>IF(J9="","",IF(J9&gt;=3,"Использовать",IF(J9&gt;=1.8,"Проверить дополнительно","Не использовать как основание")))</f>
        <v/>
      </c>
      <c r="N9" s="4" t="n"/>
    </row>
    <row r="10" ht="28.5" customHeight="1">
      <c r="A10" s="4" t="inlineStr">
        <is>
          <t>A-007</t>
        </is>
      </c>
      <c r="B10" s="4" t="inlineStr">
        <is>
          <t>Анализ конкурентов по сайтам</t>
        </is>
      </c>
      <c r="C10" s="4" t="inlineStr">
        <is>
          <t>Каналы конкурентов</t>
        </is>
      </c>
      <c r="D10" s="4" t="inlineStr">
        <is>
          <t>Основной канал текстовых инструментов - органический поиск 47-59 %</t>
        </is>
      </c>
      <c r="E10" s="4" t="inlineStr">
        <is>
          <t>Similarweb Pro, июнь - август 2026 (PlantUML, Mermaid)</t>
        </is>
      </c>
      <c r="F10" s="4" t="inlineStr">
        <is>
          <t>ЛР4, Similarweb Pro</t>
        </is>
      </c>
      <c r="G10" s="6" t="n">
        <v>3</v>
      </c>
      <c r="H10" s="6" t="n">
        <v>4</v>
      </c>
      <c r="I10" s="6" t="n">
        <v>2</v>
      </c>
      <c r="J10" s="7">
        <f>IFERROR((G10*H10)*(6-I10)/20,"")</f>
        <v/>
      </c>
      <c r="K10" s="4" t="inlineStr">
        <is>
          <t>Каналы</t>
        </is>
      </c>
      <c r="L10" s="4" t="inlineStr">
        <is>
          <t>Сценарии S-001, S-002</t>
        </is>
      </c>
      <c r="M10" s="8">
        <f>IF(J10="","",IF(J10&gt;=3,"Использовать",IF(J10&gt;=1.8,"Проверить дополнительно","Не использовать как основание")))</f>
        <v/>
      </c>
      <c r="N10" s="4" t="n"/>
    </row>
    <row r="11" ht="28.5" customHeight="1">
      <c r="A11" s="4" t="inlineStr">
        <is>
          <t>A-008</t>
        </is>
      </c>
      <c r="B11" s="4" t="inlineStr">
        <is>
          <t>Анализ отзывов</t>
        </is>
      </c>
      <c r="C11" s="4" t="inlineStr">
        <is>
          <t>Опрос студентов</t>
        </is>
      </c>
      <c r="D11" s="4" t="inlineStr">
        <is>
          <t>Коллаборация важна 26 из 27, экспорт PNG 27 из 27, SVG 18 из 27</t>
        </is>
      </c>
      <c r="E11" s="4" t="inlineStr">
        <is>
          <t>survey_students.csv, ЛР4</t>
        </is>
      </c>
      <c r="F11" s="4" t="inlineStr">
        <is>
          <t>ЛР4</t>
        </is>
      </c>
      <c r="G11" s="6" t="n">
        <v>2</v>
      </c>
      <c r="H11" s="6" t="n">
        <v>4</v>
      </c>
      <c r="I11" s="6" t="n">
        <v>3</v>
      </c>
      <c r="J11" s="7">
        <f>IFERROR((G11*H11)*(6-I11)/20,"")</f>
        <v/>
      </c>
      <c r="K11" s="4" t="inlineStr">
        <is>
          <t>Ценностные предложения</t>
        </is>
      </c>
      <c r="L11" s="4" t="inlineStr">
        <is>
          <t>Требования F-005, F-013</t>
        </is>
      </c>
      <c r="M11" s="8">
        <f>IF(J11="","",IF(J11&gt;=3,"Использовать",IF(J11&gt;=1.8,"Проверить дополнительно","Не использовать как основание")))</f>
        <v/>
      </c>
      <c r="N11" s="4" t="n"/>
    </row>
    <row r="12" ht="28.5" customHeight="1">
      <c r="A12" s="4" t="inlineStr">
        <is>
          <t>A-009</t>
        </is>
      </c>
      <c r="B12" s="4" t="inlineStr">
        <is>
          <t>Экономика монетизации</t>
        </is>
      </c>
      <c r="C12" s="4" t="inlineStr">
        <is>
          <t>Готовность платить</t>
        </is>
      </c>
      <c r="D12" s="4" t="inlineStr">
        <is>
          <t>18 из 27 готовы платить; средняя максимальная цена 728 BYN</t>
        </is>
      </c>
      <c r="E12" s="4" t="inlineStr">
        <is>
          <t>survey_students.csv, ЛР4 (период не указан)</t>
        </is>
      </c>
      <c r="F12" s="4" t="inlineStr">
        <is>
          <t>ЛР4</t>
        </is>
      </c>
      <c r="G12" s="6" t="n">
        <v>2</v>
      </c>
      <c r="H12" s="6" t="n">
        <v>4</v>
      </c>
      <c r="I12" s="6" t="n">
        <v>4</v>
      </c>
      <c r="J12" s="7">
        <f>IFERROR((G12*H12)*(6-I12)/20,"")</f>
        <v/>
      </c>
      <c r="K12" s="4" t="inlineStr">
        <is>
          <t>Потоки доходов</t>
        </is>
      </c>
      <c r="L12" s="4" t="inlineStr">
        <is>
          <t>Роль R-004</t>
        </is>
      </c>
      <c r="M12" s="8">
        <f>IF(J12="","",IF(J12&gt;=3,"Использовать",IF(J12&gt;=1.8,"Проверить дополнительно","Не использовать как основание")))</f>
        <v/>
      </c>
      <c r="N12" s="4" t="n"/>
    </row>
    <row r="13" ht="28.5" customHeight="1">
      <c r="A13" s="4" t="inlineStr">
        <is>
          <t>A-010</t>
        </is>
      </c>
      <c r="B13" s="4" t="inlineStr">
        <is>
          <t>Экономика монетизации</t>
        </is>
      </c>
      <c r="C13" s="4" t="inlineStr">
        <is>
          <t>Расчёт выручки Pro</t>
        </is>
      </c>
      <c r="D13" s="4" t="inlineStr">
        <is>
          <t>Около 1 634 платящих пользователей при 40 у.е. в год - около 65 360 у.е</t>
        </is>
      </c>
      <c r="E13" s="4" t="inlineStr">
        <is>
          <t>ЛР2-3, ЛР4 (SAM 197 988 BYN)</t>
        </is>
      </c>
      <c r="F13" s="4" t="inlineStr">
        <is>
          <t>ЛР2-3, ЛР4</t>
        </is>
      </c>
      <c r="G13" s="6" t="n">
        <v>2</v>
      </c>
      <c r="H13" s="6" t="n">
        <v>4</v>
      </c>
      <c r="I13" s="6" t="n">
        <v>3</v>
      </c>
      <c r="J13" s="7">
        <f>IFERROR((G13*H13)*(6-I13)/20,"")</f>
        <v/>
      </c>
      <c r="K13" s="4" t="inlineStr">
        <is>
          <t>Потоки доходов</t>
        </is>
      </c>
      <c r="L13" s="4" t="inlineStr">
        <is>
          <t>Единица монетизации M-001</t>
        </is>
      </c>
      <c r="M13" s="8">
        <f>IF(J13="","",IF(J13&gt;=3,"Использовать",IF(J13&gt;=1.8,"Проверить дополнительно","Не использовать как основание")))</f>
        <v/>
      </c>
      <c r="N13" s="4" t="n"/>
    </row>
    <row r="14" ht="28.5" customHeight="1">
      <c r="A14" s="4" t="inlineStr">
        <is>
          <t>A-011</t>
        </is>
      </c>
      <c r="B14" s="4" t="inlineStr">
        <is>
          <t>Ценностное предложение и цифровой товар</t>
        </is>
      </c>
      <c r="C14" s="4" t="inlineStr">
        <is>
          <t>ЦП VP-001</t>
        </is>
      </c>
      <c r="D14" s="4" t="inlineStr">
        <is>
          <t>Опорная проблема P-002, индекс проблемы 74; ИКЦП 3,83</t>
        </is>
      </c>
      <c r="E14" s="4" t="inlineStr">
        <is>
          <t>Методика 6.1</t>
        </is>
      </c>
      <c r="F14" s="4" t="inlineStr">
        <is>
          <t>Excel/6_1_cennostnoe_predlozhenie_NotaCode.xlsx</t>
        </is>
      </c>
      <c r="G14" s="6" t="n">
        <v>3</v>
      </c>
      <c r="H14" s="6" t="n">
        <v>5</v>
      </c>
      <c r="I14" s="6" t="n">
        <v>2</v>
      </c>
      <c r="J14" s="7">
        <f>IFERROR((G14*H14)*(6-I14)/20,"")</f>
        <v/>
      </c>
      <c r="K14" s="4" t="inlineStr">
        <is>
          <t>Ценностные предложения</t>
        </is>
      </c>
      <c r="L14" s="4" t="inlineStr">
        <is>
          <t>BL-001</t>
        </is>
      </c>
      <c r="M14" s="8">
        <f>IF(J14="","",IF(J14&gt;=3,"Использовать",IF(J14&gt;=1.8,"Проверить дополнительно","Не использовать как основание")))</f>
        <v/>
      </c>
      <c r="N14" s="4" t="n"/>
    </row>
    <row r="15" ht="28.5" customHeight="1">
      <c r="A15" s="4" t="inlineStr">
        <is>
          <t>A-012</t>
        </is>
      </c>
      <c r="B15" s="4" t="inlineStr">
        <is>
          <t>Канвас бизнес-модели</t>
        </is>
      </c>
      <c r="C15" s="4" t="inlineStr">
        <is>
          <t>Канвас</t>
        </is>
      </c>
      <c r="D15" s="4" t="inlineStr">
        <is>
          <t>Блоки 8-11 (ресурсы, деятельность, партнёры, затраты) - гипотезы; полнота 71 %</t>
        </is>
      </c>
      <c r="E15" s="4" t="inlineStr">
        <is>
          <t>Методика 6.2</t>
        </is>
      </c>
      <c r="F15" s="4" t="inlineStr">
        <is>
          <t>Excel/6_2_biznes_model_kanvas_NotaCode.xlsx</t>
        </is>
      </c>
      <c r="G15" s="6" t="n">
        <v>3</v>
      </c>
      <c r="H15" s="6" t="n">
        <v>4</v>
      </c>
      <c r="I15" s="6" t="n">
        <v>3</v>
      </c>
      <c r="J15" s="7">
        <f>IFERROR((G15*H15)*(6-I15)/20,"")</f>
        <v/>
      </c>
      <c r="K15" s="4" t="inlineStr">
        <is>
          <t>Ключевые ресурсы</t>
        </is>
      </c>
      <c r="L15" s="4" t="inlineStr">
        <is>
          <t>BL-006</t>
        </is>
      </c>
      <c r="M15" s="8">
        <f>IF(J15="","",IF(J15&gt;=3,"Использовать",IF(J15&gt;=1.8,"Проверить дополнительно","Не использовать как основание")))</f>
        <v/>
      </c>
      <c r="N15" s="4" t="n"/>
    </row>
    <row r="16" ht="28.5" customHeight="1">
      <c r="A16" s="4" t="inlineStr">
        <is>
          <t>A-013</t>
        </is>
      </c>
      <c r="B16" s="4" t="inlineStr">
        <is>
          <t>Анализ конкурентов по сайтам</t>
        </is>
      </c>
      <c r="C16" s="4" t="inlineStr">
        <is>
          <t>Eraser, Mermaid Chart</t>
        </is>
      </c>
      <c r="D16" s="4" t="inlineStr">
        <is>
          <t>Лимиты ИИ используются как тарифный ограничитель</t>
        </is>
      </c>
      <c r="E16" s="4" t="inlineStr">
        <is>
          <t>Eraser: 3, 40, 250 ИИ-диаграмм; Mermaid Chart: 15, 300, 2000 кредитов</t>
        </is>
      </c>
      <c r="F16" s="4" t="inlineStr">
        <is>
          <t>Страницы тарифов, 01.10.2026</t>
        </is>
      </c>
      <c r="G16" s="6" t="n">
        <v>3</v>
      </c>
      <c r="H16" s="6" t="n">
        <v>3</v>
      </c>
      <c r="I16" s="6" t="n">
        <v>2</v>
      </c>
      <c r="J16" s="7">
        <f>IFERROR((G16*H16)*(6-I16)/20,"")</f>
        <v/>
      </c>
      <c r="K16" s="4" t="inlineStr">
        <is>
          <t>Структура затрат</t>
        </is>
      </c>
      <c r="L16" s="4" t="inlineStr">
        <is>
          <t>Функция F-011</t>
        </is>
      </c>
      <c r="M16" s="8">
        <f>IF(J16="","",IF(J16&gt;=3,"Использовать",IF(J16&gt;=1.8,"Проверить дополнительно","Не использовать как основание")))</f>
        <v/>
      </c>
      <c r="N16" s="4" t="n"/>
    </row>
    <row r="17" ht="17.1" customHeight="1"/>
    <row r="18" ht="17.1" customHeight="1"/>
    <row r="19" ht="17.1" customHeight="1"/>
    <row r="20" ht="17.1" customHeight="1"/>
    <row r="21" ht="17.1" customHeight="1"/>
    <row r="22" ht="17.1" customHeight="1"/>
    <row r="23" ht="17.1" customHeight="1"/>
    <row r="24" ht="17.1" customHeight="1"/>
    <row r="25" ht="17.1" customHeight="1"/>
    <row r="26" ht="17.1" customHeight="1"/>
    <row r="27" ht="17.1" customHeight="1"/>
    <row r="28" ht="17.1" customHeight="1"/>
    <row r="29" ht="17.1" customHeight="1"/>
    <row r="30" ht="17.1" customHeight="1"/>
    <row r="31" ht="17.1" customHeight="1"/>
    <row r="32" ht="17.1" customHeight="1"/>
    <row r="33" ht="17.1" customHeight="1"/>
    <row r="34" ht="17.1" customHeight="1"/>
    <row r="35" ht="17.1" customHeight="1"/>
    <row r="36" ht="17.1" customHeight="1"/>
    <row r="37" ht="17.1" customHeight="1"/>
    <row r="38" ht="17.1" customHeight="1"/>
    <row r="39" ht="17.1" customHeight="1"/>
    <row r="40" ht="17.1" customHeight="1"/>
    <row r="41" ht="17.1" customHeight="1"/>
    <row r="42" ht="17.1" customHeight="1"/>
    <row r="43" ht="17.1" customHeight="1"/>
    <row r="44" ht="17.1" customHeight="1"/>
    <row r="45" ht="17.1" customHeight="1"/>
    <row r="46" ht="17.1" customHeight="1"/>
    <row r="47" ht="17.1" customHeight="1"/>
    <row r="48" ht="17.1" customHeight="1"/>
    <row r="49" ht="17.1" customHeight="1"/>
    <row r="50" ht="17.1" customHeight="1"/>
    <row r="51" ht="17.1" customHeight="1"/>
    <row r="52" ht="17.1" customHeight="1"/>
    <row r="53" ht="17.1" customHeight="1"/>
    <row r="54" ht="17.1" customHeight="1"/>
    <row r="55" ht="17.1" customHeight="1"/>
    <row r="56" ht="17.1" customHeight="1"/>
    <row r="57" ht="17.1" customHeight="1"/>
    <row r="58" ht="17.1" customHeight="1"/>
    <row r="59" ht="17.1" customHeight="1"/>
    <row r="60" ht="17.1" customHeight="1"/>
    <row r="61" ht="17.1" customHeight="1"/>
    <row r="62" ht="17.1" customHeight="1"/>
    <row r="63" ht="17.1" customHeight="1"/>
    <row r="64" ht="17.1" customHeight="1"/>
    <row r="65" ht="17.1" customHeight="1"/>
    <row r="66" ht="17.1" customHeight="1"/>
    <row r="67" ht="17.1" customHeight="1"/>
    <row r="68" ht="17.1" customHeight="1"/>
    <row r="69" ht="17.1" customHeight="1"/>
    <row r="70" ht="17.1" customHeight="1"/>
    <row r="71" ht="17.1" customHeight="1"/>
    <row r="72" ht="17.1" customHeight="1"/>
    <row r="73" ht="17.1" customHeight="1"/>
    <row r="74" ht="17.1" customHeight="1"/>
    <row r="75" ht="17.1" customHeight="1"/>
    <row r="76" ht="17.1" customHeight="1"/>
    <row r="77" ht="17.1" customHeight="1"/>
    <row r="78" ht="17.1" customHeight="1"/>
    <row r="79" ht="17.1" customHeight="1"/>
    <row r="80" ht="17.1" customHeight="1"/>
    <row r="81" ht="17.1" customHeight="1"/>
    <row r="82" ht="17.1" customHeight="1"/>
    <row r="83" ht="17.1" customHeight="1"/>
    <row r="84" ht="17.1" customHeight="1"/>
    <row r="85" ht="17.1" customHeight="1"/>
    <row r="86" ht="17.1" customHeight="1"/>
    <row r="87" ht="17.1" customHeight="1"/>
    <row r="88" ht="17.1" customHeight="1"/>
    <row r="89" ht="17.1" customHeight="1"/>
    <row r="90" ht="17.1" customHeight="1"/>
    <row r="91" ht="17.1" customHeight="1"/>
    <row r="92" ht="17.1" customHeight="1"/>
    <row r="93" ht="17.1" customHeight="1"/>
    <row r="94" ht="17.1" customHeight="1"/>
    <row r="95" ht="17.1" customHeight="1"/>
    <row r="96" ht="17.1" customHeight="1"/>
    <row r="97" ht="17.1" customHeight="1"/>
    <row r="98" ht="17.1" customHeight="1"/>
    <row r="99" ht="17.1" customHeight="1"/>
    <row r="100" ht="17.1" customHeight="1"/>
    <row r="101" ht="17.1" customHeight="1"/>
    <row r="102" ht="17.1" customHeight="1"/>
    <row r="103" ht="17.1" customHeight="1"/>
    <row r="104" ht="17.1" customHeight="1"/>
    <row r="105" ht="17.1" customHeight="1"/>
    <row r="106" ht="17.1" customHeight="1"/>
    <row r="107" ht="17.1" customHeight="1"/>
    <row r="108" ht="17.1" customHeight="1"/>
    <row r="109" ht="17.1" customHeight="1"/>
    <row r="110" ht="17.1" customHeight="1"/>
    <row r="111" ht="17.1" customHeight="1"/>
    <row r="112" ht="17.1" customHeight="1"/>
    <row r="113" ht="17.1" customHeight="1"/>
    <row r="114" ht="17.1" customHeight="1"/>
    <row r="115" ht="17.1" customHeight="1"/>
    <row r="116" ht="17.1" customHeight="1"/>
    <row r="117" ht="17.1" customHeight="1"/>
    <row r="118" ht="17.1" customHeight="1"/>
    <row r="119" ht="17.1" customHeight="1"/>
    <row r="120" ht="17.1" customHeight="1"/>
    <row r="121" ht="17.1" customHeight="1"/>
    <row r="122" ht="17.1" customHeight="1"/>
    <row r="123" ht="17.1" customHeight="1"/>
    <row r="124" ht="17.1" customHeight="1"/>
    <row r="125" ht="17.1" customHeight="1"/>
    <row r="126" ht="17.1" customHeight="1"/>
    <row r="127" ht="17.1" customHeight="1"/>
    <row r="128" ht="17.1" customHeight="1"/>
    <row r="129" ht="17.1" customHeight="1"/>
    <row r="130" ht="17.1" customHeight="1"/>
    <row r="131" ht="17.1" customHeight="1"/>
    <row r="132" ht="17.1" customHeight="1"/>
    <row r="133" ht="17.1" customHeight="1"/>
    <row r="134" ht="17.1" customHeight="1"/>
    <row r="135" ht="17.1" customHeight="1"/>
    <row r="136" ht="17.1" customHeight="1"/>
    <row r="137" ht="17.1" customHeight="1"/>
    <row r="138" ht="17.1" customHeight="1"/>
    <row r="139" ht="17.1" customHeight="1"/>
    <row r="140" ht="17.1" customHeight="1"/>
    <row r="141" ht="17.1" customHeight="1"/>
    <row r="142" ht="17.1" customHeight="1"/>
    <row r="143" ht="17.1" customHeight="1"/>
    <row r="144" ht="17.1" customHeight="1"/>
    <row r="145" ht="17.1" customHeight="1"/>
    <row r="146" ht="17.1" customHeight="1"/>
    <row r="147" ht="17.1" customHeight="1"/>
    <row r="148" ht="17.1" customHeight="1"/>
    <row r="149" ht="17.1" customHeight="1"/>
    <row r="150" ht="17.1" customHeight="1"/>
    <row r="151" ht="17.1" customHeight="1"/>
    <row r="152" ht="17.1" customHeight="1"/>
    <row r="153" ht="17.1" customHeight="1"/>
    <row r="154" ht="17.1" customHeight="1"/>
    <row r="155" ht="17.1" customHeight="1"/>
    <row r="156" ht="17.1" customHeight="1"/>
    <row r="157" ht="17.1" customHeight="1"/>
    <row r="158" ht="17.1" customHeight="1"/>
    <row r="159" ht="17.1" customHeight="1"/>
    <row r="160" ht="17.1" customHeight="1"/>
    <row r="161" ht="17.1" customHeight="1"/>
    <row r="162" ht="17.1" customHeight="1"/>
    <row r="163" ht="17.1" customHeight="1"/>
    <row r="164" ht="17.1" customHeight="1"/>
    <row r="165" ht="17.1" customHeight="1"/>
    <row r="166" ht="17.1" customHeight="1"/>
    <row r="167" ht="17.1" customHeight="1"/>
    <row r="168" ht="17.1" customHeight="1"/>
    <row r="169" ht="17.1" customHeight="1"/>
    <row r="170" ht="17.1" customHeight="1"/>
    <row r="171" ht="17.1" customHeight="1"/>
    <row r="172" ht="17.1" customHeight="1"/>
    <row r="173" ht="17.1" customHeight="1"/>
    <row r="174" ht="17.1" customHeight="1"/>
    <row r="175" ht="17.1" customHeight="1"/>
    <row r="176" ht="17.1" customHeight="1"/>
    <row r="177" ht="17.1" customHeight="1"/>
    <row r="178" ht="17.1" customHeight="1"/>
    <row r="179" ht="17.1" customHeight="1"/>
    <row r="180" ht="17.1" customHeight="1"/>
    <row r="181" ht="17.1" customHeight="1"/>
    <row r="182" ht="17.1" customHeight="1"/>
    <row r="183" ht="17.1" customHeight="1"/>
    <row r="184" ht="17.1" customHeight="1"/>
    <row r="185" ht="17.1" customHeight="1"/>
    <row r="186" ht="17.1" customHeight="1"/>
    <row r="187" ht="17.1" customHeight="1"/>
    <row r="188" ht="17.1" customHeight="1"/>
    <row r="189" ht="17.1" customHeight="1"/>
    <row r="190" ht="17.1" customHeight="1"/>
    <row r="191" ht="17.1" customHeight="1"/>
    <row r="192" ht="17.1" customHeight="1"/>
    <row r="193" ht="17.1" customHeight="1"/>
    <row r="194" ht="17.1" customHeight="1"/>
    <row r="195" ht="17.1" customHeight="1"/>
    <row r="196" ht="17.1" customHeight="1"/>
    <row r="197" ht="17.1" customHeight="1"/>
    <row r="198" ht="17.1" customHeight="1"/>
    <row r="199" ht="17.1" customHeight="1"/>
    <row r="200" ht="17.1" customHeight="1"/>
    <row r="201" ht="17.1" customHeight="1"/>
    <row r="202" ht="17.1" customHeight="1"/>
    <row r="203" ht="17.1" customHeight="1"/>
  </sheetData>
  <mergeCells count="1">
    <mergeCell ref="A1:N1"/>
  </mergeCells>
  <conditionalFormatting sqref="J4:J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sqref="G4:G203" showDropDown="0" showInputMessage="0" showErrorMessage="0" allowBlank="0" type="list">
      <formula1>"1,2,3,4"</formula1>
    </dataValidation>
    <dataValidation sqref="H4:I203" showDropDown="0" showInputMessage="0" showErrorMessage="0" allowBlank="0" type="list">
      <formula1>"1,2,3,4,5"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"/>
  <sheetViews>
    <sheetView topLeftCell="H1" workbookViewId="0">
      <selection activeCell="K22" sqref="K22"/>
    </sheetView>
  </sheetViews>
  <sheetFormatPr baseColWidth="8" defaultRowHeight="14.25"/>
  <cols>
    <col width="14" customWidth="1" min="1" max="1"/>
    <col width="34" customWidth="1" min="2" max="2"/>
    <col width="22" customWidth="1" min="3" max="3"/>
    <col width="85.625" customWidth="1" min="4" max="4"/>
    <col width="24" customWidth="1" min="5" max="5"/>
    <col width="58.625" customWidth="1" min="6" max="6"/>
    <col width="71.75" customWidth="1" min="7" max="7"/>
    <col width="34" customWidth="1" min="8" max="8"/>
    <col width="20" customWidth="1" min="9" max="9"/>
    <col width="18" customWidth="1" min="10" max="13"/>
    <col width="20" customWidth="1" min="14" max="14"/>
    <col width="34" customWidth="1" min="15" max="15"/>
  </cols>
  <sheetData>
    <row r="1" ht="15" customHeight="1">
      <c r="A1" s="14" t="inlineStr">
        <is>
          <t>Формулирование бизнес-логики цифрового товара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/>
    <row r="3" ht="42" customHeight="1">
      <c r="A3" s="5" t="inlineStr">
        <is>
          <t>ID элемента</t>
        </is>
      </c>
      <c r="B3" s="5" t="inlineStr">
        <is>
          <t>Элемент бизнес-логики</t>
        </is>
      </c>
      <c r="C3" s="5" t="inlineStr">
        <is>
          <t>Тип бизнес-логики</t>
        </is>
      </c>
      <c r="D3" s="5" t="inlineStr">
        <is>
          <t>Какая ценность создается</t>
        </is>
      </c>
      <c r="E3" s="5" t="inlineStr">
        <is>
          <t>Для кого</t>
        </is>
      </c>
      <c r="F3" s="5" t="inlineStr">
        <is>
          <t>Цифровой товар / функция</t>
        </is>
      </c>
      <c r="G3" s="5" t="inlineStr">
        <is>
          <t>Процесс или механизм</t>
        </is>
      </c>
      <c r="H3" s="5" t="inlineStr">
        <is>
          <t>Источник выручки / единица монетизации</t>
        </is>
      </c>
      <c r="I3" s="5" t="inlineStr">
        <is>
          <t>Связанный вывод анализа</t>
        </is>
      </c>
      <c r="J3" s="5" t="inlineStr">
        <is>
          <t>Доказательность (1-4)</t>
        </is>
      </c>
      <c r="K3" s="5" t="inlineStr">
        <is>
          <t>Влияние на модель (1-5)</t>
        </is>
      </c>
      <c r="L3" s="5" t="inlineStr">
        <is>
          <t>Проверка связности</t>
        </is>
      </c>
      <c r="M3" s="5" t="inlineStr">
        <is>
          <t>Индекс надежности</t>
        </is>
      </c>
      <c r="N3" s="5" t="inlineStr">
        <is>
          <t>Статус</t>
        </is>
      </c>
      <c r="O3" s="5" t="inlineStr">
        <is>
          <t>Нужное уточнение</t>
        </is>
      </c>
    </row>
    <row r="4" ht="42.75" customHeight="1">
      <c r="A4" s="4" t="inlineStr">
        <is>
          <t>BL-001</t>
        </is>
      </c>
      <c r="B4" s="4" t="inlineStr">
        <is>
          <t>Снижение барьера первой диаграммы</t>
        </is>
      </c>
      <c r="C4" s="4" t="inlineStr">
        <is>
          <t>Клиентская</t>
        </is>
      </c>
      <c r="D4" s="4" t="inlineStr">
        <is>
          <t>Пользователь быстрее получает корректную диаграмму без изучения всего синтаксиса</t>
        </is>
      </c>
      <c r="E4" s="4" t="inlineStr">
        <is>
          <t>Новый пользователь</t>
        </is>
      </c>
      <c r="F4" s="4" t="inlineStr">
        <is>
          <t>Редактор с текстовым вводом, предпросмотром и примерами</t>
        </is>
      </c>
      <c r="G4" s="4" t="inlineStr">
        <is>
          <t>Текст превращается в диаграмму сразу; ИИ-ассистент помогает с описанием</t>
        </is>
      </c>
      <c r="H4" s="4" t="inlineStr">
        <is>
          <t>Free: конверсия в Pro</t>
        </is>
      </c>
      <c r="I4" s="4" t="inlineStr">
        <is>
          <t>A-002</t>
        </is>
      </c>
      <c r="J4" s="4" t="n">
        <v>2</v>
      </c>
      <c r="K4" s="4" t="n">
        <v>5</v>
      </c>
      <c r="L4" s="8">
        <f>IF(A4="","",IF(COUNTA(D4:I4)&gt;=5,1,0))</f>
        <v/>
      </c>
      <c r="M4" s="7">
        <f>IF(A4="","",IFERROR(J4*K4*L4/20,0))</f>
        <v/>
      </c>
      <c r="N4" s="4" t="inlineStr">
        <is>
          <t>Требует проверки</t>
        </is>
      </c>
      <c r="O4" s="4" t="inlineStr">
        <is>
          <t>Уточнить, какие шаги настройки критичны</t>
        </is>
      </c>
    </row>
    <row r="5" ht="42.75" customHeight="1">
      <c r="A5" s="4" t="inlineStr">
        <is>
          <t>BL-002</t>
        </is>
      </c>
      <c r="B5" s="4" t="inlineStr">
        <is>
          <t>Единый набор нотаций</t>
        </is>
      </c>
      <c r="C5" s="4" t="inlineStr">
        <is>
          <t>Конкурентная</t>
        </is>
      </c>
      <c r="D5" s="4" t="inlineStr">
        <is>
          <t>Одна среда вместо нескольких инструментов для UML, BPMN, ERD, IDEF0, DFD, сетей Петри</t>
        </is>
      </c>
      <c r="E5" s="4" t="inlineStr">
        <is>
          <t>Студент, аналитик ПО</t>
        </is>
      </c>
      <c r="F5" s="4" t="inlineStr">
        <is>
          <t>Движок нотаций</t>
        </is>
      </c>
      <c r="G5" s="4" t="inlineStr">
        <is>
          <t>Единый текстовый формат и общий редактор</t>
        </is>
      </c>
      <c r="H5" s="4" t="inlineStr">
        <is>
          <t>Pro: набор нотаций и экспорт</t>
        </is>
      </c>
      <c r="I5" s="4" t="inlineStr">
        <is>
          <t>A-001</t>
        </is>
      </c>
      <c r="J5" s="4" t="n">
        <v>3</v>
      </c>
      <c r="K5" s="4" t="n">
        <v>5</v>
      </c>
      <c r="L5" s="8">
        <f>IF(A5="","",IF(COUNTA(D5:I5)&gt;=5,1,0))</f>
        <v/>
      </c>
      <c r="M5" s="7">
        <f>IF(A5="","",IFERROR(J5*K5*L5/20,0))</f>
        <v/>
      </c>
      <c r="N5" s="4" t="inlineStr">
        <is>
          <t>Подтверждено</t>
        </is>
      </c>
      <c r="O5" s="4" t="n"/>
    </row>
    <row r="6" ht="28.5" customHeight="1">
      <c r="A6" s="4" t="inlineStr">
        <is>
          <t>BL-003</t>
        </is>
      </c>
      <c r="B6" s="4" t="inlineStr">
        <is>
          <t>Бесплатный вход</t>
        </is>
      </c>
      <c r="C6" s="4" t="inlineStr">
        <is>
          <t>Канальная</t>
        </is>
      </c>
      <c r="D6" s="4" t="inlineStr">
        <is>
          <t>Студент начинает без оплаты, как у 8 из 8 конкурентов</t>
        </is>
      </c>
      <c r="E6" s="4" t="inlineStr">
        <is>
          <t>Посетитель, студент</t>
        </is>
      </c>
      <c r="F6" s="4" t="inlineStr">
        <is>
          <t>Уровень Free</t>
        </is>
      </c>
      <c r="G6" s="4" t="inlineStr">
        <is>
          <t>Free привлекает аудиторию и ведёт к Pro</t>
        </is>
      </c>
      <c r="H6" s="4" t="inlineStr">
        <is>
          <t>Free: вход в воронку</t>
        </is>
      </c>
      <c r="I6" s="4" t="inlineStr">
        <is>
          <t>A-004</t>
        </is>
      </c>
      <c r="J6" s="4" t="n">
        <v>4</v>
      </c>
      <c r="K6" s="4" t="n">
        <v>4</v>
      </c>
      <c r="L6" s="8">
        <f>IF(A6="","",IF(COUNTA(D6:I6)&gt;=5,1,0))</f>
        <v/>
      </c>
      <c r="M6" s="7">
        <f>IF(A6="","",IFERROR(J6*K6*L6/20,0))</f>
        <v/>
      </c>
      <c r="N6" s="4" t="inlineStr">
        <is>
          <t>Подтверждено</t>
        </is>
      </c>
      <c r="O6" s="4" t="n"/>
    </row>
    <row r="7" ht="28.5" customHeight="1">
      <c r="A7" s="4" t="inlineStr">
        <is>
          <t>BL-004</t>
        </is>
      </c>
      <c r="B7" s="4" t="inlineStr">
        <is>
          <t>Монетизация подписки Pro</t>
        </is>
      </c>
      <c r="C7" s="4" t="inlineStr">
        <is>
          <t>Монетизационная</t>
        </is>
      </c>
      <c r="D7" s="4" t="inlineStr">
        <is>
          <t>Клиент платит за снятие ограничений и расширенные функции</t>
        </is>
      </c>
      <c r="E7" s="4" t="inlineStr">
        <is>
          <t>Платящий клиент</t>
        </is>
      </c>
      <c r="F7" s="4" t="inlineStr">
        <is>
          <t>Подписка Pro 40 у.е. в год</t>
        </is>
      </c>
      <c r="G7" s="4" t="inlineStr">
        <is>
          <t>Ограничения функций по тарифам</t>
        </is>
      </c>
      <c r="H7" s="4" t="inlineStr">
        <is>
          <t>Пользователь Pro, год</t>
        </is>
      </c>
      <c r="I7" s="4" t="inlineStr">
        <is>
          <t>A-003</t>
        </is>
      </c>
      <c r="J7" s="4" t="n">
        <v>4</v>
      </c>
      <c r="K7" s="4" t="n">
        <v>5</v>
      </c>
      <c r="L7" s="8">
        <f>IF(A7="","",IF(COUNTA(D7:I7)&gt;=5,1,0))</f>
        <v/>
      </c>
      <c r="M7" s="7">
        <f>IF(A7="","",IFERROR(J7*K7*L7/20,0))</f>
        <v/>
      </c>
      <c r="N7" s="4" t="inlineStr">
        <is>
          <t>Подтверждено</t>
        </is>
      </c>
      <c r="O7" s="4" t="n"/>
    </row>
    <row r="8" ht="28.5" customHeight="1">
      <c r="A8" s="4" t="inlineStr">
        <is>
          <t>BL-005</t>
        </is>
      </c>
      <c r="B8" s="4" t="inlineStr">
        <is>
          <t>Доверие через открытую цену и документацию</t>
        </is>
      </c>
      <c r="C8" s="4" t="inlineStr">
        <is>
          <t>Клиентская</t>
        </is>
      </c>
      <c r="D8" s="4" t="inlineStr">
        <is>
          <t>Клиент видит цену и умеет пользоваться без поддержки</t>
        </is>
      </c>
      <c r="E8" s="4" t="inlineStr">
        <is>
          <t>Потенциальный клиент</t>
        </is>
      </c>
      <c r="F8" s="4" t="inlineStr">
        <is>
          <t>Страница тарифов, документация</t>
        </is>
      </c>
      <c r="G8" s="4" t="inlineStr">
        <is>
          <t>Прозрачные условия снижают риск выбора</t>
        </is>
      </c>
      <c r="H8" s="4" t="inlineStr">
        <is>
          <t>Pro: рост доверия</t>
        </is>
      </c>
      <c r="I8" s="4" t="inlineStr">
        <is>
          <t>A-005</t>
        </is>
      </c>
      <c r="J8" s="4" t="n">
        <v>4</v>
      </c>
      <c r="K8" s="4" t="n">
        <v>4</v>
      </c>
      <c r="L8" s="8">
        <f>IF(A8="","",IF(COUNTA(D8:I8)&gt;=5,1,0))</f>
        <v/>
      </c>
      <c r="M8" s="7">
        <f>IF(A8="","",IFERROR(J8*K8*L8/20,0))</f>
        <v/>
      </c>
      <c r="N8" s="4" t="inlineStr">
        <is>
          <t>Подтверждено</t>
        </is>
      </c>
      <c r="O8" s="4" t="n"/>
    </row>
    <row r="9" ht="28.5" customHeight="1">
      <c r="A9" s="4" t="inlineStr">
        <is>
          <t>BL-006</t>
        </is>
      </c>
      <c r="B9" s="4" t="inlineStr">
        <is>
          <t>Операционная способность</t>
        </is>
      </c>
      <c r="C9" s="4" t="inlineStr">
        <is>
          <t>Операционная</t>
        </is>
      </c>
      <c r="D9" s="4" t="inlineStr">
        <is>
          <t>Качество разбора нотаций и работа сервиса</t>
        </is>
      </c>
      <c r="E9" s="4" t="inlineStr">
        <is>
          <t>Внутренняя команда</t>
        </is>
      </c>
      <c r="F9" s="4" t="inlineStr">
        <is>
          <t>Движок нотаций, инфраструктура PWA, ИИ-провайдер</t>
        </is>
      </c>
      <c r="G9" s="4" t="inlineStr">
        <is>
          <t>Разработка, поддержка, документация</t>
        </is>
      </c>
      <c r="H9" s="4" t="inlineStr">
        <is>
          <t>Затраты: ИИ-вызовы переменные</t>
        </is>
      </c>
      <c r="I9" s="4" t="inlineStr">
        <is>
          <t>A-012</t>
        </is>
      </c>
      <c r="J9" s="4" t="n">
        <v>2</v>
      </c>
      <c r="K9" s="4" t="n">
        <v>4</v>
      </c>
      <c r="L9" s="8">
        <f>IF(A9="","",IF(COUNTA(D9:I9)&gt;=5,1,0))</f>
        <v/>
      </c>
      <c r="M9" s="7">
        <f>IF(A9="","",IFERROR(J9*K9*L9/20,0))</f>
        <v/>
      </c>
      <c r="N9" s="4" t="inlineStr">
        <is>
          <t>Подтверждено</t>
        </is>
      </c>
      <c r="O9" s="4" t="n"/>
    </row>
    <row r="10" ht="42.75" customHeight="1">
      <c r="A10" s="4" t="inlineStr">
        <is>
          <t>BL-007</t>
        </is>
      </c>
      <c r="B10" s="4" t="inlineStr">
        <is>
          <t>Метрики проверки</t>
        </is>
      </c>
      <c r="C10" s="4" t="inlineStr">
        <is>
          <t>Метрическая</t>
        </is>
      </c>
      <c r="D10" s="4" t="inlineStr">
        <is>
          <t>Показатели проверки модели: доля первой диаграммы, переход в Pro, удержание</t>
        </is>
      </c>
      <c r="E10" s="4" t="inlineStr">
        <is>
          <t>Руководитель проекта</t>
        </is>
      </c>
      <c r="F10" s="4" t="inlineStr">
        <is>
          <t>Аналитика продукта</t>
        </is>
      </c>
      <c r="G10" s="4" t="inlineStr">
        <is>
          <t>Сбор событий сценариев</t>
        </is>
      </c>
      <c r="H10" s="4" t="inlineStr">
        <is>
          <t>Конверсия Free в Pro</t>
        </is>
      </c>
      <c r="I10" s="4" t="inlineStr">
        <is>
          <t>A-009</t>
        </is>
      </c>
      <c r="J10" s="4" t="n">
        <v>2</v>
      </c>
      <c r="K10" s="4" t="n">
        <v>3</v>
      </c>
      <c r="L10" s="8">
        <f>IF(A10="","",IF(COUNTA(D10:I10)&gt;=5,1,0))</f>
        <v/>
      </c>
      <c r="M10" s="7">
        <f>IF(A10="","",IFERROR(J10*K10*L10/20,0))</f>
        <v/>
      </c>
      <c r="N10" s="4" t="inlineStr">
        <is>
          <t>Подтверждено</t>
        </is>
      </c>
      <c r="O10" s="4" t="n"/>
    </row>
    <row r="11" ht="17.1" customHeight="1"/>
    <row r="12" ht="17.1" customHeight="1"/>
    <row r="13" ht="17.1" customHeight="1"/>
    <row r="14" ht="17.1" customHeight="1"/>
    <row r="15" ht="17.1" customHeight="1"/>
    <row r="16" ht="17.1" customHeight="1"/>
    <row r="17" ht="17.1" customHeight="1"/>
    <row r="18" ht="17.1" customHeight="1"/>
    <row r="19" ht="17.1" customHeight="1"/>
    <row r="20" ht="17.1" customHeight="1"/>
    <row r="21" ht="17.1" customHeight="1"/>
    <row r="22" ht="17.1" customHeight="1"/>
    <row r="23" ht="17.1" customHeight="1"/>
    <row r="24" ht="17.1" customHeight="1"/>
    <row r="25" ht="17.1" customHeight="1"/>
    <row r="26" ht="17.1" customHeight="1"/>
    <row r="27" ht="17.1" customHeight="1"/>
    <row r="28" ht="17.1" customHeight="1"/>
    <row r="29" ht="17.1" customHeight="1"/>
    <row r="30" ht="17.1" customHeight="1"/>
    <row r="31" ht="17.1" customHeight="1"/>
    <row r="32" ht="17.1" customHeight="1"/>
    <row r="33" ht="17.1" customHeight="1"/>
    <row r="34" ht="17.1" customHeight="1"/>
    <row r="35" ht="17.1" customHeight="1"/>
    <row r="36" ht="17.1" customHeight="1"/>
    <row r="37" ht="17.1" customHeight="1"/>
    <row r="38" ht="17.1" customHeight="1"/>
    <row r="39" ht="17.1" customHeight="1"/>
    <row r="40" ht="17.1" customHeight="1"/>
    <row r="41" ht="17.1" customHeight="1"/>
    <row r="42" ht="17.1" customHeight="1"/>
    <row r="43" ht="17.1" customHeight="1"/>
    <row r="44" ht="17.1" customHeight="1"/>
    <row r="45" ht="17.1" customHeight="1"/>
    <row r="46" ht="17.1" customHeight="1"/>
    <row r="47" ht="17.1" customHeight="1"/>
    <row r="48" ht="17.1" customHeight="1"/>
    <row r="49" ht="17.1" customHeight="1"/>
    <row r="50" ht="17.1" customHeight="1"/>
    <row r="51" ht="17.1" customHeight="1"/>
    <row r="52" ht="17.1" customHeight="1"/>
    <row r="53" ht="17.1" customHeight="1"/>
    <row r="54" ht="17.1" customHeight="1"/>
    <row r="55" ht="17.1" customHeight="1"/>
    <row r="56" ht="17.1" customHeight="1"/>
    <row r="57" ht="17.1" customHeight="1"/>
    <row r="58" ht="17.1" customHeight="1"/>
    <row r="59" ht="17.1" customHeight="1"/>
    <row r="60" ht="17.1" customHeight="1"/>
    <row r="61" ht="17.1" customHeight="1"/>
    <row r="62" ht="17.1" customHeight="1"/>
    <row r="63" ht="17.1" customHeight="1"/>
    <row r="64" ht="17.1" customHeight="1"/>
    <row r="65" ht="17.1" customHeight="1"/>
    <row r="66" ht="17.1" customHeight="1"/>
    <row r="67" ht="17.1" customHeight="1"/>
    <row r="68" ht="17.1" customHeight="1"/>
    <row r="69" ht="17.1" customHeight="1"/>
    <row r="70" ht="17.1" customHeight="1"/>
    <row r="71" ht="17.1" customHeight="1"/>
    <row r="72" ht="17.1" customHeight="1"/>
    <row r="73" ht="17.1" customHeight="1"/>
    <row r="74" ht="17.1" customHeight="1"/>
    <row r="75" ht="17.1" customHeight="1"/>
    <row r="76" ht="17.1" customHeight="1"/>
    <row r="77" ht="17.1" customHeight="1"/>
    <row r="78" ht="17.1" customHeight="1"/>
    <row r="79" ht="17.1" customHeight="1"/>
    <row r="80" ht="17.1" customHeight="1"/>
    <row r="81" ht="17.1" customHeight="1"/>
    <row r="82" ht="17.1" customHeight="1"/>
    <row r="83" ht="17.1" customHeight="1"/>
    <row r="84" ht="17.1" customHeight="1"/>
    <row r="85" ht="17.1" customHeight="1"/>
    <row r="86" ht="17.1" customHeight="1"/>
    <row r="87" ht="17.1" customHeight="1"/>
    <row r="88" ht="17.1" customHeight="1"/>
    <row r="89" ht="17.1" customHeight="1"/>
    <row r="90" ht="17.1" customHeight="1"/>
    <row r="91" ht="17.1" customHeight="1"/>
    <row r="92" ht="17.1" customHeight="1"/>
    <row r="93" ht="17.1" customHeight="1"/>
    <row r="94" ht="17.1" customHeight="1"/>
    <row r="95" ht="17.1" customHeight="1"/>
    <row r="96" ht="17.1" customHeight="1"/>
    <row r="97" ht="17.1" customHeight="1"/>
    <row r="98" ht="17.1" customHeight="1"/>
    <row r="99" ht="17.1" customHeight="1"/>
    <row r="100" ht="17.1" customHeight="1"/>
    <row r="101" ht="17.1" customHeight="1"/>
    <row r="102" ht="17.1" customHeight="1"/>
    <row r="103" ht="17.1" customHeight="1"/>
    <row r="104" ht="17.1" customHeight="1"/>
    <row r="105" ht="17.1" customHeight="1"/>
    <row r="106" ht="17.1" customHeight="1"/>
    <row r="107" ht="17.1" customHeight="1"/>
    <row r="108" ht="17.1" customHeight="1"/>
    <row r="109" ht="17.1" customHeight="1"/>
    <row r="110" ht="17.1" customHeight="1"/>
    <row r="111" ht="17.1" customHeight="1"/>
    <row r="112" ht="17.1" customHeight="1"/>
    <row r="113" ht="17.1" customHeight="1"/>
    <row r="114" ht="17.1" customHeight="1"/>
    <row r="115" ht="17.1" customHeight="1"/>
    <row r="116" ht="17.1" customHeight="1"/>
    <row r="117" ht="17.1" customHeight="1"/>
    <row r="118" ht="17.1" customHeight="1"/>
    <row r="119" ht="17.1" customHeight="1"/>
    <row r="120" ht="17.1" customHeight="1"/>
    <row r="121" ht="17.1" customHeight="1"/>
    <row r="122" ht="17.1" customHeight="1"/>
    <row r="123" ht="17.1" customHeight="1"/>
    <row r="124" ht="17.1" customHeight="1"/>
    <row r="125" ht="17.1" customHeight="1"/>
    <row r="126" ht="17.1" customHeight="1"/>
    <row r="127" ht="17.1" customHeight="1"/>
    <row r="128" ht="17.1" customHeight="1"/>
    <row r="129" ht="17.1" customHeight="1"/>
    <row r="130" ht="17.1" customHeight="1"/>
    <row r="131" ht="17.1" customHeight="1"/>
    <row r="132" ht="17.1" customHeight="1"/>
    <row r="133" ht="17.1" customHeight="1"/>
    <row r="134" ht="17.1" customHeight="1"/>
    <row r="135" ht="17.1" customHeight="1"/>
    <row r="136" ht="17.1" customHeight="1"/>
    <row r="137" ht="17.1" customHeight="1"/>
    <row r="138" ht="17.1" customHeight="1"/>
    <row r="139" ht="17.1" customHeight="1"/>
    <row r="140" ht="17.1" customHeight="1"/>
    <row r="141" ht="17.1" customHeight="1"/>
    <row r="142" ht="17.1" customHeight="1"/>
    <row r="143" ht="17.1" customHeight="1"/>
    <row r="144" ht="17.1" customHeight="1"/>
    <row r="145" ht="17.1" customHeight="1"/>
    <row r="146" ht="17.1" customHeight="1"/>
    <row r="147" ht="17.1" customHeight="1"/>
    <row r="148" ht="17.1" customHeight="1"/>
    <row r="149" ht="17.1" customHeight="1"/>
    <row r="150" ht="17.1" customHeight="1"/>
    <row r="151" ht="17.1" customHeight="1"/>
    <row r="152" ht="17.1" customHeight="1"/>
    <row r="153" ht="17.1" customHeight="1"/>
    <row r="154" ht="17.1" customHeight="1"/>
    <row r="155" ht="17.1" customHeight="1"/>
    <row r="156" ht="17.1" customHeight="1"/>
    <row r="157" ht="17.1" customHeight="1"/>
    <row r="158" ht="17.1" customHeight="1"/>
    <row r="159" ht="17.1" customHeight="1"/>
    <row r="160" ht="17.1" customHeight="1"/>
    <row r="161" ht="17.1" customHeight="1"/>
    <row r="162" ht="17.1" customHeight="1"/>
    <row r="163" ht="17.1" customHeight="1"/>
    <row r="164" ht="17.1" customHeight="1"/>
    <row r="165" ht="17.1" customHeight="1"/>
    <row r="166" ht="17.1" customHeight="1"/>
    <row r="167" ht="17.1" customHeight="1"/>
    <row r="168" ht="17.1" customHeight="1"/>
    <row r="169" ht="17.1" customHeight="1"/>
    <row r="170" ht="17.1" customHeight="1"/>
    <row r="171" ht="17.1" customHeight="1"/>
    <row r="172" ht="17.1" customHeight="1"/>
    <row r="173" ht="17.1" customHeight="1"/>
    <row r="174" ht="17.1" customHeight="1"/>
    <row r="175" ht="17.1" customHeight="1"/>
    <row r="176" ht="17.1" customHeight="1"/>
    <row r="177" ht="17.1" customHeight="1"/>
    <row r="178" ht="17.1" customHeight="1"/>
    <row r="179" ht="17.1" customHeight="1"/>
    <row r="180" ht="17.1" customHeight="1"/>
    <row r="181" ht="17.1" customHeight="1"/>
    <row r="182" ht="17.1" customHeight="1"/>
    <row r="183" ht="17.1" customHeight="1"/>
    <row r="184" ht="17.1" customHeight="1"/>
    <row r="185" ht="17.1" customHeight="1"/>
    <row r="186" ht="17.1" customHeight="1"/>
    <row r="187" ht="17.1" customHeight="1"/>
    <row r="188" ht="17.1" customHeight="1"/>
    <row r="189" ht="17.1" customHeight="1"/>
    <row r="190" ht="17.1" customHeight="1"/>
    <row r="191" ht="17.1" customHeight="1"/>
    <row r="192" ht="17.1" customHeight="1"/>
    <row r="193" ht="17.1" customHeight="1"/>
    <row r="194" ht="17.1" customHeight="1"/>
    <row r="195" ht="17.1" customHeight="1"/>
    <row r="196" ht="17.1" customHeight="1"/>
    <row r="197" ht="17.1" customHeight="1"/>
    <row r="198" ht="17.1" customHeight="1"/>
    <row r="199" ht="17.1" customHeight="1"/>
    <row r="200" ht="17.1" customHeight="1"/>
    <row r="201" ht="17.1" customHeight="1"/>
    <row r="202" ht="17.1" customHeight="1"/>
    <row r="203" ht="17.1" customHeight="1"/>
  </sheetData>
  <mergeCells count="1">
    <mergeCell ref="A1:O1"/>
  </mergeCells>
  <conditionalFormatting sqref="L4:L203">
    <cfRule type="expression" priority="1" dxfId="17">
      <formula>L4=0</formula>
    </cfRule>
  </conditionalFormatting>
  <conditionalFormatting sqref="M4:M203">
    <cfRule type="colorScale" priority="2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sqref="J4:J203" showDropDown="0" showInputMessage="0" showErrorMessage="0" allowBlank="0" type="list">
      <formula1>"1,2,3,4"</formula1>
    </dataValidation>
    <dataValidation sqref="K4:K203" showDropDown="0" showInputMessage="0" showErrorMessage="0" allowBlank="0" type="list">
      <formula1>"1,2,3,4,5"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"/>
  <sheetViews>
    <sheetView topLeftCell="F1" workbookViewId="0">
      <selection activeCell="K16" sqref="K16"/>
    </sheetView>
  </sheetViews>
  <sheetFormatPr baseColWidth="8" defaultRowHeight="14.25"/>
  <cols>
    <col width="14" customWidth="1" min="1" max="1"/>
    <col width="26" customWidth="1" min="2" max="2"/>
    <col width="55.25" customWidth="1" min="3" max="3"/>
    <col width="58.875" customWidth="1" min="4" max="4"/>
    <col width="40.875" customWidth="1" min="5" max="5"/>
    <col width="30" customWidth="1" min="6" max="6"/>
    <col width="18" customWidth="1" min="7" max="9"/>
    <col width="28" customWidth="1" min="10" max="10"/>
    <col width="30.125" customWidth="1" min="11" max="11"/>
    <col width="26" customWidth="1" min="12" max="12"/>
    <col width="18" customWidth="1" min="13" max="13"/>
    <col width="20" customWidth="1" min="14" max="14"/>
  </cols>
  <sheetData>
    <row r="1" ht="15" customHeight="1">
      <c r="A1" s="14" t="inlineStr">
        <is>
          <t>Роли пользователей и потребительские сегменты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/>
    <row r="3" ht="36" customHeight="1">
      <c r="A3" s="5" t="inlineStr">
        <is>
          <t>ID роли</t>
        </is>
      </c>
      <c r="B3" s="5" t="inlineStr">
        <is>
          <t>Роль / сегмент</t>
        </is>
      </c>
      <c r="C3" s="5" t="inlineStr">
        <is>
          <t>Потребительская задача</t>
        </is>
      </c>
      <c r="D3" s="5" t="inlineStr">
        <is>
          <t>Проблема</t>
        </is>
      </c>
      <c r="E3" s="5" t="inlineStr">
        <is>
          <t>Мотивация</t>
        </is>
      </c>
      <c r="F3" s="5" t="inlineStr">
        <is>
          <t>Ограничения</t>
        </is>
      </c>
      <c r="G3" s="5" t="inlineStr">
        <is>
          <t>Готовность платить (1-5)</t>
        </is>
      </c>
      <c r="H3" s="5" t="inlineStr">
        <is>
          <t>Частота потребности (1-5)</t>
        </is>
      </c>
      <c r="I3" s="5" t="inlineStr">
        <is>
          <t>Ценность сегмента</t>
        </is>
      </c>
      <c r="J3" s="5" t="inlineStr">
        <is>
          <t>Канал входа</t>
        </is>
      </c>
      <c r="K3" s="5" t="inlineStr">
        <is>
          <t>Связанный блок Канвас</t>
        </is>
      </c>
      <c r="L3" s="5" t="inlineStr">
        <is>
          <t>Основание из анализа</t>
        </is>
      </c>
      <c r="M3" s="5" t="inlineStr">
        <is>
          <t>Доказательность (1-4)</t>
        </is>
      </c>
      <c r="N3" s="5" t="inlineStr">
        <is>
          <t>Статус</t>
        </is>
      </c>
    </row>
    <row r="4" ht="28.5" customHeight="1">
      <c r="A4" s="4" t="inlineStr">
        <is>
          <t>R-001</t>
        </is>
      </c>
      <c r="B4" s="4" t="inlineStr">
        <is>
          <t>Посетитель</t>
        </is>
      </c>
      <c r="C4" s="4" t="inlineStr">
        <is>
          <t>Найти инструмент для диаграммы нотации</t>
        </is>
      </c>
      <c r="D4" s="4" t="inlineStr">
        <is>
          <t>Не знает, какой инструмент поддерживает нужную нотацию</t>
        </is>
      </c>
      <c r="E4" s="4" t="inlineStr">
        <is>
          <t>Быстро найти подходящий инструмент</t>
        </is>
      </c>
      <c r="F4" s="4" t="inlineStr">
        <is>
          <t>Нехватка времени, недоверие</t>
        </is>
      </c>
      <c r="G4" s="4" t="n">
        <v>2</v>
      </c>
      <c r="H4" s="4" t="n">
        <v>4</v>
      </c>
      <c r="I4" s="8">
        <f>IF(A4="","",IFERROR(G4*H4,""))</f>
        <v/>
      </c>
      <c r="J4" s="4" t="inlineStr">
        <is>
          <t>Поиск Google и Яндекс</t>
        </is>
      </c>
      <c r="K4" s="4" t="inlineStr">
        <is>
          <t>Каналы</t>
        </is>
      </c>
      <c r="L4" s="4" t="inlineStr">
        <is>
          <t>A-007</t>
        </is>
      </c>
      <c r="M4" s="4" t="n">
        <v>3</v>
      </c>
      <c r="N4" s="4" t="inlineStr">
        <is>
          <t>Требует проверки</t>
        </is>
      </c>
    </row>
    <row r="5" ht="28.5" customHeight="1">
      <c r="A5" s="4" t="inlineStr">
        <is>
          <t>R-002</t>
        </is>
      </c>
      <c r="B5" s="4" t="inlineStr">
        <is>
          <t>Новый пользователь</t>
        </is>
      </c>
      <c r="C5" s="4" t="inlineStr">
        <is>
          <t>Получить первую диаграмму</t>
        </is>
      </c>
      <c r="D5" s="4" t="inlineStr">
        <is>
          <t>Сложность синтаксиса текстовых языков</t>
        </is>
      </c>
      <c r="E5" s="4" t="inlineStr">
        <is>
          <t>Сдать работу в срок</t>
        </is>
      </c>
      <c r="F5" s="4" t="inlineStr">
        <is>
          <t>Нет опыта с нотациями</t>
        </is>
      </c>
      <c r="G5" s="4" t="n">
        <v>2</v>
      </c>
      <c r="H5" s="4" t="n">
        <v>4</v>
      </c>
      <c r="I5" s="8">
        <f>IF(A5="","",IFERROR(G5*H5,""))</f>
        <v/>
      </c>
      <c r="J5" s="4" t="inlineStr">
        <is>
          <t>Сайт, документация</t>
        </is>
      </c>
      <c r="K5" s="4" t="inlineStr">
        <is>
          <t>Потребительские сегменты</t>
        </is>
      </c>
      <c r="L5" s="4" t="inlineStr">
        <is>
          <t>A-002</t>
        </is>
      </c>
      <c r="M5" s="4" t="n">
        <v>4</v>
      </c>
      <c r="N5" s="4" t="inlineStr">
        <is>
          <t>Подтверждено</t>
        </is>
      </c>
    </row>
    <row r="6" ht="28.5" customHeight="1">
      <c r="A6" s="4" t="inlineStr">
        <is>
          <t>R-003</t>
        </is>
      </c>
      <c r="B6" s="4" t="inlineStr">
        <is>
          <t>Активный пользователь</t>
        </is>
      </c>
      <c r="C6" s="4" t="inlineStr">
        <is>
          <t>Регулярно строить диаграммы разных нотаций</t>
        </is>
      </c>
      <c r="D6" s="4" t="inlineStr">
        <is>
          <t>Нужны несколько инструментов</t>
        </is>
      </c>
      <c r="E6" s="4" t="inlineStr">
        <is>
          <t>Экономия времени</t>
        </is>
      </c>
      <c r="F6" s="4" t="inlineStr">
        <is>
          <t>Привычка к draw.io и PlantUML</t>
        </is>
      </c>
      <c r="G6" s="4" t="n">
        <v>3</v>
      </c>
      <c r="H6" s="4" t="n">
        <v>5</v>
      </c>
      <c r="I6" s="8">
        <f>IF(A6="","",IFERROR(G6*H6,""))</f>
        <v/>
      </c>
      <c r="J6" s="4" t="inlineStr">
        <is>
          <t>Личный кабинет</t>
        </is>
      </c>
      <c r="K6" s="4" t="inlineStr">
        <is>
          <t>Потребительские сегменты</t>
        </is>
      </c>
      <c r="L6" s="4" t="inlineStr">
        <is>
          <t>A-001</t>
        </is>
      </c>
      <c r="M6" s="4" t="n">
        <v>3</v>
      </c>
      <c r="N6" s="4" t="inlineStr">
        <is>
          <t>Требует проверки</t>
        </is>
      </c>
    </row>
    <row r="7" ht="28.5" customHeight="1">
      <c r="A7" s="4" t="inlineStr">
        <is>
          <t>R-004</t>
        </is>
      </c>
      <c r="B7" s="4" t="inlineStr">
        <is>
          <t>Платящий клиент</t>
        </is>
      </c>
      <c r="C7" s="4" t="inlineStr">
        <is>
          <t>Снять ограничения Free и получить расширенные функции</t>
        </is>
      </c>
      <c r="D7" s="4" t="inlineStr">
        <is>
          <t>Ограничения бесплатного уровня</t>
        </is>
      </c>
      <c r="E7" s="4" t="inlineStr">
        <is>
          <t>Профессиональный результат</t>
        </is>
      </c>
      <c r="F7" s="4" t="inlineStr">
        <is>
          <t>Цена, оплата из Беларуси</t>
        </is>
      </c>
      <c r="G7" s="4" t="n">
        <v>4</v>
      </c>
      <c r="H7" s="4" t="n">
        <v>4</v>
      </c>
      <c r="I7" s="8">
        <f>IF(A7="","",IFERROR(G7*H7,""))</f>
        <v/>
      </c>
      <c r="J7" s="4" t="inlineStr">
        <is>
          <t>Прямой заход, кабинет</t>
        </is>
      </c>
      <c r="K7" s="4" t="inlineStr">
        <is>
          <t>Потоки доходов</t>
        </is>
      </c>
      <c r="L7" s="4" t="inlineStr">
        <is>
          <t>A-003</t>
        </is>
      </c>
      <c r="M7" s="4" t="n">
        <v>3</v>
      </c>
      <c r="N7" s="4" t="inlineStr">
        <is>
          <t>Требует проверки</t>
        </is>
      </c>
    </row>
    <row r="8">
      <c r="A8" s="4" t="inlineStr">
        <is>
          <t>R-005</t>
        </is>
      </c>
      <c r="B8" s="4" t="inlineStr">
        <is>
          <t>Администратор клиента</t>
        </is>
      </c>
      <c r="C8" s="4" t="inlineStr">
        <is>
          <t>Выдать доступ команде</t>
        </is>
      </c>
      <c r="D8" s="4" t="inlineStr">
        <is>
          <t>Нет командного тарифа у Free</t>
        </is>
      </c>
      <c r="E8" s="4" t="inlineStr">
        <is>
          <t>Единая среда для команды</t>
        </is>
      </c>
      <c r="F8" s="4" t="inlineStr">
        <is>
          <t>Командный тариф отложен</t>
        </is>
      </c>
      <c r="G8" s="4" t="n">
        <v>3</v>
      </c>
      <c r="H8" s="4" t="n">
        <v>2</v>
      </c>
      <c r="I8" s="8">
        <f>IF(A8="","",IFERROR(G8*H8,""))</f>
        <v/>
      </c>
      <c r="J8" s="4" t="inlineStr">
        <is>
          <t>Кабинет</t>
        </is>
      </c>
      <c r="K8" s="4" t="inlineStr">
        <is>
          <t>Потоки доходов</t>
        </is>
      </c>
      <c r="L8" s="4" t="inlineStr">
        <is>
          <t>A-003</t>
        </is>
      </c>
      <c r="M8" s="4" t="n">
        <v>3</v>
      </c>
      <c r="N8" s="4" t="inlineStr">
        <is>
          <t>Требует проверки</t>
        </is>
      </c>
    </row>
    <row r="9" ht="28.5" customHeight="1">
      <c r="A9" s="4" t="inlineStr">
        <is>
          <t>R-006</t>
        </is>
      </c>
      <c r="B9" s="4" t="inlineStr">
        <is>
          <t>Внутренний администратор</t>
        </is>
      </c>
      <c r="C9" s="4" t="inlineStr">
        <is>
          <t>Обрабатывать обращения и ошибки</t>
        </is>
      </c>
      <c r="D9" s="4" t="inlineStr">
        <is>
          <t>Обращения по нотациям и оплате</t>
        </is>
      </c>
      <c r="E9" s="4" t="inlineStr">
        <is>
          <t>Качество сервиса</t>
        </is>
      </c>
      <c r="F9" s="4" t="inlineStr">
        <is>
          <t>Объём поддержки</t>
        </is>
      </c>
      <c r="G9" s="4" t="n">
        <v>1</v>
      </c>
      <c r="H9" s="4" t="n">
        <v>3</v>
      </c>
      <c r="I9" s="8">
        <f>IF(A9="","",IFERROR(G9*H9,""))</f>
        <v/>
      </c>
      <c r="J9" s="4" t="inlineStr">
        <is>
          <t>Поддержка</t>
        </is>
      </c>
      <c r="K9" s="4" t="inlineStr">
        <is>
          <t>Ключевые виды деятельности</t>
        </is>
      </c>
      <c r="L9" s="4" t="inlineStr">
        <is>
          <t>A-012</t>
        </is>
      </c>
      <c r="M9" s="4" t="n">
        <v>3</v>
      </c>
      <c r="N9" s="4" t="inlineStr">
        <is>
          <t>Требует проверки</t>
        </is>
      </c>
    </row>
    <row r="10">
      <c r="A10" s="4" t="inlineStr">
        <is>
          <t>R-007</t>
        </is>
      </c>
      <c r="B10" s="4" t="inlineStr">
        <is>
          <t>Партнер</t>
        </is>
      </c>
      <c r="C10" s="4" t="inlineStr">
        <is>
          <t>Подключить студентов вуза</t>
        </is>
      </c>
      <c r="D10" s="4" t="inlineStr">
        <is>
          <t>Вузы требуют инструмент для занятий</t>
        </is>
      </c>
      <c r="E10" s="4" t="inlineStr">
        <is>
          <t>Доступ студентов к инструменту</t>
        </is>
      </c>
      <c r="F10" s="4" t="inlineStr">
        <is>
          <t>Нет договорённостей</t>
        </is>
      </c>
      <c r="G10" s="4" t="n">
        <v>2</v>
      </c>
      <c r="H10" s="4" t="n">
        <v>2</v>
      </c>
      <c r="I10" s="8">
        <f>IF(A10="","",IFERROR(G10*H10,""))</f>
        <v/>
      </c>
      <c r="J10" s="4" t="inlineStr">
        <is>
          <t>Вуз</t>
        </is>
      </c>
      <c r="K10" s="4" t="inlineStr">
        <is>
          <t>Ключевые партнеры</t>
        </is>
      </c>
      <c r="L10" s="4" t="inlineStr">
        <is>
          <t>A-006</t>
        </is>
      </c>
      <c r="M10" s="4" t="n">
        <v>3</v>
      </c>
      <c r="N10" s="4" t="inlineStr">
        <is>
          <t>Требует проверки</t>
        </is>
      </c>
    </row>
    <row r="11" ht="17.1" customHeight="1"/>
    <row r="12" ht="17.1" customHeight="1"/>
    <row r="13" ht="17.1" customHeight="1"/>
    <row r="14" ht="17.1" customHeight="1"/>
    <row r="15" ht="17.1" customHeight="1"/>
    <row r="16" ht="17.1" customHeight="1"/>
    <row r="17" ht="17.1" customHeight="1"/>
    <row r="18" ht="17.1" customHeight="1"/>
    <row r="19" ht="17.1" customHeight="1"/>
    <row r="20" ht="17.1" customHeight="1"/>
    <row r="21" ht="17.1" customHeight="1"/>
    <row r="22" ht="17.1" customHeight="1"/>
    <row r="23" ht="17.1" customHeight="1"/>
    <row r="24" ht="17.1" customHeight="1"/>
    <row r="25" ht="17.1" customHeight="1"/>
    <row r="26" ht="17.1" customHeight="1"/>
    <row r="27" ht="17.1" customHeight="1"/>
    <row r="28" ht="17.1" customHeight="1"/>
    <row r="29" ht="17.1" customHeight="1"/>
    <row r="30" ht="17.1" customHeight="1"/>
    <row r="31" ht="17.1" customHeight="1"/>
    <row r="32" ht="17.1" customHeight="1"/>
    <row r="33" ht="17.1" customHeight="1"/>
    <row r="34" ht="17.1" customHeight="1"/>
    <row r="35" ht="17.1" customHeight="1"/>
    <row r="36" ht="17.1" customHeight="1"/>
    <row r="37" ht="17.1" customHeight="1"/>
    <row r="38" ht="17.1" customHeight="1"/>
    <row r="39" ht="17.1" customHeight="1"/>
    <row r="40" ht="17.1" customHeight="1"/>
    <row r="41" ht="17.1" customHeight="1"/>
    <row r="42" ht="17.1" customHeight="1"/>
    <row r="43" ht="17.1" customHeight="1"/>
    <row r="44" ht="17.1" customHeight="1"/>
    <row r="45" ht="17.1" customHeight="1"/>
    <row r="46" ht="17.1" customHeight="1"/>
    <row r="47" ht="17.1" customHeight="1"/>
    <row r="48" ht="17.1" customHeight="1"/>
    <row r="49" ht="17.1" customHeight="1"/>
    <row r="50" ht="17.1" customHeight="1"/>
    <row r="51" ht="17.1" customHeight="1"/>
    <row r="52" ht="17.1" customHeight="1"/>
    <row r="53" ht="17.1" customHeight="1"/>
    <row r="54" ht="17.1" customHeight="1"/>
    <row r="55" ht="17.1" customHeight="1"/>
    <row r="56" ht="17.1" customHeight="1"/>
    <row r="57" ht="17.1" customHeight="1"/>
    <row r="58" ht="17.1" customHeight="1"/>
    <row r="59" ht="17.1" customHeight="1"/>
    <row r="60" ht="17.1" customHeight="1"/>
    <row r="61" ht="17.1" customHeight="1"/>
    <row r="62" ht="17.1" customHeight="1"/>
    <row r="63" ht="17.1" customHeight="1"/>
    <row r="64" ht="17.1" customHeight="1"/>
    <row r="65" ht="17.1" customHeight="1"/>
    <row r="66" ht="17.1" customHeight="1"/>
    <row r="67" ht="17.1" customHeight="1"/>
    <row r="68" ht="17.1" customHeight="1"/>
    <row r="69" ht="17.1" customHeight="1"/>
    <row r="70" ht="17.1" customHeight="1"/>
    <row r="71" ht="17.1" customHeight="1"/>
    <row r="72" ht="17.1" customHeight="1"/>
    <row r="73" ht="17.1" customHeight="1"/>
    <row r="74" ht="17.1" customHeight="1"/>
    <row r="75" ht="17.1" customHeight="1"/>
    <row r="76" ht="17.1" customHeight="1"/>
    <row r="77" ht="17.1" customHeight="1"/>
    <row r="78" ht="17.1" customHeight="1"/>
    <row r="79" ht="17.1" customHeight="1"/>
    <row r="80" ht="17.1" customHeight="1"/>
    <row r="81" ht="17.1" customHeight="1"/>
    <row r="82" ht="17.1" customHeight="1"/>
    <row r="83" ht="17.1" customHeight="1"/>
    <row r="84" ht="17.1" customHeight="1"/>
    <row r="85" ht="17.1" customHeight="1"/>
    <row r="86" ht="17.1" customHeight="1"/>
    <row r="87" ht="17.1" customHeight="1"/>
    <row r="88" ht="17.1" customHeight="1"/>
    <row r="89" ht="17.1" customHeight="1"/>
    <row r="90" ht="17.1" customHeight="1"/>
    <row r="91" ht="17.1" customHeight="1"/>
    <row r="92" ht="17.1" customHeight="1"/>
    <row r="93" ht="17.1" customHeight="1"/>
    <row r="94" ht="17.1" customHeight="1"/>
    <row r="95" ht="17.1" customHeight="1"/>
    <row r="96" ht="17.1" customHeight="1"/>
    <row r="97" ht="17.1" customHeight="1"/>
    <row r="98" ht="17.1" customHeight="1"/>
    <row r="99" ht="17.1" customHeight="1"/>
    <row r="100" ht="17.1" customHeight="1"/>
    <row r="101" ht="17.1" customHeight="1"/>
    <row r="102" ht="17.1" customHeight="1"/>
    <row r="103" ht="17.1" customHeight="1"/>
    <row r="104" ht="17.1" customHeight="1"/>
    <row r="105" ht="17.1" customHeight="1"/>
    <row r="106" ht="17.1" customHeight="1"/>
    <row r="107" ht="17.1" customHeight="1"/>
    <row r="108" ht="17.1" customHeight="1"/>
    <row r="109" ht="17.1" customHeight="1"/>
    <row r="110" ht="17.1" customHeight="1"/>
    <row r="111" ht="17.1" customHeight="1"/>
    <row r="112" ht="17.1" customHeight="1"/>
    <row r="113" ht="17.1" customHeight="1"/>
    <row r="114" ht="17.1" customHeight="1"/>
    <row r="115" ht="17.1" customHeight="1"/>
    <row r="116" ht="17.1" customHeight="1"/>
    <row r="117" ht="17.1" customHeight="1"/>
    <row r="118" ht="17.1" customHeight="1"/>
    <row r="119" ht="17.1" customHeight="1"/>
    <row r="120" ht="17.1" customHeight="1"/>
    <row r="121" ht="17.1" customHeight="1"/>
    <row r="122" ht="17.1" customHeight="1"/>
    <row r="123" ht="17.1" customHeight="1"/>
    <row r="124" ht="17.1" customHeight="1"/>
    <row r="125" ht="17.1" customHeight="1"/>
    <row r="126" ht="17.1" customHeight="1"/>
    <row r="127" ht="17.1" customHeight="1"/>
    <row r="128" ht="17.1" customHeight="1"/>
    <row r="129" ht="17.1" customHeight="1"/>
    <row r="130" ht="17.1" customHeight="1"/>
    <row r="131" ht="17.1" customHeight="1"/>
    <row r="132" ht="17.1" customHeight="1"/>
    <row r="133" ht="17.1" customHeight="1"/>
    <row r="134" ht="17.1" customHeight="1"/>
    <row r="135" ht="17.1" customHeight="1"/>
    <row r="136" ht="17.1" customHeight="1"/>
    <row r="137" ht="17.1" customHeight="1"/>
    <row r="138" ht="17.1" customHeight="1"/>
    <row r="139" ht="17.1" customHeight="1"/>
    <row r="140" ht="17.1" customHeight="1"/>
    <row r="141" ht="17.1" customHeight="1"/>
    <row r="142" ht="17.1" customHeight="1"/>
    <row r="143" ht="17.1" customHeight="1"/>
    <row r="144" ht="17.1" customHeight="1"/>
    <row r="145" ht="17.1" customHeight="1"/>
    <row r="146" ht="17.1" customHeight="1"/>
    <row r="147" ht="17.1" customHeight="1"/>
    <row r="148" ht="17.1" customHeight="1"/>
    <row r="149" ht="17.1" customHeight="1"/>
    <row r="150" ht="17.1" customHeight="1"/>
    <row r="151" ht="17.1" customHeight="1"/>
    <row r="152" ht="17.1" customHeight="1"/>
    <row r="153" ht="17.1" customHeight="1"/>
    <row r="154" ht="17.1" customHeight="1"/>
    <row r="155" ht="17.1" customHeight="1"/>
    <row r="156" ht="17.1" customHeight="1"/>
    <row r="157" ht="17.1" customHeight="1"/>
    <row r="158" ht="17.1" customHeight="1"/>
    <row r="159" ht="17.1" customHeight="1"/>
    <row r="160" ht="17.1" customHeight="1"/>
    <row r="161" ht="17.1" customHeight="1"/>
    <row r="162" ht="17.1" customHeight="1"/>
    <row r="163" ht="17.1" customHeight="1"/>
    <row r="164" ht="17.1" customHeight="1"/>
    <row r="165" ht="17.1" customHeight="1"/>
    <row r="166" ht="17.1" customHeight="1"/>
    <row r="167" ht="17.1" customHeight="1"/>
    <row r="168" ht="17.1" customHeight="1"/>
    <row r="169" ht="17.1" customHeight="1"/>
    <row r="170" ht="17.1" customHeight="1"/>
    <row r="171" ht="17.1" customHeight="1"/>
    <row r="172" ht="17.1" customHeight="1"/>
    <row r="173" ht="17.1" customHeight="1"/>
    <row r="174" ht="17.1" customHeight="1"/>
    <row r="175" ht="17.1" customHeight="1"/>
    <row r="176" ht="17.1" customHeight="1"/>
    <row r="177" ht="17.1" customHeight="1"/>
    <row r="178" ht="17.1" customHeight="1"/>
    <row r="179" ht="17.1" customHeight="1"/>
    <row r="180" ht="17.1" customHeight="1"/>
    <row r="181" ht="17.1" customHeight="1"/>
    <row r="182" ht="17.1" customHeight="1"/>
    <row r="183" ht="17.1" customHeight="1"/>
    <row r="184" ht="17.1" customHeight="1"/>
    <row r="185" ht="17.1" customHeight="1"/>
    <row r="186" ht="17.1" customHeight="1"/>
    <row r="187" ht="17.1" customHeight="1"/>
    <row r="188" ht="17.1" customHeight="1"/>
    <row r="189" ht="17.1" customHeight="1"/>
    <row r="190" ht="17.1" customHeight="1"/>
    <row r="191" ht="17.1" customHeight="1"/>
    <row r="192" ht="17.1" customHeight="1"/>
    <row r="193" ht="17.1" customHeight="1"/>
    <row r="194" ht="17.1" customHeight="1"/>
    <row r="195" ht="17.1" customHeight="1"/>
    <row r="196" ht="17.1" customHeight="1"/>
    <row r="197" ht="17.1" customHeight="1"/>
    <row r="198" ht="17.1" customHeight="1"/>
    <row r="199" ht="17.1" customHeight="1"/>
    <row r="200" ht="17.1" customHeight="1"/>
    <row r="201" ht="17.1" customHeight="1"/>
    <row r="202" ht="17.1" customHeight="1"/>
    <row r="203" ht="17.1" customHeight="1"/>
  </sheetData>
  <mergeCells count="1">
    <mergeCell ref="A1:N1"/>
  </mergeCells>
  <conditionalFormatting sqref="I4:I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sqref="G4:H203" showDropDown="0" showInputMessage="0" showErrorMessage="0" allowBlank="0" type="list">
      <formula1>"1,2,3,4,5"</formula1>
    </dataValidation>
    <dataValidation sqref="M4:M203" showDropDown="0" showInputMessage="0" showErrorMessage="0" allowBlank="0" type="list">
      <formula1>"1,2,3,4"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"/>
  <sheetViews>
    <sheetView topLeftCell="L1" workbookViewId="0">
      <selection activeCell="S15" sqref="S15"/>
    </sheetView>
  </sheetViews>
  <sheetFormatPr baseColWidth="8" defaultRowHeight="14.25"/>
  <cols>
    <col width="14" customWidth="1" min="1" max="1"/>
    <col width="57.25" customWidth="1" min="2" max="2"/>
    <col width="24" customWidth="1" min="3" max="3"/>
    <col width="28.125" customWidth="1" min="4" max="4"/>
    <col width="32.5" customWidth="1" min="5" max="5"/>
    <col width="52.875" customWidth="1" min="6" max="6"/>
    <col width="34" customWidth="1" min="7" max="7"/>
    <col width="55.125" customWidth="1" min="8" max="8"/>
    <col width="58.125" customWidth="1" min="9" max="9"/>
    <col width="42" customWidth="1" min="10" max="10"/>
    <col width="34" customWidth="1" min="11" max="12"/>
    <col width="26" customWidth="1" min="13" max="13"/>
    <col width="18" customWidth="1" min="14" max="17"/>
    <col width="16" customWidth="1" min="18" max="18"/>
    <col width="18" customWidth="1" min="19" max="19"/>
    <col width="20" customWidth="1" min="20" max="20"/>
    <col width="22" customWidth="1" min="21" max="21"/>
  </cols>
  <sheetData>
    <row r="1" ht="15" customHeight="1">
      <c r="A1" s="14" t="inlineStr">
        <is>
          <t>Пользовательские сценарии: от проблемы к действию и монетизации</t>
        </is>
      </c>
      <c r="V1" s="2" t="n"/>
      <c r="W1" s="2" t="n"/>
      <c r="X1" s="2" t="n"/>
      <c r="Y1" s="2" t="n"/>
      <c r="Z1" s="2" t="n"/>
    </row>
    <row r="2"/>
    <row r="3" ht="39" customHeight="1">
      <c r="A3" s="5" t="inlineStr">
        <is>
          <t>ID сценария</t>
        </is>
      </c>
      <c r="B3" s="5" t="inlineStr">
        <is>
          <t>Название сценария</t>
        </is>
      </c>
      <c r="C3" s="5" t="inlineStr">
        <is>
          <t>Роль</t>
        </is>
      </c>
      <c r="D3" s="5" t="inlineStr">
        <is>
          <t>Этап</t>
        </is>
      </c>
      <c r="E3" s="5" t="inlineStr">
        <is>
          <t>Тип сценария</t>
        </is>
      </c>
      <c r="F3" s="5" t="inlineStr">
        <is>
          <t>Исходная проблема</t>
        </is>
      </c>
      <c r="G3" s="5" t="inlineStr">
        <is>
          <t>Цель пользователя</t>
        </is>
      </c>
      <c r="H3" s="5" t="inlineStr">
        <is>
          <t>Триггер</t>
        </is>
      </c>
      <c r="I3" s="5" t="inlineStr">
        <is>
          <t>Основной путь</t>
        </is>
      </c>
      <c r="J3" s="5" t="inlineStr">
        <is>
          <t>Альтернативный путь / ошибка</t>
        </is>
      </c>
      <c r="K3" s="5" t="inlineStr">
        <is>
          <t>Результат для пользователя</t>
        </is>
      </c>
      <c r="L3" s="5" t="inlineStr">
        <is>
          <t>Результат для бизнес-модели</t>
        </is>
      </c>
      <c r="M3" s="5" t="inlineStr">
        <is>
          <t>Единица монетизации</t>
        </is>
      </c>
      <c r="N3" s="5" t="inlineStr">
        <is>
          <t>Частота потребности (1-5)</t>
        </is>
      </c>
      <c r="O3" s="5" t="inlineStr">
        <is>
          <t>Значимость проблемы (1-5)</t>
        </is>
      </c>
      <c r="P3" s="5" t="inlineStr">
        <is>
          <t>Влияние на выручку (1-5)</t>
        </is>
      </c>
      <c r="Q3" s="5" t="inlineStr">
        <is>
          <t>Доказательность (1-4)</t>
        </is>
      </c>
      <c r="R3" s="5" t="inlineStr">
        <is>
          <t>Индекс сценария</t>
        </is>
      </c>
      <c r="S3" s="5" t="inlineStr">
        <is>
          <t>Приоритет</t>
        </is>
      </c>
      <c r="T3" s="5" t="inlineStr">
        <is>
          <t>Статус</t>
        </is>
      </c>
      <c r="U3" s="5" t="inlineStr">
        <is>
          <t>Источник анализа</t>
        </is>
      </c>
    </row>
    <row r="4" ht="28.5" customHeight="1">
      <c r="A4" s="4" t="inlineStr">
        <is>
          <t>S-001</t>
        </is>
      </c>
      <c r="B4" s="4" t="inlineStr">
        <is>
          <t>Найти инструмент для диаграммы нотации</t>
        </is>
      </c>
      <c r="C4" s="4" t="inlineStr">
        <is>
          <t>Посетитель</t>
        </is>
      </c>
      <c r="D4" s="4" t="inlineStr">
        <is>
          <t>Привлечение</t>
        </is>
      </c>
      <c r="E4" s="4" t="inlineStr">
        <is>
          <t>Привлечение</t>
        </is>
      </c>
      <c r="F4" s="4" t="inlineStr">
        <is>
          <t>Не ясно, какой инструмент поддерживает нужную нотацию</t>
        </is>
      </c>
      <c r="G4" s="4" t="inlineStr">
        <is>
          <t>Найти подходящий инструмент</t>
        </is>
      </c>
      <c r="H4" s="4" t="inlineStr">
        <is>
          <t>Задание по проектированию, поиск в Google или Яндекс</t>
        </is>
      </c>
      <c r="I4" s="4" t="inlineStr">
        <is>
          <t>Поисковый запрос, переход на сайт, страница возможностей</t>
        </is>
      </c>
      <c r="J4" s="4" t="inlineStr">
        <is>
          <t>Выбор другого инструмента</t>
        </is>
      </c>
      <c r="K4" s="4" t="inlineStr">
        <is>
          <t>Понимание, что нотация поддерживается</t>
        </is>
      </c>
      <c r="L4" s="4" t="inlineStr">
        <is>
          <t>Рост трафика</t>
        </is>
      </c>
      <c r="M4" s="4" t="inlineStr">
        <is>
          <t>Free</t>
        </is>
      </c>
      <c r="N4" s="4" t="n">
        <v>4</v>
      </c>
      <c r="O4" s="4" t="n">
        <v>4</v>
      </c>
      <c r="P4" s="4" t="n">
        <v>3</v>
      </c>
      <c r="Q4" s="4" t="n">
        <v>3</v>
      </c>
      <c r="R4" s="7">
        <f>IF(A4="","",IFERROR(N4*O4*P4*Q4/20,0))</f>
        <v/>
      </c>
      <c r="S4" s="8">
        <f>IF(R4="","",IF(R4&gt;=15,"Критический",IF(R4&gt;=9,"Высокий",IF(R4&gt;=5,"Средний",IF(R4&gt;=2,"Низкий","Отложить")))))</f>
        <v/>
      </c>
      <c r="T4" s="4" t="inlineStr">
        <is>
          <t>Требует проверки</t>
        </is>
      </c>
      <c r="U4" s="4" t="inlineStr">
        <is>
          <t>A-001</t>
        </is>
      </c>
    </row>
    <row r="5" ht="28.5" customHeight="1">
      <c r="A5" s="4" t="inlineStr">
        <is>
          <t>S-002</t>
        </is>
      </c>
      <c r="B5" s="4" t="inlineStr">
        <is>
          <t>Сравнить NotaCode с другими инструментами и увидеть цену</t>
        </is>
      </c>
      <c r="C5" s="4" t="inlineStr">
        <is>
          <t>Потенциальный клиент</t>
        </is>
      </c>
      <c r="D5" s="4" t="inlineStr">
        <is>
          <t>Первичный интерес</t>
        </is>
      </c>
      <c r="E5" s="4" t="inlineStr">
        <is>
          <t>Сравнение и доверие</t>
        </is>
      </c>
      <c r="F5" s="4" t="inlineStr">
        <is>
          <t>Риск выбора неподходящего инструмента</t>
        </is>
      </c>
      <c r="G5" s="4" t="inlineStr">
        <is>
          <t>Убедиться в наборе нотаций и цене</t>
        </is>
      </c>
      <c r="H5" s="4" t="inlineStr">
        <is>
          <t>Сомнение в выборе</t>
        </is>
      </c>
      <c r="I5" s="4" t="inlineStr">
        <is>
          <t>Страница возможностей, тарифы, документация</t>
        </is>
      </c>
      <c r="J5" s="4" t="inlineStr">
        <is>
          <t>Уход к draw.io или PlantUML</t>
        </is>
      </c>
      <c r="K5" s="4" t="inlineStr">
        <is>
          <t>Решение зарегистрироваться</t>
        </is>
      </c>
      <c r="L5" s="4" t="inlineStr">
        <is>
          <t>Конверсия в регистрацию</t>
        </is>
      </c>
      <c r="M5" s="4" t="inlineStr">
        <is>
          <t>Free, Pro</t>
        </is>
      </c>
      <c r="N5" s="4" t="n">
        <v>4</v>
      </c>
      <c r="O5" s="4" t="n">
        <v>4</v>
      </c>
      <c r="P5" s="4" t="n">
        <v>4</v>
      </c>
      <c r="Q5" s="4" t="n">
        <v>3</v>
      </c>
      <c r="R5" s="7">
        <f>IF(A5="","",IFERROR(N5*O5*P5*Q5/20,0))</f>
        <v/>
      </c>
      <c r="S5" s="8">
        <f>IF(R5="","",IF(R5&gt;=15,"Критический",IF(R5&gt;=9,"Высокий",IF(R5&gt;=5,"Средний",IF(R5&gt;=2,"Низкий","Отложить")))))</f>
        <v/>
      </c>
      <c r="T5" s="4" t="inlineStr">
        <is>
          <t>Подтверждено</t>
        </is>
      </c>
      <c r="U5" s="4" t="inlineStr">
        <is>
          <t>A-003</t>
        </is>
      </c>
    </row>
    <row r="6" ht="28.5" customHeight="1">
      <c r="A6" s="4" t="inlineStr">
        <is>
          <t>S-003</t>
        </is>
      </c>
      <c r="B6" s="4" t="inlineStr">
        <is>
          <t>Зарегистрироваться в бесплатном уровне</t>
        </is>
      </c>
      <c r="C6" s="4" t="inlineStr">
        <is>
          <t>Новый пользователь</t>
        </is>
      </c>
      <c r="D6" s="4" t="inlineStr">
        <is>
          <t>Регистрация</t>
        </is>
      </c>
      <c r="E6" s="4" t="inlineStr">
        <is>
          <t>Вход и активация</t>
        </is>
      </c>
      <c r="F6" s="4" t="inlineStr">
        <is>
          <t>Барьер входа</t>
        </is>
      </c>
      <c r="G6" s="4" t="inlineStr">
        <is>
          <t>Получить доступ к редактору</t>
        </is>
      </c>
      <c r="H6" s="4" t="inlineStr">
        <is>
          <t>Решение попробовать</t>
        </is>
      </c>
      <c r="I6" s="4" t="inlineStr">
        <is>
          <t>Кнопка входа, регистрация, подтверждение</t>
        </is>
      </c>
      <c r="J6" s="4" t="inlineStr">
        <is>
          <t>Отказ от регистрации</t>
        </is>
      </c>
      <c r="K6" s="4" t="inlineStr">
        <is>
          <t>Доступ к редактору Free</t>
        </is>
      </c>
      <c r="L6" s="4" t="inlineStr">
        <is>
          <t>Активация пользователя</t>
        </is>
      </c>
      <c r="M6" s="4" t="inlineStr">
        <is>
          <t>Free</t>
        </is>
      </c>
      <c r="N6" s="4" t="n">
        <v>4</v>
      </c>
      <c r="O6" s="4" t="n">
        <v>4</v>
      </c>
      <c r="P6" s="4" t="n">
        <v>3</v>
      </c>
      <c r="Q6" s="4" t="n">
        <v>4</v>
      </c>
      <c r="R6" s="7">
        <f>IF(A6="","",IFERROR(N6*O6*P6*Q6/20,0))</f>
        <v/>
      </c>
      <c r="S6" s="8">
        <f>IF(R6="","",IF(R6&gt;=15,"Критический",IF(R6&gt;=9,"Высокий",IF(R6&gt;=5,"Средний",IF(R6&gt;=2,"Низкий","Отложить")))))</f>
        <v/>
      </c>
      <c r="T6" s="4" t="inlineStr">
        <is>
          <t>Подтверждено</t>
        </is>
      </c>
      <c r="U6" s="4" t="inlineStr">
        <is>
          <t>A-004</t>
        </is>
      </c>
    </row>
    <row r="7" ht="28.5" customHeight="1">
      <c r="A7" s="4" t="inlineStr">
        <is>
          <t>S-004</t>
        </is>
      </c>
      <c r="B7" s="4" t="inlineStr">
        <is>
          <t>Построить первую диаграмму из текста</t>
        </is>
      </c>
      <c r="C7" s="4" t="inlineStr">
        <is>
          <t>Новый пользователь</t>
        </is>
      </c>
      <c r="D7" s="4" t="inlineStr">
        <is>
          <t>Получение ценности</t>
        </is>
      </c>
      <c r="E7" s="4" t="inlineStr">
        <is>
          <t>Основной</t>
        </is>
      </c>
      <c r="F7" s="4" t="inlineStr">
        <is>
          <t>Сложность синтаксиса текстовых языков</t>
        </is>
      </c>
      <c r="G7" s="4" t="inlineStr">
        <is>
          <t>Получить корректную диаграмму</t>
        </is>
      </c>
      <c r="H7" s="4" t="inlineStr">
        <is>
          <t>Задание на диаграмму</t>
        </is>
      </c>
      <c r="I7" s="4" t="inlineStr">
        <is>
          <t>Выбор нотации, ввод текста, предпросмотр, правка</t>
        </is>
      </c>
      <c r="J7" s="4" t="inlineStr">
        <is>
          <t>Ошибка синтаксиса, подсказка и пример</t>
        </is>
      </c>
      <c r="K7" s="4" t="inlineStr">
        <is>
          <t>Диаграмма в выбранной нотации</t>
        </is>
      </c>
      <c r="L7" s="4" t="inlineStr">
        <is>
          <t>Первое значимое действие</t>
        </is>
      </c>
      <c r="M7" s="4" t="inlineStr">
        <is>
          <t>Free</t>
        </is>
      </c>
      <c r="N7" s="4" t="n">
        <v>5</v>
      </c>
      <c r="O7" s="4" t="n">
        <v>5</v>
      </c>
      <c r="P7" s="4" t="n">
        <v>3</v>
      </c>
      <c r="Q7" s="4" t="n">
        <v>3</v>
      </c>
      <c r="R7" s="7">
        <f>IF(A7="","",IFERROR(N7*O7*P7*Q7/20,0))</f>
        <v/>
      </c>
      <c r="S7" s="8">
        <f>IF(R7="","",IF(R7&gt;=15,"Критический",IF(R7&gt;=9,"Высокий",IF(R7&gt;=5,"Средний",IF(R7&gt;=2,"Низкий","Отложить")))))</f>
        <v/>
      </c>
      <c r="T7" s="4" t="inlineStr">
        <is>
          <t>Подтверждено</t>
        </is>
      </c>
      <c r="U7" s="4" t="inlineStr">
        <is>
          <t>A-001</t>
        </is>
      </c>
    </row>
    <row r="8" ht="28.5" customHeight="1">
      <c r="A8" s="4" t="inlineStr">
        <is>
          <t>S-005</t>
        </is>
      </c>
      <c r="B8" s="4" t="inlineStr">
        <is>
          <t>Построить диаграмму IDEF0 или DFD</t>
        </is>
      </c>
      <c r="C8" s="4" t="inlineStr">
        <is>
          <t>Активный пользователь</t>
        </is>
      </c>
      <c r="D8" s="4" t="inlineStr">
        <is>
          <t>Настройка</t>
        </is>
      </c>
      <c r="E8" s="4" t="inlineStr">
        <is>
          <t>Основной</t>
        </is>
      </c>
      <c r="F8" s="4" t="inlineStr">
        <is>
          <t>Нотации IDEF0 и DFD не поддерживаются конкурентами</t>
        </is>
      </c>
      <c r="G8" s="4" t="inlineStr">
        <is>
          <t>Получить диаграмму нужной нотации</t>
        </is>
      </c>
      <c r="H8" s="4" t="inlineStr">
        <is>
          <t>Задание по стандарту моделирования</t>
        </is>
      </c>
      <c r="I8" s="4" t="inlineStr">
        <is>
          <t>Выбор нотации, ввод текста, предпросмотр</t>
        </is>
      </c>
      <c r="J8" s="4" t="inlineStr">
        <is>
          <t>Достигнут лимит проектов Free</t>
        </is>
      </c>
      <c r="K8" s="4" t="inlineStr">
        <is>
          <t>Диаграмма IDEF0 или DFD</t>
        </is>
      </c>
      <c r="L8" s="4" t="inlineStr">
        <is>
          <t>Отличие от конкурентов</t>
        </is>
      </c>
      <c r="M8" s="4" t="inlineStr">
        <is>
          <t>Pro</t>
        </is>
      </c>
      <c r="N8" s="4" t="n">
        <v>3</v>
      </c>
      <c r="O8" s="4" t="n">
        <v>5</v>
      </c>
      <c r="P8" s="4" t="n">
        <v>4</v>
      </c>
      <c r="Q8" s="4" t="n">
        <v>3</v>
      </c>
      <c r="R8" s="7">
        <f>IF(A8="","",IFERROR(N8*O8*P8*Q8/20,0))</f>
        <v/>
      </c>
      <c r="S8" s="8">
        <f>IF(R8="","",IF(R8&gt;=15,"Критический",IF(R8&gt;=9,"Высокий",IF(R8&gt;=5,"Средний",IF(R8&gt;=2,"Низкий","Отложить")))))</f>
        <v/>
      </c>
      <c r="T8" s="4" t="inlineStr">
        <is>
          <t>Подтверждено</t>
        </is>
      </c>
      <c r="U8" s="4" t="inlineStr">
        <is>
          <t>A-001</t>
        </is>
      </c>
    </row>
    <row r="9" ht="28.5" customHeight="1">
      <c r="A9" s="4" t="inlineStr">
        <is>
          <t>S-006</t>
        </is>
      </c>
      <c r="B9" s="4" t="inlineStr">
        <is>
          <t>Экспортировать диаграмму в PNG или SVG</t>
        </is>
      </c>
      <c r="C9" s="4" t="inlineStr">
        <is>
          <t>Новый пользователь</t>
        </is>
      </c>
      <c r="D9" s="4" t="inlineStr">
        <is>
          <t>Получение ценности</t>
        </is>
      </c>
      <c r="E9" s="4" t="inlineStr">
        <is>
          <t>Основной</t>
        </is>
      </c>
      <c r="F9" s="4" t="inlineStr">
        <is>
          <t>Диаграмму нужно вставить в отчёт</t>
        </is>
      </c>
      <c r="G9" s="4" t="inlineStr">
        <is>
          <t>Получить файл диаграммы</t>
        </is>
      </c>
      <c r="H9" s="4" t="inlineStr">
        <is>
          <t>Оформление работы</t>
        </is>
      </c>
      <c r="I9" s="4" t="inlineStr">
        <is>
          <t>Кнопка экспорта, выбор формата, скачивание</t>
        </is>
      </c>
      <c r="J9" s="4" t="inlineStr">
        <is>
          <t>Формат недоступен</t>
        </is>
      </c>
      <c r="K9" s="4" t="inlineStr">
        <is>
          <t>Файл PNG или SVG</t>
        </is>
      </c>
      <c r="L9" s="4" t="inlineStr">
        <is>
          <t>Удовлетворённость</t>
        </is>
      </c>
      <c r="M9" s="4" t="inlineStr">
        <is>
          <t>Free, Pro</t>
        </is>
      </c>
      <c r="N9" s="4" t="n">
        <v>5</v>
      </c>
      <c r="O9" s="4" t="n">
        <v>5</v>
      </c>
      <c r="P9" s="4" t="n">
        <v>3</v>
      </c>
      <c r="Q9" s="4" t="n">
        <v>4</v>
      </c>
      <c r="R9" s="7">
        <f>IF(A9="","",IFERROR(N9*O9*P9*Q9/20,0))</f>
        <v/>
      </c>
      <c r="S9" s="8">
        <f>IF(R9="","",IF(R9&gt;=15,"Критический",IF(R9&gt;=9,"Высокий",IF(R9&gt;=5,"Средний",IF(R9&gt;=2,"Низкий","Отложить")))))</f>
        <v/>
      </c>
      <c r="T9" s="4" t="inlineStr">
        <is>
          <t>Подтверждено</t>
        </is>
      </c>
      <c r="U9" s="4" t="inlineStr">
        <is>
          <t>A-005</t>
        </is>
      </c>
    </row>
    <row r="10" ht="28.5" customHeight="1">
      <c r="A10" s="4" t="inlineStr">
        <is>
          <t>S-007</t>
        </is>
      </c>
      <c r="B10" s="4" t="inlineStr">
        <is>
          <t>Сохранить диаграмму и вернуться к ней</t>
        </is>
      </c>
      <c r="C10" s="4" t="inlineStr">
        <is>
          <t>Активный пользователь</t>
        </is>
      </c>
      <c r="D10" s="4" t="inlineStr">
        <is>
          <t>Повторное использование</t>
        </is>
      </c>
      <c r="E10" s="4" t="inlineStr">
        <is>
          <t>Удержание</t>
        </is>
      </c>
      <c r="F10" s="4" t="inlineStr">
        <is>
          <t>Потеря наработок</t>
        </is>
      </c>
      <c r="G10" s="4" t="inlineStr">
        <is>
          <t>Продолжить работу позже</t>
        </is>
      </c>
      <c r="H10" s="4" t="inlineStr">
        <is>
          <t>Возврат к заданию</t>
        </is>
      </c>
      <c r="I10" s="4" t="inlineStr">
        <is>
          <t>Вход, список диаграмм, открытие, правка</t>
        </is>
      </c>
      <c r="J10" s="4" t="inlineStr">
        <is>
          <t>Версия утеряна</t>
        </is>
      </c>
      <c r="K10" s="4" t="inlineStr">
        <is>
          <t>Продолжение работы</t>
        </is>
      </c>
      <c r="L10" s="4" t="inlineStr">
        <is>
          <t>Удержание пользователя</t>
        </is>
      </c>
      <c r="M10" s="4" t="inlineStr">
        <is>
          <t>Free, Pro</t>
        </is>
      </c>
      <c r="N10" s="4" t="n">
        <v>4</v>
      </c>
      <c r="O10" s="4" t="n">
        <v>4</v>
      </c>
      <c r="P10" s="4" t="n">
        <v>3</v>
      </c>
      <c r="Q10" s="4" t="n">
        <v>3</v>
      </c>
      <c r="R10" s="7">
        <f>IF(A10="","",IFERROR(N10*O10*P10*Q10/20,0))</f>
        <v/>
      </c>
      <c r="S10" s="8">
        <f>IF(R10="","",IF(R10&gt;=15,"Критический",IF(R10&gt;=9,"Высокий",IF(R10&gt;=5,"Средний",IF(R10&gt;=2,"Низкий","Отложить")))))</f>
        <v/>
      </c>
      <c r="T10" s="4" t="inlineStr">
        <is>
          <t>Требует проверки</t>
        </is>
      </c>
      <c r="U10" s="4" t="inlineStr">
        <is>
          <t>A-012</t>
        </is>
      </c>
    </row>
    <row r="11" ht="28.5" customHeight="1">
      <c r="A11" s="4" t="inlineStr">
        <is>
          <t>S-008</t>
        </is>
      </c>
      <c r="B11" s="4" t="inlineStr">
        <is>
          <t>Оформить подписку Pro</t>
        </is>
      </c>
      <c r="C11" s="4" t="inlineStr">
        <is>
          <t>Платящий клиент</t>
        </is>
      </c>
      <c r="D11" s="4" t="inlineStr">
        <is>
          <t>Оплата</t>
        </is>
      </c>
      <c r="E11" s="4" t="inlineStr">
        <is>
          <t>Монетизационный</t>
        </is>
      </c>
      <c r="F11" s="4" t="inlineStr">
        <is>
          <t>Достигнуто ограничение Free</t>
        </is>
      </c>
      <c r="G11" s="4" t="inlineStr">
        <is>
          <t>Снять ограничения</t>
        </is>
      </c>
      <c r="H11" s="4" t="inlineStr">
        <is>
          <t>Достигнут лимит или нужна нотация Pro</t>
        </is>
      </c>
      <c r="I11" s="4" t="inlineStr">
        <is>
          <t>Страница тарифов, выбор Pro, оплата 40 у.е. в год</t>
        </is>
      </c>
      <c r="J11" s="4" t="inlineStr">
        <is>
          <t>Ошибка оплаты, повтор, другая карта</t>
        </is>
      </c>
      <c r="K11" s="4" t="inlineStr">
        <is>
          <t>Доступ Pro</t>
        </is>
      </c>
      <c r="L11" s="4" t="inlineStr">
        <is>
          <t>Выручка Pro</t>
        </is>
      </c>
      <c r="M11" s="4" t="inlineStr">
        <is>
          <t>Pro, год</t>
        </is>
      </c>
      <c r="N11" s="4" t="n">
        <v>3</v>
      </c>
      <c r="O11" s="4" t="n">
        <v>5</v>
      </c>
      <c r="P11" s="4" t="n">
        <v>5</v>
      </c>
      <c r="Q11" s="4" t="n">
        <v>3</v>
      </c>
      <c r="R11" s="7">
        <f>IF(A11="","",IFERROR(N11*O11*P11*Q11/20,0))</f>
        <v/>
      </c>
      <c r="S11" s="8">
        <f>IF(R11="","",IF(R11&gt;=15,"Критический",IF(R11&gt;=9,"Высокий",IF(R11&gt;=5,"Средний",IF(R11&gt;=2,"Низкий","Отложить")))))</f>
        <v/>
      </c>
      <c r="T11" s="4" t="inlineStr">
        <is>
          <t>Подтверждено</t>
        </is>
      </c>
      <c r="U11" s="4" t="inlineStr">
        <is>
          <t>A-009</t>
        </is>
      </c>
    </row>
    <row r="12" ht="28.5" customHeight="1">
      <c r="A12" s="4" t="inlineStr">
        <is>
          <t>S-009</t>
        </is>
      </c>
      <c r="B12" s="4" t="inlineStr">
        <is>
          <t>Исправить ошибку в описании диаграммы</t>
        </is>
      </c>
      <c r="C12" s="4" t="inlineStr">
        <is>
          <t>Новый пользователь</t>
        </is>
      </c>
      <c r="D12" s="4" t="inlineStr">
        <is>
          <t>Поддержка</t>
        </is>
      </c>
      <c r="E12" s="4" t="inlineStr">
        <is>
          <t>Поддержка и восстановление</t>
        </is>
      </c>
      <c r="F12" s="4" t="inlineStr">
        <is>
          <t>Диаграмма не строится из-за ошибки</t>
        </is>
      </c>
      <c r="G12" s="4" t="inlineStr">
        <is>
          <t>Исправить и получить диаграмму</t>
        </is>
      </c>
      <c r="H12" s="4" t="inlineStr">
        <is>
          <t>Сообщение об ошибке</t>
        </is>
      </c>
      <c r="I12" s="4" t="inlineStr">
        <is>
          <t>Сообщение, подсказка, пример, правка</t>
        </is>
      </c>
      <c r="J12" s="4" t="inlineStr">
        <is>
          <t>Обращение в поддержку</t>
        </is>
      </c>
      <c r="K12" s="4" t="inlineStr">
        <is>
          <t>Исправленная диаграмма</t>
        </is>
      </c>
      <c r="L12" s="4" t="inlineStr">
        <is>
          <t>Снижение оттока</t>
        </is>
      </c>
      <c r="M12" s="4" t="inlineStr">
        <is>
          <t>Free</t>
        </is>
      </c>
      <c r="N12" s="4" t="n">
        <v>4</v>
      </c>
      <c r="O12" s="4" t="n">
        <v>4</v>
      </c>
      <c r="P12" s="4" t="n">
        <v>2</v>
      </c>
      <c r="Q12" s="4" t="n">
        <v>2</v>
      </c>
      <c r="R12" s="7">
        <f>IF(A12="","",IFERROR(N12*O12*P12*Q12/20,0))</f>
        <v/>
      </c>
      <c r="S12" s="8">
        <f>IF(R12="","",IF(R12&gt;=15,"Критический",IF(R12&gt;=9,"Высокий",IF(R12&gt;=5,"Средний",IF(R12&gt;=2,"Низкий","Отложить")))))</f>
        <v/>
      </c>
      <c r="T12" s="4" t="inlineStr">
        <is>
          <t>Требует проверки</t>
        </is>
      </c>
      <c r="U12" s="4" t="inlineStr">
        <is>
          <t>A-002</t>
        </is>
      </c>
    </row>
    <row r="13" ht="28.5" customHeight="1">
      <c r="A13" s="4" t="inlineStr">
        <is>
          <t>S-010</t>
        </is>
      </c>
      <c r="B13" s="4" t="inlineStr">
        <is>
          <t>Найти ответ в документации</t>
        </is>
      </c>
      <c r="C13" s="4" t="inlineStr">
        <is>
          <t>Активный пользователь</t>
        </is>
      </c>
      <c r="D13" s="4" t="inlineStr">
        <is>
          <t>Поддержка</t>
        </is>
      </c>
      <c r="E13" s="4" t="inlineStr">
        <is>
          <t>Поддержка и восстановление</t>
        </is>
      </c>
      <c r="F13" s="4" t="inlineStr">
        <is>
          <t>Нужен пример нотации</t>
        </is>
      </c>
      <c r="G13" s="4" t="inlineStr">
        <is>
          <t>Найти ответ без обращения</t>
        </is>
      </c>
      <c r="H13" s="4" t="inlineStr">
        <is>
          <t>Вопрос по нотации</t>
        </is>
      </c>
      <c r="I13" s="4" t="inlineStr">
        <is>
          <t>Поиск, раздел документации, пример</t>
        </is>
      </c>
      <c r="J13" s="4" t="inlineStr">
        <is>
          <t>Обращение в поддержку</t>
        </is>
      </c>
      <c r="K13" s="4" t="inlineStr">
        <is>
          <t>Ответ и пример</t>
        </is>
      </c>
      <c r="L13" s="4" t="inlineStr">
        <is>
          <t>Снижение нагрузки на поддержку</t>
        </is>
      </c>
      <c r="M13" s="4" t="inlineStr">
        <is>
          <t>Free, Pro</t>
        </is>
      </c>
      <c r="N13" s="4" t="n">
        <v>3</v>
      </c>
      <c r="O13" s="4" t="n">
        <v>3</v>
      </c>
      <c r="P13" s="4" t="n">
        <v>2</v>
      </c>
      <c r="Q13" s="4" t="n">
        <v>3</v>
      </c>
      <c r="R13" s="7">
        <f>IF(A13="","",IFERROR(N13*O13*P13*Q13/20,0))</f>
        <v/>
      </c>
      <c r="S13" s="8">
        <f>IF(R13="","",IF(R13&gt;=15,"Критический",IF(R13&gt;=9,"Высокий",IF(R13&gt;=5,"Средний",IF(R13&gt;=2,"Низкий","Отложить")))))</f>
        <v/>
      </c>
      <c r="T13" s="4" t="inlineStr">
        <is>
          <t>Требует проверки</t>
        </is>
      </c>
      <c r="U13" s="4" t="inlineStr">
        <is>
          <t>A-005</t>
        </is>
      </c>
    </row>
    <row r="14">
      <c r="A14" s="4" t="inlineStr">
        <is>
          <t>S-011</t>
        </is>
      </c>
      <c r="B14" s="4" t="inlineStr">
        <is>
          <t>Выдать доступ команде</t>
        </is>
      </c>
      <c r="C14" s="4" t="inlineStr">
        <is>
          <t>Администратор клиента</t>
        </is>
      </c>
      <c r="D14" s="4" t="inlineStr">
        <is>
          <t>Удержание</t>
        </is>
      </c>
      <c r="E14" s="4" t="inlineStr">
        <is>
          <t>Административный</t>
        </is>
      </c>
      <c r="F14" s="4" t="inlineStr">
        <is>
          <t>Команде нужна единая среда</t>
        </is>
      </c>
      <c r="G14" s="4" t="inlineStr">
        <is>
          <t>Подключить участников</t>
        </is>
      </c>
      <c r="H14" s="4" t="inlineStr">
        <is>
          <t>Рост команды</t>
        </is>
      </c>
      <c r="I14" s="4" t="inlineStr">
        <is>
          <t>Кабинет, приглашение, роли</t>
        </is>
      </c>
      <c r="J14" s="4" t="inlineStr">
        <is>
          <t>Отдельные подписки</t>
        </is>
      </c>
      <c r="K14" s="4" t="inlineStr">
        <is>
          <t>Командная работа</t>
        </is>
      </c>
      <c r="L14" s="4" t="inlineStr">
        <is>
          <t>Командный тариф</t>
        </is>
      </c>
      <c r="M14" s="4" t="inlineStr">
        <is>
          <t>Организация</t>
        </is>
      </c>
      <c r="N14" s="4" t="n">
        <v>2</v>
      </c>
      <c r="O14" s="4" t="n">
        <v>3</v>
      </c>
      <c r="P14" s="4" t="n">
        <v>4</v>
      </c>
      <c r="Q14" s="4" t="n">
        <v>2</v>
      </c>
      <c r="R14" s="7">
        <f>IF(A14="","",IFERROR(N14*O14*P14*Q14/20,0))</f>
        <v/>
      </c>
      <c r="S14" s="8">
        <f>IF(R14="","",IF(R14&gt;=15,"Критический",IF(R14&gt;=9,"Высокий",IF(R14&gt;=5,"Средний",IF(R14&gt;=2,"Низкий","Отложить")))))</f>
        <v/>
      </c>
      <c r="T14" s="4" t="inlineStr">
        <is>
          <t>Гипотеза</t>
        </is>
      </c>
      <c r="U14" s="4" t="inlineStr">
        <is>
          <t>A-006</t>
        </is>
      </c>
    </row>
    <row r="15" ht="28.5" customHeight="1">
      <c r="A15" s="4" t="inlineStr">
        <is>
          <t>S-012</t>
        </is>
      </c>
      <c r="B15" s="4" t="inlineStr">
        <is>
          <t>Подключить студентов вуза</t>
        </is>
      </c>
      <c r="C15" s="4" t="inlineStr">
        <is>
          <t>Партнер</t>
        </is>
      </c>
      <c r="D15" s="4" t="inlineStr">
        <is>
          <t>Привлечение</t>
        </is>
      </c>
      <c r="E15" s="4" t="inlineStr">
        <is>
          <t>Партнерский</t>
        </is>
      </c>
      <c r="F15" s="4" t="inlineStr">
        <is>
          <t>Вузы нуждаются в инструменте для занятий</t>
        </is>
      </c>
      <c r="G15" s="4" t="inlineStr">
        <is>
          <t>Организовать доступ студентов</t>
        </is>
      </c>
      <c r="H15" s="4" t="inlineStr">
        <is>
          <t>Начало семестра</t>
        </is>
      </c>
      <c r="I15" s="4" t="inlineStr">
        <is>
          <t>Договорённость, инструкция, регистрация</t>
        </is>
      </c>
      <c r="J15" s="4" t="inlineStr">
        <is>
          <t>Отказ вуза</t>
        </is>
      </c>
      <c r="K15" s="4" t="inlineStr">
        <is>
          <t>Доступ студентов</t>
        </is>
      </c>
      <c r="L15" s="4" t="inlineStr">
        <is>
          <t>Рост аудитории</t>
        </is>
      </c>
      <c r="M15" s="4" t="inlineStr">
        <is>
          <t>Free</t>
        </is>
      </c>
      <c r="N15" s="4" t="n">
        <v>2</v>
      </c>
      <c r="O15" s="4" t="n">
        <v>3</v>
      </c>
      <c r="P15" s="4" t="n">
        <v>3</v>
      </c>
      <c r="Q15" s="4" t="n">
        <v>1</v>
      </c>
      <c r="R15" s="7">
        <f>IF(A15="","",IFERROR(N15*O15*P15*Q15/20,0))</f>
        <v/>
      </c>
      <c r="S15" s="8">
        <f>IF(R15="","",IF(R15&gt;=15,"Критический",IF(R15&gt;=9,"Высокий",IF(R15&gt;=5,"Средний",IF(R15&gt;=2,"Низкий","Отложить")))))</f>
        <v/>
      </c>
      <c r="T15" s="4" t="inlineStr">
        <is>
          <t>Гипотеза</t>
        </is>
      </c>
      <c r="U15" s="4" t="inlineStr">
        <is>
          <t>A-006</t>
        </is>
      </c>
    </row>
    <row r="16" ht="17.1" customHeight="1"/>
    <row r="17" ht="17.1" customHeight="1"/>
    <row r="18" ht="17.1" customHeight="1"/>
    <row r="19" ht="17.1" customHeight="1"/>
    <row r="20" ht="17.1" customHeight="1"/>
    <row r="21" ht="17.1" customHeight="1"/>
    <row r="22" ht="17.1" customHeight="1"/>
    <row r="23" ht="17.1" customHeight="1"/>
    <row r="24" ht="17.1" customHeight="1"/>
    <row r="25" ht="17.1" customHeight="1"/>
    <row r="26" ht="17.1" customHeight="1"/>
    <row r="27" ht="17.1" customHeight="1"/>
    <row r="28" ht="17.1" customHeight="1"/>
    <row r="29" ht="17.1" customHeight="1"/>
    <row r="30" ht="17.1" customHeight="1"/>
    <row r="31" ht="17.1" customHeight="1"/>
    <row r="32" ht="17.1" customHeight="1"/>
    <row r="33" ht="17.1" customHeight="1"/>
    <row r="34" ht="17.1" customHeight="1"/>
    <row r="35" ht="17.1" customHeight="1"/>
    <row r="36" ht="17.1" customHeight="1"/>
    <row r="37" ht="17.1" customHeight="1"/>
    <row r="38" ht="17.1" customHeight="1"/>
    <row r="39" ht="17.1" customHeight="1"/>
    <row r="40" ht="17.1" customHeight="1"/>
    <row r="41" ht="17.1" customHeight="1"/>
    <row r="42" ht="17.1" customHeight="1"/>
    <row r="43" ht="17.1" customHeight="1"/>
    <row r="44" ht="17.1" customHeight="1"/>
    <row r="45" ht="17.1" customHeight="1"/>
    <row r="46" ht="17.1" customHeight="1"/>
    <row r="47" ht="17.1" customHeight="1"/>
    <row r="48" ht="17.1" customHeight="1"/>
    <row r="49" ht="17.1" customHeight="1"/>
    <row r="50" ht="17.1" customHeight="1"/>
    <row r="51" ht="17.1" customHeight="1"/>
    <row r="52" ht="17.1" customHeight="1"/>
    <row r="53" ht="17.1" customHeight="1"/>
    <row r="54" ht="17.1" customHeight="1"/>
    <row r="55" ht="17.1" customHeight="1"/>
    <row r="56" ht="17.1" customHeight="1"/>
    <row r="57" ht="17.1" customHeight="1"/>
    <row r="58" ht="17.1" customHeight="1"/>
    <row r="59" ht="17.1" customHeight="1"/>
    <row r="60" ht="17.1" customHeight="1"/>
    <row r="61" ht="17.1" customHeight="1"/>
    <row r="62" ht="17.1" customHeight="1"/>
    <row r="63" ht="17.1" customHeight="1"/>
    <row r="64" ht="17.1" customHeight="1"/>
    <row r="65" ht="17.1" customHeight="1"/>
    <row r="66" ht="17.1" customHeight="1"/>
    <row r="67" ht="17.1" customHeight="1"/>
    <row r="68" ht="17.1" customHeight="1"/>
    <row r="69" ht="17.1" customHeight="1"/>
    <row r="70" ht="17.1" customHeight="1"/>
    <row r="71" ht="17.1" customHeight="1"/>
    <row r="72" ht="17.1" customHeight="1"/>
    <row r="73" ht="17.1" customHeight="1"/>
    <row r="74" ht="17.1" customHeight="1"/>
    <row r="75" ht="17.1" customHeight="1"/>
    <row r="76" ht="17.1" customHeight="1"/>
    <row r="77" ht="17.1" customHeight="1"/>
    <row r="78" ht="17.1" customHeight="1"/>
    <row r="79" ht="17.1" customHeight="1"/>
    <row r="80" ht="17.1" customHeight="1"/>
    <row r="81" ht="17.1" customHeight="1"/>
    <row r="82" ht="17.1" customHeight="1"/>
    <row r="83" ht="17.1" customHeight="1"/>
    <row r="84" ht="17.1" customHeight="1"/>
    <row r="85" ht="17.1" customHeight="1"/>
    <row r="86" ht="17.1" customHeight="1"/>
    <row r="87" ht="17.1" customHeight="1"/>
    <row r="88" ht="17.1" customHeight="1"/>
    <row r="89" ht="17.1" customHeight="1"/>
    <row r="90" ht="17.1" customHeight="1"/>
    <row r="91" ht="17.1" customHeight="1"/>
    <row r="92" ht="17.1" customHeight="1"/>
    <row r="93" ht="17.1" customHeight="1"/>
    <row r="94" ht="17.1" customHeight="1"/>
    <row r="95" ht="17.1" customHeight="1"/>
    <row r="96" ht="17.1" customHeight="1"/>
    <row r="97" ht="17.1" customHeight="1"/>
    <row r="98" ht="17.1" customHeight="1"/>
    <row r="99" ht="17.1" customHeight="1"/>
    <row r="100" ht="17.1" customHeight="1"/>
    <row r="101" ht="17.1" customHeight="1"/>
    <row r="102" ht="17.1" customHeight="1"/>
    <row r="103" ht="17.1" customHeight="1"/>
    <row r="104" ht="17.1" customHeight="1"/>
    <row r="105" ht="17.1" customHeight="1"/>
    <row r="106" ht="17.1" customHeight="1"/>
    <row r="107" ht="17.1" customHeight="1"/>
    <row r="108" ht="17.1" customHeight="1"/>
    <row r="109" ht="17.1" customHeight="1"/>
    <row r="110" ht="17.1" customHeight="1"/>
    <row r="111" ht="17.1" customHeight="1"/>
    <row r="112" ht="17.1" customHeight="1"/>
    <row r="113" ht="17.1" customHeight="1"/>
    <row r="114" ht="17.1" customHeight="1"/>
    <row r="115" ht="17.1" customHeight="1"/>
    <row r="116" ht="17.1" customHeight="1"/>
    <row r="117" ht="17.1" customHeight="1"/>
    <row r="118" ht="17.1" customHeight="1"/>
    <row r="119" ht="17.1" customHeight="1"/>
    <row r="120" ht="17.1" customHeight="1"/>
    <row r="121" ht="17.1" customHeight="1"/>
    <row r="122" ht="17.1" customHeight="1"/>
    <row r="123" ht="17.1" customHeight="1"/>
    <row r="124" ht="17.1" customHeight="1"/>
    <row r="125" ht="17.1" customHeight="1"/>
    <row r="126" ht="17.1" customHeight="1"/>
    <row r="127" ht="17.1" customHeight="1"/>
    <row r="128" ht="17.1" customHeight="1"/>
    <row r="129" ht="17.1" customHeight="1"/>
    <row r="130" ht="17.1" customHeight="1"/>
    <row r="131" ht="17.1" customHeight="1"/>
    <row r="132" ht="17.1" customHeight="1"/>
    <row r="133" ht="17.1" customHeight="1"/>
    <row r="134" ht="17.1" customHeight="1"/>
    <row r="135" ht="17.1" customHeight="1"/>
    <row r="136" ht="17.1" customHeight="1"/>
    <row r="137" ht="17.1" customHeight="1"/>
    <row r="138" ht="17.1" customHeight="1"/>
    <row r="139" ht="17.1" customHeight="1"/>
    <row r="140" ht="17.1" customHeight="1"/>
    <row r="141" ht="17.1" customHeight="1"/>
    <row r="142" ht="17.1" customHeight="1"/>
    <row r="143" ht="17.1" customHeight="1"/>
    <row r="144" ht="17.1" customHeight="1"/>
    <row r="145" ht="17.1" customHeight="1"/>
    <row r="146" ht="17.1" customHeight="1"/>
    <row r="147" ht="17.1" customHeight="1"/>
    <row r="148" ht="17.1" customHeight="1"/>
    <row r="149" ht="17.1" customHeight="1"/>
    <row r="150" ht="17.1" customHeight="1"/>
    <row r="151" ht="17.1" customHeight="1"/>
    <row r="152" ht="17.1" customHeight="1"/>
    <row r="153" ht="17.1" customHeight="1"/>
    <row r="154" ht="17.1" customHeight="1"/>
    <row r="155" ht="17.1" customHeight="1"/>
    <row r="156" ht="17.1" customHeight="1"/>
    <row r="157" ht="17.1" customHeight="1"/>
    <row r="158" ht="17.1" customHeight="1"/>
    <row r="159" ht="17.1" customHeight="1"/>
    <row r="160" ht="17.1" customHeight="1"/>
    <row r="161" ht="17.1" customHeight="1"/>
    <row r="162" ht="17.1" customHeight="1"/>
    <row r="163" ht="17.1" customHeight="1"/>
    <row r="164" ht="17.1" customHeight="1"/>
    <row r="165" ht="17.1" customHeight="1"/>
    <row r="166" ht="17.1" customHeight="1"/>
    <row r="167" ht="17.1" customHeight="1"/>
    <row r="168" ht="17.1" customHeight="1"/>
    <row r="169" ht="17.1" customHeight="1"/>
    <row r="170" ht="17.1" customHeight="1"/>
    <row r="171" ht="17.1" customHeight="1"/>
    <row r="172" ht="17.1" customHeight="1"/>
    <row r="173" ht="17.1" customHeight="1"/>
    <row r="174" ht="17.1" customHeight="1"/>
    <row r="175" ht="17.1" customHeight="1"/>
    <row r="176" ht="17.1" customHeight="1"/>
    <row r="177" ht="17.1" customHeight="1"/>
    <row r="178" ht="17.1" customHeight="1"/>
    <row r="179" ht="17.1" customHeight="1"/>
    <row r="180" ht="17.1" customHeight="1"/>
    <row r="181" ht="17.1" customHeight="1"/>
    <row r="182" ht="17.1" customHeight="1"/>
    <row r="183" ht="17.1" customHeight="1"/>
    <row r="184" ht="17.1" customHeight="1"/>
    <row r="185" ht="17.1" customHeight="1"/>
    <row r="186" ht="17.1" customHeight="1"/>
    <row r="187" ht="17.1" customHeight="1"/>
    <row r="188" ht="17.1" customHeight="1"/>
    <row r="189" ht="17.1" customHeight="1"/>
    <row r="190" ht="17.1" customHeight="1"/>
    <row r="191" ht="17.1" customHeight="1"/>
    <row r="192" ht="17.1" customHeight="1"/>
    <row r="193" ht="17.1" customHeight="1"/>
    <row r="194" ht="17.1" customHeight="1"/>
    <row r="195" ht="17.1" customHeight="1"/>
    <row r="196" ht="17.1" customHeight="1"/>
    <row r="197" ht="17.1" customHeight="1"/>
    <row r="198" ht="17.1" customHeight="1"/>
    <row r="199" ht="17.1" customHeight="1"/>
    <row r="200" ht="17.1" customHeight="1"/>
    <row r="201" ht="17.1" customHeight="1"/>
    <row r="202" ht="17.1" customHeight="1"/>
    <row r="203" ht="17.1" customHeight="1"/>
  </sheetData>
  <mergeCells count="1">
    <mergeCell ref="A1:U1"/>
  </mergeCells>
  <conditionalFormatting sqref="R4:R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S4:S203">
    <cfRule type="expression" priority="2" dxfId="16">
      <formula>S4="Критический"</formula>
    </cfRule>
    <cfRule type="expression" priority="3" dxfId="15">
      <formula>S4="Высокий"</formula>
    </cfRule>
  </conditionalFormatting>
  <dataValidations count="2">
    <dataValidation sqref="N4:Q203" showDropDown="0" showInputMessage="0" showErrorMessage="0" allowBlank="0" type="list">
      <formula1>"1,2,3,4,5"</formula1>
    </dataValidation>
    <dataValidation sqref="Q4:Q203" showDropDown="0" showInputMessage="0" showErrorMessage="0" allowBlank="0" type="list">
      <formula1>"1,2,3,4"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5"/>
  <sheetViews>
    <sheetView topLeftCell="D1" workbookViewId="0">
      <selection activeCell="E7" sqref="E7"/>
    </sheetView>
  </sheetViews>
  <sheetFormatPr baseColWidth="8" defaultRowHeight="14.25"/>
  <cols>
    <col width="14" customWidth="1" min="1" max="1"/>
    <col width="28" customWidth="1" min="2" max="2"/>
    <col width="59.125" customWidth="1" min="3" max="3"/>
    <col width="60.125" customWidth="1" min="4" max="4"/>
    <col width="44.875" customWidth="1" min="5" max="5"/>
    <col width="44.625" customWidth="1" min="6" max="6"/>
    <col width="43.875" customWidth="1" min="7" max="7"/>
    <col width="52.375" customWidth="1" min="8" max="8"/>
    <col width="51.5" customWidth="1" min="9" max="9"/>
    <col width="40.5" customWidth="1" min="10" max="10"/>
    <col width="37.875" customWidth="1" min="11" max="11"/>
    <col width="27.375" customWidth="1" min="12" max="12"/>
    <col width="39.125" customWidth="1" min="13" max="13"/>
    <col width="24" customWidth="1" min="14" max="14"/>
    <col width="40.125" customWidth="1" min="15" max="15"/>
  </cols>
  <sheetData>
    <row r="1" ht="15" customHeight="1">
      <c r="A1" s="14" t="inlineStr">
        <is>
          <t>Карта прохождения пользовательских сценариев по этапам взаимодействия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/>
    <row r="3" ht="36" customHeight="1">
      <c r="A3" s="5" t="inlineStr">
        <is>
          <t>ID сценария</t>
        </is>
      </c>
      <c r="B3" s="5" t="inlineStr">
        <is>
          <t>Роль</t>
        </is>
      </c>
      <c r="C3" s="5" t="inlineStr">
        <is>
          <t>Сценарий</t>
        </is>
      </c>
      <c r="D3" s="5" t="inlineStr">
        <is>
          <t>Привлечение</t>
        </is>
      </c>
      <c r="E3" s="5" t="inlineStr">
        <is>
          <t>Первичный интерес</t>
        </is>
      </c>
      <c r="F3" s="5" t="inlineStr">
        <is>
          <t>Регистрация</t>
        </is>
      </c>
      <c r="G3" s="5" t="inlineStr">
        <is>
          <t>Настройка</t>
        </is>
      </c>
      <c r="H3" s="5" t="inlineStr">
        <is>
          <t>Получение ценности</t>
        </is>
      </c>
      <c r="I3" s="5" t="inlineStr">
        <is>
          <t>Оплата</t>
        </is>
      </c>
      <c r="J3" s="5" t="inlineStr">
        <is>
          <t>Повторное использование</t>
        </is>
      </c>
      <c r="K3" s="5" t="inlineStr">
        <is>
          <t>Поддержка</t>
        </is>
      </c>
      <c r="L3" s="5" t="inlineStr">
        <is>
          <t>Удержание</t>
        </is>
      </c>
      <c r="M3" s="5" t="inlineStr">
        <is>
          <t>Разрыв / риск</t>
        </is>
      </c>
      <c r="N3" s="5" t="inlineStr">
        <is>
          <t>Критическая точка</t>
        </is>
      </c>
      <c r="O3" s="5" t="inlineStr">
        <is>
          <t>Комментарий</t>
        </is>
      </c>
    </row>
    <row r="4" ht="42.75" customHeight="1">
      <c r="A4" s="4" t="inlineStr">
        <is>
          <t>S-001</t>
        </is>
      </c>
      <c r="B4" s="4" t="inlineStr">
        <is>
          <t>Посетитель</t>
        </is>
      </c>
      <c r="C4" s="4" t="inlineStr">
        <is>
          <t>Найти инструмент для диаграммы нотации</t>
        </is>
      </c>
      <c r="D4" s="4" t="inlineStr">
        <is>
          <t>Поисковый запрос, переход на сайт, страница возможностей</t>
        </is>
      </c>
      <c r="E4" s="4" t="inlineStr">
        <is>
          <t>страница продукта</t>
        </is>
      </c>
      <c r="F4" s="4" t="inlineStr">
        <is>
          <t>демо без регистрации</t>
        </is>
      </c>
      <c r="G4" s="4" t="inlineStr">
        <is>
          <t>автонастройка</t>
        </is>
      </c>
      <c r="H4" s="4" t="inlineStr">
        <is>
          <t>первый результат</t>
        </is>
      </c>
      <c r="I4" s="4" t="inlineStr">
        <is>
          <t>Просмотр галереи примеров</t>
        </is>
      </c>
      <c r="J4" s="4" t="inlineStr">
        <is>
          <t>Страница тарифов Free и Pro</t>
        </is>
      </c>
      <c r="K4" s="4" t="inlineStr">
        <is>
          <t>подсказка</t>
        </is>
      </c>
      <c r="L4" s="4" t="inlineStr">
        <is>
          <t>email-приглашение</t>
        </is>
      </c>
      <c r="M4" s="4" t="inlineStr">
        <is>
          <t>Выбор другого инструмента</t>
        </is>
      </c>
      <c r="N4" s="4" t="inlineStr">
        <is>
          <t>Да</t>
        </is>
      </c>
      <c r="O4" s="4" t="inlineStr">
        <is>
          <t>Метрика: Рост трафика</t>
        </is>
      </c>
    </row>
    <row r="5" ht="42.75" customHeight="1">
      <c r="A5" s="4" t="inlineStr">
        <is>
          <t>S-002</t>
        </is>
      </c>
      <c r="B5" s="4" t="inlineStr">
        <is>
          <t>Потенциальный клиент</t>
        </is>
      </c>
      <c r="C5" s="4" t="inlineStr">
        <is>
          <t>Сравнить NotaCode с другими инструментами и увидеть цену</t>
        </is>
      </c>
      <c r="D5" s="4" t="inlineStr">
        <is>
          <t>ретаргетинг</t>
        </is>
      </c>
      <c r="E5" s="4" t="inlineStr">
        <is>
          <t>Страница возможностей, тарифы, документация</t>
        </is>
      </c>
      <c r="F5" s="4" t="inlineStr">
        <is>
          <t>аккаунт создан</t>
        </is>
      </c>
      <c r="G5" s="4" t="inlineStr">
        <is>
          <t>Онбординг-тур, первая диаграмма</t>
        </is>
      </c>
      <c r="H5" s="4" t="inlineStr">
        <is>
          <t>доступ к ограничениям</t>
        </is>
      </c>
      <c r="I5" s="4" t="inlineStr">
        <is>
          <t>оплата тарифа</t>
        </is>
      </c>
      <c r="J5" s="4" t="inlineStr">
        <is>
          <t>активация доступа</t>
        </is>
      </c>
      <c r="K5" s="4" t="inlineStr">
        <is>
          <t>помощь при оплате</t>
        </is>
      </c>
      <c r="L5" s="4" t="inlineStr">
        <is>
          <t>уведомление о ценности</t>
        </is>
      </c>
      <c r="M5" s="4" t="inlineStr">
        <is>
          <t>Уход к draw.io или PlantUML</t>
        </is>
      </c>
      <c r="N5" s="4" t="inlineStr">
        <is>
          <t>Нет</t>
        </is>
      </c>
      <c r="O5" s="4" t="inlineStr">
        <is>
          <t>Метрика: Конверсия в регистрацию</t>
        </is>
      </c>
    </row>
    <row r="6" ht="42.75" customHeight="1">
      <c r="A6" s="4" t="inlineStr">
        <is>
          <t>S-003</t>
        </is>
      </c>
      <c r="B6" s="4" t="inlineStr">
        <is>
          <t>Новый пользователь</t>
        </is>
      </c>
      <c r="C6" s="4" t="inlineStr">
        <is>
          <t>Зарегистрироваться в бесплатном уровне</t>
        </is>
      </c>
      <c r="D6" s="4" t="inlineStr">
        <is>
          <t>Рекомендация однокурсника, поиск «онлайн редактор UML бесплатно»</t>
        </is>
      </c>
      <c r="E6" s="4" t="inlineStr">
        <is>
          <t>Сайт: страница нотаций и тарифа Free</t>
        </is>
      </c>
      <c r="F6" s="4" t="inlineStr">
        <is>
          <t>Кнопка входа, регистрация, подтверждение</t>
        </is>
      </c>
      <c r="G6" s="4" t="inlineStr">
        <is>
          <t>Настройка профиля, выбор нотации</t>
        </is>
      </c>
      <c r="H6" s="4" t="inlineStr">
        <is>
          <t>Первая диаграмма в редакторе Free</t>
        </is>
      </c>
      <c r="I6" s="4" t="inlineStr"/>
      <c r="J6" s="4" t="inlineStr">
        <is>
          <t>Повторный вход в редактор</t>
        </is>
      </c>
      <c r="K6" s="4" t="inlineStr">
        <is>
          <t>Документация, онбординг-тур</t>
        </is>
      </c>
      <c r="L6" s="4" t="inlineStr">
        <is>
          <t>Email о новых функциях</t>
        </is>
      </c>
      <c r="M6" s="4" t="inlineStr">
        <is>
          <t>Отказ от регистрации</t>
        </is>
      </c>
      <c r="N6" s="4" t="inlineStr">
        <is>
          <t>Нет</t>
        </is>
      </c>
      <c r="O6" s="4" t="inlineStr">
        <is>
          <t>Метрика: Активация пользователя</t>
        </is>
      </c>
    </row>
    <row r="7" ht="42.75" customHeight="1">
      <c r="A7" s="4" t="inlineStr">
        <is>
          <t>S-004</t>
        </is>
      </c>
      <c r="B7" s="4" t="inlineStr">
        <is>
          <t>Новый пользователь</t>
        </is>
      </c>
      <c r="C7" s="4" t="inlineStr">
        <is>
          <t>Построить первую диаграмму из текста</t>
        </is>
      </c>
      <c r="D7" s="4" t="inlineStr">
        <is>
          <t>Переход из поисковой выдачи или с главной страницы</t>
        </is>
      </c>
      <c r="E7" s="4" t="inlineStr">
        <is>
          <t>Страница нотаций, демо-диаграмма</t>
        </is>
      </c>
      <c r="F7" s="4" t="inlineStr">
        <is>
          <t>Вход в редактор Free</t>
        </is>
      </c>
      <c r="G7" s="4" t="inlineStr">
        <is>
          <t>Выбор нотации UML или ERD</t>
        </is>
      </c>
      <c r="H7" s="4" t="inlineStr">
        <is>
          <t>Выбор нотации, ввод текста, предпросмотр, правка</t>
        </is>
      </c>
      <c r="I7" s="4" t="inlineStr"/>
      <c r="J7" s="4" t="inlineStr">
        <is>
          <t>Сохранение проекта, повторный ввод</t>
        </is>
      </c>
      <c r="K7" s="4" t="inlineStr">
        <is>
          <t>Подсказки синтаксиса, валидация</t>
        </is>
      </c>
      <c r="L7" s="4" t="inlineStr">
        <is>
          <t>Уведомление о сохранённом проекте</t>
        </is>
      </c>
      <c r="M7" s="4" t="inlineStr">
        <is>
          <t>Ошибка синтаксиса, подсказка и пример</t>
        </is>
      </c>
      <c r="N7" s="4" t="inlineStr">
        <is>
          <t>Да</t>
        </is>
      </c>
      <c r="O7" s="4" t="inlineStr">
        <is>
          <t>Метрика: Первое значимое действие</t>
        </is>
      </c>
    </row>
    <row r="8" ht="28.5" customHeight="1">
      <c r="A8" s="4" t="inlineStr">
        <is>
          <t>S-005</t>
        </is>
      </c>
      <c r="B8" s="4" t="inlineStr">
        <is>
          <t>Активный пользователь</t>
        </is>
      </c>
      <c r="C8" s="4" t="inlineStr">
        <is>
          <t>Построить диаграмму IDEF0 или DFD</t>
        </is>
      </c>
      <c r="D8" s="4" t="inlineStr">
        <is>
          <t>Задание по IDEF0 или DFD; поиск инструмента</t>
        </is>
      </c>
      <c r="E8" s="4" t="inlineStr">
        <is>
          <t>Страница нотаций: IDEF0, DFD, сети Петри</t>
        </is>
      </c>
      <c r="F8" s="4" t="inlineStr">
        <is>
          <t>Вход в редактор Free</t>
        </is>
      </c>
      <c r="G8" s="4" t="inlineStr">
        <is>
          <t>Выбор нотации, ввод текста, предпросмотр</t>
        </is>
      </c>
      <c r="H8" s="4" t="inlineStr">
        <is>
          <t>Диаграмма IDEF0 или DFD построена</t>
        </is>
      </c>
      <c r="I8" s="4" t="inlineStr"/>
      <c r="J8" s="4" t="inlineStr">
        <is>
          <t>Повторное использование при новом задании</t>
        </is>
      </c>
      <c r="K8" s="4" t="inlineStr">
        <is>
          <t>Примеры IDEF0 и DFD в документации</t>
        </is>
      </c>
      <c r="L8" s="4" t="inlineStr">
        <is>
          <t>Email с шаблонами IDEF0/DFD</t>
        </is>
      </c>
      <c r="M8" s="4" t="inlineStr">
        <is>
          <t>Достигнут лимит проектов Free</t>
        </is>
      </c>
      <c r="N8" s="4" t="inlineStr">
        <is>
          <t>Нет</t>
        </is>
      </c>
      <c r="O8" s="4" t="inlineStr">
        <is>
          <t>Метрика: Отличие от конкурентов</t>
        </is>
      </c>
    </row>
    <row r="9" ht="28.5" customHeight="1">
      <c r="A9" s="4" t="inlineStr">
        <is>
          <t>S-006</t>
        </is>
      </c>
      <c r="B9" s="4" t="inlineStr">
        <is>
          <t>Новый пользователь</t>
        </is>
      </c>
      <c r="C9" s="4" t="inlineStr">
        <is>
          <t>Экспортировать диаграмму в PNG или SVG</t>
        </is>
      </c>
      <c r="D9" s="4" t="inlineStr">
        <is>
          <t>Завершение диаграммы, необходимость вставить в отчёт</t>
        </is>
      </c>
      <c r="E9" s="4" t="inlineStr">
        <is>
          <t>Кнопка «Экспорт» в редакторе</t>
        </is>
      </c>
      <c r="F9" s="4" t="inlineStr">
        <is>
          <t>Выбор формата PNG или SVG</t>
        </is>
      </c>
      <c r="G9" s="4" t="inlineStr">
        <is>
          <t>Нажатие «Скачать»</t>
        </is>
      </c>
      <c r="H9" s="4" t="inlineStr">
        <is>
          <t>Кнопка экспорта, выбор формата, скачивание</t>
        </is>
      </c>
      <c r="I9" s="4" t="inlineStr"/>
      <c r="J9" s="4" t="inlineStr">
        <is>
          <t>Повторный экспорт другой диаграммы</t>
        </is>
      </c>
      <c r="K9" s="4" t="inlineStr">
        <is>
          <t>Инструкция по разрешению изображения</t>
        </is>
      </c>
      <c r="L9" s="4" t="inlineStr">
        <is>
          <t>Напоминание об экспорте Pro: BPMN XML, DOT</t>
        </is>
      </c>
      <c r="M9" s="4" t="inlineStr">
        <is>
          <t>Формат недоступен</t>
        </is>
      </c>
      <c r="N9" s="4" t="inlineStr">
        <is>
          <t>Нет</t>
        </is>
      </c>
      <c r="O9" s="4" t="inlineStr">
        <is>
          <t>Метрика: Удовлетворённость</t>
        </is>
      </c>
    </row>
    <row r="10" ht="28.5" customHeight="1">
      <c r="A10" s="4" t="inlineStr">
        <is>
          <t>S-007</t>
        </is>
      </c>
      <c r="B10" s="4" t="inlineStr">
        <is>
          <t>Активный пользователь</t>
        </is>
      </c>
      <c r="C10" s="4" t="inlineStr">
        <is>
          <t>Сохранить диаграмму и вернуться к ней</t>
        </is>
      </c>
      <c r="D10" s="4" t="inlineStr">
        <is>
          <t>Опыт с PlantUML или Mermaid; поиск альтернативы</t>
        </is>
      </c>
      <c r="E10" s="4" t="inlineStr">
        <is>
          <t>Страница сравнения нотаций: IDEF0 в тексте vs визуальный редактор</t>
        </is>
      </c>
      <c r="F10" s="4" t="inlineStr">
        <is>
          <t>Вход без регистрации (демо) или в Free</t>
        </is>
      </c>
      <c r="G10" s="4" t="inlineStr">
        <is>
          <t>Попытка повторить знакомую диаграмму</t>
        </is>
      </c>
      <c r="H10" s="4" t="inlineStr">
        <is>
          <t>Результат совпадает с ожиданием</t>
        </is>
      </c>
      <c r="I10" s="4" t="inlineStr"/>
      <c r="J10" s="4" t="inlineStr">
        <is>
          <t>Вход, список диаграмм, открытие, правка</t>
        </is>
      </c>
      <c r="K10" s="4" t="inlineStr">
        <is>
          <t>Сравнение синтаксиса PlantUML и NotaCode</t>
        </is>
      </c>
      <c r="L10" s="4" t="inlineStr">
        <is>
          <t>Письмо о поддержке PlantUML-экспорта в Pro</t>
        </is>
      </c>
      <c r="M10" s="4" t="inlineStr">
        <is>
          <t>Версия утеряна</t>
        </is>
      </c>
      <c r="N10" s="4" t="inlineStr">
        <is>
          <t>Нет</t>
        </is>
      </c>
      <c r="O10" s="4" t="inlineStr">
        <is>
          <t>Метрика: Удержание пользователя</t>
        </is>
      </c>
    </row>
    <row r="11" ht="42.75" customHeight="1">
      <c r="A11" s="4" t="inlineStr">
        <is>
          <t>S-008</t>
        </is>
      </c>
      <c r="B11" s="4" t="inlineStr">
        <is>
          <t>Платящий клиент</t>
        </is>
      </c>
      <c r="C11" s="4" t="inlineStr">
        <is>
          <t>Оформить подписку Pro</t>
        </is>
      </c>
      <c r="D11" s="4" t="inlineStr">
        <is>
          <t>Исчерпание лимита Free или потребность в расширенном экспорте</t>
        </is>
      </c>
      <c r="E11" s="4" t="inlineStr">
        <is>
          <t>Страница тарифов: сравнение Free и Pro</t>
        </is>
      </c>
      <c r="F11" s="4" t="inlineStr">
        <is>
          <t>Кнопка «Перейти на Pro»</t>
        </is>
      </c>
      <c r="G11" s="4" t="inlineStr">
        <is>
          <t>Форма оплаты, выбор годового тарифа</t>
        </is>
      </c>
      <c r="H11" s="4" t="inlineStr">
        <is>
          <t>Оплата 40 у.е. в год, активация Pro</t>
        </is>
      </c>
      <c r="I11" s="4" t="inlineStr">
        <is>
          <t>Страница тарифов, выбор Pro, оплата 40 у.е. в год</t>
        </is>
      </c>
      <c r="J11" s="4" t="inlineStr">
        <is>
          <t>Работа с расширенным экспортом</t>
        </is>
      </c>
      <c r="K11" s="4" t="inlineStr">
        <is>
          <t>Квитанция, FAQ по тарифам</t>
        </is>
      </c>
      <c r="L11" s="4" t="inlineStr">
        <is>
          <t>Уведомление за 14 дней до окончания подписки</t>
        </is>
      </c>
      <c r="M11" s="4" t="inlineStr">
        <is>
          <t>Ошибка оплаты, повтор, другая карта</t>
        </is>
      </c>
      <c r="N11" s="4" t="inlineStr">
        <is>
          <t>Да</t>
        </is>
      </c>
      <c r="O11" s="4" t="inlineStr">
        <is>
          <t>Метрика: Выручка Pro</t>
        </is>
      </c>
    </row>
    <row r="12" ht="28.5" customHeight="1">
      <c r="A12" s="4" t="inlineStr">
        <is>
          <t>S-009</t>
        </is>
      </c>
      <c r="B12" s="4" t="inlineStr">
        <is>
          <t>Новый пользователь</t>
        </is>
      </c>
      <c r="C12" s="4" t="inlineStr">
        <is>
          <t>Исправить ошибку в описании диаграммы</t>
        </is>
      </c>
      <c r="D12" s="4" t="inlineStr">
        <is>
          <t>Студент рассказывает однокурснику; упоминание на занятии</t>
        </is>
      </c>
      <c r="E12" s="4" t="inlineStr">
        <is>
          <t>Ссылка на проект или демо-диаграмму</t>
        </is>
      </c>
      <c r="F12" s="4" t="inlineStr">
        <is>
          <t>Регистрация приглашённого пользователя</t>
        </is>
      </c>
      <c r="G12" s="4" t="inlineStr">
        <is>
          <t>Совместный доступ к проекту</t>
        </is>
      </c>
      <c r="H12" s="4" t="inlineStr">
        <is>
          <t>Коллаборация в одном редакторе</t>
        </is>
      </c>
      <c r="I12" s="4" t="inlineStr"/>
      <c r="J12" s="4" t="inlineStr">
        <is>
          <t>Совместное редактирование при следующем задании</t>
        </is>
      </c>
      <c r="K12" s="4" t="inlineStr">
        <is>
          <t>Сообщение, подсказка, пример, правка</t>
        </is>
      </c>
      <c r="L12" s="4" t="inlineStr">
        <is>
          <t>Приглашение в Pro для команды</t>
        </is>
      </c>
      <c r="M12" s="4" t="inlineStr">
        <is>
          <t>Обращение в поддержку</t>
        </is>
      </c>
      <c r="N12" s="4" t="inlineStr">
        <is>
          <t>Нет</t>
        </is>
      </c>
      <c r="O12" s="4" t="inlineStr">
        <is>
          <t>Метрика: Снижение оттока</t>
        </is>
      </c>
    </row>
    <row r="13" ht="28.5" customHeight="1">
      <c r="A13" s="4" t="inlineStr">
        <is>
          <t>S-010</t>
        </is>
      </c>
      <c r="B13" s="4" t="inlineStr">
        <is>
          <t>Активный пользователь</t>
        </is>
      </c>
      <c r="C13" s="4" t="inlineStr">
        <is>
          <t>Найти ответ в документации</t>
        </is>
      </c>
      <c r="D13" s="4" t="inlineStr">
        <is>
          <t>Задание с описанием процесса на русском</t>
        </is>
      </c>
      <c r="E13" s="4" t="inlineStr">
        <is>
          <t>Кнопка ИИ-ассистента в редакторе</t>
        </is>
      </c>
      <c r="F13" s="4" t="inlineStr">
        <is>
          <t>Ввод текстового описания процесса</t>
        </is>
      </c>
      <c r="G13" s="4" t="inlineStr">
        <is>
          <t>Запрос к ИИ-ассистенту</t>
        </is>
      </c>
      <c r="H13" s="4" t="inlineStr">
        <is>
          <t>ИИ-заглушка возвращает шаблон нотации</t>
        </is>
      </c>
      <c r="I13" s="4" t="inlineStr"/>
      <c r="J13" s="4" t="inlineStr">
        <is>
          <t>Повторный запрос для другого блока</t>
        </is>
      </c>
      <c r="K13" s="4" t="inlineStr">
        <is>
          <t>Поиск, раздел документации, пример</t>
        </is>
      </c>
      <c r="L13" s="4" t="inlineStr">
        <is>
          <t>Уведомление о полной ИИ-генерации в Pro</t>
        </is>
      </c>
      <c r="M13" s="4" t="inlineStr">
        <is>
          <t>Обращение в поддержку</t>
        </is>
      </c>
      <c r="N13" s="4" t="inlineStr">
        <is>
          <t>Нет</t>
        </is>
      </c>
      <c r="O13" s="4" t="inlineStr">
        <is>
          <t>Метрика: Снижение нагрузки на поддержку</t>
        </is>
      </c>
    </row>
    <row r="14" ht="28.5" customHeight="1">
      <c r="A14" s="4" t="inlineStr">
        <is>
          <t>S-011</t>
        </is>
      </c>
      <c r="B14" s="4" t="inlineStr">
        <is>
          <t>Администратор клиента</t>
        </is>
      </c>
      <c r="C14" s="4" t="inlineStr">
        <is>
          <t>Выдать доступ команде</t>
        </is>
      </c>
      <c r="D14" s="4" t="inlineStr">
        <is>
          <t>Преподаватель ищет инструмент для учебных материалов</t>
        </is>
      </c>
      <c r="E14" s="4" t="inlineStr">
        <is>
          <t>Сайт: страница для преподавателей или документация</t>
        </is>
      </c>
      <c r="F14" s="4" t="inlineStr">
        <is>
          <t>Регистрация преподавателя в Free</t>
        </is>
      </c>
      <c r="G14" s="4" t="inlineStr">
        <is>
          <t>Создание учебного проекта с диаграммами</t>
        </is>
      </c>
      <c r="H14" s="4" t="inlineStr">
        <is>
          <t>Диаграмма IDEF0 или UML для лекции</t>
        </is>
      </c>
      <c r="I14" s="4" t="inlineStr"/>
      <c r="J14" s="4" t="inlineStr">
        <is>
          <t>Использование в следующем курсе</t>
        </is>
      </c>
      <c r="K14" s="4" t="inlineStr">
        <is>
          <t>Примеры учебных диаграмм, FAQ</t>
        </is>
      </c>
      <c r="L14" s="4" t="inlineStr">
        <is>
          <t>Кабинет, приглашение, роли</t>
        </is>
      </c>
      <c r="M14" s="4" t="inlineStr">
        <is>
          <t>Отдельные подписки</t>
        </is>
      </c>
      <c r="N14" s="4" t="inlineStr">
        <is>
          <t>Нет</t>
        </is>
      </c>
      <c r="O14" s="4" t="inlineStr">
        <is>
          <t>Метрика: Командный тариф</t>
        </is>
      </c>
    </row>
    <row r="15" ht="42.75" customHeight="1">
      <c r="A15" s="4" t="inlineStr">
        <is>
          <t>S-012</t>
        </is>
      </c>
      <c r="B15" s="4" t="inlineStr">
        <is>
          <t>Партнер</t>
        </is>
      </c>
      <c r="C15" s="4" t="inlineStr">
        <is>
          <t>Подключить студентов вуза</t>
        </is>
      </c>
      <c r="D15" s="4" t="inlineStr">
        <is>
          <t>Договорённость, инструкция, регистрация</t>
        </is>
      </c>
      <c r="E15" s="4" t="inlineStr">
        <is>
          <t>Корпоративная страница или рекомендация коллеги</t>
        </is>
      </c>
      <c r="F15" s="4" t="inlineStr">
        <is>
          <t>Регистрация команды в Free</t>
        </is>
      </c>
      <c r="G15" s="4" t="inlineStr">
        <is>
          <t>Создание общего рабочего пространства</t>
        </is>
      </c>
      <c r="H15" s="4" t="inlineStr">
        <is>
          <t>Архитектурная диаграмма согласована командой</t>
        </is>
      </c>
      <c r="I15" s="4" t="inlineStr">
        <is>
          <t>Рассмотрение Pro для команды (40 у.е./чел./год)</t>
        </is>
      </c>
      <c r="J15" s="4" t="inlineStr">
        <is>
          <t>Регулярное использование в спринтах</t>
        </is>
      </c>
      <c r="K15" s="4" t="inlineStr">
        <is>
          <t>Onboarding для IT-команд, интеграции</t>
        </is>
      </c>
      <c r="L15" s="4" t="inlineStr">
        <is>
          <t>Предложение корпоративного тарифа</t>
        </is>
      </c>
      <c r="M15" s="4" t="inlineStr">
        <is>
          <t>Отказ вуза</t>
        </is>
      </c>
      <c r="N15" s="4" t="inlineStr">
        <is>
          <t>Нет</t>
        </is>
      </c>
      <c r="O15" s="4" t="inlineStr">
        <is>
          <t>Метрика: Рост аудитории</t>
        </is>
      </c>
    </row>
    <row r="16" ht="17.1" customHeight="1"/>
    <row r="17" ht="17.1" customHeight="1"/>
    <row r="18" ht="17.1" customHeight="1"/>
    <row r="19" ht="17.1" customHeight="1"/>
    <row r="20" ht="17.1" customHeight="1"/>
    <row r="21" ht="17.1" customHeight="1"/>
    <row r="22" ht="17.1" customHeight="1"/>
    <row r="23" ht="17.1" customHeight="1"/>
    <row r="24" ht="17.1" customHeight="1"/>
    <row r="25" ht="17.1" customHeight="1"/>
    <row r="26" ht="17.1" customHeight="1"/>
    <row r="27" ht="17.1" customHeight="1"/>
    <row r="28" ht="17.1" customHeight="1"/>
    <row r="29" ht="17.1" customHeight="1"/>
    <row r="30" ht="17.1" customHeight="1"/>
    <row r="31" ht="17.1" customHeight="1"/>
    <row r="32" ht="17.1" customHeight="1"/>
    <row r="33" ht="17.1" customHeight="1"/>
    <row r="34" ht="17.1" customHeight="1"/>
    <row r="35" ht="17.1" customHeight="1"/>
    <row r="36" ht="17.1" customHeight="1"/>
    <row r="37" ht="17.1" customHeight="1"/>
    <row r="38" ht="17.1" customHeight="1"/>
    <row r="39" ht="17.1" customHeight="1"/>
    <row r="40" ht="17.1" customHeight="1"/>
    <row r="41" ht="17.1" customHeight="1"/>
    <row r="42" ht="17.1" customHeight="1"/>
    <row r="43" ht="17.1" customHeight="1"/>
    <row r="44" ht="17.1" customHeight="1"/>
    <row r="45" ht="17.1" customHeight="1"/>
    <row r="46" ht="17.1" customHeight="1"/>
    <row r="47" ht="17.1" customHeight="1"/>
    <row r="48" ht="17.1" customHeight="1"/>
    <row r="49" ht="17.1" customHeight="1"/>
    <row r="50" ht="17.1" customHeight="1"/>
    <row r="51" ht="17.1" customHeight="1"/>
    <row r="52" ht="17.1" customHeight="1"/>
    <row r="53" ht="17.1" customHeight="1"/>
    <row r="54" ht="17.1" customHeight="1"/>
    <row r="55" ht="17.1" customHeight="1"/>
    <row r="56" ht="17.1" customHeight="1"/>
    <row r="57" ht="17.1" customHeight="1"/>
    <row r="58" ht="17.1" customHeight="1"/>
    <row r="59" ht="17.1" customHeight="1"/>
    <row r="60" ht="17.1" customHeight="1"/>
    <row r="61" ht="17.1" customHeight="1"/>
    <row r="62" ht="17.1" customHeight="1"/>
    <row r="63" ht="17.1" customHeight="1"/>
    <row r="64" ht="17.1" customHeight="1"/>
    <row r="65" ht="17.1" customHeight="1"/>
    <row r="66" ht="17.1" customHeight="1"/>
    <row r="67" ht="17.1" customHeight="1"/>
    <row r="68" ht="17.1" customHeight="1"/>
    <row r="69" ht="17.1" customHeight="1"/>
    <row r="70" ht="17.1" customHeight="1"/>
    <row r="71" ht="17.1" customHeight="1"/>
    <row r="72" ht="17.1" customHeight="1"/>
    <row r="73" ht="17.1" customHeight="1"/>
    <row r="74" ht="17.1" customHeight="1"/>
    <row r="75" ht="17.1" customHeight="1"/>
    <row r="76" ht="17.1" customHeight="1"/>
    <row r="77" ht="17.1" customHeight="1"/>
    <row r="78" ht="17.1" customHeight="1"/>
    <row r="79" ht="17.1" customHeight="1"/>
    <row r="80" ht="17.1" customHeight="1"/>
    <row r="81" ht="17.1" customHeight="1"/>
    <row r="82" ht="17.1" customHeight="1"/>
    <row r="83" ht="17.1" customHeight="1"/>
    <row r="84" ht="17.1" customHeight="1"/>
    <row r="85" ht="17.1" customHeight="1"/>
    <row r="86" ht="17.1" customHeight="1"/>
    <row r="87" ht="17.1" customHeight="1"/>
    <row r="88" ht="17.1" customHeight="1"/>
    <row r="89" ht="17.1" customHeight="1"/>
    <row r="90" ht="17.1" customHeight="1"/>
    <row r="91" ht="17.1" customHeight="1"/>
    <row r="92" ht="17.1" customHeight="1"/>
    <row r="93" ht="17.1" customHeight="1"/>
    <row r="94" ht="17.1" customHeight="1"/>
    <row r="95" ht="17.1" customHeight="1"/>
    <row r="96" ht="17.1" customHeight="1"/>
    <row r="97" ht="17.1" customHeight="1"/>
    <row r="98" ht="17.1" customHeight="1"/>
    <row r="99" ht="17.1" customHeight="1"/>
    <row r="100" ht="17.1" customHeight="1"/>
    <row r="101" ht="17.1" customHeight="1"/>
    <row r="102" ht="17.1" customHeight="1"/>
    <row r="103" ht="17.1" customHeight="1"/>
    <row r="104" ht="17.1" customHeight="1"/>
    <row r="105" ht="17.1" customHeight="1"/>
    <row r="106" ht="17.1" customHeight="1"/>
    <row r="107" ht="17.1" customHeight="1"/>
    <row r="108" ht="17.1" customHeight="1"/>
    <row r="109" ht="17.1" customHeight="1"/>
    <row r="110" ht="17.1" customHeight="1"/>
    <row r="111" ht="17.1" customHeight="1"/>
    <row r="112" ht="17.1" customHeight="1"/>
    <row r="113" ht="17.1" customHeight="1"/>
    <row r="114" ht="17.1" customHeight="1"/>
    <row r="115" ht="17.1" customHeight="1"/>
    <row r="116" ht="17.1" customHeight="1"/>
    <row r="117" ht="17.1" customHeight="1"/>
    <row r="118" ht="17.1" customHeight="1"/>
    <row r="119" ht="17.1" customHeight="1"/>
    <row r="120" ht="17.1" customHeight="1"/>
    <row r="121" ht="17.1" customHeight="1"/>
    <row r="122" ht="17.1" customHeight="1"/>
    <row r="123" ht="17.1" customHeight="1"/>
    <row r="124" ht="17.1" customHeight="1"/>
    <row r="125" ht="17.1" customHeight="1"/>
    <row r="126" ht="17.1" customHeight="1"/>
    <row r="127" ht="17.1" customHeight="1"/>
    <row r="128" ht="17.1" customHeight="1"/>
    <row r="129" ht="17.1" customHeight="1"/>
    <row r="130" ht="17.1" customHeight="1"/>
    <row r="131" ht="17.1" customHeight="1"/>
    <row r="132" ht="17.1" customHeight="1"/>
    <row r="133" ht="17.1" customHeight="1"/>
    <row r="134" ht="17.1" customHeight="1"/>
    <row r="135" ht="17.1" customHeight="1"/>
    <row r="136" ht="17.1" customHeight="1"/>
    <row r="137" ht="17.1" customHeight="1"/>
    <row r="138" ht="17.1" customHeight="1"/>
    <row r="139" ht="17.1" customHeight="1"/>
    <row r="140" ht="17.1" customHeight="1"/>
    <row r="141" ht="17.1" customHeight="1"/>
    <row r="142" ht="17.1" customHeight="1"/>
    <row r="143" ht="17.1" customHeight="1"/>
    <row r="144" ht="17.1" customHeight="1"/>
    <row r="145" ht="17.1" customHeight="1"/>
    <row r="146" ht="17.1" customHeight="1"/>
    <row r="147" ht="17.1" customHeight="1"/>
    <row r="148" ht="17.1" customHeight="1"/>
    <row r="149" ht="17.1" customHeight="1"/>
    <row r="150" ht="17.1" customHeight="1"/>
    <row r="151" ht="17.1" customHeight="1"/>
    <row r="152" ht="17.1" customHeight="1"/>
    <row r="153" ht="17.1" customHeight="1"/>
    <row r="154" ht="17.1" customHeight="1"/>
    <row r="155" ht="17.1" customHeight="1"/>
    <row r="156" ht="17.1" customHeight="1"/>
    <row r="157" ht="17.1" customHeight="1"/>
    <row r="158" ht="17.1" customHeight="1"/>
    <row r="159" ht="17.1" customHeight="1"/>
    <row r="160" ht="17.1" customHeight="1"/>
    <row r="161" ht="17.1" customHeight="1"/>
    <row r="162" ht="17.1" customHeight="1"/>
    <row r="163" ht="17.1" customHeight="1"/>
    <row r="164" ht="17.1" customHeight="1"/>
    <row r="165" ht="17.1" customHeight="1"/>
    <row r="166" ht="17.1" customHeight="1"/>
    <row r="167" ht="17.1" customHeight="1"/>
    <row r="168" ht="17.1" customHeight="1"/>
    <row r="169" ht="17.1" customHeight="1"/>
    <row r="170" ht="17.1" customHeight="1"/>
    <row r="171" ht="17.1" customHeight="1"/>
    <row r="172" ht="17.1" customHeight="1"/>
    <row r="173" ht="17.1" customHeight="1"/>
    <row r="174" ht="17.1" customHeight="1"/>
    <row r="175" ht="17.1" customHeight="1"/>
    <row r="176" ht="17.1" customHeight="1"/>
    <row r="177" ht="17.1" customHeight="1"/>
    <row r="178" ht="17.1" customHeight="1"/>
    <row r="179" ht="17.1" customHeight="1"/>
    <row r="180" ht="17.1" customHeight="1"/>
    <row r="181" ht="17.1" customHeight="1"/>
    <row r="182" ht="17.1" customHeight="1"/>
    <row r="183" ht="17.1" customHeight="1"/>
    <row r="184" ht="17.1" customHeight="1"/>
    <row r="185" ht="17.1" customHeight="1"/>
    <row r="186" ht="17.1" customHeight="1"/>
    <row r="187" ht="17.1" customHeight="1"/>
    <row r="188" ht="17.1" customHeight="1"/>
    <row r="189" ht="17.1" customHeight="1"/>
    <row r="190" ht="17.1" customHeight="1"/>
    <row r="191" ht="17.1" customHeight="1"/>
    <row r="192" ht="17.1" customHeight="1"/>
    <row r="193" ht="17.1" customHeight="1"/>
    <row r="194" ht="17.1" customHeight="1"/>
    <row r="195" ht="17.1" customHeight="1"/>
    <row r="196" ht="17.1" customHeight="1"/>
    <row r="197" ht="17.1" customHeight="1"/>
    <row r="198" ht="17.1" customHeight="1"/>
    <row r="199" ht="17.1" customHeight="1"/>
    <row r="200" ht="17.1" customHeight="1"/>
    <row r="201" ht="17.1" customHeight="1"/>
    <row r="202" ht="17.1" customHeight="1"/>
    <row r="203" ht="17.1" customHeight="1"/>
  </sheetData>
  <mergeCells count="1">
    <mergeCell ref="A1:O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6"/>
  <sheetViews>
    <sheetView topLeftCell="G1" workbookViewId="0">
      <selection activeCell="R9" sqref="R9"/>
    </sheetView>
  </sheetViews>
  <sheetFormatPr baseColWidth="8" defaultRowHeight="14.25"/>
  <cols>
    <col width="14" customWidth="1" min="1" max="1"/>
    <col width="52.5" customWidth="1" min="2" max="2"/>
    <col width="18" customWidth="1" min="3" max="3"/>
    <col width="28.375" customWidth="1" min="4" max="4"/>
    <col width="36" customWidth="1" min="5" max="5"/>
    <col width="32" customWidth="1" min="6" max="6"/>
    <col width="30.5" customWidth="1" min="7" max="7"/>
    <col width="24" customWidth="1" min="8" max="8"/>
    <col width="18" customWidth="1" min="9" max="9"/>
    <col width="20" customWidth="1" min="10" max="10"/>
    <col width="18" customWidth="1" min="11" max="14"/>
    <col width="14" customWidth="1" min="15" max="15"/>
    <col width="20" customWidth="1" min="16" max="16"/>
    <col width="22" customWidth="1" min="17" max="17"/>
  </cols>
  <sheetData>
    <row r="1" ht="15" customHeight="1">
      <c r="A1" s="14" t="inlineStr">
        <is>
          <t>Перевод пользовательских сценариев в функциональные требования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/>
    <row r="3" ht="31.5" customHeight="1">
      <c r="A3" s="5" t="inlineStr">
        <is>
          <t>ID требования</t>
        </is>
      </c>
      <c r="B3" s="5" t="inlineStr">
        <is>
          <t>Требование</t>
        </is>
      </c>
      <c r="C3" s="5" t="inlineStr">
        <is>
          <t>Связанный сценарий</t>
        </is>
      </c>
      <c r="D3" s="5" t="inlineStr">
        <is>
          <t>Роль</t>
        </is>
      </c>
      <c r="E3" s="5" t="inlineStr">
        <is>
          <t>Пользовательская задача</t>
        </is>
      </c>
      <c r="F3" s="5" t="inlineStr">
        <is>
          <t>Бизнес-цель</t>
        </is>
      </c>
      <c r="G3" s="5" t="inlineStr">
        <is>
          <t>Категория Кано</t>
        </is>
      </c>
      <c r="H3" s="5" t="inlineStr">
        <is>
          <t>Уровень товара по Левитту</t>
        </is>
      </c>
      <c r="I3" s="5" t="inlineStr">
        <is>
          <t>Влияние на ценность (1-5)</t>
        </is>
      </c>
      <c r="J3" s="5" t="inlineStr">
        <is>
          <t>Влияние на монетизацию (1-5)</t>
        </is>
      </c>
      <c r="K3" s="5" t="inlineStr">
        <is>
          <t>Сложность реализации (1-5)</t>
        </is>
      </c>
      <c r="L3" s="5" t="inlineStr">
        <is>
          <t>Доказательность (1-4)</t>
        </is>
      </c>
      <c r="M3" s="5" t="inlineStr">
        <is>
          <t>Индекс приоритета</t>
        </is>
      </c>
      <c r="N3" s="5" t="inlineStr">
        <is>
          <t>Приоритет</t>
        </is>
      </c>
      <c r="O3" s="5" t="inlineStr">
        <is>
          <t>MVP</t>
        </is>
      </c>
      <c r="P3" s="5" t="inlineStr">
        <is>
          <t>Статус</t>
        </is>
      </c>
      <c r="Q3" s="5" t="inlineStr">
        <is>
          <t>Источник</t>
        </is>
      </c>
    </row>
    <row r="4" ht="28.5" customHeight="1">
      <c r="A4" s="4" t="inlineStr">
        <is>
          <t>F-001</t>
        </is>
      </c>
      <c r="B4" s="4" t="inlineStr">
        <is>
          <t>Текстовый ввод диаграммы с предпросмотром</t>
        </is>
      </c>
      <c r="C4" s="4" t="inlineStr">
        <is>
          <t>S-004</t>
        </is>
      </c>
      <c r="D4" s="4" t="inlineStr">
        <is>
          <t>Новый пользователь</t>
        </is>
      </c>
      <c r="E4" s="4" t="inlineStr">
        <is>
          <t>Получить первую диаграмму</t>
        </is>
      </c>
      <c r="F4" s="4" t="inlineStr">
        <is>
          <t>Рост активации</t>
        </is>
      </c>
      <c r="G4" s="4" t="inlineStr">
        <is>
          <t>Базовое требование</t>
        </is>
      </c>
      <c r="H4" s="4" t="inlineStr">
        <is>
          <t>Родовой товар</t>
        </is>
      </c>
      <c r="I4" s="4" t="n">
        <v>5</v>
      </c>
      <c r="J4" s="4" t="n">
        <v>4</v>
      </c>
      <c r="K4" s="4" t="n">
        <v>4</v>
      </c>
      <c r="L4" s="4" t="n">
        <v>4</v>
      </c>
      <c r="M4" s="7">
        <f>IF(A4="","",IFERROR((I4+J4)*L4/K4,0))</f>
        <v/>
      </c>
      <c r="N4" s="8">
        <f>IF(M4="","",IF(M4&gt;=16,"Критический",IF(M4&gt;=10,"Высокий",IF(M4&gt;=6,"Средний",IF(M4&gt;=3,"Низкий","Отложить")))))</f>
        <v/>
      </c>
      <c r="O4" s="8">
        <f>IF(M4="","",IF(OR(N4="Критический",N4="Высокий"),"Да",IF(N4="Средний","Кандидат","Нет")))</f>
        <v/>
      </c>
      <c r="P4" s="4" t="inlineStr">
        <is>
          <t>Требует проверки</t>
        </is>
      </c>
      <c r="Q4" s="4" t="inlineStr">
        <is>
          <t>A-001</t>
        </is>
      </c>
    </row>
    <row r="5">
      <c r="A5" s="4" t="inlineStr">
        <is>
          <t>F-002</t>
        </is>
      </c>
      <c r="B5" s="4" t="inlineStr">
        <is>
          <t>Нотация UML (классы, последовательности)</t>
        </is>
      </c>
      <c r="C5" s="4" t="inlineStr">
        <is>
          <t>S-004</t>
        </is>
      </c>
      <c r="D5" s="4" t="inlineStr">
        <is>
          <t>Новый пользователь</t>
        </is>
      </c>
      <c r="E5" s="4" t="inlineStr">
        <is>
          <t>Построить UML-диаграмму</t>
        </is>
      </c>
      <c r="F5" s="4" t="inlineStr">
        <is>
          <t>Закрыть стандарт рынка</t>
        </is>
      </c>
      <c r="G5" s="4" t="inlineStr">
        <is>
          <t>Базовое требование</t>
        </is>
      </c>
      <c r="H5" s="4" t="inlineStr">
        <is>
          <t>Ожидаемый товар</t>
        </is>
      </c>
      <c r="I5" s="4" t="n">
        <v>5</v>
      </c>
      <c r="J5" s="4" t="n">
        <v>4</v>
      </c>
      <c r="K5" s="4" t="n">
        <v>3</v>
      </c>
      <c r="L5" s="4" t="n">
        <v>3</v>
      </c>
      <c r="M5" s="7">
        <f>IF(A5="","",IFERROR((I5+J5)*L5/K5,0))</f>
        <v/>
      </c>
      <c r="N5" s="8">
        <f>IF(M5="","",IF(M5&gt;=16,"Критический",IF(M5&gt;=10,"Высокий",IF(M5&gt;=6,"Средний",IF(M5&gt;=3,"Низкий","Отложить")))))</f>
        <v/>
      </c>
      <c r="O5" s="8">
        <f>IF(M5="","",IF(OR(N5="Критический",N5="Высокий"),"Да",IF(N5="Средний","Кандидат","Нет")))</f>
        <v/>
      </c>
      <c r="P5" s="4" t="inlineStr">
        <is>
          <t>Подтверждено</t>
        </is>
      </c>
      <c r="Q5" s="4" t="inlineStr">
        <is>
          <t>A-003</t>
        </is>
      </c>
    </row>
    <row r="6">
      <c r="A6" s="4" t="inlineStr">
        <is>
          <t>F-003</t>
        </is>
      </c>
      <c r="B6" s="4" t="inlineStr">
        <is>
          <t>Нотации ERD, IDEF1X и IDEF3 (волна 1)</t>
        </is>
      </c>
      <c r="C6" s="4" t="inlineStr">
        <is>
          <t>S-004</t>
        </is>
      </c>
      <c r="D6" s="4" t="inlineStr">
        <is>
          <t>Активный пользователь</t>
        </is>
      </c>
      <c r="E6" s="4" t="inlineStr">
        <is>
          <t>Построить процесс и модель данных</t>
        </is>
      </c>
      <c r="F6" s="4" t="inlineStr">
        <is>
          <t>Закрыть ожидаемый состав</t>
        </is>
      </c>
      <c r="G6" s="4" t="inlineStr">
        <is>
          <t>Линейное требование</t>
        </is>
      </c>
      <c r="H6" s="4" t="inlineStr">
        <is>
          <t>Ожидаемый товар</t>
        </is>
      </c>
      <c r="I6" s="4" t="n">
        <v>4</v>
      </c>
      <c r="J6" s="4" t="n">
        <v>4</v>
      </c>
      <c r="K6" s="4" t="n">
        <v>3</v>
      </c>
      <c r="L6" s="4" t="n">
        <v>3</v>
      </c>
      <c r="M6" s="7">
        <f>IF(A6="","",IFERROR((I6+J6)*L6/K6,0))</f>
        <v/>
      </c>
      <c r="N6" s="8">
        <f>IF(M6="","",IF(M6&gt;=16,"Критический",IF(M6&gt;=10,"Высокий",IF(M6&gt;=6,"Средний",IF(M6&gt;=3,"Низкий","Отложить")))))</f>
        <v/>
      </c>
      <c r="O6" s="8">
        <f>IF(M6="","",IF(OR(N6="Критический",N6="Высокий"),"Да",IF(N6="Средний","Кандидат","Нет")))</f>
        <v/>
      </c>
      <c r="P6" s="4" t="inlineStr">
        <is>
          <t>Требует проверки</t>
        </is>
      </c>
      <c r="Q6" s="4" t="n"/>
    </row>
    <row r="7" ht="28.5" customHeight="1">
      <c r="A7" s="4" t="inlineStr">
        <is>
          <t>F-004</t>
        </is>
      </c>
      <c r="B7" s="4" t="inlineStr">
        <is>
          <t>Нотации IDEF0 и DFD (волна 1)</t>
        </is>
      </c>
      <c r="C7" s="4" t="inlineStr">
        <is>
          <t>S-005</t>
        </is>
      </c>
      <c r="D7" s="4" t="inlineStr">
        <is>
          <t>Активный пользователь</t>
        </is>
      </c>
      <c r="E7" s="4" t="inlineStr">
        <is>
          <t>Построить диаграмму по стандарту</t>
        </is>
      </c>
      <c r="F7" s="4" t="inlineStr">
        <is>
          <t>Конкурентное отличие</t>
        </is>
      </c>
      <c r="G7" s="4" t="inlineStr">
        <is>
          <t>Привлекательное требование</t>
        </is>
      </c>
      <c r="H7" s="4" t="inlineStr">
        <is>
          <t>Расширенный товар</t>
        </is>
      </c>
      <c r="I7" s="4" t="n">
        <v>5</v>
      </c>
      <c r="J7" s="4" t="n">
        <v>4</v>
      </c>
      <c r="K7" s="4" t="n">
        <v>4</v>
      </c>
      <c r="L7" s="4" t="n">
        <v>3</v>
      </c>
      <c r="M7" s="7">
        <f>IF(A7="","",IFERROR((I7+J7)*L7/K7,0))</f>
        <v/>
      </c>
      <c r="N7" s="8">
        <f>IF(M7="","",IF(M7&gt;=16,"Критический",IF(M7&gt;=10,"Высокий",IF(M7&gt;=6,"Средний",IF(M7&gt;=3,"Низкий","Отложить")))))</f>
        <v/>
      </c>
      <c r="O7" s="8">
        <f>IF(M7="","",IF(OR(N7="Критический",N7="Высокий"),"Да",IF(N7="Средний","Кандидат","Нет")))</f>
        <v/>
      </c>
      <c r="P7" s="4" t="inlineStr">
        <is>
          <t>Требует проверки</t>
        </is>
      </c>
      <c r="Q7" s="4" t="n"/>
    </row>
    <row r="8" ht="15" customHeight="1">
      <c r="A8" s="4" t="inlineStr">
        <is>
          <t>F-005</t>
        </is>
      </c>
      <c r="B8" s="4" t="inlineStr">
        <is>
          <t>Экспорт в PNG и SVG</t>
        </is>
      </c>
      <c r="C8" s="4" t="inlineStr">
        <is>
          <t>S-006</t>
        </is>
      </c>
      <c r="D8" s="4" t="inlineStr">
        <is>
          <t>Новый пользователь</t>
        </is>
      </c>
      <c r="E8" s="4" t="inlineStr">
        <is>
          <t>Вставить диаграмму в отчёт</t>
        </is>
      </c>
      <c r="F8" s="4" t="inlineStr">
        <is>
          <t>Удовлетворённость</t>
        </is>
      </c>
      <c r="G8" s="4" t="inlineStr">
        <is>
          <t>Базовое требование</t>
        </is>
      </c>
      <c r="H8" s="4" t="inlineStr">
        <is>
          <t>Ожидаемый товар</t>
        </is>
      </c>
      <c r="I8" s="4" t="n">
        <v>5</v>
      </c>
      <c r="J8" s="4" t="n">
        <v>3</v>
      </c>
      <c r="K8" s="4" t="n">
        <v>2</v>
      </c>
      <c r="L8" s="4" t="n">
        <v>4</v>
      </c>
      <c r="M8" s="7">
        <f>IF(A8="","",IFERROR((I8+J8)*L8/K8,0))</f>
        <v/>
      </c>
      <c r="N8" s="8">
        <f>IF(M8="","",IF(M8&gt;=16,"Критический",IF(M8&gt;=10,"Высокий",IF(M8&gt;=6,"Средний",IF(M8&gt;=3,"Низкий","Отложить")))))</f>
        <v/>
      </c>
      <c r="O8" s="8">
        <f>IF(M8="","",IF(OR(N8="Критический",N8="Высокий"),"Да",IF(N8="Средний","Кандидат","Нет")))</f>
        <v/>
      </c>
      <c r="P8" s="4" t="inlineStr">
        <is>
          <t>Требует проверки</t>
        </is>
      </c>
      <c r="Q8" s="4" t="n"/>
    </row>
    <row r="9" ht="15" customHeight="1">
      <c r="A9" s="4" t="inlineStr">
        <is>
          <t>F-006</t>
        </is>
      </c>
      <c r="B9" s="4" t="inlineStr">
        <is>
          <t>Регистрация и личный кабинет Free</t>
        </is>
      </c>
      <c r="C9" s="4" t="inlineStr">
        <is>
          <t>S-003</t>
        </is>
      </c>
      <c r="D9" s="4" t="inlineStr">
        <is>
          <t>Новый пользователь</t>
        </is>
      </c>
      <c r="E9" s="4" t="inlineStr">
        <is>
          <t>Получить доступ</t>
        </is>
      </c>
      <c r="F9" s="4" t="inlineStr">
        <is>
          <t>Активация</t>
        </is>
      </c>
      <c r="G9" s="4" t="inlineStr">
        <is>
          <t>Базовое требование</t>
        </is>
      </c>
      <c r="H9" s="4" t="inlineStr">
        <is>
          <t>Ожидаемый товар</t>
        </is>
      </c>
      <c r="I9" s="4" t="n">
        <v>4</v>
      </c>
      <c r="J9" s="4" t="n">
        <v>4</v>
      </c>
      <c r="K9" s="4" t="n">
        <v>2</v>
      </c>
      <c r="L9" s="4" t="n">
        <v>3</v>
      </c>
      <c r="M9" s="7">
        <f>IF(A9="","",IFERROR((I9+J9)*L9/K9,0))</f>
        <v/>
      </c>
      <c r="N9" s="8">
        <f>IF(M9="","",IF(M9&gt;=16,"Критический",IF(M9&gt;=10,"Высокий",IF(M9&gt;=6,"Средний",IF(M9&gt;=3,"Низкий","Отложить")))))</f>
        <v/>
      </c>
      <c r="O9" s="8">
        <f>IF(M9="","",IF(OR(N9="Критический",N9="Высокий"),"Да",IF(N9="Средний","Кандидат","Нет")))</f>
        <v/>
      </c>
      <c r="P9" s="4" t="inlineStr">
        <is>
          <t>Требует проверки</t>
        </is>
      </c>
      <c r="Q9" s="4" t="n"/>
    </row>
    <row r="10">
      <c r="A10" s="4" t="inlineStr">
        <is>
          <t>F-007</t>
        </is>
      </c>
      <c r="B10" s="4" t="inlineStr">
        <is>
          <t>Сохранение диаграмм и история версий</t>
        </is>
      </c>
      <c r="C10" s="4" t="inlineStr">
        <is>
          <t>S-007</t>
        </is>
      </c>
      <c r="D10" s="4" t="inlineStr">
        <is>
          <t>Активный пользователь</t>
        </is>
      </c>
      <c r="E10" s="4" t="inlineStr">
        <is>
          <t>Вернуться к работе</t>
        </is>
      </c>
      <c r="F10" s="4" t="inlineStr">
        <is>
          <t>Удержание</t>
        </is>
      </c>
      <c r="G10" s="4" t="inlineStr">
        <is>
          <t>Линейное требование</t>
        </is>
      </c>
      <c r="H10" s="4" t="inlineStr">
        <is>
          <t>Расширенный товар</t>
        </is>
      </c>
      <c r="I10" s="4" t="n">
        <v>4</v>
      </c>
      <c r="J10" s="4" t="n">
        <v>3</v>
      </c>
      <c r="K10" s="4" t="n">
        <v>3</v>
      </c>
      <c r="L10" s="4" t="n">
        <v>3</v>
      </c>
      <c r="M10" s="7">
        <f>IF(A10="","",IFERROR((I10+J10)*L10/K10,0))</f>
        <v/>
      </c>
      <c r="N10" s="8">
        <f>IF(M10="","",IF(M10&gt;=16,"Критический",IF(M10&gt;=10,"Высокий",IF(M10&gt;=6,"Средний",IF(M10&gt;=3,"Низкий","Отложить")))))</f>
        <v/>
      </c>
      <c r="O10" s="8">
        <f>IF(M10="","",IF(OR(N10="Критический",N10="Высокий"),"Да",IF(N10="Средний","Кандидат","Нет")))</f>
        <v/>
      </c>
      <c r="P10" s="4" t="inlineStr">
        <is>
          <t>Требует проверки</t>
        </is>
      </c>
      <c r="Q10" s="4" t="n"/>
    </row>
    <row r="11" ht="28.5" customHeight="1">
      <c r="A11" s="4" t="inlineStr">
        <is>
          <t>F-008</t>
        </is>
      </c>
      <c r="B11" s="4" t="inlineStr">
        <is>
          <t>Подсказки об ошибках синтаксиса</t>
        </is>
      </c>
      <c r="C11" s="4" t="inlineStr">
        <is>
          <t>S-009</t>
        </is>
      </c>
      <c r="D11" s="4" t="inlineStr">
        <is>
          <t>Новый пользователь</t>
        </is>
      </c>
      <c r="E11" s="4" t="inlineStr">
        <is>
          <t>Исправить ошибку</t>
        </is>
      </c>
      <c r="F11" s="4" t="inlineStr">
        <is>
          <t>Снизить отказы</t>
        </is>
      </c>
      <c r="G11" s="4" t="inlineStr">
        <is>
          <t>Привлекательное требование</t>
        </is>
      </c>
      <c r="H11" s="4" t="inlineStr">
        <is>
          <t>Расширенный товар</t>
        </is>
      </c>
      <c r="I11" s="4" t="n">
        <v>4</v>
      </c>
      <c r="J11" s="4" t="n">
        <v>3</v>
      </c>
      <c r="K11" s="4" t="n">
        <v>4</v>
      </c>
      <c r="L11" s="4" t="n">
        <v>2</v>
      </c>
      <c r="M11" s="7">
        <f>IF(A11="","",IFERROR((I11+J11)*L11/K11,0))</f>
        <v/>
      </c>
      <c r="N11" s="8">
        <f>IF(M11="","",IF(M11&gt;=16,"Критический",IF(M11&gt;=10,"Высокий",IF(M11&gt;=6,"Средний",IF(M11&gt;=3,"Низкий","Отложить")))))</f>
        <v/>
      </c>
      <c r="O11" s="8">
        <f>IF(M11="","",IF(OR(N11="Критический",N11="Высокий"),"Да",IF(N11="Средний","Кандидат","Нет")))</f>
        <v/>
      </c>
      <c r="P11" s="4" t="inlineStr">
        <is>
          <t>Требует проверки</t>
        </is>
      </c>
      <c r="Q11" s="4" t="n"/>
    </row>
    <row r="12" ht="28.5" customHeight="1">
      <c r="A12" s="4" t="inlineStr">
        <is>
          <t>F-009</t>
        </is>
      </c>
      <c r="B12" s="4" t="inlineStr">
        <is>
          <t>Страница возможностей и тарифов Free и Pro</t>
        </is>
      </c>
      <c r="C12" s="4" t="inlineStr">
        <is>
          <t>S-002</t>
        </is>
      </c>
      <c r="D12" s="4" t="inlineStr">
        <is>
          <t>Потенциальный клиент</t>
        </is>
      </c>
      <c r="E12" s="4" t="inlineStr">
        <is>
          <t>Сравнить и увидеть цену</t>
        </is>
      </c>
      <c r="F12" s="4" t="inlineStr">
        <is>
          <t>Конверсия в регистрацию</t>
        </is>
      </c>
      <c r="G12" s="4" t="inlineStr">
        <is>
          <t>Базовое требование</t>
        </is>
      </c>
      <c r="H12" s="4" t="inlineStr">
        <is>
          <t>Ожидаемый товар</t>
        </is>
      </c>
      <c r="I12" s="4" t="n">
        <v>4</v>
      </c>
      <c r="J12" s="4" t="n">
        <v>5</v>
      </c>
      <c r="K12" s="4" t="n">
        <v>2</v>
      </c>
      <c r="L12" s="4" t="n">
        <v>4</v>
      </c>
      <c r="M12" s="7">
        <f>IF(A12="","",IFERROR((I12+J12)*L12/K12,0))</f>
        <v/>
      </c>
      <c r="N12" s="8">
        <f>IF(M12="","",IF(M12&gt;=16,"Критический",IF(M12&gt;=10,"Высокий",IF(M12&gt;=6,"Средний",IF(M12&gt;=3,"Низкий","Отложить")))))</f>
        <v/>
      </c>
      <c r="O12" s="8">
        <f>IF(M12="","",IF(OR(N12="Критический",N12="Высокий"),"Да",IF(N12="Средний","Кандидат","Нет")))</f>
        <v/>
      </c>
      <c r="P12" s="4" t="inlineStr">
        <is>
          <t>Требует проверки</t>
        </is>
      </c>
      <c r="Q12" s="4" t="n"/>
    </row>
    <row r="13" ht="15" customHeight="1">
      <c r="A13" s="4" t="inlineStr">
        <is>
          <t>F-010</t>
        </is>
      </c>
      <c r="B13" s="4" t="inlineStr">
        <is>
          <t>Оплата подписки Pro</t>
        </is>
      </c>
      <c r="C13" s="4" t="inlineStr">
        <is>
          <t>S-008</t>
        </is>
      </c>
      <c r="D13" s="4" t="inlineStr">
        <is>
          <t>Платящий клиент</t>
        </is>
      </c>
      <c r="E13" s="4" t="inlineStr">
        <is>
          <t>Оформить Pro</t>
        </is>
      </c>
      <c r="F13" s="4" t="inlineStr">
        <is>
          <t>Выручка</t>
        </is>
      </c>
      <c r="G13" s="4" t="inlineStr">
        <is>
          <t>Базовое требование</t>
        </is>
      </c>
      <c r="H13" s="4" t="inlineStr">
        <is>
          <t>Ожидаемый товар</t>
        </is>
      </c>
      <c r="I13" s="4" t="n">
        <v>3</v>
      </c>
      <c r="J13" s="4" t="n">
        <v>5</v>
      </c>
      <c r="K13" s="4" t="n">
        <v>3</v>
      </c>
      <c r="L13" s="4" t="n">
        <v>4</v>
      </c>
      <c r="M13" s="7">
        <f>IF(A13="","",IFERROR((I13+J13)*L13/K13,0))</f>
        <v/>
      </c>
      <c r="N13" s="8">
        <f>IF(M13="","",IF(M13&gt;=16,"Критический",IF(M13&gt;=10,"Высокий",IF(M13&gt;=6,"Средний",IF(M13&gt;=3,"Низкий","Отложить")))))</f>
        <v/>
      </c>
      <c r="O13" s="8">
        <f>IF(M13="","",IF(OR(N13="Критический",N13="Высокий"),"Да",IF(N13="Средний","Кандидат","Нет")))</f>
        <v/>
      </c>
      <c r="P13" s="4" t="inlineStr">
        <is>
          <t>Требует проверки</t>
        </is>
      </c>
      <c r="Q13" s="4" t="n"/>
    </row>
    <row r="14" ht="28.5" customHeight="1">
      <c r="A14" s="4" t="inlineStr">
        <is>
          <t>F-011</t>
        </is>
      </c>
      <c r="B14" s="4" t="inlineStr">
        <is>
          <t>ИИ-ассистент построения диаграммы</t>
        </is>
      </c>
      <c r="C14" s="4" t="inlineStr">
        <is>
          <t>S-004</t>
        </is>
      </c>
      <c r="D14" s="4" t="inlineStr">
        <is>
          <t>Новый пользователь</t>
        </is>
      </c>
      <c r="E14" s="4" t="inlineStr">
        <is>
          <t>Описать диаграмму словами</t>
        </is>
      </c>
      <c r="F14" s="4" t="inlineStr">
        <is>
          <t>Снизить барьер входа</t>
        </is>
      </c>
      <c r="G14" s="4" t="inlineStr">
        <is>
          <t>Привлекательное требование</t>
        </is>
      </c>
      <c r="H14" s="4" t="inlineStr">
        <is>
          <t>Расширенный товар</t>
        </is>
      </c>
      <c r="I14" s="4" t="n">
        <v>4</v>
      </c>
      <c r="J14" s="4" t="n">
        <v>4</v>
      </c>
      <c r="K14" s="4" t="n">
        <v>4</v>
      </c>
      <c r="L14" s="4" t="n">
        <v>3</v>
      </c>
      <c r="M14" s="7">
        <f>IF(A14="","",IFERROR((I14+J14)*L14/K14,0))</f>
        <v/>
      </c>
      <c r="N14" s="8">
        <f>IF(M14="","",IF(M14&gt;=16,"Критический",IF(M14&gt;=10,"Высокий",IF(M14&gt;=6,"Средний",IF(M14&gt;=3,"Низкий","Отложить")))))</f>
        <v/>
      </c>
      <c r="O14" s="8">
        <f>IF(M14="","",IF(OR(N14="Критический",N14="Высокий"),"Да",IF(N14="Средний","Кандидат","Нет")))</f>
        <v/>
      </c>
      <c r="P14" s="4" t="inlineStr">
        <is>
          <t>Требует проверки</t>
        </is>
      </c>
      <c r="Q14" s="4" t="n"/>
    </row>
    <row r="15" ht="15" customHeight="1">
      <c r="A15" s="4" t="inlineStr">
        <is>
          <t>F-012</t>
        </is>
      </c>
      <c r="B15" s="4" t="inlineStr">
        <is>
          <t>Документация и примеры нотаций</t>
        </is>
      </c>
      <c r="C15" s="4" t="inlineStr">
        <is>
          <t>S-010</t>
        </is>
      </c>
      <c r="D15" s="4" t="inlineStr">
        <is>
          <t>Активный пользователь</t>
        </is>
      </c>
      <c r="E15" s="4" t="inlineStr">
        <is>
          <t>Найти пример</t>
        </is>
      </c>
      <c r="F15" s="4" t="inlineStr">
        <is>
          <t>Снизить поддержку</t>
        </is>
      </c>
      <c r="G15" s="4" t="inlineStr">
        <is>
          <t>Базовое требование</t>
        </is>
      </c>
      <c r="H15" s="4" t="inlineStr">
        <is>
          <t>Ожидаемый товар</t>
        </is>
      </c>
      <c r="I15" s="4" t="n">
        <v>4</v>
      </c>
      <c r="J15" s="4" t="n">
        <v>2</v>
      </c>
      <c r="K15" s="4" t="n">
        <v>2</v>
      </c>
      <c r="L15" s="4" t="n">
        <v>4</v>
      </c>
      <c r="M15" s="7">
        <f>IF(A15="","",IFERROR((I15+J15)*L15/K15,0))</f>
        <v/>
      </c>
      <c r="N15" s="8">
        <f>IF(M15="","",IF(M15&gt;=16,"Критический",IF(M15&gt;=10,"Высокий",IF(M15&gt;=6,"Средний",IF(M15&gt;=3,"Низкий","Отложить")))))</f>
        <v/>
      </c>
      <c r="O15" s="8">
        <f>IF(M15="","",IF(OR(N15="Критический",N15="Высокий"),"Да",IF(N15="Средний","Кандидат","Нет")))</f>
        <v/>
      </c>
      <c r="P15" s="4" t="inlineStr">
        <is>
          <t>Требует проверки</t>
        </is>
      </c>
      <c r="Q15" s="4" t="n"/>
    </row>
    <row r="16" ht="28.5" customHeight="1">
      <c r="A16" s="4" t="inlineStr">
        <is>
          <t>F-013</t>
        </is>
      </c>
      <c r="B16" s="4" t="inlineStr">
        <is>
          <t>Совместное редактирование и доступ команде</t>
        </is>
      </c>
      <c r="C16" s="4" t="inlineStr">
        <is>
          <t>S-011</t>
        </is>
      </c>
      <c r="D16" s="4" t="inlineStr">
        <is>
          <t>Администратор клиента</t>
        </is>
      </c>
      <c r="E16" s="4" t="inlineStr">
        <is>
          <t>Работать командой</t>
        </is>
      </c>
      <c r="F16" s="4" t="inlineStr">
        <is>
          <t>Командный тариф</t>
        </is>
      </c>
      <c r="G16" s="4" t="inlineStr">
        <is>
          <t>Линейное требование</t>
        </is>
      </c>
      <c r="H16" s="4" t="inlineStr">
        <is>
          <t>Расширенный товар</t>
        </is>
      </c>
      <c r="I16" s="4" t="n">
        <v>4</v>
      </c>
      <c r="J16" s="4" t="n">
        <v>4</v>
      </c>
      <c r="K16" s="4" t="n">
        <v>5</v>
      </c>
      <c r="L16" s="4" t="n">
        <v>3</v>
      </c>
      <c r="M16" s="7">
        <f>IF(A16="","",IFERROR((I16+J16)*L16/K16,0))</f>
        <v/>
      </c>
      <c r="N16" s="8">
        <f>IF(M16="","",IF(M16&gt;=16,"Критический",IF(M16&gt;=10,"Высокий",IF(M16&gt;=6,"Средний",IF(M16&gt;=3,"Низкий","Отложить")))))</f>
        <v/>
      </c>
      <c r="O16" s="8">
        <f>IF(M16="","",IF(OR(N16="Критический",N16="Высокий"),"Да",IF(N16="Средний","Кандидат","Нет")))</f>
        <v/>
      </c>
      <c r="P16" s="4" t="inlineStr">
        <is>
          <t>Требует проверки</t>
        </is>
      </c>
      <c r="Q16" s="4" t="n"/>
    </row>
    <row r="17" ht="17.1" customHeight="1"/>
    <row r="18" ht="17.1" customHeight="1"/>
    <row r="19" ht="17.1" customHeight="1"/>
    <row r="20" ht="17.1" customHeight="1"/>
    <row r="21" ht="17.1" customHeight="1"/>
    <row r="22" ht="17.1" customHeight="1"/>
    <row r="23" ht="17.1" customHeight="1"/>
    <row r="24" ht="17.1" customHeight="1"/>
    <row r="25" ht="17.1" customHeight="1"/>
    <row r="26" ht="17.1" customHeight="1"/>
    <row r="27" ht="17.1" customHeight="1"/>
    <row r="28" ht="17.1" customHeight="1"/>
    <row r="29" ht="17.1" customHeight="1"/>
    <row r="30" ht="17.1" customHeight="1"/>
    <row r="31" ht="17.1" customHeight="1"/>
    <row r="32" ht="17.1" customHeight="1"/>
    <row r="33" ht="17.1" customHeight="1"/>
    <row r="34" ht="17.1" customHeight="1"/>
    <row r="35" ht="17.1" customHeight="1"/>
    <row r="36" ht="17.1" customHeight="1"/>
    <row r="37" ht="17.1" customHeight="1"/>
    <row r="38" ht="17.1" customHeight="1"/>
    <row r="39" ht="17.1" customHeight="1"/>
    <row r="40" ht="17.1" customHeight="1"/>
    <row r="41" ht="17.1" customHeight="1"/>
    <row r="42" ht="17.1" customHeight="1"/>
    <row r="43" ht="17.1" customHeight="1"/>
    <row r="44" ht="17.1" customHeight="1"/>
    <row r="45" ht="17.1" customHeight="1"/>
    <row r="46" ht="17.1" customHeight="1"/>
    <row r="47" ht="17.1" customHeight="1"/>
    <row r="48" ht="17.1" customHeight="1"/>
    <row r="49" ht="17.1" customHeight="1"/>
    <row r="50" ht="17.1" customHeight="1"/>
    <row r="51" ht="17.1" customHeight="1"/>
    <row r="52" ht="17.1" customHeight="1"/>
    <row r="53" ht="17.1" customHeight="1"/>
    <row r="54" ht="17.1" customHeight="1"/>
    <row r="55" ht="17.1" customHeight="1"/>
    <row r="56" ht="17.1" customHeight="1"/>
    <row r="57" ht="17.1" customHeight="1"/>
    <row r="58" ht="17.1" customHeight="1"/>
    <row r="59" ht="17.1" customHeight="1"/>
    <row r="60" ht="17.1" customHeight="1"/>
    <row r="61" ht="17.1" customHeight="1"/>
    <row r="62" ht="17.1" customHeight="1"/>
    <row r="63" ht="17.1" customHeight="1"/>
    <row r="64" ht="17.1" customHeight="1"/>
    <row r="65" ht="17.1" customHeight="1"/>
    <row r="66" ht="17.1" customHeight="1"/>
    <row r="67" ht="17.1" customHeight="1"/>
    <row r="68" ht="17.1" customHeight="1"/>
    <row r="69" ht="17.1" customHeight="1"/>
    <row r="70" ht="17.1" customHeight="1"/>
    <row r="71" ht="17.1" customHeight="1"/>
    <row r="72" ht="17.1" customHeight="1"/>
    <row r="73" ht="17.1" customHeight="1"/>
    <row r="74" ht="17.1" customHeight="1"/>
    <row r="75" ht="17.1" customHeight="1"/>
    <row r="76" ht="17.1" customHeight="1"/>
    <row r="77" ht="17.1" customHeight="1"/>
    <row r="78" ht="17.1" customHeight="1"/>
    <row r="79" ht="17.1" customHeight="1"/>
    <row r="80" ht="17.1" customHeight="1"/>
    <row r="81" ht="17.1" customHeight="1"/>
    <row r="82" ht="17.1" customHeight="1"/>
    <row r="83" ht="17.1" customHeight="1"/>
    <row r="84" ht="17.1" customHeight="1"/>
    <row r="85" ht="17.1" customHeight="1"/>
    <row r="86" ht="17.1" customHeight="1"/>
    <row r="87" ht="17.1" customHeight="1"/>
    <row r="88" ht="17.1" customHeight="1"/>
    <row r="89" ht="17.1" customHeight="1"/>
    <row r="90" ht="17.1" customHeight="1"/>
    <row r="91" ht="17.1" customHeight="1"/>
    <row r="92" ht="17.1" customHeight="1"/>
    <row r="93" ht="17.1" customHeight="1"/>
    <row r="94" ht="17.1" customHeight="1"/>
    <row r="95" ht="17.1" customHeight="1"/>
    <row r="96" ht="17.1" customHeight="1"/>
    <row r="97" ht="17.1" customHeight="1"/>
    <row r="98" ht="17.1" customHeight="1"/>
    <row r="99" ht="17.1" customHeight="1"/>
    <row r="100" ht="17.1" customHeight="1"/>
    <row r="101" ht="17.1" customHeight="1"/>
    <row r="102" ht="17.1" customHeight="1"/>
    <row r="103" ht="17.1" customHeight="1"/>
    <row r="104" ht="17.1" customHeight="1"/>
    <row r="105" ht="17.1" customHeight="1"/>
    <row r="106" ht="17.1" customHeight="1"/>
    <row r="107" ht="17.1" customHeight="1"/>
    <row r="108" ht="17.1" customHeight="1"/>
    <row r="109" ht="17.1" customHeight="1"/>
    <row r="110" ht="17.1" customHeight="1"/>
    <row r="111" ht="17.1" customHeight="1"/>
    <row r="112" ht="17.1" customHeight="1"/>
    <row r="113" ht="17.1" customHeight="1"/>
    <row r="114" ht="17.1" customHeight="1"/>
    <row r="115" ht="17.1" customHeight="1"/>
    <row r="116" ht="17.1" customHeight="1"/>
    <row r="117" ht="17.1" customHeight="1"/>
    <row r="118" ht="17.1" customHeight="1"/>
    <row r="119" ht="17.1" customHeight="1"/>
    <row r="120" ht="17.1" customHeight="1"/>
    <row r="121" ht="17.1" customHeight="1"/>
    <row r="122" ht="17.1" customHeight="1"/>
    <row r="123" ht="17.1" customHeight="1"/>
    <row r="124" ht="17.1" customHeight="1"/>
    <row r="125" ht="17.1" customHeight="1"/>
    <row r="126" ht="17.1" customHeight="1"/>
    <row r="127" ht="17.1" customHeight="1"/>
    <row r="128" ht="17.1" customHeight="1"/>
    <row r="129" ht="17.1" customHeight="1"/>
    <row r="130" ht="17.1" customHeight="1"/>
    <row r="131" ht="17.1" customHeight="1"/>
    <row r="132" ht="17.1" customHeight="1"/>
    <row r="133" ht="17.1" customHeight="1"/>
    <row r="134" ht="17.1" customHeight="1"/>
    <row r="135" ht="17.1" customHeight="1"/>
    <row r="136" ht="17.1" customHeight="1"/>
    <row r="137" ht="17.1" customHeight="1"/>
    <row r="138" ht="17.1" customHeight="1"/>
    <row r="139" ht="17.1" customHeight="1"/>
    <row r="140" ht="17.1" customHeight="1"/>
    <row r="141" ht="17.1" customHeight="1"/>
    <row r="142" ht="17.1" customHeight="1"/>
    <row r="143" ht="17.1" customHeight="1"/>
    <row r="144" ht="17.1" customHeight="1"/>
    <row r="145" ht="17.1" customHeight="1"/>
    <row r="146" ht="17.1" customHeight="1"/>
    <row r="147" ht="17.1" customHeight="1"/>
    <row r="148" ht="17.1" customHeight="1"/>
    <row r="149" ht="17.1" customHeight="1"/>
    <row r="150" ht="17.1" customHeight="1"/>
    <row r="151" ht="17.1" customHeight="1"/>
    <row r="152" ht="17.1" customHeight="1"/>
    <row r="153" ht="17.1" customHeight="1"/>
    <row r="154" ht="17.1" customHeight="1"/>
    <row r="155" ht="17.1" customHeight="1"/>
    <row r="156" ht="17.1" customHeight="1"/>
    <row r="157" ht="17.1" customHeight="1"/>
    <row r="158" ht="17.1" customHeight="1"/>
    <row r="159" ht="17.1" customHeight="1"/>
    <row r="160" ht="17.1" customHeight="1"/>
    <row r="161" ht="17.1" customHeight="1"/>
    <row r="162" ht="17.1" customHeight="1"/>
    <row r="163" ht="17.1" customHeight="1"/>
    <row r="164" ht="17.1" customHeight="1"/>
    <row r="165" ht="17.1" customHeight="1"/>
    <row r="166" ht="17.1" customHeight="1"/>
    <row r="167" ht="17.1" customHeight="1"/>
    <row r="168" ht="17.1" customHeight="1"/>
    <row r="169" ht="17.1" customHeight="1"/>
    <row r="170" ht="17.1" customHeight="1"/>
    <row r="171" ht="17.1" customHeight="1"/>
    <row r="172" ht="17.1" customHeight="1"/>
    <row r="173" ht="17.1" customHeight="1"/>
    <row r="174" ht="17.1" customHeight="1"/>
    <row r="175" ht="17.1" customHeight="1"/>
    <row r="176" ht="17.1" customHeight="1"/>
    <row r="177" ht="17.1" customHeight="1"/>
    <row r="178" ht="17.1" customHeight="1"/>
    <row r="179" ht="17.1" customHeight="1"/>
    <row r="180" ht="17.1" customHeight="1"/>
    <row r="181" ht="17.1" customHeight="1"/>
    <row r="182" ht="17.1" customHeight="1"/>
    <row r="183" ht="17.1" customHeight="1"/>
    <row r="184" ht="17.1" customHeight="1"/>
    <row r="185" ht="17.1" customHeight="1"/>
    <row r="186" ht="17.1" customHeight="1"/>
    <row r="187" ht="17.1" customHeight="1"/>
    <row r="188" ht="17.1" customHeight="1"/>
    <row r="189" ht="17.1" customHeight="1"/>
    <row r="190" ht="17.1" customHeight="1"/>
    <row r="191" ht="17.1" customHeight="1"/>
    <row r="192" ht="17.1" customHeight="1"/>
    <row r="193" ht="17.1" customHeight="1"/>
    <row r="194" ht="17.1" customHeight="1"/>
    <row r="195" ht="17.1" customHeight="1"/>
    <row r="196" ht="17.1" customHeight="1"/>
    <row r="197" ht="17.1" customHeight="1"/>
    <row r="198" ht="17.1" customHeight="1"/>
    <row r="199" ht="17.1" customHeight="1"/>
    <row r="200" ht="17.1" customHeight="1"/>
    <row r="201" ht="17.1" customHeight="1"/>
    <row r="202" ht="17.1" customHeight="1"/>
    <row r="203" ht="17.1" customHeight="1"/>
  </sheetData>
  <mergeCells count="1">
    <mergeCell ref="A1:Q1"/>
  </mergeCells>
  <conditionalFormatting sqref="M4:M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O4:O203">
    <cfRule type="expression" priority="2" dxfId="11">
      <formula>O4="Да"</formula>
    </cfRule>
  </conditionalFormatting>
  <dataValidations count="2">
    <dataValidation sqref="I4:K203" showDropDown="0" showInputMessage="0" showErrorMessage="0" allowBlank="0" type="list">
      <formula1>"1,2,3,4,5"</formula1>
    </dataValidation>
    <dataValidation sqref="L4:L203" showDropDown="0" showInputMessage="0" showErrorMessage="0" allowBlank="0" type="list">
      <formula1>"1,2,3,4"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M17" sqref="M17"/>
    </sheetView>
  </sheetViews>
  <sheetFormatPr baseColWidth="8" defaultRowHeight="14.25"/>
  <cols>
    <col width="16" customWidth="1" min="1" max="1"/>
    <col width="49.875" customWidth="1" min="2" max="2"/>
    <col width="24" customWidth="1" min="3" max="3"/>
    <col width="18" customWidth="1" min="4" max="5"/>
    <col width="20" customWidth="1" min="6" max="6"/>
    <col width="18" customWidth="1" min="7" max="8"/>
    <col width="16" customWidth="1" min="9" max="9"/>
    <col width="14" customWidth="1" min="10" max="10"/>
    <col width="16" customWidth="1" min="11" max="11"/>
    <col width="29.75" customWidth="1" min="12" max="12"/>
    <col width="27.625" customWidth="1" min="13" max="13"/>
    <col width="52.375" customWidth="1" min="14" max="14"/>
  </cols>
  <sheetData>
    <row r="1" ht="15" customHeight="1">
      <c r="A1" s="14" t="inlineStr">
        <is>
          <t>Приоритизация сценариев, функций и продуктовых инициатив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/>
    <row r="3" ht="48.75" customHeight="1">
      <c r="A3" s="5" t="inlineStr">
        <is>
          <t>ID инициативы</t>
        </is>
      </c>
      <c r="B3" s="5" t="inlineStr">
        <is>
          <t>Инициатива</t>
        </is>
      </c>
      <c r="C3" s="5" t="inlineStr">
        <is>
          <t>Тип</t>
        </is>
      </c>
      <c r="D3" s="5" t="inlineStr">
        <is>
          <t>Связанный сценарий</t>
        </is>
      </c>
      <c r="E3" s="5" t="inlineStr">
        <is>
          <t>Связанное требование</t>
        </is>
      </c>
      <c r="F3" s="5" t="inlineStr">
        <is>
          <t>Пользовательская ценность (1-5)</t>
        </is>
      </c>
      <c r="G3" s="5" t="inlineStr">
        <is>
          <t>Бизнес-эффект (1-5)</t>
        </is>
      </c>
      <c r="H3" s="5" t="inlineStr">
        <is>
          <t>Доказательность (1-4)</t>
        </is>
      </c>
      <c r="I3" s="5" t="inlineStr">
        <is>
          <t>Сложность (1-5)</t>
        </is>
      </c>
      <c r="J3" s="5" t="inlineStr">
        <is>
          <t>Риск (1-5)</t>
        </is>
      </c>
      <c r="K3" s="5" t="inlineStr">
        <is>
          <t>Итоговый индекс</t>
        </is>
      </c>
      <c r="L3" s="5" t="inlineStr">
        <is>
          <t>Решение</t>
        </is>
      </c>
      <c r="M3" s="5" t="inlineStr">
        <is>
          <t>Период реализации</t>
        </is>
      </c>
      <c r="N3" s="5" t="inlineStr">
        <is>
          <t>Комментарий</t>
        </is>
      </c>
    </row>
    <row r="4" ht="28.5" customHeight="1">
      <c r="A4" s="4" t="inlineStr">
        <is>
          <t>P-001</t>
        </is>
      </c>
      <c r="B4" s="4" t="inlineStr">
        <is>
          <t>Построение диаграммы из текста с предпросмотром</t>
        </is>
      </c>
      <c r="C4" s="4" t="inlineStr">
        <is>
          <t>Сценарий + функция</t>
        </is>
      </c>
      <c r="D4" s="4" t="inlineStr">
        <is>
          <t>S-004</t>
        </is>
      </c>
      <c r="E4" s="4" t="inlineStr">
        <is>
          <t>F-001</t>
        </is>
      </c>
      <c r="F4" s="4" t="n">
        <v>5</v>
      </c>
      <c r="G4" s="4" t="n">
        <v>5</v>
      </c>
      <c r="H4" s="4" t="n">
        <v>4</v>
      </c>
      <c r="I4" s="4" t="n">
        <v>4</v>
      </c>
      <c r="J4" s="4" t="n">
        <v>2</v>
      </c>
      <c r="K4" s="7">
        <f>IF(A4="","",IFERROR((F4+G4+H4)*((6-J4)/5)/I4,0))</f>
        <v/>
      </c>
      <c r="L4" s="8">
        <f>IF(K4="","",IF(K4&gt;=6,"Включить в первую версию",IF(K4&gt;=4,"Включить после проверки",IF(K4&gt;=2.5,"Проверить дополнительно",IF(K4&gt;=1.5,"Отложить","Исключить")))))</f>
        <v/>
      </c>
      <c r="M4" s="4" t="inlineStr">
        <is>
          <t>Первая версия</t>
        </is>
      </c>
      <c r="N4" s="4" t="inlineStr">
        <is>
          <t>Ядро ценности</t>
        </is>
      </c>
    </row>
    <row r="5" ht="28.5" customHeight="1">
      <c r="A5" s="4" t="inlineStr">
        <is>
          <t>P-002</t>
        </is>
      </c>
      <c r="B5" s="4" t="inlineStr">
        <is>
          <t>Экспорт PNG и SVG</t>
        </is>
      </c>
      <c r="C5" s="4" t="inlineStr">
        <is>
          <t>Функция</t>
        </is>
      </c>
      <c r="D5" s="4" t="inlineStr">
        <is>
          <t>S-006</t>
        </is>
      </c>
      <c r="E5" s="4" t="inlineStr">
        <is>
          <t>F-005</t>
        </is>
      </c>
      <c r="F5" s="4" t="n">
        <v>5</v>
      </c>
      <c r="G5" s="4" t="n">
        <v>4</v>
      </c>
      <c r="H5" s="4" t="n">
        <v>4</v>
      </c>
      <c r="I5" s="4" t="n">
        <v>2</v>
      </c>
      <c r="J5" s="4" t="n">
        <v>1</v>
      </c>
      <c r="K5" s="7">
        <f>IF(A5="","",IFERROR((F5+G5+H5)*((6-J5)/5)/I5,0))</f>
        <v/>
      </c>
      <c r="L5" s="8">
        <f>IF(K5="","",IF(K5&gt;=6,"Включить в первую версию",IF(K5&gt;=4,"Включить после проверки",IF(K5&gt;=2.5,"Проверить дополнительно",IF(K5&gt;=1.5,"Отложить","Исключить")))))</f>
        <v/>
      </c>
      <c r="M5" s="4" t="inlineStr">
        <is>
          <t>Первая версия</t>
        </is>
      </c>
      <c r="N5" s="4" t="inlineStr">
        <is>
          <t>Ожидаемый минимум</t>
        </is>
      </c>
    </row>
    <row r="6" ht="28.5" customHeight="1">
      <c r="A6" s="4" t="inlineStr">
        <is>
          <t>P-003</t>
        </is>
      </c>
      <c r="B6" s="4" t="inlineStr">
        <is>
          <t>Нотации UML, ERD, IDEF0, IDEF1X, IDEF3, DFD</t>
        </is>
      </c>
      <c r="C6" s="4" t="inlineStr">
        <is>
          <t>Функция</t>
        </is>
      </c>
      <c r="D6" s="4" t="inlineStr">
        <is>
          <t>S-004</t>
        </is>
      </c>
      <c r="E6" s="4" t="inlineStr">
        <is>
          <t>F-002</t>
        </is>
      </c>
      <c r="F6" s="4" t="n">
        <v>5</v>
      </c>
      <c r="G6" s="4" t="n">
        <v>4</v>
      </c>
      <c r="H6" s="4" t="n">
        <v>3</v>
      </c>
      <c r="I6" s="4" t="n">
        <v>3</v>
      </c>
      <c r="J6" s="4" t="n">
        <v>2</v>
      </c>
      <c r="K6" s="7">
        <f>IF(A6="","",IFERROR((F6+G6+H6)*((6-J6)/5)/I6,0))</f>
        <v/>
      </c>
      <c r="L6" s="8">
        <f>IF(K6="","",IF(K6&gt;=6,"Включить в первую версию",IF(K6&gt;=4,"Включить после проверки",IF(K6&gt;=2.5,"Проверить дополнительно",IF(K6&gt;=1.5,"Отложить","Исключить")))))</f>
        <v/>
      </c>
      <c r="M6" s="4" t="inlineStr">
        <is>
          <t>Первая версия</t>
        </is>
      </c>
      <c r="N6" s="4" t="inlineStr">
        <is>
          <t>Стандарт рынка</t>
        </is>
      </c>
    </row>
    <row r="7">
      <c r="A7" s="4" t="inlineStr">
        <is>
          <t>P-004</t>
        </is>
      </c>
      <c r="B7" s="4" t="inlineStr">
        <is>
          <t>Регистрация и вход Free</t>
        </is>
      </c>
      <c r="C7" s="4" t="inlineStr">
        <is>
          <t>Функция</t>
        </is>
      </c>
      <c r="D7" s="4" t="inlineStr">
        <is>
          <t>S-003</t>
        </is>
      </c>
      <c r="E7" s="4" t="inlineStr">
        <is>
          <t>F-006</t>
        </is>
      </c>
      <c r="F7" s="4" t="n">
        <v>4</v>
      </c>
      <c r="G7" s="4" t="n">
        <v>4</v>
      </c>
      <c r="H7" s="4" t="n">
        <v>3</v>
      </c>
      <c r="I7" s="4" t="n">
        <v>2</v>
      </c>
      <c r="J7" s="4" t="n">
        <v>1</v>
      </c>
      <c r="K7" s="7">
        <f>IF(A7="","",IFERROR((F7+G7+H7)*((6-J7)/5)/I7,0))</f>
        <v/>
      </c>
      <c r="L7" s="8">
        <f>IF(K7="","",IF(K7&gt;=6,"Включить в первую версию",IF(K7&gt;=4,"Включить после проверки",IF(K7&gt;=2.5,"Проверить дополнительно",IF(K7&gt;=1.5,"Отложить","Исключить")))))</f>
        <v/>
      </c>
      <c r="M7" s="4" t="inlineStr">
        <is>
          <t>Первая версия</t>
        </is>
      </c>
      <c r="N7" s="4" t="inlineStr">
        <is>
          <t>Активация</t>
        </is>
      </c>
    </row>
    <row r="8" ht="28.5" customHeight="1">
      <c r="A8" s="4" t="inlineStr">
        <is>
          <t>P-005</t>
        </is>
      </c>
      <c r="B8" s="4" t="inlineStr">
        <is>
          <t>Страница возможностей и тарифов</t>
        </is>
      </c>
      <c r="C8" s="4" t="inlineStr">
        <is>
          <t>Монетизация</t>
        </is>
      </c>
      <c r="D8" s="4" t="inlineStr">
        <is>
          <t>S-002</t>
        </is>
      </c>
      <c r="E8" s="4" t="inlineStr">
        <is>
          <t>F-009</t>
        </is>
      </c>
      <c r="F8" s="4" t="n">
        <v>4</v>
      </c>
      <c r="G8" s="4" t="n">
        <v>5</v>
      </c>
      <c r="H8" s="4" t="n">
        <v>4</v>
      </c>
      <c r="I8" s="4" t="n">
        <v>2</v>
      </c>
      <c r="J8" s="4" t="n">
        <v>1</v>
      </c>
      <c r="K8" s="7">
        <f>IF(A8="","",IFERROR((F8+G8+H8)*((6-J8)/5)/I8,0))</f>
        <v/>
      </c>
      <c r="L8" s="8">
        <f>IF(K8="","",IF(K8&gt;=6,"Включить в первую версию",IF(K8&gt;=4,"Включить после проверки",IF(K8&gt;=2.5,"Проверить дополнительно",IF(K8&gt;=1.5,"Отложить","Исключить")))))</f>
        <v/>
      </c>
      <c r="M8" s="4" t="inlineStr">
        <is>
          <t>Первая версия</t>
        </is>
      </c>
      <c r="N8" s="4" t="inlineStr">
        <is>
          <t>Открытая цена</t>
        </is>
      </c>
    </row>
    <row r="9" ht="28.5" customHeight="1">
      <c r="A9" s="4" t="inlineStr">
        <is>
          <t>P-006</t>
        </is>
      </c>
      <c r="B9" s="4" t="inlineStr">
        <is>
          <t>Оплата Pro 40 у.е. в год</t>
        </is>
      </c>
      <c r="C9" s="4" t="inlineStr">
        <is>
          <t>Монетизация</t>
        </is>
      </c>
      <c r="D9" s="4" t="inlineStr">
        <is>
          <t>S-008</t>
        </is>
      </c>
      <c r="E9" s="4" t="inlineStr">
        <is>
          <t>F-010</t>
        </is>
      </c>
      <c r="F9" s="4" t="n">
        <v>3</v>
      </c>
      <c r="G9" s="4" t="n">
        <v>5</v>
      </c>
      <c r="H9" s="4" t="n">
        <v>4</v>
      </c>
      <c r="I9" s="4" t="n">
        <v>3</v>
      </c>
      <c r="J9" s="4" t="n">
        <v>3</v>
      </c>
      <c r="K9" s="7">
        <f>IF(A9="","",IFERROR((F9+G9+H9)*((6-J9)/5)/I9,0))</f>
        <v/>
      </c>
      <c r="L9" s="8">
        <f>IF(K9="","",IF(K9&gt;=6,"Включить в первую версию",IF(K9&gt;=4,"Включить после проверки",IF(K9&gt;=2.5,"Проверить дополнительно",IF(K9&gt;=1.5,"Отложить","Исключить")))))</f>
        <v/>
      </c>
      <c r="M9" s="4" t="inlineStr">
        <is>
          <t>Первая версия</t>
        </is>
      </c>
      <c r="N9" s="4" t="inlineStr">
        <is>
          <t>Платёжный провайдер не выбран</t>
        </is>
      </c>
    </row>
    <row r="10">
      <c r="A10" s="4" t="inlineStr">
        <is>
          <t>P-007</t>
        </is>
      </c>
      <c r="B10" s="4" t="inlineStr">
        <is>
          <t>Нотации IDEF0 и DFD (волна 1)</t>
        </is>
      </c>
      <c r="C10" s="4" t="inlineStr">
        <is>
          <t>Функция</t>
        </is>
      </c>
      <c r="D10" s="4" t="inlineStr">
        <is>
          <t>S-005</t>
        </is>
      </c>
      <c r="E10" s="4" t="inlineStr">
        <is>
          <t>F-004</t>
        </is>
      </c>
      <c r="F10" s="4" t="n">
        <v>5</v>
      </c>
      <c r="G10" s="4" t="n">
        <v>4</v>
      </c>
      <c r="H10" s="4" t="n">
        <v>3</v>
      </c>
      <c r="I10" s="4" t="n">
        <v>4</v>
      </c>
      <c r="J10" s="4" t="n">
        <v>3</v>
      </c>
      <c r="K10" s="7">
        <f>IF(A10="","",IFERROR((F10+G10+H10)*((6-J10)/5)/I10,0))</f>
        <v/>
      </c>
      <c r="L10" s="8">
        <f>IF(K10="","",IF(K10&gt;=6,"Включить в первую версию",IF(K10&gt;=4,"Включить после проверки",IF(K10&gt;=2.5,"Проверить дополнительно",IF(K10&gt;=1.5,"Отложить","Исключить")))))</f>
        <v/>
      </c>
      <c r="M10" s="4" t="inlineStr">
        <is>
          <t>Первая версия</t>
        </is>
      </c>
      <c r="N10" s="4" t="inlineStr">
        <is>
          <t>Конкурентное отличие</t>
        </is>
      </c>
    </row>
    <row r="11" ht="28.5" customHeight="1">
      <c r="A11" s="4" t="inlineStr">
        <is>
          <t>P-008</t>
        </is>
      </c>
      <c r="B11" s="4" t="inlineStr">
        <is>
          <t>ИИ-ассистент</t>
        </is>
      </c>
      <c r="C11" s="4" t="inlineStr">
        <is>
          <t>Функция</t>
        </is>
      </c>
      <c r="D11" s="4" t="inlineStr">
        <is>
          <t>S-004</t>
        </is>
      </c>
      <c r="E11" s="4" t="inlineStr">
        <is>
          <t>F-011</t>
        </is>
      </c>
      <c r="F11" s="4" t="n">
        <v>4</v>
      </c>
      <c r="G11" s="4" t="n">
        <v>4</v>
      </c>
      <c r="H11" s="4" t="n">
        <v>3</v>
      </c>
      <c r="I11" s="4" t="n">
        <v>4</v>
      </c>
      <c r="J11" s="4" t="n">
        <v>3</v>
      </c>
      <c r="K11" s="7">
        <f>IF(A11="","",IFERROR((F11+G11+H11)*((6-J11)/5)/I11,0))</f>
        <v/>
      </c>
      <c r="L11" s="8">
        <f>IF(K11="","",IF(K11&gt;=6,"Включить в первую версию",IF(K11&gt;=4,"Включить после проверки",IF(K11&gt;=2.5,"Проверить дополнительно",IF(K11&gt;=1.5,"Отложить","Исключить")))))</f>
        <v/>
      </c>
      <c r="M11" s="4" t="inlineStr">
        <is>
          <t>Первая версия (заглушка)</t>
        </is>
      </c>
      <c r="N11" s="4" t="inlineStr">
        <is>
          <t>В MVP заглушка с четырьмя режимами; квоты - позже</t>
        </is>
      </c>
    </row>
    <row r="12">
      <c r="A12" s="4" t="inlineStr">
        <is>
          <t>P-009</t>
        </is>
      </c>
      <c r="B12" s="4" t="inlineStr">
        <is>
          <t>Сохранение и история версий</t>
        </is>
      </c>
      <c r="C12" s="4" t="inlineStr">
        <is>
          <t>Функция</t>
        </is>
      </c>
      <c r="D12" s="4" t="inlineStr">
        <is>
          <t>S-007</t>
        </is>
      </c>
      <c r="E12" s="4" t="inlineStr">
        <is>
          <t>F-007</t>
        </is>
      </c>
      <c r="F12" s="4" t="n">
        <v>4</v>
      </c>
      <c r="G12" s="4" t="n">
        <v>3</v>
      </c>
      <c r="H12" s="4" t="n">
        <v>3</v>
      </c>
      <c r="I12" s="4" t="n">
        <v>3</v>
      </c>
      <c r="J12" s="4" t="n">
        <v>2</v>
      </c>
      <c r="K12" s="7">
        <f>IF(A12="","",IFERROR((F12+G12+H12)*((6-J12)/5)/I12,0))</f>
        <v/>
      </c>
      <c r="L12" s="8">
        <f>IF(K12="","",IF(K12&gt;=6,"Включить в первую версию",IF(K12&gt;=4,"Включить после проверки",IF(K12&gt;=2.5,"Проверить дополнительно",IF(K12&gt;=1.5,"Отложить","Исключить")))))</f>
        <v/>
      </c>
      <c r="M12" s="4" t="inlineStr">
        <is>
          <t>Вторая версия</t>
        </is>
      </c>
      <c r="N12" s="4" t="inlineStr">
        <is>
          <t>Удержание</t>
        </is>
      </c>
    </row>
    <row r="13">
      <c r="A13" s="4" t="inlineStr">
        <is>
          <t>P-010</t>
        </is>
      </c>
      <c r="B13" s="4" t="inlineStr">
        <is>
          <t>Совместное редактирование</t>
        </is>
      </c>
      <c r="C13" s="4" t="inlineStr">
        <is>
          <t>Функция</t>
        </is>
      </c>
      <c r="D13" s="4" t="inlineStr">
        <is>
          <t>S-011</t>
        </is>
      </c>
      <c r="E13" s="4" t="inlineStr">
        <is>
          <t>F-013</t>
        </is>
      </c>
      <c r="F13" s="4" t="n">
        <v>4</v>
      </c>
      <c r="G13" s="4" t="n">
        <v>4</v>
      </c>
      <c r="H13" s="4" t="n">
        <v>3</v>
      </c>
      <c r="I13" s="4" t="n">
        <v>5</v>
      </c>
      <c r="J13" s="4" t="n">
        <v>3</v>
      </c>
      <c r="K13" s="7">
        <f>IF(A13="","",IFERROR((F13+G13+H13)*((6-J13)/5)/I13,0))</f>
        <v/>
      </c>
      <c r="L13" s="8">
        <f>IF(K13="","",IF(K13&gt;=6,"Включить в первую версию",IF(K13&gt;=4,"Включить после проверки",IF(K13&gt;=2.5,"Проверить дополнительно",IF(K13&gt;=1.5,"Отложить","Исключить")))))</f>
        <v/>
      </c>
      <c r="M13" s="4" t="inlineStr">
        <is>
          <t>Позже</t>
        </is>
      </c>
      <c r="N13" s="4" t="inlineStr">
        <is>
          <t>Командный тариф</t>
        </is>
      </c>
    </row>
    <row r="14" ht="17.1" customHeight="1"/>
    <row r="15" ht="17.1" customHeight="1"/>
    <row r="16" ht="17.1" customHeight="1"/>
    <row r="17" ht="17.1" customHeight="1"/>
    <row r="18" ht="17.1" customHeight="1"/>
    <row r="19" ht="17.1" customHeight="1"/>
    <row r="20" ht="17.1" customHeight="1"/>
    <row r="21" ht="17.1" customHeight="1"/>
    <row r="22" ht="17.1" customHeight="1"/>
    <row r="23" ht="17.1" customHeight="1"/>
    <row r="24" ht="17.1" customHeight="1"/>
    <row r="25" ht="17.1" customHeight="1"/>
    <row r="26" ht="17.1" customHeight="1"/>
    <row r="27" ht="17.1" customHeight="1"/>
    <row r="28" ht="17.1" customHeight="1"/>
    <row r="29" ht="17.1" customHeight="1"/>
    <row r="30" ht="17.1" customHeight="1"/>
    <row r="31" ht="17.1" customHeight="1"/>
    <row r="32" ht="17.1" customHeight="1"/>
    <row r="33" ht="17.1" customHeight="1"/>
    <row r="34" ht="17.1" customHeight="1"/>
    <row r="35" ht="17.1" customHeight="1"/>
    <row r="36" ht="17.1" customHeight="1"/>
    <row r="37" ht="17.1" customHeight="1"/>
    <row r="38" ht="17.1" customHeight="1"/>
    <row r="39" ht="17.1" customHeight="1"/>
    <row r="40" ht="17.1" customHeight="1"/>
    <row r="41" ht="17.1" customHeight="1"/>
    <row r="42" ht="17.1" customHeight="1"/>
    <row r="43" ht="17.1" customHeight="1"/>
    <row r="44" ht="17.1" customHeight="1"/>
    <row r="45" ht="17.1" customHeight="1"/>
    <row r="46" ht="17.1" customHeight="1"/>
    <row r="47" ht="17.1" customHeight="1"/>
    <row r="48" ht="17.1" customHeight="1"/>
    <row r="49" ht="17.1" customHeight="1"/>
    <row r="50" ht="17.1" customHeight="1"/>
    <row r="51" ht="17.1" customHeight="1"/>
    <row r="52" ht="17.1" customHeight="1"/>
    <row r="53" ht="17.1" customHeight="1"/>
    <row r="54" ht="17.1" customHeight="1"/>
    <row r="55" ht="17.1" customHeight="1"/>
    <row r="56" ht="17.1" customHeight="1"/>
    <row r="57" ht="17.1" customHeight="1"/>
    <row r="58" ht="17.1" customHeight="1"/>
    <row r="59" ht="17.1" customHeight="1"/>
    <row r="60" ht="17.1" customHeight="1"/>
    <row r="61" ht="17.1" customHeight="1"/>
    <row r="62" ht="17.1" customHeight="1"/>
    <row r="63" ht="17.1" customHeight="1"/>
    <row r="64" ht="17.1" customHeight="1"/>
    <row r="65" ht="17.1" customHeight="1"/>
    <row r="66" ht="17.1" customHeight="1"/>
    <row r="67" ht="17.1" customHeight="1"/>
    <row r="68" ht="17.1" customHeight="1"/>
    <row r="69" ht="17.1" customHeight="1"/>
    <row r="70" ht="17.1" customHeight="1"/>
    <row r="71" ht="17.1" customHeight="1"/>
    <row r="72" ht="17.1" customHeight="1"/>
    <row r="73" ht="17.1" customHeight="1"/>
    <row r="74" ht="17.1" customHeight="1"/>
    <row r="75" ht="17.1" customHeight="1"/>
    <row r="76" ht="17.1" customHeight="1"/>
    <row r="77" ht="17.1" customHeight="1"/>
    <row r="78" ht="17.1" customHeight="1"/>
    <row r="79" ht="17.1" customHeight="1"/>
    <row r="80" ht="17.1" customHeight="1"/>
    <row r="81" ht="17.1" customHeight="1"/>
    <row r="82" ht="17.1" customHeight="1"/>
    <row r="83" ht="17.1" customHeight="1"/>
    <row r="84" ht="17.1" customHeight="1"/>
    <row r="85" ht="17.1" customHeight="1"/>
    <row r="86" ht="17.1" customHeight="1"/>
    <row r="87" ht="17.1" customHeight="1"/>
    <row r="88" ht="17.1" customHeight="1"/>
    <row r="89" ht="17.1" customHeight="1"/>
    <row r="90" ht="17.1" customHeight="1"/>
    <row r="91" ht="17.1" customHeight="1"/>
    <row r="92" ht="17.1" customHeight="1"/>
    <row r="93" ht="17.1" customHeight="1"/>
    <row r="94" ht="17.1" customHeight="1"/>
    <row r="95" ht="17.1" customHeight="1"/>
    <row r="96" ht="17.1" customHeight="1"/>
    <row r="97" ht="17.1" customHeight="1"/>
    <row r="98" ht="17.1" customHeight="1"/>
    <row r="99" ht="17.1" customHeight="1"/>
    <row r="100" ht="17.1" customHeight="1"/>
    <row r="101" ht="17.1" customHeight="1"/>
    <row r="102" ht="17.1" customHeight="1"/>
    <row r="103" ht="17.1" customHeight="1"/>
    <row r="104" ht="17.1" customHeight="1"/>
    <row r="105" ht="17.1" customHeight="1"/>
    <row r="106" ht="17.1" customHeight="1"/>
    <row r="107" ht="17.1" customHeight="1"/>
    <row r="108" ht="17.1" customHeight="1"/>
    <row r="109" ht="17.1" customHeight="1"/>
    <row r="110" ht="17.1" customHeight="1"/>
    <row r="111" ht="17.1" customHeight="1"/>
    <row r="112" ht="17.1" customHeight="1"/>
    <row r="113" ht="17.1" customHeight="1"/>
    <row r="114" ht="17.1" customHeight="1"/>
    <row r="115" ht="17.1" customHeight="1"/>
    <row r="116" ht="17.1" customHeight="1"/>
    <row r="117" ht="17.1" customHeight="1"/>
    <row r="118" ht="17.1" customHeight="1"/>
    <row r="119" ht="17.1" customHeight="1"/>
    <row r="120" ht="17.1" customHeight="1"/>
    <row r="121" ht="17.1" customHeight="1"/>
    <row r="122" ht="17.1" customHeight="1"/>
    <row r="123" ht="17.1" customHeight="1"/>
    <row r="124" ht="17.1" customHeight="1"/>
    <row r="125" ht="17.1" customHeight="1"/>
    <row r="126" ht="17.1" customHeight="1"/>
    <row r="127" ht="17.1" customHeight="1"/>
    <row r="128" ht="17.1" customHeight="1"/>
    <row r="129" ht="17.1" customHeight="1"/>
    <row r="130" ht="17.1" customHeight="1"/>
    <row r="131" ht="17.1" customHeight="1"/>
    <row r="132" ht="17.1" customHeight="1"/>
    <row r="133" ht="17.1" customHeight="1"/>
    <row r="134" ht="17.1" customHeight="1"/>
    <row r="135" ht="17.1" customHeight="1"/>
    <row r="136" ht="17.1" customHeight="1"/>
    <row r="137" ht="17.1" customHeight="1"/>
    <row r="138" ht="17.1" customHeight="1"/>
    <row r="139" ht="17.1" customHeight="1"/>
    <row r="140" ht="17.1" customHeight="1"/>
    <row r="141" ht="17.1" customHeight="1"/>
    <row r="142" ht="17.1" customHeight="1"/>
    <row r="143" ht="17.1" customHeight="1"/>
    <row r="144" ht="17.1" customHeight="1"/>
    <row r="145" ht="17.1" customHeight="1"/>
    <row r="146" ht="17.1" customHeight="1"/>
    <row r="147" ht="17.1" customHeight="1"/>
    <row r="148" ht="17.1" customHeight="1"/>
    <row r="149" ht="17.1" customHeight="1"/>
    <row r="150" ht="17.1" customHeight="1"/>
    <row r="151" ht="17.1" customHeight="1"/>
    <row r="152" ht="17.1" customHeight="1"/>
    <row r="153" ht="17.1" customHeight="1"/>
    <row r="154" ht="17.1" customHeight="1"/>
    <row r="155" ht="17.1" customHeight="1"/>
    <row r="156" ht="17.1" customHeight="1"/>
    <row r="157" ht="17.1" customHeight="1"/>
    <row r="158" ht="17.1" customHeight="1"/>
    <row r="159" ht="17.1" customHeight="1"/>
    <row r="160" ht="17.1" customHeight="1"/>
    <row r="161" ht="17.1" customHeight="1"/>
    <row r="162" ht="17.1" customHeight="1"/>
    <row r="163" ht="17.1" customHeight="1"/>
    <row r="164" ht="17.1" customHeight="1"/>
    <row r="165" ht="17.1" customHeight="1"/>
    <row r="166" ht="17.1" customHeight="1"/>
    <row r="167" ht="17.1" customHeight="1"/>
    <row r="168" ht="17.1" customHeight="1"/>
    <row r="169" ht="17.1" customHeight="1"/>
    <row r="170" ht="17.1" customHeight="1"/>
    <row r="171" ht="17.1" customHeight="1"/>
    <row r="172" ht="17.1" customHeight="1"/>
    <row r="173" ht="17.1" customHeight="1"/>
    <row r="174" ht="17.1" customHeight="1"/>
    <row r="175" ht="17.1" customHeight="1"/>
    <row r="176" ht="17.1" customHeight="1"/>
    <row r="177" ht="17.1" customHeight="1"/>
    <row r="178" ht="17.1" customHeight="1"/>
    <row r="179" ht="17.1" customHeight="1"/>
    <row r="180" ht="17.1" customHeight="1"/>
    <row r="181" ht="17.1" customHeight="1"/>
    <row r="182" ht="17.1" customHeight="1"/>
    <row r="183" ht="17.1" customHeight="1"/>
    <row r="184" ht="17.1" customHeight="1"/>
    <row r="185" ht="17.1" customHeight="1"/>
    <row r="186" ht="17.1" customHeight="1"/>
    <row r="187" ht="17.1" customHeight="1"/>
    <row r="188" ht="17.1" customHeight="1"/>
    <row r="189" ht="17.1" customHeight="1"/>
    <row r="190" ht="17.1" customHeight="1"/>
    <row r="191" ht="17.1" customHeight="1"/>
    <row r="192" ht="17.1" customHeight="1"/>
    <row r="193" ht="17.1" customHeight="1"/>
    <row r="194" ht="17.1" customHeight="1"/>
    <row r="195" ht="17.1" customHeight="1"/>
    <row r="196" ht="17.1" customHeight="1"/>
    <row r="197" ht="17.1" customHeight="1"/>
    <row r="198" ht="17.1" customHeight="1"/>
    <row r="199" ht="17.1" customHeight="1"/>
    <row r="200" ht="17.1" customHeight="1"/>
    <row r="201" ht="17.1" customHeight="1"/>
    <row r="202" ht="17.1" customHeight="1"/>
    <row r="203" ht="17.1" customHeight="1"/>
  </sheetData>
  <mergeCells count="1">
    <mergeCell ref="A1:N1"/>
  </mergeCells>
  <conditionalFormatting sqref="K4:K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sqref="F4:J203" showDropDown="0" showInputMessage="0" showErrorMessage="0" allowBlank="0" type="list">
      <formula1>"1,2,3,4,5"</formula1>
    </dataValidation>
    <dataValidation sqref="H4:H203" showDropDown="0" showInputMessage="0" showErrorMessage="0" allowBlank="0" type="list">
      <formula1>"1,2,3,4"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3"/>
  <sheetViews>
    <sheetView topLeftCell="D1" workbookViewId="0">
      <selection activeCell="P15" sqref="P15"/>
    </sheetView>
  </sheetViews>
  <sheetFormatPr baseColWidth="8" defaultRowHeight="14.25"/>
  <cols>
    <col width="24" customWidth="1" min="1" max="1"/>
    <col width="37.375" customWidth="1" min="2" max="2"/>
    <col width="62.5" customWidth="1" min="3" max="3"/>
    <col width="28" customWidth="1" min="4" max="4"/>
    <col width="34" customWidth="1" min="5" max="5"/>
    <col width="14" customWidth="1" min="6" max="6"/>
    <col width="12" customWidth="1" min="7" max="7"/>
    <col width="18" customWidth="1" min="8" max="8"/>
    <col width="32" customWidth="1" min="9" max="9"/>
  </cols>
  <sheetData>
    <row r="1" ht="15" customHeight="1">
      <c r="A1" s="14" t="inlineStr">
        <is>
          <t>Проверка связности: анализ → бизнес-логика → сценарии → требования → монетизация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/>
    <row r="3" ht="17.1" customHeight="1">
      <c r="A3" s="5" t="inlineStr">
        <is>
          <t>Контрольная точка</t>
        </is>
      </c>
      <c r="B3" s="5" t="inlineStr">
        <is>
          <t>Что проверяется</t>
        </is>
      </c>
      <c r="C3" s="5" t="inlineStr">
        <is>
          <t>Проверочный вопрос</t>
        </is>
      </c>
      <c r="D3" s="5" t="inlineStr">
        <is>
          <t>Источник листа</t>
        </is>
      </c>
      <c r="E3" s="5" t="inlineStr">
        <is>
          <t>Критерий прохождения</t>
        </is>
      </c>
      <c r="F3" s="5" t="inlineStr">
        <is>
          <t>Количество</t>
        </is>
      </c>
      <c r="G3" s="5" t="inlineStr">
        <is>
          <t>Порог</t>
        </is>
      </c>
      <c r="H3" s="5" t="inlineStr">
        <is>
          <t>Статус</t>
        </is>
      </c>
      <c r="I3" s="5" t="inlineStr">
        <is>
          <t>Комментарий</t>
        </is>
      </c>
    </row>
    <row r="4" ht="17.1" customHeight="1">
      <c r="A4" s="4" t="inlineStr">
        <is>
          <t>Единая доказательная база</t>
        </is>
      </c>
      <c r="B4" s="4" t="inlineStr">
        <is>
          <t>Наличие выводов анализа</t>
        </is>
      </c>
      <c r="C4" s="4" t="inlineStr">
        <is>
          <t>Есть ли перенесенные выводы из предыдущих видов анализа?</t>
        </is>
      </c>
      <c r="D4" s="4" t="inlineStr">
        <is>
          <t>Банк анализа</t>
        </is>
      </c>
      <c r="E4" s="4" t="inlineStr">
        <is>
          <t>Не менее 5 выводов</t>
        </is>
      </c>
      <c r="F4" s="8">
        <f>COUNTA('Банк анализа'!A4:A203)</f>
        <v/>
      </c>
      <c r="G4" s="4" t="n">
        <v>5</v>
      </c>
      <c r="H4" s="8">
        <f>IF(F4&gt;=G4,"Пройдено","Недостаточно")</f>
        <v/>
      </c>
      <c r="I4" s="4" t="n"/>
    </row>
    <row r="5" ht="17.1" customHeight="1">
      <c r="A5" s="4" t="inlineStr">
        <is>
          <t>Подтвержденные основания</t>
        </is>
      </c>
      <c r="B5" s="4" t="inlineStr">
        <is>
          <t>Качество доказательств</t>
        </is>
      </c>
      <c r="C5" s="4" t="inlineStr">
        <is>
          <t>Есть ли сильные основания для решений?</t>
        </is>
      </c>
      <c r="D5" s="4" t="inlineStr">
        <is>
          <t>Банк анализа</t>
        </is>
      </c>
      <c r="E5" s="4" t="inlineStr">
        <is>
          <t>Не менее 3 выводов с силой доказательства 3-4</t>
        </is>
      </c>
      <c r="F5" s="8">
        <f>COUNTIF('Банк анализа'!G4:G203,"&gt;=3")</f>
        <v/>
      </c>
      <c r="G5" s="4" t="n">
        <v>3</v>
      </c>
      <c r="H5" s="8">
        <f>IF(F5&gt;=G5,"Пройдено","Недостаточно")</f>
        <v/>
      </c>
      <c r="I5" s="4" t="n"/>
    </row>
    <row r="6" ht="17.1" customHeight="1">
      <c r="A6" s="4" t="inlineStr">
        <is>
          <t>Бизнес-логика</t>
        </is>
      </c>
      <c r="B6" s="4" t="inlineStr">
        <is>
          <t>Наличие элементов логики</t>
        </is>
      </c>
      <c r="C6" s="4" t="inlineStr">
        <is>
          <t>Сформулировано ли, за счет чего создается и монетизируется ценность?</t>
        </is>
      </c>
      <c r="D6" s="4" t="inlineStr">
        <is>
          <t>Бизнес-логика</t>
        </is>
      </c>
      <c r="E6" s="4" t="inlineStr">
        <is>
          <t>Не менее 3 элементов</t>
        </is>
      </c>
      <c r="F6" s="8">
        <f>COUNTA('Бизнес-логика'!A4:A203)</f>
        <v/>
      </c>
      <c r="G6" s="4" t="n">
        <v>3</v>
      </c>
      <c r="H6" s="8">
        <f>IF(F6&gt;=G6,"Пройдено","Недостаточно")</f>
        <v/>
      </c>
      <c r="I6" s="4" t="n"/>
    </row>
    <row r="7" ht="17.1" customHeight="1">
      <c r="A7" s="4" t="inlineStr">
        <is>
          <t>Роли и сегменты</t>
        </is>
      </c>
      <c r="B7" s="4" t="inlineStr">
        <is>
          <t>Наличие ролей</t>
        </is>
      </c>
      <c r="C7" s="4" t="inlineStr">
        <is>
          <t>Понятно ли, для кого создаются сценарии?</t>
        </is>
      </c>
      <c r="D7" s="4" t="inlineStr">
        <is>
          <t>Роли и сегменты</t>
        </is>
      </c>
      <c r="E7" s="4" t="inlineStr">
        <is>
          <t>Не менее 2 ролей</t>
        </is>
      </c>
      <c r="F7" s="8">
        <f>COUNTA('Роли и сегменты'!A4:A203)</f>
        <v/>
      </c>
      <c r="G7" s="4" t="n">
        <v>2</v>
      </c>
      <c r="H7" s="8">
        <f>IF(F7&gt;=G7,"Пройдено","Недостаточно")</f>
        <v/>
      </c>
      <c r="I7" s="4" t="n"/>
    </row>
    <row r="8" ht="17.1" customHeight="1">
      <c r="A8" s="4" t="inlineStr">
        <is>
          <t>Сценарии</t>
        </is>
      </c>
      <c r="B8" s="4" t="inlineStr">
        <is>
          <t>Наличие пользовательских сценариев</t>
        </is>
      </c>
      <c r="C8" s="4" t="inlineStr">
        <is>
          <t>Описаны ли действия пользователя от проблемы до результата?</t>
        </is>
      </c>
      <c r="D8" s="4" t="inlineStr">
        <is>
          <t>Пользовательские сценарии</t>
        </is>
      </c>
      <c r="E8" s="4" t="inlineStr">
        <is>
          <t>Не менее 5 сценариев</t>
        </is>
      </c>
      <c r="F8" s="8">
        <f>COUNTA('Пользовательские сценарии'!A4:A203)</f>
        <v/>
      </c>
      <c r="G8" s="4" t="n">
        <v>5</v>
      </c>
      <c r="H8" s="8">
        <f>IF(F8&gt;=G8,"Пройдено","Недостаточно")</f>
        <v/>
      </c>
      <c r="I8" s="4" t="n"/>
    </row>
    <row r="9" ht="17.1" customHeight="1">
      <c r="A9" s="4" t="inlineStr">
        <is>
          <t>Монетизационные сценарии</t>
        </is>
      </c>
      <c r="B9" s="4" t="inlineStr">
        <is>
          <t>Связь сценариев с доходами</t>
        </is>
      </c>
      <c r="C9" s="4" t="inlineStr">
        <is>
          <t>Есть ли сценарии, напрямую связанные с оплатой или удержанием?</t>
        </is>
      </c>
      <c r="D9" s="4" t="inlineStr">
        <is>
          <t>Пользовательские сценарии</t>
        </is>
      </c>
      <c r="E9" s="4" t="inlineStr">
        <is>
          <t>Не менее 1 монетизационного сценария</t>
        </is>
      </c>
      <c r="F9" s="8">
        <f>COUNTIF('Пользовательские сценарии'!E4:E203,"Монетизационный")</f>
        <v/>
      </c>
      <c r="G9" s="4" t="n">
        <v>1</v>
      </c>
      <c r="H9" s="8">
        <f>IF(F9&gt;=G9,"Пройдено","Недостаточно")</f>
        <v/>
      </c>
      <c r="I9" s="4" t="n"/>
    </row>
    <row r="10" ht="17.1" customHeight="1">
      <c r="A10" s="4" t="inlineStr">
        <is>
          <t>Требования</t>
        </is>
      </c>
      <c r="B10" s="4" t="inlineStr">
        <is>
          <t>Перевод сценариев в функции</t>
        </is>
      </c>
      <c r="C10" s="4" t="inlineStr">
        <is>
          <t>Есть ли функциональные требования, выведенные из сценариев?</t>
        </is>
      </c>
      <c r="D10" s="4" t="inlineStr">
        <is>
          <t>Функциональные требования</t>
        </is>
      </c>
      <c r="E10" s="4" t="inlineStr">
        <is>
          <t>Не менее 5 требований</t>
        </is>
      </c>
      <c r="F10" s="8">
        <f>COUNTA('Функциональные требования'!A4:A203)</f>
        <v/>
      </c>
      <c r="G10" s="4" t="n">
        <v>5</v>
      </c>
      <c r="H10" s="8">
        <f>IF(F10&gt;=G10,"Пройдено","Недостаточно")</f>
        <v/>
      </c>
      <c r="I10" s="4" t="n"/>
    </row>
    <row r="11" ht="17.1" customHeight="1">
      <c r="A11" s="4" t="inlineStr">
        <is>
          <t>MVP</t>
        </is>
      </c>
      <c r="B11" s="4" t="inlineStr">
        <is>
          <t>Фокус первой версии</t>
        </is>
      </c>
      <c r="C11" s="4" t="inlineStr">
        <is>
          <t>Есть ли требования, рекомендованные в первую версию?</t>
        </is>
      </c>
      <c r="D11" s="4" t="inlineStr">
        <is>
          <t>Функциональные требования</t>
        </is>
      </c>
      <c r="E11" s="4" t="inlineStr">
        <is>
          <t>Не менее 3 требований MVP</t>
        </is>
      </c>
      <c r="F11" s="8">
        <f>COUNTIF('Функциональные требования'!O4:O203,"Да")</f>
        <v/>
      </c>
      <c r="G11" s="4" t="n">
        <v>3</v>
      </c>
      <c r="H11" s="8">
        <f>IF(F11&gt;=G11,"Пройдено","Недостаточно")</f>
        <v/>
      </c>
      <c r="I11" s="4" t="n"/>
    </row>
    <row r="12" ht="17.1" customHeight="1">
      <c r="A12" s="4" t="inlineStr">
        <is>
          <t>Приоритизация</t>
        </is>
      </c>
      <c r="B12" s="4" t="inlineStr">
        <is>
          <t>Очередность реализации</t>
        </is>
      </c>
      <c r="C12" s="4" t="inlineStr">
        <is>
          <t>Определены ли инициативы и решения по ним?</t>
        </is>
      </c>
      <c r="D12" s="4" t="inlineStr">
        <is>
          <t>Приоритизация</t>
        </is>
      </c>
      <c r="E12" s="4" t="inlineStr">
        <is>
          <t>Не менее 5 инициатив</t>
        </is>
      </c>
      <c r="F12" s="8">
        <f>COUNTA(Приоритизация!A4:A203)</f>
        <v/>
      </c>
      <c r="G12" s="4" t="n">
        <v>5</v>
      </c>
      <c r="H12" s="8">
        <f>IF(F12&gt;=G12,"Пройдено","Недостаточно")</f>
        <v/>
      </c>
      <c r="I12" s="4" t="n"/>
    </row>
    <row r="13" ht="17.1" customHeight="1">
      <c r="A13" s="4" t="inlineStr">
        <is>
          <t>Общая связность</t>
        </is>
      </c>
      <c r="B13" s="4" t="inlineStr">
        <is>
          <t>Прохождение контрольных точек</t>
        </is>
      </c>
      <c r="C13" s="4" t="inlineStr">
        <is>
          <t>Прошла ли модель ключевые проверки?</t>
        </is>
      </c>
      <c r="D13" s="4" t="inlineStr">
        <is>
          <t>Связность</t>
        </is>
      </c>
      <c r="E13" s="4" t="inlineStr">
        <is>
          <t>Не менее 7 пройденных точек</t>
        </is>
      </c>
      <c r="F13" s="8">
        <f>COUNTIF(H4:H12,"Пройдено")</f>
        <v/>
      </c>
      <c r="G13" s="4" t="n">
        <v>7</v>
      </c>
      <c r="H13" s="8">
        <f>IF(F13&gt;=G13,"Пройдено","Недостаточно")</f>
        <v/>
      </c>
      <c r="I13" s="4" t="n"/>
    </row>
    <row r="14" ht="17.1" customHeight="1"/>
    <row r="15" ht="17.1" customHeight="1"/>
    <row r="16" ht="17.1" customHeight="1"/>
    <row r="17" ht="17.1" customHeight="1"/>
    <row r="18" ht="17.1" customHeight="1"/>
    <row r="19" ht="17.1" customHeight="1"/>
    <row r="20" ht="17.1" customHeight="1"/>
    <row r="21" ht="17.1" customHeight="1"/>
    <row r="22" ht="17.1" customHeight="1"/>
    <row r="23" ht="17.1" customHeight="1"/>
    <row r="24" ht="17.1" customHeight="1"/>
    <row r="25" ht="17.1" customHeight="1"/>
    <row r="26" ht="17.1" customHeight="1"/>
    <row r="27" ht="17.1" customHeight="1"/>
    <row r="28" ht="17.1" customHeight="1"/>
    <row r="29" ht="17.1" customHeight="1"/>
    <row r="30" ht="17.1" customHeight="1"/>
    <row r="31" ht="17.1" customHeight="1"/>
    <row r="32" ht="17.1" customHeight="1"/>
    <row r="33" ht="17.1" customHeight="1"/>
    <row r="34" ht="17.1" customHeight="1"/>
    <row r="35" ht="17.1" customHeight="1"/>
    <row r="36" ht="17.1" customHeight="1"/>
    <row r="37" ht="17.1" customHeight="1"/>
    <row r="38" ht="17.1" customHeight="1"/>
    <row r="39" ht="17.1" customHeight="1"/>
    <row r="40" ht="17.1" customHeight="1"/>
    <row r="41" ht="17.1" customHeight="1"/>
    <row r="42" ht="17.1" customHeight="1"/>
    <row r="43" ht="17.1" customHeight="1"/>
    <row r="44" ht="17.1" customHeight="1"/>
    <row r="45" ht="17.1" customHeight="1"/>
    <row r="46" ht="17.1" customHeight="1"/>
    <row r="47" ht="17.1" customHeight="1"/>
    <row r="48" ht="17.1" customHeight="1"/>
    <row r="49" ht="17.1" customHeight="1"/>
    <row r="50" ht="17.1" customHeight="1"/>
    <row r="51" ht="17.1" customHeight="1"/>
    <row r="52" ht="17.1" customHeight="1"/>
    <row r="53" ht="17.1" customHeight="1"/>
    <row r="54" ht="17.1" customHeight="1"/>
    <row r="55" ht="17.1" customHeight="1"/>
    <row r="56" ht="17.1" customHeight="1"/>
    <row r="57" ht="17.1" customHeight="1"/>
    <row r="58" ht="17.1" customHeight="1"/>
    <row r="59" ht="17.1" customHeight="1"/>
    <row r="60" ht="17.1" customHeight="1"/>
    <row r="61" ht="17.1" customHeight="1"/>
    <row r="62" ht="17.1" customHeight="1"/>
    <row r="63" ht="17.1" customHeight="1"/>
    <row r="64" ht="17.1" customHeight="1"/>
    <row r="65" ht="17.1" customHeight="1"/>
    <row r="66" ht="17.1" customHeight="1"/>
    <row r="67" ht="17.1" customHeight="1"/>
    <row r="68" ht="17.1" customHeight="1"/>
    <row r="69" ht="17.1" customHeight="1"/>
    <row r="70" ht="17.1" customHeight="1"/>
    <row r="71" ht="17.1" customHeight="1"/>
    <row r="72" ht="17.1" customHeight="1"/>
    <row r="73" ht="17.1" customHeight="1"/>
    <row r="74" ht="17.1" customHeight="1"/>
    <row r="75" ht="17.1" customHeight="1"/>
    <row r="76" ht="17.1" customHeight="1"/>
    <row r="77" ht="17.1" customHeight="1"/>
    <row r="78" ht="17.1" customHeight="1"/>
    <row r="79" ht="17.1" customHeight="1"/>
    <row r="80" ht="17.1" customHeight="1"/>
    <row r="81" ht="17.1" customHeight="1"/>
    <row r="82" ht="17.1" customHeight="1"/>
    <row r="83" ht="17.1" customHeight="1"/>
    <row r="84" ht="17.1" customHeight="1"/>
    <row r="85" ht="17.1" customHeight="1"/>
    <row r="86" ht="17.1" customHeight="1"/>
    <row r="87" ht="17.1" customHeight="1"/>
    <row r="88" ht="17.1" customHeight="1"/>
    <row r="89" ht="17.1" customHeight="1"/>
    <row r="90" ht="17.1" customHeight="1"/>
    <row r="91" ht="17.1" customHeight="1"/>
    <row r="92" ht="17.1" customHeight="1"/>
    <row r="93" ht="17.1" customHeight="1"/>
    <row r="94" ht="17.1" customHeight="1"/>
    <row r="95" ht="17.1" customHeight="1"/>
    <row r="96" ht="17.1" customHeight="1"/>
    <row r="97" ht="17.1" customHeight="1"/>
    <row r="98" ht="17.1" customHeight="1"/>
    <row r="99" ht="17.1" customHeight="1"/>
    <row r="100" ht="17.1" customHeight="1"/>
    <row r="101" ht="17.1" customHeight="1"/>
    <row r="102" ht="17.1" customHeight="1"/>
    <row r="103" ht="17.1" customHeight="1"/>
    <row r="104" ht="17.1" customHeight="1"/>
    <row r="105" ht="17.1" customHeight="1"/>
    <row r="106" ht="17.1" customHeight="1"/>
    <row r="107" ht="17.1" customHeight="1"/>
    <row r="108" ht="17.1" customHeight="1"/>
    <row r="109" ht="17.1" customHeight="1"/>
    <row r="110" ht="17.1" customHeight="1"/>
    <row r="111" ht="17.1" customHeight="1"/>
    <row r="112" ht="17.1" customHeight="1"/>
    <row r="113" ht="17.1" customHeight="1"/>
    <row r="114" ht="17.1" customHeight="1"/>
    <row r="115" ht="17.1" customHeight="1"/>
    <row r="116" ht="17.1" customHeight="1"/>
    <row r="117" ht="17.1" customHeight="1"/>
    <row r="118" ht="17.1" customHeight="1"/>
    <row r="119" ht="17.1" customHeight="1"/>
    <row r="120" ht="17.1" customHeight="1"/>
    <row r="121" ht="17.1" customHeight="1"/>
    <row r="122" ht="17.1" customHeight="1"/>
    <row r="123" ht="17.1" customHeight="1"/>
    <row r="124" ht="17.1" customHeight="1"/>
    <row r="125" ht="17.1" customHeight="1"/>
    <row r="126" ht="17.1" customHeight="1"/>
    <row r="127" ht="17.1" customHeight="1"/>
    <row r="128" ht="17.1" customHeight="1"/>
    <row r="129" ht="17.1" customHeight="1"/>
    <row r="130" ht="17.1" customHeight="1"/>
    <row r="131" ht="17.1" customHeight="1"/>
    <row r="132" ht="17.1" customHeight="1"/>
    <row r="133" ht="17.1" customHeight="1"/>
    <row r="134" ht="17.1" customHeight="1"/>
    <row r="135" ht="17.1" customHeight="1"/>
    <row r="136" ht="17.1" customHeight="1"/>
    <row r="137" ht="17.1" customHeight="1"/>
    <row r="138" ht="17.1" customHeight="1"/>
    <row r="139" ht="17.1" customHeight="1"/>
    <row r="140" ht="17.1" customHeight="1"/>
    <row r="141" ht="17.1" customHeight="1"/>
    <row r="142" ht="17.1" customHeight="1"/>
    <row r="143" ht="17.1" customHeight="1"/>
    <row r="144" ht="17.1" customHeight="1"/>
    <row r="145" ht="17.1" customHeight="1"/>
    <row r="146" ht="17.1" customHeight="1"/>
    <row r="147" ht="17.1" customHeight="1"/>
    <row r="148" ht="17.1" customHeight="1"/>
    <row r="149" ht="17.1" customHeight="1"/>
    <row r="150" ht="17.1" customHeight="1"/>
    <row r="151" ht="17.1" customHeight="1"/>
    <row r="152" ht="17.1" customHeight="1"/>
    <row r="153" ht="17.1" customHeight="1"/>
    <row r="154" ht="17.1" customHeight="1"/>
    <row r="155" ht="17.1" customHeight="1"/>
    <row r="156" ht="17.1" customHeight="1"/>
    <row r="157" ht="17.1" customHeight="1"/>
    <row r="158" ht="17.1" customHeight="1"/>
    <row r="159" ht="17.1" customHeight="1"/>
    <row r="160" ht="17.1" customHeight="1"/>
    <row r="161" ht="17.1" customHeight="1"/>
    <row r="162" ht="17.1" customHeight="1"/>
    <row r="163" ht="17.1" customHeight="1"/>
    <row r="164" ht="17.1" customHeight="1"/>
    <row r="165" ht="17.1" customHeight="1"/>
    <row r="166" ht="17.1" customHeight="1"/>
    <row r="167" ht="17.1" customHeight="1"/>
    <row r="168" ht="17.1" customHeight="1"/>
    <row r="169" ht="17.1" customHeight="1"/>
    <row r="170" ht="17.1" customHeight="1"/>
    <row r="171" ht="17.1" customHeight="1"/>
    <row r="172" ht="17.1" customHeight="1"/>
    <row r="173" ht="17.1" customHeight="1"/>
    <row r="174" ht="17.1" customHeight="1"/>
    <row r="175" ht="17.1" customHeight="1"/>
    <row r="176" ht="17.1" customHeight="1"/>
    <row r="177" ht="17.1" customHeight="1"/>
    <row r="178" ht="17.1" customHeight="1"/>
    <row r="179" ht="17.1" customHeight="1"/>
    <row r="180" ht="17.1" customHeight="1"/>
    <row r="181" ht="17.1" customHeight="1"/>
    <row r="182" ht="17.1" customHeight="1"/>
    <row r="183" ht="17.1" customHeight="1"/>
    <row r="184" ht="17.1" customHeight="1"/>
    <row r="185" ht="17.1" customHeight="1"/>
    <row r="186" ht="17.1" customHeight="1"/>
    <row r="187" ht="17.1" customHeight="1"/>
    <row r="188" ht="17.1" customHeight="1"/>
    <row r="189" ht="17.1" customHeight="1"/>
    <row r="190" ht="17.1" customHeight="1"/>
    <row r="191" ht="17.1" customHeight="1"/>
    <row r="192" ht="17.1" customHeight="1"/>
    <row r="193" ht="17.1" customHeight="1"/>
    <row r="194" ht="17.1" customHeight="1"/>
    <row r="195" ht="17.1" customHeight="1"/>
    <row r="196" ht="17.1" customHeight="1"/>
    <row r="197" ht="17.1" customHeight="1"/>
    <row r="198" ht="17.1" customHeight="1"/>
    <row r="199" ht="17.1" customHeight="1"/>
    <row r="200" ht="17.1" customHeight="1"/>
    <row r="201" ht="17.1" customHeight="1"/>
    <row r="202" ht="17.1" customHeight="1"/>
    <row r="203" ht="17.1" customHeight="1"/>
  </sheetData>
  <mergeCells count="1">
    <mergeCell ref="A1:I1"/>
  </mergeCells>
  <conditionalFormatting sqref="H4:H13">
    <cfRule type="expression" priority="1" dxfId="11">
      <formula>H4="Пройдено"</formula>
    </cfRule>
    <cfRule type="expression" priority="2" dxfId="10">
      <formula>H4="Недостаточно"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C31" sqref="C31"/>
    </sheetView>
  </sheetViews>
  <sheetFormatPr baseColWidth="8" defaultRowHeight="14.25"/>
  <cols>
    <col width="30.875" customWidth="1" min="1" max="1"/>
    <col width="24" customWidth="1" min="2" max="4"/>
    <col width="24" customWidth="1" min="6" max="9"/>
  </cols>
  <sheetData>
    <row r="1" ht="15" customHeight="1">
      <c r="A1" s="14" t="inlineStr">
        <is>
          <t>Дашборд готовности бизнес-логики и пользовательских сценариев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/>
    <row r="3" ht="17.1" customHeight="1">
      <c r="A3" s="15" t="inlineStr">
        <is>
          <t>Ключевые показатели</t>
        </is>
      </c>
      <c r="F3" s="15" t="inlineStr">
        <is>
          <t>Распределение сценариев и требований по приоритетам</t>
        </is>
      </c>
    </row>
    <row r="4" ht="17.1" customHeight="1">
      <c r="A4" s="5" t="inlineStr">
        <is>
          <t>Показатель</t>
        </is>
      </c>
      <c r="B4" s="5" t="inlineStr">
        <is>
          <t>Значение</t>
        </is>
      </c>
      <c r="C4" s="5" t="inlineStr">
        <is>
          <t>Единица</t>
        </is>
      </c>
      <c r="D4" s="5" t="inlineStr">
        <is>
          <t>Интерпретация</t>
        </is>
      </c>
      <c r="F4" s="5" t="inlineStr">
        <is>
          <t>Приоритет</t>
        </is>
      </c>
      <c r="G4" s="5" t="inlineStr">
        <is>
          <t>Сценарии</t>
        </is>
      </c>
      <c r="H4" s="5" t="inlineStr">
        <is>
          <t>Требования</t>
        </is>
      </c>
      <c r="I4" s="5" t="inlineStr">
        <is>
          <t>Инициативы</t>
        </is>
      </c>
    </row>
    <row r="5" ht="17.1" customHeight="1">
      <c r="A5" s="3" t="inlineStr">
        <is>
          <t>Выводов анализа</t>
        </is>
      </c>
      <c r="B5" s="8">
        <f>COUNTA('Банк анализа'!A4:A203)</f>
        <v/>
      </c>
      <c r="C5" s="3" t="inlineStr">
        <is>
          <t>шт</t>
        </is>
      </c>
      <c r="D5" s="3" t="inlineStr">
        <is>
          <t>Объем доказательной базы</t>
        </is>
      </c>
      <c r="F5" s="3" t="inlineStr">
        <is>
          <t>Критический</t>
        </is>
      </c>
      <c r="G5" s="8">
        <f>COUNTIF('Пользовательские сценарии'!S4:S203,F5)</f>
        <v/>
      </c>
      <c r="H5" s="8">
        <f>COUNTIF('Функциональные требования'!N4:N203,F5)</f>
        <v/>
      </c>
      <c r="I5" s="8">
        <f>COUNTIF(Приоритизация!L4:L203,"*"&amp;F5&amp;"*")</f>
        <v/>
      </c>
    </row>
    <row r="6" ht="17.1" customHeight="1">
      <c r="A6" s="3" t="inlineStr">
        <is>
          <t>Сильных выводов</t>
        </is>
      </c>
      <c r="B6" s="8">
        <f>COUNTIF('Банк анализа'!G4:G203,"&gt;=3")</f>
        <v/>
      </c>
      <c r="C6" s="3" t="inlineStr">
        <is>
          <t>шт</t>
        </is>
      </c>
      <c r="D6" s="3" t="inlineStr">
        <is>
          <t>Сила доказательной базы</t>
        </is>
      </c>
      <c r="F6" s="3" t="inlineStr">
        <is>
          <t>Высокий</t>
        </is>
      </c>
      <c r="G6" s="8">
        <f>COUNTIF('Пользовательские сценарии'!S4:S203,F6)</f>
        <v/>
      </c>
      <c r="H6" s="8">
        <f>COUNTIF('Функциональные требования'!N4:N203,F6)</f>
        <v/>
      </c>
      <c r="I6" s="8">
        <f>COUNTIF(Приоритизация!L4:L203,"*"&amp;F6&amp;"*")</f>
        <v/>
      </c>
    </row>
    <row r="7" ht="17.1" customHeight="1">
      <c r="A7" s="3" t="inlineStr">
        <is>
          <t>Элементов бизнес-логики</t>
        </is>
      </c>
      <c r="B7" s="8">
        <f>COUNTA('Бизнес-логика'!A4:A203)</f>
        <v/>
      </c>
      <c r="C7" s="3" t="inlineStr">
        <is>
          <t>шт</t>
        </is>
      </c>
      <c r="D7" s="3" t="inlineStr">
        <is>
          <t>Сформированность логики</t>
        </is>
      </c>
      <c r="F7" s="3" t="inlineStr">
        <is>
          <t>Средний</t>
        </is>
      </c>
      <c r="G7" s="8">
        <f>COUNTIF('Пользовательские сценарии'!S4:S203,F7)</f>
        <v/>
      </c>
      <c r="H7" s="8">
        <f>COUNTIF('Функциональные требования'!N4:N203,F7)</f>
        <v/>
      </c>
      <c r="I7" s="8">
        <f>COUNTIF(Приоритизация!L4:L203,"*"&amp;F7&amp;"*")</f>
        <v/>
      </c>
    </row>
    <row r="8" ht="17.1" customHeight="1">
      <c r="A8" s="3" t="inlineStr">
        <is>
          <t>Средний индекс надежности логики</t>
        </is>
      </c>
      <c r="B8" s="8">
        <f>IFERROR(AVERAGEIF('Бизнес-логика'!M4:M203,"&gt;0",'Бизнес-логика'!M4:M203),0)</f>
        <v/>
      </c>
      <c r="C8" s="3" t="inlineStr">
        <is>
          <t>0-1</t>
        </is>
      </c>
      <c r="D8" s="3" t="inlineStr">
        <is>
          <t>Качество связности элементов</t>
        </is>
      </c>
      <c r="F8" s="3" t="inlineStr">
        <is>
          <t>Низкий</t>
        </is>
      </c>
      <c r="G8" s="8">
        <f>COUNTIF('Пользовательские сценарии'!S4:S203,F8)</f>
        <v/>
      </c>
      <c r="H8" s="8">
        <f>COUNTIF('Функциональные требования'!N4:N203,F8)</f>
        <v/>
      </c>
      <c r="I8" s="8">
        <f>COUNTIF(Приоритизация!L4:L203,"*"&amp;F8&amp;"*")</f>
        <v/>
      </c>
    </row>
    <row r="9" ht="17.1" customHeight="1">
      <c r="A9" s="3" t="inlineStr">
        <is>
          <t>Ролей и сегментов</t>
        </is>
      </c>
      <c r="B9" s="8">
        <f>COUNTA('Роли и сегменты'!A4:A203)</f>
        <v/>
      </c>
      <c r="C9" s="3" t="inlineStr">
        <is>
          <t>шт</t>
        </is>
      </c>
      <c r="D9" s="3" t="inlineStr">
        <is>
          <t>Покрытие пользователей</t>
        </is>
      </c>
      <c r="F9" s="3" t="inlineStr">
        <is>
          <t>Отложить</t>
        </is>
      </c>
      <c r="G9" s="8">
        <f>COUNTIF('Пользовательские сценарии'!S4:S203,F9)</f>
        <v/>
      </c>
      <c r="H9" s="8">
        <f>COUNTIF('Функциональные требования'!N4:N203,F9)</f>
        <v/>
      </c>
      <c r="I9" s="8">
        <f>COUNTIF(Приоритизация!L4:L203,"*"&amp;F9&amp;"*")</f>
        <v/>
      </c>
    </row>
    <row r="10" ht="17.1" customHeight="1">
      <c r="A10" s="3" t="inlineStr">
        <is>
          <t>Пользовательских сценариев</t>
        </is>
      </c>
      <c r="B10" s="8">
        <f>COUNTA('Пользовательские сценарии'!A4:A203)</f>
        <v/>
      </c>
      <c r="C10" s="3" t="inlineStr">
        <is>
          <t>шт</t>
        </is>
      </c>
      <c r="D10" s="3" t="inlineStr">
        <is>
          <t>Полнота сценарной модели</t>
        </is>
      </c>
    </row>
    <row r="11" ht="17.1" customHeight="1">
      <c r="A11" s="3" t="inlineStr">
        <is>
          <t>Критических и высоких сценариев</t>
        </is>
      </c>
      <c r="B11" s="8">
        <f>COUNTIF('Пользовательские сценарии'!S4:S203,"Критический")+COUNTIF('Пользовательские сценарии'!S4:S203,"Высокий")</f>
        <v/>
      </c>
      <c r="C11" s="3" t="inlineStr">
        <is>
          <t>шт</t>
        </is>
      </c>
      <c r="D11" s="3" t="inlineStr">
        <is>
          <t>Фокус для проектирования</t>
        </is>
      </c>
    </row>
    <row r="12" ht="17.1" customHeight="1">
      <c r="A12" s="3" t="inlineStr">
        <is>
          <t>Функциональных требований</t>
        </is>
      </c>
      <c r="B12" s="8">
        <f>COUNTA('Функциональные требования'!A4:A203)</f>
        <v/>
      </c>
      <c r="C12" s="3" t="inlineStr">
        <is>
          <t>шт</t>
        </is>
      </c>
      <c r="D12" s="3" t="inlineStr">
        <is>
          <t>Перевод сценариев в продукт</t>
        </is>
      </c>
      <c r="F12" s="15" t="inlineStr">
        <is>
          <t>Контрольные точки связности</t>
        </is>
      </c>
    </row>
    <row r="13" ht="17.1" customHeight="1">
      <c r="A13" s="3" t="inlineStr">
        <is>
          <t>Требований MVP</t>
        </is>
      </c>
      <c r="B13" s="8">
        <f>COUNTIF('Функциональные требования'!O4:O203,"Да")</f>
        <v/>
      </c>
      <c r="C13" s="3" t="inlineStr">
        <is>
          <t>шт</t>
        </is>
      </c>
      <c r="D13" s="3" t="inlineStr">
        <is>
          <t>Состав первой версии</t>
        </is>
      </c>
      <c r="F13" s="5" t="inlineStr">
        <is>
          <t>Контрольная точка</t>
        </is>
      </c>
      <c r="G13" s="5" t="inlineStr">
        <is>
          <t>Количество</t>
        </is>
      </c>
      <c r="H13" s="5" t="inlineStr">
        <is>
          <t>Порог</t>
        </is>
      </c>
      <c r="I13" s="5" t="inlineStr">
        <is>
          <t>Статус</t>
        </is>
      </c>
    </row>
    <row r="14" ht="17.1" customHeight="1">
      <c r="A14" s="3" t="inlineStr">
        <is>
          <t>Пройденных контрольных точек</t>
        </is>
      </c>
      <c r="B14" s="8">
        <f>COUNTIF(Связность!H4:H13,"Пройдено")</f>
        <v/>
      </c>
      <c r="C14" s="3" t="inlineStr">
        <is>
          <t>из 10</t>
        </is>
      </c>
      <c r="D14" s="3" t="inlineStr">
        <is>
          <t>Общая проверка</t>
        </is>
      </c>
      <c r="F14" s="3">
        <f>Связность!A4</f>
        <v/>
      </c>
      <c r="G14" s="8">
        <f>Связность!F4</f>
        <v/>
      </c>
      <c r="H14" s="8">
        <f>Связность!G4</f>
        <v/>
      </c>
      <c r="I14" s="8">
        <f>Связность!H4</f>
        <v/>
      </c>
    </row>
    <row r="15" ht="17.1" customHeight="1">
      <c r="A15" s="3" t="inlineStr">
        <is>
          <t>Индекс готовности</t>
        </is>
      </c>
      <c r="B15" s="9">
        <f>IFERROR(COUNTIF(Связность!H4:H13,"Пройдено")/10,0)</f>
        <v/>
      </c>
      <c r="C15" s="3" t="inlineStr">
        <is>
          <t>%</t>
        </is>
      </c>
      <c r="D15" s="3" t="inlineStr">
        <is>
          <t>Итоговая готовность</t>
        </is>
      </c>
      <c r="F15" s="3">
        <f>Связность!A5</f>
        <v/>
      </c>
      <c r="G15" s="8">
        <f>Связность!F5</f>
        <v/>
      </c>
      <c r="H15" s="8">
        <f>Связность!G5</f>
        <v/>
      </c>
      <c r="I15" s="8">
        <f>Связность!H5</f>
        <v/>
      </c>
    </row>
    <row r="16" ht="17.1" customHeight="1">
      <c r="F16" s="3">
        <f>Связность!A6</f>
        <v/>
      </c>
      <c r="G16" s="8">
        <f>Связность!F6</f>
        <v/>
      </c>
      <c r="H16" s="8">
        <f>Связность!G6</f>
        <v/>
      </c>
      <c r="I16" s="8">
        <f>Связность!H6</f>
        <v/>
      </c>
    </row>
    <row r="17" ht="17.1" customHeight="1">
      <c r="F17" s="3">
        <f>Связность!A7</f>
        <v/>
      </c>
      <c r="G17" s="8">
        <f>Связность!F7</f>
        <v/>
      </c>
      <c r="H17" s="8">
        <f>Связность!G7</f>
        <v/>
      </c>
      <c r="I17" s="8">
        <f>Связность!H7</f>
        <v/>
      </c>
    </row>
    <row r="18" ht="17.1" customHeight="1">
      <c r="A18" s="15" t="inlineStr">
        <is>
          <t>Итоговая интерпретация</t>
        </is>
      </c>
      <c r="F18" s="3">
        <f>Связность!A8</f>
        <v/>
      </c>
      <c r="G18" s="8">
        <f>Связность!F8</f>
        <v/>
      </c>
      <c r="H18" s="8">
        <f>Связность!G8</f>
        <v/>
      </c>
      <c r="I18" s="8">
        <f>Связность!H8</f>
        <v/>
      </c>
    </row>
    <row r="19" ht="17.1" customHeight="1">
      <c r="A19" s="3" t="inlineStr">
        <is>
          <t>Индекс готовности менее 50%</t>
        </is>
      </c>
      <c r="B19" s="3" t="inlineStr">
        <is>
          <t>Модель неполная: сначала усилить доказательную базу, роли и сценарии</t>
        </is>
      </c>
      <c r="C19" s="3" t="n"/>
      <c r="D19" s="3" t="n"/>
      <c r="F19" s="3">
        <f>Связность!A9</f>
        <v/>
      </c>
      <c r="G19" s="8">
        <f>Связность!F9</f>
        <v/>
      </c>
      <c r="H19" s="8">
        <f>Связность!G9</f>
        <v/>
      </c>
      <c r="I19" s="8">
        <f>Связность!H9</f>
        <v/>
      </c>
    </row>
    <row r="20" ht="17.1" customHeight="1">
      <c r="A20" s="3" t="inlineStr">
        <is>
          <t>Индекс готовности 50–79%</t>
        </is>
      </c>
      <c r="B20" s="3" t="inlineStr">
        <is>
          <t>Модель рабочая, но требует проверки слабых связей и уточнения монетизационных сценариев</t>
        </is>
      </c>
      <c r="C20" s="3" t="n"/>
      <c r="D20" s="3" t="n"/>
      <c r="F20" s="3">
        <f>Связность!A10</f>
        <v/>
      </c>
      <c r="G20" s="8">
        <f>Связность!F10</f>
        <v/>
      </c>
      <c r="H20" s="8">
        <f>Связность!G10</f>
        <v/>
      </c>
      <c r="I20" s="8">
        <f>Связность!H10</f>
        <v/>
      </c>
    </row>
    <row r="21" ht="17.1" customHeight="1">
      <c r="A21" s="3" t="inlineStr">
        <is>
          <t>Индекс готовности 80–100%</t>
        </is>
      </c>
      <c r="B21" s="3" t="inlineStr">
        <is>
          <t>Модель готова к переводу в техническое задание, прототипирование и план первой версии</t>
        </is>
      </c>
      <c r="C21" s="3" t="n"/>
      <c r="D21" s="3" t="n"/>
      <c r="F21" s="3">
        <f>Связность!A11</f>
        <v/>
      </c>
      <c r="G21" s="8">
        <f>Связность!F11</f>
        <v/>
      </c>
      <c r="H21" s="8">
        <f>Связность!G11</f>
        <v/>
      </c>
      <c r="I21" s="8">
        <f>Связность!H11</f>
        <v/>
      </c>
    </row>
    <row r="22" ht="17.1" customHeight="1">
      <c r="A22" s="3" t="inlineStr">
        <is>
          <t>Главный риск</t>
        </is>
      </c>
      <c r="B22" s="3" t="inlineStr">
        <is>
          <t>Сценарии без связи с проблемой, товаром или единицей монетизации не должны попадать в первую версию</t>
        </is>
      </c>
      <c r="C22" s="3" t="n"/>
      <c r="D22" s="3" t="n"/>
      <c r="F22" s="3">
        <f>Связность!A12</f>
        <v/>
      </c>
      <c r="G22" s="8">
        <f>Связность!F12</f>
        <v/>
      </c>
      <c r="H22" s="8">
        <f>Связность!G12</f>
        <v/>
      </c>
      <c r="I22" s="8">
        <f>Связность!H12</f>
        <v/>
      </c>
    </row>
    <row r="23" ht="17.1" customHeight="1">
      <c r="A23" s="3" t="inlineStr">
        <is>
          <t>Главное правило</t>
        </is>
      </c>
      <c r="B23" s="3" t="inlineStr">
        <is>
          <t>Функция включается в продукт только если она поддерживает ценность, сценарий или монетизацию</t>
        </is>
      </c>
      <c r="C23" s="3" t="n"/>
      <c r="D23" s="3" t="n"/>
      <c r="F23" s="3">
        <f>Связность!A13</f>
        <v/>
      </c>
      <c r="G23" s="8">
        <f>Связность!F13</f>
        <v/>
      </c>
      <c r="H23" s="8">
        <f>Связность!G13</f>
        <v/>
      </c>
      <c r="I23" s="8">
        <f>Связность!H13</f>
        <v/>
      </c>
    </row>
    <row r="24" ht="17.1" customHeight="1"/>
    <row r="25" ht="17.1" customHeight="1"/>
    <row r="26" ht="17.1" customHeight="1"/>
    <row r="27" ht="17.1" customHeight="1"/>
    <row r="28" ht="17.1" customHeight="1"/>
    <row r="29" ht="17.1" customHeight="1"/>
    <row r="30" ht="17.1" customHeight="1"/>
    <row r="31" ht="17.1" customHeight="1"/>
    <row r="32" ht="17.1" customHeight="1"/>
    <row r="33" ht="17.1" customHeight="1"/>
    <row r="34" ht="17.1" customHeight="1"/>
    <row r="35" ht="17.1" customHeight="1"/>
    <row r="36" ht="17.1" customHeight="1"/>
    <row r="37" ht="17.1" customHeight="1"/>
    <row r="38" ht="17.1" customHeight="1"/>
    <row r="39" ht="17.1" customHeight="1"/>
    <row r="40" ht="17.1" customHeight="1"/>
    <row r="41" ht="17.1" customHeight="1"/>
    <row r="42" ht="17.1" customHeight="1"/>
    <row r="43" ht="17.1" customHeight="1"/>
    <row r="44" ht="17.1" customHeight="1"/>
    <row r="45" ht="17.1" customHeight="1"/>
    <row r="46" ht="17.1" customHeight="1"/>
    <row r="47" ht="17.1" customHeight="1"/>
    <row r="48" ht="17.1" customHeight="1"/>
    <row r="49" ht="17.1" customHeight="1"/>
    <row r="50" ht="17.1" customHeight="1"/>
    <row r="51" ht="17.1" customHeight="1"/>
    <row r="52" ht="17.1" customHeight="1"/>
    <row r="53" ht="17.1" customHeight="1"/>
    <row r="54" ht="17.1" customHeight="1"/>
    <row r="55" ht="17.1" customHeight="1"/>
    <row r="56" ht="17.1" customHeight="1"/>
    <row r="57" ht="17.1" customHeight="1"/>
    <row r="58" ht="17.1" customHeight="1"/>
    <row r="59" ht="17.1" customHeight="1"/>
    <row r="60" ht="17.1" customHeight="1"/>
    <row r="61" ht="17.1" customHeight="1"/>
    <row r="62" ht="17.1" customHeight="1"/>
    <row r="63" ht="17.1" customHeight="1"/>
    <row r="64" ht="17.1" customHeight="1"/>
    <row r="65" ht="17.1" customHeight="1"/>
    <row r="66" ht="17.1" customHeight="1"/>
    <row r="67" ht="17.1" customHeight="1"/>
    <row r="68" ht="17.1" customHeight="1"/>
    <row r="69" ht="17.1" customHeight="1"/>
    <row r="70" ht="17.1" customHeight="1"/>
    <row r="71" ht="17.1" customHeight="1"/>
    <row r="72" ht="17.1" customHeight="1"/>
    <row r="73" ht="17.1" customHeight="1"/>
    <row r="74" ht="17.1" customHeight="1"/>
    <row r="75" ht="17.1" customHeight="1"/>
    <row r="76" ht="17.1" customHeight="1"/>
    <row r="77" ht="17.1" customHeight="1"/>
    <row r="78" ht="17.1" customHeight="1"/>
    <row r="79" ht="17.1" customHeight="1"/>
    <row r="80" ht="17.1" customHeight="1"/>
    <row r="81" ht="17.1" customHeight="1"/>
    <row r="82" ht="17.1" customHeight="1"/>
    <row r="83" ht="17.1" customHeight="1"/>
    <row r="84" ht="17.1" customHeight="1"/>
    <row r="85" ht="17.1" customHeight="1"/>
    <row r="86" ht="17.1" customHeight="1"/>
    <row r="87" ht="17.1" customHeight="1"/>
    <row r="88" ht="17.1" customHeight="1"/>
    <row r="89" ht="17.1" customHeight="1"/>
    <row r="90" ht="17.1" customHeight="1"/>
    <row r="91" ht="17.1" customHeight="1"/>
    <row r="92" ht="17.1" customHeight="1"/>
    <row r="93" ht="17.1" customHeight="1"/>
    <row r="94" ht="17.1" customHeight="1"/>
    <row r="95" ht="17.1" customHeight="1"/>
    <row r="96" ht="17.1" customHeight="1"/>
    <row r="97" ht="17.1" customHeight="1"/>
    <row r="98" ht="17.1" customHeight="1"/>
    <row r="99" ht="17.1" customHeight="1"/>
    <row r="100" ht="17.1" customHeight="1"/>
    <row r="101" ht="17.1" customHeight="1"/>
    <row r="102" ht="17.1" customHeight="1"/>
    <row r="103" ht="17.1" customHeight="1"/>
    <row r="104" ht="17.1" customHeight="1"/>
    <row r="105" ht="17.1" customHeight="1"/>
    <row r="106" ht="17.1" customHeight="1"/>
    <row r="107" ht="17.1" customHeight="1"/>
    <row r="108" ht="17.1" customHeight="1"/>
    <row r="109" ht="17.1" customHeight="1"/>
    <row r="110" ht="17.1" customHeight="1"/>
    <row r="111" ht="17.1" customHeight="1"/>
    <row r="112" ht="17.1" customHeight="1"/>
    <row r="113" ht="17.1" customHeight="1"/>
    <row r="114" ht="17.1" customHeight="1"/>
    <row r="115" ht="17.1" customHeight="1"/>
    <row r="116" ht="17.1" customHeight="1"/>
    <row r="117" ht="17.1" customHeight="1"/>
    <row r="118" ht="17.1" customHeight="1"/>
    <row r="119" ht="17.1" customHeight="1"/>
    <row r="120" ht="17.1" customHeight="1"/>
    <row r="121" ht="17.1" customHeight="1"/>
    <row r="122" ht="17.1" customHeight="1"/>
    <row r="123" ht="17.1" customHeight="1"/>
    <row r="124" ht="17.1" customHeight="1"/>
    <row r="125" ht="17.1" customHeight="1"/>
    <row r="126" ht="17.1" customHeight="1"/>
    <row r="127" ht="17.1" customHeight="1"/>
    <row r="128" ht="17.1" customHeight="1"/>
    <row r="129" ht="17.1" customHeight="1"/>
    <row r="130" ht="17.1" customHeight="1"/>
    <row r="131" ht="17.1" customHeight="1"/>
    <row r="132" ht="17.1" customHeight="1"/>
    <row r="133" ht="17.1" customHeight="1"/>
    <row r="134" ht="17.1" customHeight="1"/>
    <row r="135" ht="17.1" customHeight="1"/>
    <row r="136" ht="17.1" customHeight="1"/>
    <row r="137" ht="17.1" customHeight="1"/>
    <row r="138" ht="17.1" customHeight="1"/>
    <row r="139" ht="17.1" customHeight="1"/>
    <row r="140" ht="17.1" customHeight="1"/>
    <row r="141" ht="17.1" customHeight="1"/>
    <row r="142" ht="17.1" customHeight="1"/>
    <row r="143" ht="17.1" customHeight="1"/>
    <row r="144" ht="17.1" customHeight="1"/>
    <row r="145" ht="17.1" customHeight="1"/>
    <row r="146" ht="17.1" customHeight="1"/>
    <row r="147" ht="17.1" customHeight="1"/>
    <row r="148" ht="17.1" customHeight="1"/>
    <row r="149" ht="17.1" customHeight="1"/>
    <row r="150" ht="17.1" customHeight="1"/>
    <row r="151" ht="17.1" customHeight="1"/>
    <row r="152" ht="17.1" customHeight="1"/>
    <row r="153" ht="17.1" customHeight="1"/>
    <row r="154" ht="17.1" customHeight="1"/>
    <row r="155" ht="17.1" customHeight="1"/>
    <row r="156" ht="17.1" customHeight="1"/>
    <row r="157" ht="17.1" customHeight="1"/>
    <row r="158" ht="17.1" customHeight="1"/>
    <row r="159" ht="17.1" customHeight="1"/>
    <row r="160" ht="17.1" customHeight="1"/>
    <row r="161" ht="17.1" customHeight="1"/>
    <row r="162" ht="17.1" customHeight="1"/>
    <row r="163" ht="17.1" customHeight="1"/>
    <row r="164" ht="17.1" customHeight="1"/>
    <row r="165" ht="17.1" customHeight="1"/>
    <row r="166" ht="17.1" customHeight="1"/>
    <row r="167" ht="17.1" customHeight="1"/>
    <row r="168" ht="17.1" customHeight="1"/>
    <row r="169" ht="17.1" customHeight="1"/>
    <row r="170" ht="17.1" customHeight="1"/>
    <row r="171" ht="17.1" customHeight="1"/>
    <row r="172" ht="17.1" customHeight="1"/>
    <row r="173" ht="17.1" customHeight="1"/>
    <row r="174" ht="17.1" customHeight="1"/>
    <row r="175" ht="17.1" customHeight="1"/>
    <row r="176" ht="17.1" customHeight="1"/>
    <row r="177" ht="17.1" customHeight="1"/>
    <row r="178" ht="17.1" customHeight="1"/>
    <row r="179" ht="17.1" customHeight="1"/>
    <row r="180" ht="17.1" customHeight="1"/>
    <row r="181" ht="17.1" customHeight="1"/>
    <row r="182" ht="17.1" customHeight="1"/>
    <row r="183" ht="17.1" customHeight="1"/>
    <row r="184" ht="17.1" customHeight="1"/>
    <row r="185" ht="17.1" customHeight="1"/>
    <row r="186" ht="17.1" customHeight="1"/>
    <row r="187" ht="17.1" customHeight="1"/>
    <row r="188" ht="17.1" customHeight="1"/>
    <row r="189" ht="17.1" customHeight="1"/>
    <row r="190" ht="17.1" customHeight="1"/>
    <row r="191" ht="17.1" customHeight="1"/>
    <row r="192" ht="17.1" customHeight="1"/>
    <row r="193" ht="17.1" customHeight="1"/>
    <row r="194" ht="17.1" customHeight="1"/>
    <row r="195" ht="17.1" customHeight="1"/>
    <row r="196" ht="17.1" customHeight="1"/>
    <row r="197" ht="17.1" customHeight="1"/>
    <row r="198" ht="17.1" customHeight="1"/>
    <row r="199" ht="17.1" customHeight="1"/>
    <row r="200" ht="17.1" customHeight="1"/>
    <row r="201" ht="17.1" customHeight="1"/>
    <row r="202" ht="17.1" customHeight="1"/>
    <row r="203" ht="17.1" customHeight="1"/>
  </sheetData>
  <mergeCells count="5">
    <mergeCell ref="A18:D18"/>
    <mergeCell ref="F3:I3"/>
    <mergeCell ref="A1:L1"/>
    <mergeCell ref="A3:D3"/>
    <mergeCell ref="F12:I12"/>
  </mergeCells>
  <conditionalFormatting sqref="I14:I23">
    <cfRule type="expression" priority="1" dxfId="11">
      <formula>I14="Пройдено"</formula>
    </cfRule>
    <cfRule type="expression" priority="2" dxfId="10">
      <formula>I14="Недостаточно"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0"/>
  <sheetViews>
    <sheetView topLeftCell="A28" workbookViewId="0">
      <selection activeCell="E21" sqref="E21"/>
    </sheetView>
  </sheetViews>
  <sheetFormatPr baseColWidth="8" defaultRowHeight="14.25"/>
  <cols>
    <col width="22" customWidth="1" min="1" max="6"/>
    <col width="28" customWidth="1" min="7" max="7"/>
    <col width="28" customWidth="1" min="10" max="10"/>
  </cols>
  <sheetData>
    <row r="1" ht="15" customHeight="1">
      <c r="A1" s="14" t="inlineStr">
        <is>
          <t>Справочники для выпадающих списков и шкал оценки</t>
        </is>
      </c>
    </row>
    <row r="2"/>
    <row r="3" ht="17.1" customHeight="1">
      <c r="A3" s="1" t="inlineStr">
        <is>
          <t>Источник анализа</t>
        </is>
      </c>
      <c r="D3" s="1" t="inlineStr">
        <is>
          <t>Блок Канвас</t>
        </is>
      </c>
      <c r="G3" s="1" t="inlineStr">
        <is>
          <t>Уровень доказательности</t>
        </is>
      </c>
      <c r="J3" s="1" t="inlineStr">
        <is>
          <t>Роль пользователя</t>
        </is>
      </c>
    </row>
    <row r="4" ht="17.1" customHeight="1">
      <c r="A4" s="3" t="inlineStr">
        <is>
          <t>Анализ проблем клиентов</t>
        </is>
      </c>
      <c r="D4" s="3" t="inlineStr">
        <is>
          <t>Потребительские сегменты</t>
        </is>
      </c>
      <c r="G4" s="3" t="inlineStr">
        <is>
          <t>1 — слабый сигнал</t>
        </is>
      </c>
      <c r="J4" s="3" t="inlineStr">
        <is>
          <t>Посетитель</t>
        </is>
      </c>
    </row>
    <row r="5" ht="17.1" customHeight="1">
      <c r="A5" s="3" t="inlineStr">
        <is>
          <t>Анализ отзывов</t>
        </is>
      </c>
      <c r="D5" s="3" t="inlineStr">
        <is>
          <t>Ценностные предложения</t>
        </is>
      </c>
      <c r="G5" s="3" t="inlineStr">
        <is>
          <t>2 — частично подтверждено</t>
        </is>
      </c>
      <c r="J5" s="3" t="inlineStr">
        <is>
          <t>Потенциальный клиент</t>
        </is>
      </c>
    </row>
    <row r="6" ht="17.1" customHeight="1">
      <c r="A6" s="3" t="inlineStr">
        <is>
          <t>Анализ конкурентов по сайтам</t>
        </is>
      </c>
      <c r="D6" s="3" t="inlineStr">
        <is>
          <t>Каналы</t>
        </is>
      </c>
      <c r="G6" s="3" t="inlineStr">
        <is>
          <t>3 — подтверждено несколькими источниками</t>
        </is>
      </c>
      <c r="J6" s="3" t="inlineStr">
        <is>
          <t>Новый пользователь</t>
        </is>
      </c>
    </row>
    <row r="7" ht="17.1" customHeight="1">
      <c r="A7" s="3" t="inlineStr">
        <is>
          <t>Анализ бизнес-моделей конкурентов</t>
        </is>
      </c>
      <c r="D7" s="3" t="inlineStr">
        <is>
          <t>Отношения с клиентами</t>
        </is>
      </c>
      <c r="G7" s="3" t="inlineStr">
        <is>
          <t>4 — проверенное основание</t>
        </is>
      </c>
      <c r="J7" s="3" t="inlineStr">
        <is>
          <t>Активный пользователь</t>
        </is>
      </c>
    </row>
    <row r="8" ht="17.1" customHeight="1">
      <c r="A8" s="3" t="inlineStr">
        <is>
          <t>Классификация компаний по уровням конкуренции</t>
        </is>
      </c>
      <c r="D8" s="3" t="inlineStr">
        <is>
          <t>Потоки доходов</t>
        </is>
      </c>
      <c r="J8" s="3" t="inlineStr">
        <is>
          <t>Платящий клиент</t>
        </is>
      </c>
    </row>
    <row r="9" ht="17.1" customHeight="1">
      <c r="A9" s="3" t="inlineStr">
        <is>
          <t>Анализ цифрового товара и рыночного стандарта</t>
        </is>
      </c>
      <c r="D9" s="3" t="inlineStr">
        <is>
          <t>Ключевые ресурсы</t>
        </is>
      </c>
      <c r="J9" s="3" t="inlineStr">
        <is>
          <t>Администратор клиента</t>
        </is>
      </c>
    </row>
    <row r="10" ht="17.1" customHeight="1">
      <c r="A10" s="3" t="inlineStr">
        <is>
          <t>Ценностное предложение и цифровой товар</t>
        </is>
      </c>
      <c r="D10" s="3" t="inlineStr">
        <is>
          <t>Ключевые виды деятельности</t>
        </is>
      </c>
      <c r="J10" s="3" t="inlineStr">
        <is>
          <t>Менеджер/оператор</t>
        </is>
      </c>
    </row>
    <row r="11" ht="17.1" customHeight="1">
      <c r="A11" s="3" t="inlineStr">
        <is>
          <t>Канвас бизнес-модели</t>
        </is>
      </c>
      <c r="D11" s="3" t="inlineStr">
        <is>
          <t>Ключевые партнеры</t>
        </is>
      </c>
      <c r="J11" s="3" t="inlineStr">
        <is>
          <t>Партнер</t>
        </is>
      </c>
    </row>
    <row r="12" ht="17.1" customHeight="1">
      <c r="A12" s="3" t="inlineStr">
        <is>
          <t>Экономика монетизации</t>
        </is>
      </c>
      <c r="D12" s="3" t="inlineStr">
        <is>
          <t>Структура затрат</t>
        </is>
      </c>
      <c r="J12" s="3" t="inlineStr">
        <is>
          <t>Внутренний администратор</t>
        </is>
      </c>
    </row>
    <row r="13" ht="17.1" customHeight="1">
      <c r="A13" s="3" t="inlineStr">
        <is>
          <t>Проверка пользовательских сценариев</t>
        </is>
      </c>
    </row>
    <row r="14" ht="17.1" customHeight="1"/>
    <row r="15" ht="17.1" customHeight="1"/>
    <row r="16" ht="17.1" customHeight="1"/>
    <row r="17" ht="17.1" customHeight="1">
      <c r="A17" s="1" t="inlineStr">
        <is>
          <t>Этап сценария</t>
        </is>
      </c>
      <c r="D17" s="1" t="inlineStr">
        <is>
          <t>Тип сценария</t>
        </is>
      </c>
      <c r="G17" s="1" t="inlineStr">
        <is>
          <t>Приоритет</t>
        </is>
      </c>
      <c r="J17" s="1" t="inlineStr">
        <is>
          <t>Статус</t>
        </is>
      </c>
    </row>
    <row r="18" ht="17.1" customHeight="1">
      <c r="A18" s="3" t="inlineStr">
        <is>
          <t>Привлечение</t>
        </is>
      </c>
      <c r="D18" s="3" t="inlineStr">
        <is>
          <t>Основной</t>
        </is>
      </c>
      <c r="G18" s="3" t="inlineStr">
        <is>
          <t>Критический</t>
        </is>
      </c>
      <c r="J18" s="3" t="inlineStr">
        <is>
          <t>Черновик</t>
        </is>
      </c>
    </row>
    <row r="19" ht="17.1" customHeight="1">
      <c r="A19" s="3" t="inlineStr">
        <is>
          <t>Первичный интерес</t>
        </is>
      </c>
      <c r="D19" s="3" t="inlineStr">
        <is>
          <t>Вспомогательный</t>
        </is>
      </c>
      <c r="G19" s="3" t="inlineStr">
        <is>
          <t>Высокий</t>
        </is>
      </c>
      <c r="J19" s="3" t="inlineStr">
        <is>
          <t>Требует проверки</t>
        </is>
      </c>
    </row>
    <row r="20" ht="17.1" customHeight="1">
      <c r="A20" s="3" t="inlineStr">
        <is>
          <t>Регистрация</t>
        </is>
      </c>
      <c r="D20" s="3" t="inlineStr">
        <is>
          <t>Монетизационный</t>
        </is>
      </c>
      <c r="G20" s="3" t="inlineStr">
        <is>
          <t>Средний</t>
        </is>
      </c>
      <c r="J20" s="3" t="inlineStr">
        <is>
          <t>Подтверждено</t>
        </is>
      </c>
    </row>
    <row r="21" ht="17.1" customHeight="1">
      <c r="A21" s="3" t="inlineStr">
        <is>
          <t>Первичная настройка</t>
        </is>
      </c>
      <c r="D21" s="3" t="inlineStr">
        <is>
          <t>Сервисный</t>
        </is>
      </c>
      <c r="G21" s="3" t="inlineStr">
        <is>
          <t>Низкий</t>
        </is>
      </c>
      <c r="J21" s="3" t="inlineStr">
        <is>
          <t>В разработку</t>
        </is>
      </c>
    </row>
    <row r="22" ht="17.1" customHeight="1">
      <c r="A22" s="3" t="inlineStr">
        <is>
          <t>Получение ценности</t>
        </is>
      </c>
      <c r="D22" s="3" t="inlineStr">
        <is>
          <t>Административный</t>
        </is>
      </c>
      <c r="G22" s="3" t="inlineStr">
        <is>
          <t>Отложить</t>
        </is>
      </c>
      <c r="J22" s="3" t="inlineStr">
        <is>
          <t>Исключено</t>
        </is>
      </c>
    </row>
    <row r="23" ht="17.1" customHeight="1">
      <c r="A23" s="3" t="inlineStr">
        <is>
          <t>Оплата</t>
        </is>
      </c>
      <c r="D23" s="3" t="inlineStr">
        <is>
          <t>Удерживающий</t>
        </is>
      </c>
    </row>
    <row r="24" ht="17.1" customHeight="1">
      <c r="A24" s="3" t="inlineStr">
        <is>
          <t>Повторное использование</t>
        </is>
      </c>
      <c r="D24" s="3" t="inlineStr">
        <is>
          <t>Партнерский</t>
        </is>
      </c>
    </row>
    <row r="25" ht="17.1" customHeight="1">
      <c r="A25" s="3" t="inlineStr">
        <is>
          <t>Поддержка</t>
        </is>
      </c>
    </row>
    <row r="26" ht="17.1" customHeight="1">
      <c r="A26" s="3" t="inlineStr">
        <is>
          <t>Удержание</t>
        </is>
      </c>
    </row>
    <row r="27" ht="17.1" customHeight="1">
      <c r="A27" s="3" t="inlineStr">
        <is>
          <t>Расширение потребления</t>
        </is>
      </c>
    </row>
    <row r="28" ht="17.1" customHeight="1">
      <c r="A28" s="3" t="inlineStr">
        <is>
          <t>Отказ/возврат</t>
        </is>
      </c>
    </row>
    <row r="29" ht="17.1" customHeight="1"/>
    <row r="30" ht="17.1" customHeight="1"/>
    <row r="31" ht="17.1" customHeight="1">
      <c r="A31" s="1" t="inlineStr">
        <is>
          <t>Тип бизнес-логики</t>
        </is>
      </c>
      <c r="D31" s="1" t="inlineStr">
        <is>
          <t>Категория Кано</t>
        </is>
      </c>
      <c r="G31" s="1" t="inlineStr">
        <is>
          <t>Уровень товара по Левитту</t>
        </is>
      </c>
      <c r="J31" s="1" t="inlineStr">
        <is>
          <t>Тип цифрового товара</t>
        </is>
      </c>
    </row>
    <row r="32" ht="17.1" customHeight="1">
      <c r="A32" s="3" t="inlineStr">
        <is>
          <t>Клиентская</t>
        </is>
      </c>
      <c r="D32" s="3" t="inlineStr">
        <is>
          <t>Базовое требование</t>
        </is>
      </c>
      <c r="G32" s="3" t="inlineStr">
        <is>
          <t>Ядро выгоды</t>
        </is>
      </c>
      <c r="J32" s="3" t="inlineStr">
        <is>
          <t>Подписка</t>
        </is>
      </c>
    </row>
    <row r="33" ht="17.1" customHeight="1">
      <c r="A33" s="3" t="inlineStr">
        <is>
          <t>Продуктовая</t>
        </is>
      </c>
      <c r="D33" s="3" t="inlineStr">
        <is>
          <t>Линейное требование</t>
        </is>
      </c>
      <c r="G33" s="3" t="inlineStr">
        <is>
          <t>Базовый товар</t>
        </is>
      </c>
      <c r="J33" s="3" t="inlineStr">
        <is>
          <t>Доступ к сервису</t>
        </is>
      </c>
    </row>
    <row r="34" ht="17.1" customHeight="1">
      <c r="A34" s="3" t="inlineStr">
        <is>
          <t>Монетизационная</t>
        </is>
      </c>
      <c r="D34" s="3" t="inlineStr">
        <is>
          <t>Восхищающее требование</t>
        </is>
      </c>
      <c r="G34" s="3" t="inlineStr">
        <is>
          <t>Ожидаемый товар</t>
        </is>
      </c>
      <c r="J34" s="3" t="inlineStr">
        <is>
          <t>Цифровой контент</t>
        </is>
      </c>
    </row>
    <row r="35" ht="17.1" customHeight="1">
      <c r="A35" s="3" t="inlineStr">
        <is>
          <t>Канальная</t>
        </is>
      </c>
      <c r="D35" s="3" t="inlineStr">
        <is>
          <t>Нейтральный признак</t>
        </is>
      </c>
      <c r="G35" s="3" t="inlineStr">
        <is>
          <t>Расширенный товар</t>
        </is>
      </c>
      <c r="J35" s="3" t="inlineStr">
        <is>
          <t>Транзакционная услуга</t>
        </is>
      </c>
    </row>
    <row r="36" ht="17.1" customHeight="1">
      <c r="A36" s="3" t="inlineStr">
        <is>
          <t>Сервисная</t>
        </is>
      </c>
      <c r="D36" s="3" t="inlineStr">
        <is>
          <t>Обратное требование</t>
        </is>
      </c>
      <c r="G36" s="3" t="inlineStr">
        <is>
          <t>Потенциальный товар</t>
        </is>
      </c>
      <c r="J36" s="3" t="inlineStr">
        <is>
          <t>Маркетплейс-доступ</t>
        </is>
      </c>
    </row>
    <row r="37" ht="17.1" customHeight="1">
      <c r="A37" s="3" t="inlineStr">
        <is>
          <t>Партнерская</t>
        </is>
      </c>
      <c r="D37" s="3" t="inlineStr">
        <is>
          <t>Не определено</t>
        </is>
      </c>
      <c r="J37" s="3" t="inlineStr">
        <is>
          <t>Программный модуль</t>
        </is>
      </c>
    </row>
    <row r="38" ht="17.1" customHeight="1">
      <c r="A38" s="3" t="inlineStr">
        <is>
          <t>Операционная</t>
        </is>
      </c>
      <c r="J38" s="3" t="inlineStr">
        <is>
          <t>Данные/аналитика</t>
        </is>
      </c>
    </row>
    <row r="39" ht="17.1" customHeight="1">
      <c r="A39" s="3" t="inlineStr">
        <is>
          <t>Инфраструктурная</t>
        </is>
      </c>
      <c r="J39" s="3" t="inlineStr">
        <is>
          <t>Образовательный продукт</t>
        </is>
      </c>
    </row>
    <row r="40" ht="17.1" customHeight="1">
      <c r="A40" s="3" t="inlineStr">
        <is>
          <t>Правовая</t>
        </is>
      </c>
      <c r="J40" s="3" t="inlineStr">
        <is>
          <t>Гибридный товар</t>
        </is>
      </c>
    </row>
    <row r="41" ht="17.1" customHeight="1">
      <c r="A41" s="3" t="inlineStr">
        <is>
          <t>Аналитическая</t>
        </is>
      </c>
    </row>
    <row r="42" ht="17.1" customHeight="1"/>
    <row r="43" ht="17.1" customHeight="1"/>
    <row r="44" ht="17.1" customHeight="1"/>
    <row r="45" ht="17.1" customHeight="1">
      <c r="A45" s="1" t="inlineStr">
        <is>
          <t>Шкала</t>
        </is>
      </c>
      <c r="B45" s="1" t="inlineStr">
        <is>
          <t>1</t>
        </is>
      </c>
      <c r="C45" s="1" t="inlineStr">
        <is>
          <t>2</t>
        </is>
      </c>
      <c r="D45" s="1" t="inlineStr">
        <is>
          <t>3</t>
        </is>
      </c>
      <c r="E45" s="1" t="inlineStr">
        <is>
          <t>4-5</t>
        </is>
      </c>
      <c r="F45" s="2" t="inlineStr">
        <is>
          <t>Правило</t>
        </is>
      </c>
    </row>
    <row r="46" ht="17.1" customHeight="1">
      <c r="A46" s="3" t="inlineStr">
        <is>
          <t>Значимость проблемы</t>
        </is>
      </c>
      <c r="B46" s="2" t="inlineStr">
        <is>
          <t>единичный дискомфорт</t>
        </is>
      </c>
      <c r="C46" s="2" t="inlineStr">
        <is>
          <t>частая неудобность</t>
        </is>
      </c>
      <c r="D46" s="2" t="inlineStr">
        <is>
          <t>существенный ущерб</t>
        </is>
      </c>
      <c r="E46" s="2" t="inlineStr">
        <is>
          <t>критичная боль</t>
        </is>
      </c>
      <c r="F46" s="2" t="inlineStr">
        <is>
          <t>Оценивать по частоте, тяжести, экономическим последствиям</t>
        </is>
      </c>
    </row>
    <row r="47" ht="17.1" customHeight="1">
      <c r="A47" s="3" t="inlineStr">
        <is>
          <t>Влияние на выручку</t>
        </is>
      </c>
      <c r="B47" s="2" t="inlineStr">
        <is>
          <t>слабое</t>
        </is>
      </c>
      <c r="C47" s="2" t="inlineStr">
        <is>
          <t>косвенное</t>
        </is>
      </c>
      <c r="D47" s="2" t="inlineStr">
        <is>
          <t>заметное</t>
        </is>
      </c>
      <c r="E47" s="2" t="inlineStr">
        <is>
          <t>прямое</t>
        </is>
      </c>
      <c r="F47" s="2" t="inlineStr">
        <is>
          <t>Связывать с оплатой, удержанием, расширением потребления</t>
        </is>
      </c>
    </row>
    <row r="48" ht="17.1" customHeight="1">
      <c r="A48" s="3" t="inlineStr">
        <is>
          <t>Сложность реализации</t>
        </is>
      </c>
      <c r="B48" s="2" t="inlineStr">
        <is>
          <t>низкая</t>
        </is>
      </c>
      <c r="C48" s="2" t="inlineStr">
        <is>
          <t>умеренная</t>
        </is>
      </c>
      <c r="D48" s="2" t="inlineStr">
        <is>
          <t>средняя</t>
        </is>
      </c>
      <c r="E48" s="2" t="inlineStr">
        <is>
          <t>высокая</t>
        </is>
      </c>
      <c r="F48" s="2" t="inlineStr">
        <is>
          <t>Чем выше сложность, тем ниже приоритет при равной ценности</t>
        </is>
      </c>
    </row>
    <row r="49" ht="17.1" customHeight="1">
      <c r="A49" s="3" t="inlineStr">
        <is>
          <t>Доказательность</t>
        </is>
      </c>
      <c r="B49" s="2" t="inlineStr">
        <is>
          <t>слабый сигнал</t>
        </is>
      </c>
      <c r="C49" s="2" t="inlineStr">
        <is>
          <t>частично</t>
        </is>
      </c>
      <c r="D49" s="2" t="inlineStr">
        <is>
          <t>подтверждено</t>
        </is>
      </c>
      <c r="E49" s="2" t="inlineStr">
        <is>
          <t>проверено</t>
        </is>
      </c>
      <c r="F49" s="2" t="inlineStr">
        <is>
          <t>Оценивать по числу и качеству источников</t>
        </is>
      </c>
    </row>
    <row r="50" ht="17.1" customHeight="1">
      <c r="A50" s="3" t="inlineStr">
        <is>
          <t>Исключить</t>
        </is>
      </c>
    </row>
    <row r="51" ht="17.1" customHeight="1"/>
    <row r="52" ht="17.1" customHeight="1"/>
    <row r="53" ht="17.1" customHeight="1"/>
    <row r="54" ht="17.1" customHeight="1"/>
    <row r="55" ht="17.1" customHeight="1"/>
    <row r="56" ht="17.1" customHeight="1"/>
    <row r="57" ht="17.1" customHeight="1"/>
    <row r="58" ht="17.1" customHeight="1"/>
    <row r="59" ht="17.1" customHeight="1"/>
    <row r="60" ht="17.1" customHeight="1"/>
    <row r="61" ht="17.1" customHeight="1"/>
    <row r="62" ht="17.1" customHeight="1"/>
    <row r="63" ht="17.1" customHeight="1"/>
    <row r="64" ht="17.1" customHeight="1"/>
    <row r="65" ht="17.1" customHeight="1"/>
    <row r="66" ht="17.1" customHeight="1"/>
    <row r="67" ht="17.1" customHeight="1"/>
    <row r="68" ht="17.1" customHeight="1"/>
    <row r="69" ht="17.1" customHeight="1"/>
    <row r="70" ht="17.1" customHeight="1"/>
    <row r="71" ht="17.1" customHeight="1"/>
    <row r="72" ht="17.1" customHeight="1"/>
    <row r="73" ht="17.1" customHeight="1"/>
    <row r="74" ht="17.1" customHeight="1"/>
    <row r="75" ht="17.1" customHeight="1"/>
    <row r="76" ht="17.1" customHeight="1"/>
    <row r="77" ht="17.1" customHeight="1"/>
    <row r="78" ht="17.1" customHeight="1"/>
    <row r="79" ht="17.1" customHeight="1"/>
    <row r="80" ht="17.1" customHeight="1"/>
    <row r="81" ht="17.1" customHeight="1"/>
    <row r="82" ht="17.1" customHeight="1"/>
    <row r="83" ht="17.1" customHeight="1"/>
    <row r="84" ht="17.1" customHeight="1"/>
    <row r="85" ht="17.1" customHeight="1"/>
    <row r="86" ht="17.1" customHeight="1"/>
    <row r="87" ht="17.1" customHeight="1"/>
    <row r="88" ht="17.1" customHeight="1"/>
    <row r="89" ht="17.1" customHeight="1"/>
    <row r="90" ht="17.1" customHeight="1"/>
    <row r="91" ht="17.1" customHeight="1"/>
    <row r="92" ht="17.1" customHeight="1"/>
    <row r="93" ht="17.1" customHeight="1"/>
    <row r="94" ht="17.1" customHeight="1"/>
    <row r="95" ht="17.1" customHeight="1"/>
    <row r="96" ht="17.1" customHeight="1"/>
    <row r="97" ht="17.1" customHeight="1"/>
    <row r="98" ht="17.1" customHeight="1"/>
    <row r="99" ht="17.1" customHeight="1"/>
    <row r="100" ht="17.1" customHeight="1"/>
    <row r="101" ht="17.1" customHeight="1"/>
    <row r="102" ht="17.1" customHeight="1"/>
    <row r="103" ht="17.1" customHeight="1"/>
    <row r="104" ht="17.1" customHeight="1"/>
    <row r="105" ht="17.1" customHeight="1"/>
    <row r="106" ht="17.1" customHeight="1"/>
    <row r="107" ht="17.1" customHeight="1"/>
    <row r="108" ht="17.1" customHeight="1"/>
    <row r="109" ht="17.1" customHeight="1"/>
    <row r="110" ht="17.1" customHeight="1"/>
    <row r="111" ht="17.1" customHeight="1"/>
    <row r="112" ht="17.1" customHeight="1"/>
    <row r="113" ht="17.1" customHeight="1"/>
    <row r="114" ht="17.1" customHeight="1"/>
    <row r="115" ht="17.1" customHeight="1"/>
    <row r="116" ht="17.1" customHeight="1"/>
    <row r="117" ht="17.1" customHeight="1"/>
    <row r="118" ht="17.1" customHeight="1"/>
    <row r="119" ht="17.1" customHeight="1"/>
    <row r="120" ht="17.1" customHeight="1"/>
    <row r="121" ht="17.1" customHeight="1"/>
    <row r="122" ht="17.1" customHeight="1"/>
    <row r="123" ht="17.1" customHeight="1"/>
    <row r="124" ht="17.1" customHeight="1"/>
    <row r="125" ht="17.1" customHeight="1"/>
    <row r="126" ht="17.1" customHeight="1"/>
    <row r="127" ht="17.1" customHeight="1"/>
    <row r="128" ht="17.1" customHeight="1"/>
    <row r="129" ht="17.1" customHeight="1"/>
    <row r="130" ht="17.1" customHeight="1"/>
    <row r="131" ht="17.1" customHeight="1"/>
    <row r="132" ht="17.1" customHeight="1"/>
    <row r="133" ht="17.1" customHeight="1"/>
    <row r="134" ht="17.1" customHeight="1"/>
    <row r="135" ht="17.1" customHeight="1"/>
    <row r="136" ht="17.1" customHeight="1"/>
    <row r="137" ht="17.1" customHeight="1"/>
    <row r="138" ht="17.1" customHeight="1"/>
    <row r="139" ht="17.1" customHeight="1"/>
    <row r="140" ht="17.1" customHeight="1"/>
    <row r="141" ht="17.1" customHeight="1"/>
    <row r="142" ht="17.1" customHeight="1"/>
    <row r="143" ht="17.1" customHeight="1"/>
    <row r="144" ht="17.1" customHeight="1"/>
    <row r="145" ht="17.1" customHeight="1"/>
    <row r="146" ht="17.1" customHeight="1"/>
    <row r="147" ht="17.1" customHeight="1"/>
    <row r="148" ht="17.1" customHeight="1"/>
    <row r="149" ht="17.1" customHeight="1"/>
    <row r="150" ht="17.1" customHeight="1"/>
    <row r="151" ht="17.1" customHeight="1"/>
    <row r="152" ht="17.1" customHeight="1"/>
    <row r="153" ht="17.1" customHeight="1"/>
    <row r="154" ht="17.1" customHeight="1"/>
    <row r="155" ht="17.1" customHeight="1"/>
    <row r="156" ht="17.1" customHeight="1"/>
    <row r="157" ht="17.1" customHeight="1"/>
    <row r="158" ht="17.1" customHeight="1"/>
    <row r="159" ht="17.1" customHeight="1"/>
    <row r="160" ht="17.1" customHeight="1"/>
    <row r="161" ht="17.1" customHeight="1"/>
    <row r="162" ht="17.1" customHeight="1"/>
    <row r="163" ht="17.1" customHeight="1"/>
    <row r="164" ht="17.1" customHeight="1"/>
    <row r="165" ht="17.1" customHeight="1"/>
    <row r="166" ht="17.1" customHeight="1"/>
    <row r="167" ht="17.1" customHeight="1"/>
    <row r="168" ht="17.1" customHeight="1"/>
    <row r="169" ht="17.1" customHeight="1"/>
    <row r="170" ht="17.1" customHeight="1"/>
    <row r="171" ht="17.1" customHeight="1"/>
    <row r="172" ht="17.1" customHeight="1"/>
    <row r="173" ht="17.1" customHeight="1"/>
    <row r="174" ht="17.1" customHeight="1"/>
    <row r="175" ht="17.1" customHeight="1"/>
    <row r="176" ht="17.1" customHeight="1"/>
    <row r="177" ht="17.1" customHeight="1"/>
    <row r="178" ht="17.1" customHeight="1"/>
    <row r="179" ht="17.1" customHeight="1"/>
    <row r="180" ht="17.1" customHeight="1"/>
    <row r="181" ht="17.1" customHeight="1"/>
    <row r="182" ht="17.1" customHeight="1"/>
    <row r="183" ht="17.1" customHeight="1"/>
    <row r="184" ht="17.1" customHeight="1"/>
    <row r="185" ht="17.1" customHeight="1"/>
    <row r="186" ht="17.1" customHeight="1"/>
    <row r="187" ht="17.1" customHeight="1"/>
    <row r="188" ht="17.1" customHeight="1"/>
    <row r="189" ht="17.1" customHeight="1"/>
    <row r="190" ht="17.1" customHeight="1"/>
    <row r="191" ht="17.1" customHeight="1"/>
    <row r="192" ht="17.1" customHeight="1"/>
    <row r="193" ht="17.1" customHeight="1"/>
    <row r="194" ht="17.1" customHeight="1"/>
    <row r="195" ht="17.1" customHeight="1"/>
    <row r="196" ht="17.1" customHeight="1"/>
    <row r="197" ht="17.1" customHeight="1"/>
    <row r="198" ht="17.1" customHeight="1"/>
    <row r="199" ht="17.1" customHeight="1"/>
    <row r="200" ht="17.1" customHeight="1"/>
    <row r="201" ht="17.1" customHeight="1"/>
    <row r="202" ht="17.1" customHeight="1"/>
    <row r="203" ht="17.1" customHeight="1"/>
  </sheetData>
  <mergeCells count="1">
    <mergeCell ref="A1:Z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selection activeCell="C21" sqref="C21"/>
    </sheetView>
  </sheetViews>
  <sheetFormatPr baseColWidth="8" defaultRowHeight="12.75"/>
  <cols>
    <col width="28.625" customWidth="1" style="10" min="1" max="1"/>
    <col width="8.625" customWidth="1" style="10" min="2" max="2"/>
    <col width="150.625" customWidth="1" style="10" min="3" max="3"/>
    <col width="9" customWidth="1" style="10" min="4" max="16384"/>
  </cols>
  <sheetData>
    <row r="1" ht="15.75" customHeight="1">
      <c r="A1" s="11" t="inlineStr">
        <is>
          <t>Журнал рабочей копии: формулы, бизнес-логика в трёх версиях, ограничения</t>
        </is>
      </c>
    </row>
    <row r="2"/>
    <row r="3">
      <c r="A3" s="12" t="inlineStr">
        <is>
          <t>Раздел</t>
        </is>
      </c>
      <c r="B3" s="12" t="inlineStr">
        <is>
          <t>Код</t>
        </is>
      </c>
      <c r="C3" s="12" t="inlineStr">
        <is>
          <t>Содержание</t>
        </is>
      </c>
    </row>
    <row r="4" ht="25.5" customHeight="1">
      <c r="A4" s="13" t="inlineStr">
        <is>
          <t>Формула</t>
        </is>
      </c>
      <c r="B4" s="13" t="inlineStr">
        <is>
          <t>Ф-1</t>
        </is>
      </c>
      <c r="C4" s="13" t="inlineStr">
        <is>
          <t>Индекс сценария рассчитан по шаблону: частота x значимость x влияние на выручку x доказательность / 20. По формуле docx (ценность 0,25; монетизация 0,20; частота 0,15; риск отказа 0,15; конкурентное значение 0,10; доказательность 0,15; минус сложность 0,10) расчёт не вёлся</t>
        </is>
      </c>
    </row>
    <row r="5" ht="76.5" customHeight="1">
      <c r="A5" s="13" t="inlineStr">
        <is>
          <t>Бизнес-логика, полная версия</t>
        </is>
      </c>
      <c r="B5" s="13" t="inlineStr">
        <is>
          <t>Б-1</t>
        </is>
      </c>
      <c r="C5" s="13" t="inlineStr">
        <is>
          <t>Мы работаем со студентами технических специальностей и аналитиками ПО, которые сталкиваются с отсутствием единого инструмента для всех нотаций проекта (UML, BPMN, ERD, IDEF0, DFD, сети Петри) и с высоким порогом освоения текстовых языков. Для решения предлагается NotaCode - веб-IDE «диаграммы как код», которая даёт корректную диаграмму в выбранной нотации из текста за счёт единого редактора, набора нотаций и ИИ-ассистента. Пользователь получает ценность через сценарии построения первой диаграммы, экспорта и построения диаграмм IDEF0 и DFD, а компания монетизирует её через подписку Pro 40 у.е. в год за пользователя при бесплатном уровне Free. Устойчивость обеспечивают собственный движок нотаций, документация, облачная инфраструктура и ИИ-провайдер (гипотезы), результат проверяется долей пользователей, построивших первую диаграмму, конверсией Free в Pro и удержанием</t>
        </is>
      </c>
    </row>
    <row r="6">
      <c r="A6" s="13" t="inlineStr">
        <is>
          <t>Бизнес-логика, краткая версия</t>
        </is>
      </c>
      <c r="B6" s="13" t="inlineStr">
        <is>
          <t>Б-2</t>
        </is>
      </c>
      <c r="C6" s="13" t="inlineStr">
        <is>
          <t>Студенты и аналитики ПО получают диаграмму любой нотации проекта из текста в одном бесплатном инструменте, а компания зарабатывает на подписке Pro за снятие ограничений</t>
        </is>
      </c>
    </row>
    <row r="7" ht="25.5" customHeight="1">
      <c r="A7" s="13" t="inlineStr">
        <is>
          <t>Бизнес-логика, проверочная версия</t>
        </is>
      </c>
      <c r="B7" s="13" t="inlineStr">
        <is>
          <t>Б-3</t>
        </is>
      </c>
      <c r="C7" s="13" t="inlineStr">
        <is>
          <t>Сегмент (студенты, аналитики ПО; A-006) -&gt; проблема P-002 (A-001) -&gt; цифровой товар NotaCode (6.1) -&gt; механизм (единый редактор и набор нотаций; BL-002) -&gt; сценарий S-004, S-005 -&gt; монетизация Pro 40 у.е. в год (A-003, A-004) -&gt; операционная способность (BL-006, гипотеза) -&gt; метрики (BL-007)</t>
        </is>
      </c>
    </row>
    <row r="8" ht="25.5" customHeight="1">
      <c r="A8" s="13" t="inlineStr">
        <is>
          <t>Правило</t>
        </is>
      </c>
      <c r="B8" s="13" t="inlineStr">
        <is>
          <t>П-1</t>
        </is>
      </c>
      <c r="C8" s="13" t="inlineStr">
        <is>
          <t>Оценки 1-5 и 1-4 экспертные; источники - банк анализа (13 выводов из 6.1, 6.2 и ЛР1-ЛР5). Основные функции (нотации волны 1) по индексу шаблона получают статус «Кандидат» из-за сложности; решение об их включении принимается в методике 6.5</t>
        </is>
      </c>
    </row>
    <row r="9">
      <c r="A9" s="13" t="inlineStr">
        <is>
          <t>Ограничения</t>
        </is>
      </c>
      <c r="B9" s="13" t="inlineStr">
        <is>
          <t>О-1</t>
        </is>
      </c>
      <c r="C9" s="13" t="inlineStr">
        <is>
          <t>Опрос студентов сгенерирован (ЛР4)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:title xmlns:dc="http://purl.org/dc/elements/1.1/">Бизнес-логика и пользовательские сценарии NotaCode</dc:title>
  <dcterms:created xmlns:dcterms="http://purl.org/dc/terms/" xmlns:xsi="http://www.w3.org/2001/XMLSchema-instance" xsi:type="dcterms:W3CDTF">2026-10-04T11:54:17Z</dcterms:created>
  <dcterms:modified xmlns:dcterms="http://purl.org/dc/terms/" xmlns:xsi="http://www.w3.org/2001/XMLSchema-instance" xsi:type="dcterms:W3CDTF">2026-10-04T14:43:42Z</dcterms:modified>
  <cp:lastModifiedBy>Aliaksandr Khajynau</cp:lastModifiedBy>
</cp:coreProperties>
</file>