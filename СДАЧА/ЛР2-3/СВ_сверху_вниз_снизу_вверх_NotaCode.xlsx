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00_Методика" sheetId="1" state="visible" r:id="rId1"/>
    <sheet xmlns:r="http://schemas.openxmlformats.org/officeDocument/2006/relationships" name="01_Параметры" sheetId="2" state="visible" r:id="rId2"/>
    <sheet xmlns:r="http://schemas.openxmlformats.org/officeDocument/2006/relationships" name="02_Сверху_вниз" sheetId="3" state="visible" r:id="rId3"/>
    <sheet xmlns:r="http://schemas.openxmlformats.org/officeDocument/2006/relationships" name="03_Снизу_вверх" sheetId="4" state="visible" r:id="rId4"/>
    <sheet xmlns:r="http://schemas.openxmlformats.org/officeDocument/2006/relationships" name="04_Similarweb" sheetId="5" state="visible" r:id="rId5"/>
    <sheet xmlns:r="http://schemas.openxmlformats.org/officeDocument/2006/relationships" name="05_Воронка_SW" sheetId="6" state="visible" r:id="rId6"/>
    <sheet xmlns:r="http://schemas.openxmlformats.org/officeDocument/2006/relationships" name="06_Сверка" sheetId="7" state="visible" r:id="rId7"/>
    <sheet xmlns:r="http://schemas.openxmlformats.org/officeDocument/2006/relationships" name="07_Дашборд" sheetId="8" state="visible" r:id="rId8"/>
    <sheet xmlns:r="http://schemas.openxmlformats.org/officeDocument/2006/relationships" name="08_Источни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4"/>
    </font>
    <font>
      <name val="Carlito"/>
      <i val="1"/>
      <color rgb="FF1F2937"/>
      <sz val="10"/>
    </font>
    <font>
      <name val="Carlito"/>
      <b val="1"/>
      <sz val="11"/>
    </font>
    <font>
      <name val="Carlito"/>
      <b val="1"/>
      <color rgb="FFFFFFFF"/>
      <sz val="11"/>
    </font>
    <font>
      <name val="Carlito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5" fillId="0" borderId="9"/>
    <xf numFmtId="0" fontId="5" fillId="0" borderId="9"/>
  </cellStyleXfs>
  <cellXfs count="59">
    <xf numFmtId="0" fontId="0" fillId="0" borderId="0" pivotButton="0" quotePrefix="0" xfId="0"/>
    <xf numFmtId="0" fontId="0" fillId="0" borderId="4" applyAlignment="1" pivotButton="0" quotePrefix="0" xfId="1">
      <alignment wrapText="1"/>
    </xf>
    <xf numFmtId="0" fontId="0" fillId="0" borderId="6" applyAlignment="1" pivotButton="0" quotePrefix="0" xfId="1">
      <alignment wrapText="1"/>
    </xf>
    <xf numFmtId="0" fontId="4" fillId="5" borderId="1" applyAlignment="1" pivotButton="0" quotePrefix="0" xfId="1">
      <alignment horizontal="center" vertical="center" wrapText="1"/>
    </xf>
    <xf numFmtId="0" fontId="4" fillId="5" borderId="7" applyAlignment="1" pivotButton="0" quotePrefix="0" xfId="1">
      <alignment horizontal="center" vertical="center" wrapText="1"/>
    </xf>
    <xf numFmtId="0" fontId="4" fillId="5" borderId="2" applyAlignment="1" pivotButton="0" quotePrefix="0" xfId="1">
      <alignment horizontal="center" vertical="center" wrapText="1"/>
    </xf>
    <xf numFmtId="0" fontId="0" fillId="0" borderId="3" applyAlignment="1" pivotButton="0" quotePrefix="0" xfId="1">
      <alignment wrapText="1"/>
    </xf>
    <xf numFmtId="0" fontId="0" fillId="0" borderId="8" applyAlignment="1" pivotButton="0" quotePrefix="0" xfId="1">
      <alignment wrapText="1"/>
    </xf>
    <xf numFmtId="0" fontId="0" fillId="0" borderId="5" applyAlignment="1" pivotButton="0" quotePrefix="0" xfId="1">
      <alignment wrapText="1"/>
    </xf>
    <xf numFmtId="0" fontId="0" fillId="0" borderId="9" applyAlignment="1" pivotButton="0" quotePrefix="0" xfId="1">
      <alignment wrapText="1"/>
    </xf>
    <xf numFmtId="3" fontId="0" fillId="7" borderId="8" applyAlignment="1" pivotButton="0" quotePrefix="0" xfId="1">
      <alignment vertical="top" wrapText="1"/>
    </xf>
    <xf numFmtId="3" fontId="0" fillId="7" borderId="9" applyAlignment="1" pivotButton="0" quotePrefix="0" xfId="1">
      <alignment vertical="top" wrapText="1"/>
    </xf>
    <xf numFmtId="0" fontId="1" fillId="2" borderId="0" applyAlignment="1" pivotButton="0" quotePrefix="0" xfId="1">
      <alignment horizontal="center" vertical="center" wrapText="1"/>
    </xf>
    <xf numFmtId="0" fontId="0" fillId="0" borderId="0" pivotButton="0" quotePrefix="0" xfId="0"/>
    <xf numFmtId="0" fontId="2" fillId="3" borderId="0" applyAlignment="1" pivotButton="0" quotePrefix="0" xfId="1">
      <alignment vertical="top" wrapText="1"/>
    </xf>
    <xf numFmtId="0" fontId="3" fillId="4" borderId="1" applyAlignment="1" pivotButton="0" quotePrefix="0" xfId="1">
      <alignment vertical="center" wrapText="1"/>
    </xf>
    <xf numFmtId="0" fontId="0" fillId="0" borderId="2" applyAlignment="1" pivotButton="0" quotePrefix="0" xfId="1">
      <alignment vertical="center" wrapText="1"/>
    </xf>
    <xf numFmtId="0" fontId="3" fillId="4" borderId="3" applyAlignment="1" pivotButton="0" quotePrefix="0" xfId="1">
      <alignment vertical="center" wrapText="1"/>
    </xf>
    <xf numFmtId="0" fontId="0" fillId="0" borderId="4" applyAlignment="1" pivotButton="0" quotePrefix="0" xfId="1">
      <alignment vertical="center" wrapText="1"/>
    </xf>
    <xf numFmtId="0" fontId="3" fillId="4" borderId="5" applyAlignment="1" pivotButton="0" quotePrefix="0" xfId="1">
      <alignment vertical="center" wrapText="1"/>
    </xf>
    <xf numFmtId="0" fontId="0" fillId="0" borderId="6" applyAlignment="1" pivotButton="0" quotePrefix="0" xfId="1">
      <alignment vertical="center" wrapText="1"/>
    </xf>
    <xf numFmtId="0" fontId="0" fillId="0" borderId="4" applyAlignment="1" pivotButton="0" quotePrefix="0" xfId="1">
      <alignment vertical="center"/>
    </xf>
    <xf numFmtId="0" fontId="0" fillId="0" borderId="6" applyAlignment="1" pivotButton="0" quotePrefix="0" xfId="1">
      <alignment vertical="center"/>
    </xf>
    <xf numFmtId="0" fontId="0" fillId="0" borderId="3" applyAlignment="1" pivotButton="0" quotePrefix="0" xfId="1">
      <alignment vertical="center" wrapText="1"/>
    </xf>
    <xf numFmtId="0" fontId="0" fillId="6" borderId="8" applyAlignment="1" pivotButton="0" quotePrefix="0" xfId="1">
      <alignment vertical="center" wrapText="1"/>
    </xf>
    <xf numFmtId="0" fontId="0" fillId="0" borderId="8" applyAlignment="1" pivotButton="0" quotePrefix="0" xfId="1">
      <alignment vertical="center" wrapText="1"/>
    </xf>
    <xf numFmtId="3" fontId="0" fillId="6" borderId="8" applyAlignment="1" pivotButton="0" quotePrefix="0" xfId="1">
      <alignment vertical="center" wrapText="1"/>
    </xf>
    <xf numFmtId="10" fontId="0" fillId="6" borderId="8" applyAlignment="1" pivotButton="0" quotePrefix="0" xfId="1">
      <alignment vertical="center" wrapText="1"/>
    </xf>
    <xf numFmtId="2" fontId="0" fillId="6" borderId="8" applyAlignment="1" pivotButton="0" quotePrefix="0" xfId="1">
      <alignment vertical="center" wrapText="1"/>
    </xf>
    <xf numFmtId="0" fontId="0" fillId="0" borderId="5" applyAlignment="1" pivotButton="0" quotePrefix="0" xfId="1">
      <alignment vertical="center" wrapText="1"/>
    </xf>
    <xf numFmtId="2" fontId="0" fillId="6" borderId="9" applyAlignment="1" pivotButton="0" quotePrefix="0" xfId="1">
      <alignment vertical="center" wrapText="1"/>
    </xf>
    <xf numFmtId="0" fontId="0" fillId="0" borderId="9" applyAlignment="1" pivotButton="0" quotePrefix="0" xfId="1">
      <alignment vertical="center" wrapText="1"/>
    </xf>
    <xf numFmtId="0" fontId="0" fillId="0" borderId="3" applyAlignment="1" pivotButton="0" quotePrefix="0" xfId="1">
      <alignment vertical="center"/>
    </xf>
    <xf numFmtId="0" fontId="0" fillId="0" borderId="8" applyAlignment="1" pivotButton="0" quotePrefix="0" xfId="1">
      <alignment vertical="center"/>
    </xf>
    <xf numFmtId="0" fontId="0" fillId="0" borderId="5" applyAlignment="1" pivotButton="0" quotePrefix="0" xfId="1">
      <alignment vertical="center"/>
    </xf>
    <xf numFmtId="0" fontId="0" fillId="0" borderId="9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3" fontId="0" fillId="7" borderId="8" applyAlignment="1" pivotButton="0" quotePrefix="0" xfId="1">
      <alignment vertical="center" wrapText="1"/>
    </xf>
    <xf numFmtId="3" fontId="0" fillId="7" borderId="9" applyAlignment="1" pivotButton="0" quotePrefix="0" xfId="1">
      <alignment vertical="center" wrapText="1"/>
    </xf>
    <xf numFmtId="3" fontId="0" fillId="7" borderId="8" applyAlignment="1" pivotButton="0" quotePrefix="0" xfId="1">
      <alignment vertical="center"/>
    </xf>
    <xf numFmtId="3" fontId="0" fillId="7" borderId="9" applyAlignment="1" pivotButton="0" quotePrefix="0" xfId="1">
      <alignment vertical="center"/>
    </xf>
    <xf numFmtId="10" fontId="0" fillId="7" borderId="8" applyAlignment="1" pivotButton="0" quotePrefix="0" xfId="1">
      <alignment vertical="center" wrapText="1"/>
    </xf>
    <xf numFmtId="3" fontId="0" fillId="0" borderId="9" applyAlignment="1" pivotButton="0" quotePrefix="0" xfId="1">
      <alignment vertical="center" wrapText="1"/>
    </xf>
    <xf numFmtId="10" fontId="0" fillId="7" borderId="9" applyAlignment="1" pivotButton="0" quotePrefix="0" xfId="1">
      <alignment vertical="center" wrapText="1"/>
    </xf>
    <xf numFmtId="10" fontId="0" fillId="7" borderId="8" applyAlignment="1" pivotButton="0" quotePrefix="0" xfId="1">
      <alignment vertical="center"/>
    </xf>
    <xf numFmtId="0" fontId="0" fillId="6" borderId="3" applyAlignment="1" pivotButton="0" quotePrefix="0" xfId="1">
      <alignment vertical="center" wrapText="1"/>
    </xf>
    <xf numFmtId="22" fontId="0" fillId="6" borderId="8" applyAlignment="1" pivotButton="0" quotePrefix="0" xfId="1">
      <alignment vertical="center" wrapText="1"/>
    </xf>
    <xf numFmtId="0" fontId="0" fillId="6" borderId="4" applyAlignment="1" pivotButton="0" quotePrefix="0" xfId="1">
      <alignment vertical="center" wrapText="1"/>
    </xf>
    <xf numFmtId="3" fontId="0" fillId="7" borderId="4" applyAlignment="1" pivotButton="0" quotePrefix="0" xfId="1">
      <alignment vertical="center" wrapText="1"/>
    </xf>
    <xf numFmtId="3" fontId="0" fillId="7" borderId="6" applyAlignment="1" pivotButton="0" quotePrefix="0" xfId="1">
      <alignment vertical="center" wrapText="1"/>
    </xf>
    <xf numFmtId="0" fontId="0" fillId="7" borderId="3" applyAlignment="1" pivotButton="0" quotePrefix="0" xfId="1">
      <alignment vertical="center" wrapText="1"/>
    </xf>
    <xf numFmtId="10" fontId="0" fillId="7" borderId="4" applyAlignment="1" pivotButton="0" quotePrefix="0" xfId="1">
      <alignment vertical="center" wrapText="1"/>
    </xf>
    <xf numFmtId="0" fontId="0" fillId="7" borderId="5" applyAlignment="1" pivotButton="0" quotePrefix="0" xfId="1">
      <alignment vertical="center" wrapText="1"/>
    </xf>
    <xf numFmtId="10" fontId="0" fillId="7" borderId="6" applyAlignment="1" pivotButton="0" quotePrefix="0" xfId="1">
      <alignment vertical="center" wrapText="1"/>
    </xf>
    <xf numFmtId="0" fontId="0" fillId="6" borderId="9" applyAlignment="1" pivotButton="0" quotePrefix="0" xfId="1">
      <alignment vertical="center" wrapText="1"/>
    </xf>
    <xf numFmtId="0" fontId="0" fillId="6" borderId="6" applyAlignment="1" pivotButton="0" quotePrefix="0" xfId="1">
      <alignment vertical="center" wrapText="1"/>
    </xf>
    <xf numFmtId="0" fontId="1" fillId="2" borderId="9" applyAlignment="1" pivotButton="0" quotePrefix="0" xfId="1">
      <alignment horizontal="center" vertical="center" wrapText="1"/>
    </xf>
    <xf numFmtId="0" fontId="2" fillId="3" borderId="9" applyAlignment="1" pivotButton="0" quotePrefix="0" xfId="1">
      <alignment vertical="top" wrapText="1"/>
    </xf>
    <xf numFmtId="49" fontId="0" fillId="6" borderId="8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E20" sqref="E20"/>
    </sheetView>
  </sheetViews>
  <sheetFormatPr baseColWidth="8" defaultRowHeight="14.25"/>
  <cols>
    <col width="18" customWidth="1" style="13" min="1" max="1"/>
    <col width="62" customWidth="1" style="13" min="2" max="2"/>
    <col width="48" customWidth="1" style="13" min="3" max="3"/>
  </cols>
  <sheetData>
    <row r="1" ht="27.95" customHeight="1" s="13">
      <c r="A1" s="56" t="inlineStr">
        <is>
          <t>Методика оценки объема рынка электронного бизнеса</t>
        </is>
      </c>
    </row>
    <row r="2" ht="24" customHeight="1" s="13">
      <c r="A2" s="57" t="inlineStr">
        <is>
          <t>Excel-шаблон для подходов «сверху вниз» и «снизу вверх» с использованием Similarweb</t>
        </is>
      </c>
    </row>
    <row r="4" ht="42.75" customHeight="1" s="13">
      <c r="A4" s="15" t="inlineStr">
        <is>
          <t>Назначение</t>
        </is>
      </c>
      <c r="B4" s="16" t="inlineStr">
        <is>
          <t>Расчетный шаблон для оценки объема рынка: макро-ориентир «сверху вниз», расчет через клиентские сегменты «снизу вверх», проверка через цифровые признаки Similarweb</t>
        </is>
      </c>
    </row>
    <row r="5" ht="28.5" customHeight="1" s="13">
      <c r="A5" s="17" t="inlineStr">
        <is>
          <t>Принцип</t>
        </is>
      </c>
      <c r="B5" s="18" t="inlineStr">
        <is>
          <t>Желтые ячейки заполняются пользователем. Зеленые ячейки рассчитываются автоматически</t>
        </is>
      </c>
    </row>
    <row r="6" ht="42.75" customHeight="1" s="13">
      <c r="A6" s="17" t="inlineStr">
        <is>
          <t>Similarweb</t>
        </is>
      </c>
      <c r="B6" s="18" t="inlineStr">
        <is>
          <t>Используется как источник оценочных данных о посещаемости сайтов конкурентов, каналах трафика, географии аудитории и конкурентном окружении</t>
        </is>
      </c>
    </row>
    <row r="7" ht="28.5" customHeight="1" s="13">
      <c r="A7" s="17" t="inlineStr">
        <is>
          <t>Ограничение</t>
        </is>
      </c>
      <c r="B7" s="18" t="inlineStr">
        <is>
          <t>Данные Similarweb не являются прямым измерением выручки. Итог должен оформляться как оценочный диапазон</t>
        </is>
      </c>
    </row>
    <row r="8" ht="28.5" customHeight="1" s="13">
      <c r="A8" s="19" t="inlineStr">
        <is>
          <t>Итог</t>
        </is>
      </c>
      <c r="B8" s="20" t="inlineStr">
        <is>
          <t>После заполнения файла формируется диапазон объема рынка: нижняя, базовая и верхняя оценка</t>
        </is>
      </c>
    </row>
    <row r="11" ht="26.1" customHeight="1" s="13">
      <c r="A11" s="3" t="inlineStr">
        <is>
          <t>Шаг</t>
        </is>
      </c>
      <c r="B11" s="4" t="inlineStr">
        <is>
          <t>Действие</t>
        </is>
      </c>
      <c r="C11" s="5" t="inlineStr">
        <is>
          <t>Результат</t>
        </is>
      </c>
    </row>
    <row r="12">
      <c r="A12" s="6" t="n">
        <v>1</v>
      </c>
      <c r="B12" s="7" t="inlineStr">
        <is>
          <t>Зафиксировать продуктовые и географические границы рынка</t>
        </is>
      </c>
      <c r="C12" s="1" t="inlineStr">
        <is>
          <t>Понятно, какой рынок измеряется</t>
        </is>
      </c>
    </row>
    <row r="13">
      <c r="A13" s="6" t="n">
        <v>2</v>
      </c>
      <c r="B13" s="7" t="inlineStr">
        <is>
          <t>Ввести исходные параметры и допущения</t>
        </is>
      </c>
      <c r="C13" s="1" t="inlineStr">
        <is>
          <t>Задана база расчетов</t>
        </is>
      </c>
    </row>
    <row r="14">
      <c r="A14" s="6" t="n">
        <v>3</v>
      </c>
      <c r="B14" s="7" t="inlineStr">
        <is>
          <t>Рассчитать объем рынка методом «сверху вниз»</t>
        </is>
      </c>
      <c r="C14" s="1" t="inlineStr">
        <is>
          <t>Получен общий ориентир масштаба</t>
        </is>
      </c>
    </row>
    <row r="15">
      <c r="A15" s="6" t="n">
        <v>4</v>
      </c>
      <c r="B15" s="7" t="inlineStr">
        <is>
          <t>Рассчитать объем рынка методом «снизу вверх»</t>
        </is>
      </c>
      <c r="C15" s="1" t="inlineStr">
        <is>
          <t>Получен расчет через клиентские сегменты</t>
        </is>
      </c>
    </row>
    <row r="16">
      <c r="A16" s="6" t="n">
        <v>5</v>
      </c>
      <c r="B16" s="7" t="inlineStr">
        <is>
          <t>Внести доступные данные Similarweb</t>
        </is>
      </c>
      <c r="C16" s="1" t="inlineStr">
        <is>
          <t>Проверена цифровая активность конкурентов</t>
        </is>
      </c>
    </row>
    <row r="17">
      <c r="A17" s="6" t="n">
        <v>6</v>
      </c>
      <c r="B17" s="7" t="inlineStr">
        <is>
          <t>Построить воронку Similarweb</t>
        </is>
      </c>
      <c r="C17" s="1" t="inlineStr">
        <is>
          <t>Получена оценка денежного объема через трафик</t>
        </is>
      </c>
    </row>
    <row r="18">
      <c r="A18" s="6" t="n">
        <v>7</v>
      </c>
      <c r="B18" s="7" t="inlineStr">
        <is>
          <t>Сравнить методы</t>
        </is>
      </c>
      <c r="C18" s="1" t="inlineStr">
        <is>
          <t>Сформирован итоговый диапазон</t>
        </is>
      </c>
    </row>
    <row r="19">
      <c r="A19" s="8" t="n">
        <v>8</v>
      </c>
      <c r="B19" s="9" t="inlineStr">
        <is>
          <t>Описать ограничения</t>
        </is>
      </c>
      <c r="C19" s="2" t="inlineStr">
        <is>
          <t>Подготовлен корректный управленческий вывод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B19" sqref="B19"/>
    </sheetView>
  </sheetViews>
  <sheetFormatPr baseColWidth="8" defaultRowHeight="14.25"/>
  <cols>
    <col width="36" customWidth="1" style="13" min="1" max="1"/>
    <col width="59.75" customWidth="1" style="13" min="2" max="2"/>
    <col width="20" customWidth="1" style="13" min="3" max="3"/>
    <col width="38.375" customWidth="1" style="13" min="4" max="4"/>
    <col width="81" customWidth="1" style="13" min="5" max="5"/>
    <col width="18" customWidth="1" style="13" min="6" max="6"/>
  </cols>
  <sheetData>
    <row r="1" ht="27.95" customHeight="1" s="13">
      <c r="A1" s="56" t="inlineStr">
        <is>
          <t>Исходные параметры</t>
        </is>
      </c>
    </row>
    <row r="2" ht="24" customHeight="1" s="13">
      <c r="A2" s="57" t="inlineStr">
        <is>
          <t>Параметры используются во всех расчетах. Демонстрационные значения заменяются на фактические</t>
        </is>
      </c>
    </row>
    <row r="4" ht="26.1" customHeight="1" s="13">
      <c r="A4" s="3" t="inlineStr">
        <is>
          <t>Параметр</t>
        </is>
      </c>
      <c r="B4" s="4" t="inlineStr">
        <is>
          <t>Значение</t>
        </is>
      </c>
      <c r="C4" s="4" t="inlineStr">
        <is>
          <t>Единица</t>
        </is>
      </c>
      <c r="D4" s="4" t="inlineStr">
        <is>
          <t>Назначение</t>
        </is>
      </c>
      <c r="E4" s="4" t="inlineStr">
        <is>
          <t>Комментарий</t>
        </is>
      </c>
      <c r="F4" s="5" t="inlineStr">
        <is>
          <t>Тип</t>
        </is>
      </c>
    </row>
    <row r="5" ht="42.75" customFormat="1" customHeight="1" s="36">
      <c r="A5" s="23" t="inlineStr">
        <is>
          <t>Название рынка</t>
        </is>
      </c>
      <c r="B5" s="24" t="inlineStr">
        <is>
          <t>Веб-инструменты построения и проверки диаграмм формальных нотаций (UML, BPMN, ERD, IDEF, DFD) для студентов и специалистов по ПО в Республике Беларусь</t>
        </is>
      </c>
      <c r="C5" s="25" t="n"/>
      <c r="D5" s="25" t="inlineStr">
        <is>
          <t>Описание рынка</t>
        </is>
      </c>
      <c r="E5" s="25" t="inlineStr">
        <is>
          <t>Заменить на свою идею</t>
        </is>
      </c>
      <c r="F5" s="18" t="inlineStr">
        <is>
          <t>Ввод</t>
        </is>
      </c>
    </row>
    <row r="6" customFormat="1" s="36">
      <c r="A6" s="23" t="inlineStr">
        <is>
          <t>География</t>
        </is>
      </c>
      <c r="B6" s="26" t="inlineStr">
        <is>
          <t>Республика Беларусь</t>
        </is>
      </c>
      <c r="C6" s="25" t="n"/>
      <c r="D6" s="25" t="inlineStr">
        <is>
          <t>Территория анализа</t>
        </is>
      </c>
      <c r="E6" s="25" t="inlineStr">
        <is>
          <t>Заменить при необходимости</t>
        </is>
      </c>
      <c r="F6" s="18" t="inlineStr">
        <is>
          <t>Ввод</t>
        </is>
      </c>
    </row>
    <row r="7" customFormat="1" s="36">
      <c r="A7" s="23" t="inlineStr">
        <is>
          <t>Валюта</t>
        </is>
      </c>
      <c r="B7" s="24" t="inlineStr">
        <is>
          <t>BYN</t>
        </is>
      </c>
      <c r="C7" s="25" t="n"/>
      <c r="D7" s="25" t="inlineStr">
        <is>
          <t>Валюта расчетов</t>
        </is>
      </c>
      <c r="E7" s="25" t="inlineStr">
        <is>
          <t>Можно заменить</t>
        </is>
      </c>
      <c r="F7" s="18" t="inlineStr">
        <is>
          <t>Ввод</t>
        </is>
      </c>
    </row>
    <row r="8" customFormat="1" s="36">
      <c r="A8" s="23" t="inlineStr">
        <is>
          <t>Средний годовой чек</t>
        </is>
      </c>
      <c r="B8" s="28" t="n">
        <v>121.14</v>
      </c>
      <c r="C8" s="25" t="inlineStr">
        <is>
          <t>BYN/клиент/год</t>
        </is>
      </c>
      <c r="D8" s="25" t="inlineStr">
        <is>
          <t>Денежный расчет рынка услуг</t>
        </is>
      </c>
      <c r="E8" s="25" t="inlineStr">
        <is>
          <t>Pro: 40 у.е. × 3,0285 (НБРБ, 30.09.2026); альтернатива 48 у.е./год = 145,37 BYN</t>
        </is>
      </c>
      <c r="F8" s="18" t="inlineStr">
        <is>
          <t>Ввод</t>
        </is>
      </c>
    </row>
    <row r="9" customFormat="1" s="36">
      <c r="A9" s="23" t="inlineStr">
        <is>
          <t>Среднее число покупок в год</t>
        </is>
      </c>
      <c r="B9" s="28" t="n">
        <v>1</v>
      </c>
      <c r="C9" s="25" t="inlineStr">
        <is>
          <t>раз</t>
        </is>
      </c>
      <c r="D9" s="25" t="inlineStr">
        <is>
          <t>Для товарных и сервисных моделей</t>
        </is>
      </c>
      <c r="E9" s="25" t="inlineStr">
        <is>
          <t>Годовой тариф — одна оплата в год (в формулах не используется)</t>
        </is>
      </c>
      <c r="F9" s="18" t="inlineStr">
        <is>
          <t>Ввод</t>
        </is>
      </c>
    </row>
    <row r="10" customFormat="1" s="36">
      <c r="A10" s="23" t="inlineStr">
        <is>
          <t>Конверсия визита в заявку</t>
        </is>
      </c>
      <c r="B10" s="28" t="n">
        <v>0.025</v>
      </c>
      <c r="C10" s="25" t="inlineStr">
        <is>
          <t>доля</t>
        </is>
      </c>
      <c r="D10" s="25" t="inlineStr">
        <is>
          <t>Воронка Similarweb</t>
        </is>
      </c>
      <c r="E10" s="25" t="inlineStr">
        <is>
          <t>Посетитель → регистрация; значение шаблона (Word СВ табл. 22 — 2–6 %)</t>
        </is>
      </c>
      <c r="F10" s="18" t="inlineStr">
        <is>
          <t>Ввод</t>
        </is>
      </c>
    </row>
    <row r="11" ht="28.5" customFormat="1" customHeight="1" s="36">
      <c r="A11" s="23" t="inlineStr">
        <is>
          <t>Конверсия заявки в продажу</t>
        </is>
      </c>
      <c r="B11" s="28" t="n">
        <v>0.04</v>
      </c>
      <c r="C11" s="25" t="inlineStr">
        <is>
          <t>доля</t>
        </is>
      </c>
      <c r="D11" s="25" t="inlineStr">
        <is>
          <t>Воронка Similarweb</t>
        </is>
      </c>
      <c r="E11" s="25" t="inlineStr">
        <is>
          <t>Регистрация → оплата Pro: допущение проекта (Free → Pro 3–5 %); шкалы методик для услуг неприменимы</t>
        </is>
      </c>
      <c r="F11" s="18" t="inlineStr">
        <is>
          <t>Ввод</t>
        </is>
      </c>
    </row>
    <row r="12" customFormat="1" s="36">
      <c r="A12" s="23" t="inlineStr">
        <is>
          <t>Коэффициент повторных продаж</t>
        </is>
      </c>
      <c r="B12" s="28" t="n">
        <v>1.2</v>
      </c>
      <c r="C12" s="25" t="inlineStr">
        <is>
          <t>раз</t>
        </is>
      </c>
      <c r="D12" s="25" t="inlineStr">
        <is>
          <t>Уточнение годовой выручки</t>
        </is>
      </c>
      <c r="E12" s="25" t="inlineStr">
        <is>
          <t>Шкала шаблона; срок удержания — допущение</t>
        </is>
      </c>
      <c r="F12" s="18" t="inlineStr">
        <is>
          <t>Ввод</t>
        </is>
      </c>
    </row>
    <row r="13" ht="28.5" customFormat="1" customHeight="1" s="36">
      <c r="A13" s="23" t="inlineStr">
        <is>
          <t>Корректировка на неполную выборку конкурентов</t>
        </is>
      </c>
      <c r="B13" s="28" t="n">
        <v>1.15</v>
      </c>
      <c r="C13" s="25" t="inlineStr">
        <is>
          <t>коэффициент</t>
        </is>
      </c>
      <c r="D13" s="25" t="inlineStr">
        <is>
          <t>Учитывает конкурентов вне выборки</t>
        </is>
      </c>
      <c r="E13" s="25" t="inlineStr">
        <is>
          <t>Значение шаблона; в варианте Word — явное покрытие 0,5 / 0,7 / 0,9</t>
        </is>
      </c>
      <c r="F13" s="18" t="inlineStr">
        <is>
          <t>Ввод</t>
        </is>
      </c>
    </row>
    <row r="14" customFormat="1" s="36">
      <c r="A14" s="23" t="inlineStr">
        <is>
          <t>Осторожный сценарий</t>
        </is>
      </c>
      <c r="B14" s="28" t="n">
        <v>0.6</v>
      </c>
      <c r="C14" s="25" t="inlineStr">
        <is>
          <t>коэффициент</t>
        </is>
      </c>
      <c r="D14" s="25" t="inlineStr">
        <is>
          <t>Понижающий коэффициент</t>
        </is>
      </c>
      <c r="E14" s="25" t="inlineStr">
        <is>
          <t>Риски низкой конверсии</t>
        </is>
      </c>
      <c r="F14" s="18" t="inlineStr">
        <is>
          <t>Сценарий</t>
        </is>
      </c>
    </row>
    <row r="15" customFormat="1" s="36">
      <c r="A15" s="23" t="inlineStr">
        <is>
          <t>Базовый сценарий</t>
        </is>
      </c>
      <c r="B15" s="28" t="n">
        <v>1</v>
      </c>
      <c r="C15" s="25" t="inlineStr">
        <is>
          <t>коэффициент</t>
        </is>
      </c>
      <c r="D15" s="25" t="inlineStr">
        <is>
          <t>Базовый расчет</t>
        </is>
      </c>
      <c r="E15" s="25" t="inlineStr">
        <is>
          <t>Основной сценарий</t>
        </is>
      </c>
      <c r="F15" s="18" t="inlineStr">
        <is>
          <t>Сценарий</t>
        </is>
      </c>
    </row>
    <row r="16" customFormat="1" s="36">
      <c r="A16" s="29" t="inlineStr">
        <is>
          <t>Оптимистичный сценарий</t>
        </is>
      </c>
      <c r="B16" s="30" t="n">
        <v>1.4</v>
      </c>
      <c r="C16" s="31" t="inlineStr">
        <is>
          <t>коэффициент</t>
        </is>
      </c>
      <c r="D16" s="31" t="inlineStr">
        <is>
          <t>Повышающий коэффициент</t>
        </is>
      </c>
      <c r="E16" s="31" t="inlineStr">
        <is>
          <t>Высокий спрос/лучшие конверсии</t>
        </is>
      </c>
      <c r="F16" s="20" t="inlineStr">
        <is>
          <t>Сценарий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F20" sqref="F20"/>
    </sheetView>
  </sheetViews>
  <sheetFormatPr baseColWidth="8" defaultRowHeight="14.25"/>
  <cols>
    <col width="50" customWidth="1" style="13" min="1" max="1"/>
    <col width="18" customWidth="1" style="13" min="2" max="4"/>
    <col width="16" customWidth="1" style="13" min="5" max="5"/>
    <col width="57.875" customWidth="1" style="13" min="6" max="6"/>
    <col width="16" customWidth="1" style="13" min="7" max="7"/>
  </cols>
  <sheetData>
    <row r="1" ht="27.95" customHeight="1" s="13">
      <c r="A1" s="56" t="inlineStr">
        <is>
          <t>Методика «сверху вниз»</t>
        </is>
      </c>
    </row>
    <row r="2" ht="24" customHeight="1" s="13">
      <c r="A2" s="57" t="inlineStr">
        <is>
          <t>От общего показателя рынка к доступному цифровому сегменту</t>
        </is>
      </c>
    </row>
    <row r="4" ht="26.1" customHeight="1" s="13">
      <c r="A4" s="3" t="inlineStr">
        <is>
          <t>Показатель</t>
        </is>
      </c>
      <c r="B4" s="4" t="inlineStr">
        <is>
          <t>Осторожный</t>
        </is>
      </c>
      <c r="C4" s="4" t="inlineStr">
        <is>
          <t>Базовый</t>
        </is>
      </c>
      <c r="D4" s="4" t="inlineStr">
        <is>
          <t>Оптимистичный</t>
        </is>
      </c>
      <c r="E4" s="4" t="inlineStr">
        <is>
          <t>Единица</t>
        </is>
      </c>
      <c r="F4" s="4" t="inlineStr">
        <is>
          <t>Источник / комментарий</t>
        </is>
      </c>
      <c r="G4" s="5" t="inlineStr">
        <is>
          <t>Тип</t>
        </is>
      </c>
    </row>
    <row r="5" ht="42.75" customHeight="1" s="13">
      <c r="A5" s="23" t="inlineStr">
        <is>
          <t>Общий ориентир: число потенциальных организаций/клиентов</t>
        </is>
      </c>
      <c r="B5" s="26" t="n">
        <v>376649</v>
      </c>
      <c r="C5" s="26" t="n">
        <v>376649</v>
      </c>
      <c r="D5" s="26" t="n">
        <v>376649</v>
      </c>
      <c r="E5" s="25" t="inlineStr">
        <is>
          <t>ед</t>
        </is>
      </c>
      <c r="F5" s="25" t="inlineStr">
        <is>
          <t>Численность целевых групп по статистике РБ: студенты 229,0 тыс. + работники цифровой экономики 130,5 тыс. + ППС 17,1 тыс. (ИНСТР §7.1: число пользователей)</t>
        </is>
      </c>
      <c r="G5" s="18" t="inlineStr">
        <is>
          <t>Ввод</t>
        </is>
      </c>
    </row>
    <row r="6" ht="28.5" customHeight="1" s="13">
      <c r="A6" s="23" t="inlineStr">
        <is>
          <t>Доля клиентов в продуктовых границах рынка</t>
        </is>
      </c>
      <c r="B6" s="27" t="n">
        <v>0.15</v>
      </c>
      <c r="C6" s="27" t="n">
        <v>0.3</v>
      </c>
      <c r="D6" s="27" t="n">
        <v>0.5</v>
      </c>
      <c r="E6" s="25" t="inlineStr">
        <is>
          <t>доля</t>
        </is>
      </c>
      <c r="F6" s="25" t="inlineStr">
        <is>
          <t>К1 по ПК табл. 7: 15 / 30 / 50 % (середины диапазонов сценариев)</t>
        </is>
      </c>
      <c r="G6" s="18" t="inlineStr">
        <is>
          <t>Ввод</t>
        </is>
      </c>
    </row>
    <row r="7">
      <c r="A7" s="23" t="inlineStr">
        <is>
          <t>Доля клиентов в выбранной географии</t>
        </is>
      </c>
      <c r="B7" s="27" t="n">
        <v>1</v>
      </c>
      <c r="C7" s="27" t="n">
        <v>1</v>
      </c>
      <c r="D7" s="27" t="n">
        <v>1</v>
      </c>
      <c r="E7" s="25" t="inlineStr">
        <is>
          <t>доля</t>
        </is>
      </c>
      <c r="F7" s="25" t="inlineStr">
        <is>
          <t>Исходные данные уже по Республике Беларусь — 1,0</t>
        </is>
      </c>
      <c r="G7" s="18" t="inlineStr">
        <is>
          <t>Ввод</t>
        </is>
      </c>
    </row>
    <row r="8">
      <c r="A8" s="23" t="inlineStr">
        <is>
          <t>Доля клиентов, доступных через цифровые каналы</t>
        </is>
      </c>
      <c r="B8" s="27" t="n">
        <v>0.3</v>
      </c>
      <c r="C8" s="27" t="n">
        <v>0.55</v>
      </c>
      <c r="D8" s="27" t="n">
        <v>0.8</v>
      </c>
      <c r="E8" s="25" t="inlineStr">
        <is>
          <t>доля</t>
        </is>
      </c>
      <c r="F8" s="25" t="inlineStr">
        <is>
          <t>К3 по ПК табл. 7: 30 / 55 / 80 %</t>
        </is>
      </c>
      <c r="G8" s="18" t="inlineStr">
        <is>
          <t>Ввод</t>
        </is>
      </c>
    </row>
    <row r="9" ht="28.5" customHeight="1" s="13">
      <c r="A9" s="23" t="inlineStr">
        <is>
          <t>Доля клиентов с вероятной потребностью</t>
        </is>
      </c>
      <c r="B9" s="27" t="n">
        <v>0.0075</v>
      </c>
      <c r="C9" s="27" t="n">
        <v>0.039375</v>
      </c>
      <c r="D9" s="27" t="n">
        <v>0.13</v>
      </c>
      <c r="E9" s="25" t="inlineStr">
        <is>
          <t>доля</t>
        </is>
      </c>
      <c r="F9" s="25" t="inlineStr">
        <is>
          <t>К2 × К4 (потребность × готовность платить) по ПК табл. 7: 10×7,5 % / 22,5×17,5 % / 40×32,5 %</t>
        </is>
      </c>
      <c r="G9" s="18" t="inlineStr">
        <is>
          <t>Ввод</t>
        </is>
      </c>
    </row>
    <row r="10">
      <c r="A10" s="23" t="inlineStr">
        <is>
          <t>Средний годовой чек</t>
        </is>
      </c>
      <c r="B10" s="37">
        <f>'01_Параметры'!B8</f>
        <v/>
      </c>
      <c r="C10" s="37">
        <f>'01_Параметры'!B8</f>
        <v/>
      </c>
      <c r="D10" s="37">
        <f>'01_Параметры'!B8</f>
        <v/>
      </c>
      <c r="E10" s="25" t="inlineStr">
        <is>
          <t>BYN</t>
        </is>
      </c>
      <c r="F10" s="25" t="inlineStr">
        <is>
          <t>Подтягивается из параметров</t>
        </is>
      </c>
      <c r="G10" s="18" t="inlineStr">
        <is>
          <t>Формула</t>
        </is>
      </c>
    </row>
    <row r="11">
      <c r="A11" s="23" t="inlineStr">
        <is>
          <t>Расчетное число клиентов рынка</t>
        </is>
      </c>
      <c r="B11" s="37">
        <f>B5*B6*B7*B8*B9</f>
        <v/>
      </c>
      <c r="C11" s="37">
        <f>C5*C6*C7*C8*C9</f>
        <v/>
      </c>
      <c r="D11" s="37">
        <f>D5*D6*D7*D8*D9</f>
        <v/>
      </c>
      <c r="E11" s="25" t="inlineStr">
        <is>
          <t>клиенты</t>
        </is>
      </c>
      <c r="F11" s="25" t="inlineStr">
        <is>
          <t>Сужение общего рынка до достижимой базы</t>
        </is>
      </c>
      <c r="G11" s="18" t="inlineStr">
        <is>
          <t>Формула</t>
        </is>
      </c>
    </row>
    <row r="12">
      <c r="A12" s="29" t="inlineStr">
        <is>
          <t>Оценка годового объема рынка</t>
        </is>
      </c>
      <c r="B12" s="38">
        <f>B11*B10</f>
        <v/>
      </c>
      <c r="C12" s="38">
        <f>C11*C10</f>
        <v/>
      </c>
      <c r="D12" s="38">
        <f>D11*D10</f>
        <v/>
      </c>
      <c r="E12" s="31" t="inlineStr">
        <is>
          <t>BYN/год</t>
        </is>
      </c>
      <c r="F12" s="31" t="inlineStr">
        <is>
          <t>Клиенты × средний годовой чек</t>
        </is>
      </c>
      <c r="G12" s="20" t="inlineStr">
        <is>
          <t>Формула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22" sqref="A22"/>
    </sheetView>
  </sheetViews>
  <sheetFormatPr baseColWidth="8" defaultRowHeight="14.25"/>
  <cols>
    <col width="43.625" customWidth="1" style="13" min="1" max="1"/>
    <col width="18" customWidth="1" style="13" min="2" max="3"/>
    <col width="20" customWidth="1" style="13" min="4" max="4"/>
    <col width="14" customWidth="1" style="13" min="5" max="5"/>
    <col width="16" customWidth="1" style="13" min="6" max="6"/>
    <col width="16.375" customWidth="1" style="13" min="7" max="7"/>
    <col width="16" customWidth="1" style="13" min="8" max="8"/>
    <col width="63.25" customWidth="1" style="13" min="9" max="9"/>
    <col width="18" customWidth="1" style="13" min="10" max="10"/>
  </cols>
  <sheetData>
    <row r="1" ht="27.95" customHeight="1" s="13">
      <c r="A1" s="56" t="inlineStr">
        <is>
          <t>Методика «снизу вверх»</t>
        </is>
      </c>
    </row>
    <row r="2" ht="24" customHeight="1" s="13">
      <c r="A2" s="57" t="inlineStr">
        <is>
          <t>Расчет через клиентские сегменты, средний чек и частоту покупки</t>
        </is>
      </c>
    </row>
    <row r="4" ht="48.75" customHeight="1" s="13">
      <c r="A4" s="3" t="inlineStr">
        <is>
          <t>Сегмент клиентов</t>
        </is>
      </c>
      <c r="B4" s="4" t="inlineStr">
        <is>
          <t>Потенциальные клиенты</t>
        </is>
      </c>
      <c r="C4" s="4" t="inlineStr">
        <is>
          <t>Доля с потребностью</t>
        </is>
      </c>
      <c r="D4" s="4" t="inlineStr">
        <is>
          <t>Цифровая доступность</t>
        </is>
      </c>
      <c r="E4" s="4" t="inlineStr">
        <is>
          <t>Покупок/год</t>
        </is>
      </c>
      <c r="F4" s="4" t="inlineStr">
        <is>
          <t>Средний чек</t>
        </is>
      </c>
      <c r="G4" s="4" t="inlineStr">
        <is>
          <t>Годовой объем</t>
        </is>
      </c>
      <c r="H4" s="4" t="inlineStr">
        <is>
          <t>Доля сегмента</t>
        </is>
      </c>
      <c r="I4" s="4" t="inlineStr">
        <is>
          <t>Источник/комментарий</t>
        </is>
      </c>
      <c r="J4" s="5" t="inlineStr">
        <is>
          <t>Статус</t>
        </is>
      </c>
    </row>
    <row r="5" ht="28.5" customHeight="1" s="13">
      <c r="A5" s="23" t="inlineStr">
        <is>
          <t>S-01 Студенты технических и экономических специальностей</t>
        </is>
      </c>
      <c r="B5" s="26" t="n">
        <v>68700</v>
      </c>
      <c r="C5" s="27" t="n">
        <v>0.019688</v>
      </c>
      <c r="D5" s="27" t="n">
        <v>0.55</v>
      </c>
      <c r="E5" s="24" t="n">
        <v>1</v>
      </c>
      <c r="F5" s="26" t="n">
        <v>121.14</v>
      </c>
      <c r="G5" s="37">
        <f>B5*C5*D5*E5*F5</f>
        <v/>
      </c>
      <c r="H5" s="41">
        <f>G5/SUM($G\$5:$G\$10)</f>
        <v/>
      </c>
      <c r="I5" s="25" t="inlineStr">
        <is>
          <t>Белстат, «Образование в Республике Беларусь, 2026», табл. 7.1 (229,0 тыс., 2025/26); C = К2 × К4 (потребность и готовность платить)</t>
        </is>
      </c>
      <c r="J5" s="18" t="inlineStr">
        <is>
          <t>Допущение</t>
        </is>
      </c>
    </row>
    <row r="6" ht="28.5" customHeight="1" s="13">
      <c r="A6" s="23" t="inlineStr">
        <is>
          <t>S-02/S-03 Аналитики, архитекторы ПО и разработчики</t>
        </is>
      </c>
      <c r="B6" s="26" t="n">
        <v>39165</v>
      </c>
      <c r="C6" s="27" t="n">
        <v>0.039375</v>
      </c>
      <c r="D6" s="27" t="n">
        <v>0.55</v>
      </c>
      <c r="E6" s="24" t="n">
        <v>1</v>
      </c>
      <c r="F6" s="26" t="n">
        <v>121.14</v>
      </c>
      <c r="G6" s="37">
        <f>B6*C6*D6*E6*F6</f>
        <v/>
      </c>
      <c r="H6" s="41">
        <f>G6/SUM($G\$5:$G\$10)</f>
        <v/>
      </c>
      <c r="I6" s="25" t="inlineStr">
        <is>
          <t>Белстат, работники организаций цифровой экономики, 2024 (130 549); C = К2 × К4 (потребность и готовность платить)</t>
        </is>
      </c>
      <c r="J6" s="18" t="inlineStr">
        <is>
          <t>Допущение</t>
        </is>
      </c>
    </row>
    <row r="7" ht="28.5" customHeight="1" s="13">
      <c r="A7" s="23" t="inlineStr">
        <is>
          <t>S-04 Преподаватели технических дисциплин</t>
        </is>
      </c>
      <c r="B7" s="26" t="n">
        <v>3420</v>
      </c>
      <c r="C7" s="27" t="n">
        <v>0.0225</v>
      </c>
      <c r="D7" s="27" t="n">
        <v>0.55</v>
      </c>
      <c r="E7" s="24" t="n">
        <v>1</v>
      </c>
      <c r="F7" s="26" t="n">
        <v>121.14</v>
      </c>
      <c r="G7" s="37">
        <f>B7*C7*D7*E7*F7</f>
        <v/>
      </c>
      <c r="H7" s="41">
        <f>G7/SUM($G\$5:$G\$10)</f>
        <v/>
      </c>
      <c r="I7" s="25" t="inlineStr">
        <is>
          <t>Белстат, ППС вузов (17,1 тыс., 2025/26); доля технических дисциплин неизвестна; C = К2 × К4 (потребность и готовность платить)</t>
        </is>
      </c>
      <c r="J7" s="18" t="inlineStr">
        <is>
          <t>Допущение</t>
        </is>
      </c>
    </row>
    <row r="8">
      <c r="A8" s="23" t="n"/>
      <c r="B8" s="26" t="n"/>
      <c r="C8" s="27" t="n"/>
      <c r="D8" s="27" t="n"/>
      <c r="E8" s="24" t="n"/>
      <c r="F8" s="26" t="n"/>
      <c r="G8" s="37">
        <f>B8*C8*D8*E8*F8</f>
        <v/>
      </c>
      <c r="H8" s="41">
        <f>G8/SUM($G\$5:$G\$10)</f>
        <v/>
      </c>
      <c r="I8" s="25" t="n"/>
      <c r="J8" s="18" t="n"/>
    </row>
    <row r="9">
      <c r="A9" s="23" t="n"/>
      <c r="B9" s="26" t="n"/>
      <c r="C9" s="27" t="n"/>
      <c r="D9" s="27" t="n"/>
      <c r="E9" s="24" t="n"/>
      <c r="F9" s="26" t="n"/>
      <c r="G9" s="37">
        <f>B9*C9*D9*E9*F9</f>
        <v/>
      </c>
      <c r="H9" s="41">
        <f>G9/SUM($G\$5:$G\$10)</f>
        <v/>
      </c>
      <c r="I9" s="25" t="n"/>
      <c r="J9" s="18" t="n"/>
    </row>
    <row r="10">
      <c r="A10" s="23" t="n"/>
      <c r="B10" s="26" t="n"/>
      <c r="C10" s="27" t="n"/>
      <c r="D10" s="27" t="n"/>
      <c r="E10" s="24" t="n"/>
      <c r="F10" s="26" t="n"/>
      <c r="G10" s="37">
        <f>B10*C10*D10*E10*F10</f>
        <v/>
      </c>
      <c r="H10" s="41">
        <f>G10/SUM($G\$5:$G\$10)</f>
        <v/>
      </c>
      <c r="I10" s="25" t="n"/>
      <c r="J10" s="18" t="n"/>
    </row>
    <row r="11">
      <c r="A11" s="29" t="inlineStr">
        <is>
          <t>ИТОГО</t>
        </is>
      </c>
      <c r="B11" s="42">
        <f>SUM(B5:B10)</f>
        <v/>
      </c>
      <c r="C11" s="31" t="n"/>
      <c r="D11" s="31" t="n"/>
      <c r="E11" s="31" t="n"/>
      <c r="F11" s="42" t="n"/>
      <c r="G11" s="38">
        <f>SUM(G5:G10)</f>
        <v/>
      </c>
      <c r="H11" s="43">
        <f>SUM(H5:H10)</f>
        <v/>
      </c>
      <c r="I11" s="31" t="n"/>
      <c r="J11" s="20" t="n"/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D23" sqref="D23"/>
    </sheetView>
  </sheetViews>
  <sheetFormatPr baseColWidth="8" defaultRowHeight="14.25"/>
  <cols>
    <col width="20.25" customWidth="1" style="13" min="1" max="1"/>
    <col width="17.5" customWidth="1" style="13" min="2" max="2"/>
    <col width="18" customWidth="1" style="13" min="3" max="3"/>
    <col width="22" customWidth="1" style="13" min="4" max="5"/>
    <col width="24" customWidth="1" style="13" min="6" max="6"/>
    <col width="22" customWidth="1" style="13" min="7" max="9"/>
    <col width="16" customWidth="1" style="13" min="10" max="10"/>
    <col width="54" customWidth="1" style="13" min="11" max="11"/>
    <col width="16" customWidth="1" style="13" min="12" max="12"/>
    <col width="93.875" customWidth="1" style="13" min="13" max="13"/>
  </cols>
  <sheetData>
    <row r="1" ht="27.95" customHeight="1" s="13">
      <c r="A1" s="56" t="inlineStr">
        <is>
          <t>Данные Similarweb по конкурентам</t>
        </is>
      </c>
    </row>
    <row r="2" ht="24" customHeight="1" s="13">
      <c r="A2" s="57" t="inlineStr">
        <is>
          <t>Вводятся доступные оценочные данные: посещаемость, география, каналы, релевантность</t>
        </is>
      </c>
    </row>
    <row r="3"/>
    <row r="4" ht="46.5" customHeight="1" s="13">
      <c r="A4" s="3" t="inlineStr">
        <is>
          <t>Домен / сайт</t>
        </is>
      </c>
      <c r="B4" s="4" t="inlineStr">
        <is>
          <t>Тип конкурента</t>
        </is>
      </c>
      <c r="C4" s="4" t="inlineStr">
        <is>
          <t>Месячные визиты</t>
        </is>
      </c>
      <c r="D4" s="4" t="inlineStr">
        <is>
          <t>Доля целевой географии</t>
        </is>
      </c>
      <c r="E4" s="4" t="inlineStr">
        <is>
          <t>Доля релевантных каналов</t>
        </is>
      </c>
      <c r="F4" s="4" t="inlineStr">
        <is>
          <t>Коммерческая релевантность</t>
        </is>
      </c>
      <c r="G4" s="4" t="inlineStr">
        <is>
          <t>Коэффициент вовлеченности</t>
        </is>
      </c>
      <c r="H4" s="4" t="inlineStr">
        <is>
          <t>Релевантные визиты/мес</t>
        </is>
      </c>
      <c r="I4" s="4" t="inlineStr">
        <is>
          <t>Релевантные визиты/год</t>
        </is>
      </c>
      <c r="J4" s="4" t="inlineStr">
        <is>
          <t>Доля трафика</t>
        </is>
      </c>
      <c r="K4" s="4" t="inlineStr">
        <is>
          <t>Источник данных</t>
        </is>
      </c>
      <c r="L4" s="4" t="inlineStr">
        <is>
          <t>Дата фиксации</t>
        </is>
      </c>
      <c r="M4" s="5" t="inlineStr">
        <is>
          <t>Комментарий</t>
        </is>
      </c>
    </row>
    <row r="5" ht="28.5" customHeight="1" s="13">
      <c r="A5" s="45" t="inlineStr">
        <is>
          <t>plantuml.com</t>
        </is>
      </c>
      <c r="B5" s="24" t="inlineStr">
        <is>
          <t>Прямой</t>
        </is>
      </c>
      <c r="C5" s="26" t="n">
        <v>507000</v>
      </c>
      <c r="D5" s="27" t="n">
        <v>0.001958</v>
      </c>
      <c r="E5" s="27" t="n">
        <v>0.75</v>
      </c>
      <c r="F5" s="27" t="n">
        <v>0.35</v>
      </c>
      <c r="G5" s="27" t="n">
        <v>1</v>
      </c>
      <c r="H5" s="37">
        <f>C5*D5*E5*F5*G5</f>
        <v/>
      </c>
      <c r="I5" s="37">
        <f>H5*12</f>
        <v/>
      </c>
      <c r="J5" s="41">
        <f>I5/SUM($I\$5:$I\$14)</f>
        <v/>
      </c>
      <c r="K5" s="24" t="inlineStr">
        <is>
          <t>https://www.similarweb.com/website/plantuml.com/</t>
        </is>
      </c>
      <c r="L5" s="58" t="inlineStr">
        <is>
          <t>29.09.2026</t>
        </is>
      </c>
      <c r="M5" s="47" t="inlineStr">
        <is>
          <t>ФАКТ (Similarweb, авг. 2026, скриншот); доля РБ — допущение Д-01; коммерческая релевантность 35 % (М2 табл. 21, базовый); вовлечённость 1,0</t>
        </is>
      </c>
    </row>
    <row r="6" ht="28.5" customHeight="1" s="13">
      <c r="A6" s="45" t="inlineStr">
        <is>
          <t>app.diagrams.net</t>
        </is>
      </c>
      <c r="B6" s="24" t="inlineStr">
        <is>
          <t>Заменитель</t>
        </is>
      </c>
      <c r="C6" s="26" t="n">
        <v>7800000</v>
      </c>
      <c r="D6" s="27" t="n">
        <v>0.001958</v>
      </c>
      <c r="E6" s="27" t="n">
        <v>0.35</v>
      </c>
      <c r="F6" s="27" t="n">
        <v>0.35</v>
      </c>
      <c r="G6" s="27" t="n">
        <v>1</v>
      </c>
      <c r="H6" s="37">
        <f>C6*D6*E6*F6*G6</f>
        <v/>
      </c>
      <c r="I6" s="37">
        <f>H6*12</f>
        <v/>
      </c>
      <c r="J6" s="41">
        <f>I6/SUM($I\$5:$I\$14)</f>
        <v/>
      </c>
      <c r="K6" s="24" t="inlineStr">
        <is>
          <t>https://www.similarweb.com/website/app.diagrams.net/</t>
        </is>
      </c>
      <c r="L6" s="58" t="inlineStr">
        <is>
          <t>29.09.2026</t>
        </is>
      </c>
      <c r="M6" s="47" t="inlineStr">
        <is>
          <t>отчёт ЛР1, без скриншота; доля РБ — допущение Д-01; коммерческая релевантность 35 % (М2 табл. 21, базовый); вовлечённость 1,0</t>
        </is>
      </c>
    </row>
    <row r="7" ht="28.5" customHeight="1" s="13">
      <c r="A7" s="45" t="inlineStr">
        <is>
          <t>eraser.io</t>
        </is>
      </c>
      <c r="B7" s="24" t="inlineStr">
        <is>
          <t>Прямой</t>
        </is>
      </c>
      <c r="C7" s="26" t="n">
        <v>678500</v>
      </c>
      <c r="D7" s="27" t="n">
        <v>0.001958</v>
      </c>
      <c r="E7" s="27" t="n">
        <v>0.5</v>
      </c>
      <c r="F7" s="27" t="n">
        <v>0.35</v>
      </c>
      <c r="G7" s="27" t="n">
        <v>1</v>
      </c>
      <c r="H7" s="37">
        <f>C7*D7*E7*F7*G7</f>
        <v/>
      </c>
      <c r="I7" s="37">
        <f>H7*12</f>
        <v/>
      </c>
      <c r="J7" s="41">
        <f>I7/SUM($I\$5:$I\$14)</f>
        <v/>
      </c>
      <c r="K7" s="24" t="inlineStr">
        <is>
          <t>https://www.similarweb.com/website/eraser.io/</t>
        </is>
      </c>
      <c r="L7" s="58" t="inlineStr">
        <is>
          <t>29.09.2026</t>
        </is>
      </c>
      <c r="M7" s="47" t="inlineStr">
        <is>
          <t>предварительный замер 17–23.09.2026, не подтверждён; доля РБ — допущение Д-01; коммерческая релевантность 35 % (М2 табл. 21, базовый); вовлечённость 1,0</t>
        </is>
      </c>
    </row>
    <row r="8" ht="28.5" customHeight="1" s="13">
      <c r="A8" s="45" t="inlineStr">
        <is>
          <t>mermaidchart.com</t>
        </is>
      </c>
      <c r="B8" s="24" t="inlineStr">
        <is>
          <t>Прямой</t>
        </is>
      </c>
      <c r="C8" s="26" t="n">
        <v>20000</v>
      </c>
      <c r="D8" s="27" t="n">
        <v>0.001958</v>
      </c>
      <c r="E8" s="27" t="n">
        <v>0.7</v>
      </c>
      <c r="F8" s="27" t="n">
        <v>0.35</v>
      </c>
      <c r="G8" s="27" t="n">
        <v>1</v>
      </c>
      <c r="H8" s="37">
        <f>C8*D8*E8*F8*G8</f>
        <v/>
      </c>
      <c r="I8" s="37">
        <f>H8*12</f>
        <v/>
      </c>
      <c r="J8" s="41">
        <f>I8/SUM($I\$5:$I\$14)</f>
        <v/>
      </c>
      <c r="K8" s="24" t="inlineStr">
        <is>
          <t>https://www.similarweb.com/website/mermaidchart.com/</t>
        </is>
      </c>
      <c r="L8" s="58" t="inlineStr">
        <is>
          <t>29.09.2026</t>
        </is>
      </c>
      <c r="M8" s="47" t="inlineStr">
        <is>
          <t>предварительный замер: «менее 20 тыс.» (верхняя граница), не подтверждён; доля РБ — допущение Д-01; коммерческая релевантность 35 % (М2 табл. 21, базовый); вовлечённость 1,0</t>
        </is>
      </c>
    </row>
    <row r="9">
      <c r="A9" s="45" t="n"/>
      <c r="B9" s="24" t="n"/>
      <c r="C9" s="26" t="n"/>
      <c r="D9" s="27" t="n"/>
      <c r="E9" s="27" t="n"/>
      <c r="F9" s="27" t="n"/>
      <c r="G9" s="27" t="n"/>
      <c r="H9" s="37">
        <f>C9*D9*E9*F9*G9</f>
        <v/>
      </c>
      <c r="I9" s="37">
        <f>H9*12</f>
        <v/>
      </c>
      <c r="J9" s="41">
        <f>I9/SUM($I\$5:$I\$14)</f>
        <v/>
      </c>
      <c r="K9" s="24" t="n"/>
      <c r="L9" s="24" t="n"/>
      <c r="M9" s="47" t="n"/>
    </row>
    <row r="10">
      <c r="A10" s="45" t="n"/>
      <c r="B10" s="24" t="n"/>
      <c r="C10" s="26" t="n"/>
      <c r="D10" s="27" t="n"/>
      <c r="E10" s="27" t="n"/>
      <c r="F10" s="27" t="n"/>
      <c r="G10" s="27" t="n"/>
      <c r="H10" s="37">
        <f>C10*D10*E10*F10*G10</f>
        <v/>
      </c>
      <c r="I10" s="37">
        <f>H10*12</f>
        <v/>
      </c>
      <c r="J10" s="41">
        <f>IFERROR(I10/SUM($I\$5:$I\$14),0)</f>
        <v/>
      </c>
      <c r="K10" s="24" t="n"/>
      <c r="L10" s="24" t="n"/>
      <c r="M10" s="47" t="n"/>
    </row>
    <row r="11">
      <c r="A11" s="45" t="n"/>
      <c r="B11" s="24" t="n"/>
      <c r="C11" s="26" t="n"/>
      <c r="D11" s="27" t="n"/>
      <c r="E11" s="27" t="n"/>
      <c r="F11" s="27" t="n"/>
      <c r="G11" s="27" t="n"/>
      <c r="H11" s="37">
        <f>C11*D11*E11*F11*G11</f>
        <v/>
      </c>
      <c r="I11" s="37">
        <f>H11*12</f>
        <v/>
      </c>
      <c r="J11" s="41">
        <f>IFERROR(I11/SUM($I\$5:$I\$14),0)</f>
        <v/>
      </c>
      <c r="K11" s="24" t="n"/>
      <c r="L11" s="24" t="n"/>
      <c r="M11" s="47" t="n"/>
    </row>
    <row r="12">
      <c r="A12" s="45" t="n"/>
      <c r="B12" s="24" t="n"/>
      <c r="C12" s="26" t="n"/>
      <c r="D12" s="27" t="n"/>
      <c r="E12" s="27" t="n"/>
      <c r="F12" s="27" t="n"/>
      <c r="G12" s="27" t="n"/>
      <c r="H12" s="37">
        <f>C12*D12*E12*F12*G12</f>
        <v/>
      </c>
      <c r="I12" s="37">
        <f>H12*12</f>
        <v/>
      </c>
      <c r="J12" s="41">
        <f>IFERROR(I12/SUM($I\$5:$I\$14),0)</f>
        <v/>
      </c>
      <c r="K12" s="24" t="n"/>
      <c r="L12" s="24" t="n"/>
      <c r="M12" s="47" t="n"/>
    </row>
    <row r="13">
      <c r="A13" s="45" t="n"/>
      <c r="B13" s="24" t="n"/>
      <c r="C13" s="26" t="n"/>
      <c r="D13" s="27" t="n"/>
      <c r="E13" s="27" t="n"/>
      <c r="F13" s="27" t="n"/>
      <c r="G13" s="27" t="n"/>
      <c r="H13" s="37">
        <f>C13*D13*E13*F13*G13</f>
        <v/>
      </c>
      <c r="I13" s="37">
        <f>H13*12</f>
        <v/>
      </c>
      <c r="J13" s="41">
        <f>IFERROR(I13/SUM($I\$5:$I\$14),0)</f>
        <v/>
      </c>
      <c r="K13" s="24" t="n"/>
      <c r="L13" s="24" t="n"/>
      <c r="M13" s="47" t="n"/>
    </row>
    <row r="14">
      <c r="A14" s="45" t="n"/>
      <c r="B14" s="24" t="n"/>
      <c r="C14" s="26" t="n"/>
      <c r="D14" s="27" t="n"/>
      <c r="E14" s="27" t="n"/>
      <c r="F14" s="27" t="n"/>
      <c r="G14" s="27" t="n"/>
      <c r="H14" s="37">
        <f>C14*D14*E14*F14*G14</f>
        <v/>
      </c>
      <c r="I14" s="37">
        <f>H14*12</f>
        <v/>
      </c>
      <c r="J14" s="41">
        <f>IFERROR(I14/SUM($I\$5:$I\$14),0)</f>
        <v/>
      </c>
      <c r="K14" s="24" t="n"/>
      <c r="L14" s="24" t="n"/>
      <c r="M14" s="47" t="n"/>
    </row>
    <row r="15">
      <c r="A15" s="29" t="inlineStr">
        <is>
          <t>ИТОГО</t>
        </is>
      </c>
      <c r="B15" s="31" t="n"/>
      <c r="C15" s="42">
        <f>SUM(C5:C14)</f>
        <v/>
      </c>
      <c r="D15" s="31" t="n"/>
      <c r="E15" s="31" t="n"/>
      <c r="F15" s="31" t="n"/>
      <c r="G15" s="31" t="n"/>
      <c r="H15" s="38">
        <f>SUM(H5:H14)</f>
        <v/>
      </c>
      <c r="I15" s="38">
        <f>SUM(I5:I14)</f>
        <v/>
      </c>
      <c r="J15" s="43">
        <f>SUM(J5:J14)</f>
        <v/>
      </c>
      <c r="K15" s="31" t="n"/>
      <c r="L15" s="31" t="n"/>
      <c r="M15" s="20" t="n"/>
    </row>
  </sheetData>
  <mergeCells count="2">
    <mergeCell ref="A2:M2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B20" sqref="B20"/>
    </sheetView>
  </sheetViews>
  <sheetFormatPr baseColWidth="8" defaultRowHeight="14.25"/>
  <cols>
    <col width="42" customWidth="1" style="13" min="1" max="1"/>
    <col width="18" customWidth="1" style="13" min="2" max="4"/>
    <col width="16" customWidth="1" style="13" min="5" max="5"/>
    <col width="42" customWidth="1" style="13" min="6" max="6"/>
    <col width="40" customWidth="1" style="13" min="7" max="7"/>
  </cols>
  <sheetData>
    <row r="1" ht="27.95" customHeight="1" s="13">
      <c r="A1" s="56" t="inlineStr">
        <is>
          <t>Цифровая воронка на основе Similarweb</t>
        </is>
      </c>
    </row>
    <row r="2" ht="24" customHeight="1" s="13">
      <c r="A2" s="57" t="inlineStr">
        <is>
          <t>Релевантный трафик конкурентов переводится в оценку заявок, продаж и объема рынка</t>
        </is>
      </c>
    </row>
    <row r="4" ht="26.1" customHeight="1" s="13">
      <c r="A4" s="3" t="inlineStr">
        <is>
          <t>Показатель</t>
        </is>
      </c>
      <c r="B4" s="4" t="inlineStr">
        <is>
          <t>Осторожный</t>
        </is>
      </c>
      <c r="C4" s="4" t="inlineStr">
        <is>
          <t>Базовый</t>
        </is>
      </c>
      <c r="D4" s="4" t="inlineStr">
        <is>
          <t>Оптимистичный</t>
        </is>
      </c>
      <c r="E4" s="4" t="inlineStr">
        <is>
          <t>Единица</t>
        </is>
      </c>
      <c r="F4" s="4" t="inlineStr">
        <is>
          <t>Формула / источник</t>
        </is>
      </c>
      <c r="G4" s="5" t="inlineStr">
        <is>
          <t>Комментарий</t>
        </is>
      </c>
    </row>
    <row r="5">
      <c r="A5" s="32" t="inlineStr">
        <is>
          <t>Годовые релевантные визиты конкурентов</t>
        </is>
      </c>
      <c r="B5" s="39">
        <f>'04_Similarweb'!I15*'01_Параметры'!B14</f>
        <v/>
      </c>
      <c r="C5" s="39">
        <f>'04_Similarweb'!I15*'01_Параметры'!B15</f>
        <v/>
      </c>
      <c r="D5" s="39">
        <f>'04_Similarweb'!I15*'01_Параметры'!B16</f>
        <v/>
      </c>
      <c r="E5" s="33" t="inlineStr">
        <is>
          <t>визиты/год</t>
        </is>
      </c>
      <c r="F5" s="33" t="inlineStr">
        <is>
          <t>Сумма Similarweb × сценарный коэффициент</t>
        </is>
      </c>
      <c r="G5" s="21" t="inlineStr">
        <is>
          <t>Цифровой объем внимания</t>
        </is>
      </c>
    </row>
    <row r="6">
      <c r="A6" s="32" t="inlineStr">
        <is>
          <t>Корректировка на неполную выборку</t>
        </is>
      </c>
      <c r="B6" s="39">
        <f>'01_Параметры'!B13</f>
        <v/>
      </c>
      <c r="C6" s="39">
        <f>'01_Параметры'!B13</f>
        <v/>
      </c>
      <c r="D6" s="39">
        <f>'01_Параметры'!B13</f>
        <v/>
      </c>
      <c r="E6" s="33" t="inlineStr">
        <is>
          <t>коэф</t>
        </is>
      </c>
      <c r="F6" s="33" t="inlineStr">
        <is>
          <t>Параметры</t>
        </is>
      </c>
      <c r="G6" s="21" t="inlineStr">
        <is>
          <t>Если внесены не все конкуренты</t>
        </is>
      </c>
    </row>
    <row r="7">
      <c r="A7" s="32" t="inlineStr">
        <is>
          <t>Скорректированные релевантные визиты</t>
        </is>
      </c>
      <c r="B7" s="39">
        <f>B5*B6</f>
        <v/>
      </c>
      <c r="C7" s="39">
        <f>C5*C6</f>
        <v/>
      </c>
      <c r="D7" s="39">
        <f>D5*D6</f>
        <v/>
      </c>
      <c r="E7" s="33" t="inlineStr">
        <is>
          <t>визиты/год</t>
        </is>
      </c>
      <c r="F7" s="33" t="inlineStr">
        <is>
          <t>Визиты × корректировка</t>
        </is>
      </c>
      <c r="G7" s="21" t="inlineStr">
        <is>
          <t>Оценочный цифровой спрос</t>
        </is>
      </c>
    </row>
    <row r="8">
      <c r="A8" s="32" t="inlineStr">
        <is>
          <t>Конверсия визита в заявку</t>
        </is>
      </c>
      <c r="B8" s="44">
        <f>'01_Параметры'!B10*0.7</f>
        <v/>
      </c>
      <c r="C8" s="44">
        <f>'01_Параметры'!B10</f>
        <v/>
      </c>
      <c r="D8" s="44">
        <f>'01_Параметры'!B10*1.3</f>
        <v/>
      </c>
      <c r="E8" s="33" t="inlineStr">
        <is>
          <t>доля</t>
        </is>
      </c>
      <c r="F8" s="33" t="inlineStr">
        <is>
          <t>Параметры и сценарий</t>
        </is>
      </c>
      <c r="G8" s="21" t="inlineStr">
        <is>
          <t>Заменить реальными данными</t>
        </is>
      </c>
    </row>
    <row r="9">
      <c r="A9" s="32" t="inlineStr">
        <is>
          <t>Оценочное число заявок</t>
        </is>
      </c>
      <c r="B9" s="39">
        <f>B7*B8</f>
        <v/>
      </c>
      <c r="C9" s="39">
        <f>C7*C8</f>
        <v/>
      </c>
      <c r="D9" s="39">
        <f>D7*D8</f>
        <v/>
      </c>
      <c r="E9" s="33" t="inlineStr">
        <is>
          <t>заявки/год</t>
        </is>
      </c>
      <c r="F9" s="33" t="inlineStr">
        <is>
          <t>Визиты × конверсия в заявку</t>
        </is>
      </c>
      <c r="G9" s="21" t="n"/>
    </row>
    <row r="10">
      <c r="A10" s="32" t="inlineStr">
        <is>
          <t>Конверсия заявки в продажу</t>
        </is>
      </c>
      <c r="B10" s="39">
        <f>'01_Параметры'!B11*0.8</f>
        <v/>
      </c>
      <c r="C10" s="39">
        <f>'01_Параметры'!B11</f>
        <v/>
      </c>
      <c r="D10" s="39">
        <f>'01_Параметры'!B11*1.2</f>
        <v/>
      </c>
      <c r="E10" s="33" t="inlineStr">
        <is>
          <t>доля</t>
        </is>
      </c>
      <c r="F10" s="33" t="inlineStr">
        <is>
          <t>Параметры и сценарий</t>
        </is>
      </c>
      <c r="G10" s="21" t="n"/>
    </row>
    <row r="11">
      <c r="A11" s="32" t="inlineStr">
        <is>
          <t>Оценочное число продаж</t>
        </is>
      </c>
      <c r="B11" s="39">
        <f>B9*B10</f>
        <v/>
      </c>
      <c r="C11" s="39">
        <f>C9*C10</f>
        <v/>
      </c>
      <c r="D11" s="39">
        <f>D9*D10</f>
        <v/>
      </c>
      <c r="E11" s="33" t="inlineStr">
        <is>
          <t>продажи/год</t>
        </is>
      </c>
      <c r="F11" s="33" t="inlineStr">
        <is>
          <t>Заявки × конверсия в продажу</t>
        </is>
      </c>
      <c r="G11" s="21" t="n"/>
    </row>
    <row r="12">
      <c r="A12" s="32" t="inlineStr">
        <is>
          <t>Средний годовой чек</t>
        </is>
      </c>
      <c r="B12" s="39">
        <f>'01_Параметры'!B8*0.8</f>
        <v/>
      </c>
      <c r="C12" s="39">
        <f>'01_Параметры'!B8</f>
        <v/>
      </c>
      <c r="D12" s="39">
        <f>'01_Параметры'!B8*1.2</f>
        <v/>
      </c>
      <c r="E12" s="33" t="inlineStr">
        <is>
          <t>BYN</t>
        </is>
      </c>
      <c r="F12" s="33" t="inlineStr">
        <is>
          <t>Параметры и сценарий</t>
        </is>
      </c>
      <c r="G12" s="21" t="n"/>
    </row>
    <row r="13">
      <c r="A13" s="32" t="inlineStr">
        <is>
          <t>Коэффициент повторных продаж</t>
        </is>
      </c>
      <c r="B13" s="39">
        <f>'01_Параметры'!B12*0.9</f>
        <v/>
      </c>
      <c r="C13" s="39">
        <f>'01_Параметры'!B12</f>
        <v/>
      </c>
      <c r="D13" s="39">
        <f>'01_Параметры'!B12*1.1</f>
        <v/>
      </c>
      <c r="E13" s="33" t="inlineStr">
        <is>
          <t>коэф</t>
        </is>
      </c>
      <c r="F13" s="33" t="inlineStr">
        <is>
          <t>Параметры</t>
        </is>
      </c>
      <c r="G13" s="21" t="n"/>
    </row>
    <row r="14">
      <c r="A14" s="34" t="inlineStr">
        <is>
          <t>Оценка годового объема рынка по Similarweb</t>
        </is>
      </c>
      <c r="B14" s="40">
        <f>B11*B12*B13</f>
        <v/>
      </c>
      <c r="C14" s="40">
        <f>C11*C12*C13</f>
        <v/>
      </c>
      <c r="D14" s="40">
        <f>D11*D12*D13</f>
        <v/>
      </c>
      <c r="E14" s="35" t="inlineStr">
        <is>
          <t>BYN/год</t>
        </is>
      </c>
      <c r="F14" s="35" t="inlineStr">
        <is>
          <t>Продажи × чек × повторность</t>
        </is>
      </c>
      <c r="G14" s="22" t="inlineStr">
        <is>
          <t>Оценочный диапазон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E18" sqref="E18"/>
    </sheetView>
  </sheetViews>
  <sheetFormatPr baseColWidth="8" defaultRowHeight="14.25"/>
  <cols>
    <col width="26" customWidth="1" style="13" min="1" max="1"/>
    <col width="18" customWidth="1" style="13" min="2" max="4"/>
    <col width="42" customWidth="1" style="13" min="5" max="5"/>
    <col width="24" customWidth="1" style="13" min="6" max="6"/>
    <col width="30" customWidth="1" style="13" min="7" max="7"/>
    <col width="32" customWidth="1" style="13" min="8" max="8"/>
  </cols>
  <sheetData>
    <row r="1" ht="27.95" customHeight="1" s="13">
      <c r="A1" s="56" t="inlineStr">
        <is>
          <t>Сверка расчетных подходов</t>
        </is>
      </c>
    </row>
    <row r="2" ht="24" customHeight="1" s="13">
      <c r="A2" s="57" t="inlineStr">
        <is>
          <t>Итоговый диапазон оценки объема рынка на основе трех подходов</t>
        </is>
      </c>
    </row>
    <row r="4" ht="26.1" customHeight="1" s="13">
      <c r="A4" s="3" t="inlineStr">
        <is>
          <t>Метод оценки</t>
        </is>
      </c>
      <c r="B4" s="4" t="inlineStr">
        <is>
          <t>Осторожный</t>
        </is>
      </c>
      <c r="C4" s="4" t="inlineStr">
        <is>
          <t>Базовый</t>
        </is>
      </c>
      <c r="D4" s="4" t="inlineStr">
        <is>
          <t>Оптимистичный</t>
        </is>
      </c>
      <c r="E4" s="4" t="inlineStr">
        <is>
          <t>Комментарий</t>
        </is>
      </c>
      <c r="F4" s="4" t="inlineStr">
        <is>
          <t>Надежность</t>
        </is>
      </c>
      <c r="G4" s="4" t="inlineStr">
        <is>
          <t>Что проверяет</t>
        </is>
      </c>
      <c r="H4" s="5" t="inlineStr">
        <is>
          <t>Ограничение</t>
        </is>
      </c>
    </row>
    <row r="5" ht="28.5" customHeight="1" s="13">
      <c r="A5" s="6" t="inlineStr">
        <is>
          <t>Сверху вниз</t>
        </is>
      </c>
      <c r="B5" s="10">
        <f>'02_Сверху_вниз'!B12</f>
        <v/>
      </c>
      <c r="C5" s="10">
        <f>'02_Сверху_вниз'!C12</f>
        <v/>
      </c>
      <c r="D5" s="10">
        <f>'02_Сверху_вниз'!D12</f>
        <v/>
      </c>
      <c r="E5" s="7" t="inlineStr">
        <is>
          <t>Макро-ориентир через общий рынок и коэффициенты сужения</t>
        </is>
      </c>
      <c r="F5" s="7" t="inlineStr">
        <is>
          <t>Средняя</t>
        </is>
      </c>
      <c r="G5" s="7" t="inlineStr">
        <is>
          <t>Масштаб рынка</t>
        </is>
      </c>
      <c r="H5" s="1" t="inlineStr">
        <is>
          <t>Риск завышения</t>
        </is>
      </c>
    </row>
    <row r="6" ht="28.5" customHeight="1" s="13">
      <c r="A6" s="6" t="inlineStr">
        <is>
          <t>Снизу вверх</t>
        </is>
      </c>
      <c r="B6" s="10">
        <f>'03_Снизу_вверх'!G11*'01_Параметры'!B14</f>
        <v/>
      </c>
      <c r="C6" s="10">
        <f>'03_Снизу_вверх'!G11*'01_Параметры'!B15</f>
        <v/>
      </c>
      <c r="D6" s="10">
        <f>'03_Снизу_вверх'!G11*'01_Параметры'!B16</f>
        <v/>
      </c>
      <c r="E6" s="7" t="inlineStr">
        <is>
          <t>Расчет через клиентские сегменты</t>
        </is>
      </c>
      <c r="F6" s="7" t="inlineStr">
        <is>
          <t>Высокая при хороших данных</t>
        </is>
      </c>
      <c r="G6" s="7" t="inlineStr">
        <is>
          <t>Реалистичность сегментов</t>
        </is>
      </c>
      <c r="H6" s="1" t="inlineStr">
        <is>
          <t>Зависит от качества допущений</t>
        </is>
      </c>
    </row>
    <row r="7">
      <c r="A7" s="6" t="inlineStr">
        <is>
          <t>Similarweb + воронка</t>
        </is>
      </c>
      <c r="B7" s="10">
        <f>'05_Воронка_SW'!B14</f>
        <v/>
      </c>
      <c r="C7" s="10">
        <f>'05_Воронка_SW'!C14</f>
        <v/>
      </c>
      <c r="D7" s="10">
        <f>'05_Воронка_SW'!D14</f>
        <v/>
      </c>
      <c r="E7" s="7" t="inlineStr">
        <is>
          <t>Проверка через цифровой трафик конкурентов</t>
        </is>
      </c>
      <c r="F7" s="7" t="inlineStr">
        <is>
          <t>Средняя</t>
        </is>
      </c>
      <c r="G7" s="7" t="inlineStr">
        <is>
          <t>Цифровой спрос</t>
        </is>
      </c>
      <c r="H7" s="1" t="inlineStr">
        <is>
          <t>Трафик не равен выручке</t>
        </is>
      </c>
    </row>
    <row r="8">
      <c r="A8" s="6" t="inlineStr">
        <is>
          <t>Минимум по методам</t>
        </is>
      </c>
      <c r="B8" s="10">
        <f>MIN(B5:B7)</f>
        <v/>
      </c>
      <c r="C8" s="10">
        <f>MIN(C5:C7)</f>
        <v/>
      </c>
      <c r="D8" s="10">
        <f>MIN(D5:D7)</f>
        <v/>
      </c>
      <c r="E8" s="7" t="inlineStr">
        <is>
          <t>Нижняя граница оценки</t>
        </is>
      </c>
      <c r="F8" s="7" t="n"/>
      <c r="G8" s="7" t="n"/>
      <c r="H8" s="1" t="n"/>
    </row>
    <row r="9">
      <c r="A9" s="6" t="inlineStr">
        <is>
          <t>Среднее по методам</t>
        </is>
      </c>
      <c r="B9" s="10">
        <f>AVERAGE(B5:B7)</f>
        <v/>
      </c>
      <c r="C9" s="10">
        <f>AVERAGE(C5:C7)</f>
        <v/>
      </c>
      <c r="D9" s="10">
        <f>AVERAGE(D5:D7)</f>
        <v/>
      </c>
      <c r="E9" s="7" t="inlineStr">
        <is>
          <t>Центральный ориентир</t>
        </is>
      </c>
      <c r="F9" s="7" t="n"/>
      <c r="G9" s="7" t="n"/>
      <c r="H9" s="1" t="n"/>
    </row>
    <row r="10">
      <c r="A10" s="8" t="inlineStr">
        <is>
          <t>Максимум по методам</t>
        </is>
      </c>
      <c r="B10" s="11">
        <f>MAX(B5:B7)</f>
        <v/>
      </c>
      <c r="C10" s="11">
        <f>MAX(C5:C7)</f>
        <v/>
      </c>
      <c r="D10" s="11">
        <f>MAX(D5:D7)</f>
        <v/>
      </c>
      <c r="E10" s="9" t="inlineStr">
        <is>
          <t>Верхняя граница оценки</t>
        </is>
      </c>
      <c r="F10" s="9" t="n"/>
      <c r="G10" s="9" t="n"/>
      <c r="H10" s="2" t="n"/>
    </row>
  </sheetData>
  <mergeCells count="2">
    <mergeCell ref="A2:H2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E24" sqref="E24"/>
    </sheetView>
  </sheetViews>
  <sheetFormatPr baseColWidth="8" defaultRowHeight="14.25"/>
  <cols>
    <col width="43.25" customWidth="1" style="13" min="1" max="1"/>
    <col width="24" customWidth="1" style="13" min="2" max="2"/>
    <col width="52" customWidth="1" style="13" min="3" max="3"/>
    <col width="4" customWidth="1" style="13" min="4" max="4"/>
    <col width="28" customWidth="1" style="13" min="5" max="5"/>
    <col width="23" customWidth="1" style="13" min="6" max="6"/>
    <col width="18" customWidth="1" style="13" min="7" max="8"/>
  </cols>
  <sheetData>
    <row r="1" ht="27.95" customHeight="1" s="13">
      <c r="A1" s="56" t="inlineStr">
        <is>
          <t>Панель итоговой оценки</t>
        </is>
      </c>
    </row>
    <row r="2" ht="24" customHeight="1" s="13">
      <c r="A2" s="57" t="inlineStr">
        <is>
          <t>Ключевые показатели после заполнения шаблона</t>
        </is>
      </c>
    </row>
    <row r="4" ht="26.1" customHeight="1" s="13">
      <c r="A4" s="3" t="inlineStr">
        <is>
          <t>Показатель</t>
        </is>
      </c>
      <c r="B4" s="4" t="inlineStr">
        <is>
          <t>Значение</t>
        </is>
      </c>
      <c r="C4" s="5" t="inlineStr">
        <is>
          <t>Комментарий</t>
        </is>
      </c>
      <c r="D4" s="36" t="n"/>
      <c r="E4" s="3" t="inlineStr">
        <is>
          <t>Метод</t>
        </is>
      </c>
      <c r="F4" s="4" t="inlineStr">
        <is>
          <t>Осторожный</t>
        </is>
      </c>
      <c r="G4" s="4" t="inlineStr">
        <is>
          <t>Базовый</t>
        </is>
      </c>
      <c r="H4" s="5" t="inlineStr">
        <is>
          <t>Оптимистичный</t>
        </is>
      </c>
    </row>
    <row r="5">
      <c r="A5" s="23" t="inlineStr">
        <is>
          <t>Итоговая нижняя оценка рынка</t>
        </is>
      </c>
      <c r="B5" s="37">
        <f>'06_Сверка'!B8</f>
        <v/>
      </c>
      <c r="C5" s="18" t="inlineStr">
        <is>
          <t>Минимум по трем подходам, осторожный сценарий</t>
        </is>
      </c>
      <c r="D5" s="36" t="n"/>
      <c r="E5" s="23" t="inlineStr">
        <is>
          <t>Сверху вниз</t>
        </is>
      </c>
      <c r="F5" s="37">
        <f>'06_Сверка'!B5</f>
        <v/>
      </c>
      <c r="G5" s="37">
        <f>'06_Сверка'!C5</f>
        <v/>
      </c>
      <c r="H5" s="48">
        <f>'06_Сверка'!D5</f>
        <v/>
      </c>
    </row>
    <row r="6">
      <c r="A6" s="23" t="inlineStr">
        <is>
          <t>Итоговая базовая оценка рынка</t>
        </is>
      </c>
      <c r="B6" s="37">
        <f>'06_Сверка'!C9</f>
        <v/>
      </c>
      <c r="C6" s="18" t="inlineStr">
        <is>
          <t>Среднее по трем подходам, базовый сценарий</t>
        </is>
      </c>
      <c r="D6" s="36" t="n"/>
      <c r="E6" s="23" t="inlineStr">
        <is>
          <t>Снизу вверх</t>
        </is>
      </c>
      <c r="F6" s="37">
        <f>'06_Сверка'!B6</f>
        <v/>
      </c>
      <c r="G6" s="37">
        <f>'06_Сверка'!C6</f>
        <v/>
      </c>
      <c r="H6" s="48">
        <f>'06_Сверка'!D6</f>
        <v/>
      </c>
    </row>
    <row r="7">
      <c r="A7" s="23" t="inlineStr">
        <is>
          <t>Итоговая верхняя оценка рынка</t>
        </is>
      </c>
      <c r="B7" s="37">
        <f>'06_Сверка'!D10</f>
        <v/>
      </c>
      <c r="C7" s="18" t="inlineStr">
        <is>
          <t>Максимум по трем подходам, оптимистичный сценарий</t>
        </is>
      </c>
      <c r="D7" s="36" t="n"/>
      <c r="E7" s="29" t="inlineStr">
        <is>
          <t>Similarweb</t>
        </is>
      </c>
      <c r="F7" s="38">
        <f>'06_Сверка'!B7</f>
        <v/>
      </c>
      <c r="G7" s="38">
        <f>'06_Сверка'!C7</f>
        <v/>
      </c>
      <c r="H7" s="49">
        <f>'06_Сверка'!D7</f>
        <v/>
      </c>
    </row>
    <row r="8">
      <c r="A8" s="23" t="inlineStr">
        <is>
          <t>Годовой релевантный трафик конкурентов</t>
        </is>
      </c>
      <c r="B8" s="37">
        <f>'04_Similarweb'!I15</f>
        <v/>
      </c>
      <c r="C8" s="18" t="inlineStr">
        <is>
          <t>Сумма релевантных визитов в год</t>
        </is>
      </c>
      <c r="D8" s="36" t="n"/>
      <c r="E8" s="36" t="n"/>
      <c r="F8" s="36" t="n"/>
      <c r="G8" s="36" t="n"/>
      <c r="H8" s="36" t="n"/>
    </row>
    <row r="9">
      <c r="A9" s="23" t="inlineStr">
        <is>
          <t>Суммарный объем по методу снизу вверх</t>
        </is>
      </c>
      <c r="B9" s="37">
        <f>'03_Снизу_вверх'!G11</f>
        <v/>
      </c>
      <c r="C9" s="18" t="inlineStr">
        <is>
          <t>Расчет по клиентским сегментам</t>
        </is>
      </c>
      <c r="D9" s="36" t="n"/>
      <c r="E9" s="36" t="n"/>
      <c r="F9" s="36" t="n"/>
      <c r="G9" s="36" t="n"/>
      <c r="H9" s="36" t="n"/>
    </row>
    <row r="10" ht="44.25" customHeight="1" s="13">
      <c r="A10" s="29" t="inlineStr">
        <is>
          <t>Объем по Similarweb-воронке, базовый</t>
        </is>
      </c>
      <c r="B10" s="38">
        <f>'05_Воронка_SW'!C14</f>
        <v/>
      </c>
      <c r="C10" s="20" t="inlineStr">
        <is>
          <t>Цифровая проверка через трафик и конверсии</t>
        </is>
      </c>
      <c r="D10" s="36" t="n"/>
      <c r="E10" s="3" t="inlineStr">
        <is>
          <t>Конкурент</t>
        </is>
      </c>
      <c r="F10" s="5" t="inlineStr">
        <is>
          <t>Доля релевантного трафика</t>
        </is>
      </c>
      <c r="G10" s="36" t="n"/>
      <c r="H10" s="36" t="n"/>
    </row>
    <row r="11">
      <c r="A11" s="36" t="n"/>
      <c r="B11" s="36" t="n"/>
      <c r="C11" s="36" t="n"/>
      <c r="D11" s="36" t="n"/>
      <c r="E11" s="50">
        <f>'04_Similarweb'!A5</f>
        <v/>
      </c>
      <c r="F11" s="51">
        <f>'04_Similarweb'!J5</f>
        <v/>
      </c>
      <c r="G11" s="36" t="n"/>
      <c r="H11" s="36" t="n"/>
    </row>
    <row r="12">
      <c r="A12" s="36" t="n"/>
      <c r="B12" s="36" t="n"/>
      <c r="C12" s="36" t="n"/>
      <c r="D12" s="36" t="n"/>
      <c r="E12" s="50">
        <f>'04_Similarweb'!A6</f>
        <v/>
      </c>
      <c r="F12" s="51">
        <f>'04_Similarweb'!J6</f>
        <v/>
      </c>
      <c r="G12" s="36" t="n"/>
      <c r="H12" s="36" t="n"/>
    </row>
    <row r="13">
      <c r="A13" s="36" t="n"/>
      <c r="B13" s="36" t="n"/>
      <c r="C13" s="36" t="n"/>
      <c r="D13" s="36" t="n"/>
      <c r="E13" s="50">
        <f>'04_Similarweb'!A7</f>
        <v/>
      </c>
      <c r="F13" s="51">
        <f>'04_Similarweb'!J7</f>
        <v/>
      </c>
      <c r="G13" s="36" t="n"/>
      <c r="H13" s="36" t="n"/>
    </row>
    <row r="14">
      <c r="A14" s="36" t="n"/>
      <c r="B14" s="36" t="n"/>
      <c r="C14" s="36" t="n"/>
      <c r="D14" s="36" t="n"/>
      <c r="E14" s="50">
        <f>'04_Similarweb'!A8</f>
        <v/>
      </c>
      <c r="F14" s="51">
        <f>'04_Similarweb'!J8</f>
        <v/>
      </c>
      <c r="G14" s="36" t="n"/>
      <c r="H14" s="36" t="n"/>
    </row>
    <row r="15">
      <c r="A15" s="36" t="n"/>
      <c r="B15" s="36" t="n"/>
      <c r="C15" s="36" t="n"/>
      <c r="D15" s="36" t="n"/>
      <c r="E15" s="52">
        <f>'04_Similarweb'!A9</f>
        <v/>
      </c>
      <c r="F15" s="53">
        <f>'04_Similarweb'!J9</f>
        <v/>
      </c>
      <c r="G15" s="36" t="n"/>
      <c r="H15" s="36" t="n"/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E16" sqref="E16"/>
    </sheetView>
  </sheetViews>
  <sheetFormatPr baseColWidth="8" defaultRowHeight="14.25"/>
  <cols>
    <col width="22" customWidth="1" style="13" min="1" max="1"/>
    <col width="39.25" customWidth="1" style="13" min="2" max="2"/>
    <col width="34" customWidth="1" style="13" min="3" max="3"/>
    <col width="79.125" customWidth="1" style="13" min="4" max="4"/>
    <col width="18" customWidth="1" style="13" min="5" max="5"/>
    <col width="38" customWidth="1" style="13" min="6" max="6"/>
    <col width="40" customWidth="1" style="13" min="7" max="7"/>
    <col width="22" customWidth="1" style="13" min="8" max="8"/>
  </cols>
  <sheetData>
    <row r="1" ht="27.95" customHeight="1" s="13">
      <c r="A1" s="56" t="inlineStr">
        <is>
          <t>Источники данных и журнал фиксации</t>
        </is>
      </c>
    </row>
    <row r="2" ht="24" customHeight="1" s="13">
      <c r="A2" s="57" t="inlineStr">
        <is>
          <t>Заполняется для воспроизводимости расчета</t>
        </is>
      </c>
    </row>
    <row r="4" ht="26.1" customHeight="1" s="13">
      <c r="A4" s="3" t="inlineStr">
        <is>
          <t>Группа данных</t>
        </is>
      </c>
      <c r="B4" s="4" t="inlineStr">
        <is>
          <t>Показатель</t>
        </is>
      </c>
      <c r="C4" s="4" t="inlineStr">
        <is>
          <t>Источник</t>
        </is>
      </c>
      <c r="D4" s="4" t="inlineStr">
        <is>
          <t>URL</t>
        </is>
      </c>
      <c r="E4" s="4" t="inlineStr">
        <is>
          <t>Дата обращения</t>
        </is>
      </c>
      <c r="F4" s="4" t="inlineStr">
        <is>
          <t>Что переносится в Excel</t>
        </is>
      </c>
      <c r="G4" s="4" t="inlineStr">
        <is>
          <t>Ограничение</t>
        </is>
      </c>
      <c r="H4" s="5" t="inlineStr">
        <is>
          <t>Статус</t>
        </is>
      </c>
    </row>
    <row r="5" ht="42.75" customFormat="1" customHeight="1" s="36">
      <c r="A5" s="23" t="inlineStr">
        <is>
          <t>Similarweb</t>
        </is>
      </c>
      <c r="B5" s="25" t="inlineStr">
        <is>
          <t>Similarweb (plantuml.com, авг. 2026; остальные домены — отчёт ЛР1 и предварительный замер 17–23.09.2026)</t>
        </is>
      </c>
      <c r="C5" s="25" t="inlineStr">
        <is>
          <t>Similarweb Website Analysis</t>
        </is>
      </c>
      <c r="D5" s="24" t="inlineStr">
        <is>
          <t>https://www.similarweb.com/website/</t>
        </is>
      </c>
      <c r="E5" s="25" t="inlineStr">
        <is>
          <t>2026-05-02</t>
        </is>
      </c>
      <c r="F5" s="25" t="inlineStr">
        <is>
          <t>Месячные визиты, каналы, география, похожие сайты</t>
        </is>
      </c>
      <c r="G5" s="25" t="inlineStr">
        <is>
          <t>Оценочные данные; для малых сайтов надежность ниже</t>
        </is>
      </c>
      <c r="H5" s="47" t="inlineStr">
        <is>
          <t>Заменить URL конкурентов</t>
        </is>
      </c>
    </row>
    <row r="6" ht="28.5" customFormat="1" customHeight="1" s="36">
      <c r="A6" s="23" t="inlineStr">
        <is>
          <t>Similarweb</t>
        </is>
      </c>
      <c r="B6" s="25" t="inlineStr">
        <is>
          <t>Методология данных</t>
        </is>
      </c>
      <c r="C6" s="25" t="inlineStr">
        <is>
          <t>Similarweb Data Methodology</t>
        </is>
      </c>
      <c r="D6" s="24" t="inlineStr">
        <is>
          <t>https://support.similarweb.com/hc/en-us/articles/360001631538-Similarweb-Data-Methodology</t>
        </is>
      </c>
      <c r="E6" s="25" t="inlineStr">
        <is>
          <t>2026-05-02</t>
        </is>
      </c>
      <c r="F6" s="25" t="inlineStr">
        <is>
          <t>Обоснование природы оценочных данных</t>
        </is>
      </c>
      <c r="G6" s="25" t="inlineStr">
        <is>
          <t>Не является прямым измерением выручки</t>
        </is>
      </c>
      <c r="H6" s="47" t="inlineStr">
        <is>
          <t>Справочно</t>
        </is>
      </c>
    </row>
    <row r="7" ht="28.5" customFormat="1" customHeight="1" s="36">
      <c r="A7" s="23" t="inlineStr">
        <is>
          <t>Similarweb</t>
        </is>
      </c>
      <c r="B7" s="25" t="inlineStr">
        <is>
          <t>Data Exporter</t>
        </is>
      </c>
      <c r="C7" s="25" t="inlineStr">
        <is>
          <t>Similarweb Help Center</t>
        </is>
      </c>
      <c r="D7" s="24" t="inlineStr">
        <is>
          <t>https://support.similarweb.com/hc/en-us/articles/13252032019101-Data-Exporter</t>
        </is>
      </c>
      <c r="E7" s="25" t="inlineStr">
        <is>
          <t>2026-05-02</t>
        </is>
      </c>
      <c r="F7" s="25" t="inlineStr">
        <is>
          <t>Возможности экспорта при соответствующем доступе</t>
        </is>
      </c>
      <c r="G7" s="25" t="inlineStr">
        <is>
          <t>Зависит от подписки и единиц извлечения данных</t>
        </is>
      </c>
      <c r="H7" s="47" t="inlineStr">
        <is>
          <t>Справочно</t>
        </is>
      </c>
    </row>
    <row r="8" ht="28.5" customFormat="1" customHeight="1" s="36">
      <c r="A8" s="23" t="inlineStr">
        <is>
          <t>Официальная статистика</t>
        </is>
      </c>
      <c r="B8" s="25" t="inlineStr">
        <is>
          <t>Количество организаций/клиентов</t>
        </is>
      </c>
      <c r="C8" s="25" t="inlineStr">
        <is>
          <t>Национальная статистика / реестры / отраслевые отчеты</t>
        </is>
      </c>
      <c r="D8" s="24" t="n"/>
      <c r="E8" s="25" t="n"/>
      <c r="F8" s="25" t="inlineStr">
        <is>
          <t>Общий ориентир для расчета сверху вниз</t>
        </is>
      </c>
      <c r="G8" s="25" t="inlineStr">
        <is>
          <t>Нужно подбирать под страну и отрасль</t>
        </is>
      </c>
      <c r="H8" s="47" t="inlineStr">
        <is>
          <t>Заполнить</t>
        </is>
      </c>
    </row>
    <row r="9" customFormat="1" s="36">
      <c r="A9" s="23" t="inlineStr">
        <is>
          <t>Конкуренты</t>
        </is>
      </c>
      <c r="B9" s="25" t="inlineStr">
        <is>
          <t>Средний чек, тарифы, предложения</t>
        </is>
      </c>
      <c r="C9" s="25" t="inlineStr">
        <is>
          <t>Сайты конкурентов</t>
        </is>
      </c>
      <c r="D9" s="24" t="n"/>
      <c r="E9" s="25" t="n"/>
      <c r="F9" s="25" t="inlineStr">
        <is>
          <t>Средний чек и сегменты</t>
        </is>
      </c>
      <c r="G9" s="25" t="inlineStr">
        <is>
          <t>Цены могут быть скрыты или неполны</t>
        </is>
      </c>
      <c r="H9" s="47" t="inlineStr">
        <is>
          <t>Заполнить</t>
        </is>
      </c>
    </row>
    <row r="10" customFormat="1" s="36">
      <c r="A10" s="29" t="inlineStr">
        <is>
          <t>Реклама</t>
        </is>
      </c>
      <c r="B10" s="31" t="inlineStr">
        <is>
          <t>Охват и стоимость привлечения</t>
        </is>
      </c>
      <c r="C10" s="31" t="inlineStr">
        <is>
          <t>Рекламные кабинеты</t>
        </is>
      </c>
      <c r="D10" s="54" t="n"/>
      <c r="E10" s="31" t="n"/>
      <c r="F10" s="31" t="inlineStr">
        <is>
          <t>Допущения по цифровой воронке</t>
        </is>
      </c>
      <c r="G10" s="31" t="inlineStr">
        <is>
          <t>Требует тестовых кампаний</t>
        </is>
      </c>
      <c r="H10" s="55" t="inlineStr">
        <is>
          <t>Опционально</t>
        </is>
      </c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2026-10-04T14:13:42Z</dcterms:created>
  <dcterms:modified xmlns:dcterms="http://purl.org/dc/terms/" xmlns:xsi="http://www.w3.org/2001/XMLSchema-instance" xsi:type="dcterms:W3CDTF">2026-10-04T15:44:26Z</dcterms:modified>
  <cp:lastModifiedBy>Aliaksandr Khajynau</cp:lastModifiedBy>
</cp:coreProperties>
</file>