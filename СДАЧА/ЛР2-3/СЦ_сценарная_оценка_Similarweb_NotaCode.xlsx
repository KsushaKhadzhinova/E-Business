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xmlns:r="http://schemas.openxmlformats.org/officeDocument/2006/relationships" name="00_Методика" sheetId="1" state="visible" r:id="rId1"/>
    <sheet xmlns:r="http://schemas.openxmlformats.org/officeDocument/2006/relationships" name="01_Параметры" sheetId="2" state="visible" r:id="rId2"/>
    <sheet xmlns:r="http://schemas.openxmlformats.org/officeDocument/2006/relationships" name="02_Similarweb" sheetId="3" state="visible" r:id="rId3"/>
    <sheet xmlns:r="http://schemas.openxmlformats.org/officeDocument/2006/relationships" name="03_Сценарии" sheetId="4" state="visible" r:id="rId4"/>
    <sheet xmlns:r="http://schemas.openxmlformats.org/officeDocument/2006/relationships" name="04_Воронка" sheetId="5" state="visible" r:id="rId5"/>
    <sheet xmlns:r="http://schemas.openxmlformats.org/officeDocument/2006/relationships" name="05_Платформа" sheetId="6" state="visible" r:id="rId6"/>
    <sheet xmlns:r="http://schemas.openxmlformats.org/officeDocument/2006/relationships" name="06_Сверка" sheetId="7" state="visible" r:id="rId7"/>
    <sheet xmlns:r="http://schemas.openxmlformats.org/officeDocument/2006/relationships" name="07_Дашборд" sheetId="8" state="visible" r:id="rId8"/>
    <sheet xmlns:r="http://schemas.openxmlformats.org/officeDocument/2006/relationships" name="08_Источни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#,##0\ &quot;BYN&quot;"/>
  </numFmts>
  <fonts count="8">
    <font>
      <name val="Carlito"/>
      <sz val="11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rgb="FF333333"/>
      <sz val="10"/>
    </font>
    <font>
      <name val="Arial"/>
      <family val="2"/>
      <color rgb="FF000000"/>
      <sz val="10"/>
    </font>
    <font>
      <name val="Arial"/>
      <family val="2"/>
      <b val="1"/>
      <color rgb="FF17365D"/>
      <sz val="10"/>
    </font>
    <font>
      <name val="Arial"/>
      <family val="2"/>
      <b val="1"/>
      <color rgb="FF333333"/>
      <sz val="10"/>
    </font>
    <font>
      <name val="Carlito"/>
      <sz val="11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DDEFEA"/>
      </patternFill>
    </fill>
    <fill>
      <patternFill patternType="solid">
        <fgColor rgb="FFFFF2CC"/>
      </patternFill>
    </fill>
    <fill>
      <patternFill patternType="solid">
        <fgColor rgb="FFFFFDF2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7" fillId="0" borderId="0"/>
    <xf numFmtId="0" fontId="7" fillId="0" borderId="0"/>
  </cellStyleXfs>
  <cellXfs count="32">
    <xf numFmtId="0" fontId="0" fillId="0" borderId="0" pivotButton="0" quotePrefix="0" xfId="0"/>
    <xf numFmtId="0" fontId="2" fillId="0" borderId="0" pivotButton="0" quotePrefix="0" xfId="1"/>
    <xf numFmtId="0" fontId="1" fillId="3" borderId="0" applyAlignment="1" pivotButton="0" quotePrefix="0" xfId="1">
      <alignment horizontal="center" vertical="center" wrapText="1"/>
    </xf>
    <xf numFmtId="0" fontId="3" fillId="4" borderId="0" applyAlignment="1" pivotButton="0" quotePrefix="0" xfId="1">
      <alignment horizontal="left" vertical="top" wrapText="1"/>
    </xf>
    <xf numFmtId="0" fontId="4" fillId="5" borderId="0" applyAlignment="1" pivotButton="0" quotePrefix="0" xfId="1">
      <alignment horizontal="center" vertical="center" wrapText="1"/>
    </xf>
    <xf numFmtId="0" fontId="4" fillId="6" borderId="0" applyAlignment="1" pivotButton="0" quotePrefix="0" xfId="1">
      <alignment horizontal="left" vertical="center" wrapText="1"/>
    </xf>
    <xf numFmtId="2" fontId="4" fillId="6" borderId="0" applyAlignment="1" pivotButton="0" quotePrefix="0" xfId="1">
      <alignment horizontal="left" vertical="center" wrapText="1"/>
    </xf>
    <xf numFmtId="9" fontId="4" fillId="6" borderId="0" applyAlignment="1" pivotButton="0" quotePrefix="0" xfId="1">
      <alignment horizontal="left" vertical="center" wrapText="1"/>
    </xf>
    <xf numFmtId="164" fontId="4" fillId="6" borderId="0" applyAlignment="1" pivotButton="0" quotePrefix="0" xfId="1">
      <alignment horizontal="left" vertical="center" wrapText="1"/>
    </xf>
    <xf numFmtId="10" fontId="4" fillId="6" borderId="0" applyAlignment="1" pivotButton="0" quotePrefix="0" xfId="1">
      <alignment horizontal="left" vertical="center" wrapText="1"/>
    </xf>
    <xf numFmtId="3" fontId="4" fillId="5" borderId="0" applyAlignment="1" pivotButton="0" quotePrefix="0" xfId="1">
      <alignment horizontal="center" vertical="center" wrapText="1"/>
    </xf>
    <xf numFmtId="10" fontId="4" fillId="5" borderId="0" applyAlignment="1" pivotButton="0" quotePrefix="0" xfId="1">
      <alignment horizontal="center" vertical="center" wrapText="1"/>
    </xf>
    <xf numFmtId="4" fontId="4" fillId="6" borderId="0" applyAlignment="1" pivotButton="0" quotePrefix="0" xfId="1">
      <alignment horizontal="left" vertical="center" wrapText="1"/>
    </xf>
    <xf numFmtId="165" fontId="4" fillId="6" borderId="0" applyAlignment="1" pivotButton="0" quotePrefix="0" xfId="1">
      <alignment horizontal="left" vertical="center" wrapText="1"/>
    </xf>
    <xf numFmtId="165" fontId="4" fillId="5" borderId="0" applyAlignment="1" pivotButton="0" quotePrefix="0" xfId="1">
      <alignment horizontal="center" vertical="center" wrapText="1"/>
    </xf>
    <xf numFmtId="165" fontId="2" fillId="0" borderId="0" pivotButton="0" quotePrefix="0" xfId="1"/>
    <xf numFmtId="165" fontId="1" fillId="3" borderId="0" applyAlignment="1" pivotButton="0" quotePrefix="0" xfId="1">
      <alignment horizontal="center" vertical="center" wrapText="1"/>
    </xf>
    <xf numFmtId="0" fontId="6" fillId="4" borderId="0" applyAlignment="1" pivotButton="0" quotePrefix="0" xfId="1">
      <alignment horizontal="left" vertical="top" wrapText="1"/>
    </xf>
    <xf numFmtId="0" fontId="1" fillId="2" borderId="0" applyAlignment="1" pivotButton="0" quotePrefix="0" xfId="1">
      <alignment horizontal="center" vertical="center" wrapText="1"/>
    </xf>
    <xf numFmtId="0" fontId="5" fillId="8" borderId="0" applyAlignment="1" pivotButton="0" quotePrefix="0" xfId="1">
      <alignment horizontal="left" vertical="center" wrapText="1"/>
    </xf>
    <xf numFmtId="0" fontId="3" fillId="4" borderId="0" applyAlignment="1" pivotButton="0" quotePrefix="0" xfId="1">
      <alignment horizontal="left" vertical="top" wrapText="1"/>
    </xf>
    <xf numFmtId="0" fontId="2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4" borderId="0" applyAlignment="1" pivotButton="0" quotePrefix="0" xfId="1">
      <alignment horizontal="left" vertical="center" wrapText="1"/>
    </xf>
    <xf numFmtId="0" fontId="2" fillId="7" borderId="0" applyAlignment="1" pivotButton="0" quotePrefix="0" xfId="1">
      <alignment vertical="center" wrapText="1"/>
    </xf>
    <xf numFmtId="3" fontId="2" fillId="7" borderId="0" applyAlignment="1" pivotButton="0" quotePrefix="0" xfId="1">
      <alignment vertical="center" wrapText="1"/>
    </xf>
    <xf numFmtId="9" fontId="2" fillId="7" borderId="0" applyAlignment="1" pivotButton="0" quotePrefix="0" xfId="1">
      <alignment vertical="center" wrapText="1"/>
    </xf>
    <xf numFmtId="164" fontId="2" fillId="0" borderId="0" applyAlignment="1" pivotButton="0" quotePrefix="0" xfId="1">
      <alignment vertical="center" wrapText="1"/>
    </xf>
    <xf numFmtId="49" fontId="4" fillId="6" borderId="0" applyAlignment="1" pivotButton="0" quotePrefix="0" xfId="1">
      <alignment horizontal="left" vertical="center" wrapText="1"/>
    </xf>
    <xf numFmtId="49" fontId="2" fillId="0" borderId="0" applyAlignment="1" pivotButton="0" quotePrefix="0" xfId="1">
      <alignment vertical="center" wrapText="1"/>
    </xf>
    <xf numFmtId="10" fontId="2" fillId="7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dxfs count="28"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Достижимая выручка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'07_Дашборд'!$E$4:$G$4</f>
              <strCache>
                <ptCount val="3"/>
                <pt idx="0">
                  <v>Осторожный</v>
                </pt>
                <pt idx="1">
                  <v>Базовый</v>
                </pt>
                <pt idx="2">
                  <v>Оптимистичный</v>
                </pt>
              </strCache>
            </strRef>
          </cat>
          <val>
            <numRef>
              <f>'07_Дашборд'!$E$7:$G$7</f>
              <numCache>
                <formatCode>#,##0\ "BYN"</formatCode>
                <ptCount val="3"/>
                <pt idx="0">
                  <v>3.553947351990289</v>
                </pt>
                <pt idx="1">
                  <v>98.1374098333682</v>
                </pt>
                <pt idx="2">
                  <v>1393.308905041647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\ &quot;BYN&quot;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16</row>
      <rowOff>152400</rowOff>
    </from>
    <to>
      <col>8</col>
      <colOff>0</colOff>
      <row>33</row>
      <rowOff>152400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SimilarwebCompetitors" displayName="SimilarwebCompetitors" ref="A4:M19" headerRowCount="1" dataDxfId="14">
  <tableColumns count="13">
    <tableColumn id="1" name="№" dataDxfId="27"/>
    <tableColumn id="2" name="Конкурент" dataDxfId="26"/>
    <tableColumn id="3" name="Домен" dataDxfId="25"/>
    <tableColumn id="4" name="Тип игрока" dataDxfId="24"/>
    <tableColumn id="5" name="Месячные посещения" dataDxfId="23"/>
    <tableColumn id="6" name="Доля целевой географии" dataDxfId="22"/>
    <tableColumn id="7" name="Доля релевантного трафика" dataDxfId="21"/>
    <tableColumn id="8" name="Коэффициент качества" dataDxfId="20"/>
    <tableColumn id="9" name="Релевантные посещения/мес." dataDxfId="19"/>
    <tableColumn id="10" name="Релевантные посещения/год" dataDxfId="18"/>
    <tableColumn id="11" name="Доля среди учтенных конкурентов" dataDxfId="17"/>
    <tableColumn id="12" name="Источник данных" dataDxfId="16"/>
    <tableColumn id="13" name="Комментарий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enarioTraffic" displayName="ScenarioTraffic" ref="A4:K7" headerRowCount="1">
  <tableColumns count="11">
    <tableColumn id="1" name="Сценарий"/>
    <tableColumn id="2" name="Охват неучтенных конкурентов"/>
    <tableColumn id="3" name="Коэффициент надежности данных"/>
    <tableColumn id="4" name="Корректировка на недоступный спрос"/>
    <tableColumn id="5" name="Релевантный трафик конкурентов/мес."/>
    <tableColumn id="6" name="Оценка рыночного трафика/мес."/>
    <tableColumn id="7" name="Оценка рыночного трафика/год"/>
    <tableColumn id="8" name="Нижняя граница/год"/>
    <tableColumn id="9" name="Верхняя граница/год"/>
    <tableColumn id="10" name="Интерпретация"/>
    <tableColumn id="11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unnelScenarios" displayName="FunnelScenarios" ref="A4:L7" headerRowCount="1">
  <tableColumns count="12">
    <tableColumn id="1" name="Сценарий"/>
    <tableColumn id="2" name="Рыночные визиты/год"/>
    <tableColumn id="3" name="Конверсия визит → заявка"/>
    <tableColumn id="4" name="Конверсия заявка → продажа"/>
    <tableColumn id="5" name="Продаж/год"/>
    <tableColumn id="6" name="Средний чек"/>
    <tableColumn id="7" name="Покупок в год"/>
    <tableColumn id="8" name="Выручка рынка/год"/>
    <tableColumn id="9" name="Достижимая доля"/>
    <tableColumn id="10" name="Достижимая выручка/год"/>
    <tableColumn id="11" name="TAM/SAM/SOM логика"/>
    <tableColumn id="12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latformScenarios" displayName="PlatformScenarios" ref="A4:K7" headerRowCount="1">
  <tableColumns count="11">
    <tableColumn id="1" name="Сценарий"/>
    <tableColumn id="2" name="Рыночные визиты/год"/>
    <tableColumn id="3" name="Регистрация/лид"/>
    <tableColumn id="4" name="Активные участники"/>
    <tableColumn id="5" name="Сделок на участника/год"/>
    <tableColumn id="6" name="Средняя сумма сделки"/>
    <tableColumn id="7" name="GMV/год"/>
    <tableColumn id="8" name="Комиссия платформы"/>
    <tableColumn id="9" name="Выручка платформы/год"/>
    <tableColumn id="10" name="Достижимая доля"/>
    <tableColumn id="11" name="Достижимая выручка платформы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thodComparison" displayName="MethodComparison" ref="A4:E9" headerRowCount="1" dataDxfId="8">
  <tableColumns count="5">
    <tableColumn id="1" name="Метод оценки" dataDxfId="13"/>
    <tableColumn id="2" name="Осторожный" dataDxfId="12"/>
    <tableColumn id="3" name="Базовый" dataDxfId="11"/>
    <tableColumn id="4" name="Оптимистичный" dataDxfId="10"/>
    <tableColumn id="5" name="Комментарий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urcesLog" displayName="SourcesLog" ref="A3:G18" headerRowCount="1" dataDxfId="0">
  <tableColumns count="7">
    <tableColumn id="1" name="№" dataDxfId="7"/>
    <tableColumn id="2" name="Источник" dataDxfId="6"/>
    <tableColumn id="3" name="URL" dataDxfId="5"/>
    <tableColumn id="4" name="Какие данные используются" dataDxfId="4"/>
    <tableColumn id="5" name="Дата обращения" dataDxfId="3"/>
    <tableColumn id="6" name="Уровень надежности" dataDxfId="2"/>
    <tableColumn id="7" name="Комментарий / ограничение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:H19"/>
    </sheetView>
  </sheetViews>
  <sheetFormatPr baseColWidth="8" defaultRowHeight="14.25"/>
  <cols>
    <col width="13.625" customWidth="1" min="1" max="1"/>
    <col width="34.25" customWidth="1" min="2" max="2"/>
    <col width="28" customWidth="1" min="3" max="3"/>
    <col width="35" customWidth="1" min="4" max="4"/>
    <col width="39" customWidth="1" min="5" max="5"/>
    <col width="35.125" customWidth="1" min="6" max="6"/>
    <col width="48.125" customWidth="1" min="7" max="7"/>
    <col width="53.125" customWidth="1" min="8" max="8"/>
  </cols>
  <sheetData>
    <row r="1" ht="30" customHeight="1">
      <c r="A1" s="18" t="inlineStr">
        <is>
          <t>Методика сценарной оценки рынка с учетом данных Similarweb: расчетный Excel-шаблон</t>
        </is>
      </c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63.75" customHeight="1">
      <c r="A3" s="2" t="inlineStr">
        <is>
          <t>Назначение файла</t>
        </is>
      </c>
      <c r="B3" s="24" t="inlineStr">
        <is>
          <t>Позволяет рассчитать оценочный объем рынка электронного бизнеса по трем сценариям на основе данных Similarweb, цифровой воронки и платформенной модели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02" customHeight="1">
      <c r="A4" s="2" t="inlineStr">
        <is>
          <t>Ключевая логика</t>
        </is>
      </c>
      <c r="B4" s="24" t="inlineStr">
        <is>
          <t>Similarweb используется как источник цифровых признаков рынка: посещаемость конкурентов, география, каналы трафика, поисковые запросы и конкурентное окружение. Денежный объем рассчитывается через допущения по релевантности трафика, конверсиям и среднему чеку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51" customHeight="1">
      <c r="A5" s="2" t="inlineStr">
        <is>
          <t>Главный результат</t>
        </is>
      </c>
      <c r="B5" s="24" t="inlineStr">
        <is>
          <t>Диапазон оценки рынка: осторожный, базовый и оптимистичный сценарии; отдельно рассчитываются выручка через воронку и модель GMV для платформ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63.75" customHeight="1">
      <c r="A6" s="2" t="inlineStr">
        <is>
          <t>Важное ограничение</t>
        </is>
      </c>
      <c r="B6" s="24" t="inlineStr">
        <is>
          <t>Данные Similarweb являются оценочными. Итоговые значения следует рассматривать как расчетный диапазон, а не как точное измерение фактической емкости рынка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2" t="inlineStr">
        <is>
          <t>Шаг</t>
        </is>
      </c>
      <c r="B8" s="2" t="inlineStr">
        <is>
          <t>Лист</t>
        </is>
      </c>
      <c r="C8" s="2" t="inlineStr">
        <is>
          <t>Что заполнить</t>
        </is>
      </c>
      <c r="D8" s="2" t="inlineStr">
        <is>
          <t>Что рассчитывается</t>
        </is>
      </c>
      <c r="E8" s="2" t="inlineStr">
        <is>
          <t>Какие данные Similarweb используются</t>
        </is>
      </c>
      <c r="F8" s="2" t="inlineStr">
        <is>
          <t>Ключевой результат</t>
        </is>
      </c>
      <c r="G8" s="2" t="inlineStr">
        <is>
          <t>Проверка качества</t>
        </is>
      </c>
      <c r="H8" s="2" t="inlineStr">
        <is>
          <t>Комментарий</t>
        </is>
      </c>
      <c r="I8" s="1" t="n"/>
      <c r="J8" s="1" t="n"/>
      <c r="K8" s="1" t="n"/>
      <c r="L8" s="1" t="n"/>
      <c r="M8" s="1" t="n"/>
      <c r="N8" s="1" t="n"/>
      <c r="O8" s="1" t="n"/>
    </row>
    <row r="9" ht="25.5" customFormat="1" customHeight="1" s="23">
      <c r="A9" s="21" t="n">
        <v>1</v>
      </c>
      <c r="B9" s="22" t="inlineStr">
        <is>
          <t>01_Параметры</t>
        </is>
      </c>
      <c r="C9" s="22" t="inlineStr">
        <is>
          <t>Бизнес-идея, география, валюта, период, средний чек</t>
        </is>
      </c>
      <c r="D9" s="22" t="inlineStr">
        <is>
          <t>Базовые вводные для всех расчетов</t>
        </is>
      </c>
      <c r="E9" s="22" t="inlineStr">
        <is>
          <t>Нет, только параметры проекта</t>
        </is>
      </c>
      <c r="F9" s="22" t="inlineStr">
        <is>
          <t>Единая исследовательская постановка</t>
        </is>
      </c>
      <c r="G9" s="22" t="inlineStr">
        <is>
          <t>Параметры не должны противоречить границам рынка</t>
        </is>
      </c>
      <c r="H9" s="22" t="inlineStr">
        <is>
          <t>Заполняется первым</t>
        </is>
      </c>
      <c r="I9" s="22" t="n"/>
      <c r="J9" s="22" t="n"/>
      <c r="K9" s="22" t="n"/>
      <c r="L9" s="22" t="n"/>
      <c r="M9" s="22" t="n"/>
      <c r="N9" s="22" t="n"/>
      <c r="O9" s="22" t="n"/>
    </row>
    <row r="10" ht="38.25" customFormat="1" customHeight="1" s="23">
      <c r="A10" s="21" t="n">
        <v>2</v>
      </c>
      <c r="B10" s="22" t="inlineStr">
        <is>
          <t>02_Similarweb</t>
        </is>
      </c>
      <c r="C10" s="22" t="inlineStr">
        <is>
          <t>Сайты конкурентов, посещаемость, доля географии, релевантность трафика</t>
        </is>
      </c>
      <c r="D10" s="22" t="inlineStr">
        <is>
          <t>Релевантный месячный и годовой трафик рынка</t>
        </is>
      </c>
      <c r="E10" s="22" t="inlineStr">
        <is>
          <t>Visits, geography, traffic channels, engagement</t>
        </is>
      </c>
      <c r="F10" s="22" t="inlineStr">
        <is>
          <t>База для сценариев</t>
        </is>
      </c>
      <c r="G10" s="22" t="inlineStr">
        <is>
          <t>Не менее 3–5 конкурентов</t>
        </is>
      </c>
      <c r="H10" s="22" t="inlineStr">
        <is>
          <t>При бесплатном доступе значения можно фиксировать вручную</t>
        </is>
      </c>
      <c r="I10" s="22" t="n"/>
      <c r="J10" s="22" t="n"/>
      <c r="K10" s="22" t="n"/>
      <c r="L10" s="22" t="n"/>
      <c r="M10" s="22" t="n"/>
      <c r="N10" s="22" t="n"/>
      <c r="O10" s="22" t="n"/>
    </row>
    <row r="11" ht="25.5" customFormat="1" customHeight="1" s="23">
      <c r="A11" s="21" t="n">
        <v>3</v>
      </c>
      <c r="B11" s="22" t="inlineStr">
        <is>
          <t>03_Сценарии</t>
        </is>
      </c>
      <c r="C11" s="22" t="inlineStr">
        <is>
          <t>Коэффициенты покрытия рынка, надежности и корректировки</t>
        </is>
      </c>
      <c r="D11" s="22" t="inlineStr">
        <is>
          <t>Сценарный объем релевантного трафика</t>
        </is>
      </c>
      <c r="E11" s="22" t="inlineStr">
        <is>
          <t>Суммарный релевантный трафик конкурентов</t>
        </is>
      </c>
      <c r="F11" s="22" t="inlineStr">
        <is>
          <t>Трафиковая оценка рынка</t>
        </is>
      </c>
      <c r="G11" s="22" t="inlineStr">
        <is>
          <t>Осторожный &lt; базовый &lt; оптимистичный</t>
        </is>
      </c>
      <c r="H11" s="22" t="inlineStr">
        <is>
          <t>Коэффициенты должны быть обоснованы</t>
        </is>
      </c>
      <c r="I11" s="22" t="n"/>
      <c r="J11" s="22" t="n"/>
      <c r="K11" s="22" t="n"/>
      <c r="L11" s="22" t="n"/>
      <c r="M11" s="22" t="n"/>
      <c r="N11" s="22" t="n"/>
      <c r="O11" s="22" t="n"/>
    </row>
    <row r="12" ht="38.25" customFormat="1" customHeight="1" s="23">
      <c r="A12" s="21" t="n">
        <v>4</v>
      </c>
      <c r="B12" s="22" t="inlineStr">
        <is>
          <t>04_Воронка</t>
        </is>
      </c>
      <c r="C12" s="22" t="inlineStr">
        <is>
          <t>Конверсии, средний чек, повторные покупки, достижимая доля</t>
        </is>
      </c>
      <c r="D12" s="22" t="inlineStr">
        <is>
          <t>Продажи, выручка рынка, достижимая выручка</t>
        </is>
      </c>
      <c r="E12" s="22" t="inlineStr">
        <is>
          <t>Релевантный рыночный трафик</t>
        </is>
      </c>
      <c r="F12" s="22" t="inlineStr">
        <is>
          <t>Денежная оценка рынка</t>
        </is>
      </c>
      <c r="G12" s="22" t="inlineStr">
        <is>
          <t>Проверить адекватность конверсий</t>
        </is>
      </c>
      <c r="H12" s="22" t="inlineStr">
        <is>
          <t>Главный лист для сервисного электронного бизнеса</t>
        </is>
      </c>
      <c r="I12" s="22" t="n"/>
      <c r="J12" s="22" t="n"/>
      <c r="K12" s="22" t="n"/>
      <c r="L12" s="22" t="n"/>
      <c r="M12" s="22" t="n"/>
      <c r="N12" s="22" t="n"/>
      <c r="O12" s="22" t="n"/>
    </row>
    <row r="13" ht="25.5" customFormat="1" customHeight="1" s="23">
      <c r="A13" s="21" t="n">
        <v>5</v>
      </c>
      <c r="B13" s="22" t="inlineStr">
        <is>
          <t>05_Платформа</t>
        </is>
      </c>
      <c r="C13" s="22" t="inlineStr">
        <is>
          <t>Регистрации, активность, сделки, средняя сумма сделки, комиссия</t>
        </is>
      </c>
      <c r="D13" s="22" t="inlineStr">
        <is>
          <t>GMV и выручка платформы</t>
        </is>
      </c>
      <c r="E13" s="22" t="inlineStr">
        <is>
          <t>Рыночный трафик как вход в платформу</t>
        </is>
      </c>
      <c r="F13" s="22" t="inlineStr">
        <is>
          <t>Отдельная модель для платформ</t>
        </is>
      </c>
      <c r="G13" s="22" t="inlineStr">
        <is>
          <t>Не смешивать GMV и выручку</t>
        </is>
      </c>
      <c r="H13" s="22" t="inlineStr">
        <is>
          <t>Используется при платформенной бизнес-модели</t>
        </is>
      </c>
      <c r="I13" s="22" t="n"/>
      <c r="J13" s="22" t="n"/>
      <c r="K13" s="22" t="n"/>
      <c r="L13" s="22" t="n"/>
      <c r="M13" s="22" t="n"/>
      <c r="N13" s="22" t="n"/>
      <c r="O13" s="22" t="n"/>
    </row>
    <row r="14" ht="25.5" customFormat="1" customHeight="1" s="23">
      <c r="A14" s="21" t="n">
        <v>6</v>
      </c>
      <c r="B14" s="22" t="inlineStr">
        <is>
          <t>06_Сверка</t>
        </is>
      </c>
      <c r="C14" s="22" t="inlineStr">
        <is>
          <t>При необходимости добавить оценки других методов</t>
        </is>
      </c>
      <c r="D14" s="22" t="inlineStr">
        <is>
          <t>Диапазон итоговой оценки</t>
        </is>
      </c>
      <c r="E14" s="22" t="inlineStr">
        <is>
          <t>Данные Similarweb как один из методов</t>
        </is>
      </c>
      <c r="F14" s="22" t="inlineStr">
        <is>
          <t>Итоговый рыночный диапазон</t>
        </is>
      </c>
      <c r="G14" s="22" t="inlineStr">
        <is>
          <t>Расхождения методов должны быть объяснены</t>
        </is>
      </c>
      <c r="H14" s="22" t="inlineStr">
        <is>
          <t>Завершающий аналитический лист</t>
        </is>
      </c>
      <c r="I14" s="22" t="n"/>
      <c r="J14" s="22" t="n"/>
      <c r="K14" s="22" t="n"/>
      <c r="L14" s="22" t="n"/>
      <c r="M14" s="22" t="n"/>
      <c r="N14" s="22" t="n"/>
      <c r="O14" s="22" t="n"/>
    </row>
    <row r="15" customFormat="1" s="23">
      <c r="A15" s="21" t="n">
        <v>7</v>
      </c>
      <c r="B15" s="22" t="inlineStr">
        <is>
          <t>07_Дашборд</t>
        </is>
      </c>
      <c r="C15" s="22" t="inlineStr">
        <is>
          <t>Не заполнять вручную</t>
        </is>
      </c>
      <c r="D15" s="22" t="inlineStr">
        <is>
          <t>Ключевые показатели и графики</t>
        </is>
      </c>
      <c r="E15" s="22" t="inlineStr">
        <is>
          <t>Автоматически из расчетных листов</t>
        </is>
      </c>
      <c r="F15" s="22" t="inlineStr">
        <is>
          <t>Итоговая панель вывода</t>
        </is>
      </c>
      <c r="G15" s="22" t="inlineStr">
        <is>
          <t>Проверить, что значения обновились</t>
        </is>
      </c>
      <c r="H15" s="22" t="inlineStr">
        <is>
          <t>Лист для отчета</t>
        </is>
      </c>
      <c r="I15" s="22" t="n"/>
      <c r="J15" s="22" t="n"/>
      <c r="K15" s="22" t="n"/>
      <c r="L15" s="22" t="n"/>
      <c r="M15" s="22" t="n"/>
      <c r="N15" s="22" t="n"/>
      <c r="O15" s="22" t="n"/>
    </row>
    <row r="16" ht="25.5" customFormat="1" customHeight="1" s="23">
      <c r="A16" s="21" t="n">
        <v>8</v>
      </c>
      <c r="B16" s="22" t="inlineStr">
        <is>
          <t>08_Источники</t>
        </is>
      </c>
      <c r="C16" s="22" t="inlineStr">
        <is>
          <t>Ссылки, дата обращения, комментарии</t>
        </is>
      </c>
      <c r="D16" s="22" t="inlineStr">
        <is>
          <t>Журнал воспроизводимости</t>
        </is>
      </c>
      <c r="E16" s="22" t="inlineStr">
        <is>
          <t>URL, дата, ограничения Similarweb</t>
        </is>
      </c>
      <c r="F16" s="22" t="inlineStr">
        <is>
          <t>Доказательная база расчета</t>
        </is>
      </c>
      <c r="G16" s="22" t="inlineStr">
        <is>
          <t>Источник должен быть указан для каждого блока данных</t>
        </is>
      </c>
      <c r="H16" s="22" t="inlineStr">
        <is>
          <t>Заполняется по мере анализа</t>
        </is>
      </c>
      <c r="I16" s="22" t="n"/>
      <c r="J16" s="22" t="n"/>
      <c r="K16" s="22" t="n"/>
      <c r="L16" s="22" t="n"/>
      <c r="M16" s="22" t="n"/>
      <c r="N16" s="22" t="n"/>
      <c r="O16" s="22" t="n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D29" sqref="D29"/>
    </sheetView>
  </sheetViews>
  <sheetFormatPr baseColWidth="8" defaultRowHeight="14.25"/>
  <cols>
    <col width="28" customWidth="1" min="1" max="1"/>
    <col width="45.5" customWidth="1" min="2" max="2"/>
    <col width="15" customWidth="1" min="3" max="3"/>
    <col width="17" customWidth="1" min="4" max="4"/>
    <col width="53.375" customWidth="1" min="5" max="5"/>
    <col width="62.625" customWidth="1" min="6" max="6"/>
  </cols>
  <sheetData>
    <row r="1" ht="30" customHeight="1">
      <c r="A1" s="18" t="inlineStr">
        <is>
          <t>Исходные параметры сценарной оценки рынка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Единица</t>
        </is>
      </c>
      <c r="D3" s="2" t="inlineStr">
        <is>
          <t>Тип</t>
        </is>
      </c>
      <c r="E3" s="2" t="inlineStr">
        <is>
          <t>Источник / основание</t>
        </is>
      </c>
      <c r="F3" s="2" t="inlineStr">
        <is>
          <t>Комментарий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38.25" customHeight="1">
      <c r="A4" s="4" t="inlineStr">
        <is>
          <t>Название бизнес-идеи</t>
        </is>
      </c>
      <c r="B4" s="5" t="inlineStr">
        <is>
          <t>NotaCode — веб-IDE для построения и проверки диаграмм формальных нотаций как текста (подписка Free / Pro)</t>
        </is>
      </c>
      <c r="C4" s="22" t="inlineStr">
        <is>
          <t>текст</t>
        </is>
      </c>
      <c r="D4" s="21" t="inlineStr">
        <is>
          <t>ввод</t>
        </is>
      </c>
      <c r="E4" s="22" t="inlineStr">
        <is>
          <t>Границы рынка / бизнес-гипотеза</t>
        </is>
      </c>
      <c r="F4" s="22" t="inlineStr">
        <is>
          <t>Можно заменить на свою бизнес-идею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4" t="inlineStr">
        <is>
          <t>Географические границы</t>
        </is>
      </c>
      <c r="B5" s="5" t="inlineStr">
        <is>
          <t>Республика Беларусь</t>
        </is>
      </c>
      <c r="C5" s="22" t="inlineStr">
        <is>
          <t>текст</t>
        </is>
      </c>
      <c r="D5" s="21" t="inlineStr">
        <is>
          <t>ввод</t>
        </is>
      </c>
      <c r="E5" s="22" t="inlineStr">
        <is>
          <t>Паспорт границ рынка</t>
        </is>
      </c>
      <c r="F5" s="22" t="inlineStr">
        <is>
          <t>Указать страну, город или регион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4" t="inlineStr">
        <is>
          <t>Валюта расчета</t>
        </is>
      </c>
      <c r="B6" s="5" t="inlineStr">
        <is>
          <t>BYN</t>
        </is>
      </c>
      <c r="C6" s="22" t="inlineStr">
        <is>
          <t>текст</t>
        </is>
      </c>
      <c r="D6" s="21" t="inlineStr">
        <is>
          <t>ввод</t>
        </is>
      </c>
      <c r="E6" s="22" t="inlineStr">
        <is>
          <t>Выбор исследователя</t>
        </is>
      </c>
      <c r="F6" s="22" t="inlineStr">
        <is>
          <t>Используется в денежных расчетах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A7" s="4" t="inlineStr">
        <is>
          <t>Период оценки</t>
        </is>
      </c>
      <c r="B7" s="5" t="n">
        <v>12</v>
      </c>
      <c r="C7" s="22" t="inlineStr">
        <is>
          <t>месяцев</t>
        </is>
      </c>
      <c r="D7" s="21" t="inlineStr">
        <is>
          <t>ввод</t>
        </is>
      </c>
      <c r="E7" s="22" t="inlineStr">
        <is>
          <t>Период Similarweb / анализа</t>
        </is>
      </c>
      <c r="F7" s="22" t="inlineStr">
        <is>
          <t>Обычно 12 месяцев</t>
        </is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4" t="inlineStr">
        <is>
          <t>Средний чек базовый</t>
        </is>
      </c>
      <c r="B8" s="6" t="n">
        <v>121.14</v>
      </c>
      <c r="C8" s="22" t="inlineStr">
        <is>
          <t>BYN</t>
        </is>
      </c>
      <c r="D8" s="21" t="inlineStr">
        <is>
          <t>ввод</t>
        </is>
      </c>
      <c r="E8" s="22" t="inlineStr">
        <is>
          <t>Прайсы конкурентов / экспертная оценка</t>
        </is>
      </c>
      <c r="F8" s="22" t="inlineStr">
        <is>
          <t>Pro: 40 у.е. × 3,0285 (НБРБ 30.09.2026)</t>
        </is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5.5" customHeight="1">
      <c r="A9" s="4" t="inlineStr">
        <is>
          <t>Покупок в год на клиента</t>
        </is>
      </c>
      <c r="B9" s="6" t="n">
        <v>1</v>
      </c>
      <c r="C9" s="22" t="inlineStr">
        <is>
          <t>раз</t>
        </is>
      </c>
      <c r="D9" s="21" t="inlineStr">
        <is>
          <t>ввод</t>
        </is>
      </c>
      <c r="E9" s="22" t="inlineStr">
        <is>
          <t>Модель повторных покупок</t>
        </is>
      </c>
      <c r="F9" s="22" t="inlineStr">
        <is>
          <t>Годовой тариф — одна оплата в год; для помесячного Pro — 12 оплат по 10,10 BYN (эквивалент годового тарифа; тот же результат)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38.25" customHeight="1">
      <c r="A10" s="4" t="inlineStr">
        <is>
          <t>Доля целевой географии</t>
        </is>
      </c>
      <c r="B10" s="7" t="n">
        <v>0.001958</v>
      </c>
      <c r="C10" s="22" t="inlineStr">
        <is>
          <t>%</t>
        </is>
      </c>
      <c r="D10" s="21" t="inlineStr">
        <is>
          <t>ввод</t>
        </is>
      </c>
      <c r="E10" s="22" t="inlineStr">
        <is>
          <t>Similarweb geography</t>
        </is>
      </c>
      <c r="F10" s="22" t="inlineStr">
        <is>
          <t>Допущение Д-01 (доля РФ по Similarweb × отношение запросов РБ/РФ в Вордстате); не используется формулами (П-13), доля вводится по доменам на листе 02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A11" s="4" t="inlineStr">
        <is>
          <t>Доля релевантного трафика</t>
        </is>
      </c>
      <c r="B11" s="7" t="n">
        <v>0.3846</v>
      </c>
      <c r="C11" s="22" t="inlineStr">
        <is>
          <t>%</t>
        </is>
      </c>
      <c r="D11" s="21" t="inlineStr">
        <is>
          <t>ввод</t>
        </is>
      </c>
      <c r="E11" s="22" t="inlineStr">
        <is>
          <t>Similarweb channels / keywords</t>
        </is>
      </c>
      <c r="F11" s="22" t="inlineStr">
        <is>
          <t>Средневзвешенная по визитам; не используется формулами (П-13)</t>
        </is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A12" s="4" t="inlineStr">
        <is>
          <t>Коэффициент качества трафика</t>
        </is>
      </c>
      <c r="B12" s="7" t="n">
        <v>0.9053</v>
      </c>
      <c r="C12" s="22" t="inlineStr">
        <is>
          <t>доля</t>
        </is>
      </c>
      <c r="D12" s="21" t="inlineStr">
        <is>
          <t>ввод</t>
        </is>
      </c>
      <c r="E12" s="22" t="inlineStr">
        <is>
          <t>Engagement / экспертная оценка</t>
        </is>
      </c>
      <c r="F12" s="22" t="inlineStr">
        <is>
          <t>Средневзвешенная; не используется формулами (П-13)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4" t="inlineStr">
        <is>
          <t>Дата заполнения</t>
        </is>
      </c>
      <c r="B13" s="29" t="inlineStr">
        <is>
          <t>29.09.2026</t>
        </is>
      </c>
      <c r="C13" s="22" t="inlineStr">
        <is>
          <t>дата</t>
        </is>
      </c>
      <c r="D13" s="21" t="inlineStr">
        <is>
          <t>ввод</t>
        </is>
      </c>
      <c r="E13" s="22" t="inlineStr">
        <is>
          <t>Исследователь</t>
        </is>
      </c>
      <c r="F13" s="22" t="inlineStr">
        <is>
          <t>Обновлять при пересчете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>
      <c r="A15" s="2" t="inlineStr">
        <is>
          <t>Параметр сценария</t>
        </is>
      </c>
      <c r="B15" s="2" t="inlineStr">
        <is>
          <t>Осторожный</t>
        </is>
      </c>
      <c r="C15" s="2" t="inlineStr">
        <is>
          <t>Базовый</t>
        </is>
      </c>
      <c r="D15" s="2" t="inlineStr">
        <is>
          <t>Оптимистичный</t>
        </is>
      </c>
      <c r="E15" s="2" t="inlineStr">
        <is>
          <t>Смысл параметра</t>
        </is>
      </c>
      <c r="F15" s="2" t="inlineStr">
        <is>
          <t>Комментарий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>
      <c r="A16" s="4" t="inlineStr">
        <is>
          <t>Охват неучтенных конкурентов</t>
        </is>
      </c>
      <c r="B16" s="6" t="n">
        <v>1.1</v>
      </c>
      <c r="C16" s="6" t="n">
        <v>1.35</v>
      </c>
      <c r="D16" s="6" t="n">
        <v>1.8</v>
      </c>
      <c r="E16" s="22" t="inlineStr">
        <is>
          <t>Во сколько раз рынок шире набора найденных конкурентов</t>
        </is>
      </c>
      <c r="F16" s="22" t="inlineStr">
        <is>
          <t>Больше 1, если Similarweb охватывает не всех игроков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s="4" t="inlineStr">
        <is>
          <t>Коэффициент надежности данных</t>
        </is>
      </c>
      <c r="B17" s="6" t="n">
        <v>0.75</v>
      </c>
      <c r="C17" s="6" t="n">
        <v>0.9</v>
      </c>
      <c r="D17" s="6" t="n">
        <v>1</v>
      </c>
      <c r="E17" s="22" t="inlineStr">
        <is>
          <t>Поправка на оценочный характер данных Similarweb</t>
        </is>
      </c>
      <c r="F17" s="22" t="inlineStr">
        <is>
          <t>Для малых сайтов лучше снижать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25.5" customHeight="1">
      <c r="A18" s="4" t="inlineStr">
        <is>
          <t>Корректировка на недоступный спрос</t>
        </is>
      </c>
      <c r="B18" s="6" t="n">
        <v>0.8</v>
      </c>
      <c r="C18" s="6" t="n">
        <v>1</v>
      </c>
      <c r="D18" s="6" t="n">
        <v>1.15</v>
      </c>
      <c r="E18" s="22" t="inlineStr">
        <is>
          <t>Поправка на спрос вне сайтов конкурентов</t>
        </is>
      </c>
      <c r="F18" s="22" t="inlineStr">
        <is>
          <t>Может учитывать социальные сети, рекомендации, мессенджеры</t>
        </is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A19" s="4" t="inlineStr">
        <is>
          <t>Конверсия визит → заявка</t>
        </is>
      </c>
      <c r="B19" s="9" t="n">
        <v>0.005</v>
      </c>
      <c r="C19" s="9" t="n">
        <v>0.015</v>
      </c>
      <c r="D19" s="9" t="n">
        <v>0.03</v>
      </c>
      <c r="E19" s="22" t="inlineStr">
        <is>
          <t>Доля релевантных посещений, превращающихся в заявку</t>
        </is>
      </c>
      <c r="F19" s="22" t="inlineStr">
        <is>
          <t>Для услуг обычно ниже, чем для простых товаров</t>
        </is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5.5" customHeight="1">
      <c r="A20" s="4" t="inlineStr">
        <is>
          <t>Конверсия заявка → продажа</t>
        </is>
      </c>
      <c r="B20" s="9" t="n">
        <v>0.03</v>
      </c>
      <c r="C20" s="9" t="n">
        <v>0.04</v>
      </c>
      <c r="D20" s="9" t="n">
        <v>0.05</v>
      </c>
      <c r="E20" s="22" t="inlineStr">
        <is>
          <t>Доля заявок, превращающихся в оплату</t>
        </is>
      </c>
      <c r="F20" s="22" t="inlineStr">
        <is>
          <t>Регистрация → оплата Pro: допущение проекта 3–5 % (вне шкалы Word СЦ 10–60 % и шкалы шаблона)</t>
        </is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4" t="inlineStr">
        <is>
          <t>Множитель среднего чека</t>
        </is>
      </c>
      <c r="B21" s="6" t="n">
        <v>0.8</v>
      </c>
      <c r="C21" s="6" t="n">
        <v>1</v>
      </c>
      <c r="D21" s="6" t="n">
        <v>1.25</v>
      </c>
      <c r="E21" s="22" t="inlineStr">
        <is>
          <t>Корректирует базовый средний чек</t>
        </is>
      </c>
      <c r="F21" s="22" t="inlineStr">
        <is>
          <t>Используется для сценарного расчета</t>
        </is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4" t="inlineStr">
        <is>
          <t>Покупок в год</t>
        </is>
      </c>
      <c r="B22" s="6" t="n">
        <v>1</v>
      </c>
      <c r="C22" s="6" t="n">
        <v>1</v>
      </c>
      <c r="D22" s="6" t="n">
        <v>1</v>
      </c>
      <c r="E22" s="22" t="inlineStr">
        <is>
          <t>Частота покупок / продлений в год</t>
        </is>
      </c>
      <c r="F22" s="22" t="inlineStr">
        <is>
          <t>Для подписки может быть 12</t>
        </is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4" t="inlineStr">
        <is>
          <t>Достижимая доля рынка</t>
        </is>
      </c>
      <c r="B23" s="9" t="n">
        <v>0.005</v>
      </c>
      <c r="C23" s="9" t="n">
        <v>0.015</v>
      </c>
      <c r="D23" s="9" t="n">
        <v>0.04</v>
      </c>
      <c r="E23" s="22" t="inlineStr">
        <is>
          <t>Реально достижимая доля рынка новым бизнесом</t>
        </is>
      </c>
      <c r="F23" s="22" t="inlineStr">
        <is>
          <t>Используется для SOM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topLeftCell="F3" workbookViewId="0">
      <selection activeCell="L22" sqref="L22"/>
    </sheetView>
  </sheetViews>
  <sheetFormatPr baseColWidth="8" defaultRowHeight="14.25"/>
  <cols>
    <col width="18.875" customWidth="1" min="1" max="1"/>
    <col width="24" customWidth="1" min="2" max="2"/>
    <col width="22" customWidth="1" min="3" max="3"/>
    <col width="28" customWidth="1" min="4" max="4"/>
    <col width="15" customWidth="1" min="5" max="5"/>
    <col width="16" customWidth="1" min="6" max="6"/>
    <col width="18" customWidth="1" min="7" max="7"/>
    <col width="17" customWidth="1" min="8" max="8"/>
    <col width="18" customWidth="1" min="9" max="11"/>
    <col width="46.25" customWidth="1" min="12" max="12"/>
    <col width="57.125" customWidth="1" min="13" max="13"/>
  </cols>
  <sheetData>
    <row r="1" ht="30" customHeight="1">
      <c r="A1" s="18" t="inlineStr">
        <is>
          <t>Ввод и расчет данных Similarweb по конкурентам</t>
        </is>
      </c>
      <c r="N1" s="1" t="n"/>
      <c r="O1" s="1" t="n"/>
    </row>
    <row r="2" ht="178.5" customHeight="1">
      <c r="A2" s="24" t="inlineStr">
        <is>
      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</t>
        </is>
      </c>
      <c r="B2" s="24" t="inlineStr">
        <is>
      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</t>
        </is>
      </c>
      <c r="C2" s="24" t="inlineStr">
        <is>
      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</t>
        </is>
      </c>
      <c r="D2" s="24" t="inlineStr">
        <is>
      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</t>
        </is>
      </c>
      <c r="E2" s="24" t="inlineStr">
        <is>
      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</t>
        </is>
      </c>
      <c r="F2" s="24" t="inlineStr">
        <is>
      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</t>
        </is>
      </c>
      <c r="G2" s="24" t="inlineStr">
        <is>
      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</t>
        </is>
      </c>
      <c r="H2" s="24" t="inlineStr">
        <is>
      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</t>
        </is>
      </c>
      <c r="I2" s="24" t="inlineStr">
        <is>
      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</t>
        </is>
      </c>
      <c r="J2" s="24" t="inlineStr">
        <is>
      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</t>
        </is>
      </c>
      <c r="K2" s="24" t="inlineStr">
        <is>
      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</t>
        </is>
      </c>
      <c r="L2" s="24" t="inlineStr">
        <is>
      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</t>
        </is>
      </c>
      <c r="M2" s="24" t="inlineStr">
        <is>
      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</t>
        </is>
      </c>
      <c r="N2" s="22" t="n"/>
      <c r="O2" s="22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38.25" customHeight="1">
      <c r="A4" s="2" t="inlineStr">
        <is>
          <t>№</t>
        </is>
      </c>
      <c r="B4" s="2" t="inlineStr">
        <is>
          <t>Конкурент</t>
        </is>
      </c>
      <c r="C4" s="2" t="inlineStr">
        <is>
          <t>Домен</t>
        </is>
      </c>
      <c r="D4" s="2" t="inlineStr">
        <is>
          <t>Тип игрока</t>
        </is>
      </c>
      <c r="E4" s="2" t="inlineStr">
        <is>
          <t>Месячные посещения</t>
        </is>
      </c>
      <c r="F4" s="2" t="inlineStr">
        <is>
          <t>Доля целевой географии</t>
        </is>
      </c>
      <c r="G4" s="2" t="inlineStr">
        <is>
          <t>Доля релевантного трафика</t>
        </is>
      </c>
      <c r="H4" s="2" t="inlineStr">
        <is>
          <t>Коэффициент качества</t>
        </is>
      </c>
      <c r="I4" s="2" t="inlineStr">
        <is>
          <t>Релевантные посещения/мес</t>
        </is>
      </c>
      <c r="J4" s="2" t="inlineStr">
        <is>
          <t>Релевантные посещения/год</t>
        </is>
      </c>
      <c r="K4" s="2" t="inlineStr">
        <is>
          <t>Доля среди учтенных конкурентов</t>
        </is>
      </c>
      <c r="L4" s="2" t="inlineStr">
        <is>
          <t>Источник данных</t>
        </is>
      </c>
      <c r="M4" s="2" t="inlineStr">
        <is>
          <t>Комментарий</t>
        </is>
      </c>
      <c r="N4" s="1" t="n"/>
      <c r="O4" s="1" t="n"/>
    </row>
    <row r="5" ht="38.25" customFormat="1" customHeight="1" s="23">
      <c r="A5" s="21" t="n">
        <v>1</v>
      </c>
      <c r="B5" s="25" t="inlineStr">
        <is>
          <t>PlantUML</t>
        </is>
      </c>
      <c r="C5" s="25" t="inlineStr">
        <is>
          <t>plantuml.com</t>
        </is>
      </c>
      <c r="D5" s="25" t="inlineStr">
        <is>
          <t>прямой (текстовый DSL)</t>
        </is>
      </c>
      <c r="E5" s="26" t="n">
        <v>507000</v>
      </c>
      <c r="F5" s="31" t="n">
        <v>0.001958</v>
      </c>
      <c r="G5" s="27" t="n">
        <v>0.75</v>
      </c>
      <c r="H5" s="27" t="n">
        <v>1</v>
      </c>
      <c r="I5" s="10">
        <f>IFERROR(E5*F5*G5*H5,0)</f>
        <v/>
      </c>
      <c r="J5" s="10">
        <f>I5*12</f>
        <v/>
      </c>
      <c r="K5" s="11">
        <f>IFERROR(I5/SUM($I\$5:$I\$19),0)</f>
        <v/>
      </c>
      <c r="L5" s="22" t="inlineStr">
        <is>
          <t>https://www.similarweb.com/website/plantuml.com/</t>
        </is>
      </c>
      <c r="M5" s="22" t="inlineStr">
        <is>
          <t>ФАКТ (Similarweb, авг. 2026, скриншот); период «последние 3 месяца» (августовское значение). Доля РБ — допущение Д-01, доля релевантного — Д-02</t>
        </is>
      </c>
      <c r="N5" s="22" t="n"/>
      <c r="O5" s="22" t="n"/>
    </row>
    <row r="6" ht="25.5" customFormat="1" customHeight="1" s="23">
      <c r="A6" s="21" t="n">
        <v>2</v>
      </c>
      <c r="B6" s="25" t="inlineStr">
        <is>
          <t>draw.io (diagrams.net)</t>
        </is>
      </c>
      <c r="C6" s="25" t="inlineStr">
        <is>
          <t>app.diagrams.net</t>
        </is>
      </c>
      <c r="D6" s="25" t="inlineStr">
        <is>
          <t>заменитель (визуальный редактор)</t>
        </is>
      </c>
      <c r="E6" s="26" t="n">
        <v>7800000</v>
      </c>
      <c r="F6" s="31" t="n">
        <v>0.001958</v>
      </c>
      <c r="G6" s="27" t="n">
        <v>0.35</v>
      </c>
      <c r="H6" s="27" t="n">
        <v>0.9</v>
      </c>
      <c r="I6" s="10">
        <f>IFERROR(E6*F6*G6*H6,0)</f>
        <v/>
      </c>
      <c r="J6" s="10">
        <f>I6*12</f>
        <v/>
      </c>
      <c r="K6" s="11">
        <f>IFERROR(I6/SUM($I\$5:$I\$19),0)</f>
        <v/>
      </c>
      <c r="L6" s="22" t="inlineStr">
        <is>
          <t>https://www.similarweb.com/website/app.diagrams.net/</t>
        </is>
      </c>
      <c r="M6" s="22" t="inlineStr">
        <is>
          <t>отчёт ЛР1, без скриншота; период «последние 3 месяца» (августовское значение). Доля РБ — допущение Д-01, доля релевантного — Д-02</t>
        </is>
      </c>
      <c r="N6" s="22" t="n"/>
      <c r="O6" s="22" t="n"/>
    </row>
    <row r="7" ht="38.25" customFormat="1" customHeight="1" s="23">
      <c r="A7" s="21" t="n">
        <v>3</v>
      </c>
      <c r="B7" s="25" t="inlineStr">
        <is>
          <t>Eraser</t>
        </is>
      </c>
      <c r="C7" s="25" t="inlineStr">
        <is>
          <t>eraser.io</t>
        </is>
      </c>
      <c r="D7" s="25" t="inlineStr">
        <is>
          <t>прямой (AI + diagram as code)</t>
        </is>
      </c>
      <c r="E7" s="26" t="n">
        <v>678500</v>
      </c>
      <c r="F7" s="31" t="n">
        <v>0.001958</v>
      </c>
      <c r="G7" s="27" t="n">
        <v>0.5</v>
      </c>
      <c r="H7" s="27" t="n">
        <v>0.9</v>
      </c>
      <c r="I7" s="10">
        <f>IFERROR(E7*F7*G7*H7,0)</f>
        <v/>
      </c>
      <c r="J7" s="10">
        <f>I7*12</f>
        <v/>
      </c>
      <c r="K7" s="11">
        <f>IFERROR(I7/SUM($I\$5:$I\$19),0)</f>
        <v/>
      </c>
      <c r="L7" s="22" t="inlineStr">
        <is>
          <t>https://www.similarweb.com/website/eraser.io/</t>
        </is>
      </c>
      <c r="M7" s="22" t="inlineStr">
        <is>
          <t>предварительный замер 17–23.09.2026, не подтверждён; период «последние 3 месяца» (августовское значение). Доля РБ — допущение Д-01, доля релевантного — Д-02</t>
        </is>
      </c>
      <c r="N7" s="22" t="n"/>
      <c r="O7" s="22" t="n"/>
    </row>
    <row r="8" ht="38.25" customFormat="1" customHeight="1" s="23">
      <c r="A8" s="21" t="n">
        <v>4</v>
      </c>
      <c r="B8" s="25" t="inlineStr">
        <is>
          <t>Mermaid Chart</t>
        </is>
      </c>
      <c r="C8" s="25" t="inlineStr">
        <is>
          <t>mermaidchart.com</t>
        </is>
      </c>
      <c r="D8" s="25" t="inlineStr">
        <is>
          <t>прямой (текстовый DSL)</t>
        </is>
      </c>
      <c r="E8" s="26" t="n">
        <v>20000</v>
      </c>
      <c r="F8" s="31" t="n">
        <v>0.001958</v>
      </c>
      <c r="G8" s="27" t="n">
        <v>0.7</v>
      </c>
      <c r="H8" s="27" t="n">
        <v>0.75</v>
      </c>
      <c r="I8" s="10">
        <f>IFERROR(E8*F8*G8*H8,0)</f>
        <v/>
      </c>
      <c r="J8" s="10">
        <f>I8*12</f>
        <v/>
      </c>
      <c r="K8" s="11">
        <f>IFERROR(I8/SUM($I\$5:$I\$19),0)</f>
        <v/>
      </c>
      <c r="L8" s="22" t="inlineStr">
        <is>
          <t>https://www.similarweb.com/website/mermaidchart.com/</t>
        </is>
      </c>
      <c r="M8" s="22" t="inlineStr">
        <is>
          <t>предварительный замер: «менее 20 тыс.» (верхняя граница), не подтверждён; период «последние 3 месяца» (августовское значение). Доля РБ — допущение Д-01, доля релевантного — Д-02</t>
        </is>
      </c>
      <c r="N8" s="22" t="n"/>
      <c r="O8" s="22" t="n"/>
    </row>
    <row r="9" customFormat="1" s="23">
      <c r="A9" s="21" t="n"/>
      <c r="B9" s="25" t="n"/>
      <c r="C9" s="25" t="n"/>
      <c r="D9" s="25" t="n"/>
      <c r="E9" s="26" t="n"/>
      <c r="F9" s="27" t="n"/>
      <c r="G9" s="27" t="n"/>
      <c r="H9" s="27" t="n"/>
      <c r="I9" s="10">
        <f>IFERROR(E9*F9*G9*H9,0)</f>
        <v/>
      </c>
      <c r="J9" s="10">
        <f>I9*12</f>
        <v/>
      </c>
      <c r="K9" s="11">
        <f>IFERROR(I9/SUM($I\$5:$I\$19),0)</f>
        <v/>
      </c>
      <c r="L9" s="22" t="n"/>
      <c r="M9" s="22" t="n"/>
      <c r="N9" s="22" t="n"/>
      <c r="O9" s="22" t="n"/>
    </row>
    <row r="10" customFormat="1" s="23">
      <c r="A10" s="21" t="n"/>
      <c r="B10" s="25" t="n"/>
      <c r="C10" s="25" t="n"/>
      <c r="D10" s="25" t="n"/>
      <c r="E10" s="26" t="n"/>
      <c r="F10" s="27" t="n"/>
      <c r="G10" s="27" t="n"/>
      <c r="H10" s="27" t="n"/>
      <c r="I10" s="10">
        <f>IFERROR(E10*F10*G10*H10,0)</f>
        <v/>
      </c>
      <c r="J10" s="10">
        <f>I10*12</f>
        <v/>
      </c>
      <c r="K10" s="11">
        <f>IFERROR(I10/SUM($I\$5:$I\$19),0)</f>
        <v/>
      </c>
      <c r="L10" s="22" t="n"/>
      <c r="M10" s="22" t="n"/>
      <c r="N10" s="22" t="n"/>
      <c r="O10" s="22" t="n"/>
    </row>
    <row r="11" customFormat="1" s="23">
      <c r="A11" s="21" t="n"/>
      <c r="B11" s="25" t="n"/>
      <c r="C11" s="25" t="n"/>
      <c r="D11" s="25" t="n"/>
      <c r="E11" s="26" t="n"/>
      <c r="F11" s="27" t="n"/>
      <c r="G11" s="27" t="n"/>
      <c r="H11" s="27" t="n"/>
      <c r="I11" s="10">
        <f>IFERROR(E11*F11*G11*H11,0)</f>
        <v/>
      </c>
      <c r="J11" s="10">
        <f>I11*12</f>
        <v/>
      </c>
      <c r="K11" s="11">
        <f>IFERROR(I11/SUM($I\$5:$I\$19),0)</f>
        <v/>
      </c>
      <c r="L11" s="22" t="n"/>
      <c r="M11" s="22" t="n"/>
      <c r="N11" s="22" t="n"/>
      <c r="O11" s="22" t="n"/>
    </row>
    <row r="12" customFormat="1" s="23">
      <c r="A12" s="21" t="n"/>
      <c r="B12" s="25" t="n"/>
      <c r="C12" s="25" t="n"/>
      <c r="D12" s="25" t="n"/>
      <c r="E12" s="26" t="n"/>
      <c r="F12" s="27" t="n"/>
      <c r="G12" s="27" t="n"/>
      <c r="H12" s="27" t="n"/>
      <c r="I12" s="10">
        <f>IFERROR(E12*F12*G12*H12,0)</f>
        <v/>
      </c>
      <c r="J12" s="10">
        <f>I12*12</f>
        <v/>
      </c>
      <c r="K12" s="11">
        <f>IFERROR(I12/SUM($I\$5:$I\$19),0)</f>
        <v/>
      </c>
      <c r="L12" s="22" t="n"/>
      <c r="M12" s="22" t="n"/>
      <c r="N12" s="22" t="n"/>
      <c r="O12" s="22" t="n"/>
    </row>
    <row r="13" customFormat="1" s="23">
      <c r="A13" s="21" t="n"/>
      <c r="B13" s="25" t="n"/>
      <c r="C13" s="25" t="n"/>
      <c r="D13" s="25" t="n"/>
      <c r="E13" s="26" t="n"/>
      <c r="F13" s="27" t="n"/>
      <c r="G13" s="27" t="n"/>
      <c r="H13" s="27" t="n"/>
      <c r="I13" s="10">
        <f>IFERROR(E13*F13*G13*H13,0)</f>
        <v/>
      </c>
      <c r="J13" s="10">
        <f>I13*12</f>
        <v/>
      </c>
      <c r="K13" s="11">
        <f>IFERROR(I13/SUM($I\$5:$I\$19),0)</f>
        <v/>
      </c>
      <c r="L13" s="22" t="n"/>
      <c r="M13" s="22" t="n"/>
      <c r="N13" s="22" t="n"/>
      <c r="O13" s="22" t="n"/>
    </row>
    <row r="14" customFormat="1" s="23">
      <c r="A14" s="21" t="n"/>
      <c r="B14" s="25" t="n"/>
      <c r="C14" s="25" t="n"/>
      <c r="D14" s="25" t="n"/>
      <c r="E14" s="26" t="n"/>
      <c r="F14" s="27" t="n"/>
      <c r="G14" s="27" t="n"/>
      <c r="H14" s="27" t="n"/>
      <c r="I14" s="10">
        <f>IFERROR(E14*F14*G14*H14,0)</f>
        <v/>
      </c>
      <c r="J14" s="10">
        <f>I14*12</f>
        <v/>
      </c>
      <c r="K14" s="11">
        <f>IFERROR(I14/SUM($I\$5:$I\$19),0)</f>
        <v/>
      </c>
      <c r="L14" s="22" t="n"/>
      <c r="M14" s="22" t="n"/>
      <c r="N14" s="22" t="n"/>
      <c r="O14" s="22" t="n"/>
    </row>
    <row r="15" customFormat="1" s="23">
      <c r="A15" s="21" t="n"/>
      <c r="B15" s="25" t="n"/>
      <c r="C15" s="25" t="n"/>
      <c r="D15" s="25" t="n"/>
      <c r="E15" s="26" t="n"/>
      <c r="F15" s="27" t="n"/>
      <c r="G15" s="27" t="n"/>
      <c r="H15" s="27" t="n"/>
      <c r="I15" s="10">
        <f>IFERROR(E15*F15*G15*H15,0)</f>
        <v/>
      </c>
      <c r="J15" s="10">
        <f>I15*12</f>
        <v/>
      </c>
      <c r="K15" s="11">
        <f>IFERROR(I15/SUM($I\$5:$I\$19),0)</f>
        <v/>
      </c>
      <c r="L15" s="22" t="n"/>
      <c r="M15" s="22" t="n"/>
      <c r="N15" s="22" t="n"/>
      <c r="O15" s="22" t="n"/>
    </row>
    <row r="16" customFormat="1" s="23">
      <c r="A16" s="21" t="n"/>
      <c r="B16" s="25" t="n"/>
      <c r="C16" s="25" t="n"/>
      <c r="D16" s="25" t="n"/>
      <c r="E16" s="26" t="n"/>
      <c r="F16" s="27" t="n"/>
      <c r="G16" s="27" t="n"/>
      <c r="H16" s="27" t="n"/>
      <c r="I16" s="10">
        <f>IFERROR(E16*F16*G16*H16,0)</f>
        <v/>
      </c>
      <c r="J16" s="10">
        <f>I16*12</f>
        <v/>
      </c>
      <c r="K16" s="11">
        <f>IFERROR(I16/SUM($I\$5:$I\$19),0)</f>
        <v/>
      </c>
      <c r="L16" s="22" t="n"/>
      <c r="M16" s="22" t="n"/>
      <c r="N16" s="22" t="n"/>
      <c r="O16" s="22" t="n"/>
    </row>
    <row r="17" customFormat="1" s="23">
      <c r="A17" s="21" t="n"/>
      <c r="B17" s="25" t="n"/>
      <c r="C17" s="25" t="n"/>
      <c r="D17" s="25" t="n"/>
      <c r="E17" s="26" t="n"/>
      <c r="F17" s="27" t="n"/>
      <c r="G17" s="27" t="n"/>
      <c r="H17" s="27" t="n"/>
      <c r="I17" s="10">
        <f>IFERROR(E17*F17*G17*H17,0)</f>
        <v/>
      </c>
      <c r="J17" s="10">
        <f>I17*12</f>
        <v/>
      </c>
      <c r="K17" s="11">
        <f>IFERROR(I17/SUM($I\$5:$I\$19),0)</f>
        <v/>
      </c>
      <c r="L17" s="22" t="n"/>
      <c r="M17" s="22" t="n"/>
      <c r="N17" s="22" t="n"/>
      <c r="O17" s="22" t="n"/>
    </row>
    <row r="18" customFormat="1" s="23">
      <c r="A18" s="21" t="n"/>
      <c r="B18" s="25" t="n"/>
      <c r="C18" s="25" t="n"/>
      <c r="D18" s="25" t="n"/>
      <c r="E18" s="26" t="n"/>
      <c r="F18" s="27" t="n"/>
      <c r="G18" s="27" t="n"/>
      <c r="H18" s="27" t="n"/>
      <c r="I18" s="10">
        <f>IFERROR(E18*F18*G18*H18,0)</f>
        <v/>
      </c>
      <c r="J18" s="10">
        <f>I18*12</f>
        <v/>
      </c>
      <c r="K18" s="11">
        <f>IFERROR(I18/SUM($I\$5:$I\$19),0)</f>
        <v/>
      </c>
      <c r="L18" s="22" t="n"/>
      <c r="M18" s="22" t="n"/>
      <c r="N18" s="22" t="n"/>
      <c r="O18" s="22" t="n"/>
    </row>
    <row r="19" customFormat="1" s="23">
      <c r="A19" s="21" t="n"/>
      <c r="B19" s="25" t="n"/>
      <c r="C19" s="25" t="n"/>
      <c r="D19" s="25" t="n"/>
      <c r="E19" s="26" t="n"/>
      <c r="F19" s="27" t="n"/>
      <c r="G19" s="27" t="n"/>
      <c r="H19" s="27" t="n"/>
      <c r="I19" s="10">
        <f>IFERROR(E19*F19*G19*H19,0)</f>
        <v/>
      </c>
      <c r="J19" s="10">
        <f>I19*12</f>
        <v/>
      </c>
      <c r="K19" s="11">
        <f>IFERROR(I19/SUM($I\$5:$I\$19),0)</f>
        <v/>
      </c>
      <c r="L19" s="22" t="n"/>
      <c r="M19" s="22" t="n"/>
      <c r="N19" s="22" t="n"/>
      <c r="O19" s="22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19" t="inlineStr">
        <is>
          <t>Итого учтенные конкуренты</t>
        </is>
      </c>
      <c r="I21" s="10">
        <f>SUM(I5:I19)</f>
        <v/>
      </c>
      <c r="J21" s="10">
        <f>SUM(J5:J19)</f>
        <v/>
      </c>
      <c r="K21" s="1" t="n"/>
      <c r="L21" s="1" t="n"/>
      <c r="M21" s="1" t="n"/>
      <c r="N21" s="1" t="n"/>
      <c r="O21" s="1" t="n"/>
    </row>
    <row r="22">
      <c r="A22" s="1" t="n"/>
      <c r="B22" s="1" t="inlineStr">
        <is>
          <t>Выборка — 4 домена (&lt; 5, Word СЦ: 5–15);com подтверждён скриншотом, остальные — выгрузка ЛР1)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</sheetData>
  <mergeCells count="2">
    <mergeCell ref="A21:H21"/>
    <mergeCell ref="A1:M1"/>
  </mergeCells>
  <conditionalFormatting sqref="K5:K1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E22" sqref="E22"/>
    </sheetView>
  </sheetViews>
  <sheetFormatPr baseColWidth="8" defaultRowHeight="14.25"/>
  <cols>
    <col width="18" customWidth="1" min="1" max="3"/>
    <col width="22" customWidth="1" min="4" max="4"/>
    <col width="20" customWidth="1" min="5" max="7"/>
    <col width="20.875" customWidth="1" min="8" max="8"/>
    <col width="20.125" customWidth="1" min="9" max="9"/>
    <col width="36" customWidth="1" min="10" max="10"/>
    <col width="28" customWidth="1" min="11" max="11"/>
  </cols>
  <sheetData>
    <row r="1" ht="30" customHeight="1">
      <c r="A1" s="18" t="inlineStr">
        <is>
          <t>Сценарный расчет рыночного трафика на основе Similarweb</t>
        </is>
      </c>
      <c r="L1" s="1" t="n"/>
      <c r="M1" s="1" t="n"/>
      <c r="N1" s="1" t="n"/>
      <c r="O1" s="1" t="n"/>
    </row>
    <row r="2" ht="140.25" customFormat="1" customHeight="1" s="23">
      <c r="A2" s="24" t="inlineStr">
        <is>
          <t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</t>
        </is>
      </c>
      <c r="B2" s="24" t="inlineStr">
        <is>
          <t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</t>
        </is>
      </c>
      <c r="C2" s="24" t="inlineStr">
        <is>
          <t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</t>
        </is>
      </c>
      <c r="D2" s="24" t="inlineStr">
        <is>
          <t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</t>
        </is>
      </c>
      <c r="E2" s="24" t="inlineStr">
        <is>
          <t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</t>
        </is>
      </c>
      <c r="F2" s="24" t="inlineStr">
        <is>
          <t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</t>
        </is>
      </c>
      <c r="G2" s="24" t="inlineStr">
        <is>
          <t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</t>
        </is>
      </c>
      <c r="H2" s="24" t="inlineStr">
        <is>
          <t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</t>
        </is>
      </c>
      <c r="I2" s="24" t="inlineStr">
        <is>
          <t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</t>
        </is>
      </c>
      <c r="J2" s="24" t="inlineStr">
        <is>
          <t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</t>
        </is>
      </c>
      <c r="K2" s="24" t="inlineStr">
        <is>
          <t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</t>
        </is>
      </c>
      <c r="L2" s="22" t="n"/>
      <c r="M2" s="22" t="n"/>
      <c r="N2" s="22" t="n"/>
      <c r="O2" s="22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5.5" customHeight="1">
      <c r="A4" s="2" t="inlineStr">
        <is>
          <t>Сценарий</t>
        </is>
      </c>
      <c r="B4" s="2" t="inlineStr">
        <is>
          <t>Охват неучтенных конкурентов</t>
        </is>
      </c>
      <c r="C4" s="2" t="inlineStr">
        <is>
          <t>Коэффициент надежности данных</t>
        </is>
      </c>
      <c r="D4" s="2" t="inlineStr">
        <is>
          <t>Корректировка на недоступный спрос</t>
        </is>
      </c>
      <c r="E4" s="2" t="inlineStr">
        <is>
          <t>Релевантный трафик конкурентов/мес</t>
        </is>
      </c>
      <c r="F4" s="2" t="inlineStr">
        <is>
          <t>Оценка рыночного трафика/мес</t>
        </is>
      </c>
      <c r="G4" s="2" t="inlineStr">
        <is>
          <t>Оценка рыночного трафика/год</t>
        </is>
      </c>
      <c r="H4" s="2" t="inlineStr">
        <is>
          <t>Нижняя граница/год</t>
        </is>
      </c>
      <c r="I4" s="2" t="inlineStr">
        <is>
          <t>Верхняя граница/год</t>
        </is>
      </c>
      <c r="J4" s="2" t="inlineStr">
        <is>
          <t>Интерпретация</t>
        </is>
      </c>
      <c r="K4" s="2" t="inlineStr">
        <is>
          <t>Комментарий</t>
        </is>
      </c>
      <c r="L4" s="1" t="n"/>
      <c r="M4" s="1" t="n"/>
      <c r="N4" s="1" t="n"/>
      <c r="O4" s="1" t="n"/>
    </row>
    <row r="5">
      <c r="A5" s="4" t="inlineStr">
        <is>
          <t>Осторожный</t>
        </is>
      </c>
      <c r="B5" s="12">
        <f>'01_Параметры'!B16</f>
        <v/>
      </c>
      <c r="C5" s="12">
        <f>'01_Параметры'!B17</f>
        <v/>
      </c>
      <c r="D5" s="12">
        <f>'01_Параметры'!B18</f>
        <v/>
      </c>
      <c r="E5" s="10">
        <f>'02_Similarweb'!I21</f>
        <v/>
      </c>
      <c r="F5" s="10">
        <f>E5*B5*C5*D5</f>
        <v/>
      </c>
      <c r="G5" s="10">
        <f>F5*12</f>
        <v/>
      </c>
      <c r="H5" s="10">
        <f>G5*0.85</f>
        <v/>
      </c>
      <c r="I5" s="10">
        <f>G5*1.15</f>
        <v/>
      </c>
      <c r="J5" s="1" t="inlineStr">
        <is>
          <t>Минимальная оценка при неполном охвате и пониженной надежности данных</t>
        </is>
      </c>
      <c r="K5" s="1" t="n"/>
      <c r="L5" s="1" t="n"/>
      <c r="M5" s="1" t="n"/>
      <c r="N5" s="1" t="n"/>
      <c r="O5" s="1" t="n"/>
    </row>
    <row r="6">
      <c r="A6" s="4" t="inlineStr">
        <is>
          <t>Базовый</t>
        </is>
      </c>
      <c r="B6" s="12">
        <f>'01_Параметры'!C16</f>
        <v/>
      </c>
      <c r="C6" s="12">
        <f>'01_Параметры'!C17</f>
        <v/>
      </c>
      <c r="D6" s="12">
        <f>'01_Параметры'!C18</f>
        <v/>
      </c>
      <c r="E6" s="10">
        <f>'02_Similarweb'!I21</f>
        <v/>
      </c>
      <c r="F6" s="10">
        <f>E6*B6*C6*D6</f>
        <v/>
      </c>
      <c r="G6" s="10">
        <f>F6*12</f>
        <v/>
      </c>
      <c r="H6" s="10">
        <f>G6*0.85</f>
        <v/>
      </c>
      <c r="I6" s="10">
        <f>G6*1.15</f>
        <v/>
      </c>
      <c r="J6" s="1" t="inlineStr">
        <is>
          <t>Рабочая оценка при умеренных допущениях</t>
        </is>
      </c>
      <c r="K6" s="1" t="n"/>
      <c r="L6" s="1" t="n"/>
      <c r="M6" s="1" t="n"/>
      <c r="N6" s="1" t="n"/>
      <c r="O6" s="1" t="n"/>
    </row>
    <row r="7">
      <c r="A7" s="4" t="inlineStr">
        <is>
          <t>Оптимистичный</t>
        </is>
      </c>
      <c r="B7" s="12">
        <f>'01_Параметры'!D16</f>
        <v/>
      </c>
      <c r="C7" s="12">
        <f>'01_Параметры'!D17</f>
        <v/>
      </c>
      <c r="D7" s="12">
        <f>'01_Параметры'!D18</f>
        <v/>
      </c>
      <c r="E7" s="10">
        <f>'02_Similarweb'!I21</f>
        <v/>
      </c>
      <c r="F7" s="10">
        <f>E7*B7*C7*D7</f>
        <v/>
      </c>
      <c r="G7" s="10">
        <f>F7*12</f>
        <v/>
      </c>
      <c r="H7" s="10">
        <f>G7*0.85</f>
        <v/>
      </c>
      <c r="I7" s="10">
        <f>G7*1.15</f>
        <v/>
      </c>
      <c r="J7" s="1" t="inlineStr">
        <is>
          <t>Верхняя оценка при широком рынке и благоприятных условиях</t>
        </is>
      </c>
      <c r="K7" s="1" t="n"/>
      <c r="L7" s="1" t="n"/>
      <c r="M7" s="1" t="n"/>
      <c r="N7" s="1" t="n"/>
      <c r="O7" s="1" t="n"/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topLeftCell="D1" workbookViewId="0">
      <selection activeCell="L24" sqref="L24"/>
    </sheetView>
  </sheetViews>
  <sheetFormatPr baseColWidth="8" defaultRowHeight="14.25"/>
  <cols>
    <col width="18" customWidth="1" min="1" max="1"/>
    <col width="28.125" customWidth="1" min="2" max="2"/>
    <col width="25.25" customWidth="1" min="3" max="3"/>
    <col width="29.5" customWidth="1" min="4" max="4"/>
    <col width="15" customWidth="1" min="5" max="6"/>
    <col width="14" customWidth="1" min="7" max="7"/>
    <col width="21.25" customWidth="1" min="8" max="8"/>
    <col width="16" customWidth="1" min="9" max="9"/>
    <col width="20" customWidth="1" min="10" max="10"/>
    <col width="27" customWidth="1" min="11" max="11"/>
    <col width="28" customWidth="1" min="12" max="12"/>
  </cols>
  <sheetData>
    <row r="1" ht="30" customHeight="1">
      <c r="A1" s="18" t="inlineStr">
        <is>
          <t>Оценка объема рынка через цифровую воронку</t>
        </is>
      </c>
      <c r="M1" s="1" t="n"/>
      <c r="N1" s="1" t="n"/>
      <c r="O1" s="1" t="n"/>
    </row>
    <row r="2" ht="153" customFormat="1" customHeight="1" s="23">
      <c r="A2" s="24" t="inlineStr">
        <is>
          <t>Расчет переводит рыночный трафик Similarweb в заявки, продажи, годовую выручку рынка и достижимую выручку нового бизнеса</t>
        </is>
      </c>
      <c r="B2" s="24" t="inlineStr">
        <is>
          <t>Расчет переводит рыночный трафик Similarweb в заявки, продажи, годовую выручку рынка и достижимую выручку нового бизнеса</t>
        </is>
      </c>
      <c r="C2" s="24" t="inlineStr">
        <is>
          <t>Расчет переводит рыночный трафик Similarweb в заявки, продажи, годовую выручку рынка и достижимую выручку нового бизнеса</t>
        </is>
      </c>
      <c r="D2" s="24" t="inlineStr">
        <is>
          <t>Расчет переводит рыночный трафик Similarweb в заявки, продажи, годовую выручку рынка и достижимую выручку нового бизнеса</t>
        </is>
      </c>
      <c r="E2" s="24" t="inlineStr">
        <is>
          <t>Расчет переводит рыночный трафик Similarweb в заявки, продажи, годовую выручку рынка и достижимую выручку нового бизнеса</t>
        </is>
      </c>
      <c r="F2" s="24" t="inlineStr">
        <is>
          <t>Расчет переводит рыночный трафик Similarweb в заявки, продажи, годовую выручку рынка и достижимую выручку нового бизнеса</t>
        </is>
      </c>
      <c r="G2" s="24" t="inlineStr">
        <is>
          <t>Расчет переводит рыночный трафик Similarweb в заявки, продажи, годовую выручку рынка и достижимую выручку нового бизнеса</t>
        </is>
      </c>
      <c r="H2" s="24" t="inlineStr">
        <is>
          <t>Расчет переводит рыночный трафик Similarweb в заявки, продажи, годовую выручку рынка и достижимую выручку нового бизнеса</t>
        </is>
      </c>
      <c r="I2" s="24" t="inlineStr">
        <is>
          <t>Расчет переводит рыночный трафик Similarweb в заявки, продажи, годовую выручку рынка и достижимую выручку нового бизнеса</t>
        </is>
      </c>
      <c r="J2" s="24" t="inlineStr">
        <is>
          <t>Расчет переводит рыночный трафик Similarweb в заявки, продажи, годовую выручку рынка и достижимую выручку нового бизнеса</t>
        </is>
      </c>
      <c r="K2" s="24" t="inlineStr">
        <is>
          <t>Расчет переводит рыночный трафик Similarweb в заявки, продажи, годовую выручку рынка и достижимую выручку нового бизнеса</t>
        </is>
      </c>
      <c r="L2" s="24" t="inlineStr">
        <is>
          <t>Расчет переводит рыночный трафик Similarweb в заявки, продажи, годовую выручку рынка и достижимую выручку нового бизнеса</t>
        </is>
      </c>
      <c r="M2" s="22" t="n"/>
      <c r="N2" s="22" t="n"/>
      <c r="O2" s="22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5.5" customHeight="1">
      <c r="A4" s="2" t="inlineStr">
        <is>
          <t>Сценарий</t>
        </is>
      </c>
      <c r="B4" s="2" t="inlineStr">
        <is>
          <t>Рыночные визиты/год</t>
        </is>
      </c>
      <c r="C4" s="2" t="inlineStr">
        <is>
          <t>Конверсия визит → заявка</t>
        </is>
      </c>
      <c r="D4" s="2" t="inlineStr">
        <is>
          <t>Конверсия заявка → продажа</t>
        </is>
      </c>
      <c r="E4" s="2" t="inlineStr">
        <is>
          <t>Продаж/год</t>
        </is>
      </c>
      <c r="F4" s="2" t="inlineStr">
        <is>
          <t>Средний чек</t>
        </is>
      </c>
      <c r="G4" s="2" t="inlineStr">
        <is>
          <t>Покупок в год</t>
        </is>
      </c>
      <c r="H4" s="2" t="inlineStr">
        <is>
          <t>Выручка рынка/год</t>
        </is>
      </c>
      <c r="I4" s="2" t="inlineStr">
        <is>
          <t>Достижимая доля</t>
        </is>
      </c>
      <c r="J4" s="2" t="inlineStr">
        <is>
          <t>Достижимая выручка/год</t>
        </is>
      </c>
      <c r="K4" s="2" t="inlineStr">
        <is>
          <t>TAM/SAM/SOM логика</t>
        </is>
      </c>
      <c r="L4" s="2" t="inlineStr">
        <is>
          <t>Комментарий</t>
        </is>
      </c>
      <c r="M4" s="1" t="n"/>
      <c r="N4" s="1" t="n"/>
      <c r="O4" s="1" t="n"/>
    </row>
    <row r="5">
      <c r="A5" s="4" t="inlineStr">
        <is>
          <t>Осторожный</t>
        </is>
      </c>
      <c r="B5" s="10">
        <f>'03_Сценарии'!G5</f>
        <v/>
      </c>
      <c r="C5" s="9">
        <f>'01_Параметры'!B19</f>
        <v/>
      </c>
      <c r="D5" s="9">
        <f>'01_Параметры'!B20</f>
        <v/>
      </c>
      <c r="E5" s="10">
        <f>B5*C5*D5</f>
        <v/>
      </c>
      <c r="F5" s="13">
        <f>'01_Параметры'!$B\$8*'01_Параметры'!B21</f>
        <v/>
      </c>
      <c r="G5" s="6">
        <f>'01_Параметры'!B22</f>
        <v/>
      </c>
      <c r="H5" s="14">
        <f>E5*F5*G5</f>
        <v/>
      </c>
      <c r="I5" s="11">
        <f>'01_Параметры'!B23</f>
        <v/>
      </c>
      <c r="J5" s="14">
        <f>H5*I5</f>
        <v/>
      </c>
      <c r="K5" s="1" t="inlineStr">
        <is>
          <t>SAM → SOM</t>
        </is>
      </c>
      <c r="L5" s="1" t="n"/>
      <c r="M5" s="1" t="n"/>
      <c r="N5" s="1" t="n"/>
      <c r="O5" s="1" t="n"/>
    </row>
    <row r="6">
      <c r="A6" s="4" t="inlineStr">
        <is>
          <t>Базовый</t>
        </is>
      </c>
      <c r="B6" s="10">
        <f>'03_Сценарии'!G6</f>
        <v/>
      </c>
      <c r="C6" s="9">
        <f>'01_Параметры'!C19</f>
        <v/>
      </c>
      <c r="D6" s="9">
        <f>'01_Параметры'!C20</f>
        <v/>
      </c>
      <c r="E6" s="10">
        <f>B6*C6*D6</f>
        <v/>
      </c>
      <c r="F6" s="13">
        <f>'01_Параметры'!$B\$8*'01_Параметры'!C21</f>
        <v/>
      </c>
      <c r="G6" s="6">
        <f>'01_Параметры'!C22</f>
        <v/>
      </c>
      <c r="H6" s="14">
        <f>E6*F6*G6</f>
        <v/>
      </c>
      <c r="I6" s="11">
        <f>'01_Параметры'!C23</f>
        <v/>
      </c>
      <c r="J6" s="14">
        <f>H6*I6</f>
        <v/>
      </c>
      <c r="K6" s="1" t="inlineStr">
        <is>
          <t>SAM → SOM</t>
        </is>
      </c>
      <c r="L6" s="1" t="n"/>
      <c r="M6" s="1" t="n"/>
      <c r="N6" s="1" t="n"/>
      <c r="O6" s="1" t="n"/>
    </row>
    <row r="7">
      <c r="A7" s="4" t="inlineStr">
        <is>
          <t>Оптимистичный</t>
        </is>
      </c>
      <c r="B7" s="10">
        <f>'03_Сценарии'!G7</f>
        <v/>
      </c>
      <c r="C7" s="9">
        <f>'01_Параметры'!D19</f>
        <v/>
      </c>
      <c r="D7" s="9">
        <f>'01_Параметры'!D20</f>
        <v/>
      </c>
      <c r="E7" s="10">
        <f>B7*C7*D7</f>
        <v/>
      </c>
      <c r="F7" s="13">
        <f>'01_Параметры'!$B\$8*'01_Параметры'!D21</f>
        <v/>
      </c>
      <c r="G7" s="6">
        <f>'01_Параметры'!D22</f>
        <v/>
      </c>
      <c r="H7" s="14">
        <f>E7*F7*G7</f>
        <v/>
      </c>
      <c r="I7" s="11">
        <f>'01_Параметры'!D23</f>
        <v/>
      </c>
      <c r="J7" s="14">
        <f>H7*I7</f>
        <v/>
      </c>
      <c r="K7" s="1" t="inlineStr">
        <is>
          <t>SAM → SOM</t>
        </is>
      </c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s="2" t="inlineStr">
        <is>
          <t>Итог по воронке</t>
        </is>
      </c>
      <c r="B10" s="2" t="inlineStr">
        <is>
          <t>Осторожный</t>
        </is>
      </c>
      <c r="C10" s="2" t="inlineStr">
        <is>
          <t>Базовый</t>
        </is>
      </c>
      <c r="D10" s="2" t="inlineStr">
        <is>
          <t>Оптимистичный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A11" s="4" t="inlineStr">
        <is>
          <t>Выручка рынка/год</t>
        </is>
      </c>
      <c r="B11" s="14">
        <f>H5</f>
        <v/>
      </c>
      <c r="C11" s="14">
        <f>H6</f>
        <v/>
      </c>
      <c r="D11" s="14">
        <f>H7</f>
        <v/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 ht="25.5" customHeight="1">
      <c r="A12" s="4" t="inlineStr">
        <is>
          <t>Достижимая выручка/год</t>
        </is>
      </c>
      <c r="B12" s="14">
        <f>J5</f>
        <v/>
      </c>
      <c r="C12" s="14">
        <f>J6</f>
        <v/>
      </c>
      <c r="D12" s="14">
        <f>J7</f>
        <v/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4" t="inlineStr">
        <is>
          <t>Продаж/год</t>
        </is>
      </c>
      <c r="B13" s="10">
        <f>E5</f>
        <v/>
      </c>
      <c r="C13" s="10">
        <f>E6</f>
        <v/>
      </c>
      <c r="D13" s="10">
        <f>E7</f>
        <v/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C15" sqref="C15"/>
    </sheetView>
  </sheetViews>
  <sheetFormatPr baseColWidth="8" defaultRowHeight="14.25"/>
  <cols>
    <col width="18" customWidth="1" min="1" max="2"/>
    <col width="20.875" customWidth="1" min="3" max="3"/>
    <col width="18" customWidth="1" min="4" max="7"/>
    <col width="25" customWidth="1" min="8" max="8"/>
    <col width="22" customWidth="1" min="9" max="9"/>
    <col width="21.5" customWidth="1" min="10" max="10"/>
    <col width="24" customWidth="1" min="11" max="11"/>
  </cols>
  <sheetData>
    <row r="1" ht="30" customHeight="1">
      <c r="A1" s="18" t="inlineStr">
        <is>
          <t>Платформенная модель: оценка GMV и выручки платформы</t>
        </is>
      </c>
      <c r="L1" s="1" t="n"/>
      <c r="M1" s="1" t="n"/>
      <c r="N1" s="1" t="n"/>
      <c r="O1" s="1" t="n"/>
    </row>
    <row r="2" ht="140.25" customFormat="1" customHeight="1" s="23">
      <c r="A2" s="24" t="inlineStr">
        <is>
          <t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</t>
        </is>
      </c>
      <c r="B2" s="24" t="inlineStr">
        <is>
          <t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</t>
        </is>
      </c>
      <c r="C2" s="24" t="inlineStr">
        <is>
          <t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</t>
        </is>
      </c>
      <c r="D2" s="24" t="inlineStr">
        <is>
          <t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</t>
        </is>
      </c>
      <c r="E2" s="24" t="inlineStr">
        <is>
          <t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</t>
        </is>
      </c>
      <c r="F2" s="24" t="inlineStr">
        <is>
          <t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</t>
        </is>
      </c>
      <c r="G2" s="24" t="inlineStr">
        <is>
          <t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</t>
        </is>
      </c>
      <c r="H2" s="24" t="inlineStr">
        <is>
          <t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</t>
        </is>
      </c>
      <c r="I2" s="24" t="inlineStr">
        <is>
          <t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</t>
        </is>
      </c>
      <c r="J2" s="24" t="inlineStr">
        <is>
          <t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</t>
        </is>
      </c>
      <c r="K2" s="24" t="inlineStr">
        <is>
          <t>Используйте этот лист, если электронный бизнес является платформой, агрегатором или маркетплейсом. GMV — это объем сделок через платформу, а не собственная выручка платформы</t>
        </is>
      </c>
      <c r="L2" s="22" t="n"/>
      <c r="M2" s="22" t="n"/>
      <c r="N2" s="22" t="n"/>
      <c r="O2" s="22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5.5" customHeight="1">
      <c r="A4" s="2" t="inlineStr">
        <is>
          <t>Сценарий</t>
        </is>
      </c>
      <c r="B4" s="2" t="inlineStr">
        <is>
          <t>Рыночные визиты/год</t>
        </is>
      </c>
      <c r="C4" s="2" t="inlineStr">
        <is>
          <t>Регистрация/лид</t>
        </is>
      </c>
      <c r="D4" s="2" t="inlineStr">
        <is>
          <t>Активные участники</t>
        </is>
      </c>
      <c r="E4" s="2" t="inlineStr">
        <is>
          <t>Сделок на участника/год</t>
        </is>
      </c>
      <c r="F4" s="2" t="inlineStr">
        <is>
          <t>Средняя сумма сделки</t>
        </is>
      </c>
      <c r="G4" s="2" t="inlineStr">
        <is>
          <t>GMV/год</t>
        </is>
      </c>
      <c r="H4" s="2" t="inlineStr">
        <is>
          <t>Комиссия платформы</t>
        </is>
      </c>
      <c r="I4" s="2" t="inlineStr">
        <is>
          <t>Выручка платформы/год</t>
        </is>
      </c>
      <c r="J4" s="2" t="inlineStr">
        <is>
          <t>Достижимая доля</t>
        </is>
      </c>
      <c r="K4" s="2" t="inlineStr">
        <is>
          <t>Достижимая выручка платформы</t>
        </is>
      </c>
      <c r="L4" s="1" t="n"/>
      <c r="M4" s="1" t="n"/>
      <c r="N4" s="1" t="n"/>
      <c r="O4" s="1" t="n"/>
    </row>
    <row r="5">
      <c r="A5" s="4" t="inlineStr">
        <is>
          <t>Осторожный</t>
        </is>
      </c>
      <c r="B5" s="10">
        <f>'03_Сценарии'!G5</f>
        <v/>
      </c>
      <c r="C5" s="9" t="n">
        <v>0.01</v>
      </c>
      <c r="D5" s="10">
        <f>B5*C5*0.3</f>
        <v/>
      </c>
      <c r="E5" s="6" t="n">
        <v>1</v>
      </c>
      <c r="F5" s="13" t="n">
        <v>600</v>
      </c>
      <c r="G5" s="14">
        <f>D5*E5*F5</f>
        <v/>
      </c>
      <c r="H5" s="9" t="n">
        <v>0.08</v>
      </c>
      <c r="I5" s="14">
        <f>G5*H5</f>
        <v/>
      </c>
      <c r="J5" s="9" t="n">
        <v>0.005</v>
      </c>
      <c r="K5" s="14">
        <f>I5*J5</f>
        <v/>
      </c>
      <c r="L5" s="1" t="n"/>
      <c r="M5" s="1" t="n"/>
      <c r="N5" s="1" t="n"/>
      <c r="O5" s="1" t="n"/>
    </row>
    <row r="6">
      <c r="A6" s="4" t="inlineStr">
        <is>
          <t>Базовый</t>
        </is>
      </c>
      <c r="B6" s="10">
        <f>'03_Сценарии'!G6</f>
        <v/>
      </c>
      <c r="C6" s="9" t="n">
        <v>0.03</v>
      </c>
      <c r="D6" s="10">
        <f>B6*C6*0.45</f>
        <v/>
      </c>
      <c r="E6" s="6" t="n">
        <v>2</v>
      </c>
      <c r="F6" s="13" t="n">
        <v>1000</v>
      </c>
      <c r="G6" s="14">
        <f>D6*E6*F6</f>
        <v/>
      </c>
      <c r="H6" s="9" t="n">
        <v>0.1</v>
      </c>
      <c r="I6" s="14">
        <f>G6*H6</f>
        <v/>
      </c>
      <c r="J6" s="9" t="n">
        <v>0.015</v>
      </c>
      <c r="K6" s="14">
        <f>I6*J6</f>
        <v/>
      </c>
      <c r="L6" s="1" t="n"/>
      <c r="M6" s="1" t="n"/>
      <c r="N6" s="1" t="n"/>
      <c r="O6" s="1" t="n"/>
    </row>
    <row r="7">
      <c r="A7" s="4" t="inlineStr">
        <is>
          <t>Оптимистичный</t>
        </is>
      </c>
      <c r="B7" s="10">
        <f>'03_Сценарии'!G7</f>
        <v/>
      </c>
      <c r="C7" s="9" t="n">
        <v>0.06</v>
      </c>
      <c r="D7" s="10">
        <f>B7*C7*0.6</f>
        <v/>
      </c>
      <c r="E7" s="6" t="n">
        <v>4</v>
      </c>
      <c r="F7" s="13" t="n">
        <v>1500</v>
      </c>
      <c r="G7" s="14">
        <f>D7*E7*F7</f>
        <v/>
      </c>
      <c r="H7" s="9" t="n">
        <v>0.15</v>
      </c>
      <c r="I7" s="14">
        <f>G7*H7</f>
        <v/>
      </c>
      <c r="J7" s="9" t="n">
        <v>0.04</v>
      </c>
      <c r="K7" s="14">
        <f>I7*J7</f>
        <v/>
      </c>
      <c r="L7" s="1" t="n"/>
      <c r="M7" s="1" t="n"/>
      <c r="N7" s="1" t="n"/>
      <c r="O7" s="1" t="n"/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F19" sqref="F19"/>
    </sheetView>
  </sheetViews>
  <sheetFormatPr baseColWidth="8" defaultRowHeight="14.25"/>
  <cols>
    <col width="38.5" customWidth="1" min="1" max="1"/>
    <col width="34.75" customWidth="1" min="2" max="2"/>
    <col width="37" customWidth="1" min="3" max="3"/>
    <col width="34.875" customWidth="1" min="4" max="4"/>
    <col width="44" customWidth="1" min="5" max="5"/>
    <col width="29.125" customWidth="1" min="6" max="6"/>
    <col width="30.25" customWidth="1" min="7" max="7"/>
    <col width="30.125" customWidth="1" min="8" max="8"/>
  </cols>
  <sheetData>
    <row r="1" ht="30" customHeight="1">
      <c r="A1" s="18" t="inlineStr">
        <is>
          <t>Сверка сценарной оценки рынка по нескольким подходам</t>
        </is>
      </c>
      <c r="I1" s="1" t="n"/>
      <c r="J1" s="1" t="n"/>
      <c r="K1" s="1" t="n"/>
      <c r="L1" s="1" t="n"/>
      <c r="M1" s="1" t="n"/>
      <c r="N1" s="1" t="n"/>
      <c r="O1" s="1" t="n"/>
    </row>
    <row r="2" ht="76.5" customFormat="1" customHeight="1" s="23">
      <c r="A2" s="24" t="inlineStr">
        <is>
          <t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</t>
        </is>
      </c>
      <c r="B2" s="24" t="inlineStr">
        <is>
          <t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</t>
        </is>
      </c>
      <c r="C2" s="24" t="inlineStr">
        <is>
          <t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</t>
        </is>
      </c>
      <c r="D2" s="24" t="inlineStr">
        <is>
          <t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</t>
        </is>
      </c>
      <c r="E2" s="24" t="inlineStr">
        <is>
          <t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</t>
        </is>
      </c>
      <c r="F2" s="24" t="inlineStr">
        <is>
          <t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</t>
        </is>
      </c>
      <c r="G2" s="24" t="inlineStr">
        <is>
          <t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</t>
        </is>
      </c>
      <c r="H2" s="24" t="inlineStr">
        <is>
          <t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</t>
        </is>
      </c>
      <c r="I2" s="22" t="n"/>
      <c r="J2" s="22" t="n"/>
      <c r="K2" s="22" t="n"/>
      <c r="L2" s="22" t="n"/>
      <c r="M2" s="22" t="n"/>
      <c r="N2" s="22" t="n"/>
      <c r="O2" s="22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2" t="inlineStr">
        <is>
          <t>Метод оценки</t>
        </is>
      </c>
      <c r="B4" s="2" t="inlineStr">
        <is>
          <t>Осторожный</t>
        </is>
      </c>
      <c r="C4" s="2" t="inlineStr">
        <is>
          <t>Базовый</t>
        </is>
      </c>
      <c r="D4" s="2" t="inlineStr">
        <is>
          <t>Оптимистичный</t>
        </is>
      </c>
      <c r="E4" s="2" t="inlineStr">
        <is>
          <t>Комментарий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customFormat="1" s="23">
      <c r="A5" s="4" t="inlineStr">
        <is>
          <t>Similarweb → цифровая воронка</t>
        </is>
      </c>
      <c r="B5" s="14">
        <f>'04_Воронка'!J5</f>
        <v/>
      </c>
      <c r="C5" s="14">
        <f>'04_Воронка'!J6</f>
        <v/>
      </c>
      <c r="D5" s="14">
        <f>'04_Воронка'!J7</f>
        <v/>
      </c>
      <c r="E5" s="24" t="inlineStr">
        <is>
          <t>Основная оценка для сервисного электронного бизнеса</t>
        </is>
      </c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</row>
    <row r="6" ht="38.25" customFormat="1" customHeight="1" s="23">
      <c r="A6" s="4" t="inlineStr">
        <is>
          <t>Similarweb → платформенная GMV-модель</t>
        </is>
      </c>
      <c r="B6" s="14" t="n"/>
      <c r="C6" s="14" t="n"/>
      <c r="D6" s="14" t="n"/>
      <c r="E6" s="24" t="inlineStr">
        <is>
          <t>Не применяется: NotaCode не является платформой (решение В-3); строка в MIN / AVERAGE / MAX не включается (П-9)</t>
        </is>
      </c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</row>
    <row r="7" ht="25.5" customFormat="1" customHeight="1" s="23">
      <c r="A7" s="4" t="inlineStr">
        <is>
          <t>Поисковый спрос</t>
        </is>
      </c>
      <c r="B7" s="13" t="n">
        <v>11.434792248</v>
      </c>
      <c r="C7" s="13" t="n">
        <v>73.18267038720001</v>
      </c>
      <c r="D7" s="13" t="n">
        <v>720.4018229100002</v>
      </c>
      <c r="E7" s="24" t="inlineStr">
        <is>
          <t>Результат ПС-X (достижимая выручка через поисковый канал, BYN/год) — уровень SOM</t>
        </is>
      </c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</row>
    <row r="8" customFormat="1" s="23">
      <c r="A8" s="4" t="inlineStr">
        <is>
          <t>Количество потенциальных клиентов</t>
        </is>
      </c>
      <c r="B8" s="13" t="n">
        <v>456.1648459267681</v>
      </c>
      <c r="C8" s="13" t="n">
        <v>3959.76428755875</v>
      </c>
      <c r="D8" s="13" t="n">
        <v>16590.14524029914</v>
      </c>
      <c r="E8" s="24" t="inlineStr">
        <is>
          <t>Результат ПК-X (SOM по сценариям, BYN/год)</t>
        </is>
      </c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</row>
    <row r="9" ht="25.5" customFormat="1" customHeight="1" s="23">
      <c r="A9" s="4" t="inlineStr">
        <is>
          <t>Сверху вниз / снизу вверх</t>
        </is>
      </c>
      <c r="B9" s="13" t="n"/>
      <c r="C9" s="13" t="n"/>
      <c r="D9" s="13" t="n"/>
      <c r="E9" s="24" t="inlineStr">
        <is>
          <t>Уровень «рынок» (СВ-X, ПК-X SAM) сопоставляется отдельно; здесь только SOM (П-9)</t>
        </is>
      </c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</row>
    <row r="10">
      <c r="A10" s="1" t="n"/>
      <c r="B10" s="15" t="n"/>
      <c r="C10" s="15" t="n"/>
      <c r="D10" s="15" t="n"/>
      <c r="E10" s="20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A11" s="2" t="inlineStr">
        <is>
          <t>Итоговый диапазон</t>
        </is>
      </c>
      <c r="B11" s="16" t="inlineStr">
        <is>
          <t>Осторожный</t>
        </is>
      </c>
      <c r="C11" s="16" t="inlineStr">
        <is>
          <t>Базовый</t>
        </is>
      </c>
      <c r="D11" s="16" t="inlineStr">
        <is>
          <t>Оптимистичный</t>
        </is>
      </c>
      <c r="E11" s="17" t="inlineStr">
        <is>
          <t>Интерпретация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A12" s="1" t="inlineStr">
        <is>
          <t>Минимум по методам</t>
        </is>
      </c>
      <c r="B12" s="14">
        <f>MIN(B5:B9)</f>
        <v/>
      </c>
      <c r="C12" s="14">
        <f>MIN(C5:C9)</f>
        <v/>
      </c>
      <c r="D12" s="14">
        <f>MIN(D5:D9)</f>
        <v/>
      </c>
      <c r="E12" s="20" t="inlineStr">
        <is>
          <t>Нижняя граница с учетом всех подходов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inlineStr">
        <is>
          <t>Среднее по методам</t>
        </is>
      </c>
      <c r="B13" s="14">
        <f>AVERAGE(B5:B9)</f>
        <v/>
      </c>
      <c r="C13" s="14">
        <f>AVERAGE(C5:C9)</f>
        <v/>
      </c>
      <c r="D13" s="14">
        <f>AVERAGE(D5:D9)</f>
        <v/>
      </c>
      <c r="E13" s="20" t="inlineStr">
        <is>
          <t>Ориентир при сбалансированных допущениях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>
      <c r="A14" s="1" t="inlineStr">
        <is>
          <t>Максимум по методам</t>
        </is>
      </c>
      <c r="B14" s="14">
        <f>MAX(B5:B9)</f>
        <v/>
      </c>
      <c r="C14" s="14">
        <f>MAX(C5:C9)</f>
        <v/>
      </c>
      <c r="D14" s="14">
        <f>MAX(D5:D9)</f>
        <v/>
      </c>
      <c r="E14" s="20" t="inlineStr">
        <is>
          <t>Верхняя граница с учетом всех подходов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>
      <c r="A15" s="1" t="inlineStr">
        <is>
          <t>Рекомендуемый диапазон</t>
        </is>
      </c>
      <c r="B15" s="4">
        <f>TEXT(B12,"# ##0")&amp;" – "&amp;TEXT(B14,"# ##0")</f>
        <v/>
      </c>
      <c r="C15" s="4">
        <f>TEXT(C12,"# ##0")&amp;" – "&amp;TEXT(C14,"# ##0")</f>
        <v/>
      </c>
      <c r="D15" s="4">
        <f>TEXT(D12,"# ##0")&amp;" – "&amp;TEXT(D14,"# ##0")</f>
        <v/>
      </c>
      <c r="E15" s="20" t="inlineStr">
        <is>
          <t>Диапазон для управленческого вывода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</sheetData>
  <mergeCells count="1">
    <mergeCell ref="A1:H1"/>
  </mergeCells>
  <conditionalFormatting sqref="B5:D9">
    <cfRule type="colorScale" priority="1">
      <colorScale>
        <cfvo type="min"/>
        <cfvo type="percentile" val="50"/>
        <cfvo type="max"/>
        <color rgb="FFFCE4D6"/>
        <color rgb="FFFFF2CC"/>
        <color rgb="FFDDEFE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J31" sqref="J31"/>
    </sheetView>
  </sheetViews>
  <sheetFormatPr baseColWidth="8" defaultRowHeight="14.25"/>
  <cols>
    <col width="33.5" customWidth="1" min="1" max="1"/>
    <col width="47.875" customWidth="1" min="2" max="2"/>
    <col width="4" customWidth="1" min="3" max="3"/>
    <col width="26" customWidth="1" min="4" max="4"/>
    <col width="18" customWidth="1" min="5" max="7"/>
    <col width="30" customWidth="1" min="8" max="8"/>
  </cols>
  <sheetData>
    <row r="1" ht="30" customHeight="1">
      <c r="A1" s="18" t="inlineStr">
        <is>
          <t>Итоговая панель сценарной оценки рынка</t>
        </is>
      </c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2" t="inlineStr">
        <is>
          <t>Показатель</t>
        </is>
      </c>
      <c r="B3" s="2" t="inlineStr">
        <is>
          <t>Значение</t>
        </is>
      </c>
      <c r="C3" s="22" t="n"/>
      <c r="D3" s="19" t="inlineStr">
        <is>
          <t>Сценарная сводка</t>
        </is>
      </c>
      <c r="I3" s="1" t="n"/>
      <c r="J3" s="1" t="n"/>
      <c r="K3" s="1" t="n"/>
      <c r="L3" s="1" t="n"/>
      <c r="M3" s="1" t="n"/>
      <c r="N3" s="1" t="n"/>
      <c r="O3" s="1" t="n"/>
    </row>
    <row r="4" ht="25.5" customHeight="1">
      <c r="A4" s="4" t="inlineStr">
        <is>
          <t>Бизнес-идея</t>
        </is>
      </c>
      <c r="B4" s="4">
        <f>'01_Параметры'!B4</f>
        <v/>
      </c>
      <c r="C4" s="22" t="n"/>
      <c r="D4" s="2" t="inlineStr">
        <is>
          <t>Показатель</t>
        </is>
      </c>
      <c r="E4" s="2" t="inlineStr">
        <is>
          <t>Осторожный</t>
        </is>
      </c>
      <c r="F4" s="2" t="inlineStr">
        <is>
          <t>Базовый</t>
        </is>
      </c>
      <c r="G4" s="2" t="inlineStr">
        <is>
          <t>Оптимистичный</t>
        </is>
      </c>
      <c r="H4" s="2" t="inlineStr">
        <is>
          <t>Комментарий</t>
        </is>
      </c>
      <c r="I4" s="1" t="n"/>
      <c r="J4" s="1" t="n"/>
      <c r="K4" s="1" t="n"/>
      <c r="L4" s="1" t="n"/>
      <c r="M4" s="1" t="n"/>
      <c r="N4" s="1" t="n"/>
      <c r="O4" s="1" t="n"/>
    </row>
    <row r="5">
      <c r="A5" s="4" t="inlineStr">
        <is>
          <t>География</t>
        </is>
      </c>
      <c r="B5" s="4">
        <f>'01_Параметры'!B5</f>
        <v/>
      </c>
      <c r="C5" s="22" t="n"/>
      <c r="D5" s="4" t="inlineStr">
        <is>
          <t>Рыночный трафик/год</t>
        </is>
      </c>
      <c r="E5" s="10">
        <f>'03_Сценарии'!G5</f>
        <v/>
      </c>
      <c r="F5" s="10">
        <f>'03_Сценарии'!G6</f>
        <v/>
      </c>
      <c r="G5" s="10">
        <f>'03_Сценарии'!G7</f>
        <v/>
      </c>
      <c r="H5" s="24" t="inlineStr">
        <is>
          <t>Visits, Similarweb-based</t>
        </is>
      </c>
      <c r="I5" s="1" t="n"/>
      <c r="J5" s="1" t="n"/>
      <c r="K5" s="1" t="n"/>
      <c r="L5" s="1" t="n"/>
      <c r="M5" s="1" t="n"/>
      <c r="N5" s="1" t="n"/>
      <c r="O5" s="1" t="n"/>
    </row>
    <row r="6">
      <c r="A6" s="4" t="inlineStr">
        <is>
          <t>Базовый рыночный трафик/год</t>
        </is>
      </c>
      <c r="B6" s="10">
        <f>'03_Сценарии'!G6</f>
        <v/>
      </c>
      <c r="C6" s="22" t="n"/>
      <c r="D6" s="4" t="inlineStr">
        <is>
          <t>Выручка рынка/год</t>
        </is>
      </c>
      <c r="E6" s="14">
        <f>'04_Воронка'!H5</f>
        <v/>
      </c>
      <c r="F6" s="14">
        <f>'04_Воронка'!H6</f>
        <v/>
      </c>
      <c r="G6" s="14">
        <f>'04_Воронка'!H7</f>
        <v/>
      </c>
      <c r="H6" s="24" t="inlineStr">
        <is>
          <t>Market revenue through funnel</t>
        </is>
      </c>
      <c r="I6" s="1" t="n"/>
      <c r="J6" s="1" t="n"/>
      <c r="K6" s="1" t="n"/>
      <c r="L6" s="1" t="n"/>
      <c r="M6" s="1" t="n"/>
      <c r="N6" s="1" t="n"/>
      <c r="O6" s="1" t="n"/>
    </row>
    <row r="7">
      <c r="A7" s="4" t="inlineStr">
        <is>
          <t>Базовая выручка рынка/год</t>
        </is>
      </c>
      <c r="B7" s="14">
        <f>'04_Воронка'!H6</f>
        <v/>
      </c>
      <c r="C7" s="22" t="n"/>
      <c r="D7" s="4" t="inlineStr">
        <is>
          <t>Достижимая выручка/год</t>
        </is>
      </c>
      <c r="E7" s="14">
        <f>'04_Воронка'!J5</f>
        <v/>
      </c>
      <c r="F7" s="14">
        <f>'04_Воронка'!J6</f>
        <v/>
      </c>
      <c r="G7" s="14">
        <f>'04_Воронка'!J7</f>
        <v/>
      </c>
      <c r="H7" s="24" t="inlineStr">
        <is>
          <t>SOM</t>
        </is>
      </c>
      <c r="I7" s="1" t="n"/>
      <c r="J7" s="1" t="n"/>
      <c r="K7" s="1" t="n"/>
      <c r="L7" s="1" t="n"/>
      <c r="M7" s="1" t="n"/>
      <c r="N7" s="1" t="n"/>
      <c r="O7" s="1" t="n"/>
    </row>
    <row r="8">
      <c r="A8" s="4" t="inlineStr">
        <is>
          <t>Базовая достижимая выручка/год</t>
        </is>
      </c>
      <c r="B8" s="14">
        <f>'04_Воронка'!J6</f>
        <v/>
      </c>
      <c r="C8" s="22" t="n"/>
      <c r="D8" s="4" t="inlineStr">
        <is>
          <t>GMV платформы/год</t>
        </is>
      </c>
      <c r="E8" s="14">
        <f>'05_Платформа'!G5</f>
        <v/>
      </c>
      <c r="F8" s="14">
        <f>'05_Платформа'!G6</f>
        <v/>
      </c>
      <c r="G8" s="14">
        <f>'05_Платформа'!G7</f>
        <v/>
      </c>
      <c r="H8" s="24" t="inlineStr">
        <is>
          <t>Only for platform model</t>
        </is>
      </c>
      <c r="I8" s="1" t="n"/>
      <c r="J8" s="1" t="n"/>
      <c r="K8" s="1" t="n"/>
      <c r="L8" s="1" t="n"/>
      <c r="M8" s="1" t="n"/>
      <c r="N8" s="1" t="n"/>
      <c r="O8" s="1" t="n"/>
    </row>
    <row r="9">
      <c r="A9" s="4" t="inlineStr">
        <is>
          <t>Базовая выручка платформы/год</t>
        </is>
      </c>
      <c r="B9" s="14">
        <f>'05_Платформа'!I6</f>
        <v/>
      </c>
      <c r="C9" s="22" t="n"/>
      <c r="D9" s="4" t="inlineStr">
        <is>
          <t>Выручка платформы/год</t>
        </is>
      </c>
      <c r="E9" s="14">
        <f>'05_Платформа'!I5</f>
        <v/>
      </c>
      <c r="F9" s="14">
        <f>'05_Платформа'!I6</f>
        <v/>
      </c>
      <c r="G9" s="14">
        <f>'05_Платформа'!I7</f>
        <v/>
      </c>
      <c r="H9" s="24" t="inlineStr">
        <is>
          <t>Commission revenue</t>
        </is>
      </c>
      <c r="I9" s="1" t="n"/>
      <c r="J9" s="1" t="n"/>
      <c r="K9" s="1" t="n"/>
      <c r="L9" s="1" t="n"/>
      <c r="M9" s="1" t="n"/>
      <c r="N9" s="1" t="n"/>
      <c r="O9" s="1" t="n"/>
    </row>
    <row r="10">
      <c r="A10" s="4" t="inlineStr">
        <is>
          <t>Итоговый средний ориентир</t>
        </is>
      </c>
      <c r="B10" s="14">
        <f>'06_Сверка'!C13</f>
        <v/>
      </c>
      <c r="C10" s="22" t="n"/>
      <c r="D10" s="22" t="n"/>
      <c r="E10" s="22" t="n"/>
      <c r="F10" s="22" t="n"/>
      <c r="G10" s="22" t="n"/>
      <c r="H10" s="22" t="n"/>
      <c r="I10" s="1" t="n"/>
      <c r="J10" s="1" t="n"/>
      <c r="K10" s="1" t="n"/>
      <c r="L10" s="1" t="n"/>
      <c r="M10" s="1" t="n"/>
      <c r="N10" s="1" t="n"/>
      <c r="O10" s="1" t="n"/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1" t="n"/>
      <c r="J11" s="1" t="n"/>
      <c r="K11" s="1" t="n"/>
      <c r="L11" s="1" t="n"/>
      <c r="M11" s="1" t="n"/>
      <c r="N11" s="1" t="n"/>
      <c r="O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9" t="inlineStr">
        <is>
          <t>Шаблон итогового вывода</t>
        </is>
      </c>
      <c r="I13" s="1" t="n"/>
      <c r="J13" s="1" t="n"/>
      <c r="K13" s="1" t="n"/>
      <c r="L13" s="1" t="n"/>
      <c r="M13" s="1" t="n"/>
      <c r="N13" s="1" t="n"/>
      <c r="O13" s="1" t="n"/>
    </row>
    <row r="14">
      <c r="A14" s="20" t="inlineStr">
        <is>
          <t>По результатам сценарной оценки рынок в выбранных границах следует описывать диапазоном, а не одним числом. Базовый расчет формируется на основе данных Similarweb о релевантном трафике конкурентов, дополненных допущениями по конверсиям, среднему чеку и достижимой доле рынка. Осторожный сценарий отражает минимальную оценку при неполном охвате и низких конверсиях, оптимистичный — верхнюю границу при благоприятных условиях. Итоговый вывод должен сопровождаться указанием источников данных и ограничений Similarweb</t>
        </is>
      </c>
      <c r="I14" s="1" t="n"/>
      <c r="J14" s="1" t="n"/>
      <c r="K14" s="1" t="n"/>
      <c r="L14" s="1" t="n"/>
      <c r="M14" s="1" t="n"/>
      <c r="N14" s="1" t="n"/>
      <c r="O14" s="1" t="n"/>
    </row>
    <row r="15"/>
    <row r="16"/>
  </sheetData>
  <mergeCells count="4">
    <mergeCell ref="A14:H16"/>
    <mergeCell ref="A13:H13"/>
    <mergeCell ref="D3:H3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tabSelected="1" workbookViewId="0">
      <selection activeCell="G22" sqref="G22"/>
    </sheetView>
  </sheetViews>
  <sheetFormatPr baseColWidth="8" defaultRowHeight="14.25"/>
  <cols>
    <col width="6" customWidth="1" min="1" max="1"/>
    <col width="28" customWidth="1" min="2" max="2"/>
    <col width="52" customWidth="1" min="3" max="3"/>
    <col width="34" customWidth="1" min="4" max="4"/>
    <col width="15" customWidth="1" min="5" max="5"/>
    <col width="20" customWidth="1" min="6" max="6"/>
    <col width="44" customWidth="1" min="7" max="7"/>
  </cols>
  <sheetData>
    <row r="1" ht="30" customHeight="1">
      <c r="A1" s="18" t="inlineStr">
        <is>
          <t>Журнал источников данных и ограничений</t>
        </is>
      </c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2" t="inlineStr">
        <is>
          <t>№</t>
        </is>
      </c>
      <c r="B3" s="2" t="inlineStr">
        <is>
          <t>Источник</t>
        </is>
      </c>
      <c r="C3" s="2" t="inlineStr">
        <is>
          <t>URL</t>
        </is>
      </c>
      <c r="D3" s="2" t="inlineStr">
        <is>
          <t>Какие данные используются</t>
        </is>
      </c>
      <c r="E3" s="2" t="inlineStr">
        <is>
          <t>Дата обращения</t>
        </is>
      </c>
      <c r="F3" s="2" t="inlineStr">
        <is>
          <t>Уровень надежности</t>
        </is>
      </c>
      <c r="G3" s="2" t="inlineStr">
        <is>
          <t>Комментарий / ограничение</t>
        </is>
      </c>
      <c r="H3" s="1" t="n"/>
      <c r="I3" s="1" t="n"/>
      <c r="J3" s="1" t="n"/>
      <c r="K3" s="1" t="n"/>
      <c r="L3" s="1" t="n"/>
      <c r="M3" s="1" t="n"/>
      <c r="N3" s="1" t="n"/>
      <c r="O3" s="1" t="n"/>
    </row>
    <row r="4" ht="25.5" customHeight="1">
      <c r="A4" s="21" t="n">
        <v>1</v>
      </c>
      <c r="B4" s="22" t="inlineStr">
        <is>
          <t>Similarweb Website Traffic Checker</t>
        </is>
      </c>
      <c r="C4" s="22" t="inlineStr">
        <is>
          <t>https://www.similarweb.com/website/</t>
        </is>
      </c>
      <c r="D4" s="22" t="inlineStr">
        <is>
          <t>Посещаемость сайта, каналы трафика, география, похожие сайты</t>
        </is>
      </c>
      <c r="E4" s="30" t="inlineStr">
        <is>
          <t>03.05.2026</t>
        </is>
      </c>
      <c r="F4" s="22" t="inlineStr">
        <is>
          <t>оценочные данные</t>
        </is>
      </c>
      <c r="G4" s="22" t="inlineStr">
        <is>
          <t>При бесплатном доступе доступен ограниченный набор показателей</t>
        </is>
      </c>
      <c r="H4" s="1" t="n"/>
      <c r="I4" s="1" t="n"/>
      <c r="J4" s="1" t="n"/>
      <c r="K4" s="1" t="n"/>
      <c r="L4" s="1" t="n"/>
      <c r="M4" s="1" t="n"/>
      <c r="N4" s="1" t="n"/>
      <c r="O4" s="1" t="n"/>
    </row>
    <row r="5" ht="25.5" customHeight="1">
      <c r="A5" s="21" t="n">
        <v>2</v>
      </c>
      <c r="B5" s="22" t="inlineStr">
        <is>
          <t>Similarweb Data Methodology</t>
        </is>
      </c>
      <c r="C5" s="22" t="inlineStr">
        <is>
          <t>https://support.similarweb.com/hc/en-us/articles/360001631538-Similarweb-Data-Methodology</t>
        </is>
      </c>
      <c r="D5" s="22" t="inlineStr">
        <is>
          <t>Методологическое описание природы данных Similarweb</t>
        </is>
      </c>
      <c r="E5" s="30" t="inlineStr">
        <is>
          <t>03.05.2026</t>
        </is>
      </c>
      <c r="F5" s="22" t="inlineStr">
        <is>
          <t>методологический источник</t>
        </is>
      </c>
      <c r="G5" s="22" t="inlineStr">
        <is>
          <t>Данные основаны на цифровых сигналах, синтезе и моделировании</t>
        </is>
      </c>
      <c r="H5" s="1" t="n"/>
      <c r="I5" s="1" t="n"/>
      <c r="J5" s="1" t="n"/>
      <c r="K5" s="1" t="n"/>
      <c r="L5" s="1" t="n"/>
      <c r="M5" s="1" t="n"/>
      <c r="N5" s="1" t="n"/>
      <c r="O5" s="1" t="n"/>
    </row>
    <row r="6" ht="25.5" customHeight="1">
      <c r="A6" s="21" t="n">
        <v>3</v>
      </c>
      <c r="B6" s="22" t="inlineStr">
        <is>
          <t>Similarweb Data Exporter</t>
        </is>
      </c>
      <c r="C6" s="22" t="inlineStr">
        <is>
          <t>https://support.similarweb.com/hc/en-us/articles/13252032019101-Data-Exporter</t>
        </is>
      </c>
      <c r="D6" s="22" t="inlineStr">
        <is>
          <t>Выгрузки, если доступна соответствующая подписка</t>
        </is>
      </c>
      <c r="E6" s="30" t="inlineStr">
        <is>
          <t>03.05.2026</t>
        </is>
      </c>
      <c r="F6" s="22" t="inlineStr">
        <is>
          <t>официальная справка</t>
        </is>
      </c>
      <c r="G6" s="22" t="inlineStr">
        <is>
          <t>Полные выгрузки зависят от тарифа и прав доступа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  <row r="7" ht="25.5" customHeight="1">
      <c r="A7" s="21" t="n">
        <v>4</v>
      </c>
      <c r="B7" s="22" t="inlineStr">
        <is>
          <t>Сайты конкурентов</t>
        </is>
      </c>
      <c r="C7" s="22" t="inlineStr">
        <is>
          <t>[вставить URL]</t>
        </is>
      </c>
      <c r="D7" s="22" t="inlineStr">
        <is>
          <t>Прайсы, услуги, средний чек, позиционирование</t>
        </is>
      </c>
      <c r="E7" s="30" t="inlineStr">
        <is>
          <t>03.05.2026</t>
        </is>
      </c>
      <c r="F7" s="22" t="inlineStr">
        <is>
          <t>проверяемый источник</t>
        </is>
      </c>
      <c r="G7" s="22" t="inlineStr">
        <is>
          <t>Требуется ручная фиксация даты и условий</t>
        </is>
      </c>
      <c r="H7" s="1" t="n"/>
      <c r="I7" s="1" t="n"/>
      <c r="J7" s="1" t="n"/>
      <c r="K7" s="1" t="n"/>
      <c r="L7" s="1" t="n"/>
      <c r="M7" s="1" t="n"/>
      <c r="N7" s="1" t="n"/>
      <c r="O7" s="1" t="n"/>
    </row>
    <row r="8" ht="25.5" customHeight="1">
      <c r="A8" s="21" t="n">
        <v>5</v>
      </c>
      <c r="B8" s="22" t="inlineStr">
        <is>
          <t>Google Trends / Яндекс Вордстат</t>
        </is>
      </c>
      <c r="C8" s="22" t="inlineStr">
        <is>
          <t>[вставить URL]</t>
        </is>
      </c>
      <c r="D8" s="22" t="inlineStr">
        <is>
          <t>Проверка интереса аудитории и сезонности</t>
        </is>
      </c>
      <c r="E8" s="30" t="inlineStr">
        <is>
          <t>03.05.2026</t>
        </is>
      </c>
      <c r="F8" s="22" t="inlineStr">
        <is>
          <t>дополнительный источник</t>
        </is>
      </c>
      <c r="G8" s="22" t="inlineStr">
        <is>
          <t>Используется для сопоставления с Similarweb</t>
        </is>
      </c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A9" s="22" t="n">
        <v>6</v>
      </c>
      <c r="B9" s="22" t="n"/>
      <c r="C9" s="22" t="n"/>
      <c r="D9" s="22" t="n"/>
      <c r="E9" s="22" t="n"/>
      <c r="F9" s="22" t="n"/>
      <c r="G9" s="22" t="n"/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s="22" t="n">
        <v>7</v>
      </c>
      <c r="B10" s="22" t="n"/>
      <c r="C10" s="22" t="n"/>
      <c r="D10" s="22" t="n"/>
      <c r="E10" s="22" t="n"/>
      <c r="F10" s="22" t="n"/>
      <c r="G10" s="22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A11" s="22" t="n">
        <v>8</v>
      </c>
      <c r="B11" s="22" t="n"/>
      <c r="C11" s="22" t="n"/>
      <c r="D11" s="22" t="n"/>
      <c r="E11" s="22" t="n"/>
      <c r="F11" s="22" t="n"/>
      <c r="G11" s="22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A12" s="22" t="n">
        <v>9</v>
      </c>
      <c r="B12" s="22" t="n"/>
      <c r="C12" s="22" t="n"/>
      <c r="D12" s="22" t="n"/>
      <c r="E12" s="22" t="n"/>
      <c r="F12" s="22" t="n"/>
      <c r="G12" s="22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22" t="n">
        <v>10</v>
      </c>
      <c r="B13" s="22" t="n"/>
      <c r="C13" s="22" t="n"/>
      <c r="D13" s="22" t="n"/>
      <c r="E13" s="22" t="n"/>
      <c r="F13" s="22" t="n"/>
      <c r="G13" s="22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>
      <c r="A14" s="22" t="n">
        <v>11</v>
      </c>
      <c r="B14" s="22" t="n"/>
      <c r="C14" s="22" t="n"/>
      <c r="D14" s="22" t="n"/>
      <c r="E14" s="22" t="n"/>
      <c r="F14" s="22" t="n"/>
      <c r="G14" s="22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>
      <c r="A15" s="22" t="n">
        <v>12</v>
      </c>
      <c r="B15" s="22" t="n"/>
      <c r="C15" s="22" t="n"/>
      <c r="D15" s="22" t="n"/>
      <c r="E15" s="22" t="n"/>
      <c r="F15" s="22" t="n"/>
      <c r="G15" s="22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>
      <c r="A16" s="22" t="n">
        <v>13</v>
      </c>
      <c r="B16" s="22" t="n"/>
      <c r="C16" s="22" t="n"/>
      <c r="D16" s="22" t="n"/>
      <c r="E16" s="22" t="n"/>
      <c r="F16" s="22" t="n"/>
      <c r="G16" s="22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s="22" t="n">
        <v>14</v>
      </c>
      <c r="B17" s="22" t="n"/>
      <c r="C17" s="22" t="n"/>
      <c r="D17" s="22" t="n"/>
      <c r="E17" s="22" t="n"/>
      <c r="F17" s="22" t="n"/>
      <c r="G17" s="22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22" t="n">
        <v>15</v>
      </c>
      <c r="B18" s="22" t="n"/>
      <c r="C18" s="22" t="n"/>
      <c r="D18" s="22" t="n"/>
      <c r="E18" s="22" t="n"/>
      <c r="F18" s="22" t="n"/>
      <c r="G18" s="22" t="n"/>
      <c r="H18" s="1" t="n"/>
      <c r="I18" s="1" t="n"/>
      <c r="J18" s="1" t="n"/>
      <c r="K18" s="1" t="n"/>
      <c r="L18" s="1" t="n"/>
      <c r="M18" s="1" t="n"/>
      <c r="N18" s="1" t="n"/>
      <c r="O18" s="1" t="n"/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2026-10-04T14:13:43Z</dcterms:created>
  <dcterms:modified xmlns:dcterms="http://purl.org/dc/terms/" xmlns:xsi="http://www.w3.org/2001/XMLSchema-instance" xsi:type="dcterms:W3CDTF">2026-10-04T15:45:25Z</dcterms:modified>
  <cp:lastModifiedBy>Aliaksandr Khajynau</cp:lastModifiedBy>
</cp:coreProperties>
</file>