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Сегменты" sheetId="3" state="visible" r:id="rId3"/>
    <sheet xmlns:r="http://schemas.openxmlformats.org/officeDocument/2006/relationships" name="03_Сценарии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Similarweb" sheetId="6" state="visible" r:id="rId6"/>
    <sheet xmlns:r="http://schemas.openxmlformats.org/officeDocument/2006/relationships" name="06_Дашборд" sheetId="7" state="visible" r:id="rId7"/>
    <sheet xmlns:r="http://schemas.openxmlformats.org/officeDocument/2006/relationships" name="07_Источники" sheetId="8" state="visible" r:id="rId8"/>
    <sheet xmlns:r="http://schemas.openxmlformats.org/officeDocument/2006/relationships" name="08_Справочник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"/>
    <numFmt numFmtId="166" formatCode="0.0%"/>
  </numFmts>
  <fonts count="8">
    <font>
      <name val="Carlito"/>
      <sz val="11"/>
    </font>
    <font>
      <name val="Carlito"/>
      <b val="1"/>
      <color rgb="FFFFFFFF"/>
      <sz val="14"/>
    </font>
    <font>
      <name val="Carlito"/>
      <b val="1"/>
      <color rgb="FF1F4E79"/>
      <sz val="11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b val="1"/>
      <sz val="11"/>
    </font>
    <font>
      <name val="Carlito"/>
      <i val="1"/>
      <color rgb="FF666666"/>
      <sz val="11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7" fillId="0" borderId="0"/>
    <xf numFmtId="0" fontId="7" fillId="0" borderId="0"/>
  </cellStyleXfs>
  <cellXfs count="27">
    <xf numFmtId="0" fontId="0" fillId="0" borderId="0" pivotButton="0" quotePrefix="0" xfId="0"/>
    <xf numFmtId="0" fontId="2" fillId="3" borderId="0" applyAlignment="1" pivotButton="0" quotePrefix="0" xfId="1">
      <alignment horizontal="left" vertical="center" wrapText="1"/>
    </xf>
    <xf numFmtId="0" fontId="3" fillId="4" borderId="0" applyAlignment="1" pivotButton="0" quotePrefix="0" xfId="1">
      <alignment horizontal="center" vertical="center" wrapText="1"/>
    </xf>
    <xf numFmtId="0" fontId="4" fillId="5" borderId="0" applyAlignment="1" pivotButton="0" quotePrefix="0" xfId="1">
      <alignment horizontal="left" vertical="center" wrapText="1"/>
    </xf>
    <xf numFmtId="164" fontId="4" fillId="5" borderId="0" applyAlignment="1" pivotButton="0" quotePrefix="0" xfId="1">
      <alignment horizontal="left" vertical="center" wrapText="1"/>
    </xf>
    <xf numFmtId="3" fontId="2" fillId="3" borderId="0" applyAlignment="1" pivotButton="0" quotePrefix="0" xfId="1">
      <alignment horizontal="left" vertical="center" wrapText="1"/>
    </xf>
    <xf numFmtId="9" fontId="2" fillId="3" borderId="0" applyAlignment="1" pivotButton="0" quotePrefix="0" xfId="1">
      <alignment horizontal="left" vertical="center" wrapText="1"/>
    </xf>
    <xf numFmtId="165" fontId="2" fillId="3" borderId="0" applyAlignment="1" pivotButton="0" quotePrefix="0" xfId="1">
      <alignment horizontal="left" vertical="center" wrapText="1"/>
    </xf>
    <xf numFmtId="166" fontId="2" fillId="3" borderId="0" applyAlignment="1" pivotButton="0" quotePrefix="0" xfId="1">
      <alignment horizontal="left" vertical="center" wrapText="1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 wrapText="1"/>
    </xf>
    <xf numFmtId="0" fontId="5" fillId="0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9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166" fontId="0" fillId="0" borderId="0" applyAlignment="1" pivotButton="0" quotePrefix="0" xfId="1">
      <alignment vertical="center" wrapText="1"/>
    </xf>
    <xf numFmtId="22" fontId="0" fillId="0" borderId="0" applyAlignment="1" pivotButton="0" quotePrefix="0" xfId="1">
      <alignment vertical="center" wrapText="1"/>
    </xf>
    <xf numFmtId="0" fontId="1" fillId="2" borderId="0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left" vertical="center" wrapText="1"/>
    </xf>
    <xf numFmtId="0" fontId="6" fillId="6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1">
      <alignment horizontal="left" vertical="center" wrapText="1"/>
    </xf>
    <xf numFmtId="3" fontId="0" fillId="0" borderId="0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166" fontId="0" fillId="0" borderId="0" applyAlignment="1" pivotButton="0" quotePrefix="0" xfId="1">
      <alignment vertical="center"/>
    </xf>
    <xf numFmtId="49" fontId="4" fillId="5" borderId="0" applyAlignment="1" pivotButton="0" quotePrefix="0" xfId="1">
      <alignment horizontal="left" vertical="center" wrapText="1"/>
    </xf>
    <xf numFmtId="49" fontId="0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32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 xml:space="preserve">SAM </a:t>
            </a:r>
            <a:r>
              <a:rPr lang="ru-RU"/>
              <a:t xml:space="preserve">и </a:t>
            </a:r>
            <a:r>
              <a:rPr lang="en-US"/>
              <a:t xml:space="preserve">SOM </a:t>
            </a:r>
            <a:r>
              <a:rPr lang="ru-RU"/>
              <a:t>по сегментам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SAM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'06_Дашборд'!$G$5:$G$10</f>
              <strCache>
                <ptCount val="6"/>
                <pt idx="0">
                  <v>S-01 Студенты технических и экономических специальностей</v>
                </pt>
                <pt idx="1">
                  <v>S-02/S-03 Аналитики, архитекторы ПО и разработчики</v>
                </pt>
                <pt idx="2">
                  <v>S-04 Преподаватели технических дисциплин</v>
                </pt>
                <pt idx="3">
                  <v>0</v>
                </pt>
                <pt idx="4">
                  <v>0</v>
                </pt>
                <pt idx="5">
                  <v>0</v>
                </pt>
              </strCache>
            </strRef>
          </cat>
          <val>
            <numRef>
              <f>'06_Дашборд'!$H$5:$H$10</f>
              <numCache>
                <formatCode>#,##0</formatCode>
                <ptCount val="6"/>
                <pt idx="0">
                  <v>90115.09959375</v>
                </pt>
                <pt idx="1">
                  <v>102746.1671341875</v>
                </pt>
                <pt idx="2">
                  <v>5126.947650000001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v>SOM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'06_Дашборд'!$G$5:$G$10</f>
              <strCache>
                <ptCount val="6"/>
                <pt idx="0">
                  <v>S-01 Студенты технических и экономических специальностей</v>
                </pt>
                <pt idx="1">
                  <v>S-02/S-03 Аналитики, архитекторы ПО и разработчики</v>
                </pt>
                <pt idx="2">
                  <v>S-04 Преподаватели технических дисциплин</v>
                </pt>
                <pt idx="3">
                  <v>0</v>
                </pt>
                <pt idx="4">
                  <v>0</v>
                </pt>
                <pt idx="5">
                  <v>0</v>
                </pt>
              </strCache>
            </strRef>
          </cat>
          <val>
            <numRef>
              <f>'06_Дашборд'!$I$5:$I$10</f>
              <numCache>
                <formatCode>#,##0</formatCode>
                <ptCount val="6"/>
                <pt idx="0">
                  <v>901.1509959374999</v>
                </pt>
                <pt idx="1">
                  <v>2054.92334268375</v>
                </pt>
                <pt idx="2">
                  <v>51.26947650000001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 xml:space="preserve">Сценарии </a:t>
            </a:r>
            <a:r>
              <a:rPr lang="en-US"/>
              <a:t>TAM / SAM / SOM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TAM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'06_Дашборд'!$A$14:$A$16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'06_Дашборд'!$B$14:$B$16</f>
              <numCache>
                <formatCode>#,##0</formatCode>
                <ptCount val="3"/>
                <pt idx="0">
                  <v>29201446.31040001</v>
                </pt>
                <pt idx="1">
                  <v>45627259.86</v>
                </pt>
                <pt idx="2">
                  <v>57718483.7229</v>
                </pt>
              </numCache>
            </numRef>
          </val>
        </ser>
        <ser>
          <idx val="1"/>
          <order val="1"/>
          <tx>
            <v>SAM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'06_Дашборд'!$A$14:$A$16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'06_Дашборд'!$C$14:$C$16</f>
              <numCache>
                <formatCode>#,##0</formatCode>
                <ptCount val="3"/>
                <pt idx="0">
                  <v>57020.60574084601</v>
                </pt>
                <pt idx="1">
                  <v>197988.2143779375</v>
                </pt>
                <pt idx="2">
                  <v>414753.6310074785</v>
                </pt>
              </numCache>
            </numRef>
          </val>
        </ser>
        <ser>
          <idx val="2"/>
          <order val="2"/>
          <tx>
            <v>SOM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'06_Дашборд'!$A$14:$A$16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'06_Дашборд'!$D$14:$D$16</f>
              <numCache>
                <formatCode>#,##0</formatCode>
                <ptCount val="3"/>
                <pt idx="0">
                  <v>456.1648459267681</v>
                </pt>
                <pt idx="1">
                  <v>3959.76428755875</v>
                </pt>
                <pt idx="2">
                  <v>16590.14524029914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1119868</colOff>
      <row>24</row>
      <rowOff>144236</rowOff>
    </from>
    <to>
      <col>11</col>
      <colOff>257175</colOff>
      <row>51</row>
      <rowOff>81643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114300</colOff>
      <row>24</row>
      <rowOff>133349</rowOff>
    </from>
    <to>
      <col>4</col>
      <colOff>394608</colOff>
      <row>50</row>
      <rowOff>149678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egmentsTable" displayName="SegmentsTable" ref="A3:Q12" headerRowCount="1" headerRowDxfId="31" dataDxfId="12" totalsRowDxfId="30">
  <tableColumns count="17">
    <tableColumn id="1" name="Сегмент клиентов" dataDxfId="29"/>
    <tableColumn id="2" name="Тип клиента" dataDxfId="28"/>
    <tableColumn id="3" name="Источник количества" dataDxfId="27"/>
    <tableColumn id="4" name="Потенциальных клиентов всего" dataDxfId="26"/>
    <tableColumn id="5" name="Доля соответствия границам рынка" dataDxfId="25"/>
    <tableColumn id="6" name="Клиентов в границах рынка" dataDxfId="24"/>
    <tableColumn id="7" name="Доля имеющих потребность" dataDxfId="23"/>
    <tableColumn id="8" name="Доля готовых покупать онлайн" dataDxfId="22"/>
    <tableColumn id="9" name="Доля платежеспособных" dataDxfId="21"/>
    <tableColumn id="10" name="Реально адресуемых клиентов" dataDxfId="20"/>
    <tableColumn id="11" name="Средний чек" dataDxfId="19"/>
    <tableColumn id="12" name="Покупок в год" dataDxfId="18"/>
    <tableColumn id="13" name="SAM: доступный объем рынка" dataDxfId="17"/>
    <tableColumn id="14" name="Достижимая доля нового бизнеса" dataDxfId="16"/>
    <tableColumn id="15" name="SOM: достижимый объем" dataDxfId="15"/>
    <tableColumn id="16" name="Надежность данных" dataDxfId="14"/>
    <tableColumn id="17" name="Комментарий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arioTable" displayName="ScenarioTable" ref="A3:K6" headerRowCount="1" dataDxfId="0">
  <tableColumns count="11">
    <tableColumn id="1" name="Сценарий" dataDxfId="11"/>
    <tableColumn id="2" name="Множитель потребности" dataDxfId="10"/>
    <tableColumn id="3" name="Множитель онлайн-готовности" dataDxfId="9"/>
    <tableColumn id="4" name="Множитель платежеспособности" dataDxfId="8"/>
    <tableColumn id="5" name="Множитель среднего чека" dataDxfId="7"/>
    <tableColumn id="6" name="Множитель частоты покупки" dataDxfId="6"/>
    <tableColumn id="7" name="Достижимая доля" dataDxfId="5"/>
    <tableColumn id="8" name="TAM" dataDxfId="4"/>
    <tableColumn id="9" name="SAM" dataDxfId="3"/>
    <tableColumn id="10" name="SOM" dataDxfId="2"/>
    <tableColumn id="11" name="Комментарий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imilarwebTable" displayName="SimilarwebTable" ref="A3:O10" headerRowCount="1">
  <tableColumns count="15">
    <tableColumn id="1" name="Конкурент / сайт"/>
    <tableColumn id="2" name="URL"/>
    <tableColumn id="3" name="Роль на рынке"/>
    <tableColumn id="4" name="Месячные визиты"/>
    <tableColumn id="5" name="Доля выбранной географии"/>
    <tableColumn id="6" name="Визиты из выбранной географии"/>
    <tableColumn id="7" name="Доля релевантных каналов"/>
    <tableColumn id="8" name="Коэффициент коммерческого намерения"/>
    <tableColumn id="9" name="Релевантный рыночный трафик"/>
    <tableColumn id="10" name="Конверсия в заявку"/>
    <tableColumn id="11" name="Конверсия заявки в оплату"/>
    <tableColumn id="12" name="Средний чек"/>
    <tableColumn id="13" name="Заказов в месяц"/>
    <tableColumn id="14" name="Выручка в месяц"/>
    <tableColumn id="15" name="Выручка в г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Table" displayName="SourcesTable" ref="A3:H40" headerRowCount="1">
  <tableColumns count="8">
    <tableColumn id="1" name="Блок расчета"/>
    <tableColumn id="2" name="Показатель"/>
    <tableColumn id="3" name="Источник"/>
    <tableColumn id="4" name="Ссылка / файл"/>
    <tableColumn id="5" name="Дата обращения"/>
    <tableColumn id="6" name="Статус данных"/>
    <tableColumn id="7" name="Надежность"/>
    <tableColumn id="8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B30" sqref="B30"/>
    </sheetView>
  </sheetViews>
  <sheetFormatPr baseColWidth="8" defaultRowHeight="14.25"/>
  <cols>
    <col width="38.125" customWidth="1" min="1" max="1"/>
    <col width="91.25" customWidth="1" min="2" max="2"/>
    <col width="21.5" customWidth="1" min="3" max="3"/>
    <col width="46.75" customWidth="1" min="4" max="4"/>
  </cols>
  <sheetData>
    <row r="1" ht="18" customHeight="1">
      <c r="A1" s="17" t="inlineStr">
        <is>
          <t>Методика оценки объема рынка через количество потенциальных клиентов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18" t="inlineStr">
        <is>
          <t>Назначение Excel-шаблона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28.5" customFormat="1" customHeight="1" s="20">
      <c r="A4" s="21" t="inlineStr">
        <is>
          <t>Цель</t>
        </is>
      </c>
      <c r="B4" s="10" t="inlineStr">
        <is>
      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42.75" customFormat="1" customHeight="1" s="20">
      <c r="A5" s="21" t="inlineStr">
        <is>
          <t>Логика</t>
        </is>
      </c>
      <c r="B5" s="10" t="inlineStr">
        <is>
      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28.5" customFormat="1" customHeight="1" s="20">
      <c r="A6" s="21" t="inlineStr">
        <is>
          <t>Ключевая формула</t>
        </is>
      </c>
      <c r="B6" s="10" t="inlineStr">
        <is>
      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28.5" customFormat="1" customHeight="1" s="20">
      <c r="A7" s="21" t="inlineStr">
        <is>
          <t>Применение</t>
        </is>
      </c>
      <c r="B7" s="10" t="inlineStr">
        <is>
          <t>Подходит для B2B-услуг, B2C-продуктов, электронных сервисов и платформ, если можно определить базу потенциальных клиентов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42.75" customFormat="1" customHeight="1" s="20">
      <c r="A8" s="21" t="inlineStr">
        <is>
          <t>Ограничение</t>
        </is>
      </c>
      <c r="B8" s="10" t="inlineStr">
        <is>
      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5" customHeight="1">
      <c r="A10" s="18" t="inlineStr">
        <is>
          <t>Порядок работы с файлом</t>
        </is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5" customHeight="1">
      <c r="A11" s="2" t="inlineStr">
        <is>
          <t>Шаг</t>
        </is>
      </c>
      <c r="B11" s="2" t="inlineStr">
        <is>
          <t>Действие</t>
        </is>
      </c>
      <c r="C11" s="2" t="inlineStr">
        <is>
          <t>Лист</t>
        </is>
      </c>
      <c r="D11" s="2" t="inlineStr">
        <is>
          <t>Результат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customFormat="1" s="20">
      <c r="A12" s="10" t="n">
        <v>1</v>
      </c>
      <c r="B12" s="10" t="inlineStr">
        <is>
          <t>Заполнить исходные параметры бизнес-идеи, географии, валюты и периода расчета</t>
        </is>
      </c>
      <c r="C12" s="10" t="inlineStr">
        <is>
          <t>01_Параметры</t>
        </is>
      </c>
      <c r="D12" s="10" t="inlineStr">
        <is>
          <t>Зафиксированы границы расчета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customFormat="1" s="20">
      <c r="A13" s="10" t="n">
        <v>2</v>
      </c>
      <c r="B13" s="10" t="inlineStr">
        <is>
          <t>Заполнить клиентские сегменты и коэффициенты сужения</t>
        </is>
      </c>
      <c r="C13" s="10" t="inlineStr">
        <is>
          <t>02_Сегменты</t>
        </is>
      </c>
      <c r="D13" s="10" t="inlineStr">
        <is>
          <t>Получены TAM, SAM и SOM по сегментам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customFormat="1" s="20">
      <c r="A14" s="10" t="n">
        <v>3</v>
      </c>
      <c r="B14" s="10" t="inlineStr">
        <is>
          <t>Проверить осторожный, базовый и оптимистичный сценарии</t>
        </is>
      </c>
      <c r="C14" s="10" t="inlineStr">
        <is>
          <t>03_Сценарии</t>
        </is>
      </c>
      <c r="D14" s="10" t="inlineStr">
        <is>
          <t>Получен диапазон возможного объема рынка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customFormat="1" s="20">
      <c r="A15" s="10" t="n">
        <v>4</v>
      </c>
      <c r="B15" s="10" t="inlineStr">
        <is>
          <t>Сопоставить расчет с цифровыми данными конкурентов из Similarweb</t>
        </is>
      </c>
      <c r="C15" s="10" t="inlineStr">
        <is>
          <t>05_Similarweb</t>
        </is>
      </c>
      <c r="D15" s="10" t="inlineStr">
        <is>
          <t>Проверена реалистичность цифрового спроса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customFormat="1" s="20">
      <c r="A16" s="10" t="n">
        <v>5</v>
      </c>
      <c r="B16" s="10" t="inlineStr">
        <is>
          <t>Посмотреть итоговую панель, выводы и контрольные индикаторы</t>
        </is>
      </c>
      <c r="C16" s="10" t="inlineStr">
        <is>
          <t>06_Дашборд</t>
        </is>
      </c>
      <c r="D16" s="10" t="inlineStr">
        <is>
          <t>Получен итоговый результат для отчета</t>
        </is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customFormat="1" s="20">
      <c r="A17" s="10" t="n">
        <v>6</v>
      </c>
      <c r="B17" s="10" t="inlineStr">
        <is>
          <t>Зафиксировать источники и степень надежности данных</t>
        </is>
      </c>
      <c r="C17" s="10" t="inlineStr">
        <is>
          <t>07_Источники</t>
        </is>
      </c>
      <c r="D17" s="10" t="inlineStr">
        <is>
          <t>Обеспечена воспроизводимость расчета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5" customHeight="1">
      <c r="A20" s="18" t="inlineStr">
        <is>
          <t>Интерпретация итоговых показателей</t>
        </is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" customHeight="1">
      <c r="A21" s="2" t="inlineStr">
        <is>
          <t>Показатель</t>
        </is>
      </c>
      <c r="B21" s="2" t="inlineStr">
        <is>
          <t>Как читать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28.5" customHeight="1">
      <c r="A22" s="10" t="inlineStr">
        <is>
          <t>TAM</t>
        </is>
      </c>
      <c r="B22" s="10" t="inlineStr">
        <is>
          <t>Максимальный потенциальный объем спроса до сужения по реальным ограничениям выбранного рынка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28.5" customHeight="1">
      <c r="A23" s="10" t="inlineStr">
        <is>
          <t>SAM</t>
        </is>
      </c>
      <c r="B23" s="10" t="inlineStr">
        <is>
          <t>Объем рынка в выбранных продуктовых и географических границах с учетом потребности, цифровой готовности и платежеспособности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10" t="inlineStr">
        <is>
          <t>SOM</t>
        </is>
      </c>
      <c r="B24" s="10" t="inlineStr">
        <is>
          <t>Часть SAM, которую новый бизнес может реалистично привлечь в выбранном периоде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28.5" customHeight="1">
      <c r="A25" s="10" t="inlineStr">
        <is>
          <t>Расчет через Similarweb</t>
        </is>
      </c>
      <c r="B25" s="10" t="inlineStr">
        <is>
          <t>Проверочный ориентир по цифровой активности конкурентов и объему трафика в выбранном сегменте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10" t="inlineStr">
        <is>
          <t>Сценарии</t>
        </is>
      </c>
      <c r="B26" s="10" t="inlineStr">
        <is>
          <t>Диапазон неопределенности: осторожная, базовая и оптимистичная оценка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</sheetData>
  <mergeCells count="4">
    <mergeCell ref="A1:H1"/>
    <mergeCell ref="A20:H20"/>
    <mergeCell ref="A3:H3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B28" sqref="B28"/>
    </sheetView>
  </sheetViews>
  <sheetFormatPr baseColWidth="8" defaultRowHeight="14.25"/>
  <cols>
    <col width="28" customWidth="1" min="1" max="1"/>
    <col width="61.625" customWidth="1" min="2" max="2"/>
    <col width="37.75" customWidth="1" min="3" max="3"/>
    <col width="38" customWidth="1" min="4" max="4"/>
  </cols>
  <sheetData>
    <row r="1" ht="18" customHeight="1">
      <c r="A1" s="17" t="inlineStr">
        <is>
          <t>Исходные параметры расчета</t>
        </is>
      </c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  <c r="D3" s="2" t="inlineStr">
        <is>
          <t>Источник / обоснование</t>
        </is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28.5" customHeight="1">
      <c r="A4" s="11" t="inlineStr">
        <is>
          <t>Название бизнес-идеи</t>
        </is>
      </c>
      <c r="B4" s="3" t="inlineStr">
        <is>
          <t>NotaCode — веб-IDE для построения и проверки диаграмм формальных нотаций как текста (подписка Free / Pro)</t>
        </is>
      </c>
      <c r="C4" s="10" t="inlineStr">
        <is>
          <t>Можно заменить на свою бизнес-идею</t>
        </is>
      </c>
      <c r="D4" s="10" t="inlineStr">
        <is>
          <t>Паспорт бизнес-идеи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5" customHeight="1">
      <c r="A5" s="11" t="inlineStr">
        <is>
          <t>Компетенция</t>
        </is>
      </c>
      <c r="B5" s="3" t="inlineStr">
        <is>
          <t>Аналитика и проектирование ПО (UML, BPMN, ERD, IDEF, DFD)</t>
        </is>
      </c>
      <c r="C5" s="10" t="inlineStr">
        <is>
          <t>Профессиональная основа бизнеса</t>
        </is>
      </c>
      <c r="D5" s="10" t="inlineStr">
        <is>
          <t>Исходная гипотеза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71.25" customHeight="1">
      <c r="A6" s="11" t="inlineStr">
        <is>
          <t>Продуктовые границы</t>
        </is>
      </c>
      <c r="B6" s="3" t="inlineStr">
        <is>
          <t>Онлайн-редакторы и генераторы диаграмм формальных нотаций по текстовому описанию; UML/BPMN-редакторы; универсальные редакторы в части нотационных диаграмм. Исключены: универсальные доски, корпоративные CASE-платформы, курсы программирования</t>
        </is>
      </c>
      <c r="C6" s="10" t="inlineStr">
        <is>
          <t>Что входит в анализируемый рынок</t>
        </is>
      </c>
      <c r="D6" s="10" t="inlineStr">
        <is>
          <t>Методика фиксации границ рынка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28.5" customHeight="1">
      <c r="A7" s="11" t="inlineStr">
        <is>
          <t>Географические границы</t>
        </is>
      </c>
      <c r="B7" s="3" t="inlineStr">
        <is>
          <t>Республика Беларусь (РФ/СНГ — гипотеза вне расчёта, решение В-6)</t>
        </is>
      </c>
      <c r="C7" s="10" t="inlineStr">
        <is>
          <t>Территория первичного расчета</t>
        </is>
      </c>
      <c r="D7" s="10" t="inlineStr">
        <is>
          <t>Выбранная территория анализа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28.5" customHeight="1">
      <c r="A8" s="11" t="inlineStr">
        <is>
          <t>Тип рынка</t>
        </is>
      </c>
      <c r="B8" s="3" t="inlineStr">
        <is>
          <t>B2C-подписка (freemium Free / Pro); единица клиента — пользователь (физическое лицо)</t>
        </is>
      </c>
      <c r="C8" s="10" t="inlineStr">
        <is>
          <t>Основной клиент — организация или предприниматель</t>
        </is>
      </c>
      <c r="D8" s="10" t="inlineStr">
        <is>
          <t>Описание модели бизнеса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5" customHeight="1">
      <c r="A9" s="11" t="inlineStr">
        <is>
          <t>Валюта</t>
        </is>
      </c>
      <c r="B9" s="3" t="inlineStr">
        <is>
          <t>BYN</t>
        </is>
      </c>
      <c r="C9" s="10" t="inlineStr">
        <is>
          <t>Валюта расчетов</t>
        </is>
      </c>
      <c r="D9" s="10" t="inlineStr">
        <is>
          <t>Допущение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.5" customHeight="1">
      <c r="A10" s="11" t="inlineStr">
        <is>
          <t>Период расчета</t>
        </is>
      </c>
      <c r="B10" s="3" t="inlineStr">
        <is>
          <t>1 год</t>
        </is>
      </c>
      <c r="C10" s="10" t="inlineStr">
        <is>
          <t>Все итоговые показатели приводятся в годовом выражении</t>
        </is>
      </c>
      <c r="D10" s="10" t="inlineStr">
        <is>
          <t>Допущение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5" customHeight="1">
      <c r="A11" s="11" t="inlineStr">
        <is>
          <t>Дата составления</t>
        </is>
      </c>
      <c r="B11" s="25" t="inlineStr">
        <is>
          <t>29.09.2026</t>
        </is>
      </c>
      <c r="C11" s="10" t="inlineStr">
        <is>
          <t>Дата версии расчета</t>
        </is>
      </c>
      <c r="D11" s="10" t="inlineStr">
        <is>
          <t>Автоматически / вручную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" customHeight="1">
      <c r="A12" s="11" t="inlineStr">
        <is>
          <t>Ответственный</t>
        </is>
      </c>
      <c r="B12" s="3" t="inlineStr">
        <is>
          <t>К. А. Хаджинова</t>
        </is>
      </c>
      <c r="C12" s="10" t="inlineStr">
        <is>
          <t>ФИО или группа</t>
        </is>
      </c>
      <c r="D12" s="10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5" customHeight="1">
      <c r="A15" s="18" t="inlineStr">
        <is>
          <t>Единицы интерпретации</t>
        </is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5" customHeight="1">
      <c r="A16" s="2" t="inlineStr">
        <is>
          <t>Единица</t>
        </is>
      </c>
      <c r="B16" s="2" t="inlineStr">
        <is>
          <t>Значение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28.5" customHeight="1">
      <c r="A17" s="10" t="inlineStr">
        <is>
          <t>Количество клиентов</t>
        </is>
      </c>
      <c r="B17" s="10" t="inlineStr">
        <is>
          <t>Количество организаций, ИП, домохозяйств или пользователей в выбранном сегменте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28.5" customHeight="1">
      <c r="A18" s="10" t="inlineStr">
        <is>
          <t>Коэффициент сужения</t>
        </is>
      </c>
      <c r="B18" s="10" t="inlineStr">
        <is>
          <t>Доля от 0 до 100 %, показывающая, какая часть базы реально относится к выбранному рынку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inlineStr">
        <is>
          <t>Средний чек</t>
        </is>
      </c>
      <c r="B19" s="10" t="inlineStr">
        <is>
          <t>Средний платеж за одну покупку или договор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10" t="inlineStr">
        <is>
          <t>Частота покупки</t>
        </is>
      </c>
      <c r="B20" s="10" t="inlineStr">
        <is>
          <t>Среднее число покупок или оплат в год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10" t="inlineStr">
        <is>
          <t>SAM</t>
        </is>
      </c>
      <c r="B21" s="10" t="inlineStr">
        <is>
          <t>Доступный объем рынка в выбранных границах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10" t="inlineStr">
        <is>
          <t>SOM</t>
        </is>
      </c>
      <c r="B22" s="10" t="inlineStr">
        <is>
          <t>Реалистично достижимый объем рынка для нового бизнеса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C21" sqref="C21"/>
    </sheetView>
  </sheetViews>
  <sheetFormatPr baseColWidth="8" defaultRowHeight="14.25"/>
  <cols>
    <col width="34" customWidth="1" min="1" max="1"/>
    <col width="14" customWidth="1" min="2" max="2"/>
    <col width="43.875" customWidth="1" min="3" max="3"/>
    <col width="18" customWidth="1" min="4" max="8"/>
    <col width="21.125" customWidth="1" min="9" max="9"/>
    <col width="18" customWidth="1" min="10" max="10"/>
    <col width="14" customWidth="1" min="11" max="11"/>
    <col width="12" customWidth="1" min="12" max="12"/>
    <col width="18" customWidth="1" min="13" max="13"/>
    <col width="21.25" customWidth="1" min="14" max="14"/>
    <col width="22.125" customWidth="1" min="15" max="15"/>
    <col width="14" customWidth="1" min="16" max="16"/>
    <col width="68.875" customWidth="1" min="17" max="17"/>
  </cols>
  <sheetData>
    <row r="1" ht="18" customHeight="1">
      <c r="A1" s="17" t="inlineStr">
        <is>
          <t>Расчет объема рынка через количество потенциальных клиентов по сегментам</t>
        </is>
      </c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5" customFormat="1" customHeight="1" s="20">
      <c r="A3" s="2" t="inlineStr">
        <is>
          <t>Сегмент клиентов</t>
        </is>
      </c>
      <c r="B3" s="2" t="inlineStr">
        <is>
          <t>Тип клиента</t>
        </is>
      </c>
      <c r="C3" s="2" t="inlineStr">
        <is>
          <t>Источник количества</t>
        </is>
      </c>
      <c r="D3" s="2" t="inlineStr">
        <is>
          <t>Потенциальных клиентов всего</t>
        </is>
      </c>
      <c r="E3" s="2" t="inlineStr">
        <is>
          <t>Доля соответствия границам рынка</t>
        </is>
      </c>
      <c r="F3" s="2" t="inlineStr">
        <is>
          <t>Клиентов в границах рынка</t>
        </is>
      </c>
      <c r="G3" s="2" t="inlineStr">
        <is>
          <t>Доля имеющих потребность</t>
        </is>
      </c>
      <c r="H3" s="2" t="inlineStr">
        <is>
          <t>Доля готовых покупать онлайн</t>
        </is>
      </c>
      <c r="I3" s="2" t="inlineStr">
        <is>
          <t>Доля платежеспособных</t>
        </is>
      </c>
      <c r="J3" s="2" t="inlineStr">
        <is>
          <t>Реально адресуемых клиентов</t>
        </is>
      </c>
      <c r="K3" s="2" t="inlineStr">
        <is>
          <t>Средний чек</t>
        </is>
      </c>
      <c r="L3" s="2" t="inlineStr">
        <is>
          <t>Покупок в год</t>
        </is>
      </c>
      <c r="M3" s="2" t="inlineStr">
        <is>
          <t>SAM: доступный объем рынка</t>
        </is>
      </c>
      <c r="N3" s="2" t="inlineStr">
        <is>
          <t>Достижимая доля нового бизнеса</t>
        </is>
      </c>
      <c r="O3" s="2" t="inlineStr">
        <is>
          <t>SOM: достижимый объем</t>
        </is>
      </c>
      <c r="P3" s="2" t="inlineStr">
        <is>
          <t>Надежность данных</t>
        </is>
      </c>
      <c r="Q3" s="2" t="inlineStr">
        <is>
          <t>Комментарий</t>
        </is>
      </c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8.5" customFormat="1" customHeight="1" s="20">
      <c r="A4" s="10" t="inlineStr">
        <is>
          <t>S-01 Студенты технических и экономических специальностей</t>
        </is>
      </c>
      <c r="B4" s="10" t="inlineStr">
        <is>
          <t>B2C</t>
        </is>
      </c>
      <c r="C4" s="10" t="inlineStr">
        <is>
          <t>Белстат, «Образование в Республике Беларусь, 2026», табл. 7.1 (229,0 тыс., 2025/26)</t>
        </is>
      </c>
      <c r="D4" s="12" t="n">
        <v>229000</v>
      </c>
      <c r="E4" s="13" t="n">
        <v>0.3</v>
      </c>
      <c r="F4" s="12">
        <f>D4*E4</f>
        <v/>
      </c>
      <c r="G4" s="13" t="n">
        <v>0.225</v>
      </c>
      <c r="H4" s="13" t="n">
        <v>0.55</v>
      </c>
      <c r="I4" s="13" t="n">
        <v>0.08749999999999999</v>
      </c>
      <c r="J4" s="12">
        <f>F4*G4*H4*I4</f>
        <v/>
      </c>
      <c r="K4" s="12" t="n">
        <v>121.14</v>
      </c>
      <c r="L4" s="14" t="n">
        <v>1</v>
      </c>
      <c r="M4" s="12">
        <f>J4*K4*L4</f>
        <v/>
      </c>
      <c r="N4" s="15" t="n">
        <v>0.01</v>
      </c>
      <c r="O4" s="12">
        <f>M4*N4</f>
        <v/>
      </c>
      <c r="P4" s="10" t="inlineStr">
        <is>
          <t>Средняя</t>
        </is>
      </c>
      <c r="Q4" s="10" t="inlineStr">
        <is>
          <t>Тариф Free (первичный). К1–К4 — допущения в диапазонах ПК табл. 7 (базовые значения), К5 — достижимая доля. Годовой чек 40 у.е. × 3,0285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28.5" customFormat="1" customHeight="1" s="20">
      <c r="A5" s="10" t="inlineStr">
        <is>
          <t>S-02/S-03 Аналитики, архитекторы ПО и разработчики</t>
        </is>
      </c>
      <c r="B5" s="10" t="inlineStr">
        <is>
          <t>B2C</t>
        </is>
      </c>
      <c r="C5" s="10" t="inlineStr">
        <is>
          <t>Белстат, работники организаций цифровой экономики, 2024 (130 549)</t>
        </is>
      </c>
      <c r="D5" s="12" t="n">
        <v>130549</v>
      </c>
      <c r="E5" s="13" t="n">
        <v>0.3</v>
      </c>
      <c r="F5" s="12">
        <f>D5*E5</f>
        <v/>
      </c>
      <c r="G5" s="13" t="n">
        <v>0.225</v>
      </c>
      <c r="H5" s="13" t="n">
        <v>0.55</v>
      </c>
      <c r="I5" s="13" t="n">
        <v>0.175</v>
      </c>
      <c r="J5" s="12">
        <f>F5*G5*H5*I5</f>
        <v/>
      </c>
      <c r="K5" s="12" t="n">
        <v>121.14</v>
      </c>
      <c r="L5" s="14" t="n">
        <v>1</v>
      </c>
      <c r="M5" s="12">
        <f>J5*K5*L5</f>
        <v/>
      </c>
      <c r="N5" s="15" t="n">
        <v>0.02</v>
      </c>
      <c r="O5" s="12">
        <f>M5*N5</f>
        <v/>
      </c>
      <c r="P5" s="10" t="inlineStr">
        <is>
          <t>Низкая</t>
        </is>
      </c>
      <c r="Q5" s="10" t="inlineStr">
        <is>
          <t>Тариф Pro. К1–К4 — допущения в диапазонах ПК табл. 7 (базовые значения), К5 — достижимая доля. Годовой чек 40 у.е. × 3,0285</t>
        </is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28.5" customFormat="1" customHeight="1" s="20">
      <c r="A6" s="10" t="inlineStr">
        <is>
          <t>S-04 Преподаватели технических дисциплин</t>
        </is>
      </c>
      <c r="B6" s="10" t="inlineStr">
        <is>
          <t>B2C</t>
        </is>
      </c>
      <c r="C6" s="10" t="inlineStr">
        <is>
          <t>Белстат, ППС вузов (17,1 тыс., 2025/26); доля технических дисциплин неизвестна</t>
        </is>
      </c>
      <c r="D6" s="12" t="n">
        <v>17100</v>
      </c>
      <c r="E6" s="13" t="n">
        <v>0.2</v>
      </c>
      <c r="F6" s="12">
        <f>D6*E6</f>
        <v/>
      </c>
      <c r="G6" s="13" t="n">
        <v>0.225</v>
      </c>
      <c r="H6" s="13" t="n">
        <v>0.55</v>
      </c>
      <c r="I6" s="13" t="n">
        <v>0.1</v>
      </c>
      <c r="J6" s="12">
        <f>F6*G6*H6*I6</f>
        <v/>
      </c>
      <c r="K6" s="12" t="n">
        <v>121.14</v>
      </c>
      <c r="L6" s="14" t="n">
        <v>1</v>
      </c>
      <c r="M6" s="12">
        <f>J6*K6*L6</f>
        <v/>
      </c>
      <c r="N6" s="15" t="n">
        <v>0.01</v>
      </c>
      <c r="O6" s="12">
        <f>M6*N6</f>
        <v/>
      </c>
      <c r="P6" s="10" t="inlineStr">
        <is>
          <t>Низкая</t>
        </is>
      </c>
      <c r="Q6" s="10" t="inlineStr">
        <is>
          <t>Тариф Free / Pro. К1–К4 — допущения в диапазонах ПК табл. 7 (базовые значения), К5 — достижимая доля. Годовой чек 40 у.е. × 3,0285</t>
        </is>
      </c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customFormat="1" s="20">
      <c r="A7" s="10" t="n"/>
      <c r="B7" s="10" t="n"/>
      <c r="C7" s="10" t="n"/>
      <c r="D7" s="12" t="n"/>
      <c r="E7" s="13" t="n"/>
      <c r="F7" s="12">
        <f>D7*E7</f>
        <v/>
      </c>
      <c r="G7" s="13" t="n"/>
      <c r="H7" s="13" t="n"/>
      <c r="I7" s="13" t="n"/>
      <c r="J7" s="12">
        <f>F7*G7*H7*I7</f>
        <v/>
      </c>
      <c r="K7" s="12" t="n"/>
      <c r="L7" s="14" t="n"/>
      <c r="M7" s="12">
        <f>J7*K7*L7</f>
        <v/>
      </c>
      <c r="N7" s="15" t="n"/>
      <c r="O7" s="12">
        <f>M7*N7</f>
        <v/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customFormat="1" s="20">
      <c r="A8" s="10" t="n"/>
      <c r="B8" s="10" t="n"/>
      <c r="C8" s="10" t="n"/>
      <c r="D8" s="12" t="n"/>
      <c r="E8" s="13" t="n"/>
      <c r="F8" s="12">
        <f>D8*E8</f>
        <v/>
      </c>
      <c r="G8" s="13" t="n"/>
      <c r="H8" s="13" t="n"/>
      <c r="I8" s="13" t="n"/>
      <c r="J8" s="12">
        <f>F8*G8*H8*I8</f>
        <v/>
      </c>
      <c r="K8" s="12" t="n"/>
      <c r="L8" s="14" t="n"/>
      <c r="M8" s="12">
        <f>J8*K8*L8</f>
        <v/>
      </c>
      <c r="N8" s="15" t="n"/>
      <c r="O8" s="12">
        <f>M8*N8</f>
        <v/>
      </c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customFormat="1" s="20">
      <c r="A9" s="10" t="n"/>
      <c r="B9" s="10" t="n"/>
      <c r="C9" s="10" t="n"/>
      <c r="D9" s="12" t="n"/>
      <c r="E9" s="13" t="n"/>
      <c r="F9" s="12">
        <f>D9*E9</f>
        <v/>
      </c>
      <c r="G9" s="13" t="n"/>
      <c r="H9" s="13" t="n"/>
      <c r="I9" s="13" t="n"/>
      <c r="J9" s="12">
        <f>F9*G9*H9*I9</f>
        <v/>
      </c>
      <c r="K9" s="12" t="n"/>
      <c r="L9" s="14" t="n"/>
      <c r="M9" s="12">
        <f>J9*K9*L9</f>
        <v/>
      </c>
      <c r="N9" s="15" t="n"/>
      <c r="O9" s="12">
        <f>M9*N9</f>
        <v/>
      </c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customFormat="1" s="20">
      <c r="A10" s="10" t="n"/>
      <c r="B10" s="10" t="n"/>
      <c r="C10" s="10" t="n"/>
      <c r="D10" s="12" t="n"/>
      <c r="E10" s="13" t="n"/>
      <c r="F10" s="12">
        <f>D10*E10</f>
        <v/>
      </c>
      <c r="G10" s="13" t="n"/>
      <c r="H10" s="13" t="n"/>
      <c r="I10" s="13" t="n"/>
      <c r="J10" s="12">
        <f>F10*G10*H10*I10</f>
        <v/>
      </c>
      <c r="K10" s="12" t="n"/>
      <c r="L10" s="14" t="n"/>
      <c r="M10" s="12">
        <f>J10*K10*L10</f>
        <v/>
      </c>
      <c r="N10" s="15" t="n"/>
      <c r="O10" s="12">
        <f>M10*N10</f>
        <v/>
      </c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customFormat="1" s="20">
      <c r="A11" s="10" t="n"/>
      <c r="B11" s="10" t="n"/>
      <c r="C11" s="10" t="n"/>
      <c r="D11" s="12" t="n"/>
      <c r="E11" s="13" t="n"/>
      <c r="F11" s="12" t="n"/>
      <c r="G11" s="13" t="n"/>
      <c r="H11" s="13" t="n"/>
      <c r="I11" s="13" t="n"/>
      <c r="J11" s="12" t="n"/>
      <c r="K11" s="12" t="n"/>
      <c r="L11" s="14" t="n"/>
      <c r="M11" s="12" t="n"/>
      <c r="N11" s="15" t="n"/>
      <c r="O11" s="12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Format="1" customHeight="1" s="20">
      <c r="A12" s="18" t="inlineStr">
        <is>
          <t>Итого</t>
        </is>
      </c>
      <c r="B12" s="18" t="n"/>
      <c r="C12" s="18" t="n"/>
      <c r="D12" s="5">
        <f>SUM(D4:D10)</f>
        <v/>
      </c>
      <c r="E12" s="6" t="n"/>
      <c r="F12" s="5">
        <f>SUM(F4:F10)</f>
        <v/>
      </c>
      <c r="G12" s="6" t="n"/>
      <c r="H12" s="6" t="n"/>
      <c r="I12" s="6" t="n"/>
      <c r="J12" s="5">
        <f>SUM(J4:J10)</f>
        <v/>
      </c>
      <c r="K12" s="5" t="n"/>
      <c r="L12" s="7" t="n"/>
      <c r="M12" s="5">
        <f>SUM(M4:M10)</f>
        <v/>
      </c>
      <c r="N12" s="8" t="n"/>
      <c r="O12" s="5">
        <f>SUM(O4:O10)</f>
        <v/>
      </c>
      <c r="P12" s="18" t="n"/>
      <c r="Q12" s="18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customFormat="1" s="20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42.75" customFormat="1" customHeight="1" s="20">
      <c r="A14" s="10" t="inlineStr">
        <is>
          <t>Строка-гипотеза вне расчёта (решение В-6)</t>
        </is>
      </c>
      <c r="B14" s="10" t="n"/>
      <c r="C14" s="10" t="inlineStr">
        <is>
          <t>Расширение РФ/СНГ: Росстат и национальные статистики — в итоговый диапазон не включается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</cfRule>
  </conditionalFormatting>
  <conditionalFormatting sqref="O4:O10">
    <cfRule type="dataBar" priority="2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D16" sqref="D16"/>
    </sheetView>
  </sheetViews>
  <sheetFormatPr baseColWidth="8" defaultRowHeight="14.25"/>
  <cols>
    <col width="18" customWidth="1" min="1" max="1"/>
    <col width="18.625" customWidth="1" min="2" max="2"/>
    <col width="16.25" customWidth="1" min="3" max="3"/>
    <col width="22.25" customWidth="1" min="4" max="4"/>
    <col width="17.75" customWidth="1" min="5" max="5"/>
    <col width="21" customWidth="1" min="6" max="6"/>
    <col width="14" customWidth="1" min="7" max="9"/>
    <col width="15.75" customWidth="1" min="10" max="10"/>
    <col width="33.75" customWidth="1" min="11" max="11"/>
  </cols>
  <sheetData>
    <row r="1" ht="18" customHeight="1">
      <c r="A1" s="17" t="inlineStr">
        <is>
          <t>Сценарная оценка объема рынка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5" customHeight="1">
      <c r="A3" s="2" t="inlineStr">
        <is>
          <t>Сценарий</t>
        </is>
      </c>
      <c r="B3" s="2" t="inlineStr">
        <is>
          <t>Множитель потребности</t>
        </is>
      </c>
      <c r="C3" s="2" t="inlineStr">
        <is>
          <t>Множитель онлайн-готовности</t>
        </is>
      </c>
      <c r="D3" s="2" t="inlineStr">
        <is>
          <t>Множитель платежеспособности</t>
        </is>
      </c>
      <c r="E3" s="2" t="inlineStr">
        <is>
          <t>Множитель среднего чека</t>
        </is>
      </c>
      <c r="F3" s="2" t="inlineStr">
        <is>
          <t>Множитель частоты покупки</t>
        </is>
      </c>
      <c r="G3" s="2" t="inlineStr">
        <is>
          <t>Достижимая доля</t>
        </is>
      </c>
      <c r="H3" s="2" t="inlineStr">
        <is>
          <t>TAM</t>
        </is>
      </c>
      <c r="I3" s="2" t="inlineStr">
        <is>
          <t>SAM</t>
        </is>
      </c>
      <c r="J3" s="2" t="inlineStr">
        <is>
          <t>SOM</t>
        </is>
      </c>
      <c r="K3" s="2" t="inlineStr">
        <is>
          <t>Комментарий</t>
        </is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28.5" customHeight="1">
      <c r="A4" s="10" t="inlineStr">
        <is>
          <t>Осторожный</t>
        </is>
      </c>
      <c r="B4" s="15" t="n">
        <v>0.75</v>
      </c>
      <c r="C4" s="15" t="n">
        <v>0.8</v>
      </c>
      <c r="D4" s="15" t="n">
        <v>0.75</v>
      </c>
      <c r="E4" s="15" t="n">
        <v>0.8</v>
      </c>
      <c r="F4" s="15" t="n">
        <v>0.8</v>
      </c>
      <c r="G4" s="15" t="n">
        <v>0.008</v>
      </c>
      <c r="H4" s="12">
        <f>SUMPRODUCT('02_Сегменты'!$D\$4:$D\$10,'02_Сегменты'!$K\$4:$K\$10,'02_Сегменты'!$L\$4:$L\$10)*E4*F4</f>
        <v/>
      </c>
      <c r="I4" s="12">
        <f>SUMPRODUCT('02_Сегменты'!$F\$4:$F\$10,'02_Сегменты'!$G\$4:$G\$10,'02_Сегменты'!$H\$4:$H\$10,'02_Сегменты'!$I\$4:$I\$10,'02_Сегменты'!$K\$4:$K\$10,'02_Сегменты'!$L\$4:$L\$10)*B4*C4*D4*E4*F4</f>
        <v/>
      </c>
      <c r="J4" s="12">
        <f>I4*G4</f>
        <v/>
      </c>
      <c r="K4" s="10" t="inlineStr">
        <is>
          <t>Низкие коэффициенты и ограниченный выход на рынок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8.5" customHeight="1">
      <c r="A5" s="10" t="inlineStr">
        <is>
          <t>Базовый</t>
        </is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0.02</v>
      </c>
      <c r="H5" s="12">
        <f>SUMPRODUCT('02_Сегменты'!$D\$4:$D\$10,'02_Сегменты'!$K\$4:$K\$10,'02_Сегменты'!$L\$4:$L\$10)*E5*F5</f>
        <v/>
      </c>
      <c r="I5" s="12">
        <f>SUMPRODUCT('02_Сегменты'!$F\$4:$F\$10,'02_Сегменты'!$G\$4:$G\$10,'02_Сегменты'!$H\$4:$H\$10,'02_Сегменты'!$I\$4:$I\$10,'02_Сегменты'!$K\$4:$K\$10,'02_Сегменты'!$L\$4:$L\$10)*B5*C5*D5*E5*F5</f>
        <v/>
      </c>
      <c r="J5" s="12">
        <f>I5*G5</f>
        <v/>
      </c>
      <c r="K5" s="10" t="inlineStr">
        <is>
          <t>Основной расчет на базе листа сегментов</t>
        </is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28.5" customHeight="1">
      <c r="A6" s="10" t="inlineStr">
        <is>
          <t>Оптимистичный</t>
        </is>
      </c>
      <c r="B6" s="15" t="n">
        <v>1.2</v>
      </c>
      <c r="C6" s="15" t="n">
        <v>1.15</v>
      </c>
      <c r="D6" s="15" t="n">
        <v>1.2</v>
      </c>
      <c r="E6" s="15" t="n">
        <v>1.15</v>
      </c>
      <c r="F6" s="15" t="n">
        <v>1.1</v>
      </c>
      <c r="G6" s="15" t="n">
        <v>0.04</v>
      </c>
      <c r="H6" s="12">
        <f>SUMPRODUCT('02_Сегменты'!$D\$4:$D\$10,'02_Сегменты'!$K\$4:$K\$10,'02_Сегменты'!$L\$4:$L\$10)*E6*F6</f>
        <v/>
      </c>
      <c r="I6" s="12">
        <f>SUMPRODUCT('02_Сегменты'!$F\$4:$F\$10,'02_Сегменты'!$G\$4:$G\$10,'02_Сегменты'!$H\$4:$H\$10,'02_Сегменты'!$I\$4:$I\$10,'02_Сегменты'!$K\$4:$K\$10,'02_Сегменты'!$L\$4:$L\$10)*B6*C6*D6*E6*F6</f>
        <v/>
      </c>
      <c r="J6" s="12">
        <f>I6*G6</f>
        <v/>
      </c>
      <c r="K6" s="10" t="inlineStr">
        <is>
          <t>Усиленная конверсия, высокий чек и более заметная доля рынка</t>
        </is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B24" sqref="B24"/>
    </sheetView>
  </sheetViews>
  <sheetFormatPr baseColWidth="8" defaultRowHeight="14.25"/>
  <cols>
    <col width="34" customWidth="1" min="1" max="1"/>
    <col width="48.625" customWidth="1" min="2" max="2"/>
    <col width="12.875" customWidth="1" min="3" max="3"/>
    <col width="52" customWidth="1" min="4" max="4"/>
  </cols>
  <sheetData>
    <row r="1" ht="18" customHeight="1">
      <c r="A1" s="17" t="inlineStr">
        <is>
          <t>Итоговые расчетные показатели по методу потенциальных клиентов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2" t="inlineStr">
        <is>
          <t>Показатель</t>
        </is>
      </c>
      <c r="B3" s="2" t="inlineStr">
        <is>
          <t>Формула / источник</t>
        </is>
      </c>
      <c r="C3" s="2" t="inlineStr">
        <is>
          <t>Значение</t>
        </is>
      </c>
      <c r="D3" s="2" t="inlineStr">
        <is>
          <t>Интерпретация</t>
        </is>
      </c>
      <c r="E3" s="10" t="n"/>
      <c r="F3" s="10" t="n"/>
      <c r="G3" s="10" t="n"/>
      <c r="H3" s="10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28.5" customHeight="1">
      <c r="A4" s="10" t="inlineStr">
        <is>
          <t>TAM по базовому подходу</t>
        </is>
      </c>
      <c r="B4" s="10" t="inlineStr">
        <is>
          <t>SUMPRODUCT(потенциальные клиенты × средний чек × частота)</t>
        </is>
      </c>
      <c r="C4" s="12">
        <f>SUMPRODUCT('02_Сегменты'!$D\$4:$D\$10,'02_Сегменты'!$K\$4:$K\$10,'02_Сегменты'!$L\$4:$L\$10)</f>
        <v/>
      </c>
      <c r="D4" s="10" t="inlineStr">
        <is>
          <t>Максимальный ориентир до сужения рынка</t>
        </is>
      </c>
      <c r="E4" s="10" t="n"/>
      <c r="F4" s="10" t="n"/>
      <c r="G4" s="10" t="n"/>
      <c r="H4" s="10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8.5" customHeight="1">
      <c r="A5" s="10" t="inlineStr">
        <is>
          <t>Клиенты в границах рынка</t>
        </is>
      </c>
      <c r="B5" s="10" t="inlineStr">
        <is>
          <t>Сумма клиентов после продуктово-географического сужения</t>
        </is>
      </c>
      <c r="C5" s="12">
        <f>'02_Сегменты'!F12</f>
        <v/>
      </c>
      <c r="D5" s="10" t="inlineStr">
        <is>
          <t>Потенциальная база в выбранных границах</t>
        </is>
      </c>
      <c r="E5" s="10" t="n"/>
      <c r="F5" s="10" t="n"/>
      <c r="G5" s="10" t="n"/>
      <c r="H5" s="10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28.5" customHeight="1">
      <c r="A6" s="10" t="inlineStr">
        <is>
          <t>Реально адресуемые клиенты</t>
        </is>
      </c>
      <c r="B6" s="10" t="inlineStr">
        <is>
          <t>Сумма после учета потребности, онлайн-готовности и платежеспособности</t>
        </is>
      </c>
      <c r="C6" s="12">
        <f>'02_Сегменты'!J12</f>
        <v/>
      </c>
      <c r="D6" s="10" t="inlineStr">
        <is>
          <t>Практически доступная клиентская база</t>
        </is>
      </c>
      <c r="E6" s="10" t="n"/>
      <c r="F6" s="10" t="n"/>
      <c r="G6" s="10" t="n"/>
      <c r="H6" s="10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28.5" customHeight="1">
      <c r="A7" s="10" t="inlineStr">
        <is>
          <t>SAM</t>
        </is>
      </c>
      <c r="B7" s="10" t="inlineStr">
        <is>
          <t>Реально адресуемые клиенты × средний чек × частота</t>
        </is>
      </c>
      <c r="C7" s="12">
        <f>'02_Сегменты'!M12</f>
        <v/>
      </c>
      <c r="D7" s="10" t="inlineStr">
        <is>
          <t>Доступный объем рынка</t>
        </is>
      </c>
      <c r="E7" s="10" t="n"/>
      <c r="F7" s="10" t="n"/>
      <c r="G7" s="10" t="n"/>
      <c r="H7" s="10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10" t="inlineStr">
        <is>
          <t>SOM</t>
        </is>
      </c>
      <c r="B8" s="10" t="inlineStr">
        <is>
          <t>SAM × достижимая доля</t>
        </is>
      </c>
      <c r="C8" s="12">
        <f>'02_Сегменты'!O12</f>
        <v/>
      </c>
      <c r="D8" s="10" t="inlineStr">
        <is>
          <t>Реалистичный объем для нового бизнеса</t>
        </is>
      </c>
      <c r="E8" s="10" t="n"/>
      <c r="F8" s="10" t="n"/>
      <c r="G8" s="10" t="n"/>
      <c r="H8" s="10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0" t="inlineStr">
        <is>
          <t>Доля SOM в SAM</t>
        </is>
      </c>
      <c r="B9" s="10" t="inlineStr">
        <is>
          <t>SOM / SAM</t>
        </is>
      </c>
      <c r="C9" s="15">
        <f>IFERROR(C8/C7,0)</f>
        <v/>
      </c>
      <c r="D9" s="10" t="inlineStr">
        <is>
          <t>Оценка амбициозности выхода на рынок</t>
        </is>
      </c>
      <c r="E9" s="10" t="n"/>
      <c r="F9" s="10" t="n"/>
      <c r="G9" s="10" t="n"/>
      <c r="H9" s="10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" customHeight="1">
      <c r="A12" s="18" t="inlineStr">
        <is>
          <t>Коэффициенты качества расчета</t>
        </is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5" customHeight="1">
      <c r="A13" s="2" t="inlineStr">
        <is>
          <t>Проверка</t>
        </is>
      </c>
      <c r="B13" s="2" t="inlineStr">
        <is>
          <t>Расчет</t>
        </is>
      </c>
      <c r="C13" s="2" t="inlineStr">
        <is>
          <t>Значение</t>
        </is>
      </c>
      <c r="D13" s="2" t="inlineStr">
        <is>
          <t>Как интерпретировать</t>
        </is>
      </c>
      <c r="E13" s="10" t="n"/>
      <c r="F13" s="10" t="n"/>
      <c r="G13" s="10" t="n"/>
      <c r="H13" s="10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28.5" customHeight="1">
      <c r="A14" s="10" t="inlineStr">
        <is>
          <t>Доля реально адресуемых клиентов</t>
        </is>
      </c>
      <c r="B14" s="10" t="inlineStr">
        <is>
          <t>реально адресуемые / клиенты в границах</t>
        </is>
      </c>
      <c r="C14" s="15">
        <f>IFERROR(C6/C5,0)</f>
        <v/>
      </c>
      <c r="D14" s="10" t="inlineStr">
        <is>
          <t>Если значение слишком высокое, коэффициенты могли быть завышены</t>
        </is>
      </c>
      <c r="E14" s="10" t="n"/>
      <c r="F14" s="10" t="n"/>
      <c r="G14" s="10" t="n"/>
      <c r="H14" s="10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28.5" customHeight="1">
      <c r="A15" s="10" t="inlineStr">
        <is>
          <t>Средний SAM на одного адресуемого клиента</t>
        </is>
      </c>
      <c r="B15" s="10" t="inlineStr">
        <is>
          <t>SAM / реально адресуемые клиенты</t>
        </is>
      </c>
      <c r="C15" s="12">
        <f>IFERROR(C7/C6,0)</f>
        <v/>
      </c>
      <c r="D15" s="10" t="inlineStr">
        <is>
          <t>Показывает среднюю годовую выручку на клиента</t>
        </is>
      </c>
      <c r="E15" s="10" t="n"/>
      <c r="F15" s="10" t="n"/>
      <c r="G15" s="10" t="n"/>
      <c r="H15" s="10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28.5" customHeight="1">
      <c r="A16" s="10" t="inlineStr">
        <is>
          <t>Сравнение SOM и Similarweb-ориентира</t>
        </is>
      </c>
      <c r="B16" s="10" t="inlineStr">
        <is>
          <t>SOM / оценочная годовая выручка конкурентов</t>
        </is>
      </c>
      <c r="C16" s="15">
        <f>IFERROR(C8/'05_Similarweb'!N12,0)</f>
        <v/>
      </c>
      <c r="D16" s="10" t="inlineStr">
        <is>
          <t>Используется как проверка реалистичности</t>
        </is>
      </c>
      <c r="E16" s="10" t="n"/>
      <c r="F16" s="10" t="n"/>
      <c r="G16" s="10" t="n"/>
      <c r="H16" s="10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</sheetData>
  <mergeCells count="2">
    <mergeCell ref="A12:H1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:O14"/>
    </sheetView>
  </sheetViews>
  <sheetFormatPr baseColWidth="8" defaultRowHeight="14.25"/>
  <cols>
    <col width="38.5" customWidth="1" min="1" max="1"/>
    <col width="49.25" customWidth="1" min="2" max="2"/>
    <col width="32" customWidth="1" min="3" max="3"/>
    <col width="16" customWidth="1" min="4" max="4"/>
    <col width="16.625" customWidth="1" min="5" max="5"/>
    <col width="19.25" customWidth="1" min="6" max="6"/>
    <col width="16.625" customWidth="1" min="7" max="7"/>
    <col width="20.25" customWidth="1" min="8" max="8"/>
    <col width="19.75" customWidth="1" min="9" max="9"/>
    <col width="17.25" customWidth="1" min="10" max="10"/>
    <col width="14" customWidth="1" min="11" max="11"/>
    <col width="16" customWidth="1" min="12" max="15"/>
  </cols>
  <sheetData>
    <row r="1" ht="18" customHeight="1">
      <c r="A1" s="17" t="inlineStr">
        <is>
          <t>Проверочная оценка рынка через Similarweb и цифровые следы конкурентов</t>
        </is>
      </c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5" customHeight="1">
      <c r="A3" s="2" t="inlineStr">
        <is>
          <t>Конкурент / сайт</t>
        </is>
      </c>
      <c r="B3" s="2" t="inlineStr">
        <is>
          <t>URL</t>
        </is>
      </c>
      <c r="C3" s="2" t="inlineStr">
        <is>
          <t>Роль на рынке</t>
        </is>
      </c>
      <c r="D3" s="2" t="inlineStr">
        <is>
          <t>Месячные визиты</t>
        </is>
      </c>
      <c r="E3" s="2" t="inlineStr">
        <is>
          <t>Доля выбранной географии</t>
        </is>
      </c>
      <c r="F3" s="2" t="inlineStr">
        <is>
          <t>Визиты из выбранной географии</t>
        </is>
      </c>
      <c r="G3" s="2" t="inlineStr">
        <is>
          <t>Доля релевантных каналов</t>
        </is>
      </c>
      <c r="H3" s="2" t="inlineStr">
        <is>
          <t>Коэффициент коммерческого намерения</t>
        </is>
      </c>
      <c r="I3" s="2" t="inlineStr">
        <is>
          <t>Релевантный рыночный трафик</t>
        </is>
      </c>
      <c r="J3" s="2" t="inlineStr">
        <is>
          <t>Конверсия в заявку</t>
        </is>
      </c>
      <c r="K3" s="2" t="inlineStr">
        <is>
          <t>Конверсия заявки в оплату</t>
        </is>
      </c>
      <c r="L3" s="2" t="inlineStr">
        <is>
          <t>Средний чек</t>
        </is>
      </c>
      <c r="M3" s="2" t="inlineStr">
        <is>
          <t>Заказов в месяц</t>
        </is>
      </c>
      <c r="N3" s="2" t="inlineStr">
        <is>
          <t>Выручка в месяц</t>
        </is>
      </c>
      <c r="O3" s="2" t="inlineStr">
        <is>
          <t>Выручка в год</t>
        </is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9" t="inlineStr">
        <is>
          <t>PlantUML</t>
        </is>
      </c>
      <c r="B4" s="9" t="inlineStr">
        <is>
          <t>https://www.similarweb.com/website/plantuml.com/</t>
        </is>
      </c>
      <c r="C4" s="9" t="inlineStr">
        <is>
          <t>прямой (текстовый DSL)</t>
        </is>
      </c>
      <c r="D4" s="22" t="n">
        <v>507000</v>
      </c>
      <c r="E4" s="23" t="n">
        <v>0.001958</v>
      </c>
      <c r="F4" s="22">
        <f>D4*E4</f>
        <v/>
      </c>
      <c r="G4" s="23" t="n">
        <v>0.75</v>
      </c>
      <c r="H4" s="23" t="n">
        <v>0.35</v>
      </c>
      <c r="I4" s="22">
        <f>F4*G4*H4</f>
        <v/>
      </c>
      <c r="J4" s="24" t="n">
        <v>0.025</v>
      </c>
      <c r="K4" s="24" t="n">
        <v>0.04</v>
      </c>
      <c r="L4" s="22" t="n">
        <v>121.14</v>
      </c>
      <c r="M4" s="22">
        <f>I4*J4*K4</f>
        <v/>
      </c>
      <c r="N4" s="22">
        <f>M4*L4</f>
        <v/>
      </c>
      <c r="O4" s="22">
        <f>N4*12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9" t="inlineStr">
        <is>
          <t>draw.io (diagrams.net)</t>
        </is>
      </c>
      <c r="B5" s="9" t="inlineStr">
        <is>
          <t>https://www.similarweb.com/website/app.diagrams.net/</t>
        </is>
      </c>
      <c r="C5" s="9" t="inlineStr">
        <is>
          <t>заменитель (визуальный редактор)</t>
        </is>
      </c>
      <c r="D5" s="22" t="n">
        <v>7800000</v>
      </c>
      <c r="E5" s="23" t="n">
        <v>0.001958</v>
      </c>
      <c r="F5" s="22">
        <f>D5*E5</f>
        <v/>
      </c>
      <c r="G5" s="23" t="n">
        <v>0.35</v>
      </c>
      <c r="H5" s="23" t="n">
        <v>0.35</v>
      </c>
      <c r="I5" s="22">
        <f>F5*G5*H5</f>
        <v/>
      </c>
      <c r="J5" s="24" t="n">
        <v>0.025</v>
      </c>
      <c r="K5" s="24" t="n">
        <v>0.04</v>
      </c>
      <c r="L5" s="22" t="n">
        <v>121.14</v>
      </c>
      <c r="M5" s="22">
        <f>I5*J5*K5</f>
        <v/>
      </c>
      <c r="N5" s="22">
        <f>M5*L5</f>
        <v/>
      </c>
      <c r="O5" s="22">
        <f>N5*12</f>
        <v/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9" t="inlineStr">
        <is>
          <t>Eraser</t>
        </is>
      </c>
      <c r="B6" s="9" t="inlineStr">
        <is>
          <t>https://www.similarweb.com/website/eraser.io/</t>
        </is>
      </c>
      <c r="C6" s="9" t="inlineStr">
        <is>
          <t>прямой (AI + diagram as code)</t>
        </is>
      </c>
      <c r="D6" s="22" t="n">
        <v>678500</v>
      </c>
      <c r="E6" s="23" t="n">
        <v>0.001958</v>
      </c>
      <c r="F6" s="22">
        <f>D6*E6</f>
        <v/>
      </c>
      <c r="G6" s="23" t="n">
        <v>0.5</v>
      </c>
      <c r="H6" s="23" t="n">
        <v>0.35</v>
      </c>
      <c r="I6" s="22">
        <f>F6*G6*H6</f>
        <v/>
      </c>
      <c r="J6" s="24" t="n">
        <v>0.025</v>
      </c>
      <c r="K6" s="24" t="n">
        <v>0.04</v>
      </c>
      <c r="L6" s="22" t="n">
        <v>121.14</v>
      </c>
      <c r="M6" s="22">
        <f>I6*J6*K6</f>
        <v/>
      </c>
      <c r="N6" s="22">
        <f>M6*L6</f>
        <v/>
      </c>
      <c r="O6" s="22">
        <f>N6*12</f>
        <v/>
      </c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9" t="inlineStr">
        <is>
          <t>Mermaid Chart</t>
        </is>
      </c>
      <c r="B7" s="9" t="inlineStr">
        <is>
          <t>https://www.similarweb.com/website/mermaidchart.com/</t>
        </is>
      </c>
      <c r="C7" s="9" t="inlineStr">
        <is>
          <t>прямой (текстовый DSL)</t>
        </is>
      </c>
      <c r="D7" s="22" t="n">
        <v>20000</v>
      </c>
      <c r="E7" s="23" t="n">
        <v>0.001958</v>
      </c>
      <c r="F7" s="22">
        <f>D7*E7</f>
        <v/>
      </c>
      <c r="G7" s="23" t="n">
        <v>0.7</v>
      </c>
      <c r="H7" s="23" t="n">
        <v>0.35</v>
      </c>
      <c r="I7" s="22">
        <f>F7*G7*H7</f>
        <v/>
      </c>
      <c r="J7" s="24" t="n">
        <v>0.025</v>
      </c>
      <c r="K7" s="24" t="n">
        <v>0.04</v>
      </c>
      <c r="L7" s="22" t="n">
        <v>121.14</v>
      </c>
      <c r="M7" s="22">
        <f>I7*J7*K7</f>
        <v/>
      </c>
      <c r="N7" s="22">
        <f>M7*L7</f>
        <v/>
      </c>
      <c r="O7" s="22">
        <f>N7*12</f>
        <v/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9" t="n"/>
      <c r="B8" s="9" t="n"/>
      <c r="C8" s="9" t="n"/>
      <c r="D8" s="22" t="n"/>
      <c r="E8" s="23" t="n"/>
      <c r="F8" s="22">
        <f>D8*E8</f>
        <v/>
      </c>
      <c r="G8" s="23" t="n"/>
      <c r="H8" s="23" t="n"/>
      <c r="I8" s="22">
        <f>F8*G8*H8</f>
        <v/>
      </c>
      <c r="J8" s="24" t="n"/>
      <c r="K8" s="24" t="n"/>
      <c r="L8" s="22" t="n"/>
      <c r="M8" s="22">
        <f>I8*J8*K8</f>
        <v/>
      </c>
      <c r="N8" s="22">
        <f>M8*L8</f>
        <v/>
      </c>
      <c r="O8" s="22">
        <f>N8*12</f>
        <v/>
      </c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0" t="n"/>
      <c r="B9" s="10" t="n"/>
      <c r="C9" s="10" t="n"/>
      <c r="D9" s="12" t="n"/>
      <c r="E9" s="13" t="n"/>
      <c r="F9" s="12" t="n"/>
      <c r="G9" s="13" t="n"/>
      <c r="H9" s="13" t="n"/>
      <c r="I9" s="12" t="n"/>
      <c r="J9" s="15" t="n"/>
      <c r="K9" s="15" t="n"/>
      <c r="L9" s="12" t="n"/>
      <c r="M9" s="12" t="n"/>
      <c r="N9" s="12" t="n"/>
      <c r="O9" s="12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5" customHeight="1">
      <c r="A10" s="18" t="inlineStr">
        <is>
          <t>Итого / среднее</t>
        </is>
      </c>
      <c r="B10" s="18" t="n"/>
      <c r="C10" s="18" t="n"/>
      <c r="D10" s="5">
        <f>SUM(D4:D8)</f>
        <v/>
      </c>
      <c r="E10" s="6" t="n"/>
      <c r="F10" s="5">
        <f>SUM(F4:F8)</f>
        <v/>
      </c>
      <c r="G10" s="6" t="n"/>
      <c r="H10" s="6" t="n"/>
      <c r="I10" s="5">
        <f>SUM(I4:I8)</f>
        <v/>
      </c>
      <c r="J10" s="8" t="n"/>
      <c r="K10" s="8" t="n"/>
      <c r="L10" s="5" t="n"/>
      <c r="M10" s="5">
        <f>SUM(M4:M8)</f>
        <v/>
      </c>
      <c r="N10" s="5">
        <f>SUM(N4:N8)</f>
        <v/>
      </c>
      <c r="O10" s="5">
        <f>SUM(O4:O8)</f>
        <v/>
      </c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2" t="n"/>
      <c r="M11" s="12" t="n"/>
      <c r="N11" s="12" t="n"/>
      <c r="O11" s="12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45" customHeight="1">
      <c r="A12" s="18" t="inlineStr">
        <is>
          <t>Годовая оценка выручки конкурентов по Similarweb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5" t="n"/>
      <c r="M12" s="5" t="n"/>
      <c r="N12" s="5">
        <f>O10</f>
        <v/>
      </c>
      <c r="O12" s="5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1" customHeight="1">
      <c r="A14" s="10" t="inlineStr">
        <is>
          <t>Визиты: plantuml.com — Similarweb, авг. 2026 (скриншот); остальные — отчёт ЛР1 и предварительный замер 17–23.09.2026 без скриншота (mermaidchart.com — верхняя граница «менее 20 тыс.»). Доля РБ — допущение Д-01. Конверсии и чек — параметры NotaCode (CR1 — шаблон, CR2 = 4 % — проект, чек = цена Pro), поэтому результат — «выручка при параметрах NotaCode», а не фактическая выручка конкурентов. Выборка 4 домена &lt; 5 —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mergeCells count="1">
    <mergeCell ref="A1:O1"/>
  </mergeCells>
  <conditionalFormatting sqref="I4:I8">
    <cfRule type="dataBar" priority="1">
      <dataBar>
        <cfvo type="min"/>
        <cfvo type="max"/>
        <color rgb="FFED7D31"/>
      </dataBar>
    </cfRule>
    <cfRule type="dataBar" priority="3">
      <dataBar>
        <cfvo type="min"/>
        <cfvo type="max"/>
        <color rgb="FFED7D31"/>
      </dataBar>
    </cfRule>
  </conditionalFormatting>
  <conditionalFormatting sqref="O4:O8">
    <cfRule type="dataBar" priority="2">
      <dataBar>
        <cfvo type="min"/>
        <cfvo type="max"/>
        <color rgb="FF4472C4"/>
      </dataBar>
    </cfRule>
    <cfRule type="dataBar" priority="4">
      <dataBar>
        <cfvo type="min"/>
        <cfvo type="max"/>
        <color rgb="FF4472C4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3"/>
  <sheetViews>
    <sheetView zoomScale="70" zoomScaleNormal="70" workbookViewId="0">
      <selection activeCell="P14" sqref="P14"/>
    </sheetView>
  </sheetViews>
  <sheetFormatPr baseColWidth="8" defaultRowHeight="14.25"/>
  <cols>
    <col width="26" customWidth="1" min="1" max="1"/>
    <col width="16" customWidth="1" min="2" max="2"/>
    <col width="54" customWidth="1" min="3" max="3"/>
    <col width="8" customWidth="1" min="4" max="4"/>
    <col width="42" customWidth="1" min="5" max="5"/>
    <col width="36.875" customWidth="1" min="7" max="7"/>
    <col width="8" customWidth="1" min="8" max="8"/>
    <col width="6.5" customWidth="1" min="9" max="9"/>
  </cols>
  <sheetData>
    <row r="1" ht="18" customHeight="1">
      <c r="A1" s="17" t="inlineStr">
        <is>
          <t>Итоговая панель оценки объема рынка через потенциальных клиентов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2" t="inlineStr">
        <is>
          <t>Показатель</t>
        </is>
      </c>
      <c r="B3" s="2" t="inlineStr">
        <is>
          <t>Значение</t>
        </is>
      </c>
      <c r="C3" s="2" t="inlineStr">
        <is>
          <t>Интерпретация</t>
        </is>
      </c>
      <c r="D3" s="9" t="n"/>
      <c r="E3" s="9" t="n"/>
      <c r="F3" s="9" t="n"/>
      <c r="G3" s="18" t="inlineStr">
        <is>
          <t>Объем по сегментам: SAM и SOM</t>
        </is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>
      <c r="A4" s="10" t="inlineStr">
        <is>
          <t>TAM</t>
        </is>
      </c>
      <c r="B4" s="12">
        <f>'04_Расчет'!C4</f>
        <v/>
      </c>
      <c r="C4" s="10" t="inlineStr">
        <is>
          <t>Общий потенциальный рынок до сужения</t>
        </is>
      </c>
      <c r="D4" s="9" t="n"/>
      <c r="E4" s="9" t="n"/>
      <c r="F4" s="9" t="n"/>
      <c r="G4" s="2" t="inlineStr">
        <is>
          <t>Сегмент</t>
        </is>
      </c>
      <c r="H4" s="2" t="inlineStr">
        <is>
          <t>SAM</t>
        </is>
      </c>
      <c r="I4" s="2" t="inlineStr">
        <is>
          <t>SOM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8.5" customHeight="1">
      <c r="A5" s="10" t="inlineStr">
        <is>
          <t>SAM</t>
        </is>
      </c>
      <c r="B5" s="12">
        <f>'04_Расчет'!C7</f>
        <v/>
      </c>
      <c r="C5" s="10" t="inlineStr">
        <is>
          <t>Доступный рынок в зафиксированных границах</t>
        </is>
      </c>
      <c r="D5" s="9" t="n"/>
      <c r="E5" s="9" t="n"/>
      <c r="F5" s="9" t="n"/>
      <c r="G5" s="10">
        <f>'02_Сегменты'!A4</f>
        <v/>
      </c>
      <c r="H5" s="12">
        <f>'02_Сегменты'!M4</f>
        <v/>
      </c>
      <c r="I5" s="12">
        <f>'02_Сегменты'!O4</f>
        <v/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28.5" customHeight="1">
      <c r="A6" s="10" t="inlineStr">
        <is>
          <t>SOM</t>
        </is>
      </c>
      <c r="B6" s="12">
        <f>'04_Расчет'!C8</f>
        <v/>
      </c>
      <c r="C6" s="10" t="inlineStr">
        <is>
          <t>Реалистично достижимый объем для нового бизнеса</t>
        </is>
      </c>
      <c r="D6" s="9" t="n"/>
      <c r="E6" s="9" t="n"/>
      <c r="F6" s="9" t="n"/>
      <c r="G6" s="10">
        <f>'02_Сегменты'!A5</f>
        <v/>
      </c>
      <c r="H6" s="12">
        <f>'02_Сегменты'!M5</f>
        <v/>
      </c>
      <c r="I6" s="12">
        <f>'02_Сегменты'!O5</f>
        <v/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28.5" customHeight="1">
      <c r="A7" s="10" t="inlineStr">
        <is>
          <t>Адресуемые клиенты</t>
        </is>
      </c>
      <c r="B7" s="12">
        <f>'04_Расчет'!C6</f>
        <v/>
      </c>
      <c r="C7" s="10" t="inlineStr">
        <is>
          <t>Клиенты после учета потребности, онлайн-готовности и платежеспособности</t>
        </is>
      </c>
      <c r="D7" s="9" t="n"/>
      <c r="E7" s="9" t="n"/>
      <c r="F7" s="9" t="n"/>
      <c r="G7" s="10">
        <f>'02_Сегменты'!A6</f>
        <v/>
      </c>
      <c r="H7" s="12">
        <f>'02_Сегменты'!M6</f>
        <v/>
      </c>
      <c r="I7" s="12">
        <f>'02_Сегменты'!O6</f>
        <v/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28.5" customHeight="1">
      <c r="A8" s="10" t="inlineStr">
        <is>
          <t>Similarweb-ориентир</t>
        </is>
      </c>
      <c r="B8" s="12">
        <f>'05_Similarweb'!N12</f>
        <v/>
      </c>
      <c r="C8" s="10" t="inlineStr">
        <is>
          <t>Оценочная годовая выручка конкурентов по цифровому трафику</t>
        </is>
      </c>
      <c r="D8" s="9" t="n"/>
      <c r="E8" s="9" t="n"/>
      <c r="F8" s="9" t="n"/>
      <c r="G8" s="10">
        <f>'02_Сегменты'!A7</f>
        <v/>
      </c>
      <c r="H8" s="12">
        <f>'02_Сегменты'!M7</f>
        <v/>
      </c>
      <c r="I8" s="12">
        <f>'02_Сегменты'!O7</f>
        <v/>
      </c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0" t="inlineStr">
        <is>
          <t>Доля SOM в SAM</t>
        </is>
      </c>
      <c r="B9" s="15">
        <f>'04_Расчет'!C9</f>
        <v/>
      </c>
      <c r="C9" s="10" t="inlineStr">
        <is>
          <t>Проверка амбициозности выхода на рынок</t>
        </is>
      </c>
      <c r="D9" s="9" t="n"/>
      <c r="E9" s="9" t="n"/>
      <c r="F9" s="9" t="n"/>
      <c r="G9" s="10">
        <f>'02_Сегменты'!A8</f>
        <v/>
      </c>
      <c r="H9" s="12">
        <f>'02_Сегменты'!M8</f>
        <v/>
      </c>
      <c r="I9" s="12">
        <f>'02_Сегменты'!O8</f>
        <v/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10">
        <f>'02_Сегменты'!A9</f>
        <v/>
      </c>
      <c r="H10" s="12">
        <f>'02_Сегменты'!M9</f>
        <v/>
      </c>
      <c r="I10" s="12">
        <f>'02_Сегменты'!O9</f>
        <v/>
      </c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" customHeight="1">
      <c r="A12" s="18" t="inlineStr">
        <is>
          <t>Сценарный диапазон объема рынка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5" customHeight="1">
      <c r="A13" s="2" t="inlineStr">
        <is>
          <t>Сценарий</t>
        </is>
      </c>
      <c r="B13" s="2" t="inlineStr">
        <is>
          <t>TAM</t>
        </is>
      </c>
      <c r="C13" s="2" t="inlineStr">
        <is>
          <t>SAM</t>
        </is>
      </c>
      <c r="D13" s="2" t="inlineStr">
        <is>
          <t>SOM</t>
        </is>
      </c>
      <c r="E13" s="2" t="inlineStr">
        <is>
          <t>Вывод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28.5" customHeight="1">
      <c r="A14" s="10" t="inlineStr">
        <is>
          <t>Осторожный</t>
        </is>
      </c>
      <c r="B14" s="12">
        <f>'03_Сценарии'!H4</f>
        <v/>
      </c>
      <c r="C14" s="12">
        <f>'03_Сценарии'!I4</f>
        <v/>
      </c>
      <c r="D14" s="12">
        <f>'03_Сценарии'!J4</f>
        <v/>
      </c>
      <c r="E14" s="10" t="inlineStr">
        <is>
          <t>Минимальный ориентир при слабой конверсии и низкой достижимой доле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inlineStr">
        <is>
          <t>Базовый</t>
        </is>
      </c>
      <c r="B15" s="12">
        <f>'03_Сценарии'!H5</f>
        <v/>
      </c>
      <c r="C15" s="12">
        <f>'03_Сценарии'!I5</f>
        <v/>
      </c>
      <c r="D15" s="12">
        <f>'03_Сценарии'!J5</f>
        <v/>
      </c>
      <c r="E15" s="10" t="inlineStr">
        <is>
          <t>Основной расчет</t>
        </is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10" t="inlineStr">
        <is>
          <t>Оптимистичный</t>
        </is>
      </c>
      <c r="B16" s="12">
        <f>'03_Сценарии'!H6</f>
        <v/>
      </c>
      <c r="C16" s="12">
        <f>'03_Сценарии'!I6</f>
        <v/>
      </c>
      <c r="D16" s="12">
        <f>'03_Сценарии'!J6</f>
        <v/>
      </c>
      <c r="E16" s="10" t="inlineStr">
        <is>
          <t>Верхняя граница при благоприятных условиях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5" customHeight="1">
      <c r="A19" s="18" t="inlineStr">
        <is>
          <t>Шаблон итогового вывода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19" t="inlineStr">
        <is>
          <t>По результатам оценки через количество потенциальных клиентов базовый доступный объем рынка составляет ориентировочно 197 988 BYN в год, а реалистично достижимый объем для нового бизнеса составляет 3 007 BYN в год (по долям сегментов; по единой доле 2 % — 3 960 BYN).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/>
    <row r="22"/>
    <row r="23"/>
  </sheetData>
  <mergeCells count="5">
    <mergeCell ref="G3:K3"/>
    <mergeCell ref="A12:E12"/>
    <mergeCell ref="A20:K23"/>
    <mergeCell ref="A19:K19"/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D18" sqref="D18"/>
    </sheetView>
  </sheetViews>
  <sheetFormatPr baseColWidth="8" defaultRowHeight="14.25"/>
  <cols>
    <col width="22" customWidth="1" min="1" max="1"/>
    <col width="54.375" customWidth="1" min="2" max="2"/>
    <col width="71.25" customWidth="1" min="3" max="3"/>
    <col width="84.5" customWidth="1" min="4" max="4"/>
    <col width="25.125" customWidth="1" min="5" max="5"/>
    <col width="23.625" customWidth="1" min="6" max="6"/>
    <col width="14" customWidth="1" min="7" max="7"/>
    <col width="42" customWidth="1" min="8" max="8"/>
  </cols>
  <sheetData>
    <row r="1" ht="18" customHeight="1">
      <c r="A1" s="17" t="inlineStr">
        <is>
          <t>Журнал источников данных и допущений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2" t="inlineStr">
        <is>
          <t>Блок расчета</t>
        </is>
      </c>
      <c r="B3" s="2" t="inlineStr">
        <is>
          <t>Показатель</t>
        </is>
      </c>
      <c r="C3" s="2" t="inlineStr">
        <is>
          <t>Источник</t>
        </is>
      </c>
      <c r="D3" s="2" t="inlineStr">
        <is>
          <t>Ссылка / файл</t>
        </is>
      </c>
      <c r="E3" s="2" t="inlineStr">
        <is>
          <t>Дата обращения</t>
        </is>
      </c>
      <c r="F3" s="2" t="inlineStr">
        <is>
          <t>Статус данных</t>
        </is>
      </c>
      <c r="G3" s="2" t="inlineStr">
        <is>
          <t>Надежность</t>
        </is>
      </c>
      <c r="H3" s="2" t="inlineStr">
        <is>
          <t>Комментарий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28.5" customHeight="1">
      <c r="A4" s="10" t="inlineStr">
        <is>
          <t>Количество клиентов</t>
        </is>
      </c>
      <c r="B4" s="10" t="inlineStr">
        <is>
          <t>Студенты УВО РБ: 229,0 тыс</t>
        </is>
      </c>
      <c r="C4" s="10" t="inlineStr">
        <is>
          <t>Белстат, «Образование в Республике Беларусь, 2026», табл. 7.1</t>
        </is>
      </c>
      <c r="D4" s="10" t="inlineStr">
        <is>
          <t>belstat.gov.by/upload/iblock/6af/m93v33ohm51kl00b333cmrhjbhj42ouo.pdf</t>
        </is>
      </c>
      <c r="E4" s="26" t="inlineStr">
        <is>
          <t>29.09.2026</t>
        </is>
      </c>
      <c r="F4" s="10" t="inlineStr">
        <is>
          <t>факт</t>
        </is>
      </c>
      <c r="G4" s="10" t="inlineStr">
        <is>
          <t>Высокая</t>
        </is>
      </c>
      <c r="H4" s="10" t="inlineStr">
        <is>
          <t>Заполнить фактический источник при выполнении расчета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8.5" customHeight="1">
      <c r="A5" s="10" t="inlineStr">
        <is>
          <t>Количество клиентов</t>
        </is>
      </c>
      <c r="B5" s="10" t="inlineStr">
        <is>
          <t>Работники организаций цифровой экономики: 130 549 (2024)</t>
        </is>
      </c>
      <c r="C5" s="10" t="inlineStr">
        <is>
          <t>Белстат, digital_economy-2024.xls</t>
        </is>
      </c>
      <c r="D5" s="10" t="inlineStr">
        <is>
          <t>belstat.gov.by/upload-belstat/upload-belstat-excel/Oficial_statistika/2024/digital_economy-2024.xls</t>
        </is>
      </c>
      <c r="E5" s="26" t="inlineStr">
        <is>
          <t>29.09.2026</t>
        </is>
      </c>
      <c r="F5" s="10" t="inlineStr">
        <is>
          <t>факт</t>
        </is>
      </c>
      <c r="G5" s="10" t="inlineStr">
        <is>
          <t>Средняя</t>
        </is>
      </c>
      <c r="H5" s="10" t="inlineStr">
        <is>
          <t>Желательно подтвердить через опрос или коммерческие запросы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28.5" customHeight="1">
      <c r="A6" s="10" t="inlineStr">
        <is>
          <t>Количество клиентов</t>
        </is>
      </c>
      <c r="B6" s="10" t="inlineStr">
        <is>
          <t>ППС вузов: 17,1 тыс</t>
        </is>
      </c>
      <c r="C6" s="10" t="inlineStr">
        <is>
          <t>Белстат, «Образование в Республике Беларусь, 2026»</t>
        </is>
      </c>
      <c r="D6" s="10" t="inlineStr">
        <is>
          <t>там же</t>
        </is>
      </c>
      <c r="E6" s="26" t="inlineStr">
        <is>
          <t>29.09.2026</t>
        </is>
      </c>
      <c r="F6" s="10" t="inlineStr">
        <is>
          <t>факт</t>
        </is>
      </c>
      <c r="G6" s="10" t="inlineStr">
        <is>
          <t>Средняя</t>
        </is>
      </c>
      <c r="H6" s="10" t="inlineStr">
        <is>
          <t>Проверяет, насколько рынок доступен через цифровые каналы</t>
        </is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28.5" customHeight="1">
      <c r="A7" s="10" t="inlineStr">
        <is>
          <t>К1 релевантность сегмента</t>
        </is>
      </c>
      <c r="B7" s="10" t="inlineStr">
        <is>
          <t>30 % / 30 % / 20 %</t>
        </is>
      </c>
      <c r="C7" s="10" t="inlineStr">
        <is>
          <t>Допущение в диапазоне ПК табл. 7 (20–40 %)</t>
        </is>
      </c>
      <c r="D7" s="10" t="inlineStr">
        <is>
          <t>🔲 разбивка студентов по профилям (Белстат / Минобразования)</t>
        </is>
      </c>
      <c r="E7" s="26" t="inlineStr">
        <is>
          <t>29.09.2026</t>
        </is>
      </c>
      <c r="F7" s="10" t="inlineStr">
        <is>
          <t>экспертное допущение</t>
        </is>
      </c>
      <c r="G7" s="10" t="inlineStr">
        <is>
          <t>Низкая</t>
        </is>
      </c>
      <c r="H7" s="10" t="inlineStr">
        <is>
          <t>Не следует путать интерес с готовностью платить</t>
        </is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10" t="inlineStr">
        <is>
          <t>К2 потребность</t>
        </is>
      </c>
      <c r="B8" s="10" t="inlineStr">
        <is>
          <t>22,5 %</t>
        </is>
      </c>
      <c r="C8" s="10" t="inlineStr">
        <is>
          <t>Допущение, середина диапазона ПК табл. 7 (15–30 %)</t>
        </is>
      </c>
      <c r="D8" s="10" t="inlineStr">
        <is>
          <t>🔲 опрос ≥20–30 респондентов; Вордстат</t>
        </is>
      </c>
      <c r="E8" s="26" t="inlineStr">
        <is>
          <t>29.09.2026</t>
        </is>
      </c>
      <c r="F8" s="10" t="inlineStr">
        <is>
          <t>экспертное допущение</t>
        </is>
      </c>
      <c r="G8" s="10" t="inlineStr">
        <is>
          <t>Низкая</t>
        </is>
      </c>
      <c r="H8" s="10" t="inlineStr">
        <is>
          <t>Использовать диапазон и сценарии</t>
        </is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8.5" customHeight="1">
      <c r="A9" s="10" t="inlineStr">
        <is>
          <t>К3 цифровая доступность</t>
        </is>
      </c>
      <c r="B9" s="26" t="inlineStr">
        <is>
          <t>55 %</t>
        </is>
      </c>
      <c r="C9" s="10" t="inlineStr">
        <is>
          <t>Допущение, середина диапазона ПК табл. 7 (40–70 %); потолок — 94,3 % населения в интернете (Белстат 2024)</t>
        </is>
      </c>
      <c r="D9" s="10" t="inlineStr">
        <is>
          <t>belstat.gov.by</t>
        </is>
      </c>
      <c r="E9" s="26" t="inlineStr">
        <is>
          <t>29.09.2026</t>
        </is>
      </c>
      <c r="F9" s="10" t="inlineStr">
        <is>
          <t>экспертное допущение</t>
        </is>
      </c>
      <c r="G9" s="10" t="inlineStr">
        <is>
          <t>Низкая</t>
        </is>
      </c>
      <c r="H9" s="10" t="inlineStr">
        <is>
          <t>Данные являются оценочными и требуют проверки</t>
        </is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.5" customHeight="1">
      <c r="A10" s="10" t="inlineStr">
        <is>
          <t>К4 готовность платить</t>
        </is>
      </c>
      <c r="B10" s="10" t="inlineStr">
        <is>
          <t>8,75 % / 17,5 % / 10 %</t>
        </is>
      </c>
      <c r="C10" s="10" t="inlineStr">
        <is>
          <t>Допущение в диапазонах ПК табл. 7 (5–10 % и 10–25 %); проектное Free → Pro 3–5 %</t>
        </is>
      </c>
      <c r="D10" s="10" t="inlineStr">
        <is>
          <t>🔲 опрос</t>
        </is>
      </c>
      <c r="E10" s="26" t="inlineStr">
        <is>
          <t>29.09.2026</t>
        </is>
      </c>
      <c r="F10" s="10" t="inlineStr">
        <is>
          <t>экспертное допущение</t>
        </is>
      </c>
      <c r="G10" s="10" t="inlineStr">
        <is>
          <t>Низкая</t>
        </is>
      </c>
      <c r="H10" s="10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28.5" customHeight="1">
      <c r="A11" s="10" t="inlineStr">
        <is>
          <t>Средний чек</t>
        </is>
      </c>
      <c r="B11" s="10" t="inlineStr">
        <is>
          <t>121,14 BYN/год</t>
        </is>
      </c>
      <c r="C11" s="10" t="inlineStr">
        <is>
          <t>Концепция NotaCode (годовой тариф 40 у.е.) × курс НБРБ 3,0285 (30.09.2026); альтернатива 48 у.е. (4 у.е. × 12) = 145,37 BYN</t>
        </is>
      </c>
      <c r="D11" s="10" t="inlineStr">
        <is>
          <t>api.nbrb.by/exrates/rates/431</t>
        </is>
      </c>
      <c r="E11" s="26" t="inlineStr">
        <is>
          <t>29.09.2026</t>
        </is>
      </c>
      <c r="F11" s="10" t="inlineStr">
        <is>
          <t>проектное допущение</t>
        </is>
      </c>
      <c r="G11" s="10" t="inlineStr">
        <is>
          <t>Средняя</t>
        </is>
      </c>
      <c r="H11" s="10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10" t="inlineStr">
        <is>
          <t>Similarweb</t>
        </is>
      </c>
      <c r="B12" s="10" t="inlineStr">
        <is>
          <t>Трафик домена-образца</t>
        </is>
      </c>
      <c r="C12" s="10" t="inlineStr">
        <is>
          <t>Similarweb, бесплатная карточка, август 2026 (plantuml.com)</t>
        </is>
      </c>
      <c r="D12" s="10" t="inlineStr">
        <is>
          <t>similarweb.com/website/plantuml.com/</t>
        </is>
      </c>
      <c r="E12" s="26" t="inlineStr">
        <is>
          <t>29.09.2026</t>
        </is>
      </c>
      <c r="F12" s="10" t="inlineStr">
        <is>
          <t>факт / оценка</t>
        </is>
      </c>
      <c r="G12" s="10" t="inlineStr">
        <is>
          <t>Средняя</t>
        </is>
      </c>
      <c r="H12" s="10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28.5" customHeight="1">
      <c r="A13" s="10" t="inlineStr">
        <is>
          <t>Доля географии</t>
        </is>
      </c>
      <c r="B13" s="10" t="inlineStr">
        <is>
          <t>0,1958 %</t>
        </is>
      </c>
      <c r="C13" s="10" t="inlineStr">
        <is>
          <t>Расчёт: 9,07 % (Россия, Similarweb) × 170/7874 (РБ/РФ, Вордстат, окно 29.08–27.09.2026)</t>
        </is>
      </c>
      <c r="D13" s="10" t="inlineStr">
        <is>
          <t>wordstat.yandex.ru; similarweb.com</t>
        </is>
      </c>
      <c r="E13" s="26" t="inlineStr">
        <is>
          <t>29.09.2026</t>
        </is>
      </c>
      <c r="F13" s="10" t="inlineStr">
        <is>
          <t>экспертное допущение</t>
        </is>
      </c>
      <c r="G13" s="10" t="inlineStr">
        <is>
          <t>Низкая</t>
        </is>
      </c>
      <c r="H13" s="10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workbookViewId="0">
      <selection activeCell="J35" sqref="J35"/>
    </sheetView>
  </sheetViews>
  <sheetFormatPr baseColWidth="8" defaultRowHeight="14.25"/>
  <cols>
    <col width="48.625" customWidth="1" min="1" max="1"/>
    <col width="19.625" customWidth="1" min="2" max="2"/>
    <col width="16.125" customWidth="1" min="3" max="3"/>
    <col width="19.875" customWidth="1" min="4" max="4"/>
  </cols>
  <sheetData>
    <row r="1" ht="18" customHeight="1">
      <c r="A1" s="17" t="inlineStr">
        <is>
          <t>Справочные списки для выпадающих полей</t>
        </is>
      </c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" customHeight="1">
      <c r="A3" s="2" t="inlineStr">
        <is>
          <t>Тип клиента</t>
        </is>
      </c>
      <c r="B3" s="2" t="inlineStr">
        <is>
          <t>Статус данных</t>
        </is>
      </c>
      <c r="C3" s="2" t="inlineStr">
        <is>
          <t>Надежность</t>
        </is>
      </c>
      <c r="D3" s="2" t="inlineStr">
        <is>
          <t>Сценарий</t>
        </is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10" t="inlineStr">
        <is>
          <t>B2B</t>
        </is>
      </c>
      <c r="B4" s="10" t="inlineStr">
        <is>
          <t>Факт</t>
        </is>
      </c>
      <c r="C4" s="10" t="inlineStr">
        <is>
          <t>Высокая</t>
        </is>
      </c>
      <c r="D4" s="10" t="inlineStr">
        <is>
          <t>Осторожный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inlineStr">
        <is>
          <t>B2C</t>
        </is>
      </c>
      <c r="B5" s="10" t="inlineStr">
        <is>
          <t>Оценка</t>
        </is>
      </c>
      <c r="C5" s="10" t="inlineStr">
        <is>
          <t>Средняя</t>
        </is>
      </c>
      <c r="D5" s="10" t="inlineStr">
        <is>
          <t>Базовый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28.5" customHeight="1">
      <c r="A6" s="10" t="inlineStr">
        <is>
          <t>Платформа</t>
        </is>
      </c>
      <c r="B6" s="10" t="inlineStr">
        <is>
          <t>Экспертное допущение</t>
        </is>
      </c>
      <c r="C6" s="10" t="inlineStr">
        <is>
          <t>Низкая</t>
        </is>
      </c>
      <c r="D6" s="10" t="inlineStr">
        <is>
          <t>Оптимистичный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0" t="inlineStr">
        <is>
          <t>Смешанный</t>
        </is>
      </c>
      <c r="B7" s="10" t="inlineStr">
        <is>
          <t>Нет данных</t>
        </is>
      </c>
      <c r="C7" s="10" t="n"/>
      <c r="D7" s="10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2026-10-04T14:13:40Z</dcterms:created>
  <dcterms:modified xmlns:dcterms="http://purl.org/dc/terms/" xmlns:xsi="http://www.w3.org/2001/XMLSchema-instance" xsi:type="dcterms:W3CDTF">2026-10-04T15:34:07Z</dcterms:modified>
  <cp:lastModifiedBy>Aliaksandr Khajynau</cp:lastModifiedBy>
</cp:coreProperties>
</file>