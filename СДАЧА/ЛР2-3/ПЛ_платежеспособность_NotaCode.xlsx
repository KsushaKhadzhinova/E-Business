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9" autoFilterDateGrouping="1"/>
  </bookViews>
  <sheets>
    <sheet xmlns:r="http://schemas.openxmlformats.org/officeDocument/2006/relationships" name="00_Методика" sheetId="1" state="visible" r:id="rId1"/>
    <sheet xmlns:r="http://schemas.openxmlformats.org/officeDocument/2006/relationships" name="01_Параметры" sheetId="2" state="visible" r:id="rId2"/>
    <sheet xmlns:r="http://schemas.openxmlformats.org/officeDocument/2006/relationships" name="02_Сегменты" sheetId="3" state="visible" r:id="rId3"/>
    <sheet xmlns:r="http://schemas.openxmlformats.org/officeDocument/2006/relationships" name="03_Ценовой_коридор" sheetId="4" state="visible" r:id="rId4"/>
    <sheet xmlns:r="http://schemas.openxmlformats.org/officeDocument/2006/relationships" name="04_Экономика_покупки" sheetId="5" state="visible" r:id="rId5"/>
    <sheet xmlns:r="http://schemas.openxmlformats.org/officeDocument/2006/relationships" name="05_Платежеспособность" sheetId="6" state="visible" r:id="rId6"/>
    <sheet xmlns:r="http://schemas.openxmlformats.org/officeDocument/2006/relationships" name="06_Сценарии" sheetId="7" state="visible" r:id="rId7"/>
    <sheet xmlns:r="http://schemas.openxmlformats.org/officeDocument/2006/relationships" name="07_Similarweb" sheetId="8" state="visible" r:id="rId8"/>
    <sheet xmlns:r="http://schemas.openxmlformats.org/officeDocument/2006/relationships" name="08_Итоговая_панель" sheetId="9" state="visible" r:id="rId9"/>
    <sheet xmlns:r="http://schemas.openxmlformats.org/officeDocument/2006/relationships" name="09_Источники" sheetId="10" state="visible" r:id="rId10"/>
  </sheets>
  <definedNames/>
  <calcPr calcId="191029" fullCalcOnLoad="1" refMode="R1C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"/>
    <numFmt numFmtId="166" formatCode="0.0%"/>
  </numFmts>
  <fonts count="6">
    <font>
      <name val="Carlito"/>
      <sz val="11"/>
    </font>
    <font>
      <name val="Carlito"/>
      <b val="1"/>
      <color rgb="FFFFFFFF"/>
      <sz val="14"/>
    </font>
    <font>
      <name val="Carlito"/>
      <i val="1"/>
      <color rgb="FF1F2937"/>
      <sz val="10"/>
    </font>
    <font>
      <name val="Carlito"/>
      <b val="1"/>
      <color rgb="FFFFFFFF"/>
      <sz val="11"/>
    </font>
    <font>
      <name val="Carlito"/>
      <b val="1"/>
      <sz val="11"/>
    </font>
    <font>
      <name val="Carlito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35">
    <xf numFmtId="0" fontId="0" fillId="0" borderId="0" pivotButton="0" quotePrefix="0" xfId="0"/>
    <xf numFmtId="0" fontId="3" fillId="4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0" fillId="0" borderId="0" applyAlignment="1" pivotButton="0" quotePrefix="0" xfId="1">
      <alignment vertical="top" wrapText="1"/>
    </xf>
    <xf numFmtId="9" fontId="0" fillId="0" borderId="0" applyAlignment="1" pivotButton="0" quotePrefix="0" xfId="1">
      <alignment vertical="top" wrapText="1"/>
    </xf>
    <xf numFmtId="164" fontId="0" fillId="0" borderId="0" applyAlignment="1" pivotButton="0" quotePrefix="0" xfId="1">
      <alignment vertical="top" wrapText="1"/>
    </xf>
    <xf numFmtId="0" fontId="4" fillId="5" borderId="0" applyAlignment="1" pivotButton="0" quotePrefix="0" xfId="1">
      <alignment vertical="top" wrapText="1"/>
    </xf>
    <xf numFmtId="3" fontId="0" fillId="0" borderId="0" applyAlignment="1" pivotButton="0" quotePrefix="0" xfId="1">
      <alignment vertical="top" wrapText="1"/>
    </xf>
    <xf numFmtId="165" fontId="0" fillId="0" borderId="0" applyAlignment="1" pivotButton="0" quotePrefix="0" xfId="1">
      <alignment vertical="top" wrapText="1"/>
    </xf>
    <xf numFmtId="3" fontId="4" fillId="5" borderId="0" applyAlignment="1" pivotButton="0" quotePrefix="0" xfId="1">
      <alignment vertical="top" wrapText="1"/>
    </xf>
    <xf numFmtId="9" fontId="4" fillId="5" borderId="0" applyAlignment="1" pivotButton="0" quotePrefix="0" xfId="1">
      <alignment vertical="top" wrapText="1"/>
    </xf>
    <xf numFmtId="2" fontId="0" fillId="0" borderId="0" applyAlignment="1" pivotButton="0" quotePrefix="0" xfId="1">
      <alignment vertical="top" wrapText="1"/>
    </xf>
    <xf numFmtId="2" fontId="4" fillId="5" borderId="0" applyAlignment="1" pivotButton="0" quotePrefix="0" xfId="1">
      <alignment vertical="top" wrapText="1"/>
    </xf>
    <xf numFmtId="22" fontId="0" fillId="0" borderId="0" applyAlignment="1" pivotButton="0" quotePrefix="0" xfId="1">
      <alignment vertical="top" wrapText="1"/>
    </xf>
    <xf numFmtId="22" fontId="0" fillId="0" borderId="0" applyAlignment="1" pivotButton="0" quotePrefix="0" xfId="1">
      <alignment wrapText="1"/>
    </xf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2" fillId="3" borderId="0" applyAlignment="1" pivotButton="0" quotePrefix="0" xfId="1">
      <alignment horizontal="center" vertical="center" wrapText="1"/>
    </xf>
    <xf numFmtId="0" fontId="3" fillId="4" borderId="0" applyAlignment="1" pivotButton="0" quotePrefix="0" xfId="1">
      <alignment horizontal="center" wrapText="1"/>
    </xf>
    <xf numFmtId="0" fontId="0" fillId="6" borderId="0" applyAlignment="1" pivotButton="0" quotePrefix="0" xfId="1">
      <alignment vertical="top" wrapText="1"/>
    </xf>
    <xf numFmtId="0" fontId="0" fillId="0" borderId="0" applyAlignment="1" pivotButton="0" quotePrefix="0" xfId="1">
      <alignment vertical="center" wrapText="1"/>
    </xf>
    <xf numFmtId="3" fontId="0" fillId="0" borderId="0" applyAlignment="1" pivotButton="0" quotePrefix="0" xfId="1">
      <alignment vertical="center" wrapText="1"/>
    </xf>
    <xf numFmtId="9" fontId="0" fillId="0" borderId="0" applyAlignment="1" pivotButton="0" quotePrefix="0" xfId="1">
      <alignment vertical="center" wrapText="1"/>
    </xf>
    <xf numFmtId="165" fontId="0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1">
      <alignment vertical="center" wrapText="1"/>
    </xf>
    <xf numFmtId="2" fontId="0" fillId="0" borderId="0" applyAlignment="1" pivotButton="0" quotePrefix="0" xfId="1">
      <alignment vertical="center" wrapText="1"/>
    </xf>
    <xf numFmtId="0" fontId="4" fillId="5" borderId="0" applyAlignment="1" pivotButton="0" quotePrefix="0" xfId="1">
      <alignment vertical="center" wrapText="1"/>
    </xf>
    <xf numFmtId="3" fontId="4" fillId="5" borderId="0" applyAlignment="1" pivotButton="0" quotePrefix="0" xfId="1">
      <alignment vertical="center" wrapText="1"/>
    </xf>
    <xf numFmtId="9" fontId="4" fillId="5" borderId="0" applyAlignment="1" pivotButton="0" quotePrefix="0" xfId="1">
      <alignment vertical="center" wrapText="1"/>
    </xf>
    <xf numFmtId="2" fontId="4" fillId="5" borderId="0" applyAlignment="1" pivotButton="0" quotePrefix="0" xfId="1">
      <alignment vertical="center" wrapText="1"/>
    </xf>
    <xf numFmtId="165" fontId="4" fillId="5" borderId="0" applyAlignment="1" pivotButton="0" quotePrefix="0" xfId="1">
      <alignment vertical="center" wrapText="1"/>
    </xf>
    <xf numFmtId="166" fontId="0" fillId="0" borderId="0" applyAlignment="1" pivotButton="0" quotePrefix="0" xfId="1">
      <alignment vertical="center" wrapText="1"/>
    </xf>
    <xf numFmtId="49" fontId="0" fillId="0" borderId="0" applyAlignment="1" pivotButton="0" quotePrefix="0" xfId="1">
      <alignment vertical="top" wrapText="1"/>
    </xf>
    <xf numFmtId="49" fontId="0" fillId="0" borderId="0" applyAlignment="1" pivotButton="0" quotePrefix="0" xfId="1">
      <alignment wrapText="1"/>
    </xf>
  </cellXfs>
  <cellStyles count="2">
    <cellStyle name="Обычный" xfId="0" builtinId="0"/>
    <cellStyle name="Normal" xfId="1"/>
  </cellStyles>
  <dxfs count="13"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Рынок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'08_Итоговая_панель'!$E$5:$E$7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'08_Итоговая_панель'!$F$5:$F$7</f>
              <numCache>
                <formatCode>#,##0</formatCode>
                <ptCount val="3"/>
                <pt idx="0">
                  <v>49893.2283551625</v>
                </pt>
                <pt idx="1">
                  <v>197989.001409375</v>
                </pt>
                <pt idx="2">
                  <v>409837.2329174062</v>
                </pt>
              </numCache>
            </numRef>
          </val>
        </ser>
        <ser>
          <idx val="1"/>
          <order val="1"/>
          <tx>
            <v>Достижимая выручка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'08_Итоговая_панель'!$E$5:$E$7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'08_Итоговая_панель'!$G$5:$G$7</f>
              <numCache>
                <formatCode>#,##0</formatCode>
                <ptCount val="3"/>
                <pt idx="0">
                  <v>249.4661417758125</v>
                </pt>
                <pt idx="1">
                  <v>2969.835021140625</v>
                </pt>
                <pt idx="2">
                  <v>14344.30315210922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Объем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'02_Сегменты'!$A$5:$A$9</f>
              <strCache>
                <ptCount val="3"/>
                <pt idx="0">
                  <v>S-01 Студенты технических и экономических специальностей</v>
                </pt>
                <pt idx="1">
                  <v>S-02/S-03 Аналитики, архитекторы ПО и разработчики</v>
                </pt>
                <pt idx="2">
                  <v>S-04 Преподаватели технических дисциплин</v>
                </pt>
              </strCache>
            </strRef>
          </cat>
          <val>
            <numRef>
              <f>'02_Сегменты'!$J$5:$J$9</f>
              <numCache>
                <formatCode>#,##0</formatCode>
                <ptCount val="5"/>
                <pt idx="0">
                  <v>90115.09959375</v>
                </pt>
                <pt idx="1">
                  <v>102746.954165625</v>
                </pt>
                <pt idx="2">
                  <v>5126.947650000001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0</colOff>
      <row>9</row>
      <rowOff>0</rowOff>
    </from>
    <to>
      <col>12</col>
      <colOff>0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20</row>
      <rowOff>0</rowOff>
    </from>
    <to>
      <col>4</col>
      <colOff>0</colOff>
      <row>36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egmentsTable" displayName="SegmentsTable" ref="A4:L14" headerRowCount="1">
  <tableColumns count="12">
    <tableColumn id="1" name="Сегмент"/>
    <tableColumn id="2" name="Всего потенциальных клиентов"/>
    <tableColumn id="3" name="Доля с потребностью"/>
    <tableColumn id="4" name="Доля готовых покупать онлайн"/>
    <tableColumn id="5" name="Доля платежеспособных"/>
    <tableColumn id="6" name="Покупок/контрактов в год"/>
    <tableColumn id="7" name="Средний чек"/>
    <tableColumn id="8" name="Платежеспособные клиенты"/>
    <tableColumn id="9" name="Годовое число покупок"/>
    <tableColumn id="10" name="Потенциальный объем рынка"/>
    <tableColumn id="11" name="Комментарий"/>
    <tableColumn id="12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ceTable" displayName="PriceTable" ref="A4:J12" headerRowCount="1" headerRowDxfId="2" dataDxfId="0" totalsRowDxfId="1">
  <tableColumns count="10">
    <tableColumn id="1" name="Услуга / продукт" dataDxfId="12"/>
    <tableColumn id="2" name="Минимальная цена" dataDxfId="11"/>
    <tableColumn id="3" name="Медианная цена" dataDxfId="10"/>
    <tableColumn id="4" name="Максимальная цена" dataDxfId="9"/>
    <tableColumn id="5" name="Себестоимость" dataDxfId="8"/>
    <tableColumn id="6" name="Валовая маржа" dataDxfId="7"/>
    <tableColumn id="7" name="Цена в модели" dataDxfId="6"/>
    <tableColumn id="8" name="Индекс доступности цены" dataDxfId="5"/>
    <tableColumn id="9" name="Комментарий" dataDxfId="4"/>
    <tableColumn id="10" name="Источник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conomicsTable" displayName="EconomicsTable" ref="A4:K12" headerRowCount="1">
  <tableColumns count="11">
    <tableColumn id="1" name="Сегмент"/>
    <tableColumn id="2" name="Средняя месячная выручка клиента"/>
    <tableColumn id="3" name="Маржинальность клиента"/>
    <tableColumn id="4" name="Ожидаемый рост выручки"/>
    <tableColumn id="5" name="Дополнительная валовая прибыль/мес."/>
    <tableColumn id="6" name="Цена услуги/мес."/>
    <tableColumn id="7" name="Окупаемость, мес."/>
    <tableColumn id="8" name="ROI за год"/>
    <tableColumn id="9" name="Экономический статус"/>
    <tableColumn id="10" name="Комментарий"/>
    <tableColumn id="11" name="Источн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pacityTable" displayName="CapacityTable" ref="A4:J12" headerRowCount="1">
  <tableColumns count="10">
    <tableColumn id="1" name="Сегмент"/>
    <tableColumn id="2" name="Средний доступный бюджет/мес."/>
    <tableColumn id="3" name="Цена предложения/мес."/>
    <tableColumn id="4" name="Индекс платежеспособности"/>
    <tableColumn id="5" name="Статус"/>
    <tableColumn id="6" name="Доля клиентов с бюджетом"/>
    <tableColumn id="7" name="Платежеспособные клиенты"/>
    <tableColumn id="8" name="Годовой чек"/>
    <tableColumn id="9" name="Платежеспособный объем"/>
    <tableColumn id="10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imilarwebTable" displayName="SimilarwebTable" ref="A4:L12" headerRowCount="1">
  <tableColumns count="12">
    <tableColumn id="1" name="Сайт / конкурент"/>
    <tableColumn id="2" name="Месячные посещения"/>
    <tableColumn id="3" name="Доля целевой географии"/>
    <tableColumn id="4" name="Релевантный трафик"/>
    <tableColumn id="5" name="Доля поискового трафика"/>
    <tableColumn id="6" name="Доля прямого трафика"/>
    <tableColumn id="7" name="Доля соцсетей"/>
    <tableColumn id="8" name="Оценка конверсии в заявку"/>
    <tableColumn id="9" name="Оценка заявок/мес."/>
    <tableColumn id="10" name="Средний чек"/>
    <tableColumn id="11" name="Оценка выручки/мес."/>
    <tableColumn id="12" name="Источник / да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C12" sqref="C12"/>
    </sheetView>
  </sheetViews>
  <sheetFormatPr baseColWidth="8" defaultRowHeight="14.25"/>
  <cols>
    <col width="20" customWidth="1" min="1" max="1"/>
    <col width="45" customWidth="1" min="2" max="2"/>
    <col width="42" customWidth="1" min="3" max="3"/>
    <col width="38" customWidth="1" min="4" max="4"/>
  </cols>
  <sheetData>
    <row r="1" ht="27.95" customHeight="1">
      <c r="A1" s="15" t="inlineStr">
        <is>
          <t>Методика проверки рынка через платежеспособность</t>
        </is>
      </c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Excel-шаблон для оценки, способен ли выявленный интерес аудитории перейти в платежеспособный спрос</t>
        </is>
      </c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27.95" customHeight="1">
      <c r="A4" s="1" t="inlineStr">
        <is>
          <t>Этап</t>
        </is>
      </c>
      <c r="B4" s="1" t="inlineStr">
        <is>
          <t>Что выполняется</t>
        </is>
      </c>
      <c r="C4" s="1" t="inlineStr">
        <is>
          <t>Какие данные нужны</t>
        </is>
      </c>
      <c r="D4" s="1" t="inlineStr">
        <is>
          <t>Результат</t>
        </is>
      </c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42.75" customHeight="1">
      <c r="A5" s="3" t="inlineStr">
        <is>
          <t>1. Сегментация</t>
        </is>
      </c>
      <c r="B5" s="3" t="inlineStr">
        <is>
          <t>Разделить потенциальных клиентов на группы по типу, размеру, потребности и цифровой доступности</t>
        </is>
      </c>
      <c r="C5" s="3" t="inlineStr">
        <is>
          <t>Сегменты клиентов, численность, доля потребности, доля готовности покупать онлайн</t>
        </is>
      </c>
      <c r="D5" s="3" t="inlineStr">
        <is>
          <t>Расчет платежеспособной клиентской базы</t>
        </is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42.75" customHeight="1">
      <c r="A6" s="3" t="inlineStr">
        <is>
          <t>2. Ценовой коридор</t>
        </is>
      </c>
      <c r="B6" s="3" t="inlineStr">
        <is>
          <t>Собрать минимальные, медианные и максимальные цены конкурентов или аналогичных предложений</t>
        </is>
      </c>
      <c r="C6" s="3" t="inlineStr">
        <is>
          <t>Сайты конкурентов, прайс-листы, коммерческие предложения, маркетплейсы услуг</t>
        </is>
      </c>
      <c r="D6" s="3" t="inlineStr">
        <is>
          <t>Диапазон допустимой цены и ориентир среднего чека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42.75" customHeight="1">
      <c r="A7" s="3" t="inlineStr">
        <is>
          <t>3. Экономическая оправданность</t>
        </is>
      </c>
      <c r="B7" s="3" t="inlineStr">
        <is>
          <t>Проверить, окупается ли покупка для клиента через дополнительную выручку, экономию или снижение потерь</t>
        </is>
      </c>
      <c r="C7" s="3" t="inlineStr">
        <is>
          <t>Выручка клиента, маржинальность, ожидаемый эффект, стоимость услуги</t>
        </is>
      </c>
      <c r="D7" s="3" t="inlineStr">
        <is>
          <t>Показатель окупаемости и экономический аргумент покупки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28.5" customHeight="1">
      <c r="A8" s="3" t="inlineStr">
        <is>
          <t>4. Платежеспособность</t>
        </is>
      </c>
      <c r="B8" s="3" t="inlineStr">
        <is>
          <t>Сопоставить бюджет клиента с ежемесячной стоимостью предложения</t>
        </is>
      </c>
      <c r="C8" s="3" t="inlineStr">
        <is>
          <t>Доступный бюджет, цена услуги, регулярность оплаты</t>
        </is>
      </c>
      <c r="D8" s="3" t="inlineStr">
        <is>
          <t>Индекс платежеспособности и статус покупки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42.75" customHeight="1">
      <c r="A9" s="3" t="inlineStr">
        <is>
          <t>5. Сценарии</t>
        </is>
      </c>
      <c r="B9" s="3" t="inlineStr">
        <is>
          <t>Рассчитать осторожный, базовый и оптимистичный варианты рынка</t>
        </is>
      </c>
      <c r="C9" s="3" t="inlineStr">
        <is>
          <t>Коэффициенты потребности, платежеспособности, частоты покупки и среднего чека</t>
        </is>
      </c>
      <c r="D9" s="3" t="inlineStr">
        <is>
          <t>Диапазон платежеспособного объема рынка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ht="42.75" customHeight="1">
      <c r="A10" s="3" t="inlineStr">
        <is>
          <t>6. Проверка цифровыми данными</t>
        </is>
      </c>
      <c r="B10" s="3" t="inlineStr">
        <is>
          <t>Использовать Similarweb и другие цифровые источники как косвенную проверку активности рынка</t>
        </is>
      </c>
      <c r="C10" s="3" t="inlineStr">
        <is>
          <t>Посещаемость конкурентов, каналы, география, поисковый трафик</t>
        </is>
      </c>
      <c r="D10" s="3" t="inlineStr">
        <is>
          <t>Проверка того, есть ли цифровая активность вокруг сегмента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C19" sqref="C19"/>
    </sheetView>
  </sheetViews>
  <sheetFormatPr baseColWidth="8" defaultRowHeight="14.25"/>
  <cols>
    <col width="32" customWidth="1" min="1" max="1"/>
    <col width="28" customWidth="1" min="2" max="2"/>
    <col width="52" customWidth="1" min="3" max="3"/>
  </cols>
  <sheetData>
    <row r="1" ht="27.95" customHeight="1">
      <c r="A1" s="15" t="inlineStr">
        <is>
          <t>Исходные параметры модели</t>
        </is>
      </c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Заполните базовые сведения о бизнес-идее и единых допущениях расчета</t>
        </is>
      </c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27.95" customHeight="1">
      <c r="A4" s="1" t="inlineStr">
        <is>
          <t>Параметр</t>
        </is>
      </c>
      <c r="B4" s="1" t="inlineStr">
        <is>
          <t>Значение</t>
        </is>
      </c>
      <c r="C4" s="1" t="inlineStr">
        <is>
          <t>Комментарий</t>
        </is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71.25" customHeight="1">
      <c r="A5" s="3" t="inlineStr">
        <is>
          <t>Бизнес-идея</t>
        </is>
      </c>
      <c r="B5" s="3" t="inlineStr">
        <is>
          <t>NotaCode — веб-IDE для построения и проверки диаграмм формальных нотаций как текста (подписка Free / Pro)</t>
        </is>
      </c>
      <c r="C5" s="3" t="inlineStr">
        <is>
          <t>Можно заменить на собственную идею</t>
        </is>
      </c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3" t="inlineStr">
        <is>
          <t>Географические границы</t>
        </is>
      </c>
      <c r="B6" s="3" t="inlineStr">
        <is>
          <t>Республика Беларусь</t>
        </is>
      </c>
      <c r="C6" s="3" t="inlineStr">
        <is>
          <t>Территория первичной проверки рынка</t>
        </is>
      </c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3" t="inlineStr">
        <is>
          <t>Валюта расчета</t>
        </is>
      </c>
      <c r="B7" s="4" t="inlineStr">
        <is>
          <t>BYN</t>
        </is>
      </c>
      <c r="C7" s="3" t="inlineStr">
        <is>
          <t>Можно заменить на RUB, у.е., EUR</t>
        </is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3" t="inlineStr">
        <is>
          <t>Период расчета</t>
        </is>
      </c>
      <c r="B8" s="3" t="inlineStr">
        <is>
          <t>год</t>
        </is>
      </c>
      <c r="C8" s="3" t="inlineStr">
        <is>
          <t>Расчет годового платежеспособного объема рынка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42.75" customHeight="1">
      <c r="A9" s="3" t="inlineStr">
        <is>
          <t>Базовая конверсия интереса в покупку</t>
        </is>
      </c>
      <c r="B9" s="4" t="n">
        <v>0.04</v>
      </c>
      <c r="C9" s="3" t="inlineStr">
        <is>
          <t>Доля регистраций, оплативших Pro: допущение проекта Free → Pro 3–5 % (базовое 4 %); формулами не используется (П-13)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ht="28.5" customHeight="1">
      <c r="A10" s="3" t="inlineStr">
        <is>
          <t>Минимальный индекс платежеспособности</t>
        </is>
      </c>
      <c r="B10" s="3" t="n">
        <v>1</v>
      </c>
      <c r="C10" s="3" t="inlineStr">
        <is>
          <t>Бюджет / цена ≥ 1 — покупка возможна; ниже 1 — затруднена (формулами не используется)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42.75" customHeight="1">
      <c r="A11" s="3" t="inlineStr">
        <is>
          <t>Целевая маржинальность поставщика</t>
        </is>
      </c>
      <c r="B11" s="3" t="inlineStr">
        <is>
          <t>□</t>
        </is>
      </c>
      <c r="C11" s="3" t="inlineStr">
        <is>
          <t>Себестоимость обслуживания пользователя в концепции не определена — (формулами не используется)</t>
        </is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3" t="inlineStr">
        <is>
          <t>Дата заполнения</t>
        </is>
      </c>
      <c r="B12" s="33" t="inlineStr">
        <is>
          <t>29.09.2026</t>
        </is>
      </c>
      <c r="C12" s="3" t="inlineStr">
        <is>
          <t>Дата версии расчета</t>
        </is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</sheetData>
  <mergeCells count="2">
    <mergeCell ref="A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D9" sqref="D9"/>
    </sheetView>
  </sheetViews>
  <sheetFormatPr baseColWidth="8" defaultRowHeight="14.25"/>
  <cols>
    <col width="33.5" customWidth="1" min="1" max="1"/>
    <col width="52.25" customWidth="1" min="2" max="2"/>
    <col width="16" customWidth="1" min="3" max="3"/>
    <col width="18" customWidth="1" min="4" max="4"/>
    <col width="22" customWidth="1" min="5" max="5"/>
    <col width="20.25" customWidth="1" min="6" max="6"/>
    <col width="15" customWidth="1" min="7" max="7"/>
    <col width="20" customWidth="1" min="8" max="8"/>
    <col width="18" customWidth="1" min="9" max="9"/>
    <col width="20" customWidth="1" min="10" max="10"/>
    <col width="40" customWidth="1" min="11" max="11"/>
    <col width="42" customWidth="1" min="12" max="12"/>
  </cols>
  <sheetData>
    <row r="1" ht="27.95" customHeight="1">
      <c r="A1" s="15" t="inlineStr">
        <is>
          <t>Расчет рынка через количество платежеспособных клиентов</t>
        </is>
      </c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Заполните клиентские сегменты, коэффициенты потребности и доступности покупки</t>
        </is>
      </c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48.75" customHeight="1">
      <c r="A4" s="1" t="inlineStr">
        <is>
          <t>Сегмент</t>
        </is>
      </c>
      <c r="B4" s="1" t="inlineStr">
        <is>
          <t>Всего потенциальных клиентов</t>
        </is>
      </c>
      <c r="C4" s="1" t="inlineStr">
        <is>
          <t>Доля с потребностью</t>
        </is>
      </c>
      <c r="D4" s="1" t="inlineStr">
        <is>
          <t>Доля готовых покупать онлайн</t>
        </is>
      </c>
      <c r="E4" s="1" t="inlineStr">
        <is>
          <t>Доля платежеспособных</t>
        </is>
      </c>
      <c r="F4" s="1" t="inlineStr">
        <is>
          <t>Покупок/контрактов в год</t>
        </is>
      </c>
      <c r="G4" s="1" t="inlineStr">
        <is>
          <t>Средний чек</t>
        </is>
      </c>
      <c r="H4" s="1" t="inlineStr">
        <is>
          <t>Платежеспособные клиенты</t>
        </is>
      </c>
      <c r="I4" s="1" t="inlineStr">
        <is>
          <t>Годовое число покупок</t>
        </is>
      </c>
      <c r="J4" s="1" t="inlineStr">
        <is>
          <t>Потенциальный объем рынка</t>
        </is>
      </c>
      <c r="K4" s="1" t="inlineStr">
        <is>
          <t>Комментарий</t>
        </is>
      </c>
      <c r="L4" s="1" t="inlineStr">
        <is>
          <t>Источник</t>
        </is>
      </c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42.75" customFormat="1" customHeight="1" s="24">
      <c r="A5" s="25" t="inlineStr">
        <is>
          <t>S-01 Студенты технических и экономических специальностей</t>
        </is>
      </c>
      <c r="B5" s="21" t="n">
        <v>68700</v>
      </c>
      <c r="C5" s="22" t="n">
        <v>0.225</v>
      </c>
      <c r="D5" s="22" t="n">
        <v>0.55</v>
      </c>
      <c r="E5" s="22" t="n">
        <v>0.08749999999999999</v>
      </c>
      <c r="F5" s="23" t="n">
        <v>1</v>
      </c>
      <c r="G5" s="21" t="n">
        <v>121.14</v>
      </c>
      <c r="H5" s="21">
        <f>IF(A5="","",B5*C5*D5*E5)</f>
        <v/>
      </c>
      <c r="I5" s="21">
        <f>IF(A5="","",H5*F5)</f>
        <v/>
      </c>
      <c r="J5" s="21">
        <f>IF(A5="","",I5*G5)</f>
        <v/>
      </c>
      <c r="K5" s="25" t="inlineStr">
        <is>
          <t>Тариф: Free (первичный). Клиенты в границах = численность 229 000 × К1 0.3</t>
        </is>
      </c>
      <c r="L5" s="25" t="inlineStr">
        <is>
          <t>Белстат, «Образование в Республике Беларусь, 2026», табл. 7.1 (229,0 тыс., 2025/26)</t>
        </is>
      </c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28.5" customFormat="1" customHeight="1" s="24">
      <c r="A6" s="25" t="inlineStr">
        <is>
          <t>S-02/S-03 Аналитики, архитекторы ПО и разработчики</t>
        </is>
      </c>
      <c r="B6" s="21" t="n">
        <v>39165</v>
      </c>
      <c r="C6" s="22" t="n">
        <v>0.225</v>
      </c>
      <c r="D6" s="22" t="n">
        <v>0.55</v>
      </c>
      <c r="E6" s="22" t="n">
        <v>0.175</v>
      </c>
      <c r="F6" s="23" t="n">
        <v>1</v>
      </c>
      <c r="G6" s="21" t="n">
        <v>121.14</v>
      </c>
      <c r="H6" s="21">
        <f>IF(A6="","",B6*C6*D6*E6)</f>
        <v/>
      </c>
      <c r="I6" s="21">
        <f>IF(A6="","",H6*F6)</f>
        <v/>
      </c>
      <c r="J6" s="21">
        <f>IF(A6="","",I6*G6)</f>
        <v/>
      </c>
      <c r="K6" s="25" t="inlineStr">
        <is>
          <t>Тариф: Pro. Клиенты в границах = численность 130 549 × К1 0.3</t>
        </is>
      </c>
      <c r="L6" s="25" t="inlineStr">
        <is>
          <t>Белстат, работники организаций цифровой экономики, 2024 (130 549)</t>
        </is>
      </c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28.5" customFormat="1" customHeight="1" s="24">
      <c r="A7" s="25" t="inlineStr">
        <is>
          <t>S-04 Преподаватели технических дисциплин</t>
        </is>
      </c>
      <c r="B7" s="21" t="n">
        <v>3420</v>
      </c>
      <c r="C7" s="22" t="n">
        <v>0.225</v>
      </c>
      <c r="D7" s="22" t="n">
        <v>0.55</v>
      </c>
      <c r="E7" s="22" t="n">
        <v>0.1</v>
      </c>
      <c r="F7" s="23" t="n">
        <v>1</v>
      </c>
      <c r="G7" s="21" t="n">
        <v>121.14</v>
      </c>
      <c r="H7" s="21">
        <f>IF(A7="","",B7*C7*D7*E7)</f>
        <v/>
      </c>
      <c r="I7" s="21">
        <f>IF(A7="","",H7*F7)</f>
        <v/>
      </c>
      <c r="J7" s="21">
        <f>IF(A7="","",I7*G7)</f>
        <v/>
      </c>
      <c r="K7" s="25" t="inlineStr">
        <is>
          <t>Тариф: Free / Pro. Клиенты в границах = численность 17 100 × К1 0.2</t>
        </is>
      </c>
      <c r="L7" s="25" t="inlineStr">
        <is>
          <t>Белстат, ППС вузов (17,1 тыс., 2025/26); доля технических дисциплин неизвестна</t>
        </is>
      </c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>
      <c r="A8" s="3" t="n"/>
      <c r="B8" s="7" t="n"/>
      <c r="C8" s="4" t="n"/>
      <c r="D8" s="4" t="n"/>
      <c r="E8" s="4" t="n"/>
      <c r="F8" s="8" t="n"/>
      <c r="G8" s="7" t="n"/>
      <c r="H8" s="7">
        <f>IF(A8="","",B8*C8*D8*E8)</f>
        <v/>
      </c>
      <c r="I8" s="7">
        <f>IF(A8="","",H8*F8)</f>
        <v/>
      </c>
      <c r="J8" s="7">
        <f>IF(A8="","",I8*G8)</f>
        <v/>
      </c>
      <c r="K8" s="3" t="n"/>
      <c r="L8" s="3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3" t="n"/>
      <c r="B9" s="7" t="n"/>
      <c r="C9" s="4" t="n"/>
      <c r="D9" s="4" t="n"/>
      <c r="E9" s="4" t="n"/>
      <c r="F9" s="8" t="n"/>
      <c r="G9" s="7" t="n"/>
      <c r="H9" s="7">
        <f>IF(A9="","",B9*C9*D9*E9)</f>
        <v/>
      </c>
      <c r="I9" s="7">
        <f>IF(A9="","",H9*F9)</f>
        <v/>
      </c>
      <c r="J9" s="7">
        <f>IF(A9="","",I9*G9)</f>
        <v/>
      </c>
      <c r="K9" s="3" t="n"/>
      <c r="L9" s="3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3" t="n"/>
      <c r="B10" s="7" t="n"/>
      <c r="C10" s="4" t="n"/>
      <c r="D10" s="4" t="n"/>
      <c r="E10" s="4" t="n"/>
      <c r="F10" s="8" t="n"/>
      <c r="G10" s="7" t="n"/>
      <c r="H10" s="7">
        <f>IF(A10="","",B10*C10*D10*E10)</f>
        <v/>
      </c>
      <c r="I10" s="7">
        <f>IF(A10="","",H10*F10)</f>
        <v/>
      </c>
      <c r="J10" s="7">
        <f>IF(A10="","",I10*G10)</f>
        <v/>
      </c>
      <c r="K10" s="3" t="n"/>
      <c r="L10" s="3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3" t="n"/>
      <c r="B11" s="7" t="n"/>
      <c r="C11" s="4" t="n"/>
      <c r="D11" s="4" t="n"/>
      <c r="E11" s="4" t="n"/>
      <c r="F11" s="8" t="n"/>
      <c r="G11" s="7" t="n"/>
      <c r="H11" s="7">
        <f>IF(A11="","",B11*C11*D11*E11)</f>
        <v/>
      </c>
      <c r="I11" s="7">
        <f>IF(A11="","",H11*F11)</f>
        <v/>
      </c>
      <c r="J11" s="7">
        <f>IF(A11="","",I11*G11)</f>
        <v/>
      </c>
      <c r="K11" s="3" t="n"/>
      <c r="L11" s="3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3" t="n"/>
      <c r="B12" s="7" t="n"/>
      <c r="C12" s="4" t="n"/>
      <c r="D12" s="4" t="n"/>
      <c r="E12" s="4" t="n"/>
      <c r="F12" s="8" t="n"/>
      <c r="G12" s="7" t="n"/>
      <c r="H12" s="7">
        <f>IF(A12="","",B12*C12*D12*E12)</f>
        <v/>
      </c>
      <c r="I12" s="7">
        <f>IF(A12="","",H12*F12)</f>
        <v/>
      </c>
      <c r="J12" s="7">
        <f>IF(A12="","",I12*G12)</f>
        <v/>
      </c>
      <c r="K12" s="3" t="n"/>
      <c r="L12" s="3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3" t="n"/>
      <c r="B13" s="7" t="n"/>
      <c r="C13" s="4" t="n"/>
      <c r="D13" s="4" t="n"/>
      <c r="E13" s="4" t="n"/>
      <c r="F13" s="8" t="n"/>
      <c r="G13" s="7" t="n"/>
      <c r="H13" s="7">
        <f>IF(A13="","",B13*C13*D13*E13)</f>
        <v/>
      </c>
      <c r="I13" s="7">
        <f>IF(A13="","",H13*F13)</f>
        <v/>
      </c>
      <c r="J13" s="7">
        <f>IF(A13="","",I13*G13)</f>
        <v/>
      </c>
      <c r="K13" s="3" t="n"/>
      <c r="L13" s="3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3" t="n"/>
      <c r="B14" s="7" t="n"/>
      <c r="C14" s="4" t="n"/>
      <c r="D14" s="4" t="n"/>
      <c r="E14" s="4" t="n"/>
      <c r="F14" s="8" t="n"/>
      <c r="G14" s="7" t="n"/>
      <c r="H14" s="7">
        <f>IF(A14="","",B14*C14*D14*E14)</f>
        <v/>
      </c>
      <c r="I14" s="7">
        <f>IF(A14="","",H14*F14)</f>
        <v/>
      </c>
      <c r="J14" s="7">
        <f>IF(A14="","",I14*G14)</f>
        <v/>
      </c>
      <c r="K14" s="3" t="n"/>
      <c r="L14" s="3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3" t="n"/>
      <c r="B15" s="3" t="n"/>
      <c r="C15" s="3" t="n"/>
      <c r="D15" s="3" t="n"/>
      <c r="E15" s="3" t="n"/>
      <c r="F15" s="3" t="n"/>
      <c r="G15" s="3" t="n"/>
      <c r="H15" s="7" t="n"/>
      <c r="I15" s="7" t="n"/>
      <c r="J15" s="7" t="n"/>
      <c r="K15" s="3" t="n"/>
      <c r="L15" s="3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15" customHeight="1">
      <c r="A16" s="6" t="inlineStr">
        <is>
          <t>Итого</t>
        </is>
      </c>
      <c r="B16" s="6" t="n"/>
      <c r="C16" s="6" t="n"/>
      <c r="D16" s="6" t="n"/>
      <c r="E16" s="6" t="n"/>
      <c r="F16" s="6" t="n"/>
      <c r="G16" s="6" t="n"/>
      <c r="H16" s="9">
        <f>SUM(H5:H14)</f>
        <v/>
      </c>
      <c r="I16" s="9">
        <f>SUM(I5:I14)</f>
        <v/>
      </c>
      <c r="J16" s="9">
        <f>SUM(J5:J14)</f>
        <v/>
      </c>
      <c r="K16" s="6" t="n"/>
      <c r="L16" s="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 ht="85.5" customHeight="1">
      <c r="A18" s="25" t="inlineStr">
        <is>
          <t>Примечание</t>
        </is>
      </c>
      <c r="B18" s="25" t="inlineStr">
        <is>
          <t>Годовой чек 40 у.е. (решение В-5; альтернатива 48 у.е. = 4 у.е. × 12), в BYN по курсу НБРБ 3,0285 (30.09.2026); число оплат в год = 1 (годовой тариф). Доля платёжеспособных (E) совмещает финансовую возможность и готовность платить (К4 по ПК табл. 7). Строки ниже S-04 не используются (П-5)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D20" sqref="D20"/>
    </sheetView>
  </sheetViews>
  <sheetFormatPr baseColWidth="8" defaultRowHeight="14.25"/>
  <cols>
    <col width="40" customWidth="1" min="1" max="1"/>
    <col width="18.625" customWidth="1" min="2" max="2"/>
    <col width="16" customWidth="1" min="3" max="3"/>
    <col width="22.375" customWidth="1" min="4" max="4"/>
    <col width="16" customWidth="1" min="5" max="5"/>
    <col width="14" customWidth="1" min="6" max="6"/>
    <col width="15" customWidth="1" min="7" max="7"/>
    <col width="18" customWidth="1" min="8" max="8"/>
    <col width="36" customWidth="1" min="9" max="9"/>
    <col width="28" customWidth="1" min="10" max="10"/>
  </cols>
  <sheetData>
    <row r="1" ht="27.95" customHeight="1">
      <c r="A1" s="15" t="inlineStr">
        <is>
          <t>Ценовой коридор и конкурентная цена</t>
        </is>
      </c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Сравните цены аналогичных предложений и оцените допустимый средний чек</t>
        </is>
      </c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40.5" customHeight="1">
      <c r="A4" s="1" t="inlineStr">
        <is>
          <t>Услуга / продукт</t>
        </is>
      </c>
      <c r="B4" s="1" t="inlineStr">
        <is>
          <t>Минимальная цена</t>
        </is>
      </c>
      <c r="C4" s="1" t="inlineStr">
        <is>
          <t>Медианная цена</t>
        </is>
      </c>
      <c r="D4" s="1" t="inlineStr">
        <is>
          <t>Максимальная цена</t>
        </is>
      </c>
      <c r="E4" s="1" t="inlineStr">
        <is>
          <t>Себестоимость</t>
        </is>
      </c>
      <c r="F4" s="1" t="inlineStr">
        <is>
          <t>Валовая маржа</t>
        </is>
      </c>
      <c r="G4" s="1" t="inlineStr">
        <is>
          <t>Цена в модели</t>
        </is>
      </c>
      <c r="H4" s="1" t="inlineStr">
        <is>
          <t>Индекс доступности цены</t>
        </is>
      </c>
      <c r="I4" s="1" t="inlineStr">
        <is>
          <t>Комментарий</t>
        </is>
      </c>
      <c r="J4" s="1" t="inlineStr">
        <is>
          <t>Источник</t>
        </is>
      </c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42.75" customHeight="1">
      <c r="A5" s="25" t="inlineStr">
        <is>
          <t>Miro (платные тарифы, BYN/мес.)</t>
        </is>
      </c>
      <c r="B5" s="21" t="n">
        <v>24.23</v>
      </c>
      <c r="C5" s="21" t="n">
        <v>42.4</v>
      </c>
      <c r="D5" s="21" t="n">
        <v>60.57</v>
      </c>
      <c r="E5" s="21" t="n"/>
      <c r="F5" s="22">
        <f>IF(OR(A5="",E5=""),"нет данных",(G5-E5)/G5)</f>
        <v/>
      </c>
      <c r="G5" s="21">
        <f>IF(A5="","",C5)</f>
        <v/>
      </c>
      <c r="H5" s="26">
        <f>IF(A5="","",G5/C5)</f>
        <v/>
      </c>
      <c r="I5" s="25" t="inlineStr">
        <is>
          <t>Тарифы: Starter (за участника), Business (за участника); оплата за год, у.е. × 3,0285</t>
        </is>
      </c>
      <c r="J5" s="25" t="inlineStr">
        <is>
          <t>Страница тарифов продукта, 30.09.2026</t>
        </is>
      </c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42.75" customHeight="1">
      <c r="A6" s="25" t="inlineStr">
        <is>
          <t>Lucidchart (платные тарифы, BYN/мес.)</t>
        </is>
      </c>
      <c r="B6" s="21" t="n">
        <v>27.26</v>
      </c>
      <c r="C6" s="21" t="n">
        <v>28.77</v>
      </c>
      <c r="D6" s="21" t="n">
        <v>30.29</v>
      </c>
      <c r="E6" s="21" t="n"/>
      <c r="F6" s="22">
        <f>IF(OR(A6="",E6=""),"нет данных",(G6-E6)/G6)</f>
        <v/>
      </c>
      <c r="G6" s="21">
        <f>IF(A6="","",C6)</f>
        <v/>
      </c>
      <c r="H6" s="26">
        <f>IF(A6="","",G6/C6)</f>
        <v/>
      </c>
      <c r="I6" s="25" t="inlineStr">
        <is>
          <t>Тарифы: Individual, Team (за пользователя); оплата за год, у.е. × 3,0285</t>
        </is>
      </c>
      <c r="J6" s="25" t="inlineStr">
        <is>
          <t>Страница тарифов продукта, 30.09.2026</t>
        </is>
      </c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42.75" customHeight="1">
      <c r="A7" s="25" t="inlineStr">
        <is>
          <t>Mermaid Chart (платные тарифы, BYN/мес.)</t>
        </is>
      </c>
      <c r="B7" s="21" t="n">
        <v>30.29</v>
      </c>
      <c r="C7" s="21" t="n">
        <v>45.43</v>
      </c>
      <c r="D7" s="21" t="n">
        <v>60.57</v>
      </c>
      <c r="E7" s="21" t="n"/>
      <c r="F7" s="22">
        <f>IF(OR(A7="",E7=""),"нет данных",(G7-E7)/G7)</f>
        <v/>
      </c>
      <c r="G7" s="21">
        <f>IF(A7="","",C7)</f>
        <v/>
      </c>
      <c r="H7" s="26">
        <f>IF(A7="","",G7/C7)</f>
        <v/>
      </c>
      <c r="I7" s="25" t="inlineStr">
        <is>
          <t>Тарифы: Plus (за пользователя), Premium (за пользователя); оплата за год, у.е. × 3,0285</t>
        </is>
      </c>
      <c r="J7" s="25" t="inlineStr">
        <is>
          <t>Страница тарифов продукта, 30.09.2026</t>
        </is>
      </c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28.5" customHeight="1">
      <c r="A8" s="25" t="inlineStr">
        <is>
          <t>Visual Paradigm Online (платные тарифы, BYN/мес.)</t>
        </is>
      </c>
      <c r="B8" s="21" t="n">
        <v>12.11</v>
      </c>
      <c r="C8" s="21" t="n">
        <v>36.34</v>
      </c>
      <c r="D8" s="21" t="n">
        <v>90.86</v>
      </c>
      <c r="E8" s="21" t="n"/>
      <c r="F8" s="22">
        <f>IF(OR(A8="",E8=""),"нет данных",(G8-E8)/G8)</f>
        <v/>
      </c>
      <c r="G8" s="21">
        <f>IF(A8="","",C8)</f>
        <v/>
      </c>
      <c r="H8" s="26">
        <f>IF(A8="","",G8/C8)</f>
        <v/>
      </c>
      <c r="I8" s="25" t="inlineStr">
        <is>
          <t>Тарифы: Starter, Advance, Combo, Deluxe; оплата за год, у.е. × 3,0285</t>
        </is>
      </c>
      <c r="J8" s="25" t="inlineStr">
        <is>
          <t>Страница тарифов продукта, 30.09.2026</t>
        </is>
      </c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28.5" customHeight="1">
      <c r="A9" s="25" t="inlineStr">
        <is>
          <t>Creately (платные тарифы, BYN/мес.)</t>
        </is>
      </c>
      <c r="B9" s="21" t="n">
        <v>15.14</v>
      </c>
      <c r="C9" s="21" t="n">
        <v>15.14</v>
      </c>
      <c r="D9" s="21" t="n">
        <v>269.54</v>
      </c>
      <c r="E9" s="21" t="n"/>
      <c r="F9" s="22">
        <f>IF(OR(A9="",E9=""),"нет данных",(G9-E9)/G9)</f>
        <v/>
      </c>
      <c r="G9" s="21">
        <f>IF(A9="","",C9)</f>
        <v/>
      </c>
      <c r="H9" s="26">
        <f>IF(A9="","",G9/C9)</f>
        <v/>
      </c>
      <c r="I9" s="25" t="inlineStr">
        <is>
          <t>Тарифы: Starter, Team, Business; оплата за год, у.е. × 3,0285</t>
        </is>
      </c>
      <c r="J9" s="25" t="inlineStr">
        <is>
          <t>Страница тарифов продукта, 30.09.2026</t>
        </is>
      </c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ht="28.5" customHeight="1">
      <c r="A10" s="25" t="inlineStr">
        <is>
          <t>Eraser (платные тарифы, BYN/мес.)</t>
        </is>
      </c>
      <c r="B10" s="21" t="n">
        <v>45.43</v>
      </c>
      <c r="C10" s="21" t="n">
        <v>90.86</v>
      </c>
      <c r="D10" s="21" t="n">
        <v>136.28</v>
      </c>
      <c r="E10" s="21" t="n"/>
      <c r="F10" s="22">
        <f>IF(OR(A10="",E10=""),"нет данных",(G10-E10)/G10)</f>
        <v/>
      </c>
      <c r="G10" s="21">
        <f>IF(A10="","",C10)</f>
        <v/>
      </c>
      <c r="H10" s="26">
        <f>IF(A10="","",G10/C10)</f>
        <v/>
      </c>
      <c r="I10" s="25" t="inlineStr">
        <is>
          <t>Тарифы: Starter, Business; оплата за год, у.е. × 3,0285</t>
        </is>
      </c>
      <c r="J10" s="25" t="inlineStr">
        <is>
          <t>Страница тарифов продукта, 30.09.2026</t>
        </is>
      </c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28.5" customHeight="1">
      <c r="A11" s="25" t="inlineStr">
        <is>
          <t>Whimsical (платные тарифы, BYN/мес.)</t>
        </is>
      </c>
      <c r="B11" s="21" t="n">
        <v>30.29</v>
      </c>
      <c r="C11" s="21" t="n">
        <v>45.43</v>
      </c>
      <c r="D11" s="21" t="n">
        <v>60.57</v>
      </c>
      <c r="E11" s="21" t="n"/>
      <c r="F11" s="22">
        <f>IF(OR(A11="",E11=""),"нет данных",(G11-E11)/G11)</f>
        <v/>
      </c>
      <c r="G11" s="21">
        <f>IF(A11="","",C11)</f>
        <v/>
      </c>
      <c r="H11" s="26">
        <f>IF(A11="","",G11/C11)</f>
        <v/>
      </c>
      <c r="I11" s="25" t="inlineStr">
        <is>
          <t>Тарифы: Pro, Business; оплата за год, у.е. × 3,0285</t>
        </is>
      </c>
      <c r="J11" s="25" t="inlineStr">
        <is>
          <t>Страница тарифов продукта, 30.09.2026</t>
        </is>
      </c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28.5" customHeight="1">
      <c r="A12" s="25" t="inlineStr">
        <is>
          <t>dbdiagram.io (платные тарифы, BYN/мес.)</t>
        </is>
      </c>
      <c r="B12" s="21" t="n">
        <v>24.23</v>
      </c>
      <c r="C12" s="21" t="n">
        <v>24.23</v>
      </c>
      <c r="D12" s="21" t="n">
        <v>24.23</v>
      </c>
      <c r="E12" s="21" t="n"/>
      <c r="F12" s="22">
        <f>IF(OR(A12="",E12=""),"нет данных",(G12-E12)/G12)</f>
        <v/>
      </c>
      <c r="G12" s="21">
        <f>IF(A12="","",C12)</f>
        <v/>
      </c>
      <c r="H12" s="26">
        <f>IF(A12="","",G12/C12)</f>
        <v/>
      </c>
      <c r="I12" s="25" t="inlineStr">
        <is>
          <t>Тарифы: Personal Pro; оплата за год, у.е. × 3,0285</t>
        </is>
      </c>
      <c r="J12" s="25" t="inlineStr">
        <is>
          <t>Страница тарифов продукта, 30.09.2026</t>
        </is>
      </c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25" t="n"/>
      <c r="B13" s="21" t="n"/>
      <c r="C13" s="21" t="n"/>
      <c r="D13" s="21" t="n"/>
      <c r="E13" s="21" t="n"/>
      <c r="F13" s="22" t="n"/>
      <c r="G13" s="21" t="n"/>
      <c r="H13" s="26" t="n"/>
      <c r="I13" s="25" t="n"/>
      <c r="J13" s="25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5" customHeight="1">
      <c r="A14" s="27" t="inlineStr">
        <is>
          <t>Среднее / ориентир</t>
        </is>
      </c>
      <c r="B14" s="28">
        <f>AVERAGE(B5:B12)</f>
        <v/>
      </c>
      <c r="C14" s="28">
        <f>AVERAGE(C5:C12)</f>
        <v/>
      </c>
      <c r="D14" s="28">
        <f>AVERAGE(D5:D12)</f>
        <v/>
      </c>
      <c r="E14" s="28">
        <f>IFERROR(AVERAGE(E5:E12),"нет данных")</f>
        <v/>
      </c>
      <c r="F14" s="29">
        <f>IFERROR(AVERAGE(F5:F12),"нет данных")</f>
        <v/>
      </c>
      <c r="G14" s="28">
        <f>AVERAGE(G5:G12)</f>
        <v/>
      </c>
      <c r="H14" s="30">
        <f>AVERAGE(H5:H12)</f>
        <v/>
      </c>
      <c r="I14" s="27" t="n"/>
      <c r="J14" s="27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25" t="inlineStr">
        <is>
          <t>Справочно (в среднее не входят)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 ht="42.75" customHeight="1">
      <c r="A17" s="25" t="inlineStr">
        <is>
          <t>NotaCode Pro</t>
        </is>
      </c>
      <c r="B17" s="25" t="n"/>
      <c r="C17" s="25" t="n">
        <v>10.1</v>
      </c>
      <c r="D17" s="25" t="n"/>
      <c r="E17" s="25" t="n"/>
      <c r="F17" s="25" t="n"/>
      <c r="G17" s="25" t="n"/>
      <c r="H17" s="25" t="n"/>
      <c r="I17" s="25" t="inlineStr">
        <is>
          <t>годовой тариф 40 у.е. = 10,10 BYN/мес.; помесячно 4 у.е. = 12,11 BYN</t>
        </is>
      </c>
      <c r="J17" s="25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25" t="inlineStr">
        <is>
          <t>Microsoft Visio Plan 1 / Plan 2</t>
        </is>
      </c>
      <c r="B18" s="25" t="n"/>
      <c r="C18" s="25" t="inlineStr">
        <is>
          <t>15.14 / 45.43</t>
        </is>
      </c>
      <c r="D18" s="25" t="n"/>
      <c r="E18" s="25" t="n"/>
      <c r="F18" s="25" t="n"/>
      <c r="G18" s="25" t="n"/>
      <c r="H18" s="25" t="n"/>
      <c r="I18" s="25" t="inlineStr">
        <is>
          <t>5 и 15 у.е./мес. за пользователя</t>
        </is>
      </c>
      <c r="J18" s="25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 ht="28.5" customHeight="1">
      <c r="A19" s="25" t="inlineStr">
        <is>
          <t>draw.io, PlantUML</t>
        </is>
      </c>
      <c r="B19" s="25" t="n"/>
      <c r="C19" s="25" t="n">
        <v>0</v>
      </c>
      <c r="D19" s="25" t="n"/>
      <c r="E19" s="25" t="n"/>
      <c r="F19" s="25" t="n"/>
      <c r="G19" s="25" t="n"/>
      <c r="H19" s="25" t="n"/>
      <c r="I19" s="25" t="inlineStr">
        <is>
          <t>бесплатные заменители (цена заменителя = 0)</t>
        </is>
      </c>
      <c r="J19" s="25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 ht="99.75" customHeight="1">
      <c r="A21" s="25" t="inlineStr">
        <is>
          <t>Себестоимость (столбец E) у конкурентов не публикуется — нет данных; формула валовой маржи в копии возвращает «нет данных» (в шаблоне при пустой ячейке давала 100 %). Индекс доступности цены H всегда равен 1 (особенность шаблона П-3) и в выводах не используется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B22" sqref="B22"/>
    </sheetView>
  </sheetViews>
  <sheetFormatPr baseColWidth="8" defaultRowHeight="14.25"/>
  <cols>
    <col width="38.875" customWidth="1" min="1" max="1"/>
    <col width="20" customWidth="1" min="2" max="2"/>
    <col width="17.875" customWidth="1" min="3" max="3"/>
    <col width="18" customWidth="1" min="4" max="4"/>
    <col width="22" customWidth="1" min="5" max="5"/>
    <col width="16" customWidth="1" min="6" max="7"/>
    <col width="14" customWidth="1" min="8" max="8"/>
    <col width="24" customWidth="1" min="9" max="9"/>
    <col width="48.375" customWidth="1" min="10" max="10"/>
    <col width="40.75" customWidth="1" min="11" max="11"/>
  </cols>
  <sheetData>
    <row r="1" ht="27.95" customHeight="1">
      <c r="A1" s="15" t="inlineStr">
        <is>
          <t>Экономическая оправданность покупки для клиента</t>
        </is>
      </c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Проверяется, возвращает ли клиент вложения в продукт или услугу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39" customHeight="1">
      <c r="A4" s="1" t="inlineStr">
        <is>
          <t>Сегмент</t>
        </is>
      </c>
      <c r="B4" s="1" t="inlineStr">
        <is>
          <t>Средняя месячная выручка клиента</t>
        </is>
      </c>
      <c r="C4" s="1" t="inlineStr">
        <is>
          <t>Маржинальность клиента</t>
        </is>
      </c>
      <c r="D4" s="1" t="inlineStr">
        <is>
          <t>Ожидаемый рост выручки</t>
        </is>
      </c>
      <c r="E4" s="1" t="inlineStr">
        <is>
          <t>Дополнительная валовая прибыль/мес</t>
        </is>
      </c>
      <c r="F4" s="1" t="inlineStr">
        <is>
          <t>Цена услуги/мес</t>
        </is>
      </c>
      <c r="G4" s="1" t="inlineStr">
        <is>
          <t>Окупаемость, мес</t>
        </is>
      </c>
      <c r="H4" s="1" t="inlineStr">
        <is>
          <t>ROI за год</t>
        </is>
      </c>
      <c r="I4" s="1" t="inlineStr">
        <is>
          <t>Экономический статус</t>
        </is>
      </c>
      <c r="J4" s="1" t="inlineStr">
        <is>
          <t>Комментарий</t>
        </is>
      </c>
      <c r="K4" s="1" t="inlineStr">
        <is>
          <t>Источник</t>
        </is>
      </c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42.75" customFormat="1" customHeight="1" s="24">
      <c r="A5" s="25" t="inlineStr">
        <is>
          <t>S-01 Студенты технических и экономических специальностей</t>
        </is>
      </c>
      <c r="B5" s="21" t="n">
        <v>298.68</v>
      </c>
      <c r="C5" s="22" t="n">
        <v>1</v>
      </c>
      <c r="D5" s="22" t="n">
        <v>0</v>
      </c>
      <c r="E5" s="21">
        <f>IF(A5="","",B5*C5*D5)</f>
        <v/>
      </c>
      <c r="F5" s="21" t="n">
        <v>10.095</v>
      </c>
      <c r="G5" s="23">
        <f>IF(A5="","",IF(E5=0,"",F5/E5))</f>
        <v/>
      </c>
      <c r="H5" s="22">
        <f>IF(A5="","",((E5-F5)*12)/(F5*12))</f>
        <v/>
      </c>
      <c r="I5" s="25">
        <f>IF(A5="","",IF(H5&gt;=0.5,"экономически оправдано",IF(H5&gt;=0,"требует проверки","экономически слабо")))</f>
        <v/>
      </c>
      <c r="J5" s="25" t="inlineStr">
        <is>
          <t>Денежного эффекта у студента нет (продукт Free); показано для случая покупки Pro</t>
        </is>
      </c>
      <c r="K5" s="25" t="inlineStr">
        <is>
          <t>стипендия БГУИР (ИКТ), середина диапазона 229,75–367,60 BYN (таблица БГУИР с 01.08.2026)</t>
        </is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28.5" customFormat="1" customHeight="1" s="24">
      <c r="A6" s="25" t="inlineStr">
        <is>
          <t>S-02/S-03 Аналитики, архитекторы ПО и разработчики</t>
        </is>
      </c>
      <c r="B6" s="21" t="n">
        <v>6413</v>
      </c>
      <c r="C6" s="22" t="n">
        <v>1</v>
      </c>
      <c r="D6" s="22" t="n">
        <v>0.017857</v>
      </c>
      <c r="E6" s="21">
        <f>IF(A6="","",B6*C6*D6)</f>
        <v/>
      </c>
      <c r="F6" s="21" t="n">
        <v>10.095</v>
      </c>
      <c r="G6" s="23">
        <f>IF(A6="","",IF(E6=0,"",F6/E6))</f>
        <v/>
      </c>
      <c r="H6" s="22">
        <f>IF(A6="","",((E6-F6)*12)/(F6*12))</f>
        <v/>
      </c>
      <c r="I6" s="25">
        <f>IF(A6="","",IF(H6&gt;=0.5,"экономически оправдано",IF(H6&gt;=0,"требует проверки","экономически слабо")))</f>
        <v/>
      </c>
      <c r="J6" s="25" t="inlineStr">
        <is>
          <t>Эффект = доход × доля сэкономленного времени (3 ч из 168 ч в месяц; допущение Д-07, опрос)</t>
        </is>
      </c>
      <c r="K6" s="25" t="inlineStr">
        <is>
          <t>средняя з/п «информация и связь», июль 2026 (6 413 BYN, Белстат)</t>
        </is>
      </c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28.5" customFormat="1" customHeight="1" s="24">
      <c r="A7" s="25" t="inlineStr">
        <is>
          <t>S-04 Преподаватели технических дисциплин</t>
        </is>
      </c>
      <c r="B7" s="21" t="n">
        <v>3172</v>
      </c>
      <c r="C7" s="22" t="n">
        <v>1</v>
      </c>
      <c r="D7" s="22" t="n">
        <v>0.017857</v>
      </c>
      <c r="E7" s="21">
        <f>IF(A7="","",B7*C7*D7)</f>
        <v/>
      </c>
      <c r="F7" s="21" t="n">
        <v>10.095</v>
      </c>
      <c r="G7" s="23">
        <f>IF(A7="","",IF(E7=0,"",F7/E7))</f>
        <v/>
      </c>
      <c r="H7" s="22">
        <f>IF(A7="","",((E7-F7)*12)/(F7*12))</f>
        <v/>
      </c>
      <c r="I7" s="25">
        <f>IF(A7="","",IF(H7&gt;=0.5,"экономически оправдано",IF(H7&gt;=0,"требует проверки","экономически слабо")))</f>
        <v/>
      </c>
      <c r="J7" s="25" t="inlineStr">
        <is>
          <t>Эффект = доход × доля сэкономленного времени (3 ч из 168 ч в месяц; допущение Д-07, опрос)</t>
        </is>
      </c>
      <c r="K7" s="25" t="inlineStr">
        <is>
          <t>средняя з/п по РБ, июль 2026 (3 172,0 BYN; данных по преподавателям нет)</t>
        </is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>
      <c r="A8" s="3" t="n"/>
      <c r="B8" s="7" t="n"/>
      <c r="C8" s="4" t="n"/>
      <c r="D8" s="4" t="n"/>
      <c r="E8" s="7">
        <f>IF(A8="","",B8*C8*D8)</f>
        <v/>
      </c>
      <c r="F8" s="7" t="n"/>
      <c r="G8" s="8">
        <f>IF(A8="","",IF(E8=0,"",F8/E8))</f>
        <v/>
      </c>
      <c r="H8" s="4">
        <f>IF(A8="","",((E8-F8)*12)/(F8*12))</f>
        <v/>
      </c>
      <c r="I8" s="3">
        <f>IF(A8="","",IF(H8&gt;=0.5,"экономически оправдано",IF(H8&gt;=0,"требует проверки","экономически слабо")))</f>
        <v/>
      </c>
      <c r="J8" s="3" t="n"/>
      <c r="K8" s="3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3" t="n"/>
      <c r="B9" s="7" t="n"/>
      <c r="C9" s="4" t="n"/>
      <c r="D9" s="4" t="n"/>
      <c r="E9" s="7">
        <f>IF(A9="","",B9*C9*D9)</f>
        <v/>
      </c>
      <c r="F9" s="7" t="n"/>
      <c r="G9" s="8">
        <f>IF(A9="","",IF(E9=0,"",F9/E9))</f>
        <v/>
      </c>
      <c r="H9" s="4">
        <f>IF(A9="","",((E9-F9)*12)/(F9*12))</f>
        <v/>
      </c>
      <c r="I9" s="3">
        <f>IF(A9="","",IF(H9&gt;=0.5,"экономически оправдано",IF(H9&gt;=0,"требует проверки","экономически слабо")))</f>
        <v/>
      </c>
      <c r="J9" s="3" t="n"/>
      <c r="K9" s="3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3" t="n"/>
      <c r="B10" s="7" t="n"/>
      <c r="C10" s="4" t="n"/>
      <c r="D10" s="4" t="n"/>
      <c r="E10" s="7">
        <f>IF(A10="","",B10*C10*D10)</f>
        <v/>
      </c>
      <c r="F10" s="7" t="n"/>
      <c r="G10" s="8">
        <f>IF(A10="","",IF(E10=0,"",F10/E10))</f>
        <v/>
      </c>
      <c r="H10" s="4">
        <f>IF(A10="","",((E10-F10)*12)/(F10*12))</f>
        <v/>
      </c>
      <c r="I10" s="3">
        <f>IF(A10="","",IF(H10&gt;=0.5,"экономически оправдано",IF(H10&gt;=0,"требует проверки","экономически слабо")))</f>
        <v/>
      </c>
      <c r="J10" s="3" t="n"/>
      <c r="K10" s="3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3" t="n"/>
      <c r="B11" s="7" t="n"/>
      <c r="C11" s="4" t="n"/>
      <c r="D11" s="4" t="n"/>
      <c r="E11" s="7">
        <f>IF(A11="","",B11*C11*D11)</f>
        <v/>
      </c>
      <c r="F11" s="7" t="n"/>
      <c r="G11" s="8">
        <f>IF(A11="","",IF(E11=0,"",F11/E11))</f>
        <v/>
      </c>
      <c r="H11" s="4">
        <f>IF(A11="","",((E11-F11)*12)/(F11*12))</f>
        <v/>
      </c>
      <c r="I11" s="3">
        <f>IF(A11="","",IF(H11&gt;=0.5,"экономически оправдано",IF(H11&gt;=0,"требует проверки","экономически слабо")))</f>
        <v/>
      </c>
      <c r="J11" s="3" t="n"/>
      <c r="K11" s="3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3" t="n"/>
      <c r="B12" s="7" t="n"/>
      <c r="C12" s="4" t="n"/>
      <c r="D12" s="4" t="n"/>
      <c r="E12" s="7">
        <f>IF(A12="","",B12*C12*D12)</f>
        <v/>
      </c>
      <c r="F12" s="7" t="n"/>
      <c r="G12" s="8">
        <f>IF(A12="","",IF(E12=0,"",F12/E12))</f>
        <v/>
      </c>
      <c r="H12" s="4">
        <f>IF(A12="","",((E12-F12)*12)/(F12*12))</f>
        <v/>
      </c>
      <c r="I12" s="3">
        <f>IF(A12="","",IF(H12&gt;=0.5,"экономически оправдано",IF(H12&gt;=0,"требует проверки","экономически слабо")))</f>
        <v/>
      </c>
      <c r="J12" s="3" t="n"/>
      <c r="K12" s="3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3" t="n"/>
      <c r="B13" s="7" t="n"/>
      <c r="C13" s="4" t="n"/>
      <c r="D13" s="4" t="n"/>
      <c r="E13" s="7" t="n"/>
      <c r="F13" s="7" t="n"/>
      <c r="G13" s="8" t="n"/>
      <c r="H13" s="4" t="n"/>
      <c r="I13" s="3" t="n"/>
      <c r="J13" s="3" t="n"/>
      <c r="K13" s="3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5" customHeight="1">
      <c r="A14" s="27" t="inlineStr">
        <is>
          <t>Среднее / сводный показатель</t>
        </is>
      </c>
      <c r="B14" s="28">
        <f>AVERAGE(B5:B12)</f>
        <v/>
      </c>
      <c r="C14" s="29">
        <f>AVERAGE(C5:C12)</f>
        <v/>
      </c>
      <c r="D14" s="29">
        <f>AVERAGE(D5:D12)</f>
        <v/>
      </c>
      <c r="E14" s="28">
        <f>AVERAGE(E5:E12)</f>
        <v/>
      </c>
      <c r="F14" s="28">
        <f>AVERAGE(F5:F12)</f>
        <v/>
      </c>
      <c r="G14" s="31">
        <f>AVERAGE(G5:G12)</f>
        <v/>
      </c>
      <c r="H14" s="29">
        <f>AVERAGE(H5:H12)</f>
        <v/>
      </c>
      <c r="I14" s="6" t="n"/>
      <c r="J14" s="6" t="n"/>
      <c r="K14" s="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57" customHeight="1">
      <c r="A16" s="16" t="inlineStr">
        <is>
          <t>Доход клиента — средняя месячная зарплата/стипендия; маржинальность принята 1,0 (трудовой доход, не выручка компании)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20" sqref="A20"/>
    </sheetView>
  </sheetViews>
  <sheetFormatPr baseColWidth="8" defaultRowHeight="14.25"/>
  <cols>
    <col width="33.25" customWidth="1" min="1" max="1"/>
    <col width="22" customWidth="1" min="2" max="2"/>
    <col width="20.125" customWidth="1" min="3" max="3"/>
    <col width="22.375" customWidth="1" min="4" max="4"/>
    <col width="18" customWidth="1" min="5" max="6"/>
    <col width="23.375" customWidth="1" min="7" max="7"/>
    <col width="15.875" customWidth="1" min="8" max="8"/>
    <col width="22.125" customWidth="1" min="9" max="9"/>
    <col width="43.125" customWidth="1" min="10" max="10"/>
  </cols>
  <sheetData>
    <row r="1" ht="27.95" customHeight="1">
      <c r="A1" s="15" t="inlineStr">
        <is>
          <t>Проверка платежеспособности клиентских сегментов</t>
        </is>
      </c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Индекс платежеспособности = доступный месячный бюджет клиента / месячная цена предложения</t>
        </is>
      </c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41.25" customHeight="1">
      <c r="A4" s="1" t="inlineStr">
        <is>
          <t>Сегмент</t>
        </is>
      </c>
      <c r="B4" s="1" t="inlineStr">
        <is>
          <t>Средний доступный бюджет/мес</t>
        </is>
      </c>
      <c r="C4" s="1" t="inlineStr">
        <is>
          <t>Цена предложения/мес</t>
        </is>
      </c>
      <c r="D4" s="1" t="inlineStr">
        <is>
          <t>Индекс платежеспособности</t>
        </is>
      </c>
      <c r="E4" s="1" t="inlineStr">
        <is>
          <t>Статус</t>
        </is>
      </c>
      <c r="F4" s="1" t="inlineStr">
        <is>
          <t>Доля клиентов с бюджетом</t>
        </is>
      </c>
      <c r="G4" s="1" t="inlineStr">
        <is>
          <t>Платежеспособные клиенты</t>
        </is>
      </c>
      <c r="H4" s="1" t="inlineStr">
        <is>
          <t>Годовой чек</t>
        </is>
      </c>
      <c r="I4" s="1" t="inlineStr">
        <is>
          <t>Платежеспособный объем</t>
        </is>
      </c>
      <c r="J4" s="1" t="inlineStr">
        <is>
          <t>Комментарий</t>
        </is>
      </c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28.5" customFormat="1" customHeight="1" s="24">
      <c r="A5" s="25" t="inlineStr">
        <is>
          <t>S-01 Студенты технических и экономических специальностей</t>
        </is>
      </c>
      <c r="B5" s="21" t="n">
        <v>14.93</v>
      </c>
      <c r="C5" s="21" t="n">
        <v>10.095</v>
      </c>
      <c r="D5" s="26">
        <f>IF(A5="","",B5/C5)</f>
        <v/>
      </c>
      <c r="E5" s="25">
        <f>IF(A5="","",IF(D5&gt;=1.5,"высокая",IF(D5&gt;=1,"достаточная",IF(D5&gt;=0.7,"пограничная","низкая"))))</f>
        <v/>
      </c>
      <c r="F5" s="22" t="n">
        <v>0.08749999999999999</v>
      </c>
      <c r="G5" s="21">
        <f>IF(A5="","",'02_Сегменты'!B5*F5)</f>
        <v/>
      </c>
      <c r="H5" s="21" t="n">
        <v>121.14</v>
      </c>
      <c r="I5" s="21">
        <f>IF(A5="","",G5*H5)</f>
        <v/>
      </c>
      <c r="J5" s="25" t="inlineStr">
        <is>
          <t>Бюджет = доход × 5% (Д-08); доля F = доле платёжеспособных листа 02 (решение В-11)</t>
        </is>
      </c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28.5" customFormat="1" customHeight="1" s="24">
      <c r="A6" s="25" t="inlineStr">
        <is>
          <t>S-02/S-03 Аналитики, архитекторы ПО и разработчики</t>
        </is>
      </c>
      <c r="B6" s="21" t="n">
        <v>320.65</v>
      </c>
      <c r="C6" s="21" t="n">
        <v>10.095</v>
      </c>
      <c r="D6" s="26">
        <f>IF(A6="","",B6/C6)</f>
        <v/>
      </c>
      <c r="E6" s="25">
        <f>IF(A6="","",IF(D6&gt;=1.5,"высокая",IF(D6&gt;=1,"достаточная",IF(D6&gt;=0.7,"пограничная","низкая"))))</f>
        <v/>
      </c>
      <c r="F6" s="22" t="n">
        <v>0.175</v>
      </c>
      <c r="G6" s="21">
        <f>IF(A6="","",'02_Сегменты'!B6*F6)</f>
        <v/>
      </c>
      <c r="H6" s="21" t="n">
        <v>121.14</v>
      </c>
      <c r="I6" s="21">
        <f>IF(A6="","",G6*H6)</f>
        <v/>
      </c>
      <c r="J6" s="25" t="inlineStr">
        <is>
          <t>Бюджет = доход × 5% (Д-08); доля F = доле платёжеспособных листа 02 (решение В-11)</t>
        </is>
      </c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28.5" customFormat="1" customHeight="1" s="24">
      <c r="A7" s="25" t="inlineStr">
        <is>
          <t>S-04 Преподаватели технических дисциплин</t>
        </is>
      </c>
      <c r="B7" s="21" t="n">
        <v>158.6</v>
      </c>
      <c r="C7" s="21" t="n">
        <v>10.095</v>
      </c>
      <c r="D7" s="26">
        <f>IF(A7="","",B7/C7)</f>
        <v/>
      </c>
      <c r="E7" s="25">
        <f>IF(A7="","",IF(D7&gt;=1.5,"высокая",IF(D7&gt;=1,"достаточная",IF(D7&gt;=0.7,"пограничная","низкая"))))</f>
        <v/>
      </c>
      <c r="F7" s="22" t="n">
        <v>0.1</v>
      </c>
      <c r="G7" s="21">
        <f>IF(A7="","",'02_Сегменты'!B7*F7)</f>
        <v/>
      </c>
      <c r="H7" s="21" t="n">
        <v>121.14</v>
      </c>
      <c r="I7" s="21">
        <f>IF(A7="","",G7*H7)</f>
        <v/>
      </c>
      <c r="J7" s="25" t="inlineStr">
        <is>
          <t>Бюджет = доход × 5% (Д-08); доля F = доле платёжеспособных листа 02 (решение В-11)</t>
        </is>
      </c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>
      <c r="A8" s="3" t="n"/>
      <c r="B8" s="7" t="n"/>
      <c r="C8" s="7" t="n"/>
      <c r="D8" s="11">
        <f>IF(A8="","",B8/C8)</f>
        <v/>
      </c>
      <c r="E8" s="3">
        <f>IF(A8="","",IF(D8&gt;=1.5,"высокая",IF(D8&gt;=1,"достаточная",IF(D8&gt;=0.7,"пограничная","низкая"))))</f>
        <v/>
      </c>
      <c r="F8" s="4" t="n"/>
      <c r="G8" s="7">
        <f>IF(A8="","",'02_Сегменты'!B8*F8)</f>
        <v/>
      </c>
      <c r="H8" s="7" t="n"/>
      <c r="I8" s="7">
        <f>IF(A8="","",G8*H8)</f>
        <v/>
      </c>
      <c r="J8" s="3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3" t="n"/>
      <c r="B9" s="7" t="n"/>
      <c r="C9" s="7" t="n"/>
      <c r="D9" s="11">
        <f>IF(A9="","",B9/C9)</f>
        <v/>
      </c>
      <c r="E9" s="3">
        <f>IF(A9="","",IF(D9&gt;=1.5,"высокая",IF(D9&gt;=1,"достаточная",IF(D9&gt;=0.7,"пограничная","низкая"))))</f>
        <v/>
      </c>
      <c r="F9" s="4" t="n"/>
      <c r="G9" s="7">
        <f>IF(A9="","",'02_Сегменты'!B9*F9)</f>
        <v/>
      </c>
      <c r="H9" s="7" t="n"/>
      <c r="I9" s="7">
        <f>IF(A9="","",G9*H9)</f>
        <v/>
      </c>
      <c r="J9" s="3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3" t="n"/>
      <c r="B10" s="7" t="n"/>
      <c r="C10" s="7" t="n"/>
      <c r="D10" s="11">
        <f>IF(A10="","",B10/C10)</f>
        <v/>
      </c>
      <c r="E10" s="3">
        <f>IF(A10="","",IF(D10&gt;=1.5,"высокая",IF(D10&gt;=1,"достаточная",IF(D10&gt;=0.7,"пограничная","низкая"))))</f>
        <v/>
      </c>
      <c r="F10" s="4" t="n"/>
      <c r="G10" s="7">
        <f>IF(A10="","",'02_Сегменты'!B10*F10)</f>
        <v/>
      </c>
      <c r="H10" s="7" t="n"/>
      <c r="I10" s="7">
        <f>IF(A10="","",G10*H10)</f>
        <v/>
      </c>
      <c r="J10" s="3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3" t="n"/>
      <c r="B11" s="7" t="n"/>
      <c r="C11" s="7" t="n"/>
      <c r="D11" s="11">
        <f>IF(A11="","",B11/C11)</f>
        <v/>
      </c>
      <c r="E11" s="3">
        <f>IF(A11="","",IF(D11&gt;=1.5,"высокая",IF(D11&gt;=1,"достаточная",IF(D11&gt;=0.7,"пограничная","низкая"))))</f>
        <v/>
      </c>
      <c r="F11" s="4" t="n"/>
      <c r="G11" s="7">
        <f>IF(A11="","",'02_Сегменты'!B11*F11)</f>
        <v/>
      </c>
      <c r="H11" s="7" t="n"/>
      <c r="I11" s="7">
        <f>IF(A11="","",G11*H11)</f>
        <v/>
      </c>
      <c r="J11" s="3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3" t="n"/>
      <c r="B12" s="7" t="n"/>
      <c r="C12" s="7" t="n"/>
      <c r="D12" s="11">
        <f>IF(A12="","",B12/C12)</f>
        <v/>
      </c>
      <c r="E12" s="3">
        <f>IF(A12="","",IF(D12&gt;=1.5,"высокая",IF(D12&gt;=1,"достаточная",IF(D12&gt;=0.7,"пограничная","низкая"))))</f>
        <v/>
      </c>
      <c r="F12" s="4" t="n"/>
      <c r="G12" s="7">
        <f>IF(A12="","",'02_Сегменты'!B12*F12)</f>
        <v/>
      </c>
      <c r="H12" s="7" t="n"/>
      <c r="I12" s="7">
        <f>IF(A12="","",G12*H12)</f>
        <v/>
      </c>
      <c r="J12" s="3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3" t="n"/>
      <c r="B13" s="7" t="n"/>
      <c r="C13" s="7" t="n"/>
      <c r="D13" s="11" t="n"/>
      <c r="E13" s="3" t="n"/>
      <c r="F13" s="4" t="n"/>
      <c r="G13" s="7" t="n"/>
      <c r="H13" s="7" t="n"/>
      <c r="I13" s="7" t="n"/>
      <c r="J13" s="3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5" customHeight="1">
      <c r="A14" s="6" t="inlineStr">
        <is>
          <t>Итого / среднее</t>
        </is>
      </c>
      <c r="B14" s="9">
        <f>AVERAGE(B5:B12)</f>
        <v/>
      </c>
      <c r="C14" s="9">
        <f>AVERAGE(C5:C12)</f>
        <v/>
      </c>
      <c r="D14" s="12">
        <f>AVERAGE(D5:D12)</f>
        <v/>
      </c>
      <c r="E14" s="6" t="n"/>
      <c r="F14" s="10">
        <f>AVERAGE(F5:F12)</f>
        <v/>
      </c>
      <c r="G14" s="9">
        <f>SUM(G5:G12)</f>
        <v/>
      </c>
      <c r="H14" s="9">
        <f>AVERAGE(H5:H12)</f>
        <v/>
      </c>
      <c r="I14" s="9">
        <f>SUM(I5:I12)</f>
        <v/>
      </c>
      <c r="J14" s="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</sheetData>
  <mergeCells count="2">
    <mergeCell ref="A1:J1"/>
    <mergeCell ref="A2:J2"/>
  </mergeCells>
  <conditionalFormatting sqref="D5:D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"/>
  <sheetViews>
    <sheetView topLeftCell="A3" workbookViewId="0">
      <selection activeCell="B30" sqref="B30"/>
    </sheetView>
  </sheetViews>
  <sheetFormatPr baseColWidth="8" defaultRowHeight="14.25"/>
  <cols>
    <col width="35.5" customWidth="1" min="1" max="1"/>
    <col width="18" customWidth="1" min="2" max="2"/>
    <col width="20" customWidth="1" min="3" max="3"/>
    <col width="18" customWidth="1" min="4" max="4"/>
    <col width="30.875" customWidth="1" min="5" max="5"/>
    <col width="24" customWidth="1" min="6" max="7"/>
    <col width="26" customWidth="1" min="8" max="8"/>
  </cols>
  <sheetData>
    <row r="1" ht="27.95" customHeight="1">
      <c r="A1" s="15" t="inlineStr">
        <is>
          <t>Сценарная проверка платежеспособного объема рынка</t>
        </is>
      </c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Сценарии позволяют не завышать вывод и показывать диапазон оценки</t>
        </is>
      </c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27.95" customHeight="1">
      <c r="A4" s="1" t="inlineStr">
        <is>
          <t>Параметр</t>
        </is>
      </c>
      <c r="B4" s="1" t="inlineStr">
        <is>
          <t>Осторожный</t>
        </is>
      </c>
      <c r="C4" s="1" t="inlineStr">
        <is>
          <t>Базовый</t>
        </is>
      </c>
      <c r="D4" s="1" t="inlineStr">
        <is>
          <t>Оптимистичный</t>
        </is>
      </c>
      <c r="E4" s="1" t="inlineStr">
        <is>
          <t>Комментарий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28.5" customHeight="1">
      <c r="A5" s="25" t="inlineStr">
        <is>
          <t>Коэффициент потребности</t>
        </is>
      </c>
      <c r="B5" s="32" t="n">
        <v>0.7</v>
      </c>
      <c r="C5" s="32" t="n">
        <v>1</v>
      </c>
      <c r="D5" s="32" t="n">
        <v>1.2</v>
      </c>
      <c r="E5" s="25" t="inlineStr">
        <is>
          <t>Корректировка доли клиентов с потребностью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28.5" customHeight="1">
      <c r="A6" s="25" t="inlineStr">
        <is>
          <t>Коэффициент платежеспособности</t>
        </is>
      </c>
      <c r="B6" s="32" t="n">
        <v>0.6</v>
      </c>
      <c r="C6" s="32" t="n">
        <v>1</v>
      </c>
      <c r="D6" s="32" t="n">
        <v>1.25</v>
      </c>
      <c r="E6" s="25" t="inlineStr">
        <is>
          <t>Корректировка доли платежеспособных клиентов</t>
        </is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28.5" customHeight="1">
      <c r="A7" s="25" t="inlineStr">
        <is>
          <t>Коэффициент частоты покупки</t>
        </is>
      </c>
      <c r="B7" s="26" t="n">
        <v>0.75</v>
      </c>
      <c r="C7" s="26" t="n">
        <v>1</v>
      </c>
      <c r="D7" s="26" t="n">
        <v>1.15</v>
      </c>
      <c r="E7" s="25" t="inlineStr">
        <is>
          <t>Корректировка числа покупок/контрактов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25" t="inlineStr">
        <is>
          <t>Коэффициент среднего чека</t>
        </is>
      </c>
      <c r="B8" s="26" t="n">
        <v>0.8</v>
      </c>
      <c r="C8" s="26" t="n">
        <v>1</v>
      </c>
      <c r="D8" s="26" t="n">
        <v>1.2</v>
      </c>
      <c r="E8" s="25" t="inlineStr">
        <is>
          <t>Корректировка цены</t>
        </is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28.5" customHeight="1">
      <c r="A9" s="25" t="inlineStr">
        <is>
          <t>Достижимая доля нового бизнеса</t>
        </is>
      </c>
      <c r="B9" s="32" t="n">
        <v>0.005</v>
      </c>
      <c r="C9" s="32" t="n">
        <v>0.015</v>
      </c>
      <c r="D9" s="32" t="n">
        <v>0.035</v>
      </c>
      <c r="E9" s="25" t="inlineStr">
        <is>
          <t>Реалистичная доля рынка для нового игрока</t>
        </is>
      </c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45" customHeight="1">
      <c r="A12" s="1" t="inlineStr">
        <is>
          <t>Сегмент</t>
        </is>
      </c>
      <c r="B12" s="1" t="inlineStr">
        <is>
          <t>Базовый объем</t>
        </is>
      </c>
      <c r="C12" s="1" t="inlineStr">
        <is>
          <t>Осторожный рынок</t>
        </is>
      </c>
      <c r="D12" s="1" t="inlineStr">
        <is>
          <t>Базовый рынок</t>
        </is>
      </c>
      <c r="E12" s="1" t="inlineStr">
        <is>
          <t>Оптимистичный рынок</t>
        </is>
      </c>
      <c r="F12" s="1" t="inlineStr">
        <is>
          <t>Осторожная достижимая выручка</t>
        </is>
      </c>
      <c r="G12" s="1" t="inlineStr">
        <is>
          <t>Базовая достижимая выручка</t>
        </is>
      </c>
      <c r="H12" s="1" t="inlineStr">
        <is>
          <t>Оптимистичная достижимая выручка</t>
        </is>
      </c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 ht="28.5" customHeight="1">
      <c r="A13" s="25">
        <f>IF('02_Сегменты'!A5="","",'02_Сегменты'!A5)</f>
        <v/>
      </c>
      <c r="B13" s="21">
        <f>'02_Сегменты'!J5</f>
        <v/>
      </c>
      <c r="C13" s="21">
        <f>IF(A13="","",B13*$B\$5*$B\$6*$B\$7*$B\$8)</f>
        <v/>
      </c>
      <c r="D13" s="21">
        <f>IF(A13="","",B13*$C\$5*$C\$6*$C\$7*$C\$8)</f>
        <v/>
      </c>
      <c r="E13" s="21">
        <f>IF(A13="","",B13*$D\$5*$D\$6*$D\$7*$D\$8)</f>
        <v/>
      </c>
      <c r="F13" s="21">
        <f>IF(A13="","",C13*$B\$9)</f>
        <v/>
      </c>
      <c r="G13" s="21">
        <f>IF(A13="","",D13*$C\$9)</f>
        <v/>
      </c>
      <c r="H13" s="21">
        <f>IF(A13="","",E13*$D\$9)</f>
        <v/>
      </c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28.5" customHeight="1">
      <c r="A14" s="25">
        <f>IF('02_Сегменты'!A6="","",'02_Сегменты'!A6)</f>
        <v/>
      </c>
      <c r="B14" s="21">
        <f>'02_Сегменты'!J6</f>
        <v/>
      </c>
      <c r="C14" s="21">
        <f>IF(A14="","",B14*$B\$5*$B\$6*$B\$7*$B\$8)</f>
        <v/>
      </c>
      <c r="D14" s="21">
        <f>IF(A14="","",B14*$C\$5*$C\$6*$C\$7*$C\$8)</f>
        <v/>
      </c>
      <c r="E14" s="21">
        <f>IF(A14="","",B14*$D\$5*$D\$6*$D\$7*$D\$8)</f>
        <v/>
      </c>
      <c r="F14" s="21">
        <f>IF(A14="","",C14*$B\$9)</f>
        <v/>
      </c>
      <c r="G14" s="21">
        <f>IF(A14="","",D14*$C\$9)</f>
        <v/>
      </c>
      <c r="H14" s="21">
        <f>IF(A14="","",E14*$D\$9)</f>
        <v/>
      </c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28.5" customHeight="1">
      <c r="A15" s="25">
        <f>IF('02_Сегменты'!A7="","",'02_Сегменты'!A7)</f>
        <v/>
      </c>
      <c r="B15" s="21">
        <f>'02_Сегменты'!J7</f>
        <v/>
      </c>
      <c r="C15" s="21">
        <f>IF(A15="","",B15*$B\$5*$B\$6*$B\$7*$B\$8)</f>
        <v/>
      </c>
      <c r="D15" s="21">
        <f>IF(A15="","",B15*$C\$5*$C\$6*$C\$7*$C\$8)</f>
        <v/>
      </c>
      <c r="E15" s="21">
        <f>IF(A15="","",B15*$D\$5*$D\$6*$D\$7*$D\$8)</f>
        <v/>
      </c>
      <c r="F15" s="21">
        <f>IF(A15="","",C15*$B\$9)</f>
        <v/>
      </c>
      <c r="G15" s="21">
        <f>IF(A15="","",D15*$C\$9)</f>
        <v/>
      </c>
      <c r="H15" s="21">
        <f>IF(A15="","",E15*$D\$9)</f>
        <v/>
      </c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3">
        <f>IF('02_Сегменты'!A8="","",'02_Сегменты'!A8)</f>
        <v/>
      </c>
      <c r="B16" s="7">
        <f>'02_Сегменты'!J8</f>
        <v/>
      </c>
      <c r="C16" s="7">
        <f>IF(A16="","",B16*$B\$5*$B\$6*$B\$7*$B\$8)</f>
        <v/>
      </c>
      <c r="D16" s="7">
        <f>IF(A16="","",B16*$C\$5*$C\$6*$C\$7*$C\$8)</f>
        <v/>
      </c>
      <c r="E16" s="7">
        <f>IF(A16="","",B16*$D\$5*$D\$6*$D\$7*$D\$8)</f>
        <v/>
      </c>
      <c r="F16" s="7">
        <f>IF(A16="","",C16*$B\$9)</f>
        <v/>
      </c>
      <c r="G16" s="7">
        <f>IF(A16="","",D16*$C\$9)</f>
        <v/>
      </c>
      <c r="H16" s="7">
        <f>IF(A16="","",E16*$D\$9)</f>
        <v/>
      </c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3">
        <f>IF('02_Сегменты'!A9="","",'02_Сегменты'!A9)</f>
        <v/>
      </c>
      <c r="B17" s="7">
        <f>'02_Сегменты'!J9</f>
        <v/>
      </c>
      <c r="C17" s="7">
        <f>IF(A17="","",B17*$B\$5*$B\$6*$B\$7*$B\$8)</f>
        <v/>
      </c>
      <c r="D17" s="7">
        <f>IF(A17="","",B17*$C\$5*$C\$6*$C\$7*$C\$8)</f>
        <v/>
      </c>
      <c r="E17" s="7">
        <f>IF(A17="","",B17*$D\$5*$D\$6*$D\$7*$D\$8)</f>
        <v/>
      </c>
      <c r="F17" s="7">
        <f>IF(A17="","",C17*$B\$9)</f>
        <v/>
      </c>
      <c r="G17" s="7">
        <f>IF(A17="","",D17*$C\$9)</f>
        <v/>
      </c>
      <c r="H17" s="7">
        <f>IF(A17="","",E17*$D\$9)</f>
        <v/>
      </c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3">
        <f>IF('02_Сегменты'!A10="","",'02_Сегменты'!A10)</f>
        <v/>
      </c>
      <c r="B18" s="7">
        <f>'02_Сегменты'!J10</f>
        <v/>
      </c>
      <c r="C18" s="7">
        <f>IF(A18="","",B18*$B\$5*$B\$6*$B\$7*$B\$8)</f>
        <v/>
      </c>
      <c r="D18" s="7">
        <f>IF(A18="","",B18*$C\$5*$C\$6*$C\$7*$C\$8)</f>
        <v/>
      </c>
      <c r="E18" s="7">
        <f>IF(A18="","",B18*$D\$5*$D\$6*$D\$7*$D\$8)</f>
        <v/>
      </c>
      <c r="F18" s="7">
        <f>IF(A18="","",C18*$B\$9)</f>
        <v/>
      </c>
      <c r="G18" s="7">
        <f>IF(A18="","",D18*$C\$9)</f>
        <v/>
      </c>
      <c r="H18" s="7">
        <f>IF(A18="","",E18*$D\$9)</f>
        <v/>
      </c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3">
        <f>IF('02_Сегменты'!A11="","",'02_Сегменты'!A11)</f>
        <v/>
      </c>
      <c r="B19" s="7">
        <f>'02_Сегменты'!J11</f>
        <v/>
      </c>
      <c r="C19" s="7">
        <f>IF(A19="","",B19*$B\$5*$B\$6*$B\$7*$B\$8)</f>
        <v/>
      </c>
      <c r="D19" s="7">
        <f>IF(A19="","",B19*$C\$5*$C\$6*$C\$7*$C\$8)</f>
        <v/>
      </c>
      <c r="E19" s="7">
        <f>IF(A19="","",B19*$D\$5*$D\$6*$D\$7*$D\$8)</f>
        <v/>
      </c>
      <c r="F19" s="7">
        <f>IF(A19="","",C19*$B\$9)</f>
        <v/>
      </c>
      <c r="G19" s="7">
        <f>IF(A19="","",D19*$C\$9)</f>
        <v/>
      </c>
      <c r="H19" s="7">
        <f>IF(A19="","",E19*$D\$9)</f>
        <v/>
      </c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3">
        <f>IF('02_Сегменты'!A12="","",'02_Сегменты'!A12)</f>
        <v/>
      </c>
      <c r="B20" s="7">
        <f>'02_Сегменты'!J12</f>
        <v/>
      </c>
      <c r="C20" s="7">
        <f>IF(A20="","",B20*$B\$5*$B\$6*$B\$7*$B\$8)</f>
        <v/>
      </c>
      <c r="D20" s="7">
        <f>IF(A20="","",B20*$C\$5*$C\$6*$C\$7*$C\$8)</f>
        <v/>
      </c>
      <c r="E20" s="7">
        <f>IF(A20="","",B20*$D\$5*$D\$6*$D\$7*$D\$8)</f>
        <v/>
      </c>
      <c r="F20" s="7">
        <f>IF(A20="","",C20*$B\$9)</f>
        <v/>
      </c>
      <c r="G20" s="7">
        <f>IF(A20="","",D20*$C\$9)</f>
        <v/>
      </c>
      <c r="H20" s="7">
        <f>IF(A20="","",E20*$D\$9)</f>
        <v/>
      </c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3" t="n"/>
      <c r="B21" s="7" t="n"/>
      <c r="C21" s="7" t="n"/>
      <c r="D21" s="7" t="n"/>
      <c r="E21" s="7" t="n"/>
      <c r="F21" s="7" t="n"/>
      <c r="G21" s="7" t="n"/>
      <c r="H21" s="7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 ht="15" customHeight="1">
      <c r="A22" s="6" t="inlineStr">
        <is>
          <t>Итого</t>
        </is>
      </c>
      <c r="B22" s="9">
        <f>SUM(B13:B20)</f>
        <v/>
      </c>
      <c r="C22" s="9">
        <f>SUM(C13:C20)</f>
        <v/>
      </c>
      <c r="D22" s="9">
        <f>SUM(D13:D20)</f>
        <v/>
      </c>
      <c r="E22" s="9">
        <f>SUM(E13:E20)</f>
        <v/>
      </c>
      <c r="F22" s="9">
        <f>SUM(F13:F20)</f>
        <v/>
      </c>
      <c r="G22" s="9">
        <f>SUM(G13:G20)</f>
        <v/>
      </c>
      <c r="H22" s="9">
        <f>SUM(H13:H20)</f>
        <v/>
      </c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</sheetData>
  <mergeCells count="2">
    <mergeCell ref="A2:L2"/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"/>
  <sheetViews>
    <sheetView topLeftCell="J1" workbookViewId="0">
      <selection activeCell="L15" sqref="L15"/>
    </sheetView>
  </sheetViews>
  <sheetFormatPr baseColWidth="8" defaultRowHeight="14.25"/>
  <cols>
    <col width="38.375" customWidth="1" min="1" max="1"/>
    <col width="18" customWidth="1" min="2" max="6"/>
    <col width="16" customWidth="1" min="7" max="7"/>
    <col width="18" customWidth="1" min="8" max="9"/>
    <col width="14" customWidth="1" min="10" max="10"/>
    <col width="18" customWidth="1" min="11" max="11"/>
    <col width="65.75" customWidth="1" min="12" max="12"/>
  </cols>
  <sheetData>
    <row r="1" ht="27.95" customHeight="1">
      <c r="A1" s="15" t="inlineStr">
        <is>
          <t>Проверка цифровой активности через Similarweb</t>
        </is>
      </c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Используется как косвенная проверка рынка: трафик конкурентов, география, каналы и поисковые запросы</t>
        </is>
      </c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51" customHeight="1">
      <c r="A4" s="1" t="inlineStr">
        <is>
          <t>Сайт / конкурент</t>
        </is>
      </c>
      <c r="B4" s="1" t="inlineStr">
        <is>
          <t>Месячные посещения</t>
        </is>
      </c>
      <c r="C4" s="1" t="inlineStr">
        <is>
          <t>Доля целевой географии</t>
        </is>
      </c>
      <c r="D4" s="1" t="inlineStr">
        <is>
          <t>Релевантный трафик</t>
        </is>
      </c>
      <c r="E4" s="1" t="inlineStr">
        <is>
          <t>Доля поискового трафика</t>
        </is>
      </c>
      <c r="F4" s="1" t="inlineStr">
        <is>
          <t>Доля прямого трафика</t>
        </is>
      </c>
      <c r="G4" s="1" t="inlineStr">
        <is>
          <t>Доля соцсетей</t>
        </is>
      </c>
      <c r="H4" s="1" t="inlineStr">
        <is>
          <t>Оценка конверсии в заявку</t>
        </is>
      </c>
      <c r="I4" s="1" t="inlineStr">
        <is>
          <t>Оценка заявок/мес</t>
        </is>
      </c>
      <c r="J4" s="1" t="inlineStr">
        <is>
          <t>Средний чек</t>
        </is>
      </c>
      <c r="K4" s="1" t="inlineStr">
        <is>
          <t>Оценка выручки/мес</t>
        </is>
      </c>
      <c r="L4" s="1" t="inlineStr">
        <is>
          <t>Источник / дата</t>
        </is>
      </c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42.75" customHeight="1">
      <c r="A5" s="25" t="inlineStr">
        <is>
          <t>plantuml.com</t>
        </is>
      </c>
      <c r="B5" s="21" t="n">
        <v>507000</v>
      </c>
      <c r="C5" s="22" t="n">
        <v>0.001958</v>
      </c>
      <c r="D5" s="21">
        <f>IF(A5="","",B5*C5)</f>
        <v/>
      </c>
      <c r="E5" s="22" t="n">
        <v>0.4847</v>
      </c>
      <c r="F5" s="22" t="n">
        <v>0.22</v>
      </c>
      <c r="G5" s="22" t="n">
        <v>0.15</v>
      </c>
      <c r="H5" s="22" t="n">
        <v>0.001</v>
      </c>
      <c r="I5" s="21">
        <f>IF(A5="","",D5*H5)</f>
        <v/>
      </c>
      <c r="J5" s="21" t="n">
        <v>121.14</v>
      </c>
      <c r="K5" s="21">
        <f>IF(A5="","",I5*J5)</f>
        <v/>
      </c>
      <c r="L5" s="25" t="inlineStr">
        <is>
          <t>ФАКТ (Similarweb, авг. 2026, скриншот); 30.09.2026. Доля РБ — допущение Д-01. H = CR1 × CR2 (в шаблоне отдельной конверсии в оплату нет)</t>
        </is>
      </c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28.5" customHeight="1">
      <c r="A6" s="25" t="inlineStr">
        <is>
          <t>app.diagrams.net</t>
        </is>
      </c>
      <c r="B6" s="21" t="n">
        <v>7800000</v>
      </c>
      <c r="C6" s="22" t="n">
        <v>0.001958</v>
      </c>
      <c r="D6" s="21">
        <f>IF(A6="","",B6*C6)</f>
        <v/>
      </c>
      <c r="E6" s="22" t="n">
        <v>0.42</v>
      </c>
      <c r="F6" s="22" t="n">
        <v>0.18</v>
      </c>
      <c r="G6" s="22" t="n">
        <v>0.2</v>
      </c>
      <c r="H6" s="22" t="n">
        <v>0.001</v>
      </c>
      <c r="I6" s="21">
        <f>IF(A6="","",D6*H6)</f>
        <v/>
      </c>
      <c r="J6" s="21" t="n">
        <v>121.14</v>
      </c>
      <c r="K6" s="21">
        <f>IF(A6="","",I6*J6)</f>
        <v/>
      </c>
      <c r="L6" s="25" t="inlineStr">
        <is>
          <t>отчёт ЛР1, без скриншота; 30.09.2026. Доля РБ — допущение Д-01. H = CR1 × CR2 (в шаблоне отдельной конверсии в оплату нет)</t>
        </is>
      </c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42.75" customHeight="1">
      <c r="A7" s="25" t="inlineStr">
        <is>
          <t>eraser.io</t>
        </is>
      </c>
      <c r="B7" s="21" t="n">
        <v>678500</v>
      </c>
      <c r="C7" s="22" t="n">
        <v>0.001958</v>
      </c>
      <c r="D7" s="21">
        <f>IF(A7="","",B7*C7)</f>
        <v/>
      </c>
      <c r="E7" s="22" t="n">
        <v>0.35</v>
      </c>
      <c r="F7" s="22" t="n">
        <v>0.25</v>
      </c>
      <c r="G7" s="22" t="n">
        <v>0.18</v>
      </c>
      <c r="H7" s="22" t="n">
        <v>0.001</v>
      </c>
      <c r="I7" s="21">
        <f>IF(A7="","",D7*H7)</f>
        <v/>
      </c>
      <c r="J7" s="21" t="n">
        <v>121.14</v>
      </c>
      <c r="K7" s="21">
        <f>IF(A7="","",I7*J7)</f>
        <v/>
      </c>
      <c r="L7" s="25" t="inlineStr">
        <is>
          <t>предварительный замер 17–23.09.2026, не подтверждён; 30.09.2026. Доля РБ — допущение Д-01. H = CR1 × CR2 (в шаблоне отдельной конверсии в оплату нет)</t>
        </is>
      </c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42.75" customHeight="1">
      <c r="A8" s="25" t="inlineStr">
        <is>
          <t>mermaidchart.com</t>
        </is>
      </c>
      <c r="B8" s="21" t="n">
        <v>20000</v>
      </c>
      <c r="C8" s="22" t="n">
        <v>0.001958</v>
      </c>
      <c r="D8" s="21">
        <f>IF(A8="","",B8*C8)</f>
        <v/>
      </c>
      <c r="E8" s="22" t="n"/>
      <c r="F8" s="22" t="n"/>
      <c r="G8" s="22" t="n"/>
      <c r="H8" s="22" t="n">
        <v>0.001</v>
      </c>
      <c r="I8" s="21">
        <f>IF(A8="","",D8*H8)</f>
        <v/>
      </c>
      <c r="J8" s="21" t="n">
        <v>121.14</v>
      </c>
      <c r="K8" s="21">
        <f>IF(A8="","",I8*J8)</f>
        <v/>
      </c>
      <c r="L8" s="25" t="inlineStr">
        <is>
          <t>предварительный замер: «менее 20 тыс.» (верхняя граница), не подтверждён; 30.09.2026. Доля РБ — допущение Д-01. H = CR1 × CR2 (в шаблоне отдельной конверсии в оплату нет)</t>
        </is>
      </c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25" t="n"/>
      <c r="B9" s="21" t="n"/>
      <c r="C9" s="22" t="n"/>
      <c r="D9" s="21">
        <f>IF(A9="","",B9*C9)</f>
        <v/>
      </c>
      <c r="E9" s="22" t="n"/>
      <c r="F9" s="22" t="n"/>
      <c r="G9" s="22" t="n"/>
      <c r="H9" s="22" t="n"/>
      <c r="I9" s="21">
        <f>IF(A9="","",D9*H9)</f>
        <v/>
      </c>
      <c r="J9" s="21" t="n"/>
      <c r="K9" s="21">
        <f>IF(A9="","",I9*J9)</f>
        <v/>
      </c>
      <c r="L9" s="25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3" t="n"/>
      <c r="B10" s="7" t="n"/>
      <c r="C10" s="4" t="n"/>
      <c r="D10" s="7">
        <f>IF(A10="","",B10*C10)</f>
        <v/>
      </c>
      <c r="E10" s="4" t="n"/>
      <c r="F10" s="4" t="n"/>
      <c r="G10" s="4" t="n"/>
      <c r="H10" s="4" t="n"/>
      <c r="I10" s="7">
        <f>IF(A10="","",D10*H10)</f>
        <v/>
      </c>
      <c r="J10" s="7" t="n"/>
      <c r="K10" s="7">
        <f>IF(A10="","",I10*J10)</f>
        <v/>
      </c>
      <c r="L10" s="3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3" t="n"/>
      <c r="B11" s="7" t="n"/>
      <c r="C11" s="4" t="n"/>
      <c r="D11" s="7">
        <f>IF(A11="","",B11*C11)</f>
        <v/>
      </c>
      <c r="E11" s="4" t="n"/>
      <c r="F11" s="4" t="n"/>
      <c r="G11" s="4" t="n"/>
      <c r="H11" s="4" t="n"/>
      <c r="I11" s="7">
        <f>IF(A11="","",D11*H11)</f>
        <v/>
      </c>
      <c r="J11" s="7" t="n"/>
      <c r="K11" s="7">
        <f>IF(A11="","",I11*J11)</f>
        <v/>
      </c>
      <c r="L11" s="3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3" t="n"/>
      <c r="B12" s="7" t="n"/>
      <c r="C12" s="4" t="n"/>
      <c r="D12" s="7">
        <f>IF(A12="","",B12*C12)</f>
        <v/>
      </c>
      <c r="E12" s="4" t="n"/>
      <c r="F12" s="4" t="n"/>
      <c r="G12" s="4" t="n"/>
      <c r="H12" s="4" t="n"/>
      <c r="I12" s="7">
        <f>IF(A12="","",D12*H12)</f>
        <v/>
      </c>
      <c r="J12" s="7" t="n"/>
      <c r="K12" s="7">
        <f>IF(A12="","",I12*J12)</f>
        <v/>
      </c>
      <c r="L12" s="3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3" t="n"/>
      <c r="B13" s="7" t="n"/>
      <c r="C13" s="4" t="n"/>
      <c r="D13" s="7" t="n"/>
      <c r="E13" s="4" t="n"/>
      <c r="F13" s="4" t="n"/>
      <c r="G13" s="4" t="n"/>
      <c r="H13" s="4" t="n"/>
      <c r="I13" s="7" t="n"/>
      <c r="J13" s="7" t="n"/>
      <c r="K13" s="7" t="n"/>
      <c r="L13" s="3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5" customHeight="1">
      <c r="A14" s="6" t="inlineStr">
        <is>
          <t>Итого / среднее</t>
        </is>
      </c>
      <c r="B14" s="9">
        <f>SUM(B5:B12)</f>
        <v/>
      </c>
      <c r="C14" s="10">
        <f>AVERAGE(C5:C12)</f>
        <v/>
      </c>
      <c r="D14" s="9">
        <f>SUM(D5:D12)</f>
        <v/>
      </c>
      <c r="E14" s="10">
        <f>AVERAGE(E5:E12)</f>
        <v/>
      </c>
      <c r="F14" s="10">
        <f>AVERAGE(F5:F12)</f>
        <v/>
      </c>
      <c r="G14" s="10">
        <f>AVERAGE(G5:G12)</f>
        <v/>
      </c>
      <c r="H14" s="10">
        <f>AVERAGE(H5:H12)</f>
        <v/>
      </c>
      <c r="I14" s="9">
        <f>SUM(I5:I12)</f>
        <v/>
      </c>
      <c r="J14" s="9">
        <f>AVERAGE(J5:J12)</f>
        <v/>
      </c>
      <c r="K14" s="9">
        <f>SUM(K5:K12)</f>
        <v/>
      </c>
      <c r="L14" s="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71.25" customHeight="1">
      <c r="A16" s="25" t="inlineStr">
        <is>
          <t>Доля поискового трафика (E) показана бесплатной карточкой только у plantuml.com (Organic 48,47 %); прямой трафик и соцсети не показаны («нет данных в бесплатном доступе»)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B11" sqref="B11"/>
    </sheetView>
  </sheetViews>
  <sheetFormatPr baseColWidth="8" defaultRowHeight="14.25"/>
  <cols>
    <col width="32" customWidth="1" min="1" max="1"/>
    <col width="18" customWidth="1" min="2" max="2"/>
    <col width="48" customWidth="1" min="3" max="3"/>
    <col width="22" customWidth="1" min="5" max="8"/>
  </cols>
  <sheetData>
    <row r="1" ht="27.95" customHeight="1">
      <c r="A1" s="15" t="inlineStr">
        <is>
          <t>Итоговая панель проверки платежеспособности</t>
        </is>
      </c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Ключевые показатели, сценарии и вывод для принятия решения</t>
        </is>
      </c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27.95" customHeight="1">
      <c r="A4" s="1" t="inlineStr">
        <is>
          <t>Показатель</t>
        </is>
      </c>
      <c r="B4" s="1" t="inlineStr">
        <is>
          <t>Значение</t>
        </is>
      </c>
      <c r="C4" s="1" t="inlineStr">
        <is>
          <t>Интерпретация</t>
        </is>
      </c>
      <c r="D4" s="16" t="n"/>
      <c r="E4" s="1" t="inlineStr">
        <is>
          <t>Сценарий</t>
        </is>
      </c>
      <c r="F4" s="1" t="inlineStr">
        <is>
          <t>Рынок</t>
        </is>
      </c>
      <c r="G4" s="1" t="inlineStr">
        <is>
          <t>Достижимая выручка</t>
        </is>
      </c>
      <c r="H4" s="1" t="inlineStr">
        <is>
          <t>Комментарий</t>
        </is>
      </c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28.5" customHeight="1">
      <c r="A5" s="3" t="inlineStr">
        <is>
          <t>Потенциальный объем по сегментам</t>
        </is>
      </c>
      <c r="B5" s="7">
        <f>'02_Сегменты'!J16</f>
        <v/>
      </c>
      <c r="C5" s="3" t="inlineStr">
        <is>
          <t>Сумма по всем сегментам с учетом потребности, цифровой доступности и платежеспособности</t>
        </is>
      </c>
      <c r="D5" s="16" t="n"/>
      <c r="E5" s="3" t="inlineStr">
        <is>
          <t>Осторожный</t>
        </is>
      </c>
      <c r="F5" s="7">
        <f>'06_Сценарии'!C22</f>
        <v/>
      </c>
      <c r="G5" s="7">
        <f>'06_Сценарии'!F22</f>
        <v/>
      </c>
      <c r="H5" s="3" t="inlineStr">
        <is>
          <t>Нижняя граница</t>
        </is>
      </c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28.5" customHeight="1">
      <c r="A6" s="3" t="inlineStr">
        <is>
          <t>Платежеспособные клиенты</t>
        </is>
      </c>
      <c r="B6" s="7">
        <f>'02_Сегменты'!H16</f>
        <v/>
      </c>
      <c r="C6" s="3" t="inlineStr">
        <is>
          <t>Расчетная база клиентов, способных купить предложение</t>
        </is>
      </c>
      <c r="D6" s="16" t="n"/>
      <c r="E6" s="3" t="inlineStr">
        <is>
          <t>Базовый</t>
        </is>
      </c>
      <c r="F6" s="7">
        <f>'06_Сценарии'!D22</f>
        <v/>
      </c>
      <c r="G6" s="7">
        <f>'06_Сценарии'!G22</f>
        <v/>
      </c>
      <c r="H6" s="3" t="inlineStr">
        <is>
          <t>Плановый ориентир</t>
        </is>
      </c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28.5" customHeight="1">
      <c r="A7" s="3" t="inlineStr">
        <is>
          <t>Средний индекс платежеспособности</t>
        </is>
      </c>
      <c r="B7" s="11">
        <f>'05_Платежеспособность'!D14</f>
        <v/>
      </c>
      <c r="C7" s="3" t="inlineStr">
        <is>
          <t>Бюджет клиента / цена предложения</t>
        </is>
      </c>
      <c r="D7" s="16" t="n"/>
      <c r="E7" s="3" t="inlineStr">
        <is>
          <t>Оптимистичный</t>
        </is>
      </c>
      <c r="F7" s="7">
        <f>'06_Сценарии'!E22</f>
        <v/>
      </c>
      <c r="G7" s="7">
        <f>'06_Сценарии'!H22</f>
        <v/>
      </c>
      <c r="H7" s="3" t="inlineStr">
        <is>
          <t>Верхняя граница</t>
        </is>
      </c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28.5" customHeight="1">
      <c r="A8" s="3" t="inlineStr">
        <is>
          <t>Средний ROI клиента за год</t>
        </is>
      </c>
      <c r="B8" s="4">
        <f>'04_Экономика_покупки'!H14</f>
        <v/>
      </c>
      <c r="C8" s="3" t="inlineStr">
        <is>
          <t>Экономическая оправданность покупки с позиции клиента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3" t="inlineStr">
        <is>
          <t>Осторожная достижимая выручка</t>
        </is>
      </c>
      <c r="B9" s="7">
        <f>'06_Сценарии'!F22</f>
        <v/>
      </c>
      <c r="C9" s="3" t="inlineStr">
        <is>
          <t>Реалистичный нижний сценарий для нового игрока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3" t="inlineStr">
        <is>
          <t>Базовая достижимая выручка</t>
        </is>
      </c>
      <c r="B10" s="7">
        <f>'06_Сценарии'!G22</f>
        <v/>
      </c>
      <c r="C10" s="3" t="inlineStr">
        <is>
          <t>Основной сценарий для планирования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28.5" customHeight="1">
      <c r="A11" s="3" t="inlineStr">
        <is>
          <t>Оптимистичная достижимая выручка</t>
        </is>
      </c>
      <c r="B11" s="7">
        <f>'06_Сценарии'!H22</f>
        <v/>
      </c>
      <c r="C11" s="3" t="inlineStr">
        <is>
          <t>Верхний сценарий при высокой реализации</t>
        </is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28.5" customHeight="1">
      <c r="A12" s="3" t="inlineStr">
        <is>
          <t>Оценка выручки конкурентов по Similarweb/мес</t>
        </is>
      </c>
      <c r="B12" s="7">
        <f>'07_Similarweb'!K14</f>
        <v/>
      </c>
      <c r="C12" s="3" t="inlineStr">
        <is>
          <t>Косвенный ориентир цифровой активности рынка</t>
        </is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15" customHeight="1">
      <c r="A15" s="18" t="inlineStr">
        <is>
          <t>Автоматизированный предварительный вывод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9">
        <f>IF(B7&gt;=1,"Платежеспособность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запуску.","Платежеспособность сегментов требует дополнительной проверки: цена предложения выше доступного бюджета. Нужно уточнить сегменты, снизить стоимость входного продукта или изменить состав предложения.")</f>
        <v/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/>
    <row r="18"/>
  </sheetData>
  <mergeCells count="4">
    <mergeCell ref="A15:C15"/>
    <mergeCell ref="A1:J1"/>
    <mergeCell ref="A16:C18"/>
    <mergeCell ref="A2:J2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workbookViewId="0">
      <selection activeCell="G12" sqref="G12"/>
    </sheetView>
  </sheetViews>
  <sheetFormatPr baseColWidth="8" defaultRowHeight="14.25"/>
  <cols>
    <col width="28" customWidth="1" min="1" max="1"/>
    <col width="40" customWidth="1" min="2" max="2"/>
    <col width="38" customWidth="1" min="3" max="3"/>
    <col width="36" customWidth="1" min="4" max="4"/>
    <col width="16" customWidth="1" min="5" max="5"/>
    <col width="36" customWidth="1" min="6" max="6"/>
  </cols>
  <sheetData>
    <row r="1" ht="27.95" customHeight="1">
      <c r="A1" s="15" t="inlineStr">
        <is>
          <t>Журнал источников данных и допущений</t>
        </is>
      </c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33.95" customHeight="1">
      <c r="A2" s="17" t="inlineStr">
        <is>
          <t>Заполняется для воспроизводимости расчета и проверки ограничений</t>
        </is>
      </c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27.95" customHeight="1">
      <c r="A4" s="1" t="inlineStr">
        <is>
          <t>Источник</t>
        </is>
      </c>
      <c r="B4" s="1" t="inlineStr">
        <is>
          <t>Какие данные брать</t>
        </is>
      </c>
      <c r="C4" s="1" t="inlineStr">
        <is>
          <t>Как использовать</t>
        </is>
      </c>
      <c r="D4" s="1" t="inlineStr">
        <is>
          <t>Ссылка / путь</t>
        </is>
      </c>
      <c r="E4" s="1" t="inlineStr">
        <is>
          <t>Дата обращения</t>
        </is>
      </c>
      <c r="F4" s="1" t="inlineStr">
        <is>
          <t>Ограничение</t>
        </is>
      </c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28.5" customHeight="1">
      <c r="A5" s="3" t="inlineStr">
        <is>
          <t>Белстат / государственная статистика</t>
        </is>
      </c>
      <c r="B5" s="3" t="inlineStr">
        <is>
          <t>Количество компаний, отрасли, доходы, социально-экономические показатели</t>
        </is>
      </c>
      <c r="C5" s="3" t="inlineStr">
        <is>
          <t>Оценка потенциальной клиентской базы и платежеспособности</t>
        </is>
      </c>
      <c r="D5" s="3" t="inlineStr">
        <is>
          <t>https://www.belstat.gov.by/</t>
        </is>
      </c>
      <c r="E5" s="33" t="inlineStr">
        <is>
          <t>29.09.2026</t>
        </is>
      </c>
      <c r="F5" s="3" t="inlineStr">
        <is>
          <t>Официальные данные могут быть укрупненными</t>
        </is>
      </c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28.5" customHeight="1">
      <c r="A6" s="3" t="inlineStr">
        <is>
          <t>Similarweb</t>
        </is>
      </c>
      <c r="B6" s="3" t="inlineStr">
        <is>
          <t>Посещаемость конкурентов, каналы, география, поисковый трафик</t>
        </is>
      </c>
      <c r="C6" s="3" t="inlineStr">
        <is>
          <t>Проверка цифровой активности и конкурентной среды</t>
        </is>
      </c>
      <c r="D6" s="3" t="inlineStr">
        <is>
          <t>https://www.similarweb.com/website/</t>
        </is>
      </c>
      <c r="E6" s="33" t="inlineStr">
        <is>
          <t>29.09.2026</t>
        </is>
      </c>
      <c r="F6" s="3" t="inlineStr">
        <is>
          <t>Оценочные данные, точность ниже для малых сайтов</t>
        </is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28.5" customHeight="1">
      <c r="A7" s="3" t="inlineStr">
        <is>
          <t>Google Trends</t>
        </is>
      </c>
      <c r="B7" s="3" t="inlineStr">
        <is>
          <t>Динамика относительного интереса</t>
        </is>
      </c>
      <c r="C7" s="3" t="inlineStr">
        <is>
          <t>Проверка устойчивости интереса к теме</t>
        </is>
      </c>
      <c r="D7" s="3" t="inlineStr">
        <is>
          <t>https://trends.google.com/</t>
        </is>
      </c>
      <c r="E7" s="33" t="inlineStr">
        <is>
          <t>29.09.2026</t>
        </is>
      </c>
      <c r="F7" s="3" t="inlineStr">
        <is>
          <t>Индекс 0–100 не равен абсолютному спросу</t>
        </is>
      </c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28.5" customHeight="1">
      <c r="A8" s="3" t="inlineStr">
        <is>
          <t>Яндекс Вордстат</t>
        </is>
      </c>
      <c r="B8" s="3" t="inlineStr">
        <is>
          <t>Частотность запросов, регионы, динамика</t>
        </is>
      </c>
      <c r="C8" s="3" t="inlineStr">
        <is>
          <t>Проверка поискового спроса и коммерческих формулировок</t>
        </is>
      </c>
      <c r="D8" s="3" t="inlineStr">
        <is>
          <t>https://wordstat.yandex.ru/</t>
        </is>
      </c>
      <c r="E8" s="33" t="inlineStr">
        <is>
          <t>29.09.2026</t>
        </is>
      </c>
      <c r="F8" s="3" t="inlineStr">
        <is>
          <t>Отражает аудиторию Яндекса</t>
        </is>
      </c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57" customHeight="1">
      <c r="A9" s="3" t="inlineStr">
        <is>
          <t>Сайты конкурентов</t>
        </is>
      </c>
      <c r="B9" s="3" t="inlineStr">
        <is>
          <t>Цены, пакеты услуг, позиционирование, офферы</t>
        </is>
      </c>
      <c r="C9" s="3" t="inlineStr">
        <is>
          <t>Определение ценового коридора и коммерческих условий</t>
        </is>
      </c>
      <c r="D9" s="3" t="inlineStr">
        <is>
          <t>Страницы тарифов Miro, Lucidchart, Mermaid Chart, Visual Paradigm, Creately, Eraser, Whimsical, dbdiagram.io (30.09.2026)</t>
        </is>
      </c>
      <c r="E9" s="33" t="inlineStr">
        <is>
          <t>29.09.2026</t>
        </is>
      </c>
      <c r="F9" s="3" t="inlineStr">
        <is>
          <t>Неполная видимость фактических продаж</t>
        </is>
      </c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ht="42.75" customHeight="1">
      <c r="A10" s="3" t="inlineStr">
        <is>
          <t>Опросы / интервью клиентов</t>
        </is>
      </c>
      <c r="B10" s="3" t="inlineStr">
        <is>
          <t>Бюджет, готовность платить, барьеры покупки</t>
        </is>
      </c>
      <c r="C10" s="3" t="inlineStr">
        <is>
          <t>Проверка платежеспособности и экономической оправданности</t>
        </is>
      </c>
      <c r="D10" s="3" t="inlineStr">
        <is>
          <t>Планируемый первичный опрос ≥20–30 респондентов (готовность платить, допустимая цена)</t>
        </is>
      </c>
      <c r="E10" s="3" t="n"/>
      <c r="F10" s="3" t="inlineStr">
        <is>
          <t>Может быть смещенность выборки</t>
        </is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85.5" customHeight="1">
      <c r="A12" s="16" t="inlineStr">
        <is>
          <t>Белстат, стипендия и зарплата</t>
        </is>
      </c>
      <c r="B12" s="16" t="inlineStr">
        <is>
          <t>Доход сегментов</t>
        </is>
      </c>
      <c r="C12" s="16" t="inlineStr">
        <is>
          <t>Доля цены в доходе, бюджет</t>
        </is>
      </c>
      <c r="D12" s="16" t="inlineStr">
        <is>
          <t>стипендия БГУИР (вторичный источник teenage.by); з/п: Белстат, экспресс-информация янв.–авг. 2026; «информация и связь» — Белстат, таблица по видам деятельности, июль 2026 (nach_sr_zarplata-2607.xlsx)</t>
        </is>
      </c>
      <c r="E12" s="34" t="inlineStr">
        <is>
          <t>29.09.2026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6" t="inlineStr">
        <is>
          <t>НБРБ</t>
        </is>
      </c>
      <c r="B13" s="16" t="inlineStr">
        <is>
          <t>Курс у.е./BYN 3,0285</t>
        </is>
      </c>
      <c r="C13" s="16" t="inlineStr">
        <is>
          <t>Перевод цен</t>
        </is>
      </c>
      <c r="D13" s="16" t="inlineStr">
        <is>
          <t>https://api.nbrb.by/exrates/rates/431</t>
        </is>
      </c>
      <c r="E13" s="34" t="inlineStr">
        <is>
          <t>29.09.2026</t>
        </is>
      </c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2026-10-04T14:13:41Z</dcterms:created>
  <dcterms:modified xmlns:dcterms="http://purl.org/dc/terms/" xmlns:xsi="http://www.w3.org/2001/XMLSchema-instance" xsi:type="dcterms:W3CDTF">2026-10-04T15:18:40Z</dcterms:modified>
  <cp:lastModifiedBy>Aliaksandr Khajynau</cp:lastModifiedBy>
</cp:coreProperties>
</file>