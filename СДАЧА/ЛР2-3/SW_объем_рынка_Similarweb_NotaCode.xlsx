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4" activeTab="11" autoFilterDateGrouping="1"/>
  </bookViews>
  <sheets>
    <sheet xmlns:r="http://schemas.openxmlformats.org/officeDocument/2006/relationships" name="11_Вариант_М2" sheetId="1" state="visible" r:id="rId1"/>
    <sheet xmlns:r="http://schemas.openxmlformats.org/officeDocument/2006/relationships" name="10_TAM_SAM_SOM_М1" sheetId="2" state="visible" r:id="rId2"/>
    <sheet xmlns:r="http://schemas.openxmlformats.org/officeDocument/2006/relationships" name="09_Концентрация" sheetId="3" state="visible" r:id="rId3"/>
    <sheet xmlns:r="http://schemas.openxmlformats.org/officeDocument/2006/relationships" name="00_Методика" sheetId="4" state="visible" r:id="rId4"/>
    <sheet xmlns:r="http://schemas.openxmlformats.org/officeDocument/2006/relationships" name="01_Параметры" sheetId="5" state="visible" r:id="rId5"/>
    <sheet xmlns:r="http://schemas.openxmlformats.org/officeDocument/2006/relationships" name="02_Конкуренты_SW" sheetId="6" state="visible" r:id="rId6"/>
    <sheet xmlns:r="http://schemas.openxmlformats.org/officeDocument/2006/relationships" name="03_Каналы" sheetId="7" state="visible" r:id="rId7"/>
    <sheet xmlns:r="http://schemas.openxmlformats.org/officeDocument/2006/relationships" name="04_География" sheetId="8" state="visible" r:id="rId8"/>
    <sheet xmlns:r="http://schemas.openxmlformats.org/officeDocument/2006/relationships" name="05_Запросы" sheetId="9" state="visible" r:id="rId9"/>
    <sheet xmlns:r="http://schemas.openxmlformats.org/officeDocument/2006/relationships" name="06_Воронка_сценарии" sheetId="10" state="visible" r:id="rId10"/>
    <sheet xmlns:r="http://schemas.openxmlformats.org/officeDocument/2006/relationships" name="07_Дашборд" sheetId="11" state="visible" r:id="rId11"/>
    <sheet xmlns:r="http://schemas.openxmlformats.org/officeDocument/2006/relationships" name="08_Источники" sheetId="12" state="visible" r:id="rId12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#,##0\ \₽"/>
    <numFmt numFmtId="167" formatCode="yyyy\-mm\-dd"/>
  </numFmts>
  <fonts count="9">
    <font>
      <name val="Carlito"/>
      <sz val="11"/>
    </font>
    <font>
      <name val="Carlito"/>
      <b val="1"/>
      <color rgb="FFFFFFFF"/>
      <sz val="11"/>
    </font>
    <font>
      <name val="Carlito"/>
      <b val="1"/>
      <color rgb="FF0F172A"/>
      <sz val="11"/>
    </font>
    <font>
      <name val="Carlito"/>
      <b val="1"/>
      <sz val="11"/>
    </font>
    <font>
      <name val="Aptos"/>
      <family val="2"/>
      <b val="1"/>
      <color rgb="FFFFFFFF"/>
      <sz val="10"/>
    </font>
    <font>
      <name val="Aptos"/>
      <family val="2"/>
      <sz val="10"/>
    </font>
    <font>
      <name val="Carlito"/>
      <sz val="11"/>
    </font>
    <font>
      <name val="Carlito"/>
      <sz val="8"/>
    </font>
    <font>
      <name val="Carlito"/>
      <color theme="0"/>
      <sz val="11"/>
    </font>
  </fonts>
  <fills count="8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EAF3F8"/>
      </patternFill>
    </fill>
    <fill>
      <patternFill patternType="solid">
        <fgColor rgb="FFF8FBFD"/>
      </patternFill>
    </fill>
  </fills>
  <borders count="1">
    <border>
      <left/>
      <right/>
      <top/>
      <bottom/>
      <diagonal/>
    </border>
  </borders>
  <cellStyleXfs count="2">
    <xf numFmtId="0" fontId="6" fillId="0" borderId="0"/>
    <xf numFmtId="0" fontId="6" fillId="0" borderId="0"/>
  </cellStyleXfs>
  <cellXfs count="57">
    <xf numFmtId="0" fontId="0" fillId="0" borderId="0" pivotButton="0" quotePrefix="0" xfId="0"/>
    <xf numFmtId="0" fontId="1" fillId="3" borderId="0" applyAlignment="1" pivotButton="0" quotePrefix="0" xfId="1">
      <alignment horizontal="center" vertical="center" wrapText="1"/>
    </xf>
    <xf numFmtId="0" fontId="0" fillId="0" borderId="0" applyAlignment="1" pivotButton="0" quotePrefix="0" xfId="1">
      <alignment wrapText="1"/>
    </xf>
    <xf numFmtId="3" fontId="0" fillId="0" borderId="0" pivotButton="0" quotePrefix="0" xfId="1"/>
    <xf numFmtId="9" fontId="0" fillId="0" borderId="0" pivotButton="0" quotePrefix="0" xfId="1"/>
    <xf numFmtId="0" fontId="3" fillId="5" borderId="0" applyAlignment="1" pivotButton="0" quotePrefix="0" xfId="1">
      <alignment horizontal="left" vertical="top" wrapText="1"/>
    </xf>
    <xf numFmtId="3" fontId="3" fillId="5" borderId="0" applyAlignment="1" pivotButton="0" quotePrefix="0" xfId="1">
      <alignment horizontal="left" vertical="top" wrapText="1"/>
    </xf>
    <xf numFmtId="164" fontId="0" fillId="0" borderId="0" pivotButton="0" quotePrefix="0" xfId="1"/>
    <xf numFmtId="164" fontId="3" fillId="5" borderId="0" applyAlignment="1" pivotButton="0" quotePrefix="0" xfId="1">
      <alignment horizontal="left" vertical="top" wrapText="1"/>
    </xf>
    <xf numFmtId="165" fontId="0" fillId="0" borderId="0" pivotButton="0" quotePrefix="0" xfId="1"/>
    <xf numFmtId="165" fontId="3" fillId="5" borderId="0" applyAlignment="1" pivotButton="0" quotePrefix="0" xfId="1">
      <alignment horizontal="left" vertical="top" wrapText="1"/>
    </xf>
    <xf numFmtId="166" fontId="0" fillId="0" borderId="0" pivotButton="0" quotePrefix="0" xfId="1"/>
    <xf numFmtId="0" fontId="3" fillId="6" borderId="0" applyAlignment="1" pivotButton="0" quotePrefix="0" xfId="1">
      <alignment horizontal="left" vertical="center" wrapText="1"/>
    </xf>
    <xf numFmtId="0" fontId="0" fillId="7" borderId="0" applyAlignment="1" pivotButton="0" quotePrefix="0" xfId="1">
      <alignment horizontal="left" vertical="center" wrapText="1"/>
    </xf>
    <xf numFmtId="3" fontId="0" fillId="7" borderId="0" applyAlignment="1" pivotButton="0" quotePrefix="0" xfId="1">
      <alignment horizontal="left" vertical="center" wrapText="1"/>
    </xf>
    <xf numFmtId="3" fontId="3" fillId="6" borderId="0" applyAlignment="1" pivotButton="0" quotePrefix="0" xfId="1">
      <alignment horizontal="left" vertical="center" wrapText="1"/>
    </xf>
    <xf numFmtId="166" fontId="0" fillId="7" borderId="0" applyAlignment="1" pivotButton="0" quotePrefix="0" xfId="1">
      <alignment horizontal="left" vertical="center" wrapText="1"/>
    </xf>
    <xf numFmtId="166" fontId="3" fillId="6" borderId="0" applyAlignment="1" pivotButton="0" quotePrefix="0" xfId="1">
      <alignment horizontal="left" vertical="center" wrapText="1"/>
    </xf>
    <xf numFmtId="164" fontId="0" fillId="7" borderId="0" applyAlignment="1" pivotButton="0" quotePrefix="0" xfId="1">
      <alignment horizontal="left" vertical="center" wrapText="1"/>
    </xf>
    <xf numFmtId="0" fontId="5" fillId="0" borderId="0" pivotButton="0" quotePrefix="0" xfId="1"/>
    <xf numFmtId="3" fontId="0" fillId="0" borderId="0" pivotButton="0" quotePrefix="0" xfId="0"/>
    <xf numFmtId="9" fontId="0" fillId="0" borderId="0" pivotButton="0" quotePrefix="0" xfId="0"/>
    <xf numFmtId="0" fontId="4" fillId="2" borderId="0" applyAlignment="1" pivotButton="0" quotePrefix="0" xfId="1">
      <alignment horizontal="center" vertical="center" wrapText="1"/>
    </xf>
    <xf numFmtId="0" fontId="2" fillId="4" borderId="0" applyAlignment="1" pivotButton="0" quotePrefix="0" xfId="1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9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 wrapText="1"/>
    </xf>
    <xf numFmtId="167" fontId="0" fillId="0" borderId="0" applyAlignment="1" pivotButton="0" quotePrefix="0" xfId="1">
      <alignment vertical="center" wrapText="1"/>
    </xf>
    <xf numFmtId="3" fontId="0" fillId="0" borderId="0" applyAlignment="1" pivotButton="0" quotePrefix="0" xfId="1">
      <alignment vertical="center" wrapText="1"/>
    </xf>
    <xf numFmtId="9" fontId="0" fillId="0" borderId="0" applyAlignment="1" pivotButton="0" quotePrefix="0" xfId="1">
      <alignment vertical="center" wrapText="1"/>
    </xf>
    <xf numFmtId="164" fontId="0" fillId="0" borderId="0" applyAlignment="1" pivotButton="0" quotePrefix="0" xfId="1">
      <alignment vertical="center" wrapText="1"/>
    </xf>
    <xf numFmtId="165" fontId="0" fillId="0" borderId="0" applyAlignment="1" pivotButton="0" quotePrefix="0" xfId="1">
      <alignment vertical="center" wrapText="1"/>
    </xf>
    <xf numFmtId="21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66" fontId="0" fillId="0" borderId="0" applyAlignment="1" pivotButton="0" quotePrefix="0" xfId="1">
      <alignment vertic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1">
      <alignment vertical="center" wrapText="1"/>
    </xf>
    <xf numFmtId="22" fontId="0" fillId="0" borderId="0" applyAlignment="1" pivotButton="0" quotePrefix="0" xfId="0">
      <alignment vertical="center" wrapText="1"/>
    </xf>
    <xf numFmtId="167" fontId="0" fillId="0" borderId="0" applyAlignment="1" pivotButton="0" quotePrefix="0" xfId="1">
      <alignment vertical="center" wrapText="1"/>
    </xf>
    <xf numFmtId="164" fontId="0" fillId="0" borderId="0" applyAlignment="1" pivotButton="0" quotePrefix="0" xfId="1">
      <alignment vertical="center" wrapText="1"/>
    </xf>
    <xf numFmtId="165" fontId="0" fillId="0" borderId="0" applyAlignment="1" pivotButton="0" quotePrefix="0" xfId="1">
      <alignment vertical="center" wrapText="1"/>
    </xf>
    <xf numFmtId="164" fontId="0" fillId="0" borderId="0" pivotButton="0" quotePrefix="0" xfId="1"/>
    <xf numFmtId="165" fontId="0" fillId="0" borderId="0" pivotButton="0" quotePrefix="0" xfId="1"/>
    <xf numFmtId="164" fontId="3" fillId="5" borderId="0" applyAlignment="1" pivotButton="0" quotePrefix="0" xfId="1">
      <alignment horizontal="left" vertical="top" wrapText="1"/>
    </xf>
    <xf numFmtId="165" fontId="3" fillId="5" borderId="0" applyAlignment="1" pivotButton="0" quotePrefix="0" xfId="1">
      <alignment horizontal="left" vertical="top" wrapText="1"/>
    </xf>
    <xf numFmtId="166" fontId="0" fillId="0" borderId="0" pivotButton="0" quotePrefix="0" xfId="1"/>
    <xf numFmtId="166" fontId="0" fillId="0" borderId="0" applyAlignment="1" pivotButton="0" quotePrefix="0" xfId="1">
      <alignment vertical="center" wrapText="1"/>
    </xf>
    <xf numFmtId="166" fontId="0" fillId="7" borderId="0" applyAlignment="1" pivotButton="0" quotePrefix="0" xfId="1">
      <alignment horizontal="left" vertical="center" wrapText="1"/>
    </xf>
    <xf numFmtId="166" fontId="3" fillId="6" borderId="0" applyAlignment="1" pivotButton="0" quotePrefix="0" xfId="1">
      <alignment horizontal="left" vertical="center" wrapText="1"/>
    </xf>
    <xf numFmtId="164" fontId="0" fillId="7" borderId="0" applyAlignment="1" pivotButton="0" quotePrefix="0" xfId="1">
      <alignment horizontal="left" vertical="center" wrapText="1"/>
    </xf>
    <xf numFmtId="49" fontId="0" fillId="0" borderId="0" applyAlignment="1" pivotButton="0" quotePrefix="0" xfId="1">
      <alignment vertical="center" wrapText="1"/>
    </xf>
    <xf numFmtId="49" fontId="0" fillId="0" borderId="0" applyAlignment="1" pivotButton="0" quotePrefix="0" xfId="0">
      <alignment vertical="center" wrapText="1"/>
    </xf>
  </cellXfs>
  <cellStyles count="2">
    <cellStyle name="Обычный" xfId="0" builtinId="0"/>
    <cellStyle name="Normal" xfId="1"/>
  </cellStyles>
  <dxfs count="85">
    <dxf>
      <alignment horizontal="general" vertical="center" wrapText="1"/>
    </dxf>
    <dxf>
      <alignment vertical="center" wrapText="1"/>
    </dxf>
    <dxf>
      <alignment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vertical="center" wrapText="1"/>
    </dxf>
    <dxf>
      <alignment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center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wrapText="1"/>
    </dxf>
    <dxf>
      <alignment vertical="center" wrapText="1"/>
    </dxf>
    <dxf>
      <alignment horizontal="general" vertical="center" wrapText="1"/>
    </dxf>
    <dxf>
      <numFmt numFmtId="0" formatCode="General"/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Рынок, год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'07_Дашборд'!$A$11:$A$13</f>
              <strCache>
                <ptCount val="3"/>
                <pt idx="0">
                  <v>Осторожный</v>
                </pt>
                <pt idx="1">
                  <v>Базовый</v>
                </pt>
                <pt idx="2">
                  <v>Оптимистичный</v>
                </pt>
              </strCache>
            </strRef>
          </cat>
          <val>
            <numRef>
              <f>'07_Дашборд'!$B$11:$B$13</f>
              <numCache>
                <formatCode>#,##0\ \₽</formatCode>
                <ptCount val="3"/>
                <pt idx="0">
                  <v>7689.721091976001</v>
                </pt>
                <pt idx="1">
                  <v>21970.63169136</v>
                </pt>
                <pt idx="2">
                  <v>139815.034338</v>
                </pt>
              </numCache>
            </numRef>
          </val>
        </ser>
        <ser>
          <idx val="1"/>
          <order val="1"/>
          <tx>
            <v>SOM нового бизнеса, год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'07_Дашборд'!$A$11:$A$13</f>
              <strCache>
                <ptCount val="3"/>
                <pt idx="0">
                  <v>Осторожный</v>
                </pt>
                <pt idx="1">
                  <v>Базовый</v>
                </pt>
                <pt idx="2">
                  <v>Оптимистичный</v>
                </pt>
              </strCache>
            </strRef>
          </cat>
          <val>
            <numRef>
              <f>'07_Дашборд'!$C$11:$C$13</f>
              <numCache>
                <formatCode>#,##0\ \₽</formatCode>
                <ptCount val="3"/>
                <pt idx="0">
                  <v>38.44860545988001</v>
                </pt>
                <pt idx="1">
                  <v>329.5594753704</v>
                </pt>
                <pt idx="2">
                  <v>4893.526201830002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#,##0\ \₽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Доля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'07_Дашборд'!$A$17:$A$22</f>
              <strCache>
                <ptCount val="6"/>
                <pt idx="0">
                  <v>Direct</v>
                </pt>
                <pt idx="1">
                  <v>Organic search</v>
                </pt>
                <pt idx="2">
                  <v>Referral</v>
                </pt>
                <pt idx="3">
                  <v>Social</v>
                </pt>
                <pt idx="4">
                  <v>Paid search</v>
                </pt>
                <pt idx="5">
                  <v>Display</v>
                </pt>
              </strCache>
            </strRef>
          </cat>
          <val>
            <numRef>
              <f>'07_Дашборд'!$B$17:$B$22</f>
              <numCache>
                <formatCode>0.0%</formatCode>
                <ptCount val="6"/>
                <pt idx="0">
                  <v>0</v>
                </pt>
                <pt idx="1">
                  <v>0.4847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%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4</col>
      <colOff>0</colOff>
      <row>9</row>
      <rowOff>0</rowOff>
    </from>
    <to>
      <col>12</col>
      <colOff>0</colOff>
      <row>25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</col>
      <colOff>19050</colOff>
      <row>28</row>
      <rowOff>38100</rowOff>
    </from>
    <to>
      <col>12</col>
      <colOff>19050</colOff>
      <row>44</row>
      <rowOff>38100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MethodTable" displayName="MethodTable" ref="A3:H11" headerRowCount="1">
  <tableColumns count="8">
    <tableColumn id="1" name="Блок"/>
    <tableColumn id="2" name="Цель"/>
    <tableColumn id="3" name="Действие"/>
    <tableColumn id="4" name="Что фиксировать"/>
    <tableColumn id="5" name="Расчетный результат"/>
    <tableColumn id="6" name="Ограничения"/>
    <tableColumn id="7" name="Лист Excel"/>
    <tableColumn id="8" name="Выходной вывод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aramsTable" displayName="ParamsTable" ref="A3:D13" headerRowCount="1" dataDxfId="80">
  <tableColumns count="4">
    <tableColumn id="1" name="Параметр" dataDxfId="84"/>
    <tableColumn id="2" name="Значение" dataDxfId="83"/>
    <tableColumn id="3" name="Единица / формат" dataDxfId="82"/>
    <tableColumn id="4" name="Комментарий" dataDxfId="8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mpetitorsTable" displayName="CompetitorsTable" ref="A3:S23" headerRowCount="1" dataDxfId="60">
  <tableColumns count="19">
    <tableColumn id="1" name="Домен" dataDxfId="79"/>
    <tableColumn id="2" name="Название / конкурент" dataDxfId="78"/>
    <tableColumn id="3" name="Сегмент" dataDxfId="77"/>
    <tableColumn id="4" name="Тип" dataDxfId="76"/>
    <tableColumn id="5" name="Monthly visits" dataDxfId="75"/>
    <tableColumn id="6" name="Доля выбранной географии" dataDxfId="74"/>
    <tableColumn id="7" name="Релевантный трафик, мес." dataDxfId="73"/>
    <tableColumn id="8" name="Релевантный трафик, год" dataDxfId="72"/>
    <tableColumn id="9" name="Доля рынка по трафику" dataDxfId="71"/>
    <tableColumn id="10" name="Bounce rate" dataDxfId="70"/>
    <tableColumn id="11" name="Pages / visit" dataDxfId="69"/>
    <tableColumn id="12" name="Avg duration" dataDxfId="68"/>
    <tableColumn id="13" name="Direct" dataDxfId="67"/>
    <tableColumn id="14" name="Organic search" dataDxfId="66"/>
    <tableColumn id="15" name="Referral" dataDxfId="65"/>
    <tableColumn id="16" name="Social" dataDxfId="64"/>
    <tableColumn id="17" name="Paid search" dataDxfId="63"/>
    <tableColumn id="18" name="Display" dataDxfId="62"/>
    <tableColumn id="19" name="Комментарий" dataDxfId="6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hannelsTable" displayName="ChannelsTable" ref="A3:H9" headerRowCount="1" dataDxfId="51">
  <tableColumns count="8">
    <tableColumn id="1" name="Канал" dataDxfId="59"/>
    <tableColumn id="2" name="Средневзвешенная доля" dataDxfId="58"/>
    <tableColumn id="3" name="Оценка рыночного трафика, мес." dataDxfId="57"/>
    <tableColumn id="4" name="Оценка рыночного трафика, год" dataDxfId="56"/>
    <tableColumn id="5" name="Коммерческая интерпретация" dataDxfId="55"/>
    <tableColumn id="6" name="Что проверить дополнительно" dataDxfId="54"/>
    <tableColumn id="7" name="Ограничение" dataDxfId="53"/>
    <tableColumn id="8" name="Приоритет" dataDxfId="5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GeoTable" displayName="GeoTable" ref="A3:J7" headerRowCount="1" headerRowDxfId="39" dataDxfId="40">
  <tableColumns count="10">
    <tableColumn id="1" name="Страна / регион" dataDxfId="50"/>
    <tableColumn id="2" name="Доля трафика по Similarweb" dataDxfId="49"/>
    <tableColumn id="3" name="Оценка месячного трафика рынка" dataDxfId="48"/>
    <tableColumn id="4" name="Оценка годового трафика рынка" dataDxfId="47"/>
    <tableColumn id="5" name="Платежеспособность / доступность" dataDxfId="46"/>
    <tableColumn id="6" name="Конкурентная плотность" dataDxfId="45"/>
    <tableColumn id="7" name="Приоритет рынка" dataDxfId="44"/>
    <tableColumn id="8" name="Комментарий" dataDxfId="43"/>
    <tableColumn id="9" name="Корректно (П-10): трафик до географического сужения × доля, мес." dataDxfId="42">
      <calculatedColumnFormula>B4*SUM('02_Конкуренты_SW'!$E$4:$E$23)/'01_Параметры'!$B$11</calculatedColumnFormula>
    </tableColumn>
    <tableColumn id="10" name="Корректно, год" dataDxfId="41">
      <calculatedColumnFormula>I4*12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QueriesTable" displayName="QueriesTable" ref="A3:K10" headerRowCount="1" headerRowDxfId="38" dataDxfId="26">
  <tableColumns count="11">
    <tableColumn id="1" name="Запрос / ключевая фраза" dataDxfId="37"/>
    <tableColumn id="2" name="Источник" dataDxfId="36"/>
    <tableColumn id="3" name="Доля поискового трафика" dataDxfId="35"/>
    <tableColumn id="4" name="Оценочный месячный трафик" dataDxfId="34"/>
    <tableColumn id="5" name="Тип намерения" dataDxfId="33"/>
    <tableColumn id="6" name="Коммерческий вес" dataDxfId="32"/>
    <tableColumn id="7" name="Индекс коммерческого интереса" dataDxfId="31"/>
    <tableColumn id="8" name="Сегмент" dataDxfId="30"/>
    <tableColumn id="9" name="Решение" dataDxfId="29"/>
    <tableColumn id="10" name="Комментарий" dataDxfId="28"/>
    <tableColumn id="11" name="Корректно (П-11): D × доля Organic" dataDxfId="27">
      <calculatedColumnFormula>D4*'03_Каналы'!$B$5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cenarioTable" displayName="ScenarioTable" ref="A4:J7" headerRowCount="1" headerRowDxfId="18">
  <tableColumns count="10">
    <tableColumn id="1" name="Сценарий"/>
    <tableColumn id="2" name="Коэффициент покрытия конкурентов"/>
    <tableColumn id="3" name="Оценка рынка: посещения/мес."/>
    <tableColumn id="4" name="Конверсия в заявку"/>
    <tableColumn id="5" name="Конверсия заявки в продажу"/>
    <tableColumn id="6" name="Средний чек"/>
    <tableColumn id="7" name="Покупок/клиента в год"/>
    <tableColumn id="8" name="Заказов/мес."/>
    <tableColumn id="9" name="Выручка/мес."/>
    <tableColumn id="10" name="Выручка/год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omTable" displayName="SomTable" ref="A11:F14" headerRowCount="1" dataDxfId="19">
  <tableColumns count="6">
    <tableColumn id="1" name="Сценарий" dataDxfId="25"/>
    <tableColumn id="2" name="Рыночная выручка/год" dataDxfId="24"/>
    <tableColumn id="3" name="Достижимая доля нового бизнеса" dataDxfId="23"/>
    <tableColumn id="4" name="Потенциальная выручка нового бизнеса/год" dataDxfId="22"/>
    <tableColumn id="5" name="Комментарий" dataDxfId="21"/>
    <tableColumn id="6" name="Ограничение" dataDxfId="2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SourcesTable" displayName="SourcesTable" ref="A3:F9" headerRowCount="1" headerRowDxfId="11" dataDxfId="9" totalsRowDxfId="10">
  <tableColumns count="6">
    <tableColumn id="1" name="Источник" dataDxfId="17"/>
    <tableColumn id="2" name="Что брать" dataDxfId="16"/>
    <tableColumn id="3" name="Как фиксировать" dataDxfId="15"/>
    <tableColumn id="4" name="Ссылка" dataDxfId="14"/>
    <tableColumn id="5" name="Дата обращения" dataDxfId="13"/>
    <tableColumn id="6" name="Ограничение" dataDxfId="1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DataLogTable" displayName="DataLogTable" ref="A13:F21" headerRowCount="1" headerRowDxfId="2" dataDxfId="0" totalsRowDxfId="1">
  <tableColumns count="6">
    <tableColumn id="1" name="Дата" dataDxfId="8"/>
    <tableColumn id="2" name="Сайт / домен" dataDxfId="7"/>
    <tableColumn id="3" name="Раздел Similarweb" dataDxfId="6"/>
    <tableColumn id="4" name="Показатель" dataDxfId="5"/>
    <tableColumn id="5" name="Значение" dataDxfId="4"/>
    <tableColumn id="6" name="Комментарий / снимок экрана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table" Target="/xl/tables/table8.xml" Id="rId2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table" Target="/xl/tables/table10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8" sqref="A18"/>
    </sheetView>
  </sheetViews>
  <sheetFormatPr baseColWidth="8" defaultRowHeight="14.25"/>
  <cols>
    <col width="60.625" customWidth="1" min="1" max="1"/>
    <col width="22.625" customWidth="1" min="2" max="7"/>
  </cols>
  <sheetData>
    <row r="1">
      <c r="A1" t="inlineStr">
        <is>
          <t>Вариант по М2 (табл. 9, 11, 21): охват 0,45 / 0,65 / 0,85; коммерчески релевантная доля 20 / 35 / 50 %; годовой объём = месячный × 12</t>
        </is>
      </c>
    </row>
    <row r="3">
      <c r="A3" t="inlineStr">
        <is>
          <t>Показатель</t>
        </is>
      </c>
      <c r="B3" t="inlineStr">
        <is>
          <t>Осторожный</t>
        </is>
      </c>
      <c r="C3" t="inlineStr">
        <is>
          <t>Базовый</t>
        </is>
      </c>
      <c r="D3" t="inlineStr">
        <is>
          <t>Оптимистичный</t>
        </is>
      </c>
      <c r="E3" t="inlineStr">
        <is>
          <t>Комментарий</t>
        </is>
      </c>
    </row>
    <row r="4">
      <c r="A4" t="inlineStr">
        <is>
          <t>V_sample: визиты выборки, мес. (Σ)</t>
        </is>
      </c>
      <c r="B4" s="20">
        <f>SUM('02_Конкуренты_SW'!E4:E23)</f>
        <v/>
      </c>
      <c r="C4" s="20">
        <f>SUM('02_Конкуренты_SW'!E4:E23)</f>
        <v/>
      </c>
      <c r="D4" s="20">
        <f>SUM('02_Конкуренты_SW'!E4:E23)</f>
        <v/>
      </c>
      <c r="E4" t="inlineStr">
        <is>
          <t>М2 табл. 8</t>
        </is>
      </c>
    </row>
    <row r="5">
      <c r="A5" t="inlineStr">
        <is>
          <t>Доля географии (РБ), Д-01</t>
        </is>
      </c>
      <c r="B5" s="21">
        <f>'02_Конкуренты_SW'!F4</f>
        <v/>
      </c>
      <c r="C5" s="21">
        <f>'02_Конкуренты_SW'!F4</f>
        <v/>
      </c>
      <c r="D5" s="21">
        <f>'02_Конкуренты_SW'!F4</f>
        <v/>
      </c>
    </row>
    <row r="6">
      <c r="A6" t="inlineStr">
        <is>
          <t>V_geo = V_sample × доля географии</t>
        </is>
      </c>
      <c r="B6">
        <f>B4*B5</f>
        <v/>
      </c>
      <c r="C6">
        <f>C4*C5</f>
        <v/>
      </c>
      <c r="D6">
        <f>D4*D5</f>
        <v/>
      </c>
    </row>
    <row r="7">
      <c r="A7" t="inlineStr">
        <is>
          <t>Коэффициент охвата выборки</t>
        </is>
      </c>
      <c r="B7" t="n">
        <v>0.45</v>
      </c>
      <c r="C7" t="n">
        <v>0.65</v>
      </c>
      <c r="D7" t="n">
        <v>0.85</v>
      </c>
      <c r="E7" t="inlineStr">
        <is>
          <t>М2 табл. 21 (шкала табл. 9: 0,40–0,55 / 0,60–0,75 / 0,80–0,90)</t>
        </is>
      </c>
    </row>
    <row r="8">
      <c r="A8" t="inlineStr">
        <is>
          <t>V_total = V_geo / охват</t>
        </is>
      </c>
      <c r="B8">
        <f>B6/B7</f>
        <v/>
      </c>
      <c r="C8">
        <f>C6/C7</f>
        <v/>
      </c>
      <c r="D8">
        <f>D6/D7</f>
        <v/>
      </c>
      <c r="E8" t="inlineStr">
        <is>
          <t>Осторожный сценарий даёт БОЛЬШЕ трафика (W-15)</t>
        </is>
      </c>
    </row>
    <row r="9">
      <c r="A9" t="inlineStr">
        <is>
          <t>Коммерчески релевантная доля</t>
        </is>
      </c>
      <c r="B9" t="n">
        <v>0.2</v>
      </c>
      <c r="C9" t="n">
        <v>0.35</v>
      </c>
      <c r="D9" t="n">
        <v>0.5</v>
      </c>
      <c r="E9" t="inlineStr">
        <is>
          <t>М2 табл. 21</t>
        </is>
      </c>
    </row>
    <row r="10">
      <c r="A10" t="inlineStr">
        <is>
          <t>Коммерчески релевантные визиты, мес</t>
        </is>
      </c>
      <c r="B10">
        <f>B8*B9</f>
        <v/>
      </c>
      <c r="C10">
        <f>C8*C9</f>
        <v/>
      </c>
      <c r="D10">
        <f>D8*D9</f>
        <v/>
      </c>
    </row>
    <row r="11">
      <c r="A11" t="inlineStr">
        <is>
          <t>CR1 (визит → заявка)</t>
        </is>
      </c>
      <c r="B11" t="n">
        <v>0.0035</v>
      </c>
      <c r="C11" t="n">
        <v>0.01</v>
      </c>
      <c r="D11" t="n">
        <v>0.0225</v>
      </c>
      <c r="E11" t="inlineStr">
        <is>
          <t>середины диапазонов М2 табл. 11</t>
        </is>
      </c>
    </row>
    <row r="12">
      <c r="A12" t="inlineStr">
        <is>
          <t>CR2 (заявка → оплата Pro)</t>
        </is>
      </c>
      <c r="B12" t="n">
        <v>0.03</v>
      </c>
      <c r="C12" t="n">
        <v>0.04</v>
      </c>
      <c r="D12" t="n">
        <v>0.05</v>
      </c>
      <c r="E12" t="inlineStr">
        <is>
          <t>допущение проекта Free → Pro 3–5 % (шкала М2 5–40 % для freemium неприменима)</t>
        </is>
      </c>
    </row>
    <row r="13">
      <c r="A13" t="inlineStr">
        <is>
          <t>Средний чек, BYN/год</t>
        </is>
      </c>
      <c r="B13" t="n">
        <v>121.14</v>
      </c>
      <c r="C13" t="n">
        <v>121.14</v>
      </c>
      <c r="D13" t="n">
        <v>290.74</v>
      </c>
      <c r="E13" t="inlineStr">
        <is>
          <t>40 у.е./год (осторожный, базовый); медиана входных тарифов конкурентов</t>
        </is>
      </c>
    </row>
    <row r="14">
      <c r="A14" t="inlineStr">
        <is>
          <t>Месячный объём, BYN</t>
        </is>
      </c>
      <c r="B14">
        <f>B10*B11*B12*B13</f>
        <v/>
      </c>
      <c r="C14">
        <f>C10*C11*C12*C13</f>
        <v/>
      </c>
      <c r="D14">
        <f>D10*D11*D12*D13</f>
        <v/>
      </c>
    </row>
    <row r="15">
      <c r="A15" t="inlineStr">
        <is>
          <t>Годовой объём, BYN (× 12, М2)</t>
        </is>
      </c>
      <c r="B15">
        <f>B14*12</f>
        <v/>
      </c>
      <c r="C15">
        <f>C14*12</f>
        <v/>
      </c>
      <c r="D15">
        <f>D14*12</f>
        <v/>
      </c>
      <c r="E15" t="inlineStr">
        <is>
          <t>М2: × 12 (в SW-X: × 12 × покупок)</t>
        </is>
      </c>
    </row>
    <row r="16">
      <c r="A16" t="inlineStr">
        <is>
          <t>Достижимая доля (SOM)</t>
        </is>
      </c>
      <c r="B16" t="n">
        <v>0.005</v>
      </c>
      <c r="C16" t="n">
        <v>0.015</v>
      </c>
      <c r="D16" t="n">
        <v>0.035</v>
      </c>
      <c r="E16" t="inlineStr">
        <is>
          <t>как в листе 06</t>
        </is>
      </c>
    </row>
    <row r="17">
      <c r="A17" t="inlineStr">
        <is>
          <t>SOM, BYN/год</t>
        </is>
      </c>
      <c r="B17">
        <f>B15*B16</f>
        <v/>
      </c>
      <c r="C17">
        <f>C15*C16</f>
        <v/>
      </c>
      <c r="D17">
        <f>D15*D16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32" sqref="A32"/>
    </sheetView>
  </sheetViews>
  <sheetFormatPr baseColWidth="8" defaultRowHeight="14.25"/>
  <cols>
    <col width="60.625" customWidth="1" min="1" max="1"/>
    <col width="22.625" customWidth="1" min="2" max="7"/>
  </cols>
  <sheetData>
    <row r="1">
      <c r="A1" s="26" t="inlineStr">
        <is>
          <t>TAM / SAM / SOM цифрового внимания по М1 табл. 22 (базовый сценарий листа 06)</t>
        </is>
      </c>
      <c r="B1" s="26" t="n"/>
      <c r="C1" s="26" t="n"/>
      <c r="D1" s="26" t="n"/>
      <c r="E1" s="26" t="n"/>
    </row>
    <row r="2">
      <c r="A2" s="26" t="n"/>
      <c r="B2" s="26" t="n"/>
      <c r="C2" s="26" t="n"/>
      <c r="D2" s="26" t="n"/>
      <c r="E2" s="26" t="n"/>
    </row>
    <row r="3" ht="28.5" customHeight="1">
      <c r="A3" s="25" t="inlineStr">
        <is>
          <t>TAM цифрового внимания: суммарный трафик релевантных сайтов категории, визиты/мес</t>
        </is>
      </c>
      <c r="B3" s="27">
        <f>SUM('02_Конкуренты_SW'!E4:E23)</f>
        <v/>
      </c>
      <c r="C3" s="26" t="n"/>
      <c r="D3" s="26" t="n"/>
      <c r="E3" s="26" t="n"/>
    </row>
    <row r="4">
      <c r="A4" s="25" t="inlineStr">
        <is>
          <t>Доля страны (Беларусь), допущение Д-01</t>
        </is>
      </c>
      <c r="B4" s="28">
        <f>'02_Конкуренты_SW'!F4</f>
        <v/>
      </c>
      <c r="C4" s="26" t="n"/>
      <c r="D4" s="26" t="n"/>
      <c r="E4" s="26" t="n"/>
    </row>
    <row r="5">
      <c r="A5" s="25" t="inlineStr">
        <is>
          <t>SAM по географии, визиты/мес. = TAM × доля страны</t>
        </is>
      </c>
      <c r="B5" s="26">
        <f>B3*B4</f>
        <v/>
      </c>
      <c r="C5" s="26" t="n"/>
      <c r="D5" s="26" t="n"/>
      <c r="E5" s="26" t="n"/>
    </row>
    <row r="6">
      <c r="A6" s="25" t="inlineStr">
        <is>
          <t>Доля релевантных каналов (Organic Search, plantuml.com)</t>
        </is>
      </c>
      <c r="B6" s="26">
        <f>'03_Каналы'!B5</f>
        <v/>
      </c>
      <c r="C6" s="26" t="n"/>
      <c r="D6" s="26" t="n"/>
      <c r="E6" s="26" t="n"/>
    </row>
    <row r="7">
      <c r="A7" s="25" t="inlineStr">
        <is>
          <t>SAM по каналу, визиты/мес</t>
        </is>
      </c>
      <c r="B7" s="26">
        <f>B5*B6</f>
        <v/>
      </c>
      <c r="C7" s="26" t="n"/>
      <c r="D7" s="26" t="n"/>
      <c r="E7" s="26" t="n"/>
    </row>
    <row r="8">
      <c r="A8" s="25" t="inlineStr">
        <is>
          <t>Достижимая доля (базовая, лист 06)</t>
        </is>
      </c>
      <c r="B8" s="26">
        <f>'06_Воронка_сценарии'!C13</f>
        <v/>
      </c>
      <c r="C8" s="26" t="n"/>
      <c r="D8" s="26" t="n"/>
      <c r="E8" s="26" t="n"/>
    </row>
    <row r="9">
      <c r="A9" s="25" t="inlineStr">
        <is>
          <t>SOM по трафику, визиты/мес. = SAM × достижимая доля</t>
        </is>
      </c>
      <c r="B9" s="26">
        <f>B7*B8</f>
        <v/>
      </c>
      <c r="C9" s="26" t="n"/>
      <c r="D9" s="26" t="n"/>
      <c r="E9" s="26" t="n"/>
    </row>
    <row r="10">
      <c r="A10" s="25" t="inlineStr">
        <is>
          <t>CR1 (лист 06, базовый)</t>
        </is>
      </c>
      <c r="B10" s="26">
        <f>'06_Воронка_сценарии'!D6</f>
        <v/>
      </c>
      <c r="C10" s="26" t="n"/>
      <c r="D10" s="26" t="n"/>
      <c r="E10" s="26" t="n"/>
    </row>
    <row r="11">
      <c r="A11" s="25" t="inlineStr">
        <is>
          <t>CR2 (лист 06, базовый)</t>
        </is>
      </c>
      <c r="B11" s="26">
        <f>'06_Воронка_сценарии'!E6</f>
        <v/>
      </c>
      <c r="C11" s="26" t="n"/>
      <c r="D11" s="26" t="n"/>
      <c r="E11" s="26" t="n"/>
    </row>
    <row r="12">
      <c r="A12" s="25" t="inlineStr">
        <is>
          <t>Средний чек, BYN (лист 06)</t>
        </is>
      </c>
      <c r="B12" s="26">
        <f>'06_Воронка_сценарии'!F6</f>
        <v/>
      </c>
      <c r="C12" s="26" t="n"/>
      <c r="D12" s="26" t="n"/>
      <c r="E12" s="26" t="n"/>
    </row>
    <row r="13">
      <c r="A13" s="25" t="inlineStr">
        <is>
          <t>Число покупок в год</t>
        </is>
      </c>
      <c r="B13" s="26">
        <f>'06_Воронка_сценарии'!G6</f>
        <v/>
      </c>
      <c r="C13" s="26" t="n"/>
      <c r="D13" s="26" t="n"/>
      <c r="E13" s="26" t="n"/>
    </row>
    <row r="14" ht="28.5" customHeight="1">
      <c r="A14" s="25" t="inlineStr">
        <is>
          <t>SOM по выручке, BYN/год = SOM по трафику × 12 × CR1 × CR2 × чек × число покупок</t>
        </is>
      </c>
      <c r="B14" s="26">
        <f>B9*12*B10*B11*B12*B13</f>
        <v/>
      </c>
      <c r="C14" s="26" t="n"/>
      <c r="D14" s="26" t="n"/>
      <c r="E14" s="26" t="n"/>
    </row>
    <row r="15" ht="28.5" customHeight="1">
      <c r="A15" s="25" t="inlineStr">
        <is>
          <t>Проверка конкурентами: средняя выручка конкурента (при параметрах NotaCode), BYN/год</t>
        </is>
      </c>
      <c r="B15" s="26">
        <f>AVERAGE('02_Конкуренты_SW'!G4:G7)*12*B10*B11*B12*B13</f>
        <v/>
      </c>
      <c r="C15" s="26" t="n"/>
      <c r="D15" s="26" t="n"/>
      <c r="E15" s="26" t="n"/>
    </row>
    <row r="16">
      <c r="A16" s="25" t="inlineStr">
        <is>
          <t>Число активных конкурентов в выборке</t>
        </is>
      </c>
      <c r="B16" s="26">
        <f>'01_Параметры'!B8</f>
        <v/>
      </c>
      <c r="C16" s="26" t="n"/>
      <c r="D16" s="26" t="n"/>
      <c r="E16" s="26" t="n"/>
    </row>
    <row r="17">
      <c r="A17" s="25" t="inlineStr">
        <is>
          <t>Проверка конкурентами: сумма, BYN/год</t>
        </is>
      </c>
      <c r="B17" s="26">
        <f>B15*B16</f>
        <v/>
      </c>
      <c r="C17" s="26" t="n"/>
      <c r="D17" s="26" t="n"/>
      <c r="E17" s="26" t="n"/>
    </row>
    <row r="18">
      <c r="A18" s="26" t="n"/>
      <c r="B18" s="26" t="n"/>
      <c r="C18" s="26" t="n"/>
      <c r="D18" s="26" t="n"/>
      <c r="E18" s="26" t="n"/>
    </row>
    <row r="19">
      <c r="A19" s="26" t="n"/>
      <c r="B19" s="26" t="n"/>
      <c r="C19" s="26" t="n"/>
      <c r="D19" s="26" t="n"/>
      <c r="E19" s="26" t="n"/>
    </row>
    <row r="20">
      <c r="A20" s="26" t="inlineStr">
        <is>
          <t>Канальный SAM рассчитан по доле Organic одного домена (plantuml.com) — остальные доли в бесплатном доступе не показаны. Проверка поиском — лист 05_Запросы</t>
        </is>
      </c>
      <c r="B20" s="26" t="n"/>
      <c r="C20" s="26" t="n"/>
      <c r="D20" s="26" t="n"/>
      <c r="E20" s="26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topLeftCell="B1" workbookViewId="0">
      <selection activeCell="F17" sqref="F17"/>
    </sheetView>
  </sheetViews>
  <sheetFormatPr baseColWidth="8" defaultRowHeight="14.25"/>
  <cols>
    <col width="60.625" customWidth="1" style="25" min="1" max="1"/>
    <col width="22.625" customWidth="1" style="25" min="2" max="4"/>
    <col width="26.25" customWidth="1" style="25" min="5" max="5"/>
    <col width="20.75" customWidth="1" style="25" min="6" max="6"/>
    <col width="26.375" customWidth="1" style="25" min="7" max="7"/>
    <col width="30.25" customWidth="1" style="25" min="8" max="8"/>
    <col width="24.625" customWidth="1" style="25" min="9" max="9"/>
    <col width="23" customWidth="1" style="25" min="10" max="10"/>
    <col width="30.5" customWidth="1" style="25" min="11" max="11"/>
    <col width="9" customWidth="1" style="25" min="12" max="16384"/>
  </cols>
  <sheetData>
    <row r="1" ht="28.5" customHeight="1">
      <c r="A1" s="25" t="inlineStr">
        <is>
          <t>Концентрация цифрового трафика: CR3, CR5, HHI (дополнение к шаблону, Р-42; М1 §7.2, М2 §12)</t>
        </is>
      </c>
    </row>
    <row r="3" ht="71.25" customHeight="1">
      <c r="A3" s="25" t="inlineStr">
        <is>
          <t>Домен</t>
        </is>
      </c>
      <c r="B3" s="25" t="inlineStr">
        <is>
          <t>Визиты/мес. (сырые)</t>
        </is>
      </c>
      <c r="C3" s="25" t="inlineStr">
        <is>
          <t>Доля по сырым визитам (М1 ф. 2, SWБ §7)</t>
        </is>
      </c>
      <c r="D3" s="25" t="inlineStr">
        <is>
          <t>Доля² × 10 000 (сырые)</t>
        </is>
      </c>
      <c r="E3" s="25" t="inlineStr">
        <is>
          <t>Релевантные визиты (РБ)</t>
        </is>
      </c>
      <c r="F3" s="25" t="inlineStr">
        <is>
          <t>Доля по релевантным визитам (М2 §7)</t>
        </is>
      </c>
      <c r="G3" s="25" t="inlineStr">
        <is>
          <t>Доля² × 10 000 (релевантные)</t>
        </is>
      </c>
      <c r="H3" s="25" t="inlineStr">
        <is>
          <t>Доля релевантного трафика (Д-02)</t>
        </is>
      </c>
      <c r="I3" s="25" t="inlineStr">
        <is>
          <t>Релевантные визиты с учётом Д-02</t>
        </is>
      </c>
      <c r="J3" s="25" t="inlineStr">
        <is>
          <t>Доля по визитам с учётом Д-02</t>
        </is>
      </c>
      <c r="K3" s="25" t="inlineStr">
        <is>
          <t>Доля² × 10 000 (с учётом Д-02)</t>
        </is>
      </c>
    </row>
    <row r="4">
      <c r="A4" s="25">
        <f>'02_Конкуренты_SW'!A4</f>
        <v/>
      </c>
      <c r="B4" s="29">
        <f>'02_Конкуренты_SW'!E4</f>
        <v/>
      </c>
      <c r="C4" s="25">
        <f>B4/SUM($B\$4:$B\$7)</f>
        <v/>
      </c>
      <c r="D4" s="25">
        <f>C4^2*10000</f>
        <v/>
      </c>
      <c r="E4" s="29">
        <f>'02_Конкуренты_SW'!G4</f>
        <v/>
      </c>
      <c r="F4" s="25">
        <f>E4/SUM($E\$4:$E\$7)</f>
        <v/>
      </c>
      <c r="G4" s="25">
        <f>F4^2*10000</f>
        <v/>
      </c>
      <c r="H4" s="25" t="n">
        <v>0.75</v>
      </c>
      <c r="I4" s="25">
        <f>E4*H4</f>
        <v/>
      </c>
      <c r="J4" s="25">
        <f>I4/SUM($I\$4:$I\$7)</f>
        <v/>
      </c>
      <c r="K4" s="25">
        <f>J4^2*10000</f>
        <v/>
      </c>
    </row>
    <row r="5">
      <c r="A5" s="25">
        <f>'02_Конкуренты_SW'!A5</f>
        <v/>
      </c>
      <c r="B5" s="29">
        <f>'02_Конкуренты_SW'!E5</f>
        <v/>
      </c>
      <c r="C5" s="25">
        <f>B5/SUM($B\$4:$B\$7)</f>
        <v/>
      </c>
      <c r="D5" s="25">
        <f>C5^2*10000</f>
        <v/>
      </c>
      <c r="E5" s="29">
        <f>'02_Конкуренты_SW'!G5</f>
        <v/>
      </c>
      <c r="F5" s="25">
        <f>E5/SUM($E\$4:$E\$7)</f>
        <v/>
      </c>
      <c r="G5" s="25">
        <f>F5^2*10000</f>
        <v/>
      </c>
      <c r="H5" s="25" t="n">
        <v>0.35</v>
      </c>
      <c r="I5" s="25">
        <f>E5*H5</f>
        <v/>
      </c>
      <c r="J5" s="25">
        <f>I5/SUM($I\$4:$I\$7)</f>
        <v/>
      </c>
      <c r="K5" s="25">
        <f>J5^2*10000</f>
        <v/>
      </c>
    </row>
    <row r="6">
      <c r="A6" s="25">
        <f>'02_Конкуренты_SW'!A6</f>
        <v/>
      </c>
      <c r="B6" s="29">
        <f>'02_Конкуренты_SW'!E6</f>
        <v/>
      </c>
      <c r="C6" s="25">
        <f>B6/SUM($B\$4:$B\$7)</f>
        <v/>
      </c>
      <c r="D6" s="25">
        <f>C6^2*10000</f>
        <v/>
      </c>
      <c r="E6" s="29">
        <f>'02_Конкуренты_SW'!G6</f>
        <v/>
      </c>
      <c r="F6" s="25">
        <f>E6/SUM($E\$4:$E\$7)</f>
        <v/>
      </c>
      <c r="G6" s="25">
        <f>F6^2*10000</f>
        <v/>
      </c>
      <c r="H6" s="25" t="n">
        <v>0.5</v>
      </c>
      <c r="I6" s="25">
        <f>E6*H6</f>
        <v/>
      </c>
      <c r="J6" s="25">
        <f>I6/SUM($I\$4:$I\$7)</f>
        <v/>
      </c>
      <c r="K6" s="25">
        <f>J6^2*10000</f>
        <v/>
      </c>
    </row>
    <row r="7">
      <c r="A7" s="25">
        <f>'02_Конкуренты_SW'!A7</f>
        <v/>
      </c>
      <c r="B7" s="29">
        <f>'02_Конкуренты_SW'!E7</f>
        <v/>
      </c>
      <c r="C7" s="25">
        <f>B7/SUM($B\$4:$B\$7)</f>
        <v/>
      </c>
      <c r="D7" s="25">
        <f>C7^2*10000</f>
        <v/>
      </c>
      <c r="E7" s="29">
        <f>'02_Конкуренты_SW'!G7</f>
        <v/>
      </c>
      <c r="F7" s="25">
        <f>E7/SUM($E\$4:$E\$7)</f>
        <v/>
      </c>
      <c r="G7" s="25">
        <f>F7^2*10000</f>
        <v/>
      </c>
      <c r="H7" s="25" t="n">
        <v>0.7</v>
      </c>
      <c r="I7" s="25">
        <f>E7*H7</f>
        <v/>
      </c>
      <c r="J7" s="25">
        <f>I7/SUM($I\$4:$I\$7)</f>
        <v/>
      </c>
      <c r="K7" s="25">
        <f>J7^2*10000</f>
        <v/>
      </c>
    </row>
    <row r="9">
      <c r="A9" s="25" t="inlineStr">
        <is>
          <t>Сумма</t>
        </is>
      </c>
      <c r="B9" s="29">
        <f>SUM(B4:B7)</f>
        <v/>
      </c>
      <c r="D9" s="25">
        <f>SUM(D4:D7)</f>
        <v/>
      </c>
      <c r="E9" s="29">
        <f>SUM(E4:E7)</f>
        <v/>
      </c>
      <c r="G9" s="25">
        <f>SUM(G4:G7)</f>
        <v/>
      </c>
      <c r="I9" s="25">
        <f>SUM(I4:I7)</f>
        <v/>
      </c>
      <c r="K9" s="25">
        <f>SUM(K4:K7)</f>
        <v/>
      </c>
    </row>
    <row r="11" ht="28.5" customHeight="1">
      <c r="A11" s="25" t="inlineStr">
        <is>
          <t>Показатель</t>
        </is>
      </c>
      <c r="B11" s="25" t="inlineStr">
        <is>
          <t>По сырым визитам</t>
        </is>
      </c>
      <c r="C11" s="25" t="inlineStr">
        <is>
          <t>По релевантным визитам</t>
        </is>
      </c>
      <c r="D11" s="25" t="inlineStr">
        <is>
          <t>С учётом доли релевантного (Д-02)</t>
        </is>
      </c>
    </row>
    <row r="12">
      <c r="A12" s="25" t="inlineStr">
        <is>
          <t>CR3, %</t>
        </is>
      </c>
      <c r="B12" s="25">
        <f>(LARGE(C4:C7,1)+LARGE(C4:C7,2)+LARGE(C4:C7,3))*100</f>
        <v/>
      </c>
      <c r="C12" s="25">
        <f>(LARGE(F4:F7,1)+LARGE(F4:F7,2)+LARGE(F4:F7,3))*100</f>
        <v/>
      </c>
      <c r="D12" s="25">
        <f>(LARGE(J4:J7,1)+LARGE(J4:J7,2)+LARGE(J4:J7,3))*100</f>
        <v/>
      </c>
    </row>
    <row r="13">
      <c r="A13" s="25" t="inlineStr">
        <is>
          <t>CR5, %</t>
        </is>
      </c>
      <c r="B13" s="25">
        <f>SUM(C4:C7)*100</f>
        <v/>
      </c>
      <c r="C13" s="25">
        <f>SUM(F4:F7)*100</f>
        <v/>
      </c>
      <c r="D13" s="25">
        <f>SUM(J4:J7)*100</f>
        <v/>
      </c>
    </row>
    <row r="14">
      <c r="A14" s="25" t="inlineStr">
        <is>
          <t>HHI = Σ (доля в %)²</t>
        </is>
      </c>
      <c r="B14" s="25">
        <f>D9</f>
        <v/>
      </c>
      <c r="C14" s="25">
        <f>G9</f>
        <v/>
      </c>
      <c r="D14" s="25">
        <f>K9</f>
        <v/>
      </c>
    </row>
    <row r="15">
      <c r="A15" s="25" t="inlineStr">
        <is>
          <t>Уровень по шкале М2 табл. 16</t>
        </is>
      </c>
      <c r="B15" s="25">
        <f>IF(B14&lt;1500,"низкая концентрация",IF(B14&lt;=2500,"умеренная","высокая"))</f>
        <v/>
      </c>
      <c r="C15" s="25">
        <f>IF(C14&lt;1500,"низкая концентрация",IF(C14&lt;=2500,"умеренная","высокая"))</f>
        <v/>
      </c>
      <c r="D15" s="25">
        <f>IF(D14&lt;1500,"низкая концентрация",IF(D14&lt;=2500,"умеренная","высокая"))</f>
        <v/>
      </c>
    </row>
    <row r="16">
      <c r="A16" s="25" t="inlineStr">
        <is>
          <t>Проверка: HHI ≥ CR3² / 3</t>
        </is>
      </c>
      <c r="B16" s="25">
        <f>IF(B14&gt;=B12^2/3,"выполняется","НЕ выполняется")</f>
        <v/>
      </c>
      <c r="C16" s="25">
        <f>IF(C14&gt;=C12^2/3,"выполняется","НЕ выполняется")</f>
        <v/>
      </c>
      <c r="D16" s="25">
        <f>IF(D14&gt;=D12^2/3,"выполняется","НЕ выполняется")</f>
        <v/>
      </c>
    </row>
    <row r="18" ht="99.75" customHeight="1">
      <c r="A18" s="25" t="inlineStr">
        <is>
          <t>Пояснения: шкала М2 табл. 16 — до 1 500 низкая, 1 500–2 500 умеренная, выше 2 500 высокая; М1 табл. 10 задаёт три качественных уровня без чисел. Значения — оценка концентрации ЦИФРОВОГО ТРАФИКА выборки из 4 доменов (не выручки и не рыночной власти); CR5 при 4 доменах равен 100 %. Выборка меньше минимума М2 (5 доменов) и состоит из доменов разных типов; доминирует универсальный редактор draw.io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F15" sqref="F15"/>
    </sheetView>
  </sheetViews>
  <sheetFormatPr baseColWidth="8" defaultRowHeight="14.25"/>
  <cols>
    <col width="18" customWidth="1" min="1" max="1"/>
    <col width="24" customWidth="1" min="2" max="2"/>
    <col width="34" customWidth="1" min="3" max="4"/>
    <col width="28" customWidth="1" min="5" max="5"/>
    <col width="34" customWidth="1" min="6" max="6"/>
    <col width="24" customWidth="1" min="7" max="7"/>
    <col width="32" customWidth="1" min="8" max="8"/>
  </cols>
  <sheetData>
    <row r="1" ht="30" customHeight="1">
      <c r="A1" s="22" t="inlineStr">
        <is>
          <t>Методика оценки объема рынка электронного бизнеса по данным Similarweb</t>
        </is>
      </c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</row>
    <row r="3" ht="36" customHeight="1">
      <c r="A3" s="1" t="inlineStr">
        <is>
          <t>Блок</t>
        </is>
      </c>
      <c r="B3" s="1" t="inlineStr">
        <is>
          <t>Цель</t>
        </is>
      </c>
      <c r="C3" s="1" t="inlineStr">
        <is>
          <t>Действие</t>
        </is>
      </c>
      <c r="D3" s="1" t="inlineStr">
        <is>
          <t>Что фиксировать</t>
        </is>
      </c>
      <c r="E3" s="1" t="inlineStr">
        <is>
          <t>Расчетный результат</t>
        </is>
      </c>
      <c r="F3" s="1" t="inlineStr">
        <is>
          <t>Ограничения</t>
        </is>
      </c>
      <c r="G3" s="1" t="inlineStr">
        <is>
          <t>Лист Excel</t>
        </is>
      </c>
      <c r="H3" s="1" t="inlineStr">
        <is>
          <t>Выходной вывод</t>
        </is>
      </c>
    </row>
    <row r="4" ht="42.75" customHeight="1">
      <c r="A4" s="2" t="inlineStr">
        <is>
          <t>1. Границы рынка</t>
        </is>
      </c>
      <c r="B4" s="2" t="inlineStr">
        <is>
          <t>Уточнить, какой рынок оценивается</t>
        </is>
      </c>
      <c r="C4" s="2" t="inlineStr">
        <is>
          <t>Зафиксировать продукт, географию, аудиторию и цифровые каналы</t>
        </is>
      </c>
      <c r="D4" s="2" t="inlineStr">
        <is>
          <t>Название рынка, территория, период, сегменты</t>
        </is>
      </c>
      <c r="E4" s="2" t="inlineStr">
        <is>
          <t>Паспорт расчетной модели</t>
        </is>
      </c>
      <c r="F4" s="2" t="inlineStr">
        <is>
          <t>Без границ рынка трафик конкурентов нельзя трактовать как объем рынка</t>
        </is>
      </c>
      <c r="G4" s="2" t="inlineStr">
        <is>
          <t>01_Параметры</t>
        </is>
      </c>
      <c r="H4" s="2" t="inlineStr">
        <is>
          <t>Что именно считается рынком</t>
        </is>
      </c>
    </row>
    <row r="5" ht="28.5" customHeight="1">
      <c r="A5" s="2" t="inlineStr">
        <is>
          <t>2. Конкуренты</t>
        </is>
      </c>
      <c r="B5" s="2" t="inlineStr">
        <is>
          <t>Определить ядро цифрового рынка</t>
        </is>
      </c>
      <c r="C5" s="2" t="inlineStr">
        <is>
          <t>Собрать сайты прямых и частичных конкурентов</t>
        </is>
      </c>
      <c r="D5" s="2" t="inlineStr">
        <is>
          <t>Домен, сегмент, тип конкурента</t>
        </is>
      </c>
      <c r="E5" s="2" t="inlineStr">
        <is>
          <t>Список цифровых игроков</t>
        </is>
      </c>
      <c r="F5" s="2" t="inlineStr">
        <is>
          <t>Малые сайты могут отображаться неполно</t>
        </is>
      </c>
      <c r="G5" s="2" t="inlineStr">
        <is>
          <t>02_Конкуренты_SW</t>
        </is>
      </c>
      <c r="H5" s="2" t="inlineStr">
        <is>
          <t>Кто формирует цифровое предложение</t>
        </is>
      </c>
    </row>
    <row r="6" ht="28.5" customHeight="1">
      <c r="A6" s="2" t="inlineStr">
        <is>
          <t>3. Трафик</t>
        </is>
      </c>
      <c r="B6" s="2" t="inlineStr">
        <is>
          <t>Оценить цифровой масштаб сегмента</t>
        </is>
      </c>
      <c r="C6" s="2" t="inlineStr">
        <is>
          <t>Внести посещения, географическую долю и релевантность</t>
        </is>
      </c>
      <c r="D6" s="2" t="inlineStr">
        <is>
          <t>Monthly visits, доля выбранной географии, релевантная доля</t>
        </is>
      </c>
      <c r="E6" s="2" t="inlineStr">
        <is>
          <t>Релевантный месячный и годовой трафик</t>
        </is>
      </c>
      <c r="F6" s="2" t="inlineStr">
        <is>
          <t>Трафик не равен покупкам</t>
        </is>
      </c>
      <c r="G6" s="2" t="inlineStr">
        <is>
          <t>02_Конкуренты_SW</t>
        </is>
      </c>
      <c r="H6" s="2" t="inlineStr">
        <is>
          <t>Насколько велик цифровой поток аудитории</t>
        </is>
      </c>
    </row>
    <row r="7" ht="28.5" customHeight="1">
      <c r="A7" s="2" t="inlineStr">
        <is>
          <t>4. Каналы</t>
        </is>
      </c>
      <c r="B7" s="2" t="inlineStr">
        <is>
          <t>Понять структуру привлечения аудитории</t>
        </is>
      </c>
      <c r="C7" s="2" t="inlineStr">
        <is>
          <t>Разложить трафик по Direct, Organic, Referral, Social, Paid, Mail, Display</t>
        </is>
      </c>
      <c r="D7" s="2" t="inlineStr">
        <is>
          <t>Доли каналов по конкурентам</t>
        </is>
      </c>
      <c r="E7" s="2" t="inlineStr">
        <is>
          <t>Канальная структура рынка</t>
        </is>
      </c>
      <c r="F7" s="2" t="inlineStr">
        <is>
          <t>Доли каналов оценочные</t>
        </is>
      </c>
      <c r="G7" s="2" t="inlineStr">
        <is>
          <t>03_Каналы</t>
        </is>
      </c>
      <c r="H7" s="2" t="inlineStr">
        <is>
          <t>Какие каналы важны для входа на рынок</t>
        </is>
      </c>
    </row>
    <row r="8" ht="42.75" customHeight="1">
      <c r="A8" s="2" t="inlineStr">
        <is>
          <t>5. География</t>
        </is>
      </c>
      <c r="B8" s="2" t="inlineStr">
        <is>
          <t>Проверить территориальную концентрацию спроса</t>
        </is>
      </c>
      <c r="C8" s="2" t="inlineStr">
        <is>
          <t>Сопоставить страны/регионы по доле трафика</t>
        </is>
      </c>
      <c r="D8" s="2" t="inlineStr">
        <is>
          <t>Страна, доля, интерпретация</t>
        </is>
      </c>
      <c r="E8" s="2" t="inlineStr">
        <is>
          <t>Приоритетные географии</t>
        </is>
      </c>
      <c r="F8" s="2" t="inlineStr">
        <is>
          <t>Доля трафика не равна платежеспособности</t>
        </is>
      </c>
      <c r="G8" s="2" t="inlineStr">
        <is>
          <t>04_География</t>
        </is>
      </c>
      <c r="H8" s="2" t="inlineStr">
        <is>
          <t>Где целесообразно анализировать рынок</t>
        </is>
      </c>
    </row>
    <row r="9" ht="42.75" customHeight="1">
      <c r="A9" s="2" t="inlineStr">
        <is>
          <t>6. Поиск</t>
        </is>
      </c>
      <c r="B9" s="2" t="inlineStr">
        <is>
          <t>Определить коммерческий спрос внутри трафика</t>
        </is>
      </c>
      <c r="C9" s="2" t="inlineStr">
        <is>
          <t>Зафиксировать ключевые запросы и намерение аудитории</t>
        </is>
      </c>
      <c r="D9" s="2" t="inlineStr">
        <is>
          <t>Запрос, доля или объем, тип намерения</t>
        </is>
      </c>
      <c r="E9" s="2" t="inlineStr">
        <is>
          <t>Индекс коммерческого интереса</t>
        </is>
      </c>
      <c r="F9" s="2" t="inlineStr">
        <is>
          <t>Запросы видны неполно в бесплатном доступе</t>
        </is>
      </c>
      <c r="G9" s="2" t="inlineStr">
        <is>
          <t>05_Запросы</t>
        </is>
      </c>
      <c r="H9" s="2" t="inlineStr">
        <is>
          <t>Какие потребности приводят аудиторию</t>
        </is>
      </c>
    </row>
    <row r="10" ht="28.5" customHeight="1">
      <c r="A10" s="2" t="inlineStr">
        <is>
          <t>7. Воронка</t>
        </is>
      </c>
      <c r="B10" s="2" t="inlineStr">
        <is>
          <t>Перевести трафик в возможные заказы</t>
        </is>
      </c>
      <c r="C10" s="2" t="inlineStr">
        <is>
          <t>Задать конверсии и средний чек</t>
        </is>
      </c>
      <c r="D10" s="2" t="inlineStr">
        <is>
          <t>CR в заявку, CR в продажу, средний чек</t>
        </is>
      </c>
      <c r="E10" s="2" t="inlineStr">
        <is>
          <t>Оценка объема рынка в деньгах</t>
        </is>
      </c>
      <c r="F10" s="2" t="inlineStr">
        <is>
          <t>Конверсии задаются сценарно</t>
        </is>
      </c>
      <c r="G10" s="2" t="inlineStr">
        <is>
          <t>06_Воронка_сценарии</t>
        </is>
      </c>
      <c r="H10" s="2" t="inlineStr">
        <is>
          <t>Диапазон рынка по сценариям</t>
        </is>
      </c>
    </row>
    <row r="11" ht="28.5" customHeight="1">
      <c r="A11" s="2" t="inlineStr">
        <is>
          <t>8. Проверка</t>
        </is>
      </c>
      <c r="B11" s="2" t="inlineStr">
        <is>
          <t>Снизить риск завышения оценки</t>
        </is>
      </c>
      <c r="C11" s="2" t="inlineStr">
        <is>
          <t>Сопоставить расчет с другими источниками</t>
        </is>
      </c>
      <c r="D11" s="2" t="inlineStr">
        <is>
          <t>Google Trends, Вордстат, статистика, рекламные кабинеты</t>
        </is>
      </c>
      <c r="E11" s="2" t="inlineStr">
        <is>
          <t>Уточненный диапазон оценки</t>
        </is>
      </c>
      <c r="F11" s="2" t="inlineStr">
        <is>
          <t>Источники измеряют разные показатели</t>
        </is>
      </c>
      <c r="G11" s="2" t="inlineStr">
        <is>
          <t>08_Источники</t>
        </is>
      </c>
      <c r="H11" s="2" t="inlineStr">
        <is>
          <t>Насколько расчет устойчив</t>
        </is>
      </c>
    </row>
    <row r="13" ht="21.95" customHeight="1">
      <c r="A13" s="23" t="inlineStr">
        <is>
          <t>Ключевая расчетная логика</t>
        </is>
      </c>
    </row>
    <row r="14" ht="28.5" customHeight="1">
      <c r="A14" s="2" t="inlineStr">
        <is>
          <t>1</t>
        </is>
      </c>
      <c r="B14" s="2" t="inlineStr">
        <is>
          <t>Наблюдаемый цифровой сегмент</t>
        </is>
      </c>
      <c r="C14" s="2" t="inlineStr">
        <is>
          <t>Сумма релевантного трафика выбранных конкурентов</t>
        </is>
      </c>
      <c r="D14" s="2" t="inlineStr">
        <is>
          <t>= сумма посещений × доля географии × доля релевантности</t>
        </is>
      </c>
      <c r="E14" s="2" t="n"/>
      <c r="F14" s="2" t="n"/>
      <c r="G14" s="2" t="n"/>
      <c r="H14" s="2" t="n"/>
    </row>
    <row r="15" ht="42.75" customHeight="1">
      <c r="A15" s="2" t="inlineStr">
        <is>
          <t>2</t>
        </is>
      </c>
      <c r="B15" s="2" t="inlineStr">
        <is>
          <t>Оценка всего цифрового рынка</t>
        </is>
      </c>
      <c r="C15" s="2" t="inlineStr">
        <is>
          <t>Наблюдаемый сегмент / коэффициент покрытия конкурентов</t>
        </is>
      </c>
      <c r="D15" s="2" t="inlineStr">
        <is>
          <t>Если список конкурентов покрывает 70% рынка, общий рынок = наблюдаемый трафик / 70%</t>
        </is>
      </c>
      <c r="E15" s="2" t="n"/>
      <c r="F15" s="2" t="n"/>
      <c r="G15" s="2" t="n"/>
      <c r="H15" s="2" t="n"/>
    </row>
    <row r="16" ht="28.5" customHeight="1">
      <c r="A16" s="2" t="inlineStr">
        <is>
          <t>3</t>
        </is>
      </c>
      <c r="B16" s="2" t="inlineStr">
        <is>
          <t>Оценка заявок</t>
        </is>
      </c>
      <c r="C16" s="2" t="inlineStr">
        <is>
          <t>Рыночный трафик × конверсия в заявку</t>
        </is>
      </c>
      <c r="D16" s="2" t="inlineStr">
        <is>
          <t>Конверсия задается по сценариям</t>
        </is>
      </c>
      <c r="E16" s="2" t="n"/>
      <c r="F16" s="2" t="n"/>
      <c r="G16" s="2" t="n"/>
      <c r="H16" s="2" t="n"/>
    </row>
    <row r="17">
      <c r="A17" s="2" t="inlineStr">
        <is>
          <t>4</t>
        </is>
      </c>
      <c r="B17" s="2" t="inlineStr">
        <is>
          <t>Оценка продаж</t>
        </is>
      </c>
      <c r="C17" s="2" t="inlineStr">
        <is>
          <t>Заявки × конверсия в продажу</t>
        </is>
      </c>
      <c r="D17" s="2" t="inlineStr">
        <is>
          <t>Отражает платежеспособный спрос</t>
        </is>
      </c>
      <c r="E17" s="2" t="n"/>
      <c r="F17" s="2" t="n"/>
      <c r="G17" s="2" t="n"/>
      <c r="H17" s="2" t="n"/>
    </row>
    <row r="18" ht="28.5" customHeight="1">
      <c r="A18" s="2" t="inlineStr">
        <is>
          <t>5</t>
        </is>
      </c>
      <c r="B18" s="2" t="inlineStr">
        <is>
          <t>Денежный объем</t>
        </is>
      </c>
      <c r="C18" s="2" t="inlineStr">
        <is>
          <t>Продажи × средний чек × повторные покупки</t>
        </is>
      </c>
      <c r="D18" s="2" t="inlineStr">
        <is>
          <t>Итоговый объем рынка за год</t>
        </is>
      </c>
      <c r="E18" s="2" t="n"/>
      <c r="F18" s="2" t="n"/>
      <c r="G18" s="2" t="n"/>
      <c r="H18" s="2" t="n"/>
    </row>
  </sheetData>
  <mergeCells count="2">
    <mergeCell ref="A13:H13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D20" sqref="D20"/>
    </sheetView>
  </sheetViews>
  <sheetFormatPr baseColWidth="8" defaultRowHeight="14.25"/>
  <cols>
    <col width="38" customWidth="1" min="1" max="1"/>
    <col width="47.375" customWidth="1" min="2" max="2"/>
    <col width="45" customWidth="1" min="3" max="3"/>
    <col width="58.75" customWidth="1" min="4" max="4"/>
  </cols>
  <sheetData>
    <row r="1" ht="30" customHeight="1">
      <c r="A1" s="22" t="inlineStr">
        <is>
          <t>Параметры оценки рынка</t>
        </is>
      </c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</row>
    <row r="3" ht="36" customHeight="1">
      <c r="A3" s="1" t="inlineStr">
        <is>
          <t>Параметр</t>
        </is>
      </c>
      <c r="B3" s="1" t="inlineStr">
        <is>
          <t>Значение</t>
        </is>
      </c>
      <c r="C3" s="1" t="inlineStr">
        <is>
          <t>Единица / формат</t>
        </is>
      </c>
      <c r="D3" s="1" t="inlineStr">
        <is>
          <t>Комментарий</t>
        </is>
      </c>
    </row>
    <row r="4" ht="42.75" customHeight="1">
      <c r="A4" s="25" t="inlineStr">
        <is>
          <t>Название рынка</t>
        </is>
      </c>
      <c r="B4" s="25" t="inlineStr">
        <is>
          <t>Веб-инструменты построения и проверки диаграмм формальных нотаций (UML, BPMN, ERD, IDEF, DFD) для студентов и специалистов по ПО</t>
        </is>
      </c>
      <c r="C4" s="25" t="inlineStr">
        <is>
          <t>текст</t>
        </is>
      </c>
      <c r="D4" s="25" t="inlineStr">
        <is>
          <t>Замените на ваш рынок</t>
        </is>
      </c>
    </row>
    <row r="5">
      <c r="A5" s="25" t="inlineStr">
        <is>
          <t>Географическая граница</t>
        </is>
      </c>
      <c r="B5" s="25" t="inlineStr">
        <is>
          <t>Республика Беларусь</t>
        </is>
      </c>
      <c r="C5" s="25" t="inlineStr">
        <is>
          <t>текст</t>
        </is>
      </c>
      <c r="D5" s="25" t="inlineStr">
        <is>
          <t>Страна, регион или город</t>
        </is>
      </c>
    </row>
    <row r="6" ht="42.75" customHeight="1">
      <c r="A6" s="25" t="inlineStr">
        <is>
          <t>Период анализа</t>
        </is>
      </c>
      <c r="B6" s="25" t="inlineStr">
        <is>
          <t>последние 3 месяца (июнь–август 2026); требование М1 «не менее 12 мес.» при бесплатном доступе невыполнимо</t>
        </is>
      </c>
      <c r="C6" s="25" t="inlineStr">
        <is>
          <t>текст</t>
        </is>
      </c>
      <c r="D6" s="25" t="inlineStr">
        <is>
          <t>Период, показанный в Similarweb</t>
        </is>
      </c>
    </row>
    <row r="7">
      <c r="A7" s="25" t="inlineStr">
        <is>
          <t>Дата фиксации данных</t>
        </is>
      </c>
      <c r="B7" s="55" t="inlineStr">
        <is>
          <t>29.09.2026</t>
        </is>
      </c>
      <c r="C7" s="25" t="inlineStr">
        <is>
          <t>дата</t>
        </is>
      </c>
      <c r="D7" s="25" t="inlineStr">
        <is>
          <t>Дата ручного сбора или выгрузки</t>
        </is>
      </c>
    </row>
    <row r="8">
      <c r="A8" s="25" t="inlineStr">
        <is>
          <t>Количество конкурентов в выборке</t>
        </is>
      </c>
      <c r="B8" s="25">
        <f>COUNT('02_Конкуренты_SW'!E4:E23)</f>
        <v/>
      </c>
      <c r="C8" s="25" t="inlineStr">
        <is>
          <t>формула</t>
        </is>
      </c>
      <c r="D8" s="25" t="inlineStr">
        <is>
          <t>Заполняется автоматически</t>
        </is>
      </c>
    </row>
    <row r="9" ht="28.5" customHeight="1">
      <c r="A9" s="25" t="inlineStr">
        <is>
          <t>Наблюдаемый релевантный трафик, мес</t>
        </is>
      </c>
      <c r="B9" s="31">
        <f>SUM('02_Конкуренты_SW'!G4:G23)</f>
        <v/>
      </c>
      <c r="C9" s="25" t="inlineStr">
        <is>
          <t>посещения</t>
        </is>
      </c>
      <c r="D9" s="25" t="inlineStr">
        <is>
          <t>Исправлено в рабочей копии (П-1): суммирование с 4-й строки; в шаблоне диапазон G5:G24 терял первого конкурента</t>
        </is>
      </c>
    </row>
    <row r="10">
      <c r="A10" s="25" t="inlineStr">
        <is>
          <t>Наблюдаемый релевантный трафик, год</t>
        </is>
      </c>
      <c r="B10" s="31">
        <f>SUM('02_Конкуренты_SW'!H4:H23)</f>
        <v/>
      </c>
      <c r="C10" s="25" t="inlineStr">
        <is>
          <t>посещения</t>
        </is>
      </c>
      <c r="D10" s="25" t="inlineStr">
        <is>
          <t>Исправлено (П-1): H4:H23</t>
        </is>
      </c>
    </row>
    <row r="11" ht="28.5" customHeight="1">
      <c r="A11" s="25" t="inlineStr">
        <is>
          <t>Коэффициент покрытия конкурентов</t>
        </is>
      </c>
      <c r="B11" s="32" t="n">
        <v>0.7</v>
      </c>
      <c r="C11" s="25" t="inlineStr">
        <is>
          <t>%</t>
        </is>
      </c>
      <c r="D11" s="25" t="inlineStr">
        <is>
          <t>Значение шаблона (базовый сценарий листа 06 — 0,7); шкала М2 табл. 9 для типовой ситуации 0,60–0,75</t>
        </is>
      </c>
    </row>
    <row r="12" ht="28.5" customHeight="1">
      <c r="A12" s="25" t="inlineStr">
        <is>
          <t>Оценка всего цифрового трафика рынка, мес</t>
        </is>
      </c>
      <c r="B12" s="31">
        <f>IFERROR(B9/B11,0)</f>
        <v/>
      </c>
      <c r="C12" s="25" t="inlineStr">
        <is>
          <t>посещения</t>
        </is>
      </c>
      <c r="D12" s="25" t="inlineStr">
        <is>
          <t>Наблюдаемый трафик / покрытие</t>
        </is>
      </c>
    </row>
    <row r="13" ht="28.5" customHeight="1">
      <c r="A13" s="25" t="inlineStr">
        <is>
          <t>Оценка всего цифрового трафика рынка, год</t>
        </is>
      </c>
      <c r="B13" s="31">
        <f>IFERROR(B10/B11,0)</f>
        <v/>
      </c>
      <c r="C13" s="25" t="inlineStr">
        <is>
          <t>посещения</t>
        </is>
      </c>
      <c r="D13" s="25" t="inlineStr">
        <is>
          <t>Наблюдаемый трафик / покрытие</t>
        </is>
      </c>
    </row>
    <row r="15" ht="21.95" customHeight="1">
      <c r="A15" s="23" t="inlineStr">
        <is>
          <t>Правила заполнения</t>
        </is>
      </c>
    </row>
    <row r="16" ht="28.5" customHeight="1">
      <c r="A16" t="inlineStr">
        <is>
          <t>1</t>
        </is>
      </c>
      <c r="B16" s="25" t="inlineStr">
        <is>
          <t>Сначала зафиксируйте границы рынка</t>
        </is>
      </c>
      <c r="C16" s="25" t="inlineStr">
        <is>
          <t>Без этого нельзя решить, какие сайты считать конкурентами</t>
        </is>
      </c>
    </row>
    <row r="17">
      <c r="A17" t="inlineStr">
        <is>
          <t>2</t>
        </is>
      </c>
      <c r="B17" s="25" t="inlineStr">
        <is>
          <t>В Similarweb соберите данные по 5–20 сайтам</t>
        </is>
      </c>
      <c r="C17" s="25" t="inlineStr">
        <is>
          <t>Чем шире выборка, тем устойчивее оценка</t>
        </is>
      </c>
    </row>
    <row r="18">
      <c r="A18" t="inlineStr">
        <is>
          <t>3</t>
        </is>
      </c>
      <c r="B18" s="25" t="inlineStr">
        <is>
          <t>Вносите только сопоставимый период</t>
        </is>
      </c>
      <c r="C18" s="25" t="inlineStr">
        <is>
          <t>Например, последние 3 месяца для всех сайтов</t>
        </is>
      </c>
    </row>
    <row r="19" ht="28.5" customHeight="1">
      <c r="A19" t="inlineStr">
        <is>
          <t>4</t>
        </is>
      </c>
      <c r="B19" s="25" t="inlineStr">
        <is>
          <t>Разделяйте весь трафик и релевантный трафик</t>
        </is>
      </c>
      <c r="C19" s="25" t="inlineStr">
        <is>
          <t>Не все посещения сайта относятся к анализируемому рынку</t>
        </is>
      </c>
    </row>
    <row r="20" ht="28.5" customHeight="1">
      <c r="A20" t="inlineStr">
        <is>
          <t>5</t>
        </is>
      </c>
      <c r="B20" s="25" t="inlineStr">
        <is>
          <t>Итог давайте диапазоном</t>
        </is>
      </c>
      <c r="C20" s="25" t="inlineStr">
        <is>
          <t>Осторожный, базовый и оптимистичный сценарии</t>
        </is>
      </c>
    </row>
  </sheetData>
  <mergeCells count="2">
    <mergeCell ref="A1:H1"/>
    <mergeCell ref="A15:H15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D13" sqref="D13"/>
    </sheetView>
  </sheetViews>
  <sheetFormatPr baseColWidth="8" defaultRowHeight="14.25"/>
  <cols>
    <col width="34.75" customWidth="1" min="1" max="1"/>
    <col width="26" customWidth="1" min="2" max="2"/>
    <col width="24" customWidth="1" min="3" max="3"/>
    <col width="14" customWidth="1" min="4" max="4"/>
    <col width="15" customWidth="1" min="5" max="5"/>
    <col width="16" customWidth="1" min="6" max="6"/>
    <col width="18" customWidth="1" min="7" max="8"/>
    <col width="16" customWidth="1" min="9" max="9"/>
    <col width="13" customWidth="1" min="10" max="11"/>
    <col width="14" customWidth="1" min="12" max="12"/>
    <col width="12" customWidth="1" min="13" max="13"/>
    <col width="14" customWidth="1" min="14" max="14"/>
    <col width="12" customWidth="1" min="15" max="16"/>
    <col width="13" customWidth="1" min="17" max="17"/>
    <col width="12" customWidth="1" min="18" max="18"/>
    <col width="76" customWidth="1" min="19" max="19"/>
  </cols>
  <sheetData>
    <row r="1" ht="30" customHeight="1">
      <c r="A1" s="22" t="inlineStr">
        <is>
          <t>Ввод данных Similarweb по конкурентам</t>
        </is>
      </c>
      <c r="T1" s="19" t="n"/>
      <c r="U1" s="19" t="n"/>
      <c r="V1" s="19" t="n"/>
      <c r="W1" s="19" t="n"/>
      <c r="X1" s="19" t="n"/>
      <c r="Y1" s="19" t="n"/>
      <c r="Z1" s="19" t="n"/>
    </row>
    <row r="3" ht="64.5" customHeight="1">
      <c r="A3" s="1" t="inlineStr">
        <is>
          <t>Домен</t>
        </is>
      </c>
      <c r="B3" s="1" t="inlineStr">
        <is>
          <t>Название / конкурент</t>
        </is>
      </c>
      <c r="C3" s="1" t="inlineStr">
        <is>
          <t>Сегмент</t>
        </is>
      </c>
      <c r="D3" s="1" t="inlineStr">
        <is>
          <t>Тип</t>
        </is>
      </c>
      <c r="E3" s="1" t="inlineStr">
        <is>
          <t>Monthly visits</t>
        </is>
      </c>
      <c r="F3" s="1" t="inlineStr">
        <is>
          <t>Доля выбранной географии</t>
        </is>
      </c>
      <c r="G3" s="1" t="inlineStr">
        <is>
          <t>Релевантный трафик, мес</t>
        </is>
      </c>
      <c r="H3" s="1" t="inlineStr">
        <is>
          <t>Релевантный трафик, год</t>
        </is>
      </c>
      <c r="I3" s="1" t="inlineStr">
        <is>
          <t>Доля рынка по трафику</t>
        </is>
      </c>
      <c r="J3" s="1" t="inlineStr">
        <is>
          <t>Bounce rate</t>
        </is>
      </c>
      <c r="K3" s="1" t="inlineStr">
        <is>
          <t>Pages / visit</t>
        </is>
      </c>
      <c r="L3" s="1" t="inlineStr">
        <is>
          <t>Avg duration</t>
        </is>
      </c>
      <c r="M3" s="1" t="inlineStr">
        <is>
          <t>Direct</t>
        </is>
      </c>
      <c r="N3" s="1" t="inlineStr">
        <is>
          <t>Organic search</t>
        </is>
      </c>
      <c r="O3" s="1" t="inlineStr">
        <is>
          <t>Referral</t>
        </is>
      </c>
      <c r="P3" s="1" t="inlineStr">
        <is>
          <t>Social</t>
        </is>
      </c>
      <c r="Q3" s="1" t="inlineStr">
        <is>
          <t>Paid search</t>
        </is>
      </c>
      <c r="R3" s="1" t="inlineStr">
        <is>
          <t>Display</t>
        </is>
      </c>
      <c r="S3" s="1" t="inlineStr">
        <is>
          <t>Комментарий</t>
        </is>
      </c>
    </row>
    <row r="4" ht="42.75" customHeight="1">
      <c r="A4" s="25" t="inlineStr">
        <is>
          <t>plantuml.com</t>
        </is>
      </c>
      <c r="B4" s="25" t="inlineStr">
        <is>
          <t>PlantUML</t>
        </is>
      </c>
      <c r="C4" s="25" t="inlineStr">
        <is>
          <t>диаграммы по тексту</t>
        </is>
      </c>
      <c r="D4" s="25" t="inlineStr">
        <is>
          <t>прямой</t>
        </is>
      </c>
      <c r="E4" s="31" t="n">
        <v>507000</v>
      </c>
      <c r="F4" s="32" t="n">
        <v>0.001958</v>
      </c>
      <c r="G4" s="31">
        <f>IFERROR(E4*F4,0)</f>
        <v/>
      </c>
      <c r="H4" s="31">
        <f>G4*12</f>
        <v/>
      </c>
      <c r="I4" s="44">
        <f>IFERROR(G4/SUM($G\$4:$G\$23),0)</f>
        <v/>
      </c>
      <c r="J4" s="44" t="n">
        <v>0.4552</v>
      </c>
      <c r="K4" s="45" t="n">
        <v>3.18</v>
      </c>
      <c r="L4" s="56" t="inlineStr">
        <is>
          <t>00:03:16</t>
        </is>
      </c>
      <c r="M4" s="44" t="n"/>
      <c r="N4" s="44" t="n">
        <v>0.4847</v>
      </c>
      <c r="O4" s="44" t="n"/>
      <c r="P4" s="44" t="n"/>
      <c r="Q4" s="44" t="n"/>
      <c r="R4" s="44" t="n"/>
      <c r="S4" s="25" t="inlineStr">
        <is>
          <t>ФАКТ (Similarweb, авг. 2026, скриншот). Доля РБ — допущение Д-01 (Similarweb не показывает). Каналы: бесплатная карточка показывает только Organic (plantuml.com); остальные — «нет данных в бесплатном доступе»</t>
        </is>
      </c>
    </row>
    <row r="5" ht="42.75" customHeight="1">
      <c r="A5" s="25" t="inlineStr">
        <is>
          <t>app.diagrams.net</t>
        </is>
      </c>
      <c r="B5" s="25" t="inlineStr">
        <is>
          <t>draw.io (diagrams.net)</t>
        </is>
      </c>
      <c r="C5" s="25" t="inlineStr">
        <is>
          <t>визуальные редакторы</t>
        </is>
      </c>
      <c r="D5" s="25" t="inlineStr">
        <is>
          <t>заменитель</t>
        </is>
      </c>
      <c r="E5" s="31" t="n">
        <v>7800000</v>
      </c>
      <c r="F5" s="32" t="n">
        <v>0.001958</v>
      </c>
      <c r="G5" s="31">
        <f>IFERROR(E5*F5,0)</f>
        <v/>
      </c>
      <c r="H5" s="31">
        <f>G5*12</f>
        <v/>
      </c>
      <c r="I5" s="44">
        <f>IFERROR(G5/SUM($G\$4:$G\$23),0)</f>
        <v/>
      </c>
      <c r="J5" s="44" t="n"/>
      <c r="K5" s="45" t="n"/>
      <c r="L5" s="25" t="n"/>
      <c r="M5" s="44" t="n"/>
      <c r="N5" s="44" t="n"/>
      <c r="O5" s="44" t="n"/>
      <c r="P5" s="44" t="n"/>
      <c r="Q5" s="44" t="n"/>
      <c r="R5" s="44" t="n"/>
      <c r="S5" s="25" t="inlineStr">
        <is>
          <t>отчёт ЛР1, без скриншота. Доля РБ — допущение Д-01 (Similarweb не показывает). Каналы: бесплатная карточка показывает только Organic (plantuml.com); остальные — «нет данных в бесплатном доступе»</t>
        </is>
      </c>
    </row>
    <row r="6" ht="42.75" customHeight="1">
      <c r="A6" s="25" t="inlineStr">
        <is>
          <t>eraser.io</t>
        </is>
      </c>
      <c r="B6" s="25" t="inlineStr">
        <is>
          <t>Eraser</t>
        </is>
      </c>
      <c r="C6" s="25" t="inlineStr">
        <is>
          <t>диаграммы по тексту</t>
        </is>
      </c>
      <c r="D6" s="25" t="inlineStr">
        <is>
          <t>прямой</t>
        </is>
      </c>
      <c r="E6" s="31" t="n">
        <v>678500</v>
      </c>
      <c r="F6" s="32" t="n">
        <v>0.001958</v>
      </c>
      <c r="G6" s="31">
        <f>IFERROR(E6*F6,0)</f>
        <v/>
      </c>
      <c r="H6" s="31">
        <f>G6*12</f>
        <v/>
      </c>
      <c r="I6" s="44">
        <f>IFERROR(G6/SUM($G\$4:$G\$23),0)</f>
        <v/>
      </c>
      <c r="J6" s="44" t="n"/>
      <c r="K6" s="45" t="n"/>
      <c r="L6" s="25" t="n"/>
      <c r="M6" s="44" t="n"/>
      <c r="N6" s="44" t="n"/>
      <c r="O6" s="44" t="n"/>
      <c r="P6" s="44" t="n"/>
      <c r="Q6" s="44" t="n"/>
      <c r="R6" s="44" t="n"/>
      <c r="S6" s="25" t="inlineStr">
        <is>
          <t>предварительный замер 17–23.09.2026, не подтверждён. Доля РБ — допущение Д-01 (Similarweb не показывает). Каналы: бесплатная карточка показывает только Organic (plantuml.com); остальные — «нет данных в бесплатном доступе»</t>
        </is>
      </c>
    </row>
    <row r="7" ht="57" customHeight="1">
      <c r="A7" s="25" t="inlineStr">
        <is>
          <t>mermaidchart.com</t>
        </is>
      </c>
      <c r="B7" s="25" t="inlineStr">
        <is>
          <t>Mermaid Chart</t>
        </is>
      </c>
      <c r="C7" s="25" t="inlineStr">
        <is>
          <t>диаграммы по тексту</t>
        </is>
      </c>
      <c r="D7" s="25" t="inlineStr">
        <is>
          <t>прямой</t>
        </is>
      </c>
      <c r="E7" s="31" t="n">
        <v>20000</v>
      </c>
      <c r="F7" s="32" t="n">
        <v>0.001958</v>
      </c>
      <c r="G7" s="31">
        <f>IFERROR(E7*F7,0)</f>
        <v/>
      </c>
      <c r="H7" s="31">
        <f>G7*12</f>
        <v/>
      </c>
      <c r="I7" s="44">
        <f>IFERROR(G7/SUM($G\$4:$G\$23),0)</f>
        <v/>
      </c>
      <c r="J7" s="44" t="n"/>
      <c r="K7" s="45" t="n"/>
      <c r="L7" s="25" t="n"/>
      <c r="M7" s="44" t="n"/>
      <c r="N7" s="44" t="n"/>
      <c r="O7" s="44" t="n"/>
      <c r="P7" s="44" t="n"/>
      <c r="Q7" s="44" t="n"/>
      <c r="R7" s="44" t="n"/>
      <c r="S7" s="25" t="inlineStr">
        <is>
          <t>предварительный замер: «менее 20 тыс.» (верхняя граница), не подтверждён. Доля РБ — допущение Д-01 (Similarweb не показывает). Каналы: бесплатная карточка показывает только Organic (plantuml.com); остальные — «нет данных в бесплатном доступе»</t>
        </is>
      </c>
    </row>
    <row r="8">
      <c r="A8" s="25" t="n"/>
      <c r="B8" s="25" t="n"/>
      <c r="C8" s="25" t="n"/>
      <c r="D8" s="25" t="n"/>
      <c r="E8" s="31" t="n"/>
      <c r="F8" s="32" t="n"/>
      <c r="G8" s="31">
        <f>IFERROR(E8*F8,0)</f>
        <v/>
      </c>
      <c r="H8" s="31">
        <f>G8*12</f>
        <v/>
      </c>
      <c r="I8" s="44">
        <f>IFERROR(G8/SUM($G\$4:$G\$23),0)</f>
        <v/>
      </c>
      <c r="J8" s="44" t="n"/>
      <c r="K8" s="45" t="n"/>
      <c r="L8" s="25" t="n"/>
      <c r="M8" s="44" t="n"/>
      <c r="N8" s="44" t="n"/>
      <c r="O8" s="44" t="n"/>
      <c r="P8" s="44" t="n"/>
      <c r="Q8" s="44" t="n"/>
      <c r="R8" s="44" t="n"/>
      <c r="S8" s="25" t="n"/>
    </row>
    <row r="9">
      <c r="A9" s="25" t="n"/>
      <c r="B9" s="25" t="n"/>
      <c r="C9" s="25" t="n"/>
      <c r="D9" s="25" t="n"/>
      <c r="E9" s="31" t="n"/>
      <c r="F9" s="32" t="n"/>
      <c r="G9" s="31">
        <f>IFERROR(E9*F9,0)</f>
        <v/>
      </c>
      <c r="H9" s="31">
        <f>G9*12</f>
        <v/>
      </c>
      <c r="I9" s="44">
        <f>IFERROR(G9/SUM($G\$4:$G\$23),0)</f>
        <v/>
      </c>
      <c r="J9" s="44" t="n"/>
      <c r="K9" s="45" t="n"/>
      <c r="L9" s="25" t="n"/>
      <c r="M9" s="44" t="n"/>
      <c r="N9" s="44" t="n"/>
      <c r="O9" s="44" t="n"/>
      <c r="P9" s="44" t="n"/>
      <c r="Q9" s="44" t="n"/>
      <c r="R9" s="44" t="n"/>
      <c r="S9" s="25" t="n"/>
    </row>
    <row r="10">
      <c r="A10" s="25" t="n"/>
      <c r="B10" s="25" t="n"/>
      <c r="C10" s="25" t="n"/>
      <c r="D10" s="25" t="n"/>
      <c r="E10" s="31" t="n"/>
      <c r="F10" s="32" t="n"/>
      <c r="G10" s="31">
        <f>IFERROR(E10*F10,0)</f>
        <v/>
      </c>
      <c r="H10" s="31">
        <f>G10*12</f>
        <v/>
      </c>
      <c r="I10" s="44">
        <f>IFERROR(G10/SUM($G\$4:$G\$23),0)</f>
        <v/>
      </c>
      <c r="J10" s="44" t="n"/>
      <c r="K10" s="45" t="n"/>
      <c r="L10" s="25" t="n"/>
      <c r="M10" s="44" t="n"/>
      <c r="N10" s="44" t="n"/>
      <c r="O10" s="44" t="n"/>
      <c r="P10" s="44" t="n"/>
      <c r="Q10" s="44" t="n"/>
      <c r="R10" s="44" t="n"/>
      <c r="S10" s="25" t="n"/>
    </row>
    <row r="11">
      <c r="A11" s="25" t="n"/>
      <c r="B11" s="25" t="n"/>
      <c r="C11" s="25" t="n"/>
      <c r="D11" s="25" t="n"/>
      <c r="E11" s="31" t="n"/>
      <c r="F11" s="32" t="n"/>
      <c r="G11" s="31">
        <f>IFERROR(E11*F11,0)</f>
        <v/>
      </c>
      <c r="H11" s="31">
        <f>G11*12</f>
        <v/>
      </c>
      <c r="I11" s="44">
        <f>IFERROR(G11/SUM($G\$4:$G\$23),0)</f>
        <v/>
      </c>
      <c r="J11" s="44" t="n"/>
      <c r="K11" s="45" t="n"/>
      <c r="L11" s="25" t="n"/>
      <c r="M11" s="44" t="n"/>
      <c r="N11" s="44" t="n"/>
      <c r="O11" s="44" t="n"/>
      <c r="P11" s="44" t="n"/>
      <c r="Q11" s="44" t="n"/>
      <c r="R11" s="44" t="n"/>
      <c r="S11" s="25" t="n"/>
    </row>
    <row r="12">
      <c r="A12" s="25" t="n"/>
      <c r="B12" s="25" t="n"/>
      <c r="C12" s="25" t="n"/>
      <c r="D12" s="25" t="n"/>
      <c r="E12" s="31" t="n"/>
      <c r="F12" s="32" t="n"/>
      <c r="G12" s="31">
        <f>IFERROR(E12*F12,0)</f>
        <v/>
      </c>
      <c r="H12" s="31">
        <f>G12*12</f>
        <v/>
      </c>
      <c r="I12" s="44">
        <f>IFERROR(G12/SUM($G\$4:$G\$23),0)</f>
        <v/>
      </c>
      <c r="J12" s="44" t="n"/>
      <c r="K12" s="45" t="n"/>
      <c r="L12" s="25" t="n"/>
      <c r="M12" s="44" t="n"/>
      <c r="N12" s="44" t="n"/>
      <c r="O12" s="44" t="n"/>
      <c r="P12" s="44" t="n"/>
      <c r="Q12" s="44" t="n"/>
      <c r="R12" s="44" t="n"/>
      <c r="S12" s="25" t="n"/>
    </row>
    <row r="13">
      <c r="A13" s="25" t="n"/>
      <c r="B13" s="25" t="n"/>
      <c r="C13" s="25" t="n"/>
      <c r="D13" s="25" t="n"/>
      <c r="E13" s="31" t="n"/>
      <c r="F13" s="32" t="n"/>
      <c r="G13" s="31">
        <f>IFERROR(E13*F13,0)</f>
        <v/>
      </c>
      <c r="H13" s="31">
        <f>G13*12</f>
        <v/>
      </c>
      <c r="I13" s="44">
        <f>IFERROR(G13/SUM($G\$4:$G\$23),0)</f>
        <v/>
      </c>
      <c r="J13" s="44" t="n"/>
      <c r="K13" s="45" t="n"/>
      <c r="L13" s="25" t="n"/>
      <c r="M13" s="44" t="n"/>
      <c r="N13" s="44" t="n"/>
      <c r="O13" s="44" t="n"/>
      <c r="P13" s="44" t="n"/>
      <c r="Q13" s="44" t="n"/>
      <c r="R13" s="44" t="n"/>
      <c r="S13" s="25" t="n"/>
    </row>
    <row r="14">
      <c r="A14" s="25" t="n"/>
      <c r="B14" s="25" t="n"/>
      <c r="C14" s="25" t="n"/>
      <c r="D14" s="25" t="n"/>
      <c r="E14" s="31" t="n"/>
      <c r="F14" s="32" t="n"/>
      <c r="G14" s="31">
        <f>IFERROR(E14*F14,0)</f>
        <v/>
      </c>
      <c r="H14" s="31">
        <f>G14*12</f>
        <v/>
      </c>
      <c r="I14" s="44">
        <f>IFERROR(G14/SUM($G\$4:$G\$23),0)</f>
        <v/>
      </c>
      <c r="J14" s="44" t="n"/>
      <c r="K14" s="45" t="n"/>
      <c r="L14" s="25" t="n"/>
      <c r="M14" s="44" t="n"/>
      <c r="N14" s="44" t="n"/>
      <c r="O14" s="44" t="n"/>
      <c r="P14" s="44" t="n"/>
      <c r="Q14" s="44" t="n"/>
      <c r="R14" s="44" t="n"/>
      <c r="S14" s="25" t="n"/>
    </row>
    <row r="15">
      <c r="A15" s="25" t="n"/>
      <c r="B15" s="25" t="n"/>
      <c r="C15" s="25" t="n"/>
      <c r="D15" s="25" t="n"/>
      <c r="E15" s="31" t="n"/>
      <c r="F15" s="32" t="n"/>
      <c r="G15" s="31">
        <f>IFERROR(E15*F15,0)</f>
        <v/>
      </c>
      <c r="H15" s="31">
        <f>G15*12</f>
        <v/>
      </c>
      <c r="I15" s="44">
        <f>IFERROR(G15/SUM($G\$4:$G\$23),0)</f>
        <v/>
      </c>
      <c r="J15" s="44" t="n"/>
      <c r="K15" s="45" t="n"/>
      <c r="L15" s="25" t="n"/>
      <c r="M15" s="44" t="n"/>
      <c r="N15" s="44" t="n"/>
      <c r="O15" s="44" t="n"/>
      <c r="P15" s="44" t="n"/>
      <c r="Q15" s="44" t="n"/>
      <c r="R15" s="44" t="n"/>
      <c r="S15" s="25" t="n"/>
    </row>
    <row r="16">
      <c r="A16" s="25" t="n"/>
      <c r="B16" s="25" t="n"/>
      <c r="C16" s="25" t="n"/>
      <c r="D16" s="25" t="n"/>
      <c r="E16" s="31" t="n"/>
      <c r="F16" s="32" t="n"/>
      <c r="G16" s="31">
        <f>IFERROR(E16*F16,0)</f>
        <v/>
      </c>
      <c r="H16" s="31">
        <f>G16*12</f>
        <v/>
      </c>
      <c r="I16" s="44">
        <f>IFERROR(G16/SUM($G\$4:$G\$23),0)</f>
        <v/>
      </c>
      <c r="J16" s="44" t="n"/>
      <c r="K16" s="45" t="n"/>
      <c r="L16" s="25" t="n"/>
      <c r="M16" s="44" t="n"/>
      <c r="N16" s="44" t="n"/>
      <c r="O16" s="44" t="n"/>
      <c r="P16" s="44" t="n"/>
      <c r="Q16" s="44" t="n"/>
      <c r="R16" s="44" t="n"/>
      <c r="S16" s="25" t="n"/>
    </row>
    <row r="17">
      <c r="A17" s="25" t="n"/>
      <c r="B17" s="25" t="n"/>
      <c r="C17" s="25" t="n"/>
      <c r="D17" s="25" t="n"/>
      <c r="E17" s="31" t="n"/>
      <c r="F17" s="32" t="n"/>
      <c r="G17" s="31">
        <f>IFERROR(E17*F17,0)</f>
        <v/>
      </c>
      <c r="H17" s="31">
        <f>G17*12</f>
        <v/>
      </c>
      <c r="I17" s="44">
        <f>IFERROR(G17/SUM($G\$4:$G\$23),0)</f>
        <v/>
      </c>
      <c r="J17" s="44" t="n"/>
      <c r="K17" s="45" t="n"/>
      <c r="L17" s="25" t="n"/>
      <c r="M17" s="44" t="n"/>
      <c r="N17" s="44" t="n"/>
      <c r="O17" s="44" t="n"/>
      <c r="P17" s="44" t="n"/>
      <c r="Q17" s="44" t="n"/>
      <c r="R17" s="44" t="n"/>
      <c r="S17" s="25" t="n"/>
    </row>
    <row r="18">
      <c r="A18" s="25" t="n"/>
      <c r="B18" s="25" t="n"/>
      <c r="C18" s="25" t="n"/>
      <c r="D18" s="25" t="n"/>
      <c r="E18" s="31" t="n"/>
      <c r="F18" s="32" t="n"/>
      <c r="G18" s="31">
        <f>IFERROR(E18*F18,0)</f>
        <v/>
      </c>
      <c r="H18" s="31">
        <f>G18*12</f>
        <v/>
      </c>
      <c r="I18" s="44">
        <f>IFERROR(G18/SUM($G\$4:$G\$23),0)</f>
        <v/>
      </c>
      <c r="J18" s="44" t="n"/>
      <c r="K18" s="45" t="n"/>
      <c r="L18" s="25" t="n"/>
      <c r="M18" s="44" t="n"/>
      <c r="N18" s="44" t="n"/>
      <c r="O18" s="44" t="n"/>
      <c r="P18" s="44" t="n"/>
      <c r="Q18" s="44" t="n"/>
      <c r="R18" s="44" t="n"/>
      <c r="S18" s="25" t="n"/>
    </row>
    <row r="19">
      <c r="A19" s="25" t="n"/>
      <c r="B19" s="25" t="n"/>
      <c r="C19" s="25" t="n"/>
      <c r="D19" s="25" t="n"/>
      <c r="E19" s="31" t="n"/>
      <c r="F19" s="32" t="n"/>
      <c r="G19" s="31">
        <f>IFERROR(E19*F19,0)</f>
        <v/>
      </c>
      <c r="H19" s="31">
        <f>G19*12</f>
        <v/>
      </c>
      <c r="I19" s="44">
        <f>IFERROR(G19/SUM($G\$4:$G\$23),0)</f>
        <v/>
      </c>
      <c r="J19" s="44" t="n"/>
      <c r="K19" s="45" t="n"/>
      <c r="L19" s="25" t="n"/>
      <c r="M19" s="44" t="n"/>
      <c r="N19" s="44" t="n"/>
      <c r="O19" s="44" t="n"/>
      <c r="P19" s="44" t="n"/>
      <c r="Q19" s="44" t="n"/>
      <c r="R19" s="44" t="n"/>
      <c r="S19" s="25" t="n"/>
    </row>
    <row r="20">
      <c r="A20" s="25" t="n"/>
      <c r="B20" s="25" t="n"/>
      <c r="C20" s="25" t="n"/>
      <c r="D20" s="25" t="n"/>
      <c r="E20" s="31" t="n"/>
      <c r="F20" s="32" t="n"/>
      <c r="G20" s="31">
        <f>IFERROR(E20*F20,0)</f>
        <v/>
      </c>
      <c r="H20" s="31">
        <f>G20*12</f>
        <v/>
      </c>
      <c r="I20" s="44">
        <f>IFERROR(G20/SUM($G\$4:$G\$23),0)</f>
        <v/>
      </c>
      <c r="J20" s="44" t="n"/>
      <c r="K20" s="45" t="n"/>
      <c r="L20" s="25" t="n"/>
      <c r="M20" s="44" t="n"/>
      <c r="N20" s="44" t="n"/>
      <c r="O20" s="44" t="n"/>
      <c r="P20" s="44" t="n"/>
      <c r="Q20" s="44" t="n"/>
      <c r="R20" s="44" t="n"/>
      <c r="S20" s="25" t="n"/>
    </row>
    <row r="21">
      <c r="A21" s="25" t="n"/>
      <c r="B21" s="25" t="n"/>
      <c r="C21" s="25" t="n"/>
      <c r="D21" s="25" t="n"/>
      <c r="E21" s="31" t="n"/>
      <c r="F21" s="32" t="n"/>
      <c r="G21" s="31">
        <f>IFERROR(E21*F21,0)</f>
        <v/>
      </c>
      <c r="H21" s="31">
        <f>G21*12</f>
        <v/>
      </c>
      <c r="I21" s="44">
        <f>IFERROR(G21/SUM($G\$4:$G\$23),0)</f>
        <v/>
      </c>
      <c r="J21" s="44" t="n"/>
      <c r="K21" s="45" t="n"/>
      <c r="L21" s="25" t="n"/>
      <c r="M21" s="44" t="n"/>
      <c r="N21" s="44" t="n"/>
      <c r="O21" s="44" t="n"/>
      <c r="P21" s="44" t="n"/>
      <c r="Q21" s="44" t="n"/>
      <c r="R21" s="44" t="n"/>
      <c r="S21" s="25" t="n"/>
    </row>
    <row r="22">
      <c r="A22" s="25" t="n"/>
      <c r="B22" s="25" t="n"/>
      <c r="C22" s="25" t="n"/>
      <c r="D22" s="25" t="n"/>
      <c r="E22" s="31" t="n"/>
      <c r="F22" s="32" t="n"/>
      <c r="G22" s="31">
        <f>IFERROR(E22*F22,0)</f>
        <v/>
      </c>
      <c r="H22" s="31">
        <f>G22*12</f>
        <v/>
      </c>
      <c r="I22" s="44">
        <f>IFERROR(G22/SUM($G\$4:$G\$23),0)</f>
        <v/>
      </c>
      <c r="J22" s="44" t="n"/>
      <c r="K22" s="45" t="n"/>
      <c r="L22" s="25" t="n"/>
      <c r="M22" s="44" t="n"/>
      <c r="N22" s="44" t="n"/>
      <c r="O22" s="44" t="n"/>
      <c r="P22" s="44" t="n"/>
      <c r="Q22" s="44" t="n"/>
      <c r="R22" s="44" t="n"/>
      <c r="S22" s="25" t="n"/>
    </row>
    <row r="23">
      <c r="A23" s="25" t="n"/>
      <c r="B23" s="25" t="n"/>
      <c r="C23" s="25" t="n"/>
      <c r="D23" s="25" t="n"/>
      <c r="E23" s="31" t="n"/>
      <c r="F23" s="32" t="n"/>
      <c r="G23" s="31">
        <f>IFERROR(E23*F23,0)</f>
        <v/>
      </c>
      <c r="H23" s="31">
        <f>G23*12</f>
        <v/>
      </c>
      <c r="I23" s="44">
        <f>IFERROR(G23/SUM($G\$4:$G\$23),0)</f>
        <v/>
      </c>
      <c r="J23" s="44" t="n"/>
      <c r="K23" s="45" t="n"/>
      <c r="L23" s="25" t="n"/>
      <c r="M23" s="44" t="n"/>
      <c r="N23" s="44" t="n"/>
      <c r="O23" s="44" t="n"/>
      <c r="P23" s="44" t="n"/>
      <c r="Q23" s="44" t="n"/>
      <c r="R23" s="44" t="n"/>
      <c r="S23" s="25" t="n"/>
    </row>
    <row r="24">
      <c r="E24" s="3" t="n"/>
      <c r="G24" s="3" t="n"/>
      <c r="H24" s="3" t="n"/>
      <c r="I24" s="46" t="n"/>
      <c r="J24" s="46" t="n"/>
      <c r="K24" s="47" t="n"/>
      <c r="M24" s="46" t="n"/>
      <c r="N24" s="46" t="n"/>
      <c r="O24" s="46" t="n"/>
      <c r="P24" s="46" t="n"/>
      <c r="Q24" s="46" t="n"/>
      <c r="R24" s="46" t="n"/>
    </row>
    <row r="25" ht="15" customHeight="1">
      <c r="A25" s="5" t="inlineStr">
        <is>
          <t>ИТОГО / среднее</t>
        </is>
      </c>
      <c r="B25" s="5" t="n"/>
      <c r="C25" s="5" t="n"/>
      <c r="D25" s="5" t="n"/>
      <c r="E25" s="6">
        <f>SUM(E4:E23)</f>
        <v/>
      </c>
      <c r="F25" s="5" t="n"/>
      <c r="G25" s="6">
        <f>SUM(G4:G23)</f>
        <v/>
      </c>
      <c r="H25" s="6">
        <f>SUM(H4:H23)</f>
        <v/>
      </c>
      <c r="I25" s="48">
        <f>SUM(I4:I23)</f>
        <v/>
      </c>
      <c r="J25" s="48">
        <f>AVERAGE(J4:J23)</f>
        <v/>
      </c>
      <c r="K25" s="49">
        <f>AVERAGE(K4:K23)</f>
        <v/>
      </c>
      <c r="L25" s="5" t="n"/>
      <c r="M25" s="48">
        <f>IFERROR(SUMPRODUCT($G\$4:$G\$23,M4:M23)/SUMIF(M4:M23,"&gt;0",$G\$4:$G\$23),0)</f>
        <v/>
      </c>
      <c r="N25" s="48">
        <f>IFERROR(SUMPRODUCT($G\$4:$G\$23,N4:N23)/SUMIF(N4:N23,"&gt;0",$G\$4:$G\$23),0)</f>
        <v/>
      </c>
      <c r="O25" s="48">
        <f>IFERROR(SUMPRODUCT($G\$4:$G\$23,O4:O23)/SUMIF(O4:O23,"&gt;0",$G\$4:$G\$23),0)</f>
        <v/>
      </c>
      <c r="P25" s="48">
        <f>IFERROR(SUMPRODUCT($G\$4:$G\$23,P4:P23)/SUMIF(P4:P23,"&gt;0",$G\$4:$G\$23),0)</f>
        <v/>
      </c>
      <c r="Q25" s="48">
        <f>IFERROR(SUMPRODUCT($G\$4:$G\$23,Q4:Q23)/SUMIF(Q4:Q23,"&gt;0",$G\$4:$G\$23),0)</f>
        <v/>
      </c>
      <c r="R25" s="48">
        <f>IFERROR(SUMPRODUCT($G\$4:$G\$23,R4:R23)/SUMIF(R4:R23,"&gt;0",$G\$4:$G\$23),0)</f>
        <v/>
      </c>
      <c r="S25" s="5" t="n"/>
    </row>
    <row r="27" ht="114" customHeight="1">
      <c r="A27" s="24" t="inlineStr">
        <is>
          <t>Каналы: у plantuml.com показана только доля Organic Search 48,47 %; Direct и Referrals названы 2-м и 3-м без долей, Social, Paid, Mail, Display бесплатная карточка не показывает. Средневзвешенные доли каналов (строка 25) в копии считаются только по строкам, где доля показана (П-18)</t>
        </is>
      </c>
    </row>
  </sheetData>
  <mergeCells count="1">
    <mergeCell ref="A1:S1"/>
  </mergeCells>
  <conditionalFormatting sqref="G4:G23">
    <cfRule type="dataBar" priority="1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</cfRule>
  </conditionalFormatting>
  <conditionalFormatting sqref="I4:I23">
    <cfRule type="dataBar" priority="2">
      <dataBar>
        <cfvo type="min"/>
        <cfvo type="max"/>
        <color rgb="FF70AD47"/>
      </dataBar>
    </cfRule>
    <cfRule type="dataBar" priority="4">
      <dataBar>
        <cfvo type="min"/>
        <cfvo type="max"/>
        <color rgb="FF70AD47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E31" sqref="E31"/>
    </sheetView>
  </sheetViews>
  <sheetFormatPr baseColWidth="8" defaultRowHeight="14.25"/>
  <cols>
    <col width="18" customWidth="1" min="1" max="2"/>
    <col width="24" customWidth="1" min="3" max="4"/>
    <col width="38" customWidth="1" min="5" max="5"/>
    <col width="34" customWidth="1" min="6" max="7"/>
    <col width="14" customWidth="1" min="8" max="8"/>
  </cols>
  <sheetData>
    <row r="1" ht="30" customHeight="1">
      <c r="A1" s="22" t="inlineStr">
        <is>
          <t>Канальная структура рынка по данным Similarweb</t>
        </is>
      </c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</row>
    <row r="3" ht="36" customHeight="1">
      <c r="A3" s="1" t="inlineStr">
        <is>
          <t>Канал</t>
        </is>
      </c>
      <c r="B3" s="1" t="inlineStr">
        <is>
          <t>Средневзвешенная доля</t>
        </is>
      </c>
      <c r="C3" s="1" t="inlineStr">
        <is>
          <t>Оценка рыночного трафика, мес</t>
        </is>
      </c>
      <c r="D3" s="1" t="inlineStr">
        <is>
          <t>Оценка рыночного трафика, год</t>
        </is>
      </c>
      <c r="E3" s="1" t="inlineStr">
        <is>
          <t>Коммерческая интерпретация</t>
        </is>
      </c>
      <c r="F3" s="1" t="inlineStr">
        <is>
          <t>Что проверить дополнительно</t>
        </is>
      </c>
      <c r="G3" s="1" t="inlineStr">
        <is>
          <t>Ограничение</t>
        </is>
      </c>
      <c r="H3" s="1" t="inlineStr">
        <is>
          <t>Приоритет</t>
        </is>
      </c>
    </row>
    <row r="4" ht="28.5" customHeight="1">
      <c r="A4" s="25" t="inlineStr">
        <is>
          <t>Direct</t>
        </is>
      </c>
      <c r="B4" s="44">
        <f>'02_Конкуренты_SW'!M25</f>
        <v/>
      </c>
      <c r="C4" s="31">
        <f>B4*'01_Параметры'!$B\$12</f>
        <v/>
      </c>
      <c r="D4" s="31">
        <f>C4*12</f>
        <v/>
      </c>
      <c r="E4" s="25" t="inlineStr">
        <is>
          <t>Сила бренда и повторные посещения</t>
        </is>
      </c>
      <c r="F4" s="25" t="inlineStr">
        <is>
          <t>Узнаваемость конкурентов, прямые заходы</t>
        </is>
      </c>
      <c r="G4" s="25" t="inlineStr">
        <is>
          <t>Не всегда означает новый спрос</t>
        </is>
      </c>
      <c r="H4" s="25" t="inlineStr">
        <is>
          <t>нет данных</t>
        </is>
      </c>
    </row>
    <row r="5" ht="28.5" customHeight="1">
      <c r="A5" s="25" t="inlineStr">
        <is>
          <t>Organic search</t>
        </is>
      </c>
      <c r="B5" s="44">
        <f>'02_Конкуренты_SW'!N25</f>
        <v/>
      </c>
      <c r="C5" s="31">
        <f>B5*'01_Параметры'!$B\$12</f>
        <v/>
      </c>
      <c r="D5" s="31">
        <f>C5*12</f>
        <v/>
      </c>
      <c r="E5" s="25" t="inlineStr">
        <is>
          <t>Поисковый спрос и эффективность содержания</t>
        </is>
      </c>
      <c r="F5" s="25" t="inlineStr">
        <is>
          <t>Семантическое ядро, видимость в поиске</t>
        </is>
      </c>
      <c r="G5" s="25" t="inlineStr">
        <is>
          <t>Запросы могут быть информационными</t>
        </is>
      </c>
      <c r="H5" s="25">
        <f>IF(B5&gt;=0.3,"высокий",IF(B5&gt;=0.15,"средний","низкий"))</f>
        <v/>
      </c>
    </row>
    <row r="6" ht="28.5" customHeight="1">
      <c r="A6" s="25" t="inlineStr">
        <is>
          <t>Referral</t>
        </is>
      </c>
      <c r="B6" s="44">
        <f>'02_Конкуренты_SW'!O25</f>
        <v/>
      </c>
      <c r="C6" s="31">
        <f>B6*'01_Параметры'!$B\$12</f>
        <v/>
      </c>
      <c r="D6" s="31">
        <f>C6*12</f>
        <v/>
      </c>
      <c r="E6" s="25" t="inlineStr">
        <is>
          <t>Партнерские и справочные источники</t>
        </is>
      </c>
      <c r="F6" s="25" t="inlineStr">
        <is>
          <t>Каталоги, публикации, партнеры</t>
        </is>
      </c>
      <c r="G6" s="25" t="inlineStr">
        <is>
          <t>Часть переходов может быть нерелевантна</t>
        </is>
      </c>
      <c r="H6" s="25" t="inlineStr">
        <is>
          <t>нет данных</t>
        </is>
      </c>
    </row>
    <row r="7" ht="28.5" customHeight="1">
      <c r="A7" s="25" t="inlineStr">
        <is>
          <t>Social</t>
        </is>
      </c>
      <c r="B7" s="44">
        <f>'02_Конкуренты_SW'!P25</f>
        <v/>
      </c>
      <c r="C7" s="31">
        <f>B7*'01_Параметры'!$B\$12</f>
        <v/>
      </c>
      <c r="D7" s="31">
        <f>C7*12</f>
        <v/>
      </c>
      <c r="E7" s="25" t="inlineStr">
        <is>
          <t>Спрос через социальные сети</t>
        </is>
      </c>
      <c r="F7" s="25" t="inlineStr">
        <is>
          <t>Активность в соцсетях и сообществах</t>
        </is>
      </c>
      <c r="G7" s="25" t="inlineStr">
        <is>
          <t>Социальный трафик не всегда конверсионный</t>
        </is>
      </c>
      <c r="H7" s="25" t="inlineStr">
        <is>
          <t>нет данных</t>
        </is>
      </c>
    </row>
    <row r="8" ht="28.5" customHeight="1">
      <c r="A8" s="25" t="inlineStr">
        <is>
          <t>Paid search</t>
        </is>
      </c>
      <c r="B8" s="44">
        <f>'02_Конкуренты_SW'!Q25</f>
        <v/>
      </c>
      <c r="C8" s="31">
        <f>B8*'01_Параметры'!$B\$12</f>
        <v/>
      </c>
      <c r="D8" s="31">
        <f>C8*12</f>
        <v/>
      </c>
      <c r="E8" s="25" t="inlineStr">
        <is>
          <t>Платный спрос и рекламная конкуренция</t>
        </is>
      </c>
      <c r="F8" s="25" t="inlineStr">
        <is>
          <t>Стоимость клика, рекламные объявления</t>
        </is>
      </c>
      <c r="G8" s="25" t="inlineStr">
        <is>
          <t>Высокая доля может отражать закупку трафика</t>
        </is>
      </c>
      <c r="H8" s="25" t="inlineStr">
        <is>
          <t>нет данных</t>
        </is>
      </c>
    </row>
    <row r="9" ht="28.5" customHeight="1">
      <c r="A9" s="25" t="inlineStr">
        <is>
          <t>Display</t>
        </is>
      </c>
      <c r="B9" s="44">
        <f>'02_Конкуренты_SW'!R25</f>
        <v/>
      </c>
      <c r="C9" s="31">
        <f>B9*'01_Параметры'!$B\$12</f>
        <v/>
      </c>
      <c r="D9" s="31">
        <f>C9*12</f>
        <v/>
      </c>
      <c r="E9" s="25" t="inlineStr">
        <is>
          <t>Медийная реклама и охват</t>
        </is>
      </c>
      <c r="F9" s="25" t="inlineStr">
        <is>
          <t>Баннеры, ретаргетинг</t>
        </is>
      </c>
      <c r="G9" s="25" t="inlineStr">
        <is>
          <t>Слабее связан с намерением покупки</t>
        </is>
      </c>
      <c r="H9" s="25" t="inlineStr">
        <is>
          <t>нет данных</t>
        </is>
      </c>
    </row>
    <row r="11">
      <c r="A11" t="inlineStr">
        <is>
          <t>Показан только Organic (plantuml.com); остальные доли — «нет данных в бесплатном доступе»; приоритет по каналам, кроме Organic, не определяется</t>
        </is>
      </c>
    </row>
  </sheetData>
  <mergeCells count="1">
    <mergeCell ref="A1:H1"/>
  </mergeCells>
  <conditionalFormatting sqref="B4:B9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F26" sqref="F26"/>
    </sheetView>
  </sheetViews>
  <sheetFormatPr baseColWidth="8" defaultRowHeight="14.25"/>
  <cols>
    <col width="28" customWidth="1" min="1" max="1"/>
    <col width="22" customWidth="1" min="2" max="2"/>
    <col width="26" customWidth="1" min="3" max="4"/>
    <col width="28" customWidth="1" min="5" max="5"/>
    <col width="22" customWidth="1" min="6" max="6"/>
    <col width="18" customWidth="1" min="7" max="7"/>
    <col width="42" customWidth="1" min="8" max="8"/>
    <col width="25.75" customWidth="1" min="9" max="9"/>
    <col width="20.875" customWidth="1" min="10" max="10"/>
  </cols>
  <sheetData>
    <row r="1" ht="30" customHeight="1">
      <c r="A1" s="22" t="inlineStr">
        <is>
          <t>Географическая структура цифрового рынка</t>
        </is>
      </c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</row>
    <row r="3" ht="65.25" customHeight="1">
      <c r="A3" s="1" t="inlineStr">
        <is>
          <t>Страна / регион</t>
        </is>
      </c>
      <c r="B3" s="1" t="inlineStr">
        <is>
          <t>Доля трафика по Similarweb</t>
        </is>
      </c>
      <c r="C3" s="1" t="inlineStr">
        <is>
          <t>Оценка месячного трафика рынка</t>
        </is>
      </c>
      <c r="D3" s="1" t="inlineStr">
        <is>
          <t>Оценка годового трафика рынка</t>
        </is>
      </c>
      <c r="E3" s="1" t="inlineStr">
        <is>
          <t>Платежеспособность / доступность</t>
        </is>
      </c>
      <c r="F3" s="1" t="inlineStr">
        <is>
          <t>Конкурентная плотность</t>
        </is>
      </c>
      <c r="G3" s="1" t="inlineStr">
        <is>
          <t>Приоритет рынка</t>
        </is>
      </c>
      <c r="H3" s="1" t="inlineStr">
        <is>
          <t>Комментарий</t>
        </is>
      </c>
      <c r="I3" s="38" t="inlineStr">
        <is>
          <t>Корректно (П-10): трафик до географического сужения × доля, мес</t>
        </is>
      </c>
      <c r="J3" s="38" t="inlineStr">
        <is>
          <t>Корректно, год</t>
        </is>
      </c>
      <c r="K3" s="26" t="n"/>
    </row>
    <row r="4" ht="28.5" customHeight="1">
      <c r="A4" s="25" t="inlineStr">
        <is>
          <t>Республика Беларусь</t>
        </is>
      </c>
      <c r="B4" s="44" t="n">
        <v>0.001958</v>
      </c>
      <c r="C4" s="31">
        <f>B4*'01_Параметры'!$B\$12</f>
        <v/>
      </c>
      <c r="D4" s="31">
        <f>C4*12</f>
        <v/>
      </c>
      <c r="E4" s="25" t="inlineStr">
        <is>
          <t>средняя</t>
        </is>
      </c>
      <c r="F4" s="25" t="inlineStr">
        <is>
          <t>средняя</t>
        </is>
      </c>
      <c r="G4" s="25">
        <f>IF(B4&gt;=0.35,"высокий",IF(B4&gt;=0.15,"средний","низкий"))</f>
        <v/>
      </c>
      <c r="H4" s="25" t="inlineStr">
        <is>
          <t>Основная география (В-6). Доля — допущение Д-01</t>
        </is>
      </c>
      <c r="I4" s="25">
        <f>B4*SUM('02_Конкуренты_SW'!$E\$4:$E\$23)/'01_Параметры'!$B\$11</f>
        <v/>
      </c>
      <c r="J4" s="25">
        <f>I4*12</f>
        <v/>
      </c>
    </row>
    <row r="5" ht="28.5" customHeight="1">
      <c r="A5" s="25" t="inlineStr">
        <is>
          <t>Минск (город)</t>
        </is>
      </c>
      <c r="B5" s="44" t="n">
        <v>0.001428</v>
      </c>
      <c r="C5" s="31">
        <f>B5*'01_Параметры'!$B\$12</f>
        <v/>
      </c>
      <c r="D5" s="31">
        <f>C5*12</f>
        <v/>
      </c>
      <c r="E5" s="25" t="inlineStr">
        <is>
          <t>выше средней</t>
        </is>
      </c>
      <c r="F5" s="25" t="inlineStr">
        <is>
          <t>высокая</t>
        </is>
      </c>
      <c r="G5" s="25">
        <f>IF(B5&gt;=0.35,"высокий",IF(B5&gt;=0.15,"средний","низкий"))</f>
        <v/>
      </c>
      <c r="H5" s="25" t="inlineStr">
        <is>
          <t>Вордстат, plantuml: Минск 124 из 170 запросов РБ (73 %), окно 29.08–27.09.2026</t>
        </is>
      </c>
      <c r="I5" s="25">
        <f>B5*SUM('02_Конкуренты_SW'!$E\$4:$E\$23)/'01_Параметры'!$B\$11</f>
        <v/>
      </c>
      <c r="J5" s="25">
        <f>I5*12</f>
        <v/>
      </c>
    </row>
    <row r="6" ht="28.5" customHeight="1">
      <c r="A6" s="25" t="inlineStr">
        <is>
          <t>Остальная Беларусь (включая областные центры)</t>
        </is>
      </c>
      <c r="B6" s="44" t="n">
        <v>0.00053</v>
      </c>
      <c r="C6" s="31">
        <f>B6*'01_Параметры'!$B\$12</f>
        <v/>
      </c>
      <c r="D6" s="31">
        <f>C6*12</f>
        <v/>
      </c>
      <c r="E6" s="25" t="inlineStr">
        <is>
          <t>средняя</t>
        </is>
      </c>
      <c r="F6" s="25" t="inlineStr">
        <is>
          <t>средняя</t>
        </is>
      </c>
      <c r="G6" s="25">
        <f>IF(B6&gt;=0.35,"высокий",IF(B6&gt;=0.15,"средний","низкий"))</f>
        <v/>
      </c>
      <c r="H6" s="25" t="inlineStr">
        <is>
          <t>Разница; данных по областным центрам нет</t>
        </is>
      </c>
      <c r="I6" s="25">
        <f>B6*SUM('02_Конкуренты_SW'!$E\$4:$E\$23)/'01_Параметры'!$B\$11</f>
        <v/>
      </c>
      <c r="J6" s="25">
        <f>I6*12</f>
        <v/>
      </c>
    </row>
    <row r="7" ht="42.75" customHeight="1">
      <c r="A7" s="25" t="inlineStr">
        <is>
          <t>Россия (другие русскоязычные рынки)</t>
        </is>
      </c>
      <c r="B7" s="44" t="n">
        <v>0.0907</v>
      </c>
      <c r="C7" s="31">
        <f>B7*'01_Параметры'!$B\$12</f>
        <v/>
      </c>
      <c r="D7" s="31">
        <f>C7*12</f>
        <v/>
      </c>
      <c r="E7" s="25" t="inlineStr">
        <is>
          <t>разная</t>
        </is>
      </c>
      <c r="F7" s="25" t="inlineStr">
        <is>
          <t>высокая</t>
        </is>
      </c>
      <c r="G7" s="25">
        <f>IF(B7&gt;=0.35,"высокий",IF(B7&gt;=0.15,"средний","низкий"))</f>
        <v/>
      </c>
      <c r="H7" s="25" t="inlineStr">
        <is>
          <t>Similarweb, plantuml.com, август 2026: 9,07 % (факт); гипотеза расширения, вне итогового диапазона (В-6)</t>
        </is>
      </c>
      <c r="I7" s="25">
        <f>B7*SUM('02_Конкуренты_SW'!$E\$4:$E\$23)/'01_Параметры'!$B\$11</f>
        <v/>
      </c>
      <c r="J7" s="25">
        <f>I7*12</f>
        <v/>
      </c>
    </row>
    <row r="8">
      <c r="A8" s="25" t="n"/>
      <c r="B8" s="25" t="n"/>
      <c r="C8" s="25" t="n"/>
      <c r="D8" s="25" t="n"/>
      <c r="E8" s="25" t="n"/>
      <c r="F8" s="25" t="n"/>
      <c r="G8" s="25" t="n"/>
      <c r="H8" s="25" t="n"/>
      <c r="I8" s="25" t="n"/>
      <c r="J8" s="25" t="n"/>
    </row>
    <row r="9" ht="71.25" customHeight="1">
      <c r="A9" s="25" t="inlineStr">
        <is>
          <t>В шаблоне (столбцы C, D) доля умножается на B12 — трафик, уже суженный до Беларуси (П-10); корректный вариант — столбцы I, J</t>
        </is>
      </c>
      <c r="B9" s="25" t="n"/>
      <c r="C9" s="25" t="n"/>
      <c r="D9" s="25" t="n"/>
      <c r="E9" s="25" t="n"/>
      <c r="F9" s="25" t="n"/>
      <c r="G9" s="25" t="n"/>
      <c r="H9" s="25" t="n"/>
      <c r="I9" s="25" t="n"/>
      <c r="J9" s="25" t="n"/>
    </row>
  </sheetData>
  <mergeCells count="1">
    <mergeCell ref="A1:H1"/>
  </mergeCells>
  <conditionalFormatting sqref="B4:B7">
    <cfRule type="dataBar" priority="1">
      <dataBar>
        <cfvo type="min"/>
        <cfvo type="max"/>
        <color rgb="FF70AD47"/>
      </dataBar>
    </cfRule>
    <cfRule type="dataBar" priority="2">
      <dataBar>
        <cfvo type="min"/>
        <cfvo type="max"/>
        <color rgb="FF70AD47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:J12"/>
    </sheetView>
  </sheetViews>
  <sheetFormatPr baseColWidth="8" defaultRowHeight="14.25"/>
  <cols>
    <col width="41.625" customWidth="1" min="1" max="1"/>
    <col width="24" customWidth="1" min="2" max="2"/>
    <col width="20" customWidth="1" min="3" max="3"/>
    <col width="24" customWidth="1" min="4" max="4"/>
    <col width="18" customWidth="1" min="5" max="6"/>
    <col width="28" customWidth="1" min="7" max="7"/>
    <col width="18" customWidth="1" min="8" max="8"/>
    <col width="35.5" customWidth="1" min="9" max="9"/>
    <col width="57.375" customWidth="1" min="10" max="10"/>
    <col width="34.75" customWidth="1" min="11" max="11"/>
    <col width="23.875" customWidth="1" min="12" max="12"/>
  </cols>
  <sheetData>
    <row r="1" ht="30" customHeight="1">
      <c r="A1" s="22" t="inlineStr">
        <is>
          <t>Поисковые запросы и коммерческий интерес</t>
        </is>
      </c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</row>
    <row r="3" ht="36" customFormat="1" customHeight="1" s="24">
      <c r="A3" s="1" t="inlineStr">
        <is>
          <t>Запрос / ключевая фраза</t>
        </is>
      </c>
      <c r="B3" s="1" t="inlineStr">
        <is>
          <t>Источник</t>
        </is>
      </c>
      <c r="C3" s="1" t="inlineStr">
        <is>
          <t>Доля поискового трафика</t>
        </is>
      </c>
      <c r="D3" s="1" t="inlineStr">
        <is>
          <t>Оценочный месячный трафик</t>
        </is>
      </c>
      <c r="E3" s="1" t="inlineStr">
        <is>
          <t>Тип намерения</t>
        </is>
      </c>
      <c r="F3" s="1" t="inlineStr">
        <is>
          <t>Коммерческий вес</t>
        </is>
      </c>
      <c r="G3" s="1" t="inlineStr">
        <is>
          <t>Индекс коммерческого интереса</t>
        </is>
      </c>
      <c r="H3" s="1" t="inlineStr">
        <is>
          <t>Сегмент</t>
        </is>
      </c>
      <c r="I3" s="1" t="inlineStr">
        <is>
          <t>Решение</t>
        </is>
      </c>
      <c r="J3" s="1" t="inlineStr">
        <is>
          <t>Комментарий</t>
        </is>
      </c>
      <c r="K3" s="37" t="inlineStr">
        <is>
          <t>Корректно (П-11): D × доля Organic</t>
        </is>
      </c>
      <c r="L3" s="38" t="n"/>
      <c r="M3" s="38" t="n"/>
      <c r="N3" s="38" t="n"/>
    </row>
    <row r="4" ht="42.75" customFormat="1" customHeight="1" s="25">
      <c r="A4" s="25" t="inlineStr">
        <is>
          <t>uml купить</t>
        </is>
      </c>
      <c r="B4" s="25" t="inlineStr">
        <is>
          <t>Яндекс Вордстат (РБ, Топы, 30 дней)</t>
        </is>
      </c>
      <c r="C4" s="44" t="n">
        <v>0.0068</v>
      </c>
      <c r="D4" s="31">
        <f>C4*'01_Параметры'!$B\$12</f>
        <v/>
      </c>
      <c r="E4" s="25" t="inlineStr">
        <is>
          <t>коммерческий</t>
        </is>
      </c>
      <c r="F4" s="45" t="n">
        <v>1</v>
      </c>
      <c r="G4" s="31">
        <f>D4*F4</f>
        <v/>
      </c>
      <c r="H4" s="25" t="inlineStr">
        <is>
          <t>S-02/S-03</t>
        </is>
      </c>
      <c r="I4" s="25" t="inlineStr">
        <is>
          <t>включить</t>
        </is>
      </c>
      <c r="J4" s="25" t="inlineStr">
        <is>
          <t>Частотность 5 запр./мес.; доля — среди перечисленных запросов (Similarweb долей запросов в бесплатном доступе не показывает)</t>
        </is>
      </c>
      <c r="K4" s="25">
        <f>D4*'03_Каналы'!$B\$5</f>
        <v/>
      </c>
    </row>
    <row r="5" ht="42.75" customFormat="1" customHeight="1" s="25">
      <c r="A5" s="25" t="inlineStr">
        <is>
          <t>visio купить</t>
        </is>
      </c>
      <c r="B5" s="25" t="inlineStr">
        <is>
          <t>Яндекс Вордстат (РБ, Топы, 30 дней)</t>
        </is>
      </c>
      <c r="C5" s="44" t="n">
        <v>0.009599999999999999</v>
      </c>
      <c r="D5" s="31">
        <f>C5*'01_Параметры'!$B\$12</f>
        <v/>
      </c>
      <c r="E5" s="25" t="inlineStr">
        <is>
          <t>коммерческий</t>
        </is>
      </c>
      <c r="F5" s="45" t="n">
        <v>1</v>
      </c>
      <c r="G5" s="31">
        <f>D5*F5</f>
        <v/>
      </c>
      <c r="H5" s="25" t="inlineStr">
        <is>
          <t>S-02/S-03</t>
        </is>
      </c>
      <c r="I5" s="25" t="inlineStr">
        <is>
          <t>включить (конкурент)</t>
        </is>
      </c>
      <c r="J5" s="25" t="inlineStr">
        <is>
          <t>Частотность 7 запр./мес.; доля — среди перечисленных запросов (Similarweb долей запросов в бесплатном доступе не показывает)</t>
        </is>
      </c>
      <c r="K5" s="25">
        <f>D5*'03_Каналы'!$B\$5</f>
        <v/>
      </c>
    </row>
    <row r="6" ht="42.75" customFormat="1" customHeight="1" s="25">
      <c r="A6" s="25" t="inlineStr">
        <is>
          <t>нейросеть схема</t>
        </is>
      </c>
      <c r="B6" s="25" t="inlineStr">
        <is>
          <t>Яндекс Вордстат (РБ, Топы, 30 дней)</t>
        </is>
      </c>
      <c r="C6" s="44" t="n">
        <v>0.1038</v>
      </c>
      <c r="D6" s="31">
        <f>C6*'01_Параметры'!$B\$12</f>
        <v/>
      </c>
      <c r="E6" s="25" t="inlineStr">
        <is>
          <t>инструментальный</t>
        </is>
      </c>
      <c r="F6" s="45" t="n">
        <v>0.7</v>
      </c>
      <c r="G6" s="31">
        <f>D6*F6</f>
        <v/>
      </c>
      <c r="H6" s="25" t="inlineStr">
        <is>
          <t>все</t>
        </is>
      </c>
      <c r="I6" s="25" t="inlineStr">
        <is>
          <t>включить</t>
        </is>
      </c>
      <c r="J6" s="25" t="inlineStr">
        <is>
          <t>Частотность 76 запр./мес.; доля — среди перечисленных запросов (Similarweb долей запросов в бесплатном доступе не показывает)</t>
        </is>
      </c>
      <c r="K6" s="25">
        <f>D6*'03_Каналы'!$B\$5</f>
        <v/>
      </c>
    </row>
    <row r="7" ht="42.75" customFormat="1" customHeight="1" s="25">
      <c r="A7" s="25" t="inlineStr">
        <is>
          <t>uml онлайн</t>
        </is>
      </c>
      <c r="B7" s="25" t="inlineStr">
        <is>
          <t>Яндекс Вордстат (РБ, Топы, 30 дней)</t>
        </is>
      </c>
      <c r="C7" s="44" t="n">
        <v>0.0383</v>
      </c>
      <c r="D7" s="31">
        <f>C7*'01_Параметры'!$B\$12</f>
        <v/>
      </c>
      <c r="E7" s="25" t="inlineStr">
        <is>
          <t>инструментальный</t>
        </is>
      </c>
      <c r="F7" s="45" t="n">
        <v>0.7</v>
      </c>
      <c r="G7" s="31">
        <f>D7*F7</f>
        <v/>
      </c>
      <c r="H7" s="25" t="inlineStr">
        <is>
          <t>S-01/S-03</t>
        </is>
      </c>
      <c r="I7" s="25" t="inlineStr">
        <is>
          <t>включить</t>
        </is>
      </c>
      <c r="J7" s="25" t="inlineStr">
        <is>
          <t>Частотность 28 запр./мес.; доля — среди перечисленных запросов (Similarweb долей запросов в бесплатном доступе не показывает)</t>
        </is>
      </c>
      <c r="K7" s="25">
        <f>D7*'03_Каналы'!$B\$5</f>
        <v/>
      </c>
    </row>
    <row r="8" ht="42.75" customFormat="1" customHeight="1" s="25">
      <c r="A8" s="25" t="inlineStr">
        <is>
          <t>plantuml online</t>
        </is>
      </c>
      <c r="B8" s="25" t="inlineStr">
        <is>
          <t>Яндекс Вордстат (РБ, Топы, 30 дней)</t>
        </is>
      </c>
      <c r="C8" s="44" t="n">
        <v>0.0191</v>
      </c>
      <c r="D8" s="31">
        <f>C8*'01_Параметры'!$B\$12</f>
        <v/>
      </c>
      <c r="E8" s="25" t="inlineStr">
        <is>
          <t>инструментальный</t>
        </is>
      </c>
      <c r="F8" s="45" t="n">
        <v>0.7</v>
      </c>
      <c r="G8" s="31">
        <f>D8*F8</f>
        <v/>
      </c>
      <c r="H8" s="25" t="inlineStr">
        <is>
          <t>S-03</t>
        </is>
      </c>
      <c r="I8" s="25" t="inlineStr">
        <is>
          <t>включить</t>
        </is>
      </c>
      <c r="J8" s="25" t="inlineStr">
        <is>
          <t>Частотность 14 запр./мес.; доля — среди перечисленных запросов (Similarweb долей запросов в бесплатном доступе не показывает)</t>
        </is>
      </c>
      <c r="K8" s="25">
        <f>D8*'03_Каналы'!$B\$5</f>
        <v/>
      </c>
    </row>
    <row r="9" ht="42.75" customFormat="1" customHeight="1" s="25">
      <c r="A9" s="25" t="inlineStr">
        <is>
          <t>idef0 как</t>
        </is>
      </c>
      <c r="B9" s="25" t="inlineStr">
        <is>
          <t>Яндекс Вордстат (РБ, Топы, 30 дней)</t>
        </is>
      </c>
      <c r="C9" s="44" t="n">
        <v>0.015</v>
      </c>
      <c r="D9" s="31">
        <f>C9*'01_Параметры'!$B\$12</f>
        <v/>
      </c>
      <c r="E9" s="25" t="inlineStr">
        <is>
          <t>проблемный</t>
        </is>
      </c>
      <c r="F9" s="45" t="n">
        <v>0.6</v>
      </c>
      <c r="G9" s="31">
        <f>D9*F9</f>
        <v/>
      </c>
      <c r="H9" s="25" t="inlineStr">
        <is>
          <t>S-01</t>
        </is>
      </c>
      <c r="I9" s="25" t="inlineStr">
        <is>
          <t>включить</t>
        </is>
      </c>
      <c r="J9" s="25" t="inlineStr">
        <is>
          <t>Частотность 11 запр./мес.; доля — среди перечисленных запросов (Similarweb долей запросов в бесплатном доступе не показывает)</t>
        </is>
      </c>
      <c r="K9" s="25">
        <f>D9*'03_Каналы'!$B\$5</f>
        <v/>
      </c>
    </row>
    <row r="10" ht="42.75" customFormat="1" customHeight="1" s="25">
      <c r="A10" s="25" t="inlineStr">
        <is>
          <t>uml</t>
        </is>
      </c>
      <c r="B10" s="25" t="inlineStr">
        <is>
          <t>Яндекс Вордстат (РБ, Топы, 30 дней)</t>
        </is>
      </c>
      <c r="C10" s="44" t="n">
        <v>0.8074</v>
      </c>
      <c r="D10" s="31">
        <f>C10*'01_Параметры'!$B\$12</f>
        <v/>
      </c>
      <c r="E10" s="25" t="inlineStr">
        <is>
          <t>информационный</t>
        </is>
      </c>
      <c r="F10" s="45" t="n">
        <v>0.1</v>
      </c>
      <c r="G10" s="31">
        <f>D10*F10</f>
        <v/>
      </c>
      <c r="H10" s="25" t="inlineStr">
        <is>
          <t>S-01</t>
        </is>
      </c>
      <c r="I10" s="25" t="inlineStr">
        <is>
          <t>исключить (не подтверждает платёжеспособный спрос)</t>
        </is>
      </c>
      <c r="J10" s="25" t="inlineStr">
        <is>
          <t>Частотность 591 запр./мес.; доля — среди перечисленных запросов (Similarweb долей запросов в бесплатном доступе не показывает)</t>
        </is>
      </c>
      <c r="K10" s="25">
        <f>D10*'03_Каналы'!$B\$5</f>
        <v/>
      </c>
    </row>
    <row r="11">
      <c r="D11" s="25" t="n"/>
      <c r="E11" s="25" t="n"/>
      <c r="F11" s="25" t="n"/>
      <c r="G11" s="25" t="n"/>
      <c r="H11" s="25" t="n"/>
      <c r="I11" s="25" t="n"/>
      <c r="J11" s="25" t="n"/>
      <c r="K11" s="25" t="n"/>
    </row>
    <row r="12" ht="171" customHeight="1">
      <c r="A12" s="25" t="inlineStr">
        <is>
          <t>Столбец D в шаблоне = доля × трафик всего рынка (П-11), что вероятно завышает поисковую часть; в столбце K — умножение на долю Organic (48,47 %, plantuml.com). Веса намерений SW-X (проблемный 0,6–0,8, информационный 0,1) отличаются от ПС табл. 9 (проблемный 0,30–0,60) — Р-44</t>
        </is>
      </c>
      <c r="D12" s="25" t="n"/>
      <c r="E12" s="25" t="n"/>
      <c r="F12" s="25" t="n"/>
      <c r="G12" s="25" t="n"/>
      <c r="H12" s="25" t="n"/>
      <c r="I12" s="25" t="n"/>
      <c r="J12" s="25" t="n"/>
      <c r="K12" s="25" t="n"/>
    </row>
  </sheetData>
  <mergeCells count="1">
    <mergeCell ref="A1:J1"/>
  </mergeCells>
  <conditionalFormatting sqref="G4:G10">
    <cfRule type="dataBar" priority="1">
      <dataBar>
        <cfvo type="min"/>
        <cfvo type="max"/>
        <color rgb="FFFFC000"/>
      </dataBar>
    </cfRule>
    <cfRule type="dataBar" priority="2">
      <dataBar>
        <cfvo type="min"/>
        <cfvo type="max"/>
        <color rgb="FFFFC000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C27" sqref="C27"/>
    </sheetView>
  </sheetViews>
  <sheetFormatPr baseColWidth="8" defaultRowHeight="14.25"/>
  <cols>
    <col width="30.75" customWidth="1" min="1" max="1"/>
    <col width="42.625" customWidth="1" min="2" max="2"/>
    <col width="26" customWidth="1" min="3" max="3"/>
    <col width="28" customWidth="1" min="4" max="4"/>
    <col width="36" customWidth="1" min="5" max="6"/>
    <col width="20" customWidth="1" min="7" max="7"/>
    <col width="18" customWidth="1" min="8" max="10"/>
  </cols>
  <sheetData>
    <row r="1" ht="30" customHeight="1">
      <c r="A1" s="22" t="inlineStr">
        <is>
          <t>Расчет объема рынка через цифровую воронку и сценарии</t>
        </is>
      </c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</row>
    <row r="3" ht="36" customHeight="1">
      <c r="A3" s="23" t="inlineStr">
        <is>
          <t>Сценарные допущения</t>
        </is>
      </c>
    </row>
    <row r="4" ht="39" customFormat="1" customHeight="1" s="40">
      <c r="A4" s="1" t="inlineStr">
        <is>
          <t>Сценарий</t>
        </is>
      </c>
      <c r="B4" s="1" t="inlineStr">
        <is>
          <t>Коэффициент покрытия конкурентов</t>
        </is>
      </c>
      <c r="C4" s="1" t="inlineStr">
        <is>
          <t>Оценка рынка: посещения/мес</t>
        </is>
      </c>
      <c r="D4" s="1" t="inlineStr">
        <is>
          <t>Конверсия в заявку</t>
        </is>
      </c>
      <c r="E4" s="1" t="inlineStr">
        <is>
          <t>Конверсия заявки в продажу</t>
        </is>
      </c>
      <c r="F4" s="1" t="inlineStr">
        <is>
          <t>Средний чек</t>
        </is>
      </c>
      <c r="G4" s="1" t="inlineStr">
        <is>
          <t>Покупок/клиента в год</t>
        </is>
      </c>
      <c r="H4" s="1" t="inlineStr">
        <is>
          <t>Заказов/мес</t>
        </is>
      </c>
      <c r="I4" s="1" t="inlineStr">
        <is>
          <t>Выручка/мес</t>
        </is>
      </c>
      <c r="J4" s="1" t="inlineStr">
        <is>
          <t>Выручка/год</t>
        </is>
      </c>
    </row>
    <row r="5">
      <c r="A5" t="inlineStr">
        <is>
          <t>Осторожный</t>
        </is>
      </c>
      <c r="B5" s="4" t="n">
        <v>0.8</v>
      </c>
      <c r="C5" s="3">
        <f>IFERROR('01_Параметры'!$B\$9/B5,0)</f>
        <v/>
      </c>
      <c r="D5" s="46" t="n">
        <v>0.008</v>
      </c>
      <c r="E5" s="46" t="n">
        <v>0.03</v>
      </c>
      <c r="F5" s="50" t="n">
        <v>121.14</v>
      </c>
      <c r="G5" s="47" t="n">
        <v>1</v>
      </c>
      <c r="H5" s="3">
        <f>C5*D5*E5</f>
        <v/>
      </c>
      <c r="I5" s="50">
        <f>H5*F5</f>
        <v/>
      </c>
      <c r="J5" s="50">
        <f>I5*12*G5</f>
        <v/>
      </c>
    </row>
    <row r="6">
      <c r="A6" t="inlineStr">
        <is>
          <t>Базовый</t>
        </is>
      </c>
      <c r="B6" s="4" t="n">
        <v>0.7</v>
      </c>
      <c r="C6" s="3">
        <f>IFERROR('01_Параметры'!$B\$9/B6,0)</f>
        <v/>
      </c>
      <c r="D6" s="46" t="n">
        <v>0.015</v>
      </c>
      <c r="E6" s="46" t="n">
        <v>0.04</v>
      </c>
      <c r="F6" s="50" t="n">
        <v>121.14</v>
      </c>
      <c r="G6" s="47" t="n">
        <v>1</v>
      </c>
      <c r="H6" s="3">
        <f>C6*D6*E6</f>
        <v/>
      </c>
      <c r="I6" s="50">
        <f>H6*F6</f>
        <v/>
      </c>
      <c r="J6" s="50">
        <f>I6*12*G6</f>
        <v/>
      </c>
    </row>
    <row r="7">
      <c r="A7" t="inlineStr">
        <is>
          <t>Оптимистичный</t>
        </is>
      </c>
      <c r="B7" s="4" t="n">
        <v>0.55</v>
      </c>
      <c r="C7" s="3">
        <f>IFERROR('01_Параметры'!$B\$9/B7,0)</f>
        <v/>
      </c>
      <c r="D7" s="46" t="n">
        <v>0.025</v>
      </c>
      <c r="E7" s="46" t="n">
        <v>0.05</v>
      </c>
      <c r="F7" s="50" t="n">
        <v>290.74</v>
      </c>
      <c r="G7" s="47" t="n">
        <v>1</v>
      </c>
      <c r="H7" s="3">
        <f>C7*D7*E7</f>
        <v/>
      </c>
      <c r="I7" s="50">
        <f>H7*F7</f>
        <v/>
      </c>
      <c r="J7" s="50">
        <f>I7*12*G7</f>
        <v/>
      </c>
    </row>
    <row r="10" ht="21.95" customHeight="1">
      <c r="A10" s="23" t="inlineStr">
        <is>
          <t>Достижимая доля нового бизнеса (SOM)</t>
        </is>
      </c>
    </row>
    <row r="11" ht="30" customHeight="1">
      <c r="A11" s="1" t="inlineStr">
        <is>
          <t>Сценарий</t>
        </is>
      </c>
      <c r="B11" s="1" t="inlineStr">
        <is>
          <t>Рыночная выручка/год</t>
        </is>
      </c>
      <c r="C11" s="1" t="inlineStr">
        <is>
          <t>Достижимая доля нового бизнеса</t>
        </is>
      </c>
      <c r="D11" s="1" t="inlineStr">
        <is>
          <t>Потенциальная выручка нового бизнеса/год</t>
        </is>
      </c>
      <c r="E11" s="1" t="inlineStr">
        <is>
          <t>Комментарий</t>
        </is>
      </c>
      <c r="F11" s="1" t="inlineStr">
        <is>
          <t>Ограничение</t>
        </is>
      </c>
    </row>
    <row r="12" ht="28.5" customFormat="1" customHeight="1" s="25">
      <c r="A12" s="25" t="inlineStr">
        <is>
          <t>Осторожный</t>
        </is>
      </c>
      <c r="B12" s="51">
        <f>J5</f>
        <v/>
      </c>
      <c r="C12" s="44" t="n">
        <v>0.005</v>
      </c>
      <c r="D12" s="51">
        <f>B12*C12</f>
        <v/>
      </c>
      <c r="E12" s="25" t="inlineStr">
        <is>
          <t>Первые клиенты, тестирование канала</t>
        </is>
      </c>
      <c r="F12" s="25" t="inlineStr">
        <is>
          <t>Не учитывать как гарантированный доход</t>
        </is>
      </c>
    </row>
    <row r="13" customFormat="1" s="25">
      <c r="A13" s="25" t="inlineStr">
        <is>
          <t>Базовый</t>
        </is>
      </c>
      <c r="B13" s="51">
        <f>J6</f>
        <v/>
      </c>
      <c r="C13" s="44" t="n">
        <v>0.015</v>
      </c>
      <c r="D13" s="51">
        <f>B13*C13</f>
        <v/>
      </c>
      <c r="E13" s="25" t="inlineStr">
        <is>
          <t>Устойчивый канал привлечения</t>
        </is>
      </c>
      <c r="F13" s="25" t="inlineStr">
        <is>
          <t>Требуется конкурентный анализ</t>
        </is>
      </c>
    </row>
    <row r="14" ht="28.5" customFormat="1" customHeight="1" s="25">
      <c r="A14" s="25" t="inlineStr">
        <is>
          <t>Оптимистичный</t>
        </is>
      </c>
      <c r="B14" s="51">
        <f>J7</f>
        <v/>
      </c>
      <c r="C14" s="44" t="n">
        <v>0.035</v>
      </c>
      <c r="D14" s="51">
        <f>B14*C14</f>
        <v/>
      </c>
      <c r="E14" s="25" t="inlineStr">
        <is>
          <t>Сильное позиционирование и повторные продажи</t>
        </is>
      </c>
      <c r="F14" s="25" t="inlineStr">
        <is>
          <t>Требуется подтверждение продажами</t>
        </is>
      </c>
    </row>
    <row r="17" ht="21.95" customHeight="1">
      <c r="A17" s="23" t="inlineStr">
        <is>
          <t>Формула итогового вывода</t>
        </is>
      </c>
    </row>
    <row r="18" ht="57" customHeight="1">
      <c r="A18" s="41" t="inlineStr">
        <is>
          <t>Оценочный цифровой объем рынка за год определяется как диапазон между осторожным и оптимистичным сценариями</t>
        </is>
      </c>
      <c r="B18" s="41" t="n"/>
      <c r="C18" s="41" t="n"/>
      <c r="D18" s="41" t="n"/>
      <c r="E18" s="41" t="n"/>
      <c r="F18" s="41" t="n"/>
      <c r="G18" s="41" t="n"/>
      <c r="H18" s="41" t="n"/>
      <c r="I18" s="2" t="n"/>
      <c r="J18" s="2" t="n"/>
    </row>
    <row r="19">
      <c r="A19" s="41" t="inlineStr">
        <is>
          <t>Минимум</t>
        </is>
      </c>
      <c r="B19" s="51" t="n"/>
      <c r="C19" s="51" t="inlineStr">
        <is>
          <t>База</t>
        </is>
      </c>
      <c r="D19" s="51" t="n"/>
      <c r="E19" s="51" t="inlineStr">
        <is>
          <t>Максимум</t>
        </is>
      </c>
      <c r="F19" s="51" t="n"/>
      <c r="G19" s="41" t="inlineStr">
        <is>
          <t>Единица</t>
        </is>
      </c>
      <c r="H19" s="41" t="inlineStr">
        <is>
          <t>руб./год</t>
        </is>
      </c>
      <c r="I19" s="2" t="n"/>
      <c r="J19" s="2" t="n"/>
    </row>
    <row r="20">
      <c r="A20" s="41">
        <f>A12</f>
        <v/>
      </c>
      <c r="B20" s="51">
        <f>D12</f>
        <v/>
      </c>
      <c r="C20" s="51">
        <f>A13</f>
        <v/>
      </c>
      <c r="D20" s="51">
        <f>D13</f>
        <v/>
      </c>
      <c r="E20" s="51">
        <f>A14</f>
        <v/>
      </c>
      <c r="F20" s="51">
        <f>D14</f>
        <v/>
      </c>
      <c r="G20" s="41" t="n"/>
      <c r="H20" s="41" t="n"/>
      <c r="I20" s="2" t="n"/>
      <c r="J20" s="2" t="n"/>
    </row>
    <row r="21">
      <c r="A21" s="41" t="inlineStr">
        <is>
          <t>Рыночная выручка минимум</t>
        </is>
      </c>
      <c r="B21" s="51">
        <f>J5</f>
        <v/>
      </c>
      <c r="C21" s="51" t="inlineStr">
        <is>
          <t>Рыночная выручка база</t>
        </is>
      </c>
      <c r="D21" s="51">
        <f>J6</f>
        <v/>
      </c>
      <c r="E21" s="51" t="inlineStr">
        <is>
          <t>Рыночная выручка максимум</t>
        </is>
      </c>
      <c r="F21" s="51">
        <f>J7</f>
        <v/>
      </c>
      <c r="G21" s="41" t="n"/>
      <c r="H21" s="41" t="n"/>
      <c r="I21" s="2" t="n"/>
      <c r="J21" s="2" t="n"/>
    </row>
    <row r="22" ht="57" customHeight="1">
      <c r="A22" s="41" t="inlineStr">
        <is>
          <t>Вывод</t>
        </is>
      </c>
      <c r="B22" s="41">
        <f>"При заданных допущениях годовой объем цифрового рынка оценивается в диапазоне от "&amp;TEXT(J5,"# ##0")&amp;" до "&amp;TEXT(J7,"# ##0")&amp;" руб., а достижимая выручка нового бизнеса — от "&amp;TEXT(D12,"# ##0")&amp;" до "&amp;TEXT(D14,"# ##0")&amp;" руб. в год."</f>
        <v/>
      </c>
      <c r="C22" s="41" t="n"/>
      <c r="D22" s="41" t="n"/>
      <c r="E22" s="41" t="n"/>
      <c r="F22" s="41" t="n"/>
      <c r="G22" s="41" t="n"/>
      <c r="H22" s="41" t="n"/>
      <c r="I22" s="2" t="n"/>
      <c r="J22" s="2" t="n"/>
    </row>
  </sheetData>
  <mergeCells count="4">
    <mergeCell ref="A1:J1"/>
    <mergeCell ref="A17:J17"/>
    <mergeCell ref="A3:J3"/>
    <mergeCell ref="A10:J10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B23" sqref="B23"/>
    </sheetView>
  </sheetViews>
  <sheetFormatPr baseColWidth="8" defaultRowHeight="14.25"/>
  <cols>
    <col width="22" customWidth="1" min="1" max="1"/>
    <col width="54.875" customWidth="1" min="2" max="2"/>
    <col width="22" customWidth="1" min="3" max="3"/>
    <col width="24" customWidth="1" min="4" max="4"/>
    <col width="22" customWidth="1" min="5" max="5"/>
    <col width="24" customWidth="1" min="6" max="8"/>
    <col width="22" customWidth="1" min="9" max="10"/>
    <col width="12" customWidth="1" min="11" max="12"/>
  </cols>
  <sheetData>
    <row r="1" ht="30" customHeight="1">
      <c r="A1" s="22" t="inlineStr">
        <is>
          <t>Итоговая панель оценки объема рынка по Similarweb</t>
        </is>
      </c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</row>
    <row r="3" ht="36" customHeight="1">
      <c r="A3" s="23" t="inlineStr">
        <is>
          <t>Ключевые показатели</t>
        </is>
      </c>
    </row>
    <row r="4" ht="42.75" customFormat="1" customHeight="1" s="25">
      <c r="A4" s="12" t="inlineStr">
        <is>
          <t>Рынок</t>
        </is>
      </c>
      <c r="B4" s="13">
        <f>'01_Параметры'!B4</f>
        <v/>
      </c>
      <c r="C4" s="12" t="inlineStr">
        <is>
          <t>География</t>
        </is>
      </c>
      <c r="D4" s="13">
        <f>'01_Параметры'!B5</f>
        <v/>
      </c>
      <c r="E4" s="12" t="inlineStr">
        <is>
          <t>Конкурентов</t>
        </is>
      </c>
      <c r="F4" s="13">
        <f>'01_Параметры'!B8</f>
        <v/>
      </c>
      <c r="G4" s="12" t="inlineStr">
        <is>
          <t>Наблюдаемый трафик/мес</t>
        </is>
      </c>
      <c r="H4" s="14">
        <f>'01_Параметры'!B9</f>
        <v/>
      </c>
      <c r="I4" s="15" t="inlineStr">
        <is>
          <t>Оценка трафика рынка/мес</t>
        </is>
      </c>
      <c r="J4" s="14">
        <f>'01_Параметры'!B12</f>
        <v/>
      </c>
    </row>
    <row r="5" ht="30" customFormat="1" customHeight="1" s="25">
      <c r="A5" s="12" t="inlineStr">
        <is>
          <t>Осторожный рынок/год</t>
        </is>
      </c>
      <c r="B5" s="52">
        <f>'06_Воронка_сценарии'!J5</f>
        <v/>
      </c>
      <c r="C5" s="53" t="inlineStr">
        <is>
          <t>Базовый рынок/год</t>
        </is>
      </c>
      <c r="D5" s="52">
        <f>'06_Воронка_сценарии'!J6</f>
        <v/>
      </c>
      <c r="E5" s="53" t="inlineStr">
        <is>
          <t>Оптимистичный рынок/год</t>
        </is>
      </c>
      <c r="F5" s="52">
        <f>'06_Воронка_сценарии'!J7</f>
        <v/>
      </c>
      <c r="G5" s="53" t="inlineStr">
        <is>
          <t>SOM базовый/год</t>
        </is>
      </c>
      <c r="H5" s="52">
        <f>'06_Воронка_сценарии'!D13</f>
        <v/>
      </c>
      <c r="I5" s="12" t="inlineStr">
        <is>
          <t>Главный канал</t>
        </is>
      </c>
      <c r="J5" s="13">
        <f>INDEX('03_Каналы'!A4:A9,MATCH(MAX('03_Каналы'!B4:B9),'03_Каналы'!B4:B9,0))</f>
        <v/>
      </c>
    </row>
    <row r="6" ht="30" customFormat="1" customHeight="1" s="25">
      <c r="A6" s="12" t="inlineStr">
        <is>
          <t>Главный конкурент</t>
        </is>
      </c>
      <c r="B6" s="13">
        <f>INDEX('02_Конкуренты_SW'!B4:B23,MATCH(MAX('02_Конкуренты_SW'!G4:G23),'02_Конкуренты_SW'!G4:G23,0))</f>
        <v/>
      </c>
      <c r="C6" s="12" t="inlineStr">
        <is>
          <t>Доля главного конкурента</t>
        </is>
      </c>
      <c r="D6" s="54">
        <f>MAX('02_Конкуренты_SW'!I4:I23)</f>
        <v/>
      </c>
      <c r="E6" s="12" t="inlineStr">
        <is>
          <t>Главный поисковый запрос</t>
        </is>
      </c>
      <c r="F6" s="13">
        <f>INDEX('05_Запросы'!A4:A10,MATCH(MAX('05_Запросы'!G4:G10),'05_Запросы'!G4:G10,0))</f>
        <v/>
      </c>
      <c r="G6" s="12" t="inlineStr">
        <is>
          <t>Коммерческий индекс</t>
        </is>
      </c>
      <c r="H6" s="14">
        <f>MAX('05_Запросы'!G4:G10)</f>
        <v/>
      </c>
    </row>
    <row r="7" ht="57" customFormat="1" customHeight="1" s="25">
      <c r="A7" s="12" t="inlineStr">
        <is>
          <t>Итоговый вывод</t>
        </is>
      </c>
      <c r="B7" s="13">
        <f>'06_Воронка_сценарии'!B22</f>
        <v/>
      </c>
      <c r="C7" s="41" t="n"/>
      <c r="D7" s="41" t="n"/>
      <c r="E7" s="41" t="n"/>
      <c r="F7" s="41" t="n"/>
      <c r="G7" s="41" t="n"/>
      <c r="H7" s="41" t="n"/>
      <c r="I7" s="41" t="n"/>
      <c r="J7" s="41" t="n"/>
      <c r="K7" s="41" t="n"/>
      <c r="L7" s="41" t="n"/>
    </row>
    <row r="10" ht="30" customHeight="1">
      <c r="A10" s="1" t="inlineStr">
        <is>
          <t>Сценарий</t>
        </is>
      </c>
      <c r="B10" s="1" t="inlineStr">
        <is>
          <t>Рынок, год</t>
        </is>
      </c>
      <c r="C10" s="1" t="inlineStr">
        <is>
          <t>SOM нового бизнеса, год</t>
        </is>
      </c>
    </row>
    <row r="11">
      <c r="A11" t="inlineStr">
        <is>
          <t>Осторожный</t>
        </is>
      </c>
      <c r="B11" s="50">
        <f>'06_Воронка_сценарии'!J5</f>
        <v/>
      </c>
      <c r="C11" s="50">
        <f>'06_Воронка_сценарии'!D12</f>
        <v/>
      </c>
    </row>
    <row r="12">
      <c r="A12" t="inlineStr">
        <is>
          <t>Базовый</t>
        </is>
      </c>
      <c r="B12" s="50">
        <f>'06_Воронка_сценарии'!J6</f>
        <v/>
      </c>
      <c r="C12" s="50">
        <f>'06_Воронка_сценарии'!D13</f>
        <v/>
      </c>
    </row>
    <row r="13">
      <c r="A13" t="inlineStr">
        <is>
          <t>Оптимистичный</t>
        </is>
      </c>
      <c r="B13" s="50">
        <f>'06_Воронка_сценарии'!J7</f>
        <v/>
      </c>
      <c r="C13" s="50">
        <f>'06_Воронка_сценарии'!D14</f>
        <v/>
      </c>
    </row>
    <row r="16" ht="15" customHeight="1">
      <c r="A16" s="1" t="inlineStr">
        <is>
          <t>Канал</t>
        </is>
      </c>
      <c r="B16" s="1" t="inlineStr">
        <is>
          <t>Доля</t>
        </is>
      </c>
      <c r="C16" s="1" t="inlineStr">
        <is>
          <t>Трафик/мес</t>
        </is>
      </c>
    </row>
    <row r="17">
      <c r="A17" t="inlineStr">
        <is>
          <t>Direct</t>
        </is>
      </c>
      <c r="B17" s="46">
        <f>'03_Каналы'!B4</f>
        <v/>
      </c>
      <c r="C17" s="3">
        <f>'03_Каналы'!C4</f>
        <v/>
      </c>
    </row>
    <row r="18">
      <c r="A18" t="inlineStr">
        <is>
          <t>Organic search</t>
        </is>
      </c>
      <c r="B18" s="46">
        <f>'03_Каналы'!B5</f>
        <v/>
      </c>
      <c r="C18" s="3">
        <f>'03_Каналы'!C5</f>
        <v/>
      </c>
    </row>
    <row r="19">
      <c r="A19" t="inlineStr">
        <is>
          <t>Referral</t>
        </is>
      </c>
      <c r="B19" s="46">
        <f>'03_Каналы'!B6</f>
        <v/>
      </c>
      <c r="C19" s="3">
        <f>'03_Каналы'!C6</f>
        <v/>
      </c>
    </row>
    <row r="20">
      <c r="A20" t="inlineStr">
        <is>
          <t>Social</t>
        </is>
      </c>
      <c r="B20" s="46">
        <f>'03_Каналы'!B7</f>
        <v/>
      </c>
      <c r="C20" s="3">
        <f>'03_Каналы'!C7</f>
        <v/>
      </c>
    </row>
    <row r="21">
      <c r="A21" t="inlineStr">
        <is>
          <t>Paid search</t>
        </is>
      </c>
      <c r="B21" s="46">
        <f>'03_Каналы'!B8</f>
        <v/>
      </c>
      <c r="C21" s="3">
        <f>'03_Каналы'!C8</f>
        <v/>
      </c>
    </row>
    <row r="22">
      <c r="A22" t="inlineStr">
        <is>
          <t>Display</t>
        </is>
      </c>
      <c r="B22" s="46">
        <f>'03_Каналы'!B9</f>
        <v/>
      </c>
      <c r="C22" s="3">
        <f>'03_Каналы'!C9</f>
        <v/>
      </c>
    </row>
  </sheetData>
  <mergeCells count="2">
    <mergeCell ref="A3:L3"/>
    <mergeCell ref="A1:L1"/>
  </mergeCells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4"/>
  <sheetViews>
    <sheetView tabSelected="1" topLeftCell="A7" workbookViewId="0">
      <selection activeCell="D24" sqref="D24"/>
    </sheetView>
  </sheetViews>
  <sheetFormatPr baseColWidth="8" defaultRowHeight="14.25"/>
  <cols>
    <col width="28" customWidth="1" min="1" max="1"/>
    <col width="36" customWidth="1" min="2" max="2"/>
    <col width="38" customWidth="1" min="3" max="3"/>
    <col width="81.125" customWidth="1" min="4" max="4"/>
    <col width="16" customWidth="1" min="5" max="5"/>
    <col width="68.125" customWidth="1" min="6" max="6"/>
  </cols>
  <sheetData>
    <row r="1" ht="30" customHeight="1">
      <c r="A1" s="22" t="inlineStr">
        <is>
          <t>Источники данных и журнал фиксации</t>
        </is>
      </c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</row>
    <row r="2"/>
    <row r="3" ht="36" customHeight="1">
      <c r="A3" s="1" t="inlineStr">
        <is>
          <t>Источник</t>
        </is>
      </c>
      <c r="B3" s="1" t="inlineStr">
        <is>
          <t>Что брать</t>
        </is>
      </c>
      <c r="C3" s="1" t="inlineStr">
        <is>
          <t>Как фиксировать</t>
        </is>
      </c>
      <c r="D3" s="1" t="inlineStr">
        <is>
          <t>Ссылка</t>
        </is>
      </c>
      <c r="E3" s="1" t="inlineStr">
        <is>
          <t>Дата обращения</t>
        </is>
      </c>
      <c r="F3" s="1" t="inlineStr">
        <is>
          <t>Ограничение</t>
        </is>
      </c>
    </row>
    <row r="4" ht="28.5" customFormat="1" customHeight="1" s="25">
      <c r="A4" s="25" t="inlineStr">
        <is>
          <t>Similarweb Website Analysis</t>
        </is>
      </c>
      <c r="B4" s="25" t="inlineStr">
        <is>
          <t>Посещаемость, каналы, география, похожие сайты, поисковые запросы</t>
        </is>
      </c>
      <c r="C4" s="25" t="inlineStr">
        <is>
          <t>Ручной ввод или экспорт при наличии доступа</t>
        </is>
      </c>
      <c r="D4" s="25" t="inlineStr">
        <is>
          <t>https://www.similarweb.com/website/</t>
        </is>
      </c>
      <c r="E4" s="55" t="inlineStr">
        <is>
          <t>29.09.2026</t>
        </is>
      </c>
      <c r="F4" s="25" t="inlineStr">
        <is>
          <t>Данные оценочные, полнота зависит от доступа</t>
        </is>
      </c>
    </row>
    <row r="5" ht="28.5" customFormat="1" customHeight="1" s="25">
      <c r="A5" s="25" t="inlineStr">
        <is>
          <t>Similarweb Data Methodology</t>
        </is>
      </c>
      <c r="B5" s="25" t="inlineStr">
        <is>
          <t>Описание природы и ограничений данных</t>
        </is>
      </c>
      <c r="C5" s="25" t="inlineStr">
        <is>
          <t>Использовать для методологических оговорок</t>
        </is>
      </c>
      <c r="D5" s="25" t="inlineStr">
        <is>
          <t>https://support.similarweb.com/hc/en-us/articles/360001631538-Similarweb-Data-Methodology</t>
        </is>
      </c>
      <c r="E5" s="55" t="inlineStr">
        <is>
          <t>29.09.2026</t>
        </is>
      </c>
      <c r="F5" s="25" t="inlineStr">
        <is>
          <t>Методология может обновляться</t>
        </is>
      </c>
    </row>
    <row r="6" ht="28.5" customFormat="1" customHeight="1" s="25">
      <c r="A6" s="25" t="inlineStr">
        <is>
          <t>Similarweb Data Exporter</t>
        </is>
      </c>
      <c r="B6" s="25" t="inlineStr">
        <is>
          <t>Выгрузка настраиваемых наборов данных</t>
        </is>
      </c>
      <c r="C6" s="25" t="inlineStr">
        <is>
          <t>Использовать при наличии платного доступа или единиц извлечения</t>
        </is>
      </c>
      <c r="D6" s="25" t="inlineStr">
        <is>
          <t>https://support.similarweb.com/hc/en-us/articles/13252032019101-Data-Exporter</t>
        </is>
      </c>
      <c r="E6" s="55" t="inlineStr">
        <is>
          <t>29.09.2026</t>
        </is>
      </c>
      <c r="F6" s="25" t="inlineStr">
        <is>
          <t>Может быть недоступно в бесплатной версии</t>
        </is>
      </c>
    </row>
    <row r="7" ht="28.5" customFormat="1" customHeight="1" s="25">
      <c r="A7" s="25" t="inlineStr">
        <is>
          <t>Google Trends</t>
        </is>
      </c>
      <c r="B7" s="25" t="inlineStr">
        <is>
          <t>Динамика относительного поискового интереса</t>
        </is>
      </c>
      <c r="C7" s="25" t="inlineStr">
        <is>
          <t>CSV-выгрузка и фиксация параметров</t>
        </is>
      </c>
      <c r="D7" s="25" t="inlineStr">
        <is>
          <t>https://trends.google.com/</t>
        </is>
      </c>
      <c r="E7" s="55" t="inlineStr">
        <is>
          <t>29.09.2026</t>
        </is>
      </c>
      <c r="F7" s="25" t="inlineStr">
        <is>
          <t>Индекс 0–100, не абсолютный объем спроса</t>
        </is>
      </c>
    </row>
    <row r="8" ht="28.5" customFormat="1" customHeight="1" s="25">
      <c r="A8" s="25" t="inlineStr">
        <is>
          <t>Яндекс Вордстат</t>
        </is>
      </c>
      <c r="B8" s="25" t="inlineStr">
        <is>
          <t>Частотность и динамика поисковых запросов</t>
        </is>
      </c>
      <c r="C8" s="25" t="inlineStr">
        <is>
          <t>CSV/XLSX или ручная фиксация</t>
        </is>
      </c>
      <c r="D8" s="25" t="inlineStr">
        <is>
          <t>https://wordstat.yandex.ru/</t>
        </is>
      </c>
      <c r="E8" s="55" t="inlineStr">
        <is>
          <t>29.09.2026</t>
        </is>
      </c>
      <c r="F8" s="25" t="inlineStr">
        <is>
          <t>Отражает аудиторию Яндекса</t>
        </is>
      </c>
    </row>
    <row r="9" ht="28.5" customFormat="1" customHeight="1" s="25">
      <c r="A9" s="25" t="inlineStr">
        <is>
          <t>Белстат / официальная статистика</t>
        </is>
      </c>
      <c r="B9" s="25" t="inlineStr">
        <is>
          <t>Количество организаций, отрасли, население, доходы</t>
        </is>
      </c>
      <c r="C9" s="25" t="inlineStr">
        <is>
          <t>Использовать для проверки сегмента клиентов</t>
        </is>
      </c>
      <c r="D9" s="25" t="inlineStr">
        <is>
          <t>https://www.belstat.gov.by/</t>
        </is>
      </c>
      <c r="E9" s="55" t="inlineStr">
        <is>
          <t>29.09.2026</t>
        </is>
      </c>
      <c r="F9" s="25" t="inlineStr">
        <is>
          <t>Официальные категории могут не совпадать с цифровым рынком</t>
        </is>
      </c>
    </row>
    <row r="10">
      <c r="A10" s="25" t="n"/>
      <c r="B10" s="25" t="n"/>
      <c r="C10" s="25" t="n"/>
      <c r="D10" s="25" t="n"/>
      <c r="E10" s="25" t="n"/>
      <c r="F10" s="25" t="n"/>
    </row>
    <row r="11">
      <c r="A11" s="25" t="n"/>
      <c r="B11" s="25" t="n"/>
      <c r="C11" s="25" t="n"/>
      <c r="D11" s="25" t="n"/>
      <c r="E11" s="25" t="n"/>
      <c r="F11" s="25" t="n"/>
    </row>
    <row r="12" ht="21.95" customHeight="1">
      <c r="A12" s="23" t="inlineStr">
        <is>
          <t>Журнал ручного сбора данных</t>
        </is>
      </c>
    </row>
    <row r="13" ht="15" customHeight="1">
      <c r="A13" s="1" t="inlineStr">
        <is>
          <t>Дата</t>
        </is>
      </c>
      <c r="B13" s="1" t="inlineStr">
        <is>
          <t>Сайт / домен</t>
        </is>
      </c>
      <c r="C13" s="1" t="inlineStr">
        <is>
          <t>Раздел Similarweb</t>
        </is>
      </c>
      <c r="D13" s="1" t="inlineStr">
        <is>
          <t>Показатель</t>
        </is>
      </c>
      <c r="E13" s="1" t="inlineStr">
        <is>
          <t>Значение</t>
        </is>
      </c>
      <c r="F13" s="1" t="inlineStr">
        <is>
          <t>Комментарий / снимок экрана</t>
        </is>
      </c>
    </row>
    <row r="14" customFormat="1" s="25">
      <c r="A14" s="55" t="inlineStr">
        <is>
          <t>29.09.2026</t>
        </is>
      </c>
      <c r="B14" s="25" t="inlineStr">
        <is>
          <t>plantuml.com</t>
        </is>
      </c>
      <c r="C14" s="25" t="inlineStr">
        <is>
          <t>Overview</t>
        </is>
      </c>
      <c r="D14" s="25" t="inlineStr">
        <is>
          <t>Total visits (август 2026)</t>
        </is>
      </c>
      <c r="E14" s="25" t="n">
        <v>507000</v>
      </c>
      <c r="F14" s="25" t="inlineStr">
        <is>
          <t>скриншот similarweb_traffic_plantuml.com_global_last3months_2026-09-30.png</t>
        </is>
      </c>
    </row>
    <row r="15" customFormat="1" s="25">
      <c r="A15" s="55" t="inlineStr">
        <is>
          <t>29.09.2026</t>
        </is>
      </c>
      <c r="B15" s="25" t="inlineStr">
        <is>
          <t>plantuml.com</t>
        </is>
      </c>
      <c r="C15" s="25" t="inlineStr">
        <is>
          <t>Overview</t>
        </is>
      </c>
      <c r="D15" s="25" t="inlineStr">
        <is>
          <t>Global Rank</t>
        </is>
      </c>
      <c r="E15" s="25" t="n">
        <v>93517</v>
      </c>
      <c r="F15" s="25" t="inlineStr">
        <is>
          <t>ранг; Country Rank #24 334 (Россия); Category Rank #692</t>
        </is>
      </c>
    </row>
    <row r="16" customFormat="1" s="25">
      <c r="A16" s="55" t="inlineStr">
        <is>
          <t>29.09.2026</t>
        </is>
      </c>
      <c r="B16" s="25" t="inlineStr">
        <is>
          <t>plantuml.com</t>
        </is>
      </c>
      <c r="C16" s="25" t="inlineStr">
        <is>
          <t>Geography</t>
        </is>
      </c>
      <c r="D16" s="25" t="inlineStr">
        <is>
          <t>Доля России в трафике</t>
        </is>
      </c>
      <c r="E16" s="25" t="n">
        <v>0.0907</v>
      </c>
      <c r="F16" s="25" t="inlineStr">
        <is>
          <t>Беларусь в топ-5 стран не показана: нет данных в бесплатном доступе</t>
        </is>
      </c>
    </row>
    <row r="17" customFormat="1" s="25">
      <c r="A17" s="55" t="inlineStr">
        <is>
          <t>29.09.2026</t>
        </is>
      </c>
      <c r="B17" s="25" t="inlineStr">
        <is>
          <t>plantuml.com</t>
        </is>
      </c>
      <c r="C17" s="25" t="inlineStr">
        <is>
          <t>Marketing Channels</t>
        </is>
      </c>
      <c r="D17" s="25" t="inlineStr">
        <is>
          <t>Organic Search</t>
        </is>
      </c>
      <c r="E17" s="25" t="n">
        <v>0.4847</v>
      </c>
      <c r="F17" s="25" t="inlineStr">
        <is>
          <t>Direct и Referrals — 2-е и 3-е места без долей</t>
        </is>
      </c>
    </row>
    <row r="18" customFormat="1" s="25">
      <c r="A18" s="55" t="inlineStr">
        <is>
          <t>29.09.2026</t>
        </is>
      </c>
      <c r="B18" s="25" t="inlineStr">
        <is>
          <t>plantuml.com</t>
        </is>
      </c>
      <c r="C18" s="25" t="inlineStr">
        <is>
          <t>Engagement</t>
        </is>
      </c>
      <c r="D18" s="25" t="inlineStr">
        <is>
          <t>Bounce rate</t>
        </is>
      </c>
      <c r="E18" s="25" t="n">
        <v>0.4552</v>
      </c>
      <c r="F18" s="25" t="inlineStr">
        <is>
          <t>Pages/visit 3,18; Avg duration 00:03:16</t>
        </is>
      </c>
    </row>
    <row r="19" ht="28.5" customFormat="1" customHeight="1" s="25">
      <c r="A19" s="56" t="inlineStr">
        <is>
          <t>29.09.2026</t>
        </is>
      </c>
      <c r="B19" s="25" t="inlineStr">
        <is>
          <t>app.diagrams.net</t>
        </is>
      </c>
      <c r="C19" s="25" t="inlineStr">
        <is>
          <t>Overview</t>
        </is>
      </c>
      <c r="D19" s="25" t="inlineStr">
        <is>
          <t>Total visits</t>
        </is>
      </c>
      <c r="E19" s="25" t="inlineStr">
        <is>
          <t>доступ закрыт</t>
        </is>
      </c>
      <c r="F19" s="25" t="inlineStr">
        <is>
          <t>лимит бесплатных просмотров (скриншот ...global_limit_2026-09-30.png); значение 7,8 млн — из выгрузки ЛР1</t>
        </is>
      </c>
    </row>
    <row r="20" customFormat="1" s="25">
      <c r="A20" s="56" t="inlineStr">
        <is>
          <t>29.09.2026</t>
        </is>
      </c>
      <c r="B20" s="25" t="inlineStr">
        <is>
          <t>mermaid.live</t>
        </is>
      </c>
      <c r="C20" s="25" t="inlineStr">
        <is>
          <t>Overview</t>
        </is>
      </c>
      <c r="D20" s="25" t="inlineStr">
        <is>
          <t>Total visits</t>
        </is>
      </c>
      <c r="E20" s="25" t="inlineStr">
        <is>
          <t>доступ закрыт</t>
        </is>
      </c>
      <c r="F20" s="25" t="inlineStr">
        <is>
          <t>лимит бесплатных просмотров</t>
        </is>
      </c>
    </row>
    <row r="21" ht="42.75" customFormat="1" customHeight="1" s="25">
      <c r="A21" s="56" t="inlineStr">
        <is>
          <t>29.09.2026</t>
        </is>
      </c>
      <c r="B21" s="25" t="inlineStr">
        <is>
          <t>lucidchart.com</t>
        </is>
      </c>
      <c r="C21" s="25" t="inlineStr">
        <is>
          <t>Overview</t>
        </is>
      </c>
      <c r="D21" s="25" t="inlineStr">
        <is>
          <t>Total visits</t>
        </is>
      </c>
      <c r="E21" s="25" t="inlineStr">
        <is>
          <t>доступ закрыт</t>
        </is>
      </c>
      <c r="F21" s="25" t="inlineStr">
        <is>
          <t>лимит бесплатных просмотров; 🔲 ДОСНЯТЬ: Similarweb, страница lucidchart.com, снимок экрана (вручную, по странице источника; табл. 91, п. 1)</t>
        </is>
      </c>
    </row>
    <row r="22">
      <c r="A22" s="25" t="n"/>
      <c r="B22" s="25" t="n"/>
      <c r="C22" s="25" t="n"/>
      <c r="D22" s="25" t="n"/>
      <c r="E22" s="25" t="n"/>
      <c r="F22" s="25" t="n"/>
    </row>
    <row r="23">
      <c r="A23" s="25" t="n"/>
      <c r="B23" s="25" t="n"/>
      <c r="C23" s="25" t="n"/>
      <c r="D23" s="25" t="n"/>
      <c r="E23" s="25" t="n"/>
      <c r="F23" s="25" t="n"/>
    </row>
    <row r="24" ht="156.75" customHeight="1">
      <c r="A24" s="25" t="inlineStr">
        <is>
          <t>Значения eraser.io (678,5 тыс.), app.diagrams.net (7,8 млн), mermaidchart.com (&lt; 20 тыс.) указаны без скриншота (app.diagrams.net — по отчёту ЛР1, остальные — предварительный замер 17–23.09.2026); повторный замер 30.09.2026 невозможен (лимит) 🔲 ДОСНЯТЬ минимум ещё 6 доменов.</t>
        </is>
      </c>
      <c r="B24" s="25" t="n"/>
      <c r="C24" s="25" t="n"/>
      <c r="D24" s="25" t="n"/>
      <c r="E24" s="25" t="n"/>
      <c r="F24" s="25" t="n"/>
    </row>
  </sheetData>
  <mergeCells count="2">
    <mergeCell ref="A1:F1"/>
    <mergeCell ref="A12:F12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К. А. Хаджинова</dc:creator>
  <dcterms:created xmlns:dcterms="http://purl.org/dc/terms/" xmlns:xsi="http://www.w3.org/2001/XMLSchema-instance" xsi:type="dcterms:W3CDTF">2026-10-04T14:13:40Z</dcterms:created>
  <dcterms:modified xmlns:dcterms="http://purl.org/dc/terms/" xmlns:xsi="http://www.w3.org/2001/XMLSchema-instance" xsi:type="dcterms:W3CDTF">2026-10-04T15:34:07Z</dcterms:modified>
  <cp:lastModifiedBy>Aliaksandr Khajynau</cp:lastModifiedBy>
</cp:coreProperties>
</file>