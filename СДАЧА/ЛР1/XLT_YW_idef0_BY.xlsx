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3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3" fillId="3" borderId="0" applyAlignment="1" pivotButton="0" quotePrefix="0" xfId="1">
      <alignment horizontal="center"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54.90956072351422</v>
                </pt>
                <pt idx="1">
                  <v>100</v>
                </pt>
                <pt idx="2">
                  <v>77.00258397932816</v>
                </pt>
                <pt idx="3">
                  <v>92.89405684754522</v>
                </pt>
                <pt idx="4">
                  <v>44.70284237726098</v>
                </pt>
                <pt idx="5">
                  <v>37.46770025839793</v>
                </pt>
                <pt idx="6">
                  <v>81.00775193798449</v>
                </pt>
                <pt idx="7">
                  <v>71.0594315245478</v>
                </pt>
                <pt idx="8">
                  <v>69.89664082687338</v>
                </pt>
                <pt idx="9">
                  <v>51.29198966408268</v>
                </pt>
                <pt idx="10">
                  <v>9.043927648578812</v>
                </pt>
                <pt idx="11">
                  <v>15.11627906976744</v>
                </pt>
                <pt idx="12">
                  <v>35.01291989664082</v>
                </pt>
                <pt idx="13">
                  <v>80.62015503875969</v>
                </pt>
                <pt idx="14">
                  <v>56.07235142118863</v>
                </pt>
                <pt idx="15">
                  <v>70.80103359173127</v>
                </pt>
                <pt idx="16">
                  <v>26.22739018087855</v>
                </pt>
                <pt idx="17">
                  <v>15.37467700258398</v>
                </pt>
                <pt idx="18">
                  <v>51.67958656330749</v>
                </pt>
                <pt idx="19">
                  <v>44.31524547803618</v>
                </pt>
                <pt idx="20">
                  <v>40.31007751937985</v>
                </pt>
                <pt idx="21">
                  <v>28.42377260981912</v>
                </pt>
                <pt idx="22">
                  <v>5.297157622739018</v>
                </pt>
                <pt idx="23">
                  <v>4.392764857881136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58.6993970714901</v>
                </pt>
                <pt idx="12">
                  <v>57.04134366925064</v>
                </pt>
                <pt idx="13">
                  <v>55.42635658914728</v>
                </pt>
                <pt idx="14">
                  <v>53.68217054263565</v>
                </pt>
                <pt idx="15">
                  <v>51.84108527131783</v>
                </pt>
                <pt idx="16">
                  <v>50.30146425495263</v>
                </pt>
                <pt idx="17">
                  <v>48.4603789836348</v>
                </pt>
                <pt idx="18">
                  <v>46.01636520241171</v>
                </pt>
                <pt idx="19">
                  <v>43.78768303186908</v>
                </pt>
                <pt idx="20">
                  <v>41.32213608957795</v>
                </pt>
                <pt idx="21">
                  <v>39.41645133505598</v>
                </pt>
                <pt idx="22">
                  <v>39.10422049956933</v>
                </pt>
                <pt idx="23">
                  <v>38.21059431524548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0.6606512358136024</v>
                </pt>
                <pt idx="1">
                  <v>0.4019916168304328</v>
                </pt>
                <pt idx="2">
                  <v>1.422998759239001</v>
                </pt>
                <pt idx="3">
                  <v>1.282327616834712</v>
                </pt>
                <pt idx="4">
                  <v>1.236029031696259</v>
                </pt>
                <pt idx="5">
                  <v>0.9136965810825237</v>
                </pt>
                <pt idx="6">
                  <v>0.1716394304628903</v>
                </pt>
                <pt idx="7">
                  <v>0.2359789458240863</v>
                </pt>
                <pt idx="8">
                  <v>0.7777434904131793</v>
                </pt>
                <pt idx="9">
                  <v>1.842998999087118</v>
                </pt>
                <pt idx="10">
                  <v>1.323477319741561</v>
                </pt>
                <pt idx="11">
                  <v>1.730466972974634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1819275</colOff>
      <row>22</row>
      <rowOff>9525</rowOff>
    </from>
    <ext cx="1061085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194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0">
  <tableColumns count="4">
    <tableColumn id="1" name="Показатель" dataDxfId="4"/>
    <tableColumn id="2" name="Формула / значение" dataDxfId="3"/>
    <tableColumn id="3" name="Интерпретация" dataDxfId="2"/>
    <tableColumn id="4" name="Комментарий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8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L14" sqref="L14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J26" sqref="J26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idef0</t>
        </is>
      </c>
      <c r="C5" s="7" t="n"/>
      <c r="D5" s="7" t="n">
        <v>425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idef0</t>
        </is>
      </c>
      <c r="C6" s="7" t="n"/>
      <c r="D6" s="7" t="n">
        <v>774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idef0</t>
        </is>
      </c>
      <c r="C7" s="7" t="n"/>
      <c r="D7" s="7" t="n">
        <v>596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idef0</t>
        </is>
      </c>
      <c r="C8" s="7" t="n"/>
      <c r="D8" s="7" t="n">
        <v>719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idef0</t>
        </is>
      </c>
      <c r="C9" s="7" t="n"/>
      <c r="D9" s="7" t="n">
        <v>346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idef0</t>
        </is>
      </c>
      <c r="C10" s="7" t="n"/>
      <c r="D10" s="7" t="n">
        <v>290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idef0</t>
        </is>
      </c>
      <c r="C11" s="7" t="n"/>
      <c r="D11" s="7" t="n">
        <v>627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idef0</t>
        </is>
      </c>
      <c r="C12" s="7" t="n"/>
      <c r="D12" s="7" t="n">
        <v>550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idef0</t>
        </is>
      </c>
      <c r="C13" s="7" t="n"/>
      <c r="D13" s="7" t="n">
        <v>541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idef0</t>
        </is>
      </c>
      <c r="C14" s="7" t="n"/>
      <c r="D14" s="7" t="n">
        <v>397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idef0</t>
        </is>
      </c>
      <c r="C15" s="7" t="n"/>
      <c r="D15" s="7" t="n">
        <v>70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idef0</t>
        </is>
      </c>
      <c r="C16" s="7" t="n"/>
      <c r="D16" s="7" t="n">
        <v>117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idef0</t>
        </is>
      </c>
      <c r="C17" s="7" t="n"/>
      <c r="D17" s="7" t="n">
        <v>271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idef0</t>
        </is>
      </c>
      <c r="C18" s="7" t="n"/>
      <c r="D18" s="7" t="n">
        <v>624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idef0</t>
        </is>
      </c>
      <c r="C19" s="7" t="n"/>
      <c r="D19" s="7" t="n">
        <v>434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idef0</t>
        </is>
      </c>
      <c r="C20" s="7" t="n"/>
      <c r="D20" s="7" t="n">
        <v>548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idef0</t>
        </is>
      </c>
      <c r="C21" s="7" t="n"/>
      <c r="D21" s="7" t="n">
        <v>203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idef0</t>
        </is>
      </c>
      <c r="C22" s="7" t="n"/>
      <c r="D22" s="7" t="n">
        <v>119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idef0</t>
        </is>
      </c>
      <c r="C23" s="7" t="n"/>
      <c r="D23" s="7" t="n">
        <v>400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idef0</t>
        </is>
      </c>
      <c r="C24" s="7" t="n"/>
      <c r="D24" s="7" t="n">
        <v>343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idef0</t>
        </is>
      </c>
      <c r="C25" s="7" t="n"/>
      <c r="D25" s="7" t="n">
        <v>312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idef0</t>
        </is>
      </c>
      <c r="C26" s="7" t="n"/>
      <c r="D26" s="7" t="n">
        <v>220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idef0</t>
        </is>
      </c>
      <c r="C27" s="7" t="n"/>
      <c r="D27" s="7" t="n">
        <v>41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idef0</t>
        </is>
      </c>
      <c r="C28" s="7" t="n"/>
      <c r="D28" s="7" t="n">
        <v>34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D36" sqref="D36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24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IF(OR(G5="",IFERROR(VLOOKUP(B5,Сезонность!$A\$4:$D\$15,4,FALSE),0)=0),"",G5/IFERROR(VLOOKUP(B5,Сезонность!$A\$4:$D\$15,4,FALSE),1))</f>
        <v/>
      </c>
      <c r="K5" s="5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IF(OR(G6="",IFERROR(VLOOKUP(B6,Сезонность!$A\$4:$D\$15,4,FALSE),0)=0),"",G6/IFERROR(VLOOKUP(B6,Сезонность!$A\$4:$D\$15,4,FALSE),1))</f>
        <v/>
      </c>
      <c r="K6" s="5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IF(OR(G7="",IFERROR(VLOOKUP(B7,Сезонность!$A\$4:$D\$15,4,FALSE),0)=0),"",G7/IFERROR(VLOOKUP(B7,Сезонность!$A\$4:$D\$15,4,FALSE),1))</f>
        <v/>
      </c>
      <c r="K7" s="5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IF(OR(G8="",IFERROR(VLOOKUP(B8,Сезонность!$A\$4:$D\$15,4,FALSE),0)=0),"",G8/IFERROR(VLOOKUP(B8,Сезонность!$A\$4:$D\$15,4,FALSE),1))</f>
        <v/>
      </c>
      <c r="K8" s="5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IF(OR(G9="",IFERROR(VLOOKUP(B9,Сезонность!$A\$4:$D\$15,4,FALSE),0)=0),"",G9/IFERROR(VLOOKUP(B9,Сезонность!$A\$4:$D\$15,4,FALSE),1))</f>
        <v/>
      </c>
      <c r="K9" s="5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IF(OR(G10="",IFERROR(VLOOKUP(B10,Сезонность!$A\$4:$D\$15,4,FALSE),0)=0),"",G10/IFERROR(VLOOKUP(B10,Сезонность!$A\$4:$D\$15,4,FALSE),1))</f>
        <v/>
      </c>
      <c r="K10" s="5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IF(OR(G11="",IFERROR(VLOOKUP(B11,Сезонность!$A\$4:$D\$15,4,FALSE),0)=0),"",G11/IFERROR(VLOOKUP(B11,Сезонность!$A\$4:$D\$15,4,FALSE),1))</f>
        <v/>
      </c>
      <c r="K11" s="5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IF(OR(G12="",IFERROR(VLOOKUP(B12,Сезонность!$A\$4:$D\$15,4,FALSE),0)=0),"",G12/IFERROR(VLOOKUP(B12,Сезонность!$A\$4:$D\$15,4,FALSE),1))</f>
        <v/>
      </c>
      <c r="K12" s="5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IF(OR(G13="",IFERROR(VLOOKUP(B13,Сезонность!$A\$4:$D\$15,4,FALSE),0)=0),"",G13/IFERROR(VLOOKUP(B13,Сезонность!$A\$4:$D\$15,4,FALSE),1))</f>
        <v/>
      </c>
      <c r="K13" s="5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IF(OR(G14="",IFERROR(VLOOKUP(B14,Сезонность!$A\$4:$D\$15,4,FALSE),0)=0),"",G14/IFERROR(VLOOKUP(B14,Сезонность!$A\$4:$D\$15,4,FALSE),1))</f>
        <v/>
      </c>
      <c r="K14" s="5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IF(OR(G15="",IFERROR(VLOOKUP(B15,Сезонность!$A\$4:$D\$15,4,FALSE),0)=0),"",G15/IFERROR(VLOOKUP(B15,Сезонность!$A\$4:$D\$15,4,FALSE),1))</f>
        <v/>
      </c>
      <c r="K15" s="5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IF(OR(G16="",IFERROR(VLOOKUP(B16,Сезонность!$A\$4:$D\$15,4,FALSE),0)=0),"",G16/IFERROR(VLOOKUP(B16,Сезонность!$A\$4:$D\$15,4,FALSE),1))</f>
        <v/>
      </c>
      <c r="K16" s="5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IF(OR(G17="",IFERROR(VLOOKUP(B17,Сезонность!$A\$4:$D\$15,4,FALSE),0)=0),"",G17/IFERROR(VLOOKUP(B17,Сезонность!$A\$4:$D\$15,4,FALSE),1))</f>
        <v/>
      </c>
      <c r="K17" s="5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IF(OR(G18="",IFERROR(VLOOKUP(B18,Сезонность!$A\$4:$D\$15,4,FALSE),0)=0),"",G18/IFERROR(VLOOKUP(B18,Сезонность!$A\$4:$D\$15,4,FALSE),1))</f>
        <v/>
      </c>
      <c r="K18" s="5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IF(OR(G19="",IFERROR(VLOOKUP(B19,Сезонность!$A\$4:$D\$15,4,FALSE),0)=0),"",G19/IFERROR(VLOOKUP(B19,Сезонность!$A\$4:$D\$15,4,FALSE),1))</f>
        <v/>
      </c>
      <c r="K19" s="5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IF(OR(G20="",IFERROR(VLOOKUP(B20,Сезонность!$A\$4:$D\$15,4,FALSE),0)=0),"",G20/IFERROR(VLOOKUP(B20,Сезонность!$A\$4:$D\$15,4,FALSE),1))</f>
        <v/>
      </c>
      <c r="K20" s="5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IF(OR(G21="",IFERROR(VLOOKUP(B21,Сезонность!$A\$4:$D\$15,4,FALSE),0)=0),"",G21/IFERROR(VLOOKUP(B21,Сезонность!$A\$4:$D\$15,4,FALSE),1))</f>
        <v/>
      </c>
      <c r="K21" s="5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IF(OR(G22="",IFERROR(VLOOKUP(B22,Сезонность!$A\$4:$D\$15,4,FALSE),0)=0),"",G22/IFERROR(VLOOKUP(B22,Сезонность!$A\$4:$D\$15,4,FALSE),1))</f>
        <v/>
      </c>
      <c r="K22" s="5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IF(OR(G23="",IFERROR(VLOOKUP(B23,Сезонность!$A\$4:$D\$15,4,FALSE),0)=0),"",G23/IFERROR(VLOOKUP(B23,Сезонность!$A\$4:$D\$15,4,FALSE),1))</f>
        <v/>
      </c>
      <c r="K23" s="5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IF(OR(G24="",IFERROR(VLOOKUP(B24,Сезонность!$A\$4:$D\$15,4,FALSE),0)=0),"",G24/IFERROR(VLOOKUP(B24,Сезонность!$A\$4:$D\$15,4,FALSE),1))</f>
        <v/>
      </c>
      <c r="K24" s="5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IF(OR(G25="",IFERROR(VLOOKUP(B25,Сезонность!$A\$4:$D\$15,4,FALSE),0)=0),"",G25/IFERROR(VLOOKUP(B25,Сезонность!$A\$4:$D\$15,4,FALSE),1))</f>
        <v/>
      </c>
      <c r="K25" s="5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IF(OR(G26="",IFERROR(VLOOKUP(B26,Сезонность!$A\$4:$D\$15,4,FALSE),0)=0),"",G26/IFERROR(VLOOKUP(B26,Сезонность!$A\$4:$D\$15,4,FALSE),1))</f>
        <v/>
      </c>
      <c r="K26" s="5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IF(OR(G27="",IFERROR(VLOOKUP(B27,Сезонность!$A\$4:$D\$15,4,FALSE),0)=0),"",G27/IFERROR(VLOOKUP(B27,Сезонность!$A\$4:$D\$15,4,FALSE),1))</f>
        <v/>
      </c>
      <c r="K27" s="5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IF(OR(G28="",IFERROR(VLOOKUP(B28,Сезонность!$A\$4:$D\$15,4,FALSE),0)=0),"",G28/IFERROR(VLOOKUP(B28,Сезонность!$A\$4:$D\$15,4,FALSE),1))</f>
        <v/>
      </c>
      <c r="K28" s="5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IF(OR(G29="",IFERROR(VLOOKUP(B29,Сезонность!$A\$4:$D\$15,4,FALSE),0)=0),"",G29/IFERROR(VLOOKUP(B29,Сезонность!$A\$4:$D\$15,4,FALSE),1))</f>
        <v/>
      </c>
      <c r="K29" s="5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IF(OR(G30="",IFERROR(VLOOKUP(B30,Сезонность!$A\$4:$D\$15,4,FALSE),0)=0),"",G30/IFERROR(VLOOKUP(B30,Сезонность!$A\$4:$D\$15,4,FALSE),1))</f>
        <v/>
      </c>
      <c r="K30" s="5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IF(OR(G31="",IFERROR(VLOOKUP(B31,Сезонность!$A\$4:$D\$15,4,FALSE),0)=0),"",G31/IFERROR(VLOOKUP(B31,Сезонность!$A\$4:$D\$15,4,FALSE),1))</f>
        <v/>
      </c>
      <c r="K31" s="5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IF(OR(G32="",IFERROR(VLOOKUP(B32,Сезонность!$A\$4:$D\$15,4,FALSE),0)=0),"",G32/IFERROR(VLOOKUP(B32,Сезонность!$A\$4:$D\$15,4,FALSE),1))</f>
        <v/>
      </c>
      <c r="K32" s="5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IF(OR(G33="",IFERROR(VLOOKUP(B33,Сезонность!$A\$4:$D\$15,4,FALSE),0)=0),"",G33/IFERROR(VLOOKUP(B33,Сезонность!$A\$4:$D\$15,4,FALSE),1))</f>
        <v/>
      </c>
      <c r="K33" s="5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IF(OR(G34="",IFERROR(VLOOKUP(B34,Сезонность!$A\$4:$D\$15,4,FALSE),0)=0),"",G34/IFERROR(VLOOKUP(B34,Сезонность!$A\$4:$D\$15,4,FALSE),1))</f>
        <v/>
      </c>
      <c r="K34" s="5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IF(OR(G35="",IFERROR(VLOOKUP(B35,Сезонность!$A\$4:$D\$15,4,FALSE),0)=0),"",G35/IFERROR(VLOOKUP(B35,Сезонность!$A\$4:$D\$15,4,FALSE),1))</f>
        <v/>
      </c>
      <c r="K35" s="5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IF(OR(G36="",IFERROR(VLOOKUP(B36,Сезонность!$A\$4:$D\$15,4,FALSE),0)=0),"",G36/IFERROR(VLOOKUP(B36,Сезонность!$A\$4:$D\$15,4,FALSE),1))</f>
        <v/>
      </c>
      <c r="K36" s="5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IF(OR(G37="",IFERROR(VLOOKUP(B37,Сезонность!$A\$4:$D\$15,4,FALSE),0)=0),"",G37/IFERROR(VLOOKUP(B37,Сезонность!$A\$4:$D\$15,4,FALSE),1))</f>
        <v/>
      </c>
      <c r="K37" s="5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IF(OR(G38="",IFERROR(VLOOKUP(B38,Сезонность!$A\$4:$D\$15,4,FALSE),0)=0),"",G38/IFERROR(VLOOKUP(B38,Сезонность!$A\$4:$D\$15,4,FALSE),1))</f>
        <v/>
      </c>
      <c r="K38" s="5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IF(OR(G39="",IFERROR(VLOOKUP(B39,Сезонность!$A\$4:$D\$15,4,FALSE),0)=0),"",G39/IFERROR(VLOOKUP(B39,Сезонность!$A\$4:$D\$15,4,FALSE),1))</f>
        <v/>
      </c>
      <c r="K39" s="5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IF(OR(G40="",IFERROR(VLOOKUP(B40,Сезонность!$A\$4:$D\$15,4,FALSE),0)=0),"",G40/IFERROR(VLOOKUP(B40,Сезонность!$A\$4:$D\$15,4,FALSE),1))</f>
        <v/>
      </c>
      <c r="K40" s="5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IF(OR(G41="",IFERROR(VLOOKUP(B41,Сезонность!$A\$4:$D\$15,4,FALSE),0)=0),"",G41/IFERROR(VLOOKUP(B41,Сезонность!$A\$4:$D\$15,4,FALSE),1))</f>
        <v/>
      </c>
      <c r="K41" s="5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IF(OR(G42="",IFERROR(VLOOKUP(B42,Сезонность!$A\$4:$D\$15,4,FALSE),0)=0),"",G42/IFERROR(VLOOKUP(B42,Сезонность!$A\$4:$D\$15,4,FALSE),1))</f>
        <v/>
      </c>
      <c r="K42" s="5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IF(OR(G43="",IFERROR(VLOOKUP(B43,Сезонность!$A\$4:$D\$15,4,FALSE),0)=0),"",G43/IFERROR(VLOOKUP(B43,Сезонность!$A\$4:$D\$15,4,FALSE),1))</f>
        <v/>
      </c>
      <c r="K43" s="5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IF(OR(G44="",IFERROR(VLOOKUP(B44,Сезонность!$A\$4:$D\$15,4,FALSE),0)=0),"",G44/IFERROR(VLOOKUP(B44,Сезонность!$A\$4:$D\$15,4,FALSE),1))</f>
        <v/>
      </c>
      <c r="K44" s="5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IF(OR(G45="",IFERROR(VLOOKUP(B45,Сезонность!$A\$4:$D\$15,4,FALSE),0)=0),"",G45/IFERROR(VLOOKUP(B45,Сезонность!$A\$4:$D\$15,4,FALSE),1))</f>
        <v/>
      </c>
      <c r="K45" s="5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IF(OR(G46="",IFERROR(VLOOKUP(B46,Сезонность!$A\$4:$D\$15,4,FALSE),0)=0),"",G46/IFERROR(VLOOKUP(B46,Сезонность!$A\$4:$D\$15,4,FALSE),1))</f>
        <v/>
      </c>
      <c r="K46" s="5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IF(OR(G47="",IFERROR(VLOOKUP(B47,Сезонность!$A\$4:$D\$15,4,FALSE),0)=0),"",G47/IFERROR(VLOOKUP(B47,Сезонность!$A\$4:$D\$15,4,FALSE),1))</f>
        <v/>
      </c>
      <c r="K47" s="5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IF(OR(G48="",IFERROR(VLOOKUP(B48,Сезонность!$A\$4:$D\$15,4,FALSE),0)=0),"",G48/IFERROR(VLOOKUP(B48,Сезонность!$A\$4:$D\$15,4,FALSE),1))</f>
        <v/>
      </c>
      <c r="K48" s="5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IF(OR(G49="",IFERROR(VLOOKUP(B49,Сезонность!$A\$4:$D\$15,4,FALSE),0)=0),"",G49/IFERROR(VLOOKUP(B49,Сезонность!$A\$4:$D\$15,4,FALSE),1))</f>
        <v/>
      </c>
      <c r="K49" s="5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IF(OR(G50="",IFERROR(VLOOKUP(B50,Сезонность!$A\$4:$D\$15,4,FALSE),0)=0),"",G50/IFERROR(VLOOKUP(B50,Сезонность!$A\$4:$D\$15,4,FALSE),1))</f>
        <v/>
      </c>
      <c r="K50" s="5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IF(OR(G51="",IFERROR(VLOOKUP(B51,Сезонность!$A\$4:$D\$15,4,FALSE),0)=0),"",G51/IFERROR(VLOOKUP(B51,Сезонность!$A\$4:$D\$15,4,FALSE),1))</f>
        <v/>
      </c>
      <c r="K51" s="5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IF(OR(G52="",IFERROR(VLOOKUP(B52,Сезонность!$A\$4:$D\$15,4,FALSE),0)=0),"",G52/IFERROR(VLOOKUP(B52,Сезонность!$A\$4:$D\$15,4,FALSE),1))</f>
        <v/>
      </c>
      <c r="K52" s="5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IF(OR(G53="",IFERROR(VLOOKUP(B53,Сезонность!$A\$4:$D\$15,4,FALSE),0)=0),"",G53/IFERROR(VLOOKUP(B53,Сезонность!$A\$4:$D\$15,4,FALSE),1))</f>
        <v/>
      </c>
      <c r="K53" s="5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IF(OR(G54="",IFERROR(VLOOKUP(B54,Сезонность!$A\$4:$D\$15,4,FALSE),0)=0),"",G54/IFERROR(VLOOKUP(B54,Сезонность!$A\$4:$D\$15,4,FALSE),1))</f>
        <v/>
      </c>
      <c r="K54" s="5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IF(OR(G55="",IFERROR(VLOOKUP(B55,Сезонность!$A\$4:$D\$15,4,FALSE),0)=0),"",G55/IFERROR(VLOOKUP(B55,Сезонность!$A\$4:$D\$15,4,FALSE),1))</f>
        <v/>
      </c>
      <c r="K55" s="5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IF(OR(G56="",IFERROR(VLOOKUP(B56,Сезонность!$A\$4:$D\$15,4,FALSE),0)=0),"",G56/IFERROR(VLOOKUP(B56,Сезонность!$A\$4:$D\$15,4,FALSE),1))</f>
        <v/>
      </c>
      <c r="K56" s="5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IF(OR(G57="",IFERROR(VLOOKUP(B57,Сезонность!$A\$4:$D\$15,4,FALSE),0)=0),"",G57/IFERROR(VLOOKUP(B57,Сезонность!$A\$4:$D\$15,4,FALSE),1))</f>
        <v/>
      </c>
      <c r="K57" s="5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IF(OR(G58="",IFERROR(VLOOKUP(B58,Сезонность!$A\$4:$D\$15,4,FALSE),0)=0),"",G58/IFERROR(VLOOKUP(B58,Сезонность!$A\$4:$D\$15,4,FALSE),1))</f>
        <v/>
      </c>
      <c r="K58" s="5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IF(OR(G59="",IFERROR(VLOOKUP(B59,Сезонность!$A\$4:$D\$15,4,FALSE),0)=0),"",G59/IFERROR(VLOOKUP(B59,Сезонность!$A\$4:$D\$15,4,FALSE),1))</f>
        <v/>
      </c>
      <c r="K59" s="5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IF(OR(G60="",IFERROR(VLOOKUP(B60,Сезонность!$A\$4:$D\$15,4,FALSE),0)=0),"",G60/IFERROR(VLOOKUP(B60,Сезонность!$A\$4:$D\$15,4,FALSE),1))</f>
        <v/>
      </c>
      <c r="K60" s="5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IF(OR(G61="",IFERROR(VLOOKUP(B61,Сезонность!$A\$4:$D\$15,4,FALSE),0)=0),"",G61/IFERROR(VLOOKUP(B61,Сезонность!$A\$4:$D\$15,4,FALSE),1))</f>
        <v/>
      </c>
      <c r="K61" s="5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IF(OR(G62="",IFERROR(VLOOKUP(B62,Сезонность!$A\$4:$D\$15,4,FALSE),0)=0),"",G62/IFERROR(VLOOKUP(B62,Сезонность!$A\$4:$D\$15,4,FALSE),1))</f>
        <v/>
      </c>
      <c r="K62" s="5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IF(OR(G63="",IFERROR(VLOOKUP(B63,Сезонность!$A\$4:$D\$15,4,FALSE),0)=0),"",G63/IFERROR(VLOOKUP(B63,Сезонность!$A\$4:$D\$15,4,FALSE),1))</f>
        <v/>
      </c>
      <c r="K63" s="5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IF(OR(G64="",IFERROR(VLOOKUP(B64,Сезонность!$A\$4:$D\$15,4,FALSE),0)=0),"",G64/IFERROR(VLOOKUP(B64,Сезонность!$A\$4:$D\$15,4,FALSE),1))</f>
        <v/>
      </c>
      <c r="K64" s="5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6">
      <formula>0.9</formula>
    </cfRule>
    <cfRule type="cellIs" priority="2" operator="greaterThan" dxfId="5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M22" sqref="M22"/>
    </sheetView>
  </sheetViews>
  <sheetFormatPr baseColWidth="8" defaultRowHeight="14.25"/>
  <cols>
    <col width="18.12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8" sqref="D28"/>
    </sheetView>
  </sheetViews>
  <sheetFormatPr baseColWidth="8" defaultRowHeight="14.25"/>
  <cols>
    <col width="34" customWidth="1" min="1" max="1"/>
    <col width="42.7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J36" sqref="J36"/>
    </sheetView>
  </sheetViews>
  <sheetFormatPr baseColWidth="8" defaultRowHeight="14.25"/>
  <cols>
    <col width="28.12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B30" sqref="B30"/>
    </sheetView>
  </sheetViews>
  <sheetFormatPr baseColWidth="8" defaultRowHeight="14.25"/>
  <cols>
    <col width="14" customWidth="1" min="1" max="1"/>
    <col width="41.875" customWidth="1" min="2" max="2"/>
    <col width="36" customWidth="1" min="3" max="3"/>
    <col width="27.5" customWidth="1" min="4" max="4"/>
    <col width="36" customWidth="1" min="5" max="5"/>
    <col width="14" customWidth="1" min="6" max="6"/>
    <col width="73.75" customWidth="1" min="7" max="7"/>
    <col width="130.12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20">
      <c r="A4" s="21" t="inlineStr">
        <is>
          <t>30.09.2026</t>
        </is>
      </c>
      <c r="B4" s="19" t="inlineStr">
        <is>
          <t>Яндекс Вордстат</t>
        </is>
      </c>
      <c r="C4" s="19" t="inlineStr">
        <is>
          <t>idef0</t>
        </is>
      </c>
      <c r="D4" s="19" t="inlineStr">
        <is>
          <t>Беларусь (id=149)</t>
        </is>
      </c>
      <c r="E4" s="19" t="inlineStr">
        <is>
          <t>2024-09—2026-08 (24 мес., по месяцам)</t>
        </is>
      </c>
      <c r="F4" s="19" t="inlineStr">
        <is>
          <t>JSON</t>
        </is>
      </c>
      <c r="G4" s="19" t="inlineStr">
        <is>
          <t>wordstat_idef0_dinamika_RB_2024-09_2026-08.json</t>
        </is>
      </c>
      <c r="H4" s="19" t="inlineStr">
        <is>
          <t>Динамика по месяцам, API getGraph; расширенный ряд 2018-01—2026-08 — файл wordstat_idef0_dinamika_RB_2018-01_2026-08.json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customFormat="1" s="20">
      <c r="A5" s="21" t="inlineStr">
        <is>
          <t>30.09.2026</t>
        </is>
      </c>
      <c r="B5" s="19" t="inlineStr">
        <is>
          <t>Яндекс Вордстат</t>
        </is>
      </c>
      <c r="C5" s="19" t="inlineStr">
        <is>
          <t>idef0</t>
        </is>
      </c>
      <c r="D5" s="19" t="inlineStr">
        <is>
          <t>Беларусь (id=149)</t>
        </is>
      </c>
      <c r="E5" s="19" t="inlineStr">
        <is>
          <t>Топы запросов, 29.08-29.09.2026</t>
        </is>
      </c>
      <c r="F5" s="19" t="inlineStr">
        <is>
          <t>JSON</t>
        </is>
      </c>
      <c r="G5" s="19" t="inlineStr">
        <is>
          <t>wordstat_topy_kommercheskie_problemnye_segmentnye_geo_RB_okno_2026-08-29_09-29.json</t>
        </is>
      </c>
      <c r="H5" s="19" t="inlineStr">
        <is>
          <t>Частотность за 30 дней: 101; подзапросы — в сводке данных Вордстата</t>
        </is>
      </c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customFormat="1" s="20">
      <c r="A6" s="22" t="inlineStr">
        <is>
          <t>30.09.2026</t>
        </is>
      </c>
      <c r="B6" s="15" t="inlineStr">
        <is>
          <t>Яндекс Вордстат</t>
        </is>
      </c>
      <c r="C6" s="15" t="inlineStr">
        <is>
          <t>plantuml</t>
        </is>
      </c>
      <c r="D6" s="15" t="inlineStr">
        <is>
          <t>Беларусь (id=149)</t>
        </is>
      </c>
      <c r="E6" s="15" t="inlineStr">
        <is>
          <t>2024-09—2026-08 (24 мес., по месяцам)</t>
        </is>
      </c>
      <c r="F6" s="15" t="inlineStr">
        <is>
          <t>JSON</t>
        </is>
      </c>
      <c r="G6" s="15" t="inlineStr">
        <is>
          <t>wordstat_plantuml_dinamika_RB_2024-09_2026-08.json</t>
        </is>
      </c>
      <c r="H6" s="15" t="inlineStr">
        <is>
          <t>Динамика по месяцам, API getGraph; расширенный ряд 2018-01—2026-08 — файл wordstat_plantuml_dinamika_RB_2018-01_2026-08.json</t>
        </is>
      </c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customFormat="1" s="20">
      <c r="A7" s="22" t="inlineStr">
        <is>
          <t>30.09.2026</t>
        </is>
      </c>
      <c r="B7" s="15" t="inlineStr">
        <is>
          <t>Яндекс Вордстат</t>
        </is>
      </c>
      <c r="C7" s="15" t="inlineStr">
        <is>
          <t>idef0</t>
        </is>
      </c>
      <c r="D7" s="15" t="inlineStr">
        <is>
          <t>Беларусь (id=149)</t>
        </is>
      </c>
      <c r="E7" s="15" t="inlineStr">
        <is>
          <t>2024-09—2026-08 (24 мес., по месяцам)</t>
        </is>
      </c>
      <c r="F7" s="15" t="inlineStr">
        <is>
          <t>JSON</t>
        </is>
      </c>
      <c r="G7" s="15" t="inlineStr">
        <is>
          <t>wordstat_idef0_dinamika_RB_2024-09_2026-08.json</t>
        </is>
      </c>
      <c r="H7" s="15" t="inlineStr">
        <is>
          <t>Динамика по месяцам, API getGraph; расширенный ряд 2018-01—2026-08 — файл wordstat_idef0_dinamika_RB_2018-01_2026-08.json</t>
        </is>
      </c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customFormat="1" s="20">
      <c r="A8" s="22" t="inlineStr">
        <is>
          <t>30.09.2026</t>
        </is>
      </c>
      <c r="B8" s="15" t="inlineStr">
        <is>
          <t>Яндекс Вордстат</t>
        </is>
      </c>
      <c r="C8" s="15" t="inlineStr">
        <is>
          <t>dfd диаграмма</t>
        </is>
      </c>
      <c r="D8" s="15" t="inlineStr">
        <is>
          <t>Беларусь (id=149)</t>
        </is>
      </c>
      <c r="E8" s="15" t="inlineStr">
        <is>
          <t>2024-09—2026-08 (24 мес., по месяцам)</t>
        </is>
      </c>
      <c r="F8" s="15" t="inlineStr">
        <is>
          <t>JSON</t>
        </is>
      </c>
      <c r="G8" s="15" t="inlineStr">
        <is>
          <t>wordstat_dfd-diagramma_dinamika_RB_2024-09_2026-08.json</t>
        </is>
      </c>
      <c r="H8" s="15" t="inlineStr">
        <is>
          <t>Динамика по месяцам, API getGraph; расширенный ряд 2018-01—2026-08 — файл wordstat_dfd-diagramma_dinamika_RB_2018-01_2026-08.json</t>
        </is>
      </c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customFormat="1" s="20">
      <c r="A9" s="22" t="inlineStr">
        <is>
          <t>30.09.2026</t>
        </is>
      </c>
      <c r="B9" s="15" t="inlineStr">
        <is>
          <t>Яндекс Вордстат</t>
        </is>
      </c>
      <c r="C9" s="15" t="inlineStr">
        <is>
          <t>erd диаграмма</t>
        </is>
      </c>
      <c r="D9" s="15" t="inlineStr">
        <is>
          <t>Беларусь (id=149)</t>
        </is>
      </c>
      <c r="E9" s="15" t="inlineStr">
        <is>
          <t>2024-09—2026-08 (24 мес., по месяцам)</t>
        </is>
      </c>
      <c r="F9" s="15" t="inlineStr">
        <is>
          <t>JSON</t>
        </is>
      </c>
      <c r="G9" s="15" t="inlineStr">
        <is>
          <t>wordstat_erd-diagramma_dinamika_RB_2024-09_2026-08.json</t>
        </is>
      </c>
      <c r="H9" s="15" t="inlineStr">
        <is>
          <t>Динамика по месяцам, API getGraph; расширенный ряд 2018-01—2026-08 — файл wordstat_erd-diagramma_dinamika_RB_2018-01_2026-08.json</t>
        </is>
      </c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 customFormat="1" s="20">
      <c r="A10" s="22" t="inlineStr">
        <is>
          <t>30.09.2026</t>
        </is>
      </c>
      <c r="B10" s="15" t="inlineStr">
        <is>
          <t>Яндекс Вордстат</t>
        </is>
      </c>
      <c r="C10" s="15" t="inlineStr">
        <is>
          <t>erd (без уточнения, омоним)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wordstat_erd-bez-utochneniya_dinamika_RB_2024-09_2026-08.json</t>
        </is>
      </c>
      <c r="H10" s="15" t="inlineStr">
        <is>
          <t>Динамика по месяцам, API getGraph; расширенный ряд 2018-01—2026-08 — файл wordstat_erd-bez-utochneniya_dinamika_RB_2018-01_2026-08.json</t>
        </is>
      </c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 customFormat="1" s="20">
      <c r="A11" s="22" t="inlineStr">
        <is>
          <t>30.09.2026</t>
        </is>
      </c>
      <c r="B11" s="15" t="inlineStr">
        <is>
          <t>Яндекс Вордстат</t>
        </is>
      </c>
      <c r="C11" s="15" t="inlineStr">
        <is>
          <t>сеть петри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wordstat_set-petri_dinamika_RB_2024-09_2026-08.json</t>
        </is>
      </c>
      <c r="H11" s="15" t="inlineStr">
        <is>
          <t>Динамика по месяцам, API getGraph; расширенный ряд 2018-01—2026-08 — файл wordstat_set-petri_dinamika_RB_2018-01_2026-08.json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 customFormat="1" s="20">
      <c r="A12" s="22" t="inlineStr">
        <is>
          <t>30.09.2026</t>
        </is>
      </c>
      <c r="B12" s="15" t="inlineStr">
        <is>
          <t>Яндекс Вордстат</t>
        </is>
      </c>
      <c r="C12" s="15" t="inlineStr">
        <is>
          <t>нейросеть схема</t>
        </is>
      </c>
      <c r="D12" s="15" t="inlineStr">
        <is>
          <t>Беларусь (id=149)</t>
        </is>
      </c>
      <c r="E12" s="15" t="inlineStr">
        <is>
          <t>2024-09—2026-08 (24 мес., по месяцам)</t>
        </is>
      </c>
      <c r="F12" s="15" t="inlineStr">
        <is>
          <t>JSON</t>
        </is>
      </c>
      <c r="G12" s="15" t="inlineStr">
        <is>
          <t>wordstat_neyroset-shema_dinamika_RB_2024-09_2026-08.json</t>
        </is>
      </c>
      <c r="H12" s="15" t="inlineStr">
        <is>
          <t>Динамика по месяцам, API getGraph; расширенный ряд 2018-01—2026-08 — файл wordstat_neyroset-shema_dinamika_RB_2018-01_2026-08.json</t>
        </is>
      </c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 customFormat="1" s="20">
      <c r="A13" s="22" t="inlineStr">
        <is>
          <t>30.09.2026</t>
        </is>
      </c>
      <c r="B13" s="15" t="inlineStr">
        <is>
          <t>Яндекс Вордстат</t>
        </is>
      </c>
      <c r="C13" s="15" t="inlineStr">
        <is>
          <t>нейросеть диаграмма</t>
        </is>
      </c>
      <c r="D13" s="15" t="inlineStr">
        <is>
          <t>Беларусь (id=149)</t>
        </is>
      </c>
      <c r="E13" s="15" t="inlineStr">
        <is>
          <t>2024-09—2026-08 (24 мес., по месяцам)</t>
        </is>
      </c>
      <c r="F13" s="15" t="inlineStr">
        <is>
          <t>JSON</t>
        </is>
      </c>
      <c r="G13" s="15" t="inlineStr">
        <is>
          <t>wordstat_neyroset-diagramma_dinamika_RB_2024-09_2026-08.json</t>
        </is>
      </c>
      <c r="H13" s="15" t="inlineStr">
        <is>
          <t>Динамика по месяцам, API getGraph; расширенный ряд 2018-01—2026-08 — файл wordstat_neyroset-diagramma_dinamika_RB_2018-01_2026-08.json</t>
        </is>
      </c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 customFormat="1" s="20">
      <c r="A14" s="22" t="inlineStr">
        <is>
          <t>30.09.2026</t>
        </is>
      </c>
      <c r="B14" s="15" t="inlineStr">
        <is>
          <t>Яндекс Вордстат</t>
        </is>
      </c>
      <c r="C14" s="15" t="inlineStr">
        <is>
          <t>uml; bpmn (по устройствам)</t>
        </is>
      </c>
      <c r="D14" s="15" t="inlineStr">
        <is>
          <t>Беларусь (id=149)</t>
        </is>
      </c>
      <c r="E14" s="15" t="inlineStr">
        <is>
          <t>2024-09—2026-08 (24 мес., по месяцам)</t>
        </is>
      </c>
      <c r="F14" s="15" t="inlineStr">
        <is>
          <t>JSON</t>
        </is>
      </c>
      <c r="G14" s="15" t="inlineStr">
        <is>
          <t>wordstat_uml_bpmn_dinamika_po_ustroystvam_RB_2024-09_2026-08.json</t>
        </is>
      </c>
      <c r="H14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 ht="25.5" customFormat="1" customHeight="1" s="20">
      <c r="A15" s="22" t="inlineStr">
        <is>
          <t>30.09.2026</t>
        </is>
      </c>
      <c r="B15" s="15" t="inlineStr">
        <is>
          <t>Яндекс Вордстат</t>
        </is>
      </c>
      <c r="C15" s="15" t="inlineStr">
        <is>
          <t>uml; bpmn</t>
        </is>
      </c>
      <c r="D15" s="15" t="inlineStr">
        <is>
          <t>мир/СНГ (вкладка «Регионы»)</t>
        </is>
      </c>
      <c r="E15" s="15" t="inlineStr">
        <is>
          <t>29.08-29.09.2026</t>
        </is>
      </c>
      <c r="F15" s="15" t="inlineStr">
        <is>
          <t>JSON</t>
        </is>
      </c>
      <c r="G15" s="15" t="inlineStr">
        <is>
          <t>wordstat_regiony_bpmn_uml_RB_okno_2026-08-29_09-29.json</t>
        </is>
      </c>
      <c r="H15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25.5" customFormat="1" customHeight="1" s="20">
      <c r="A16" s="22" t="inlineStr">
        <is>
          <t>30.09.2026</t>
        </is>
      </c>
      <c r="B16" s="15" t="inlineStr">
        <is>
          <t>Яндекс Вордстат</t>
        </is>
      </c>
      <c r="C16" s="15" t="inlineStr">
        <is>
          <t>коммерческие, проблемные, сегментные, географические, обучающие формулировки</t>
        </is>
      </c>
      <c r="D16" s="15" t="inlineStr">
        <is>
          <t>Беларусь (id=149)</t>
        </is>
      </c>
      <c r="E16" s="15" t="inlineStr">
        <is>
          <t>Топы, 29.08-29.09.2026</t>
        </is>
      </c>
      <c r="F16" s="15" t="inlineStr">
        <is>
          <t>JSON</t>
        </is>
      </c>
      <c r="G16" s="15" t="inlineStr">
        <is>
          <t>wordstat_topy_kommercheskie_problemnye_segmentnye_geo_RB_okno_2026-08-29_09-29.json</t>
        </is>
      </c>
      <c r="H16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  <row r="17">
      <c r="A17" s="10" t="n"/>
      <c r="B17" s="3" t="n"/>
      <c r="C17" s="3" t="n"/>
      <c r="D17" s="3" t="n"/>
      <c r="E17" s="3" t="n"/>
      <c r="F17" s="3" t="n"/>
      <c r="G17" s="3" t="n"/>
      <c r="H17" s="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3.75" customHeight="1">
      <c r="A18" s="18" t="inlineStr">
        <is>
          <t>Примечание</t>
        </is>
      </c>
      <c r="B18" s="15" t="inlineStr">
        <is>
          <t>Вариант только Яндекс Вордстат: запрос «idef0»,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8" s="15" t="n"/>
      <c r="D18" s="15" t="n"/>
      <c r="E18" s="15" t="n"/>
      <c r="F18" s="15" t="n"/>
      <c r="G18" s="15" t="n"/>
      <c r="H18" s="15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E20" sqref="E20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H18" sqref="H18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2026-10-04T14:13:10Z</dcterms:created>
  <dcterms:modified xmlns:dcterms="http://purl.org/dc/terms/" xmlns:xsi="http://www.w3.org/2001/XMLSchema-instance" xsi:type="dcterms:W3CDTF">2026-10-04T15:52:38Z</dcterms:modified>
  <cp:lastModifiedBy>Aliaksandr Khajynau</cp:lastModifiedBy>
</cp:coreProperties>
</file>