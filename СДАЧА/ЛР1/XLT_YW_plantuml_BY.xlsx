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8" autoFilterDateGrouping="1"/>
  </bookViews>
  <sheets>
    <sheet xmlns:r="http://schemas.openxmlformats.org/officeDocument/2006/relationships" name="Панель" sheetId="1" state="visible" r:id="rId1"/>
    <sheet xmlns:r="http://schemas.openxmlformats.org/officeDocument/2006/relationships" name="Ввод_данных" sheetId="2" state="visible" r:id="rId2"/>
    <sheet xmlns:r="http://schemas.openxmlformats.org/officeDocument/2006/relationships" name="Расчет" sheetId="3" state="visible" r:id="rId3"/>
    <sheet xmlns:r="http://schemas.openxmlformats.org/officeDocument/2006/relationships" name="Сезонность" sheetId="4" state="visible" r:id="rId4"/>
    <sheet xmlns:r="http://schemas.openxmlformats.org/officeDocument/2006/relationships" name="Оценка_тренда" sheetId="5" state="visible" r:id="rId5"/>
    <sheet xmlns:r="http://schemas.openxmlformats.org/officeDocument/2006/relationships" name="Деловые_циклы" sheetId="6" state="visible" r:id="rId6"/>
    <sheet xmlns:r="http://schemas.openxmlformats.org/officeDocument/2006/relationships" name="Журнал_выгрузки" sheetId="7" state="visible" r:id="rId7"/>
    <sheet xmlns:r="http://schemas.openxmlformats.org/officeDocument/2006/relationships" name="Методика_и_источники" sheetId="8" state="visible" r:id="rId8"/>
    <sheet xmlns:r="http://schemas.openxmlformats.org/officeDocument/2006/relationships" name="Настройки" sheetId="9" state="visible" r:id="rId9"/>
  </sheets>
  <definedNames/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yyyy\-mm"/>
    <numFmt numFmtId="165" formatCode="yyyy\-mm\-dd"/>
  </numFmts>
  <fonts count="7">
    <font>
      <name val="Carlito"/>
      <sz val="11"/>
    </font>
    <font>
      <name val="Calibri"/>
      <family val="2"/>
      <sz val="10"/>
    </font>
    <font>
      <name val="Calibri"/>
      <family val="2"/>
      <color rgb="FF333333"/>
      <sz val="10"/>
    </font>
    <font>
      <name val="Calibri"/>
      <family val="2"/>
      <b val="1"/>
      <color rgb="FF1F2937"/>
      <sz val="10"/>
    </font>
    <font>
      <name val="Calibri"/>
      <family val="2"/>
      <color rgb="FF1F2937"/>
      <sz val="10"/>
    </font>
    <font>
      <name val="Calibri"/>
      <family val="2"/>
      <b val="1"/>
      <color rgb="FFFFFFFF"/>
      <sz val="14"/>
    </font>
    <font>
      <name val="Carlito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6" fillId="0" borderId="0"/>
    <xf numFmtId="0" fontId="6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1">
      <alignment vertical="top"/>
    </xf>
    <xf numFmtId="0" fontId="3" fillId="3" borderId="0" applyAlignment="1" pivotButton="0" quotePrefix="0" xfId="1">
      <alignment horizontal="center" vertical="top" wrapText="1"/>
    </xf>
    <xf numFmtId="0" fontId="1" fillId="0" borderId="0" applyAlignment="1" pivotButton="0" quotePrefix="0" xfId="1">
      <alignment vertical="top" wrapText="1"/>
    </xf>
    <xf numFmtId="10" fontId="1" fillId="0" borderId="0" applyAlignment="1" pivotButton="0" quotePrefix="0" xfId="1">
      <alignment vertical="top" wrapText="1"/>
    </xf>
    <xf numFmtId="2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 wrapText="1"/>
    </xf>
    <xf numFmtId="1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/>
    </xf>
    <xf numFmtId="2" fontId="1" fillId="0" borderId="0" applyAlignment="1" pivotButton="0" quotePrefix="0" xfId="1">
      <alignment vertical="top"/>
    </xf>
    <xf numFmtId="165" fontId="1" fillId="0" borderId="0" applyAlignment="1" pivotButton="0" quotePrefix="0" xfId="1">
      <alignment vertical="top" wrapText="1"/>
    </xf>
    <xf numFmtId="0" fontId="5" fillId="2" borderId="0" applyAlignment="1" pivotButton="0" quotePrefix="0" xfId="1">
      <alignment horizontal="center" vertical="center"/>
    </xf>
    <xf numFmtId="0" fontId="2" fillId="4" borderId="0" applyAlignment="1" pivotButton="0" quotePrefix="0" xfId="1">
      <alignment vertical="top" wrapText="1"/>
    </xf>
    <xf numFmtId="0" fontId="3" fillId="3" borderId="0" applyAlignment="1" pivotButton="0" quotePrefix="0" xfId="1">
      <alignment horizontal="center" vertical="top" wrapText="1"/>
    </xf>
    <xf numFmtId="0" fontId="4" fillId="5" borderId="0" applyAlignment="1" pivotButton="0" quotePrefix="0" xfId="1">
      <alignment vertical="top" wrapText="1"/>
    </xf>
    <xf numFmtId="0" fontId="1" fillId="0" borderId="0" applyAlignment="1" pivotButton="0" quotePrefix="0" xfId="1">
      <alignment vertical="center" wrapText="1"/>
    </xf>
    <xf numFmtId="2" fontId="1" fillId="0" borderId="0" applyAlignment="1" pivotButton="0" quotePrefix="0" xfId="1">
      <alignment vertical="center" wrapText="1"/>
    </xf>
    <xf numFmtId="165" fontId="1" fillId="0" borderId="0" applyAlignment="1" pivotButton="0" quotePrefix="0" xfId="1">
      <alignment vertical="center" wrapText="1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3" fillId="3" borderId="0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 wrapText="1"/>
    </xf>
    <xf numFmtId="49" fontId="1" fillId="0" borderId="0" applyAlignment="1" pivotButton="0" quotePrefix="0" xfId="1">
      <alignment vertical="center" wrapText="1"/>
    </xf>
  </cellXfs>
  <cellStyles count="2">
    <cellStyle name="Обычный" xfId="0" builtinId="0"/>
    <cellStyle name="Normal" xfId="1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Сводный индекс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Расчет!$A$5:$A$64</f>
              <strCache>
                <ptCount val="24"/>
                <pt idx="0">
                  <v>2024-09</v>
                </pt>
                <pt idx="1">
                  <v>2024-10</v>
                </pt>
                <pt idx="2">
                  <v>2024-11</v>
                </pt>
                <pt idx="3">
                  <v>2024-12</v>
                </pt>
                <pt idx="4">
                  <v>2025-01</v>
                </pt>
                <pt idx="5">
                  <v>2025-02</v>
                </pt>
                <pt idx="6">
                  <v>2025-03</v>
                </pt>
                <pt idx="7">
                  <v>2025-04</v>
                </pt>
                <pt idx="8">
                  <v>2025-05</v>
                </pt>
                <pt idx="9">
                  <v>2025-06</v>
                </pt>
                <pt idx="10">
                  <v>2025-07</v>
                </pt>
                <pt idx="11">
                  <v>2025-08</v>
                </pt>
                <pt idx="12">
                  <v>2025-09</v>
                </pt>
                <pt idx="13">
                  <v>2025-10</v>
                </pt>
                <pt idx="14">
                  <v>2025-11</v>
                </pt>
                <pt idx="15">
                  <v>2025-12</v>
                </pt>
                <pt idx="16">
                  <v>2026-01</v>
                </pt>
                <pt idx="17">
                  <v>2026-02</v>
                </pt>
                <pt idx="18">
                  <v>2026-03</v>
                </pt>
                <pt idx="19">
                  <v>2026-04</v>
                </pt>
                <pt idx="20">
                  <v>2026-05</v>
                </pt>
                <pt idx="21">
                  <v>2026-06</v>
                </pt>
                <pt idx="22">
                  <v>2026-07</v>
                </pt>
                <pt idx="23">
                  <v>2026-08</v>
                </pt>
              </strCache>
            </strRef>
          </cat>
          <val>
            <numRef>
              <f>Расчет!$G$5:$G$64</f>
              <numCache>
                <formatCode>0.00</formatCode>
                <ptCount val="60"/>
                <pt idx="0">
                  <v>27.72133526850508</v>
                </pt>
                <pt idx="1">
                  <v>62.98984034833092</v>
                </pt>
                <pt idx="2">
                  <v>55.87808417997098</v>
                </pt>
                <pt idx="3">
                  <v>51.08853410740203</v>
                </pt>
                <pt idx="4">
                  <v>31.49492017416546</v>
                </pt>
                <pt idx="5">
                  <v>53.41074020319303</v>
                </pt>
                <pt idx="6">
                  <v>67.77939042089986</v>
                </pt>
                <pt idx="7">
                  <v>65.16690856313497</v>
                </pt>
                <pt idx="8">
                  <v>87.80841799709724</v>
                </pt>
                <pt idx="9">
                  <v>71.55297532656023</v>
                </pt>
                <pt idx="10">
                  <v>33.52685050798258</v>
                </pt>
                <pt idx="11">
                  <v>25.54426705370101</v>
                </pt>
                <pt idx="12">
                  <v>41.21915820029027</v>
                </pt>
                <pt idx="13">
                  <v>59.50653120464441</v>
                </pt>
                <pt idx="14">
                  <v>71.69811320754717</v>
                </pt>
                <pt idx="15">
                  <v>100</v>
                </pt>
                <pt idx="16">
                  <v>28.44702467343977</v>
                </pt>
                <pt idx="17">
                  <v>31.05950653120464</v>
                </pt>
                <pt idx="18">
                  <v>49.20174165457185</v>
                </pt>
                <pt idx="19">
                  <v>54.28156748911466</v>
                </pt>
                <pt idx="20">
                  <v>84.61538461538461</v>
                </pt>
                <pt idx="21">
                  <v>56.16835994194484</v>
                </pt>
                <pt idx="22">
                  <v>20.60957910014514</v>
                </pt>
                <pt idx="23">
                  <v>12.19158200290276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ser>
          <idx val="1"/>
          <order val="1"/>
          <tx>
            <v>Тренд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Расчет!$A$5:$A$64</f>
              <strCache>
                <ptCount val="24"/>
                <pt idx="0">
                  <v>2024-09</v>
                </pt>
                <pt idx="1">
                  <v>2024-10</v>
                </pt>
                <pt idx="2">
                  <v>2024-11</v>
                </pt>
                <pt idx="3">
                  <v>2024-12</v>
                </pt>
                <pt idx="4">
                  <v>2025-01</v>
                </pt>
                <pt idx="5">
                  <v>2025-02</v>
                </pt>
                <pt idx="6">
                  <v>2025-03</v>
                </pt>
                <pt idx="7">
                  <v>2025-04</v>
                </pt>
                <pt idx="8">
                  <v>2025-05</v>
                </pt>
                <pt idx="9">
                  <v>2025-06</v>
                </pt>
                <pt idx="10">
                  <v>2025-07</v>
                </pt>
                <pt idx="11">
                  <v>2025-08</v>
                </pt>
                <pt idx="12">
                  <v>2025-09</v>
                </pt>
                <pt idx="13">
                  <v>2025-10</v>
                </pt>
                <pt idx="14">
                  <v>2025-11</v>
                </pt>
                <pt idx="15">
                  <v>2025-12</v>
                </pt>
                <pt idx="16">
                  <v>2026-01</v>
                </pt>
                <pt idx="17">
                  <v>2026-02</v>
                </pt>
                <pt idx="18">
                  <v>2026-03</v>
                </pt>
                <pt idx="19">
                  <v>2026-04</v>
                </pt>
                <pt idx="20">
                  <v>2026-05</v>
                </pt>
                <pt idx="21">
                  <v>2026-06</v>
                </pt>
                <pt idx="22">
                  <v>2026-07</v>
                </pt>
                <pt idx="23">
                  <v>2026-08</v>
                </pt>
              </strCache>
            </strRef>
          </cat>
          <val>
            <numRef>
              <f>Расчет!$H$5:$H$64</f>
              <numCache>
                <formatCode>0.00</formatCode>
                <ptCount val="6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52.83018867924527</v>
                </pt>
                <pt idx="12">
                  <v>53.95500725689404</v>
                </pt>
                <pt idx="13">
                  <v>53.66473149492017</v>
                </pt>
                <pt idx="14">
                  <v>54.98306724721818</v>
                </pt>
                <pt idx="15">
                  <v>59.05902273826802</v>
                </pt>
                <pt idx="16">
                  <v>58.80503144654087</v>
                </pt>
                <pt idx="17">
                  <v>56.94242864054184</v>
                </pt>
                <pt idx="18">
                  <v>55.39429124334784</v>
                </pt>
                <pt idx="19">
                  <v>54.48717948717948</v>
                </pt>
                <pt idx="20">
                  <v>54.22109337203677</v>
                </pt>
                <pt idx="21">
                  <v>52.93904208998548</v>
                </pt>
                <pt idx="22">
                  <v>51.86260280599902</v>
                </pt>
                <pt idx="23">
                  <v>50.74987905176584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yyyy\-mm" sourceLinked="1"/>
        <majorTickMark val="none"/>
        <minorTickMark val="none"/>
        <tickLblPos val="nextTo"/>
        <crossAx val="48672768"/>
        <crosses val="autoZero"/>
        <lblOffset val="100"/>
        <baseTimeUnit val="months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Сезонный индекс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Сезонность!$B$4:$B$15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>март</v>
                </pt>
                <pt idx="3">
                  <v>апрель</v>
                </pt>
                <pt idx="4">
                  <v>май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Сезонность!$D$4:$D$15</f>
              <numCache>
                <formatCode>0.00</formatCode>
                <ptCount val="12"/>
                <pt idx="0">
                  <v>0.5199531916195538</v>
                </pt>
                <pt idx="1">
                  <v>0.586273751775109</v>
                </pt>
                <pt idx="2">
                  <v>0.9546789608599919</v>
                </pt>
                <pt idx="3">
                  <v>1.07077922965718</v>
                </pt>
                <pt idx="4">
                  <v>1.677347120291668</v>
                </pt>
                <pt idx="5">
                  <v>1.140400896187635</v>
                </pt>
                <pt idx="6">
                  <v>0.4271266792316792</v>
                </pt>
                <pt idx="7">
                  <v>0.3889534517341006</v>
                </pt>
                <pt idx="8">
                  <v>0.8211249498074156</v>
                </pt>
                <pt idx="9">
                  <v>1.19183890940083</v>
                </pt>
                <pt idx="10">
                  <v>1.40158889887635</v>
                </pt>
                <pt idx="11">
                  <v>1.819933960558489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1838325</colOff>
      <row>21</row>
      <rowOff>171450</rowOff>
    </from>
    <ext cx="10439400" cy="3429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22</row>
      <rowOff>0</rowOff>
    </from>
    <ext cx="6477000" cy="34099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putDataTable" displayName="InputDataTable" ref="A4:F64" headerRowCount="1">
  <tableColumns count="6">
    <tableColumn id="1" name="Период"/>
    <tableColumn id="2" name="Кластер запросов"/>
    <tableColumn id="3" name="Google Trends, 0–100"/>
    <tableColumn id="4" name="Яндекс Вордстат, запросов"/>
    <tableColumn id="5" name="Регион / рынок"/>
    <tableColumn id="6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lcTable" displayName="CalcTable" ref="A4:N64" headerRowCount="1">
  <tableColumns count="14">
    <tableColumn id="1" name="Период"/>
    <tableColumn id="2" name="Месяц №"/>
    <tableColumn id="3" name="Месяц"/>
    <tableColumn id="4" name="Google Trends"/>
    <tableColumn id="5" name="Вордстат"/>
    <tableColumn id="6" name="Вордстат норм. 0–100"/>
    <tableColumn id="7" name="Сводный индекс"/>
    <tableColumn id="8" name="Тренд: скользящее среднее 12 мес."/>
    <tableColumn id="9" name="Y/T"/>
    <tableColumn id="10" name="Сезонно очищенный индекс"/>
    <tableColumn id="11" name="Циклический коэффициент"/>
    <tableColumn id="12" name="Фаза цикла"/>
    <tableColumn id="13" name="Комментарий"/>
    <tableColumn id="14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asonalityTable" displayName="SeasonalityTable" ref="A3:F15" headerRowCount="1">
  <tableColumns count="6">
    <tableColumn id="1" name="Месяц №"/>
    <tableColumn id="2" name="Месяц"/>
    <tableColumn id="3" name="Средний Y/T"/>
    <tableColumn id="4" name="Сезонный индекс"/>
    <tableColumn id="5" name="Отклонение от среднего"/>
    <tableColumn id="6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rendEvaluationTable" displayName="TrendEvaluationTable" ref="A3:D11" headerRowCount="1">
  <tableColumns count="4">
    <tableColumn id="1" name="Показатель"/>
    <tableColumn id="2" name="Формула / значение"/>
    <tableColumn id="3" name="Интерпретация"/>
    <tableColumn id="4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ycleEvaluationTable" displayName="CycleEvaluationTable" ref="A13:H73" headerRowCount="1">
  <tableColumns count="8">
    <tableColumn id="1" name="Период"/>
    <tableColumn id="2" name="Сводный индекс"/>
    <tableColumn id="3" name="Тренд"/>
    <tableColumn id="4" name="Сезонный индекс"/>
    <tableColumn id="5" name="Сезонно очищенный индекс"/>
    <tableColumn id="6" name="Циклический коэффициент"/>
    <tableColumn id="7" name="Фаза"/>
    <tableColumn id="8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xportLogTable" displayName="ExportLogTable" ref="A3:H18" headerRowCount="1">
  <tableColumns count="8">
    <tableColumn id="1" name="Дата выгрузки"/>
    <tableColumn id="2" name="Источник"/>
    <tableColumn id="3" name="Запрос / кластер"/>
    <tableColumn id="4" name="Регион"/>
    <tableColumn id="5" name="Период"/>
    <tableColumn id="6" name="Формат файла"/>
    <tableColumn id="7" name="Имя файла"/>
    <tableColumn id="8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ethodSourcesTable" displayName="MethodSourcesTable" ref="A3:F9" headerRowCount="1">
  <tableColumns count="6">
    <tableColumn id="1" name="Раздел"/>
    <tableColumn id="2" name="Содержание"/>
    <tableColumn id="3" name="Практическое действие"/>
    <tableColumn id="4" name="Результат"/>
    <tableColumn id="5" name="Ограничение"/>
    <tableColumn id="6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ettingsTable" displayName="SettingsTable" ref="A3:D12" headerRowCount="1">
  <tableColumns count="4">
    <tableColumn id="1" name="Параметр"/>
    <tableColumn id="2" name="Значение"/>
    <tableColumn id="3" name="Назначение"/>
    <tableColumn id="4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L9" sqref="L9"/>
    </sheetView>
  </sheetViews>
  <sheetFormatPr baseColWidth="8" defaultRowHeight="14.25"/>
  <cols>
    <col width="16" customWidth="1" min="1" max="1"/>
    <col width="30" customWidth="1" min="2" max="2"/>
    <col width="20" customWidth="1" min="3" max="3"/>
    <col width="42" customWidth="1" min="4" max="4"/>
    <col width="16" customWidth="1" min="5" max="8"/>
  </cols>
  <sheetData>
    <row r="1" ht="27.95" customHeight="1">
      <c r="A1" s="11" t="inlineStr">
        <is>
          <t>Панель оценки тренда, сезонности и циклов спроса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2" t="inlineStr">
        <is>
      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3" t="inlineStr">
        <is>
          <t>Блок</t>
        </is>
      </c>
      <c r="B5" s="13" t="inlineStr">
        <is>
          <t>Показатель</t>
        </is>
      </c>
      <c r="C5" s="13" t="inlineStr">
        <is>
          <t>Значение</t>
        </is>
      </c>
      <c r="D5" s="13" t="inlineStr">
        <is>
          <t>Как использовать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Данные</t>
        </is>
      </c>
      <c r="B6" s="3" t="inlineStr">
        <is>
          <t>Количество месяцев</t>
        </is>
      </c>
      <c r="C6" s="3">
        <f>Оценка_тренда!B4</f>
        <v/>
      </c>
      <c r="D6" s="3" t="inlineStr">
        <is>
          <t>проверка достаточности ряда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inlineStr">
        <is>
          <t>Тренд</t>
        </is>
      </c>
      <c r="B7" s="3" t="inlineStr">
        <is>
          <t>Классификация тренда</t>
        </is>
      </c>
      <c r="C7" s="3">
        <f>Оценка_тренда!B10</f>
        <v/>
      </c>
      <c r="D7" s="3" t="inlineStr">
        <is>
          <t>основа вывода о росте или снижении интереса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5.5" customHeight="1">
      <c r="A8" s="3" t="inlineStr">
        <is>
          <t>Тренд</t>
        </is>
      </c>
      <c r="B8" s="3" t="inlineStr">
        <is>
          <t>Изменение последних 12 мес. к первым 12 мес</t>
        </is>
      </c>
      <c r="C8" s="4">
        <f>Оценка_тренда!B8</f>
        <v/>
      </c>
      <c r="D8" s="3" t="inlineStr">
        <is>
          <t>оценка силы изменения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Сезонность</t>
        </is>
      </c>
      <c r="B9" s="3" t="inlineStr">
        <is>
          <t>Сила сезонности</t>
        </is>
      </c>
      <c r="C9" s="3">
        <f>Сезонность!B22</f>
        <v/>
      </c>
      <c r="D9" s="3" t="inlineStr">
        <is>
          <t>нужна для планирования месяцев продвижения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Сезонность</t>
        </is>
      </c>
      <c r="B10" s="3" t="inlineStr">
        <is>
          <t>Месяц максимума</t>
        </is>
      </c>
      <c r="C10" s="3">
        <f>Сезонность!B23</f>
        <v/>
      </c>
      <c r="D10" s="3" t="inlineStr">
        <is>
          <t>период вероятного повышения интереса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inlineStr">
        <is>
          <t>Сезонность</t>
        </is>
      </c>
      <c r="B11" s="3" t="inlineStr">
        <is>
          <t>Месяц минимума</t>
        </is>
      </c>
      <c r="C11" s="3">
        <f>Сезонность!B24</f>
        <v/>
      </c>
      <c r="D11" s="3" t="inlineStr">
        <is>
          <t>период вероятного снижения интереса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inlineStr">
        <is>
          <t>Циклы</t>
        </is>
      </c>
      <c r="B12" s="3" t="inlineStr">
        <is>
          <t>Текущая фаза</t>
        </is>
      </c>
      <c r="C12" s="3">
        <f>Деловые_циклы!B7</f>
        <v/>
      </c>
      <c r="D12" s="3" t="inlineStr">
        <is>
          <t>оценка текущего состояния спроса относительно нормы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>
      <c r="A13" s="3" t="inlineStr">
        <is>
          <t>Циклы</t>
        </is>
      </c>
      <c r="B13" s="3" t="inlineStr">
        <is>
          <t>Текущий коэффициент</t>
        </is>
      </c>
      <c r="C13" s="5">
        <f>Деловые_циклы!B6</f>
        <v/>
      </c>
      <c r="D13" s="3" t="inlineStr">
        <is>
          <t>значение выше 1 означает спрос выше трендово-сезонного уровня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3" t="inlineStr">
        <is>
          <t>Итоговая формулировка для отчета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4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/>
    <row r="19"/>
    <row r="20"/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L24" sqref="L24"/>
    </sheetView>
  </sheetViews>
  <sheetFormatPr baseColWidth="8" defaultRowHeight="14.25"/>
  <cols>
    <col width="12" customWidth="1" min="1" max="1"/>
    <col width="34" customWidth="1" min="2" max="2"/>
    <col width="16" customWidth="1" min="3" max="3"/>
    <col width="22" customWidth="1" min="4" max="4"/>
    <col width="20" customWidth="1" min="5" max="5"/>
    <col width="42" customWidth="1" min="6" max="6"/>
  </cols>
  <sheetData>
    <row r="1" ht="27.95" customHeight="1">
      <c r="A1" s="11" t="inlineStr">
        <is>
          <t>Ввод данных из Google Trends и Яндекс Вордстат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3" t="inlineStr">
        <is>
          <t>Период</t>
        </is>
      </c>
      <c r="B4" s="13" t="inlineStr">
        <is>
          <t>Кластер запросов</t>
        </is>
      </c>
      <c r="C4" s="13" t="inlineStr">
        <is>
          <t>Google Trends, 0–100</t>
        </is>
      </c>
      <c r="D4" s="13" t="inlineStr">
        <is>
          <t>Яндекс Вордстат, запросов</t>
        </is>
      </c>
      <c r="E4" s="13" t="inlineStr">
        <is>
          <t>Регион / рынок</t>
        </is>
      </c>
      <c r="F4" s="13" t="inlineStr">
        <is>
          <t>Комментарий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0" t="n">
        <v>45536</v>
      </c>
      <c r="B5" s="3" t="inlineStr">
        <is>
          <t>plantuml</t>
        </is>
      </c>
      <c r="C5" s="7" t="n"/>
      <c r="D5" s="7" t="n">
        <v>191</v>
      </c>
      <c r="E5" s="3" t="inlineStr">
        <is>
          <t>Беларусь</t>
        </is>
      </c>
      <c r="F5" s="3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0" t="n">
        <v>45566</v>
      </c>
      <c r="B6" s="3" t="inlineStr">
        <is>
          <t>plantuml</t>
        </is>
      </c>
      <c r="C6" s="7" t="n"/>
      <c r="D6" s="7" t="n">
        <v>434</v>
      </c>
      <c r="E6" s="3" t="inlineStr">
        <is>
          <t>Беларусь</t>
        </is>
      </c>
      <c r="F6" s="3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0" t="n">
        <v>45597</v>
      </c>
      <c r="B7" s="3" t="inlineStr">
        <is>
          <t>plantuml</t>
        </is>
      </c>
      <c r="C7" s="7" t="n"/>
      <c r="D7" s="7" t="n">
        <v>385</v>
      </c>
      <c r="E7" s="3" t="inlineStr">
        <is>
          <t>Беларусь</t>
        </is>
      </c>
      <c r="F7" s="3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0" t="n">
        <v>45627</v>
      </c>
      <c r="B8" s="3" t="inlineStr">
        <is>
          <t>plantuml</t>
        </is>
      </c>
      <c r="C8" s="7" t="n"/>
      <c r="D8" s="7" t="n">
        <v>352</v>
      </c>
      <c r="E8" s="3" t="inlineStr">
        <is>
          <t>Беларусь</t>
        </is>
      </c>
      <c r="F8" s="3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0" t="n">
        <v>45658</v>
      </c>
      <c r="B9" s="3" t="inlineStr">
        <is>
          <t>plantuml</t>
        </is>
      </c>
      <c r="C9" s="7" t="n"/>
      <c r="D9" s="7" t="n">
        <v>217</v>
      </c>
      <c r="E9" s="3" t="inlineStr">
        <is>
          <t>Беларусь</t>
        </is>
      </c>
      <c r="F9" s="3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0" t="n">
        <v>45689</v>
      </c>
      <c r="B10" s="3" t="inlineStr">
        <is>
          <t>plantuml</t>
        </is>
      </c>
      <c r="C10" s="7" t="n"/>
      <c r="D10" s="7" t="n">
        <v>368</v>
      </c>
      <c r="E10" s="3" t="inlineStr">
        <is>
          <t>Беларусь</t>
        </is>
      </c>
      <c r="F10" s="3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0" t="n">
        <v>45717</v>
      </c>
      <c r="B11" s="3" t="inlineStr">
        <is>
          <t>plantuml</t>
        </is>
      </c>
      <c r="C11" s="7" t="n"/>
      <c r="D11" s="7" t="n">
        <v>467</v>
      </c>
      <c r="E11" s="3" t="inlineStr">
        <is>
          <t>Беларусь</t>
        </is>
      </c>
      <c r="F11" s="3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0" t="n">
        <v>45748</v>
      </c>
      <c r="B12" s="3" t="inlineStr">
        <is>
          <t>plantuml</t>
        </is>
      </c>
      <c r="C12" s="7" t="n"/>
      <c r="D12" s="7" t="n">
        <v>449</v>
      </c>
      <c r="E12" s="3" t="inlineStr">
        <is>
          <t>Беларусь</t>
        </is>
      </c>
      <c r="F12" s="3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0" t="n">
        <v>45778</v>
      </c>
      <c r="B13" s="3" t="inlineStr">
        <is>
          <t>plantuml</t>
        </is>
      </c>
      <c r="C13" s="7" t="n"/>
      <c r="D13" s="7" t="n">
        <v>605</v>
      </c>
      <c r="E13" s="3" t="inlineStr">
        <is>
          <t>Беларусь</t>
        </is>
      </c>
      <c r="F13" s="3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0" t="n">
        <v>45809</v>
      </c>
      <c r="B14" s="3" t="inlineStr">
        <is>
          <t>plantuml</t>
        </is>
      </c>
      <c r="C14" s="7" t="n"/>
      <c r="D14" s="7" t="n">
        <v>493</v>
      </c>
      <c r="E14" s="3" t="inlineStr">
        <is>
          <t>Беларусь</t>
        </is>
      </c>
      <c r="F14" s="3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0" t="n">
        <v>45839</v>
      </c>
      <c r="B15" s="3" t="inlineStr">
        <is>
          <t>plantuml</t>
        </is>
      </c>
      <c r="C15" s="7" t="n"/>
      <c r="D15" s="7" t="n">
        <v>231</v>
      </c>
      <c r="E15" s="3" t="inlineStr">
        <is>
          <t>Беларусь</t>
        </is>
      </c>
      <c r="F15" s="3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0" t="n">
        <v>45870</v>
      </c>
      <c r="B16" s="3" t="inlineStr">
        <is>
          <t>plantuml</t>
        </is>
      </c>
      <c r="C16" s="7" t="n"/>
      <c r="D16" s="7" t="n">
        <v>176</v>
      </c>
      <c r="E16" s="3" t="inlineStr">
        <is>
          <t>Беларусь</t>
        </is>
      </c>
      <c r="F16" s="3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0" t="n">
        <v>45901</v>
      </c>
      <c r="B17" s="3" t="inlineStr">
        <is>
          <t>plantuml</t>
        </is>
      </c>
      <c r="C17" s="7" t="n"/>
      <c r="D17" s="7" t="n">
        <v>284</v>
      </c>
      <c r="E17" s="3" t="inlineStr">
        <is>
          <t>Беларусь</t>
        </is>
      </c>
      <c r="F17" s="3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0" t="n">
        <v>45931</v>
      </c>
      <c r="B18" s="3" t="inlineStr">
        <is>
          <t>plantuml</t>
        </is>
      </c>
      <c r="C18" s="7" t="n"/>
      <c r="D18" s="7" t="n">
        <v>410</v>
      </c>
      <c r="E18" s="3" t="inlineStr">
        <is>
          <t>Беларусь</t>
        </is>
      </c>
      <c r="F18" s="3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0" t="n">
        <v>45962</v>
      </c>
      <c r="B19" s="3" t="inlineStr">
        <is>
          <t>plantuml</t>
        </is>
      </c>
      <c r="C19" s="7" t="n"/>
      <c r="D19" s="7" t="n">
        <v>494</v>
      </c>
      <c r="E19" s="3" t="inlineStr">
        <is>
          <t>Беларусь</t>
        </is>
      </c>
      <c r="F19" s="3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0" t="n">
        <v>45992</v>
      </c>
      <c r="B20" s="3" t="inlineStr">
        <is>
          <t>plantuml</t>
        </is>
      </c>
      <c r="C20" s="7" t="n"/>
      <c r="D20" s="7" t="n">
        <v>689</v>
      </c>
      <c r="E20" s="3" t="inlineStr">
        <is>
          <t>Беларусь</t>
        </is>
      </c>
      <c r="F20" s="3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0" t="n">
        <v>46023</v>
      </c>
      <c r="B21" s="3" t="inlineStr">
        <is>
          <t>plantuml</t>
        </is>
      </c>
      <c r="C21" s="7" t="n"/>
      <c r="D21" s="7" t="n">
        <v>196</v>
      </c>
      <c r="E21" s="3" t="inlineStr">
        <is>
          <t>Беларусь</t>
        </is>
      </c>
      <c r="F21" s="3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0" t="n">
        <v>46054</v>
      </c>
      <c r="B22" s="3" t="inlineStr">
        <is>
          <t>plantuml</t>
        </is>
      </c>
      <c r="C22" s="7" t="n"/>
      <c r="D22" s="7" t="n">
        <v>214</v>
      </c>
      <c r="E22" s="3" t="inlineStr">
        <is>
          <t>Беларусь</t>
        </is>
      </c>
      <c r="F22" s="3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0" t="n">
        <v>46082</v>
      </c>
      <c r="B23" s="3" t="inlineStr">
        <is>
          <t>plantuml</t>
        </is>
      </c>
      <c r="C23" s="7" t="n"/>
      <c r="D23" s="7" t="n">
        <v>339</v>
      </c>
      <c r="E23" s="3" t="inlineStr">
        <is>
          <t>Беларусь</t>
        </is>
      </c>
      <c r="F23" s="3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0" t="n">
        <v>46113</v>
      </c>
      <c r="B24" s="3" t="inlineStr">
        <is>
          <t>plantuml</t>
        </is>
      </c>
      <c r="C24" s="7" t="n"/>
      <c r="D24" s="7" t="n">
        <v>374</v>
      </c>
      <c r="E24" s="3" t="inlineStr">
        <is>
          <t>Беларусь</t>
        </is>
      </c>
      <c r="F24" s="3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0" t="n">
        <v>46143</v>
      </c>
      <c r="B25" s="3" t="inlineStr">
        <is>
          <t>plantuml</t>
        </is>
      </c>
      <c r="C25" s="7" t="n"/>
      <c r="D25" s="7" t="n">
        <v>583</v>
      </c>
      <c r="E25" s="3" t="inlineStr">
        <is>
          <t>Беларусь</t>
        </is>
      </c>
      <c r="F25" s="3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0" t="n">
        <v>46174</v>
      </c>
      <c r="B26" s="3" t="inlineStr">
        <is>
          <t>plantuml</t>
        </is>
      </c>
      <c r="C26" s="7" t="n"/>
      <c r="D26" s="7" t="n">
        <v>387</v>
      </c>
      <c r="E26" s="3" t="inlineStr">
        <is>
          <t>Беларусь</t>
        </is>
      </c>
      <c r="F26" s="3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0" t="n">
        <v>46204</v>
      </c>
      <c r="B27" s="3" t="inlineStr">
        <is>
          <t>plantuml</t>
        </is>
      </c>
      <c r="C27" s="7" t="n"/>
      <c r="D27" s="7" t="n">
        <v>142</v>
      </c>
      <c r="E27" s="3" t="inlineStr">
        <is>
          <t>Беларусь</t>
        </is>
      </c>
      <c r="F27" s="3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0" t="n">
        <v>46235</v>
      </c>
      <c r="B28" s="3" t="inlineStr">
        <is>
          <t>plantuml</t>
        </is>
      </c>
      <c r="C28" s="7" t="n"/>
      <c r="D28" s="7" t="n">
        <v>84</v>
      </c>
      <c r="E28" s="3" t="inlineStr">
        <is>
          <t>Беларусь</t>
        </is>
      </c>
      <c r="F28" s="3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4"/>
  <sheetViews>
    <sheetView workbookViewId="0">
      <selection activeCell="H19" sqref="H19"/>
    </sheetView>
  </sheetViews>
  <sheetFormatPr baseColWidth="8" defaultRowHeight="14.25"/>
  <cols>
    <col width="12" customWidth="1" min="1" max="1"/>
    <col width="10" customWidth="1" min="2" max="2"/>
    <col width="14" customWidth="1" min="3" max="5"/>
    <col width="18" customWidth="1" min="6" max="6"/>
    <col width="16" customWidth="1" min="7" max="7"/>
    <col width="19" customWidth="1" min="8" max="8"/>
    <col width="10" customWidth="1" min="9" max="9"/>
    <col width="22" customWidth="1" min="10" max="10"/>
    <col width="20" customWidth="1" min="11" max="11"/>
    <col width="18" customWidth="1" min="12" max="12"/>
    <col width="34" customWidth="1" min="13" max="13"/>
    <col width="12" customWidth="1" min="14" max="14"/>
  </cols>
  <sheetData>
    <row r="1" ht="27.95" customHeight="1">
      <c r="A1" s="11" t="inlineStr">
        <is>
          <t>Расчет тренда, сезонности и циклических отклонений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</t>
        </is>
      </c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>
      <c r="A4" s="13" t="inlineStr">
        <is>
          <t>Период</t>
        </is>
      </c>
      <c r="B4" s="13" t="inlineStr">
        <is>
          <t>Месяц №</t>
        </is>
      </c>
      <c r="C4" s="13" t="inlineStr">
        <is>
          <t>Месяц</t>
        </is>
      </c>
      <c r="D4" s="13" t="inlineStr">
        <is>
          <t>Google Trends</t>
        </is>
      </c>
      <c r="E4" s="13" t="inlineStr">
        <is>
          <t>Вордстат</t>
        </is>
      </c>
      <c r="F4" s="13" t="inlineStr">
        <is>
          <t>Вордстат норм. 0–100</t>
        </is>
      </c>
      <c r="G4" s="13" t="inlineStr">
        <is>
          <t>Сводный индекс</t>
        </is>
      </c>
      <c r="H4" s="13" t="inlineStr">
        <is>
          <t>Тренд: скользящее среднее 12 мес</t>
        </is>
      </c>
      <c r="I4" s="13" t="inlineStr">
        <is>
          <t>Y/T</t>
        </is>
      </c>
      <c r="J4" s="13" t="inlineStr">
        <is>
          <t>Сезонно очищенный индекс</t>
        </is>
      </c>
      <c r="K4" s="13" t="inlineStr">
        <is>
          <t>Циклический коэффициент</t>
        </is>
      </c>
      <c r="L4" s="13" t="inlineStr">
        <is>
          <t>Фаза цикла</t>
        </is>
      </c>
      <c r="M4" s="13" t="inlineStr">
        <is>
          <t>Комментарий</t>
        </is>
      </c>
      <c r="N4" s="13" t="inlineStr">
        <is>
          <t>Порядковый №</t>
        </is>
      </c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6">
        <f>IF(Ввод_данных!A5="","",Ввод_данных!A5)</f>
        <v/>
      </c>
      <c r="B5" s="3">
        <f>IF(A5="","",MONTH(A5))</f>
        <v/>
      </c>
      <c r="C5" s="3">
        <f>IF(A5="","",CHOOSE(MONTH(A5),"январь","февраль","март","апрель","май","июнь","июль","август","сентябрь","октябрь","ноябрь","декабрь"))</f>
        <v/>
      </c>
      <c r="D5" s="5">
        <f>IF(Ввод_данных!C5="","",Ввод_данных!C5)</f>
        <v/>
      </c>
      <c r="E5" s="5">
        <f>IF(Ввод_данных!D5="","",Ввод_данных!D5)</f>
        <v/>
      </c>
      <c r="F5" s="5">
        <f>IF(E5="","",IF(MAX($E5 у.е.:$E6 у.е.4)=0,"",E5/MAX($E5 у.е.:$E6 у.е.4)*100))</f>
        <v/>
      </c>
      <c r="G5" s="5">
        <f>IF(COUNT(D5,F5)=0,"",IF(COUNT(D5,F5)=2,D5*Настройки!$B4 у.е.+F5*Настройки!$B5 у.е.,IF(D5&lt;&gt;"",D5,F5)))</f>
        <v/>
      </c>
      <c r="H5" s="5">
        <f>IF(OR(G5="",COUNT($G5 у.е.:G5)&lt;12),"","")</f>
        <v/>
      </c>
      <c r="I5" s="5">
        <f>IF(OR(G5="",H5="",H5=0),"",G5/H5)</f>
        <v/>
      </c>
      <c r="J5" s="5">
        <f>IF(OR(G5="",IFERROR(VLOOKUP(B5,Сезонность!$A4 у.е.:$D1 у.е.5,4,FALSE),0)=0),"",G5/IFERROR(VLOOKUP(B5,Сезонность!$A4 у.е.:$D1 у.е.5,4,FALSE),1))</f>
        <v/>
      </c>
      <c r="K5" s="5">
        <f>IF(OR(G5="",H5="",H5=0,IFERROR(VLOOKUP(B5,Сезонность!$A4 у.е.:$D1 у.е.5,4,FALSE),0)=0),"",G5/(H5*IFERROR(VLOOKUP(B5,Сезонность!$A4 у.е.:$D1 у.е.5,4,FALSE),1)))</f>
        <v/>
      </c>
      <c r="L5" s="3">
        <f>IF(K5="","",IF(K5&lt;Настройки!$B1 у.е.1,"ниже тренда",IF(K5&gt;Настройки!$B1 у.е.2,"выше тренда","норма")))</f>
        <v/>
      </c>
      <c r="M5" s="3">
        <f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IF(G5="","",COUNT($G5 у.е.:G5))</f>
        <v/>
      </c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>
        <f>IF(Ввод_данных!A6="","",Ввод_данных!A6)</f>
        <v/>
      </c>
      <c r="B6" s="3">
        <f>IF(A6="","",MONTH(A6))</f>
        <v/>
      </c>
      <c r="C6" s="3">
        <f>IF(A6="","",CHOOSE(MONTH(A6),"январь","февраль","март","апрель","май","июнь","июль","август","сентябрь","октябрь","ноябрь","декабрь"))</f>
        <v/>
      </c>
      <c r="D6" s="5">
        <f>IF(Ввод_данных!C6="","",Ввод_данных!C6)</f>
        <v/>
      </c>
      <c r="E6" s="5">
        <f>IF(Ввод_данных!D6="","",Ввод_данных!D6)</f>
        <v/>
      </c>
      <c r="F6" s="5">
        <f>IF(E6="","",IF(MAX($E5 у.е.:$E6 у.е.4)=0,"",E6/MAX($E5 у.е.:$E6 у.е.4)*100))</f>
        <v/>
      </c>
      <c r="G6" s="5">
        <f>IF(COUNT(D6,F6)=0,"",IF(COUNT(D6,F6)=2,D6*Настройки!$B4 у.е.+F6*Настройки!$B5 у.е.,IF(D6&lt;&gt;"",D6,F6)))</f>
        <v/>
      </c>
      <c r="H6" s="5">
        <f>IF(OR(G6="",COUNT($G5 у.е.:G6)&lt;12),"","")</f>
        <v/>
      </c>
      <c r="I6" s="5">
        <f>IF(OR(G6="",H6="",H6=0),"",G6/H6)</f>
        <v/>
      </c>
      <c r="J6" s="5">
        <f>IF(OR(G6="",IFERROR(VLOOKUP(B6,Сезонность!$A4 у.е.:$D1 у.е.5,4,FALSE),0)=0),"",G6/IFERROR(VLOOKUP(B6,Сезонность!$A4 у.е.:$D1 у.е.5,4,FALSE),1))</f>
        <v/>
      </c>
      <c r="K6" s="5">
        <f>IF(OR(G6="",H6="",H6=0,IFERROR(VLOOKUP(B6,Сезонность!$A4 у.е.:$D1 у.е.5,4,FALSE),0)=0),"",G6/(H6*IFERROR(VLOOKUP(B6,Сезонность!$A4 у.е.:$D1 у.е.5,4,FALSE),1)))</f>
        <v/>
      </c>
      <c r="L6" s="3">
        <f>IF(K6="","",IF(K6&lt;Настройки!$B1 у.е.1,"ниже тренда",IF(K6&gt;Настройки!$B1 у.е.2,"выше тренда","норма")))</f>
        <v/>
      </c>
      <c r="M6" s="3">
        <f>IF(L6="","",IF(L6="ниже тренда","возможное ослабление интереса",IF(L6="выше тренда","возможная фаза повышенного интереса","без выраженного отклонения")))</f>
        <v/>
      </c>
      <c r="N6" s="7">
        <f>IF(G6="","",COUNT($G5 у.е.:G6))</f>
        <v/>
      </c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>
        <f>IF(Ввод_данных!A7="","",Ввод_данных!A7)</f>
        <v/>
      </c>
      <c r="B7" s="3">
        <f>IF(A7="","",MONTH(A7))</f>
        <v/>
      </c>
      <c r="C7" s="3">
        <f>IF(A7="","",CHOOSE(MONTH(A7),"январь","февраль","март","апрель","май","июнь","июль","август","сентябрь","октябрь","ноябрь","декабрь"))</f>
        <v/>
      </c>
      <c r="D7" s="5">
        <f>IF(Ввод_данных!C7="","",Ввод_данных!C7)</f>
        <v/>
      </c>
      <c r="E7" s="5">
        <f>IF(Ввод_данных!D7="","",Ввод_данных!D7)</f>
        <v/>
      </c>
      <c r="F7" s="5">
        <f>IF(E7="","",IF(MAX($E5 у.е.:$E6 у.е.4)=0,"",E7/MAX($E5 у.е.:$E6 у.е.4)*100))</f>
        <v/>
      </c>
      <c r="G7" s="5">
        <f>IF(COUNT(D7,F7)=0,"",IF(COUNT(D7,F7)=2,D7*Настройки!$B4 у.е.+F7*Настройки!$B5 у.е.,IF(D7&lt;&gt;"",D7,F7)))</f>
        <v/>
      </c>
      <c r="H7" s="5">
        <f>IF(OR(G7="",COUNT($G5 у.е.:G7)&lt;12),"","")</f>
        <v/>
      </c>
      <c r="I7" s="5">
        <f>IF(OR(G7="",H7="",H7=0),"",G7/H7)</f>
        <v/>
      </c>
      <c r="J7" s="5">
        <f>IF(OR(G7="",IFERROR(VLOOKUP(B7,Сезонность!$A4 у.е.:$D1 у.е.5,4,FALSE),0)=0),"",G7/IFERROR(VLOOKUP(B7,Сезонность!$A4 у.е.:$D1 у.е.5,4,FALSE),1))</f>
        <v/>
      </c>
      <c r="K7" s="5">
        <f>IF(OR(G7="",H7="",H7=0,IFERROR(VLOOKUP(B7,Сезонность!$A4 у.е.:$D1 у.е.5,4,FALSE),0)=0),"",G7/(H7*IFERROR(VLOOKUP(B7,Сезонность!$A4 у.е.:$D1 у.е.5,4,FALSE),1)))</f>
        <v/>
      </c>
      <c r="L7" s="3">
        <f>IF(K7="","",IF(K7&lt;Настройки!$B1 у.е.1,"ниже тренда",IF(K7&gt;Настройки!$B1 у.е.2,"выше тренда","норма")))</f>
        <v/>
      </c>
      <c r="M7" s="3">
        <f>IF(L7="","",IF(L7="ниже тренда","возможное ослабление интереса",IF(L7="выше тренда","возможная фаза повышенного интереса","без выраженного отклонения")))</f>
        <v/>
      </c>
      <c r="N7" s="7">
        <f>IF(G7="","",COUNT($G5 у.е.:G7))</f>
        <v/>
      </c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>
        <f>IF(Ввод_данных!A8="","",Ввод_данных!A8)</f>
        <v/>
      </c>
      <c r="B8" s="3">
        <f>IF(A8="","",MONTH(A8))</f>
        <v/>
      </c>
      <c r="C8" s="3">
        <f>IF(A8="","",CHOOSE(MONTH(A8),"январь","февраль","март","апрель","май","июнь","июль","август","сентябрь","октябрь","ноябрь","декабрь"))</f>
        <v/>
      </c>
      <c r="D8" s="5">
        <f>IF(Ввод_данных!C8="","",Ввод_данных!C8)</f>
        <v/>
      </c>
      <c r="E8" s="5">
        <f>IF(Ввод_данных!D8="","",Ввод_данных!D8)</f>
        <v/>
      </c>
      <c r="F8" s="5">
        <f>IF(E8="","",IF(MAX($E5 у.е.:$E6 у.е.4)=0,"",E8/MAX($E5 у.е.:$E6 у.е.4)*100))</f>
        <v/>
      </c>
      <c r="G8" s="5">
        <f>IF(COUNT(D8,F8)=0,"",IF(COUNT(D8,F8)=2,D8*Настройки!$B4 у.е.+F8*Настройки!$B5 у.е.,IF(D8&lt;&gt;"",D8,F8)))</f>
        <v/>
      </c>
      <c r="H8" s="5">
        <f>IF(OR(G8="",COUNT($G5 у.е.:G8)&lt;12),"","")</f>
        <v/>
      </c>
      <c r="I8" s="5">
        <f>IF(OR(G8="",H8="",H8=0),"",G8/H8)</f>
        <v/>
      </c>
      <c r="J8" s="5">
        <f>IF(OR(G8="",IFERROR(VLOOKUP(B8,Сезонность!$A4 у.е.:$D1 у.е.5,4,FALSE),0)=0),"",G8/IFERROR(VLOOKUP(B8,Сезонность!$A4 у.е.:$D1 у.е.5,4,FALSE),1))</f>
        <v/>
      </c>
      <c r="K8" s="5">
        <f>IF(OR(G8="",H8="",H8=0,IFERROR(VLOOKUP(B8,Сезонность!$A4 у.е.:$D1 у.е.5,4,FALSE),0)=0),"",G8/(H8*IFERROR(VLOOKUP(B8,Сезонность!$A4 у.е.:$D1 у.е.5,4,FALSE),1)))</f>
        <v/>
      </c>
      <c r="L8" s="3">
        <f>IF(K8="","",IF(K8&lt;Настройки!$B1 у.е.1,"ниже тренда",IF(K8&gt;Настройки!$B1 у.е.2,"выше тренда","норма")))</f>
        <v/>
      </c>
      <c r="M8" s="3">
        <f>IF(L8="","",IF(L8="ниже тренда","возможное ослабление интереса",IF(L8="выше тренда","возможная фаза повышенного интереса","без выраженного отклонения")))</f>
        <v/>
      </c>
      <c r="N8" s="7">
        <f>IF(G8="","",COUNT($G5 у.е.:G8))</f>
        <v/>
      </c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>
        <f>IF(Ввод_данных!A9="","",Ввод_данных!A9)</f>
        <v/>
      </c>
      <c r="B9" s="3">
        <f>IF(A9="","",MONTH(A9))</f>
        <v/>
      </c>
      <c r="C9" s="3">
        <f>IF(A9="","",CHOOSE(MONTH(A9),"январь","февраль","март","апрель","май","июнь","июль","август","сентябрь","октябрь","ноябрь","декабрь"))</f>
        <v/>
      </c>
      <c r="D9" s="5">
        <f>IF(Ввод_данных!C9="","",Ввод_данных!C9)</f>
        <v/>
      </c>
      <c r="E9" s="5">
        <f>IF(Ввод_данных!D9="","",Ввод_данных!D9)</f>
        <v/>
      </c>
      <c r="F9" s="5">
        <f>IF(E9="","",IF(MAX($E5 у.е.:$E6 у.е.4)=0,"",E9/MAX($E5 у.е.:$E6 у.е.4)*100))</f>
        <v/>
      </c>
      <c r="G9" s="5">
        <f>IF(COUNT(D9,F9)=0,"",IF(COUNT(D9,F9)=2,D9*Настройки!$B4 у.е.+F9*Настройки!$B5 у.е.,IF(D9&lt;&gt;"",D9,F9)))</f>
        <v/>
      </c>
      <c r="H9" s="5">
        <f>IF(OR(G9="",COUNT($G5 у.е.:G9)&lt;12),"","")</f>
        <v/>
      </c>
      <c r="I9" s="5">
        <f>IF(OR(G9="",H9="",H9=0),"",G9/H9)</f>
        <v/>
      </c>
      <c r="J9" s="5">
        <f>IF(OR(G9="",IFERROR(VLOOKUP(B9,Сезонность!$A4 у.е.:$D1 у.е.5,4,FALSE),0)=0),"",G9/IFERROR(VLOOKUP(B9,Сезонность!$A4 у.е.:$D1 у.е.5,4,FALSE),1))</f>
        <v/>
      </c>
      <c r="K9" s="5">
        <f>IF(OR(G9="",H9="",H9=0,IFERROR(VLOOKUP(B9,Сезонность!$A4 у.е.:$D1 у.е.5,4,FALSE),0)=0),"",G9/(H9*IFERROR(VLOOKUP(B9,Сезонность!$A4 у.е.:$D1 у.е.5,4,FALSE),1)))</f>
        <v/>
      </c>
      <c r="L9" s="3">
        <f>IF(K9="","",IF(K9&lt;Настройки!$B1 у.е.1,"ниже тренда",IF(K9&gt;Настройки!$B1 у.е.2,"выше тренда","норма")))</f>
        <v/>
      </c>
      <c r="M9" s="3">
        <f>IF(L9="","",IF(L9="ниже тренда","возможное ослабление интереса",IF(L9="выше тренда","возможная фаза повышенного интереса","без выраженного отклонения")))</f>
        <v/>
      </c>
      <c r="N9" s="7">
        <f>IF(G9="","",COUNT($G5 у.е.:G9))</f>
        <v/>
      </c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>
        <f>IF(Ввод_данных!A10="","",Ввод_данных!A10)</f>
        <v/>
      </c>
      <c r="B10" s="3">
        <f>IF(A10="","",MONTH(A10))</f>
        <v/>
      </c>
      <c r="C10" s="3">
        <f>IF(A10="","",CHOOSE(MONTH(A10),"январь","февраль","март","апрель","май","июнь","июль","август","сентябрь","октябрь","ноябрь","декабрь"))</f>
        <v/>
      </c>
      <c r="D10" s="5">
        <f>IF(Ввод_данных!C10="","",Ввод_данных!C10)</f>
        <v/>
      </c>
      <c r="E10" s="5">
        <f>IF(Ввод_данных!D10="","",Ввод_данных!D10)</f>
        <v/>
      </c>
      <c r="F10" s="5">
        <f>IF(E10="","",IF(MAX($E5 у.е.:$E6 у.е.4)=0,"",E10/MAX($E5 у.е.:$E6 у.е.4)*100))</f>
        <v/>
      </c>
      <c r="G10" s="5">
        <f>IF(COUNT(D10,F10)=0,"",IF(COUNT(D10,F10)=2,D10*Настройки!$B4 у.е.+F10*Настройки!$B5 у.е.,IF(D10&lt;&gt;"",D10,F10)))</f>
        <v/>
      </c>
      <c r="H10" s="5">
        <f>IF(OR(G10="",COUNT($G5 у.е.:G10)&lt;12),"","")</f>
        <v/>
      </c>
      <c r="I10" s="5">
        <f>IF(OR(G10="",H10="",H10=0),"",G10/H10)</f>
        <v/>
      </c>
      <c r="J10" s="5">
        <f>IF(OR(G10="",IFERROR(VLOOKUP(B10,Сезонность!$A4 у.е.:$D1 у.е.5,4,FALSE),0)=0),"",G10/IFERROR(VLOOKUP(B10,Сезонность!$A4 у.е.:$D1 у.е.5,4,FALSE),1))</f>
        <v/>
      </c>
      <c r="K10" s="5">
        <f>IF(OR(G10="",H10="",H10=0,IFERROR(VLOOKUP(B10,Сезонность!$A4 у.е.:$D1 у.е.5,4,FALSE),0)=0),"",G10/(H10*IFERROR(VLOOKUP(B10,Сезонность!$A4 у.е.:$D1 у.е.5,4,FALSE),1)))</f>
        <v/>
      </c>
      <c r="L10" s="3">
        <f>IF(K10="","",IF(K10&lt;Настройки!$B1 у.е.1,"ниже тренда",IF(K10&gt;Настройки!$B1 у.е.2,"выше тренда","норма")))</f>
        <v/>
      </c>
      <c r="M10" s="3">
        <f>IF(L10="","",IF(L10="ниже тренда","возможное ослабление интереса",IF(L10="выше тренда","возможная фаза повышенного интереса","без выраженного отклонения")))</f>
        <v/>
      </c>
      <c r="N10" s="7">
        <f>IF(G10="","",COUNT($G5 у.е.:G10))</f>
        <v/>
      </c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>
        <f>IF(Ввод_данных!A11="","",Ввод_данных!A11)</f>
        <v/>
      </c>
      <c r="B11" s="3">
        <f>IF(A11="","",MONTH(A11))</f>
        <v/>
      </c>
      <c r="C11" s="3">
        <f>IF(A11="","",CHOOSE(MONTH(A11),"январь","февраль","март","апрель","май","июнь","июль","август","сентябрь","октябрь","ноябрь","декабрь"))</f>
        <v/>
      </c>
      <c r="D11" s="5">
        <f>IF(Ввод_данных!C11="","",Ввод_данных!C11)</f>
        <v/>
      </c>
      <c r="E11" s="5">
        <f>IF(Ввод_данных!D11="","",Ввод_данных!D11)</f>
        <v/>
      </c>
      <c r="F11" s="5">
        <f>IF(E11="","",IF(MAX($E5 у.е.:$E6 у.е.4)=0,"",E11/MAX($E5 у.е.:$E6 у.е.4)*100))</f>
        <v/>
      </c>
      <c r="G11" s="5">
        <f>IF(COUNT(D11,F11)=0,"",IF(COUNT(D11,F11)=2,D11*Настройки!$B4 у.е.+F11*Настройки!$B5 у.е.,IF(D11&lt;&gt;"",D11,F11)))</f>
        <v/>
      </c>
      <c r="H11" s="5">
        <f>IF(OR(G11="",COUNT($G5 у.е.:G11)&lt;12),"","")</f>
        <v/>
      </c>
      <c r="I11" s="5">
        <f>IF(OR(G11="",H11="",H11=0),"",G11/H11)</f>
        <v/>
      </c>
      <c r="J11" s="5">
        <f>IF(OR(G11="",IFERROR(VLOOKUP(B11,Сезонность!$A4 у.е.:$D1 у.е.5,4,FALSE),0)=0),"",G11/IFERROR(VLOOKUP(B11,Сезонность!$A4 у.е.:$D1 у.е.5,4,FALSE),1))</f>
        <v/>
      </c>
      <c r="K11" s="5">
        <f>IF(OR(G11="",H11="",H11=0,IFERROR(VLOOKUP(B11,Сезонность!$A4 у.е.:$D1 у.е.5,4,FALSE),0)=0),"",G11/(H11*IFERROR(VLOOKUP(B11,Сезонность!$A4 у.е.:$D1 у.е.5,4,FALSE),1)))</f>
        <v/>
      </c>
      <c r="L11" s="3">
        <f>IF(K11="","",IF(K11&lt;Настройки!$B1 у.е.1,"ниже тренда",IF(K11&gt;Настройки!$B1 у.е.2,"выше тренда","норма")))</f>
        <v/>
      </c>
      <c r="M11" s="3">
        <f>IF(L11="","",IF(L11="ниже тренда","возможное ослабление интереса",IF(L11="выше тренда","возможная фаза повышенного интереса","без выраженного отклонения")))</f>
        <v/>
      </c>
      <c r="N11" s="7">
        <f>IF(G11="","",COUNT($G5 у.е.:G11))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>
        <f>IF(Ввод_данных!A12="","",Ввод_данных!A12)</f>
        <v/>
      </c>
      <c r="B12" s="3">
        <f>IF(A12="","",MONTH(A12))</f>
        <v/>
      </c>
      <c r="C12" s="3">
        <f>IF(A12="","",CHOOSE(MONTH(A12),"январь","февраль","март","апрель","май","июнь","июль","август","сентябрь","октябрь","ноябрь","декабрь"))</f>
        <v/>
      </c>
      <c r="D12" s="5">
        <f>IF(Ввод_данных!C12="","",Ввод_данных!C12)</f>
        <v/>
      </c>
      <c r="E12" s="5">
        <f>IF(Ввод_данных!D12="","",Ввод_данных!D12)</f>
        <v/>
      </c>
      <c r="F12" s="5">
        <f>IF(E12="","",IF(MAX($E5 у.е.:$E6 у.е.4)=0,"",E12/MAX($E5 у.е.:$E6 у.е.4)*100))</f>
        <v/>
      </c>
      <c r="G12" s="5">
        <f>IF(COUNT(D12,F12)=0,"",IF(COUNT(D12,F12)=2,D12*Настройки!$B4 у.е.+F12*Настройки!$B5 у.е.,IF(D12&lt;&gt;"",D12,F12)))</f>
        <v/>
      </c>
      <c r="H12" s="5">
        <f>IF(OR(G12="",COUNT($G5 у.е.:G12)&lt;12),"","")</f>
        <v/>
      </c>
      <c r="I12" s="5">
        <f>IF(OR(G12="",H12="",H12=0),"",G12/H12)</f>
        <v/>
      </c>
      <c r="J12" s="5">
        <f>IF(OR(G12="",IFERROR(VLOOKUP(B12,Сезонность!$A4 у.е.:$D1 у.е.5,4,FALSE),0)=0),"",G12/IFERROR(VLOOKUP(B12,Сезонность!$A4 у.е.:$D1 у.е.5,4,FALSE),1))</f>
        <v/>
      </c>
      <c r="K12" s="5">
        <f>IF(OR(G12="",H12="",H12=0,IFERROR(VLOOKUP(B12,Сезонность!$A4 у.е.:$D1 у.е.5,4,FALSE),0)=0),"",G12/(H12*IFERROR(VLOOKUP(B12,Сезонность!$A4 у.е.:$D1 у.е.5,4,FALSE),1)))</f>
        <v/>
      </c>
      <c r="L12" s="3">
        <f>IF(K12="","",IF(K12&lt;Настройки!$B1 у.е.1,"ниже тренда",IF(K12&gt;Настройки!$B1 у.е.2,"выше тренда","норма")))</f>
        <v/>
      </c>
      <c r="M12" s="3">
        <f>IF(L12="","",IF(L12="ниже тренда","возможное ослабление интереса",IF(L12="выше тренда","возможная фаза повышенного интереса","без выраженного отклонения")))</f>
        <v/>
      </c>
      <c r="N12" s="7">
        <f>IF(G12="","",COUNT($G5 у.е.:G12))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>
        <f>IF(Ввод_данных!A13="","",Ввод_данных!A13)</f>
        <v/>
      </c>
      <c r="B13" s="3">
        <f>IF(A13="","",MONTH(A13))</f>
        <v/>
      </c>
      <c r="C13" s="3">
        <f>IF(A13="","",CHOOSE(MONTH(A13),"январь","февраль","март","апрель","май","июнь","июль","август","сентябрь","октябрь","ноябрь","декабрь"))</f>
        <v/>
      </c>
      <c r="D13" s="5">
        <f>IF(Ввод_данных!C13="","",Ввод_данных!C13)</f>
        <v/>
      </c>
      <c r="E13" s="5">
        <f>IF(Ввод_данных!D13="","",Ввод_данных!D13)</f>
        <v/>
      </c>
      <c r="F13" s="5">
        <f>IF(E13="","",IF(MAX($E5 у.е.:$E6 у.е.4)=0,"",E13/MAX($E5 у.е.:$E6 у.е.4)*100))</f>
        <v/>
      </c>
      <c r="G13" s="5">
        <f>IF(COUNT(D13,F13)=0,"",IF(COUNT(D13,F13)=2,D13*Настройки!$B4 у.е.+F13*Настройки!$B5 у.е.,IF(D13&lt;&gt;"",D13,F13)))</f>
        <v/>
      </c>
      <c r="H13" s="5">
        <f>IF(OR(G13="",COUNT($G5 у.е.:G13)&lt;12),"","")</f>
        <v/>
      </c>
      <c r="I13" s="5">
        <f>IF(OR(G13="",H13="",H13=0),"",G13/H13)</f>
        <v/>
      </c>
      <c r="J13" s="5">
        <f>IF(OR(G13="",IFERROR(VLOOKUP(B13,Сезонность!$A4 у.е.:$D1 у.е.5,4,FALSE),0)=0),"",G13/IFERROR(VLOOKUP(B13,Сезонность!$A4 у.е.:$D1 у.е.5,4,FALSE),1))</f>
        <v/>
      </c>
      <c r="K13" s="5">
        <f>IF(OR(G13="",H13="",H13=0,IFERROR(VLOOKUP(B13,Сезонность!$A4 у.е.:$D1 у.е.5,4,FALSE),0)=0),"",G13/(H13*IFERROR(VLOOKUP(B13,Сезонность!$A4 у.е.:$D1 у.е.5,4,FALSE),1)))</f>
        <v/>
      </c>
      <c r="L13" s="3">
        <f>IF(K13="","",IF(K13&lt;Настройки!$B1 у.е.1,"ниже тренда",IF(K13&gt;Настройки!$B1 у.е.2,"выше тренда","норма")))</f>
        <v/>
      </c>
      <c r="M13" s="3">
        <f>IF(L13="","",IF(L13="ниже тренда","возможное ослабление интереса",IF(L13="выше тренда","возможная фаза повышенного интереса","без выраженного отклонения")))</f>
        <v/>
      </c>
      <c r="N13" s="7">
        <f>IF(G13="","",COUNT($G5 у.е.:G13))</f>
        <v/>
      </c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>
        <f>IF(Ввод_данных!A14="","",Ввод_данных!A14)</f>
        <v/>
      </c>
      <c r="B14" s="3">
        <f>IF(A14="","",MONTH(A14))</f>
        <v/>
      </c>
      <c r="C14" s="3">
        <f>IF(A14="","",CHOOSE(MONTH(A14),"январь","февраль","март","апрель","май","июнь","июль","август","сентябрь","октябрь","ноябрь","декабрь"))</f>
        <v/>
      </c>
      <c r="D14" s="5">
        <f>IF(Ввод_данных!C14="","",Ввод_данных!C14)</f>
        <v/>
      </c>
      <c r="E14" s="5">
        <f>IF(Ввод_данных!D14="","",Ввод_данных!D14)</f>
        <v/>
      </c>
      <c r="F14" s="5">
        <f>IF(E14="","",IF(MAX($E5 у.е.:$E6 у.е.4)=0,"",E14/MAX($E5 у.е.:$E6 у.е.4)*100))</f>
        <v/>
      </c>
      <c r="G14" s="5">
        <f>IF(COUNT(D14,F14)=0,"",IF(COUNT(D14,F14)=2,D14*Настройки!$B4 у.е.+F14*Настройки!$B5 у.е.,IF(D14&lt;&gt;"",D14,F14)))</f>
        <v/>
      </c>
      <c r="H14" s="5">
        <f>IF(OR(G14="",COUNT($G5 у.е.:G14)&lt;12),"","")</f>
        <v/>
      </c>
      <c r="I14" s="5">
        <f>IF(OR(G14="",H14="",H14=0),"",G14/H14)</f>
        <v/>
      </c>
      <c r="J14" s="5">
        <f>IF(OR(G14="",IFERROR(VLOOKUP(B14,Сезонность!$A4 у.е.:$D1 у.е.5,4,FALSE),0)=0),"",G14/IFERROR(VLOOKUP(B14,Сезонность!$A4 у.е.:$D1 у.е.5,4,FALSE),1))</f>
        <v/>
      </c>
      <c r="K14" s="5">
        <f>IF(OR(G14="",H14="",H14=0,IFERROR(VLOOKUP(B14,Сезонность!$A4 у.е.:$D1 у.е.5,4,FALSE),0)=0),"",G14/(H14*IFERROR(VLOOKUP(B14,Сезонность!$A4 у.е.:$D1 у.е.5,4,FALSE),1)))</f>
        <v/>
      </c>
      <c r="L14" s="3">
        <f>IF(K14="","",IF(K14&lt;Настройки!$B1 у.е.1,"ниже тренда",IF(K14&gt;Настройки!$B1 у.е.2,"выше тренда","норма")))</f>
        <v/>
      </c>
      <c r="M14" s="3">
        <f>IF(L14="","",IF(L14="ниже тренда","возможное ослабление интереса",IF(L14="выше тренда","возможная фаза повышенного интереса","без выраженного отклонения")))</f>
        <v/>
      </c>
      <c r="N14" s="7">
        <f>IF(G14="","",COUNT($G5 у.е.:G14))</f>
        <v/>
      </c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>
        <f>IF(Ввод_данных!A15="","",Ввод_данных!A15)</f>
        <v/>
      </c>
      <c r="B15" s="3">
        <f>IF(A15="","",MONTH(A15))</f>
        <v/>
      </c>
      <c r="C15" s="3">
        <f>IF(A15="","",CHOOSE(MONTH(A15),"январь","февраль","март","апрель","май","июнь","июль","август","сентябрь","октябрь","ноябрь","декабрь"))</f>
        <v/>
      </c>
      <c r="D15" s="5">
        <f>IF(Ввод_данных!C15="","",Ввод_данных!C15)</f>
        <v/>
      </c>
      <c r="E15" s="5">
        <f>IF(Ввод_данных!D15="","",Ввод_данных!D15)</f>
        <v/>
      </c>
      <c r="F15" s="5">
        <f>IF(E15="","",IF(MAX($E5 у.е.:$E6 у.е.4)=0,"",E15/MAX($E5 у.е.:$E6 у.е.4)*100))</f>
        <v/>
      </c>
      <c r="G15" s="5">
        <f>IF(COUNT(D15,F15)=0,"",IF(COUNT(D15,F15)=2,D15*Настройки!$B4 у.е.+F15*Настройки!$B5 у.е.,IF(D15&lt;&gt;"",D15,F15)))</f>
        <v/>
      </c>
      <c r="H15" s="5">
        <f>IF(OR(G15="",COUNT($G5 у.е.:G15)&lt;12),"","")</f>
        <v/>
      </c>
      <c r="I15" s="5">
        <f>IF(OR(G15="",H15="",H15=0),"",G15/H15)</f>
        <v/>
      </c>
      <c r="J15" s="5">
        <f>IF(OR(G15="",IFERROR(VLOOKUP(B15,Сезонность!$A4 у.е.:$D1 у.е.5,4,FALSE),0)=0),"",G15/IFERROR(VLOOKUP(B15,Сезонность!$A4 у.е.:$D1 у.е.5,4,FALSE),1))</f>
        <v/>
      </c>
      <c r="K15" s="5">
        <f>IF(OR(G15="",H15="",H15=0,IFERROR(VLOOKUP(B15,Сезонность!$A4 у.е.:$D1 у.е.5,4,FALSE),0)=0),"",G15/(H15*IFERROR(VLOOKUP(B15,Сезонность!$A4 у.е.:$D1 у.е.5,4,FALSE),1)))</f>
        <v/>
      </c>
      <c r="L15" s="3">
        <f>IF(K15="","",IF(K15&lt;Настройки!$B1 у.е.1,"ниже тренда",IF(K15&gt;Настройки!$B1 у.е.2,"выше тренда","норма")))</f>
        <v/>
      </c>
      <c r="M15" s="3">
        <f>IF(L15="","",IF(L15="ниже тренда","возможное ослабление интереса",IF(L15="выше тренда","возможная фаза повышенного интереса","без выраженного отклонения")))</f>
        <v/>
      </c>
      <c r="N15" s="7">
        <f>IF(G15="","",COUNT($G5 у.е.:G15))</f>
        <v/>
      </c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>
        <f>IF(Ввод_данных!A16="","",Ввод_данных!A16)</f>
        <v/>
      </c>
      <c r="B16" s="3">
        <f>IF(A16="","",MONTH(A16))</f>
        <v/>
      </c>
      <c r="C16" s="3">
        <f>IF(A16="","",CHOOSE(MONTH(A16),"январь","февраль","март","апрель","май","июнь","июль","август","сентябрь","октябрь","ноябрь","декабрь"))</f>
        <v/>
      </c>
      <c r="D16" s="5">
        <f>IF(Ввод_данных!C16="","",Ввод_данных!C16)</f>
        <v/>
      </c>
      <c r="E16" s="5">
        <f>IF(Ввод_данных!D16="","",Ввод_данных!D16)</f>
        <v/>
      </c>
      <c r="F16" s="5">
        <f>IF(E16="","",IF(MAX($E5 у.е.:$E6 у.е.4)=0,"",E16/MAX($E5 у.е.:$E6 у.е.4)*100))</f>
        <v/>
      </c>
      <c r="G16" s="5">
        <f>IF(COUNT(D16,F16)=0,"",IF(COUNT(D16,F16)=2,D16*Настройки!$B4 у.е.+F16*Настройки!$B5 у.е.,IF(D16&lt;&gt;"",D16,F16)))</f>
        <v/>
      </c>
      <c r="H16" s="5">
        <f>IF(OR(G16="",COUNT($G5 у.е.:G16)&lt;12),"",AVERAGE(G5:G16))</f>
        <v/>
      </c>
      <c r="I16" s="5">
        <f>IF(OR(G16="",H16="",H16=0),"",G16/H16)</f>
        <v/>
      </c>
      <c r="J16" s="5">
        <f>IF(OR(G16="",IFERROR(VLOOKUP(B16,Сезонность!$A4 у.е.:$D1 у.е.5,4,FALSE),0)=0),"",G16/IFERROR(VLOOKUP(B16,Сезонность!$A4 у.е.:$D1 у.е.5,4,FALSE),1))</f>
        <v/>
      </c>
      <c r="K16" s="5">
        <f>IF(OR(G16="",H16="",H16=0,IFERROR(VLOOKUP(B16,Сезонность!$A4 у.е.:$D1 у.е.5,4,FALSE),0)=0),"",G16/(H16*IFERROR(VLOOKUP(B16,Сезонность!$A4 у.е.:$D1 у.е.5,4,FALSE),1)))</f>
        <v/>
      </c>
      <c r="L16" s="3">
        <f>IF(K16="","",IF(K16&lt;Настройки!$B1 у.е.1,"ниже тренда",IF(K16&gt;Настройки!$B1 у.е.2,"выше тренда","норма")))</f>
        <v/>
      </c>
      <c r="M16" s="3">
        <f>IF(L16="","",IF(L16="ниже тренда","возможное ослабление интереса",IF(L16="выше тренда","возможная фаза повышенного интереса","без выраженного отклонения")))</f>
        <v/>
      </c>
      <c r="N16" s="7">
        <f>IF(G16="","",COUNT($G5 у.е.:G16))</f>
        <v/>
      </c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>
        <f>IF(Ввод_данных!A17="","",Ввод_данных!A17)</f>
        <v/>
      </c>
      <c r="B17" s="3">
        <f>IF(A17="","",MONTH(A17))</f>
        <v/>
      </c>
      <c r="C17" s="3">
        <f>IF(A17="","",CHOOSE(MONTH(A17),"январь","февраль","март","апрель","май","июнь","июль","август","сентябрь","октябрь","ноябрь","декабрь"))</f>
        <v/>
      </c>
      <c r="D17" s="5">
        <f>IF(Ввод_данных!C17="","",Ввод_данных!C17)</f>
        <v/>
      </c>
      <c r="E17" s="5">
        <f>IF(Ввод_данных!D17="","",Ввод_данных!D17)</f>
        <v/>
      </c>
      <c r="F17" s="5">
        <f>IF(E17="","",IF(MAX($E5 у.е.:$E6 у.е.4)=0,"",E17/MAX($E5 у.е.:$E6 у.е.4)*100))</f>
        <v/>
      </c>
      <c r="G17" s="5">
        <f>IF(COUNT(D17,F17)=0,"",IF(COUNT(D17,F17)=2,D17*Настройки!$B4 у.е.+F17*Настройки!$B5 у.е.,IF(D17&lt;&gt;"",D17,F17)))</f>
        <v/>
      </c>
      <c r="H17" s="5">
        <f>IF(OR(G17="",COUNT($G5 у.е.:G17)&lt;12),"",AVERAGE(G6:G17))</f>
        <v/>
      </c>
      <c r="I17" s="5">
        <f>IF(OR(G17="",H17="",H17=0),"",G17/H17)</f>
        <v/>
      </c>
      <c r="J17" s="5">
        <f>IF(OR(G17="",IFERROR(VLOOKUP(B17,Сезонность!$A4 у.е.:$D1 у.е.5,4,FALSE),0)=0),"",G17/IFERROR(VLOOKUP(B17,Сезонность!$A4 у.е.:$D1 у.е.5,4,FALSE),1))</f>
        <v/>
      </c>
      <c r="K17" s="5">
        <f>IF(OR(G17="",H17="",H17=0,IFERROR(VLOOKUP(B17,Сезонность!$A4 у.е.:$D1 у.е.5,4,FALSE),0)=0),"",G17/(H17*IFERROR(VLOOKUP(B17,Сезонность!$A4 у.е.:$D1 у.е.5,4,FALSE),1)))</f>
        <v/>
      </c>
      <c r="L17" s="3">
        <f>IF(K17="","",IF(K17&lt;Настройки!$B1 у.е.1,"ниже тренда",IF(K17&gt;Настройки!$B1 у.е.2,"выше тренда","норма")))</f>
        <v/>
      </c>
      <c r="M17" s="3">
        <f>IF(L17="","",IF(L17="ниже тренда","возможное ослабление интереса",IF(L17="выше тренда","возможная фаза повышенного интереса","без выраженного отклонения")))</f>
        <v/>
      </c>
      <c r="N17" s="7">
        <f>IF(G17="","",COUNT($G5 у.е.:G17))</f>
        <v/>
      </c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>
        <f>IF(Ввод_данных!A18="","",Ввод_данных!A18)</f>
        <v/>
      </c>
      <c r="B18" s="3">
        <f>IF(A18="","",MONTH(A18))</f>
        <v/>
      </c>
      <c r="C18" s="3">
        <f>IF(A18="","",CHOOSE(MONTH(A18),"январь","февраль","март","апрель","май","июнь","июль","август","сентябрь","октябрь","ноябрь","декабрь"))</f>
        <v/>
      </c>
      <c r="D18" s="5">
        <f>IF(Ввод_данных!C18="","",Ввод_данных!C18)</f>
        <v/>
      </c>
      <c r="E18" s="5">
        <f>IF(Ввод_данных!D18="","",Ввод_данных!D18)</f>
        <v/>
      </c>
      <c r="F18" s="5">
        <f>IF(E18="","",IF(MAX($E5 у.е.:$E6 у.е.4)=0,"",E18/MAX($E5 у.е.:$E6 у.е.4)*100))</f>
        <v/>
      </c>
      <c r="G18" s="5">
        <f>IF(COUNT(D18,F18)=0,"",IF(COUNT(D18,F18)=2,D18*Настройки!$B4 у.е.+F18*Настройки!$B5 у.е.,IF(D18&lt;&gt;"",D18,F18)))</f>
        <v/>
      </c>
      <c r="H18" s="5">
        <f>IF(OR(G18="",COUNT($G5 у.е.:G18)&lt;12),"",AVERAGE(G7:G18))</f>
        <v/>
      </c>
      <c r="I18" s="5">
        <f>IF(OR(G18="",H18="",H18=0),"",G18/H18)</f>
        <v/>
      </c>
      <c r="J18" s="5">
        <f>IF(OR(G18="",IFERROR(VLOOKUP(B18,Сезонность!$A4 у.е.:$D1 у.е.5,4,FALSE),0)=0),"",G18/IFERROR(VLOOKUP(B18,Сезонность!$A4 у.е.:$D1 у.е.5,4,FALSE),1))</f>
        <v/>
      </c>
      <c r="K18" s="5">
        <f>IF(OR(G18="",H18="",H18=0,IFERROR(VLOOKUP(B18,Сезонность!$A4 у.е.:$D1 у.е.5,4,FALSE),0)=0),"",G18/(H18*IFERROR(VLOOKUP(B18,Сезонность!$A4 у.е.:$D1 у.е.5,4,FALSE),1)))</f>
        <v/>
      </c>
      <c r="L18" s="3">
        <f>IF(K18="","",IF(K18&lt;Настройки!$B1 у.е.1,"ниже тренда",IF(K18&gt;Настройки!$B1 у.е.2,"выше тренда","норма")))</f>
        <v/>
      </c>
      <c r="M18" s="3">
        <f>IF(L18="","",IF(L18="ниже тренда","возможное ослабление интереса",IF(L18="выше тренда","возможная фаза повышенного интереса","без выраженного отклонения")))</f>
        <v/>
      </c>
      <c r="N18" s="7">
        <f>IF(G18="","",COUNT($G5 у.е.:G18))</f>
        <v/>
      </c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>
        <f>IF(Ввод_данных!A19="","",Ввод_данных!A19)</f>
        <v/>
      </c>
      <c r="B19" s="3">
        <f>IF(A19="","",MONTH(A19))</f>
        <v/>
      </c>
      <c r="C19" s="3">
        <f>IF(A19="","",CHOOSE(MONTH(A19),"январь","февраль","март","апрель","май","июнь","июль","август","сентябрь","октябрь","ноябрь","декабрь"))</f>
        <v/>
      </c>
      <c r="D19" s="5">
        <f>IF(Ввод_данных!C19="","",Ввод_данных!C19)</f>
        <v/>
      </c>
      <c r="E19" s="5">
        <f>IF(Ввод_данных!D19="","",Ввод_данных!D19)</f>
        <v/>
      </c>
      <c r="F19" s="5">
        <f>IF(E19="","",IF(MAX($E5 у.е.:$E6 у.е.4)=0,"",E19/MAX($E5 у.е.:$E6 у.е.4)*100))</f>
        <v/>
      </c>
      <c r="G19" s="5">
        <f>IF(COUNT(D19,F19)=0,"",IF(COUNT(D19,F19)=2,D19*Настройки!$B4 у.е.+F19*Настройки!$B5 у.е.,IF(D19&lt;&gt;"",D19,F19)))</f>
        <v/>
      </c>
      <c r="H19" s="5">
        <f>IF(OR(G19="",COUNT($G5 у.е.:G19)&lt;12),"",AVERAGE(G8:G19))</f>
        <v/>
      </c>
      <c r="I19" s="5">
        <f>IF(OR(G19="",H19="",H19=0),"",G19/H19)</f>
        <v/>
      </c>
      <c r="J19" s="5">
        <f>IF(OR(G19="",IFERROR(VLOOKUP(B19,Сезонность!$A4 у.е.:$D1 у.е.5,4,FALSE),0)=0),"",G19/IFERROR(VLOOKUP(B19,Сезонность!$A4 у.е.:$D1 у.е.5,4,FALSE),1))</f>
        <v/>
      </c>
      <c r="K19" s="5">
        <f>IF(OR(G19="",H19="",H19=0,IFERROR(VLOOKUP(B19,Сезонность!$A4 у.е.:$D1 у.е.5,4,FALSE),0)=0),"",G19/(H19*IFERROR(VLOOKUP(B19,Сезонность!$A4 у.е.:$D1 у.е.5,4,FALSE),1)))</f>
        <v/>
      </c>
      <c r="L19" s="3">
        <f>IF(K19="","",IF(K19&lt;Настройки!$B1 у.е.1,"ниже тренда",IF(K19&gt;Настройки!$B1 у.е.2,"выше тренда","норма")))</f>
        <v/>
      </c>
      <c r="M19" s="3">
        <f>IF(L19="","",IF(L19="ниже тренда","возможное ослабление интереса",IF(L19="выше тренда","возможная фаза повышенного интереса","без выраженного отклонения")))</f>
        <v/>
      </c>
      <c r="N19" s="7">
        <f>IF(G19="","",COUNT($G5 у.е.:G19))</f>
        <v/>
      </c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>
        <f>IF(Ввод_данных!A20="","",Ввод_данных!A20)</f>
        <v/>
      </c>
      <c r="B20" s="3">
        <f>IF(A20="","",MONTH(A20))</f>
        <v/>
      </c>
      <c r="C20" s="3">
        <f>IF(A20="","",CHOOSE(MONTH(A20),"январь","февраль","март","апрель","май","июнь","июль","август","сентябрь","октябрь","ноябрь","декабрь"))</f>
        <v/>
      </c>
      <c r="D20" s="5">
        <f>IF(Ввод_данных!C20="","",Ввод_данных!C20)</f>
        <v/>
      </c>
      <c r="E20" s="5">
        <f>IF(Ввод_данных!D20="","",Ввод_данных!D20)</f>
        <v/>
      </c>
      <c r="F20" s="5">
        <f>IF(E20="","",IF(MAX($E5 у.е.:$E6 у.е.4)=0,"",E20/MAX($E5 у.е.:$E6 у.е.4)*100))</f>
        <v/>
      </c>
      <c r="G20" s="5">
        <f>IF(COUNT(D20,F20)=0,"",IF(COUNT(D20,F20)=2,D20*Настройки!$B4 у.е.+F20*Настройки!$B5 у.е.,IF(D20&lt;&gt;"",D20,F20)))</f>
        <v/>
      </c>
      <c r="H20" s="5">
        <f>IF(OR(G20="",COUNT($G5 у.е.:G20)&lt;12),"",AVERAGE(G9:G20))</f>
        <v/>
      </c>
      <c r="I20" s="5">
        <f>IF(OR(G20="",H20="",H20=0),"",G20/H20)</f>
        <v/>
      </c>
      <c r="J20" s="5">
        <f>IF(OR(G20="",IFERROR(VLOOKUP(B20,Сезонность!$A4 у.е.:$D1 у.е.5,4,FALSE),0)=0),"",G20/IFERROR(VLOOKUP(B20,Сезонность!$A4 у.е.:$D1 у.е.5,4,FALSE),1))</f>
        <v/>
      </c>
      <c r="K20" s="5">
        <f>IF(OR(G20="",H20="",H20=0,IFERROR(VLOOKUP(B20,Сезонность!$A4 у.е.:$D1 у.е.5,4,FALSE),0)=0),"",G20/(H20*IFERROR(VLOOKUP(B20,Сезонность!$A4 у.е.:$D1 у.е.5,4,FALSE),1)))</f>
        <v/>
      </c>
      <c r="L20" s="3">
        <f>IF(K20="","",IF(K20&lt;Настройки!$B1 у.е.1,"ниже тренда",IF(K20&gt;Настройки!$B1 у.е.2,"выше тренда","норма")))</f>
        <v/>
      </c>
      <c r="M20" s="3">
        <f>IF(L20="","",IF(L20="ниже тренда","возможное ослабление интереса",IF(L20="выше тренда","возможная фаза повышенного интереса","без выраженного отклонения")))</f>
        <v/>
      </c>
      <c r="N20" s="7">
        <f>IF(G20="","",COUNT($G5 у.е.:G20))</f>
        <v/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>
        <f>IF(Ввод_данных!A21="","",Ввод_данных!A21)</f>
        <v/>
      </c>
      <c r="B21" s="3">
        <f>IF(A21="","",MONTH(A21))</f>
        <v/>
      </c>
      <c r="C21" s="3">
        <f>IF(A21="","",CHOOSE(MONTH(A21),"январь","февраль","март","апрель","май","июнь","июль","август","сентябрь","октябрь","ноябрь","декабрь"))</f>
        <v/>
      </c>
      <c r="D21" s="5">
        <f>IF(Ввод_данных!C21="","",Ввод_данных!C21)</f>
        <v/>
      </c>
      <c r="E21" s="5">
        <f>IF(Ввод_данных!D21="","",Ввод_данных!D21)</f>
        <v/>
      </c>
      <c r="F21" s="5">
        <f>IF(E21="","",IF(MAX($E5 у.е.:$E6 у.е.4)=0,"",E21/MAX($E5 у.е.:$E6 у.е.4)*100))</f>
        <v/>
      </c>
      <c r="G21" s="5">
        <f>IF(COUNT(D21,F21)=0,"",IF(COUNT(D21,F21)=2,D21*Настройки!$B4 у.е.+F21*Настройки!$B5 у.е.,IF(D21&lt;&gt;"",D21,F21)))</f>
        <v/>
      </c>
      <c r="H21" s="5">
        <f>IF(OR(G21="",COUNT($G5 у.е.:G21)&lt;12),"",AVERAGE(G10:G21))</f>
        <v/>
      </c>
      <c r="I21" s="5">
        <f>IF(OR(G21="",H21="",H21=0),"",G21/H21)</f>
        <v/>
      </c>
      <c r="J21" s="5">
        <f>IF(OR(G21="",IFERROR(VLOOKUP(B21,Сезонность!$A4 у.е.:$D1 у.е.5,4,FALSE),0)=0),"",G21/IFERROR(VLOOKUP(B21,Сезонность!$A4 у.е.:$D1 у.е.5,4,FALSE),1))</f>
        <v/>
      </c>
      <c r="K21" s="5">
        <f>IF(OR(G21="",H21="",H21=0,IFERROR(VLOOKUP(B21,Сезонность!$A4 у.е.:$D1 у.е.5,4,FALSE),0)=0),"",G21/(H21*IFERROR(VLOOKUP(B21,Сезонность!$A4 у.е.:$D1 у.е.5,4,FALSE),1)))</f>
        <v/>
      </c>
      <c r="L21" s="3">
        <f>IF(K21="","",IF(K21&lt;Настройки!$B1 у.е.1,"ниже тренда",IF(K21&gt;Настройки!$B1 у.е.2,"выше тренда","норма")))</f>
        <v/>
      </c>
      <c r="M21" s="3">
        <f>IF(L21="","",IF(L21="ниже тренда","возможное ослабление интереса",IF(L21="выше тренда","возможная фаза повышенного интереса","без выраженного отклонения")))</f>
        <v/>
      </c>
      <c r="N21" s="7">
        <f>IF(G21="","",COUNT($G5 у.е.:G21))</f>
        <v/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>
        <f>IF(Ввод_данных!A22="","",Ввод_данных!A22)</f>
        <v/>
      </c>
      <c r="B22" s="3">
        <f>IF(A22="","",MONTH(A22))</f>
        <v/>
      </c>
      <c r="C22" s="3">
        <f>IF(A22="","",CHOOSE(MONTH(A22),"январь","февраль","март","апрель","май","июнь","июль","август","сентябрь","октябрь","ноябрь","декабрь"))</f>
        <v/>
      </c>
      <c r="D22" s="5">
        <f>IF(Ввод_данных!C22="","",Ввод_данных!C22)</f>
        <v/>
      </c>
      <c r="E22" s="5">
        <f>IF(Ввод_данных!D22="","",Ввод_данных!D22)</f>
        <v/>
      </c>
      <c r="F22" s="5">
        <f>IF(E22="","",IF(MAX($E5 у.е.:$E6 у.е.4)=0,"",E22/MAX($E5 у.е.:$E6 у.е.4)*100))</f>
        <v/>
      </c>
      <c r="G22" s="5">
        <f>IF(COUNT(D22,F22)=0,"",IF(COUNT(D22,F22)=2,D22*Настройки!$B4 у.е.+F22*Настройки!$B5 у.е.,IF(D22&lt;&gt;"",D22,F22)))</f>
        <v/>
      </c>
      <c r="H22" s="5">
        <f>IF(OR(G22="",COUNT($G5 у.е.:G22)&lt;12),"",AVERAGE(G11:G22))</f>
        <v/>
      </c>
      <c r="I22" s="5">
        <f>IF(OR(G22="",H22="",H22=0),"",G22/H22)</f>
        <v/>
      </c>
      <c r="J22" s="5">
        <f>IF(OR(G22="",IFERROR(VLOOKUP(B22,Сезонность!$A4 у.е.:$D1 у.е.5,4,FALSE),0)=0),"",G22/IFERROR(VLOOKUP(B22,Сезонность!$A4 у.е.:$D1 у.е.5,4,FALSE),1))</f>
        <v/>
      </c>
      <c r="K22" s="5">
        <f>IF(OR(G22="",H22="",H22=0,IFERROR(VLOOKUP(B22,Сезонность!$A4 у.е.:$D1 у.е.5,4,FALSE),0)=0),"",G22/(H22*IFERROR(VLOOKUP(B22,Сезонность!$A4 у.е.:$D1 у.е.5,4,FALSE),1)))</f>
        <v/>
      </c>
      <c r="L22" s="3">
        <f>IF(K22="","",IF(K22&lt;Настройки!$B1 у.е.1,"ниже тренда",IF(K22&gt;Настройки!$B1 у.е.2,"выше тренда","норма")))</f>
        <v/>
      </c>
      <c r="M22" s="3">
        <f>IF(L22="","",IF(L22="ниже тренда","возможное ослабление интереса",IF(L22="выше тренда","возможная фаза повышенного интереса","без выраженного отклонения")))</f>
        <v/>
      </c>
      <c r="N22" s="7">
        <f>IF(G22="","",COUNT($G5 у.е.:G22))</f>
        <v/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>
        <f>IF(Ввод_данных!A23="","",Ввод_данных!A23)</f>
        <v/>
      </c>
      <c r="B23" s="3">
        <f>IF(A23="","",MONTH(A23))</f>
        <v/>
      </c>
      <c r="C23" s="3">
        <f>IF(A23="","",CHOOSE(MONTH(A23),"январь","февраль","март","апрель","май","июнь","июль","август","сентябрь","октябрь","ноябрь","декабрь"))</f>
        <v/>
      </c>
      <c r="D23" s="5">
        <f>IF(Ввод_данных!C23="","",Ввод_данных!C23)</f>
        <v/>
      </c>
      <c r="E23" s="5">
        <f>IF(Ввод_данных!D23="","",Ввод_данных!D23)</f>
        <v/>
      </c>
      <c r="F23" s="5">
        <f>IF(E23="","",IF(MAX($E5 у.е.:$E6 у.е.4)=0,"",E23/MAX($E5 у.е.:$E6 у.е.4)*100))</f>
        <v/>
      </c>
      <c r="G23" s="5">
        <f>IF(COUNT(D23,F23)=0,"",IF(COUNT(D23,F23)=2,D23*Настройки!$B4 у.е.+F23*Настройки!$B5 у.е.,IF(D23&lt;&gt;"",D23,F23)))</f>
        <v/>
      </c>
      <c r="H23" s="5">
        <f>IF(OR(G23="",COUNT($G5 у.е.:G23)&lt;12),"",AVERAGE(G12:G23))</f>
        <v/>
      </c>
      <c r="I23" s="5">
        <f>IF(OR(G23="",H23="",H23=0),"",G23/H23)</f>
        <v/>
      </c>
      <c r="J23" s="5">
        <f>IF(OR(G23="",IFERROR(VLOOKUP(B23,Сезонность!$A4 у.е.:$D1 у.е.5,4,FALSE),0)=0),"",G23/IFERROR(VLOOKUP(B23,Сезонность!$A4 у.е.:$D1 у.е.5,4,FALSE),1))</f>
        <v/>
      </c>
      <c r="K23" s="5">
        <f>IF(OR(G23="",H23="",H23=0,IFERROR(VLOOKUP(B23,Сезонность!$A4 у.е.:$D1 у.е.5,4,FALSE),0)=0),"",G23/(H23*IFERROR(VLOOKUP(B23,Сезонность!$A4 у.е.:$D1 у.е.5,4,FALSE),1)))</f>
        <v/>
      </c>
      <c r="L23" s="3">
        <f>IF(K23="","",IF(K23&lt;Настройки!$B1 у.е.1,"ниже тренда",IF(K23&gt;Настройки!$B1 у.е.2,"выше тренда","норма")))</f>
        <v/>
      </c>
      <c r="M23" s="3">
        <f>IF(L23="","",IF(L23="ниже тренда","возможное ослабление интереса",IF(L23="выше тренда","возможная фаза повышенного интереса","без выраженного отклонения")))</f>
        <v/>
      </c>
      <c r="N23" s="7">
        <f>IF(G23="","",COUNT($G5 у.е.:G23))</f>
        <v/>
      </c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>
        <f>IF(Ввод_данных!A24="","",Ввод_данных!A24)</f>
        <v/>
      </c>
      <c r="B24" s="3">
        <f>IF(A24="","",MONTH(A24))</f>
        <v/>
      </c>
      <c r="C24" s="3">
        <f>IF(A24="","",CHOOSE(MONTH(A24),"январь","февраль","март","апрель","май","июнь","июль","август","сентябрь","октябрь","ноябрь","декабрь"))</f>
        <v/>
      </c>
      <c r="D24" s="5">
        <f>IF(Ввод_данных!C24="","",Ввод_данных!C24)</f>
        <v/>
      </c>
      <c r="E24" s="5">
        <f>IF(Ввод_данных!D24="","",Ввод_данных!D24)</f>
        <v/>
      </c>
      <c r="F24" s="5">
        <f>IF(E24="","",IF(MAX($E5 у.е.:$E6 у.е.4)=0,"",E24/MAX($E5 у.е.:$E6 у.е.4)*100))</f>
        <v/>
      </c>
      <c r="G24" s="5">
        <f>IF(COUNT(D24,F24)=0,"",IF(COUNT(D24,F24)=2,D24*Настройки!$B4 у.е.+F24*Настройки!$B5 у.е.,IF(D24&lt;&gt;"",D24,F24)))</f>
        <v/>
      </c>
      <c r="H24" s="5">
        <f>IF(OR(G24="",COUNT($G5 у.е.:G24)&lt;12),"",AVERAGE(G13:G24))</f>
        <v/>
      </c>
      <c r="I24" s="5">
        <f>IF(OR(G24="",H24="",H24=0),"",G24/H24)</f>
        <v/>
      </c>
      <c r="J24" s="5">
        <f>IF(OR(G24="",IFERROR(VLOOKUP(B24,Сезонность!$A4 у.е.:$D1 у.е.5,4,FALSE),0)=0),"",G24/IFERROR(VLOOKUP(B24,Сезонность!$A4 у.е.:$D1 у.е.5,4,FALSE),1))</f>
        <v/>
      </c>
      <c r="K24" s="5">
        <f>IF(OR(G24="",H24="",H24=0,IFERROR(VLOOKUP(B24,Сезонность!$A4 у.е.:$D1 у.е.5,4,FALSE),0)=0),"",G24/(H24*IFERROR(VLOOKUP(B24,Сезонность!$A4 у.е.:$D1 у.е.5,4,FALSE),1)))</f>
        <v/>
      </c>
      <c r="L24" s="3">
        <f>IF(K24="","",IF(K24&lt;Настройки!$B1 у.е.1,"ниже тренда",IF(K24&gt;Настройки!$B1 у.е.2,"выше тренда","норма")))</f>
        <v/>
      </c>
      <c r="M24" s="3">
        <f>IF(L24="","",IF(L24="ниже тренда","возможное ослабление интереса",IF(L24="выше тренда","возможная фаза повышенного интереса","без выраженного отклонения")))</f>
        <v/>
      </c>
      <c r="N24" s="7">
        <f>IF(G24="","",COUNT($G5 у.е.:G24))</f>
        <v/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>
        <f>IF(Ввод_данных!A25="","",Ввод_данных!A25)</f>
        <v/>
      </c>
      <c r="B25" s="3">
        <f>IF(A25="","",MONTH(A25))</f>
        <v/>
      </c>
      <c r="C25" s="3">
        <f>IF(A25="","",CHOOSE(MONTH(A25),"январь","февраль","март","апрель","май","июнь","июль","август","сентябрь","октябрь","ноябрь","декабрь"))</f>
        <v/>
      </c>
      <c r="D25" s="5">
        <f>IF(Ввод_данных!C25="","",Ввод_данных!C25)</f>
        <v/>
      </c>
      <c r="E25" s="5">
        <f>IF(Ввод_данных!D25="","",Ввод_данных!D25)</f>
        <v/>
      </c>
      <c r="F25" s="5">
        <f>IF(E25="","",IF(MAX($E5 у.е.:$E6 у.е.4)=0,"",E25/MAX($E5 у.е.:$E6 у.е.4)*100))</f>
        <v/>
      </c>
      <c r="G25" s="5">
        <f>IF(COUNT(D25,F25)=0,"",IF(COUNT(D25,F25)=2,D25*Настройки!$B4 у.е.+F25*Настройки!$B5 у.е.,IF(D25&lt;&gt;"",D25,F25)))</f>
        <v/>
      </c>
      <c r="H25" s="5">
        <f>IF(OR(G25="",COUNT($G5 у.е.:G25)&lt;12),"",AVERAGE(G14:G25))</f>
        <v/>
      </c>
      <c r="I25" s="5">
        <f>IF(OR(G25="",H25="",H25=0),"",G25/H25)</f>
        <v/>
      </c>
      <c r="J25" s="5">
        <f>IF(OR(G25="",IFERROR(VLOOKUP(B25,Сезонность!$A4 у.е.:$D1 у.е.5,4,FALSE),0)=0),"",G25/IFERROR(VLOOKUP(B25,Сезонность!$A4 у.е.:$D1 у.е.5,4,FALSE),1))</f>
        <v/>
      </c>
      <c r="K25" s="5">
        <f>IF(OR(G25="",H25="",H25=0,IFERROR(VLOOKUP(B25,Сезонность!$A4 у.е.:$D1 у.е.5,4,FALSE),0)=0),"",G25/(H25*IFERROR(VLOOKUP(B25,Сезонность!$A4 у.е.:$D1 у.е.5,4,FALSE),1)))</f>
        <v/>
      </c>
      <c r="L25" s="3">
        <f>IF(K25="","",IF(K25&lt;Настройки!$B1 у.е.1,"ниже тренда",IF(K25&gt;Настройки!$B1 у.е.2,"выше тренда","норма")))</f>
        <v/>
      </c>
      <c r="M25" s="3">
        <f>IF(L25="","",IF(L25="ниже тренда","возможное ослабление интереса",IF(L25="выше тренда","возможная фаза повышенного интереса","без выраженного отклонения")))</f>
        <v/>
      </c>
      <c r="N25" s="7">
        <f>IF(G25="","",COUNT($G5 у.е.:G25))</f>
        <v/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>
        <f>IF(Ввод_данных!A26="","",Ввод_данных!A26)</f>
        <v/>
      </c>
      <c r="B26" s="3">
        <f>IF(A26="","",MONTH(A26))</f>
        <v/>
      </c>
      <c r="C26" s="3">
        <f>IF(A26="","",CHOOSE(MONTH(A26),"январь","февраль","март","апрель","май","июнь","июль","август","сентябрь","октябрь","ноябрь","декабрь"))</f>
        <v/>
      </c>
      <c r="D26" s="5">
        <f>IF(Ввод_данных!C26="","",Ввод_данных!C26)</f>
        <v/>
      </c>
      <c r="E26" s="5">
        <f>IF(Ввод_данных!D26="","",Ввод_данных!D26)</f>
        <v/>
      </c>
      <c r="F26" s="5">
        <f>IF(E26="","",IF(MAX($E5 у.е.:$E6 у.е.4)=0,"",E26/MAX($E5 у.е.:$E6 у.е.4)*100))</f>
        <v/>
      </c>
      <c r="G26" s="5">
        <f>IF(COUNT(D26,F26)=0,"",IF(COUNT(D26,F26)=2,D26*Настройки!$B4 у.е.+F26*Настройки!$B5 у.е.,IF(D26&lt;&gt;"",D26,F26)))</f>
        <v/>
      </c>
      <c r="H26" s="5">
        <f>IF(OR(G26="",COUNT($G5 у.е.:G26)&lt;12),"",AVERAGE(G15:G26))</f>
        <v/>
      </c>
      <c r="I26" s="5">
        <f>IF(OR(G26="",H26="",H26=0),"",G26/H26)</f>
        <v/>
      </c>
      <c r="J26" s="5">
        <f>IF(OR(G26="",IFERROR(VLOOKUP(B26,Сезонность!$A4 у.е.:$D1 у.е.5,4,FALSE),0)=0),"",G26/IFERROR(VLOOKUP(B26,Сезонность!$A4 у.е.:$D1 у.е.5,4,FALSE),1))</f>
        <v/>
      </c>
      <c r="K26" s="5">
        <f>IF(OR(G26="",H26="",H26=0,IFERROR(VLOOKUP(B26,Сезонность!$A4 у.е.:$D1 у.е.5,4,FALSE),0)=0),"",G26/(H26*IFERROR(VLOOKUP(B26,Сезонность!$A4 у.е.:$D1 у.е.5,4,FALSE),1)))</f>
        <v/>
      </c>
      <c r="L26" s="3">
        <f>IF(K26="","",IF(K26&lt;Настройки!$B1 у.е.1,"ниже тренда",IF(K26&gt;Настройки!$B1 у.е.2,"выше тренда","норма")))</f>
        <v/>
      </c>
      <c r="M26" s="3">
        <f>IF(L26="","",IF(L26="ниже тренда","возможное ослабление интереса",IF(L26="выше тренда","возможная фаза повышенного интереса","без выраженного отклонения")))</f>
        <v/>
      </c>
      <c r="N26" s="7">
        <f>IF(G26="","",COUNT($G5 у.е.:G26))</f>
        <v/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>
        <f>IF(Ввод_данных!A27="","",Ввод_данных!A27)</f>
        <v/>
      </c>
      <c r="B27" s="3">
        <f>IF(A27="","",MONTH(A27))</f>
        <v/>
      </c>
      <c r="C27" s="3">
        <f>IF(A27="","",CHOOSE(MONTH(A27),"январь","февраль","март","апрель","май","июнь","июль","август","сентябрь","октябрь","ноябрь","декабрь"))</f>
        <v/>
      </c>
      <c r="D27" s="5">
        <f>IF(Ввод_данных!C27="","",Ввод_данных!C27)</f>
        <v/>
      </c>
      <c r="E27" s="5">
        <f>IF(Ввод_данных!D27="","",Ввод_данных!D27)</f>
        <v/>
      </c>
      <c r="F27" s="5">
        <f>IF(E27="","",IF(MAX($E5 у.е.:$E6 у.е.4)=0,"",E27/MAX($E5 у.е.:$E6 у.е.4)*100))</f>
        <v/>
      </c>
      <c r="G27" s="5">
        <f>IF(COUNT(D27,F27)=0,"",IF(COUNT(D27,F27)=2,D27*Настройки!$B4 у.е.+F27*Настройки!$B5 у.е.,IF(D27&lt;&gt;"",D27,F27)))</f>
        <v/>
      </c>
      <c r="H27" s="5">
        <f>IF(OR(G27="",COUNT($G5 у.е.:G27)&lt;12),"",AVERAGE(G16:G27))</f>
        <v/>
      </c>
      <c r="I27" s="5">
        <f>IF(OR(G27="",H27="",H27=0),"",G27/H27)</f>
        <v/>
      </c>
      <c r="J27" s="5">
        <f>IF(OR(G27="",IFERROR(VLOOKUP(B27,Сезонность!$A4 у.е.:$D1 у.е.5,4,FALSE),0)=0),"",G27/IFERROR(VLOOKUP(B27,Сезонность!$A4 у.е.:$D1 у.е.5,4,FALSE),1))</f>
        <v/>
      </c>
      <c r="K27" s="5">
        <f>IF(OR(G27="",H27="",H27=0,IFERROR(VLOOKUP(B27,Сезонность!$A4 у.е.:$D1 у.е.5,4,FALSE),0)=0),"",G27/(H27*IFERROR(VLOOKUP(B27,Сезонность!$A4 у.е.:$D1 у.е.5,4,FALSE),1)))</f>
        <v/>
      </c>
      <c r="L27" s="3">
        <f>IF(K27="","",IF(K27&lt;Настройки!$B1 у.е.1,"ниже тренда",IF(K27&gt;Настройки!$B1 у.е.2,"выше тренда","норма")))</f>
        <v/>
      </c>
      <c r="M27" s="3">
        <f>IF(L27="","",IF(L27="ниже тренда","возможное ослабление интереса",IF(L27="выше тренда","возможная фаза повышенного интереса","без выраженного отклонения")))</f>
        <v/>
      </c>
      <c r="N27" s="7">
        <f>IF(G27="","",COUNT($G5 у.е.:G27))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>
        <f>IF(Ввод_данных!A28="","",Ввод_данных!A28)</f>
        <v/>
      </c>
      <c r="B28" s="3">
        <f>IF(A28="","",MONTH(A28))</f>
        <v/>
      </c>
      <c r="C28" s="3">
        <f>IF(A28="","",CHOOSE(MONTH(A28),"январь","февраль","март","апрель","май","июнь","июль","август","сентябрь","октябрь","ноябрь","декабрь"))</f>
        <v/>
      </c>
      <c r="D28" s="5">
        <f>IF(Ввод_данных!C28="","",Ввод_данных!C28)</f>
        <v/>
      </c>
      <c r="E28" s="5">
        <f>IF(Ввод_данных!D28="","",Ввод_данных!D28)</f>
        <v/>
      </c>
      <c r="F28" s="5">
        <f>IF(E28="","",IF(MAX($E5 у.е.:$E6 у.е.4)=0,"",E28/MAX($E5 у.е.:$E6 у.е.4)*100))</f>
        <v/>
      </c>
      <c r="G28" s="5">
        <f>IF(COUNT(D28,F28)=0,"",IF(COUNT(D28,F28)=2,D28*Настройки!$B4 у.е.+F28*Настройки!$B5 у.е.,IF(D28&lt;&gt;"",D28,F28)))</f>
        <v/>
      </c>
      <c r="H28" s="5">
        <f>IF(OR(G28="",COUNT($G5 у.е.:G28)&lt;12),"",AVERAGE(G17:G28))</f>
        <v/>
      </c>
      <c r="I28" s="5">
        <f>IF(OR(G28="",H28="",H28=0),"",G28/H28)</f>
        <v/>
      </c>
      <c r="J28" s="5">
        <f>IF(OR(G28="",IFERROR(VLOOKUP(B28,Сезонность!$A4 у.е.:$D1 у.е.5,4,FALSE),0)=0),"",G28/IFERROR(VLOOKUP(B28,Сезонность!$A4 у.е.:$D1 у.е.5,4,FALSE),1))</f>
        <v/>
      </c>
      <c r="K28" s="5">
        <f>IF(OR(G28="",H28="",H28=0,IFERROR(VLOOKUP(B28,Сезонность!$A4 у.е.:$D1 у.е.5,4,FALSE),0)=0),"",G28/(H28*IFERROR(VLOOKUP(B28,Сезонность!$A4 у.е.:$D1 у.е.5,4,FALSE),1)))</f>
        <v/>
      </c>
      <c r="L28" s="3">
        <f>IF(K28="","",IF(K28&lt;Настройки!$B1 у.е.1,"ниже тренда",IF(K28&gt;Настройки!$B1 у.е.2,"выше тренда","норма")))</f>
        <v/>
      </c>
      <c r="M28" s="3">
        <f>IF(L28="","",IF(L28="ниже тренда","возможное ослабление интереса",IF(L28="выше тренда","возможная фаза повышенного интереса","без выраженного отклонения")))</f>
        <v/>
      </c>
      <c r="N28" s="7">
        <f>IF(G28="","",COUNT($G5 у.е.:G28))</f>
        <v/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>
        <f>IF(Ввод_данных!A29="","",Ввод_данных!A29)</f>
        <v/>
      </c>
      <c r="B29" s="3">
        <f>IF(A29="","",MONTH(A29))</f>
        <v/>
      </c>
      <c r="C29" s="3">
        <f>IF(A29="","",CHOOSE(MONTH(A29),"январь","февраль","март","апрель","май","июнь","июль","август","сентябрь","октябрь","ноябрь","декабрь"))</f>
        <v/>
      </c>
      <c r="D29" s="5">
        <f>IF(Ввод_данных!C29="","",Ввод_данных!C29)</f>
        <v/>
      </c>
      <c r="E29" s="5">
        <f>IF(Ввод_данных!D29="","",Ввод_данных!D29)</f>
        <v/>
      </c>
      <c r="F29" s="5">
        <f>IF(E29="","",IF(MAX($E5 у.е.:$E6 у.е.4)=0,"",E29/MAX($E5 у.е.:$E6 у.е.4)*100))</f>
        <v/>
      </c>
      <c r="G29" s="5">
        <f>IF(COUNT(D29,F29)=0,"",IF(COUNT(D29,F29)=2,D29*Настройки!$B4 у.е.+F29*Настройки!$B5 у.е.,IF(D29&lt;&gt;"",D29,F29)))</f>
        <v/>
      </c>
      <c r="H29" s="5">
        <f>IF(OR(G29="",COUNT($G5 у.е.:G29)&lt;12),"",AVERAGE(G18:G29))</f>
        <v/>
      </c>
      <c r="I29" s="5">
        <f>IF(OR(G29="",H29="",H29=0),"",G29/H29)</f>
        <v/>
      </c>
      <c r="J29" s="5">
        <f>IF(OR(G29="",IFERROR(VLOOKUP(B29,Сезонность!$A4 у.е.:$D1 у.е.5,4,FALSE),0)=0),"",G29/IFERROR(VLOOKUP(B29,Сезонность!$A4 у.е.:$D1 у.е.5,4,FALSE),1))</f>
        <v/>
      </c>
      <c r="K29" s="5">
        <f>IF(OR(G29="",H29="",H29=0,IFERROR(VLOOKUP(B29,Сезонность!$A4 у.е.:$D1 у.е.5,4,FALSE),0)=0),"",G29/(H29*IFERROR(VLOOKUP(B29,Сезонность!$A4 у.е.:$D1 у.е.5,4,FALSE),1)))</f>
        <v/>
      </c>
      <c r="L29" s="3">
        <f>IF(K29="","",IF(K29&lt;Настройки!$B1 у.е.1,"ниже тренда",IF(K29&gt;Настройки!$B1 у.е.2,"выше тренда","норма")))</f>
        <v/>
      </c>
      <c r="M29" s="3">
        <f>IF(L29="","",IF(L29="ниже тренда","возможное ослабление интереса",IF(L29="выше тренда","возможная фаза повышенного интереса","без выраженного отклонения")))</f>
        <v/>
      </c>
      <c r="N29" s="7">
        <f>IF(G29="","",COUNT($G5 у.е.:G29))</f>
        <v/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>
        <f>IF(Ввод_данных!A30="","",Ввод_данных!A30)</f>
        <v/>
      </c>
      <c r="B30" s="3">
        <f>IF(A30="","",MONTH(A30))</f>
        <v/>
      </c>
      <c r="C30" s="3">
        <f>IF(A30="","",CHOOSE(MONTH(A30),"январь","февраль","март","апрель","май","июнь","июль","август","сентябрь","октябрь","ноябрь","декабрь"))</f>
        <v/>
      </c>
      <c r="D30" s="5">
        <f>IF(Ввод_данных!C30="","",Ввод_данных!C30)</f>
        <v/>
      </c>
      <c r="E30" s="5">
        <f>IF(Ввод_данных!D30="","",Ввод_данных!D30)</f>
        <v/>
      </c>
      <c r="F30" s="5">
        <f>IF(E30="","",IF(MAX($E5 у.е.:$E6 у.е.4)=0,"",E30/MAX($E5 у.е.:$E6 у.е.4)*100))</f>
        <v/>
      </c>
      <c r="G30" s="5">
        <f>IF(COUNT(D30,F30)=0,"",IF(COUNT(D30,F30)=2,D30*Настройки!$B4 у.е.+F30*Настройки!$B5 у.е.,IF(D30&lt;&gt;"",D30,F30)))</f>
        <v/>
      </c>
      <c r="H30" s="5">
        <f>IF(OR(G30="",COUNT($G5 у.е.:G30)&lt;12),"",AVERAGE(G19:G30))</f>
        <v/>
      </c>
      <c r="I30" s="5">
        <f>IF(OR(G30="",H30="",H30=0),"",G30/H30)</f>
        <v/>
      </c>
      <c r="J30" s="5">
        <f>IF(OR(G30="",IFERROR(VLOOKUP(B30,Сезонность!$A4 у.е.:$D1 у.е.5,4,FALSE),0)=0),"",G30/IFERROR(VLOOKUP(B30,Сезонность!$A4 у.е.:$D1 у.е.5,4,FALSE),1))</f>
        <v/>
      </c>
      <c r="K30" s="5">
        <f>IF(OR(G30="",H30="",H30=0,IFERROR(VLOOKUP(B30,Сезонность!$A4 у.е.:$D1 у.е.5,4,FALSE),0)=0),"",G30/(H30*IFERROR(VLOOKUP(B30,Сезонность!$A4 у.е.:$D1 у.е.5,4,FALSE),1)))</f>
        <v/>
      </c>
      <c r="L30" s="3">
        <f>IF(K30="","",IF(K30&lt;Настройки!$B1 у.е.1,"ниже тренда",IF(K30&gt;Настройки!$B1 у.е.2,"выше тренда","норма")))</f>
        <v/>
      </c>
      <c r="M30" s="3">
        <f>IF(L30="","",IF(L30="ниже тренда","возможное ослабление интереса",IF(L30="выше тренда","возможная фаза повышенного интереса","без выраженного отклонения")))</f>
        <v/>
      </c>
      <c r="N30" s="7">
        <f>IF(G30="","",COUNT($G5 у.е.:G30))</f>
        <v/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>
        <f>IF(Ввод_данных!A31="","",Ввод_данных!A31)</f>
        <v/>
      </c>
      <c r="B31" s="3">
        <f>IF(A31="","",MONTH(A31))</f>
        <v/>
      </c>
      <c r="C31" s="3">
        <f>IF(A31="","",CHOOSE(MONTH(A31),"январь","февраль","март","апрель","май","июнь","июль","август","сентябрь","октябрь","ноябрь","декабрь"))</f>
        <v/>
      </c>
      <c r="D31" s="5">
        <f>IF(Ввод_данных!C31="","",Ввод_данных!C31)</f>
        <v/>
      </c>
      <c r="E31" s="5">
        <f>IF(Ввод_данных!D31="","",Ввод_данных!D31)</f>
        <v/>
      </c>
      <c r="F31" s="5">
        <f>IF(E31="","",IF(MAX($E5 у.е.:$E6 у.е.4)=0,"",E31/MAX($E5 у.е.:$E6 у.е.4)*100))</f>
        <v/>
      </c>
      <c r="G31" s="5">
        <f>IF(COUNT(D31,F31)=0,"",IF(COUNT(D31,F31)=2,D31*Настройки!$B4 у.е.+F31*Настройки!$B5 у.е.,IF(D31&lt;&gt;"",D31,F31)))</f>
        <v/>
      </c>
      <c r="H31" s="5">
        <f>IF(OR(G31="",COUNT($G5 у.е.:G31)&lt;12),"",AVERAGE(G20:G31))</f>
        <v/>
      </c>
      <c r="I31" s="5">
        <f>IF(OR(G31="",H31="",H31=0),"",G31/H31)</f>
        <v/>
      </c>
      <c r="J31" s="5">
        <f>IF(OR(G31="",IFERROR(VLOOKUP(B31,Сезонность!$A4 у.е.:$D1 у.е.5,4,FALSE),0)=0),"",G31/IFERROR(VLOOKUP(B31,Сезонность!$A4 у.е.:$D1 у.е.5,4,FALSE),1))</f>
        <v/>
      </c>
      <c r="K31" s="5">
        <f>IF(OR(G31="",H31="",H31=0,IFERROR(VLOOKUP(B31,Сезонность!$A4 у.е.:$D1 у.е.5,4,FALSE),0)=0),"",G31/(H31*IFERROR(VLOOKUP(B31,Сезонность!$A4 у.е.:$D1 у.е.5,4,FALSE),1)))</f>
        <v/>
      </c>
      <c r="L31" s="3">
        <f>IF(K31="","",IF(K31&lt;Настройки!$B1 у.е.1,"ниже тренда",IF(K31&gt;Настройки!$B1 у.е.2,"выше тренда","норма")))</f>
        <v/>
      </c>
      <c r="M31" s="3">
        <f>IF(L31="","",IF(L31="ниже тренда","возможное ослабление интереса",IF(L31="выше тренда","возможная фаза повышенного интереса","без выраженного отклонения")))</f>
        <v/>
      </c>
      <c r="N31" s="7">
        <f>IF(G31="","",COUNT($G5 у.е.:G31))</f>
        <v/>
      </c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>
        <f>IF(Ввод_данных!A32="","",Ввод_данных!A32)</f>
        <v/>
      </c>
      <c r="B32" s="3">
        <f>IF(A32="","",MONTH(A32))</f>
        <v/>
      </c>
      <c r="C32" s="3">
        <f>IF(A32="","",CHOOSE(MONTH(A32),"январь","февраль","март","апрель","май","июнь","июль","август","сентябрь","октябрь","ноябрь","декабрь"))</f>
        <v/>
      </c>
      <c r="D32" s="5">
        <f>IF(Ввод_данных!C32="","",Ввод_данных!C32)</f>
        <v/>
      </c>
      <c r="E32" s="5">
        <f>IF(Ввод_данных!D32="","",Ввод_данных!D32)</f>
        <v/>
      </c>
      <c r="F32" s="5">
        <f>IF(E32="","",IF(MAX($E5 у.е.:$E6 у.е.4)=0,"",E32/MAX($E5 у.е.:$E6 у.е.4)*100))</f>
        <v/>
      </c>
      <c r="G32" s="5">
        <f>IF(COUNT(D32,F32)=0,"",IF(COUNT(D32,F32)=2,D32*Настройки!$B4 у.е.+F32*Настройки!$B5 у.е.,IF(D32&lt;&gt;"",D32,F32)))</f>
        <v/>
      </c>
      <c r="H32" s="5">
        <f>IF(OR(G32="",COUNT($G5 у.е.:G32)&lt;12),"",AVERAGE(G21:G32))</f>
        <v/>
      </c>
      <c r="I32" s="5">
        <f>IF(OR(G32="",H32="",H32=0),"",G32/H32)</f>
        <v/>
      </c>
      <c r="J32" s="5">
        <f>IF(OR(G32="",IFERROR(VLOOKUP(B32,Сезонность!$A4 у.е.:$D1 у.е.5,4,FALSE),0)=0),"",G32/IFERROR(VLOOKUP(B32,Сезонность!$A4 у.е.:$D1 у.е.5,4,FALSE),1))</f>
        <v/>
      </c>
      <c r="K32" s="5">
        <f>IF(OR(G32="",H32="",H32=0,IFERROR(VLOOKUP(B32,Сезонность!$A4 у.е.:$D1 у.е.5,4,FALSE),0)=0),"",G32/(H32*IFERROR(VLOOKUP(B32,Сезонность!$A4 у.е.:$D1 у.е.5,4,FALSE),1)))</f>
        <v/>
      </c>
      <c r="L32" s="3">
        <f>IF(K32="","",IF(K32&lt;Настройки!$B1 у.е.1,"ниже тренда",IF(K32&gt;Настройки!$B1 у.е.2,"выше тренда","норма")))</f>
        <v/>
      </c>
      <c r="M32" s="3">
        <f>IF(L32="","",IF(L32="ниже тренда","возможное ослабление интереса",IF(L32="выше тренда","возможная фаза повышенного интереса","без выраженного отклонения")))</f>
        <v/>
      </c>
      <c r="N32" s="7">
        <f>IF(G32="","",COUNT($G5 у.е.:G32))</f>
        <v/>
      </c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>
        <f>IF(Ввод_данных!A33="","",Ввод_данных!A33)</f>
        <v/>
      </c>
      <c r="B33" s="3">
        <f>IF(A33="","",MONTH(A33))</f>
        <v/>
      </c>
      <c r="C33" s="3">
        <f>IF(A33="","",CHOOSE(MONTH(A33),"январь","февраль","март","апрель","май","июнь","июль","август","сентябрь","октябрь","ноябрь","декабрь"))</f>
        <v/>
      </c>
      <c r="D33" s="5">
        <f>IF(Ввод_данных!C33="","",Ввод_данных!C33)</f>
        <v/>
      </c>
      <c r="E33" s="5">
        <f>IF(Ввод_данных!D33="","",Ввод_данных!D33)</f>
        <v/>
      </c>
      <c r="F33" s="5">
        <f>IF(E33="","",IF(MAX($E5 у.е.:$E6 у.е.4)=0,"",E33/MAX($E5 у.е.:$E6 у.е.4)*100))</f>
        <v/>
      </c>
      <c r="G33" s="5">
        <f>IF(COUNT(D33,F33)=0,"",IF(COUNT(D33,F33)=2,D33*Настройки!$B4 у.е.+F33*Настройки!$B5 у.е.,IF(D33&lt;&gt;"",D33,F33)))</f>
        <v/>
      </c>
      <c r="H33" s="5">
        <f>IF(OR(G33="",COUNT($G5 у.е.:G33)&lt;12),"",AVERAGE(G22:G33))</f>
        <v/>
      </c>
      <c r="I33" s="5">
        <f>IF(OR(G33="",H33="",H33=0),"",G33/H33)</f>
        <v/>
      </c>
      <c r="J33" s="5">
        <f>IF(OR(G33="",IFERROR(VLOOKUP(B33,Сезонность!$A4 у.е.:$D1 у.е.5,4,FALSE),0)=0),"",G33/IFERROR(VLOOKUP(B33,Сезонность!$A4 у.е.:$D1 у.е.5,4,FALSE),1))</f>
        <v/>
      </c>
      <c r="K33" s="5">
        <f>IF(OR(G33="",H33="",H33=0,IFERROR(VLOOKUP(B33,Сезонность!$A4 у.е.:$D1 у.е.5,4,FALSE),0)=0),"",G33/(H33*IFERROR(VLOOKUP(B33,Сезонность!$A4 у.е.:$D1 у.е.5,4,FALSE),1)))</f>
        <v/>
      </c>
      <c r="L33" s="3">
        <f>IF(K33="","",IF(K33&lt;Настройки!$B1 у.е.1,"ниже тренда",IF(K33&gt;Настройки!$B1 у.е.2,"выше тренда","норма")))</f>
        <v/>
      </c>
      <c r="M33" s="3">
        <f>IF(L33="","",IF(L33="ниже тренда","возможное ослабление интереса",IF(L33="выше тренда","возможная фаза повышенного интереса","без выраженного отклонения")))</f>
        <v/>
      </c>
      <c r="N33" s="7">
        <f>IF(G33="","",COUNT($G5 у.е.:G33))</f>
        <v/>
      </c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>
        <f>IF(Ввод_данных!A34="","",Ввод_данных!A34)</f>
        <v/>
      </c>
      <c r="B34" s="3">
        <f>IF(A34="","",MONTH(A34))</f>
        <v/>
      </c>
      <c r="C34" s="3">
        <f>IF(A34="","",CHOOSE(MONTH(A34),"январь","февраль","март","апрель","май","июнь","июль","август","сентябрь","октябрь","ноябрь","декабрь"))</f>
        <v/>
      </c>
      <c r="D34" s="5">
        <f>IF(Ввод_данных!C34="","",Ввод_данных!C34)</f>
        <v/>
      </c>
      <c r="E34" s="5">
        <f>IF(Ввод_данных!D34="","",Ввод_данных!D34)</f>
        <v/>
      </c>
      <c r="F34" s="5">
        <f>IF(E34="","",IF(MAX($E5 у.е.:$E6 у.е.4)=0,"",E34/MAX($E5 у.е.:$E6 у.е.4)*100))</f>
        <v/>
      </c>
      <c r="G34" s="5">
        <f>IF(COUNT(D34,F34)=0,"",IF(COUNT(D34,F34)=2,D34*Настройки!$B4 у.е.+F34*Настройки!$B5 у.е.,IF(D34&lt;&gt;"",D34,F34)))</f>
        <v/>
      </c>
      <c r="H34" s="5">
        <f>IF(OR(G34="",COUNT($G5 у.е.:G34)&lt;12),"",AVERAGE(G23:G34))</f>
        <v/>
      </c>
      <c r="I34" s="5">
        <f>IF(OR(G34="",H34="",H34=0),"",G34/H34)</f>
        <v/>
      </c>
      <c r="J34" s="5">
        <f>IF(OR(G34="",IFERROR(VLOOKUP(B34,Сезонность!$A4 у.е.:$D1 у.е.5,4,FALSE),0)=0),"",G34/IFERROR(VLOOKUP(B34,Сезонность!$A4 у.е.:$D1 у.е.5,4,FALSE),1))</f>
        <v/>
      </c>
      <c r="K34" s="5">
        <f>IF(OR(G34="",H34="",H34=0,IFERROR(VLOOKUP(B34,Сезонность!$A4 у.е.:$D1 у.е.5,4,FALSE),0)=0),"",G34/(H34*IFERROR(VLOOKUP(B34,Сезонность!$A4 у.е.:$D1 у.е.5,4,FALSE),1)))</f>
        <v/>
      </c>
      <c r="L34" s="3">
        <f>IF(K34="","",IF(K34&lt;Настройки!$B1 у.е.1,"ниже тренда",IF(K34&gt;Настройки!$B1 у.е.2,"выше тренда","норма")))</f>
        <v/>
      </c>
      <c r="M34" s="3">
        <f>IF(L34="","",IF(L34="ниже тренда","возможное ослабление интереса",IF(L34="выше тренда","возможная фаза повышенного интереса","без выраженного отклонения")))</f>
        <v/>
      </c>
      <c r="N34" s="7">
        <f>IF(G34="","",COUNT($G5 у.е.:G34))</f>
        <v/>
      </c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>
        <f>IF(Ввод_данных!A35="","",Ввод_данных!A35)</f>
        <v/>
      </c>
      <c r="B35" s="3">
        <f>IF(A35="","",MONTH(A35))</f>
        <v/>
      </c>
      <c r="C35" s="3">
        <f>IF(A35="","",CHOOSE(MONTH(A35),"январь","февраль","март","апрель","май","июнь","июль","август","сентябрь","октябрь","ноябрь","декабрь"))</f>
        <v/>
      </c>
      <c r="D35" s="5">
        <f>IF(Ввод_данных!C35="","",Ввод_данных!C35)</f>
        <v/>
      </c>
      <c r="E35" s="5">
        <f>IF(Ввод_данных!D35="","",Ввод_данных!D35)</f>
        <v/>
      </c>
      <c r="F35" s="5">
        <f>IF(E35="","",IF(MAX($E5 у.е.:$E6 у.е.4)=0,"",E35/MAX($E5 у.е.:$E6 у.е.4)*100))</f>
        <v/>
      </c>
      <c r="G35" s="5">
        <f>IF(COUNT(D35,F35)=0,"",IF(COUNT(D35,F35)=2,D35*Настройки!$B4 у.е.+F35*Настройки!$B5 у.е.,IF(D35&lt;&gt;"",D35,F35)))</f>
        <v/>
      </c>
      <c r="H35" s="5">
        <f>IF(OR(G35="",COUNT($G5 у.е.:G35)&lt;12),"",AVERAGE(G24:G35))</f>
        <v/>
      </c>
      <c r="I35" s="5">
        <f>IF(OR(G35="",H35="",H35=0),"",G35/H35)</f>
        <v/>
      </c>
      <c r="J35" s="5">
        <f>IF(OR(G35="",IFERROR(VLOOKUP(B35,Сезонность!$A4 у.е.:$D1 у.е.5,4,FALSE),0)=0),"",G35/IFERROR(VLOOKUP(B35,Сезонность!$A4 у.е.:$D1 у.е.5,4,FALSE),1))</f>
        <v/>
      </c>
      <c r="K35" s="5">
        <f>IF(OR(G35="",H35="",H35=0,IFERROR(VLOOKUP(B35,Сезонность!$A4 у.е.:$D1 у.е.5,4,FALSE),0)=0),"",G35/(H35*IFERROR(VLOOKUP(B35,Сезонность!$A4 у.е.:$D1 у.е.5,4,FALSE),1)))</f>
        <v/>
      </c>
      <c r="L35" s="3">
        <f>IF(K35="","",IF(K35&lt;Настройки!$B1 у.е.1,"ниже тренда",IF(K35&gt;Настройки!$B1 у.е.2,"выше тренда","норма")))</f>
        <v/>
      </c>
      <c r="M35" s="3">
        <f>IF(L35="","",IF(L35="ниже тренда","возможное ослабление интереса",IF(L35="выше тренда","возможная фаза повышенного интереса","без выраженного отклонения")))</f>
        <v/>
      </c>
      <c r="N35" s="7">
        <f>IF(G35="","",COUNT($G5 у.е.:G35))</f>
        <v/>
      </c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>
        <f>IF(Ввод_данных!A36="","",Ввод_данных!A36)</f>
        <v/>
      </c>
      <c r="B36" s="3">
        <f>IF(A36="","",MONTH(A36))</f>
        <v/>
      </c>
      <c r="C36" s="3">
        <f>IF(A36="","",CHOOSE(MONTH(A36),"январь","февраль","март","апрель","май","июнь","июль","август","сентябрь","октябрь","ноябрь","декабрь"))</f>
        <v/>
      </c>
      <c r="D36" s="5">
        <f>IF(Ввод_данных!C36="","",Ввод_данных!C36)</f>
        <v/>
      </c>
      <c r="E36" s="5">
        <f>IF(Ввод_данных!D36="","",Ввод_данных!D36)</f>
        <v/>
      </c>
      <c r="F36" s="5">
        <f>IF(E36="","",IF(MAX($E5 у.е.:$E6 у.е.4)=0,"",E36/MAX($E5 у.е.:$E6 у.е.4)*100))</f>
        <v/>
      </c>
      <c r="G36" s="5">
        <f>IF(COUNT(D36,F36)=0,"",IF(COUNT(D36,F36)=2,D36*Настройки!$B4 у.е.+F36*Настройки!$B5 у.е.,IF(D36&lt;&gt;"",D36,F36)))</f>
        <v/>
      </c>
      <c r="H36" s="5">
        <f>IF(OR(G36="",COUNT($G5 у.е.:G36)&lt;12),"",AVERAGE(G25:G36))</f>
        <v/>
      </c>
      <c r="I36" s="5">
        <f>IF(OR(G36="",H36="",H36=0),"",G36/H36)</f>
        <v/>
      </c>
      <c r="J36" s="5">
        <f>IF(OR(G36="",IFERROR(VLOOKUP(B36,Сезонность!$A4 у.е.:$D1 у.е.5,4,FALSE),0)=0),"",G36/IFERROR(VLOOKUP(B36,Сезонность!$A4 у.е.:$D1 у.е.5,4,FALSE),1))</f>
        <v/>
      </c>
      <c r="K36" s="5">
        <f>IF(OR(G36="",H36="",H36=0,IFERROR(VLOOKUP(B36,Сезонность!$A4 у.е.:$D1 у.е.5,4,FALSE),0)=0),"",G36/(H36*IFERROR(VLOOKUP(B36,Сезонность!$A4 у.е.:$D1 у.е.5,4,FALSE),1)))</f>
        <v/>
      </c>
      <c r="L36" s="3">
        <f>IF(K36="","",IF(K36&lt;Настройки!$B1 у.е.1,"ниже тренда",IF(K36&gt;Настройки!$B1 у.е.2,"выше тренда","норма")))</f>
        <v/>
      </c>
      <c r="M36" s="3">
        <f>IF(L36="","",IF(L36="ниже тренда","возможное ослабление интереса",IF(L36="выше тренда","возможная фаза повышенного интереса","без выраженного отклонения")))</f>
        <v/>
      </c>
      <c r="N36" s="7">
        <f>IF(G36="","",COUNT($G5 у.е.:G36))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>
        <f>IF(Ввод_данных!A37="","",Ввод_данных!A37)</f>
        <v/>
      </c>
      <c r="B37" s="3">
        <f>IF(A37="","",MONTH(A37))</f>
        <v/>
      </c>
      <c r="C37" s="3">
        <f>IF(A37="","",CHOOSE(MONTH(A37),"январь","февраль","март","апрель","май","июнь","июль","август","сентябрь","октябрь","ноябрь","декабрь"))</f>
        <v/>
      </c>
      <c r="D37" s="5">
        <f>IF(Ввод_данных!C37="","",Ввод_данных!C37)</f>
        <v/>
      </c>
      <c r="E37" s="5">
        <f>IF(Ввод_данных!D37="","",Ввод_данных!D37)</f>
        <v/>
      </c>
      <c r="F37" s="5">
        <f>IF(E37="","",IF(MAX($E5 у.е.:$E6 у.е.4)=0,"",E37/MAX($E5 у.е.:$E6 у.е.4)*100))</f>
        <v/>
      </c>
      <c r="G37" s="5">
        <f>IF(COUNT(D37,F37)=0,"",IF(COUNT(D37,F37)=2,D37*Настройки!$B4 у.е.+F37*Настройки!$B5 у.е.,IF(D37&lt;&gt;"",D37,F37)))</f>
        <v/>
      </c>
      <c r="H37" s="5">
        <f>IF(OR(G37="",COUNT($G5 у.е.:G37)&lt;12),"",AVERAGE(G26:G37))</f>
        <v/>
      </c>
      <c r="I37" s="5">
        <f>IF(OR(G37="",H37="",H37=0),"",G37/H37)</f>
        <v/>
      </c>
      <c r="J37" s="5">
        <f>IF(OR(G37="",IFERROR(VLOOKUP(B37,Сезонность!$A4 у.е.:$D1 у.е.5,4,FALSE),0)=0),"",G37/IFERROR(VLOOKUP(B37,Сезонность!$A4 у.е.:$D1 у.е.5,4,FALSE),1))</f>
        <v/>
      </c>
      <c r="K37" s="5">
        <f>IF(OR(G37="",H37="",H37=0,IFERROR(VLOOKUP(B37,Сезонность!$A4 у.е.:$D1 у.е.5,4,FALSE),0)=0),"",G37/(H37*IFERROR(VLOOKUP(B37,Сезонность!$A4 у.е.:$D1 у.е.5,4,FALSE),1)))</f>
        <v/>
      </c>
      <c r="L37" s="3">
        <f>IF(K37="","",IF(K37&lt;Настройки!$B1 у.е.1,"ниже тренда",IF(K37&gt;Настройки!$B1 у.е.2,"выше тренда","норма")))</f>
        <v/>
      </c>
      <c r="M37" s="3">
        <f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>
        <f>IF(G37="","",COUNT($G5 у.е.:G37))</f>
        <v/>
      </c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>
        <f>IF(Ввод_данных!A38="","",Ввод_данных!A38)</f>
        <v/>
      </c>
      <c r="B38" s="3">
        <f>IF(A38="","",MONTH(A38))</f>
        <v/>
      </c>
      <c r="C38" s="3">
        <f>IF(A38="","",CHOOSE(MONTH(A38),"январь","февраль","март","апрель","май","июнь","июль","август","сентябрь","октябрь","ноябрь","декабрь"))</f>
        <v/>
      </c>
      <c r="D38" s="5">
        <f>IF(Ввод_данных!C38="","",Ввод_данных!C38)</f>
        <v/>
      </c>
      <c r="E38" s="5">
        <f>IF(Ввод_данных!D38="","",Ввод_данных!D38)</f>
        <v/>
      </c>
      <c r="F38" s="5">
        <f>IF(E38="","",IF(MAX($E5 у.е.:$E6 у.е.4)=0,"",E38/MAX($E5 у.е.:$E6 у.е.4)*100))</f>
        <v/>
      </c>
      <c r="G38" s="5">
        <f>IF(COUNT(D38,F38)=0,"",IF(COUNT(D38,F38)=2,D38*Настройки!$B4 у.е.+F38*Настройки!$B5 у.е.,IF(D38&lt;&gt;"",D38,F38)))</f>
        <v/>
      </c>
      <c r="H38" s="5">
        <f>IF(OR(G38="",COUNT($G5 у.е.:G38)&lt;12),"",AVERAGE(G27:G38))</f>
        <v/>
      </c>
      <c r="I38" s="5">
        <f>IF(OR(G38="",H38="",H38=0),"",G38/H38)</f>
        <v/>
      </c>
      <c r="J38" s="5">
        <f>IF(OR(G38="",IFERROR(VLOOKUP(B38,Сезонность!$A4 у.е.:$D1 у.е.5,4,FALSE),0)=0),"",G38/IFERROR(VLOOKUP(B38,Сезонность!$A4 у.е.:$D1 у.е.5,4,FALSE),1))</f>
        <v/>
      </c>
      <c r="K38" s="5">
        <f>IF(OR(G38="",H38="",H38=0,IFERROR(VLOOKUP(B38,Сезонность!$A4 у.е.:$D1 у.е.5,4,FALSE),0)=0),"",G38/(H38*IFERROR(VLOOKUP(B38,Сезонность!$A4 у.е.:$D1 у.е.5,4,FALSE),1)))</f>
        <v/>
      </c>
      <c r="L38" s="3">
        <f>IF(K38="","",IF(K38&lt;Настройки!$B1 у.е.1,"ниже тренда",IF(K38&gt;Настройки!$B1 у.е.2,"выше тренда","норма")))</f>
        <v/>
      </c>
      <c r="M38" s="3">
        <f>IF(L38="","",IF(L38="ниже тренда","возможное ослабление интереса",IF(L38="выше тренда","возможная фаза повышенного интереса","без выраженного отклонения")))</f>
        <v/>
      </c>
      <c r="N38" s="7">
        <f>IF(G38="","",COUNT($G5 у.е.:G38))</f>
        <v/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>
        <f>IF(Ввод_данных!A39="","",Ввод_данных!A39)</f>
        <v/>
      </c>
      <c r="B39" s="3">
        <f>IF(A39="","",MONTH(A39))</f>
        <v/>
      </c>
      <c r="C39" s="3">
        <f>IF(A39="","",CHOOSE(MONTH(A39),"январь","февраль","март","апрель","май","июнь","июль","август","сентябрь","октябрь","ноябрь","декабрь"))</f>
        <v/>
      </c>
      <c r="D39" s="5">
        <f>IF(Ввод_данных!C39="","",Ввод_данных!C39)</f>
        <v/>
      </c>
      <c r="E39" s="5">
        <f>IF(Ввод_данных!D39="","",Ввод_данных!D39)</f>
        <v/>
      </c>
      <c r="F39" s="5">
        <f>IF(E39="","",IF(MAX($E5 у.е.:$E6 у.е.4)=0,"",E39/MAX($E5 у.е.:$E6 у.е.4)*100))</f>
        <v/>
      </c>
      <c r="G39" s="5">
        <f>IF(COUNT(D39,F39)=0,"",IF(COUNT(D39,F39)=2,D39*Настройки!$B4 у.е.+F39*Настройки!$B5 у.е.,IF(D39&lt;&gt;"",D39,F39)))</f>
        <v/>
      </c>
      <c r="H39" s="5">
        <f>IF(OR(G39="",COUNT($G5 у.е.:G39)&lt;12),"",AVERAGE(G28:G39))</f>
        <v/>
      </c>
      <c r="I39" s="5">
        <f>IF(OR(G39="",H39="",H39=0),"",G39/H39)</f>
        <v/>
      </c>
      <c r="J39" s="5">
        <f>IF(OR(G39="",IFERROR(VLOOKUP(B39,Сезонность!$A4 у.е.:$D1 у.е.5,4,FALSE),0)=0),"",G39/IFERROR(VLOOKUP(B39,Сезонность!$A4 у.е.:$D1 у.е.5,4,FALSE),1))</f>
        <v/>
      </c>
      <c r="K39" s="5">
        <f>IF(OR(G39="",H39="",H39=0,IFERROR(VLOOKUP(B39,Сезонность!$A4 у.е.:$D1 у.е.5,4,FALSE),0)=0),"",G39/(H39*IFERROR(VLOOKUP(B39,Сезонность!$A4 у.е.:$D1 у.е.5,4,FALSE),1)))</f>
        <v/>
      </c>
      <c r="L39" s="3">
        <f>IF(K39="","",IF(K39&lt;Настройки!$B1 у.е.1,"ниже тренда",IF(K39&gt;Настройки!$B1 у.е.2,"выше тренда","норма")))</f>
        <v/>
      </c>
      <c r="M39" s="3">
        <f>IF(L39="","",IF(L39="ниже тренда","возможное ослабление интереса",IF(L39="выше тренда","возможная фаза повышенного интереса","без выраженного отклонения")))</f>
        <v/>
      </c>
      <c r="N39" s="7">
        <f>IF(G39="","",COUNT($G5 у.е.:G39))</f>
        <v/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>
        <f>IF(Ввод_данных!A40="","",Ввод_данных!A40)</f>
        <v/>
      </c>
      <c r="B40" s="3">
        <f>IF(A40="","",MONTH(A40))</f>
        <v/>
      </c>
      <c r="C40" s="3">
        <f>IF(A40="","",CHOOSE(MONTH(A40),"январь","февраль","март","апрель","май","июнь","июль","август","сентябрь","октябрь","ноябрь","декабрь"))</f>
        <v/>
      </c>
      <c r="D40" s="5">
        <f>IF(Ввод_данных!C40="","",Ввод_данных!C40)</f>
        <v/>
      </c>
      <c r="E40" s="5">
        <f>IF(Ввод_данных!D40="","",Ввод_данных!D40)</f>
        <v/>
      </c>
      <c r="F40" s="5">
        <f>IF(E40="","",IF(MAX($E5 у.е.:$E6 у.е.4)=0,"",E40/MAX($E5 у.е.:$E6 у.е.4)*100))</f>
        <v/>
      </c>
      <c r="G40" s="5">
        <f>IF(COUNT(D40,F40)=0,"",IF(COUNT(D40,F40)=2,D40*Настройки!$B4 у.е.+F40*Настройки!$B5 у.е.,IF(D40&lt;&gt;"",D40,F40)))</f>
        <v/>
      </c>
      <c r="H40" s="5">
        <f>IF(OR(G40="",COUNT($G5 у.е.:G40)&lt;12),"",AVERAGE(G29:G40))</f>
        <v/>
      </c>
      <c r="I40" s="5">
        <f>IF(OR(G40="",H40="",H40=0),"",G40/H40)</f>
        <v/>
      </c>
      <c r="J40" s="5">
        <f>IF(OR(G40="",IFERROR(VLOOKUP(B40,Сезонность!$A4 у.е.:$D1 у.е.5,4,FALSE),0)=0),"",G40/IFERROR(VLOOKUP(B40,Сезонность!$A4 у.е.:$D1 у.е.5,4,FALSE),1))</f>
        <v/>
      </c>
      <c r="K40" s="5">
        <f>IF(OR(G40="",H40="",H40=0,IFERROR(VLOOKUP(B40,Сезонность!$A4 у.е.:$D1 у.е.5,4,FALSE),0)=0),"",G40/(H40*IFERROR(VLOOKUP(B40,Сезонность!$A4 у.е.:$D1 у.е.5,4,FALSE),1)))</f>
        <v/>
      </c>
      <c r="L40" s="3">
        <f>IF(K40="","",IF(K40&lt;Настройки!$B1 у.е.1,"ниже тренда",IF(K40&gt;Настройки!$B1 у.е.2,"выше тренда","норма")))</f>
        <v/>
      </c>
      <c r="M40" s="3">
        <f>IF(L40="","",IF(L40="ниже тренда","возможное ослабление интереса",IF(L40="выше тренда","возможная фаза повышенного интереса","без выраженного отклонения")))</f>
        <v/>
      </c>
      <c r="N40" s="7">
        <f>IF(G40="","",COUNT($G5 у.е.:G40))</f>
        <v/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>
        <f>IF(Ввод_данных!A41="","",Ввод_данных!A41)</f>
        <v/>
      </c>
      <c r="B41" s="3">
        <f>IF(A41="","",MONTH(A41))</f>
        <v/>
      </c>
      <c r="C41" s="3">
        <f>IF(A41="","",CHOOSE(MONTH(A41),"январь","февраль","март","апрель","май","июнь","июль","август","сентябрь","октябрь","ноябрь","декабрь"))</f>
        <v/>
      </c>
      <c r="D41" s="5">
        <f>IF(Ввод_данных!C41="","",Ввод_данных!C41)</f>
        <v/>
      </c>
      <c r="E41" s="5">
        <f>IF(Ввод_данных!D41="","",Ввод_данных!D41)</f>
        <v/>
      </c>
      <c r="F41" s="5">
        <f>IF(E41="","",IF(MAX($E5 у.е.:$E6 у.е.4)=0,"",E41/MAX($E5 у.е.:$E6 у.е.4)*100))</f>
        <v/>
      </c>
      <c r="G41" s="5">
        <f>IF(COUNT(D41,F41)=0,"",IF(COUNT(D41,F41)=2,D41*Настройки!$B4 у.е.+F41*Настройки!$B5 у.е.,IF(D41&lt;&gt;"",D41,F41)))</f>
        <v/>
      </c>
      <c r="H41" s="5">
        <f>IF(OR(G41="",COUNT($G5 у.е.:G41)&lt;12),"",AVERAGE(G30:G41))</f>
        <v/>
      </c>
      <c r="I41" s="5">
        <f>IF(OR(G41="",H41="",H41=0),"",G41/H41)</f>
        <v/>
      </c>
      <c r="J41" s="5">
        <f>IF(OR(G41="",IFERROR(VLOOKUP(B41,Сезонность!$A4 у.е.:$D1 у.е.5,4,FALSE),0)=0),"",G41/IFERROR(VLOOKUP(B41,Сезонность!$A4 у.е.:$D1 у.е.5,4,FALSE),1))</f>
        <v/>
      </c>
      <c r="K41" s="5">
        <f>IF(OR(G41="",H41="",H41=0,IFERROR(VLOOKUP(B41,Сезонность!$A4 у.е.:$D1 у.е.5,4,FALSE),0)=0),"",G41/(H41*IFERROR(VLOOKUP(B41,Сезонность!$A4 у.е.:$D1 у.е.5,4,FALSE),1)))</f>
        <v/>
      </c>
      <c r="L41" s="3">
        <f>IF(K41="","",IF(K41&lt;Настройки!$B1 у.е.1,"ниже тренда",IF(K41&gt;Настройки!$B1 у.е.2,"выше тренда","норма")))</f>
        <v/>
      </c>
      <c r="M41" s="3">
        <f>IF(L41="","",IF(L41="ниже тренда","возможное ослабление интереса",IF(L41="выше тренда","возможная фаза повышенного интереса","без выраженного отклонения")))</f>
        <v/>
      </c>
      <c r="N41" s="7">
        <f>IF(G41="","",COUNT($G5 у.е.:G41))</f>
        <v/>
      </c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>
        <f>IF(Ввод_данных!A42="","",Ввод_данных!A42)</f>
        <v/>
      </c>
      <c r="B42" s="3">
        <f>IF(A42="","",MONTH(A42))</f>
        <v/>
      </c>
      <c r="C42" s="3">
        <f>IF(A42="","",CHOOSE(MONTH(A42),"январь","февраль","март","апрель","май","июнь","июль","август","сентябрь","октябрь","ноябрь","декабрь"))</f>
        <v/>
      </c>
      <c r="D42" s="5">
        <f>IF(Ввод_данных!C42="","",Ввод_данных!C42)</f>
        <v/>
      </c>
      <c r="E42" s="5">
        <f>IF(Ввод_данных!D42="","",Ввод_данных!D42)</f>
        <v/>
      </c>
      <c r="F42" s="5">
        <f>IF(E42="","",IF(MAX($E5 у.е.:$E6 у.е.4)=0,"",E42/MAX($E5 у.е.:$E6 у.е.4)*100))</f>
        <v/>
      </c>
      <c r="G42" s="5">
        <f>IF(COUNT(D42,F42)=0,"",IF(COUNT(D42,F42)=2,D42*Настройки!$B4 у.е.+F42*Настройки!$B5 у.е.,IF(D42&lt;&gt;"",D42,F42)))</f>
        <v/>
      </c>
      <c r="H42" s="5">
        <f>IF(OR(G42="",COUNT($G5 у.е.:G42)&lt;12),"",AVERAGE(G31:G42))</f>
        <v/>
      </c>
      <c r="I42" s="5">
        <f>IF(OR(G42="",H42="",H42=0),"",G42/H42)</f>
        <v/>
      </c>
      <c r="J42" s="5">
        <f>IF(OR(G42="",IFERROR(VLOOKUP(B42,Сезонность!$A4 у.е.:$D1 у.е.5,4,FALSE),0)=0),"",G42/IFERROR(VLOOKUP(B42,Сезонность!$A4 у.е.:$D1 у.е.5,4,FALSE),1))</f>
        <v/>
      </c>
      <c r="K42" s="5">
        <f>IF(OR(G42="",H42="",H42=0,IFERROR(VLOOKUP(B42,Сезонность!$A4 у.е.:$D1 у.е.5,4,FALSE),0)=0),"",G42/(H42*IFERROR(VLOOKUP(B42,Сезонность!$A4 у.е.:$D1 у.е.5,4,FALSE),1)))</f>
        <v/>
      </c>
      <c r="L42" s="3">
        <f>IF(K42="","",IF(K42&lt;Настройки!$B1 у.е.1,"ниже тренда",IF(K42&gt;Настройки!$B1 у.е.2,"выше тренда","норма")))</f>
        <v/>
      </c>
      <c r="M42" s="3">
        <f>IF(L42="","",IF(L42="ниже тренда","возможное ослабление интереса",IF(L42="выше тренда","возможная фаза повышенного интереса","без выраженного отклонения")))</f>
        <v/>
      </c>
      <c r="N42" s="7">
        <f>IF(G42="","",COUNT($G5 у.е.:G42))</f>
        <v/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>
        <f>IF(Ввод_данных!A43="","",Ввод_данных!A43)</f>
        <v/>
      </c>
      <c r="B43" s="3">
        <f>IF(A43="","",MONTH(A43))</f>
        <v/>
      </c>
      <c r="C43" s="3">
        <f>IF(A43="","",CHOOSE(MONTH(A43),"январь","февраль","март","апрель","май","июнь","июль","август","сентябрь","октябрь","ноябрь","декабрь"))</f>
        <v/>
      </c>
      <c r="D43" s="5">
        <f>IF(Ввод_данных!C43="","",Ввод_данных!C43)</f>
        <v/>
      </c>
      <c r="E43" s="5">
        <f>IF(Ввод_данных!D43="","",Ввод_данных!D43)</f>
        <v/>
      </c>
      <c r="F43" s="5">
        <f>IF(E43="","",IF(MAX($E5 у.е.:$E6 у.е.4)=0,"",E43/MAX($E5 у.е.:$E6 у.е.4)*100))</f>
        <v/>
      </c>
      <c r="G43" s="5">
        <f>IF(COUNT(D43,F43)=0,"",IF(COUNT(D43,F43)=2,D43*Настройки!$B4 у.е.+F43*Настройки!$B5 у.е.,IF(D43&lt;&gt;"",D43,F43)))</f>
        <v/>
      </c>
      <c r="H43" s="5">
        <f>IF(OR(G43="",COUNT($G5 у.е.:G43)&lt;12),"",AVERAGE(G32:G43))</f>
        <v/>
      </c>
      <c r="I43" s="5">
        <f>IF(OR(G43="",H43="",H43=0),"",G43/H43)</f>
        <v/>
      </c>
      <c r="J43" s="5">
        <f>IF(OR(G43="",IFERROR(VLOOKUP(B43,Сезонность!$A4 у.е.:$D1 у.е.5,4,FALSE),0)=0),"",G43/IFERROR(VLOOKUP(B43,Сезонность!$A4 у.е.:$D1 у.е.5,4,FALSE),1))</f>
        <v/>
      </c>
      <c r="K43" s="5">
        <f>IF(OR(G43="",H43="",H43=0,IFERROR(VLOOKUP(B43,Сезонность!$A4 у.е.:$D1 у.е.5,4,FALSE),0)=0),"",G43/(H43*IFERROR(VLOOKUP(B43,Сезонность!$A4 у.е.:$D1 у.е.5,4,FALSE),1)))</f>
        <v/>
      </c>
      <c r="L43" s="3">
        <f>IF(K43="","",IF(K43&lt;Настройки!$B1 у.е.1,"ниже тренда",IF(K43&gt;Настройки!$B1 у.е.2,"выше тренда","норма")))</f>
        <v/>
      </c>
      <c r="M43" s="3">
        <f>IF(L43="","",IF(L43="ниже тренда","возможное ослабление интереса",IF(L43="выше тренда","возможная фаза повышенного интереса","без выраженного отклонения")))</f>
        <v/>
      </c>
      <c r="N43" s="7">
        <f>IF(G43="","",COUNT($G5 у.е.:G43))</f>
        <v/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>
        <f>IF(Ввод_данных!A44="","",Ввод_данных!A44)</f>
        <v/>
      </c>
      <c r="B44" s="3">
        <f>IF(A44="","",MONTH(A44))</f>
        <v/>
      </c>
      <c r="C44" s="3">
        <f>IF(A44="","",CHOOSE(MONTH(A44),"январь","февраль","март","апрель","май","июнь","июль","август","сентябрь","октябрь","ноябрь","декабрь"))</f>
        <v/>
      </c>
      <c r="D44" s="5">
        <f>IF(Ввод_данных!C44="","",Ввод_данных!C44)</f>
        <v/>
      </c>
      <c r="E44" s="5">
        <f>IF(Ввод_данных!D44="","",Ввод_данных!D44)</f>
        <v/>
      </c>
      <c r="F44" s="5">
        <f>IF(E44="","",IF(MAX($E5 у.е.:$E6 у.е.4)=0,"",E44/MAX($E5 у.е.:$E6 у.е.4)*100))</f>
        <v/>
      </c>
      <c r="G44" s="5">
        <f>IF(COUNT(D44,F44)=0,"",IF(COUNT(D44,F44)=2,D44*Настройки!$B4 у.е.+F44*Настройки!$B5 у.е.,IF(D44&lt;&gt;"",D44,F44)))</f>
        <v/>
      </c>
      <c r="H44" s="5">
        <f>IF(OR(G44="",COUNT($G5 у.е.:G44)&lt;12),"",AVERAGE(G33:G44))</f>
        <v/>
      </c>
      <c r="I44" s="5">
        <f>IF(OR(G44="",H44="",H44=0),"",G44/H44)</f>
        <v/>
      </c>
      <c r="J44" s="5">
        <f>IF(OR(G44="",IFERROR(VLOOKUP(B44,Сезонность!$A4 у.е.:$D1 у.е.5,4,FALSE),0)=0),"",G44/IFERROR(VLOOKUP(B44,Сезонность!$A4 у.е.:$D1 у.е.5,4,FALSE),1))</f>
        <v/>
      </c>
      <c r="K44" s="5">
        <f>IF(OR(G44="",H44="",H44=0,IFERROR(VLOOKUP(B44,Сезонность!$A4 у.е.:$D1 у.е.5,4,FALSE),0)=0),"",G44/(H44*IFERROR(VLOOKUP(B44,Сезонность!$A4 у.е.:$D1 у.е.5,4,FALSE),1)))</f>
        <v/>
      </c>
      <c r="L44" s="3">
        <f>IF(K44="","",IF(K44&lt;Настройки!$B1 у.е.1,"ниже тренда",IF(K44&gt;Настройки!$B1 у.е.2,"выше тренда","норма")))</f>
        <v/>
      </c>
      <c r="M44" s="3">
        <f>IF(L44="","",IF(L44="ниже тренда","возможное ослабление интереса",IF(L44="выше тренда","возможная фаза повышенного интереса","без выраженного отклонения")))</f>
        <v/>
      </c>
      <c r="N44" s="7">
        <f>IF(G44="","",COUNT($G5 у.е.:G44))</f>
        <v/>
      </c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>
        <f>IF(Ввод_данных!A45="","",Ввод_данных!A45)</f>
        <v/>
      </c>
      <c r="B45" s="3">
        <f>IF(A45="","",MONTH(A45))</f>
        <v/>
      </c>
      <c r="C45" s="3">
        <f>IF(A45="","",CHOOSE(MONTH(A45),"январь","февраль","март","апрель","май","июнь","июль","август","сентябрь","октябрь","ноябрь","декабрь"))</f>
        <v/>
      </c>
      <c r="D45" s="5">
        <f>IF(Ввод_данных!C45="","",Ввод_данных!C45)</f>
        <v/>
      </c>
      <c r="E45" s="5">
        <f>IF(Ввод_данных!D45="","",Ввод_данных!D45)</f>
        <v/>
      </c>
      <c r="F45" s="5">
        <f>IF(E45="","",IF(MAX($E5 у.е.:$E6 у.е.4)=0,"",E45/MAX($E5 у.е.:$E6 у.е.4)*100))</f>
        <v/>
      </c>
      <c r="G45" s="5">
        <f>IF(COUNT(D45,F45)=0,"",IF(COUNT(D45,F45)=2,D45*Настройки!$B4 у.е.+F45*Настройки!$B5 у.е.,IF(D45&lt;&gt;"",D45,F45)))</f>
        <v/>
      </c>
      <c r="H45" s="5">
        <f>IF(OR(G45="",COUNT($G5 у.е.:G45)&lt;12),"",AVERAGE(G34:G45))</f>
        <v/>
      </c>
      <c r="I45" s="5">
        <f>IF(OR(G45="",H45="",H45=0),"",G45/H45)</f>
        <v/>
      </c>
      <c r="J45" s="5">
        <f>IF(OR(G45="",IFERROR(VLOOKUP(B45,Сезонность!$A4 у.е.:$D1 у.е.5,4,FALSE),0)=0),"",G45/IFERROR(VLOOKUP(B45,Сезонность!$A4 у.е.:$D1 у.е.5,4,FALSE),1))</f>
        <v/>
      </c>
      <c r="K45" s="5">
        <f>IF(OR(G45="",H45="",H45=0,IFERROR(VLOOKUP(B45,Сезонность!$A4 у.е.:$D1 у.е.5,4,FALSE),0)=0),"",G45/(H45*IFERROR(VLOOKUP(B45,Сезонность!$A4 у.е.:$D1 у.е.5,4,FALSE),1)))</f>
        <v/>
      </c>
      <c r="L45" s="3">
        <f>IF(K45="","",IF(K45&lt;Настройки!$B1 у.е.1,"ниже тренда",IF(K45&gt;Настройки!$B1 у.е.2,"выше тренда","норма")))</f>
        <v/>
      </c>
      <c r="M45" s="3">
        <f>IF(L45="","",IF(L45="ниже тренда","возможное ослабление интереса",IF(L45="выше тренда","возможная фаза повышенного интереса","без выраженного отклонения")))</f>
        <v/>
      </c>
      <c r="N45" s="7">
        <f>IF(G45="","",COUNT($G5 у.е.:G45))</f>
        <v/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>
        <f>IF(Ввод_данных!A46="","",Ввод_данных!A46)</f>
        <v/>
      </c>
      <c r="B46" s="3">
        <f>IF(A46="","",MONTH(A46))</f>
        <v/>
      </c>
      <c r="C46" s="3">
        <f>IF(A46="","",CHOOSE(MONTH(A46),"январь","февраль","март","апрель","май","июнь","июль","август","сентябрь","октябрь","ноябрь","декабрь"))</f>
        <v/>
      </c>
      <c r="D46" s="5">
        <f>IF(Ввод_данных!C46="","",Ввод_данных!C46)</f>
        <v/>
      </c>
      <c r="E46" s="5">
        <f>IF(Ввод_данных!D46="","",Ввод_данных!D46)</f>
        <v/>
      </c>
      <c r="F46" s="5">
        <f>IF(E46="","",IF(MAX($E5 у.е.:$E6 у.е.4)=0,"",E46/MAX($E5 у.е.:$E6 у.е.4)*100))</f>
        <v/>
      </c>
      <c r="G46" s="5">
        <f>IF(COUNT(D46,F46)=0,"",IF(COUNT(D46,F46)=2,D46*Настройки!$B4 у.е.+F46*Настройки!$B5 у.е.,IF(D46&lt;&gt;"",D46,F46)))</f>
        <v/>
      </c>
      <c r="H46" s="5">
        <f>IF(OR(G46="",COUNT($G5 у.е.:G46)&lt;12),"",AVERAGE(G35:G46))</f>
        <v/>
      </c>
      <c r="I46" s="5">
        <f>IF(OR(G46="",H46="",H46=0),"",G46/H46)</f>
        <v/>
      </c>
      <c r="J46" s="5">
        <f>IF(OR(G46="",IFERROR(VLOOKUP(B46,Сезонность!$A4 у.е.:$D1 у.е.5,4,FALSE),0)=0),"",G46/IFERROR(VLOOKUP(B46,Сезонность!$A4 у.е.:$D1 у.е.5,4,FALSE),1))</f>
        <v/>
      </c>
      <c r="K46" s="5">
        <f>IF(OR(G46="",H46="",H46=0,IFERROR(VLOOKUP(B46,Сезонность!$A4 у.е.:$D1 у.е.5,4,FALSE),0)=0),"",G46/(H46*IFERROR(VLOOKUP(B46,Сезонность!$A4 у.е.:$D1 у.е.5,4,FALSE),1)))</f>
        <v/>
      </c>
      <c r="L46" s="3">
        <f>IF(K46="","",IF(K46&lt;Настройки!$B1 у.е.1,"ниже тренда",IF(K46&gt;Настройки!$B1 у.е.2,"выше тренда","норма")))</f>
        <v/>
      </c>
      <c r="M46" s="3">
        <f>IF(L46="","",IF(L46="ниже тренда","возможное ослабление интереса",IF(L46="выше тренда","возможная фаза повышенного интереса","без выраженного отклонения")))</f>
        <v/>
      </c>
      <c r="N46" s="7">
        <f>IF(G46="","",COUNT($G5 у.е.:G46))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>
        <f>IF(Ввод_данных!A47="","",Ввод_данных!A47)</f>
        <v/>
      </c>
      <c r="B47" s="3">
        <f>IF(A47="","",MONTH(A47))</f>
        <v/>
      </c>
      <c r="C47" s="3">
        <f>IF(A47="","",CHOOSE(MONTH(A47),"январь","февраль","март","апрель","май","июнь","июль","август","сентябрь","октябрь","ноябрь","декабрь"))</f>
        <v/>
      </c>
      <c r="D47" s="5">
        <f>IF(Ввод_данных!C47="","",Ввод_данных!C47)</f>
        <v/>
      </c>
      <c r="E47" s="5">
        <f>IF(Ввод_данных!D47="","",Ввод_данных!D47)</f>
        <v/>
      </c>
      <c r="F47" s="5">
        <f>IF(E47="","",IF(MAX($E5 у.е.:$E6 у.е.4)=0,"",E47/MAX($E5 у.е.:$E6 у.е.4)*100))</f>
        <v/>
      </c>
      <c r="G47" s="5">
        <f>IF(COUNT(D47,F47)=0,"",IF(COUNT(D47,F47)=2,D47*Настройки!$B4 у.е.+F47*Настройки!$B5 у.е.,IF(D47&lt;&gt;"",D47,F47)))</f>
        <v/>
      </c>
      <c r="H47" s="5">
        <f>IF(OR(G47="",COUNT($G5 у.е.:G47)&lt;12),"",AVERAGE(G36:G47))</f>
        <v/>
      </c>
      <c r="I47" s="5">
        <f>IF(OR(G47="",H47="",H47=0),"",G47/H47)</f>
        <v/>
      </c>
      <c r="J47" s="5">
        <f>IF(OR(G47="",IFERROR(VLOOKUP(B47,Сезонность!$A4 у.е.:$D1 у.е.5,4,FALSE),0)=0),"",G47/IFERROR(VLOOKUP(B47,Сезонность!$A4 у.е.:$D1 у.е.5,4,FALSE),1))</f>
        <v/>
      </c>
      <c r="K47" s="5">
        <f>IF(OR(G47="",H47="",H47=0,IFERROR(VLOOKUP(B47,Сезонность!$A4 у.е.:$D1 у.е.5,4,FALSE),0)=0),"",G47/(H47*IFERROR(VLOOKUP(B47,Сезонность!$A4 у.е.:$D1 у.е.5,4,FALSE),1)))</f>
        <v/>
      </c>
      <c r="L47" s="3">
        <f>IF(K47="","",IF(K47&lt;Настройки!$B1 у.е.1,"ниже тренда",IF(K47&gt;Настройки!$B1 у.е.2,"выше тренда","норма")))</f>
        <v/>
      </c>
      <c r="M47" s="3">
        <f>IF(L47="","",IF(L47="ниже тренда","возможное ослабление интереса",IF(L47="выше тренда","возможная фаза повышенного интереса","без выраженного отклонения")))</f>
        <v/>
      </c>
      <c r="N47" s="7">
        <f>IF(G47="","",COUNT($G5 у.е.:G47))</f>
        <v/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>
        <f>IF(Ввод_данных!A48="","",Ввод_данных!A48)</f>
        <v/>
      </c>
      <c r="B48" s="3">
        <f>IF(A48="","",MONTH(A48))</f>
        <v/>
      </c>
      <c r="C48" s="3">
        <f>IF(A48="","",CHOOSE(MONTH(A48),"январь","февраль","март","апрель","май","июнь","июль","август","сентябрь","октябрь","ноябрь","декабрь"))</f>
        <v/>
      </c>
      <c r="D48" s="5">
        <f>IF(Ввод_данных!C48="","",Ввод_данных!C48)</f>
        <v/>
      </c>
      <c r="E48" s="5">
        <f>IF(Ввод_данных!D48="","",Ввод_данных!D48)</f>
        <v/>
      </c>
      <c r="F48" s="5">
        <f>IF(E48="","",IF(MAX($E5 у.е.:$E6 у.е.4)=0,"",E48/MAX($E5 у.е.:$E6 у.е.4)*100))</f>
        <v/>
      </c>
      <c r="G48" s="5">
        <f>IF(COUNT(D48,F48)=0,"",IF(COUNT(D48,F48)=2,D48*Настройки!$B4 у.е.+F48*Настройки!$B5 у.е.,IF(D48&lt;&gt;"",D48,F48)))</f>
        <v/>
      </c>
      <c r="H48" s="5">
        <f>IF(OR(G48="",COUNT($G5 у.е.:G48)&lt;12),"",AVERAGE(G37:G48))</f>
        <v/>
      </c>
      <c r="I48" s="5">
        <f>IF(OR(G48="",H48="",H48=0),"",G48/H48)</f>
        <v/>
      </c>
      <c r="J48" s="5">
        <f>IF(OR(G48="",IFERROR(VLOOKUP(B48,Сезонность!$A4 у.е.:$D1 у.е.5,4,FALSE),0)=0),"",G48/IFERROR(VLOOKUP(B48,Сезонность!$A4 у.е.:$D1 у.е.5,4,FALSE),1))</f>
        <v/>
      </c>
      <c r="K48" s="5">
        <f>IF(OR(G48="",H48="",H48=0,IFERROR(VLOOKUP(B48,Сезонность!$A4 у.е.:$D1 у.е.5,4,FALSE),0)=0),"",G48/(H48*IFERROR(VLOOKUP(B48,Сезонность!$A4 у.е.:$D1 у.е.5,4,FALSE),1)))</f>
        <v/>
      </c>
      <c r="L48" s="3">
        <f>IF(K48="","",IF(K48&lt;Настройки!$B1 у.е.1,"ниже тренда",IF(K48&gt;Настройки!$B1 у.е.2,"выше тренда","норма")))</f>
        <v/>
      </c>
      <c r="M48" s="3">
        <f>IF(L48="","",IF(L48="ниже тренда","возможное ослабление интереса",IF(L48="выше тренда","возможная фаза повышенного интереса","без выраженного отклонения")))</f>
        <v/>
      </c>
      <c r="N48" s="7">
        <f>IF(G48="","",COUNT($G5 у.е.:G48))</f>
        <v/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>
        <f>IF(Ввод_данных!A49="","",Ввод_данных!A49)</f>
        <v/>
      </c>
      <c r="B49" s="3">
        <f>IF(A49="","",MONTH(A49))</f>
        <v/>
      </c>
      <c r="C49" s="3">
        <f>IF(A49="","",CHOOSE(MONTH(A49),"январь","февраль","март","апрель","май","июнь","июль","август","сентябрь","октябрь","ноябрь","декабрь"))</f>
        <v/>
      </c>
      <c r="D49" s="5">
        <f>IF(Ввод_данных!C49="","",Ввод_данных!C49)</f>
        <v/>
      </c>
      <c r="E49" s="5">
        <f>IF(Ввод_данных!D49="","",Ввод_данных!D49)</f>
        <v/>
      </c>
      <c r="F49" s="5">
        <f>IF(E49="","",IF(MAX($E5 у.е.:$E6 у.е.4)=0,"",E49/MAX($E5 у.е.:$E6 у.е.4)*100))</f>
        <v/>
      </c>
      <c r="G49" s="5">
        <f>IF(COUNT(D49,F49)=0,"",IF(COUNT(D49,F49)=2,D49*Настройки!$B4 у.е.+F49*Настройки!$B5 у.е.,IF(D49&lt;&gt;"",D49,F49)))</f>
        <v/>
      </c>
      <c r="H49" s="5">
        <f>IF(OR(G49="",COUNT($G5 у.е.:G49)&lt;12),"",AVERAGE(G38:G49))</f>
        <v/>
      </c>
      <c r="I49" s="5">
        <f>IF(OR(G49="",H49="",H49=0),"",G49/H49)</f>
        <v/>
      </c>
      <c r="J49" s="5">
        <f>IF(OR(G49="",IFERROR(VLOOKUP(B49,Сезонность!$A4 у.е.:$D1 у.е.5,4,FALSE),0)=0),"",G49/IFERROR(VLOOKUP(B49,Сезонность!$A4 у.е.:$D1 у.е.5,4,FALSE),1))</f>
        <v/>
      </c>
      <c r="K49" s="5">
        <f>IF(OR(G49="",H49="",H49=0,IFERROR(VLOOKUP(B49,Сезонность!$A4 у.е.:$D1 у.е.5,4,FALSE),0)=0),"",G49/(H49*IFERROR(VLOOKUP(B49,Сезонность!$A4 у.е.:$D1 у.е.5,4,FALSE),1)))</f>
        <v/>
      </c>
      <c r="L49" s="3">
        <f>IF(K49="","",IF(K49&lt;Настройки!$B1 у.е.1,"ниже тренда",IF(K49&gt;Настройки!$B1 у.е.2,"выше тренда","норма")))</f>
        <v/>
      </c>
      <c r="M49" s="3">
        <f>IF(L49="","",IF(L49="ниже тренда","возможное ослабление интереса",IF(L49="выше тренда","возможная фаза повышенного интереса","без выраженного отклонения")))</f>
        <v/>
      </c>
      <c r="N49" s="7">
        <f>IF(G49="","",COUNT($G5 у.е.:G49))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>
        <f>IF(Ввод_данных!A50="","",Ввод_данных!A50)</f>
        <v/>
      </c>
      <c r="B50" s="3">
        <f>IF(A50="","",MONTH(A50))</f>
        <v/>
      </c>
      <c r="C50" s="3">
        <f>IF(A50="","",CHOOSE(MONTH(A50),"январь","февраль","март","апрель","май","июнь","июль","август","сентябрь","октябрь","ноябрь","декабрь"))</f>
        <v/>
      </c>
      <c r="D50" s="5">
        <f>IF(Ввод_данных!C50="","",Ввод_данных!C50)</f>
        <v/>
      </c>
      <c r="E50" s="5">
        <f>IF(Ввод_данных!D50="","",Ввод_данных!D50)</f>
        <v/>
      </c>
      <c r="F50" s="5">
        <f>IF(E50="","",IF(MAX($E5 у.е.:$E6 у.е.4)=0,"",E50/MAX($E5 у.е.:$E6 у.е.4)*100))</f>
        <v/>
      </c>
      <c r="G50" s="5">
        <f>IF(COUNT(D50,F50)=0,"",IF(COUNT(D50,F50)=2,D50*Настройки!$B4 у.е.+F50*Настройки!$B5 у.е.,IF(D50&lt;&gt;"",D50,F50)))</f>
        <v/>
      </c>
      <c r="H50" s="5">
        <f>IF(OR(G50="",COUNT($G5 у.е.:G50)&lt;12),"",AVERAGE(G39:G50))</f>
        <v/>
      </c>
      <c r="I50" s="5">
        <f>IF(OR(G50="",H50="",H50=0),"",G50/H50)</f>
        <v/>
      </c>
      <c r="J50" s="5">
        <f>IF(OR(G50="",IFERROR(VLOOKUP(B50,Сезонность!$A4 у.е.:$D1 у.е.5,4,FALSE),0)=0),"",G50/IFERROR(VLOOKUP(B50,Сезонность!$A4 у.е.:$D1 у.е.5,4,FALSE),1))</f>
        <v/>
      </c>
      <c r="K50" s="5">
        <f>IF(OR(G50="",H50="",H50=0,IFERROR(VLOOKUP(B50,Сезонность!$A4 у.е.:$D1 у.е.5,4,FALSE),0)=0),"",G50/(H50*IFERROR(VLOOKUP(B50,Сезонность!$A4 у.е.:$D1 у.е.5,4,FALSE),1)))</f>
        <v/>
      </c>
      <c r="L50" s="3">
        <f>IF(K50="","",IF(K50&lt;Настройки!$B1 у.е.1,"ниже тренда",IF(K50&gt;Настройки!$B1 у.е.2,"выше тренда","норма")))</f>
        <v/>
      </c>
      <c r="M50" s="3">
        <f>IF(L50="","",IF(L50="ниже тренда","возможное ослабление интереса",IF(L50="выше тренда","возможная фаза повышенного интереса","без выраженного отклонения")))</f>
        <v/>
      </c>
      <c r="N50" s="7">
        <f>IF(G50="","",COUNT($G5 у.е.:G50))</f>
        <v/>
      </c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>
        <f>IF(Ввод_данных!A51="","",Ввод_данных!A51)</f>
        <v/>
      </c>
      <c r="B51" s="3">
        <f>IF(A51="","",MONTH(A51))</f>
        <v/>
      </c>
      <c r="C51" s="3">
        <f>IF(A51="","",CHOOSE(MONTH(A51),"январь","февраль","март","апрель","май","июнь","июль","август","сентябрь","октябрь","ноябрь","декабрь"))</f>
        <v/>
      </c>
      <c r="D51" s="5">
        <f>IF(Ввод_данных!C51="","",Ввод_данных!C51)</f>
        <v/>
      </c>
      <c r="E51" s="5">
        <f>IF(Ввод_данных!D51="","",Ввод_данных!D51)</f>
        <v/>
      </c>
      <c r="F51" s="5">
        <f>IF(E51="","",IF(MAX($E5 у.е.:$E6 у.е.4)=0,"",E51/MAX($E5 у.е.:$E6 у.е.4)*100))</f>
        <v/>
      </c>
      <c r="G51" s="5">
        <f>IF(COUNT(D51,F51)=0,"",IF(COUNT(D51,F51)=2,D51*Настройки!$B4 у.е.+F51*Настройки!$B5 у.е.,IF(D51&lt;&gt;"",D51,F51)))</f>
        <v/>
      </c>
      <c r="H51" s="5">
        <f>IF(OR(G51="",COUNT($G5 у.е.:G51)&lt;12),"",AVERAGE(G40:G51))</f>
        <v/>
      </c>
      <c r="I51" s="5">
        <f>IF(OR(G51="",H51="",H51=0),"",G51/H51)</f>
        <v/>
      </c>
      <c r="J51" s="5">
        <f>IF(OR(G51="",IFERROR(VLOOKUP(B51,Сезонность!$A4 у.е.:$D1 у.е.5,4,FALSE),0)=0),"",G51/IFERROR(VLOOKUP(B51,Сезонность!$A4 у.е.:$D1 у.е.5,4,FALSE),1))</f>
        <v/>
      </c>
      <c r="K51" s="5">
        <f>IF(OR(G51="",H51="",H51=0,IFERROR(VLOOKUP(B51,Сезонность!$A4 у.е.:$D1 у.е.5,4,FALSE),0)=0),"",G51/(H51*IFERROR(VLOOKUP(B51,Сезонность!$A4 у.е.:$D1 у.е.5,4,FALSE),1)))</f>
        <v/>
      </c>
      <c r="L51" s="3">
        <f>IF(K51="","",IF(K51&lt;Настройки!$B1 у.е.1,"ниже тренда",IF(K51&gt;Настройки!$B1 у.е.2,"выше тренда","норма")))</f>
        <v/>
      </c>
      <c r="M51" s="3">
        <f>IF(L51="","",IF(L51="ниже тренда","возможное ослабление интереса",IF(L51="выше тренда","возможная фаза повышенного интереса","без выраженного отклонения")))</f>
        <v/>
      </c>
      <c r="N51" s="7">
        <f>IF(G51="","",COUNT($G5 у.е.:G51))</f>
        <v/>
      </c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>
        <f>IF(Ввод_данных!A52="","",Ввод_данных!A52)</f>
        <v/>
      </c>
      <c r="B52" s="3">
        <f>IF(A52="","",MONTH(A52))</f>
        <v/>
      </c>
      <c r="C52" s="3">
        <f>IF(A52="","",CHOOSE(MONTH(A52),"январь","февраль","март","апрель","май","июнь","июль","август","сентябрь","октябрь","ноябрь","декабрь"))</f>
        <v/>
      </c>
      <c r="D52" s="5">
        <f>IF(Ввод_данных!C52="","",Ввод_данных!C52)</f>
        <v/>
      </c>
      <c r="E52" s="5">
        <f>IF(Ввод_данных!D52="","",Ввод_данных!D52)</f>
        <v/>
      </c>
      <c r="F52" s="5">
        <f>IF(E52="","",IF(MAX($E5 у.е.:$E6 у.е.4)=0,"",E52/MAX($E5 у.е.:$E6 у.е.4)*100))</f>
        <v/>
      </c>
      <c r="G52" s="5">
        <f>IF(COUNT(D52,F52)=0,"",IF(COUNT(D52,F52)=2,D52*Настройки!$B4 у.е.+F52*Настройки!$B5 у.е.,IF(D52&lt;&gt;"",D52,F52)))</f>
        <v/>
      </c>
      <c r="H52" s="5">
        <f>IF(OR(G52="",COUNT($G5 у.е.:G52)&lt;12),"",AVERAGE(G41:G52))</f>
        <v/>
      </c>
      <c r="I52" s="5">
        <f>IF(OR(G52="",H52="",H52=0),"",G52/H52)</f>
        <v/>
      </c>
      <c r="J52" s="5">
        <f>IF(OR(G52="",IFERROR(VLOOKUP(B52,Сезонность!$A4 у.е.:$D1 у.е.5,4,FALSE),0)=0),"",G52/IFERROR(VLOOKUP(B52,Сезонность!$A4 у.е.:$D1 у.е.5,4,FALSE),1))</f>
        <v/>
      </c>
      <c r="K52" s="5">
        <f>IF(OR(G52="",H52="",H52=0,IFERROR(VLOOKUP(B52,Сезонность!$A4 у.е.:$D1 у.е.5,4,FALSE),0)=0),"",G52/(H52*IFERROR(VLOOKUP(B52,Сезонность!$A4 у.е.:$D1 у.е.5,4,FALSE),1)))</f>
        <v/>
      </c>
      <c r="L52" s="3">
        <f>IF(K52="","",IF(K52&lt;Настройки!$B1 у.е.1,"ниже тренда",IF(K52&gt;Настройки!$B1 у.е.2,"выше тренда","норма")))</f>
        <v/>
      </c>
      <c r="M52" s="3">
        <f>IF(L52="","",IF(L52="ниже тренда","возможное ослабление интереса",IF(L52="выше тренда","возможная фаза повышенного интереса","без выраженного отклонения")))</f>
        <v/>
      </c>
      <c r="N52" s="7">
        <f>IF(G52="","",COUNT($G5 у.е.:G52))</f>
        <v/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>
        <f>IF(Ввод_данных!A53="","",Ввод_данных!A53)</f>
        <v/>
      </c>
      <c r="B53" s="3">
        <f>IF(A53="","",MONTH(A53))</f>
        <v/>
      </c>
      <c r="C53" s="3">
        <f>IF(A53="","",CHOOSE(MONTH(A53),"январь","февраль","март","апрель","май","июнь","июль","август","сентябрь","октябрь","ноябрь","декабрь"))</f>
        <v/>
      </c>
      <c r="D53" s="5">
        <f>IF(Ввод_данных!C53="","",Ввод_данных!C53)</f>
        <v/>
      </c>
      <c r="E53" s="5">
        <f>IF(Ввод_данных!D53="","",Ввод_данных!D53)</f>
        <v/>
      </c>
      <c r="F53" s="5">
        <f>IF(E53="","",IF(MAX($E5 у.е.:$E6 у.е.4)=0,"",E53/MAX($E5 у.е.:$E6 у.е.4)*100))</f>
        <v/>
      </c>
      <c r="G53" s="5">
        <f>IF(COUNT(D53,F53)=0,"",IF(COUNT(D53,F53)=2,D53*Настройки!$B4 у.е.+F53*Настройки!$B5 у.е.,IF(D53&lt;&gt;"",D53,F53)))</f>
        <v/>
      </c>
      <c r="H53" s="5">
        <f>IF(OR(G53="",COUNT($G5 у.е.:G53)&lt;12),"",AVERAGE(G42:G53))</f>
        <v/>
      </c>
      <c r="I53" s="5">
        <f>IF(OR(G53="",H53="",H53=0),"",G53/H53)</f>
        <v/>
      </c>
      <c r="J53" s="5">
        <f>IF(OR(G53="",IFERROR(VLOOKUP(B53,Сезонность!$A4 у.е.:$D1 у.е.5,4,FALSE),0)=0),"",G53/IFERROR(VLOOKUP(B53,Сезонность!$A4 у.е.:$D1 у.е.5,4,FALSE),1))</f>
        <v/>
      </c>
      <c r="K53" s="5">
        <f>IF(OR(G53="",H53="",H53=0,IFERROR(VLOOKUP(B53,Сезонность!$A4 у.е.:$D1 у.е.5,4,FALSE),0)=0),"",G53/(H53*IFERROR(VLOOKUP(B53,Сезонность!$A4 у.е.:$D1 у.е.5,4,FALSE),1)))</f>
        <v/>
      </c>
      <c r="L53" s="3">
        <f>IF(K53="","",IF(K53&lt;Настройки!$B1 у.е.1,"ниже тренда",IF(K53&gt;Настройки!$B1 у.е.2,"выше тренда","норма")))</f>
        <v/>
      </c>
      <c r="M53" s="3">
        <f>IF(L53="","",IF(L53="ниже тренда","возможное ослабление интереса",IF(L53="выше тренда","возможная фаза повышенного интереса","без выраженного отклонения")))</f>
        <v/>
      </c>
      <c r="N53" s="7">
        <f>IF(G53="","",COUNT($G5 у.е.:G53))</f>
        <v/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>
        <f>IF(Ввод_данных!A54="","",Ввод_данных!A54)</f>
        <v/>
      </c>
      <c r="B54" s="3">
        <f>IF(A54="","",MONTH(A54))</f>
        <v/>
      </c>
      <c r="C54" s="3">
        <f>IF(A54="","",CHOOSE(MONTH(A54),"январь","февраль","март","апрель","май","июнь","июль","август","сентябрь","октябрь","ноябрь","декабрь"))</f>
        <v/>
      </c>
      <c r="D54" s="5">
        <f>IF(Ввод_данных!C54="","",Ввод_данных!C54)</f>
        <v/>
      </c>
      <c r="E54" s="5">
        <f>IF(Ввод_данных!D54="","",Ввод_данных!D54)</f>
        <v/>
      </c>
      <c r="F54" s="5">
        <f>IF(E54="","",IF(MAX($E5 у.е.:$E6 у.е.4)=0,"",E54/MAX($E5 у.е.:$E6 у.е.4)*100))</f>
        <v/>
      </c>
      <c r="G54" s="5">
        <f>IF(COUNT(D54,F54)=0,"",IF(COUNT(D54,F54)=2,D54*Настройки!$B4 у.е.+F54*Настройки!$B5 у.е.,IF(D54&lt;&gt;"",D54,F54)))</f>
        <v/>
      </c>
      <c r="H54" s="5">
        <f>IF(OR(G54="",COUNT($G5 у.е.:G54)&lt;12),"",AVERAGE(G43:G54))</f>
        <v/>
      </c>
      <c r="I54" s="5">
        <f>IF(OR(G54="",H54="",H54=0),"",G54/H54)</f>
        <v/>
      </c>
      <c r="J54" s="5">
        <f>IF(OR(G54="",IFERROR(VLOOKUP(B54,Сезонность!$A4 у.е.:$D1 у.е.5,4,FALSE),0)=0),"",G54/IFERROR(VLOOKUP(B54,Сезонность!$A4 у.е.:$D1 у.е.5,4,FALSE),1))</f>
        <v/>
      </c>
      <c r="K54" s="5">
        <f>IF(OR(G54="",H54="",H54=0,IFERROR(VLOOKUP(B54,Сезонность!$A4 у.е.:$D1 у.е.5,4,FALSE),0)=0),"",G54/(H54*IFERROR(VLOOKUP(B54,Сезонность!$A4 у.е.:$D1 у.е.5,4,FALSE),1)))</f>
        <v/>
      </c>
      <c r="L54" s="3">
        <f>IF(K54="","",IF(K54&lt;Настройки!$B1 у.е.1,"ниже тренда",IF(K54&gt;Настройки!$B1 у.е.2,"выше тренда","норма")))</f>
        <v/>
      </c>
      <c r="M54" s="3">
        <f>IF(L54="","",IF(L54="ниже тренда","возможное ослабление интереса",IF(L54="выше тренда","возможная фаза повышенного интереса","без выраженного отклонения")))</f>
        <v/>
      </c>
      <c r="N54" s="7">
        <f>IF(G54="","",COUNT($G5 у.е.:G54))</f>
        <v/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>
        <f>IF(Ввод_данных!A55="","",Ввод_данных!A55)</f>
        <v/>
      </c>
      <c r="B55" s="3">
        <f>IF(A55="","",MONTH(A55))</f>
        <v/>
      </c>
      <c r="C55" s="3">
        <f>IF(A55="","",CHOOSE(MONTH(A55),"январь","февраль","март","апрель","май","июнь","июль","август","сентябрь","октябрь","ноябрь","декабрь"))</f>
        <v/>
      </c>
      <c r="D55" s="5">
        <f>IF(Ввод_данных!C55="","",Ввод_данных!C55)</f>
        <v/>
      </c>
      <c r="E55" s="5">
        <f>IF(Ввод_данных!D55="","",Ввод_данных!D55)</f>
        <v/>
      </c>
      <c r="F55" s="5">
        <f>IF(E55="","",IF(MAX($E5 у.е.:$E6 у.е.4)=0,"",E55/MAX($E5 у.е.:$E6 у.е.4)*100))</f>
        <v/>
      </c>
      <c r="G55" s="5">
        <f>IF(COUNT(D55,F55)=0,"",IF(COUNT(D55,F55)=2,D55*Настройки!$B4 у.е.+F55*Настройки!$B5 у.е.,IF(D55&lt;&gt;"",D55,F55)))</f>
        <v/>
      </c>
      <c r="H55" s="5">
        <f>IF(OR(G55="",COUNT($G5 у.е.:G55)&lt;12),"",AVERAGE(G44:G55))</f>
        <v/>
      </c>
      <c r="I55" s="5">
        <f>IF(OR(G55="",H55="",H55=0),"",G55/H55)</f>
        <v/>
      </c>
      <c r="J55" s="5">
        <f>IF(OR(G55="",IFERROR(VLOOKUP(B55,Сезонность!$A4 у.е.:$D1 у.е.5,4,FALSE),0)=0),"",G55/IFERROR(VLOOKUP(B55,Сезонность!$A4 у.е.:$D1 у.е.5,4,FALSE),1))</f>
        <v/>
      </c>
      <c r="K55" s="5">
        <f>IF(OR(G55="",H55="",H55=0,IFERROR(VLOOKUP(B55,Сезонность!$A4 у.е.:$D1 у.е.5,4,FALSE),0)=0),"",G55/(H55*IFERROR(VLOOKUP(B55,Сезонность!$A4 у.е.:$D1 у.е.5,4,FALSE),1)))</f>
        <v/>
      </c>
      <c r="L55" s="3">
        <f>IF(K55="","",IF(K55&lt;Настройки!$B1 у.е.1,"ниже тренда",IF(K55&gt;Настройки!$B1 у.е.2,"выше тренда","норма")))</f>
        <v/>
      </c>
      <c r="M55" s="3">
        <f>IF(L55="","",IF(L55="ниже тренда","возможное ослабление интереса",IF(L55="выше тренда","возможная фаза повышенного интереса","без выраженного отклонения")))</f>
        <v/>
      </c>
      <c r="N55" s="7">
        <f>IF(G55="","",COUNT($G5 у.е.:G55))</f>
        <v/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>
        <f>IF(Ввод_данных!A56="","",Ввод_данных!A56)</f>
        <v/>
      </c>
      <c r="B56" s="3">
        <f>IF(A56="","",MONTH(A56))</f>
        <v/>
      </c>
      <c r="C56" s="3">
        <f>IF(A56="","",CHOOSE(MONTH(A56),"январь","февраль","март","апрель","май","июнь","июль","август","сентябрь","октябрь","ноябрь","декабрь"))</f>
        <v/>
      </c>
      <c r="D56" s="5">
        <f>IF(Ввод_данных!C56="","",Ввод_данных!C56)</f>
        <v/>
      </c>
      <c r="E56" s="5">
        <f>IF(Ввод_данных!D56="","",Ввод_данных!D56)</f>
        <v/>
      </c>
      <c r="F56" s="5">
        <f>IF(E56="","",IF(MAX($E5 у.е.:$E6 у.е.4)=0,"",E56/MAX($E5 у.е.:$E6 у.е.4)*100))</f>
        <v/>
      </c>
      <c r="G56" s="5">
        <f>IF(COUNT(D56,F56)=0,"",IF(COUNT(D56,F56)=2,D56*Настройки!$B4 у.е.+F56*Настройки!$B5 у.е.,IF(D56&lt;&gt;"",D56,F56)))</f>
        <v/>
      </c>
      <c r="H56" s="5">
        <f>IF(OR(G56="",COUNT($G5 у.е.:G56)&lt;12),"",AVERAGE(G45:G56))</f>
        <v/>
      </c>
      <c r="I56" s="5">
        <f>IF(OR(G56="",H56="",H56=0),"",G56/H56)</f>
        <v/>
      </c>
      <c r="J56" s="5">
        <f>IF(OR(G56="",IFERROR(VLOOKUP(B56,Сезонность!$A4 у.е.:$D1 у.е.5,4,FALSE),0)=0),"",G56/IFERROR(VLOOKUP(B56,Сезонность!$A4 у.е.:$D1 у.е.5,4,FALSE),1))</f>
        <v/>
      </c>
      <c r="K56" s="5">
        <f>IF(OR(G56="",H56="",H56=0,IFERROR(VLOOKUP(B56,Сезонность!$A4 у.е.:$D1 у.е.5,4,FALSE),0)=0),"",G56/(H56*IFERROR(VLOOKUP(B56,Сезонность!$A4 у.е.:$D1 у.е.5,4,FALSE),1)))</f>
        <v/>
      </c>
      <c r="L56" s="3">
        <f>IF(K56="","",IF(K56&lt;Настройки!$B1 у.е.1,"ниже тренда",IF(K56&gt;Настройки!$B1 у.е.2,"выше тренда","норма")))</f>
        <v/>
      </c>
      <c r="M56" s="3">
        <f>IF(L56="","",IF(L56="ниже тренда","возможное ослабление интереса",IF(L56="выше тренда","возможная фаза повышенного интереса","без выраженного отклонения")))</f>
        <v/>
      </c>
      <c r="N56" s="7">
        <f>IF(G56="","",COUNT($G5 у.е.:G56))</f>
        <v/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>
        <f>IF(Ввод_данных!A57="","",Ввод_данных!A57)</f>
        <v/>
      </c>
      <c r="B57" s="3">
        <f>IF(A57="","",MONTH(A57))</f>
        <v/>
      </c>
      <c r="C57" s="3">
        <f>IF(A57="","",CHOOSE(MONTH(A57),"январь","февраль","март","апрель","май","июнь","июль","август","сентябрь","октябрь","ноябрь","декабрь"))</f>
        <v/>
      </c>
      <c r="D57" s="5">
        <f>IF(Ввод_данных!C57="","",Ввод_данных!C57)</f>
        <v/>
      </c>
      <c r="E57" s="5">
        <f>IF(Ввод_данных!D57="","",Ввод_данных!D57)</f>
        <v/>
      </c>
      <c r="F57" s="5">
        <f>IF(E57="","",IF(MAX($E5 у.е.:$E6 у.е.4)=0,"",E57/MAX($E5 у.е.:$E6 у.е.4)*100))</f>
        <v/>
      </c>
      <c r="G57" s="5">
        <f>IF(COUNT(D57,F57)=0,"",IF(COUNT(D57,F57)=2,D57*Настройки!$B4 у.е.+F57*Настройки!$B5 у.е.,IF(D57&lt;&gt;"",D57,F57)))</f>
        <v/>
      </c>
      <c r="H57" s="5">
        <f>IF(OR(G57="",COUNT($G5 у.е.:G57)&lt;12),"",AVERAGE(G46:G57))</f>
        <v/>
      </c>
      <c r="I57" s="5">
        <f>IF(OR(G57="",H57="",H57=0),"",G57/H57)</f>
        <v/>
      </c>
      <c r="J57" s="5">
        <f>IF(OR(G57="",IFERROR(VLOOKUP(B57,Сезонность!$A4 у.е.:$D1 у.е.5,4,FALSE),0)=0),"",G57/IFERROR(VLOOKUP(B57,Сезонность!$A4 у.е.:$D1 у.е.5,4,FALSE),1))</f>
        <v/>
      </c>
      <c r="K57" s="5">
        <f>IF(OR(G57="",H57="",H57=0,IFERROR(VLOOKUP(B57,Сезонность!$A4 у.е.:$D1 у.е.5,4,FALSE),0)=0),"",G57/(H57*IFERROR(VLOOKUP(B57,Сезонность!$A4 у.е.:$D1 у.е.5,4,FALSE),1)))</f>
        <v/>
      </c>
      <c r="L57" s="3">
        <f>IF(K57="","",IF(K57&lt;Настройки!$B1 у.е.1,"ниже тренда",IF(K57&gt;Настройки!$B1 у.е.2,"выше тренда","норма")))</f>
        <v/>
      </c>
      <c r="M57" s="3">
        <f>IF(L57="","",IF(L57="ниже тренда","возможное ослабление интереса",IF(L57="выше тренда","возможная фаза повышенного интереса","без выраженного отклонения")))</f>
        <v/>
      </c>
      <c r="N57" s="7">
        <f>IF(G57="","",COUNT($G5 у.е.:G57))</f>
        <v/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>
        <f>IF(Ввод_данных!A58="","",Ввод_данных!A58)</f>
        <v/>
      </c>
      <c r="B58" s="3">
        <f>IF(A58="","",MONTH(A58))</f>
        <v/>
      </c>
      <c r="C58" s="3">
        <f>IF(A58="","",CHOOSE(MONTH(A58),"январь","февраль","март","апрель","май","июнь","июль","август","сентябрь","октябрь","ноябрь","декабрь"))</f>
        <v/>
      </c>
      <c r="D58" s="5">
        <f>IF(Ввод_данных!C58="","",Ввод_данных!C58)</f>
        <v/>
      </c>
      <c r="E58" s="5">
        <f>IF(Ввод_данных!D58="","",Ввод_данных!D58)</f>
        <v/>
      </c>
      <c r="F58" s="5">
        <f>IF(E58="","",IF(MAX($E5 у.е.:$E6 у.е.4)=0,"",E58/MAX($E5 у.е.:$E6 у.е.4)*100))</f>
        <v/>
      </c>
      <c r="G58" s="5">
        <f>IF(COUNT(D58,F58)=0,"",IF(COUNT(D58,F58)=2,D58*Настройки!$B4 у.е.+F58*Настройки!$B5 у.е.,IF(D58&lt;&gt;"",D58,F58)))</f>
        <v/>
      </c>
      <c r="H58" s="5">
        <f>IF(OR(G58="",COUNT($G5 у.е.:G58)&lt;12),"",AVERAGE(G47:G58))</f>
        <v/>
      </c>
      <c r="I58" s="5">
        <f>IF(OR(G58="",H58="",H58=0),"",G58/H58)</f>
        <v/>
      </c>
      <c r="J58" s="5">
        <f>IF(OR(G58="",IFERROR(VLOOKUP(B58,Сезонность!$A4 у.е.:$D1 у.е.5,4,FALSE),0)=0),"",G58/IFERROR(VLOOKUP(B58,Сезонность!$A4 у.е.:$D1 у.е.5,4,FALSE),1))</f>
        <v/>
      </c>
      <c r="K58" s="5">
        <f>IF(OR(G58="",H58="",H58=0,IFERROR(VLOOKUP(B58,Сезонность!$A4 у.е.:$D1 у.е.5,4,FALSE),0)=0),"",G58/(H58*IFERROR(VLOOKUP(B58,Сезонность!$A4 у.е.:$D1 у.е.5,4,FALSE),1)))</f>
        <v/>
      </c>
      <c r="L58" s="3">
        <f>IF(K58="","",IF(K58&lt;Настройки!$B1 у.е.1,"ниже тренда",IF(K58&gt;Настройки!$B1 у.е.2,"выше тренда","норма")))</f>
        <v/>
      </c>
      <c r="M58" s="3">
        <f>IF(L58="","",IF(L58="ниже тренда","возможное ослабление интереса",IF(L58="выше тренда","возможная фаза повышенного интереса","без выраженного отклонения")))</f>
        <v/>
      </c>
      <c r="N58" s="7">
        <f>IF(G58="","",COUNT($G5 у.е.:G58))</f>
        <v/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>
        <f>IF(Ввод_данных!A59="","",Ввод_данных!A59)</f>
        <v/>
      </c>
      <c r="B59" s="3">
        <f>IF(A59="","",MONTH(A59))</f>
        <v/>
      </c>
      <c r="C59" s="3">
        <f>IF(A59="","",CHOOSE(MONTH(A59),"январь","февраль","март","апрель","май","июнь","июль","август","сентябрь","октябрь","ноябрь","декабрь"))</f>
        <v/>
      </c>
      <c r="D59" s="5">
        <f>IF(Ввод_данных!C59="","",Ввод_данных!C59)</f>
        <v/>
      </c>
      <c r="E59" s="5">
        <f>IF(Ввод_данных!D59="","",Ввод_данных!D59)</f>
        <v/>
      </c>
      <c r="F59" s="5">
        <f>IF(E59="","",IF(MAX($E5 у.е.:$E6 у.е.4)=0,"",E59/MAX($E5 у.е.:$E6 у.е.4)*100))</f>
        <v/>
      </c>
      <c r="G59" s="5">
        <f>IF(COUNT(D59,F59)=0,"",IF(COUNT(D59,F59)=2,D59*Настройки!$B4 у.е.+F59*Настройки!$B5 у.е.,IF(D59&lt;&gt;"",D59,F59)))</f>
        <v/>
      </c>
      <c r="H59" s="5">
        <f>IF(OR(G59="",COUNT($G5 у.е.:G59)&lt;12),"",AVERAGE(G48:G59))</f>
        <v/>
      </c>
      <c r="I59" s="5">
        <f>IF(OR(G59="",H59="",H59=0),"",G59/H59)</f>
        <v/>
      </c>
      <c r="J59" s="5">
        <f>IF(OR(G59="",IFERROR(VLOOKUP(B59,Сезонность!$A4 у.е.:$D1 у.е.5,4,FALSE),0)=0),"",G59/IFERROR(VLOOKUP(B59,Сезонность!$A4 у.е.:$D1 у.е.5,4,FALSE),1))</f>
        <v/>
      </c>
      <c r="K59" s="5">
        <f>IF(OR(G59="",H59="",H59=0,IFERROR(VLOOKUP(B59,Сезонность!$A4 у.е.:$D1 у.е.5,4,FALSE),0)=0),"",G59/(H59*IFERROR(VLOOKUP(B59,Сезонность!$A4 у.е.:$D1 у.е.5,4,FALSE),1)))</f>
        <v/>
      </c>
      <c r="L59" s="3">
        <f>IF(K59="","",IF(K59&lt;Настройки!$B1 у.е.1,"ниже тренда",IF(K59&gt;Настройки!$B1 у.е.2,"выше тренда","норма")))</f>
        <v/>
      </c>
      <c r="M59" s="3">
        <f>IF(L59="","",IF(L59="ниже тренда","возможное ослабление интереса",IF(L59="выше тренда","возможная фаза повышенного интереса","без выраженного отклонения")))</f>
        <v/>
      </c>
      <c r="N59" s="7">
        <f>IF(G59="","",COUNT($G5 у.е.:G59))</f>
        <v/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>
        <f>IF(Ввод_данных!A60="","",Ввод_данных!A60)</f>
        <v/>
      </c>
      <c r="B60" s="3">
        <f>IF(A60="","",MONTH(A60))</f>
        <v/>
      </c>
      <c r="C60" s="3">
        <f>IF(A60="","",CHOOSE(MONTH(A60),"январь","февраль","март","апрель","май","июнь","июль","август","сентябрь","октябрь","ноябрь","декабрь"))</f>
        <v/>
      </c>
      <c r="D60" s="5">
        <f>IF(Ввод_данных!C60="","",Ввод_данных!C60)</f>
        <v/>
      </c>
      <c r="E60" s="5">
        <f>IF(Ввод_данных!D60="","",Ввод_данных!D60)</f>
        <v/>
      </c>
      <c r="F60" s="5">
        <f>IF(E60="","",IF(MAX($E5 у.е.:$E6 у.е.4)=0,"",E60/MAX($E5 у.е.:$E6 у.е.4)*100))</f>
        <v/>
      </c>
      <c r="G60" s="5">
        <f>IF(COUNT(D60,F60)=0,"",IF(COUNT(D60,F60)=2,D60*Настройки!$B4 у.е.+F60*Настройки!$B5 у.е.,IF(D60&lt;&gt;"",D60,F60)))</f>
        <v/>
      </c>
      <c r="H60" s="5">
        <f>IF(OR(G60="",COUNT($G5 у.е.:G60)&lt;12),"",AVERAGE(G49:G60))</f>
        <v/>
      </c>
      <c r="I60" s="5">
        <f>IF(OR(G60="",H60="",H60=0),"",G60/H60)</f>
        <v/>
      </c>
      <c r="J60" s="5">
        <f>IF(OR(G60="",IFERROR(VLOOKUP(B60,Сезонность!$A4 у.е.:$D1 у.е.5,4,FALSE),0)=0),"",G60/IFERROR(VLOOKUP(B60,Сезонность!$A4 у.е.:$D1 у.е.5,4,FALSE),1))</f>
        <v/>
      </c>
      <c r="K60" s="5">
        <f>IF(OR(G60="",H60="",H60=0,IFERROR(VLOOKUP(B60,Сезонность!$A4 у.е.:$D1 у.е.5,4,FALSE),0)=0),"",G60/(H60*IFERROR(VLOOKUP(B60,Сезонность!$A4 у.е.:$D1 у.е.5,4,FALSE),1)))</f>
        <v/>
      </c>
      <c r="L60" s="3">
        <f>IF(K60="","",IF(K60&lt;Настройки!$B1 у.е.1,"ниже тренда",IF(K60&gt;Настройки!$B1 у.е.2,"выше тренда","норма")))</f>
        <v/>
      </c>
      <c r="M60" s="3">
        <f>IF(L60="","",IF(L60="ниже тренда","возможное ослабление интереса",IF(L60="выше тренда","возможная фаза повышенного интереса","без выраженного отклонения")))</f>
        <v/>
      </c>
      <c r="N60" s="7">
        <f>IF(G60="","",COUNT($G5 у.е.:G60))</f>
        <v/>
      </c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>
        <f>IF(Ввод_данных!A61="","",Ввод_данных!A61)</f>
        <v/>
      </c>
      <c r="B61" s="3">
        <f>IF(A61="","",MONTH(A61))</f>
        <v/>
      </c>
      <c r="C61" s="3">
        <f>IF(A61="","",CHOOSE(MONTH(A61),"январь","февраль","март","апрель","май","июнь","июль","август","сентябрь","октябрь","ноябрь","декабрь"))</f>
        <v/>
      </c>
      <c r="D61" s="5">
        <f>IF(Ввод_данных!C61="","",Ввод_данных!C61)</f>
        <v/>
      </c>
      <c r="E61" s="5">
        <f>IF(Ввод_данных!D61="","",Ввод_данных!D61)</f>
        <v/>
      </c>
      <c r="F61" s="5">
        <f>IF(E61="","",IF(MAX($E5 у.е.:$E6 у.е.4)=0,"",E61/MAX($E5 у.е.:$E6 у.е.4)*100))</f>
        <v/>
      </c>
      <c r="G61" s="5">
        <f>IF(COUNT(D61,F61)=0,"",IF(COUNT(D61,F61)=2,D61*Настройки!$B4 у.е.+F61*Настройки!$B5 у.е.,IF(D61&lt;&gt;"",D61,F61)))</f>
        <v/>
      </c>
      <c r="H61" s="5">
        <f>IF(OR(G61="",COUNT($G5 у.е.:G61)&lt;12),"",AVERAGE(G50:G61))</f>
        <v/>
      </c>
      <c r="I61" s="5">
        <f>IF(OR(G61="",H61="",H61=0),"",G61/H61)</f>
        <v/>
      </c>
      <c r="J61" s="5">
        <f>IF(OR(G61="",IFERROR(VLOOKUP(B61,Сезонность!$A4 у.е.:$D1 у.е.5,4,FALSE),0)=0),"",G61/IFERROR(VLOOKUP(B61,Сезонность!$A4 у.е.:$D1 у.е.5,4,FALSE),1))</f>
        <v/>
      </c>
      <c r="K61" s="5">
        <f>IF(OR(G61="",H61="",H61=0,IFERROR(VLOOKUP(B61,Сезонность!$A4 у.е.:$D1 у.е.5,4,FALSE),0)=0),"",G61/(H61*IFERROR(VLOOKUP(B61,Сезонность!$A4 у.е.:$D1 у.е.5,4,FALSE),1)))</f>
        <v/>
      </c>
      <c r="L61" s="3">
        <f>IF(K61="","",IF(K61&lt;Настройки!$B1 у.е.1,"ниже тренда",IF(K61&gt;Настройки!$B1 у.е.2,"выше тренда","норма")))</f>
        <v/>
      </c>
      <c r="M61" s="3">
        <f>IF(L61="","",IF(L61="ниже тренда","возможное ослабление интереса",IF(L61="выше тренда","возможная фаза повышенного интереса","без выраженного отклонения")))</f>
        <v/>
      </c>
      <c r="N61" s="7">
        <f>IF(G61="","",COUNT($G5 у.е.:G61))</f>
        <v/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>
        <f>IF(Ввод_данных!A62="","",Ввод_данных!A62)</f>
        <v/>
      </c>
      <c r="B62" s="3">
        <f>IF(A62="","",MONTH(A62))</f>
        <v/>
      </c>
      <c r="C62" s="3">
        <f>IF(A62="","",CHOOSE(MONTH(A62),"январь","февраль","март","апрель","май","июнь","июль","август","сентябрь","октябрь","ноябрь","декабрь"))</f>
        <v/>
      </c>
      <c r="D62" s="5">
        <f>IF(Ввод_данных!C62="","",Ввод_данных!C62)</f>
        <v/>
      </c>
      <c r="E62" s="5">
        <f>IF(Ввод_данных!D62="","",Ввод_данных!D62)</f>
        <v/>
      </c>
      <c r="F62" s="5">
        <f>IF(E62="","",IF(MAX($E5 у.е.:$E6 у.е.4)=0,"",E62/MAX($E5 у.е.:$E6 у.е.4)*100))</f>
        <v/>
      </c>
      <c r="G62" s="5">
        <f>IF(COUNT(D62,F62)=0,"",IF(COUNT(D62,F62)=2,D62*Настройки!$B4 у.е.+F62*Настройки!$B5 у.е.,IF(D62&lt;&gt;"",D62,F62)))</f>
        <v/>
      </c>
      <c r="H62" s="5">
        <f>IF(OR(G62="",COUNT($G5 у.е.:G62)&lt;12),"",AVERAGE(G51:G62))</f>
        <v/>
      </c>
      <c r="I62" s="5">
        <f>IF(OR(G62="",H62="",H62=0),"",G62/H62)</f>
        <v/>
      </c>
      <c r="J62" s="5">
        <f>IF(OR(G62="",IFERROR(VLOOKUP(B62,Сезонность!$A4 у.е.:$D1 у.е.5,4,FALSE),0)=0),"",G62/IFERROR(VLOOKUP(B62,Сезонность!$A4 у.е.:$D1 у.е.5,4,FALSE),1))</f>
        <v/>
      </c>
      <c r="K62" s="5">
        <f>IF(OR(G62="",H62="",H62=0,IFERROR(VLOOKUP(B62,Сезонность!$A4 у.е.:$D1 у.е.5,4,FALSE),0)=0),"",G62/(H62*IFERROR(VLOOKUP(B62,Сезонность!$A4 у.е.:$D1 у.е.5,4,FALSE),1)))</f>
        <v/>
      </c>
      <c r="L62" s="3">
        <f>IF(K62="","",IF(K62&lt;Настройки!$B1 у.е.1,"ниже тренда",IF(K62&gt;Настройки!$B1 у.е.2,"выше тренда","норма")))</f>
        <v/>
      </c>
      <c r="M62" s="3">
        <f>IF(L62="","",IF(L62="ниже тренда","возможное ослабление интереса",IF(L62="выше тренда","возможная фаза повышенного интереса","без выраженного отклонения")))</f>
        <v/>
      </c>
      <c r="N62" s="7">
        <f>IF(G62="","",COUNT($G5 у.е.:G62))</f>
        <v/>
      </c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>
        <f>IF(Ввод_данных!A63="","",Ввод_данных!A63)</f>
        <v/>
      </c>
      <c r="B63" s="3">
        <f>IF(A63="","",MONTH(A63))</f>
        <v/>
      </c>
      <c r="C63" s="3">
        <f>IF(A63="","",CHOOSE(MONTH(A63),"январь","февраль","март","апрель","май","июнь","июль","август","сентябрь","октябрь","ноябрь","декабрь"))</f>
        <v/>
      </c>
      <c r="D63" s="5">
        <f>IF(Ввод_данных!C63="","",Ввод_данных!C63)</f>
        <v/>
      </c>
      <c r="E63" s="5">
        <f>IF(Ввод_данных!D63="","",Ввод_данных!D63)</f>
        <v/>
      </c>
      <c r="F63" s="5">
        <f>IF(E63="","",IF(MAX($E5 у.е.:$E6 у.е.4)=0,"",E63/MAX($E5 у.е.:$E6 у.е.4)*100))</f>
        <v/>
      </c>
      <c r="G63" s="5">
        <f>IF(COUNT(D63,F63)=0,"",IF(COUNT(D63,F63)=2,D63*Настройки!$B4 у.е.+F63*Настройки!$B5 у.е.,IF(D63&lt;&gt;"",D63,F63)))</f>
        <v/>
      </c>
      <c r="H63" s="5">
        <f>IF(OR(G63="",COUNT($G5 у.е.:G63)&lt;12),"",AVERAGE(G52:G63))</f>
        <v/>
      </c>
      <c r="I63" s="5">
        <f>IF(OR(G63="",H63="",H63=0),"",G63/H63)</f>
        <v/>
      </c>
      <c r="J63" s="5">
        <f>IF(OR(G63="",IFERROR(VLOOKUP(B63,Сезонность!$A4 у.е.:$D1 у.е.5,4,FALSE),0)=0),"",G63/IFERROR(VLOOKUP(B63,Сезонность!$A4 у.е.:$D1 у.е.5,4,FALSE),1))</f>
        <v/>
      </c>
      <c r="K63" s="5">
        <f>IF(OR(G63="",H63="",H63=0,IFERROR(VLOOKUP(B63,Сезонность!$A4 у.е.:$D1 у.е.5,4,FALSE),0)=0),"",G63/(H63*IFERROR(VLOOKUP(B63,Сезонность!$A4 у.е.:$D1 у.е.5,4,FALSE),1)))</f>
        <v/>
      </c>
      <c r="L63" s="3">
        <f>IF(K63="","",IF(K63&lt;Настройки!$B1 у.е.1,"ниже тренда",IF(K63&gt;Настройки!$B1 у.е.2,"выше тренда","норма")))</f>
        <v/>
      </c>
      <c r="M63" s="3">
        <f>IF(L63="","",IF(L63="ниже тренда","возможное ослабление интереса",IF(L63="выше тренда","возможная фаза повышенного интереса","без выраженного отклонения")))</f>
        <v/>
      </c>
      <c r="N63" s="7">
        <f>IF(G63="","",COUNT($G5 у.е.:G63))</f>
        <v/>
      </c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>
        <f>IF(Ввод_данных!A64="","",Ввод_данных!A64)</f>
        <v/>
      </c>
      <c r="B64" s="3">
        <f>IF(A64="","",MONTH(A64))</f>
        <v/>
      </c>
      <c r="C64" s="3">
        <f>IF(A64="","",CHOOSE(MONTH(A64),"январь","февраль","март","апрель","май","июнь","июль","август","сентябрь","октябрь","ноябрь","декабрь"))</f>
        <v/>
      </c>
      <c r="D64" s="5">
        <f>IF(Ввод_данных!C64="","",Ввод_данных!C64)</f>
        <v/>
      </c>
      <c r="E64" s="5">
        <f>IF(Ввод_данных!D64="","",Ввод_данных!D64)</f>
        <v/>
      </c>
      <c r="F64" s="5">
        <f>IF(E64="","",IF(MAX($E5 у.е.:$E6 у.е.4)=0,"",E64/MAX($E5 у.е.:$E6 у.е.4)*100))</f>
        <v/>
      </c>
      <c r="G64" s="5">
        <f>IF(COUNT(D64,F64)=0,"",IF(COUNT(D64,F64)=2,D64*Настройки!$B4 у.е.+F64*Настройки!$B5 у.е.,IF(D64&lt;&gt;"",D64,F64)))</f>
        <v/>
      </c>
      <c r="H64" s="5">
        <f>IF(OR(G64="",COUNT($G5 у.е.:G64)&lt;12),"",AVERAGE(G53:G64))</f>
        <v/>
      </c>
      <c r="I64" s="5">
        <f>IF(OR(G64="",H64="",H64=0),"",G64/H64)</f>
        <v/>
      </c>
      <c r="J64" s="5">
        <f>IF(OR(G64="",IFERROR(VLOOKUP(B64,Сезонность!$A4 у.е.:$D1 у.е.5,4,FALSE),0)=0),"",G64/IFERROR(VLOOKUP(B64,Сезонность!$A4 у.е.:$D1 у.е.5,4,FALSE),1))</f>
        <v/>
      </c>
      <c r="K64" s="5">
        <f>IF(OR(G64="",H64="",H64=0,IFERROR(VLOOKUP(B64,Сезонность!$A4 у.е.:$D1 у.е.5,4,FALSE),0)=0),"",G64/(H64*IFERROR(VLOOKUP(B64,Сезонность!$A4 у.е.:$D1 у.е.5,4,FALSE),1)))</f>
        <v/>
      </c>
      <c r="L64" s="3">
        <f>IF(K64="","",IF(K64&lt;Настройки!$B1 у.е.1,"ниже тренда",IF(K64&gt;Настройки!$B1 у.е.2,"выше тренда","норма")))</f>
        <v/>
      </c>
      <c r="M64" s="3">
        <f>IF(L64="","",IF(L64="ниже тренда","возможное ослабление интереса",IF(L64="выше тренда","возможная фаза повышенного интереса","без выраженного отклонения")))</f>
        <v/>
      </c>
      <c r="N64" s="7">
        <f>IF(G64="","",COUNT($G5 у.е.:G64))</f>
        <v/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</sheetData>
  <mergeCells count="2">
    <mergeCell ref="A2:N2"/>
    <mergeCell ref="A1:N1"/>
  </mergeCells>
  <conditionalFormatting sqref="K5:K64">
    <cfRule type="cellIs" priority="1" operator="lessThan" dxfId="1">
      <formula>0.9</formula>
    </cfRule>
    <cfRule type="cellIs" priority="2" operator="greaterThan" dxfId="0">
      <formula>1.1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L20" sqref="L20"/>
    </sheetView>
  </sheetViews>
  <sheetFormatPr baseColWidth="8" defaultRowHeight="14.25"/>
  <cols>
    <col width="18.625" customWidth="1" min="1" max="1"/>
    <col width="16" customWidth="1" min="2" max="3"/>
    <col width="18" customWidth="1" min="4" max="4"/>
    <col width="20" customWidth="1" min="5" max="5"/>
    <col width="28" customWidth="1" min="6" max="6"/>
  </cols>
  <sheetData>
    <row r="1" ht="27.95" customHeight="1">
      <c r="A1" s="11" t="inlineStr">
        <is>
          <t>Расчет сезонных индексов по месяцам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Месяц №</t>
        </is>
      </c>
      <c r="B3" s="13" t="inlineStr">
        <is>
          <t>Месяц</t>
        </is>
      </c>
      <c r="C3" s="13" t="inlineStr">
        <is>
          <t>Средний Y/T</t>
        </is>
      </c>
      <c r="D3" s="13" t="inlineStr">
        <is>
          <t>Сезонный индекс</t>
        </is>
      </c>
      <c r="E3" s="13" t="inlineStr">
        <is>
          <t>Отклонение от среднего</t>
        </is>
      </c>
      <c r="F3" s="13" t="inlineStr">
        <is>
          <t>Интерпретация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n">
        <v>1</v>
      </c>
      <c r="B4" s="3" t="inlineStr">
        <is>
          <t>январь</t>
        </is>
      </c>
      <c r="C4" s="5">
        <f>IFERROR(SUMIFS(Расчет!$I5 у.е.:$I6 у.е.4,Расчет!$B5 у.е.:$B6 у.е.4,A4)/COUNTIFS(Расчет!$B5 у.е.:$B6 у.е.4,A4,Расчет!$I5 у.е.:$I6 у.е.4,"&gt;0"),"")</f>
        <v/>
      </c>
      <c r="D4" s="5">
        <f>IF(C4="","",C4/AVERAGE($C4 у.е.:$C1 у.е.5))</f>
        <v/>
      </c>
      <c r="E4" s="5">
        <f>IF(D4="","",D4-1)</f>
        <v/>
      </c>
      <c r="F4" s="3">
        <f>IF(D4="","",IF(D4&gt;1.1,"сезонный максимум",IF(D4&lt;0.9,"сезонный минимум","средний сезонный уровень")))</f>
        <v/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n">
        <v>2</v>
      </c>
      <c r="B5" s="3" t="inlineStr">
        <is>
          <t>февраль</t>
        </is>
      </c>
      <c r="C5" s="5">
        <f>IFERROR(SUMIFS(Расчет!$I5 у.е.:$I6 у.е.4,Расчет!$B5 у.е.:$B6 у.е.4,A5)/COUNTIFS(Расчет!$B5 у.е.:$B6 у.е.4,A5,Расчет!$I5 у.е.:$I6 у.е.4,"&gt;0"),"")</f>
        <v/>
      </c>
      <c r="D5" s="5">
        <f>IF(C5="","",C5/AVERAGE($C4 у.е.:$C1 у.е.5))</f>
        <v/>
      </c>
      <c r="E5" s="5">
        <f>IF(D5="","",D5-1)</f>
        <v/>
      </c>
      <c r="F5" s="3">
        <f>IF(D5="","",IF(D5&gt;1.1,"сезонный максимум",IF(D5&lt;0.9,"сезонный минимум","средний сезонный уровень")))</f>
        <v/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n">
        <v>3</v>
      </c>
      <c r="B6" s="3" t="inlineStr">
        <is>
          <t>март</t>
        </is>
      </c>
      <c r="C6" s="5">
        <f>IFERROR(SUMIFS(Расчет!$I5 у.е.:$I6 у.е.4,Расчет!$B5 у.е.:$B6 у.е.4,A6)/COUNTIFS(Расчет!$B5 у.е.:$B6 у.е.4,A6,Расчет!$I5 у.е.:$I6 у.е.4,"&gt;0"),"")</f>
        <v/>
      </c>
      <c r="D6" s="5">
        <f>IF(C6="","",C6/AVERAGE($C4 у.е.:$C1 у.е.5))</f>
        <v/>
      </c>
      <c r="E6" s="5">
        <f>IF(D6="","",D6-1)</f>
        <v/>
      </c>
      <c r="F6" s="3">
        <f>IF(D6="","",IF(D6&gt;1.1,"сезонный максимум",IF(D6&lt;0.9,"сезонный минимум","средний сезонный уровень")))</f>
        <v/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n">
        <v>4</v>
      </c>
      <c r="B7" s="3" t="inlineStr">
        <is>
          <t>апрель</t>
        </is>
      </c>
      <c r="C7" s="5">
        <f>IFERROR(SUMIFS(Расчет!$I5 у.е.:$I6 у.е.4,Расчет!$B5 у.е.:$B6 у.е.4,A7)/COUNTIFS(Расчет!$B5 у.е.:$B6 у.е.4,A7,Расчет!$I5 у.е.:$I6 у.е.4,"&gt;0"),"")</f>
        <v/>
      </c>
      <c r="D7" s="5">
        <f>IF(C7="","",C7/AVERAGE($C4 у.е.:$C1 у.е.5))</f>
        <v/>
      </c>
      <c r="E7" s="5">
        <f>IF(D7="","",D7-1)</f>
        <v/>
      </c>
      <c r="F7" s="3">
        <f>IF(D7="","",IF(D7&gt;1.1,"сезонный максимум",IF(D7&lt;0.9,"сезонный минимум","средний сезонный уровень")))</f>
        <v/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n">
        <v>5</v>
      </c>
      <c r="B8" s="3" t="inlineStr">
        <is>
          <t>май</t>
        </is>
      </c>
      <c r="C8" s="5">
        <f>IFERROR(SUMIFS(Расчет!$I5 у.е.:$I6 у.е.4,Расчет!$B5 у.е.:$B6 у.е.4,A8)/COUNTIFS(Расчет!$B5 у.е.:$B6 у.е.4,A8,Расчет!$I5 у.е.:$I6 у.е.4,"&gt;0"),"")</f>
        <v/>
      </c>
      <c r="D8" s="5">
        <f>IF(C8="","",C8/AVERAGE($C4 у.е.:$C1 у.е.5))</f>
        <v/>
      </c>
      <c r="E8" s="5">
        <f>IF(D8="","",D8-1)</f>
        <v/>
      </c>
      <c r="F8" s="3">
        <f>IF(D8="","",IF(D8&gt;1.1,"сезонный максимум",IF(D8&lt;0.9,"сезонный минимум","средний сезонный уровень")))</f>
        <v/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n">
        <v>6</v>
      </c>
      <c r="B9" s="3" t="inlineStr">
        <is>
          <t>июнь</t>
        </is>
      </c>
      <c r="C9" s="5">
        <f>IFERROR(SUMIFS(Расчет!$I5 у.е.:$I6 у.е.4,Расчет!$B5 у.е.:$B6 у.е.4,A9)/COUNTIFS(Расчет!$B5 у.е.:$B6 у.е.4,A9,Расчет!$I5 у.е.:$I6 у.е.4,"&gt;0"),"")</f>
        <v/>
      </c>
      <c r="D9" s="5">
        <f>IF(C9="","",C9/AVERAGE($C4 у.е.:$C1 у.е.5))</f>
        <v/>
      </c>
      <c r="E9" s="5">
        <f>IF(D9="","",D9-1)</f>
        <v/>
      </c>
      <c r="F9" s="3">
        <f>IF(D9="","",IF(D9&gt;1.1,"сезонный максимум",IF(D9&lt;0.9,"сезонный минимум","средний сезонный уровень")))</f>
        <v/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n">
        <v>7</v>
      </c>
      <c r="B10" s="3" t="inlineStr">
        <is>
          <t>июль</t>
        </is>
      </c>
      <c r="C10" s="5">
        <f>IFERROR(SUMIFS(Расчет!$I5 у.е.:$I6 у.е.4,Расчет!$B5 у.е.:$B6 у.е.4,A10)/COUNTIFS(Расчет!$B5 у.е.:$B6 у.е.4,A10,Расчет!$I5 у.е.:$I6 у.е.4,"&gt;0"),"")</f>
        <v/>
      </c>
      <c r="D10" s="5">
        <f>IF(C10="","",C10/AVERAGE($C4 у.е.:$C1 у.е.5))</f>
        <v/>
      </c>
      <c r="E10" s="5">
        <f>IF(D10="","",D10-1)</f>
        <v/>
      </c>
      <c r="F10" s="3">
        <f>IF(D10="","",IF(D10&gt;1.1,"сезонный максимум",IF(D10&lt;0.9,"сезонный минимум","средний сезонный уровень")))</f>
        <v/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n">
        <v>8</v>
      </c>
      <c r="B11" s="3" t="inlineStr">
        <is>
          <t>август</t>
        </is>
      </c>
      <c r="C11" s="5">
        <f>IFERROR(SUMIFS(Расчет!$I5 у.е.:$I6 у.е.4,Расчет!$B5 у.е.:$B6 у.е.4,A11)/COUNTIFS(Расчет!$B5 у.е.:$B6 у.е.4,A11,Расчет!$I5 у.е.:$I6 у.е.4,"&gt;0"),"")</f>
        <v/>
      </c>
      <c r="D11" s="5">
        <f>IF(C11="","",C11/AVERAGE($C4 у.е.:$C1 у.е.5))</f>
        <v/>
      </c>
      <c r="E11" s="5">
        <f>IF(D11="","",D11-1)</f>
        <v/>
      </c>
      <c r="F11" s="3">
        <f>IF(D11="","",IF(D11&gt;1.1,"сезонный максимум",IF(D11&lt;0.9,"сезонный минимум","средний сезонный уровень")))</f>
        <v/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n">
        <v>9</v>
      </c>
      <c r="B12" s="3" t="inlineStr">
        <is>
          <t>сентябрь</t>
        </is>
      </c>
      <c r="C12" s="5">
        <f>IFERROR(SUMIFS(Расчет!$I5 у.е.:$I6 у.е.4,Расчет!$B5 у.е.:$B6 у.е.4,A12)/COUNTIFS(Расчет!$B5 у.е.:$B6 у.е.4,A12,Расчет!$I5 у.е.:$I6 у.е.4,"&gt;0"),"")</f>
        <v/>
      </c>
      <c r="D12" s="5">
        <f>IF(C12="","",C12/AVERAGE($C4 у.е.:$C1 у.е.5))</f>
        <v/>
      </c>
      <c r="E12" s="5">
        <f>IF(D12="","",D12-1)</f>
        <v/>
      </c>
      <c r="F12" s="3">
        <f>IF(D12="","",IF(D12&gt;1.1,"сезонный максимум",IF(D12&lt;0.9,"сезонный минимум","средний сезонный уровень")))</f>
        <v/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3" t="n">
        <v>10</v>
      </c>
      <c r="B13" s="3" t="inlineStr">
        <is>
          <t>октябрь</t>
        </is>
      </c>
      <c r="C13" s="5">
        <f>IFERROR(SUMIFS(Расчет!$I5 у.е.:$I6 у.е.4,Расчет!$B5 у.е.:$B6 у.е.4,A13)/COUNTIFS(Расчет!$B5 у.е.:$B6 у.е.4,A13,Расчет!$I5 у.е.:$I6 у.е.4,"&gt;0"),"")</f>
        <v/>
      </c>
      <c r="D13" s="5">
        <f>IF(C13="","",C13/AVERAGE($C4 у.е.:$C1 у.е.5))</f>
        <v/>
      </c>
      <c r="E13" s="5">
        <f>IF(D13="","",D13-1)</f>
        <v/>
      </c>
      <c r="F13" s="3">
        <f>IF(D13="","",IF(D13&gt;1.1,"сезонный максимум",IF(D13&lt;0.9,"сезонный минимум","средний сезонный уровень")))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3" t="n">
        <v>11</v>
      </c>
      <c r="B14" s="3" t="inlineStr">
        <is>
          <t>ноябрь</t>
        </is>
      </c>
      <c r="C14" s="5">
        <f>IFERROR(SUMIFS(Расчет!$I5 у.е.:$I6 у.е.4,Расчет!$B5 у.е.:$B6 у.е.4,A14)/COUNTIFS(Расчет!$B5 у.е.:$B6 у.е.4,A14,Расчет!$I5 у.е.:$I6 у.е.4,"&gt;0"),"")</f>
        <v/>
      </c>
      <c r="D14" s="5">
        <f>IF(C14="","",C14/AVERAGE($C4 у.е.:$C1 у.е.5))</f>
        <v/>
      </c>
      <c r="E14" s="5">
        <f>IF(D14="","",D14-1)</f>
        <v/>
      </c>
      <c r="F14" s="3">
        <f>IF(D14="","",IF(D14&gt;1.1,"сезонный максимум",IF(D14&lt;0.9,"сезонный минимум","средний сезонный уровень")))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3" t="n">
        <v>12</v>
      </c>
      <c r="B15" s="3" t="inlineStr">
        <is>
          <t>декабрь</t>
        </is>
      </c>
      <c r="C15" s="5">
        <f>IFERROR(SUMIFS(Расчет!$I5 у.е.:$I6 у.е.4,Расчет!$B5 у.е.:$B6 у.е.4,A15)/COUNTIFS(Расчет!$B5 у.е.:$B6 у.е.4,A15,Расчет!$I5 у.е.:$I6 у.е.4,"&gt;0"),"")</f>
        <v/>
      </c>
      <c r="D15" s="5">
        <f>IF(C15="","",C15/AVERAGE($C4 у.е.:$C1 у.е.5))</f>
        <v/>
      </c>
      <c r="E15" s="5">
        <f>IF(D15="","",D15-1)</f>
        <v/>
      </c>
      <c r="F15" s="3">
        <f>IF(D15="","",IF(D15&gt;1.1,"сезонный максимум",IF(D15&lt;0.9,"сезонный минимум","средний сезонный уровень")))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3" t="n"/>
      <c r="B16" s="3" t="n"/>
      <c r="C16" s="3" t="n"/>
      <c r="D16" s="3" t="n"/>
      <c r="E16" s="3" t="n"/>
      <c r="F16" s="3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3" t="n"/>
      <c r="B17" s="3" t="n"/>
      <c r="C17" s="3" t="n"/>
      <c r="D17" s="3" t="n"/>
      <c r="E17" s="3" t="n"/>
      <c r="F17" s="3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3" t="inlineStr">
        <is>
          <t>Показатель</t>
        </is>
      </c>
      <c r="B18" s="13" t="inlineStr">
        <is>
          <t>Значение</t>
        </is>
      </c>
      <c r="C18" s="3" t="n"/>
      <c r="D18" s="3" t="n"/>
      <c r="E18" s="3" t="n"/>
      <c r="F18" s="3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5.5" customHeight="1">
      <c r="A19" s="15" t="inlineStr">
        <is>
          <t>Максимальный сезонный индекс</t>
        </is>
      </c>
      <c r="B19" s="16">
        <f>MAX($D4 у.е.:$D1 у.е.5)</f>
        <v/>
      </c>
      <c r="C19" s="3" t="n"/>
      <c r="D19" s="3" t="n"/>
      <c r="E19" s="3" t="n"/>
      <c r="F19" s="3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5.5" customHeight="1">
      <c r="A20" s="15" t="inlineStr">
        <is>
          <t>Минимальный сезонный индекс</t>
        </is>
      </c>
      <c r="B20" s="16">
        <f>MIN($D4 у.е.:$D1 у.е.5)</f>
        <v/>
      </c>
      <c r="C20" s="3" t="n"/>
      <c r="D20" s="3" t="n"/>
      <c r="E20" s="3" t="n"/>
      <c r="F20" s="3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5" t="inlineStr">
        <is>
          <t>Амплитуда сезонности</t>
        </is>
      </c>
      <c r="B21" s="16">
        <f>B19-B20</f>
        <v/>
      </c>
      <c r="C21" s="3" t="n"/>
      <c r="D21" s="3" t="n"/>
      <c r="E21" s="3" t="n"/>
      <c r="F21" s="3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5.5" customHeight="1">
      <c r="A22" s="15" t="inlineStr">
        <is>
          <t>Оценка силы сезонности</t>
        </is>
      </c>
      <c r="B22" s="15">
        <f>IF(B21&gt;=Настройки!$B7 у.е.,"выраженная сезонность",IF(B21&gt;=Настройки!$B8 у.е.,"умеренная сезонность","слабая сезонность"))</f>
        <v/>
      </c>
      <c r="C22" s="3" t="n"/>
      <c r="D22" s="3" t="n"/>
      <c r="E22" s="3" t="n"/>
      <c r="F22" s="3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5" t="inlineStr">
        <is>
          <t>Месяц максимума</t>
        </is>
      </c>
      <c r="B23" s="15">
        <f>IFERROR(INDEX($B4 у.е.:$B1 у.е.5,MATCH(B19,$D4 у.е.:$D1 у.е.5,0)),"")</f>
        <v/>
      </c>
      <c r="C23" s="3" t="n"/>
      <c r="D23" s="3" t="n"/>
      <c r="E23" s="3" t="n"/>
      <c r="F23" s="3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5" t="inlineStr">
        <is>
          <t>Месяц минимума</t>
        </is>
      </c>
      <c r="B24" s="15">
        <f>IFERROR(INDEX($B4 у.е.:$B1 у.е.5,MATCH(B20,$D4 у.е.:$D1 у.е.5,0)),"")</f>
        <v/>
      </c>
      <c r="C24" s="3" t="n"/>
      <c r="D24" s="3" t="n"/>
      <c r="E24" s="3" t="n"/>
      <c r="F24" s="3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I22" sqref="I22"/>
    </sheetView>
  </sheetViews>
  <sheetFormatPr baseColWidth="8" defaultRowHeight="14.25"/>
  <cols>
    <col width="34" customWidth="1" min="1" max="1"/>
    <col width="26" customWidth="1" min="2" max="2"/>
    <col width="46" customWidth="1" min="3" max="3"/>
    <col width="48" customWidth="1" min="4" max="4"/>
  </cols>
  <sheetData>
    <row r="1" ht="27.95" customHeight="1">
      <c r="A1" s="11" t="inlineStr">
        <is>
          <t>Оценка устойчивой динамики интереса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Показатель</t>
        </is>
      </c>
      <c r="B3" s="13" t="inlineStr">
        <is>
          <t>Формула / значение</t>
        </is>
      </c>
      <c r="C3" s="13" t="inlineStr">
        <is>
          <t>Интерпретация</t>
        </is>
      </c>
      <c r="D3" s="13" t="inlineStr">
        <is>
          <t>Комментарий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Количество наблюдений</t>
        </is>
      </c>
      <c r="B4" s="3">
        <f>COUNT(Расчет!$G5 у.е.:$G6 у.е.4)</f>
        <v/>
      </c>
      <c r="C4" s="3" t="inlineStr">
        <is>
          <t>минимально желательно не менее 24 месяцев</t>
        </is>
      </c>
      <c r="D4" s="3" t="inlineStr">
        <is>
          <t>чем длиннее ряд, тем надежнее оценка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inlineStr">
        <is>
          <t>Средний индекс за первые 12 месяцев</t>
        </is>
      </c>
      <c r="B5" s="5">
        <f>IF(B4&lt;12,"",SUMIFS(Расчет!$G5 у.е.:$G6 у.е.4,Расчет!$N5 у.е.:$N6 у.е.4,"&gt;=1",Расчет!$N5 у.е.:$N6 у.е.4,"&lt;=12")/COUNTIFS(Расчет!$N5 у.е.:$N6 у.е.4,"&gt;=1",Расчет!$N5 у.е.:$N6 у.е.4,"&lt;=12"))</f>
        <v/>
      </c>
      <c r="C5" s="3" t="inlineStr">
        <is>
          <t>исходный уровень интереса</t>
        </is>
      </c>
      <c r="D5" s="3" t="inlineStr">
        <is>
          <t>используется для сравнения с последним годом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Средний индекс за последние 12 месяцев</t>
        </is>
      </c>
      <c r="B6" s="5">
        <f>IF(B4&lt;12,"",SUMIFS(Расчет!$G5 у.е.:$G6 у.е.4,Расчет!$N5 у.е.:$N6 у.е.4,"&gt;="&amp;B4-11,Расчет!$N5 у.е.:$N6 у.е.4,"&lt;="&amp;B4)/COUNTIFS(Расчет!$N5 у.е.:$N6 у.е.4,"&gt;="&amp;B4-11,Расчет!$N5 у.е.:$N6 у.е.4,"&lt;="&amp;B4))</f>
        <v/>
      </c>
      <c r="C6" s="3" t="inlineStr">
        <is>
          <t>текущий уровень интереса</t>
        </is>
      </c>
      <c r="D6" s="3" t="inlineStr">
        <is>
          <t>сравнивается с первым годом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inlineStr">
        <is>
          <t>Абсолютное изменение</t>
        </is>
      </c>
      <c r="B7" s="5">
        <f>IF(OR(B5="",B6=""),"",B6-B5)</f>
        <v/>
      </c>
      <c r="C7" s="3" t="inlineStr">
        <is>
          <t>последние 12 месяцев минус первые 12 месяцев</t>
        </is>
      </c>
      <c r="D7" s="3" t="inlineStr">
        <is>
          <t>положительное значение означает рост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inlineStr">
        <is>
          <t>Относительное изменение</t>
        </is>
      </c>
      <c r="B8" s="4">
        <f>IF(OR(B5="",B6=""),"",B7/B5)</f>
        <v/>
      </c>
      <c r="C8" s="3" t="inlineStr">
        <is>
          <t>темп изменения среднего уровня</t>
        </is>
      </c>
      <c r="D8" s="3" t="inlineStr">
        <is>
          <t>ключевой показатель тренда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Наклон линейного тренда</t>
        </is>
      </c>
      <c r="B9" s="5">
        <f>IFERROR(SLOPE(Расчет!$G5 у.е.:$G6 у.е.4,Расчет!$N5 у.е.:$N6 у.е.4),"")</f>
        <v/>
      </c>
      <c r="C9" s="3" t="inlineStr">
        <is>
          <t>среднее изменение за месяц</t>
        </is>
      </c>
      <c r="D9" s="3" t="inlineStr">
        <is>
          <t>дополнительная оценка направления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Классификация тренда</t>
        </is>
      </c>
      <c r="B10" s="3">
        <f>IF(B8="","",IF(B8&gt;=Настройки!$B1 у.е.0,"растущий тренд",IF(B8&lt;=Настройки!$B9 у.е.,"снижающийся тренд","стабильный тренд")))</f>
        <v/>
      </c>
      <c r="C10" s="3" t="inlineStr">
        <is>
          <t>растущий / стабильный / снижающийся</t>
        </is>
      </c>
      <c r="D10" s="3" t="inlineStr">
        <is>
          <t>по порогам на листе «Настройки»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51" customHeight="1">
      <c r="A11" s="3" t="inlineStr">
        <is>
          <t>Управленческий вывод</t>
        </is>
      </c>
      <c r="B11" s="3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/>
      </c>
      <c r="C11" s="3" t="inlineStr">
        <is>
          <t>готовая формулировка для отчета</t>
        </is>
      </c>
      <c r="D11" s="3" t="inlineStr">
        <is>
          <t>используется в обосновании бизнес-идеи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K27" sqref="K27"/>
    </sheetView>
  </sheetViews>
  <sheetFormatPr baseColWidth="8" defaultRowHeight="14.25"/>
  <cols>
    <col width="29.25" customWidth="1" min="1" max="1"/>
    <col width="16" customWidth="1" min="2" max="2"/>
    <col width="14" customWidth="1" min="3" max="3"/>
    <col width="16" customWidth="1" min="4" max="4"/>
    <col width="22" customWidth="1" min="5" max="5"/>
    <col width="18" customWidth="1" min="6" max="6"/>
    <col width="16" customWidth="1" min="7" max="7"/>
    <col width="42" customWidth="1" min="8" max="8"/>
  </cols>
  <sheetData>
    <row r="1" ht="27.95" customHeight="1">
      <c r="A1" s="11" t="inlineStr">
        <is>
          <t>Оценка циклических отклонений и фаз спроса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3" t="inlineStr">
        <is>
          <t>Показатель</t>
        </is>
      </c>
      <c r="B4" s="13" t="inlineStr">
        <is>
          <t>Значение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Последний период</t>
        </is>
      </c>
      <c r="B5" s="8">
        <f>IFERROR(INDEX(Расчет!$A5 у.е.:$A6 у.е.4,Оценка_тренда!$B4 у.е.),"")</f>
        <v/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inlineStr">
        <is>
          <t>Текущий циклический коэффициент</t>
        </is>
      </c>
      <c r="B6" s="9">
        <f>IFERROR(INDEX(Расчет!$K5 у.е.:$K6 у.е.4,Оценка_тренда!$B4 у.е.),"")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inlineStr">
        <is>
          <t>Текущая фаза</t>
        </is>
      </c>
      <c r="B7" s="9">
        <f>IFERROR(INDEX(Расчет!$L5 у.е.:$L6 у.е.4,Оценка_тренда!$B4 у.е.),"")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inlineStr">
        <is>
          <t>Минимальный коэффициент</t>
        </is>
      </c>
      <c r="B8" s="9">
        <f>MIN(Расчет!$K5 у.е.:$K6 у.е.4)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inlineStr">
        <is>
          <t>Максимальный коэффициент</t>
        </is>
      </c>
      <c r="B9" s="9">
        <f>MAX(Расчет!$K5 у.е.:$K6 у.е.4)</f>
        <v/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Амплитуда циклических колебаний</t>
        </is>
      </c>
      <c r="B10" s="9">
        <f>B9-B8</f>
        <v/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>
      <c r="A13" s="13" t="inlineStr">
        <is>
          <t>Период</t>
        </is>
      </c>
      <c r="B13" s="13" t="inlineStr">
        <is>
          <t>Сводный индекс</t>
        </is>
      </c>
      <c r="C13" s="13" t="inlineStr">
        <is>
          <t>Тренд</t>
        </is>
      </c>
      <c r="D13" s="13" t="inlineStr">
        <is>
          <t>Сезонный индекс</t>
        </is>
      </c>
      <c r="E13" s="13" t="inlineStr">
        <is>
          <t>Сезонно очищенный индекс</t>
        </is>
      </c>
      <c r="F13" s="13" t="inlineStr">
        <is>
          <t>Циклический коэффициент</t>
        </is>
      </c>
      <c r="G13" s="13" t="inlineStr">
        <is>
          <t>Фаза</t>
        </is>
      </c>
      <c r="H13" s="13" t="inlineStr">
        <is>
          <t>Практическое значение</t>
        </is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>
        <f>Расчет!A5</f>
        <v/>
      </c>
      <c r="B14" s="5">
        <f>Расчет!G5</f>
        <v/>
      </c>
      <c r="C14" s="5">
        <f>Расчет!H5</f>
        <v/>
      </c>
      <c r="D14" s="5">
        <f>IFERROR(VLOOKUP(Расчет!B5,Сезонность!$A4 у.е.:$D1 у.е.5,4,FALSE),"")</f>
        <v/>
      </c>
      <c r="E14" s="5">
        <f>Расчет!J5</f>
        <v/>
      </c>
      <c r="F14" s="5">
        <f>Расчет!K5</f>
        <v/>
      </c>
      <c r="G14" s="3">
        <f>Расчет!L5</f>
        <v/>
      </c>
      <c r="H14" s="3">
        <f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>
        <f>Расчет!A6</f>
        <v/>
      </c>
      <c r="B15" s="5">
        <f>Расчет!G6</f>
        <v/>
      </c>
      <c r="C15" s="5">
        <f>Расчет!H6</f>
        <v/>
      </c>
      <c r="D15" s="5">
        <f>IFERROR(VLOOKUP(Расчет!B6,Сезонность!$A4 у.е.:$D1 у.е.5,4,FALSE),"")</f>
        <v/>
      </c>
      <c r="E15" s="5">
        <f>Расчет!J6</f>
        <v/>
      </c>
      <c r="F15" s="5">
        <f>Расчет!K6</f>
        <v/>
      </c>
      <c r="G15" s="3">
        <f>Расчет!L6</f>
        <v/>
      </c>
      <c r="H15" s="3">
        <f>IF(G15="","",IF(G15="ниже тренда","период осторожного планирования продаж и бюджета",IF(G15="выше тренда","период активизации продвижения и продаж","обычный режим анализа спроса")))</f>
        <v/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>
        <f>Расчет!A7</f>
        <v/>
      </c>
      <c r="B16" s="5">
        <f>Расчет!G7</f>
        <v/>
      </c>
      <c r="C16" s="5">
        <f>Расчет!H7</f>
        <v/>
      </c>
      <c r="D16" s="5">
        <f>IFERROR(VLOOKUP(Расчет!B7,Сезонность!$A4 у.е.:$D1 у.е.5,4,FALSE),"")</f>
        <v/>
      </c>
      <c r="E16" s="5">
        <f>Расчет!J7</f>
        <v/>
      </c>
      <c r="F16" s="5">
        <f>Расчет!K7</f>
        <v/>
      </c>
      <c r="G16" s="3">
        <f>Расчет!L7</f>
        <v/>
      </c>
      <c r="H16" s="3">
        <f>IF(G16="","",IF(G16="ниже тренда","период осторожного планирования продаж и бюджета",IF(G16="выше тренда","период активизации продвижения и продаж","обычный режим анализа спроса")))</f>
        <v/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>
        <f>Расчет!A8</f>
        <v/>
      </c>
      <c r="B17" s="5">
        <f>Расчет!G8</f>
        <v/>
      </c>
      <c r="C17" s="5">
        <f>Расчет!H8</f>
        <v/>
      </c>
      <c r="D17" s="5">
        <f>IFERROR(VLOOKUP(Расчет!B8,Сезонность!$A4 у.е.:$D1 у.е.5,4,FALSE),"")</f>
        <v/>
      </c>
      <c r="E17" s="5">
        <f>Расчет!J8</f>
        <v/>
      </c>
      <c r="F17" s="5">
        <f>Расчет!K8</f>
        <v/>
      </c>
      <c r="G17" s="3">
        <f>Расчет!L8</f>
        <v/>
      </c>
      <c r="H17" s="3">
        <f>IF(G17="","",IF(G17="ниже тренда","период осторожного планирования продаж и бюджета",IF(G17="выше тренда","период активизации продвижения и продаж","обычный режим анализа спроса")))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>
        <f>Расчет!A9</f>
        <v/>
      </c>
      <c r="B18" s="5">
        <f>Расчет!G9</f>
        <v/>
      </c>
      <c r="C18" s="5">
        <f>Расчет!H9</f>
        <v/>
      </c>
      <c r="D18" s="5">
        <f>IFERROR(VLOOKUP(Расчет!B9,Сезонность!$A4 у.е.:$D1 у.е.5,4,FALSE),"")</f>
        <v/>
      </c>
      <c r="E18" s="5">
        <f>Расчет!J9</f>
        <v/>
      </c>
      <c r="F18" s="5">
        <f>Расчет!K9</f>
        <v/>
      </c>
      <c r="G18" s="3">
        <f>Расчет!L9</f>
        <v/>
      </c>
      <c r="H18" s="3">
        <f>IF(G18="","",IF(G18="ниже тренда","период осторожного планирования продаж и бюджета",IF(G18="выше тренда","период активизации продвижения и продаж","обычный режим анализа спроса")))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>
        <f>Расчет!A10</f>
        <v/>
      </c>
      <c r="B19" s="5">
        <f>Расчет!G10</f>
        <v/>
      </c>
      <c r="C19" s="5">
        <f>Расчет!H10</f>
        <v/>
      </c>
      <c r="D19" s="5">
        <f>IFERROR(VLOOKUP(Расчет!B10,Сезонность!$A4 у.е.:$D1 у.е.5,4,FALSE),"")</f>
        <v/>
      </c>
      <c r="E19" s="5">
        <f>Расчет!J10</f>
        <v/>
      </c>
      <c r="F19" s="5">
        <f>Расчет!K10</f>
        <v/>
      </c>
      <c r="G19" s="3">
        <f>Расчет!L10</f>
        <v/>
      </c>
      <c r="H19" s="3">
        <f>IF(G19="","",IF(G19="ниже тренда","период осторожного планирования продаж и бюджета",IF(G19="выше тренда","период активизации продвижения и продаж","обычный режим анализа спроса")))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>
        <f>Расчет!A11</f>
        <v/>
      </c>
      <c r="B20" s="5">
        <f>Расчет!G11</f>
        <v/>
      </c>
      <c r="C20" s="5">
        <f>Расчет!H11</f>
        <v/>
      </c>
      <c r="D20" s="5">
        <f>IFERROR(VLOOKUP(Расчет!B11,Сезонность!$A4 у.е.:$D1 у.е.5,4,FALSE),"")</f>
        <v/>
      </c>
      <c r="E20" s="5">
        <f>Расчет!J11</f>
        <v/>
      </c>
      <c r="F20" s="5">
        <f>Расчет!K11</f>
        <v/>
      </c>
      <c r="G20" s="3">
        <f>Расчет!L11</f>
        <v/>
      </c>
      <c r="H20" s="3">
        <f>IF(G20="","",IF(G20="ниже тренда","период осторожного планирования продаж и бюджета",IF(G20="выше тренда","период активизации продвижения и продаж","обычный режим анализа спроса")))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>
        <f>Расчет!A12</f>
        <v/>
      </c>
      <c r="B21" s="5">
        <f>Расчет!G12</f>
        <v/>
      </c>
      <c r="C21" s="5">
        <f>Расчет!H12</f>
        <v/>
      </c>
      <c r="D21" s="5">
        <f>IFERROR(VLOOKUP(Расчет!B12,Сезонность!$A4 у.е.:$D1 у.е.5,4,FALSE),"")</f>
        <v/>
      </c>
      <c r="E21" s="5">
        <f>Расчет!J12</f>
        <v/>
      </c>
      <c r="F21" s="5">
        <f>Расчет!K12</f>
        <v/>
      </c>
      <c r="G21" s="3">
        <f>Расчет!L12</f>
        <v/>
      </c>
      <c r="H21" s="3">
        <f>IF(G21="","",IF(G21="ниже тренда","период осторожного планирования продаж и бюджета",IF(G21="выше тренда","период активизации продвижения и продаж","обычный режим анализа спроса")))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>
        <f>Расчет!A13</f>
        <v/>
      </c>
      <c r="B22" s="5">
        <f>Расчет!G13</f>
        <v/>
      </c>
      <c r="C22" s="5">
        <f>Расчет!H13</f>
        <v/>
      </c>
      <c r="D22" s="5">
        <f>IFERROR(VLOOKUP(Расчет!B13,Сезонность!$A4 у.е.:$D1 у.е.5,4,FALSE),"")</f>
        <v/>
      </c>
      <c r="E22" s="5">
        <f>Расчет!J13</f>
        <v/>
      </c>
      <c r="F22" s="5">
        <f>Расчет!K13</f>
        <v/>
      </c>
      <c r="G22" s="3">
        <f>Расчет!L13</f>
        <v/>
      </c>
      <c r="H22" s="3">
        <f>IF(G22="","",IF(G22="ниже тренда","период осторожного планирования продаж и бюджета",IF(G22="выше тренда","период активизации продвижения и продаж","обычный режим анализа спроса")))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>
        <f>Расчет!A14</f>
        <v/>
      </c>
      <c r="B23" s="5">
        <f>Расчет!G14</f>
        <v/>
      </c>
      <c r="C23" s="5">
        <f>Расчет!H14</f>
        <v/>
      </c>
      <c r="D23" s="5">
        <f>IFERROR(VLOOKUP(Расчет!B14,Сезонность!$A4 у.е.:$D1 у.е.5,4,FALSE),"")</f>
        <v/>
      </c>
      <c r="E23" s="5">
        <f>Расчет!J14</f>
        <v/>
      </c>
      <c r="F23" s="5">
        <f>Расчет!K14</f>
        <v/>
      </c>
      <c r="G23" s="3">
        <f>Расчет!L14</f>
        <v/>
      </c>
      <c r="H23" s="3">
        <f>IF(G23="","",IF(G23="ниже тренда","период осторожного планирования продаж и бюджета",IF(G23="выше тренда","период активизации продвижения и продаж","обычный режим анализа спроса")))</f>
        <v/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>
        <f>Расчет!A15</f>
        <v/>
      </c>
      <c r="B24" s="5">
        <f>Расчет!G15</f>
        <v/>
      </c>
      <c r="C24" s="5">
        <f>Расчет!H15</f>
        <v/>
      </c>
      <c r="D24" s="5">
        <f>IFERROR(VLOOKUP(Расчет!B15,Сезонность!$A4 у.е.:$D1 у.е.5,4,FALSE),"")</f>
        <v/>
      </c>
      <c r="E24" s="5">
        <f>Расчет!J15</f>
        <v/>
      </c>
      <c r="F24" s="5">
        <f>Расчет!K15</f>
        <v/>
      </c>
      <c r="G24" s="3">
        <f>Расчет!L15</f>
        <v/>
      </c>
      <c r="H24" s="3">
        <f>IF(G24="","",IF(G24="ниже тренда","период осторожного планирования продаж и бюджета",IF(G24="выше тренда","период активизации продвижения и продаж","обычный режим анализа спроса")))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>
        <f>Расчет!A16</f>
        <v/>
      </c>
      <c r="B25" s="5">
        <f>Расчет!G16</f>
        <v/>
      </c>
      <c r="C25" s="5">
        <f>Расчет!H16</f>
        <v/>
      </c>
      <c r="D25" s="5">
        <f>IFERROR(VLOOKUP(Расчет!B16,Сезонность!$A4 у.е.:$D1 у.е.5,4,FALSE),"")</f>
        <v/>
      </c>
      <c r="E25" s="5">
        <f>Расчет!J16</f>
        <v/>
      </c>
      <c r="F25" s="5">
        <f>Расчет!K16</f>
        <v/>
      </c>
      <c r="G25" s="3">
        <f>Расчет!L16</f>
        <v/>
      </c>
      <c r="H25" s="3">
        <f>IF(G25="","",IF(G25="ниже тренда","период осторожного планирования продаж и бюджета",IF(G25="выше тренда","период активизации продвижения и продаж","обычный режим анализа спроса")))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>
        <f>Расчет!A17</f>
        <v/>
      </c>
      <c r="B26" s="5">
        <f>Расчет!G17</f>
        <v/>
      </c>
      <c r="C26" s="5">
        <f>Расчет!H17</f>
        <v/>
      </c>
      <c r="D26" s="5">
        <f>IFERROR(VLOOKUP(Расчет!B17,Сезонность!$A4 у.е.:$D1 у.е.5,4,FALSE),"")</f>
        <v/>
      </c>
      <c r="E26" s="5">
        <f>Расчет!J17</f>
        <v/>
      </c>
      <c r="F26" s="5">
        <f>Расчет!K17</f>
        <v/>
      </c>
      <c r="G26" s="3">
        <f>Расчет!L17</f>
        <v/>
      </c>
      <c r="H26" s="3">
        <f>IF(G26="","",IF(G26="ниже тренда","период осторожного планирования продаж и бюджета",IF(G26="выше тренда","период активизации продвижения и продаж","обычный режим анализа спроса")))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>
        <f>Расчет!A18</f>
        <v/>
      </c>
      <c r="B27" s="5">
        <f>Расчет!G18</f>
        <v/>
      </c>
      <c r="C27" s="5">
        <f>Расчет!H18</f>
        <v/>
      </c>
      <c r="D27" s="5">
        <f>IFERROR(VLOOKUP(Расчет!B18,Сезонность!$A4 у.е.:$D1 у.е.5,4,FALSE),"")</f>
        <v/>
      </c>
      <c r="E27" s="5">
        <f>Расчет!J18</f>
        <v/>
      </c>
      <c r="F27" s="5">
        <f>Расчет!K18</f>
        <v/>
      </c>
      <c r="G27" s="3">
        <f>Расчет!L18</f>
        <v/>
      </c>
      <c r="H27" s="3">
        <f>IF(G27="","",IF(G27="ниже тренда","период осторожного планирования продаж и бюджета",IF(G27="выше тренда","период активизации продвижения и продаж","обычный режим анализа спроса")))</f>
        <v/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>
        <f>Расчет!A19</f>
        <v/>
      </c>
      <c r="B28" s="5">
        <f>Расчет!G19</f>
        <v/>
      </c>
      <c r="C28" s="5">
        <f>Расчет!H19</f>
        <v/>
      </c>
      <c r="D28" s="5">
        <f>IFERROR(VLOOKUP(Расчет!B19,Сезонность!$A4 у.е.:$D1 у.е.5,4,FALSE),"")</f>
        <v/>
      </c>
      <c r="E28" s="5">
        <f>Расчет!J19</f>
        <v/>
      </c>
      <c r="F28" s="5">
        <f>Расчет!K19</f>
        <v/>
      </c>
      <c r="G28" s="3">
        <f>Расчет!L19</f>
        <v/>
      </c>
      <c r="H28" s="3">
        <f>IF(G28="","",IF(G28="ниже тренда","период осторожного планирования продаж и бюджета",IF(G28="выше тренда","период активизации продвижения и продаж","обычный режим анализа спроса")))</f>
        <v/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>
        <f>Расчет!A20</f>
        <v/>
      </c>
      <c r="B29" s="5">
        <f>Расчет!G20</f>
        <v/>
      </c>
      <c r="C29" s="5">
        <f>Расчет!H20</f>
        <v/>
      </c>
      <c r="D29" s="5">
        <f>IFERROR(VLOOKUP(Расчет!B20,Сезонность!$A4 у.е.:$D1 у.е.5,4,FALSE),"")</f>
        <v/>
      </c>
      <c r="E29" s="5">
        <f>Расчет!J20</f>
        <v/>
      </c>
      <c r="F29" s="5">
        <f>Расчет!K20</f>
        <v/>
      </c>
      <c r="G29" s="3">
        <f>Расчет!L20</f>
        <v/>
      </c>
      <c r="H29" s="3">
        <f>IF(G29="","",IF(G29="ниже тренда","период осторожного планирования продаж и бюджета",IF(G29="выше тренда","период активизации продвижения и продаж","обычный режим анализа спроса")))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>
        <f>Расчет!A21</f>
        <v/>
      </c>
      <c r="B30" s="5">
        <f>Расчет!G21</f>
        <v/>
      </c>
      <c r="C30" s="5">
        <f>Расчет!H21</f>
        <v/>
      </c>
      <c r="D30" s="5">
        <f>IFERROR(VLOOKUP(Расчет!B21,Сезонность!$A4 у.е.:$D1 у.е.5,4,FALSE),"")</f>
        <v/>
      </c>
      <c r="E30" s="5">
        <f>Расчет!J21</f>
        <v/>
      </c>
      <c r="F30" s="5">
        <f>Расчет!K21</f>
        <v/>
      </c>
      <c r="G30" s="3">
        <f>Расчет!L21</f>
        <v/>
      </c>
      <c r="H30" s="3">
        <f>IF(G30="","",IF(G30="ниже тренда","период осторожного планирования продаж и бюджета",IF(G30="выше тренда","период активизации продвижения и продаж","обычный режим анализа спроса")))</f>
        <v/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>
        <f>Расчет!A22</f>
        <v/>
      </c>
      <c r="B31" s="5">
        <f>Расчет!G22</f>
        <v/>
      </c>
      <c r="C31" s="5">
        <f>Расчет!H22</f>
        <v/>
      </c>
      <c r="D31" s="5">
        <f>IFERROR(VLOOKUP(Расчет!B22,Сезонность!$A4 у.е.:$D1 у.е.5,4,FALSE),"")</f>
        <v/>
      </c>
      <c r="E31" s="5">
        <f>Расчет!J22</f>
        <v/>
      </c>
      <c r="F31" s="5">
        <f>Расчет!K22</f>
        <v/>
      </c>
      <c r="G31" s="3">
        <f>Расчет!L22</f>
        <v/>
      </c>
      <c r="H31" s="3">
        <f>IF(G31="","",IF(G31="ниже тренда","период осторожного планирования продаж и бюджета",IF(G31="выше тренда","период активизации продвижения и продаж","обычный режим анализа спроса")))</f>
        <v/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>
        <f>Расчет!A23</f>
        <v/>
      </c>
      <c r="B32" s="5">
        <f>Расчет!G23</f>
        <v/>
      </c>
      <c r="C32" s="5">
        <f>Расчет!H23</f>
        <v/>
      </c>
      <c r="D32" s="5">
        <f>IFERROR(VLOOKUP(Расчет!B23,Сезонность!$A4 у.е.:$D1 у.е.5,4,FALSE),"")</f>
        <v/>
      </c>
      <c r="E32" s="5">
        <f>Расчет!J23</f>
        <v/>
      </c>
      <c r="F32" s="5">
        <f>Расчет!K23</f>
        <v/>
      </c>
      <c r="G32" s="3">
        <f>Расчет!L23</f>
        <v/>
      </c>
      <c r="H32" s="3">
        <f>IF(G32="","",IF(G32="ниже тренда","период осторожного планирования продаж и бюджета",IF(G32="выше тренда","период активизации продвижения и продаж","обычный режим анализа спроса")))</f>
        <v/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>
        <f>Расчет!A24</f>
        <v/>
      </c>
      <c r="B33" s="5">
        <f>Расчет!G24</f>
        <v/>
      </c>
      <c r="C33" s="5">
        <f>Расчет!H24</f>
        <v/>
      </c>
      <c r="D33" s="5">
        <f>IFERROR(VLOOKUP(Расчет!B24,Сезонность!$A4 у.е.:$D1 у.е.5,4,FALSE),"")</f>
        <v/>
      </c>
      <c r="E33" s="5">
        <f>Расчет!J24</f>
        <v/>
      </c>
      <c r="F33" s="5">
        <f>Расчет!K24</f>
        <v/>
      </c>
      <c r="G33" s="3">
        <f>Расчет!L24</f>
        <v/>
      </c>
      <c r="H33" s="3">
        <f>IF(G33="","",IF(G33="ниже тренда","период осторожного планирования продаж и бюджета",IF(G33="выше тренда","период активизации продвижения и продаж","обычный режим анализа спроса")))</f>
        <v/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>
        <f>Расчет!A25</f>
        <v/>
      </c>
      <c r="B34" s="5">
        <f>Расчет!G25</f>
        <v/>
      </c>
      <c r="C34" s="5">
        <f>Расчет!H25</f>
        <v/>
      </c>
      <c r="D34" s="5">
        <f>IFERROR(VLOOKUP(Расчет!B25,Сезонность!$A4 у.е.:$D1 у.е.5,4,FALSE),"")</f>
        <v/>
      </c>
      <c r="E34" s="5">
        <f>Расчет!J25</f>
        <v/>
      </c>
      <c r="F34" s="5">
        <f>Расчет!K25</f>
        <v/>
      </c>
      <c r="G34" s="3">
        <f>Расчет!L25</f>
        <v/>
      </c>
      <c r="H34" s="3">
        <f>IF(G34="","",IF(G34="ниже тренда","период осторожного планирования продаж и бюджета",IF(G34="выше тренда","период активизации продвижения и продаж","обычный режим анализа спроса")))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>
        <f>Расчет!A26</f>
        <v/>
      </c>
      <c r="B35" s="5">
        <f>Расчет!G26</f>
        <v/>
      </c>
      <c r="C35" s="5">
        <f>Расчет!H26</f>
        <v/>
      </c>
      <c r="D35" s="5">
        <f>IFERROR(VLOOKUP(Расчет!B26,Сезонность!$A4 у.е.:$D1 у.е.5,4,FALSE),"")</f>
        <v/>
      </c>
      <c r="E35" s="5">
        <f>Расчет!J26</f>
        <v/>
      </c>
      <c r="F35" s="5">
        <f>Расчет!K26</f>
        <v/>
      </c>
      <c r="G35" s="3">
        <f>Расчет!L26</f>
        <v/>
      </c>
      <c r="H35" s="3">
        <f>IF(G35="","",IF(G35="ниже тренда","период осторожного планирования продаж и бюджета",IF(G35="выше тренда","период активизации продвижения и продаж","обычный режим анализа спроса")))</f>
        <v/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>
        <f>Расчет!A27</f>
        <v/>
      </c>
      <c r="B36" s="5">
        <f>Расчет!G27</f>
        <v/>
      </c>
      <c r="C36" s="5">
        <f>Расчет!H27</f>
        <v/>
      </c>
      <c r="D36" s="5">
        <f>IFERROR(VLOOKUP(Расчет!B27,Сезонность!$A4 у.е.:$D1 у.е.5,4,FALSE),"")</f>
        <v/>
      </c>
      <c r="E36" s="5">
        <f>Расчет!J27</f>
        <v/>
      </c>
      <c r="F36" s="5">
        <f>Расчет!K27</f>
        <v/>
      </c>
      <c r="G36" s="3">
        <f>Расчет!L27</f>
        <v/>
      </c>
      <c r="H36" s="3">
        <f>IF(G36="","",IF(G36="ниже тренда","период осторожного планирования продаж и бюджета",IF(G36="выше тренда","период активизации продвижения и продаж","обычный режим анализа спроса")))</f>
        <v/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>
        <f>Расчет!A28</f>
        <v/>
      </c>
      <c r="B37" s="5">
        <f>Расчет!G28</f>
        <v/>
      </c>
      <c r="C37" s="5">
        <f>Расчет!H28</f>
        <v/>
      </c>
      <c r="D37" s="5">
        <f>IFERROR(VLOOKUP(Расчет!B28,Сезонность!$A4 у.е.:$D1 у.е.5,4,FALSE),"")</f>
        <v/>
      </c>
      <c r="E37" s="5">
        <f>Расчет!J28</f>
        <v/>
      </c>
      <c r="F37" s="5">
        <f>Расчет!K28</f>
        <v/>
      </c>
      <c r="G37" s="3">
        <f>Расчет!L28</f>
        <v/>
      </c>
      <c r="H37" s="3">
        <f>IF(G37="","",IF(G37="ниже тренда","период осторожного планирования продаж и бюджета",IF(G37="выше тренда","период активизации продвижения и продаж","обычный режим анализа спроса")))</f>
        <v/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>
        <f>Расчет!A29</f>
        <v/>
      </c>
      <c r="B38" s="5">
        <f>Расчет!G29</f>
        <v/>
      </c>
      <c r="C38" s="5">
        <f>Расчет!H29</f>
        <v/>
      </c>
      <c r="D38" s="5">
        <f>IFERROR(VLOOKUP(Расчет!B29,Сезонность!$A4 у.е.:$D1 у.е.5,4,FALSE),"")</f>
        <v/>
      </c>
      <c r="E38" s="5">
        <f>Расчет!J29</f>
        <v/>
      </c>
      <c r="F38" s="5">
        <f>Расчет!K29</f>
        <v/>
      </c>
      <c r="G38" s="3">
        <f>Расчет!L29</f>
        <v/>
      </c>
      <c r="H38" s="3">
        <f>IF(G38="","",IF(G38="ниже тренда","период осторожного планирования продаж и бюджета",IF(G38="выше тренда","период активизации продвижения и продаж","обычный режим анализа спроса")))</f>
        <v/>
      </c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>
        <f>Расчет!A30</f>
        <v/>
      </c>
      <c r="B39" s="5">
        <f>Расчет!G30</f>
        <v/>
      </c>
      <c r="C39" s="5">
        <f>Расчет!H30</f>
        <v/>
      </c>
      <c r="D39" s="5">
        <f>IFERROR(VLOOKUP(Расчет!B30,Сезонность!$A4 у.е.:$D1 у.е.5,4,FALSE),"")</f>
        <v/>
      </c>
      <c r="E39" s="5">
        <f>Расчет!J30</f>
        <v/>
      </c>
      <c r="F39" s="5">
        <f>Расчет!K30</f>
        <v/>
      </c>
      <c r="G39" s="3">
        <f>Расчет!L30</f>
        <v/>
      </c>
      <c r="H39" s="3">
        <f>IF(G39="","",IF(G39="ниже тренда","период осторожного планирования продаж и бюджета",IF(G39="выше тренда","период активизации продвижения и продаж","обычный режим анализа спроса")))</f>
        <v/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>
        <f>Расчет!A31</f>
        <v/>
      </c>
      <c r="B40" s="5">
        <f>Расчет!G31</f>
        <v/>
      </c>
      <c r="C40" s="5">
        <f>Расчет!H31</f>
        <v/>
      </c>
      <c r="D40" s="5">
        <f>IFERROR(VLOOKUP(Расчет!B31,Сезонность!$A4 у.е.:$D1 у.е.5,4,FALSE),"")</f>
        <v/>
      </c>
      <c r="E40" s="5">
        <f>Расчет!J31</f>
        <v/>
      </c>
      <c r="F40" s="5">
        <f>Расчет!K31</f>
        <v/>
      </c>
      <c r="G40" s="3">
        <f>Расчет!L31</f>
        <v/>
      </c>
      <c r="H40" s="3">
        <f>IF(G40="","",IF(G40="ниже тренда","период осторожного планирования продаж и бюджета",IF(G40="выше тренда","период активизации продвижения и продаж","обычный режим анализа спроса")))</f>
        <v/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>
        <f>Расчет!A32</f>
        <v/>
      </c>
      <c r="B41" s="5">
        <f>Расчет!G32</f>
        <v/>
      </c>
      <c r="C41" s="5">
        <f>Расчет!H32</f>
        <v/>
      </c>
      <c r="D41" s="5">
        <f>IFERROR(VLOOKUP(Расчет!B32,Сезонность!$A4 у.е.:$D1 у.е.5,4,FALSE),"")</f>
        <v/>
      </c>
      <c r="E41" s="5">
        <f>Расчет!J32</f>
        <v/>
      </c>
      <c r="F41" s="5">
        <f>Расчет!K32</f>
        <v/>
      </c>
      <c r="G41" s="3">
        <f>Расчет!L32</f>
        <v/>
      </c>
      <c r="H41" s="3">
        <f>IF(G41="","",IF(G41="ниже тренда","период осторожного планирования продаж и бюджета",IF(G41="выше тренда","период активизации продвижения и продаж","обычный режим анализа спроса")))</f>
        <v/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>
        <f>Расчет!A33</f>
        <v/>
      </c>
      <c r="B42" s="5">
        <f>Расчет!G33</f>
        <v/>
      </c>
      <c r="C42" s="5">
        <f>Расчет!H33</f>
        <v/>
      </c>
      <c r="D42" s="5">
        <f>IFERROR(VLOOKUP(Расчет!B33,Сезонность!$A4 у.е.:$D1 у.е.5,4,FALSE),"")</f>
        <v/>
      </c>
      <c r="E42" s="5">
        <f>Расчет!J33</f>
        <v/>
      </c>
      <c r="F42" s="5">
        <f>Расчет!K33</f>
        <v/>
      </c>
      <c r="G42" s="3">
        <f>Расчет!L33</f>
        <v/>
      </c>
      <c r="H42" s="3">
        <f>IF(G42="","",IF(G42="ниже тренда","период осторожного планирования продаж и бюджета",IF(G42="выше тренда","период активизации продвижения и продаж","обычный режим анализа спроса")))</f>
        <v/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>
        <f>Расчет!A34</f>
        <v/>
      </c>
      <c r="B43" s="5">
        <f>Расчет!G34</f>
        <v/>
      </c>
      <c r="C43" s="5">
        <f>Расчет!H34</f>
        <v/>
      </c>
      <c r="D43" s="5">
        <f>IFERROR(VLOOKUP(Расчет!B34,Сезонность!$A4 у.е.:$D1 у.е.5,4,FALSE),"")</f>
        <v/>
      </c>
      <c r="E43" s="5">
        <f>Расчет!J34</f>
        <v/>
      </c>
      <c r="F43" s="5">
        <f>Расчет!K34</f>
        <v/>
      </c>
      <c r="G43" s="3">
        <f>Расчет!L34</f>
        <v/>
      </c>
      <c r="H43" s="3">
        <f>IF(G43="","",IF(G43="ниже тренда","период осторожного планирования продаж и бюджета",IF(G43="выше тренда","период активизации продвижения и продаж","обычный режим анализа спроса")))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>
        <f>Расчет!A35</f>
        <v/>
      </c>
      <c r="B44" s="5">
        <f>Расчет!G35</f>
        <v/>
      </c>
      <c r="C44" s="5">
        <f>Расчет!H35</f>
        <v/>
      </c>
      <c r="D44" s="5">
        <f>IFERROR(VLOOKUP(Расчет!B35,Сезонность!$A4 у.е.:$D1 у.е.5,4,FALSE),"")</f>
        <v/>
      </c>
      <c r="E44" s="5">
        <f>Расчет!J35</f>
        <v/>
      </c>
      <c r="F44" s="5">
        <f>Расчет!K35</f>
        <v/>
      </c>
      <c r="G44" s="3">
        <f>Расчет!L35</f>
        <v/>
      </c>
      <c r="H44" s="3">
        <f>IF(G44="","",IF(G44="ниже тренда","период осторожного планирования продаж и бюджета",IF(G44="выше тренда","период активизации продвижения и продаж","обычный режим анализа спроса")))</f>
        <v/>
      </c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>
        <f>Расчет!A36</f>
        <v/>
      </c>
      <c r="B45" s="5">
        <f>Расчет!G36</f>
        <v/>
      </c>
      <c r="C45" s="5">
        <f>Расчет!H36</f>
        <v/>
      </c>
      <c r="D45" s="5">
        <f>IFERROR(VLOOKUP(Расчет!B36,Сезонность!$A4 у.е.:$D1 у.е.5,4,FALSE),"")</f>
        <v/>
      </c>
      <c r="E45" s="5">
        <f>Расчет!J36</f>
        <v/>
      </c>
      <c r="F45" s="5">
        <f>Расчет!K36</f>
        <v/>
      </c>
      <c r="G45" s="3">
        <f>Расчет!L36</f>
        <v/>
      </c>
      <c r="H45" s="3">
        <f>IF(G45="","",IF(G45="ниже тренда","период осторожного планирования продаж и бюджета",IF(G45="выше тренда","период активизации продвижения и продаж","обычный режим анализа спроса")))</f>
        <v/>
      </c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>
        <f>Расчет!A37</f>
        <v/>
      </c>
      <c r="B46" s="5">
        <f>Расчет!G37</f>
        <v/>
      </c>
      <c r="C46" s="5">
        <f>Расчет!H37</f>
        <v/>
      </c>
      <c r="D46" s="5">
        <f>IFERROR(VLOOKUP(Расчет!B37,Сезонность!$A4 у.е.:$D1 у.е.5,4,FALSE),"")</f>
        <v/>
      </c>
      <c r="E46" s="5">
        <f>Расчет!J37</f>
        <v/>
      </c>
      <c r="F46" s="5">
        <f>Расчет!K37</f>
        <v/>
      </c>
      <c r="G46" s="3">
        <f>Расчет!L37</f>
        <v/>
      </c>
      <c r="H46" s="3">
        <f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>
        <f>Расчет!A38</f>
        <v/>
      </c>
      <c r="B47" s="5">
        <f>Расчет!G38</f>
        <v/>
      </c>
      <c r="C47" s="5">
        <f>Расчет!H38</f>
        <v/>
      </c>
      <c r="D47" s="5">
        <f>IFERROR(VLOOKUP(Расчет!B38,Сезонность!$A4 у.е.:$D1 у.е.5,4,FALSE),"")</f>
        <v/>
      </c>
      <c r="E47" s="5">
        <f>Расчет!J38</f>
        <v/>
      </c>
      <c r="F47" s="5">
        <f>Расчет!K38</f>
        <v/>
      </c>
      <c r="G47" s="3">
        <f>Расчет!L38</f>
        <v/>
      </c>
      <c r="H47" s="3">
        <f>IF(G47="","",IF(G47="ниже тренда","период осторожного планирования продаж и бюджета",IF(G47="выше тренда","период активизации продвижения и продаж","обычный режим анализа спроса")))</f>
        <v/>
      </c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>
        <f>Расчет!A39</f>
        <v/>
      </c>
      <c r="B48" s="5">
        <f>Расчет!G39</f>
        <v/>
      </c>
      <c r="C48" s="5">
        <f>Расчет!H39</f>
        <v/>
      </c>
      <c r="D48" s="5">
        <f>IFERROR(VLOOKUP(Расчет!B39,Сезонность!$A4 у.е.:$D1 у.е.5,4,FALSE),"")</f>
        <v/>
      </c>
      <c r="E48" s="5">
        <f>Расчет!J39</f>
        <v/>
      </c>
      <c r="F48" s="5">
        <f>Расчет!K39</f>
        <v/>
      </c>
      <c r="G48" s="3">
        <f>Расчет!L39</f>
        <v/>
      </c>
      <c r="H48" s="3">
        <f>IF(G48="","",IF(G48="ниже тренда","период осторожного планирования продаж и бюджета",IF(G48="выше тренда","период активизации продвижения и продаж","обычный режим анализа спроса")))</f>
        <v/>
      </c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>
        <f>Расчет!A40</f>
        <v/>
      </c>
      <c r="B49" s="5">
        <f>Расчет!G40</f>
        <v/>
      </c>
      <c r="C49" s="5">
        <f>Расчет!H40</f>
        <v/>
      </c>
      <c r="D49" s="5">
        <f>IFERROR(VLOOKUP(Расчет!B40,Сезонность!$A4 у.е.:$D1 у.е.5,4,FALSE),"")</f>
        <v/>
      </c>
      <c r="E49" s="5">
        <f>Расчет!J40</f>
        <v/>
      </c>
      <c r="F49" s="5">
        <f>Расчет!K40</f>
        <v/>
      </c>
      <c r="G49" s="3">
        <f>Расчет!L40</f>
        <v/>
      </c>
      <c r="H49" s="3">
        <f>IF(G49="","",IF(G49="ниже тренда","период осторожного планирования продаж и бюджета",IF(G49="выше тренда","период активизации продвижения и продаж","обычный режим анализа спроса")))</f>
        <v/>
      </c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>
        <f>Расчет!A41</f>
        <v/>
      </c>
      <c r="B50" s="5">
        <f>Расчет!G41</f>
        <v/>
      </c>
      <c r="C50" s="5">
        <f>Расчет!H41</f>
        <v/>
      </c>
      <c r="D50" s="5">
        <f>IFERROR(VLOOKUP(Расчет!B41,Сезонность!$A4 у.е.:$D1 у.е.5,4,FALSE),"")</f>
        <v/>
      </c>
      <c r="E50" s="5">
        <f>Расчет!J41</f>
        <v/>
      </c>
      <c r="F50" s="5">
        <f>Расчет!K41</f>
        <v/>
      </c>
      <c r="G50" s="3">
        <f>Расчет!L41</f>
        <v/>
      </c>
      <c r="H50" s="3">
        <f>IF(G50="","",IF(G50="ниже тренда","период осторожного планирования продаж и бюджета",IF(G50="выше тренда","период активизации продвижения и продаж","обычный режим анализа спроса")))</f>
        <v/>
      </c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>
        <f>Расчет!A42</f>
        <v/>
      </c>
      <c r="B51" s="5">
        <f>Расчет!G42</f>
        <v/>
      </c>
      <c r="C51" s="5">
        <f>Расчет!H42</f>
        <v/>
      </c>
      <c r="D51" s="5">
        <f>IFERROR(VLOOKUP(Расчет!B42,Сезонность!$A4 у.е.:$D1 у.е.5,4,FALSE),"")</f>
        <v/>
      </c>
      <c r="E51" s="5">
        <f>Расчет!J42</f>
        <v/>
      </c>
      <c r="F51" s="5">
        <f>Расчет!K42</f>
        <v/>
      </c>
      <c r="G51" s="3">
        <f>Расчет!L42</f>
        <v/>
      </c>
      <c r="H51" s="3">
        <f>IF(G51="","",IF(G51="ниже тренда","период осторожного планирования продаж и бюджета",IF(G51="выше тренда","период активизации продвижения и продаж","обычный режим анализа спроса")))</f>
        <v/>
      </c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>
        <f>Расчет!A43</f>
        <v/>
      </c>
      <c r="B52" s="5">
        <f>Расчет!G43</f>
        <v/>
      </c>
      <c r="C52" s="5">
        <f>Расчет!H43</f>
        <v/>
      </c>
      <c r="D52" s="5">
        <f>IFERROR(VLOOKUP(Расчет!B43,Сезонность!$A4 у.е.:$D1 у.е.5,4,FALSE),"")</f>
        <v/>
      </c>
      <c r="E52" s="5">
        <f>Расчет!J43</f>
        <v/>
      </c>
      <c r="F52" s="5">
        <f>Расчет!K43</f>
        <v/>
      </c>
      <c r="G52" s="3">
        <f>Расчет!L43</f>
        <v/>
      </c>
      <c r="H52" s="3">
        <f>IF(G52="","",IF(G52="ниже тренда","период осторожного планирования продаж и бюджета",IF(G52="выше тренда","период активизации продвижения и продаж","обычный режим анализа спроса")))</f>
        <v/>
      </c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>
        <f>Расчет!A44</f>
        <v/>
      </c>
      <c r="B53" s="5">
        <f>Расчет!G44</f>
        <v/>
      </c>
      <c r="C53" s="5">
        <f>Расчет!H44</f>
        <v/>
      </c>
      <c r="D53" s="5">
        <f>IFERROR(VLOOKUP(Расчет!B44,Сезонность!$A4 у.е.:$D1 у.е.5,4,FALSE),"")</f>
        <v/>
      </c>
      <c r="E53" s="5">
        <f>Расчет!J44</f>
        <v/>
      </c>
      <c r="F53" s="5">
        <f>Расчет!K44</f>
        <v/>
      </c>
      <c r="G53" s="3">
        <f>Расчет!L44</f>
        <v/>
      </c>
      <c r="H53" s="3">
        <f>IF(G53="","",IF(G53="ниже тренда","период осторожного планирования продаж и бюджета",IF(G53="выше тренда","период активизации продвижения и продаж","обычный режим анализа спроса")))</f>
        <v/>
      </c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>
        <f>Расчет!A45</f>
        <v/>
      </c>
      <c r="B54" s="5">
        <f>Расчет!G45</f>
        <v/>
      </c>
      <c r="C54" s="5">
        <f>Расчет!H45</f>
        <v/>
      </c>
      <c r="D54" s="5">
        <f>IFERROR(VLOOKUP(Расчет!B45,Сезонность!$A4 у.е.:$D1 у.е.5,4,FALSE),"")</f>
        <v/>
      </c>
      <c r="E54" s="5">
        <f>Расчет!J45</f>
        <v/>
      </c>
      <c r="F54" s="5">
        <f>Расчет!K45</f>
        <v/>
      </c>
      <c r="G54" s="3">
        <f>Расчет!L45</f>
        <v/>
      </c>
      <c r="H54" s="3">
        <f>IF(G54="","",IF(G54="ниже тренда","период осторожного планирования продаж и бюджета",IF(G54="выше тренда","период активизации продвижения и продаж","обычный режим анализа спроса")))</f>
        <v/>
      </c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>
        <f>Расчет!A46</f>
        <v/>
      </c>
      <c r="B55" s="5">
        <f>Расчет!G46</f>
        <v/>
      </c>
      <c r="C55" s="5">
        <f>Расчет!H46</f>
        <v/>
      </c>
      <c r="D55" s="5">
        <f>IFERROR(VLOOKUP(Расчет!B46,Сезонность!$A4 у.е.:$D1 у.е.5,4,FALSE),"")</f>
        <v/>
      </c>
      <c r="E55" s="5">
        <f>Расчет!J46</f>
        <v/>
      </c>
      <c r="F55" s="5">
        <f>Расчет!K46</f>
        <v/>
      </c>
      <c r="G55" s="3">
        <f>Расчет!L46</f>
        <v/>
      </c>
      <c r="H55" s="3">
        <f>IF(G55="","",IF(G55="ниже тренда","период осторожного планирования продаж и бюджета",IF(G55="выше тренда","период активизации продвижения и продаж","обычный режим анализа спроса")))</f>
        <v/>
      </c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>
        <f>Расчет!A47</f>
        <v/>
      </c>
      <c r="B56" s="5">
        <f>Расчет!G47</f>
        <v/>
      </c>
      <c r="C56" s="5">
        <f>Расчет!H47</f>
        <v/>
      </c>
      <c r="D56" s="5">
        <f>IFERROR(VLOOKUP(Расчет!B47,Сезонность!$A4 у.е.:$D1 у.е.5,4,FALSE),"")</f>
        <v/>
      </c>
      <c r="E56" s="5">
        <f>Расчет!J47</f>
        <v/>
      </c>
      <c r="F56" s="5">
        <f>Расчет!K47</f>
        <v/>
      </c>
      <c r="G56" s="3">
        <f>Расчет!L47</f>
        <v/>
      </c>
      <c r="H56" s="3">
        <f>IF(G56="","",IF(G56="ниже тренда","период осторожного планирования продаж и бюджета",IF(G56="выше тренда","период активизации продвижения и продаж","обычный режим анализа спроса")))</f>
        <v/>
      </c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>
        <f>Расчет!A48</f>
        <v/>
      </c>
      <c r="B57" s="5">
        <f>Расчет!G48</f>
        <v/>
      </c>
      <c r="C57" s="5">
        <f>Расчет!H48</f>
        <v/>
      </c>
      <c r="D57" s="5">
        <f>IFERROR(VLOOKUP(Расчет!B48,Сезонность!$A4 у.е.:$D1 у.е.5,4,FALSE),"")</f>
        <v/>
      </c>
      <c r="E57" s="5">
        <f>Расчет!J48</f>
        <v/>
      </c>
      <c r="F57" s="5">
        <f>Расчет!K48</f>
        <v/>
      </c>
      <c r="G57" s="3">
        <f>Расчет!L48</f>
        <v/>
      </c>
      <c r="H57" s="3">
        <f>IF(G57="","",IF(G57="ниже тренда","период осторожного планирования продаж и бюджета",IF(G57="выше тренда","период активизации продвижения и продаж","обычный режим анализа спроса")))</f>
        <v/>
      </c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>
        <f>Расчет!A49</f>
        <v/>
      </c>
      <c r="B58" s="5">
        <f>Расчет!G49</f>
        <v/>
      </c>
      <c r="C58" s="5">
        <f>Расчет!H49</f>
        <v/>
      </c>
      <c r="D58" s="5">
        <f>IFERROR(VLOOKUP(Расчет!B49,Сезонность!$A4 у.е.:$D1 у.е.5,4,FALSE),"")</f>
        <v/>
      </c>
      <c r="E58" s="5">
        <f>Расчет!J49</f>
        <v/>
      </c>
      <c r="F58" s="5">
        <f>Расчет!K49</f>
        <v/>
      </c>
      <c r="G58" s="3">
        <f>Расчет!L49</f>
        <v/>
      </c>
      <c r="H58" s="3">
        <f>IF(G58="","",IF(G58="ниже тренда","период осторожного планирования продаж и бюджета",IF(G58="выше тренда","период активизации продвижения и продаж","обычный режим анализа спроса")))</f>
        <v/>
      </c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>
        <f>Расчет!A50</f>
        <v/>
      </c>
      <c r="B59" s="5">
        <f>Расчет!G50</f>
        <v/>
      </c>
      <c r="C59" s="5">
        <f>Расчет!H50</f>
        <v/>
      </c>
      <c r="D59" s="5">
        <f>IFERROR(VLOOKUP(Расчет!B50,Сезонность!$A4 у.е.:$D1 у.е.5,4,FALSE),"")</f>
        <v/>
      </c>
      <c r="E59" s="5">
        <f>Расчет!J50</f>
        <v/>
      </c>
      <c r="F59" s="5">
        <f>Расчет!K50</f>
        <v/>
      </c>
      <c r="G59" s="3">
        <f>Расчет!L50</f>
        <v/>
      </c>
      <c r="H59" s="3">
        <f>IF(G59="","",IF(G59="ниже тренда","период осторожного планирования продаж и бюджета",IF(G59="выше тренда","период активизации продвижения и продаж","обычный режим анализа спроса")))</f>
        <v/>
      </c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>
        <f>Расчет!A51</f>
        <v/>
      </c>
      <c r="B60" s="5">
        <f>Расчет!G51</f>
        <v/>
      </c>
      <c r="C60" s="5">
        <f>Расчет!H51</f>
        <v/>
      </c>
      <c r="D60" s="5">
        <f>IFERROR(VLOOKUP(Расчет!B51,Сезонность!$A4 у.е.:$D1 у.е.5,4,FALSE),"")</f>
        <v/>
      </c>
      <c r="E60" s="5">
        <f>Расчет!J51</f>
        <v/>
      </c>
      <c r="F60" s="5">
        <f>Расчет!K51</f>
        <v/>
      </c>
      <c r="G60" s="3">
        <f>Расчет!L51</f>
        <v/>
      </c>
      <c r="H60" s="3">
        <f>IF(G60="","",IF(G60="ниже тренда","период осторожного планирования продаж и бюджета",IF(G60="выше тренда","период активизации продвижения и продаж","обычный режим анализа спроса")))</f>
        <v/>
      </c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>
        <f>Расчет!A52</f>
        <v/>
      </c>
      <c r="B61" s="5">
        <f>Расчет!G52</f>
        <v/>
      </c>
      <c r="C61" s="5">
        <f>Расчет!H52</f>
        <v/>
      </c>
      <c r="D61" s="5">
        <f>IFERROR(VLOOKUP(Расчет!B52,Сезонность!$A4 у.е.:$D1 у.е.5,4,FALSE),"")</f>
        <v/>
      </c>
      <c r="E61" s="5">
        <f>Расчет!J52</f>
        <v/>
      </c>
      <c r="F61" s="5">
        <f>Расчет!K52</f>
        <v/>
      </c>
      <c r="G61" s="3">
        <f>Расчет!L52</f>
        <v/>
      </c>
      <c r="H61" s="3">
        <f>IF(G61="","",IF(G61="ниже тренда","период осторожного планирования продаж и бюджета",IF(G61="выше тренда","период активизации продвижения и продаж","обычный режим анализа спроса")))</f>
        <v/>
      </c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>
        <f>Расчет!A53</f>
        <v/>
      </c>
      <c r="B62" s="5">
        <f>Расчет!G53</f>
        <v/>
      </c>
      <c r="C62" s="5">
        <f>Расчет!H53</f>
        <v/>
      </c>
      <c r="D62" s="5">
        <f>IFERROR(VLOOKUP(Расчет!B53,Сезонность!$A4 у.е.:$D1 у.е.5,4,FALSE),"")</f>
        <v/>
      </c>
      <c r="E62" s="5">
        <f>Расчет!J53</f>
        <v/>
      </c>
      <c r="F62" s="5">
        <f>Расчет!K53</f>
        <v/>
      </c>
      <c r="G62" s="3">
        <f>Расчет!L53</f>
        <v/>
      </c>
      <c r="H62" s="3">
        <f>IF(G62="","",IF(G62="ниже тренда","период осторожного планирования продаж и бюджета",IF(G62="выше тренда","период активизации продвижения и продаж","обычный режим анализа спроса")))</f>
        <v/>
      </c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>
        <f>Расчет!A54</f>
        <v/>
      </c>
      <c r="B63" s="5">
        <f>Расчет!G54</f>
        <v/>
      </c>
      <c r="C63" s="5">
        <f>Расчет!H54</f>
        <v/>
      </c>
      <c r="D63" s="5">
        <f>IFERROR(VLOOKUP(Расчет!B54,Сезонность!$A4 у.е.:$D1 у.е.5,4,FALSE),"")</f>
        <v/>
      </c>
      <c r="E63" s="5">
        <f>Расчет!J54</f>
        <v/>
      </c>
      <c r="F63" s="5">
        <f>Расчет!K54</f>
        <v/>
      </c>
      <c r="G63" s="3">
        <f>Расчет!L54</f>
        <v/>
      </c>
      <c r="H63" s="3">
        <f>IF(G63="","",IF(G63="ниже тренда","период осторожного планирования продаж и бюджета",IF(G63="выше тренда","период активизации продвижения и продаж","обычный режим анализа спроса")))</f>
        <v/>
      </c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>
        <f>Расчет!A55</f>
        <v/>
      </c>
      <c r="B64" s="5">
        <f>Расчет!G55</f>
        <v/>
      </c>
      <c r="C64" s="5">
        <f>Расчет!H55</f>
        <v/>
      </c>
      <c r="D64" s="5">
        <f>IFERROR(VLOOKUP(Расчет!B55,Сезонность!$A4 у.е.:$D1 у.е.5,4,FALSE),"")</f>
        <v/>
      </c>
      <c r="E64" s="5">
        <f>Расчет!J55</f>
        <v/>
      </c>
      <c r="F64" s="5">
        <f>Расчет!K55</f>
        <v/>
      </c>
      <c r="G64" s="3">
        <f>Расчет!L55</f>
        <v/>
      </c>
      <c r="H64" s="3">
        <f>IF(G64="","",IF(G64="ниже тренда","период осторожного планирования продаж и бюджета",IF(G64="выше тренда","период активизации продвижения и продаж","обычный режим анализа спроса")))</f>
        <v/>
      </c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>
        <f>Расчет!A56</f>
        <v/>
      </c>
      <c r="B65" s="5">
        <f>Расчет!G56</f>
        <v/>
      </c>
      <c r="C65" s="5">
        <f>Расчет!H56</f>
        <v/>
      </c>
      <c r="D65" s="5">
        <f>IFERROR(VLOOKUP(Расчет!B56,Сезонность!$A4 у.е.:$D1 у.е.5,4,FALSE),"")</f>
        <v/>
      </c>
      <c r="E65" s="5">
        <f>Расчет!J56</f>
        <v/>
      </c>
      <c r="F65" s="5">
        <f>Расчет!K56</f>
        <v/>
      </c>
      <c r="G65" s="3">
        <f>Расчет!L56</f>
        <v/>
      </c>
      <c r="H65" s="3">
        <f>IF(G65="","",IF(G65="ниже тренда","период осторожного планирования продаж и бюджета",IF(G65="выше тренда","период активизации продвижения и продаж","обычный режим анализа спроса")))</f>
        <v/>
      </c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>
        <f>Расчет!A57</f>
        <v/>
      </c>
      <c r="B66" s="5">
        <f>Расчет!G57</f>
        <v/>
      </c>
      <c r="C66" s="5">
        <f>Расчет!H57</f>
        <v/>
      </c>
      <c r="D66" s="5">
        <f>IFERROR(VLOOKUP(Расчет!B57,Сезонность!$A4 у.е.:$D1 у.е.5,4,FALSE),"")</f>
        <v/>
      </c>
      <c r="E66" s="5">
        <f>Расчет!J57</f>
        <v/>
      </c>
      <c r="F66" s="5">
        <f>Расчет!K57</f>
        <v/>
      </c>
      <c r="G66" s="3">
        <f>Расчет!L57</f>
        <v/>
      </c>
      <c r="H66" s="3">
        <f>IF(G66="","",IF(G66="ниже тренда","период осторожного планирования продаж и бюджета",IF(G66="выше тренда","период активизации продвижения и продаж","обычный режим анализа спроса")))</f>
        <v/>
      </c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>
        <f>Расчет!A58</f>
        <v/>
      </c>
      <c r="B67" s="5">
        <f>Расчет!G58</f>
        <v/>
      </c>
      <c r="C67" s="5">
        <f>Расчет!H58</f>
        <v/>
      </c>
      <c r="D67" s="5">
        <f>IFERROR(VLOOKUP(Расчет!B58,Сезонность!$A4 у.е.:$D1 у.е.5,4,FALSE),"")</f>
        <v/>
      </c>
      <c r="E67" s="5">
        <f>Расчет!J58</f>
        <v/>
      </c>
      <c r="F67" s="5">
        <f>Расчет!K58</f>
        <v/>
      </c>
      <c r="G67" s="3">
        <f>Расчет!L58</f>
        <v/>
      </c>
      <c r="H67" s="3">
        <f>IF(G67="","",IF(G67="ниже тренда","период осторожного планирования продаж и бюджета",IF(G67="выше тренда","период активизации продвижения и продаж","обычный режим анализа спроса")))</f>
        <v/>
      </c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>
        <f>Расчет!A59</f>
        <v/>
      </c>
      <c r="B68" s="5">
        <f>Расчет!G59</f>
        <v/>
      </c>
      <c r="C68" s="5">
        <f>Расчет!H59</f>
        <v/>
      </c>
      <c r="D68" s="5">
        <f>IFERROR(VLOOKUP(Расчет!B59,Сезонность!$A4 у.е.:$D1 у.е.5,4,FALSE),"")</f>
        <v/>
      </c>
      <c r="E68" s="5">
        <f>Расчет!J59</f>
        <v/>
      </c>
      <c r="F68" s="5">
        <f>Расчет!K59</f>
        <v/>
      </c>
      <c r="G68" s="3">
        <f>Расчет!L59</f>
        <v/>
      </c>
      <c r="H68" s="3">
        <f>IF(G68="","",IF(G68="ниже тренда","период осторожного планирования продаж и бюджета",IF(G68="выше тренда","период активизации продвижения и продаж","обычный режим анализа спроса")))</f>
        <v/>
      </c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>
        <f>Расчет!A60</f>
        <v/>
      </c>
      <c r="B69" s="5">
        <f>Расчет!G60</f>
        <v/>
      </c>
      <c r="C69" s="5">
        <f>Расчет!H60</f>
        <v/>
      </c>
      <c r="D69" s="5">
        <f>IFERROR(VLOOKUP(Расчет!B60,Сезонность!$A4 у.е.:$D1 у.е.5,4,FALSE),"")</f>
        <v/>
      </c>
      <c r="E69" s="5">
        <f>Расчет!J60</f>
        <v/>
      </c>
      <c r="F69" s="5">
        <f>Расчет!K60</f>
        <v/>
      </c>
      <c r="G69" s="3">
        <f>Расчет!L60</f>
        <v/>
      </c>
      <c r="H69" s="3">
        <f>IF(G69="","",IF(G69="ниже тренда","период осторожного планирования продаж и бюджета",IF(G69="выше тренда","период активизации продвижения и продаж","обычный режим анализа спроса")))</f>
        <v/>
      </c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>
        <f>Расчет!A61</f>
        <v/>
      </c>
      <c r="B70" s="5">
        <f>Расчет!G61</f>
        <v/>
      </c>
      <c r="C70" s="5">
        <f>Расчет!H61</f>
        <v/>
      </c>
      <c r="D70" s="5">
        <f>IFERROR(VLOOKUP(Расчет!B61,Сезонность!$A4 у.е.:$D1 у.е.5,4,FALSE),"")</f>
        <v/>
      </c>
      <c r="E70" s="5">
        <f>Расчет!J61</f>
        <v/>
      </c>
      <c r="F70" s="5">
        <f>Расчет!K61</f>
        <v/>
      </c>
      <c r="G70" s="3">
        <f>Расчет!L61</f>
        <v/>
      </c>
      <c r="H70" s="3">
        <f>IF(G70="","",IF(G70="ниже тренда","период осторожного планирования продаж и бюджета",IF(G70="выше тренда","период активизации продвижения и продаж","обычный режим анализа спроса")))</f>
        <v/>
      </c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>
        <f>Расчет!A62</f>
        <v/>
      </c>
      <c r="B71" s="5">
        <f>Расчет!G62</f>
        <v/>
      </c>
      <c r="C71" s="5">
        <f>Расчет!H62</f>
        <v/>
      </c>
      <c r="D71" s="5">
        <f>IFERROR(VLOOKUP(Расчет!B62,Сезонность!$A4 у.е.:$D1 у.е.5,4,FALSE),"")</f>
        <v/>
      </c>
      <c r="E71" s="5">
        <f>Расчет!J62</f>
        <v/>
      </c>
      <c r="F71" s="5">
        <f>Расчет!K62</f>
        <v/>
      </c>
      <c r="G71" s="3">
        <f>Расчет!L62</f>
        <v/>
      </c>
      <c r="H71" s="3">
        <f>IF(G71="","",IF(G71="ниже тренда","период осторожного планирования продаж и бюджета",IF(G71="выше тренда","период активизации продвижения и продаж","обычный режим анализа спроса")))</f>
        <v/>
      </c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>
        <f>Расчет!A63</f>
        <v/>
      </c>
      <c r="B72" s="5">
        <f>Расчет!G63</f>
        <v/>
      </c>
      <c r="C72" s="5">
        <f>Расчет!H63</f>
        <v/>
      </c>
      <c r="D72" s="5">
        <f>IFERROR(VLOOKUP(Расчет!B63,Сезонность!$A4 у.е.:$D1 у.е.5,4,FALSE),"")</f>
        <v/>
      </c>
      <c r="E72" s="5">
        <f>Расчет!J63</f>
        <v/>
      </c>
      <c r="F72" s="5">
        <f>Расчет!K63</f>
        <v/>
      </c>
      <c r="G72" s="3">
        <f>Расчет!L63</f>
        <v/>
      </c>
      <c r="H72" s="3">
        <f>IF(G72="","",IF(G72="ниже тренда","период осторожного планирования продаж и бюджета",IF(G72="выше тренда","период активизации продвижения и продаж","обычный режим анализа спроса")))</f>
        <v/>
      </c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>
        <f>Расчет!A64</f>
        <v/>
      </c>
      <c r="B73" s="5">
        <f>Расчет!G64</f>
        <v/>
      </c>
      <c r="C73" s="5">
        <f>Расчет!H64</f>
        <v/>
      </c>
      <c r="D73" s="5">
        <f>IFERROR(VLOOKUP(Расчет!B64,Сезонность!$A4 у.е.:$D1 у.е.5,4,FALSE),"")</f>
        <v/>
      </c>
      <c r="E73" s="5">
        <f>Расчет!J64</f>
        <v/>
      </c>
      <c r="F73" s="5">
        <f>Расчет!K64</f>
        <v/>
      </c>
      <c r="G73" s="3">
        <f>Расчет!L64</f>
        <v/>
      </c>
      <c r="H73" s="3">
        <f>IF(G73="","",IF(G73="ниже тренда","период осторожного планирования продаж и бюджета",IF(G73="выше тренда","период активизации продвижения и продаж","обычный режим анализа спроса")))</f>
        <v/>
      </c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C23" sqref="C23"/>
    </sheetView>
  </sheetViews>
  <sheetFormatPr baseColWidth="8" defaultRowHeight="14.25"/>
  <cols>
    <col width="14" customWidth="1" min="1" max="1"/>
    <col width="38.875" customWidth="1" min="2" max="2"/>
    <col width="36" customWidth="1" min="3" max="3"/>
    <col width="27.375" customWidth="1" min="4" max="4"/>
    <col width="32.625" customWidth="1" min="5" max="5"/>
    <col width="18.5" customWidth="1" min="6" max="6"/>
    <col width="74.375" customWidth="1" min="7" max="7"/>
    <col width="130" customWidth="1" min="8" max="8"/>
  </cols>
  <sheetData>
    <row r="1" ht="27.95" customHeight="1">
      <c r="A1" s="11" t="inlineStr">
        <is>
          <t>Журнал выгрузки исходных данных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Дата выгрузки</t>
        </is>
      </c>
      <c r="B3" s="13" t="inlineStr">
        <is>
          <t>Источник</t>
        </is>
      </c>
      <c r="C3" s="13" t="inlineStr">
        <is>
          <t>Запрос / кластер</t>
        </is>
      </c>
      <c r="D3" s="13" t="inlineStr">
        <is>
          <t>Регион</t>
        </is>
      </c>
      <c r="E3" s="13" t="inlineStr">
        <is>
          <t>Период</t>
        </is>
      </c>
      <c r="F3" s="13" t="inlineStr">
        <is>
          <t>Формат файла</t>
        </is>
      </c>
      <c r="G3" s="13" t="inlineStr">
        <is>
          <t>Имя файла</t>
        </is>
      </c>
      <c r="H3" s="13" t="inlineStr">
        <is>
          <t>Примечание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customFormat="1" s="21">
      <c r="A4" s="20" t="inlineStr">
        <is>
          <t>2026-09-30</t>
        </is>
      </c>
      <c r="B4" s="20" t="inlineStr">
        <is>
          <t>Яндекс Вордстат</t>
        </is>
      </c>
      <c r="C4" s="20" t="inlineStr">
        <is>
          <t>plantuml</t>
        </is>
      </c>
      <c r="D4" s="20" t="inlineStr">
        <is>
          <t>Беларусь (id=149)</t>
        </is>
      </c>
      <c r="E4" s="20" t="inlineStr">
        <is>
          <t>2024-09—2026-08 (24 мес., по месяцам)</t>
        </is>
      </c>
      <c r="F4" s="20" t="inlineStr">
        <is>
          <t>JSON</t>
        </is>
      </c>
      <c r="G4" s="20" t="inlineStr">
        <is>
          <t>wordstat_plantuml_dinamika_RB_2024-09_2026-08.json</t>
        </is>
      </c>
      <c r="H4" s="20" t="inlineStr">
        <is>
          <t>Динамика по месяцам, API getGraph; расширенный ряд 2018-01—2026-08 — файл wordstat_plantuml_dinamika_RB_2018-01_2026-08.json</t>
        </is>
      </c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</row>
    <row r="5" customFormat="1" s="21">
      <c r="A5" s="20" t="inlineStr">
        <is>
          <t>2026-09-30</t>
        </is>
      </c>
      <c r="B5" s="20" t="inlineStr">
        <is>
          <t>Яндекс Вордстат</t>
        </is>
      </c>
      <c r="C5" s="20" t="inlineStr">
        <is>
          <t>plantuml</t>
        </is>
      </c>
      <c r="D5" s="20" t="inlineStr">
        <is>
          <t>Беларусь (id=149)</t>
        </is>
      </c>
      <c r="E5" s="20" t="inlineStr">
        <is>
          <t>Топы запросов, 29.08-29.09.2026</t>
        </is>
      </c>
      <c r="F5" s="20" t="inlineStr">
        <is>
          <t>JSON</t>
        </is>
      </c>
      <c r="G5" s="20" t="inlineStr">
        <is>
          <t>wordstat_topy_kommercheskie_problemnye_segmentnye_geo_RB_okno_2026-08-29_09-29.json</t>
        </is>
      </c>
      <c r="H5" s="20" t="inlineStr">
        <is>
          <t>Частотность за 30 дней: 200; подзапросы — в сводке данных Вордстата</t>
        </is>
      </c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</row>
    <row r="6" customFormat="1" s="21">
      <c r="A6" s="22" t="inlineStr">
        <is>
          <t>30.09.2026</t>
        </is>
      </c>
      <c r="B6" s="15" t="inlineStr">
        <is>
          <t>Яндекс Вордстат</t>
        </is>
      </c>
      <c r="C6" s="15" t="inlineStr">
        <is>
          <t>plantuml</t>
        </is>
      </c>
      <c r="D6" s="15" t="inlineStr">
        <is>
          <t>Беларусь (id=149)</t>
        </is>
      </c>
      <c r="E6" s="15" t="inlineStr">
        <is>
          <t>2024-09—2026-08 (24 мес., по месяцам)</t>
        </is>
      </c>
      <c r="F6" s="15" t="inlineStr">
        <is>
          <t>JSON</t>
        </is>
      </c>
      <c r="G6" s="15" t="inlineStr">
        <is>
          <t>wordstat_plantuml_dinamika_RB_2024-09_2026-08.json</t>
        </is>
      </c>
      <c r="H6" s="15" t="inlineStr">
        <is>
          <t>Динамика по месяцам, API getGraph; расширенный ряд 2018-01—2026-08 — файл wordstat_plantuml_dinamika_RB_2018-01_2026-08.json</t>
        </is>
      </c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</row>
    <row r="7" customFormat="1" s="21">
      <c r="A7" s="22" t="inlineStr">
        <is>
          <t>30.09.2026</t>
        </is>
      </c>
      <c r="B7" s="15" t="inlineStr">
        <is>
          <t>Яндекс Вордстат</t>
        </is>
      </c>
      <c r="C7" s="15" t="inlineStr">
        <is>
          <t>idef0</t>
        </is>
      </c>
      <c r="D7" s="15" t="inlineStr">
        <is>
          <t>Беларусь (id=149)</t>
        </is>
      </c>
      <c r="E7" s="15" t="inlineStr">
        <is>
          <t>2024-09—2026-08 (24 мес., по месяцам)</t>
        </is>
      </c>
      <c r="F7" s="15" t="inlineStr">
        <is>
          <t>JSON</t>
        </is>
      </c>
      <c r="G7" s="15" t="inlineStr">
        <is>
          <t>wordstat_idef0_dinamika_RB_2024-09_2026-08.json</t>
        </is>
      </c>
      <c r="H7" s="15" t="inlineStr">
        <is>
          <t>Динамика по месяцам, API getGraph; расширенный ряд 2018-01—2026-08 — файл wordstat_idef0_dinamika_RB_2018-01_2026-08.json</t>
        </is>
      </c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</row>
    <row r="8" customFormat="1" s="21">
      <c r="A8" s="22" t="inlineStr">
        <is>
          <t>30.09.2026</t>
        </is>
      </c>
      <c r="B8" s="15" t="inlineStr">
        <is>
          <t>Яндекс Вордстат</t>
        </is>
      </c>
      <c r="C8" s="15" t="inlineStr">
        <is>
          <t>dfd диаграмма</t>
        </is>
      </c>
      <c r="D8" s="15" t="inlineStr">
        <is>
          <t>Беларусь (id=149)</t>
        </is>
      </c>
      <c r="E8" s="15" t="inlineStr">
        <is>
          <t>2024-09—2026-08 (24 мес., по месяцам)</t>
        </is>
      </c>
      <c r="F8" s="15" t="inlineStr">
        <is>
          <t>JSON</t>
        </is>
      </c>
      <c r="G8" s="15" t="inlineStr">
        <is>
          <t>wordstat_dfd-diagramma_dinamika_RB_2024-09_2026-08.json</t>
        </is>
      </c>
      <c r="H8" s="15" t="inlineStr">
        <is>
          <t>Динамика по месяцам, API getGraph; расширенный ряд 2018-01—2026-08 — файл wordstat_dfd-diagramma_dinamika_RB_2018-01_2026-08.json</t>
        </is>
      </c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</row>
    <row r="9" customFormat="1" s="21">
      <c r="A9" s="22" t="inlineStr">
        <is>
          <t>30.09.2026</t>
        </is>
      </c>
      <c r="B9" s="15" t="inlineStr">
        <is>
          <t>Яндекс Вордстат</t>
        </is>
      </c>
      <c r="C9" s="15" t="inlineStr">
        <is>
          <t>erd диаграмма</t>
        </is>
      </c>
      <c r="D9" s="15" t="inlineStr">
        <is>
          <t>Беларусь (id=149)</t>
        </is>
      </c>
      <c r="E9" s="15" t="inlineStr">
        <is>
          <t>2024-09—2026-08 (24 мес., по месяцам)</t>
        </is>
      </c>
      <c r="F9" s="15" t="inlineStr">
        <is>
          <t>JSON</t>
        </is>
      </c>
      <c r="G9" s="15" t="inlineStr">
        <is>
          <t>wordstat_erd-diagramma_dinamika_RB_2024-09_2026-08.json</t>
        </is>
      </c>
      <c r="H9" s="15" t="inlineStr">
        <is>
          <t>Динамика по месяцам, API getGraph; расширенный ряд 2018-01—2026-08 — файл wordstat_erd-diagramma_dinamika_RB_2018-01_2026-08.json</t>
        </is>
      </c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</row>
    <row r="10" customFormat="1" s="21">
      <c r="A10" s="22" t="inlineStr">
        <is>
          <t>30.09.2026</t>
        </is>
      </c>
      <c r="B10" s="15" t="inlineStr">
        <is>
          <t>Яндекс Вордстат</t>
        </is>
      </c>
      <c r="C10" s="15" t="inlineStr">
        <is>
          <t>erd (без уточнения, омоним)</t>
        </is>
      </c>
      <c r="D10" s="15" t="inlineStr">
        <is>
          <t>Беларусь (id=149)</t>
        </is>
      </c>
      <c r="E10" s="15" t="inlineStr">
        <is>
          <t>2024-09—2026-08 (24 мес., по месяцам)</t>
        </is>
      </c>
      <c r="F10" s="15" t="inlineStr">
        <is>
          <t>JSON</t>
        </is>
      </c>
      <c r="G10" s="15" t="inlineStr">
        <is>
          <t>wordstat_erd-bez-utochneniya_dinamika_RB_2024-09_2026-08.json</t>
        </is>
      </c>
      <c r="H10" s="15" t="inlineStr">
        <is>
          <t>Динамика по месяцам, API getGraph; расширенный ряд 2018-01—2026-08 — файл wordstat_erd-bez-utochneniya_dinamika_RB_2018-01_2026-08.json</t>
        </is>
      </c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</row>
    <row r="11" customFormat="1" s="21">
      <c r="A11" s="22" t="inlineStr">
        <is>
          <t>30.09.2026</t>
        </is>
      </c>
      <c r="B11" s="15" t="inlineStr">
        <is>
          <t>Яндекс Вордстат</t>
        </is>
      </c>
      <c r="C11" s="15" t="inlineStr">
        <is>
          <t>сеть петри</t>
        </is>
      </c>
      <c r="D11" s="15" t="inlineStr">
        <is>
          <t>Беларусь (id=149)</t>
        </is>
      </c>
      <c r="E11" s="15" t="inlineStr">
        <is>
          <t>2024-09—2026-08 (24 мес., по месяцам)</t>
        </is>
      </c>
      <c r="F11" s="15" t="inlineStr">
        <is>
          <t>JSON</t>
        </is>
      </c>
      <c r="G11" s="15" t="inlineStr">
        <is>
          <t>wordstat_set-petri_dinamika_RB_2024-09_2026-08.json</t>
        </is>
      </c>
      <c r="H11" s="15" t="inlineStr">
        <is>
          <t>Динамика по месяцам, API getGraph; расширенный ряд 2018-01—2026-08 — файл wordstat_set-petri_dinamika_RB_2018-01_2026-08.json</t>
        </is>
      </c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</row>
    <row r="12" customFormat="1" s="21">
      <c r="A12" s="22" t="inlineStr">
        <is>
          <t>30.09.2026</t>
        </is>
      </c>
      <c r="B12" s="15" t="inlineStr">
        <is>
          <t>Яндекс Вордстат</t>
        </is>
      </c>
      <c r="C12" s="15" t="inlineStr">
        <is>
          <t>нейросеть схема</t>
        </is>
      </c>
      <c r="D12" s="15" t="inlineStr">
        <is>
          <t>Беларусь (id=149)</t>
        </is>
      </c>
      <c r="E12" s="15" t="inlineStr">
        <is>
          <t>2024-09—2026-08 (24 мес., по месяцам)</t>
        </is>
      </c>
      <c r="F12" s="15" t="inlineStr">
        <is>
          <t>JSON</t>
        </is>
      </c>
      <c r="G12" s="15" t="inlineStr">
        <is>
          <t>wordstat_neyroset-shema_dinamika_RB_2024-09_2026-08.json</t>
        </is>
      </c>
      <c r="H12" s="15" t="inlineStr">
        <is>
          <t>Динамика по месяцам, API getGraph; расширенный ряд 2018-01—2026-08 — файл wordstat_neyroset-shema_dinamika_RB_2018-01_2026-08.json</t>
        </is>
      </c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</row>
    <row r="13" customFormat="1" s="21">
      <c r="A13" s="22" t="inlineStr">
        <is>
          <t>30.09.2026</t>
        </is>
      </c>
      <c r="B13" s="15" t="inlineStr">
        <is>
          <t>Яндекс Вордстат</t>
        </is>
      </c>
      <c r="C13" s="15" t="inlineStr">
        <is>
          <t>нейросеть диаграмма</t>
        </is>
      </c>
      <c r="D13" s="15" t="inlineStr">
        <is>
          <t>Беларусь (id=149)</t>
        </is>
      </c>
      <c r="E13" s="15" t="inlineStr">
        <is>
          <t>2024-09—2026-08 (24 мес., по месяцам)</t>
        </is>
      </c>
      <c r="F13" s="15" t="inlineStr">
        <is>
          <t>JSON</t>
        </is>
      </c>
      <c r="G13" s="15" t="inlineStr">
        <is>
          <t>wordstat_neyroset-diagramma_dinamika_RB_2024-09_2026-08.json</t>
        </is>
      </c>
      <c r="H13" s="15" t="inlineStr">
        <is>
          <t>Динамика по месяцам, API getGraph; расширенный ряд 2018-01—2026-08 — файл wordstat_neyroset-diagramma_dinamika_RB_2018-01_2026-08.json</t>
        </is>
      </c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</row>
    <row r="14" customFormat="1" s="21">
      <c r="A14" s="22" t="inlineStr">
        <is>
          <t>30.09.2026</t>
        </is>
      </c>
      <c r="B14" s="15" t="inlineStr">
        <is>
          <t>Яндекс Вордстат</t>
        </is>
      </c>
      <c r="C14" s="15" t="inlineStr">
        <is>
          <t>uml; bpmn (по устройствам)</t>
        </is>
      </c>
      <c r="D14" s="15" t="inlineStr">
        <is>
          <t>Беларусь (id=149)</t>
        </is>
      </c>
      <c r="E14" s="15" t="inlineStr">
        <is>
          <t>2024-09—2026-08 (24 мес., по месяцам)</t>
        </is>
      </c>
      <c r="F14" s="15" t="inlineStr">
        <is>
          <t>JSON</t>
        </is>
      </c>
      <c r="G14" s="15" t="inlineStr">
        <is>
          <t>wordstat_uml_bpmn_dinamika_po_ustroystvam_RB_2024-09_2026-08.json</t>
        </is>
      </c>
      <c r="H14" s="15" t="inlineStr">
        <is>
          <t>Десктопы, смартфоны и планшеты отдельно; сумма по устройствам равна общему ряду в каждом месяце. Расширенные ряды uml и bpmn — файлы ..._2018-01_2026-08.json</t>
        </is>
      </c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</row>
    <row r="15" ht="25.5" customFormat="1" customHeight="1" s="21">
      <c r="A15" s="22" t="inlineStr">
        <is>
          <t>30.09.2026</t>
        </is>
      </c>
      <c r="B15" s="15" t="inlineStr">
        <is>
          <t>Яндекс Вордстат</t>
        </is>
      </c>
      <c r="C15" s="15" t="inlineStr">
        <is>
          <t>uml; bpmn</t>
        </is>
      </c>
      <c r="D15" s="15" t="inlineStr">
        <is>
          <t>мир/СНГ (вкладка «Регионы»)</t>
        </is>
      </c>
      <c r="E15" s="15" t="inlineStr">
        <is>
          <t>29.08-29.09.2026</t>
        </is>
      </c>
      <c r="F15" s="15" t="inlineStr">
        <is>
          <t>JSON</t>
        </is>
      </c>
      <c r="G15" s="15" t="inlineStr">
        <is>
          <t>wordstat_regiony_bpmn_uml_RB_okno_2026-08-29_09-29.json</t>
        </is>
      </c>
      <c r="H15" s="15" t="inlineStr">
        <is>
          <t>Регионы: bpmn — Беларусь 422, индекс 71,96; Минск и область 325, индекс 119,43; Минск 264, индекс 138,29. Предыдущее окно 25.08-23.09: файл ..._okno_2026-08-25_09-23.json</t>
        </is>
      </c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 ht="25.5" customFormat="1" customHeight="1" s="21">
      <c r="A16" s="22" t="inlineStr">
        <is>
          <t>30.09.2026</t>
        </is>
      </c>
      <c r="B16" s="15" t="inlineStr">
        <is>
          <t>Яндекс Вордстат</t>
        </is>
      </c>
      <c r="C16" s="15" t="inlineStr">
        <is>
          <t>коммерческие, проблемные, сегментные, географические, обучающие формулировки</t>
        </is>
      </c>
      <c r="D16" s="15" t="inlineStr">
        <is>
          <t>Беларусь (id=149)</t>
        </is>
      </c>
      <c r="E16" s="15" t="inlineStr">
        <is>
          <t>Топы, 29.08-29.09.2026</t>
        </is>
      </c>
      <c r="F16" s="15" t="inlineStr">
        <is>
          <t>JSON</t>
        </is>
      </c>
      <c r="G16" s="15" t="inlineStr">
        <is>
          <t>wordstat_topy_kommercheskie_problemnye_segmentnye_geo_RB_okno_2026-08-29_09-29.json</t>
        </is>
      </c>
      <c r="H16" s="15" t="inlineStr">
        <is>
          <t>Из 5 коммерческих формулировок ядра запросов нет ни по одной; «uml купить» — 5; «bpmn курсы» — 17; «uml курс», «bpmn обучение» — 0</t>
        </is>
      </c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</row>
    <row r="17">
      <c r="A17" s="10" t="n"/>
      <c r="B17" s="3" t="n"/>
      <c r="C17" s="3" t="n"/>
      <c r="D17" s="3" t="n"/>
      <c r="E17" s="3" t="n"/>
      <c r="F17" s="3" t="n"/>
      <c r="G17" s="3" t="n"/>
      <c r="H17" s="3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63.75" customFormat="1" customHeight="1" s="19">
      <c r="A18" s="17" t="inlineStr">
        <is>
          <t>Примечание</t>
        </is>
      </c>
      <c r="B18" s="15" t="inlineStr">
        <is>
          <t>Вариант только Яндекс Вордстат: запрос «plantuml», Беларусь, 24 мес. (09.2024—08.2026); колонка Google Trends не заполнялась, так как по запросу в Беларуси нет недельных значений Google Trends в сопоставимом объёме</t>
        </is>
      </c>
      <c r="C18" s="15" t="n"/>
      <c r="D18" s="15" t="n"/>
      <c r="E18" s="15" t="n"/>
      <c r="F18" s="15" t="n"/>
      <c r="G18" s="15" t="n"/>
      <c r="H18" s="15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E17" sqref="E17"/>
    </sheetView>
  </sheetViews>
  <sheetFormatPr baseColWidth="8" defaultRowHeight="14.25"/>
  <cols>
    <col width="18" customWidth="1" min="1" max="1"/>
    <col width="48" customWidth="1" min="2" max="2"/>
    <col width="42" customWidth="1" min="3" max="3"/>
    <col width="32" customWidth="1" min="4" max="4"/>
    <col width="42" customWidth="1" min="5" max="5"/>
    <col width="48" customWidth="1" min="6" max="6"/>
  </cols>
  <sheetData>
    <row r="1" ht="27.95" customHeight="1">
      <c r="A1" s="11" t="inlineStr">
        <is>
          <t>Методика использования файла и источники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Раздел</t>
        </is>
      </c>
      <c r="B3" s="13" t="inlineStr">
        <is>
          <t>Содержание</t>
        </is>
      </c>
      <c r="C3" s="13" t="inlineStr">
        <is>
          <t>Практическое действие</t>
        </is>
      </c>
      <c r="D3" s="13" t="inlineStr">
        <is>
          <t>Результат</t>
        </is>
      </c>
      <c r="E3" s="13" t="inlineStr">
        <is>
          <t>Ограничение</t>
        </is>
      </c>
      <c r="F3" s="13" t="inlineStr">
        <is>
          <t>Источник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>
      <c r="A4" s="3" t="inlineStr">
        <is>
          <t>1. Сбор данных</t>
        </is>
      </c>
      <c r="B4" s="3" t="inlineStr">
        <is>
          <t>Выгрузить данные из Google Trends и Яндекс Вордстат за одинаковый период и одну территорию</t>
        </is>
      </c>
      <c r="C4" s="3" t="inlineStr">
        <is>
          <t>Зафиксировать регион, период, запросы, категорию и тип поиска</t>
        </is>
      </c>
      <c r="D4" s="3" t="inlineStr">
        <is>
          <t>Сопоставимый временной ряд</t>
        </is>
      </c>
      <c r="E4" s="3" t="inlineStr">
        <is>
          <t>Разные источники отражают разные аудитории</t>
        </is>
      </c>
      <c r="F4" s="3" t="inlineStr">
        <is>
          <t>https://support.google.com/trends/answer/4365538?hl=en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5.5" customHeight="1">
      <c r="A5" s="3" t="inlineStr">
        <is>
          <t>2. Нормирование</t>
        </is>
      </c>
      <c r="B5" s="3" t="inlineStr">
        <is>
          <t>Google Trends уже представлен как индекс 0–100; Вордстат нормируется относительно максимума в выбранном ряду</t>
        </is>
      </c>
      <c r="C5" s="3" t="inlineStr">
        <is>
          <t>Ввести фактические значения на лист «Ввод_данных»</t>
        </is>
      </c>
      <c r="D5" s="3" t="inlineStr">
        <is>
          <t>Сводный индекс интереса</t>
        </is>
      </c>
      <c r="E5" s="3" t="inlineStr">
        <is>
          <t>Нормирование не превращает поисковый интерес в размер рынка</t>
        </is>
      </c>
      <c r="F5" s="3" t="inlineStr">
        <is>
          <t>https://support.google.com/trends/answer/4365533?hl=en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5.5" customHeight="1">
      <c r="A6" s="3" t="inlineStr">
        <is>
          <t>3. Тренд</t>
        </is>
      </c>
      <c r="B6" s="3" t="inlineStr">
        <is>
          <t>Тренд оценивается через средние значения и скользящее среднее за 12 месяцев</t>
        </is>
      </c>
      <c r="C6" s="3" t="inlineStr">
        <is>
          <t>Смотреть лист «Оценка_тренда»</t>
        </is>
      </c>
      <c r="D6" s="3" t="inlineStr">
        <is>
          <t>Рост, стабильность или снижение интереса</t>
        </is>
      </c>
      <c r="E6" s="3" t="inlineStr">
        <is>
          <t>Короткие ряды менее надежны</t>
        </is>
      </c>
      <c r="F6" s="3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>
      <c r="A7" s="3" t="inlineStr">
        <is>
          <t>4. Сезонность</t>
        </is>
      </c>
      <c r="B7" s="3" t="inlineStr">
        <is>
          <t>Сезонный индекс показывает, в какие месяцы интерес выше или ниже среднего трендового уровня</t>
        </is>
      </c>
      <c r="C7" s="3" t="inlineStr">
        <is>
          <t>Смотреть лист «Сезонность»</t>
        </is>
      </c>
      <c r="D7" s="3" t="inlineStr">
        <is>
          <t>Месяцы максимального и минимального спроса</t>
        </is>
      </c>
      <c r="E7" s="3" t="inlineStr">
        <is>
          <t>Сезонность корректнее оценивать по данным за 2–3 года и более</t>
        </is>
      </c>
      <c r="F7" s="3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5.5" customHeight="1">
      <c r="A8" s="3" t="inlineStr">
        <is>
          <t>5. Циклы спроса</t>
        </is>
      </c>
      <c r="B8" s="3" t="inlineStr">
        <is>
          <t>Циклический коэффициент показывает отклонение от тренда с учетом сезонности</t>
        </is>
      </c>
      <c r="C8" s="3" t="inlineStr">
        <is>
          <t>Смотреть лист «Деловые_циклы»</t>
        </is>
      </c>
      <c r="D8" s="3" t="inlineStr">
        <is>
          <t>Периоды выше или ниже нормального уровня спроса</t>
        </is>
      </c>
      <c r="E8" s="3" t="inlineStr">
        <is>
          <t>Это поисковый цикл спроса, а не прямое измерение макроэкономического делового цикла</t>
        </is>
      </c>
      <c r="F8" s="3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5.5" customHeight="1">
      <c r="A9" s="3" t="inlineStr">
        <is>
          <t>6. Яндекс Вордстат</t>
        </is>
      </c>
      <c r="B9" s="3" t="inlineStr">
        <is>
          <t>Вордстат показывает статистику поисковых запросов к Яндексу, динамику популярности и региональные различия</t>
        </is>
      </c>
      <c r="C9" s="3" t="inlineStr">
        <is>
          <t>Использовать одинаковые запросы и географические настройки</t>
        </is>
      </c>
      <c r="D9" s="3" t="inlineStr">
        <is>
          <t>Оценка интереса аудитории Яндекса</t>
        </is>
      </c>
      <c r="E9" s="3" t="inlineStr">
        <is>
          <t>Не отражает весь интернет-рынок</t>
        </is>
      </c>
      <c r="F9" s="3" t="inlineStr">
        <is>
          <t>https://wordstat.yandex.ru/</t>
        </is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2"/>
  <sheetViews>
    <sheetView tabSelected="1" workbookViewId="0">
      <selection activeCell="H16" sqref="H16"/>
    </sheetView>
  </sheetViews>
  <sheetFormatPr baseColWidth="8" defaultRowHeight="14.25"/>
  <cols>
    <col width="28" customWidth="1" min="1" max="1"/>
    <col width="14" customWidth="1" min="2" max="2"/>
    <col width="52" customWidth="1" min="3" max="3"/>
    <col width="22" customWidth="1" min="4" max="4"/>
  </cols>
  <sheetData>
    <row r="1" ht="27.95" customHeight="1">
      <c r="A1" s="11" t="inlineStr">
        <is>
          <t>Настройки модели оценки тренда, сезонности и циклов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Параметр</t>
        </is>
      </c>
      <c r="B3" s="13" t="inlineStr">
        <is>
          <t>Значение</t>
        </is>
      </c>
      <c r="C3" s="13" t="inlineStr">
        <is>
          <t>Назначение</t>
        </is>
      </c>
      <c r="D3" s="13" t="inlineStr">
        <is>
          <t>Рекомендация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Вес Google Trends</t>
        </is>
      </c>
      <c r="B4" s="5" t="n">
        <v>0.5</v>
      </c>
      <c r="C4" s="3" t="inlineStr">
        <is>
          <t>Доля индекса Google Trends в сводном индексе</t>
        </is>
      </c>
      <c r="D4" s="3" t="inlineStr">
        <is>
          <t>0,40–0,60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inlineStr">
        <is>
          <t>Вес Яндекс Вордстат</t>
        </is>
      </c>
      <c r="B5" s="5" t="n">
        <v>0.5</v>
      </c>
      <c r="C5" s="3" t="inlineStr">
        <is>
          <t>Доля нормированного показателя Вордстат в сводном индексе</t>
        </is>
      </c>
      <c r="D5" s="3" t="inlineStr">
        <is>
          <t>0,40–0,60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Окно скользящего среднего, мес</t>
        </is>
      </c>
      <c r="B6" s="5" t="n">
        <v>12</v>
      </c>
      <c r="C6" s="3" t="inlineStr">
        <is>
          <t>Период сглаживания для оценки тренда</t>
        </is>
      </c>
      <c r="D6" s="3" t="inlineStr">
        <is>
          <t>12 месяцев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>
      <c r="A7" s="3" t="inlineStr">
        <is>
          <t>Порог сильной сезонности</t>
        </is>
      </c>
      <c r="B7" s="5" t="n">
        <v>0.3</v>
      </c>
      <c r="C7" s="3" t="inlineStr">
        <is>
          <t>Амплитуда сезонных индексов, при которой сезонность считается выраженной</t>
        </is>
      </c>
      <c r="D7" s="3" t="inlineStr">
        <is>
          <t>0,25–0,35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inlineStr">
        <is>
          <t>Порог слабой сезонности</t>
        </is>
      </c>
      <c r="B8" s="5" t="n">
        <v>0.15</v>
      </c>
      <c r="C8" s="3" t="inlineStr">
        <is>
          <t>Амплитуда сезонных индексов для умеренной сезонности</t>
        </is>
      </c>
      <c r="D8" s="3" t="inlineStr">
        <is>
          <t>0,10–0,20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Порог снижения тренда</t>
        </is>
      </c>
      <c r="B9" s="5" t="n">
        <v>-0.15</v>
      </c>
      <c r="C9" s="3" t="inlineStr">
        <is>
          <t>Граница для классификации снижающегося тренда</t>
        </is>
      </c>
      <c r="D9" s="3" t="inlineStr">
        <is>
          <t>-15%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Порог роста тренда</t>
        </is>
      </c>
      <c r="B10" s="5" t="n">
        <v>0.15</v>
      </c>
      <c r="C10" s="3" t="inlineStr">
        <is>
          <t>Граница для классификации растущего тренда</t>
        </is>
      </c>
      <c r="D10" s="3" t="inlineStr">
        <is>
          <t>+15%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inlineStr">
        <is>
          <t>Нижний порог цикла</t>
        </is>
      </c>
      <c r="B11" s="5" t="n">
        <v>0.9</v>
      </c>
      <c r="C11" s="3" t="inlineStr">
        <is>
          <t>Ниже этого значения спрос считается ниже трендового уровня</t>
        </is>
      </c>
      <c r="D11" s="3" t="inlineStr">
        <is>
          <t>0,90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inlineStr">
        <is>
          <t>Верхний порог цикла</t>
        </is>
      </c>
      <c r="B12" s="5" t="n">
        <v>1.1</v>
      </c>
      <c r="C12" s="3" t="inlineStr">
        <is>
          <t>Выше этого значения спрос считается выше трендового уровня</t>
        </is>
      </c>
      <c r="D12" s="3" t="inlineStr">
        <is>
          <t>1,10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terms:created xmlns:dcterms="http://purl.org/dc/terms/" xmlns:xsi="http://www.w3.org/2001/XMLSchema-instance" xsi:type="dcterms:W3CDTF">2026-10-04T14:28:39Z</dcterms:created>
  <dcterms:modified xmlns:dcterms="http://purl.org/dc/terms/" xmlns:xsi="http://www.w3.org/2001/XMLSchema-instance" xsi:type="dcterms:W3CDTF">2026-10-04T15:52:39Z</dcterms:modified>
  <cp:lastModifiedBy>Aliaksandr Khajynau</cp:lastModifiedBy>
</cp:coreProperties>
</file>