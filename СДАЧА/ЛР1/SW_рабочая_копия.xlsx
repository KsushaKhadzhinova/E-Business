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00_Методика" sheetId="1" state="visible" r:id="rId1"/>
    <sheet xmlns:r="http://schemas.openxmlformats.org/officeDocument/2006/relationships" name="01_Параметры" sheetId="2" state="visible" r:id="rId2"/>
    <sheet xmlns:r="http://schemas.openxmlformats.org/officeDocument/2006/relationships" name="02_Конкуренты_SW" sheetId="3" state="visible" r:id="rId3"/>
    <sheet xmlns:r="http://schemas.openxmlformats.org/officeDocument/2006/relationships" name="03_Каналы" sheetId="4" state="visible" r:id="rId4"/>
    <sheet xmlns:r="http://schemas.openxmlformats.org/officeDocument/2006/relationships" name="04_География" sheetId="5" state="visible" r:id="rId5"/>
    <sheet xmlns:r="http://schemas.openxmlformats.org/officeDocument/2006/relationships" name="05_Запросы" sheetId="6" state="visible" r:id="rId6"/>
    <sheet xmlns:r="http://schemas.openxmlformats.org/officeDocument/2006/relationships" name="06_Воронка_сценарии" sheetId="7" state="visible" r:id="rId7"/>
    <sheet xmlns:r="http://schemas.openxmlformats.org/officeDocument/2006/relationships" name="07_Дашборд" sheetId="8" state="visible" r:id="rId8"/>
    <sheet xmlns:r="http://schemas.openxmlformats.org/officeDocument/2006/relationships" name="08_Источни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#,##0\ \₽"/>
    <numFmt numFmtId="167" formatCode="yyyy\-mm\-dd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FF0F172A"/>
      <sz val="11"/>
    </font>
    <font>
      <name val="Carlito"/>
      <b val="1"/>
      <sz val="11"/>
    </font>
    <font>
      <name val="Aptos"/>
      <family val="2"/>
      <b val="1"/>
      <color rgb="FFFFFFFF"/>
      <sz val="10"/>
    </font>
    <font>
      <name val="Aptos"/>
      <family val="2"/>
      <sz val="10"/>
    </font>
    <font>
      <name val="Carlito"/>
      <sz val="11"/>
    </font>
    <font>
      <name val="Tahoma"/>
      <family val="2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41">
    <xf numFmtId="0" fontId="0" fillId="0" borderId="0" pivotButton="0" quotePrefix="0" xfId="0"/>
    <xf numFmtId="0" fontId="1" fillId="3" borderId="0" applyAlignment="1" pivotButton="0" quotePrefix="0" xfId="1">
      <alignment horizontal="center" vertical="center" wrapText="1"/>
    </xf>
    <xf numFmtId="3" fontId="0" fillId="0" borderId="0" pivotButton="0" quotePrefix="0" xfId="1"/>
    <xf numFmtId="0" fontId="3" fillId="5" borderId="0" applyAlignment="1" pivotButton="0" quotePrefix="0" xfId="1">
      <alignment horizontal="left" vertical="top" wrapText="1"/>
    </xf>
    <xf numFmtId="3" fontId="3" fillId="5" borderId="0" applyAlignment="1" pivotButton="0" quotePrefix="0" xfId="1">
      <alignment horizontal="left" vertical="top" wrapText="1"/>
    </xf>
    <xf numFmtId="164" fontId="0" fillId="0" borderId="0" pivotButton="0" quotePrefix="0" xfId="1"/>
    <xf numFmtId="164" fontId="3" fillId="5" borderId="0" applyAlignment="1" pivotButton="0" quotePrefix="0" xfId="1">
      <alignment horizontal="left" vertical="top" wrapText="1"/>
    </xf>
    <xf numFmtId="165" fontId="0" fillId="0" borderId="0" pivotButton="0" quotePrefix="0" xfId="1"/>
    <xf numFmtId="165" fontId="3" fillId="5" borderId="0" applyAlignment="1" pivotButton="0" quotePrefix="0" xfId="1">
      <alignment horizontal="left" vertical="top" wrapText="1"/>
    </xf>
    <xf numFmtId="166" fontId="0" fillId="0" borderId="0" pivotButton="0" quotePrefix="0" xfId="1"/>
    <xf numFmtId="0" fontId="3" fillId="6" borderId="0" applyAlignment="1" pivotButton="0" quotePrefix="0" xfId="1">
      <alignment horizontal="left" vertical="center" wrapText="1"/>
    </xf>
    <xf numFmtId="0" fontId="0" fillId="7" borderId="0" applyAlignment="1" pivotButton="0" quotePrefix="0" xfId="1">
      <alignment horizontal="left" vertical="center" wrapText="1"/>
    </xf>
    <xf numFmtId="3" fontId="0" fillId="7" borderId="0" applyAlignment="1" pivotButton="0" quotePrefix="0" xfId="1">
      <alignment horizontal="left" vertical="center" wrapText="1"/>
    </xf>
    <xf numFmtId="3" fontId="3" fillId="6" borderId="0" applyAlignment="1" pivotButton="0" quotePrefix="0" xfId="1">
      <alignment horizontal="left" vertical="center" wrapText="1"/>
    </xf>
    <xf numFmtId="166" fontId="0" fillId="7" borderId="0" applyAlignment="1" pivotButton="0" quotePrefix="0" xfId="1">
      <alignment horizontal="left" vertical="center" wrapText="1"/>
    </xf>
    <xf numFmtId="166" fontId="3" fillId="6" borderId="0" applyAlignment="1" pivotButton="0" quotePrefix="0" xfId="1">
      <alignment horizontal="left" vertical="center" wrapText="1"/>
    </xf>
    <xf numFmtId="164" fontId="0" fillId="7" borderId="0" applyAlignment="1" pivotButton="0" quotePrefix="0" xfId="1">
      <alignment horizontal="left" vertical="center" wrapText="1"/>
    </xf>
    <xf numFmtId="0" fontId="5" fillId="0" borderId="0" pivotButton="0" quotePrefix="0" xfId="1"/>
    <xf numFmtId="0" fontId="4" fillId="2" borderId="0" applyAlignment="1" pivotButton="0" quotePrefix="0" xfId="1">
      <alignment horizontal="center" vertical="center" wrapText="1"/>
    </xf>
    <xf numFmtId="0" fontId="2" fillId="4" borderId="0" applyAlignment="1" pivotButton="0" quotePrefix="0" xfId="1">
      <alignment horizontal="left" vertical="center" wrapText="1"/>
    </xf>
    <xf numFmtId="0" fontId="0" fillId="0" borderId="0" applyAlignment="1" pivotButton="0" quotePrefix="0" xfId="1">
      <alignment vertical="center" wrapText="1"/>
    </xf>
    <xf numFmtId="0" fontId="5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167" fontId="0" fillId="0" borderId="0" applyAlignment="1" pivotButton="0" quotePrefix="0" xfId="1">
      <alignment vertical="center" wrapText="1"/>
    </xf>
    <xf numFmtId="3" fontId="0" fillId="0" borderId="0" applyAlignment="1" pivotButton="0" quotePrefix="0" xfId="1">
      <alignment vertical="center" wrapText="1"/>
    </xf>
    <xf numFmtId="9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165" fontId="0" fillId="0" borderId="0" applyAlignment="1" pivotButton="0" quotePrefix="0" xfId="1">
      <alignment vertical="center" wrapText="1"/>
    </xf>
    <xf numFmtId="166" fontId="0" fillId="0" borderId="0" applyAlignment="1" pivotButton="0" quotePrefix="0" xfId="1">
      <alignment vertical="center" wrapText="1"/>
    </xf>
    <xf numFmtId="167" fontId="0" fillId="0" borderId="0" applyAlignment="1" pivotButton="0" quotePrefix="0" xfId="1">
      <alignment vertical="center" wrapText="1"/>
    </xf>
    <xf numFmtId="164" fontId="0" fillId="0" borderId="0" applyAlignment="1" pivotButton="0" quotePrefix="0" xfId="1">
      <alignment vertical="center" wrapText="1"/>
    </xf>
    <xf numFmtId="165" fontId="0" fillId="0" borderId="0" applyAlignment="1" pivotButton="0" quotePrefix="0" xfId="1">
      <alignment vertical="center" wrapText="1"/>
    </xf>
    <xf numFmtId="164" fontId="0" fillId="0" borderId="0" pivotButton="0" quotePrefix="0" xfId="1"/>
    <xf numFmtId="165" fontId="0" fillId="0" borderId="0" pivotButton="0" quotePrefix="0" xfId="1"/>
    <xf numFmtId="164" fontId="3" fillId="5" borderId="0" applyAlignment="1" pivotButton="0" quotePrefix="0" xfId="1">
      <alignment horizontal="left" vertical="top" wrapText="1"/>
    </xf>
    <xf numFmtId="165" fontId="3" fillId="5" borderId="0" applyAlignment="1" pivotButton="0" quotePrefix="0" xfId="1">
      <alignment horizontal="left" vertical="top" wrapText="1"/>
    </xf>
    <xf numFmtId="166" fontId="0" fillId="0" borderId="0" applyAlignment="1" pivotButton="0" quotePrefix="0" xfId="1">
      <alignment vertical="center" wrapText="1"/>
    </xf>
    <xf numFmtId="166" fontId="0" fillId="7" borderId="0" applyAlignment="1" pivotButton="0" quotePrefix="0" xfId="1">
      <alignment horizontal="left" vertical="center" wrapText="1"/>
    </xf>
    <xf numFmtId="166" fontId="3" fillId="6" borderId="0" applyAlignment="1" pivotButton="0" quotePrefix="0" xfId="1">
      <alignment horizontal="left" vertical="center" wrapText="1"/>
    </xf>
    <xf numFmtId="164" fontId="0" fillId="7" borderId="0" applyAlignment="1" pivotButton="0" quotePrefix="0" xfId="1">
      <alignment horizontal="left" vertical="center" wrapText="1"/>
    </xf>
    <xf numFmtId="166" fontId="0" fillId="0" borderId="0" pivotButton="0" quotePrefix="0" xfId="1"/>
  </cellXfs>
  <cellStyles count="2">
    <cellStyle name="Обычный" xfId="0" builtinId="0"/>
    <cellStyle name="Normal" xfId="1"/>
  </cellStyles>
  <dxfs count="10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general" vertical="center" wrapText="1"/>
    </dxf>
    <dxf>
      <alignment vertical="center" wrapText="1"/>
    </dxf>
    <dxf>
      <alignment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Рынок, год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'07_Дашборд'!$A$11:$A$13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'07_Дашборд'!$B$11:$B$13</f>
              <numCache>
                <formatCode>#,##0\ \₽</formatCode>
                <ptCount val="3"/>
                <pt idx="0">
                  <v>321761.16</v>
                </pt>
                <pt idx="1">
                  <v>2052048.214285715</v>
                </pt>
                <pt idx="2">
                  <v>13000450.90909091</v>
                </pt>
              </numCache>
            </numRef>
          </val>
        </ser>
        <ser>
          <idx val="1"/>
          <order val="1"/>
          <tx>
            <v>SOM нового бизнеса, год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'07_Дашборд'!$A$11:$A$13</f>
              <strCache>
                <ptCount val="3"/>
                <pt idx="0">
                  <v>Осторожный</v>
                </pt>
                <pt idx="1">
                  <v>Базовый</v>
                </pt>
                <pt idx="2">
                  <v>Оптимистичный</v>
                </pt>
              </strCache>
            </strRef>
          </cat>
          <val>
            <numRef>
              <f>'07_Дашборд'!$C$11:$C$13</f>
              <numCache>
                <formatCode>#,##0\ \₽</formatCode>
                <ptCount val="3"/>
                <pt idx="0">
                  <v>1608.8058</v>
                </pt>
                <pt idx="1">
                  <v>30780.72321428572</v>
                </pt>
                <pt idx="2">
                  <v>455015.7818181817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\ \₽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Доля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'07_Дашборд'!$A$17:$A$22</f>
              <strCache>
                <ptCount val="6"/>
                <pt idx="0">
                  <v>Direct</v>
                </pt>
                <pt idx="1">
                  <v>Organic search</v>
                </pt>
                <pt idx="2">
                  <v>Referral</v>
                </pt>
                <pt idx="3">
                  <v>Social</v>
                </pt>
                <pt idx="4">
                  <v>Paid search</v>
                </pt>
                <pt idx="5">
                  <v>Display</v>
                </pt>
              </strCache>
            </strRef>
          </cat>
          <val>
            <numRef>
              <f>'07_Дашборд'!$B$17:$B$22</f>
              <numCache>
                <formatCode>0.0%</formatCode>
                <ptCount val="6"/>
                <pt idx="0">
                  <v>0.268402528136087</v>
                </pt>
                <pt idx="1">
                  <v>0.4096633067832053</v>
                </pt>
                <pt idx="2">
                  <v>0.06554545240948284</v>
                </pt>
                <pt idx="3">
                  <v>0.1447942952468222</v>
                </pt>
                <pt idx="4">
                  <v>0.08803012147270976</v>
                </pt>
                <pt idx="5">
                  <v>0.02356429595169286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%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omments/comment1.xml><?xml version="1.0" encoding="utf-8"?>
<comments xmlns="http://schemas.openxmlformats.org/spreadsheetml/2006/main">
  <authors>
    <author>К. А. Хаджинова</author>
  </authors>
  <commentList>
    <comment ref="B9" authorId="0" shapeId="0">
      <text>
        <t>ИСПРАВЛЕНО в рабочей копии (2026-09-29): в оригинале =SUM('02_Конкуренты_SW'!G5:G24) - диапазон сдвинут на 1 строку и терял первого конкурента (строка 4). Исправлено на G4:G23, как в G25, I4:I23, M25:R25 того же шаблона.</t>
      </text>
    </comment>
    <comment ref="B10" authorId="0" shapeId="0">
      <text>
        <t>ИСПРАВЛЕНО в рабочей копии (2026-09-29): в оригинале =SUM('02_Конкуренты_SW'!H5:H24). Исправлено на H4:H23.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0</colOff>
      <row>9</row>
      <rowOff>0</rowOff>
    </from>
    <to>
      <col>12</col>
      <colOff>0</colOff>
      <row>25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0</colOff>
      <row>26</row>
      <rowOff>0</rowOff>
    </from>
    <to>
      <col>12</col>
      <colOff>0</colOff>
      <row>42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ethodTable" displayName="MethodTable" ref="A3:H11" headerRowCount="1" headerRowDxfId="98" dataDxfId="96" totalsRowDxfId="97">
  <tableColumns count="8">
    <tableColumn id="1" name="Блок" dataDxfId="106"/>
    <tableColumn id="2" name="Цель" dataDxfId="105"/>
    <tableColumn id="3" name="Действие" dataDxfId="104"/>
    <tableColumn id="4" name="Что фиксировать" dataDxfId="103"/>
    <tableColumn id="5" name="Расчетный результат" dataDxfId="102"/>
    <tableColumn id="6" name="Ограничения" dataDxfId="101"/>
    <tableColumn id="7" name="Лист Excel" dataDxfId="100"/>
    <tableColumn id="8" name="Выходной вывод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amsTable" displayName="ParamsTable" ref="A3:D13" headerRowCount="1" headerRowDxfId="91" dataDxfId="89" totalsRowDxfId="90">
  <tableColumns count="4">
    <tableColumn id="1" name="Параметр" dataDxfId="95"/>
    <tableColumn id="2" name="Значение" dataDxfId="94"/>
    <tableColumn id="3" name="Единица / формат" dataDxfId="93"/>
    <tableColumn id="4" name="Комментарий" dataDxfId="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etitorsTable" displayName="CompetitorsTable" ref="A3:S23" headerRowCount="1" dataDxfId="69">
  <tableColumns count="19">
    <tableColumn id="1" name="Домен" dataDxfId="88"/>
    <tableColumn id="2" name="Название / конкурент" dataDxfId="87"/>
    <tableColumn id="3" name="Сегмент" dataDxfId="86"/>
    <tableColumn id="4" name="Тип" dataDxfId="85"/>
    <tableColumn id="5" name="Monthly visits" dataDxfId="84"/>
    <tableColumn id="6" name="Доля выбранной географии" dataDxfId="83"/>
    <tableColumn id="7" name="Релевантный трафик, мес." dataDxfId="82"/>
    <tableColumn id="8" name="Релевантный трафик, год" dataDxfId="81"/>
    <tableColumn id="9" name="Доля рынка по трафику" dataDxfId="80"/>
    <tableColumn id="10" name="Bounce rate" dataDxfId="79"/>
    <tableColumn id="11" name="Pages / visit" dataDxfId="78"/>
    <tableColumn id="12" name="Avg duration" dataDxfId="77"/>
    <tableColumn id="13" name="Direct" dataDxfId="76"/>
    <tableColumn id="14" name="Organic search" dataDxfId="75"/>
    <tableColumn id="15" name="Referral" dataDxfId="74"/>
    <tableColumn id="16" name="Social" dataDxfId="73"/>
    <tableColumn id="17" name="Paid search" dataDxfId="72"/>
    <tableColumn id="18" name="Display" dataDxfId="71"/>
    <tableColumn id="19" name="Комментарий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annelsTable" displayName="ChannelsTable" ref="A3:H9" headerRowCount="1" dataDxfId="60">
  <tableColumns count="8">
    <tableColumn id="1" name="Канал" dataDxfId="68"/>
    <tableColumn id="2" name="Средневзвешенная доля" dataDxfId="67"/>
    <tableColumn id="3" name="Оценка рыночного трафика, мес." dataDxfId="66"/>
    <tableColumn id="4" name="Оценка рыночного трафика, год" dataDxfId="65"/>
    <tableColumn id="5" name="Коммерческая интерпретация" dataDxfId="64"/>
    <tableColumn id="6" name="Что проверить дополнительно" dataDxfId="63"/>
    <tableColumn id="7" name="Ограничение" dataDxfId="62"/>
    <tableColumn id="8" name="Приоритет" data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eoTable" displayName="GeoTable" ref="A3:H7" headerRowCount="1" dataDxfId="51">
  <tableColumns count="8">
    <tableColumn id="1" name="Страна / регион" dataDxfId="59"/>
    <tableColumn id="2" name="Доля трафика по Similarweb" dataDxfId="58"/>
    <tableColumn id="3" name="Оценка месячного трафика рынка" dataDxfId="57"/>
    <tableColumn id="4" name="Оценка годового трафика рынка" dataDxfId="56"/>
    <tableColumn id="5" name="Платежеспособность / доступность" dataDxfId="55"/>
    <tableColumn id="6" name="Конкурентная плотность" dataDxfId="54"/>
    <tableColumn id="7" name="Приоритет рынка" dataDxfId="53"/>
    <tableColumn id="8" name="Комментарий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QueriesTable" displayName="QueriesTable" ref="A3:J10" headerRowCount="1" dataDxfId="40">
  <tableColumns count="10">
    <tableColumn id="1" name="Запрос / ключевая фраза" dataDxfId="50"/>
    <tableColumn id="2" name="Источник" dataDxfId="49"/>
    <tableColumn id="3" name="Доля поискового трафика" dataDxfId="48"/>
    <tableColumn id="4" name="Оценочный месячный трафик" dataDxfId="47"/>
    <tableColumn id="5" name="Тип намерения" dataDxfId="46"/>
    <tableColumn id="6" name="Коммерческий вес" dataDxfId="45"/>
    <tableColumn id="7" name="Индекс коммерческого интереса" dataDxfId="44"/>
    <tableColumn id="8" name="Сегмент" dataDxfId="43"/>
    <tableColumn id="9" name="Решение" dataDxfId="42"/>
    <tableColumn id="10" name="Комментарий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enarioTable" displayName="ScenarioTable" ref="A4:J7" headerRowCount="1" headerRowDxfId="29" dataDxfId="27" totalsRowDxfId="28">
  <tableColumns count="10">
    <tableColumn id="1" name="Сценарий" dataDxfId="39"/>
    <tableColumn id="2" name="Коэффициент покрытия конкурентов" dataDxfId="38"/>
    <tableColumn id="3" name="Оценка рынка: посещения/мес." dataDxfId="37"/>
    <tableColumn id="4" name="Конверсия в заявку" dataDxfId="36"/>
    <tableColumn id="5" name="Конверсия заявки в продажу" dataDxfId="35"/>
    <tableColumn id="6" name="Средний чек" dataDxfId="34"/>
    <tableColumn id="7" name="Покупок/клиента в год" dataDxfId="33"/>
    <tableColumn id="8" name="Заказов/мес." dataDxfId="32"/>
    <tableColumn id="9" name="Выручка/мес." dataDxfId="31"/>
    <tableColumn id="10" name="Выручка/год" dataDxfId="3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mTable" displayName="SomTable" ref="A11:F14" headerRowCount="1" headerRowDxfId="20" dataDxfId="18" totalsRowDxfId="19">
  <tableColumns count="6">
    <tableColumn id="1" name="Сценарий" dataDxfId="26"/>
    <tableColumn id="2" name="Рыночная выручка/год" dataDxfId="25"/>
    <tableColumn id="3" name="Достижимая доля нового бизнеса" dataDxfId="24"/>
    <tableColumn id="4" name="Потенциальная выручка нового бизнеса/год" dataDxfId="23"/>
    <tableColumn id="5" name="Комментарий" dataDxfId="22"/>
    <tableColumn id="6" name="Ограничение" dataDxfId="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sTable" displayName="SourcesTable" ref="A3:F9" headerRowCount="1" headerRowDxfId="17" dataDxfId="0" totalsRowDxfId="16">
  <tableColumns count="6">
    <tableColumn id="1" name="Источник" dataDxfId="6"/>
    <tableColumn id="2" name="Что брать" dataDxfId="5"/>
    <tableColumn id="3" name="Как фиксировать" dataDxfId="4"/>
    <tableColumn id="4" name="Ссылка" dataDxfId="3"/>
    <tableColumn id="5" name="Дата обращения" dataDxfId="2"/>
    <tableColumn id="6" name="Ограничение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ataLogTable" displayName="DataLogTable" ref="A13:F18" headerRowCount="1" headerRowDxfId="9" dataDxfId="7" totalsRowDxfId="8">
  <tableColumns count="6">
    <tableColumn id="1" name="Дата" dataDxfId="15"/>
    <tableColumn id="2" name="Сайт / домен" dataDxfId="14"/>
    <tableColumn id="3" name="Раздел Similarweb" dataDxfId="13"/>
    <tableColumn id="4" name="Показатель" dataDxfId="12"/>
    <tableColumn id="5" name="Значение" dataDxfId="11"/>
    <tableColumn id="6" name="Комментарий / снимок экрана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zoomScale="85" zoomScaleNormal="85" workbookViewId="0">
      <selection activeCell="C29" sqref="C29"/>
    </sheetView>
  </sheetViews>
  <sheetFormatPr baseColWidth="8" defaultRowHeight="14.25"/>
  <cols>
    <col width="18" customWidth="1" style="22" min="1" max="1"/>
    <col width="34.25" customWidth="1" style="22" min="2" max="2"/>
    <col width="46" customWidth="1" style="22" min="3" max="3"/>
    <col width="52.25" customWidth="1" style="22" min="4" max="4"/>
    <col width="35.625" customWidth="1" style="22" min="5" max="5"/>
    <col width="45.625" customWidth="1" style="22" min="6" max="6"/>
    <col width="24" customWidth="1" style="22" min="7" max="7"/>
    <col width="45.25" customWidth="1" style="22" min="8" max="8"/>
    <col width="9" customWidth="1" style="22" min="9" max="16384"/>
  </cols>
  <sheetData>
    <row r="1" ht="30" customHeight="1">
      <c r="A1" s="18" t="inlineStr">
        <is>
          <t>Методика оценки объема рынка электронного бизнеса по данным Similarweb</t>
        </is>
      </c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/>
    <row r="3" ht="36" customHeight="1">
      <c r="A3" s="1" t="inlineStr">
        <is>
          <t>Блок</t>
        </is>
      </c>
      <c r="B3" s="1" t="inlineStr">
        <is>
          <t>Цель</t>
        </is>
      </c>
      <c r="C3" s="1" t="inlineStr">
        <is>
          <t>Действие</t>
        </is>
      </c>
      <c r="D3" s="1" t="inlineStr">
        <is>
          <t>Что фиксировать</t>
        </is>
      </c>
      <c r="E3" s="1" t="inlineStr">
        <is>
          <t>Расчетный результат</t>
        </is>
      </c>
      <c r="F3" s="1" t="inlineStr">
        <is>
          <t>Ограничения</t>
        </is>
      </c>
      <c r="G3" s="1" t="inlineStr">
        <is>
          <t>Лист Excel</t>
        </is>
      </c>
      <c r="H3" s="1" t="inlineStr">
        <is>
          <t>Выходной вывод</t>
        </is>
      </c>
    </row>
    <row r="4" ht="28.5" customHeight="1">
      <c r="A4" s="20" t="inlineStr">
        <is>
          <t>1. Границы рынка</t>
        </is>
      </c>
      <c r="B4" s="20" t="inlineStr">
        <is>
          <t>Уточнить, какой рынок оценивается</t>
        </is>
      </c>
      <c r="C4" s="20" t="inlineStr">
        <is>
          <t>Зафиксировать продукт, географию, аудиторию и цифровые каналы</t>
        </is>
      </c>
      <c r="D4" s="20" t="inlineStr">
        <is>
          <t>Название рынка, территория, период, сегменты</t>
        </is>
      </c>
      <c r="E4" s="20" t="inlineStr">
        <is>
          <t>Паспорт расчетной модели</t>
        </is>
      </c>
      <c r="F4" s="20" t="inlineStr">
        <is>
          <t>Без границ рынка трафик конкурентов нельзя трактовать как объем рынка</t>
        </is>
      </c>
      <c r="G4" s="20" t="inlineStr">
        <is>
          <t>01_Параметры</t>
        </is>
      </c>
      <c r="H4" s="20" t="inlineStr">
        <is>
          <t>Что именно считается рынком</t>
        </is>
      </c>
    </row>
    <row r="5">
      <c r="A5" s="20" t="inlineStr">
        <is>
          <t>2. Конкуренты</t>
        </is>
      </c>
      <c r="B5" s="20" t="inlineStr">
        <is>
          <t>Определить ядро цифрового рынка</t>
        </is>
      </c>
      <c r="C5" s="20" t="inlineStr">
        <is>
          <t>Собрать сайты прямых и частичных конкурентов</t>
        </is>
      </c>
      <c r="D5" s="20" t="inlineStr">
        <is>
          <t>Домен, сегмент, тип конкурента</t>
        </is>
      </c>
      <c r="E5" s="20" t="inlineStr">
        <is>
          <t>Список цифровых игроков</t>
        </is>
      </c>
      <c r="F5" s="20" t="inlineStr">
        <is>
          <t>Малые сайты могут отображаться неполно</t>
        </is>
      </c>
      <c r="G5" s="20" t="inlineStr">
        <is>
          <t>02_Конкуренты_SW</t>
        </is>
      </c>
      <c r="H5" s="20" t="inlineStr">
        <is>
          <t>Кто формирует цифровое предложение</t>
        </is>
      </c>
    </row>
    <row r="6" ht="28.5" customHeight="1">
      <c r="A6" s="20" t="inlineStr">
        <is>
          <t>3. Трафик</t>
        </is>
      </c>
      <c r="B6" s="20" t="inlineStr">
        <is>
          <t>Оценить цифровой масштаб сегмента</t>
        </is>
      </c>
      <c r="C6" s="20" t="inlineStr">
        <is>
          <t>Внести посещения, географическую долю и релевантность</t>
        </is>
      </c>
      <c r="D6" s="20" t="inlineStr">
        <is>
          <t>Monthly visits, доля выбранной географии, релевантная доля</t>
        </is>
      </c>
      <c r="E6" s="20" t="inlineStr">
        <is>
          <t>Релевантный месячный и годовой трафик</t>
        </is>
      </c>
      <c r="F6" s="20" t="inlineStr">
        <is>
          <t>Трафик не равен покупкам</t>
        </is>
      </c>
      <c r="G6" s="20" t="inlineStr">
        <is>
          <t>02_Конкуренты_SW</t>
        </is>
      </c>
      <c r="H6" s="20" t="inlineStr">
        <is>
          <t>Насколько велик цифровой поток аудитории</t>
        </is>
      </c>
    </row>
    <row r="7" ht="28.5" customHeight="1">
      <c r="A7" s="20" t="inlineStr">
        <is>
          <t>4. Каналы</t>
        </is>
      </c>
      <c r="B7" s="20" t="inlineStr">
        <is>
          <t>Понять структуру привлечения аудитории</t>
        </is>
      </c>
      <c r="C7" s="20" t="inlineStr">
        <is>
          <t>Разложить трафик по Direct, Organic, Referral, Social, Paid, Mail, Display</t>
        </is>
      </c>
      <c r="D7" s="20" t="inlineStr">
        <is>
          <t>Доли каналов по конкурентам</t>
        </is>
      </c>
      <c r="E7" s="20" t="inlineStr">
        <is>
          <t>Канальная структура рынка</t>
        </is>
      </c>
      <c r="F7" s="20" t="inlineStr">
        <is>
          <t>Доли каналов оценочные</t>
        </is>
      </c>
      <c r="G7" s="20" t="inlineStr">
        <is>
          <t>03_Каналы</t>
        </is>
      </c>
      <c r="H7" s="20" t="inlineStr">
        <is>
          <t>Какие каналы важны для входа на рынок</t>
        </is>
      </c>
    </row>
    <row r="8" ht="28.5" customHeight="1">
      <c r="A8" s="20" t="inlineStr">
        <is>
          <t>5. География</t>
        </is>
      </c>
      <c r="B8" s="20" t="inlineStr">
        <is>
          <t>Проверить территориальную концентрацию спроса</t>
        </is>
      </c>
      <c r="C8" s="20" t="inlineStr">
        <is>
          <t>Сопоставить страны/регионы по доле трафика</t>
        </is>
      </c>
      <c r="D8" s="20" t="inlineStr">
        <is>
          <t>Страна, доля, интерпретация</t>
        </is>
      </c>
      <c r="E8" s="20" t="inlineStr">
        <is>
          <t>Приоритетные географии</t>
        </is>
      </c>
      <c r="F8" s="20" t="inlineStr">
        <is>
          <t>Доля трафика не равна платежеспособности</t>
        </is>
      </c>
      <c r="G8" s="20" t="inlineStr">
        <is>
          <t>04_География</t>
        </is>
      </c>
      <c r="H8" s="20" t="inlineStr">
        <is>
          <t>Где целесообразно анализировать рынок</t>
        </is>
      </c>
    </row>
    <row r="9" ht="28.5" customHeight="1">
      <c r="A9" s="20" t="inlineStr">
        <is>
          <t>6. Поиск</t>
        </is>
      </c>
      <c r="B9" s="20" t="inlineStr">
        <is>
          <t>Определить коммерческий спрос внутри трафика</t>
        </is>
      </c>
      <c r="C9" s="20" t="inlineStr">
        <is>
          <t>Зафиксировать ключевые запросы и намерение аудитории</t>
        </is>
      </c>
      <c r="D9" s="20" t="inlineStr">
        <is>
          <t>Запрос, доля или объем, тип намерения</t>
        </is>
      </c>
      <c r="E9" s="20" t="inlineStr">
        <is>
          <t>Индекс коммерческого интереса</t>
        </is>
      </c>
      <c r="F9" s="20" t="inlineStr">
        <is>
          <t>Запросы видны неполно в бесплатном доступе</t>
        </is>
      </c>
      <c r="G9" s="20" t="inlineStr">
        <is>
          <t>05_Запросы</t>
        </is>
      </c>
      <c r="H9" s="20" t="inlineStr">
        <is>
          <t>Какие потребности приводят аудиторию</t>
        </is>
      </c>
    </row>
    <row r="10" ht="28.5" customHeight="1">
      <c r="A10" s="20" t="inlineStr">
        <is>
          <t>7. Воронка</t>
        </is>
      </c>
      <c r="B10" s="20" t="inlineStr">
        <is>
          <t>Перевести трафик в возможные заказы</t>
        </is>
      </c>
      <c r="C10" s="20" t="inlineStr">
        <is>
          <t>Задать конверсии и средний чек</t>
        </is>
      </c>
      <c r="D10" s="20" t="inlineStr">
        <is>
          <t>CR в заявку, CR в продажу, средний чек</t>
        </is>
      </c>
      <c r="E10" s="20" t="inlineStr">
        <is>
          <t>Оценка объема рынка в деньгах</t>
        </is>
      </c>
      <c r="F10" s="20" t="inlineStr">
        <is>
          <t>Конверсии задаются сценарно</t>
        </is>
      </c>
      <c r="G10" s="20" t="inlineStr">
        <is>
          <t>06_Воронка_сценарии</t>
        </is>
      </c>
      <c r="H10" s="20" t="inlineStr">
        <is>
          <t>Диапазон рынка по сценариям</t>
        </is>
      </c>
    </row>
    <row r="11" ht="28.5" customHeight="1">
      <c r="A11" s="20" t="inlineStr">
        <is>
          <t>8. Проверка</t>
        </is>
      </c>
      <c r="B11" s="20" t="inlineStr">
        <is>
          <t>Снизить риск завышения оценки</t>
        </is>
      </c>
      <c r="C11" s="20" t="inlineStr">
        <is>
          <t>Сопоставить расчет с другими источниками</t>
        </is>
      </c>
      <c r="D11" s="20" t="inlineStr">
        <is>
          <t>Google Trends, Вордстат, статистика, рекламные кабинеты</t>
        </is>
      </c>
      <c r="E11" s="20" t="inlineStr">
        <is>
          <t>Уточненный диапазон оценки</t>
        </is>
      </c>
      <c r="F11" s="20" t="inlineStr">
        <is>
          <t>Источники измеряют разные показатели</t>
        </is>
      </c>
      <c r="G11" s="20" t="inlineStr">
        <is>
          <t>08_Источники</t>
        </is>
      </c>
      <c r="H11" s="20" t="inlineStr">
        <is>
          <t>Насколько расчет устойчив</t>
        </is>
      </c>
    </row>
    <row r="12"/>
    <row r="13" ht="21.95" customHeight="1">
      <c r="A13" s="19" t="inlineStr">
        <is>
          <t>Ключевая расчетная логика</t>
        </is>
      </c>
    </row>
    <row r="14" ht="28.5" customHeight="1">
      <c r="A14" s="20" t="inlineStr">
        <is>
          <t>1</t>
        </is>
      </c>
      <c r="B14" s="20" t="inlineStr">
        <is>
          <t>Наблюдаемый цифровой сегмент</t>
        </is>
      </c>
      <c r="C14" s="20" t="inlineStr">
        <is>
          <t>Сумма релевантного трафика выбранных конкурентов</t>
        </is>
      </c>
      <c r="D14" s="20" t="inlineStr">
        <is>
          <t>= сумма посещений × доля географии × доля релевантности</t>
        </is>
      </c>
      <c r="E14" s="20" t="n"/>
      <c r="F14" s="20" t="n"/>
      <c r="G14" s="20" t="n"/>
      <c r="H14" s="20" t="n"/>
    </row>
    <row r="15" ht="28.5" customHeight="1">
      <c r="A15" s="20" t="inlineStr">
        <is>
          <t>2</t>
        </is>
      </c>
      <c r="B15" s="20" t="inlineStr">
        <is>
          <t>Оценка всего цифрового рынка</t>
        </is>
      </c>
      <c r="C15" s="20" t="inlineStr">
        <is>
          <t>Наблюдаемый сегмент / коэффициент покрытия конкурентов</t>
        </is>
      </c>
      <c r="D15" s="20" t="inlineStr">
        <is>
          <t>Если список конкурентов покрывает 70% рынка, общий рынок = наблюдаемый трафик / 70%</t>
        </is>
      </c>
      <c r="E15" s="20" t="n"/>
      <c r="F15" s="20" t="n"/>
      <c r="G15" s="20" t="n"/>
      <c r="H15" s="20" t="n"/>
    </row>
    <row r="16">
      <c r="A16" s="20" t="inlineStr">
        <is>
          <t>3</t>
        </is>
      </c>
      <c r="B16" s="20" t="inlineStr">
        <is>
          <t>Оценка заявок</t>
        </is>
      </c>
      <c r="C16" s="20" t="inlineStr">
        <is>
          <t>Рыночный трафик × конверсия в заявку</t>
        </is>
      </c>
      <c r="D16" s="20" t="inlineStr">
        <is>
          <t>Конверсия задается по сценариям</t>
        </is>
      </c>
      <c r="E16" s="20" t="n"/>
      <c r="F16" s="20" t="n"/>
      <c r="G16" s="20" t="n"/>
      <c r="H16" s="20" t="n"/>
    </row>
    <row r="17">
      <c r="A17" s="20" t="inlineStr">
        <is>
          <t>4</t>
        </is>
      </c>
      <c r="B17" s="20" t="inlineStr">
        <is>
          <t>Оценка продаж</t>
        </is>
      </c>
      <c r="C17" s="20" t="inlineStr">
        <is>
          <t>Заявки × конверсия в продажу</t>
        </is>
      </c>
      <c r="D17" s="20" t="inlineStr">
        <is>
          <t>Отражает платежеспособный спрос</t>
        </is>
      </c>
      <c r="E17" s="20" t="n"/>
      <c r="F17" s="20" t="n"/>
      <c r="G17" s="20" t="n"/>
      <c r="H17" s="20" t="n"/>
    </row>
    <row r="18">
      <c r="A18" s="20" t="inlineStr">
        <is>
          <t>5</t>
        </is>
      </c>
      <c r="B18" s="20" t="inlineStr">
        <is>
          <t>Денежный объем</t>
        </is>
      </c>
      <c r="C18" s="20" t="inlineStr">
        <is>
          <t>Продажи × средний чек × повторные покупки</t>
        </is>
      </c>
      <c r="D18" s="20" t="inlineStr">
        <is>
          <t>Итоговый объем рынка за год</t>
        </is>
      </c>
      <c r="E18" s="20" t="n"/>
      <c r="F18" s="20" t="n"/>
      <c r="G18" s="20" t="n"/>
      <c r="H18" s="20" t="n"/>
    </row>
  </sheetData>
  <mergeCells count="2">
    <mergeCell ref="A13:H1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B28" sqref="B28"/>
    </sheetView>
  </sheetViews>
  <sheetFormatPr baseColWidth="8" defaultRowHeight="14.25"/>
  <cols>
    <col width="47.25" customWidth="1" style="22" min="1" max="1"/>
    <col width="50.75" customWidth="1" style="22" min="2" max="2"/>
    <col width="46" customWidth="1" style="22" min="3" max="3"/>
    <col width="58.75" customWidth="1" style="22" min="4" max="4"/>
    <col width="9" customWidth="1" style="22" min="5" max="16384"/>
  </cols>
  <sheetData>
    <row r="1" ht="30" customHeight="1">
      <c r="A1" s="18" t="inlineStr">
        <is>
          <t>Параметры оценки рынка</t>
        </is>
      </c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/>
    <row r="3" ht="36" customHeight="1">
      <c r="A3" s="1" t="inlineStr">
        <is>
          <t>Параметр</t>
        </is>
      </c>
      <c r="B3" s="1" t="inlineStr">
        <is>
          <t>Значение</t>
        </is>
      </c>
      <c r="C3" s="1" t="inlineStr">
        <is>
          <t>Единица / формат</t>
        </is>
      </c>
      <c r="D3" s="1" t="inlineStr">
        <is>
          <t>Комментарий</t>
        </is>
      </c>
    </row>
    <row r="4">
      <c r="A4" s="22" t="inlineStr">
        <is>
          <t>Название рынка</t>
        </is>
      </c>
      <c r="B4" s="22" t="inlineStr">
        <is>
          <t>Цифровые маркетинговые услуги для малого бизнеса</t>
        </is>
      </c>
      <c r="C4" s="22" t="inlineStr">
        <is>
          <t>текст</t>
        </is>
      </c>
      <c r="D4" s="22" t="inlineStr">
        <is>
          <t>Замените на ваш рынок</t>
        </is>
      </c>
    </row>
    <row r="5">
      <c r="A5" s="22" t="inlineStr">
        <is>
          <t>Географическая граница</t>
        </is>
      </c>
      <c r="B5" s="22" t="inlineStr">
        <is>
          <t>Республика Беларусь</t>
        </is>
      </c>
      <c r="C5" s="22" t="inlineStr">
        <is>
          <t>текст</t>
        </is>
      </c>
      <c r="D5" s="22" t="inlineStr">
        <is>
          <t>Страна, регион или город</t>
        </is>
      </c>
    </row>
    <row r="6">
      <c r="A6" s="22" t="inlineStr">
        <is>
          <t>Период анализа</t>
        </is>
      </c>
      <c r="B6" s="22" t="inlineStr">
        <is>
          <t>последние 3 месяца</t>
        </is>
      </c>
      <c r="C6" s="22" t="inlineStr">
        <is>
          <t>текст</t>
        </is>
      </c>
      <c r="D6" s="22" t="inlineStr">
        <is>
          <t>Период, показанный в Similarweb</t>
        </is>
      </c>
    </row>
    <row r="7">
      <c r="A7" s="22" t="inlineStr">
        <is>
          <t>Дата фиксации данных</t>
        </is>
      </c>
      <c r="B7" s="29" t="n">
        <v>46144</v>
      </c>
      <c r="C7" s="22" t="inlineStr">
        <is>
          <t>дата</t>
        </is>
      </c>
      <c r="D7" s="22" t="inlineStr">
        <is>
          <t>Дата ручного сбора или выгрузки</t>
        </is>
      </c>
    </row>
    <row r="8">
      <c r="A8" s="22" t="inlineStr">
        <is>
          <t>Количество конкурентов в выборке</t>
        </is>
      </c>
      <c r="B8" s="22">
        <f>COUNT('02_Конкуренты_SW'!E4:E23)</f>
        <v/>
      </c>
      <c r="C8" s="22" t="inlineStr">
        <is>
          <t>формула</t>
        </is>
      </c>
      <c r="D8" s="22" t="inlineStr">
        <is>
          <t>Заполняется автоматически</t>
        </is>
      </c>
    </row>
    <row r="9">
      <c r="A9" s="22" t="inlineStr">
        <is>
          <t>Наблюдаемый релевантный трафик, мес</t>
        </is>
      </c>
      <c r="B9" s="24">
        <f>SUM('02_Конкуренты_SW'!G4:G23)</f>
        <v/>
      </c>
      <c r="C9" s="22" t="inlineStr">
        <is>
          <t>посещения</t>
        </is>
      </c>
      <c r="D9" s="22" t="inlineStr">
        <is>
          <t>Сумма по конкурентам</t>
        </is>
      </c>
    </row>
    <row r="10">
      <c r="A10" s="22" t="inlineStr">
        <is>
          <t>Наблюдаемый релевантный трафик, год</t>
        </is>
      </c>
      <c r="B10" s="24">
        <f>SUM('02_Конкуренты_SW'!H4:H23)</f>
        <v/>
      </c>
      <c r="C10" s="22" t="inlineStr">
        <is>
          <t>посещения</t>
        </is>
      </c>
      <c r="D10" s="22" t="inlineStr">
        <is>
          <t>Годовая оценка</t>
        </is>
      </c>
    </row>
    <row r="11">
      <c r="A11" s="22" t="inlineStr">
        <is>
          <t>Коэффициент покрытия конкурентов</t>
        </is>
      </c>
      <c r="B11" s="25" t="n">
        <v>0.7</v>
      </c>
      <c r="C11" s="22" t="inlineStr">
        <is>
          <t>%</t>
        </is>
      </c>
      <c r="D11" s="22" t="inlineStr">
        <is>
          <t>Оцените, какую долю рынка покрывает список конкурентов</t>
        </is>
      </c>
    </row>
    <row r="12">
      <c r="A12" s="22" t="inlineStr">
        <is>
          <t>Оценка всего цифрового трафика рынка, мес</t>
        </is>
      </c>
      <c r="B12" s="24">
        <f>IFERROR(B9/B11,0)</f>
        <v/>
      </c>
      <c r="C12" s="22" t="inlineStr">
        <is>
          <t>посещения</t>
        </is>
      </c>
      <c r="D12" s="22" t="inlineStr">
        <is>
          <t>Наблюдаемый трафик / покрытие</t>
        </is>
      </c>
    </row>
    <row r="13">
      <c r="A13" s="22" t="inlineStr">
        <is>
          <t>Оценка всего цифрового трафика рынка, год</t>
        </is>
      </c>
      <c r="B13" s="24">
        <f>IFERROR(B10/B11,0)</f>
        <v/>
      </c>
      <c r="C13" s="22" t="inlineStr">
        <is>
          <t>посещения</t>
        </is>
      </c>
      <c r="D13" s="22" t="inlineStr">
        <is>
          <t>Наблюдаемый трафик / покрытие</t>
        </is>
      </c>
    </row>
    <row r="14"/>
    <row r="15" ht="21.95" customHeight="1">
      <c r="A15" s="19" t="inlineStr">
        <is>
          <t>Правила заполнения</t>
        </is>
      </c>
    </row>
    <row r="16" ht="28.5" customHeight="1">
      <c r="A16" s="22" t="inlineStr">
        <is>
          <t>1</t>
        </is>
      </c>
      <c r="B16" s="22" t="inlineStr">
        <is>
          <t>Сначала зафиксируйте границы рынка</t>
        </is>
      </c>
      <c r="C16" s="22" t="inlineStr">
        <is>
          <t>Без этого нельзя решить, какие сайты считать конкурентами</t>
        </is>
      </c>
    </row>
    <row r="17">
      <c r="A17" s="22" t="inlineStr">
        <is>
          <t>2</t>
        </is>
      </c>
      <c r="B17" s="22" t="inlineStr">
        <is>
          <t>В Similarweb соберите данные по 5–20 сайтам</t>
        </is>
      </c>
      <c r="C17" s="22" t="inlineStr">
        <is>
          <t>Чем шире выборка, тем устойчивее оценка</t>
        </is>
      </c>
    </row>
    <row r="18">
      <c r="A18" s="22" t="inlineStr">
        <is>
          <t>3</t>
        </is>
      </c>
      <c r="B18" s="22" t="inlineStr">
        <is>
          <t>Вносите только сопоставимый период</t>
        </is>
      </c>
      <c r="C18" s="22" t="inlineStr">
        <is>
          <t>Например, последние 3 месяца для всех сайтов</t>
        </is>
      </c>
    </row>
    <row r="19" ht="28.5" customHeight="1">
      <c r="A19" s="22" t="inlineStr">
        <is>
          <t>4</t>
        </is>
      </c>
      <c r="B19" s="22" t="inlineStr">
        <is>
          <t>Разделяйте весь трафик и релевантный трафик</t>
        </is>
      </c>
      <c r="C19" s="22" t="inlineStr">
        <is>
          <t>Не все посещения сайта относятся к анализируемому рынку</t>
        </is>
      </c>
    </row>
    <row r="20">
      <c r="A20" s="22" t="inlineStr">
        <is>
          <t>5</t>
        </is>
      </c>
      <c r="B20" s="22" t="inlineStr">
        <is>
          <t>Итог давайте диапазоном</t>
        </is>
      </c>
      <c r="C20" s="22" t="inlineStr">
        <is>
          <t>Осторожный, базовый и оптимистичный сценарии</t>
        </is>
      </c>
    </row>
  </sheetData>
  <mergeCells count="2">
    <mergeCell ref="A1:H1"/>
    <mergeCell ref="A15:H15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H34" sqref="H34"/>
    </sheetView>
  </sheetViews>
  <sheetFormatPr baseColWidth="8" defaultRowHeight="14.25"/>
  <cols>
    <col width="22" customWidth="1" min="1" max="1"/>
    <col width="26" customWidth="1" min="2" max="2"/>
    <col width="24" customWidth="1" min="3" max="3"/>
    <col width="14" customWidth="1" min="4" max="4"/>
    <col width="15" customWidth="1" min="5" max="5"/>
    <col width="16" customWidth="1" min="6" max="6"/>
    <col width="18" customWidth="1" min="7" max="8"/>
    <col width="16" customWidth="1" min="9" max="9"/>
    <col width="13" customWidth="1" min="10" max="11"/>
    <col width="14" customWidth="1" min="12" max="12"/>
    <col width="12" customWidth="1" min="13" max="13"/>
    <col width="14" customWidth="1" min="14" max="14"/>
    <col width="12" customWidth="1" min="15" max="16"/>
    <col width="13" customWidth="1" min="17" max="17"/>
    <col width="12" customWidth="1" min="18" max="18"/>
    <col width="48" customWidth="1" min="19" max="19"/>
  </cols>
  <sheetData>
    <row r="1" ht="30" customHeight="1">
      <c r="A1" s="18" t="inlineStr">
        <is>
          <t>Ввод данных Similarweb по конкурентам</t>
        </is>
      </c>
      <c r="T1" s="17" t="n"/>
      <c r="U1" s="17" t="n"/>
      <c r="V1" s="17" t="n"/>
      <c r="W1" s="17" t="n"/>
      <c r="X1" s="17" t="n"/>
      <c r="Y1" s="17" t="n"/>
      <c r="Z1" s="17" t="n"/>
    </row>
    <row r="2"/>
    <row r="3" ht="63.75" customHeight="1">
      <c r="A3" s="1" t="inlineStr">
        <is>
          <t>Домен</t>
        </is>
      </c>
      <c r="B3" s="1" t="inlineStr">
        <is>
          <t>Название / конкурент</t>
        </is>
      </c>
      <c r="C3" s="1" t="inlineStr">
        <is>
          <t>Сегмент</t>
        </is>
      </c>
      <c r="D3" s="1" t="inlineStr">
        <is>
          <t>Тип</t>
        </is>
      </c>
      <c r="E3" s="1" t="inlineStr">
        <is>
          <t>Monthly visits</t>
        </is>
      </c>
      <c r="F3" s="1" t="inlineStr">
        <is>
          <t>Доля выбранной географии</t>
        </is>
      </c>
      <c r="G3" s="1" t="inlineStr">
        <is>
          <t>Релевантный трафик, мес</t>
        </is>
      </c>
      <c r="H3" s="1" t="inlineStr">
        <is>
          <t>Релевантный трафик, год</t>
        </is>
      </c>
      <c r="I3" s="1" t="inlineStr">
        <is>
          <t>Доля рынка по трафику</t>
        </is>
      </c>
      <c r="J3" s="1" t="inlineStr">
        <is>
          <t>Bounce rate</t>
        </is>
      </c>
      <c r="K3" s="1" t="inlineStr">
        <is>
          <t>Pages / visit</t>
        </is>
      </c>
      <c r="L3" s="1" t="inlineStr">
        <is>
          <t>Avg duration</t>
        </is>
      </c>
      <c r="M3" s="1" t="inlineStr">
        <is>
          <t>Direct</t>
        </is>
      </c>
      <c r="N3" s="1" t="inlineStr">
        <is>
          <t>Organic search</t>
        </is>
      </c>
      <c r="O3" s="1" t="inlineStr">
        <is>
          <t>Referral</t>
        </is>
      </c>
      <c r="P3" s="1" t="inlineStr">
        <is>
          <t>Social</t>
        </is>
      </c>
      <c r="Q3" s="1" t="inlineStr">
        <is>
          <t>Paid search</t>
        </is>
      </c>
      <c r="R3" s="1" t="inlineStr">
        <is>
          <t>Display</t>
        </is>
      </c>
      <c r="S3" s="1" t="inlineStr">
        <is>
          <t>Комментарий</t>
        </is>
      </c>
    </row>
    <row r="4">
      <c r="A4" s="22" t="inlineStr">
        <is>
          <t>example-agency.by</t>
        </is>
      </c>
      <c r="B4" s="22" t="inlineStr">
        <is>
          <t>Маркетинговое агентство 1</t>
        </is>
      </c>
      <c r="C4" s="22" t="inlineStr">
        <is>
          <t>маркетинговые услуги</t>
        </is>
      </c>
      <c r="D4" s="22" t="inlineStr">
        <is>
          <t>прямой</t>
        </is>
      </c>
      <c r="E4" s="24" t="n">
        <v>18500</v>
      </c>
      <c r="F4" s="25" t="n">
        <v>0.82</v>
      </c>
      <c r="G4" s="24">
        <f>IFERROR(E4*F4,0)</f>
        <v/>
      </c>
      <c r="H4" s="24">
        <f>G4*12</f>
        <v/>
      </c>
      <c r="I4" s="30">
        <f>IFERROR(G4/SUM($G\$4:$G\$23),0)</f>
        <v/>
      </c>
      <c r="J4" s="30" t="n">
        <v>0.48</v>
      </c>
      <c r="K4" s="31" t="n">
        <v>3.1</v>
      </c>
      <c r="L4" s="22" t="inlineStr">
        <is>
          <t>00:02:10</t>
        </is>
      </c>
      <c r="M4" s="30" t="n">
        <v>0.28</v>
      </c>
      <c r="N4" s="30" t="n">
        <v>0.42</v>
      </c>
      <c r="O4" s="30" t="n">
        <v>0.08</v>
      </c>
      <c r="P4" s="30" t="n">
        <v>0.12</v>
      </c>
      <c r="Q4" s="30" t="n">
        <v>0.07000000000000001</v>
      </c>
      <c r="R4" s="30" t="n">
        <v>0.03</v>
      </c>
      <c r="S4" s="22" t="inlineStr">
        <is>
          <t>Демонстрационные данные; заменить фактическими</t>
        </is>
      </c>
    </row>
    <row r="5">
      <c r="A5" s="22" t="inlineStr">
        <is>
          <t>example-promo.by</t>
        </is>
      </c>
      <c r="B5" s="22" t="inlineStr">
        <is>
          <t>Агентство продвижения 2</t>
        </is>
      </c>
      <c r="C5" s="22" t="inlineStr">
        <is>
          <t>реклама и продвижение</t>
        </is>
      </c>
      <c r="D5" s="22" t="inlineStr">
        <is>
          <t>прямой</t>
        </is>
      </c>
      <c r="E5" s="24" t="n">
        <v>12300</v>
      </c>
      <c r="F5" s="25" t="n">
        <v>0.76</v>
      </c>
      <c r="G5" s="24">
        <f>IFERROR(E5*F5,0)</f>
        <v/>
      </c>
      <c r="H5" s="24">
        <f>G5*12</f>
        <v/>
      </c>
      <c r="I5" s="30">
        <f>IFERROR(G5/SUM($G\$4:$G\$23),0)</f>
        <v/>
      </c>
      <c r="J5" s="30" t="n">
        <v>0.52</v>
      </c>
      <c r="K5" s="31" t="n">
        <v>2.7</v>
      </c>
      <c r="L5" s="22" t="inlineStr">
        <is>
          <t>00:01:55</t>
        </is>
      </c>
      <c r="M5" s="30" t="n">
        <v>0.22</v>
      </c>
      <c r="N5" s="30" t="n">
        <v>0.5</v>
      </c>
      <c r="O5" s="30" t="n">
        <v>0.07000000000000001</v>
      </c>
      <c r="P5" s="30" t="n">
        <v>0.1</v>
      </c>
      <c r="Q5" s="30" t="n">
        <v>0.09</v>
      </c>
      <c r="R5" s="30" t="n">
        <v>0.02</v>
      </c>
      <c r="S5" s="22" t="inlineStr">
        <is>
          <t>Демонстрационные данные</t>
        </is>
      </c>
    </row>
    <row r="6">
      <c r="A6" s="22" t="inlineStr">
        <is>
          <t>example-smm.by</t>
        </is>
      </c>
      <c r="B6" s="22" t="inlineStr">
        <is>
          <t>SMM-студия</t>
        </is>
      </c>
      <c r="C6" s="22" t="inlineStr">
        <is>
          <t>социальные сети</t>
        </is>
      </c>
      <c r="D6" s="22" t="inlineStr">
        <is>
          <t>частичный</t>
        </is>
      </c>
      <c r="E6" s="24" t="n">
        <v>9800</v>
      </c>
      <c r="F6" s="25" t="n">
        <v>0.88</v>
      </c>
      <c r="G6" s="24">
        <f>IFERROR(E6*F6,0)</f>
        <v/>
      </c>
      <c r="H6" s="24">
        <f>G6*12</f>
        <v/>
      </c>
      <c r="I6" s="30">
        <f>IFERROR(G6/SUM($G\$4:$G\$23),0)</f>
        <v/>
      </c>
      <c r="J6" s="30" t="n">
        <v>0.55</v>
      </c>
      <c r="K6" s="31" t="n">
        <v>2.4</v>
      </c>
      <c r="L6" s="22" t="inlineStr">
        <is>
          <t>00:01:40</t>
        </is>
      </c>
      <c r="M6" s="30" t="n">
        <v>0.24</v>
      </c>
      <c r="N6" s="30" t="n">
        <v>0.3</v>
      </c>
      <c r="O6" s="30" t="n">
        <v>0.05</v>
      </c>
      <c r="P6" s="30" t="n">
        <v>0.31</v>
      </c>
      <c r="Q6" s="30" t="n">
        <v>0.08</v>
      </c>
      <c r="R6" s="30" t="n">
        <v>0.02</v>
      </c>
      <c r="S6" s="22" t="inlineStr">
        <is>
          <t>Демонстрационные данные</t>
        </is>
      </c>
    </row>
    <row r="7">
      <c r="A7" s="22" t="inlineStr">
        <is>
          <t>example-context.by</t>
        </is>
      </c>
      <c r="B7" s="22" t="inlineStr">
        <is>
          <t>Контекстная реклама</t>
        </is>
      </c>
      <c r="C7" s="22" t="inlineStr">
        <is>
          <t>рекламные кампании</t>
        </is>
      </c>
      <c r="D7" s="22" t="inlineStr">
        <is>
          <t>частичный</t>
        </is>
      </c>
      <c r="E7" s="24" t="n">
        <v>7200</v>
      </c>
      <c r="F7" s="25" t="n">
        <v>0.79</v>
      </c>
      <c r="G7" s="24">
        <f>IFERROR(E7*F7,0)</f>
        <v/>
      </c>
      <c r="H7" s="24">
        <f>G7*12</f>
        <v/>
      </c>
      <c r="I7" s="30">
        <f>IFERROR(G7/SUM($G\$4:$G\$23),0)</f>
        <v/>
      </c>
      <c r="J7" s="30" t="n">
        <v>0.46</v>
      </c>
      <c r="K7" s="31" t="n">
        <v>3.4</v>
      </c>
      <c r="L7" s="22" t="inlineStr">
        <is>
          <t>00:02:30</t>
        </is>
      </c>
      <c r="M7" s="30" t="n">
        <v>0.3</v>
      </c>
      <c r="N7" s="30" t="n">
        <v>0.38</v>
      </c>
      <c r="O7" s="30" t="n">
        <v>0.06</v>
      </c>
      <c r="P7" s="30" t="n">
        <v>0.07000000000000001</v>
      </c>
      <c r="Q7" s="30" t="n">
        <v>0.17</v>
      </c>
      <c r="R7" s="30" t="n">
        <v>0.02</v>
      </c>
      <c r="S7" s="22" t="inlineStr">
        <is>
          <t>Демонстрационные данные</t>
        </is>
      </c>
    </row>
    <row r="8">
      <c r="A8" s="22" t="inlineStr">
        <is>
          <t>example-marketer.by</t>
        </is>
      </c>
      <c r="B8" s="22" t="inlineStr">
        <is>
          <t>Частный специалист</t>
        </is>
      </c>
      <c r="C8" s="22" t="inlineStr">
        <is>
          <t>консалтинг</t>
        </is>
      </c>
      <c r="D8" s="22" t="inlineStr">
        <is>
          <t>заменитель</t>
        </is>
      </c>
      <c r="E8" s="24" t="n">
        <v>4100</v>
      </c>
      <c r="F8" s="25" t="n">
        <v>0.91</v>
      </c>
      <c r="G8" s="24">
        <f>IFERROR(E8*F8,0)</f>
        <v/>
      </c>
      <c r="H8" s="24">
        <f>G8*12</f>
        <v/>
      </c>
      <c r="I8" s="30">
        <f>IFERROR(G8/SUM($G\$4:$G\$23),0)</f>
        <v/>
      </c>
      <c r="J8" s="30" t="n">
        <v>0.6</v>
      </c>
      <c r="K8" s="31" t="n">
        <v>1.9</v>
      </c>
      <c r="L8" s="22" t="inlineStr">
        <is>
          <t>00:01:10</t>
        </is>
      </c>
      <c r="M8" s="30" t="n">
        <v>0.36</v>
      </c>
      <c r="N8" s="30" t="n">
        <v>0.44</v>
      </c>
      <c r="O8" s="30" t="n">
        <v>0.04</v>
      </c>
      <c r="P8" s="30" t="n">
        <v>0.09</v>
      </c>
      <c r="Q8" s="30" t="n">
        <v>0.05</v>
      </c>
      <c r="R8" s="30" t="n">
        <v>0.02</v>
      </c>
      <c r="S8" s="22" t="inlineStr">
        <is>
          <t>Демонстрационные данные</t>
        </is>
      </c>
    </row>
    <row r="9">
      <c r="A9" s="22" t="n"/>
      <c r="B9" s="22" t="n"/>
      <c r="C9" s="22" t="n"/>
      <c r="D9" s="22" t="n"/>
      <c r="E9" s="24" t="n"/>
      <c r="F9" s="25" t="n"/>
      <c r="G9" s="24">
        <f>IFERROR(E9*F9,0)</f>
        <v/>
      </c>
      <c r="H9" s="24">
        <f>G9*12</f>
        <v/>
      </c>
      <c r="I9" s="30">
        <f>IFERROR(G9/SUM($G\$4:$G\$23),0)</f>
        <v/>
      </c>
      <c r="J9" s="30" t="n"/>
      <c r="K9" s="31" t="n"/>
      <c r="L9" s="22" t="n"/>
      <c r="M9" s="30" t="n"/>
      <c r="N9" s="30" t="n"/>
      <c r="O9" s="30" t="n"/>
      <c r="P9" s="30" t="n"/>
      <c r="Q9" s="30" t="n"/>
      <c r="R9" s="30" t="n"/>
      <c r="S9" s="22" t="n"/>
    </row>
    <row r="10">
      <c r="A10" s="22" t="n"/>
      <c r="B10" s="22" t="n"/>
      <c r="C10" s="22" t="n"/>
      <c r="D10" s="22" t="n"/>
      <c r="E10" s="24" t="n"/>
      <c r="F10" s="25" t="n"/>
      <c r="G10" s="24">
        <f>IFERROR(E10*F10,0)</f>
        <v/>
      </c>
      <c r="H10" s="24">
        <f>G10*12</f>
        <v/>
      </c>
      <c r="I10" s="30">
        <f>IFERROR(G10/SUM($G\$4:$G\$23),0)</f>
        <v/>
      </c>
      <c r="J10" s="30" t="n"/>
      <c r="K10" s="31" t="n"/>
      <c r="L10" s="22" t="n"/>
      <c r="M10" s="30" t="n"/>
      <c r="N10" s="30" t="n"/>
      <c r="O10" s="30" t="n"/>
      <c r="P10" s="30" t="n"/>
      <c r="Q10" s="30" t="n"/>
      <c r="R10" s="30" t="n"/>
      <c r="S10" s="22" t="n"/>
    </row>
    <row r="11">
      <c r="A11" s="22" t="n"/>
      <c r="B11" s="22" t="n"/>
      <c r="C11" s="22" t="n"/>
      <c r="D11" s="22" t="n"/>
      <c r="E11" s="24" t="n"/>
      <c r="F11" s="25" t="n"/>
      <c r="G11" s="24">
        <f>IFERROR(E11*F11,0)</f>
        <v/>
      </c>
      <c r="H11" s="24">
        <f>G11*12</f>
        <v/>
      </c>
      <c r="I11" s="30">
        <f>IFERROR(G11/SUM($G\$4:$G\$23),0)</f>
        <v/>
      </c>
      <c r="J11" s="30" t="n"/>
      <c r="K11" s="31" t="n"/>
      <c r="L11" s="22" t="n"/>
      <c r="M11" s="30" t="n"/>
      <c r="N11" s="30" t="n"/>
      <c r="O11" s="30" t="n"/>
      <c r="P11" s="30" t="n"/>
      <c r="Q11" s="30" t="n"/>
      <c r="R11" s="30" t="n"/>
      <c r="S11" s="22" t="n"/>
    </row>
    <row r="12">
      <c r="A12" s="22" t="n"/>
      <c r="B12" s="22" t="n"/>
      <c r="C12" s="22" t="n"/>
      <c r="D12" s="22" t="n"/>
      <c r="E12" s="24" t="n"/>
      <c r="F12" s="25" t="n"/>
      <c r="G12" s="24">
        <f>IFERROR(E12*F12,0)</f>
        <v/>
      </c>
      <c r="H12" s="24">
        <f>G12*12</f>
        <v/>
      </c>
      <c r="I12" s="30">
        <f>IFERROR(G12/SUM($G\$4:$G\$23),0)</f>
        <v/>
      </c>
      <c r="J12" s="30" t="n"/>
      <c r="K12" s="31" t="n"/>
      <c r="L12" s="22" t="n"/>
      <c r="M12" s="30" t="n"/>
      <c r="N12" s="30" t="n"/>
      <c r="O12" s="30" t="n"/>
      <c r="P12" s="30" t="n"/>
      <c r="Q12" s="30" t="n"/>
      <c r="R12" s="30" t="n"/>
      <c r="S12" s="22" t="n"/>
    </row>
    <row r="13">
      <c r="A13" s="22" t="n"/>
      <c r="B13" s="22" t="n"/>
      <c r="C13" s="22" t="n"/>
      <c r="D13" s="22" t="n"/>
      <c r="E13" s="24" t="n"/>
      <c r="F13" s="25" t="n"/>
      <c r="G13" s="24">
        <f>IFERROR(E13*F13,0)</f>
        <v/>
      </c>
      <c r="H13" s="24">
        <f>G13*12</f>
        <v/>
      </c>
      <c r="I13" s="30">
        <f>IFERROR(G13/SUM($G\$4:$G\$23),0)</f>
        <v/>
      </c>
      <c r="J13" s="30" t="n"/>
      <c r="K13" s="31" t="n"/>
      <c r="L13" s="22" t="n"/>
      <c r="M13" s="30" t="n"/>
      <c r="N13" s="30" t="n"/>
      <c r="O13" s="30" t="n"/>
      <c r="P13" s="30" t="n"/>
      <c r="Q13" s="30" t="n"/>
      <c r="R13" s="30" t="n"/>
      <c r="S13" s="22" t="n"/>
    </row>
    <row r="14">
      <c r="A14" s="22" t="n"/>
      <c r="B14" s="22" t="n"/>
      <c r="C14" s="22" t="n"/>
      <c r="D14" s="22" t="n"/>
      <c r="E14" s="24" t="n"/>
      <c r="F14" s="25" t="n"/>
      <c r="G14" s="24">
        <f>IFERROR(E14*F14,0)</f>
        <v/>
      </c>
      <c r="H14" s="24">
        <f>G14*12</f>
        <v/>
      </c>
      <c r="I14" s="30">
        <f>IFERROR(G14/SUM($G\$4:$G\$23),0)</f>
        <v/>
      </c>
      <c r="J14" s="30" t="n"/>
      <c r="K14" s="31" t="n"/>
      <c r="L14" s="22" t="n"/>
      <c r="M14" s="30" t="n"/>
      <c r="N14" s="30" t="n"/>
      <c r="O14" s="30" t="n"/>
      <c r="P14" s="30" t="n"/>
      <c r="Q14" s="30" t="n"/>
      <c r="R14" s="30" t="n"/>
      <c r="S14" s="22" t="n"/>
    </row>
    <row r="15">
      <c r="A15" s="22" t="n"/>
      <c r="B15" s="22" t="n"/>
      <c r="C15" s="22" t="n"/>
      <c r="D15" s="22" t="n"/>
      <c r="E15" s="24" t="n"/>
      <c r="F15" s="25" t="n"/>
      <c r="G15" s="24">
        <f>IFERROR(E15*F15,0)</f>
        <v/>
      </c>
      <c r="H15" s="24">
        <f>G15*12</f>
        <v/>
      </c>
      <c r="I15" s="30">
        <f>IFERROR(G15/SUM($G\$4:$G\$23),0)</f>
        <v/>
      </c>
      <c r="J15" s="30" t="n"/>
      <c r="K15" s="31" t="n"/>
      <c r="L15" s="22" t="n"/>
      <c r="M15" s="30" t="n"/>
      <c r="N15" s="30" t="n"/>
      <c r="O15" s="30" t="n"/>
      <c r="P15" s="30" t="n"/>
      <c r="Q15" s="30" t="n"/>
      <c r="R15" s="30" t="n"/>
      <c r="S15" s="22" t="n"/>
    </row>
    <row r="16">
      <c r="A16" s="22" t="n"/>
      <c r="B16" s="22" t="n"/>
      <c r="C16" s="22" t="n"/>
      <c r="D16" s="22" t="n"/>
      <c r="E16" s="24" t="n"/>
      <c r="F16" s="25" t="n"/>
      <c r="G16" s="24">
        <f>IFERROR(E16*F16,0)</f>
        <v/>
      </c>
      <c r="H16" s="24">
        <f>G16*12</f>
        <v/>
      </c>
      <c r="I16" s="30">
        <f>IFERROR(G16/SUM($G\$4:$G\$23),0)</f>
        <v/>
      </c>
      <c r="J16" s="30" t="n"/>
      <c r="K16" s="31" t="n"/>
      <c r="L16" s="22" t="n"/>
      <c r="M16" s="30" t="n"/>
      <c r="N16" s="30" t="n"/>
      <c r="O16" s="30" t="n"/>
      <c r="P16" s="30" t="n"/>
      <c r="Q16" s="30" t="n"/>
      <c r="R16" s="30" t="n"/>
      <c r="S16" s="22" t="n"/>
    </row>
    <row r="17">
      <c r="A17" s="22" t="n"/>
      <c r="B17" s="22" t="n"/>
      <c r="C17" s="22" t="n"/>
      <c r="D17" s="22" t="n"/>
      <c r="E17" s="24" t="n"/>
      <c r="F17" s="25" t="n"/>
      <c r="G17" s="24">
        <f>IFERROR(E17*F17,0)</f>
        <v/>
      </c>
      <c r="H17" s="24">
        <f>G17*12</f>
        <v/>
      </c>
      <c r="I17" s="30">
        <f>IFERROR(G17/SUM($G\$4:$G\$23),0)</f>
        <v/>
      </c>
      <c r="J17" s="30" t="n"/>
      <c r="K17" s="31" t="n"/>
      <c r="L17" s="22" t="n"/>
      <c r="M17" s="30" t="n"/>
      <c r="N17" s="30" t="n"/>
      <c r="O17" s="30" t="n"/>
      <c r="P17" s="30" t="n"/>
      <c r="Q17" s="30" t="n"/>
      <c r="R17" s="30" t="n"/>
      <c r="S17" s="22" t="n"/>
    </row>
    <row r="18">
      <c r="A18" s="22" t="n"/>
      <c r="B18" s="22" t="n"/>
      <c r="C18" s="22" t="n"/>
      <c r="D18" s="22" t="n"/>
      <c r="E18" s="24" t="n"/>
      <c r="F18" s="25" t="n"/>
      <c r="G18" s="24">
        <f>IFERROR(E18*F18,0)</f>
        <v/>
      </c>
      <c r="H18" s="24">
        <f>G18*12</f>
        <v/>
      </c>
      <c r="I18" s="30">
        <f>IFERROR(G18/SUM($G\$4:$G\$23),0)</f>
        <v/>
      </c>
      <c r="J18" s="30" t="n"/>
      <c r="K18" s="31" t="n"/>
      <c r="L18" s="22" t="n"/>
      <c r="M18" s="30" t="n"/>
      <c r="N18" s="30" t="n"/>
      <c r="O18" s="30" t="n"/>
      <c r="P18" s="30" t="n"/>
      <c r="Q18" s="30" t="n"/>
      <c r="R18" s="30" t="n"/>
      <c r="S18" s="22" t="n"/>
    </row>
    <row r="19">
      <c r="A19" s="22" t="n"/>
      <c r="B19" s="22" t="n"/>
      <c r="C19" s="22" t="n"/>
      <c r="D19" s="22" t="n"/>
      <c r="E19" s="24" t="n"/>
      <c r="F19" s="25" t="n"/>
      <c r="G19" s="24">
        <f>IFERROR(E19*F19,0)</f>
        <v/>
      </c>
      <c r="H19" s="24">
        <f>G19*12</f>
        <v/>
      </c>
      <c r="I19" s="30">
        <f>IFERROR(G19/SUM($G\$4:$G\$23),0)</f>
        <v/>
      </c>
      <c r="J19" s="30" t="n"/>
      <c r="K19" s="31" t="n"/>
      <c r="L19" s="22" t="n"/>
      <c r="M19" s="30" t="n"/>
      <c r="N19" s="30" t="n"/>
      <c r="O19" s="30" t="n"/>
      <c r="P19" s="30" t="n"/>
      <c r="Q19" s="30" t="n"/>
      <c r="R19" s="30" t="n"/>
      <c r="S19" s="22" t="n"/>
    </row>
    <row r="20">
      <c r="A20" s="22" t="n"/>
      <c r="B20" s="22" t="n"/>
      <c r="C20" s="22" t="n"/>
      <c r="D20" s="22" t="n"/>
      <c r="E20" s="24" t="n"/>
      <c r="F20" s="25" t="n"/>
      <c r="G20" s="24">
        <f>IFERROR(E20*F20,0)</f>
        <v/>
      </c>
      <c r="H20" s="24">
        <f>G20*12</f>
        <v/>
      </c>
      <c r="I20" s="30">
        <f>IFERROR(G20/SUM($G\$4:$G\$23),0)</f>
        <v/>
      </c>
      <c r="J20" s="30" t="n"/>
      <c r="K20" s="31" t="n"/>
      <c r="L20" s="22" t="n"/>
      <c r="M20" s="30" t="n"/>
      <c r="N20" s="30" t="n"/>
      <c r="O20" s="30" t="n"/>
      <c r="P20" s="30" t="n"/>
      <c r="Q20" s="30" t="n"/>
      <c r="R20" s="30" t="n"/>
      <c r="S20" s="22" t="n"/>
    </row>
    <row r="21">
      <c r="A21" s="22" t="n"/>
      <c r="B21" s="22" t="n"/>
      <c r="C21" s="22" t="n"/>
      <c r="D21" s="22" t="n"/>
      <c r="E21" s="24" t="n"/>
      <c r="F21" s="25" t="n"/>
      <c r="G21" s="24">
        <f>IFERROR(E21*F21,0)</f>
        <v/>
      </c>
      <c r="H21" s="24">
        <f>G21*12</f>
        <v/>
      </c>
      <c r="I21" s="30">
        <f>IFERROR(G21/SUM($G\$4:$G\$23),0)</f>
        <v/>
      </c>
      <c r="J21" s="30" t="n"/>
      <c r="K21" s="31" t="n"/>
      <c r="L21" s="22" t="n"/>
      <c r="M21" s="30" t="n"/>
      <c r="N21" s="30" t="n"/>
      <c r="O21" s="30" t="n"/>
      <c r="P21" s="30" t="n"/>
      <c r="Q21" s="30" t="n"/>
      <c r="R21" s="30" t="n"/>
      <c r="S21" s="22" t="n"/>
    </row>
    <row r="22">
      <c r="A22" s="22" t="n"/>
      <c r="B22" s="22" t="n"/>
      <c r="C22" s="22" t="n"/>
      <c r="D22" s="22" t="n"/>
      <c r="E22" s="24" t="n"/>
      <c r="F22" s="25" t="n"/>
      <c r="G22" s="24">
        <f>IFERROR(E22*F22,0)</f>
        <v/>
      </c>
      <c r="H22" s="24">
        <f>G22*12</f>
        <v/>
      </c>
      <c r="I22" s="30">
        <f>IFERROR(G22/SUM($G\$4:$G\$23),0)</f>
        <v/>
      </c>
      <c r="J22" s="30" t="n"/>
      <c r="K22" s="31" t="n"/>
      <c r="L22" s="22" t="n"/>
      <c r="M22" s="30" t="n"/>
      <c r="N22" s="30" t="n"/>
      <c r="O22" s="30" t="n"/>
      <c r="P22" s="30" t="n"/>
      <c r="Q22" s="30" t="n"/>
      <c r="R22" s="30" t="n"/>
      <c r="S22" s="22" t="n"/>
    </row>
    <row r="23">
      <c r="A23" s="22" t="n"/>
      <c r="B23" s="22" t="n"/>
      <c r="C23" s="22" t="n"/>
      <c r="D23" s="22" t="n"/>
      <c r="E23" s="24" t="n"/>
      <c r="F23" s="25" t="n"/>
      <c r="G23" s="24">
        <f>IFERROR(E23*F23,0)</f>
        <v/>
      </c>
      <c r="H23" s="24">
        <f>G23*12</f>
        <v/>
      </c>
      <c r="I23" s="30">
        <f>IFERROR(G23/SUM($G\$4:$G\$23),0)</f>
        <v/>
      </c>
      <c r="J23" s="30" t="n"/>
      <c r="K23" s="31" t="n"/>
      <c r="L23" s="22" t="n"/>
      <c r="M23" s="30" t="n"/>
      <c r="N23" s="30" t="n"/>
      <c r="O23" s="30" t="n"/>
      <c r="P23" s="30" t="n"/>
      <c r="Q23" s="30" t="n"/>
      <c r="R23" s="30" t="n"/>
      <c r="S23" s="22" t="n"/>
    </row>
    <row r="24">
      <c r="E24" s="2" t="n"/>
      <c r="G24" s="2" t="n"/>
      <c r="H24" s="2" t="n"/>
      <c r="I24" s="32" t="n"/>
      <c r="J24" s="32" t="n"/>
      <c r="K24" s="33" t="n"/>
      <c r="M24" s="32" t="n"/>
      <c r="N24" s="32" t="n"/>
      <c r="O24" s="32" t="n"/>
      <c r="P24" s="32" t="n"/>
      <c r="Q24" s="32" t="n"/>
      <c r="R24" s="32" t="n"/>
    </row>
    <row r="25" ht="15" customHeight="1">
      <c r="A25" s="3" t="inlineStr">
        <is>
          <t>ИТОГО / среднее</t>
        </is>
      </c>
      <c r="B25" s="3" t="n"/>
      <c r="C25" s="3" t="n"/>
      <c r="D25" s="3" t="n"/>
      <c r="E25" s="4">
        <f>SUM(E4:E23)</f>
        <v/>
      </c>
      <c r="F25" s="3" t="n"/>
      <c r="G25" s="4">
        <f>SUM(G4:G23)</f>
        <v/>
      </c>
      <c r="H25" s="4">
        <f>SUM(H4:H23)</f>
        <v/>
      </c>
      <c r="I25" s="34">
        <f>SUM(I4:I23)</f>
        <v/>
      </c>
      <c r="J25" s="34">
        <f>AVERAGE(J4:J23)</f>
        <v/>
      </c>
      <c r="K25" s="35">
        <f>AVERAGE(K4:K23)</f>
        <v/>
      </c>
      <c r="L25" s="3" t="n"/>
      <c r="M25" s="34">
        <f>SUMPRODUCT($G\$4:$G\$23,M4:M23)/SUM($G\$4:$G\$23)</f>
        <v/>
      </c>
      <c r="N25" s="34">
        <f>SUMPRODUCT($G\$4:$G\$23,N4:N23)/SUM($G\$4:$G\$23)</f>
        <v/>
      </c>
      <c r="O25" s="34">
        <f>SUMPRODUCT($G\$4:$G\$23,O4:O23)/SUM($G\$4:$G\$23)</f>
        <v/>
      </c>
      <c r="P25" s="34">
        <f>SUMPRODUCT($G\$4:$G\$23,P4:P23)/SUM($G\$4:$G\$23)</f>
        <v/>
      </c>
      <c r="Q25" s="34">
        <f>SUMPRODUCT($G\$4:$G\$23,Q4:Q23)/SUM($G\$4:$G\$23)</f>
        <v/>
      </c>
      <c r="R25" s="34">
        <f>SUMPRODUCT($G\$4:$G\$23,R4:R23)/SUM($G\$4:$G\$23)</f>
        <v/>
      </c>
      <c r="S25" s="3" t="n"/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</conditionalFormatting>
  <conditionalFormatting sqref="I4:I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G18" sqref="G18"/>
    </sheetView>
  </sheetViews>
  <sheetFormatPr baseColWidth="8" defaultRowHeight="14.25"/>
  <cols>
    <col width="18" customWidth="1" min="1" max="2"/>
    <col width="24" customWidth="1" min="3" max="4"/>
    <col width="38" customWidth="1" min="5" max="5"/>
    <col width="34" customWidth="1" min="6" max="7"/>
    <col width="14" customWidth="1" min="8" max="8"/>
  </cols>
  <sheetData>
    <row r="1" ht="30" customHeight="1">
      <c r="A1" s="18" t="inlineStr">
        <is>
          <t>Канальная структура рынка по данным Similarweb</t>
        </is>
      </c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/>
    <row r="3" ht="36" customHeight="1">
      <c r="A3" s="1" t="inlineStr">
        <is>
          <t>Канал</t>
        </is>
      </c>
      <c r="B3" s="1" t="inlineStr">
        <is>
          <t>Средневзвешенная доля</t>
        </is>
      </c>
      <c r="C3" s="1" t="inlineStr">
        <is>
          <t>Оценка рыночного трафика, мес</t>
        </is>
      </c>
      <c r="D3" s="1" t="inlineStr">
        <is>
          <t>Оценка рыночного трафика, год</t>
        </is>
      </c>
      <c r="E3" s="1" t="inlineStr">
        <is>
          <t>Коммерческая интерпретация</t>
        </is>
      </c>
      <c r="F3" s="1" t="inlineStr">
        <is>
          <t>Что проверить дополнительно</t>
        </is>
      </c>
      <c r="G3" s="1" t="inlineStr">
        <is>
          <t>Ограничение</t>
        </is>
      </c>
      <c r="H3" s="1" t="inlineStr">
        <is>
          <t>Приоритет</t>
        </is>
      </c>
    </row>
    <row r="4" ht="28.5" customHeight="1">
      <c r="A4" s="22" t="inlineStr">
        <is>
          <t>Direct</t>
        </is>
      </c>
      <c r="B4" s="30">
        <f>'02_Конкуренты_SW'!M25</f>
        <v/>
      </c>
      <c r="C4" s="24">
        <f>B4*'01_Параметры'!$B\$12</f>
        <v/>
      </c>
      <c r="D4" s="24">
        <f>C4*12</f>
        <v/>
      </c>
      <c r="E4" s="22" t="inlineStr">
        <is>
          <t>Сила бренда и повторные посещения</t>
        </is>
      </c>
      <c r="F4" s="22" t="inlineStr">
        <is>
          <t>Узнаваемость конкурентов, прямые заходы</t>
        </is>
      </c>
      <c r="G4" s="22" t="inlineStr">
        <is>
          <t>Не всегда означает новый спрос</t>
        </is>
      </c>
      <c r="H4" s="22">
        <f>IF(B4&gt;=0.3,"высокий",IF(B4&gt;=0.15,"средний","низкий"))</f>
        <v/>
      </c>
    </row>
    <row r="5" ht="28.5" customHeight="1">
      <c r="A5" s="22" t="inlineStr">
        <is>
          <t>Organic search</t>
        </is>
      </c>
      <c r="B5" s="30">
        <f>'02_Конкуренты_SW'!N25</f>
        <v/>
      </c>
      <c r="C5" s="24">
        <f>B5*'01_Параметры'!$B\$12</f>
        <v/>
      </c>
      <c r="D5" s="24">
        <f>C5*12</f>
        <v/>
      </c>
      <c r="E5" s="22" t="inlineStr">
        <is>
          <t>Поисковый спрос и эффективность содержания</t>
        </is>
      </c>
      <c r="F5" s="22" t="inlineStr">
        <is>
          <t>Семантическое ядро, видимость в поиске</t>
        </is>
      </c>
      <c r="G5" s="22" t="inlineStr">
        <is>
          <t>Запросы могут быть информационными</t>
        </is>
      </c>
      <c r="H5" s="22">
        <f>IF(B5&gt;=0.3,"высокий",IF(B5&gt;=0.15,"средний","низкий"))</f>
        <v/>
      </c>
    </row>
    <row r="6" ht="28.5" customHeight="1">
      <c r="A6" s="22" t="inlineStr">
        <is>
          <t>Referral</t>
        </is>
      </c>
      <c r="B6" s="30">
        <f>'02_Конкуренты_SW'!O25</f>
        <v/>
      </c>
      <c r="C6" s="24">
        <f>B6*'01_Параметры'!$B\$12</f>
        <v/>
      </c>
      <c r="D6" s="24">
        <f>C6*12</f>
        <v/>
      </c>
      <c r="E6" s="22" t="inlineStr">
        <is>
          <t>Партнерские и справочные источники</t>
        </is>
      </c>
      <c r="F6" s="22" t="inlineStr">
        <is>
          <t>Каталоги, публикации, партнеры</t>
        </is>
      </c>
      <c r="G6" s="22" t="inlineStr">
        <is>
          <t>Часть переходов может быть нерелевантна</t>
        </is>
      </c>
      <c r="H6" s="22">
        <f>IF(B6&gt;=0.3,"высокий",IF(B6&gt;=0.15,"средний","низкий"))</f>
        <v/>
      </c>
    </row>
    <row r="7" ht="28.5" customHeight="1">
      <c r="A7" s="22" t="inlineStr">
        <is>
          <t>Social</t>
        </is>
      </c>
      <c r="B7" s="30">
        <f>'02_Конкуренты_SW'!P25</f>
        <v/>
      </c>
      <c r="C7" s="24">
        <f>B7*'01_Параметры'!$B\$12</f>
        <v/>
      </c>
      <c r="D7" s="24">
        <f>C7*12</f>
        <v/>
      </c>
      <c r="E7" s="22" t="inlineStr">
        <is>
          <t>Спрос через социальные сети</t>
        </is>
      </c>
      <c r="F7" s="22" t="inlineStr">
        <is>
          <t>Активность в соцсетях и сообществах</t>
        </is>
      </c>
      <c r="G7" s="22" t="inlineStr">
        <is>
          <t>Социальный трафик не всегда конверсионный</t>
        </is>
      </c>
      <c r="H7" s="22">
        <f>IF(B7&gt;=0.3,"высокий",IF(B7&gt;=0.15,"средний","низкий"))</f>
        <v/>
      </c>
    </row>
    <row r="8" ht="28.5" customHeight="1">
      <c r="A8" s="22" t="inlineStr">
        <is>
          <t>Paid search</t>
        </is>
      </c>
      <c r="B8" s="30">
        <f>'02_Конкуренты_SW'!Q25</f>
        <v/>
      </c>
      <c r="C8" s="24">
        <f>B8*'01_Параметры'!$B\$12</f>
        <v/>
      </c>
      <c r="D8" s="24">
        <f>C8*12</f>
        <v/>
      </c>
      <c r="E8" s="22" t="inlineStr">
        <is>
          <t>Платный спрос и рекламная конкуренция</t>
        </is>
      </c>
      <c r="F8" s="22" t="inlineStr">
        <is>
          <t>Стоимость клика, рекламные объявления</t>
        </is>
      </c>
      <c r="G8" s="22" t="inlineStr">
        <is>
          <t>Высокая доля может отражать закупку трафика</t>
        </is>
      </c>
      <c r="H8" s="22">
        <f>IF(B8&gt;=0.3,"высокий",IF(B8&gt;=0.15,"средний","низкий"))</f>
        <v/>
      </c>
    </row>
    <row r="9" ht="28.5" customHeight="1">
      <c r="A9" s="22" t="inlineStr">
        <is>
          <t>Display</t>
        </is>
      </c>
      <c r="B9" s="30">
        <f>'02_Конкуренты_SW'!R25</f>
        <v/>
      </c>
      <c r="C9" s="24">
        <f>B9*'01_Параметры'!$B\$12</f>
        <v/>
      </c>
      <c r="D9" s="24">
        <f>C9*12</f>
        <v/>
      </c>
      <c r="E9" s="22" t="inlineStr">
        <is>
          <t>Медийная реклама и охват</t>
        </is>
      </c>
      <c r="F9" s="22" t="inlineStr">
        <is>
          <t>Баннеры, ретаргетинг</t>
        </is>
      </c>
      <c r="G9" s="22" t="inlineStr">
        <is>
          <t>Слабее связан с намерением покупки</t>
        </is>
      </c>
      <c r="H9" s="22">
        <f>IF(B9&gt;=0.3,"высокий",IF(B9&gt;=0.15,"средний","низкий"))</f>
        <v/>
      </c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E12" sqref="E12"/>
    </sheetView>
  </sheetViews>
  <sheetFormatPr baseColWidth="8" defaultRowHeight="14.25"/>
  <cols>
    <col width="28" customWidth="1" min="1" max="1"/>
    <col width="22" customWidth="1" min="2" max="2"/>
    <col width="26" customWidth="1" min="3" max="4"/>
    <col width="28" customWidth="1" min="5" max="5"/>
    <col width="22" customWidth="1" min="6" max="6"/>
    <col width="18" customWidth="1" min="7" max="7"/>
    <col width="42" customWidth="1" min="8" max="8"/>
  </cols>
  <sheetData>
    <row r="1" ht="30" customHeight="1">
      <c r="A1" s="18" t="inlineStr">
        <is>
          <t>Географическая структура цифрового рынка</t>
        </is>
      </c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/>
    <row r="3" ht="36" customHeight="1">
      <c r="A3" s="1" t="inlineStr">
        <is>
          <t>Страна / регион</t>
        </is>
      </c>
      <c r="B3" s="1" t="inlineStr">
        <is>
          <t>Доля трафика по Similarweb</t>
        </is>
      </c>
      <c r="C3" s="1" t="inlineStr">
        <is>
          <t>Оценка месячного трафика рынка</t>
        </is>
      </c>
      <c r="D3" s="1" t="inlineStr">
        <is>
          <t>Оценка годового трафика рынка</t>
        </is>
      </c>
      <c r="E3" s="1" t="inlineStr">
        <is>
          <t>Платежеспособность / доступность</t>
        </is>
      </c>
      <c r="F3" s="1" t="inlineStr">
        <is>
          <t>Конкурентная плотность</t>
        </is>
      </c>
      <c r="G3" s="1" t="inlineStr">
        <is>
          <t>Приоритет рынка</t>
        </is>
      </c>
      <c r="H3" s="1" t="inlineStr">
        <is>
          <t>Комментарий</t>
        </is>
      </c>
    </row>
    <row r="4">
      <c r="A4" s="22" t="inlineStr">
        <is>
          <t>Республика Беларусь</t>
        </is>
      </c>
      <c r="B4" s="30" t="n">
        <v>0.78</v>
      </c>
      <c r="C4" s="24">
        <f>B4*'01_Параметры'!$B\$12</f>
        <v/>
      </c>
      <c r="D4" s="24">
        <f>C4*12</f>
        <v/>
      </c>
      <c r="E4" s="22" t="inlineStr">
        <is>
          <t>средняя</t>
        </is>
      </c>
      <c r="F4" s="22" t="inlineStr">
        <is>
          <t>средняя</t>
        </is>
      </c>
      <c r="G4" s="22">
        <f>IF(B4&gt;=0.35,"высокий",IF(B4&gt;=0.15,"средний","низкий"))</f>
        <v/>
      </c>
      <c r="H4" s="22" t="inlineStr">
        <is>
          <t>Основная география анализа</t>
        </is>
      </c>
    </row>
    <row r="5">
      <c r="A5" s="22" t="inlineStr">
        <is>
          <t>Минск</t>
        </is>
      </c>
      <c r="B5" s="30" t="n">
        <v>0.42</v>
      </c>
      <c r="C5" s="24">
        <f>B5*'01_Параметры'!$B\$12</f>
        <v/>
      </c>
      <c r="D5" s="24">
        <f>C5*12</f>
        <v/>
      </c>
      <c r="E5" s="22" t="inlineStr">
        <is>
          <t>выше средней</t>
        </is>
      </c>
      <c r="F5" s="22" t="inlineStr">
        <is>
          <t>высокая</t>
        </is>
      </c>
      <c r="G5" s="22">
        <f>IF(B5&gt;=0.35,"высокий",IF(B5&gt;=0.15,"средний","низкий"))</f>
        <v/>
      </c>
      <c r="H5" s="22" t="inlineStr">
        <is>
          <t>Возможный стартовый сегмент</t>
        </is>
      </c>
    </row>
    <row r="6">
      <c r="A6" s="22" t="inlineStr">
        <is>
          <t>Областные центры РБ</t>
        </is>
      </c>
      <c r="B6" s="30" t="n">
        <v>0.25</v>
      </c>
      <c r="C6" s="24">
        <f>B6*'01_Параметры'!$B\$12</f>
        <v/>
      </c>
      <c r="D6" s="24">
        <f>C6*12</f>
        <v/>
      </c>
      <c r="E6" s="22" t="inlineStr">
        <is>
          <t>средняя</t>
        </is>
      </c>
      <c r="F6" s="22" t="inlineStr">
        <is>
          <t>средняя</t>
        </is>
      </c>
      <c r="G6" s="22">
        <f>IF(B6&gt;=0.35,"высокий",IF(B6&gt;=0.15,"средний","низкий"))</f>
        <v/>
      </c>
      <c r="H6" s="22" t="inlineStr">
        <is>
          <t>Расширение после проверки Минска</t>
        </is>
      </c>
    </row>
    <row r="7" ht="28.5" customHeight="1">
      <c r="A7" s="22" t="inlineStr">
        <is>
          <t>Другие русскоязычные рынки</t>
        </is>
      </c>
      <c r="B7" s="30" t="n">
        <v>0.17</v>
      </c>
      <c r="C7" s="24">
        <f>B7*'01_Параметры'!$B\$12</f>
        <v/>
      </c>
      <c r="D7" s="24">
        <f>C7*12</f>
        <v/>
      </c>
      <c r="E7" s="22" t="inlineStr">
        <is>
          <t>разная</t>
        </is>
      </c>
      <c r="F7" s="22" t="inlineStr">
        <is>
          <t>высокая</t>
        </is>
      </c>
      <c r="G7" s="22">
        <f>IF(B7&gt;=0.35,"высокий",IF(B7&gt;=0.15,"средний","низкий"))</f>
        <v/>
      </c>
      <c r="H7" s="22" t="inlineStr">
        <is>
          <t>Только при дистанционной модели оказания услуги</t>
        </is>
      </c>
    </row>
  </sheetData>
  <mergeCells count="1">
    <mergeCell ref="A1:H1"/>
  </mergeCells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topLeftCell="E1" workbookViewId="0">
      <selection activeCell="I21" sqref="I21"/>
    </sheetView>
  </sheetViews>
  <sheetFormatPr baseColWidth="8" defaultRowHeight="14.25"/>
  <cols>
    <col width="28" customWidth="1" min="1" max="1"/>
    <col width="24" customWidth="1" min="2" max="2"/>
    <col width="20" customWidth="1" min="3" max="3"/>
    <col width="24" customWidth="1" min="4" max="4"/>
    <col width="18" customWidth="1" min="5" max="6"/>
    <col width="28" customWidth="1" min="7" max="7"/>
    <col width="18" customWidth="1" min="8" max="9"/>
    <col width="42" customWidth="1" min="10" max="10"/>
  </cols>
  <sheetData>
    <row r="1" ht="30" customHeight="1">
      <c r="A1" s="18" t="inlineStr">
        <is>
          <t>Поисковые запросы и коммерческий интерес</t>
        </is>
      </c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/>
    <row r="3" ht="36" customHeight="1">
      <c r="A3" s="1" t="inlineStr">
        <is>
          <t>Запрос / ключевая фраза</t>
        </is>
      </c>
      <c r="B3" s="1" t="inlineStr">
        <is>
          <t>Источник</t>
        </is>
      </c>
      <c r="C3" s="1" t="inlineStr">
        <is>
          <t>Доля поискового трафика</t>
        </is>
      </c>
      <c r="D3" s="1" t="inlineStr">
        <is>
          <t>Оценочный месячный трафик</t>
        </is>
      </c>
      <c r="E3" s="1" t="inlineStr">
        <is>
          <t>Тип намерения</t>
        </is>
      </c>
      <c r="F3" s="1" t="inlineStr">
        <is>
          <t>Коммерческий вес</t>
        </is>
      </c>
      <c r="G3" s="1" t="inlineStr">
        <is>
          <t>Индекс коммерческого интереса</t>
        </is>
      </c>
      <c r="H3" s="1" t="inlineStr">
        <is>
          <t>Сегмент</t>
        </is>
      </c>
      <c r="I3" s="1" t="inlineStr">
        <is>
          <t>Решение</t>
        </is>
      </c>
      <c r="J3" s="1" t="inlineStr">
        <is>
          <t>Комментарий</t>
        </is>
      </c>
    </row>
    <row r="4" customFormat="1" s="22">
      <c r="A4" s="22" t="inlineStr">
        <is>
          <t>маркетинговое агентство</t>
        </is>
      </c>
      <c r="B4" s="22" t="inlineStr">
        <is>
          <t>Similarweb / Search</t>
        </is>
      </c>
      <c r="C4" s="30" t="n">
        <v>0.18</v>
      </c>
      <c r="D4" s="24">
        <f>C4*'01_Параметры'!$B\$12</f>
        <v/>
      </c>
      <c r="E4" s="22" t="inlineStr">
        <is>
          <t>коммерческий</t>
        </is>
      </c>
      <c r="F4" s="31" t="n">
        <v>1</v>
      </c>
      <c r="G4" s="24">
        <f>D4*F4</f>
        <v/>
      </c>
      <c r="H4" s="22" t="inlineStr">
        <is>
          <t>агентство</t>
        </is>
      </c>
      <c r="I4" s="22" t="inlineStr">
        <is>
          <t>включить</t>
        </is>
      </c>
      <c r="J4" s="22" t="inlineStr">
        <is>
          <t>Поиск поставщика услуги</t>
        </is>
      </c>
    </row>
    <row r="5" customFormat="1" s="22">
      <c r="A5" s="22" t="inlineStr">
        <is>
          <t>продвижение бизнеса</t>
        </is>
      </c>
      <c r="B5" s="22" t="inlineStr">
        <is>
          <t>Similarweb / Search</t>
        </is>
      </c>
      <c r="C5" s="30" t="n">
        <v>0.15</v>
      </c>
      <c r="D5" s="24">
        <f>C5*'01_Параметры'!$B\$12</f>
        <v/>
      </c>
      <c r="E5" s="22" t="inlineStr">
        <is>
          <t>проблемный</t>
        </is>
      </c>
      <c r="F5" s="31" t="n">
        <v>0.8</v>
      </c>
      <c r="G5" s="24">
        <f>D5*F5</f>
        <v/>
      </c>
      <c r="H5" s="22" t="inlineStr">
        <is>
          <t>рост продаж</t>
        </is>
      </c>
      <c r="I5" s="22" t="inlineStr">
        <is>
          <t>включить</t>
        </is>
      </c>
      <c r="J5" s="22" t="inlineStr">
        <is>
          <t>Потребность в клиентах</t>
        </is>
      </c>
    </row>
    <row r="6" customFormat="1" s="22">
      <c r="A6" s="22" t="inlineStr">
        <is>
          <t>настройка рекламы</t>
        </is>
      </c>
      <c r="B6" s="22" t="inlineStr">
        <is>
          <t>Similarweb / Search</t>
        </is>
      </c>
      <c r="C6" s="30" t="n">
        <v>0.13</v>
      </c>
      <c r="D6" s="24">
        <f>C6*'01_Параметры'!$B\$12</f>
        <v/>
      </c>
      <c r="E6" s="22" t="inlineStr">
        <is>
          <t>коммерческий</t>
        </is>
      </c>
      <c r="F6" s="31" t="n">
        <v>1</v>
      </c>
      <c r="G6" s="24">
        <f>D6*F6</f>
        <v/>
      </c>
      <c r="H6" s="22" t="inlineStr">
        <is>
          <t>реклама</t>
        </is>
      </c>
      <c r="I6" s="22" t="inlineStr">
        <is>
          <t>включить</t>
        </is>
      </c>
      <c r="J6" s="22" t="inlineStr">
        <is>
          <t>Близко к покупке</t>
        </is>
      </c>
    </row>
    <row r="7" customFormat="1" s="22">
      <c r="A7" s="22" t="inlineStr">
        <is>
          <t>smm продвижение</t>
        </is>
      </c>
      <c r="B7" s="22" t="inlineStr">
        <is>
          <t>Similarweb / Search</t>
        </is>
      </c>
      <c r="C7" s="30" t="n">
        <v>0.11</v>
      </c>
      <c r="D7" s="24">
        <f>C7*'01_Параметры'!$B\$12</f>
        <v/>
      </c>
      <c r="E7" s="22" t="inlineStr">
        <is>
          <t>инструментальный</t>
        </is>
      </c>
      <c r="F7" s="31" t="n">
        <v>0.7</v>
      </c>
      <c r="G7" s="24">
        <f>D7*F7</f>
        <v/>
      </c>
      <c r="H7" s="22" t="inlineStr">
        <is>
          <t>соцсети</t>
        </is>
      </c>
      <c r="I7" s="22" t="inlineStr">
        <is>
          <t>включить</t>
        </is>
      </c>
      <c r="J7" s="22" t="inlineStr">
        <is>
          <t>Отдельное направление</t>
        </is>
      </c>
    </row>
    <row r="8" customFormat="1" s="22">
      <c r="A8" s="22" t="inlineStr">
        <is>
          <t>как привлечь клиентов</t>
        </is>
      </c>
      <c r="B8" s="22" t="inlineStr">
        <is>
          <t>Similarweb / Search</t>
        </is>
      </c>
      <c r="C8" s="30" t="n">
        <v>0.09</v>
      </c>
      <c r="D8" s="24">
        <f>C8*'01_Параметры'!$B\$12</f>
        <v/>
      </c>
      <c r="E8" s="22" t="inlineStr">
        <is>
          <t>проблемный</t>
        </is>
      </c>
      <c r="F8" s="31" t="n">
        <v>0.6</v>
      </c>
      <c r="G8" s="24">
        <f>D8*F8</f>
        <v/>
      </c>
      <c r="H8" s="22" t="inlineStr">
        <is>
          <t>лидогенерация</t>
        </is>
      </c>
      <c r="I8" s="22" t="inlineStr">
        <is>
          <t>включить</t>
        </is>
      </c>
      <c r="J8" s="22" t="inlineStr">
        <is>
          <t>Потребность требует коммерческой проверки</t>
        </is>
      </c>
    </row>
    <row r="9" ht="28.5" customFormat="1" customHeight="1" s="22">
      <c r="A9" s="22" t="inlineStr">
        <is>
          <t>курсы маркетинга</t>
        </is>
      </c>
      <c r="B9" s="22" t="inlineStr">
        <is>
          <t>Similarweb / Search</t>
        </is>
      </c>
      <c r="C9" s="30" t="n">
        <v>0.08</v>
      </c>
      <c r="D9" s="24">
        <f>C9*'01_Параметры'!$B\$12</f>
        <v/>
      </c>
      <c r="E9" s="22" t="inlineStr">
        <is>
          <t>обучающий</t>
        </is>
      </c>
      <c r="F9" s="31" t="n">
        <v>0.3</v>
      </c>
      <c r="G9" s="24">
        <f>D9*F9</f>
        <v/>
      </c>
      <c r="H9" s="22" t="inlineStr">
        <is>
          <t>обучение</t>
        </is>
      </c>
      <c r="I9" s="22" t="inlineStr">
        <is>
          <t>исключить/отдельно</t>
        </is>
      </c>
      <c r="J9" s="22" t="inlineStr">
        <is>
          <t>Не основной спрос на услугу</t>
        </is>
      </c>
    </row>
    <row r="10" customFormat="1" s="22">
      <c r="A10" s="22" t="inlineStr">
        <is>
          <t>что такое маркетинг</t>
        </is>
      </c>
      <c r="B10" s="22" t="inlineStr">
        <is>
          <t>Similarweb / Search</t>
        </is>
      </c>
      <c r="C10" s="30" t="n">
        <v>0.06</v>
      </c>
      <c r="D10" s="24">
        <f>C10*'01_Параметры'!$B\$12</f>
        <v/>
      </c>
      <c r="E10" s="22" t="inlineStr">
        <is>
          <t>информационный</t>
        </is>
      </c>
      <c r="F10" s="31" t="n">
        <v>0.1</v>
      </c>
      <c r="G10" s="24">
        <f>D10*F10</f>
        <v/>
      </c>
      <c r="H10" s="22" t="inlineStr">
        <is>
          <t>общий интерес</t>
        </is>
      </c>
      <c r="I10" s="22" t="inlineStr">
        <is>
          <t>исключить</t>
        </is>
      </c>
      <c r="J10" s="22" t="inlineStr">
        <is>
          <t>Не подтверждает платежеспособный спрос</t>
        </is>
      </c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D18" sqref="D18"/>
    </sheetView>
  </sheetViews>
  <sheetFormatPr baseColWidth="8" defaultRowHeight="14.25"/>
  <cols>
    <col width="30.75" customWidth="1" style="22" min="1" max="1"/>
    <col width="46.625" customWidth="1" style="22" min="2" max="2"/>
    <col width="26" customWidth="1" style="22" min="3" max="3"/>
    <col width="28" customWidth="1" style="22" min="4" max="4"/>
    <col width="36" customWidth="1" style="22" min="5" max="6"/>
    <col width="23.75" customWidth="1" style="22" min="7" max="7"/>
    <col width="18" customWidth="1" style="22" min="8" max="10"/>
    <col width="9" customWidth="1" style="22" min="11" max="16384"/>
  </cols>
  <sheetData>
    <row r="1" ht="30" customHeight="1">
      <c r="A1" s="18" t="inlineStr">
        <is>
          <t>Расчет объема рынка через цифровую воронку и сценарии</t>
        </is>
      </c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/>
    <row r="3" ht="36" customHeight="1">
      <c r="A3" s="19" t="inlineStr">
        <is>
          <t>Сценарные допущения</t>
        </is>
      </c>
    </row>
    <row r="4" ht="30" customHeight="1">
      <c r="A4" s="1" t="inlineStr">
        <is>
          <t>Сценарий</t>
        </is>
      </c>
      <c r="B4" s="1" t="inlineStr">
        <is>
          <t>Коэффициент покрытия конкурентов</t>
        </is>
      </c>
      <c r="C4" s="1" t="inlineStr">
        <is>
          <t>Оценка рынка: посещения/мес</t>
        </is>
      </c>
      <c r="D4" s="1" t="inlineStr">
        <is>
          <t>Конверсия в заявку</t>
        </is>
      </c>
      <c r="E4" s="1" t="inlineStr">
        <is>
          <t>Конверсия заявки в продажу</t>
        </is>
      </c>
      <c r="F4" s="1" t="inlineStr">
        <is>
          <t>Средний чек</t>
        </is>
      </c>
      <c r="G4" s="1" t="inlineStr">
        <is>
          <t>Покупок/клиента в год</t>
        </is>
      </c>
      <c r="H4" s="1" t="inlineStr">
        <is>
          <t>Заказов/мес</t>
        </is>
      </c>
      <c r="I4" s="1" t="inlineStr">
        <is>
          <t>Выручка/мес</t>
        </is>
      </c>
      <c r="J4" s="1" t="inlineStr">
        <is>
          <t>Выручка/год</t>
        </is>
      </c>
    </row>
    <row r="5">
      <c r="A5" s="22" t="inlineStr">
        <is>
          <t>Осторожный</t>
        </is>
      </c>
      <c r="B5" s="25" t="n">
        <v>0.8</v>
      </c>
      <c r="C5" s="24">
        <f>IFERROR('01_Параметры'!$B\$9/B5,0)</f>
        <v/>
      </c>
      <c r="D5" s="30" t="n">
        <v>0.008</v>
      </c>
      <c r="E5" s="30" t="n">
        <v>0.18</v>
      </c>
      <c r="F5" s="36" t="n">
        <v>350</v>
      </c>
      <c r="G5" s="31" t="n">
        <v>1</v>
      </c>
      <c r="H5" s="24">
        <f>C5*D5*E5</f>
        <v/>
      </c>
      <c r="I5" s="36">
        <f>H5*F5</f>
        <v/>
      </c>
      <c r="J5" s="36">
        <f>I5*12*G5</f>
        <v/>
      </c>
    </row>
    <row r="6">
      <c r="A6" s="22" t="inlineStr">
        <is>
          <t>Базовый</t>
        </is>
      </c>
      <c r="B6" s="25" t="n">
        <v>0.7</v>
      </c>
      <c r="C6" s="24">
        <f>IFERROR('01_Параметры'!$B\$9/B6,0)</f>
        <v/>
      </c>
      <c r="D6" s="30" t="n">
        <v>0.015</v>
      </c>
      <c r="E6" s="30" t="n">
        <v>0.25</v>
      </c>
      <c r="F6" s="36" t="n">
        <v>500</v>
      </c>
      <c r="G6" s="31" t="n">
        <v>1.5</v>
      </c>
      <c r="H6" s="24">
        <f>C6*D6*E6</f>
        <v/>
      </c>
      <c r="I6" s="36">
        <f>H6*F6</f>
        <v/>
      </c>
      <c r="J6" s="36">
        <f>I6*12*G6</f>
        <v/>
      </c>
    </row>
    <row r="7">
      <c r="A7" s="22" t="inlineStr">
        <is>
          <t>Оптимистичный</t>
        </is>
      </c>
      <c r="B7" s="25" t="n">
        <v>0.55</v>
      </c>
      <c r="C7" s="24">
        <f>IFERROR('01_Параметры'!$B\$9/B7,0)</f>
        <v/>
      </c>
      <c r="D7" s="30" t="n">
        <v>0.025</v>
      </c>
      <c r="E7" s="30" t="n">
        <v>0.35</v>
      </c>
      <c r="F7" s="36" t="n">
        <v>800</v>
      </c>
      <c r="G7" s="31" t="n">
        <v>2</v>
      </c>
      <c r="H7" s="24">
        <f>C7*D7*E7</f>
        <v/>
      </c>
      <c r="I7" s="36">
        <f>H7*F7</f>
        <v/>
      </c>
      <c r="J7" s="36">
        <f>I7*12*G7</f>
        <v/>
      </c>
    </row>
    <row r="8"/>
    <row r="9"/>
    <row r="10" ht="21.95" customHeight="1">
      <c r="A10" s="19" t="inlineStr">
        <is>
          <t>Достижимая доля нового бизнеса (SOM)</t>
        </is>
      </c>
    </row>
    <row r="11" ht="30" customHeight="1">
      <c r="A11" s="1" t="inlineStr">
        <is>
          <t>Сценарий</t>
        </is>
      </c>
      <c r="B11" s="1" t="inlineStr">
        <is>
          <t>Рыночная выручка/год</t>
        </is>
      </c>
      <c r="C11" s="1" t="inlineStr">
        <is>
          <t>Достижимая доля нового бизнеса</t>
        </is>
      </c>
      <c r="D11" s="1" t="inlineStr">
        <is>
          <t>Потенциальная выручка нового бизнеса/год</t>
        </is>
      </c>
      <c r="E11" s="1" t="inlineStr">
        <is>
          <t>Комментарий</t>
        </is>
      </c>
      <c r="F11" s="1" t="inlineStr">
        <is>
          <t>Ограничение</t>
        </is>
      </c>
    </row>
    <row r="12" ht="28.5" customHeight="1">
      <c r="A12" s="22" t="inlineStr">
        <is>
          <t>Осторожный</t>
        </is>
      </c>
      <c r="B12" s="36">
        <f>J5</f>
        <v/>
      </c>
      <c r="C12" s="30" t="n">
        <v>0.005</v>
      </c>
      <c r="D12" s="36">
        <f>B12*C12</f>
        <v/>
      </c>
      <c r="E12" s="22" t="inlineStr">
        <is>
          <t>Первые клиенты, тестирование канала</t>
        </is>
      </c>
      <c r="F12" s="22" t="inlineStr">
        <is>
          <t>Не учитывать как гарантированный доход</t>
        </is>
      </c>
    </row>
    <row r="13">
      <c r="A13" s="22" t="inlineStr">
        <is>
          <t>Базовый</t>
        </is>
      </c>
      <c r="B13" s="36">
        <f>J6</f>
        <v/>
      </c>
      <c r="C13" s="30" t="n">
        <v>0.015</v>
      </c>
      <c r="D13" s="36">
        <f>B13*C13</f>
        <v/>
      </c>
      <c r="E13" s="22" t="inlineStr">
        <is>
          <t>Устойчивый канал привлечения</t>
        </is>
      </c>
      <c r="F13" s="22" t="inlineStr">
        <is>
          <t>Требуется конкурентный анализ</t>
        </is>
      </c>
    </row>
    <row r="14" ht="28.5" customHeight="1">
      <c r="A14" s="22" t="inlineStr">
        <is>
          <t>Оптимистичный</t>
        </is>
      </c>
      <c r="B14" s="36">
        <f>J7</f>
        <v/>
      </c>
      <c r="C14" s="30" t="n">
        <v>0.035</v>
      </c>
      <c r="D14" s="36">
        <f>B14*C14</f>
        <v/>
      </c>
      <c r="E14" s="22" t="inlineStr">
        <is>
          <t>Сильное позиционирование и повторные продажи</t>
        </is>
      </c>
      <c r="F14" s="22" t="inlineStr">
        <is>
          <t>Требуется подтверждение продажами</t>
        </is>
      </c>
    </row>
    <row r="15"/>
    <row r="16"/>
    <row r="17" ht="21.95" customHeight="1">
      <c r="A17" s="19" t="inlineStr">
        <is>
          <t>Формула итогового вывода</t>
        </is>
      </c>
    </row>
    <row r="18" ht="57" customHeight="1">
      <c r="A18" s="20" t="inlineStr">
        <is>
          <t>Оценочный цифровой объем рынка за год определяется как диапазон между осторожным и оптимистичным сценариями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</row>
    <row r="19">
      <c r="A19" s="20" t="inlineStr">
        <is>
          <t>Минимум</t>
        </is>
      </c>
      <c r="B19" s="36" t="n"/>
      <c r="C19" s="36" t="inlineStr">
        <is>
          <t>База</t>
        </is>
      </c>
      <c r="D19" s="36" t="n"/>
      <c r="E19" s="36" t="inlineStr">
        <is>
          <t>Максимум</t>
        </is>
      </c>
      <c r="F19" s="36" t="n"/>
      <c r="G19" s="20" t="inlineStr">
        <is>
          <t>Единица</t>
        </is>
      </c>
      <c r="H19" s="20" t="inlineStr">
        <is>
          <t>руб./год</t>
        </is>
      </c>
      <c r="I19" s="20" t="n"/>
      <c r="J19" s="20" t="n"/>
    </row>
    <row r="20">
      <c r="A20" s="20">
        <f>A12</f>
        <v/>
      </c>
      <c r="B20" s="36">
        <f>D12</f>
        <v/>
      </c>
      <c r="C20" s="36">
        <f>A13</f>
        <v/>
      </c>
      <c r="D20" s="36">
        <f>D13</f>
        <v/>
      </c>
      <c r="E20" s="36">
        <f>A14</f>
        <v/>
      </c>
      <c r="F20" s="36">
        <f>D14</f>
        <v/>
      </c>
      <c r="G20" s="20" t="n"/>
      <c r="H20" s="20" t="n"/>
      <c r="I20" s="20" t="n"/>
      <c r="J20" s="20" t="n"/>
    </row>
    <row r="21">
      <c r="A21" s="20" t="inlineStr">
        <is>
          <t>Рыночная выручка минимум</t>
        </is>
      </c>
      <c r="B21" s="36">
        <f>J5</f>
        <v/>
      </c>
      <c r="C21" s="36" t="inlineStr">
        <is>
          <t>Рыночная выручка база</t>
        </is>
      </c>
      <c r="D21" s="36">
        <f>J6</f>
        <v/>
      </c>
      <c r="E21" s="36" t="inlineStr">
        <is>
          <t>Рыночная выручка максимум</t>
        </is>
      </c>
      <c r="F21" s="36">
        <f>J7</f>
        <v/>
      </c>
      <c r="G21" s="20" t="n"/>
      <c r="H21" s="20" t="n"/>
      <c r="I21" s="20" t="n"/>
      <c r="J21" s="20" t="n"/>
    </row>
    <row r="22" ht="57" customHeight="1">
      <c r="A22" s="20" t="inlineStr">
        <is>
          <t>Вывод</t>
        </is>
      </c>
      <c r="B22" s="20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— от "&amp;TEXT(D12,"# ##0")&amp;" до "&amp;TEXT(D14,"# ##0")&amp;" руб. в год."</f>
        <v/>
      </c>
      <c r="C22" s="20" t="n"/>
      <c r="D22" s="20" t="n"/>
      <c r="E22" s="20" t="n"/>
      <c r="F22" s="20" t="n"/>
      <c r="G22" s="20" t="n"/>
      <c r="H22" s="20" t="n"/>
      <c r="I22" s="20" t="n"/>
      <c r="J22" s="20" t="n"/>
    </row>
  </sheetData>
  <mergeCells count="4">
    <mergeCell ref="A1:J1"/>
    <mergeCell ref="A10:J10"/>
    <mergeCell ref="A3:J3"/>
    <mergeCell ref="A17:J1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"/>
  <sheetViews>
    <sheetView zoomScale="70" zoomScaleNormal="70" workbookViewId="0">
      <selection activeCell="P12" sqref="P12"/>
    </sheetView>
  </sheetViews>
  <sheetFormatPr baseColWidth="8" defaultRowHeight="14.25"/>
  <cols>
    <col width="22" customWidth="1" min="1" max="1"/>
    <col width="47.375" customWidth="1" min="2" max="2"/>
    <col width="22" customWidth="1" min="3" max="3"/>
    <col width="24" customWidth="1" min="4" max="4"/>
    <col width="22" customWidth="1" min="5" max="5"/>
    <col width="24" customWidth="1" min="6" max="8"/>
    <col width="22" customWidth="1" min="9" max="10"/>
    <col width="12" customWidth="1" min="11" max="12"/>
  </cols>
  <sheetData>
    <row r="1" ht="30" customHeight="1">
      <c r="A1" s="18" t="inlineStr">
        <is>
          <t>Итоговая панель оценки объема рынка по Similarweb</t>
        </is>
      </c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/>
    <row r="3" ht="36" customHeight="1">
      <c r="A3" s="19" t="inlineStr">
        <is>
          <t>Ключевые показатели</t>
        </is>
      </c>
    </row>
    <row r="4" ht="30" customHeight="1">
      <c r="A4" s="10" t="inlineStr">
        <is>
          <t>Рынок</t>
        </is>
      </c>
      <c r="B4" s="11">
        <f>'01_Параметры'!B4</f>
        <v/>
      </c>
      <c r="C4" s="10" t="inlineStr">
        <is>
          <t>География</t>
        </is>
      </c>
      <c r="D4" s="11">
        <f>'01_Параметры'!B5</f>
        <v/>
      </c>
      <c r="E4" s="10" t="inlineStr">
        <is>
          <t>Конкурентов</t>
        </is>
      </c>
      <c r="F4" s="11">
        <f>'01_Параметры'!B8</f>
        <v/>
      </c>
      <c r="G4" s="10" t="inlineStr">
        <is>
          <t>Наблюдаемый трафик/мес</t>
        </is>
      </c>
      <c r="H4" s="12">
        <f>'01_Параметры'!B9</f>
        <v/>
      </c>
      <c r="I4" s="13" t="inlineStr">
        <is>
          <t>Оценка трафика рынка/мес</t>
        </is>
      </c>
      <c r="J4" s="12">
        <f>'01_Параметры'!B12</f>
        <v/>
      </c>
      <c r="K4" s="22" t="n"/>
      <c r="L4" s="22" t="n"/>
    </row>
    <row r="5" ht="30" customHeight="1">
      <c r="A5" s="10" t="inlineStr">
        <is>
          <t>Осторожный рынок/год</t>
        </is>
      </c>
      <c r="B5" s="37">
        <f>'06_Воронка_сценарии'!J5</f>
        <v/>
      </c>
      <c r="C5" s="38" t="inlineStr">
        <is>
          <t>Базовый рынок/год</t>
        </is>
      </c>
      <c r="D5" s="37">
        <f>'06_Воронка_сценарии'!J6</f>
        <v/>
      </c>
      <c r="E5" s="38" t="inlineStr">
        <is>
          <t>Оптимистичный рынок/год</t>
        </is>
      </c>
      <c r="F5" s="37">
        <f>'06_Воронка_сценарии'!J7</f>
        <v/>
      </c>
      <c r="G5" s="38" t="inlineStr">
        <is>
          <t>SOM базовый/год</t>
        </is>
      </c>
      <c r="H5" s="37">
        <f>'06_Воронка_сценарии'!D13</f>
        <v/>
      </c>
      <c r="I5" s="10" t="inlineStr">
        <is>
          <t>Главный канал</t>
        </is>
      </c>
      <c r="J5" s="11">
        <f>INDEX('03_Каналы'!A4:A9,MATCH(MAX('03_Каналы'!B4:B9),'03_Каналы'!B4:B9,0))</f>
        <v/>
      </c>
      <c r="K5" s="22" t="n"/>
      <c r="L5" s="22" t="n"/>
    </row>
    <row r="6" ht="30" customHeight="1">
      <c r="A6" s="10" t="inlineStr">
        <is>
          <t>Главный конкурент</t>
        </is>
      </c>
      <c r="B6" s="11">
        <f>INDEX('02_Конкуренты_SW'!B4:B23,MATCH(MAX('02_Конкуренты_SW'!G4:G23),'02_Конкуренты_SW'!G4:G23,0))</f>
        <v/>
      </c>
      <c r="C6" s="10" t="inlineStr">
        <is>
          <t>Доля главного конкурента</t>
        </is>
      </c>
      <c r="D6" s="39">
        <f>MAX('02_Конкуренты_SW'!I4:I23)</f>
        <v/>
      </c>
      <c r="E6" s="10" t="inlineStr">
        <is>
          <t>Главный поисковый запрос</t>
        </is>
      </c>
      <c r="F6" s="11">
        <f>INDEX('05_Запросы'!A4:A10,MATCH(MAX('05_Запросы'!G4:G10),'05_Запросы'!G4:G10,0))</f>
        <v/>
      </c>
      <c r="G6" s="10" t="inlineStr">
        <is>
          <t>Коммерческий индекс</t>
        </is>
      </c>
      <c r="H6" s="12">
        <f>MAX('05_Запросы'!G4:G10)</f>
        <v/>
      </c>
      <c r="I6" s="22" t="n"/>
      <c r="J6" s="22" t="n"/>
      <c r="K6" s="22" t="n"/>
      <c r="L6" s="22" t="n"/>
    </row>
    <row r="7" ht="57" customHeight="1">
      <c r="A7" s="10" t="inlineStr">
        <is>
          <t>Итоговый вывод</t>
        </is>
      </c>
      <c r="B7" s="11">
        <f>'06_Воронка_сценарии'!B22</f>
        <v/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/>
    <row r="9"/>
    <row r="10" ht="30" customHeight="1">
      <c r="A10" s="1" t="inlineStr">
        <is>
          <t>Сценарий</t>
        </is>
      </c>
      <c r="B10" s="1" t="inlineStr">
        <is>
          <t>Рынок, год</t>
        </is>
      </c>
      <c r="C10" s="1" t="inlineStr">
        <is>
          <t>SOM нового бизнеса, год</t>
        </is>
      </c>
    </row>
    <row r="11">
      <c r="A11" t="inlineStr">
        <is>
          <t>Осторожный</t>
        </is>
      </c>
      <c r="B11" s="40">
        <f>'06_Воронка_сценарии'!J5</f>
        <v/>
      </c>
      <c r="C11" s="40">
        <f>'06_Воронка_сценарии'!D12</f>
        <v/>
      </c>
    </row>
    <row r="12">
      <c r="A12" t="inlineStr">
        <is>
          <t>Базовый</t>
        </is>
      </c>
      <c r="B12" s="40">
        <f>'06_Воронка_сценарии'!J6</f>
        <v/>
      </c>
      <c r="C12" s="40">
        <f>'06_Воронка_сценарии'!D13</f>
        <v/>
      </c>
    </row>
    <row r="13">
      <c r="A13" t="inlineStr">
        <is>
          <t>Оптимистичный</t>
        </is>
      </c>
      <c r="B13" s="40">
        <f>'06_Воронка_сценарии'!J7</f>
        <v/>
      </c>
      <c r="C13" s="40">
        <f>'06_Воронка_сценарии'!D14</f>
        <v/>
      </c>
    </row>
    <row r="14"/>
    <row r="15"/>
    <row r="16" ht="15" customHeight="1">
      <c r="A16" s="1" t="inlineStr">
        <is>
          <t>Канал</t>
        </is>
      </c>
      <c r="B16" s="1" t="inlineStr">
        <is>
          <t>Доля</t>
        </is>
      </c>
      <c r="C16" s="1" t="inlineStr">
        <is>
          <t>Трафик/мес</t>
        </is>
      </c>
    </row>
    <row r="17">
      <c r="A17" t="inlineStr">
        <is>
          <t>Direct</t>
        </is>
      </c>
      <c r="B17" s="32">
        <f>'03_Каналы'!B4</f>
        <v/>
      </c>
      <c r="C17" s="2">
        <f>'03_Каналы'!C4</f>
        <v/>
      </c>
    </row>
    <row r="18">
      <c r="A18" t="inlineStr">
        <is>
          <t>Organic search</t>
        </is>
      </c>
      <c r="B18" s="32">
        <f>'03_Каналы'!B5</f>
        <v/>
      </c>
      <c r="C18" s="2">
        <f>'03_Каналы'!C5</f>
        <v/>
      </c>
    </row>
    <row r="19">
      <c r="A19" t="inlineStr">
        <is>
          <t>Referral</t>
        </is>
      </c>
      <c r="B19" s="32">
        <f>'03_Каналы'!B6</f>
        <v/>
      </c>
      <c r="C19" s="2">
        <f>'03_Каналы'!C6</f>
        <v/>
      </c>
    </row>
    <row r="20">
      <c r="A20" t="inlineStr">
        <is>
          <t>Social</t>
        </is>
      </c>
      <c r="B20" s="32">
        <f>'03_Каналы'!B7</f>
        <v/>
      </c>
      <c r="C20" s="2">
        <f>'03_Каналы'!C7</f>
        <v/>
      </c>
    </row>
    <row r="21">
      <c r="A21" t="inlineStr">
        <is>
          <t>Paid search</t>
        </is>
      </c>
      <c r="B21" s="32">
        <f>'03_Каналы'!B8</f>
        <v/>
      </c>
      <c r="C21" s="2">
        <f>'03_Каналы'!C8</f>
        <v/>
      </c>
    </row>
    <row r="22">
      <c r="A22" t="inlineStr">
        <is>
          <t>Display</t>
        </is>
      </c>
      <c r="B22" s="32">
        <f>'03_Каналы'!B9</f>
        <v/>
      </c>
      <c r="C22" s="2">
        <f>'03_Каналы'!C9</f>
        <v/>
      </c>
    </row>
  </sheetData>
  <mergeCells count="2">
    <mergeCell ref="A3:L3"/>
    <mergeCell ref="A1:L1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4"/>
  <sheetViews>
    <sheetView tabSelected="1" workbookViewId="0">
      <selection activeCell="D23" sqref="D23"/>
    </sheetView>
  </sheetViews>
  <sheetFormatPr baseColWidth="8" defaultRowHeight="14.25"/>
  <cols>
    <col width="33.75" customWidth="1" style="22" min="1" max="1"/>
    <col width="36" customWidth="1" style="22" min="2" max="2"/>
    <col width="38" customWidth="1" style="22" min="3" max="3"/>
    <col width="78.125" customWidth="1" style="22" min="4" max="4"/>
    <col width="16" customWidth="1" style="22" min="5" max="5"/>
    <col width="42" customWidth="1" style="22" min="6" max="6"/>
    <col width="9" customWidth="1" style="22" min="7" max="16384"/>
  </cols>
  <sheetData>
    <row r="1" ht="30" customHeight="1">
      <c r="A1" s="18" t="inlineStr">
        <is>
          <t>Источники данных и журнал фиксации</t>
        </is>
      </c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/>
    <row r="3" ht="36" customHeight="1">
      <c r="A3" s="1" t="inlineStr">
        <is>
          <t>Источник</t>
        </is>
      </c>
      <c r="B3" s="1" t="inlineStr">
        <is>
          <t>Что брать</t>
        </is>
      </c>
      <c r="C3" s="1" t="inlineStr">
        <is>
          <t>Как фиксировать</t>
        </is>
      </c>
      <c r="D3" s="1" t="inlineStr">
        <is>
          <t>Ссылка</t>
        </is>
      </c>
      <c r="E3" s="1" t="inlineStr">
        <is>
          <t>Дата обращения</t>
        </is>
      </c>
      <c r="F3" s="1" t="inlineStr">
        <is>
          <t>Ограничение</t>
        </is>
      </c>
    </row>
    <row r="4" ht="28.5" customHeight="1">
      <c r="A4" s="22" t="inlineStr">
        <is>
          <t>Similarweb Website Analysis</t>
        </is>
      </c>
      <c r="B4" s="22" t="inlineStr">
        <is>
          <t>Посещаемость, каналы, география, похожие сайты, поисковые запросы</t>
        </is>
      </c>
      <c r="C4" s="22" t="inlineStr">
        <is>
          <t>Ручной ввод или экспорт при наличии доступа</t>
        </is>
      </c>
      <c r="D4" s="22" t="inlineStr">
        <is>
          <t>https://www.similarweb.com/website/</t>
        </is>
      </c>
      <c r="E4" s="29" t="n">
        <v>46144</v>
      </c>
      <c r="F4" s="22" t="inlineStr">
        <is>
          <t>Данные оценочные, полнота зависит от доступа</t>
        </is>
      </c>
    </row>
    <row r="5" ht="28.5" customHeight="1">
      <c r="A5" s="22" t="inlineStr">
        <is>
          <t>Similarweb Data Methodology</t>
        </is>
      </c>
      <c r="B5" s="22" t="inlineStr">
        <is>
          <t>Описание природы и ограничений данных</t>
        </is>
      </c>
      <c r="C5" s="22" t="inlineStr">
        <is>
          <t>Использовать для методологических оговорок</t>
        </is>
      </c>
      <c r="D5" s="22" t="inlineStr">
        <is>
          <t>https://support.similarweb.com/hc/en-us/articles/360001631538-Similarweb-Data-Methodology</t>
        </is>
      </c>
      <c r="E5" s="29" t="n">
        <v>46144</v>
      </c>
      <c r="F5" s="22" t="inlineStr">
        <is>
          <t>Методология может обновляться</t>
        </is>
      </c>
    </row>
    <row r="6" ht="28.5" customHeight="1">
      <c r="A6" s="22" t="inlineStr">
        <is>
          <t>Similarweb Data Exporter</t>
        </is>
      </c>
      <c r="B6" s="22" t="inlineStr">
        <is>
          <t>Выгрузка настраиваемых наборов данных</t>
        </is>
      </c>
      <c r="C6" s="22" t="inlineStr">
        <is>
          <t>Использовать при наличии платного доступа или единиц извлечения</t>
        </is>
      </c>
      <c r="D6" s="22" t="inlineStr">
        <is>
          <t>https://support.similarweb.com/hc/en-us/articles/13252032019101-Data-Exporter</t>
        </is>
      </c>
      <c r="E6" s="29" t="n">
        <v>46144</v>
      </c>
      <c r="F6" s="22" t="inlineStr">
        <is>
          <t>Может быть недоступно в бесплатной версии</t>
        </is>
      </c>
    </row>
    <row r="7" ht="28.5" customHeight="1">
      <c r="A7" s="22" t="inlineStr">
        <is>
          <t>Google Trends</t>
        </is>
      </c>
      <c r="B7" s="22" t="inlineStr">
        <is>
          <t>Динамика относительного поискового интереса</t>
        </is>
      </c>
      <c r="C7" s="22" t="inlineStr">
        <is>
          <t>CSV-выгрузка и фиксация параметров</t>
        </is>
      </c>
      <c r="D7" s="22" t="inlineStr">
        <is>
          <t>https://trends.google.com/</t>
        </is>
      </c>
      <c r="E7" s="29" t="n">
        <v>46144</v>
      </c>
      <c r="F7" s="22" t="inlineStr">
        <is>
          <t>Индекс 0–100, не абсолютный объем спроса</t>
        </is>
      </c>
    </row>
    <row r="8" ht="28.5" customHeight="1">
      <c r="A8" s="22" t="inlineStr">
        <is>
          <t>Яндекс Вордстат</t>
        </is>
      </c>
      <c r="B8" s="22" t="inlineStr">
        <is>
          <t>Частотность и динамика поисковых запросов</t>
        </is>
      </c>
      <c r="C8" s="22" t="inlineStr">
        <is>
          <t>CSV/XLSX или ручная фиксация</t>
        </is>
      </c>
      <c r="D8" s="22" t="inlineStr">
        <is>
          <t>https://wordstat.yandex.ru/</t>
        </is>
      </c>
      <c r="E8" s="29" t="n">
        <v>46144</v>
      </c>
      <c r="F8" s="22" t="inlineStr">
        <is>
          <t>Отражает аудиторию Яндекса</t>
        </is>
      </c>
    </row>
    <row r="9" ht="28.5" customHeight="1">
      <c r="A9" s="22" t="inlineStr">
        <is>
          <t>Белстат / официальная статистика</t>
        </is>
      </c>
      <c r="B9" s="22" t="inlineStr">
        <is>
          <t>Количество организаций, отрасли, население, доходы</t>
        </is>
      </c>
      <c r="C9" s="22" t="inlineStr">
        <is>
          <t>Использовать для проверки сегмента клиентов</t>
        </is>
      </c>
      <c r="D9" s="22" t="inlineStr">
        <is>
          <t>https://www.belstat.gov.by/</t>
        </is>
      </c>
      <c r="E9" s="29" t="n">
        <v>46144</v>
      </c>
      <c r="F9" s="22" t="inlineStr">
        <is>
          <t>Официальные категории могут не совпадать с цифровым рынком</t>
        </is>
      </c>
    </row>
    <row r="10"/>
    <row r="11"/>
    <row r="12" ht="21.95" customHeight="1">
      <c r="A12" s="19" t="inlineStr">
        <is>
          <t>Журнал ручного сбора данных</t>
        </is>
      </c>
    </row>
    <row r="13" ht="15" customHeight="1">
      <c r="A13" s="1" t="inlineStr">
        <is>
          <t>Дата</t>
        </is>
      </c>
      <c r="B13" s="1" t="inlineStr">
        <is>
          <t>Сайт / домен</t>
        </is>
      </c>
      <c r="C13" s="1" t="inlineStr">
        <is>
          <t>Раздел Similarweb</t>
        </is>
      </c>
      <c r="D13" s="1" t="inlineStr">
        <is>
          <t>Показатель</t>
        </is>
      </c>
      <c r="E13" s="1" t="inlineStr">
        <is>
          <t>Значение</t>
        </is>
      </c>
      <c r="F13" s="1" t="inlineStr">
        <is>
          <t>Комментарий / снимок экрана</t>
        </is>
      </c>
    </row>
    <row r="14">
      <c r="A14" s="29" t="n">
        <v>46144</v>
      </c>
      <c r="B14" s="22" t="inlineStr">
        <is>
          <t>example-agency.by</t>
        </is>
      </c>
      <c r="C14" s="22" t="inlineStr">
        <is>
          <t>Traffic &amp; Engagement</t>
        </is>
      </c>
      <c r="D14" s="22" t="inlineStr">
        <is>
          <t>Monthly visits</t>
        </is>
      </c>
      <c r="E14" s="22" t="n">
        <v>18500</v>
      </c>
      <c r="F14" s="22" t="inlineStr">
        <is>
          <t>Демонстрационная строка</t>
        </is>
      </c>
    </row>
  </sheetData>
  <mergeCells count="2">
    <mergeCell ref="A1:F1"/>
    <mergeCell ref="A12:F12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2026-10-04T14:13:09Z</dcterms:created>
  <dcterms:modified xmlns:dcterms="http://purl.org/dc/terms/" xmlns:xsi="http://www.w3.org/2001/XMLSchema-instance" xsi:type="dcterms:W3CDTF">2026-10-04T14:43:32Z</dcterms:modified>
  <cp:lastModifiedBy>Aliaksandr Khajynau</cp:lastModifiedBy>
</cp:coreProperties>
</file>