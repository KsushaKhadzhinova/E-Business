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6\"/>
    </mc:Choice>
  </mc:AlternateContent>
  <xr:revisionPtr revIDLastSave="0" documentId="13_ncr:1_{D6C59A2C-2A32-4E68-B46F-FE8F3EF8AE0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0_Инструкция" sheetId="1" r:id="rId1"/>
    <sheet name="01_Данные_анализа" sheetId="2" r:id="rId2"/>
    <sheet name="02_Канвас" sheetId="3" r:id="rId3"/>
    <sheet name="03_Сегменты" sheetId="4" r:id="rId4"/>
    <sheet name="04_Ценность_товар" sheetId="5" r:id="rId5"/>
    <sheet name="05_Каналы_отношения" sheetId="6" r:id="rId6"/>
    <sheet name="06_Монетизация" sheetId="7" r:id="rId7"/>
    <sheet name="07_Операционная_основа" sheetId="8" r:id="rId8"/>
    <sheet name="08_Затраты" sheetId="9" r:id="rId9"/>
    <sheet name="09_Проверка_связности" sheetId="10" r:id="rId10"/>
    <sheet name="10_Паспорт" sheetId="11" r:id="rId11"/>
    <sheet name="11_Дашборд" sheetId="12" r:id="rId12"/>
    <sheet name="12_Справочники" sheetId="13" r:id="rId13"/>
    <sheet name="Журнал_6_2" sheetId="14" r:id="rId14"/>
  </sheets>
  <calcPr calcId="191029"/>
</workbook>
</file>

<file path=xl/calcChain.xml><?xml version="1.0" encoding="utf-8"?>
<calcChain xmlns="http://schemas.openxmlformats.org/spreadsheetml/2006/main">
  <c r="B8" i="12" l="1"/>
  <c r="K7" i="9"/>
  <c r="K6" i="9"/>
  <c r="K5" i="9"/>
  <c r="K4" i="9"/>
  <c r="K3" i="9"/>
  <c r="K10" i="8"/>
  <c r="K9" i="8"/>
  <c r="K8" i="8"/>
  <c r="K7" i="8"/>
  <c r="K6" i="8"/>
  <c r="K5" i="8"/>
  <c r="K4" i="8"/>
  <c r="K3" i="8"/>
  <c r="M6" i="7"/>
  <c r="N6" i="7" s="1"/>
  <c r="M5" i="7"/>
  <c r="N5" i="7" s="1"/>
  <c r="M4" i="7"/>
  <c r="N4" i="7" s="1"/>
  <c r="M3" i="7"/>
  <c r="N3" i="7" s="1"/>
  <c r="J7" i="6"/>
  <c r="K7" i="6" s="1"/>
  <c r="J6" i="6"/>
  <c r="K6" i="6" s="1"/>
  <c r="J5" i="6"/>
  <c r="K5" i="6" s="1"/>
  <c r="J4" i="6"/>
  <c r="K4" i="6" s="1"/>
  <c r="J3" i="6"/>
  <c r="K3" i="6" s="1"/>
  <c r="P6" i="5"/>
  <c r="Q6" i="5" s="1"/>
  <c r="P5" i="5"/>
  <c r="Q5" i="5" s="1"/>
  <c r="P4" i="5"/>
  <c r="Q4" i="5" s="1"/>
  <c r="P3" i="5"/>
  <c r="Q3" i="5" s="1"/>
  <c r="J6" i="4"/>
  <c r="K6" i="4" s="1"/>
  <c r="J5" i="4"/>
  <c r="K5" i="4" s="1"/>
  <c r="J4" i="4"/>
  <c r="K4" i="4" s="1"/>
  <c r="J3" i="4"/>
  <c r="K3" i="4" s="1"/>
  <c r="J11" i="3"/>
  <c r="E20" i="12" s="1"/>
  <c r="J10" i="3"/>
  <c r="E19" i="12" s="1"/>
  <c r="J9" i="3"/>
  <c r="E18" i="12" s="1"/>
  <c r="J8" i="3"/>
  <c r="E17" i="12" s="1"/>
  <c r="J7" i="3"/>
  <c r="E16" i="12" s="1"/>
  <c r="J6" i="3"/>
  <c r="E15" i="12" s="1"/>
  <c r="J5" i="3"/>
  <c r="E14" i="12" s="1"/>
  <c r="J4" i="3"/>
  <c r="E13" i="12" s="1"/>
  <c r="J3" i="3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D20" i="12"/>
  <c r="C20" i="12"/>
  <c r="B20" i="12"/>
  <c r="A20" i="12"/>
  <c r="D19" i="12"/>
  <c r="C19" i="12"/>
  <c r="B19" i="12"/>
  <c r="A19" i="12"/>
  <c r="D18" i="12"/>
  <c r="C18" i="12"/>
  <c r="B18" i="12"/>
  <c r="A18" i="12"/>
  <c r="D17" i="12"/>
  <c r="C17" i="12"/>
  <c r="B17" i="12"/>
  <c r="A17" i="12"/>
  <c r="D16" i="12"/>
  <c r="C16" i="12"/>
  <c r="B16" i="12"/>
  <c r="A16" i="12"/>
  <c r="D15" i="12"/>
  <c r="C15" i="12"/>
  <c r="B15" i="12"/>
  <c r="A15" i="12"/>
  <c r="D14" i="12"/>
  <c r="C14" i="12"/>
  <c r="B14" i="12"/>
  <c r="A14" i="12"/>
  <c r="D13" i="12"/>
  <c r="C13" i="12"/>
  <c r="B13" i="12"/>
  <c r="A13" i="12"/>
  <c r="D12" i="12"/>
  <c r="C12" i="12"/>
  <c r="B12" i="12"/>
  <c r="A12" i="12"/>
  <c r="B6" i="12"/>
  <c r="B5" i="12"/>
  <c r="B4" i="12"/>
  <c r="E16" i="11"/>
  <c r="E15" i="11"/>
  <c r="B14" i="11"/>
  <c r="E14" i="11" s="1"/>
  <c r="B13" i="11"/>
  <c r="E13" i="11" s="1"/>
  <c r="B12" i="11"/>
  <c r="E12" i="11" s="1"/>
  <c r="B11" i="11"/>
  <c r="E11" i="11" s="1"/>
  <c r="B10" i="11"/>
  <c r="E10" i="11" s="1"/>
  <c r="B9" i="11"/>
  <c r="E9" i="11" s="1"/>
  <c r="B8" i="11"/>
  <c r="E8" i="11" s="1"/>
  <c r="E7" i="11"/>
  <c r="E6" i="11"/>
  <c r="B5" i="11"/>
  <c r="E5" i="11" s="1"/>
  <c r="E4" i="11"/>
  <c r="B3" i="11"/>
  <c r="E3" i="11" s="1"/>
  <c r="F14" i="10"/>
  <c r="F13" i="10"/>
  <c r="F12" i="10"/>
  <c r="F11" i="10"/>
  <c r="F10" i="10"/>
  <c r="F9" i="10"/>
  <c r="F8" i="10"/>
  <c r="F7" i="10"/>
  <c r="F6" i="10"/>
  <c r="F5" i="10"/>
  <c r="F4" i="10"/>
  <c r="F3" i="10"/>
  <c r="B9" i="12" s="1"/>
  <c r="B7" i="12" l="1"/>
  <c r="E12" i="12"/>
  <c r="C26" i="12"/>
  <c r="C24" i="12" l="1"/>
  <c r="C25" i="12"/>
  <c r="C27" i="12" l="1"/>
</calcChain>
</file>

<file path=xl/sharedStrings.xml><?xml version="1.0" encoding="utf-8"?>
<sst xmlns="http://schemas.openxmlformats.org/spreadsheetml/2006/main" count="899" uniqueCount="651">
  <si>
    <t>Методика сборки бизнес-модели по Канвас: рабочий Excel-шаблон</t>
  </si>
  <si>
    <t>Назначение файла</t>
  </si>
  <si>
    <t>Этап</t>
  </si>
  <si>
    <t>Что заполнить</t>
  </si>
  <si>
    <t>Где заполнять</t>
  </si>
  <si>
    <t>Что получится</t>
  </si>
  <si>
    <t>Контроль качества</t>
  </si>
  <si>
    <t>Внести выводы из всех предыдущих видов анализа</t>
  </si>
  <si>
    <t>01_Данные_анализа</t>
  </si>
  <si>
    <t>Единый банк фактов и доказательств</t>
  </si>
  <si>
    <t>Каждый вывод должен иметь источник, блок Канвас и оценку достоверности</t>
  </si>
  <si>
    <t>Заполнить 9 блоков Канвас</t>
  </si>
  <si>
    <t>02_Канвас</t>
  </si>
  <si>
    <t>Черновик бизнес-модели</t>
  </si>
  <si>
    <t>По каждому блоку должны быть формулировка, доказательства, оценка полноты и риска</t>
  </si>
  <si>
    <t>Детализировать сегменты, проблемы и ценность</t>
  </si>
  <si>
    <t>03_Сегменты; 04_Ценность_товар</t>
  </si>
  <si>
    <t>Не должно быть ценности без подтвержденной проблемы</t>
  </si>
  <si>
    <t>Описать каналы, отношения и монетизацию</t>
  </si>
  <si>
    <t>05_Каналы_отношения; 06_Монетизация</t>
  </si>
  <si>
    <t>Механизм привлечения, продажи, удержания и получения дохода</t>
  </si>
  <si>
    <t>Единица монетизации должна быть связана с воспринимаемой ценностью</t>
  </si>
  <si>
    <t>Собрать операционную и затратную часть</t>
  </si>
  <si>
    <t>07_Операционная_основа; 08_Затраты</t>
  </si>
  <si>
    <t>Основания выполнения обещания ценности</t>
  </si>
  <si>
    <t>Ключевые ресурсы и действия должны поддерживать ценностное предложение</t>
  </si>
  <si>
    <t>Проверить связность бизнес-модели</t>
  </si>
  <si>
    <t>09_Проверка_связности</t>
  </si>
  <si>
    <t>Карта слабых мест бизнес-модели</t>
  </si>
  <si>
    <t>Разрывы переводятся в задачи проверки или доработки</t>
  </si>
  <si>
    <t>Сформировать итоговый паспорт</t>
  </si>
  <si>
    <t>10_Паспорт; 11_Дашборд</t>
  </si>
  <si>
    <t>Итоговое описание бизнес-модели и сводные показатели</t>
  </si>
  <si>
    <t>Паспорт используется для презентации и управленческого обсуждения</t>
  </si>
  <si>
    <t>Единый банк выводов из всех видов анализа</t>
  </si>
  <si>
    <t>ID</t>
  </si>
  <si>
    <t>Источник анализа</t>
  </si>
  <si>
    <t>Объект анализа</t>
  </si>
  <si>
    <t>Компания / товар</t>
  </si>
  <si>
    <t>Ссылка или место фиксации</t>
  </si>
  <si>
    <t>Факт / наблюдение</t>
  </si>
  <si>
    <t>Вывод для бизнес-модели</t>
  </si>
  <si>
    <t>Блок Канвас</t>
  </si>
  <si>
    <t>Достоверность 1-5</t>
  </si>
  <si>
    <t>Актуальность 1-5</t>
  </si>
  <si>
    <t>Приоритет 1-5</t>
  </si>
  <si>
    <t>Индекс доказательности</t>
  </si>
  <si>
    <t>Статус использования</t>
  </si>
  <si>
    <t>Комментарий</t>
  </si>
  <si>
    <t>Шаблон Канвас: вопросы, источники ответов и рабочие формулировки</t>
  </si>
  <si>
    <t>Ключевые вопросы</t>
  </si>
  <si>
    <t>Источники ответов из анализа</t>
  </si>
  <si>
    <t>Рабочая формулировка</t>
  </si>
  <si>
    <t>Доказательства</t>
  </si>
  <si>
    <t>Полнота 1-5</t>
  </si>
  <si>
    <t>Риск ошибки 1-5</t>
  </si>
  <si>
    <t>Что проверить</t>
  </si>
  <si>
    <t>Итоговый статус</t>
  </si>
  <si>
    <t>Клиентские сегменты</t>
  </si>
  <si>
    <t>Кто является целевым пользователем и покупателем? Какие сегменты имеют подтвержденную проблему и платежеспособность?</t>
  </si>
  <si>
    <t>Анализ отзывов; классификация уровней конкуренции; анализ сайтов конкурентов; сегментные сигналы из 03_Сегменты</t>
  </si>
  <si>
    <t>Ценностное предложение</t>
  </si>
  <si>
    <t>Какую проблему решает продукт? В чем измеримая польза? Почему это лучше или точнее существующих решений?</t>
  </si>
  <si>
    <t>Анализ проблем и отзывов; конкурентные преимущества; модель Левитта; Кано; 04_Ценность_товар</t>
  </si>
  <si>
    <t>Каналы</t>
  </si>
  <si>
    <t>Где клиент узнает о продукте, оценивает его, покупает, подключается и получает поддержку?</t>
  </si>
  <si>
    <t>Сайты конкурентов; воронки; страницы тарифов; страницы продукта; рекламные посадочные страницы; 05_Каналы_отношения</t>
  </si>
  <si>
    <t>Отношения с клиентами</t>
  </si>
  <si>
    <t>Как компания привлекает, обучает, сопровождает, удерживает и возвращает клиента?</t>
  </si>
  <si>
    <t>Сайт конкурента; справочные центры; демо; база знаний; поддержка; отзывы; 05_Каналы_отношения</t>
  </si>
  <si>
    <t>Потоки доходов</t>
  </si>
  <si>
    <t>За что именно платит клиент? Какова единица монетизации? Как цена связана с ценностью?</t>
  </si>
  <si>
    <t>Страницы тарифов; условия подписки; анализ монетизации; 06_Монетизация</t>
  </si>
  <si>
    <t>Ключевые ресурсы</t>
  </si>
  <si>
    <t>Какие активы необходимы для создания, доставки и защиты ценности?</t>
  </si>
  <si>
    <t>Анализ цифрового товара; технологические требования; вакансии; документация; 07_Операционная_основа</t>
  </si>
  <si>
    <t>Ключевые виды деятельности</t>
  </si>
  <si>
    <t>Какие процессы должны выполняться регулярно, чтобы ценностное предложение было реализовано?</t>
  </si>
  <si>
    <t>Функциональность продукта; пользовательский сценарий; операционные процессы; 07_Операционная_основа</t>
  </si>
  <si>
    <t>Ключевые партнеры</t>
  </si>
  <si>
    <t>Какие внешние участники нужны для технологии, продаж, данных, платежей, интеграций или доверия?</t>
  </si>
  <si>
    <t>Интеграции на сайтах; партнерские страницы; платежные цепочки; технологические поставщики; 07_Операционная_основа</t>
  </si>
  <si>
    <t>Структура затрат</t>
  </si>
  <si>
    <t>Какие затраты прямо связаны с созданием цифрового товара, привлечением клиента и поддержанием сервиса?</t>
  </si>
  <si>
    <t>Операционная основа; монетизация; инфраструктура; маркетинг; разработка; 08_Затраты</t>
  </si>
  <si>
    <t>Клиентские сегменты и подтвержденные проблемы</t>
  </si>
  <si>
    <t>ID сегмента</t>
  </si>
  <si>
    <t>Сегмент</t>
  </si>
  <si>
    <t>Задача клиента</t>
  </si>
  <si>
    <t>Ключевая проблема</t>
  </si>
  <si>
    <t>Сила боли 1-5</t>
  </si>
  <si>
    <t>Рыночный сигнал 1-5</t>
  </si>
  <si>
    <t>Платежеспособность 1-5</t>
  </si>
  <si>
    <t>Доступность канала 1-5</t>
  </si>
  <si>
    <t>Индекс приоритета</t>
  </si>
  <si>
    <t>Статус</t>
  </si>
  <si>
    <t>Ценностное предложение и цифровой товар как носитель ценности</t>
  </si>
  <si>
    <t>ID проблемы / сегмента</t>
  </si>
  <si>
    <t>Формулировка проблемы</t>
  </si>
  <si>
    <t>Текущая альтернатива клиента</t>
  </si>
  <si>
    <t>Желаемый результат</t>
  </si>
  <si>
    <t>Формулировка ценностного предложения</t>
  </si>
  <si>
    <t>Цифровой товар</t>
  </si>
  <si>
    <t>Тип цифрового товара</t>
  </si>
  <si>
    <t>Ядро товара</t>
  </si>
  <si>
    <t>Реальный товар</t>
  </si>
  <si>
    <t>Расширенный товар</t>
  </si>
  <si>
    <t>Класс требования по Кано</t>
  </si>
  <si>
    <t>Дифференциация 1-5</t>
  </si>
  <si>
    <t>Доказательность 1-5</t>
  </si>
  <si>
    <t>Связь с монетизацией 1-5</t>
  </si>
  <si>
    <t>Индекс готовности</t>
  </si>
  <si>
    <t>Каналы, сценарий продаж и отношения с клиентами</t>
  </si>
  <si>
    <t>Этап канала</t>
  </si>
  <si>
    <t>Канал / точка контакта</t>
  </si>
  <si>
    <t>Роль в воронке</t>
  </si>
  <si>
    <t>Конкурентный стандарт</t>
  </si>
  <si>
    <t>Пригодность 1-5</t>
  </si>
  <si>
    <t>Затратность/риск 1-5</t>
  </si>
  <si>
    <t>Решение</t>
  </si>
  <si>
    <t>Единица монетизации и потоки доходов</t>
  </si>
  <si>
    <t>Единица монетизации</t>
  </si>
  <si>
    <t>Событие оплаты</t>
  </si>
  <si>
    <t>Метрика учета</t>
  </si>
  <si>
    <t>Логика цены</t>
  </si>
  <si>
    <t>Тип потока доходов</t>
  </si>
  <si>
    <t>Сигналы конкурентов</t>
  </si>
  <si>
    <t>Связь с ценностью</t>
  </si>
  <si>
    <t>Готовность платить 1-5</t>
  </si>
  <si>
    <t>Измеримость 1-5</t>
  </si>
  <si>
    <t>Повторяемость дохода 1-5</t>
  </si>
  <si>
    <t>Индекс монетизации</t>
  </si>
  <si>
    <t>Ключевые ресурсы, виды деятельности и партнеры</t>
  </si>
  <si>
    <t>Блок</t>
  </si>
  <si>
    <t>Элемент</t>
  </si>
  <si>
    <t>Описание</t>
  </si>
  <si>
    <t>Как поддерживает ценность / товар</t>
  </si>
  <si>
    <t>Источник</t>
  </si>
  <si>
    <t>Критичность 1-5</t>
  </si>
  <si>
    <t>Доступность 1-5</t>
  </si>
  <si>
    <t>Затратное влияние 1-5</t>
  </si>
  <si>
    <t>Подход к обеспечению</t>
  </si>
  <si>
    <t>Операционный приоритет</t>
  </si>
  <si>
    <t>Структура затрат и драйверы затрат</t>
  </si>
  <si>
    <t>Статья затрат</t>
  </si>
  <si>
    <t>Связанный ресурс / деятельность</t>
  </si>
  <si>
    <t>Тип затрат</t>
  </si>
  <si>
    <t>Драйвер затрат</t>
  </si>
  <si>
    <t>Этап развития</t>
  </si>
  <si>
    <t>Доказательство / основание</t>
  </si>
  <si>
    <t>Влияние на экономику 1-5</t>
  </si>
  <si>
    <t>Уверенность 1-5</t>
  </si>
  <si>
    <t>Управляемость 1-5</t>
  </si>
  <si>
    <t>Приоритет контроля</t>
  </si>
  <si>
    <t>Проверка связности бизнес-модели</t>
  </si>
  <si>
    <t>№</t>
  </si>
  <si>
    <t>Контрольный вопрос</t>
  </si>
  <si>
    <t>Где искать ответ</t>
  </si>
  <si>
    <t>Доказательство / ссылка на вывод</t>
  </si>
  <si>
    <t>Оценка 1-5</t>
  </si>
  <si>
    <t>Результат</t>
  </si>
  <si>
    <t>Что доработать</t>
  </si>
  <si>
    <t>Есть ли у выбранного сегмента подтвержденная проблема?</t>
  </si>
  <si>
    <t>03_Сегменты; 01_Данные_анализа</t>
  </si>
  <si>
    <t>Связано ли ценностное предложение с наиболее приоритетной проблемой?</t>
  </si>
  <si>
    <t>04_Ценность_товар; 02_Канвас</t>
  </si>
  <si>
    <t>Описан ли цифровой товар как конкретная единица ценности, а не как общая идея?</t>
  </si>
  <si>
    <t>04_Ценность_товар</t>
  </si>
  <si>
    <t>Понятно ли, за какую единицу клиент платит?</t>
  </si>
  <si>
    <t>06_Монетизация</t>
  </si>
  <si>
    <t>Каналы соответствуют сегменту и этапам принятия решения?</t>
  </si>
  <si>
    <t>05_Каналы_отношения</t>
  </si>
  <si>
    <t>Механика отношений с клиентом поддерживает удержание и повторное использование?</t>
  </si>
  <si>
    <t>05_Каналы_отношения; 02_Канвас</t>
  </si>
  <si>
    <t>Ключевые ресурсы достаточны для выполнения обещания ценности?</t>
  </si>
  <si>
    <t>07_Операционная_основа</t>
  </si>
  <si>
    <t>Ключевые виды деятельности прямо связаны с созданием и доставкой цифрового товара?</t>
  </si>
  <si>
    <t>Партнеры закрывают реальные технологические, рыночные или операционные ограничения?</t>
  </si>
  <si>
    <t>Структура затрат соответствует выбранной модели монетизации?</t>
  </si>
  <si>
    <t>08_Затраты; 06_Монетизация</t>
  </si>
  <si>
    <t>Есть ли отличие от прямых конкурентов, которое можно проверить через факты?</t>
  </si>
  <si>
    <t>01_Данные_анализа; 04_Ценность_товар</t>
  </si>
  <si>
    <t>Не противоречат ли блоки Канвас друг другу?</t>
  </si>
  <si>
    <t>02_Канвас; 10_Паспорт</t>
  </si>
  <si>
    <t>Итоговый паспорт бизнес-модели</t>
  </si>
  <si>
    <t>Раздел паспорта</t>
  </si>
  <si>
    <t>Итоговая формулировка</t>
  </si>
  <si>
    <t>Основной источник</t>
  </si>
  <si>
    <t>Целевой клиентский сегмент</t>
  </si>
  <si>
    <t>02_Канвас / 03_Сегменты</t>
  </si>
  <si>
    <t>Кому именно создается ценность?</t>
  </si>
  <si>
    <t>Проблема клиента</t>
  </si>
  <si>
    <t>03_Сегменты / 04_Ценность_товар</t>
  </si>
  <si>
    <t>Какая проблема подтверждена отзывами, сайтами и конкурентным анализом?</t>
  </si>
  <si>
    <t>02_Канвас / 04_Ценность_товар</t>
  </si>
  <si>
    <t>Какой результат получает клиент и почему это важно?</t>
  </si>
  <si>
    <t>Что именно продается или предоставляется клиенту?</t>
  </si>
  <si>
    <t>За какую единицу ценности платит клиент?</t>
  </si>
  <si>
    <t>02_Канвас / 05_Каналы_отношения</t>
  </si>
  <si>
    <t>Как клиент узнает, оценивает, покупает и использует продукт?</t>
  </si>
  <si>
    <t>Как обеспечивается сопровождение, удержание и повторное использование?</t>
  </si>
  <si>
    <t>02_Канвас / 06_Монетизация</t>
  </si>
  <si>
    <t>Какие денежные потоки образует продукт?</t>
  </si>
  <si>
    <t>02_Канвас / 07_Операционная_основа</t>
  </si>
  <si>
    <t>Какие ресурсы критичны для выполнения обещания ценности?</t>
  </si>
  <si>
    <t>Какие процессы создают и доставляют ценность?</t>
  </si>
  <si>
    <t>Какие внешние участники нужны для модели?</t>
  </si>
  <si>
    <t>02_Канвас / 08_Затраты</t>
  </si>
  <si>
    <t>Какие затраты определяют экономику модели?</t>
  </si>
  <si>
    <t>Главное конкурентное отличие</t>
  </si>
  <si>
    <t>01_Данные_анализа / 04_Ценность_товар</t>
  </si>
  <si>
    <t>Чем модель отличается от прямых и близких конкурентов?</t>
  </si>
  <si>
    <t>Ключевая гипотеза для проверки</t>
  </si>
  <si>
    <t>Какая гипотеза создает наибольший риск ошибки?</t>
  </si>
  <si>
    <t>Сводный дашборд готовности бизнес-модели</t>
  </si>
  <si>
    <t>Показатель</t>
  </si>
  <si>
    <t>Значение</t>
  </si>
  <si>
    <t>Полнота заполнения Канвас</t>
  </si>
  <si>
    <t>Средняя доказательность Канвас</t>
  </si>
  <si>
    <t>Контроль риска Канвас</t>
  </si>
  <si>
    <t>Доля готовых блоков Канвас</t>
  </si>
  <si>
    <t>Количество зафиксированных выводов анализа</t>
  </si>
  <si>
    <t>Доля подтвержденных проверок связности</t>
  </si>
  <si>
    <t>Достоверность</t>
  </si>
  <si>
    <t>Полнота</t>
  </si>
  <si>
    <t>Риск</t>
  </si>
  <si>
    <t>Итоговая интерпретация</t>
  </si>
  <si>
    <t>Правило</t>
  </si>
  <si>
    <t>Высокая готовность</t>
  </si>
  <si>
    <t>Все KPI не ниже 80%</t>
  </si>
  <si>
    <t>Средняя готовность</t>
  </si>
  <si>
    <t>Большинство KPI не ниже 60%</t>
  </si>
  <si>
    <t>Низкая готовность</t>
  </si>
  <si>
    <t>Есть критичные пробелы в Канвас или связности</t>
  </si>
  <si>
    <t>Рекомендуемое действие</t>
  </si>
  <si>
    <t>Сначала закрыть блоки со статусом «Требует доработки»</t>
  </si>
  <si>
    <t>Справочники для выпадающих списков и шкал оценки</t>
  </si>
  <si>
    <t>Тип источника анализа</t>
  </si>
  <si>
    <t>Уровень конкуренции</t>
  </si>
  <si>
    <t>Анализ сайтов конкурентов</t>
  </si>
  <si>
    <t>Не заполнено</t>
  </si>
  <si>
    <t>Программный сервис</t>
  </si>
  <si>
    <t>Обязательное</t>
  </si>
  <si>
    <t>Подписка</t>
  </si>
  <si>
    <t>Постоянные</t>
  </si>
  <si>
    <t>Осведомленность</t>
  </si>
  <si>
    <t>Создать внутри</t>
  </si>
  <si>
    <t>Прямой конкурент</t>
  </si>
  <si>
    <t>Анализ бизнес-моделей конкурентов</t>
  </si>
  <si>
    <t>Проверить</t>
  </si>
  <si>
    <t>Мобильное приложение</t>
  </si>
  <si>
    <t>Линейное</t>
  </si>
  <si>
    <t>Разовая продажа доступа</t>
  </si>
  <si>
    <t>Переменные</t>
  </si>
  <si>
    <t>Оценка</t>
  </si>
  <si>
    <t>Купить готовое решение</t>
  </si>
  <si>
    <t>Близкий конкурент</t>
  </si>
  <si>
    <t>Анализ цифрового товара по Левитту</t>
  </si>
  <si>
    <t>Готово</t>
  </si>
  <si>
    <t>Веб-платформа</t>
  </si>
  <si>
    <t>Восхищающее</t>
  </si>
  <si>
    <t>Комиссия за транзакцию</t>
  </si>
  <si>
    <t>Полупеременные</t>
  </si>
  <si>
    <t>Покупка</t>
  </si>
  <si>
    <t>Арендовать сервис</t>
  </si>
  <si>
    <t>Косвенный конкурент</t>
  </si>
  <si>
    <t>Классификация требований по Кано</t>
  </si>
  <si>
    <t>Требует доработки</t>
  </si>
  <si>
    <t>Цифровой контент</t>
  </si>
  <si>
    <t>Безразличное</t>
  </si>
  <si>
    <t>Плата за пользователя</t>
  </si>
  <si>
    <t>Инфраструктурные</t>
  </si>
  <si>
    <t>Подключение</t>
  </si>
  <si>
    <t>Получить через партнера</t>
  </si>
  <si>
    <t>Заменитель</t>
  </si>
  <si>
    <t>Анализ отзывов</t>
  </si>
  <si>
    <t>Исключить</t>
  </si>
  <si>
    <t>Доступ к данным</t>
  </si>
  <si>
    <t>Обратное</t>
  </si>
  <si>
    <t>Плата за объем использования</t>
  </si>
  <si>
    <t>Маркетинговые</t>
  </si>
  <si>
    <t>Использование</t>
  </si>
  <si>
    <t>Передать на подряд</t>
  </si>
  <si>
    <t>Смежный игрок</t>
  </si>
  <si>
    <t>Классификация уровней конкуренции</t>
  </si>
  <si>
    <t>Гипотеза</t>
  </si>
  <si>
    <t>Автоматизированная услуга</t>
  </si>
  <si>
    <t>Сомнительное</t>
  </si>
  <si>
    <t>Фримиум</t>
  </si>
  <si>
    <t>Разработческие</t>
  </si>
  <si>
    <t>Удержание</t>
  </si>
  <si>
    <t>Источник лучшей практики</t>
  </si>
  <si>
    <t>Анализ ценностного предложения</t>
  </si>
  <si>
    <t>Подписка на функциональность</t>
  </si>
  <si>
    <t>Лицензия</t>
  </si>
  <si>
    <t>Операционные</t>
  </si>
  <si>
    <t>Поддержка</t>
  </si>
  <si>
    <t>Анализ монетизации</t>
  </si>
  <si>
    <t>Расширение или модуль</t>
  </si>
  <si>
    <t>Платное сопровождение</t>
  </si>
  <si>
    <t>Партнерские</t>
  </si>
  <si>
    <t>Повторная покупка</t>
  </si>
  <si>
    <t>Экспертная оценка</t>
  </si>
  <si>
    <t>Реклама</t>
  </si>
  <si>
    <t>Финансовая гипотеза</t>
  </si>
  <si>
    <t>Партнерская комиссия</t>
  </si>
  <si>
    <t>Тарифы</t>
  </si>
  <si>
    <t>Mermaid Chart</t>
  </si>
  <si>
    <t>https://mermaid.ai/pricing/</t>
  </si>
  <si>
    <t>Тариф за пользователя; Free ограничен лимитами</t>
  </si>
  <si>
    <t>Данные ЛР1-ЛР5, снимок 30.09-01.10.2026</t>
  </si>
  <si>
    <t>Lucidchart</t>
  </si>
  <si>
    <t>https://lucid.app/pricing/lucidchart</t>
  </si>
  <si>
    <t>Eraser</t>
  </si>
  <si>
    <t>https://www.eraser.io/pricing</t>
  </si>
  <si>
    <t>Лимиты ИИ используются как тарифный ограничитель</t>
  </si>
  <si>
    <t>Whimsical</t>
  </si>
  <si>
    <t>https://whimsical.com/pricing</t>
  </si>
  <si>
    <t>Free ограничен объёмом и водяным знаком</t>
  </si>
  <si>
    <t>Storm</t>
  </si>
  <si>
    <t>https://stormbpmn.com/pricing</t>
  </si>
  <si>
    <t>Бесплатный Персональный тариф, Команда 1 200 руб., Бизнес 4 720 руб., on-prem от 990 тыс. руб. в год</t>
  </si>
  <si>
    <t>На русском языке с рублёвыми тарифами найден только Storm</t>
  </si>
  <si>
    <t>Главная страница</t>
  </si>
  <si>
    <t>draw.io</t>
  </si>
  <si>
    <t>https://www.drawio.com/</t>
  </si>
  <si>
    <t>Бесплатное приложение с открытым кодом, без enterprise-тарифа, 100M+ пользователей</t>
  </si>
  <si>
    <t>Бесплатный доступ - стандарт рынка</t>
  </si>
  <si>
    <t>ЛР5, лист 03_Левитт</t>
  </si>
  <si>
    <t>8 конкурентов</t>
  </si>
  <si>
    <t>ЛР5_Анализ_конкурентов/Excel/analiz_konkurentov_Levitt_Kano_NotaCode.xlsx</t>
  </si>
  <si>
    <t>Бесплатный доступ и экспорт - у 8 из 8; UML - у 4 из 8; ERD - у 6 из 8; документация - у 6 из 8</t>
  </si>
  <si>
    <t>Минимальная конфигурация товара: Free, экспорт, UML, ERD, документация</t>
  </si>
  <si>
    <t>ЛР5, лист 04_Кано</t>
  </si>
  <si>
    <t>IDEF0, DFD и сети Петри на сайтах 8 конкурентов не найдены; UML, BPMN и ERD вместе - только у Lucidchart</t>
  </si>
  <si>
    <t>Зона отличия: полный набор нотаций проекта</t>
  </si>
  <si>
    <t>ЛР5, лист 10_Стандарт</t>
  </si>
  <si>
    <t>ЛР5_Анализ_конкурентов/Excel/analiz_biznes_modeli_konkurentov_NotaCode.xlsx</t>
  </si>
  <si>
    <t>Условно-бесплатная модель у 5 из 8, бесплатный открытый код у 3 из 8</t>
  </si>
  <si>
    <t>Модель freemium соответствует рынку</t>
  </si>
  <si>
    <t>Независимые отзывы у 7 из 8, раздел безопасности и документация у 6 из 8</t>
  </si>
  <si>
    <t>Доверие строится отзывами, документацией и разделом безопасности</t>
  </si>
  <si>
    <t>Интеграции у 8 из 8, API у 5 из 8, открытый код у 3 из 8</t>
  </si>
  <si>
    <t>Партнёрские интеграции и API - часть товара</t>
  </si>
  <si>
    <t>Каналы Similarweb Pro</t>
  </si>
  <si>
    <t>PlantUML</t>
  </si>
  <si>
    <t>https://pro.similarweb.com</t>
  </si>
  <si>
    <t>Органический поиск 47,25 %, прямые заходы 38,11 % (июнь - август 2026)</t>
  </si>
  <si>
    <t>Основной канал привлечения текстовых инструментов - поиск</t>
  </si>
  <si>
    <t>Mermaid</t>
  </si>
  <si>
    <t>Органический поиск 58,56 %, прямые заходы 22,18 %</t>
  </si>
  <si>
    <t>Поиск и документация приводят основной трафик</t>
  </si>
  <si>
    <t>Trustpilot</t>
  </si>
  <si>
    <t>https://www.trustpilot.com</t>
  </si>
  <si>
    <t>Оценка 1,5 при 116 отзывах; G2 4,5 при 8 988 отзывах (ЛР4)</t>
  </si>
  <si>
    <t>Платные универсальные редакторы вызывают неудовлетворённость части клиентов</t>
  </si>
  <si>
    <t>Опрос студентов (ЛР4)</t>
  </si>
  <si>
    <t>27 студентов</t>
  </si>
  <si>
    <t>ЛР4_Пять_сил_Портера/Python/data/survey_students.csv</t>
  </si>
  <si>
    <t>Коллаборация важна 26 из 27, экспорт PNG 27 из 27, SVG 18 из 27</t>
  </si>
  <si>
    <t>Совместная работа и экспорт - ожидаемый минимум</t>
  </si>
  <si>
    <t>18 из 27 готовы платить; средняя максимальная цена 728 руб. (период не указан)</t>
  </si>
  <si>
    <t>ЛР5, лист части A</t>
  </si>
  <si>
    <t>22 компании</t>
  </si>
  <si>
    <t>ЛР5_Анализ_конкурентов/Excel/klassifikaciya_urovni_konkurencii_NotaCode.xlsx</t>
  </si>
  <si>
    <t>Один прямой конкурент (PlantUML), четыре близких, девять косвенных</t>
  </si>
  <si>
    <t>Основной контур - текстовые инструменты; универсальные редакторы - косвенные</t>
  </si>
  <si>
    <t>Методика 6.1</t>
  </si>
  <si>
    <t>NotaCode</t>
  </si>
  <si>
    <t>Excel/6_1_cennostnoe_predlozhenie_NotaCode.xlsx</t>
  </si>
  <si>
    <t>Опорная проблема P-002 с индексом 74 из 100; ИКЦП 3,83</t>
  </si>
  <si>
    <t>ЦП требует уточнения на реальных клиентах</t>
  </si>
  <si>
    <t>ЛР2-3, ЛР4</t>
  </si>
  <si>
    <t>ЛР4_Пять_сил_Портера/ОТЧЕТ.md</t>
  </si>
  <si>
    <t>ЛР1</t>
  </si>
  <si>
    <t>Студенты</t>
  </si>
  <si>
    <t>ЛР1_Спрос_и_границы_рынка/ОТЧЕТ.md</t>
  </si>
  <si>
    <t>229,0 тыс. студентов учреждений высшего образования Беларуси (2025/26); индекс интереса Вордстата в Минске 194,99</t>
  </si>
  <si>
    <t>Сегмент студентов достаточен для Free и канала через вузы</t>
  </si>
  <si>
    <t>Ресурсы</t>
  </si>
  <si>
    <t>нет ссылки (экспертная оценка)</t>
  </si>
  <si>
    <t>Движок нотаций, ИИ-ассистент, PWA - собственные ресурсы проекта</t>
  </si>
  <si>
    <t>Ключевой ресурс - собственный движок нотаций</t>
  </si>
  <si>
    <t>Партнёры</t>
  </si>
  <si>
    <t>Вузы как канал, платёжный провайдер, ИИ-провайдер, облако</t>
  </si>
  <si>
    <t>Договоры не заключены</t>
  </si>
  <si>
    <t>Затраты</t>
  </si>
  <si>
    <t>У Eraser и Mermaid Chart лимиты ИИ по тарифам</t>
  </si>
  <si>
    <t>ИИ-вызовы - переменная статья затрат</t>
  </si>
  <si>
    <t>Деятельность</t>
  </si>
  <si>
    <t>Разработка и поддержка движка нотаций, документация, продвижение</t>
  </si>
  <si>
    <t>Деятельность определена по ресурсам и каналам</t>
  </si>
  <si>
    <t>229,0 тыс. студентов (ЛР1); 8 из 8 конкурентов дают бесплатный доступ; опрос 27 студентов</t>
  </si>
  <si>
    <t>Интервью с аналитиками ПО; доля готовых платить</t>
  </si>
  <si>
    <t>ЛР5: IDEF0, DFD, сети Петри не найдены у 8 конкурентов; полный набор UML, BPMN, ERD только у Lucidchart; индекс проблемы 74</t>
  </si>
  <si>
    <t>Проверка спроса на нотации IDEF0, DFD; тест понятности ЦП</t>
  </si>
  <si>
    <t>Органический поиск 47,25 % (PlantUML) и 58,56 % (Mermaid) трафика; открытая страница тарифов у 5 из 8</t>
  </si>
  <si>
    <t>Тест посадочной страницы; стоимость привлечения</t>
  </si>
  <si>
    <t>Документация у 6 из 8 конкурентов, отзывы у 7 из 8</t>
  </si>
  <si>
    <t>Нагрузка на поддержку; потребность в обучающих материалах</t>
  </si>
  <si>
    <t>Проверка цены Pro и границы Free на реальных клиентах</t>
  </si>
  <si>
    <t>Документация NotaCode: один разработчик с ИИ-ассистентом, около 610 ч; ресурсы конкурентов: сообщество и бренд</t>
  </si>
  <si>
    <t>Оценка трудозатрат движка по нотациям</t>
  </si>
  <si>
    <t>Практика конкурентов: документация, обновления, интеграции</t>
  </si>
  <si>
    <t>План развития и объём поддержки</t>
  </si>
  <si>
    <t>Интеграции у 8 из 8 конкурентов; API у 5 из 8</t>
  </si>
  <si>
    <t>Договорённости с вузами и провайдерами</t>
  </si>
  <si>
    <t>Лимиты ИИ в тарифах Eraser и Mermaid Chart; ЛР4 (поставщики); концепция NotaCode: бюджет инфраструктуры MVP 0, бесплатные тарифы хостинга</t>
  </si>
  <si>
    <t>Расчёт экономики на пользователя</t>
  </si>
  <si>
    <t>S-001</t>
  </si>
  <si>
    <t>Студенты технических специальностей</t>
  </si>
  <si>
    <t>Построить диаграмму к проекту или учебной работе</t>
  </si>
  <si>
    <t>Нет единого бесплатного инструмента для всех нотаций; сложность текстовых языков</t>
  </si>
  <si>
    <t>229,0 тыс. студентов (ЛР1); опрос 27 студентов; 8 из 8 конкурентов дают бесплатный доступ</t>
  </si>
  <si>
    <t>S-002</t>
  </si>
  <si>
    <t>Аналитики и разработчики ПО</t>
  </si>
  <si>
    <t>Описать и согласовать модель процессов и данных</t>
  </si>
  <si>
    <t>Тарифы Lucidchart, Mermaid Chart, Eraser; ЛР5</t>
  </si>
  <si>
    <t>V-001</t>
  </si>
  <si>
    <t>P-002 / S-001</t>
  </si>
  <si>
    <t>Нет единого инструмента для всех нотаций проекта</t>
  </si>
  <si>
    <t>Несколько инструментов: draw.io, PlantUML, Lucidchart; IDEF0 и DFD не поддерживаются</t>
  </si>
  <si>
    <t>Диаграмма в любой нотации проекта из текста в одном бесплатном инструменте</t>
  </si>
  <si>
    <t>Для студентов и аналитиков ПО NotaCode даёт диаграмму в любой нотации проекта из текста в одном инструменте без установки</t>
  </si>
  <si>
    <t>NotaCode - веб-IDE (PWA)</t>
  </si>
  <si>
    <t>Построение диаграмм из текстового описания</t>
  </si>
  <si>
    <t>Редактор для UML, BPMN 2.0, ERD, IDEF0, DFD, сетей Петри; Free и Pro</t>
  </si>
  <si>
    <t>ИИ-ассистент, экспорт, документация, потенциально API и интеграции</t>
  </si>
  <si>
    <t>Привлекательное</t>
  </si>
  <si>
    <t>V-002</t>
  </si>
  <si>
    <t>P-001 / S-001</t>
  </si>
  <si>
    <t>Освоение текстовых языков (PlantUML, Mermaid) отнимает время</t>
  </si>
  <si>
    <t>Документация и ИИ-генерация (Mermaid Chart, Eraser)</t>
  </si>
  <si>
    <t>Получить корректную диаграмму без изучения всего синтаксиса</t>
  </si>
  <si>
    <t>Для студентов NotaCode снижает порог входа в диаграммы как код за счёт редактора и ИИ-ассистента</t>
  </si>
  <si>
    <t>Текст и визуализация в одном окне</t>
  </si>
  <si>
    <t>Редактор с ИИ-ассистентом и примерами</t>
  </si>
  <si>
    <t>CH-001</t>
  </si>
  <si>
    <t>Студенты и аналитики</t>
  </si>
  <si>
    <t>Поиск Google и Яндекс</t>
  </si>
  <si>
    <t>Привлечение</t>
  </si>
  <si>
    <t>Органический поиск 47-59 % трафика у текстовых инструментов</t>
  </si>
  <si>
    <t>CH-002</t>
  </si>
  <si>
    <t>Сайт с открытой ценой и документацией</t>
  </si>
  <si>
    <t>Страница тарифов у 5 из 8, документация у 6 из 8</t>
  </si>
  <si>
    <t>CH-003</t>
  </si>
  <si>
    <t>Регистрация в бесплатном уровне</t>
  </si>
  <si>
    <t>Активация</t>
  </si>
  <si>
    <t>Регистрация или Free-тариф у 8 из 8</t>
  </si>
  <si>
    <t>CH-004</t>
  </si>
  <si>
    <t>Документация и примеры в продукте</t>
  </si>
  <si>
    <t>Документация у 6 из 8</t>
  </si>
  <si>
    <t>CH-005</t>
  </si>
  <si>
    <t>Вузы и преподаватели</t>
  </si>
  <si>
    <t>Канал через вузы (ЛР1, ЛР4); договорённостей нет</t>
  </si>
  <si>
    <t>MO-001</t>
  </si>
  <si>
    <t>Пользователь Pro (подписка на год)</t>
  </si>
  <si>
    <t>Оплата годовой подписки</t>
  </si>
  <si>
    <t>Число активных платящих пользователей</t>
  </si>
  <si>
    <t>Mermaid Chart, Lucidchart, Eraser, Whimsical: подписка за пользователя</t>
  </si>
  <si>
    <t>Расширенные возможности и снятие лимитов Free</t>
  </si>
  <si>
    <t>MO-002</t>
  </si>
  <si>
    <t>Бесплатный пользователь (Free)</t>
  </si>
  <si>
    <t>Регистрация</t>
  </si>
  <si>
    <t>Число зарегистрированных</t>
  </si>
  <si>
    <t>Free или бесплатный открытый код у 8 из 8</t>
  </si>
  <si>
    <t>Вход в продукт и аудитория</t>
  </si>
  <si>
    <t>MO-003</t>
  </si>
  <si>
    <t>Лимит ИИ-вызовов</t>
  </si>
  <si>
    <t>Исчерпание лимита</t>
  </si>
  <si>
    <t>Число ИИ-диаграмм в месяц</t>
  </si>
  <si>
    <t>Лимиты по тарифам (гипотеза по Eraser и Mermaid Chart)</t>
  </si>
  <si>
    <t>Eraser: 3, 40, 250 ИИ-диаграмм; Mermaid Chart: 15, 300, 2000 кредитов</t>
  </si>
  <si>
    <t>Контроль переменных затрат ИИ</t>
  </si>
  <si>
    <t>MO-004</t>
  </si>
  <si>
    <t>Организация (корпоративный тариф)</t>
  </si>
  <si>
    <t>Договор</t>
  </si>
  <si>
    <t>Число мест</t>
  </si>
  <si>
    <t>По запросу (отложено)</t>
  </si>
  <si>
    <t>Enterprise у 4 из 8 конкурентов</t>
  </si>
  <si>
    <t>Командное использование</t>
  </si>
  <si>
    <t>OP-001</t>
  </si>
  <si>
    <t>Движок нотаций и ИИ-ассистент</t>
  </si>
  <si>
    <t>Разбор текста и построение диаграмм UML, BPMN, ERD, IDEF0, DFD, сетей Петри</t>
  </si>
  <si>
    <t>Создаёт и поставляет ценность</t>
  </si>
  <si>
    <t>Описание проекта (ЛР4)</t>
  </si>
  <si>
    <t>OP-002</t>
  </si>
  <si>
    <t>PWA, домен, репозиторий</t>
  </si>
  <si>
    <t>Доставка продукта в браузере</t>
  </si>
  <si>
    <t>Доступ без установки</t>
  </si>
  <si>
    <t>OP-003</t>
  </si>
  <si>
    <t>Разработка и поддержка нотаций</t>
  </si>
  <si>
    <t>Развитие поддержки нотаций, исправление ошибок</t>
  </si>
  <si>
    <t>Качество диаграмм</t>
  </si>
  <si>
    <t>Практика конкурентов</t>
  </si>
  <si>
    <t>OP-004</t>
  </si>
  <si>
    <t>Документация и примеры</t>
  </si>
  <si>
    <t>Обучение пользователей</t>
  </si>
  <si>
    <t>Снижает порог входа</t>
  </si>
  <si>
    <t>Документация у 6 из 8 конкурентов</t>
  </si>
  <si>
    <t>OP-005</t>
  </si>
  <si>
    <t>Продвижение</t>
  </si>
  <si>
    <t>Поиск, сайт, вузы</t>
  </si>
  <si>
    <t>Осведомлённость</t>
  </si>
  <si>
    <t>Similarweb: поиск 47-59 %</t>
  </si>
  <si>
    <t>OP-006</t>
  </si>
  <si>
    <t>Вузы</t>
  </si>
  <si>
    <t>Доступ к студентам</t>
  </si>
  <si>
    <t>Канал привлечения</t>
  </si>
  <si>
    <t>ЛР1, ЛР4</t>
  </si>
  <si>
    <t>OP-007</t>
  </si>
  <si>
    <t>Платёжный провайдер</t>
  </si>
  <si>
    <t>Приём платежей Pro</t>
  </si>
  <si>
    <t>Монетизация</t>
  </si>
  <si>
    <t>Практика подписок</t>
  </si>
  <si>
    <t>OP-008</t>
  </si>
  <si>
    <t>ИИ-провайдер и облако</t>
  </si>
  <si>
    <t>ИИ-ассистент и хостинг</t>
  </si>
  <si>
    <t>Скорость запуска</t>
  </si>
  <si>
    <t>Лимиты ИИ у Eraser, Mermaid Chart</t>
  </si>
  <si>
    <t>CO-001</t>
  </si>
  <si>
    <t>Движок нотаций</t>
  </si>
  <si>
    <t>Число нотаций и функций</t>
  </si>
  <si>
    <t>Разработка</t>
  </si>
  <si>
    <t>Практика проектов; оценка</t>
  </si>
  <si>
    <t>CO-002</t>
  </si>
  <si>
    <t>Облачная инфраструктура</t>
  </si>
  <si>
    <t>PWA, домен</t>
  </si>
  <si>
    <t>Число пользователей</t>
  </si>
  <si>
    <t>Запуск</t>
  </si>
  <si>
    <t>Практика SaaS</t>
  </si>
  <si>
    <t>CO-003</t>
  </si>
  <si>
    <t>ИИ-вызовы</t>
  </si>
  <si>
    <t>ИИ-ассистент</t>
  </si>
  <si>
    <t>Число ИИ-запросов</t>
  </si>
  <si>
    <t>Рост</t>
  </si>
  <si>
    <t>CO-004</t>
  </si>
  <si>
    <t>Поддержка и документация</t>
  </si>
  <si>
    <t>Документация</t>
  </si>
  <si>
    <t>CO-005</t>
  </si>
  <si>
    <t>Поиск, вузы</t>
  </si>
  <si>
    <t>Стоимость привлечения</t>
  </si>
  <si>
    <t>Similarweb (поиск)</t>
  </si>
  <si>
    <t>Сегмент студентов: 229,0 тыс.; сила боли подтверждена опросом и ЛР5</t>
  </si>
  <si>
    <t>Интервью с аналитиками</t>
  </si>
  <si>
    <t>ЦП связана с проблемой P-002 (индекс 74)</t>
  </si>
  <si>
    <t>Проверить формулировку на клиентах</t>
  </si>
  <si>
    <t>Товар описан (6.1, PR-001): состав, нотации, условия Free и Pro</t>
  </si>
  <si>
    <t>Уточнить формат экспорта</t>
  </si>
  <si>
    <t>Единица - пользователь, годовая подписка Pro</t>
  </si>
  <si>
    <t>Проверить цену</t>
  </si>
  <si>
    <t>Поиск и сайт соответствуют сегменту (Similarweb)</t>
  </si>
  <si>
    <t>Проверить вузовский канал</t>
  </si>
  <si>
    <t>Самообслуживание подходит для простого товара</t>
  </si>
  <si>
    <t>Оценить нагрузку поддержки</t>
  </si>
  <si>
    <t>Ресурсы описаны как гипотезы</t>
  </si>
  <si>
    <t>Подтвердить ресурс движка</t>
  </si>
  <si>
    <t>Процессы выведены из ресурсов и каналов</t>
  </si>
  <si>
    <t>Подтвердить план развития</t>
  </si>
  <si>
    <t>Партнёры не подтверждены договорами</t>
  </si>
  <si>
    <t>Заключить или найти партнёров</t>
  </si>
  <si>
    <t>Затраты описаны качественно</t>
  </si>
  <si>
    <t>Рассчитать экономику</t>
  </si>
  <si>
    <t>Отличие: IDEF0, DFD, сети Петри у конкурентов не найдены</t>
  </si>
  <si>
    <t>Проверить значимость для клиентов</t>
  </si>
  <si>
    <t>Противоречий между блоками не выявлено, блоки 8-11 - гипотезы</t>
  </si>
  <si>
    <t>Повторить проверку после интервью</t>
  </si>
  <si>
    <t>Журнал рабочей копии: источники, правила, ограничения</t>
  </si>
  <si>
    <t>Раздел</t>
  </si>
  <si>
    <t>Код</t>
  </si>
  <si>
    <t>Содержание</t>
  </si>
  <si>
    <t>Источники</t>
  </si>
  <si>
    <t>И-1</t>
  </si>
  <si>
    <t>П-1</t>
  </si>
  <si>
    <t>П-2</t>
  </si>
  <si>
    <t>Ограничения</t>
  </si>
  <si>
    <t>О-1</t>
  </si>
  <si>
    <t>Связка «клиент – проблема – ценность – цифровой товар»</t>
  </si>
  <si>
    <t>Basic Free (до 6 диаграмм, 15 ИИ-кредитов), Plus 10 у.е., Premium 20 у.е. за пользователя в месяц, Enterprise</t>
  </si>
  <si>
    <t>Free: 3 документа, 75 фигур; Individual 9 у.е., Team 10 у.е.; пробный период 7 дней</t>
  </si>
  <si>
    <t>Free ограничен числом документов; платная подписка от 9 у.е. в месяц</t>
  </si>
  <si>
    <t>Free 0 у.е. (3 ИИ-диаграммы), Starter 15 у.е., Business 45 у.е.; лимиты ИИ по тарифам</t>
  </si>
  <si>
    <t>Free: 50 объектов в месяц, водяной знак; Pro 10 у.е., Business 20 у.е. за редактора</t>
  </si>
  <si>
    <t>SAM по клиентской базе 197 988 BYN (около 65 375 у.е.), около 1 634 платящих пользователей</t>
  </si>
  <si>
    <t>Расчётная годовая выручка Pro около 65 360 у.е. при цене 40 у.е.</t>
  </si>
  <si>
    <t>Условно-бесплатная модель у 5 из 8; тарифы 9-20 у.е. в месяц; SAM около 65 375 у.е.; опрос: 18 из 27 готовы платить; KPI проекта: конверсия Free в Pro 3 %, ARPPU 4 у.е.</t>
  </si>
  <si>
    <t>Платные редакторы тарифицируются за пользователя от 9 у.е. в месяц; IDEF0 и DFD не поддерживаются</t>
  </si>
  <si>
    <t>40 у.е. в год (48 у.е. при 4 x 12); ниже тарифов конкурентов от 9 у.е. в месяц</t>
  </si>
  <si>
    <t>0 у.е.; ограничения по функциям</t>
  </si>
  <si>
    <t>Преподаватели технических специальностей</t>
  </si>
  <si>
    <t>Создать наглядные диаграммы для учебного курса или методического материала</t>
  </si>
  <si>
    <t>Нет единого бесплатного инструмента для всех нотаций (UML, IDEF0, DFD) в учебных и методических целях</t>
  </si>
  <si>
    <t>229,0 тыс. студентов техвузов (ЛР1); спрос по IDEF0 и DFD (SRC-001); IDEF0/DFD отсутствует у 8 из 8 конкурентов (SRC-015)</t>
  </si>
  <si>
    <t>Команды аналитиков и разработчиков малых IT-компаний</t>
  </si>
  <si>
    <t>Документировать и согласовывать архитектуру системы и бизнес-процессы в единой среде</t>
  </si>
  <si>
    <t>Платные редакторы тарифицируются за пользователя от 9 до 20 у.е. в месяц; высокая стоимость для небольших команд</t>
  </si>
  <si>
    <t>Тарифы Lucidchart 9–10 у.е., Mermaid Chart 10–20 у.е. (SRC-007, SRC-008); G2 Lucidchart 4,5 (8 988 отзывов) (SRC-006)</t>
  </si>
  <si>
    <t>P-003 / S-002</t>
  </si>
  <si>
    <t>Платные редакторы тарифицируются за пользователя от 9 до 20 у.е. в месяц; бесплатные ограничены 3–6 документами или диаграммами</t>
  </si>
  <si>
    <t>Платные Lucidchart 9–10 у.е., Mermaid Chart 10–20 у.е.; бесплатный draw.io без IDEF0 и DFD</t>
  </si>
  <si>
    <t>Получить полнофункциональный инструмент бесплатно без лимитов по нотациям</t>
  </si>
  <si>
    <t>Для аналитиков и разработчиков ПО NotaCode предоставляет бесплатный доступ ко всем нотациям, в отличие от платных редакторов с оплатой за пользователя, потому что уровень Free включает весь набор нотаций без ограничений</t>
  </si>
  <si>
    <t>NotaCode – веб-IDE (PWA)</t>
  </si>
  <si>
    <t>Бесплатный доступ без ограничений по нотациям</t>
  </si>
  <si>
    <t>Редактор для всех нотаций на уровне Free</t>
  </si>
  <si>
    <t>Pro-подписка 40 у.е. в год (расширенный экспорт, история версий)</t>
  </si>
  <si>
    <t>Базовое требование</t>
  </si>
  <si>
    <t>P-004 / S-001</t>
  </si>
  <si>
    <t>Совместная работа и экспорт – ожидаемый минимум: коллаборация важна 26 из 27 опрошенных, экспорт PNG – 27 из 27, SVG – 18 из 27</t>
  </si>
  <si>
    <t>draw.io и Miro поддерживают коллаборацию, но не охватывают IDEF0, DFD и сети Петри</t>
  </si>
  <si>
    <t>Экспортировать диаграмму в нужном формате и работать в команде без дополнительных инструментов</t>
  </si>
  <si>
    <t>Для студентов и аналитиков NotaCode обеспечивает экспорт SVG и PNG и совместный доступ в одном инструменте, потому что базовые форматы экспорта включены в Free</t>
  </si>
  <si>
    <t>Экспорт SVG и PNG</t>
  </si>
  <si>
    <t>Редактор с экспортом и совместным доступом к проекту</t>
  </si>
  <si>
    <t>Расширенный экспорт Pro: BPMN XML, XMI, PNML, draw.io, PlantUML, Mermaid, D2, DOT</t>
  </si>
  <si>
    <t>Анализ спроса</t>
  </si>
  <si>
    <t>Аналитический сервис</t>
  </si>
  <si>
    <t>Плата за использование</t>
  </si>
  <si>
    <t>Смешанные</t>
  </si>
  <si>
    <t>Нет конкурентов</t>
  </si>
  <si>
    <t>Опрос потребителей</t>
  </si>
  <si>
    <t>Разовые</t>
  </si>
  <si>
    <t>Повторное использование</t>
  </si>
  <si>
    <t>Документация проекта</t>
  </si>
  <si>
    <t>Расширение/модуль</t>
  </si>
  <si>
    <t>Смешанная модель</t>
  </si>
  <si>
    <t>Адвокация</t>
  </si>
  <si>
    <t>Анализ трафика</t>
  </si>
  <si>
    <t>Прикладной программный интерфейс</t>
  </si>
  <si>
    <t>Маркетплейс</t>
  </si>
  <si>
    <t>Книга предназначена для перевода результатов анализа конкурентов, отзывов, уровней конкуренции, цифрового товара, ценностного предложения и монетизации в связанную бизнес-модель по шаблону Канвас. Заполняются желтые поля; зеленые поля рассчитываются автоматически</t>
  </si>
  <si>
    <t>Сегмент: студенты технических специальностей (Free) и аналитики и разработчики ПО (Pro) в Беларуси, затем в России и СНГ, которые сталкиваются с отсутствием единого инструмента для нотаций UML, BPMN, ERD, IDEF0, DFD и оценивают решение по цене, набору нотаций и экспорту</t>
  </si>
  <si>
    <t>Для студентов и аналитиков ПО, которым нужны диаграммы UML, BPMN, ERD, IDEF0 и DFD, NotaCode - веб-IDE «диаграммы как код» - даёт диаграмму в любой нотации проекта из текста в одном инструменте, в отличие от текстовых языков без визуального редактора и платных редакторов с оплатой за пользователя</t>
  </si>
  <si>
    <t>Основной канал: поиск Google и Яндекс на этапе осведомлённости; сайт с открытой ценой и документацией на этапе оценки; вспомогательный канал: вузы и сообщества разработчиков</t>
  </si>
  <si>
    <t>Самообслуживание: бесплатный уровень, документация, примеры; сообщество на этапах использования и удержания</t>
  </si>
  <si>
    <t>Основной поток: подписка Pro 40 у.е. в год (48 у.е. при цене 4 у.е. в месяц, 4 x 12) за пользователя; Free без оплаты; тарифный ограничитель - функции и лимиты</t>
  </si>
  <si>
    <t>Ключевой ресурс: собственный движок нотаций и ИИ-ассистент в PWA, нужен для создания и поставки ценности; подтверждение - состав продукта (ЛР4, 6.1)</t>
  </si>
  <si>
    <t>Ключевой процесс: разработка и поддержка движка нотаций, документация и продвижение; обеспечивает качество диаграмм и привлечение, связан с движком нотаций</t>
  </si>
  <si>
    <t>Партнёры: вузы (доступ к студентам), платёжный провайдер, ИИ-провайдер, облачная инфраструктура; причины - доступ, скорость, интеграция</t>
  </si>
  <si>
    <t>Ключевые затраты: разработка (постоянные), облачная инфраструктура (полупеременные), ИИ-вызовы (переменные), поддержка и продвижение</t>
  </si>
  <si>
    <t>Шаблоны и подсказки (подтвердить составом MVP)</t>
  </si>
  <si>
    <t>Студенты и аналитики ПО не имеют единого инструмента для всех нотаций проекта (UML, BPMN, ERD, IDEF0, DFD, сети Петри): IDEF0, DFD и сети Петри не найдены у 8 конкурентов, UML, BPMN и ERD вместе - только у Lucidchart (ЛР5); индекс проблемы 74</t>
  </si>
  <si>
    <t>Веб-платформа: редактор диаграмм «как код» для UML, BPMN 2.0, ERD, IDEF0, DFD и сетей Петри с ИИ-ассистентом, экспортом и документацией; уровни Free и Pro</t>
  </si>
  <si>
    <t>Клиент платит за пользователя Pro (подписка на год); Free без оплаты; лимиты ИИ - гипотеза ограничителя</t>
  </si>
  <si>
    <t>Полный набор нотаций проекта, включая IDEF0, DFD и сети Петри, в одном бесплатном инструменте (у 8 конкурентов не найден)</t>
  </si>
  <si>
    <t>Цена Pro 40 у.е. в год приемлема для аналитиков, а Free достаточен для привлечения студентов; проверить опросом и интервью</t>
  </si>
  <si>
    <t>Банк выводов из 24 записей: ЛР1-ЛР5 и методика 6.1; страницы конкурентов просмотрены 01.10.2026</t>
  </si>
  <si>
    <t>Блоки 8-11 (ресурсы, деятельность, партнёры, затраты) основаны на экспертных гипотезах и косвенных признаках, доказательность 2; в статусе «Гипотеза»</t>
  </si>
  <si>
    <t>Оценки 1-5 экспертные. Статусы и индексы - формулы шаблона</t>
  </si>
  <si>
    <t>Часть студентов готова платить; данные пробного опроса</t>
  </si>
  <si>
    <t>Спрос не проверен на реальных клиентах; продукт до MVP; опрос студентов пробный, по условным профилям. Планируется собрать: интервью, тест посадочной страницы, расчёт экономики на пользователя, договорённости с вузами и провайдерами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</si>
</sst>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color rgb="FF12355B"/>
      <name val="Carlito"/>
    </font>
    <font>
      <i/>
      <sz val="11"/>
      <color rgb="FF4B5563"/>
      <name val="Carlito"/>
    </font>
    <font>
      <sz val="11"/>
      <name val="Carlito"/>
    </font>
    <font>
      <sz val="10"/>
      <name val="Carlito"/>
    </font>
    <font>
      <b/>
      <sz val="10"/>
      <name val="Carlito"/>
      <charset val="204"/>
    </font>
    <font>
      <b/>
      <sz val="12"/>
      <name val="Carlito"/>
      <charset val="204"/>
    </font>
  </fonts>
  <fills count="10">
    <fill>
      <patternFill patternType="none"/>
    </fill>
    <fill>
      <patternFill patternType="gray125"/>
    </fill>
    <fill>
      <patternFill patternType="solid">
        <fgColor rgb="FF12355B"/>
      </patternFill>
    </fill>
    <fill>
      <patternFill patternType="solid">
        <fgColor rgb="FF1F4E79"/>
      </patternFill>
    </fill>
    <fill>
      <patternFill patternType="solid">
        <fgColor rgb="FFEAF2F8"/>
      </patternFill>
    </fill>
    <fill>
      <patternFill patternType="solid">
        <fgColor rgb="FFF6F8FA"/>
      </patternFill>
    </fill>
    <fill>
      <patternFill patternType="solid">
        <fgColor rgb="FFFFF8E1"/>
      </patternFill>
    </fill>
    <fill>
      <patternFill patternType="solid">
        <fgColor rgb="FFE8F5E9"/>
      </patternFill>
    </fill>
    <fill>
      <patternFill patternType="solid">
        <fgColor rgb="FFDCEBFF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6">
    <xf numFmtId="0" fontId="0" fillId="0" borderId="0" xfId="0"/>
    <xf numFmtId="0" fontId="2" fillId="3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  <xf numFmtId="0" fontId="0" fillId="6" borderId="0" xfId="1" applyFont="1" applyFill="1" applyAlignment="1">
      <alignment vertical="top" wrapText="1"/>
    </xf>
    <xf numFmtId="0" fontId="0" fillId="7" borderId="0" xfId="1" applyFont="1" applyFill="1" applyAlignment="1">
      <alignment vertical="top" wrapText="1"/>
    </xf>
    <xf numFmtId="0" fontId="6" fillId="0" borderId="0" xfId="0" applyFont="1"/>
    <xf numFmtId="0" fontId="6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3" fillId="8" borderId="0" xfId="1" applyFont="1" applyFill="1" applyAlignment="1">
      <alignment horizontal="center" vertical="top" wrapText="1"/>
    </xf>
    <xf numFmtId="9" fontId="0" fillId="0" borderId="0" xfId="1" applyNumberFormat="1" applyFont="1" applyAlignment="1">
      <alignment vertical="top" wrapText="1"/>
    </xf>
    <xf numFmtId="0" fontId="8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9" borderId="1" xfId="0" applyFont="1" applyFill="1" applyBorder="1" applyAlignment="1">
      <alignment vertical="top" wrapText="1"/>
    </xf>
    <xf numFmtId="0" fontId="1" fillId="2" borderId="0" xfId="1" applyFont="1" applyFill="1" applyAlignment="1">
      <alignment horizontal="center" vertical="top" wrapText="1"/>
    </xf>
    <xf numFmtId="0" fontId="3" fillId="4" borderId="0" xfId="1" applyFont="1" applyFill="1" applyAlignment="1">
      <alignment vertical="top" wrapText="1"/>
    </xf>
    <xf numFmtId="0" fontId="4" fillId="5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143">
    <dxf>
      <fill>
        <patternFill patternType="solid">
          <bgColor rgb="FFFECACA"/>
        </patternFill>
      </fill>
    </dxf>
    <dxf>
      <fill>
        <patternFill patternType="solid">
          <bgColor rgb="FFDCFCE7"/>
        </patternFill>
      </fill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Достоверность</c:v>
          </c:tx>
          <c:invertIfNegative val="1"/>
          <c:cat>
            <c:strRef>
              <c:f>'11_Дашборд'!$A$12:$A$20</c:f>
              <c:strCache>
                <c:ptCount val="9"/>
                <c:pt idx="0">
                  <c:v>Клиентские сегменты</c:v>
                </c:pt>
                <c:pt idx="1">
                  <c:v>Ценностное предложение</c:v>
                </c:pt>
                <c:pt idx="2">
                  <c:v>Каналы</c:v>
                </c:pt>
                <c:pt idx="3">
                  <c:v>Отношения с клиентами</c:v>
                </c:pt>
                <c:pt idx="4">
                  <c:v>Потоки доходов</c:v>
                </c:pt>
                <c:pt idx="5">
                  <c:v>Ключевые ресурсы</c:v>
                </c:pt>
                <c:pt idx="6">
                  <c:v>Ключевые виды деятельности</c:v>
                </c:pt>
                <c:pt idx="7">
                  <c:v>Ключевые партнеры</c:v>
                </c:pt>
                <c:pt idx="8">
                  <c:v>Структура затрат</c:v>
                </c:pt>
              </c:strCache>
            </c:strRef>
          </c:cat>
          <c:val>
            <c:numRef>
              <c:f>'11_Дашборд'!$B$12:$B$20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B5-43E7-A1A1-F463D343B60D}"/>
            </c:ext>
          </c:extLst>
        </c:ser>
        <c:ser>
          <c:idx val="1"/>
          <c:order val="1"/>
          <c:tx>
            <c:v>Полнота</c:v>
          </c:tx>
          <c:invertIfNegative val="1"/>
          <c:cat>
            <c:strRef>
              <c:f>'11_Дашборд'!$A$12:$A$20</c:f>
              <c:strCache>
                <c:ptCount val="9"/>
                <c:pt idx="0">
                  <c:v>Клиентские сегменты</c:v>
                </c:pt>
                <c:pt idx="1">
                  <c:v>Ценностное предложение</c:v>
                </c:pt>
                <c:pt idx="2">
                  <c:v>Каналы</c:v>
                </c:pt>
                <c:pt idx="3">
                  <c:v>Отношения с клиентами</c:v>
                </c:pt>
                <c:pt idx="4">
                  <c:v>Потоки доходов</c:v>
                </c:pt>
                <c:pt idx="5">
                  <c:v>Ключевые ресурсы</c:v>
                </c:pt>
                <c:pt idx="6">
                  <c:v>Ключевые виды деятельности</c:v>
                </c:pt>
                <c:pt idx="7">
                  <c:v>Ключевые партнеры</c:v>
                </c:pt>
                <c:pt idx="8">
                  <c:v>Структура затрат</c:v>
                </c:pt>
              </c:strCache>
            </c:strRef>
          </c:cat>
          <c:val>
            <c:numRef>
              <c:f>'11_Дашборд'!$C$12:$C$20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B5-43E7-A1A1-F463D343B60D}"/>
            </c:ext>
          </c:extLst>
        </c:ser>
        <c:ser>
          <c:idx val="2"/>
          <c:order val="2"/>
          <c:tx>
            <c:v>Риск</c:v>
          </c:tx>
          <c:invertIfNegative val="1"/>
          <c:cat>
            <c:strRef>
              <c:f>'11_Дашборд'!$A$12:$A$20</c:f>
              <c:strCache>
                <c:ptCount val="9"/>
                <c:pt idx="0">
                  <c:v>Клиентские сегменты</c:v>
                </c:pt>
                <c:pt idx="1">
                  <c:v>Ценностное предложение</c:v>
                </c:pt>
                <c:pt idx="2">
                  <c:v>Каналы</c:v>
                </c:pt>
                <c:pt idx="3">
                  <c:v>Отношения с клиентами</c:v>
                </c:pt>
                <c:pt idx="4">
                  <c:v>Потоки доходов</c:v>
                </c:pt>
                <c:pt idx="5">
                  <c:v>Ключевые ресурсы</c:v>
                </c:pt>
                <c:pt idx="6">
                  <c:v>Ключевые виды деятельности</c:v>
                </c:pt>
                <c:pt idx="7">
                  <c:v>Ключевые партнеры</c:v>
                </c:pt>
                <c:pt idx="8">
                  <c:v>Структура затрат</c:v>
                </c:pt>
              </c:strCache>
            </c:strRef>
          </c:cat>
          <c:val>
            <c:numRef>
              <c:f>'11_Дашборд'!$D$12:$D$20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B5-43E7-A1A1-F463D343B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putAnalysisTable" displayName="InputAnalysisTable" ref="A2:N26" headerRowDxfId="142" dataDxfId="141" totalsRowDxfId="140">
  <tableColumns count="14">
    <tableColumn id="1" xr3:uid="{00000000-0010-0000-0000-000001000000}" name="ID" dataDxfId="139"/>
    <tableColumn id="2" xr3:uid="{00000000-0010-0000-0000-000002000000}" name="Источник анализа" dataDxfId="138"/>
    <tableColumn id="3" xr3:uid="{00000000-0010-0000-0000-000003000000}" name="Объект анализа" dataDxfId="137"/>
    <tableColumn id="4" xr3:uid="{00000000-0010-0000-0000-000004000000}" name="Компания / товар" dataDxfId="136"/>
    <tableColumn id="5" xr3:uid="{00000000-0010-0000-0000-000005000000}" name="Ссылка или место фиксации" dataDxfId="135"/>
    <tableColumn id="6" xr3:uid="{00000000-0010-0000-0000-000006000000}" name="Факт / наблюдение" dataDxfId="134"/>
    <tableColumn id="7" xr3:uid="{00000000-0010-0000-0000-000007000000}" name="Вывод для бизнес-модели" dataDxfId="133"/>
    <tableColumn id="8" xr3:uid="{00000000-0010-0000-0000-000008000000}" name="Блок Канвас" dataDxfId="132"/>
    <tableColumn id="9" xr3:uid="{00000000-0010-0000-0000-000009000000}" name="Достоверность 1-5" dataDxfId="131"/>
    <tableColumn id="10" xr3:uid="{00000000-0010-0000-0000-00000A000000}" name="Актуальность 1-5" dataDxfId="130"/>
    <tableColumn id="11" xr3:uid="{00000000-0010-0000-0000-00000B000000}" name="Приоритет 1-5" dataDxfId="129"/>
    <tableColumn id="12" xr3:uid="{00000000-0010-0000-0000-00000C000000}" name="Индекс доказательности" dataDxfId="128"/>
    <tableColumn id="13" xr3:uid="{00000000-0010-0000-0000-00000D000000}" name="Статус использования" dataDxfId="127"/>
    <tableColumn id="14" xr3:uid="{00000000-0010-0000-0000-00000E000000}" name="Комментарий" dataDxfId="1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nvasTable" displayName="CanvasTable" ref="A2:J11" headerRowDxfId="125" dataDxfId="124" totalsRowDxfId="123">
  <tableColumns count="10">
    <tableColumn id="1" xr3:uid="{00000000-0010-0000-0100-000001000000}" name="Блок Канвас" dataDxfId="122"/>
    <tableColumn id="2" xr3:uid="{00000000-0010-0000-0100-000002000000}" name="Ключевые вопросы" dataDxfId="121"/>
    <tableColumn id="3" xr3:uid="{00000000-0010-0000-0100-000003000000}" name="Источники ответов из анализа" dataDxfId="120"/>
    <tableColumn id="4" xr3:uid="{00000000-0010-0000-0100-000004000000}" name="Рабочая формулировка" dataDxfId="119"/>
    <tableColumn id="5" xr3:uid="{00000000-0010-0000-0100-000005000000}" name="Доказательства" dataDxfId="118"/>
    <tableColumn id="6" xr3:uid="{00000000-0010-0000-0100-000006000000}" name="Достоверность 1-5" dataDxfId="117"/>
    <tableColumn id="7" xr3:uid="{00000000-0010-0000-0100-000007000000}" name="Полнота 1-5" dataDxfId="116"/>
    <tableColumn id="8" xr3:uid="{00000000-0010-0000-0100-000008000000}" name="Риск ошибки 1-5" dataDxfId="115"/>
    <tableColumn id="9" xr3:uid="{00000000-0010-0000-0100-000009000000}" name="Что проверить" dataDxfId="114"/>
    <tableColumn id="10" xr3:uid="{00000000-0010-0000-0100-00000A000000}" name="Итоговый статус" dataDxfId="1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egmentsTable" displayName="SegmentsTable" ref="A2:K6" headerRowDxfId="112" dataDxfId="111" totalsRowDxfId="110">
  <tableColumns count="11">
    <tableColumn id="1" xr3:uid="{00000000-0010-0000-0200-000001000000}" name="ID сегмента" dataDxfId="109"/>
    <tableColumn id="2" xr3:uid="{00000000-0010-0000-0200-000002000000}" name="Сегмент" dataDxfId="108"/>
    <tableColumn id="3" xr3:uid="{00000000-0010-0000-0200-000003000000}" name="Задача клиента" dataDxfId="107"/>
    <tableColumn id="4" xr3:uid="{00000000-0010-0000-0200-000004000000}" name="Ключевая проблема" dataDxfId="106"/>
    <tableColumn id="5" xr3:uid="{00000000-0010-0000-0200-000005000000}" name="Доказательства" dataDxfId="105"/>
    <tableColumn id="6" xr3:uid="{00000000-0010-0000-0200-000006000000}" name="Сила боли 1-5" dataDxfId="104"/>
    <tableColumn id="7" xr3:uid="{00000000-0010-0000-0200-000007000000}" name="Рыночный сигнал 1-5" dataDxfId="103"/>
    <tableColumn id="8" xr3:uid="{00000000-0010-0000-0200-000008000000}" name="Платежеспособность 1-5" dataDxfId="102"/>
    <tableColumn id="9" xr3:uid="{00000000-0010-0000-0200-000009000000}" name="Доступность канала 1-5" dataDxfId="101"/>
    <tableColumn id="10" xr3:uid="{00000000-0010-0000-0200-00000A000000}" name="Индекс приоритета" dataDxfId="100"/>
    <tableColumn id="11" xr3:uid="{00000000-0010-0000-0200-00000B000000}" name="Статус" dataDxfId="9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ValueProductTable" displayName="ValueProductTable" ref="A2:Q6" headerRowDxfId="98" dataDxfId="97" totalsRowDxfId="96">
  <tableColumns count="17">
    <tableColumn id="1" xr3:uid="{00000000-0010-0000-0300-000001000000}" name="ID" dataDxfId="95"/>
    <tableColumn id="2" xr3:uid="{00000000-0010-0000-0300-000002000000}" name="ID проблемы / сегмента" dataDxfId="94"/>
    <tableColumn id="3" xr3:uid="{00000000-0010-0000-0300-000003000000}" name="Формулировка проблемы" dataDxfId="93"/>
    <tableColumn id="4" xr3:uid="{00000000-0010-0000-0300-000004000000}" name="Текущая альтернатива клиента" dataDxfId="92"/>
    <tableColumn id="5" xr3:uid="{00000000-0010-0000-0300-000005000000}" name="Желаемый результат" dataDxfId="91"/>
    <tableColumn id="6" xr3:uid="{00000000-0010-0000-0300-000006000000}" name="Формулировка ценностного предложения" dataDxfId="90"/>
    <tableColumn id="7" xr3:uid="{00000000-0010-0000-0300-000007000000}" name="Цифровой товар" dataDxfId="89"/>
    <tableColumn id="8" xr3:uid="{00000000-0010-0000-0300-000008000000}" name="Тип цифрового товара" dataDxfId="88"/>
    <tableColumn id="9" xr3:uid="{00000000-0010-0000-0300-000009000000}" name="Ядро товара" dataDxfId="87"/>
    <tableColumn id="10" xr3:uid="{00000000-0010-0000-0300-00000A000000}" name="Реальный товар" dataDxfId="86"/>
    <tableColumn id="11" xr3:uid="{00000000-0010-0000-0300-00000B000000}" name="Расширенный товар" dataDxfId="85"/>
    <tableColumn id="12" xr3:uid="{00000000-0010-0000-0300-00000C000000}" name="Класс требования по Кано" dataDxfId="84"/>
    <tableColumn id="13" xr3:uid="{00000000-0010-0000-0300-00000D000000}" name="Дифференциация 1-5" dataDxfId="83"/>
    <tableColumn id="14" xr3:uid="{00000000-0010-0000-0300-00000E000000}" name="Доказательность 1-5" dataDxfId="82"/>
    <tableColumn id="15" xr3:uid="{00000000-0010-0000-0300-00000F000000}" name="Связь с монетизацией 1-5" dataDxfId="81"/>
    <tableColumn id="16" xr3:uid="{00000000-0010-0000-0300-000010000000}" name="Индекс готовности" dataDxfId="80"/>
    <tableColumn id="17" xr3:uid="{00000000-0010-0000-0300-000011000000}" name="Статус" dataDxfId="7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hannelsTable" displayName="ChannelsTable" ref="A2:K7" headerRowDxfId="78" dataDxfId="77" totalsRowDxfId="76">
  <tableColumns count="11">
    <tableColumn id="1" xr3:uid="{00000000-0010-0000-0400-000001000000}" name="ID" dataDxfId="75"/>
    <tableColumn id="2" xr3:uid="{00000000-0010-0000-0400-000002000000}" name="Этап канала" dataDxfId="74"/>
    <tableColumn id="3" xr3:uid="{00000000-0010-0000-0400-000003000000}" name="Сегмент" dataDxfId="73"/>
    <tableColumn id="4" xr3:uid="{00000000-0010-0000-0400-000004000000}" name="Канал / точка контакта" dataDxfId="72"/>
    <tableColumn id="5" xr3:uid="{00000000-0010-0000-0400-000005000000}" name="Роль в воронке" dataDxfId="71"/>
    <tableColumn id="6" xr3:uid="{00000000-0010-0000-0400-000006000000}" name="Конкурентный стандарт" dataDxfId="70"/>
    <tableColumn id="7" xr3:uid="{00000000-0010-0000-0400-000007000000}" name="Пригодность 1-5" dataDxfId="69"/>
    <tableColumn id="8" xr3:uid="{00000000-0010-0000-0400-000008000000}" name="Затратность/риск 1-5" dataDxfId="68"/>
    <tableColumn id="9" xr3:uid="{00000000-0010-0000-0400-000009000000}" name="Доказательность 1-5" dataDxfId="67"/>
    <tableColumn id="10" xr3:uid="{00000000-0010-0000-0400-00000A000000}" name="Индекс приоритета" dataDxfId="66"/>
    <tableColumn id="11" xr3:uid="{00000000-0010-0000-0400-00000B000000}" name="Решение" dataDxfId="6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onetizationTable" displayName="MonetizationTable" ref="A2:N6" headerRowDxfId="64" dataDxfId="63" totalsRowDxfId="62">
  <tableColumns count="14">
    <tableColumn id="1" xr3:uid="{00000000-0010-0000-0500-000001000000}" name="ID" dataDxfId="61"/>
    <tableColumn id="2" xr3:uid="{00000000-0010-0000-0500-000002000000}" name="Единица монетизации" dataDxfId="60"/>
    <tableColumn id="3" xr3:uid="{00000000-0010-0000-0500-000003000000}" name="Событие оплаты" dataDxfId="59"/>
    <tableColumn id="4" xr3:uid="{00000000-0010-0000-0500-000004000000}" name="Метрика учета" dataDxfId="58"/>
    <tableColumn id="5" xr3:uid="{00000000-0010-0000-0500-000005000000}" name="Логика цены" dataDxfId="57"/>
    <tableColumn id="6" xr3:uid="{00000000-0010-0000-0500-000006000000}" name="Тип потока доходов" dataDxfId="56"/>
    <tableColumn id="7" xr3:uid="{00000000-0010-0000-0500-000007000000}" name="Сигналы конкурентов" dataDxfId="55"/>
    <tableColumn id="8" xr3:uid="{00000000-0010-0000-0500-000008000000}" name="Связь с ценностью" dataDxfId="54"/>
    <tableColumn id="9" xr3:uid="{00000000-0010-0000-0500-000009000000}" name="Готовность платить 1-5" dataDxfId="53"/>
    <tableColumn id="10" xr3:uid="{00000000-0010-0000-0500-00000A000000}" name="Измеримость 1-5" dataDxfId="52"/>
    <tableColumn id="11" xr3:uid="{00000000-0010-0000-0500-00000B000000}" name="Повторяемость дохода 1-5" dataDxfId="51"/>
    <tableColumn id="12" xr3:uid="{00000000-0010-0000-0500-00000C000000}" name="Доказательность 1-5" dataDxfId="50"/>
    <tableColumn id="13" xr3:uid="{00000000-0010-0000-0500-00000D000000}" name="Индекс монетизации" dataDxfId="49"/>
    <tableColumn id="14" xr3:uid="{00000000-0010-0000-0500-00000E000000}" name="Статус" dataDxfId="4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OperationsTable" displayName="OperationsTable" ref="A2:K10" headerRowDxfId="47" dataDxfId="46" totalsRowDxfId="45">
  <tableColumns count="11">
    <tableColumn id="1" xr3:uid="{00000000-0010-0000-0600-000001000000}" name="ID" dataDxfId="44"/>
    <tableColumn id="2" xr3:uid="{00000000-0010-0000-0600-000002000000}" name="Блок" dataDxfId="43"/>
    <tableColumn id="3" xr3:uid="{00000000-0010-0000-0600-000003000000}" name="Элемент" dataDxfId="42"/>
    <tableColumn id="4" xr3:uid="{00000000-0010-0000-0600-000004000000}" name="Описание" dataDxfId="41"/>
    <tableColumn id="5" xr3:uid="{00000000-0010-0000-0600-000005000000}" name="Как поддерживает ценность / товар" dataDxfId="40"/>
    <tableColumn id="6" xr3:uid="{00000000-0010-0000-0600-000006000000}" name="Источник" dataDxfId="39"/>
    <tableColumn id="7" xr3:uid="{00000000-0010-0000-0600-000007000000}" name="Критичность 1-5" dataDxfId="38"/>
    <tableColumn id="8" xr3:uid="{00000000-0010-0000-0600-000008000000}" name="Доступность 1-5" dataDxfId="37"/>
    <tableColumn id="9" xr3:uid="{00000000-0010-0000-0600-000009000000}" name="Затратное влияние 1-5" dataDxfId="36"/>
    <tableColumn id="10" xr3:uid="{00000000-0010-0000-0600-00000A000000}" name="Подход к обеспечению" dataDxfId="35"/>
    <tableColumn id="11" xr3:uid="{00000000-0010-0000-0600-00000B000000}" name="Операционный приоритет" dataDxfId="3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CostsTable" displayName="CostsTable" ref="A2:K7" headerRowDxfId="33" dataDxfId="32" totalsRowDxfId="31">
  <tableColumns count="11">
    <tableColumn id="1" xr3:uid="{00000000-0010-0000-0700-000001000000}" name="ID" dataDxfId="30"/>
    <tableColumn id="2" xr3:uid="{00000000-0010-0000-0700-000002000000}" name="Статья затрат" dataDxfId="29"/>
    <tableColumn id="3" xr3:uid="{00000000-0010-0000-0700-000003000000}" name="Связанный ресурс / деятельность" dataDxfId="28"/>
    <tableColumn id="4" xr3:uid="{00000000-0010-0000-0700-000004000000}" name="Тип затрат" dataDxfId="27"/>
    <tableColumn id="5" xr3:uid="{00000000-0010-0000-0700-000005000000}" name="Драйвер затрат" dataDxfId="26"/>
    <tableColumn id="6" xr3:uid="{00000000-0010-0000-0700-000006000000}" name="Этап развития" dataDxfId="25"/>
    <tableColumn id="7" xr3:uid="{00000000-0010-0000-0700-000007000000}" name="Доказательство / основание" dataDxfId="24"/>
    <tableColumn id="8" xr3:uid="{00000000-0010-0000-0700-000008000000}" name="Влияние на экономику 1-5" dataDxfId="23"/>
    <tableColumn id="9" xr3:uid="{00000000-0010-0000-0700-000009000000}" name="Уверенность 1-5" dataDxfId="22"/>
    <tableColumn id="10" xr3:uid="{00000000-0010-0000-0700-00000A000000}" name="Управляемость 1-5" dataDxfId="21"/>
    <tableColumn id="11" xr3:uid="{00000000-0010-0000-0700-00000B000000}" name="Приоритет контроля" dataDxfId="2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oherenceCheckTable" displayName="CoherenceCheckTable" ref="A2:G14" headerRowDxfId="19" dataDxfId="18" totalsRowDxfId="17">
  <tableColumns count="7">
    <tableColumn id="1" xr3:uid="{00000000-0010-0000-0800-000001000000}" name="№" dataDxfId="16"/>
    <tableColumn id="2" xr3:uid="{00000000-0010-0000-0800-000002000000}" name="Контрольный вопрос" dataDxfId="15"/>
    <tableColumn id="3" xr3:uid="{00000000-0010-0000-0800-000003000000}" name="Где искать ответ" dataDxfId="14"/>
    <tableColumn id="4" xr3:uid="{00000000-0010-0000-0800-000004000000}" name="Доказательство / ссылка на вывод" dataDxfId="13"/>
    <tableColumn id="5" xr3:uid="{00000000-0010-0000-0800-000005000000}" name="Оценка 1-5" dataDxfId="12"/>
    <tableColumn id="6" xr3:uid="{00000000-0010-0000-0800-000006000000}" name="Результат" dataDxfId="11"/>
    <tableColumn id="7" xr3:uid="{00000000-0010-0000-0800-000007000000}" name="Что доработать" dataDxfId="1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BusinessModelPassportTable" displayName="BusinessModelPassportTable" ref="A2:E16" headerRowDxfId="9" dataDxfId="8" totalsRowDxfId="7">
  <tableColumns count="5">
    <tableColumn id="1" xr3:uid="{00000000-0010-0000-0900-000001000000}" name="Раздел паспорта" dataDxfId="6"/>
    <tableColumn id="2" xr3:uid="{00000000-0010-0000-0900-000002000000}" name="Итоговая формулировка" dataDxfId="5"/>
    <tableColumn id="3" xr3:uid="{00000000-0010-0000-0900-000003000000}" name="Основной источник" dataDxfId="4"/>
    <tableColumn id="4" xr3:uid="{00000000-0010-0000-0900-000004000000}" name="Контрольный вопрос" dataDxfId="3"/>
    <tableColumn id="5" xr3:uid="{00000000-0010-0000-0900-000005000000}" name="Статус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sqref="A1:H1"/>
    </sheetView>
  </sheetViews>
  <sheetFormatPr defaultRowHeight="14.25"/>
  <cols>
    <col min="1" max="1" width="55.625" customWidth="1"/>
    <col min="2" max="2" width="49.625" customWidth="1"/>
    <col min="3" max="3" width="37.625" customWidth="1"/>
    <col min="4" max="5" width="55.625" customWidth="1"/>
    <col min="6" max="8" width="9.625" customWidth="1"/>
  </cols>
  <sheetData>
    <row r="1" spans="1:8" ht="18">
      <c r="A1" s="13" t="s">
        <v>0</v>
      </c>
      <c r="B1" s="13"/>
      <c r="C1" s="13"/>
      <c r="D1" s="13"/>
      <c r="E1" s="13"/>
      <c r="F1" s="13"/>
      <c r="G1" s="13"/>
      <c r="H1" s="13"/>
    </row>
    <row r="2" spans="1:8">
      <c r="A2" s="7"/>
      <c r="B2" s="7"/>
      <c r="C2" s="7"/>
      <c r="D2" s="7"/>
      <c r="E2" s="7"/>
      <c r="F2" s="7"/>
      <c r="G2" s="7"/>
      <c r="H2" s="7"/>
    </row>
    <row r="3" spans="1:8" ht="15">
      <c r="A3" s="14" t="s">
        <v>1</v>
      </c>
      <c r="B3" s="14"/>
      <c r="C3" s="14"/>
      <c r="D3" s="14"/>
      <c r="E3" s="14"/>
      <c r="F3" s="14"/>
      <c r="G3" s="14"/>
      <c r="H3" s="14"/>
    </row>
    <row r="4" spans="1:8" ht="15.95" customHeight="1">
      <c r="A4" s="15" t="s">
        <v>630</v>
      </c>
      <c r="B4" s="15"/>
      <c r="C4" s="15"/>
      <c r="D4" s="15"/>
      <c r="E4" s="15"/>
      <c r="F4" s="15"/>
      <c r="G4" s="15"/>
      <c r="H4" s="15"/>
    </row>
    <row r="5" spans="1:8">
      <c r="A5" s="15"/>
      <c r="B5" s="15"/>
      <c r="C5" s="15"/>
      <c r="D5" s="15"/>
      <c r="E5" s="15"/>
      <c r="F5" s="15"/>
      <c r="G5" s="15"/>
      <c r="H5" s="15"/>
    </row>
    <row r="6" spans="1:8">
      <c r="A6" s="7"/>
      <c r="B6" s="7"/>
      <c r="C6" s="7"/>
      <c r="D6" s="7"/>
      <c r="E6" s="7"/>
      <c r="F6" s="7"/>
      <c r="G6" s="7"/>
      <c r="H6" s="7"/>
    </row>
    <row r="7" spans="1:8" ht="15">
      <c r="A7" s="1" t="s">
        <v>2</v>
      </c>
      <c r="B7" s="1" t="s">
        <v>3</v>
      </c>
      <c r="C7" s="1" t="s">
        <v>4</v>
      </c>
      <c r="D7" s="1" t="s">
        <v>5</v>
      </c>
      <c r="E7" s="1" t="s">
        <v>6</v>
      </c>
      <c r="F7" s="7"/>
      <c r="G7" s="7"/>
      <c r="H7" s="7"/>
    </row>
    <row r="8" spans="1:8" ht="28.5">
      <c r="A8" s="2">
        <v>1</v>
      </c>
      <c r="B8" s="2" t="s">
        <v>7</v>
      </c>
      <c r="C8" s="2" t="s">
        <v>8</v>
      </c>
      <c r="D8" s="2" t="s">
        <v>9</v>
      </c>
      <c r="E8" s="2" t="s">
        <v>10</v>
      </c>
      <c r="F8" s="7"/>
      <c r="G8" s="7"/>
      <c r="H8" s="7"/>
    </row>
    <row r="9" spans="1:8" ht="28.5">
      <c r="A9" s="2">
        <v>2</v>
      </c>
      <c r="B9" s="2" t="s">
        <v>11</v>
      </c>
      <c r="C9" s="2" t="s">
        <v>12</v>
      </c>
      <c r="D9" s="2" t="s">
        <v>13</v>
      </c>
      <c r="E9" s="2" t="s">
        <v>14</v>
      </c>
      <c r="F9" s="7"/>
      <c r="G9" s="7"/>
      <c r="H9" s="7"/>
    </row>
    <row r="10" spans="1:8">
      <c r="A10" s="2">
        <v>3</v>
      </c>
      <c r="B10" s="2" t="s">
        <v>15</v>
      </c>
      <c r="C10" s="2" t="s">
        <v>16</v>
      </c>
      <c r="D10" s="2" t="s">
        <v>577</v>
      </c>
      <c r="E10" s="2" t="s">
        <v>17</v>
      </c>
      <c r="F10" s="7"/>
      <c r="G10" s="7"/>
      <c r="H10" s="7"/>
    </row>
    <row r="11" spans="1:8" ht="28.5">
      <c r="A11" s="2">
        <v>4</v>
      </c>
      <c r="B11" s="2" t="s">
        <v>18</v>
      </c>
      <c r="C11" s="2" t="s">
        <v>19</v>
      </c>
      <c r="D11" s="2" t="s">
        <v>20</v>
      </c>
      <c r="E11" s="2" t="s">
        <v>21</v>
      </c>
      <c r="F11" s="7"/>
      <c r="G11" s="7"/>
      <c r="H11" s="7"/>
    </row>
    <row r="12" spans="1:8" ht="28.5">
      <c r="A12" s="2">
        <v>5</v>
      </c>
      <c r="B12" s="2" t="s">
        <v>22</v>
      </c>
      <c r="C12" s="2" t="s">
        <v>23</v>
      </c>
      <c r="D12" s="2" t="s">
        <v>24</v>
      </c>
      <c r="E12" s="2" t="s">
        <v>25</v>
      </c>
      <c r="F12" s="7"/>
      <c r="G12" s="7"/>
      <c r="H12" s="7"/>
    </row>
    <row r="13" spans="1:8">
      <c r="A13" s="2">
        <v>6</v>
      </c>
      <c r="B13" s="2" t="s">
        <v>26</v>
      </c>
      <c r="C13" s="2" t="s">
        <v>27</v>
      </c>
      <c r="D13" s="2" t="s">
        <v>28</v>
      </c>
      <c r="E13" s="2" t="s">
        <v>29</v>
      </c>
      <c r="F13" s="7"/>
      <c r="G13" s="7"/>
      <c r="H13" s="7"/>
    </row>
    <row r="14" spans="1:8" ht="28.5">
      <c r="A14" s="2">
        <v>7</v>
      </c>
      <c r="B14" s="2" t="s">
        <v>30</v>
      </c>
      <c r="C14" s="2" t="s">
        <v>31</v>
      </c>
      <c r="D14" s="2" t="s">
        <v>32</v>
      </c>
      <c r="E14" s="2" t="s">
        <v>33</v>
      </c>
      <c r="F14" s="7"/>
      <c r="G14" s="7"/>
      <c r="H14" s="7"/>
    </row>
  </sheetData>
  <mergeCells count="3">
    <mergeCell ref="A1:H1"/>
    <mergeCell ref="A3:H3"/>
    <mergeCell ref="A4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6"/>
  <sheetViews>
    <sheetView workbookViewId="0"/>
  </sheetViews>
  <sheetFormatPr defaultRowHeight="14.25"/>
  <cols>
    <col min="1" max="1" width="44.625" customWidth="1"/>
    <col min="2" max="2" width="36.625" customWidth="1"/>
    <col min="3" max="4" width="24" customWidth="1"/>
    <col min="5" max="7" width="55.625" customWidth="1"/>
    <col min="8" max="8" width="28.625" customWidth="1"/>
    <col min="9" max="9" width="18.625" customWidth="1"/>
    <col min="10" max="10" width="17.625" customWidth="1"/>
    <col min="11" max="11" width="16" customWidth="1"/>
    <col min="12" max="12" width="24.625" customWidth="1"/>
    <col min="13" max="13" width="22" customWidth="1"/>
    <col min="14" max="14" width="41.625" customWidth="1"/>
  </cols>
  <sheetData>
    <row r="1" spans="1:14" ht="18">
      <c r="A1" s="13" t="s">
        <v>34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5">
      <c r="A2" s="1" t="s">
        <v>35</v>
      </c>
      <c r="B2" s="1" t="s">
        <v>36</v>
      </c>
      <c r="C2" s="1" t="s">
        <v>37</v>
      </c>
      <c r="D2" s="1" t="s">
        <v>38</v>
      </c>
      <c r="E2" s="1" t="s">
        <v>39</v>
      </c>
      <c r="F2" s="1" t="s">
        <v>40</v>
      </c>
      <c r="G2" s="1" t="s">
        <v>41</v>
      </c>
      <c r="H2" s="1" t="s">
        <v>42</v>
      </c>
      <c r="I2" s="1" t="s">
        <v>43</v>
      </c>
      <c r="J2" s="1" t="s">
        <v>44</v>
      </c>
      <c r="K2" s="1" t="s">
        <v>45</v>
      </c>
      <c r="L2" s="1" t="s">
        <v>46</v>
      </c>
      <c r="M2" s="1" t="s">
        <v>47</v>
      </c>
      <c r="N2" s="1" t="s">
        <v>48</v>
      </c>
    </row>
    <row r="3" spans="1:14" ht="28.5">
      <c r="A3" s="2">
        <v>1</v>
      </c>
      <c r="B3" s="3" t="s">
        <v>239</v>
      </c>
      <c r="C3" s="3" t="s">
        <v>306</v>
      </c>
      <c r="D3" s="3" t="s">
        <v>307</v>
      </c>
      <c r="E3" s="3" t="s">
        <v>308</v>
      </c>
      <c r="F3" s="3" t="s">
        <v>578</v>
      </c>
      <c r="G3" s="3" t="s">
        <v>309</v>
      </c>
      <c r="H3" s="3" t="s">
        <v>70</v>
      </c>
      <c r="I3" s="3">
        <v>5</v>
      </c>
      <c r="J3" s="3">
        <v>5</v>
      </c>
      <c r="K3" s="3">
        <v>5</v>
      </c>
      <c r="L3" s="4">
        <f t="shared" ref="L3:L26" si="0">IF(COUNTA(B3:K3)=0,"",ROUND(AVERAGE(I3:K3),2))</f>
        <v>5</v>
      </c>
      <c r="M3" s="3" t="s">
        <v>258</v>
      </c>
      <c r="N3" s="3" t="s">
        <v>310</v>
      </c>
    </row>
    <row r="4" spans="1:14" ht="28.5">
      <c r="A4" s="2">
        <v>2</v>
      </c>
      <c r="B4" s="3" t="s">
        <v>239</v>
      </c>
      <c r="C4" s="3" t="s">
        <v>306</v>
      </c>
      <c r="D4" s="3" t="s">
        <v>311</v>
      </c>
      <c r="E4" s="3" t="s">
        <v>312</v>
      </c>
      <c r="F4" s="3" t="s">
        <v>579</v>
      </c>
      <c r="G4" s="3" t="s">
        <v>580</v>
      </c>
      <c r="H4" s="3" t="s">
        <v>70</v>
      </c>
      <c r="I4" s="3">
        <v>5</v>
      </c>
      <c r="J4" s="3">
        <v>5</v>
      </c>
      <c r="K4" s="3">
        <v>5</v>
      </c>
      <c r="L4" s="4">
        <f t="shared" si="0"/>
        <v>5</v>
      </c>
      <c r="M4" s="3" t="s">
        <v>258</v>
      </c>
      <c r="N4" s="3" t="s">
        <v>310</v>
      </c>
    </row>
    <row r="5" spans="1:14" ht="28.5">
      <c r="A5" s="2">
        <v>3</v>
      </c>
      <c r="B5" s="3" t="s">
        <v>239</v>
      </c>
      <c r="C5" s="3" t="s">
        <v>306</v>
      </c>
      <c r="D5" s="3" t="s">
        <v>313</v>
      </c>
      <c r="E5" s="3" t="s">
        <v>314</v>
      </c>
      <c r="F5" s="3" t="s">
        <v>581</v>
      </c>
      <c r="G5" s="3" t="s">
        <v>315</v>
      </c>
      <c r="H5" s="3" t="s">
        <v>70</v>
      </c>
      <c r="I5" s="3">
        <v>5</v>
      </c>
      <c r="J5" s="3">
        <v>5</v>
      </c>
      <c r="K5" s="3">
        <v>4</v>
      </c>
      <c r="L5" s="4">
        <f t="shared" si="0"/>
        <v>4.67</v>
      </c>
      <c r="M5" s="3" t="s">
        <v>258</v>
      </c>
      <c r="N5" s="3" t="s">
        <v>310</v>
      </c>
    </row>
    <row r="6" spans="1:14" ht="28.5">
      <c r="A6" s="2">
        <v>4</v>
      </c>
      <c r="B6" s="3" t="s">
        <v>239</v>
      </c>
      <c r="C6" s="3" t="s">
        <v>306</v>
      </c>
      <c r="D6" s="3" t="s">
        <v>316</v>
      </c>
      <c r="E6" s="3" t="s">
        <v>317</v>
      </c>
      <c r="F6" s="3" t="s">
        <v>582</v>
      </c>
      <c r="G6" s="3" t="s">
        <v>318</v>
      </c>
      <c r="H6" s="3" t="s">
        <v>70</v>
      </c>
      <c r="I6" s="3">
        <v>5</v>
      </c>
      <c r="J6" s="3">
        <v>5</v>
      </c>
      <c r="K6" s="3">
        <v>3</v>
      </c>
      <c r="L6" s="4">
        <f t="shared" si="0"/>
        <v>4.33</v>
      </c>
      <c r="M6" s="3" t="s">
        <v>258</v>
      </c>
      <c r="N6" s="3" t="s">
        <v>310</v>
      </c>
    </row>
    <row r="7" spans="1:14" ht="28.5">
      <c r="A7" s="2">
        <v>5</v>
      </c>
      <c r="B7" s="3" t="s">
        <v>239</v>
      </c>
      <c r="C7" s="3" t="s">
        <v>306</v>
      </c>
      <c r="D7" s="3" t="s">
        <v>319</v>
      </c>
      <c r="E7" s="3" t="s">
        <v>320</v>
      </c>
      <c r="F7" s="3" t="s">
        <v>321</v>
      </c>
      <c r="G7" s="3" t="s">
        <v>322</v>
      </c>
      <c r="H7" s="3" t="s">
        <v>58</v>
      </c>
      <c r="I7" s="3">
        <v>5</v>
      </c>
      <c r="J7" s="3">
        <v>5</v>
      </c>
      <c r="K7" s="3">
        <v>4</v>
      </c>
      <c r="L7" s="4">
        <f t="shared" si="0"/>
        <v>4.67</v>
      </c>
      <c r="M7" s="3" t="s">
        <v>258</v>
      </c>
      <c r="N7" s="3" t="s">
        <v>310</v>
      </c>
    </row>
    <row r="8" spans="1:14" ht="28.5">
      <c r="A8" s="2">
        <v>6</v>
      </c>
      <c r="B8" s="3" t="s">
        <v>239</v>
      </c>
      <c r="C8" s="3" t="s">
        <v>323</v>
      </c>
      <c r="D8" s="3" t="s">
        <v>324</v>
      </c>
      <c r="E8" s="3" t="s">
        <v>325</v>
      </c>
      <c r="F8" s="3" t="s">
        <v>326</v>
      </c>
      <c r="G8" s="3" t="s">
        <v>327</v>
      </c>
      <c r="H8" s="3" t="s">
        <v>61</v>
      </c>
      <c r="I8" s="3">
        <v>4</v>
      </c>
      <c r="J8" s="3">
        <v>5</v>
      </c>
      <c r="K8" s="3">
        <v>5</v>
      </c>
      <c r="L8" s="4">
        <f t="shared" si="0"/>
        <v>4.67</v>
      </c>
      <c r="M8" s="3" t="s">
        <v>258</v>
      </c>
      <c r="N8" s="3" t="s">
        <v>310</v>
      </c>
    </row>
    <row r="9" spans="1:14" ht="28.5">
      <c r="A9" s="2">
        <v>7</v>
      </c>
      <c r="B9" s="3" t="s">
        <v>257</v>
      </c>
      <c r="C9" s="3" t="s">
        <v>328</v>
      </c>
      <c r="D9" s="3" t="s">
        <v>329</v>
      </c>
      <c r="E9" s="3" t="s">
        <v>330</v>
      </c>
      <c r="F9" s="3" t="s">
        <v>331</v>
      </c>
      <c r="G9" s="3" t="s">
        <v>332</v>
      </c>
      <c r="H9" s="3" t="s">
        <v>61</v>
      </c>
      <c r="I9" s="3">
        <v>4</v>
      </c>
      <c r="J9" s="3">
        <v>5</v>
      </c>
      <c r="K9" s="3">
        <v>5</v>
      </c>
      <c r="L9" s="4">
        <f t="shared" si="0"/>
        <v>4.67</v>
      </c>
      <c r="M9" s="3" t="s">
        <v>258</v>
      </c>
      <c r="N9" s="3" t="s">
        <v>310</v>
      </c>
    </row>
    <row r="10" spans="1:14" ht="28.5">
      <c r="A10" s="2">
        <v>8</v>
      </c>
      <c r="B10" s="3" t="s">
        <v>266</v>
      </c>
      <c r="C10" s="3" t="s">
        <v>333</v>
      </c>
      <c r="D10" s="3" t="s">
        <v>329</v>
      </c>
      <c r="E10" s="3" t="s">
        <v>330</v>
      </c>
      <c r="F10" s="3" t="s">
        <v>334</v>
      </c>
      <c r="G10" s="3" t="s">
        <v>335</v>
      </c>
      <c r="H10" s="3" t="s">
        <v>61</v>
      </c>
      <c r="I10" s="3">
        <v>4</v>
      </c>
      <c r="J10" s="3">
        <v>5</v>
      </c>
      <c r="K10" s="3">
        <v>5</v>
      </c>
      <c r="L10" s="4">
        <f t="shared" si="0"/>
        <v>4.67</v>
      </c>
      <c r="M10" s="3" t="s">
        <v>258</v>
      </c>
      <c r="N10" s="3" t="s">
        <v>310</v>
      </c>
    </row>
    <row r="11" spans="1:14" ht="28.5">
      <c r="A11" s="2">
        <v>9</v>
      </c>
      <c r="B11" s="3" t="s">
        <v>248</v>
      </c>
      <c r="C11" s="3" t="s">
        <v>336</v>
      </c>
      <c r="D11" s="3" t="s">
        <v>329</v>
      </c>
      <c r="E11" s="3" t="s">
        <v>337</v>
      </c>
      <c r="F11" s="3" t="s">
        <v>338</v>
      </c>
      <c r="G11" s="3" t="s">
        <v>339</v>
      </c>
      <c r="H11" s="3" t="s">
        <v>70</v>
      </c>
      <c r="I11" s="3">
        <v>4</v>
      </c>
      <c r="J11" s="3">
        <v>5</v>
      </c>
      <c r="K11" s="3">
        <v>5</v>
      </c>
      <c r="L11" s="4">
        <f t="shared" si="0"/>
        <v>4.67</v>
      </c>
      <c r="M11" s="3" t="s">
        <v>258</v>
      </c>
      <c r="N11" s="3" t="s">
        <v>310</v>
      </c>
    </row>
    <row r="12" spans="1:14" ht="28.5">
      <c r="A12" s="2">
        <v>10</v>
      </c>
      <c r="B12" s="3" t="s">
        <v>248</v>
      </c>
      <c r="C12" s="3" t="s">
        <v>336</v>
      </c>
      <c r="D12" s="3" t="s">
        <v>329</v>
      </c>
      <c r="E12" s="3" t="s">
        <v>337</v>
      </c>
      <c r="F12" s="3" t="s">
        <v>340</v>
      </c>
      <c r="G12" s="3" t="s">
        <v>341</v>
      </c>
      <c r="H12" s="3" t="s">
        <v>67</v>
      </c>
      <c r="I12" s="3">
        <v>4</v>
      </c>
      <c r="J12" s="3">
        <v>5</v>
      </c>
      <c r="K12" s="3">
        <v>4</v>
      </c>
      <c r="L12" s="4">
        <f t="shared" si="0"/>
        <v>4.33</v>
      </c>
      <c r="M12" s="3" t="s">
        <v>258</v>
      </c>
      <c r="N12" s="3" t="s">
        <v>310</v>
      </c>
    </row>
    <row r="13" spans="1:14" ht="28.5">
      <c r="A13" s="2">
        <v>11</v>
      </c>
      <c r="B13" s="3" t="s">
        <v>248</v>
      </c>
      <c r="C13" s="3" t="s">
        <v>336</v>
      </c>
      <c r="D13" s="3" t="s">
        <v>329</v>
      </c>
      <c r="E13" s="3" t="s">
        <v>337</v>
      </c>
      <c r="F13" s="3" t="s">
        <v>342</v>
      </c>
      <c r="G13" s="3" t="s">
        <v>343</v>
      </c>
      <c r="H13" s="3" t="s">
        <v>79</v>
      </c>
      <c r="I13" s="3">
        <v>4</v>
      </c>
      <c r="J13" s="3">
        <v>5</v>
      </c>
      <c r="K13" s="3">
        <v>3</v>
      </c>
      <c r="L13" s="4">
        <f t="shared" si="0"/>
        <v>4</v>
      </c>
      <c r="M13" s="3" t="s">
        <v>258</v>
      </c>
      <c r="N13" s="3" t="s">
        <v>310</v>
      </c>
    </row>
    <row r="14" spans="1:14" ht="28.5">
      <c r="A14" s="2">
        <v>12</v>
      </c>
      <c r="B14" s="3" t="s">
        <v>248</v>
      </c>
      <c r="C14" s="3" t="s">
        <v>344</v>
      </c>
      <c r="D14" s="3" t="s">
        <v>345</v>
      </c>
      <c r="E14" s="3" t="s">
        <v>346</v>
      </c>
      <c r="F14" s="3" t="s">
        <v>347</v>
      </c>
      <c r="G14" s="3" t="s">
        <v>348</v>
      </c>
      <c r="H14" s="3" t="s">
        <v>64</v>
      </c>
      <c r="I14" s="3">
        <v>4</v>
      </c>
      <c r="J14" s="3">
        <v>4</v>
      </c>
      <c r="K14" s="3">
        <v>5</v>
      </c>
      <c r="L14" s="4">
        <f t="shared" si="0"/>
        <v>4.33</v>
      </c>
      <c r="M14" s="3" t="s">
        <v>258</v>
      </c>
      <c r="N14" s="3" t="s">
        <v>310</v>
      </c>
    </row>
    <row r="15" spans="1:14">
      <c r="A15" s="2">
        <v>13</v>
      </c>
      <c r="B15" s="3" t="s">
        <v>248</v>
      </c>
      <c r="C15" s="3" t="s">
        <v>344</v>
      </c>
      <c r="D15" s="3" t="s">
        <v>349</v>
      </c>
      <c r="E15" s="3" t="s">
        <v>346</v>
      </c>
      <c r="F15" s="3" t="s">
        <v>350</v>
      </c>
      <c r="G15" s="3" t="s">
        <v>351</v>
      </c>
      <c r="H15" s="3" t="s">
        <v>64</v>
      </c>
      <c r="I15" s="3">
        <v>4</v>
      </c>
      <c r="J15" s="3">
        <v>4</v>
      </c>
      <c r="K15" s="3">
        <v>4</v>
      </c>
      <c r="L15" s="4">
        <f t="shared" si="0"/>
        <v>4</v>
      </c>
      <c r="M15" s="3" t="s">
        <v>258</v>
      </c>
      <c r="N15" s="3" t="s">
        <v>310</v>
      </c>
    </row>
    <row r="16" spans="1:14" ht="28.5">
      <c r="A16" s="2">
        <v>14</v>
      </c>
      <c r="B16" s="3" t="s">
        <v>275</v>
      </c>
      <c r="C16" s="3" t="s">
        <v>352</v>
      </c>
      <c r="D16" s="3" t="s">
        <v>311</v>
      </c>
      <c r="E16" s="3" t="s">
        <v>353</v>
      </c>
      <c r="F16" s="3" t="s">
        <v>354</v>
      </c>
      <c r="G16" s="3" t="s">
        <v>355</v>
      </c>
      <c r="H16" s="3" t="s">
        <v>61</v>
      </c>
      <c r="I16" s="3">
        <v>3</v>
      </c>
      <c r="J16" s="3">
        <v>4</v>
      </c>
      <c r="K16" s="3">
        <v>3</v>
      </c>
      <c r="L16" s="4">
        <f t="shared" si="0"/>
        <v>3.33</v>
      </c>
      <c r="M16" s="3" t="s">
        <v>258</v>
      </c>
      <c r="N16" s="3" t="s">
        <v>310</v>
      </c>
    </row>
    <row r="17" spans="1:14" ht="28.5">
      <c r="A17" s="2">
        <v>15</v>
      </c>
      <c r="B17" s="3" t="s">
        <v>275</v>
      </c>
      <c r="C17" s="3" t="s">
        <v>356</v>
      </c>
      <c r="D17" s="3" t="s">
        <v>357</v>
      </c>
      <c r="E17" s="3" t="s">
        <v>358</v>
      </c>
      <c r="F17" s="3" t="s">
        <v>359</v>
      </c>
      <c r="G17" s="3" t="s">
        <v>360</v>
      </c>
      <c r="H17" s="3" t="s">
        <v>61</v>
      </c>
      <c r="I17" s="3">
        <v>3</v>
      </c>
      <c r="J17" s="3">
        <v>4</v>
      </c>
      <c r="K17" s="3">
        <v>4</v>
      </c>
      <c r="L17" s="4">
        <f t="shared" si="0"/>
        <v>3.67</v>
      </c>
      <c r="M17" s="3" t="s">
        <v>258</v>
      </c>
      <c r="N17" s="3" t="s">
        <v>310</v>
      </c>
    </row>
    <row r="18" spans="1:14" ht="28.5">
      <c r="A18" s="2">
        <v>16</v>
      </c>
      <c r="B18" s="3" t="s">
        <v>297</v>
      </c>
      <c r="C18" s="3" t="s">
        <v>356</v>
      </c>
      <c r="D18" s="3" t="s">
        <v>357</v>
      </c>
      <c r="E18" s="3" t="s">
        <v>358</v>
      </c>
      <c r="F18" s="3" t="s">
        <v>361</v>
      </c>
      <c r="G18" s="3" t="s">
        <v>649</v>
      </c>
      <c r="H18" s="3" t="s">
        <v>70</v>
      </c>
      <c r="I18" s="3">
        <v>3</v>
      </c>
      <c r="J18" s="3">
        <v>3</v>
      </c>
      <c r="K18" s="3">
        <v>4</v>
      </c>
      <c r="L18" s="4">
        <f t="shared" si="0"/>
        <v>3.33</v>
      </c>
      <c r="M18" s="3" t="s">
        <v>258</v>
      </c>
      <c r="N18" s="3" t="s">
        <v>310</v>
      </c>
    </row>
    <row r="19" spans="1:14" ht="28.5">
      <c r="A19" s="2">
        <v>17</v>
      </c>
      <c r="B19" s="3" t="s">
        <v>284</v>
      </c>
      <c r="C19" s="3" t="s">
        <v>362</v>
      </c>
      <c r="D19" s="3" t="s">
        <v>363</v>
      </c>
      <c r="E19" s="3" t="s">
        <v>364</v>
      </c>
      <c r="F19" s="3" t="s">
        <v>365</v>
      </c>
      <c r="G19" s="3" t="s">
        <v>366</v>
      </c>
      <c r="H19" s="3" t="s">
        <v>58</v>
      </c>
      <c r="I19" s="3">
        <v>4</v>
      </c>
      <c r="J19" s="3">
        <v>5</v>
      </c>
      <c r="K19" s="3">
        <v>4</v>
      </c>
      <c r="L19" s="4">
        <f t="shared" si="0"/>
        <v>4.33</v>
      </c>
      <c r="M19" s="3" t="s">
        <v>258</v>
      </c>
      <c r="N19" s="3" t="s">
        <v>310</v>
      </c>
    </row>
    <row r="20" spans="1:14">
      <c r="A20" s="2">
        <v>18</v>
      </c>
      <c r="B20" s="3" t="s">
        <v>292</v>
      </c>
      <c r="C20" s="3" t="s">
        <v>367</v>
      </c>
      <c r="D20" s="3" t="s">
        <v>368</v>
      </c>
      <c r="E20" s="3" t="s">
        <v>369</v>
      </c>
      <c r="F20" s="3" t="s">
        <v>370</v>
      </c>
      <c r="G20" s="3" t="s">
        <v>371</v>
      </c>
      <c r="H20" s="3" t="s">
        <v>61</v>
      </c>
      <c r="I20" s="3">
        <v>3</v>
      </c>
      <c r="J20" s="3">
        <v>5</v>
      </c>
      <c r="K20" s="3">
        <v>5</v>
      </c>
      <c r="L20" s="4">
        <f t="shared" si="0"/>
        <v>4.33</v>
      </c>
      <c r="M20" s="3" t="s">
        <v>249</v>
      </c>
      <c r="N20" s="3" t="s">
        <v>310</v>
      </c>
    </row>
    <row r="21" spans="1:14" ht="28.5">
      <c r="A21" s="2">
        <v>19</v>
      </c>
      <c r="B21" s="3" t="s">
        <v>304</v>
      </c>
      <c r="C21" s="3" t="s">
        <v>372</v>
      </c>
      <c r="D21" s="3" t="s">
        <v>368</v>
      </c>
      <c r="E21" s="3" t="s">
        <v>373</v>
      </c>
      <c r="F21" s="3" t="s">
        <v>583</v>
      </c>
      <c r="G21" s="3" t="s">
        <v>584</v>
      </c>
      <c r="H21" s="3" t="s">
        <v>70</v>
      </c>
      <c r="I21" s="3">
        <v>3</v>
      </c>
      <c r="J21" s="3">
        <v>4</v>
      </c>
      <c r="K21" s="3">
        <v>5</v>
      </c>
      <c r="L21" s="4">
        <f t="shared" si="0"/>
        <v>4</v>
      </c>
      <c r="M21" s="3" t="s">
        <v>249</v>
      </c>
      <c r="N21" s="3" t="s">
        <v>310</v>
      </c>
    </row>
    <row r="22" spans="1:14" ht="42.75">
      <c r="A22" s="2">
        <v>20</v>
      </c>
      <c r="B22" s="3" t="s">
        <v>239</v>
      </c>
      <c r="C22" s="3" t="s">
        <v>374</v>
      </c>
      <c r="D22" s="3" t="s">
        <v>375</v>
      </c>
      <c r="E22" s="3" t="s">
        <v>376</v>
      </c>
      <c r="F22" s="3" t="s">
        <v>377</v>
      </c>
      <c r="G22" s="3" t="s">
        <v>378</v>
      </c>
      <c r="H22" s="3" t="s">
        <v>58</v>
      </c>
      <c r="I22" s="3">
        <v>4</v>
      </c>
      <c r="J22" s="3">
        <v>4</v>
      </c>
      <c r="K22" s="3">
        <v>5</v>
      </c>
      <c r="L22" s="4">
        <f t="shared" si="0"/>
        <v>4.33</v>
      </c>
      <c r="M22" s="3" t="s">
        <v>258</v>
      </c>
      <c r="N22" s="3" t="s">
        <v>310</v>
      </c>
    </row>
    <row r="23" spans="1:14" ht="28.5">
      <c r="A23" s="2">
        <v>21</v>
      </c>
      <c r="B23" s="3" t="s">
        <v>302</v>
      </c>
      <c r="C23" s="3" t="s">
        <v>379</v>
      </c>
      <c r="D23" s="3" t="s">
        <v>368</v>
      </c>
      <c r="E23" s="3" t="s">
        <v>380</v>
      </c>
      <c r="F23" s="3" t="s">
        <v>381</v>
      </c>
      <c r="G23" s="3" t="s">
        <v>382</v>
      </c>
      <c r="H23" s="3" t="s">
        <v>73</v>
      </c>
      <c r="I23" s="3">
        <v>2</v>
      </c>
      <c r="J23" s="3">
        <v>4</v>
      </c>
      <c r="K23" s="3">
        <v>5</v>
      </c>
      <c r="L23" s="4">
        <f t="shared" si="0"/>
        <v>3.67</v>
      </c>
      <c r="M23" s="3" t="s">
        <v>285</v>
      </c>
      <c r="N23" s="3" t="s">
        <v>310</v>
      </c>
    </row>
    <row r="24" spans="1:14" ht="28.5">
      <c r="A24" s="2">
        <v>22</v>
      </c>
      <c r="B24" s="3" t="s">
        <v>302</v>
      </c>
      <c r="C24" s="3" t="s">
        <v>383</v>
      </c>
      <c r="D24" s="3" t="s">
        <v>368</v>
      </c>
      <c r="E24" s="3" t="s">
        <v>380</v>
      </c>
      <c r="F24" s="3" t="s">
        <v>384</v>
      </c>
      <c r="G24" s="3" t="s">
        <v>385</v>
      </c>
      <c r="H24" s="3" t="s">
        <v>79</v>
      </c>
      <c r="I24" s="3">
        <v>2</v>
      </c>
      <c r="J24" s="3">
        <v>4</v>
      </c>
      <c r="K24" s="3">
        <v>3</v>
      </c>
      <c r="L24" s="4">
        <f t="shared" si="0"/>
        <v>3</v>
      </c>
      <c r="M24" s="3" t="s">
        <v>285</v>
      </c>
      <c r="N24" s="3" t="s">
        <v>310</v>
      </c>
    </row>
    <row r="25" spans="1:14">
      <c r="A25" s="2">
        <v>23</v>
      </c>
      <c r="B25" s="3" t="s">
        <v>304</v>
      </c>
      <c r="C25" s="3" t="s">
        <v>386</v>
      </c>
      <c r="D25" s="3" t="s">
        <v>368</v>
      </c>
      <c r="E25" s="3" t="s">
        <v>314</v>
      </c>
      <c r="F25" s="3" t="s">
        <v>387</v>
      </c>
      <c r="G25" s="3" t="s">
        <v>388</v>
      </c>
      <c r="H25" s="3" t="s">
        <v>82</v>
      </c>
      <c r="I25" s="3">
        <v>3</v>
      </c>
      <c r="J25" s="3">
        <v>4</v>
      </c>
      <c r="K25" s="3">
        <v>4</v>
      </c>
      <c r="L25" s="4">
        <f t="shared" si="0"/>
        <v>3.67</v>
      </c>
      <c r="M25" s="3" t="s">
        <v>285</v>
      </c>
      <c r="N25" s="3" t="s">
        <v>310</v>
      </c>
    </row>
    <row r="26" spans="1:14" ht="28.5">
      <c r="A26" s="2">
        <v>24</v>
      </c>
      <c r="B26" s="3" t="s">
        <v>302</v>
      </c>
      <c r="C26" s="3" t="s">
        <v>389</v>
      </c>
      <c r="D26" s="3" t="s">
        <v>368</v>
      </c>
      <c r="E26" s="3" t="s">
        <v>380</v>
      </c>
      <c r="F26" s="3" t="s">
        <v>390</v>
      </c>
      <c r="G26" s="3" t="s">
        <v>391</v>
      </c>
      <c r="H26" s="3" t="s">
        <v>76</v>
      </c>
      <c r="I26" s="3">
        <v>2</v>
      </c>
      <c r="J26" s="3">
        <v>4</v>
      </c>
      <c r="K26" s="3">
        <v>4</v>
      </c>
      <c r="L26" s="4">
        <f t="shared" si="0"/>
        <v>3.33</v>
      </c>
      <c r="M26" s="3" t="s">
        <v>285</v>
      </c>
      <c r="N26" s="3" t="s">
        <v>310</v>
      </c>
    </row>
  </sheetData>
  <mergeCells count="1">
    <mergeCell ref="A1:N1"/>
  </mergeCells>
  <conditionalFormatting sqref="L3:L26">
    <cfRule type="colorScale" priority="5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100-000000000000}">
          <x14:formula1>
            <xm:f>'12_Справочники'!$A$3:$A$12</xm:f>
          </x14:formula1>
          <xm:sqref>B3:B26</xm:sqref>
        </x14:dataValidation>
        <x14:dataValidation type="list" xr:uid="{00000000-0002-0000-0100-000001000000}">
          <x14:formula1>
            <xm:f>'12_Справочники'!$B$3:$B$11</xm:f>
          </x14:formula1>
          <xm:sqref>H3:H26</xm:sqref>
        </x14:dataValidation>
        <x14:dataValidation type="list" xr:uid="{00000000-0002-0000-0100-000002000000}">
          <x14:formula1>
            <xm:f>'12_Справочники'!$C$3:$C$7</xm:f>
          </x14:formula1>
          <xm:sqref>I3:K26</xm:sqref>
        </x14:dataValidation>
        <x14:dataValidation type="list" xr:uid="{00000000-0002-0000-0100-000003000000}">
          <x14:formula1>
            <xm:f>'12_Справочники'!$D$3:$D$8</xm:f>
          </x14:formula1>
          <xm:sqref>M3:M26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workbookViewId="0"/>
  </sheetViews>
  <sheetFormatPr defaultRowHeight="14.25"/>
  <cols>
    <col min="1" max="5" width="55.625" customWidth="1"/>
    <col min="6" max="6" width="18.625" customWidth="1"/>
    <col min="7" max="7" width="14" customWidth="1"/>
    <col min="8" max="8" width="16.625" customWidth="1"/>
    <col min="9" max="9" width="55.625" customWidth="1"/>
    <col min="10" max="10" width="20" customWidth="1"/>
  </cols>
  <sheetData>
    <row r="1" spans="1:10" ht="18">
      <c r="A1" s="13" t="s">
        <v>49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15">
      <c r="A2" s="1" t="s">
        <v>42</v>
      </c>
      <c r="B2" s="1" t="s">
        <v>50</v>
      </c>
      <c r="C2" s="1" t="s">
        <v>51</v>
      </c>
      <c r="D2" s="1" t="s">
        <v>52</v>
      </c>
      <c r="E2" s="1" t="s">
        <v>53</v>
      </c>
      <c r="F2" s="1" t="s">
        <v>43</v>
      </c>
      <c r="G2" s="1" t="s">
        <v>54</v>
      </c>
      <c r="H2" s="1" t="s">
        <v>55</v>
      </c>
      <c r="I2" s="1" t="s">
        <v>56</v>
      </c>
      <c r="J2" s="1" t="s">
        <v>57</v>
      </c>
    </row>
    <row r="3" spans="1:10" ht="71.25">
      <c r="A3" s="2" t="s">
        <v>58</v>
      </c>
      <c r="B3" s="2" t="s">
        <v>59</v>
      </c>
      <c r="C3" s="2" t="s">
        <v>60</v>
      </c>
      <c r="D3" s="3" t="s">
        <v>631</v>
      </c>
      <c r="E3" s="3" t="s">
        <v>392</v>
      </c>
      <c r="F3" s="3">
        <v>4</v>
      </c>
      <c r="G3" s="3">
        <v>4</v>
      </c>
      <c r="H3" s="3">
        <v>2</v>
      </c>
      <c r="I3" s="3" t="s">
        <v>393</v>
      </c>
      <c r="J3" s="4" t="str">
        <f t="shared" ref="J3:J11" si="0">IF(COUNTA(D3:E3)=0,"Не заполнено",IF(AND(F3&gt;=4,G3&gt;=4,H3&lt;=2),"Готово",IF(OR(F3&lt;3,G3&lt;3,H3&gt;=4),"Требует доработки","Проверить")))</f>
        <v>Готово</v>
      </c>
    </row>
    <row r="4" spans="1:10" ht="85.5">
      <c r="A4" s="2" t="s">
        <v>61</v>
      </c>
      <c r="B4" s="2" t="s">
        <v>62</v>
      </c>
      <c r="C4" s="2" t="s">
        <v>63</v>
      </c>
      <c r="D4" s="3" t="s">
        <v>632</v>
      </c>
      <c r="E4" s="3" t="s">
        <v>394</v>
      </c>
      <c r="F4" s="3">
        <v>4</v>
      </c>
      <c r="G4" s="3">
        <v>4</v>
      </c>
      <c r="H4" s="3">
        <v>3</v>
      </c>
      <c r="I4" s="3" t="s">
        <v>395</v>
      </c>
      <c r="J4" s="4" t="str">
        <f t="shared" si="0"/>
        <v>Проверить</v>
      </c>
    </row>
    <row r="5" spans="1:10" ht="57">
      <c r="A5" s="2" t="s">
        <v>64</v>
      </c>
      <c r="B5" s="2" t="s">
        <v>65</v>
      </c>
      <c r="C5" s="2" t="s">
        <v>66</v>
      </c>
      <c r="D5" s="3" t="s">
        <v>633</v>
      </c>
      <c r="E5" s="3" t="s">
        <v>396</v>
      </c>
      <c r="F5" s="3">
        <v>4</v>
      </c>
      <c r="G5" s="3">
        <v>4</v>
      </c>
      <c r="H5" s="3">
        <v>3</v>
      </c>
      <c r="I5" s="3" t="s">
        <v>397</v>
      </c>
      <c r="J5" s="4" t="str">
        <f t="shared" si="0"/>
        <v>Проверить</v>
      </c>
    </row>
    <row r="6" spans="1:10" ht="28.5">
      <c r="A6" s="2" t="s">
        <v>67</v>
      </c>
      <c r="B6" s="2" t="s">
        <v>68</v>
      </c>
      <c r="C6" s="2" t="s">
        <v>69</v>
      </c>
      <c r="D6" s="3" t="s">
        <v>634</v>
      </c>
      <c r="E6" s="3" t="s">
        <v>398</v>
      </c>
      <c r="F6" s="3">
        <v>3</v>
      </c>
      <c r="G6" s="3">
        <v>4</v>
      </c>
      <c r="H6" s="3">
        <v>3</v>
      </c>
      <c r="I6" s="3" t="s">
        <v>399</v>
      </c>
      <c r="J6" s="4" t="str">
        <f t="shared" si="0"/>
        <v>Проверить</v>
      </c>
    </row>
    <row r="7" spans="1:10" ht="42.75">
      <c r="A7" s="2" t="s">
        <v>70</v>
      </c>
      <c r="B7" s="2" t="s">
        <v>71</v>
      </c>
      <c r="C7" s="2" t="s">
        <v>72</v>
      </c>
      <c r="D7" s="3" t="s">
        <v>635</v>
      </c>
      <c r="E7" s="3" t="s">
        <v>585</v>
      </c>
      <c r="F7" s="3">
        <v>3</v>
      </c>
      <c r="G7" s="3">
        <v>4</v>
      </c>
      <c r="H7" s="3">
        <v>3</v>
      </c>
      <c r="I7" s="3" t="s">
        <v>400</v>
      </c>
      <c r="J7" s="4" t="str">
        <f t="shared" si="0"/>
        <v>Проверить</v>
      </c>
    </row>
    <row r="8" spans="1:10" ht="42.75">
      <c r="A8" s="2" t="s">
        <v>73</v>
      </c>
      <c r="B8" s="2" t="s">
        <v>74</v>
      </c>
      <c r="C8" s="2" t="s">
        <v>75</v>
      </c>
      <c r="D8" s="3" t="s">
        <v>636</v>
      </c>
      <c r="E8" s="3" t="s">
        <v>401</v>
      </c>
      <c r="F8" s="3">
        <v>2</v>
      </c>
      <c r="G8" s="3">
        <v>3</v>
      </c>
      <c r="H8" s="3">
        <v>3</v>
      </c>
      <c r="I8" s="3" t="s">
        <v>402</v>
      </c>
      <c r="J8" s="4" t="str">
        <f t="shared" si="0"/>
        <v>Требует доработки</v>
      </c>
    </row>
    <row r="9" spans="1:10" ht="42.75">
      <c r="A9" s="2" t="s">
        <v>76</v>
      </c>
      <c r="B9" s="2" t="s">
        <v>77</v>
      </c>
      <c r="C9" s="2" t="s">
        <v>78</v>
      </c>
      <c r="D9" s="3" t="s">
        <v>637</v>
      </c>
      <c r="E9" s="3" t="s">
        <v>403</v>
      </c>
      <c r="F9" s="3">
        <v>2</v>
      </c>
      <c r="G9" s="3">
        <v>3</v>
      </c>
      <c r="H9" s="3">
        <v>3</v>
      </c>
      <c r="I9" s="3" t="s">
        <v>404</v>
      </c>
      <c r="J9" s="4" t="str">
        <f t="shared" si="0"/>
        <v>Требует доработки</v>
      </c>
    </row>
    <row r="10" spans="1:10" ht="42.75">
      <c r="A10" s="2" t="s">
        <v>79</v>
      </c>
      <c r="B10" s="2" t="s">
        <v>80</v>
      </c>
      <c r="C10" s="2" t="s">
        <v>81</v>
      </c>
      <c r="D10" s="3" t="s">
        <v>638</v>
      </c>
      <c r="E10" s="3" t="s">
        <v>405</v>
      </c>
      <c r="F10" s="3">
        <v>2</v>
      </c>
      <c r="G10" s="3">
        <v>3</v>
      </c>
      <c r="H10" s="3">
        <v>3</v>
      </c>
      <c r="I10" s="3" t="s">
        <v>406</v>
      </c>
      <c r="J10" s="4" t="str">
        <f t="shared" si="0"/>
        <v>Требует доработки</v>
      </c>
    </row>
    <row r="11" spans="1:10" ht="42.75">
      <c r="A11" s="2" t="s">
        <v>82</v>
      </c>
      <c r="B11" s="2" t="s">
        <v>83</v>
      </c>
      <c r="C11" s="2" t="s">
        <v>84</v>
      </c>
      <c r="D11" s="3" t="s">
        <v>639</v>
      </c>
      <c r="E11" s="3" t="s">
        <v>407</v>
      </c>
      <c r="F11" s="3">
        <v>2</v>
      </c>
      <c r="G11" s="3">
        <v>3</v>
      </c>
      <c r="H11" s="3">
        <v>4</v>
      </c>
      <c r="I11" s="3" t="s">
        <v>408</v>
      </c>
      <c r="J11" s="4" t="str">
        <f t="shared" si="0"/>
        <v>Требует доработки</v>
      </c>
    </row>
  </sheetData>
  <mergeCells count="1">
    <mergeCell ref="A1:J1"/>
  </mergeCells>
  <conditionalFormatting sqref="F3:G11">
    <cfRule type="dataBar" priority="1">
      <dataBar>
        <cfvo type="min"/>
        <cfvo type="max"/>
        <color rgb="FF3B82F6"/>
      </dataBar>
    </cfRule>
    <cfRule type="dataBar" priority="3">
      <dataBar>
        <cfvo type="min"/>
        <cfvo type="max"/>
        <color rgb="FF3B82F6"/>
      </dataBar>
      <extLst>
        <ext xmlns:x14="http://schemas.microsoft.com/office/spreadsheetml/2009/9/main" uri="{B025F937-C7B1-47D3-B67F-A62EFF666E3E}">
          <x14:id>{0DE743BD-6496-9224-63ED-4BB979AF368D}</x14:id>
        </ext>
      </extLst>
    </cfRule>
  </conditionalFormatting>
  <conditionalFormatting sqref="H3:H11">
    <cfRule type="colorScale" priority="2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E743BD-6496-9224-63ED-4BB979AF368D}">
            <x14:dataBar>
              <x14:cfvo type="min"/>
              <x14:cfvo type="max"/>
              <x14:negativeFillColor auto="1"/>
              <x14:axisColor auto="1"/>
            </x14:dataBar>
          </x14:cfRule>
          <xm:sqref>F3:G11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0000000}">
          <x14:formula1>
            <xm:f>'12_Справочники'!$C$3:$C$7</xm:f>
          </x14:formula1>
          <xm:sqref>F3:H11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"/>
  <sheetViews>
    <sheetView workbookViewId="0"/>
  </sheetViews>
  <sheetFormatPr defaultRowHeight="14.25"/>
  <cols>
    <col min="1" max="1" width="48.625" customWidth="1"/>
    <col min="2" max="5" width="55.625" customWidth="1"/>
    <col min="6" max="6" width="16" customWidth="1"/>
    <col min="7" max="7" width="20.625" customWidth="1"/>
    <col min="8" max="9" width="24.625" customWidth="1"/>
    <col min="10" max="10" width="18.625" customWidth="1"/>
    <col min="11" max="11" width="18" customWidth="1"/>
  </cols>
  <sheetData>
    <row r="1" spans="1:11" ht="18">
      <c r="A1" s="13" t="s">
        <v>85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30">
      <c r="A2" s="1" t="s">
        <v>86</v>
      </c>
      <c r="B2" s="1" t="s">
        <v>87</v>
      </c>
      <c r="C2" s="1" t="s">
        <v>88</v>
      </c>
      <c r="D2" s="1" t="s">
        <v>89</v>
      </c>
      <c r="E2" s="1" t="s">
        <v>53</v>
      </c>
      <c r="F2" s="1" t="s">
        <v>90</v>
      </c>
      <c r="G2" s="1" t="s">
        <v>91</v>
      </c>
      <c r="H2" s="1" t="s">
        <v>92</v>
      </c>
      <c r="I2" s="1" t="s">
        <v>93</v>
      </c>
      <c r="J2" s="1" t="s">
        <v>94</v>
      </c>
      <c r="K2" s="1" t="s">
        <v>95</v>
      </c>
    </row>
    <row r="3" spans="1:11" ht="28.5">
      <c r="A3" s="2" t="s">
        <v>409</v>
      </c>
      <c r="B3" s="3" t="s">
        <v>410</v>
      </c>
      <c r="C3" s="3" t="s">
        <v>411</v>
      </c>
      <c r="D3" s="3" t="s">
        <v>412</v>
      </c>
      <c r="E3" s="3" t="s">
        <v>413</v>
      </c>
      <c r="F3" s="3">
        <v>4</v>
      </c>
      <c r="G3" s="3">
        <v>4</v>
      </c>
      <c r="H3" s="3">
        <v>2</v>
      </c>
      <c r="I3" s="3">
        <v>4</v>
      </c>
      <c r="J3" s="4">
        <f t="shared" ref="J3:J6" si="0">IF(COUNTA(B3:I3)=0,"",ROUND(AVERAGE(F3:I3),2))</f>
        <v>3.5</v>
      </c>
      <c r="K3" s="4" t="str">
        <f t="shared" ref="K3:K6" si="1">IF(J3="","",IF(J3&gt;=4,"Приоритетный",IF(J3&gt;=3,"Перспективный","Низкий приоритет")))</f>
        <v>Перспективный</v>
      </c>
    </row>
    <row r="4" spans="1:11" ht="28.5">
      <c r="A4" s="2" t="s">
        <v>414</v>
      </c>
      <c r="B4" s="3" t="s">
        <v>415</v>
      </c>
      <c r="C4" s="3" t="s">
        <v>416</v>
      </c>
      <c r="D4" s="3" t="s">
        <v>586</v>
      </c>
      <c r="E4" s="3" t="s">
        <v>417</v>
      </c>
      <c r="F4" s="3">
        <v>3</v>
      </c>
      <c r="G4" s="3">
        <v>4</v>
      </c>
      <c r="H4" s="3">
        <v>4</v>
      </c>
      <c r="I4" s="3">
        <v>3</v>
      </c>
      <c r="J4" s="4">
        <f t="shared" si="0"/>
        <v>3.5</v>
      </c>
      <c r="K4" s="4" t="str">
        <f t="shared" si="1"/>
        <v>Перспективный</v>
      </c>
    </row>
    <row r="5" spans="1:11" ht="42.75">
      <c r="A5" s="2">
        <v>3</v>
      </c>
      <c r="B5" s="3" t="s">
        <v>589</v>
      </c>
      <c r="C5" s="3" t="s">
        <v>590</v>
      </c>
      <c r="D5" s="3" t="s">
        <v>591</v>
      </c>
      <c r="E5" s="3" t="s">
        <v>592</v>
      </c>
      <c r="F5" s="3">
        <v>3</v>
      </c>
      <c r="G5" s="3">
        <v>3</v>
      </c>
      <c r="H5" s="3">
        <v>3</v>
      </c>
      <c r="I5" s="3">
        <v>3</v>
      </c>
      <c r="J5" s="4">
        <f t="shared" si="0"/>
        <v>3</v>
      </c>
      <c r="K5" s="4" t="str">
        <f t="shared" si="1"/>
        <v>Перспективный</v>
      </c>
    </row>
    <row r="6" spans="1:11" ht="28.5">
      <c r="A6" s="2">
        <v>4</v>
      </c>
      <c r="B6" s="3" t="s">
        <v>593</v>
      </c>
      <c r="C6" s="3" t="s">
        <v>594</v>
      </c>
      <c r="D6" s="3" t="s">
        <v>595</v>
      </c>
      <c r="E6" s="3" t="s">
        <v>596</v>
      </c>
      <c r="F6" s="3">
        <v>3</v>
      </c>
      <c r="G6" s="3">
        <v>4</v>
      </c>
      <c r="H6" s="3">
        <v>4</v>
      </c>
      <c r="I6" s="3">
        <v>3</v>
      </c>
      <c r="J6" s="4">
        <f t="shared" si="0"/>
        <v>3.5</v>
      </c>
      <c r="K6" s="4" t="str">
        <f t="shared" si="1"/>
        <v>Перспективный</v>
      </c>
    </row>
  </sheetData>
  <mergeCells count="1">
    <mergeCell ref="A1:K1"/>
  </mergeCells>
  <conditionalFormatting sqref="J3:J6">
    <cfRule type="colorScale" priority="6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'12_Справочники'!$C$3:$C$7</xm:f>
          </x14:formula1>
          <xm:sqref>F3:I6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6"/>
  <sheetViews>
    <sheetView workbookViewId="0"/>
  </sheetViews>
  <sheetFormatPr defaultRowHeight="14.25"/>
  <cols>
    <col min="1" max="1" width="55.625" customWidth="1"/>
    <col min="2" max="2" width="24.625" customWidth="1"/>
    <col min="3" max="6" width="55.625" customWidth="1"/>
    <col min="7" max="7" width="32" customWidth="1"/>
    <col min="8" max="8" width="24" customWidth="1"/>
    <col min="9" max="9" width="48.625" customWidth="1"/>
    <col min="10" max="11" width="55.625" customWidth="1"/>
    <col min="12" max="12" width="26.625" customWidth="1"/>
    <col min="13" max="13" width="19.625" customWidth="1"/>
    <col min="14" max="14" width="20.625" customWidth="1"/>
    <col min="15" max="15" width="26.625" customWidth="1"/>
    <col min="16" max="16" width="18.625" customWidth="1"/>
    <col min="17" max="17" width="18" customWidth="1"/>
  </cols>
  <sheetData>
    <row r="1" spans="1:17" ht="18">
      <c r="A1" s="13" t="s">
        <v>96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30">
      <c r="A2" s="1" t="s">
        <v>35</v>
      </c>
      <c r="B2" s="1" t="s">
        <v>97</v>
      </c>
      <c r="C2" s="1" t="s">
        <v>98</v>
      </c>
      <c r="D2" s="1" t="s">
        <v>99</v>
      </c>
      <c r="E2" s="1" t="s">
        <v>100</v>
      </c>
      <c r="F2" s="1" t="s">
        <v>101</v>
      </c>
      <c r="G2" s="1" t="s">
        <v>102</v>
      </c>
      <c r="H2" s="1" t="s">
        <v>103</v>
      </c>
      <c r="I2" s="1" t="s">
        <v>104</v>
      </c>
      <c r="J2" s="1" t="s">
        <v>105</v>
      </c>
      <c r="K2" s="1" t="s">
        <v>106</v>
      </c>
      <c r="L2" s="1" t="s">
        <v>107</v>
      </c>
      <c r="M2" s="1" t="s">
        <v>108</v>
      </c>
      <c r="N2" s="1" t="s">
        <v>109</v>
      </c>
      <c r="O2" s="1" t="s">
        <v>110</v>
      </c>
      <c r="P2" s="1" t="s">
        <v>111</v>
      </c>
      <c r="Q2" s="1" t="s">
        <v>95</v>
      </c>
    </row>
    <row r="3" spans="1:17" ht="42.75">
      <c r="A3" s="2" t="s">
        <v>418</v>
      </c>
      <c r="B3" s="3" t="s">
        <v>419</v>
      </c>
      <c r="C3" s="3" t="s">
        <v>420</v>
      </c>
      <c r="D3" s="3" t="s">
        <v>421</v>
      </c>
      <c r="E3" s="3" t="s">
        <v>422</v>
      </c>
      <c r="F3" s="3" t="s">
        <v>423</v>
      </c>
      <c r="G3" s="3" t="s">
        <v>424</v>
      </c>
      <c r="H3" s="3" t="s">
        <v>259</v>
      </c>
      <c r="I3" s="3" t="s">
        <v>425</v>
      </c>
      <c r="J3" s="3" t="s">
        <v>426</v>
      </c>
      <c r="K3" s="3" t="s">
        <v>427</v>
      </c>
      <c r="L3" s="3" t="s">
        <v>428</v>
      </c>
      <c r="M3" s="3">
        <v>4</v>
      </c>
      <c r="N3" s="3">
        <v>3</v>
      </c>
      <c r="O3" s="3">
        <v>4</v>
      </c>
      <c r="P3" s="4">
        <f t="shared" ref="P3:P6" si="0">IF(COUNTA(B3:O3)=0,"",ROUND(AVERAGE(M3:O3),2))</f>
        <v>3.67</v>
      </c>
      <c r="Q3" s="4" t="str">
        <f t="shared" ref="Q3:Q6" si="1">IF(P3="","",IF(P3&gt;=4,"Готово",IF(P3&gt;=3,"Проверить","Доработать")))</f>
        <v>Проверить</v>
      </c>
    </row>
    <row r="4" spans="1:17" ht="28.5">
      <c r="A4" s="2" t="s">
        <v>429</v>
      </c>
      <c r="B4" s="3" t="s">
        <v>430</v>
      </c>
      <c r="C4" s="3" t="s">
        <v>431</v>
      </c>
      <c r="D4" s="3" t="s">
        <v>432</v>
      </c>
      <c r="E4" s="3" t="s">
        <v>433</v>
      </c>
      <c r="F4" s="3" t="s">
        <v>434</v>
      </c>
      <c r="G4" s="3" t="s">
        <v>424</v>
      </c>
      <c r="H4" s="3" t="s">
        <v>259</v>
      </c>
      <c r="I4" s="3" t="s">
        <v>435</v>
      </c>
      <c r="J4" s="3" t="s">
        <v>436</v>
      </c>
      <c r="K4" s="3" t="s">
        <v>640</v>
      </c>
      <c r="L4" s="3" t="s">
        <v>251</v>
      </c>
      <c r="M4" s="3">
        <v>3</v>
      </c>
      <c r="N4" s="3">
        <v>3</v>
      </c>
      <c r="O4" s="3">
        <v>3</v>
      </c>
      <c r="P4" s="4">
        <f t="shared" si="0"/>
        <v>3</v>
      </c>
      <c r="Q4" s="4" t="str">
        <f t="shared" si="1"/>
        <v>Проверить</v>
      </c>
    </row>
    <row r="5" spans="1:17" ht="71.25">
      <c r="A5" s="2">
        <v>3</v>
      </c>
      <c r="B5" s="3" t="s">
        <v>597</v>
      </c>
      <c r="C5" s="3" t="s">
        <v>598</v>
      </c>
      <c r="D5" s="3" t="s">
        <v>599</v>
      </c>
      <c r="E5" s="3" t="s">
        <v>600</v>
      </c>
      <c r="F5" s="3" t="s">
        <v>601</v>
      </c>
      <c r="G5" s="3" t="s">
        <v>602</v>
      </c>
      <c r="H5" s="3" t="s">
        <v>259</v>
      </c>
      <c r="I5" s="3" t="s">
        <v>603</v>
      </c>
      <c r="J5" s="3" t="s">
        <v>604</v>
      </c>
      <c r="K5" s="3" t="s">
        <v>605</v>
      </c>
      <c r="L5" s="3" t="s">
        <v>606</v>
      </c>
      <c r="M5" s="3">
        <v>3</v>
      </c>
      <c r="N5" s="3">
        <v>4</v>
      </c>
      <c r="O5" s="3">
        <v>3</v>
      </c>
      <c r="P5" s="4">
        <f t="shared" si="0"/>
        <v>3.33</v>
      </c>
      <c r="Q5" s="4" t="str">
        <f t="shared" si="1"/>
        <v>Проверить</v>
      </c>
    </row>
    <row r="6" spans="1:17" ht="42.75">
      <c r="A6" s="2">
        <v>4</v>
      </c>
      <c r="B6" s="3" t="s">
        <v>607</v>
      </c>
      <c r="C6" s="3" t="s">
        <v>608</v>
      </c>
      <c r="D6" s="3" t="s">
        <v>609</v>
      </c>
      <c r="E6" s="3" t="s">
        <v>610</v>
      </c>
      <c r="F6" s="3" t="s">
        <v>611</v>
      </c>
      <c r="G6" s="3" t="s">
        <v>602</v>
      </c>
      <c r="H6" s="3" t="s">
        <v>259</v>
      </c>
      <c r="I6" s="3" t="s">
        <v>612</v>
      </c>
      <c r="J6" s="3" t="s">
        <v>613</v>
      </c>
      <c r="K6" s="3" t="s">
        <v>614</v>
      </c>
      <c r="L6" s="3" t="s">
        <v>606</v>
      </c>
      <c r="M6" s="3">
        <v>3</v>
      </c>
      <c r="N6" s="3">
        <v>3</v>
      </c>
      <c r="O6" s="3">
        <v>3</v>
      </c>
      <c r="P6" s="4">
        <f t="shared" si="0"/>
        <v>3</v>
      </c>
      <c r="Q6" s="4" t="str">
        <f t="shared" si="1"/>
        <v>Проверить</v>
      </c>
    </row>
  </sheetData>
  <mergeCells count="1">
    <mergeCell ref="A1:Q1"/>
  </mergeCells>
  <conditionalFormatting sqref="P3:P6">
    <cfRule type="dataBar" priority="7">
      <dataBar>
        <cfvo type="min"/>
        <cfvo type="max"/>
        <color rgb="FF22C55E"/>
      </dataBar>
    </cfRule>
    <cfRule type="dataBar" priority="8">
      <dataBar>
        <cfvo type="min"/>
        <cfvo type="max"/>
        <color rgb="FF22C55E"/>
      </dataBar>
      <extLst>
        <ext xmlns:x14="http://schemas.microsoft.com/office/spreadsheetml/2009/9/main" uri="{B025F937-C7B1-47D3-B67F-A62EFF666E3E}">
          <x14:id>{72CD6197-F982-2686-54CD-549EF0E2D5B0}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CD6197-F982-2686-54CD-549EF0E2D5B0}">
            <x14:dataBar>
              <x14:cfvo type="min"/>
              <x14:cfvo type="max"/>
              <x14:negativeFillColor auto="1"/>
              <x14:axisColor auto="1"/>
            </x14:dataBar>
          </x14:cfRule>
          <xm:sqref>P3:P6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400-000000000000}">
          <x14:formula1>
            <xm:f>'12_Справочники'!$E$3:$E$10</xm:f>
          </x14:formula1>
          <xm:sqref>H3:H6</xm:sqref>
        </x14:dataValidation>
        <x14:dataValidation type="list" xr:uid="{00000000-0002-0000-0400-000001000000}">
          <x14:formula1>
            <xm:f>'12_Справочники'!$F$3:$F$8</xm:f>
          </x14:formula1>
          <xm:sqref>L3:L6</xm:sqref>
        </x14:dataValidation>
        <x14:dataValidation type="list" xr:uid="{00000000-0002-0000-0400-000002000000}">
          <x14:formula1>
            <xm:f>'12_Справочники'!$C$3:$C$7</xm:f>
          </x14:formula1>
          <xm:sqref>M3:O6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7"/>
  <sheetViews>
    <sheetView workbookViewId="0"/>
  </sheetViews>
  <sheetFormatPr defaultRowHeight="14.25"/>
  <cols>
    <col min="1" max="1" width="50.625" customWidth="1"/>
    <col min="2" max="2" width="20" customWidth="1"/>
    <col min="3" max="3" width="24" customWidth="1"/>
    <col min="4" max="4" width="39.625" customWidth="1"/>
    <col min="5" max="5" width="32" customWidth="1"/>
    <col min="6" max="6" width="55.625" customWidth="1"/>
    <col min="7" max="7" width="16.625" customWidth="1"/>
    <col min="8" max="8" width="21.625" customWidth="1"/>
    <col min="9" max="9" width="20.625" customWidth="1"/>
    <col min="10" max="10" width="18.625" customWidth="1"/>
    <col min="11" max="11" width="18" customWidth="1"/>
  </cols>
  <sheetData>
    <row r="1" spans="1:11" ht="18">
      <c r="A1" s="13" t="s">
        <v>112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30">
      <c r="A2" s="1" t="s">
        <v>35</v>
      </c>
      <c r="B2" s="1" t="s">
        <v>113</v>
      </c>
      <c r="C2" s="1" t="s">
        <v>87</v>
      </c>
      <c r="D2" s="1" t="s">
        <v>114</v>
      </c>
      <c r="E2" s="1" t="s">
        <v>115</v>
      </c>
      <c r="F2" s="1" t="s">
        <v>116</v>
      </c>
      <c r="G2" s="1" t="s">
        <v>117</v>
      </c>
      <c r="H2" s="1" t="s">
        <v>118</v>
      </c>
      <c r="I2" s="1" t="s">
        <v>109</v>
      </c>
      <c r="J2" s="1" t="s">
        <v>94</v>
      </c>
      <c r="K2" s="1" t="s">
        <v>119</v>
      </c>
    </row>
    <row r="3" spans="1:11" ht="28.5">
      <c r="A3" s="2" t="s">
        <v>437</v>
      </c>
      <c r="B3" s="3" t="s">
        <v>245</v>
      </c>
      <c r="C3" s="3" t="s">
        <v>438</v>
      </c>
      <c r="D3" s="3" t="s">
        <v>439</v>
      </c>
      <c r="E3" s="3" t="s">
        <v>440</v>
      </c>
      <c r="F3" s="3" t="s">
        <v>441</v>
      </c>
      <c r="G3" s="3">
        <v>5</v>
      </c>
      <c r="H3" s="3">
        <v>2</v>
      </c>
      <c r="I3" s="3">
        <v>4</v>
      </c>
      <c r="J3" s="4">
        <f t="shared" ref="J3:J7" si="0">IF(COUNTA(B3:I3)=0,"",ROUND(AVERAGE(G3,6-H3,I3),2))</f>
        <v>4.33</v>
      </c>
      <c r="K3" s="4" t="str">
        <f t="shared" ref="K3:K7" si="1">IF(J3="","",IF(J3&gt;=4,"Включить",IF(J3&gt;=3,"Проверить","Не основной")))</f>
        <v>Включить</v>
      </c>
    </row>
    <row r="4" spans="1:11">
      <c r="A4" s="2" t="s">
        <v>442</v>
      </c>
      <c r="B4" s="3" t="s">
        <v>254</v>
      </c>
      <c r="C4" s="3" t="s">
        <v>438</v>
      </c>
      <c r="D4" s="3" t="s">
        <v>443</v>
      </c>
      <c r="E4" s="3" t="s">
        <v>254</v>
      </c>
      <c r="F4" s="3" t="s">
        <v>444</v>
      </c>
      <c r="G4" s="3">
        <v>5</v>
      </c>
      <c r="H4" s="3">
        <v>2</v>
      </c>
      <c r="I4" s="3">
        <v>4</v>
      </c>
      <c r="J4" s="4">
        <f t="shared" si="0"/>
        <v>4.33</v>
      </c>
      <c r="K4" s="4" t="str">
        <f t="shared" si="1"/>
        <v>Включить</v>
      </c>
    </row>
    <row r="5" spans="1:11">
      <c r="A5" s="2" t="s">
        <v>445</v>
      </c>
      <c r="B5" s="3" t="s">
        <v>272</v>
      </c>
      <c r="C5" s="3" t="s">
        <v>375</v>
      </c>
      <c r="D5" s="3" t="s">
        <v>446</v>
      </c>
      <c r="E5" s="3" t="s">
        <v>447</v>
      </c>
      <c r="F5" s="3" t="s">
        <v>448</v>
      </c>
      <c r="G5" s="3">
        <v>5</v>
      </c>
      <c r="H5" s="3">
        <v>1</v>
      </c>
      <c r="I5" s="3">
        <v>4</v>
      </c>
      <c r="J5" s="4">
        <f t="shared" si="0"/>
        <v>4.67</v>
      </c>
      <c r="K5" s="4" t="str">
        <f t="shared" si="1"/>
        <v>Включить</v>
      </c>
    </row>
    <row r="6" spans="1:11">
      <c r="A6" s="2" t="s">
        <v>449</v>
      </c>
      <c r="B6" s="3" t="s">
        <v>281</v>
      </c>
      <c r="C6" s="3" t="s">
        <v>438</v>
      </c>
      <c r="D6" s="3" t="s">
        <v>450</v>
      </c>
      <c r="E6" s="3" t="s">
        <v>290</v>
      </c>
      <c r="F6" s="3" t="s">
        <v>451</v>
      </c>
      <c r="G6" s="3">
        <v>4</v>
      </c>
      <c r="H6" s="3">
        <v>2</v>
      </c>
      <c r="I6" s="3">
        <v>4</v>
      </c>
      <c r="J6" s="4">
        <f t="shared" si="0"/>
        <v>4</v>
      </c>
      <c r="K6" s="4" t="str">
        <f t="shared" si="1"/>
        <v>Включить</v>
      </c>
    </row>
    <row r="7" spans="1:11">
      <c r="A7" s="2" t="s">
        <v>452</v>
      </c>
      <c r="B7" s="3" t="s">
        <v>245</v>
      </c>
      <c r="C7" s="3" t="s">
        <v>375</v>
      </c>
      <c r="D7" s="3" t="s">
        <v>453</v>
      </c>
      <c r="E7" s="3" t="s">
        <v>440</v>
      </c>
      <c r="F7" s="3" t="s">
        <v>454</v>
      </c>
      <c r="G7" s="3">
        <v>4</v>
      </c>
      <c r="H7" s="3">
        <v>3</v>
      </c>
      <c r="I7" s="3">
        <v>2</v>
      </c>
      <c r="J7" s="4">
        <f t="shared" si="0"/>
        <v>3</v>
      </c>
      <c r="K7" s="4" t="str">
        <f t="shared" si="1"/>
        <v>Проверить</v>
      </c>
    </row>
  </sheetData>
  <mergeCells count="1">
    <mergeCell ref="A1:K1"/>
  </mergeCells>
  <conditionalFormatting sqref="J3:J7">
    <cfRule type="colorScale" priority="9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500-000000000000}">
          <x14:formula1>
            <xm:f>'12_Справочники'!$I$3:$I$10</xm:f>
          </x14:formula1>
          <xm:sqref>B3:B7</xm:sqref>
        </x14:dataValidation>
        <x14:dataValidation type="list" xr:uid="{00000000-0002-0000-0500-000001000000}">
          <x14:formula1>
            <xm:f>'12_Справочники'!$C$3:$C$7</xm:f>
          </x14:formula1>
          <xm:sqref>G3:I7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6"/>
  <sheetViews>
    <sheetView workbookViewId="0"/>
  </sheetViews>
  <sheetFormatPr defaultRowHeight="14.25"/>
  <cols>
    <col min="1" max="1" width="38.625" customWidth="1"/>
    <col min="2" max="2" width="36.625" customWidth="1"/>
    <col min="3" max="3" width="28" customWidth="1"/>
    <col min="4" max="4" width="39.625" customWidth="1"/>
    <col min="5" max="5" width="55.625" customWidth="1"/>
    <col min="6" max="6" width="30.625" customWidth="1"/>
    <col min="7" max="7" width="55.625" customWidth="1"/>
    <col min="8" max="8" width="48.625" customWidth="1"/>
    <col min="9" max="9" width="24.625" customWidth="1"/>
    <col min="10" max="10" width="16.625" customWidth="1"/>
    <col min="11" max="11" width="26.625" customWidth="1"/>
    <col min="12" max="12" width="20.625" customWidth="1"/>
    <col min="13" max="14" width="20" customWidth="1"/>
  </cols>
  <sheetData>
    <row r="1" spans="1:14" ht="18">
      <c r="A1" s="13" t="s">
        <v>120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30">
      <c r="A2" s="1" t="s">
        <v>35</v>
      </c>
      <c r="B2" s="1" t="s">
        <v>121</v>
      </c>
      <c r="C2" s="1" t="s">
        <v>122</v>
      </c>
      <c r="D2" s="1" t="s">
        <v>123</v>
      </c>
      <c r="E2" s="1" t="s">
        <v>124</v>
      </c>
      <c r="F2" s="1" t="s">
        <v>125</v>
      </c>
      <c r="G2" s="1" t="s">
        <v>126</v>
      </c>
      <c r="H2" s="1" t="s">
        <v>127</v>
      </c>
      <c r="I2" s="1" t="s">
        <v>128</v>
      </c>
      <c r="J2" s="1" t="s">
        <v>129</v>
      </c>
      <c r="K2" s="1" t="s">
        <v>130</v>
      </c>
      <c r="L2" s="1" t="s">
        <v>109</v>
      </c>
      <c r="M2" s="1" t="s">
        <v>131</v>
      </c>
      <c r="N2" s="1" t="s">
        <v>95</v>
      </c>
    </row>
    <row r="3" spans="1:14" ht="28.5">
      <c r="A3" s="2" t="s">
        <v>455</v>
      </c>
      <c r="B3" s="3" t="s">
        <v>456</v>
      </c>
      <c r="C3" s="3" t="s">
        <v>457</v>
      </c>
      <c r="D3" s="3" t="s">
        <v>458</v>
      </c>
      <c r="E3" s="3" t="s">
        <v>587</v>
      </c>
      <c r="F3" s="3" t="s">
        <v>243</v>
      </c>
      <c r="G3" s="3" t="s">
        <v>459</v>
      </c>
      <c r="H3" s="3" t="s">
        <v>460</v>
      </c>
      <c r="I3" s="3">
        <v>3</v>
      </c>
      <c r="J3" s="3">
        <v>4</v>
      </c>
      <c r="K3" s="3">
        <v>4</v>
      </c>
      <c r="L3" s="3">
        <v>4</v>
      </c>
      <c r="M3" s="4">
        <f t="shared" ref="M3:M6" si="0">IF(COUNTA(B3:L3)=0,"",ROUND(AVERAGE(I3:L3),2))</f>
        <v>3.75</v>
      </c>
      <c r="N3" s="4" t="str">
        <f t="shared" ref="N3:N6" si="1">IF(M3="","",IF(M3&gt;=4,"Основная гипотеза",IF(M3&gt;=3,"Требует проверки","Слабая гипотеза")))</f>
        <v>Требует проверки</v>
      </c>
    </row>
    <row r="4" spans="1:14">
      <c r="A4" s="2" t="s">
        <v>461</v>
      </c>
      <c r="B4" s="3" t="s">
        <v>462</v>
      </c>
      <c r="C4" s="3" t="s">
        <v>463</v>
      </c>
      <c r="D4" s="3" t="s">
        <v>464</v>
      </c>
      <c r="E4" s="3" t="s">
        <v>588</v>
      </c>
      <c r="F4" s="3" t="s">
        <v>288</v>
      </c>
      <c r="G4" s="3" t="s">
        <v>465</v>
      </c>
      <c r="H4" s="3" t="s">
        <v>466</v>
      </c>
      <c r="I4" s="3">
        <v>4</v>
      </c>
      <c r="J4" s="3">
        <v>5</v>
      </c>
      <c r="K4" s="3">
        <v>2</v>
      </c>
      <c r="L4" s="3">
        <v>4</v>
      </c>
      <c r="M4" s="4">
        <f t="shared" si="0"/>
        <v>3.75</v>
      </c>
      <c r="N4" s="4" t="str">
        <f t="shared" si="1"/>
        <v>Требует проверки</v>
      </c>
    </row>
    <row r="5" spans="1:14" ht="28.5">
      <c r="A5" s="2" t="s">
        <v>467</v>
      </c>
      <c r="B5" s="3" t="s">
        <v>468</v>
      </c>
      <c r="C5" s="3" t="s">
        <v>469</v>
      </c>
      <c r="D5" s="3" t="s">
        <v>470</v>
      </c>
      <c r="E5" s="3" t="s">
        <v>471</v>
      </c>
      <c r="F5" s="3" t="s">
        <v>279</v>
      </c>
      <c r="G5" s="3" t="s">
        <v>472</v>
      </c>
      <c r="H5" s="3" t="s">
        <v>473</v>
      </c>
      <c r="I5" s="3">
        <v>3</v>
      </c>
      <c r="J5" s="3">
        <v>4</v>
      </c>
      <c r="K5" s="3">
        <v>3</v>
      </c>
      <c r="L5" s="3">
        <v>4</v>
      </c>
      <c r="M5" s="4">
        <f t="shared" si="0"/>
        <v>3.5</v>
      </c>
      <c r="N5" s="4" t="str">
        <f t="shared" si="1"/>
        <v>Требует проверки</v>
      </c>
    </row>
    <row r="6" spans="1:14">
      <c r="A6" s="2" t="s">
        <v>474</v>
      </c>
      <c r="B6" s="3" t="s">
        <v>475</v>
      </c>
      <c r="C6" s="3" t="s">
        <v>476</v>
      </c>
      <c r="D6" s="3" t="s">
        <v>477</v>
      </c>
      <c r="E6" s="3" t="s">
        <v>478</v>
      </c>
      <c r="F6" s="3" t="s">
        <v>270</v>
      </c>
      <c r="G6" s="3" t="s">
        <v>479</v>
      </c>
      <c r="H6" s="3" t="s">
        <v>480</v>
      </c>
      <c r="I6" s="3">
        <v>2</v>
      </c>
      <c r="J6" s="3">
        <v>3</v>
      </c>
      <c r="K6" s="3">
        <v>4</v>
      </c>
      <c r="L6" s="3">
        <v>3</v>
      </c>
      <c r="M6" s="4">
        <f t="shared" si="0"/>
        <v>3</v>
      </c>
      <c r="N6" s="4" t="str">
        <f t="shared" si="1"/>
        <v>Требует проверки</v>
      </c>
    </row>
  </sheetData>
  <mergeCells count="1">
    <mergeCell ref="A1:N1"/>
  </mergeCells>
  <conditionalFormatting sqref="M3:M6">
    <cfRule type="dataBar" priority="10">
      <dataBar>
        <cfvo type="min"/>
        <cfvo type="max"/>
        <color rgb="FF0EA5E9"/>
      </dataBar>
    </cfRule>
    <cfRule type="dataBar" priority="11">
      <dataBar>
        <cfvo type="min"/>
        <cfvo type="max"/>
        <color rgb="FF0EA5E9"/>
      </dataBar>
      <extLst>
        <ext xmlns:x14="http://schemas.microsoft.com/office/spreadsheetml/2009/9/main" uri="{B025F937-C7B1-47D3-B67F-A62EFF666E3E}">
          <x14:id>{0E344F17-D911-0C8F-3324-219546375859}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E344F17-D911-0C8F-3324-219546375859}">
            <x14:dataBar>
              <x14:cfvo type="min"/>
              <x14:cfvo type="max"/>
              <x14:negativeFillColor auto="1"/>
              <x14:axisColor auto="1"/>
            </x14:dataBar>
          </x14:cfRule>
          <xm:sqref>M3:M6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600-000000000000}">
          <x14:formula1>
            <xm:f>'12_Справочники'!$G$3:$G$12</xm:f>
          </x14:formula1>
          <xm:sqref>F3:F6</xm:sqref>
        </x14:dataValidation>
        <x14:dataValidation type="list" xr:uid="{00000000-0002-0000-0600-000001000000}">
          <x14:formula1>
            <xm:f>'12_Справочники'!$C$3:$C$7</xm:f>
          </x14:formula1>
          <xm:sqref>I3:L6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"/>
  <sheetViews>
    <sheetView workbookViewId="0"/>
  </sheetViews>
  <sheetFormatPr defaultRowHeight="14.25"/>
  <cols>
    <col min="1" max="1" width="49.625" customWidth="1"/>
    <col min="2" max="2" width="28.625" customWidth="1"/>
    <col min="3" max="3" width="32.625" customWidth="1"/>
    <col min="4" max="4" width="55.625" customWidth="1"/>
    <col min="5" max="6" width="35.625" customWidth="1"/>
    <col min="7" max="8" width="16.625" customWidth="1"/>
    <col min="9" max="9" width="23.625" customWidth="1"/>
    <col min="10" max="10" width="25.625" customWidth="1"/>
    <col min="11" max="11" width="24.625" customWidth="1"/>
  </cols>
  <sheetData>
    <row r="1" spans="1:11" ht="18">
      <c r="A1" s="13" t="s">
        <v>132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30">
      <c r="A2" s="1" t="s">
        <v>35</v>
      </c>
      <c r="B2" s="1" t="s">
        <v>133</v>
      </c>
      <c r="C2" s="1" t="s">
        <v>134</v>
      </c>
      <c r="D2" s="1" t="s">
        <v>135</v>
      </c>
      <c r="E2" s="1" t="s">
        <v>136</v>
      </c>
      <c r="F2" s="1" t="s">
        <v>137</v>
      </c>
      <c r="G2" s="1" t="s">
        <v>138</v>
      </c>
      <c r="H2" s="1" t="s">
        <v>139</v>
      </c>
      <c r="I2" s="1" t="s">
        <v>140</v>
      </c>
      <c r="J2" s="1" t="s">
        <v>141</v>
      </c>
      <c r="K2" s="1" t="s">
        <v>142</v>
      </c>
    </row>
    <row r="3" spans="1:11" ht="28.5">
      <c r="A3" s="2" t="s">
        <v>481</v>
      </c>
      <c r="B3" s="3" t="s">
        <v>73</v>
      </c>
      <c r="C3" s="3" t="s">
        <v>482</v>
      </c>
      <c r="D3" s="3" t="s">
        <v>483</v>
      </c>
      <c r="E3" s="3" t="s">
        <v>484</v>
      </c>
      <c r="F3" s="3" t="s">
        <v>485</v>
      </c>
      <c r="G3" s="3">
        <v>5</v>
      </c>
      <c r="H3" s="3">
        <v>3</v>
      </c>
      <c r="I3" s="3">
        <v>4</v>
      </c>
      <c r="J3" s="3" t="s">
        <v>246</v>
      </c>
      <c r="K3" s="4">
        <f t="shared" ref="K3:K10" si="0">IF(COUNTA(B3:J3)=0,"",ROUND(AVERAGE(G3,6-H3,I3),2))</f>
        <v>4</v>
      </c>
    </row>
    <row r="4" spans="1:11">
      <c r="A4" s="2" t="s">
        <v>486</v>
      </c>
      <c r="B4" s="3" t="s">
        <v>73</v>
      </c>
      <c r="C4" s="3" t="s">
        <v>487</v>
      </c>
      <c r="D4" s="3" t="s">
        <v>488</v>
      </c>
      <c r="E4" s="3" t="s">
        <v>489</v>
      </c>
      <c r="F4" s="3" t="s">
        <v>485</v>
      </c>
      <c r="G4" s="3">
        <v>4</v>
      </c>
      <c r="H4" s="3">
        <v>4</v>
      </c>
      <c r="I4" s="3">
        <v>3</v>
      </c>
      <c r="J4" s="3" t="s">
        <v>246</v>
      </c>
      <c r="K4" s="4">
        <f t="shared" si="0"/>
        <v>3</v>
      </c>
    </row>
    <row r="5" spans="1:11">
      <c r="A5" s="2" t="s">
        <v>490</v>
      </c>
      <c r="B5" s="3" t="s">
        <v>76</v>
      </c>
      <c r="C5" s="3" t="s">
        <v>491</v>
      </c>
      <c r="D5" s="3" t="s">
        <v>492</v>
      </c>
      <c r="E5" s="3" t="s">
        <v>493</v>
      </c>
      <c r="F5" s="3" t="s">
        <v>494</v>
      </c>
      <c r="G5" s="3">
        <v>5</v>
      </c>
      <c r="H5" s="3">
        <v>3</v>
      </c>
      <c r="I5" s="3">
        <v>4</v>
      </c>
      <c r="J5" s="3" t="s">
        <v>246</v>
      </c>
      <c r="K5" s="4">
        <f t="shared" si="0"/>
        <v>4</v>
      </c>
    </row>
    <row r="6" spans="1:11">
      <c r="A6" s="2" t="s">
        <v>495</v>
      </c>
      <c r="B6" s="3" t="s">
        <v>76</v>
      </c>
      <c r="C6" s="3" t="s">
        <v>496</v>
      </c>
      <c r="D6" s="3" t="s">
        <v>497</v>
      </c>
      <c r="E6" s="3" t="s">
        <v>498</v>
      </c>
      <c r="F6" s="3" t="s">
        <v>499</v>
      </c>
      <c r="G6" s="3">
        <v>4</v>
      </c>
      <c r="H6" s="3">
        <v>4</v>
      </c>
      <c r="I6" s="3">
        <v>2</v>
      </c>
      <c r="J6" s="3" t="s">
        <v>246</v>
      </c>
      <c r="K6" s="4">
        <f t="shared" si="0"/>
        <v>2.67</v>
      </c>
    </row>
    <row r="7" spans="1:11">
      <c r="A7" s="2" t="s">
        <v>500</v>
      </c>
      <c r="B7" s="3" t="s">
        <v>76</v>
      </c>
      <c r="C7" s="3" t="s">
        <v>501</v>
      </c>
      <c r="D7" s="3" t="s">
        <v>502</v>
      </c>
      <c r="E7" s="3" t="s">
        <v>503</v>
      </c>
      <c r="F7" s="3" t="s">
        <v>504</v>
      </c>
      <c r="G7" s="3">
        <v>4</v>
      </c>
      <c r="H7" s="3">
        <v>4</v>
      </c>
      <c r="I7" s="3">
        <v>3</v>
      </c>
      <c r="J7" s="3" t="s">
        <v>246</v>
      </c>
      <c r="K7" s="4">
        <f t="shared" si="0"/>
        <v>3</v>
      </c>
    </row>
    <row r="8" spans="1:11">
      <c r="A8" s="2" t="s">
        <v>505</v>
      </c>
      <c r="B8" s="3" t="s">
        <v>79</v>
      </c>
      <c r="C8" s="3" t="s">
        <v>506</v>
      </c>
      <c r="D8" s="3" t="s">
        <v>507</v>
      </c>
      <c r="E8" s="3" t="s">
        <v>508</v>
      </c>
      <c r="F8" s="3" t="s">
        <v>509</v>
      </c>
      <c r="G8" s="3">
        <v>3</v>
      </c>
      <c r="H8" s="3">
        <v>3</v>
      </c>
      <c r="I8" s="3">
        <v>2</v>
      </c>
      <c r="J8" s="3" t="s">
        <v>273</v>
      </c>
      <c r="K8" s="4">
        <f t="shared" si="0"/>
        <v>2.67</v>
      </c>
    </row>
    <row r="9" spans="1:11">
      <c r="A9" s="2" t="s">
        <v>510</v>
      </c>
      <c r="B9" s="3" t="s">
        <v>79</v>
      </c>
      <c r="C9" s="3" t="s">
        <v>511</v>
      </c>
      <c r="D9" s="3" t="s">
        <v>512</v>
      </c>
      <c r="E9" s="3" t="s">
        <v>513</v>
      </c>
      <c r="F9" s="3" t="s">
        <v>514</v>
      </c>
      <c r="G9" s="3">
        <v>4</v>
      </c>
      <c r="H9" s="3">
        <v>4</v>
      </c>
      <c r="I9" s="3">
        <v>2</v>
      </c>
      <c r="J9" s="3" t="s">
        <v>255</v>
      </c>
      <c r="K9" s="4">
        <f t="shared" si="0"/>
        <v>2.67</v>
      </c>
    </row>
    <row r="10" spans="1:11">
      <c r="A10" s="2" t="s">
        <v>515</v>
      </c>
      <c r="B10" s="3" t="s">
        <v>79</v>
      </c>
      <c r="C10" s="3" t="s">
        <v>516</v>
      </c>
      <c r="D10" s="3" t="s">
        <v>517</v>
      </c>
      <c r="E10" s="3" t="s">
        <v>518</v>
      </c>
      <c r="F10" s="3" t="s">
        <v>519</v>
      </c>
      <c r="G10" s="3">
        <v>4</v>
      </c>
      <c r="H10" s="3">
        <v>4</v>
      </c>
      <c r="I10" s="3">
        <v>4</v>
      </c>
      <c r="J10" s="3" t="s">
        <v>264</v>
      </c>
      <c r="K10" s="4">
        <f t="shared" si="0"/>
        <v>3.33</v>
      </c>
    </row>
  </sheetData>
  <mergeCells count="1">
    <mergeCell ref="A1:K1"/>
  </mergeCells>
  <conditionalFormatting sqref="K3:K10">
    <cfRule type="colorScale" priority="12">
      <colorScale>
        <cfvo type="min"/>
        <cfvo type="percentile" val="50"/>
        <cfvo type="max"/>
        <color rgb="FFDCFCE7"/>
        <color rgb="FFFEF3C7"/>
        <color rgb="FFFECACA"/>
      </colorScale>
    </cfRule>
  </conditionalFormatting>
  <dataValidations count="1">
    <dataValidation type="list" sqref="B3:B10" xr:uid="{00000000-0002-0000-0700-000000000000}">
      <formula1>"Ключевые ресурсы,Ключевые виды деятельности,Ключевые партнеры"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700-000001000000}">
          <x14:formula1>
            <xm:f>'12_Справочники'!$C$3:$C$7</xm:f>
          </x14:formula1>
          <xm:sqref>G3:I10</xm:sqref>
        </x14:dataValidation>
        <x14:dataValidation type="list" xr:uid="{00000000-0002-0000-0700-000002000000}">
          <x14:formula1>
            <xm:f>'12_Справочники'!$J$3:$J$7</xm:f>
          </x14:formula1>
          <xm:sqref>J3:J10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7"/>
  <sheetViews>
    <sheetView workbookViewId="0"/>
  </sheetViews>
  <sheetFormatPr defaultRowHeight="14.25"/>
  <cols>
    <col min="1" max="1" width="36.625" customWidth="1"/>
    <col min="2" max="2" width="32.625" customWidth="1"/>
    <col min="3" max="3" width="33.625" customWidth="1"/>
    <col min="4" max="6" width="30" customWidth="1"/>
    <col min="7" max="7" width="35.625" customWidth="1"/>
    <col min="8" max="8" width="26.625" customWidth="1"/>
    <col min="9" max="9" width="16.625" customWidth="1"/>
    <col min="10" max="10" width="18.625" customWidth="1"/>
    <col min="11" max="11" width="19.625" customWidth="1"/>
  </cols>
  <sheetData>
    <row r="1" spans="1:11" ht="18">
      <c r="A1" s="13" t="s">
        <v>143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30">
      <c r="A2" s="1" t="s">
        <v>35</v>
      </c>
      <c r="B2" s="1" t="s">
        <v>144</v>
      </c>
      <c r="C2" s="1" t="s">
        <v>145</v>
      </c>
      <c r="D2" s="1" t="s">
        <v>146</v>
      </c>
      <c r="E2" s="1" t="s">
        <v>147</v>
      </c>
      <c r="F2" s="1" t="s">
        <v>148</v>
      </c>
      <c r="G2" s="1" t="s">
        <v>149</v>
      </c>
      <c r="H2" s="1" t="s">
        <v>150</v>
      </c>
      <c r="I2" s="1" t="s">
        <v>151</v>
      </c>
      <c r="J2" s="1" t="s">
        <v>152</v>
      </c>
      <c r="K2" s="1" t="s">
        <v>153</v>
      </c>
    </row>
    <row r="3" spans="1:11">
      <c r="A3" s="2" t="s">
        <v>520</v>
      </c>
      <c r="B3" s="3" t="s">
        <v>491</v>
      </c>
      <c r="C3" s="3" t="s">
        <v>521</v>
      </c>
      <c r="D3" s="3" t="s">
        <v>244</v>
      </c>
      <c r="E3" s="3" t="s">
        <v>522</v>
      </c>
      <c r="F3" s="3" t="s">
        <v>523</v>
      </c>
      <c r="G3" s="3" t="s">
        <v>524</v>
      </c>
      <c r="H3" s="3">
        <v>5</v>
      </c>
      <c r="I3" s="3">
        <v>3</v>
      </c>
      <c r="J3" s="3">
        <v>3</v>
      </c>
      <c r="K3" s="4">
        <f t="shared" ref="K3:K7" si="0">IF(COUNTA(B3:J3)=0,"",ROUND(AVERAGE(H3,I3,6-J3),2))</f>
        <v>3.67</v>
      </c>
    </row>
    <row r="4" spans="1:11">
      <c r="A4" s="2" t="s">
        <v>525</v>
      </c>
      <c r="B4" s="3" t="s">
        <v>526</v>
      </c>
      <c r="C4" s="3" t="s">
        <v>527</v>
      </c>
      <c r="D4" s="3" t="s">
        <v>271</v>
      </c>
      <c r="E4" s="3" t="s">
        <v>528</v>
      </c>
      <c r="F4" s="3" t="s">
        <v>529</v>
      </c>
      <c r="G4" s="3" t="s">
        <v>530</v>
      </c>
      <c r="H4" s="3">
        <v>3</v>
      </c>
      <c r="I4" s="3">
        <v>3</v>
      </c>
      <c r="J4" s="3">
        <v>4</v>
      </c>
      <c r="K4" s="4">
        <f t="shared" si="0"/>
        <v>2.67</v>
      </c>
    </row>
    <row r="5" spans="1:11">
      <c r="A5" s="2" t="s">
        <v>531</v>
      </c>
      <c r="B5" s="3" t="s">
        <v>532</v>
      </c>
      <c r="C5" s="3" t="s">
        <v>533</v>
      </c>
      <c r="D5" s="3" t="s">
        <v>253</v>
      </c>
      <c r="E5" s="3" t="s">
        <v>534</v>
      </c>
      <c r="F5" s="3" t="s">
        <v>535</v>
      </c>
      <c r="G5" s="3" t="s">
        <v>519</v>
      </c>
      <c r="H5" s="3">
        <v>4</v>
      </c>
      <c r="I5" s="3">
        <v>3</v>
      </c>
      <c r="J5" s="3">
        <v>3</v>
      </c>
      <c r="K5" s="4">
        <f t="shared" si="0"/>
        <v>3.33</v>
      </c>
    </row>
    <row r="6" spans="1:11">
      <c r="A6" s="2" t="s">
        <v>536</v>
      </c>
      <c r="B6" s="3" t="s">
        <v>537</v>
      </c>
      <c r="C6" s="3" t="s">
        <v>538</v>
      </c>
      <c r="D6" s="3" t="s">
        <v>295</v>
      </c>
      <c r="E6" s="3" t="s">
        <v>528</v>
      </c>
      <c r="F6" s="3" t="s">
        <v>535</v>
      </c>
      <c r="G6" s="3" t="s">
        <v>451</v>
      </c>
      <c r="H6" s="3">
        <v>3</v>
      </c>
      <c r="I6" s="3">
        <v>3</v>
      </c>
      <c r="J6" s="3">
        <v>4</v>
      </c>
      <c r="K6" s="4">
        <f t="shared" si="0"/>
        <v>2.67</v>
      </c>
    </row>
    <row r="7" spans="1:11">
      <c r="A7" s="2" t="s">
        <v>539</v>
      </c>
      <c r="B7" s="3" t="s">
        <v>501</v>
      </c>
      <c r="C7" s="3" t="s">
        <v>540</v>
      </c>
      <c r="D7" s="3" t="s">
        <v>280</v>
      </c>
      <c r="E7" s="3" t="s">
        <v>541</v>
      </c>
      <c r="F7" s="3" t="s">
        <v>529</v>
      </c>
      <c r="G7" s="3" t="s">
        <v>542</v>
      </c>
      <c r="H7" s="3">
        <v>4</v>
      </c>
      <c r="I7" s="3">
        <v>2</v>
      </c>
      <c r="J7" s="3">
        <v>3</v>
      </c>
      <c r="K7" s="4">
        <f t="shared" si="0"/>
        <v>3</v>
      </c>
    </row>
  </sheetData>
  <mergeCells count="1">
    <mergeCell ref="A1:K1"/>
  </mergeCells>
  <conditionalFormatting sqref="K3:K7">
    <cfRule type="colorScale" priority="13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800-000000000000}">
          <x14:formula1>
            <xm:f>'12_Справочники'!$H$3:$H$10</xm:f>
          </x14:formula1>
          <xm:sqref>D3:D7</xm:sqref>
        </x14:dataValidation>
        <x14:dataValidation type="list" xr:uid="{00000000-0002-0000-0800-000001000000}">
          <x14:formula1>
            <xm:f>'12_Справочники'!$C$3:$C$7</xm:f>
          </x14:formula1>
          <xm:sqref>H3:J7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4"/>
  <sheetViews>
    <sheetView workbookViewId="0"/>
  </sheetViews>
  <sheetFormatPr defaultRowHeight="14.25"/>
  <cols>
    <col min="1" max="1" width="34.625" customWidth="1"/>
    <col min="2" max="2" width="55.625" customWidth="1"/>
    <col min="3" max="3" width="38.625" customWidth="1"/>
    <col min="4" max="4" width="55.625" customWidth="1"/>
    <col min="5" max="5" width="14" customWidth="1"/>
    <col min="6" max="6" width="20" customWidth="1"/>
    <col min="7" max="7" width="36.625" customWidth="1"/>
  </cols>
  <sheetData>
    <row r="1" spans="1:7" ht="18">
      <c r="A1" s="13" t="s">
        <v>154</v>
      </c>
      <c r="B1" s="13"/>
      <c r="C1" s="13"/>
      <c r="D1" s="13"/>
      <c r="E1" s="13"/>
      <c r="F1" s="13"/>
      <c r="G1" s="13"/>
    </row>
    <row r="2" spans="1:7" ht="15">
      <c r="A2" s="1" t="s">
        <v>155</v>
      </c>
      <c r="B2" s="1" t="s">
        <v>156</v>
      </c>
      <c r="C2" s="1" t="s">
        <v>157</v>
      </c>
      <c r="D2" s="1" t="s">
        <v>158</v>
      </c>
      <c r="E2" s="1" t="s">
        <v>159</v>
      </c>
      <c r="F2" s="1" t="s">
        <v>160</v>
      </c>
      <c r="G2" s="1" t="s">
        <v>161</v>
      </c>
    </row>
    <row r="3" spans="1:7" ht="28.5">
      <c r="A3" s="2">
        <v>1</v>
      </c>
      <c r="B3" s="2" t="s">
        <v>162</v>
      </c>
      <c r="C3" s="2" t="s">
        <v>163</v>
      </c>
      <c r="D3" s="3" t="s">
        <v>543</v>
      </c>
      <c r="E3" s="3">
        <v>4</v>
      </c>
      <c r="F3" s="4" t="str">
        <f t="shared" ref="F3:F14" si="0">IF(E3="","Не оценено",IF(E3&gt;=4,"Подтверждено",IF(E3&gt;=3,"Нужна проверка","Риск разрыва")))</f>
        <v>Подтверждено</v>
      </c>
      <c r="G3" s="3" t="s">
        <v>544</v>
      </c>
    </row>
    <row r="4" spans="1:7" ht="28.5">
      <c r="A4" s="2">
        <v>2</v>
      </c>
      <c r="B4" s="2" t="s">
        <v>164</v>
      </c>
      <c r="C4" s="2" t="s">
        <v>165</v>
      </c>
      <c r="D4" s="3" t="s">
        <v>545</v>
      </c>
      <c r="E4" s="3">
        <v>4</v>
      </c>
      <c r="F4" s="4" t="str">
        <f t="shared" si="0"/>
        <v>Подтверждено</v>
      </c>
      <c r="G4" s="3" t="s">
        <v>546</v>
      </c>
    </row>
    <row r="5" spans="1:7" ht="28.5">
      <c r="A5" s="2">
        <v>3</v>
      </c>
      <c r="B5" s="2" t="s">
        <v>166</v>
      </c>
      <c r="C5" s="2" t="s">
        <v>167</v>
      </c>
      <c r="D5" s="3" t="s">
        <v>547</v>
      </c>
      <c r="E5" s="3">
        <v>4</v>
      </c>
      <c r="F5" s="4" t="str">
        <f t="shared" si="0"/>
        <v>Подтверждено</v>
      </c>
      <c r="G5" s="3" t="s">
        <v>548</v>
      </c>
    </row>
    <row r="6" spans="1:7">
      <c r="A6" s="2">
        <v>4</v>
      </c>
      <c r="B6" s="2" t="s">
        <v>168</v>
      </c>
      <c r="C6" s="2" t="s">
        <v>169</v>
      </c>
      <c r="D6" s="3" t="s">
        <v>549</v>
      </c>
      <c r="E6" s="3">
        <v>4</v>
      </c>
      <c r="F6" s="4" t="str">
        <f t="shared" si="0"/>
        <v>Подтверждено</v>
      </c>
      <c r="G6" s="3" t="s">
        <v>550</v>
      </c>
    </row>
    <row r="7" spans="1:7">
      <c r="A7" s="2">
        <v>5</v>
      </c>
      <c r="B7" s="2" t="s">
        <v>170</v>
      </c>
      <c r="C7" s="2" t="s">
        <v>171</v>
      </c>
      <c r="D7" s="3" t="s">
        <v>551</v>
      </c>
      <c r="E7" s="3">
        <v>4</v>
      </c>
      <c r="F7" s="4" t="str">
        <f t="shared" si="0"/>
        <v>Подтверждено</v>
      </c>
      <c r="G7" s="3" t="s">
        <v>552</v>
      </c>
    </row>
    <row r="8" spans="1:7" ht="28.5">
      <c r="A8" s="2">
        <v>6</v>
      </c>
      <c r="B8" s="2" t="s">
        <v>172</v>
      </c>
      <c r="C8" s="2" t="s">
        <v>173</v>
      </c>
      <c r="D8" s="3" t="s">
        <v>553</v>
      </c>
      <c r="E8" s="3">
        <v>3</v>
      </c>
      <c r="F8" s="4" t="str">
        <f t="shared" si="0"/>
        <v>Нужна проверка</v>
      </c>
      <c r="G8" s="3" t="s">
        <v>554</v>
      </c>
    </row>
    <row r="9" spans="1:7" ht="28.5">
      <c r="A9" s="2">
        <v>7</v>
      </c>
      <c r="B9" s="2" t="s">
        <v>174</v>
      </c>
      <c r="C9" s="2" t="s">
        <v>175</v>
      </c>
      <c r="D9" s="3" t="s">
        <v>555</v>
      </c>
      <c r="E9" s="3">
        <v>3</v>
      </c>
      <c r="F9" s="4" t="str">
        <f t="shared" si="0"/>
        <v>Нужна проверка</v>
      </c>
      <c r="G9" s="3" t="s">
        <v>556</v>
      </c>
    </row>
    <row r="10" spans="1:7" ht="28.5">
      <c r="A10" s="2">
        <v>8</v>
      </c>
      <c r="B10" s="2" t="s">
        <v>176</v>
      </c>
      <c r="C10" s="2" t="s">
        <v>175</v>
      </c>
      <c r="D10" s="3" t="s">
        <v>557</v>
      </c>
      <c r="E10" s="3">
        <v>3</v>
      </c>
      <c r="F10" s="4" t="str">
        <f t="shared" si="0"/>
        <v>Нужна проверка</v>
      </c>
      <c r="G10" s="3" t="s">
        <v>558</v>
      </c>
    </row>
    <row r="11" spans="1:7" ht="28.5">
      <c r="A11" s="2">
        <v>9</v>
      </c>
      <c r="B11" s="2" t="s">
        <v>177</v>
      </c>
      <c r="C11" s="2" t="s">
        <v>175</v>
      </c>
      <c r="D11" s="3" t="s">
        <v>559</v>
      </c>
      <c r="E11" s="3">
        <v>2</v>
      </c>
      <c r="F11" s="4" t="str">
        <f t="shared" si="0"/>
        <v>Риск разрыва</v>
      </c>
      <c r="G11" s="3" t="s">
        <v>560</v>
      </c>
    </row>
    <row r="12" spans="1:7" ht="28.5">
      <c r="A12" s="2">
        <v>10</v>
      </c>
      <c r="B12" s="2" t="s">
        <v>178</v>
      </c>
      <c r="C12" s="2" t="s">
        <v>179</v>
      </c>
      <c r="D12" s="3" t="s">
        <v>561</v>
      </c>
      <c r="E12" s="3">
        <v>3</v>
      </c>
      <c r="F12" s="4" t="str">
        <f t="shared" si="0"/>
        <v>Нужна проверка</v>
      </c>
      <c r="G12" s="3" t="s">
        <v>562</v>
      </c>
    </row>
    <row r="13" spans="1:7" ht="28.5">
      <c r="A13" s="2">
        <v>11</v>
      </c>
      <c r="B13" s="2" t="s">
        <v>180</v>
      </c>
      <c r="C13" s="2" t="s">
        <v>181</v>
      </c>
      <c r="D13" s="3" t="s">
        <v>563</v>
      </c>
      <c r="E13" s="3">
        <v>4</v>
      </c>
      <c r="F13" s="4" t="str">
        <f t="shared" si="0"/>
        <v>Подтверждено</v>
      </c>
      <c r="G13" s="3" t="s">
        <v>564</v>
      </c>
    </row>
    <row r="14" spans="1:7" ht="28.5">
      <c r="A14" s="2">
        <v>12</v>
      </c>
      <c r="B14" s="2" t="s">
        <v>182</v>
      </c>
      <c r="C14" s="2" t="s">
        <v>183</v>
      </c>
      <c r="D14" s="3" t="s">
        <v>565</v>
      </c>
      <c r="E14" s="3">
        <v>3</v>
      </c>
      <c r="F14" s="4" t="str">
        <f t="shared" si="0"/>
        <v>Нужна проверка</v>
      </c>
      <c r="G14" s="3" t="s">
        <v>566</v>
      </c>
    </row>
  </sheetData>
  <mergeCells count="1">
    <mergeCell ref="A1:G1"/>
  </mergeCells>
  <conditionalFormatting sqref="E3:E14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900-000000000000}">
          <x14:formula1>
            <xm:f>'12_Справочники'!$C$3:$C$7</xm:f>
          </x14:formula1>
          <xm:sqref>E3:E14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6"/>
  <sheetViews>
    <sheetView workbookViewId="0"/>
  </sheetViews>
  <sheetFormatPr defaultRowHeight="14.25"/>
  <cols>
    <col min="1" max="1" width="32.625" customWidth="1"/>
    <col min="2" max="2" width="55.625" customWidth="1"/>
    <col min="3" max="3" width="39.625" customWidth="1"/>
    <col min="4" max="4" width="55.625" customWidth="1"/>
    <col min="5" max="5" width="18" customWidth="1"/>
  </cols>
  <sheetData>
    <row r="1" spans="1:5" ht="18">
      <c r="A1" s="13" t="s">
        <v>184</v>
      </c>
      <c r="B1" s="13"/>
      <c r="C1" s="13"/>
      <c r="D1" s="13"/>
      <c r="E1" s="13"/>
    </row>
    <row r="2" spans="1:5" ht="15">
      <c r="A2" s="1" t="s">
        <v>185</v>
      </c>
      <c r="B2" s="1" t="s">
        <v>186</v>
      </c>
      <c r="C2" s="1" t="s">
        <v>187</v>
      </c>
      <c r="D2" s="1" t="s">
        <v>156</v>
      </c>
      <c r="E2" s="1" t="s">
        <v>95</v>
      </c>
    </row>
    <row r="3" spans="1:5" ht="71.25">
      <c r="A3" s="2" t="s">
        <v>188</v>
      </c>
      <c r="B3" s="3" t="str">
        <f>IFERROR(INDEX('02_Канвас'!$D$3:$D$11,MATCH("Клиентские сегменты",'02_Канвас'!$A$3:$A$11,0)),"")</f>
        <v>Сегмент: студенты технических специальностей (Free) и аналитики и разработчики ПО (Pro) в Беларуси, затем в России и СНГ, которые сталкиваются с отсутствием единого инструмента для нотаций UML, BPMN, ERD, IDEF0, DFD и оценивают решение по цене, набору нотаций и экспорту</v>
      </c>
      <c r="C3" s="2" t="s">
        <v>189</v>
      </c>
      <c r="D3" s="2" t="s">
        <v>190</v>
      </c>
      <c r="E3" s="4" t="str">
        <f t="shared" ref="E3:E16" si="0">IF(B3="","Не заполнено","Заполнено")</f>
        <v>Заполнено</v>
      </c>
    </row>
    <row r="4" spans="1:5" ht="71.25">
      <c r="A4" s="2" t="s">
        <v>191</v>
      </c>
      <c r="B4" s="3" t="s">
        <v>641</v>
      </c>
      <c r="C4" s="2" t="s">
        <v>192</v>
      </c>
      <c r="D4" s="2" t="s">
        <v>193</v>
      </c>
      <c r="E4" s="4" t="str">
        <f t="shared" si="0"/>
        <v>Заполнено</v>
      </c>
    </row>
    <row r="5" spans="1:5" ht="85.5">
      <c r="A5" s="2" t="s">
        <v>61</v>
      </c>
      <c r="B5" s="3" t="str">
        <f>IFERROR(INDEX('02_Канвас'!$D$3:$D$11,MATCH("Ценностное предложение",'02_Канвас'!$A$3:$A$11,0)),"")</f>
        <v>Для студентов и аналитиков ПО, которым нужны диаграммы UML, BPMN, ERD, IDEF0 и DFD, NotaCode - веб-IDE «диаграммы как код» - даёт диаграмму в любой нотации проекта из текста в одном инструменте, в отличие от текстовых языков без визуального редактора и платных редакторов с оплатой за пользователя</v>
      </c>
      <c r="C5" s="2" t="s">
        <v>194</v>
      </c>
      <c r="D5" s="2" t="s">
        <v>195</v>
      </c>
      <c r="E5" s="4" t="str">
        <f t="shared" si="0"/>
        <v>Заполнено</v>
      </c>
    </row>
    <row r="6" spans="1:5" ht="42.75">
      <c r="A6" s="2" t="s">
        <v>102</v>
      </c>
      <c r="B6" s="3" t="s">
        <v>642</v>
      </c>
      <c r="C6" s="2" t="s">
        <v>167</v>
      </c>
      <c r="D6" s="2" t="s">
        <v>196</v>
      </c>
      <c r="E6" s="4" t="str">
        <f t="shared" si="0"/>
        <v>Заполнено</v>
      </c>
    </row>
    <row r="7" spans="1:5" ht="28.5">
      <c r="A7" s="2" t="s">
        <v>121</v>
      </c>
      <c r="B7" s="3" t="s">
        <v>643</v>
      </c>
      <c r="C7" s="2" t="s">
        <v>169</v>
      </c>
      <c r="D7" s="2" t="s">
        <v>197</v>
      </c>
      <c r="E7" s="4" t="str">
        <f t="shared" si="0"/>
        <v>Заполнено</v>
      </c>
    </row>
    <row r="8" spans="1:5" ht="57">
      <c r="A8" s="2" t="s">
        <v>64</v>
      </c>
      <c r="B8" s="3" t="str">
        <f>IFERROR(INDEX('02_Канвас'!$D$3:$D$11,MATCH("Каналы",'02_Канвас'!$A$3:$A$11,0)),"")</f>
        <v>Основной канал: поиск Google и Яндекс на этапе осведомлённости; сайт с открытой ценой и документацией на этапе оценки; вспомогательный канал: вузы и сообщества разработчиков</v>
      </c>
      <c r="C8" s="2" t="s">
        <v>198</v>
      </c>
      <c r="D8" s="2" t="s">
        <v>199</v>
      </c>
      <c r="E8" s="4" t="str">
        <f t="shared" si="0"/>
        <v>Заполнено</v>
      </c>
    </row>
    <row r="9" spans="1:5" ht="28.5">
      <c r="A9" s="2" t="s">
        <v>67</v>
      </c>
      <c r="B9" s="3" t="str">
        <f>IFERROR(INDEX('02_Канвас'!$D$3:$D$11,MATCH("Отношения с клиентами",'02_Канвас'!$A$3:$A$11,0)),"")</f>
        <v>Самообслуживание: бесплатный уровень, документация, примеры; сообщество на этапах использования и удержания</v>
      </c>
      <c r="C9" s="2" t="s">
        <v>198</v>
      </c>
      <c r="D9" s="2" t="s">
        <v>200</v>
      </c>
      <c r="E9" s="4" t="str">
        <f t="shared" si="0"/>
        <v>Заполнено</v>
      </c>
    </row>
    <row r="10" spans="1:5" ht="42.75">
      <c r="A10" s="2" t="s">
        <v>70</v>
      </c>
      <c r="B10" s="3" t="str">
        <f>IFERROR(INDEX('02_Канвас'!$D$3:$D$11,MATCH("Потоки доходов",'02_Канвас'!$A$3:$A$11,0)),"")</f>
        <v>Основной поток: подписка Pro 40 у.е. в год (48 у.е. при цене 4 у.е. в месяц, 4 x 12) за пользователя; Free без оплаты; тарифный ограничитель - функции и лимиты</v>
      </c>
      <c r="C10" s="2" t="s">
        <v>201</v>
      </c>
      <c r="D10" s="2" t="s">
        <v>202</v>
      </c>
      <c r="E10" s="4" t="str">
        <f t="shared" si="0"/>
        <v>Заполнено</v>
      </c>
    </row>
    <row r="11" spans="1:5" ht="42.75">
      <c r="A11" s="2" t="s">
        <v>73</v>
      </c>
      <c r="B11" s="3" t="str">
        <f>IFERROR(INDEX('02_Канвас'!$D$3:$D$11,MATCH("Ключевые ресурсы",'02_Канвас'!$A$3:$A$11,0)),"")</f>
        <v>Ключевой ресурс: собственный движок нотаций и ИИ-ассистент в PWA, нужен для создания и поставки ценности; подтверждение - состав продукта (ЛР4, 6.1)</v>
      </c>
      <c r="C11" s="2" t="s">
        <v>203</v>
      </c>
      <c r="D11" s="2" t="s">
        <v>204</v>
      </c>
      <c r="E11" s="4" t="str">
        <f t="shared" si="0"/>
        <v>Заполнено</v>
      </c>
    </row>
    <row r="12" spans="1:5" ht="42.75">
      <c r="A12" s="2" t="s">
        <v>76</v>
      </c>
      <c r="B12" s="3" t="str">
        <f>IFERROR(INDEX('02_Канвас'!$D$3:$D$11,MATCH("Ключевые виды деятельности",'02_Канвас'!$A$3:$A$11,0)),"")</f>
        <v>Ключевой процесс: разработка и поддержка движка нотаций, документация и продвижение; обеспечивает качество диаграмм и привлечение, связан с движком нотаций</v>
      </c>
      <c r="C12" s="2" t="s">
        <v>203</v>
      </c>
      <c r="D12" s="2" t="s">
        <v>205</v>
      </c>
      <c r="E12" s="4" t="str">
        <f t="shared" si="0"/>
        <v>Заполнено</v>
      </c>
    </row>
    <row r="13" spans="1:5" ht="42.75">
      <c r="A13" s="2" t="s">
        <v>79</v>
      </c>
      <c r="B13" s="3" t="str">
        <f>IFERROR(INDEX('02_Канвас'!$D$3:$D$11,MATCH("Ключевые партнеры",'02_Канвас'!$A$3:$A$11,0)),"")</f>
        <v>Партнёры: вузы (доступ к студентам), платёжный провайдер, ИИ-провайдер, облачная инфраструктура; причины - доступ, скорость, интеграция</v>
      </c>
      <c r="C13" s="2" t="s">
        <v>203</v>
      </c>
      <c r="D13" s="2" t="s">
        <v>206</v>
      </c>
      <c r="E13" s="4" t="str">
        <f t="shared" si="0"/>
        <v>Заполнено</v>
      </c>
    </row>
    <row r="14" spans="1:5" ht="42.75">
      <c r="A14" s="2" t="s">
        <v>82</v>
      </c>
      <c r="B14" s="3" t="str">
        <f>IFERROR(INDEX('02_Канвас'!$D$3:$D$11,MATCH("Структура затрат",'02_Канвас'!$A$3:$A$11,0)),"")</f>
        <v>Ключевые затраты: разработка (постоянные), облачная инфраструктура (полупеременные), ИИ-вызовы (переменные), поддержка и продвижение</v>
      </c>
      <c r="C14" s="2" t="s">
        <v>207</v>
      </c>
      <c r="D14" s="2" t="s">
        <v>208</v>
      </c>
      <c r="E14" s="4" t="str">
        <f t="shared" si="0"/>
        <v>Заполнено</v>
      </c>
    </row>
    <row r="15" spans="1:5" ht="42.75">
      <c r="A15" s="2" t="s">
        <v>209</v>
      </c>
      <c r="B15" s="3" t="s">
        <v>644</v>
      </c>
      <c r="C15" s="2" t="s">
        <v>210</v>
      </c>
      <c r="D15" s="2" t="s">
        <v>211</v>
      </c>
      <c r="E15" s="4" t="str">
        <f t="shared" si="0"/>
        <v>Заполнено</v>
      </c>
    </row>
    <row r="16" spans="1:5" ht="42.75">
      <c r="A16" s="2" t="s">
        <v>212</v>
      </c>
      <c r="B16" s="3" t="s">
        <v>645</v>
      </c>
      <c r="C16" s="2" t="s">
        <v>27</v>
      </c>
      <c r="D16" s="2" t="s">
        <v>213</v>
      </c>
      <c r="E16" s="4" t="str">
        <f t="shared" si="0"/>
        <v>Заполнено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7"/>
  <sheetViews>
    <sheetView workbookViewId="0"/>
  </sheetViews>
  <sheetFormatPr defaultRowHeight="14.25"/>
  <cols>
    <col min="1" max="1" width="32" customWidth="1"/>
    <col min="2" max="4" width="18" customWidth="1"/>
    <col min="5" max="5" width="22" customWidth="1"/>
  </cols>
  <sheetData>
    <row r="1" spans="1:8" ht="16.149999999999999" customHeight="1">
      <c r="A1" s="13" t="s">
        <v>214</v>
      </c>
      <c r="B1" s="13"/>
      <c r="C1" s="13"/>
      <c r="D1" s="13"/>
      <c r="E1" s="13"/>
      <c r="F1" s="13"/>
      <c r="G1" s="13"/>
      <c r="H1" s="13"/>
    </row>
    <row r="2" spans="1:8">
      <c r="A2" s="7"/>
      <c r="B2" s="7"/>
      <c r="C2" s="7"/>
      <c r="D2" s="7"/>
      <c r="E2" s="7"/>
      <c r="F2" s="7"/>
      <c r="G2" s="7"/>
      <c r="H2" s="7"/>
    </row>
    <row r="3" spans="1:8" ht="16.149999999999999" customHeight="1">
      <c r="A3" s="1" t="s">
        <v>215</v>
      </c>
      <c r="B3" s="1" t="s">
        <v>216</v>
      </c>
      <c r="C3" s="7"/>
      <c r="D3" s="7"/>
      <c r="E3" s="7"/>
      <c r="F3" s="7"/>
      <c r="G3" s="7"/>
      <c r="H3" s="7"/>
    </row>
    <row r="4" spans="1:8" ht="15">
      <c r="A4" s="8" t="s">
        <v>217</v>
      </c>
      <c r="B4" s="9">
        <f>IFERROR(AVERAGE('02_Канвас'!G3:G11)/5,0)</f>
        <v>0.71111111111111103</v>
      </c>
      <c r="C4" s="2"/>
      <c r="D4" s="2"/>
      <c r="E4" s="2"/>
      <c r="F4" s="7"/>
      <c r="G4" s="7"/>
      <c r="H4" s="7"/>
    </row>
    <row r="5" spans="1:8" ht="30">
      <c r="A5" s="8" t="s">
        <v>218</v>
      </c>
      <c r="B5" s="9">
        <f>IFERROR(AVERAGE('02_Канвас'!F3:F11)/5,0)</f>
        <v>0.57777777777777772</v>
      </c>
      <c r="C5" s="2"/>
      <c r="D5" s="2"/>
      <c r="E5" s="2"/>
      <c r="F5" s="7"/>
      <c r="G5" s="7"/>
      <c r="H5" s="7"/>
    </row>
    <row r="6" spans="1:8" ht="15">
      <c r="A6" s="8" t="s">
        <v>219</v>
      </c>
      <c r="B6" s="9">
        <f>IFERROR(1-AVERAGE('02_Канвас'!H3:H11)/5,0)</f>
        <v>0.4</v>
      </c>
      <c r="C6" s="2"/>
      <c r="D6" s="2"/>
      <c r="E6" s="2"/>
      <c r="F6" s="7"/>
      <c r="G6" s="7"/>
      <c r="H6" s="7"/>
    </row>
    <row r="7" spans="1:8" ht="15">
      <c r="A7" s="8" t="s">
        <v>220</v>
      </c>
      <c r="B7" s="9">
        <f>IFERROR(COUNTIF('02_Канвас'!J3:J11,"Готово")/9,0)</f>
        <v>0.1111111111111111</v>
      </c>
      <c r="C7" s="2"/>
      <c r="D7" s="2"/>
      <c r="E7" s="2"/>
      <c r="F7" s="7"/>
      <c r="G7" s="7"/>
      <c r="H7" s="7"/>
    </row>
    <row r="8" spans="1:8" ht="30">
      <c r="A8" s="8" t="s">
        <v>221</v>
      </c>
      <c r="B8" s="2">
        <f>COUNTA('01_Данные_анализа'!F3:F26)</f>
        <v>24</v>
      </c>
      <c r="C8" s="2"/>
      <c r="D8" s="2"/>
      <c r="E8" s="2"/>
      <c r="F8" s="7"/>
      <c r="G8" s="7"/>
      <c r="H8" s="7"/>
    </row>
    <row r="9" spans="1:8" ht="30">
      <c r="A9" s="8" t="s">
        <v>222</v>
      </c>
      <c r="B9" s="9">
        <f>IFERROR(COUNTIF('09_Проверка_связности'!F3:F14,"Подтверждено")/COUNTA('09_Проверка_связности'!A3:A14),0)</f>
        <v>0.5</v>
      </c>
      <c r="C9" s="2"/>
      <c r="D9" s="2"/>
      <c r="E9" s="2"/>
      <c r="F9" s="7"/>
      <c r="G9" s="7"/>
      <c r="H9" s="7"/>
    </row>
    <row r="10" spans="1:8">
      <c r="A10" s="2"/>
      <c r="B10" s="2"/>
      <c r="C10" s="2"/>
      <c r="D10" s="2"/>
      <c r="E10" s="2"/>
      <c r="F10" s="7"/>
      <c r="G10" s="7"/>
      <c r="H10" s="7"/>
    </row>
    <row r="11" spans="1:8" ht="16.149999999999999" customHeight="1">
      <c r="A11" s="1" t="s">
        <v>42</v>
      </c>
      <c r="B11" s="1" t="s">
        <v>223</v>
      </c>
      <c r="C11" s="1" t="s">
        <v>224</v>
      </c>
      <c r="D11" s="1" t="s">
        <v>225</v>
      </c>
      <c r="E11" s="1" t="s">
        <v>95</v>
      </c>
      <c r="F11" s="7"/>
      <c r="G11" s="7"/>
      <c r="H11" s="7"/>
    </row>
    <row r="12" spans="1:8">
      <c r="A12" s="2" t="str">
        <f>'02_Канвас'!A3</f>
        <v>Клиентские сегменты</v>
      </c>
      <c r="B12" s="2">
        <f>'02_Канвас'!F3</f>
        <v>4</v>
      </c>
      <c r="C12" s="2">
        <f>'02_Канвас'!G3</f>
        <v>4</v>
      </c>
      <c r="D12" s="2">
        <f>'02_Канвас'!H3</f>
        <v>2</v>
      </c>
      <c r="E12" s="2" t="str">
        <f>'02_Канвас'!J3</f>
        <v>Готово</v>
      </c>
      <c r="F12" s="7"/>
      <c r="G12" s="7"/>
      <c r="H12" s="7"/>
    </row>
    <row r="13" spans="1:8">
      <c r="A13" s="2" t="str">
        <f>'02_Канвас'!A4</f>
        <v>Ценностное предложение</v>
      </c>
      <c r="B13" s="2">
        <f>'02_Канвас'!F4</f>
        <v>4</v>
      </c>
      <c r="C13" s="2">
        <f>'02_Канвас'!G4</f>
        <v>4</v>
      </c>
      <c r="D13" s="2">
        <f>'02_Канвас'!H4</f>
        <v>3</v>
      </c>
      <c r="E13" s="2" t="str">
        <f>'02_Канвас'!J4</f>
        <v>Проверить</v>
      </c>
      <c r="F13" s="7"/>
      <c r="G13" s="7"/>
      <c r="H13" s="7"/>
    </row>
    <row r="14" spans="1:8">
      <c r="A14" s="2" t="str">
        <f>'02_Канвас'!A5</f>
        <v>Каналы</v>
      </c>
      <c r="B14" s="2">
        <f>'02_Канвас'!F5</f>
        <v>4</v>
      </c>
      <c r="C14" s="2">
        <f>'02_Канвас'!G5</f>
        <v>4</v>
      </c>
      <c r="D14" s="2">
        <f>'02_Канвас'!H5</f>
        <v>3</v>
      </c>
      <c r="E14" s="2" t="str">
        <f>'02_Канвас'!J5</f>
        <v>Проверить</v>
      </c>
      <c r="F14" s="7"/>
      <c r="G14" s="7"/>
      <c r="H14" s="7"/>
    </row>
    <row r="15" spans="1:8">
      <c r="A15" s="2" t="str">
        <f>'02_Канвас'!A6</f>
        <v>Отношения с клиентами</v>
      </c>
      <c r="B15" s="2">
        <f>'02_Канвас'!F6</f>
        <v>3</v>
      </c>
      <c r="C15" s="2">
        <f>'02_Канвас'!G6</f>
        <v>4</v>
      </c>
      <c r="D15" s="2">
        <f>'02_Канвас'!H6</f>
        <v>3</v>
      </c>
      <c r="E15" s="2" t="str">
        <f>'02_Канвас'!J6</f>
        <v>Проверить</v>
      </c>
      <c r="F15" s="7"/>
      <c r="G15" s="7"/>
      <c r="H15" s="7"/>
    </row>
    <row r="16" spans="1:8">
      <c r="A16" s="2" t="str">
        <f>'02_Канвас'!A7</f>
        <v>Потоки доходов</v>
      </c>
      <c r="B16" s="2">
        <f>'02_Канвас'!F7</f>
        <v>3</v>
      </c>
      <c r="C16" s="2">
        <f>'02_Канвас'!G7</f>
        <v>4</v>
      </c>
      <c r="D16" s="2">
        <f>'02_Канвас'!H7</f>
        <v>3</v>
      </c>
      <c r="E16" s="2" t="str">
        <f>'02_Канвас'!J7</f>
        <v>Проверить</v>
      </c>
      <c r="F16" s="7"/>
      <c r="G16" s="7"/>
      <c r="H16" s="7"/>
    </row>
    <row r="17" spans="1:8">
      <c r="A17" s="2" t="str">
        <f>'02_Канвас'!A8</f>
        <v>Ключевые ресурсы</v>
      </c>
      <c r="B17" s="2">
        <f>'02_Канвас'!F8</f>
        <v>2</v>
      </c>
      <c r="C17" s="2">
        <f>'02_Канвас'!G8</f>
        <v>3</v>
      </c>
      <c r="D17" s="2">
        <f>'02_Канвас'!H8</f>
        <v>3</v>
      </c>
      <c r="E17" s="2" t="str">
        <f>'02_Канвас'!J8</f>
        <v>Требует доработки</v>
      </c>
      <c r="F17" s="7"/>
      <c r="G17" s="7"/>
      <c r="H17" s="7"/>
    </row>
    <row r="18" spans="1:8">
      <c r="A18" s="2" t="str">
        <f>'02_Канвас'!A9</f>
        <v>Ключевые виды деятельности</v>
      </c>
      <c r="B18" s="2">
        <f>'02_Канвас'!F9</f>
        <v>2</v>
      </c>
      <c r="C18" s="2">
        <f>'02_Канвас'!G9</f>
        <v>3</v>
      </c>
      <c r="D18" s="2">
        <f>'02_Канвас'!H9</f>
        <v>3</v>
      </c>
      <c r="E18" s="2" t="str">
        <f>'02_Канвас'!J9</f>
        <v>Требует доработки</v>
      </c>
      <c r="F18" s="7"/>
      <c r="G18" s="7"/>
      <c r="H18" s="7"/>
    </row>
    <row r="19" spans="1:8">
      <c r="A19" s="2" t="str">
        <f>'02_Канвас'!A10</f>
        <v>Ключевые партнеры</v>
      </c>
      <c r="B19" s="2">
        <f>'02_Канвас'!F10</f>
        <v>2</v>
      </c>
      <c r="C19" s="2">
        <f>'02_Канвас'!G10</f>
        <v>3</v>
      </c>
      <c r="D19" s="2">
        <f>'02_Канвас'!H10</f>
        <v>3</v>
      </c>
      <c r="E19" s="2" t="str">
        <f>'02_Канвас'!J10</f>
        <v>Требует доработки</v>
      </c>
      <c r="F19" s="7"/>
      <c r="G19" s="7"/>
      <c r="H19" s="7"/>
    </row>
    <row r="20" spans="1:8">
      <c r="A20" s="2" t="str">
        <f>'02_Канвас'!A11</f>
        <v>Структура затрат</v>
      </c>
      <c r="B20" s="2">
        <f>'02_Канвас'!F11</f>
        <v>2</v>
      </c>
      <c r="C20" s="2">
        <f>'02_Канвас'!G11</f>
        <v>3</v>
      </c>
      <c r="D20" s="2">
        <f>'02_Канвас'!H11</f>
        <v>4</v>
      </c>
      <c r="E20" s="2" t="str">
        <f>'02_Канвас'!J11</f>
        <v>Требует доработки</v>
      </c>
      <c r="F20" s="7"/>
      <c r="G20" s="7"/>
      <c r="H20" s="7"/>
    </row>
    <row r="21" spans="1:8">
      <c r="A21" s="2"/>
      <c r="B21" s="2"/>
      <c r="C21" s="2"/>
      <c r="D21" s="2"/>
      <c r="E21" s="2"/>
      <c r="F21" s="7"/>
      <c r="G21" s="7"/>
      <c r="H21" s="7"/>
    </row>
    <row r="22" spans="1:8">
      <c r="A22" s="2"/>
      <c r="B22" s="2"/>
      <c r="C22" s="2"/>
      <c r="D22" s="2"/>
      <c r="E22" s="2"/>
      <c r="F22" s="7"/>
      <c r="G22" s="7"/>
      <c r="H22" s="7"/>
    </row>
    <row r="23" spans="1:8" ht="16.149999999999999" customHeight="1">
      <c r="A23" s="1" t="s">
        <v>226</v>
      </c>
      <c r="B23" s="1" t="s">
        <v>227</v>
      </c>
      <c r="C23" s="1" t="s">
        <v>160</v>
      </c>
      <c r="D23" s="2"/>
      <c r="E23" s="2"/>
      <c r="F23" s="7"/>
      <c r="G23" s="7"/>
      <c r="H23" s="7"/>
    </row>
    <row r="24" spans="1:8" ht="28.5">
      <c r="A24" s="2" t="s">
        <v>228</v>
      </c>
      <c r="B24" s="2" t="s">
        <v>229</v>
      </c>
      <c r="C24" s="2" t="str">
        <f>IF(AND(B4&gt;=0.8,B5&gt;=0.8,B6&gt;=0.8,B7&gt;=0.8,B9&gt;=0.8),"Да","Нет")</f>
        <v>Нет</v>
      </c>
      <c r="D24" s="2"/>
      <c r="E24" s="2"/>
      <c r="F24" s="7"/>
      <c r="G24" s="7"/>
      <c r="H24" s="7"/>
    </row>
    <row r="25" spans="1:8" ht="28.5">
      <c r="A25" s="2" t="s">
        <v>230</v>
      </c>
      <c r="B25" s="2" t="s">
        <v>231</v>
      </c>
      <c r="C25" s="2" t="str">
        <f>IF(AND(B4&gt;=0.6,B5&gt;=0.6,B6&gt;=0.6,B7&gt;=0.6,B9&gt;=0.6),"Да","Нет")</f>
        <v>Нет</v>
      </c>
      <c r="D25" s="2"/>
      <c r="E25" s="2"/>
      <c r="F25" s="7"/>
      <c r="G25" s="7"/>
      <c r="H25" s="7"/>
    </row>
    <row r="26" spans="1:8" ht="42.75">
      <c r="A26" s="2" t="s">
        <v>232</v>
      </c>
      <c r="B26" s="2" t="s">
        <v>233</v>
      </c>
      <c r="C26" s="2" t="str">
        <f>IF(OR(B4&lt;0.6,B5&lt;0.6,B6&lt;0.6,B9&lt;0.6),"Да","Нет")</f>
        <v>Да</v>
      </c>
      <c r="D26" s="2"/>
      <c r="E26" s="2"/>
      <c r="F26" s="7"/>
      <c r="G26" s="7"/>
      <c r="H26" s="7"/>
    </row>
    <row r="27" spans="1:8" ht="57">
      <c r="A27" s="2" t="s">
        <v>234</v>
      </c>
      <c r="B27" s="2" t="s">
        <v>235</v>
      </c>
      <c r="C27" s="2" t="str">
        <f>IF(C24="Да","Можно оформлять итоговую бизнес-модель",IF(C25="Да","Нужна точечная проверка гипотез","Нужна доработка исходных данных и связности"))</f>
        <v>Нужна доработка исходных данных и связности</v>
      </c>
      <c r="D27" s="2"/>
      <c r="E27" s="2"/>
      <c r="F27" s="7"/>
      <c r="G27" s="7"/>
      <c r="H27" s="7"/>
    </row>
  </sheetData>
  <mergeCells count="1">
    <mergeCell ref="A1:H1"/>
  </mergeCells>
  <conditionalFormatting sqref="A11:E20">
    <cfRule type="expression" dxfId="1" priority="1">
      <formula>$E12="Готово"</formula>
    </cfRule>
    <cfRule type="expression" dxfId="0" priority="2">
      <formula>$E12="Требует доработки"</formula>
    </cfRule>
  </conditionalFormatting>
  <conditionalFormatting sqref="B12:D20">
    <cfRule type="dataBar" priority="3">
      <dataBar>
        <cfvo type="min"/>
        <cfvo type="max"/>
        <color rgb="FF60A5FA"/>
      </dataBar>
    </cfRule>
    <cfRule type="dataBar" priority="4">
      <dataBar>
        <cfvo type="min"/>
        <cfvo type="max"/>
        <color rgb="FF60A5FA"/>
      </dataBar>
      <extLst>
        <ext xmlns:x14="http://schemas.microsoft.com/office/spreadsheetml/2009/9/main" uri="{B025F937-C7B1-47D3-B67F-A62EFF666E3E}">
          <x14:id>{35B126B1-F5B6-0ECF-CCD2-B123A6D800D5}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B126B1-F5B6-0ECF-CCD2-B123A6D800D5}">
            <x14:dataBar>
              <x14:cfvo type="min"/>
              <x14:cfvo type="max"/>
              <x14:negativeFillColor auto="1"/>
              <x14:axisColor auto="1"/>
            </x14:dataBar>
          </x14:cfRule>
          <xm:sqref>B12:D20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8"/>
  <sheetViews>
    <sheetView workbookViewId="0">
      <selection sqref="A1:K1"/>
    </sheetView>
  </sheetViews>
  <sheetFormatPr defaultRowHeight="14.25"/>
  <cols>
    <col min="1" max="1" width="51.625" customWidth="1"/>
    <col min="2" max="2" width="28.625" customWidth="1"/>
    <col min="3" max="4" width="24" customWidth="1"/>
    <col min="5" max="5" width="34.625" customWidth="1"/>
    <col min="6" max="6" width="26.625" customWidth="1"/>
    <col min="7" max="7" width="30.625" customWidth="1"/>
    <col min="8" max="8" width="24" customWidth="1"/>
    <col min="9" max="10" width="25.625" customWidth="1"/>
    <col min="11" max="11" width="26.625" customWidth="1"/>
  </cols>
  <sheetData>
    <row r="1" spans="1:11" ht="18">
      <c r="A1" s="13" t="s">
        <v>236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15">
      <c r="A2" s="1" t="s">
        <v>237</v>
      </c>
      <c r="B2" s="1" t="s">
        <v>42</v>
      </c>
      <c r="C2" s="1" t="s">
        <v>159</v>
      </c>
      <c r="D2" s="1" t="s">
        <v>95</v>
      </c>
      <c r="E2" s="1" t="s">
        <v>103</v>
      </c>
      <c r="F2" s="1" t="s">
        <v>107</v>
      </c>
      <c r="G2" s="1" t="s">
        <v>125</v>
      </c>
      <c r="H2" s="1" t="s">
        <v>146</v>
      </c>
      <c r="I2" s="1" t="s">
        <v>113</v>
      </c>
      <c r="J2" s="1" t="s">
        <v>141</v>
      </c>
      <c r="K2" s="1" t="s">
        <v>238</v>
      </c>
    </row>
    <row r="3" spans="1:11">
      <c r="A3" s="2" t="s">
        <v>239</v>
      </c>
      <c r="B3" s="2" t="s">
        <v>58</v>
      </c>
      <c r="C3" s="2">
        <v>1</v>
      </c>
      <c r="D3" s="2" t="s">
        <v>240</v>
      </c>
      <c r="E3" s="2" t="s">
        <v>241</v>
      </c>
      <c r="F3" s="2" t="s">
        <v>242</v>
      </c>
      <c r="G3" s="2" t="s">
        <v>243</v>
      </c>
      <c r="H3" s="2" t="s">
        <v>244</v>
      </c>
      <c r="I3" s="2" t="s">
        <v>245</v>
      </c>
      <c r="J3" s="2" t="s">
        <v>246</v>
      </c>
      <c r="K3" s="2" t="s">
        <v>247</v>
      </c>
    </row>
    <row r="4" spans="1:11">
      <c r="A4" s="2" t="s">
        <v>248</v>
      </c>
      <c r="B4" s="2" t="s">
        <v>61</v>
      </c>
      <c r="C4" s="2">
        <v>2</v>
      </c>
      <c r="D4" s="2" t="s">
        <v>249</v>
      </c>
      <c r="E4" s="2" t="s">
        <v>250</v>
      </c>
      <c r="F4" s="2" t="s">
        <v>251</v>
      </c>
      <c r="G4" s="2" t="s">
        <v>252</v>
      </c>
      <c r="H4" s="2" t="s">
        <v>253</v>
      </c>
      <c r="I4" s="2" t="s">
        <v>254</v>
      </c>
      <c r="J4" s="2" t="s">
        <v>255</v>
      </c>
      <c r="K4" s="2" t="s">
        <v>256</v>
      </c>
    </row>
    <row r="5" spans="1:11">
      <c r="A5" s="2" t="s">
        <v>257</v>
      </c>
      <c r="B5" s="2" t="s">
        <v>64</v>
      </c>
      <c r="C5" s="2">
        <v>3</v>
      </c>
      <c r="D5" s="2" t="s">
        <v>258</v>
      </c>
      <c r="E5" s="2" t="s">
        <v>259</v>
      </c>
      <c r="F5" s="2" t="s">
        <v>260</v>
      </c>
      <c r="G5" s="2" t="s">
        <v>261</v>
      </c>
      <c r="H5" s="2" t="s">
        <v>262</v>
      </c>
      <c r="I5" s="2" t="s">
        <v>263</v>
      </c>
      <c r="J5" s="2" t="s">
        <v>264</v>
      </c>
      <c r="K5" s="2" t="s">
        <v>265</v>
      </c>
    </row>
    <row r="6" spans="1:11">
      <c r="A6" s="2" t="s">
        <v>266</v>
      </c>
      <c r="B6" s="2" t="s">
        <v>67</v>
      </c>
      <c r="C6" s="2">
        <v>4</v>
      </c>
      <c r="D6" s="2" t="s">
        <v>267</v>
      </c>
      <c r="E6" s="2" t="s">
        <v>268</v>
      </c>
      <c r="F6" s="2" t="s">
        <v>269</v>
      </c>
      <c r="G6" s="2" t="s">
        <v>270</v>
      </c>
      <c r="H6" s="2" t="s">
        <v>271</v>
      </c>
      <c r="I6" s="2" t="s">
        <v>272</v>
      </c>
      <c r="J6" s="2" t="s">
        <v>273</v>
      </c>
      <c r="K6" s="2" t="s">
        <v>274</v>
      </c>
    </row>
    <row r="7" spans="1:11">
      <c r="A7" s="2" t="s">
        <v>275</v>
      </c>
      <c r="B7" s="2" t="s">
        <v>70</v>
      </c>
      <c r="C7" s="2">
        <v>5</v>
      </c>
      <c r="D7" s="2" t="s">
        <v>276</v>
      </c>
      <c r="E7" s="2" t="s">
        <v>277</v>
      </c>
      <c r="F7" s="2" t="s">
        <v>278</v>
      </c>
      <c r="G7" s="2" t="s">
        <v>279</v>
      </c>
      <c r="H7" s="2" t="s">
        <v>280</v>
      </c>
      <c r="I7" s="2" t="s">
        <v>281</v>
      </c>
      <c r="J7" s="2" t="s">
        <v>282</v>
      </c>
      <c r="K7" s="2" t="s">
        <v>283</v>
      </c>
    </row>
    <row r="8" spans="1:11">
      <c r="A8" s="2" t="s">
        <v>284</v>
      </c>
      <c r="B8" s="2" t="s">
        <v>73</v>
      </c>
      <c r="C8" s="2"/>
      <c r="D8" s="2" t="s">
        <v>285</v>
      </c>
      <c r="E8" s="2" t="s">
        <v>286</v>
      </c>
      <c r="F8" s="2" t="s">
        <v>287</v>
      </c>
      <c r="G8" s="2" t="s">
        <v>288</v>
      </c>
      <c r="H8" s="2" t="s">
        <v>289</v>
      </c>
      <c r="I8" s="2" t="s">
        <v>290</v>
      </c>
      <c r="J8" s="2"/>
      <c r="K8" s="2" t="s">
        <v>291</v>
      </c>
    </row>
    <row r="9" spans="1:11">
      <c r="A9" s="2" t="s">
        <v>292</v>
      </c>
      <c r="B9" s="2" t="s">
        <v>76</v>
      </c>
      <c r="C9" s="2"/>
      <c r="D9" s="2"/>
      <c r="E9" s="2" t="s">
        <v>293</v>
      </c>
      <c r="F9" s="2"/>
      <c r="G9" s="2" t="s">
        <v>294</v>
      </c>
      <c r="H9" s="2" t="s">
        <v>295</v>
      </c>
      <c r="I9" s="2" t="s">
        <v>296</v>
      </c>
      <c r="J9" s="2"/>
      <c r="K9" s="2"/>
    </row>
    <row r="10" spans="1:11">
      <c r="A10" s="2" t="s">
        <v>297</v>
      </c>
      <c r="B10" s="2" t="s">
        <v>79</v>
      </c>
      <c r="C10" s="2"/>
      <c r="D10" s="2"/>
      <c r="E10" s="2" t="s">
        <v>298</v>
      </c>
      <c r="F10" s="2"/>
      <c r="G10" s="2" t="s">
        <v>299</v>
      </c>
      <c r="H10" s="2" t="s">
        <v>300</v>
      </c>
      <c r="I10" s="2" t="s">
        <v>301</v>
      </c>
      <c r="J10" s="2"/>
      <c r="K10" s="2"/>
    </row>
    <row r="11" spans="1:11">
      <c r="A11" s="2" t="s">
        <v>302</v>
      </c>
      <c r="B11" s="2" t="s">
        <v>82</v>
      </c>
      <c r="C11" s="2"/>
      <c r="D11" s="2"/>
      <c r="E11" s="2"/>
      <c r="F11" s="2"/>
      <c r="G11" s="2" t="s">
        <v>303</v>
      </c>
      <c r="H11" s="2"/>
      <c r="I11" s="2"/>
      <c r="J11" s="2"/>
      <c r="K11" s="2"/>
    </row>
    <row r="12" spans="1:11">
      <c r="A12" s="2" t="s">
        <v>304</v>
      </c>
      <c r="B12" s="2"/>
      <c r="C12" s="2"/>
      <c r="D12" s="2"/>
      <c r="E12" s="2"/>
      <c r="F12" s="2"/>
      <c r="G12" s="2" t="s">
        <v>305</v>
      </c>
      <c r="H12" s="2"/>
      <c r="I12" s="2"/>
      <c r="J12" s="2"/>
      <c r="K12" s="2"/>
    </row>
    <row r="13" spans="1:11">
      <c r="A13" s="7" t="s">
        <v>615</v>
      </c>
      <c r="B13" s="7" t="s">
        <v>70</v>
      </c>
      <c r="C13" s="7">
        <v>5</v>
      </c>
      <c r="D13" s="7" t="s">
        <v>249</v>
      </c>
      <c r="E13" s="7" t="s">
        <v>616</v>
      </c>
      <c r="F13" s="7" t="s">
        <v>428</v>
      </c>
      <c r="G13" s="7" t="s">
        <v>617</v>
      </c>
      <c r="H13" s="7" t="s">
        <v>618</v>
      </c>
      <c r="I13" s="7" t="s">
        <v>281</v>
      </c>
      <c r="J13" s="7" t="s">
        <v>273</v>
      </c>
      <c r="K13" s="7" t="s">
        <v>619</v>
      </c>
    </row>
    <row r="14" spans="1:11">
      <c r="A14" s="7" t="s">
        <v>620</v>
      </c>
      <c r="B14" s="7" t="s">
        <v>73</v>
      </c>
      <c r="C14" s="7"/>
      <c r="D14" s="7" t="s">
        <v>258</v>
      </c>
      <c r="E14" s="7" t="s">
        <v>268</v>
      </c>
      <c r="F14" s="7" t="s">
        <v>269</v>
      </c>
      <c r="G14" s="7" t="s">
        <v>288</v>
      </c>
      <c r="H14" s="7" t="s">
        <v>621</v>
      </c>
      <c r="I14" s="7" t="s">
        <v>622</v>
      </c>
      <c r="J14" s="7" t="s">
        <v>264</v>
      </c>
      <c r="K14" s="7"/>
    </row>
    <row r="15" spans="1:11">
      <c r="A15" s="7" t="s">
        <v>623</v>
      </c>
      <c r="B15" s="7" t="s">
        <v>76</v>
      </c>
      <c r="C15" s="7"/>
      <c r="D15" s="7" t="s">
        <v>240</v>
      </c>
      <c r="E15" s="7" t="s">
        <v>624</v>
      </c>
      <c r="F15" s="7"/>
      <c r="G15" s="7" t="s">
        <v>625</v>
      </c>
      <c r="H15" s="7"/>
      <c r="I15" s="7" t="s">
        <v>626</v>
      </c>
      <c r="J15" s="7"/>
      <c r="K15" s="7"/>
    </row>
    <row r="16" spans="1:11">
      <c r="A16" s="7" t="s">
        <v>627</v>
      </c>
      <c r="B16" s="7" t="s">
        <v>79</v>
      </c>
      <c r="C16" s="7"/>
      <c r="D16" s="7"/>
      <c r="E16" s="7" t="s">
        <v>628</v>
      </c>
      <c r="F16" s="7"/>
      <c r="G16" s="7"/>
      <c r="H16" s="7"/>
      <c r="I16" s="7"/>
      <c r="J16" s="7"/>
      <c r="K16" s="7"/>
    </row>
    <row r="17" spans="1:11">
      <c r="A17" s="7"/>
      <c r="B17" s="7" t="s">
        <v>82</v>
      </c>
      <c r="C17" s="7"/>
      <c r="D17" s="7"/>
      <c r="E17" s="7" t="s">
        <v>629</v>
      </c>
      <c r="F17" s="7"/>
      <c r="G17" s="7"/>
      <c r="H17" s="7"/>
      <c r="I17" s="7"/>
      <c r="J17" s="7"/>
      <c r="K17" s="7"/>
    </row>
    <row r="18" spans="1:11">
      <c r="A18" s="7"/>
      <c r="B18" s="7" t="s">
        <v>67</v>
      </c>
      <c r="C18" s="7"/>
      <c r="D18" s="7"/>
      <c r="E18" s="7"/>
      <c r="F18" s="7"/>
      <c r="G18" s="7"/>
      <c r="H18" s="7"/>
      <c r="I18" s="7"/>
      <c r="J18" s="7"/>
      <c r="K18" s="7"/>
    </row>
  </sheetData>
  <mergeCells count="1">
    <mergeCell ref="A1:K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7FD8E-ACB1-435B-9B77-8AF3D9A88392}">
  <dimension ref="A1:C7"/>
  <sheetViews>
    <sheetView workbookViewId="0"/>
  </sheetViews>
  <sheetFormatPr defaultRowHeight="12.75"/>
  <cols>
    <col min="1" max="1" width="55.625" style="5" customWidth="1"/>
    <col min="2" max="2" width="9.625" style="5" customWidth="1"/>
    <col min="3" max="3" width="60.625" style="5" customWidth="1"/>
    <col min="4" max="16384" width="9" style="5"/>
  </cols>
  <sheetData>
    <row r="1" spans="1:3" ht="31.5">
      <c r="A1" s="10" t="s">
        <v>567</v>
      </c>
      <c r="B1" s="11"/>
      <c r="C1" s="11"/>
    </row>
    <row r="2" spans="1:3">
      <c r="A2" s="11"/>
      <c r="B2" s="11"/>
      <c r="C2" s="11"/>
    </row>
    <row r="3" spans="1:3">
      <c r="A3" s="12" t="s">
        <v>568</v>
      </c>
      <c r="B3" s="12" t="s">
        <v>569</v>
      </c>
      <c r="C3" s="12" t="s">
        <v>570</v>
      </c>
    </row>
    <row r="4" spans="1:3" ht="25.5">
      <c r="A4" s="6" t="s">
        <v>571</v>
      </c>
      <c r="B4" s="6" t="s">
        <v>572</v>
      </c>
      <c r="C4" s="6" t="s">
        <v>646</v>
      </c>
    </row>
    <row r="5" spans="1:3" ht="38.25">
      <c r="A5" s="6" t="s">
        <v>227</v>
      </c>
      <c r="B5" s="6" t="s">
        <v>573</v>
      </c>
      <c r="C5" s="6" t="s">
        <v>647</v>
      </c>
    </row>
    <row r="6" spans="1:3">
      <c r="A6" s="6" t="s">
        <v>227</v>
      </c>
      <c r="B6" s="6" t="s">
        <v>574</v>
      </c>
      <c r="C6" s="6" t="s">
        <v>648</v>
      </c>
    </row>
    <row r="7" spans="1:3" ht="38.25">
      <c r="A7" s="6" t="s">
        <v>575</v>
      </c>
      <c r="B7" s="6" t="s">
        <v>576</v>
      </c>
      <c r="C7" s="6" t="s">
        <v>650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00_Инструкция</vt:lpstr>
      <vt:lpstr>01_Данные_анализа</vt:lpstr>
      <vt:lpstr>02_Канвас</vt:lpstr>
      <vt:lpstr>03_Сегменты</vt:lpstr>
      <vt:lpstr>04_Ценность_товар</vt:lpstr>
      <vt:lpstr>05_Каналы_отношения</vt:lpstr>
      <vt:lpstr>06_Монетизация</vt:lpstr>
      <vt:lpstr>07_Операционная_основа</vt:lpstr>
      <vt:lpstr>08_Затраты</vt:lpstr>
      <vt:lpstr>09_Проверка_связности</vt:lpstr>
      <vt:lpstr>10_Паспорт</vt:lpstr>
      <vt:lpstr>11_Дашборд</vt:lpstr>
      <vt:lpstr>12_Справочники</vt:lpstr>
      <vt:lpstr>Журнал_6_2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Бизнес-модель NotaCode по Канвас</dc:title>
  <dc:creator>К. А. Хаджинова</dc:creator>
  <dc:description/>
  <cp:lastModifiedBy>Aliaksandr Khajynau</cp:lastModifiedBy>
  <dcterms:created xsi:type="dcterms:W3CDTF">2026-10-04T16:53:27Z</dcterms:created>
  <dcterms:modified xsi:type="dcterms:W3CDTF">2026-10-04T18:20:48Z</dcterms:modified>
</cp:coreProperties>
</file>