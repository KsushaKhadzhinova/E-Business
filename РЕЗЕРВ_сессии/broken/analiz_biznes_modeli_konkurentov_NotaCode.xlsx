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5\"/>
    </mc:Choice>
  </mc:AlternateContent>
  <xr:revisionPtr revIDLastSave="0" documentId="13_ncr:1_{ABD14036-2B39-4A89-8075-A331BA586D6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3_Справочники" sheetId="1" r:id="rId1"/>
    <sheet name="01_Инструкция" sheetId="2" r:id="rId2"/>
    <sheet name="02_Конкуренты" sheetId="3" r:id="rId3"/>
    <sheet name="03_Факты_сайта" sheetId="4" r:id="rId4"/>
    <sheet name="04_Бизнес_модель" sheetId="5" r:id="rId5"/>
    <sheet name="05_Товар_ценность" sheetId="6" r:id="rId6"/>
    <sheet name="06_Монетизация" sheetId="7" r:id="rId7"/>
    <sheet name="07_Каналы" sheetId="8" r:id="rId8"/>
    <sheet name="08_Операц_модель" sheetId="9" r:id="rId9"/>
    <sheet name="09_Матрица" sheetId="10" r:id="rId10"/>
    <sheet name="10_Стандарт" sheetId="11" r:id="rId11"/>
    <sheet name="11_Преимущества" sheetId="12" r:id="rId12"/>
    <sheet name="12_Сводка" sheetId="13" r:id="rId13"/>
    <sheet name="14_Журнал" sheetId="14" r:id="rId14"/>
  </sheets>
  <calcPr calcId="191029"/>
</workbook>
</file>

<file path=xl/calcChain.xml><?xml version="1.0" encoding="utf-8"?>
<calcChain xmlns="http://schemas.openxmlformats.org/spreadsheetml/2006/main">
  <c r="B11" i="13" l="1"/>
  <c r="B6" i="13"/>
  <c r="B5" i="13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P11" i="10"/>
  <c r="P10" i="10"/>
  <c r="P9" i="10"/>
  <c r="P7" i="10"/>
  <c r="P6" i="10"/>
  <c r="P5" i="10"/>
  <c r="E15" i="13"/>
  <c r="E14" i="13"/>
  <c r="E13" i="13"/>
  <c r="E12" i="13"/>
  <c r="E11" i="13"/>
  <c r="E10" i="13"/>
  <c r="E9" i="13"/>
  <c r="E8" i="13"/>
  <c r="E7" i="13"/>
  <c r="E6" i="13"/>
  <c r="K11" i="12"/>
  <c r="L11" i="12" s="1"/>
  <c r="B11" i="12"/>
  <c r="K10" i="12"/>
  <c r="L10" i="12" s="1"/>
  <c r="B10" i="12"/>
  <c r="K9" i="12"/>
  <c r="L9" i="12" s="1"/>
  <c r="B9" i="12"/>
  <c r="K8" i="12"/>
  <c r="L8" i="12" s="1"/>
  <c r="B8" i="12"/>
  <c r="K7" i="12"/>
  <c r="L7" i="12" s="1"/>
  <c r="B7" i="12"/>
  <c r="K6" i="12"/>
  <c r="L6" i="12" s="1"/>
  <c r="B6" i="12"/>
  <c r="K5" i="12"/>
  <c r="L5" i="12" s="1"/>
  <c r="B5" i="12"/>
  <c r="K4" i="12"/>
  <c r="L4" i="12" s="1"/>
  <c r="B4" i="12"/>
  <c r="N11" i="10"/>
  <c r="B11" i="10"/>
  <c r="N10" i="10"/>
  <c r="B10" i="10"/>
  <c r="N9" i="10"/>
  <c r="B9" i="10"/>
  <c r="N8" i="10"/>
  <c r="B8" i="10"/>
  <c r="N7" i="10"/>
  <c r="B7" i="10"/>
  <c r="N6" i="10"/>
  <c r="B6" i="10"/>
  <c r="N5" i="10"/>
  <c r="B5" i="10"/>
  <c r="N4" i="10"/>
  <c r="B4" i="10"/>
  <c r="B11" i="9"/>
  <c r="B10" i="9"/>
  <c r="B9" i="9"/>
  <c r="B8" i="9"/>
  <c r="B7" i="9"/>
  <c r="B6" i="9"/>
  <c r="B5" i="9"/>
  <c r="B4" i="9"/>
  <c r="B11" i="8"/>
  <c r="B10" i="8"/>
  <c r="B9" i="8"/>
  <c r="B8" i="8"/>
  <c r="B7" i="8"/>
  <c r="B6" i="8"/>
  <c r="B5" i="8"/>
  <c r="B4" i="8"/>
  <c r="B11" i="7"/>
  <c r="B10" i="7"/>
  <c r="B9" i="7"/>
  <c r="B8" i="7"/>
  <c r="B7" i="7"/>
  <c r="B6" i="7"/>
  <c r="B5" i="7"/>
  <c r="B4" i="7"/>
  <c r="B11" i="6"/>
  <c r="B10" i="6"/>
  <c r="B9" i="6"/>
  <c r="B8" i="6"/>
  <c r="B7" i="6"/>
  <c r="B6" i="6"/>
  <c r="B5" i="6"/>
  <c r="B4" i="6"/>
  <c r="Q203" i="5"/>
  <c r="P203" i="5"/>
  <c r="B203" i="5"/>
  <c r="Q202" i="5"/>
  <c r="P202" i="5"/>
  <c r="B202" i="5"/>
  <c r="Q201" i="5"/>
  <c r="P201" i="5"/>
  <c r="B201" i="5"/>
  <c r="Q200" i="5"/>
  <c r="P200" i="5"/>
  <c r="B200" i="5"/>
  <c r="Q199" i="5"/>
  <c r="P199" i="5"/>
  <c r="B199" i="5"/>
  <c r="Q198" i="5"/>
  <c r="P198" i="5"/>
  <c r="B198" i="5"/>
  <c r="Q197" i="5"/>
  <c r="P197" i="5"/>
  <c r="B197" i="5"/>
  <c r="Q196" i="5"/>
  <c r="P196" i="5"/>
  <c r="B196" i="5"/>
  <c r="Q195" i="5"/>
  <c r="P195" i="5"/>
  <c r="B195" i="5"/>
  <c r="Q194" i="5"/>
  <c r="P194" i="5"/>
  <c r="B194" i="5"/>
  <c r="Q193" i="5"/>
  <c r="P193" i="5"/>
  <c r="B193" i="5"/>
  <c r="Q192" i="5"/>
  <c r="P192" i="5"/>
  <c r="B192" i="5"/>
  <c r="Q191" i="5"/>
  <c r="P191" i="5"/>
  <c r="B191" i="5"/>
  <c r="Q190" i="5"/>
  <c r="P190" i="5"/>
  <c r="B190" i="5"/>
  <c r="Q189" i="5"/>
  <c r="P189" i="5"/>
  <c r="B189" i="5"/>
  <c r="Q188" i="5"/>
  <c r="P188" i="5"/>
  <c r="B188" i="5"/>
  <c r="Q187" i="5"/>
  <c r="P187" i="5"/>
  <c r="B187" i="5"/>
  <c r="Q186" i="5"/>
  <c r="P186" i="5"/>
  <c r="B186" i="5"/>
  <c r="Q185" i="5"/>
  <c r="P185" i="5"/>
  <c r="B185" i="5"/>
  <c r="Q184" i="5"/>
  <c r="P184" i="5"/>
  <c r="B184" i="5"/>
  <c r="Q183" i="5"/>
  <c r="P183" i="5"/>
  <c r="B183" i="5"/>
  <c r="Q182" i="5"/>
  <c r="P182" i="5"/>
  <c r="B182" i="5"/>
  <c r="Q181" i="5"/>
  <c r="P181" i="5"/>
  <c r="B181" i="5"/>
  <c r="Q180" i="5"/>
  <c r="P180" i="5"/>
  <c r="B180" i="5"/>
  <c r="Q179" i="5"/>
  <c r="P179" i="5"/>
  <c r="B179" i="5"/>
  <c r="Q178" i="5"/>
  <c r="P178" i="5"/>
  <c r="B178" i="5"/>
  <c r="Q177" i="5"/>
  <c r="P177" i="5"/>
  <c r="B177" i="5"/>
  <c r="Q176" i="5"/>
  <c r="P176" i="5"/>
  <c r="B176" i="5"/>
  <c r="Q175" i="5"/>
  <c r="P175" i="5"/>
  <c r="B175" i="5"/>
  <c r="Q174" i="5"/>
  <c r="P174" i="5"/>
  <c r="B174" i="5"/>
  <c r="Q173" i="5"/>
  <c r="P173" i="5"/>
  <c r="B173" i="5"/>
  <c r="Q172" i="5"/>
  <c r="P172" i="5"/>
  <c r="B172" i="5"/>
  <c r="Q171" i="5"/>
  <c r="P171" i="5"/>
  <c r="B171" i="5"/>
  <c r="Q170" i="5"/>
  <c r="P170" i="5"/>
  <c r="B170" i="5"/>
  <c r="Q169" i="5"/>
  <c r="P169" i="5"/>
  <c r="B169" i="5"/>
  <c r="Q168" i="5"/>
  <c r="P168" i="5"/>
  <c r="B168" i="5"/>
  <c r="Q167" i="5"/>
  <c r="P167" i="5"/>
  <c r="B167" i="5"/>
  <c r="Q166" i="5"/>
  <c r="P166" i="5"/>
  <c r="B166" i="5"/>
  <c r="Q165" i="5"/>
  <c r="P165" i="5"/>
  <c r="B165" i="5"/>
  <c r="Q164" i="5"/>
  <c r="P164" i="5"/>
  <c r="B164" i="5"/>
  <c r="Q163" i="5"/>
  <c r="P163" i="5"/>
  <c r="B163" i="5"/>
  <c r="Q162" i="5"/>
  <c r="P162" i="5"/>
  <c r="B162" i="5"/>
  <c r="Q161" i="5"/>
  <c r="P161" i="5"/>
  <c r="B161" i="5"/>
  <c r="Q160" i="5"/>
  <c r="P160" i="5"/>
  <c r="B160" i="5"/>
  <c r="Q159" i="5"/>
  <c r="P159" i="5"/>
  <c r="B159" i="5"/>
  <c r="Q158" i="5"/>
  <c r="P158" i="5"/>
  <c r="B158" i="5"/>
  <c r="Q157" i="5"/>
  <c r="P157" i="5"/>
  <c r="B157" i="5"/>
  <c r="Q156" i="5"/>
  <c r="P156" i="5"/>
  <c r="B156" i="5"/>
  <c r="Q155" i="5"/>
  <c r="P155" i="5"/>
  <c r="B155" i="5"/>
  <c r="Q154" i="5"/>
  <c r="P154" i="5"/>
  <c r="B154" i="5"/>
  <c r="Q153" i="5"/>
  <c r="P153" i="5"/>
  <c r="B153" i="5"/>
  <c r="Q152" i="5"/>
  <c r="P152" i="5"/>
  <c r="B152" i="5"/>
  <c r="Q151" i="5"/>
  <c r="P151" i="5"/>
  <c r="B151" i="5"/>
  <c r="Q150" i="5"/>
  <c r="P150" i="5"/>
  <c r="B150" i="5"/>
  <c r="Q149" i="5"/>
  <c r="P149" i="5"/>
  <c r="B149" i="5"/>
  <c r="Q148" i="5"/>
  <c r="P148" i="5"/>
  <c r="B148" i="5"/>
  <c r="Q147" i="5"/>
  <c r="P147" i="5"/>
  <c r="B147" i="5"/>
  <c r="Q146" i="5"/>
  <c r="P146" i="5"/>
  <c r="B146" i="5"/>
  <c r="Q145" i="5"/>
  <c r="P145" i="5"/>
  <c r="B145" i="5"/>
  <c r="Q144" i="5"/>
  <c r="P144" i="5"/>
  <c r="B144" i="5"/>
  <c r="Q143" i="5"/>
  <c r="P143" i="5"/>
  <c r="B143" i="5"/>
  <c r="Q142" i="5"/>
  <c r="P142" i="5"/>
  <c r="B142" i="5"/>
  <c r="Q141" i="5"/>
  <c r="P141" i="5"/>
  <c r="B141" i="5"/>
  <c r="Q140" i="5"/>
  <c r="P140" i="5"/>
  <c r="B140" i="5"/>
  <c r="Q139" i="5"/>
  <c r="P139" i="5"/>
  <c r="B139" i="5"/>
  <c r="Q138" i="5"/>
  <c r="P138" i="5"/>
  <c r="B138" i="5"/>
  <c r="Q137" i="5"/>
  <c r="P137" i="5"/>
  <c r="B137" i="5"/>
  <c r="Q136" i="5"/>
  <c r="P136" i="5"/>
  <c r="B136" i="5"/>
  <c r="Q135" i="5"/>
  <c r="P135" i="5"/>
  <c r="B135" i="5"/>
  <c r="Q134" i="5"/>
  <c r="P134" i="5"/>
  <c r="B134" i="5"/>
  <c r="Q133" i="5"/>
  <c r="P133" i="5"/>
  <c r="B133" i="5"/>
  <c r="Q132" i="5"/>
  <c r="P132" i="5"/>
  <c r="B132" i="5"/>
  <c r="Q131" i="5"/>
  <c r="P131" i="5"/>
  <c r="B131" i="5"/>
  <c r="Q130" i="5"/>
  <c r="P130" i="5"/>
  <c r="B130" i="5"/>
  <c r="Q129" i="5"/>
  <c r="P129" i="5"/>
  <c r="B129" i="5"/>
  <c r="Q128" i="5"/>
  <c r="P128" i="5"/>
  <c r="B128" i="5"/>
  <c r="Q127" i="5"/>
  <c r="P127" i="5"/>
  <c r="B127" i="5"/>
  <c r="Q126" i="5"/>
  <c r="P126" i="5"/>
  <c r="B126" i="5"/>
  <c r="Q125" i="5"/>
  <c r="P125" i="5"/>
  <c r="B125" i="5"/>
  <c r="Q124" i="5"/>
  <c r="P124" i="5"/>
  <c r="B124" i="5"/>
  <c r="Q123" i="5"/>
  <c r="P123" i="5"/>
  <c r="B123" i="5"/>
  <c r="Q122" i="5"/>
  <c r="P122" i="5"/>
  <c r="B122" i="5"/>
  <c r="Q121" i="5"/>
  <c r="P121" i="5"/>
  <c r="B121" i="5"/>
  <c r="Q120" i="5"/>
  <c r="P120" i="5"/>
  <c r="B120" i="5"/>
  <c r="Q119" i="5"/>
  <c r="P119" i="5"/>
  <c r="B119" i="5"/>
  <c r="Q118" i="5"/>
  <c r="P118" i="5"/>
  <c r="B118" i="5"/>
  <c r="Q117" i="5"/>
  <c r="P117" i="5"/>
  <c r="B117" i="5"/>
  <c r="Q116" i="5"/>
  <c r="P116" i="5"/>
  <c r="B116" i="5"/>
  <c r="Q115" i="5"/>
  <c r="P115" i="5"/>
  <c r="B115" i="5"/>
  <c r="Q114" i="5"/>
  <c r="P114" i="5"/>
  <c r="B114" i="5"/>
  <c r="Q113" i="5"/>
  <c r="P113" i="5"/>
  <c r="B113" i="5"/>
  <c r="Q112" i="5"/>
  <c r="P112" i="5"/>
  <c r="B112" i="5"/>
  <c r="Q111" i="5"/>
  <c r="P111" i="5"/>
  <c r="B111" i="5"/>
  <c r="Q110" i="5"/>
  <c r="P110" i="5"/>
  <c r="B110" i="5"/>
  <c r="Q109" i="5"/>
  <c r="P109" i="5"/>
  <c r="B109" i="5"/>
  <c r="Q108" i="5"/>
  <c r="P108" i="5"/>
  <c r="B108" i="5"/>
  <c r="Q107" i="5"/>
  <c r="P107" i="5"/>
  <c r="B107" i="5"/>
  <c r="Q106" i="5"/>
  <c r="P106" i="5"/>
  <c r="B106" i="5"/>
  <c r="Q105" i="5"/>
  <c r="P105" i="5"/>
  <c r="B105" i="5"/>
  <c r="Q104" i="5"/>
  <c r="P104" i="5"/>
  <c r="B104" i="5"/>
  <c r="Q103" i="5"/>
  <c r="P103" i="5"/>
  <c r="B103" i="5"/>
  <c r="Q102" i="5"/>
  <c r="P102" i="5"/>
  <c r="B102" i="5"/>
  <c r="Q101" i="5"/>
  <c r="P101" i="5"/>
  <c r="B101" i="5"/>
  <c r="Q100" i="5"/>
  <c r="P100" i="5"/>
  <c r="B100" i="5"/>
  <c r="Q99" i="5"/>
  <c r="P99" i="5"/>
  <c r="B99" i="5"/>
  <c r="Q98" i="5"/>
  <c r="P98" i="5"/>
  <c r="B98" i="5"/>
  <c r="Q97" i="5"/>
  <c r="P97" i="5"/>
  <c r="B97" i="5"/>
  <c r="Q96" i="5"/>
  <c r="P96" i="5"/>
  <c r="B96" i="5"/>
  <c r="Q95" i="5"/>
  <c r="P95" i="5"/>
  <c r="B95" i="5"/>
  <c r="Q94" i="5"/>
  <c r="P94" i="5"/>
  <c r="B94" i="5"/>
  <c r="Q93" i="5"/>
  <c r="P93" i="5"/>
  <c r="B93" i="5"/>
  <c r="Q92" i="5"/>
  <c r="P92" i="5"/>
  <c r="B92" i="5"/>
  <c r="Q91" i="5"/>
  <c r="P91" i="5"/>
  <c r="B91" i="5"/>
  <c r="Q90" i="5"/>
  <c r="P90" i="5"/>
  <c r="B90" i="5"/>
  <c r="Q89" i="5"/>
  <c r="P89" i="5"/>
  <c r="B89" i="5"/>
  <c r="Q88" i="5"/>
  <c r="P88" i="5"/>
  <c r="B88" i="5"/>
  <c r="Q87" i="5"/>
  <c r="P87" i="5"/>
  <c r="B87" i="5"/>
  <c r="Q86" i="5"/>
  <c r="P86" i="5"/>
  <c r="B86" i="5"/>
  <c r="Q85" i="5"/>
  <c r="P85" i="5"/>
  <c r="B85" i="5"/>
  <c r="Q84" i="5"/>
  <c r="P84" i="5"/>
  <c r="B84" i="5"/>
  <c r="Q83" i="5"/>
  <c r="P83" i="5"/>
  <c r="B83" i="5"/>
  <c r="Q82" i="5"/>
  <c r="P82" i="5"/>
  <c r="B82" i="5"/>
  <c r="Q81" i="5"/>
  <c r="P81" i="5"/>
  <c r="B81" i="5"/>
  <c r="Q80" i="5"/>
  <c r="P80" i="5"/>
  <c r="B80" i="5"/>
  <c r="Q79" i="5"/>
  <c r="P79" i="5"/>
  <c r="B79" i="5"/>
  <c r="Q78" i="5"/>
  <c r="P78" i="5"/>
  <c r="B78" i="5"/>
  <c r="Q77" i="5"/>
  <c r="P77" i="5"/>
  <c r="B77" i="5"/>
  <c r="Q76" i="5"/>
  <c r="P76" i="5"/>
  <c r="B76" i="5"/>
  <c r="Q75" i="5"/>
  <c r="P75" i="5"/>
  <c r="B75" i="5"/>
  <c r="Q74" i="5"/>
  <c r="P74" i="5"/>
  <c r="B74" i="5"/>
  <c r="Q73" i="5"/>
  <c r="P73" i="5"/>
  <c r="B73" i="5"/>
  <c r="Q72" i="5"/>
  <c r="P72" i="5"/>
  <c r="B72" i="5"/>
  <c r="Q71" i="5"/>
  <c r="P71" i="5"/>
  <c r="B71" i="5"/>
  <c r="Q70" i="5"/>
  <c r="P70" i="5"/>
  <c r="B70" i="5"/>
  <c r="Q69" i="5"/>
  <c r="P69" i="5"/>
  <c r="B69" i="5"/>
  <c r="Q68" i="5"/>
  <c r="P68" i="5"/>
  <c r="B68" i="5"/>
  <c r="Q67" i="5"/>
  <c r="P67" i="5"/>
  <c r="B67" i="5"/>
  <c r="Q66" i="5"/>
  <c r="P66" i="5"/>
  <c r="B66" i="5"/>
  <c r="Q65" i="5"/>
  <c r="P65" i="5"/>
  <c r="B65" i="5"/>
  <c r="Q64" i="5"/>
  <c r="P64" i="5"/>
  <c r="B64" i="5"/>
  <c r="Q63" i="5"/>
  <c r="P63" i="5"/>
  <c r="B63" i="5"/>
  <c r="Q62" i="5"/>
  <c r="P62" i="5"/>
  <c r="B62" i="5"/>
  <c r="Q61" i="5"/>
  <c r="P61" i="5"/>
  <c r="B61" i="5"/>
  <c r="Q60" i="5"/>
  <c r="P60" i="5"/>
  <c r="B60" i="5"/>
  <c r="Q59" i="5"/>
  <c r="P59" i="5"/>
  <c r="B59" i="5"/>
  <c r="Q58" i="5"/>
  <c r="P58" i="5"/>
  <c r="B58" i="5"/>
  <c r="Q57" i="5"/>
  <c r="P57" i="5"/>
  <c r="B57" i="5"/>
  <c r="Q56" i="5"/>
  <c r="P56" i="5"/>
  <c r="B56" i="5"/>
  <c r="Q55" i="5"/>
  <c r="P55" i="5"/>
  <c r="B55" i="5"/>
  <c r="Q54" i="5"/>
  <c r="P54" i="5"/>
  <c r="B54" i="5"/>
  <c r="Q53" i="5"/>
  <c r="P53" i="5"/>
  <c r="B53" i="5"/>
  <c r="Q52" i="5"/>
  <c r="P52" i="5"/>
  <c r="B52" i="5"/>
  <c r="Q51" i="5"/>
  <c r="P51" i="5"/>
  <c r="B51" i="5"/>
  <c r="Q50" i="5"/>
  <c r="P50" i="5"/>
  <c r="B50" i="5"/>
  <c r="Q49" i="5"/>
  <c r="P49" i="5"/>
  <c r="B49" i="5"/>
  <c r="Q48" i="5"/>
  <c r="P48" i="5"/>
  <c r="B48" i="5"/>
  <c r="Q47" i="5"/>
  <c r="P47" i="5"/>
  <c r="B47" i="5"/>
  <c r="Q46" i="5"/>
  <c r="P46" i="5"/>
  <c r="B46" i="5"/>
  <c r="Q45" i="5"/>
  <c r="P45" i="5"/>
  <c r="B45" i="5"/>
  <c r="Q44" i="5"/>
  <c r="P44" i="5"/>
  <c r="B44" i="5"/>
  <c r="Q43" i="5"/>
  <c r="P43" i="5"/>
  <c r="B43" i="5"/>
  <c r="Q42" i="5"/>
  <c r="P42" i="5"/>
  <c r="B42" i="5"/>
  <c r="Q41" i="5"/>
  <c r="P41" i="5"/>
  <c r="B41" i="5"/>
  <c r="Q40" i="5"/>
  <c r="P40" i="5"/>
  <c r="B40" i="5"/>
  <c r="Q39" i="5"/>
  <c r="P39" i="5"/>
  <c r="B39" i="5"/>
  <c r="Q38" i="5"/>
  <c r="P38" i="5"/>
  <c r="B38" i="5"/>
  <c r="Q37" i="5"/>
  <c r="P37" i="5"/>
  <c r="B37" i="5"/>
  <c r="Q36" i="5"/>
  <c r="P36" i="5"/>
  <c r="B36" i="5"/>
  <c r="Q35" i="5"/>
  <c r="P35" i="5"/>
  <c r="B35" i="5"/>
  <c r="Q34" i="5"/>
  <c r="P34" i="5"/>
  <c r="B34" i="5"/>
  <c r="Q33" i="5"/>
  <c r="P33" i="5"/>
  <c r="B33" i="5"/>
  <c r="Q32" i="5"/>
  <c r="P32" i="5"/>
  <c r="B32" i="5"/>
  <c r="Q31" i="5"/>
  <c r="P31" i="5"/>
  <c r="B31" i="5"/>
  <c r="Q30" i="5"/>
  <c r="P30" i="5"/>
  <c r="B30" i="5"/>
  <c r="Q29" i="5"/>
  <c r="P29" i="5"/>
  <c r="B29" i="5"/>
  <c r="Q28" i="5"/>
  <c r="P28" i="5"/>
  <c r="B28" i="5"/>
  <c r="Q27" i="5"/>
  <c r="P27" i="5"/>
  <c r="B27" i="5"/>
  <c r="Q26" i="5"/>
  <c r="P26" i="5"/>
  <c r="B26" i="5"/>
  <c r="Q25" i="5"/>
  <c r="P25" i="5"/>
  <c r="B25" i="5"/>
  <c r="Q24" i="5"/>
  <c r="P24" i="5"/>
  <c r="B24" i="5"/>
  <c r="Q23" i="5"/>
  <c r="P23" i="5"/>
  <c r="B23" i="5"/>
  <c r="Q22" i="5"/>
  <c r="P22" i="5"/>
  <c r="B22" i="5"/>
  <c r="Q21" i="5"/>
  <c r="P21" i="5"/>
  <c r="B21" i="5"/>
  <c r="Q20" i="5"/>
  <c r="P20" i="5"/>
  <c r="B20" i="5"/>
  <c r="Q19" i="5"/>
  <c r="P19" i="5"/>
  <c r="B19" i="5"/>
  <c r="Q18" i="5"/>
  <c r="P18" i="5"/>
  <c r="B18" i="5"/>
  <c r="Q17" i="5"/>
  <c r="P17" i="5"/>
  <c r="B17" i="5"/>
  <c r="Q16" i="5"/>
  <c r="P16" i="5"/>
  <c r="B16" i="5"/>
  <c r="Q15" i="5"/>
  <c r="P15" i="5"/>
  <c r="B15" i="5"/>
  <c r="Q14" i="5"/>
  <c r="P14" i="5"/>
  <c r="B14" i="5"/>
  <c r="Q13" i="5"/>
  <c r="P13" i="5"/>
  <c r="B13" i="5"/>
  <c r="Q12" i="5"/>
  <c r="P12" i="5"/>
  <c r="B12" i="5"/>
  <c r="P11" i="5"/>
  <c r="B11" i="5"/>
  <c r="P10" i="5"/>
  <c r="O10" i="10" s="1"/>
  <c r="B10" i="5"/>
  <c r="P9" i="5"/>
  <c r="O9" i="10" s="1"/>
  <c r="B9" i="5"/>
  <c r="P8" i="5"/>
  <c r="O8" i="10" s="1"/>
  <c r="B8" i="5"/>
  <c r="P7" i="5"/>
  <c r="O7" i="10" s="1"/>
  <c r="B7" i="5"/>
  <c r="P6" i="5"/>
  <c r="O6" i="10" s="1"/>
  <c r="B6" i="5"/>
  <c r="P5" i="5"/>
  <c r="B5" i="5"/>
  <c r="P4" i="5"/>
  <c r="O4" i="10" s="1"/>
  <c r="B4" i="5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Q11" i="5" l="1"/>
  <c r="B9" i="13"/>
  <c r="E22" i="11"/>
  <c r="F22" i="11" s="1"/>
  <c r="G22" i="11" s="1"/>
  <c r="E5" i="11"/>
  <c r="F5" i="11" s="1"/>
  <c r="G5" i="11" s="1"/>
  <c r="E10" i="11"/>
  <c r="F10" i="11" s="1"/>
  <c r="G10" i="11" s="1"/>
  <c r="E12" i="11"/>
  <c r="F12" i="11" s="1"/>
  <c r="G12" i="11" s="1"/>
  <c r="E13" i="11"/>
  <c r="F13" i="11" s="1"/>
  <c r="G13" i="11" s="1"/>
  <c r="E14" i="11"/>
  <c r="F14" i="11" s="1"/>
  <c r="G14" i="11" s="1"/>
  <c r="E15" i="11"/>
  <c r="F15" i="11" s="1"/>
  <c r="G15" i="11" s="1"/>
  <c r="E16" i="11"/>
  <c r="F16" i="11" s="1"/>
  <c r="G16" i="11" s="1"/>
  <c r="E17" i="11"/>
  <c r="F17" i="11" s="1"/>
  <c r="G17" i="11" s="1"/>
  <c r="Q8" i="5"/>
  <c r="E18" i="11"/>
  <c r="F18" i="11" s="1"/>
  <c r="G18" i="11" s="1"/>
  <c r="E19" i="11"/>
  <c r="F19" i="11" s="1"/>
  <c r="G19" i="11" s="1"/>
  <c r="E21" i="11"/>
  <c r="F21" i="11" s="1"/>
  <c r="G21" i="11" s="1"/>
  <c r="B8" i="13"/>
  <c r="Q9" i="10"/>
  <c r="E4" i="11"/>
  <c r="F4" i="11" s="1"/>
  <c r="Q10" i="10"/>
  <c r="Q6" i="10"/>
  <c r="Q7" i="10"/>
  <c r="O11" i="10"/>
  <c r="Q11" i="10" s="1"/>
  <c r="Q5" i="5"/>
  <c r="Q9" i="5"/>
  <c r="O5" i="10"/>
  <c r="Q5" i="10" s="1"/>
  <c r="P8" i="10"/>
  <c r="Q8" i="10" s="1"/>
  <c r="Q6" i="5"/>
  <c r="Q10" i="5"/>
  <c r="E20" i="11"/>
  <c r="F20" i="11" s="1"/>
  <c r="G20" i="11" s="1"/>
  <c r="Q7" i="5"/>
  <c r="E6" i="11"/>
  <c r="F6" i="11" s="1"/>
  <c r="B7" i="13"/>
  <c r="E7" i="11"/>
  <c r="F7" i="11" s="1"/>
  <c r="G7" i="11" s="1"/>
  <c r="E8" i="11"/>
  <c r="F8" i="11" s="1"/>
  <c r="G8" i="11" s="1"/>
  <c r="E9" i="11"/>
  <c r="F9" i="11" s="1"/>
  <c r="Q4" i="5"/>
  <c r="P4" i="10"/>
  <c r="Q4" i="10" s="1"/>
  <c r="E11" i="11"/>
  <c r="F11" i="11" s="1"/>
  <c r="G11" i="11" s="1"/>
  <c r="B19" i="13" l="1"/>
  <c r="B16" i="13"/>
  <c r="B18" i="13"/>
  <c r="B17" i="13"/>
  <c r="G4" i="11"/>
  <c r="F11" i="13"/>
  <c r="G11" i="13"/>
  <c r="G9" i="13"/>
  <c r="B10" i="13"/>
  <c r="G6" i="13"/>
  <c r="G10" i="13"/>
  <c r="G12" i="13"/>
  <c r="G14" i="13"/>
  <c r="F8" i="13"/>
  <c r="F13" i="13"/>
  <c r="F9" i="13"/>
  <c r="F6" i="13"/>
  <c r="F10" i="13"/>
  <c r="G8" i="13"/>
  <c r="F7" i="13"/>
  <c r="F15" i="13"/>
  <c r="F12" i="13"/>
  <c r="G15" i="13"/>
  <c r="G13" i="13"/>
  <c r="G7" i="13"/>
  <c r="G9" i="11"/>
  <c r="F14" i="13"/>
  <c r="G6" i="11"/>
</calcChain>
</file>

<file path=xl/sharedStrings.xml><?xml version="1.0" encoding="utf-8"?>
<sst xmlns="http://schemas.openxmlformats.org/spreadsheetml/2006/main" count="2357" uniqueCount="965">
  <si>
    <t>Справочники для раскрывающихся списков</t>
  </si>
  <si>
    <t>Тип конкурента</t>
  </si>
  <si>
    <t>Приоритет</t>
  </si>
  <si>
    <t>Статус анализа</t>
  </si>
  <si>
    <t>Элемент бизнес-модели</t>
  </si>
  <si>
    <t>Уровень доказательности</t>
  </si>
  <si>
    <t>Модель монетизации</t>
  </si>
  <si>
    <t>Тип воронки</t>
  </si>
  <si>
    <t>Классификация практики</t>
  </si>
  <si>
    <t>Тип преимущества</t>
  </si>
  <si>
    <t>прямой</t>
  </si>
  <si>
    <t>высокий</t>
  </si>
  <si>
    <t>не начат</t>
  </si>
  <si>
    <t>целевые сегменты</t>
  </si>
  <si>
    <t>1</t>
  </si>
  <si>
    <t>подписка</t>
  </si>
  <si>
    <t>самостоятельная покупка</t>
  </si>
  <si>
    <t>рыночный стандарт</t>
  </si>
  <si>
    <t>товарное</t>
  </si>
  <si>
    <t>косвенный</t>
  </si>
  <si>
    <t>средний</t>
  </si>
  <si>
    <t>в работе</t>
  </si>
  <si>
    <t>ценностное предложение</t>
  </si>
  <si>
    <t>2</t>
  </si>
  <si>
    <t>разовая покупка</t>
  </si>
  <si>
    <t>заявка на консультацию</t>
  </si>
  <si>
    <t>формирующийся стандарт</t>
  </si>
  <si>
    <t>ценовое</t>
  </si>
  <si>
    <t>заменитель</t>
  </si>
  <si>
    <t>низкий</t>
  </si>
  <si>
    <t>требует проверки</t>
  </si>
  <si>
    <t>цифровой товар</t>
  </si>
  <si>
    <t>3</t>
  </si>
  <si>
    <t>комиссия</t>
  </si>
  <si>
    <t>демонстрация продукта</t>
  </si>
  <si>
    <t>зона дифференциации</t>
  </si>
  <si>
    <t>канальное</t>
  </si>
  <si>
    <t>эталон лучшей практики</t>
  </si>
  <si>
    <t>завершен</t>
  </si>
  <si>
    <t>каналы</t>
  </si>
  <si>
    <t>4</t>
  </si>
  <si>
    <t>транзакционная оплата</t>
  </si>
  <si>
    <t>регистрация</t>
  </si>
  <si>
    <t>нишевой признак</t>
  </si>
  <si>
    <t>технологическое</t>
  </si>
  <si>
    <t>смежная модель</t>
  </si>
  <si>
    <t>отношения с клиентами</t>
  </si>
  <si>
    <t>5</t>
  </si>
  <si>
    <t>условно-бесплатная модель</t>
  </si>
  <si>
    <t>пробный доступ</t>
  </si>
  <si>
    <t>слабый сигнал</t>
  </si>
  <si>
    <t>данные</t>
  </si>
  <si>
    <t>потоки доходов</t>
  </si>
  <si>
    <t>лицензия</t>
  </si>
  <si>
    <t>контентная воронка</t>
  </si>
  <si>
    <t>партнерское</t>
  </si>
  <si>
    <t>ключевые ресурсы</t>
  </si>
  <si>
    <t>реклама</t>
  </si>
  <si>
    <t>корпоративные продажи</t>
  </si>
  <si>
    <t>брендовое</t>
  </si>
  <si>
    <t>ключевые виды деятельности</t>
  </si>
  <si>
    <t>оплата за использование</t>
  </si>
  <si>
    <t>маркетплейс</t>
  </si>
  <si>
    <t>сервисное</t>
  </si>
  <si>
    <t>ключевые партнеры</t>
  </si>
  <si>
    <t>пакетная продажа</t>
  </si>
  <si>
    <t>операционное</t>
  </si>
  <si>
    <t>структура затрат</t>
  </si>
  <si>
    <t>смешанная</t>
  </si>
  <si>
    <t>данные и сетевые эффекты</t>
  </si>
  <si>
    <t>масштабирование</t>
  </si>
  <si>
    <t>Методика анализа бизнес-модели конкурентов по их сайтам</t>
  </si>
  <si>
    <t>Этап</t>
  </si>
  <si>
    <t>Что сделать</t>
  </si>
  <si>
    <t>Где заполнять</t>
  </si>
  <si>
    <t>Результат</t>
  </si>
  <si>
    <t>Шкала</t>
  </si>
  <si>
    <t>Интерпретация</t>
  </si>
  <si>
    <t>1. Сформировать контур анализа</t>
  </si>
  <si>
    <t>02_Конкуренты</t>
  </si>
  <si>
    <t>2. Собрать факты с сайтов</t>
  </si>
  <si>
    <t>03_Факты_сайта</t>
  </si>
  <si>
    <t>3. Восстановить бизнес-модель</t>
  </si>
  <si>
    <t>04_Бизнес_модель</t>
  </si>
  <si>
    <t>4. Уточнить товар и ценность</t>
  </si>
  <si>
    <t>05_Товар_ценность</t>
  </si>
  <si>
    <t>5. Оценить монетизацию</t>
  </si>
  <si>
    <t>06_Монетизация</t>
  </si>
  <si>
    <t>6. Описать каналы и воронку</t>
  </si>
  <si>
    <t>07_Каналы</t>
  </si>
  <si>
    <t>7. Описать операционную основу</t>
  </si>
  <si>
    <t>08_Операц_модель</t>
  </si>
  <si>
    <t>8. Сравнить конкурентов</t>
  </si>
  <si>
    <t>09_Матрица</t>
  </si>
  <si>
    <t>9. Определить рыночный стандарт</t>
  </si>
  <si>
    <t>10_Стандарт</t>
  </si>
  <si>
    <t>10. Сформулировать преимущества</t>
  </si>
  <si>
    <t>11_Преимущества</t>
  </si>
  <si>
    <t>11. Подготовить итог</t>
  </si>
  <si>
    <t>12_Сводка</t>
  </si>
  <si>
    <t>Реестр конкурентов</t>
  </si>
  <si>
    <t>ID</t>
  </si>
  <si>
    <t>Название конкурента</t>
  </si>
  <si>
    <t>Сайт</t>
  </si>
  <si>
    <t>Сегмент</t>
  </si>
  <si>
    <t>География</t>
  </si>
  <si>
    <t>Дата фиксации</t>
  </si>
  <si>
    <t>Ответственный</t>
  </si>
  <si>
    <t>Примечание</t>
  </si>
  <si>
    <t>Факты, извлеченные с сайтов конкурентов</t>
  </si>
  <si>
    <t>Факт_ID</t>
  </si>
  <si>
    <t>ID конкурента</t>
  </si>
  <si>
    <t>Название</t>
  </si>
  <si>
    <t>Раздел сайта</t>
  </si>
  <si>
    <t>URL</t>
  </si>
  <si>
    <t>Блок/страница</t>
  </si>
  <si>
    <t>Наблюдаемый факт</t>
  </si>
  <si>
    <t>Доказательность 1-5</t>
  </si>
  <si>
    <t>Цитата/скриншот</t>
  </si>
  <si>
    <t>Аналитический вывод</t>
  </si>
  <si>
    <t>Профиль бизнес-модели конкурента</t>
  </si>
  <si>
    <t>Целевые сегменты</t>
  </si>
  <si>
    <t>Ценностное предложение</t>
  </si>
  <si>
    <t>Цифровой товар</t>
  </si>
  <si>
    <t>Каналы</t>
  </si>
  <si>
    <t>Отношения с клиентами</t>
  </si>
  <si>
    <t>Потоки доходов</t>
  </si>
  <si>
    <t>Ключевые ресурсы</t>
  </si>
  <si>
    <t>Ключевые виды деятельности</t>
  </si>
  <si>
    <t>Ключевые партнеры</t>
  </si>
  <si>
    <t>Структура затрат</t>
  </si>
  <si>
    <t>Данные и сетевые эффекты</t>
  </si>
  <si>
    <t>Главная гипотеза бизнес-модели</t>
  </si>
  <si>
    <t>Полнота профиля</t>
  </si>
  <si>
    <t>Средняя доказательность</t>
  </si>
  <si>
    <t>Качество профиля</t>
  </si>
  <si>
    <t>Цифровой товар и ценностное предложение</t>
  </si>
  <si>
    <t>Ядро цифрового товара</t>
  </si>
  <si>
    <t>Базовое предложение</t>
  </si>
  <si>
    <t>Ожидаемый уровень</t>
  </si>
  <si>
    <t>Расширенный уровень</t>
  </si>
  <si>
    <t>Потенциальное развитие</t>
  </si>
  <si>
    <t>Клиентская проблема</t>
  </si>
  <si>
    <t>Клиентский результат</t>
  </si>
  <si>
    <t>Задача клиента</t>
  </si>
  <si>
    <t>Отличие от рынка</t>
  </si>
  <si>
    <t>Подтверждающие страницы</t>
  </si>
  <si>
    <t>Вывод о роли товара в бизнес-модели</t>
  </si>
  <si>
    <t>Монетизация и потоки доходов</t>
  </si>
  <si>
    <t>Страница с тарифами/ценой</t>
  </si>
  <si>
    <t>Наличие бесплатного уровня</t>
  </si>
  <si>
    <t>Пробный доступ</t>
  </si>
  <si>
    <t>Тарифные уровни</t>
  </si>
  <si>
    <t>Единица оплаты</t>
  </si>
  <si>
    <t>Ограничения тарифа</t>
  </si>
  <si>
    <t>Платежная периодичность</t>
  </si>
  <si>
    <t>Признаки корпоративных продаж</t>
  </si>
  <si>
    <t>Прозрачность цены 1-5</t>
  </si>
  <si>
    <t>Гибкость модели 1-5</t>
  </si>
  <si>
    <t>Вывод о потоках доходов</t>
  </si>
  <si>
    <t>Каналы, воронка и механика продаж</t>
  </si>
  <si>
    <t>Главные каналы привлечения</t>
  </si>
  <si>
    <t>Контентная стратегия</t>
  </si>
  <si>
    <t>Поисковая видимость по сайту</t>
  </si>
  <si>
    <t>Призыв к действию</t>
  </si>
  <si>
    <t>Первичная конверсия</t>
  </si>
  <si>
    <t>Регистрация/заявка</t>
  </si>
  <si>
    <t>Демонстрация/пробный доступ</t>
  </si>
  <si>
    <t>Доверительные элементы</t>
  </si>
  <si>
    <t>Сложность пути клиента 1-5</t>
  </si>
  <si>
    <t>Сила воронки 1-5</t>
  </si>
  <si>
    <t>Вывод о рынке и каналах</t>
  </si>
  <si>
    <t>Операционная основа бизнес-модели</t>
  </si>
  <si>
    <t>Ключевые процессы</t>
  </si>
  <si>
    <t>Технологические признаки на сайте</t>
  </si>
  <si>
    <t>Использование данных</t>
  </si>
  <si>
    <t>Интеграции</t>
  </si>
  <si>
    <t>Партнеры</t>
  </si>
  <si>
    <t>Поддержка и сервис</t>
  </si>
  <si>
    <t>Признаки структуры затрат</t>
  </si>
  <si>
    <t>Масштабируемость 1-5</t>
  </si>
  <si>
    <t>Трудность копирования 1-5</t>
  </si>
  <si>
    <t>Операционный риск</t>
  </si>
  <si>
    <t>Вывод об устойчивости модели</t>
  </si>
  <si>
    <t>Сравнительная матрица бизнес-моделей</t>
  </si>
  <si>
    <t>Вес</t>
  </si>
  <si>
    <t>Сегменты</t>
  </si>
  <si>
    <t>Ценность</t>
  </si>
  <si>
    <t>Товар</t>
  </si>
  <si>
    <t>Отношения</t>
  </si>
  <si>
    <t>Доходы</t>
  </si>
  <si>
    <t>Ресурсы</t>
  </si>
  <si>
    <t>Данные/сеть</t>
  </si>
  <si>
    <t>Масштаб</t>
  </si>
  <si>
    <t>Защищенность</t>
  </si>
  <si>
    <t>Индекс силы</t>
  </si>
  <si>
    <t>Доказательность</t>
  </si>
  <si>
    <t>Полнота</t>
  </si>
  <si>
    <t>Итог с учетом надежности</t>
  </si>
  <si>
    <t>Определение рыночного стандарта бизнес-модели</t>
  </si>
  <si>
    <t>Практика/элемент</t>
  </si>
  <si>
    <t>Блок бизнес-модели</t>
  </si>
  <si>
    <t>Описание признака</t>
  </si>
  <si>
    <t>Кол-во конкурентов с признаком</t>
  </si>
  <si>
    <t>Доля конкурентов</t>
  </si>
  <si>
    <t>Статус</t>
  </si>
  <si>
    <t>Управленческий вывод</t>
  </si>
  <si>
    <t>Подтверждающие URL/факты</t>
  </si>
  <si>
    <t>Конкурентные преимущества по бизнес-модели</t>
  </si>
  <si>
    <t>Гипотеза преимущества</t>
  </si>
  <si>
    <t>Связанный блок бизнес-модели</t>
  </si>
  <si>
    <t>Сила 1-5</t>
  </si>
  <si>
    <t>Коммерческая значимость 1-5</t>
  </si>
  <si>
    <t>Итоговый балл</t>
  </si>
  <si>
    <t>Риск для нашей модели</t>
  </si>
  <si>
    <t>Сводка анализа бизнес-моделей конкурентов</t>
  </si>
  <si>
    <t>Показатель</t>
  </si>
  <si>
    <t>Значение</t>
  </si>
  <si>
    <t>Рейтинг конкурентов</t>
  </si>
  <si>
    <t>Конкурентов в реестре</t>
  </si>
  <si>
    <t>Место</t>
  </si>
  <si>
    <t>Конкурент</t>
  </si>
  <si>
    <t>Конкурентов со статусом «завершен»</t>
  </si>
  <si>
    <t>Доля завершенных профилей</t>
  </si>
  <si>
    <t>Средняя полнота бизнес-модели</t>
  </si>
  <si>
    <t>Средняя доказательность выводов</t>
  </si>
  <si>
    <t>Средний индекс силы бизнес-модели</t>
  </si>
  <si>
    <t>Количество зафиксированных преимуществ</t>
  </si>
  <si>
    <t>Классификация практик бизнес-модели</t>
  </si>
  <si>
    <t>Количество</t>
  </si>
  <si>
    <t>Что означает</t>
  </si>
  <si>
    <t>Шаблон итогового вывода</t>
  </si>
  <si>
    <t>1. Рыночный стандарт бизнес-модели</t>
  </si>
  <si>
    <t>2. Доминирующая логика получения выручки</t>
  </si>
  <si>
    <t>3. Зоны конкурентной дифференциации</t>
  </si>
  <si>
    <t>4. Наиболее сильные конкуренты</t>
  </si>
  <si>
    <t>5. Риски копирования чужой модели</t>
  </si>
  <si>
    <t>C01</t>
  </si>
  <si>
    <t>PlantUML</t>
  </si>
  <si>
    <t>plantuml.com</t>
  </si>
  <si>
    <t>Разработчики, студенты, архитекторы ПО</t>
  </si>
  <si>
    <t>Весь мир (английский язык)</t>
  </si>
  <si>
    <t>К. А. Хаджинова</t>
  </si>
  <si>
    <t>Профиль построен по просмотренным страницам; блоки деятельности, партнёров, затрат и сетевых эффектов - косвенные признаки и гипотезы</t>
  </si>
  <si>
    <t>C02</t>
  </si>
  <si>
    <t>Mermaid (библиотека)</t>
  </si>
  <si>
    <t>mermaid.js.org</t>
  </si>
  <si>
    <t>Разработчики, авторы технической документации</t>
  </si>
  <si>
    <t>C03</t>
  </si>
  <si>
    <t>Mermaid Chart</t>
  </si>
  <si>
    <t>mermaidchart.com</t>
  </si>
  <si>
    <t>Команды разработки и документации</t>
  </si>
  <si>
    <t>Весь мир (США, Великобритания, Япония в топ-странах)</t>
  </si>
  <si>
    <t>C04</t>
  </si>
  <si>
    <t>Storm (StormBPMN)</t>
  </si>
  <si>
    <t>stormbpmn.com</t>
  </si>
  <si>
    <t>Процессные аналитики, русскоязычный рынок</t>
  </si>
  <si>
    <t>Россия и СНГ (Россия 62,99 %, Беларусь 2,49 %)</t>
  </si>
  <si>
    <t>C05</t>
  </si>
  <si>
    <t>draw.io (diagrams.net)</t>
  </si>
  <si>
    <t>app.diagrams.net</t>
  </si>
  <si>
    <t>Студенты, разработчики, команды</t>
  </si>
  <si>
    <t>Весь мир (США, Индонезия, Индия, Китай, Россия)</t>
  </si>
  <si>
    <t>C06</t>
  </si>
  <si>
    <t>Lucidchart</t>
  </si>
  <si>
    <t>lucidchart.com</t>
  </si>
  <si>
    <t>Команды, бизнес-пользователи</t>
  </si>
  <si>
    <t>Весь мир (США, Мексика, Бразилия в топ-странах)</t>
  </si>
  <si>
    <t>C07</t>
  </si>
  <si>
    <t>Eraser</t>
  </si>
  <si>
    <t>eraser.io</t>
  </si>
  <si>
    <t>Инженерные команды, разработчики</t>
  </si>
  <si>
    <t>Весь мир</t>
  </si>
  <si>
    <t>C08</t>
  </si>
  <si>
    <t>Whimsical</t>
  </si>
  <si>
    <t>whimsical.com</t>
  </si>
  <si>
    <t>Команды продуктов</t>
  </si>
  <si>
    <t>F001</t>
  </si>
  <si>
    <t>Главная страница</t>
  </si>
  <si>
    <t>https://plantuml.com/</t>
  </si>
  <si>
    <t>Заголовок и описание</t>
  </si>
  <si>
    <t>Обещание: «Open-source tool that uses simple textual descriptions to draw beautiful UML diagrams»</t>
  </si>
  <si>
    <t>главная страница, 01.10.2026</t>
  </si>
  <si>
    <t>F002</t>
  </si>
  <si>
    <t>Состав товара</t>
  </si>
  <si>
    <t>Построение UML-диаграмм из текстового описания, экспорт PNG, LaTeX, EPS, SVG</t>
  </si>
  <si>
    <t>страницы сайта, ЛР4</t>
  </si>
  <si>
    <t>F003</t>
  </si>
  <si>
    <t>Тарифы</t>
  </si>
  <si>
    <t>Тарифная таблица</t>
  </si>
  <si>
    <t>открытый код, бесплатно (ЛР1, табл. 42)</t>
  </si>
  <si>
    <t>страница тарифов или лицензия</t>
  </si>
  <si>
    <t>F004</t>
  </si>
  <si>
    <t>Similarweb Pro</t>
  </si>
  <si>
    <t>прямые заходы 38,11 %; органический поиск 47,25 %; рефералы 5,91 %; соцсети органика 3,62 %; ИИ-ассистенты 4,42 %; e-mail 0,60 % (Similarweb Pro, Jun-Aug 2026, весь мир, снимок 30.09.2026)</t>
  </si>
  <si>
    <t>Similarweb Pro (ЛР4)</t>
  </si>
  <si>
    <t>F005</t>
  </si>
  <si>
    <t>GitHub</t>
  </si>
  <si>
    <t>https://github.com/plantuml/plantuml</t>
  </si>
  <si>
    <t>Репозиторий</t>
  </si>
  <si>
    <t>plantuml/plantuml: 13 346 звёзд, лицензия LGPL-3.0</t>
  </si>
  <si>
    <t>GitHub API, 30.09.2026</t>
  </si>
  <si>
    <t>F006</t>
  </si>
  <si>
    <t>Страницы сайта</t>
  </si>
  <si>
    <t>Описание диаграммы текстом (DSL)</t>
  </si>
  <si>
    <t>Признак найден на просмотренных страницах: описание диаграммы текстом (dsl)</t>
  </si>
  <si>
    <t>Главные страницы PlantUML, Mermaid, Mermaid Chart; «Diagram-as-code» в тарифе Free Eraser;</t>
  </si>
  <si>
    <t>F007</t>
  </si>
  <si>
    <t>Интеграции с другими сервисами</t>
  </si>
  <si>
    <t>Признак найден на просмотренных страницах: интеграции с другими сервисами</t>
  </si>
  <si>
    <t>Разделы и упоминания интеграций на страницах 8 из 8 конкурентов</t>
  </si>
  <si>
    <t>F008</t>
  </si>
  <si>
    <t>Открытый код и сообщество</t>
  </si>
  <si>
    <t>Признак найден на просмотренных страницах: открытый код и сообщество</t>
  </si>
  <si>
    <t>GitHub API, 30.09.2026; лицензия Apache 2.0 у draw.io</t>
  </si>
  <si>
    <t>F009</t>
  </si>
  <si>
    <t>Экспорт диаграмм (PNG, SVG, PDF и др.)</t>
  </si>
  <si>
    <t>Признак найден на просмотренных страницах: экспорт диаграмм (png, svg, pdf и др.)</t>
  </si>
  <si>
    <t>Экспорт упомянут на страницах 8 из 8 конкурентов (PNG, SVG, PDF, DOCX у Storm, Visio у Luc</t>
  </si>
  <si>
    <t>F010</t>
  </si>
  <si>
    <t>Документация и руководства</t>
  </si>
  <si>
    <t>Признак найден на просмотренных страницах: документация и руководства</t>
  </si>
  <si>
    <t>F011</t>
  </si>
  <si>
    <t>Диаграммы UML</t>
  </si>
  <si>
    <t>Признак найден на просмотренных страницах: диаграммы uml</t>
  </si>
  <si>
    <t>Страницы class-diagram (PlantUML, Mermaid); UML в описании draw.io; UML-шаблоны Lucidchart</t>
  </si>
  <si>
    <t>F012</t>
  </si>
  <si>
    <t>Диаграммы ERD</t>
  </si>
  <si>
    <t>Признак найден на просмотренных страницах: диаграммы erd</t>
  </si>
  <si>
    <t>Страницы entityRelationshipDiagram (Mermaid), ie-diagram (PlantUML); ER в описании draw.io</t>
  </si>
  <si>
    <t>F013</t>
  </si>
  <si>
    <t>Развёртывание на своём сервере</t>
  </si>
  <si>
    <t>Признак найден на просмотренных страницах: развёртывание на своём сервере</t>
  </si>
  <si>
    <t>Страницы running и download (PlantUML); библиотека Mermaid; on-prem (Storm); Flexible depl</t>
  </si>
  <si>
    <t>F014</t>
  </si>
  <si>
    <t>Настольное приложение</t>
  </si>
  <si>
    <t>Признак найден на просмотренных страницах: настольное приложение</t>
  </si>
  <si>
    <t>Загрузка PlantUML; drawio-desktop (GitHub); Desktop app в таблице тарифов Whimsical</t>
  </si>
  <si>
    <t>F015</t>
  </si>
  <si>
    <t>https://mermaid.js.org/</t>
  </si>
  <si>
    <t>Обещание: «Create diagrams and visualizations using text and code»</t>
  </si>
  <si>
    <t>F016</t>
  </si>
  <si>
    <t>Диаграммы и визуализации из текста и кода (JavaScript-библиотека)</t>
  </si>
  <si>
    <t>F017</t>
  </si>
  <si>
    <t>открытый код (MIT); платные планы у Mermaid Chart</t>
  </si>
  <si>
    <t>F018</t>
  </si>
  <si>
    <t>прямые заходы 22,18 %; органический поиск 58,56 %; рефералы 16,50 %; соцсети органика 1,25 %; ИИ-ассистенты 1,23 %; e-mail 0,22 %; платный поиск 0,01 % (Similarweb Pro, Jun-Aug 2026, весь мир, снимок 30.09.2026)</t>
  </si>
  <si>
    <t>F019</t>
  </si>
  <si>
    <t>https://github.com/mermaid-js/mermaid</t>
  </si>
  <si>
    <t>mermaid-js/mermaid: 90 489 звёзд, лицензия MIT; mermaid-js/mermaid-live-editor: 6 836 звёзд, лицензия MIT</t>
  </si>
  <si>
    <t>F020</t>
  </si>
  <si>
    <t>F021</t>
  </si>
  <si>
    <t>F022</t>
  </si>
  <si>
    <t>API или платформа разработчика</t>
  </si>
  <si>
    <t>Признак найден на просмотренных страницах: api или платформа разработчика</t>
  </si>
  <si>
    <t>API Mermaid; пункт API в меню Mermaid Chart; API в Enterprise Storm; Developer platform Lu</t>
  </si>
  <si>
    <t>F023</t>
  </si>
  <si>
    <t>F024</t>
  </si>
  <si>
    <t>F025</t>
  </si>
  <si>
    <t>F026</t>
  </si>
  <si>
    <t>F027</t>
  </si>
  <si>
    <t>F028</t>
  </si>
  <si>
    <t>F029</t>
  </si>
  <si>
    <t>https://www.mermaidchart.com/</t>
  </si>
  <si>
    <t>Обещание: «Create diagrams, flowcharts, and documentation with Mermaid»; «You already think in systems»</t>
  </si>
  <si>
    <t>F030</t>
  </si>
  <si>
    <t>Облачный редактор диаграмм Mermaid с тарифами Free, Plus, Premium</t>
  </si>
  <si>
    <t>F031</t>
  </si>
  <si>
    <t>https://mermaid.ai/pricing/</t>
  </si>
  <si>
    <t>F032</t>
  </si>
  <si>
    <t>прямые заходы 39,97 %; органический поиск 32,54 %; рефералы 10,32 %; соцсети органика 6,05 %; ИИ-ассистенты 1,62 %; e-mail 2,52 %; платный поиск 1,62 % (Similarweb Pro, Jun-Aug 2026, весь мир, снимок 30.09.2026)</t>
  </si>
  <si>
    <t>F033</t>
  </si>
  <si>
    <t>F034</t>
  </si>
  <si>
    <t>Корпоративный тариф (Enterprise или on-prem)</t>
  </si>
  <si>
    <t>Признак найден на просмотренных страницах: корпоративный тариф (enterprise или on-prem)</t>
  </si>
  <si>
    <t>Enterprise по запросу на страницах тарифов; Storm: on-prem от 990 тыс. руб. в год</t>
  </si>
  <si>
    <t>F035</t>
  </si>
  <si>
    <t>Скидка или цена при годовой оплате</t>
  </si>
  <si>
    <t>Признак найден на просмотренных страницах: скидка или цена при годовой оплате</t>
  </si>
  <si>
    <t>Цены «billed annually» (Mermaid Chart, Lucidchart, Eraser), скидка 20 % (Storm)</t>
  </si>
  <si>
    <t>F036</t>
  </si>
  <si>
    <t>Бесплатные гости или зрители</t>
  </si>
  <si>
    <t>Unlimited free viewer seats в Premium</t>
  </si>
  <si>
    <t>Unlimited viewer seats (Mermaid Chart Premium); 100 гостей на участника (Storm); unlimited</t>
  </si>
  <si>
    <t>F037</t>
  </si>
  <si>
    <t>ИИ-генерация или ИИ-помощник</t>
  </si>
  <si>
    <t>ИИ-кредиты: 15 (Basic), 300 (Plus), 2 000 в год (Premium)</t>
  </si>
  <si>
    <t>ИИ-кредиты (Mermaid Chart); ИИ-ассистент (Storm); Lucid AI; Eraser AI; ИИ в Whimsical</t>
  </si>
  <si>
    <t>F038</t>
  </si>
  <si>
    <t>F039</t>
  </si>
  <si>
    <t>F040</t>
  </si>
  <si>
    <t>Данные о числе пользователей или клиентов на сайте</t>
  </si>
  <si>
    <t>«trusted by over 5M people and over 200k companies»</t>
  </si>
  <si>
    <t>5M человек и 200k компаний (Mermaid Chart); более 1 000 клиентов (Storm); 100M+ пользовате</t>
  </si>
  <si>
    <t>F041</t>
  </si>
  <si>
    <t>Раздел или упоминание о безопасности и приватности</t>
  </si>
  <si>
    <t>Признак найден на просмотренных страницах: раздел или упоминание о безопасности и приватности</t>
  </si>
  <si>
    <t>Страница Security (Whimsical); раздел безопасности (Lucidchart, Eraser); privacy-first (dr</t>
  </si>
  <si>
    <t>F042</t>
  </si>
  <si>
    <t>Единый вход SSO или SAML</t>
  </si>
  <si>
    <t>Строка SSO в таблице сравнения (Enterprise)</t>
  </si>
  <si>
    <t>SSO или SAML в старших тарифах</t>
  </si>
  <si>
    <t>F043</t>
  </si>
  <si>
    <t>Вход и личный кабинет</t>
  </si>
  <si>
    <t>Признак найден на просмотренных страницах: вход и личный кабинет</t>
  </si>
  <si>
    <t>Ссылки на вход на главных страницах</t>
  </si>
  <si>
    <t>F044</t>
  </si>
  <si>
    <t>Совместная работа в реальном времени</t>
  </si>
  <si>
    <t>Признак найден на просмотренных страницах: совместная работа в реальном времени</t>
  </si>
  <si>
    <t>Real-time collaboration (draw.io, Lucidchart, Whimsical); совместное редактирование в брау</t>
  </si>
  <si>
    <t>F045</t>
  </si>
  <si>
    <t>F046</t>
  </si>
  <si>
    <t>История версий</t>
  </si>
  <si>
    <t>Признак найден на просмотренных страницах: история версий</t>
  </si>
  <si>
    <t>7 и 90 дней (Eraser, Whimsical); Revision history (Lucidchart Team); версионирование (меню</t>
  </si>
  <si>
    <t>F047</t>
  </si>
  <si>
    <t>F048</t>
  </si>
  <si>
    <t>F049</t>
  </si>
  <si>
    <t>Признаки развития (ИИ-помощник, MCP, новые функции)</t>
  </si>
  <si>
    <t>Признак найден на просмотренных страницах: признаки развития (ии-помощник, mcp, новые функции)</t>
  </si>
  <si>
    <t>MCP-интеграция (Storm); метки NEW: Lucid AI, Developer platform (Lucidchart); ИИ-кредиты (</t>
  </si>
  <si>
    <t>F050</t>
  </si>
  <si>
    <t>https://stormbpmn.com/</t>
  </si>
  <si>
    <t>Обещание: «Соберите все процессы компании»; «Одна платформа - девять модулей процессного управления»</t>
  </si>
  <si>
    <t>F051</t>
  </si>
  <si>
    <t>Платформа из семи модулей: редактор, реестр, архитектура, оргструктура, опросы, ИИ, симуляция</t>
  </si>
  <si>
    <t>F052</t>
  </si>
  <si>
    <t>https://stormbpmn.com/pricing</t>
  </si>
  <si>
    <t>Персональный 0 руб. (до 50 моделей); Команда 1 200 руб. (1 500 руб. помесячно) за пользователя в месяц; Бизнес 4 720 руб. (5 900 руб.); Enterprise на сервере заказчика от 990 тыс. руб. в год (страница тарифов, 01.10.2026)</t>
  </si>
  <si>
    <t>F053</t>
  </si>
  <si>
    <t>прямые заходы 57,33 %; органический поиск 20,91 %; рефералы 10,72 %; соцсети органика 2,59 %; ИИ-ассистенты 1,74 %; e-mail 3,78 %; платный поиск 1,32 % (Similarweb Pro, Jun-Aug 2026, весь мир, снимок 30.09.2026)</t>
  </si>
  <si>
    <t>F054</t>
  </si>
  <si>
    <t>Enterprise на сервере заказчика от 990 тыс. руб. в год: on-prem, SSO, API, аудит</t>
  </si>
  <si>
    <t>F055</t>
  </si>
  <si>
    <t>Скидка 20 % при годовой оплате; для юридических лиц 1 800 руб. и 5 900 руб.</t>
  </si>
  <si>
    <t>F056</t>
  </si>
  <si>
    <t>100 бесплатных гостей на участника в тарифе «Команда»</t>
  </si>
  <si>
    <t>F057</t>
  </si>
  <si>
    <t>ИИ-ассистент во всех облачных тарифах, включая бесплатный</t>
  </si>
  <si>
    <t>F058</t>
  </si>
  <si>
    <t>F059</t>
  </si>
  <si>
    <t>F060</t>
  </si>
  <si>
    <t>«Нам доверяют больше 1 000 клиентов»</t>
  </si>
  <si>
    <t>F061</t>
  </si>
  <si>
    <t>F062</t>
  </si>
  <si>
    <t>Признак найден на просмотренных страницах: единый вход sso или saml</t>
  </si>
  <si>
    <t>F063</t>
  </si>
  <si>
    <t>F064</t>
  </si>
  <si>
    <t>F065</t>
  </si>
  <si>
    <t>F066</t>
  </si>
  <si>
    <t>F067</t>
  </si>
  <si>
    <t>Диаграммы BPMN</t>
  </si>
  <si>
    <t>Признак найден на просмотренных страницах: диаграммы bpmn</t>
  </si>
  <si>
    <t>Редактор BPMN 2.0 (Storm); BPMN-шаблон (Lucidchart); упоминание BPMN на сайте Eraser</t>
  </si>
  <si>
    <t>F068</t>
  </si>
  <si>
    <t>F069</t>
  </si>
  <si>
    <t>Русскоязычный интерфейс и тарифы в рублях</t>
  </si>
  <si>
    <t>Тарифы в рублях; Россия 62,99 % трафика (Similarweb Pro)</t>
  </si>
  <si>
    <t>Сайт и тарифы Storm на русском языке, цены в рублях</t>
  </si>
  <si>
    <t>F070</t>
  </si>
  <si>
    <t>F071</t>
  </si>
  <si>
    <t>https://app.diagrams.net/</t>
  </si>
  <si>
    <t>Обещание: «Security-first diagramming for teams»; «Free, open source diagramming application with 100M+ users»</t>
  </si>
  <si>
    <t>F072</t>
  </si>
  <si>
    <t>Бесплатный онлайн-редактор блок-схем, UML, ER и других диаграмм</t>
  </si>
  <si>
    <t>F073</t>
  </si>
  <si>
    <t>полностью бесплатный, открытый код (Apache 2.0) (ЛР1, табл. 42)</t>
  </si>
  <si>
    <t>F074</t>
  </si>
  <si>
    <t>прямые заходы 68,39 %; органический поиск 13,96 %; рефералы 9,72 %; соцсети органика 2,07 %; ИИ-ассистенты 2,68 %; e-mail 1,19 %; платный поиск 0,02 % (Similarweb Pro, Jun-Aug 2026, весь мир, снимок 30.09.2026)</t>
  </si>
  <si>
    <t>F075</t>
  </si>
  <si>
    <t>https://github.com/jgraph/drawio</t>
  </si>
  <si>
    <t>jgraph/drawio: 8 502 звёзд, лицензия Apache-2.0; jgraph/drawio-desktop: 63 351 звёзд, лицензия GPL-3.0</t>
  </si>
  <si>
    <t>F076</t>
  </si>
  <si>
    <t>F077</t>
  </si>
  <si>
    <t>F078</t>
  </si>
  <si>
    <t>«100M+ users»</t>
  </si>
  <si>
    <t>F079</t>
  </si>
  <si>
    <t>F080</t>
  </si>
  <si>
    <t>F081</t>
  </si>
  <si>
    <t>F082</t>
  </si>
  <si>
    <t>F083</t>
  </si>
  <si>
    <t>F084</t>
  </si>
  <si>
    <t>F085</t>
  </si>
  <si>
    <t>F086</t>
  </si>
  <si>
    <t>F087</t>
  </si>
  <si>
    <t>https://www.lucidchart.com/</t>
  </si>
  <si>
    <t>Обещание: «Diagramming powered by intelligence»: диаграммы с ИИ, данными и автоматизацией</t>
  </si>
  <si>
    <t>F088</t>
  </si>
  <si>
    <t>Облачный редактор диаграмм с тарифами Free, Individual, Team, Enterprise</t>
  </si>
  <si>
    <t>F089</t>
  </si>
  <si>
    <t>https://lucid.app/pricing/lucidchart</t>
  </si>
  <si>
    <t>F090</t>
  </si>
  <si>
    <t>прямые заходы 11,33 %; органический поиск 55,95 %; рефералы 2,71 %; соцсети органика 1,34 %; ИИ-ассистенты 2,10 %; e-mail 0,20 %; платный поиск 22,55 % (Similarweb Pro, Jun-Aug 2026, весь мир, снимок 30.09.2026)</t>
  </si>
  <si>
    <t>F091</t>
  </si>
  <si>
    <t>F092</t>
  </si>
  <si>
    <t>F093</t>
  </si>
  <si>
    <t>F094</t>
  </si>
  <si>
    <t>Пробный период платного тарифа</t>
  </si>
  <si>
    <t>Пробный период 7 дней со всеми платными функциями, карта нужна при регистрации</t>
  </si>
  <si>
    <t>FAQ Lucidchart: пробный период 7 дней</t>
  </si>
  <si>
    <t>F095</t>
  </si>
  <si>
    <t>Признак найден на просмотренных страницах: ии-генерация или ии-помощник</t>
  </si>
  <si>
    <t>F096</t>
  </si>
  <si>
    <t>F097</t>
  </si>
  <si>
    <t>F098</t>
  </si>
  <si>
    <t>«trusted partner of 99% of the Fortune 500»</t>
  </si>
  <si>
    <t>F099</t>
  </si>
  <si>
    <t>F100</t>
  </si>
  <si>
    <t>SAML authentication в тарифе Enterprise</t>
  </si>
  <si>
    <t>F101</t>
  </si>
  <si>
    <t>F102</t>
  </si>
  <si>
    <t>Шаблоны диаграмм</t>
  </si>
  <si>
    <t>100 шаблонов в Free; более 1 000 премиум-шаблонов в платных тарифах</t>
  </si>
  <si>
    <t>100 шаблонов в Free и более 1 000 в платных тарифах (Lucidchart); раздел шаблонов Eraser и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</si>
  <si>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</si>
  <si>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</si>
  <si>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</si>
  <si>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</si>
  <si>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</si>
  <si>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</si>
  <si>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</si>
  <si>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</si>
  <si>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</si>
  <si>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https://www.eraser.io/</t>
  </si>
  <si>
    <t>Обещание: «AI for diagrams that matter»; «Create technical diagrams using AI»</t>
  </si>
  <si>
    <t>F112</t>
  </si>
  <si>
    <t>Создание технических диаграмм с помощью ИИ</t>
  </si>
  <si>
    <t>F113</t>
  </si>
  <si>
    <t>https://www.eraser.io/pricing</t>
  </si>
  <si>
    <t>F114</t>
  </si>
  <si>
    <t>F115</t>
  </si>
  <si>
    <t>F116</t>
  </si>
  <si>
    <t>F117</t>
  </si>
  <si>
    <t>Unlimited guests на всех тарифах</t>
  </si>
  <si>
    <t>F118</t>
  </si>
  <si>
    <t>ИИ-диаграммы: 3 (Free), 40 (Starter), 250 (Business), без лимита (Enterprise)</t>
  </si>
  <si>
    <t>F119</t>
  </si>
  <si>
    <t>F120</t>
  </si>
  <si>
    <t>F121</t>
  </si>
  <si>
    <t>F122</t>
  </si>
  <si>
    <t>SAML SSO в тарифе Business</t>
  </si>
  <si>
    <t>F123</t>
  </si>
  <si>
    <t>F124</t>
  </si>
  <si>
    <t>Признак найден на просмотренных страницах: шаблоны диаграмм</t>
  </si>
  <si>
    <t>F125</t>
  </si>
  <si>
    <t>F126</t>
  </si>
  <si>
    <t>F127</t>
  </si>
  <si>
    <t>7 дней (Free), 90 дней (Starter), без ограничений (Business)</t>
  </si>
  <si>
    <t>F128</t>
  </si>
  <si>
    <t>F129</t>
  </si>
  <si>
    <t>F130</t>
  </si>
  <si>
    <t>F131</t>
  </si>
  <si>
    <t>F132</t>
  </si>
  <si>
    <t>F133</t>
  </si>
  <si>
    <t>https://whimsical.com/</t>
  </si>
  <si>
    <t>Обещание: «The whiteboard for product builders»: диаграммы, схемы интерфейсов, документы</t>
  </si>
  <si>
    <t>F134</t>
  </si>
  <si>
    <t>Редактор диаграмм, схем интерфейсов и документов; тарифы Free, Pro, Business (страница тарифов, 01.10.2026)</t>
  </si>
  <si>
    <t>F135</t>
  </si>
  <si>
    <t>https://whimsical.com/pricing</t>
  </si>
  <si>
    <t>F136</t>
  </si>
  <si>
    <t>Viewers и Guests: Unlimited на всех тарифах</t>
  </si>
  <si>
    <t>F137</t>
  </si>
  <si>
    <t>F138</t>
  </si>
  <si>
    <t>F139</t>
  </si>
  <si>
    <t>F140</t>
  </si>
  <si>
    <t>SAML SSO и SCIM в тарифе Business</t>
  </si>
  <si>
    <t>F141</t>
  </si>
  <si>
    <t>F142</t>
  </si>
  <si>
    <t>F143</t>
  </si>
  <si>
    <t>F144</t>
  </si>
  <si>
    <t>7 дней (Free), 90 дней (Pro), без ограничений (Business)</t>
  </si>
  <si>
    <t>F145</t>
  </si>
  <si>
    <t>«Open-source tool that uses simple textual descriptions to draw beautiful UML diagrams»</t>
  </si>
  <si>
    <t>Построение UML-диаграмм из текстового описания, экспорт PNG, LaTeX, EPS, SVG; описание диаграммы текстом (dsl), бесплатный доступ или free-тариф, интеграции с другими сервисами, открытый код и сообщество, независимые отзывы и оценки, экспорт диаграмм (png, svg, pdf и др.), документация и руководства, диаграммы uml</t>
  </si>
  <si>
    <t>оценки расширений: VS Marketplace jebbs.plantuml 4,72 (105), JetBrains plantuml4idea 4,63 (102); G2 и Trustpilot: карточка не найдена</t>
  </si>
  <si>
    <t>plantuml/plantuml: 13 346 звёзд</t>
  </si>
  <si>
    <t>Разработка языка и серверной части, выпуск релизов (страница загрузки), документация</t>
  </si>
  <si>
    <t>Интеграции в вики, редакторы, IDE и языки программирования (страница running)</t>
  </si>
  <si>
    <t>Признаки: разработка сообщества и серверы; ИИ-расходов на сайте нет</t>
  </si>
  <si>
    <t>Сообщество на GitHub (13 346 звёзд), форумы</t>
  </si>
  <si>
    <t>Гипотеза (для проверки): ценность - диаграммы из текста; доход не из продажи самого инструмента</t>
  </si>
  <si>
    <t>«Create diagrams and visualizations using text and code»</t>
  </si>
  <si>
    <t>Диаграммы и визуализации из текста и кода (JavaScript-библиотека); описание диаграммы текстом (dsl), бесплатный доступ или free-тариф, интеграции с другими сервисами, api или платформа разработчика, открытый код и сообщество, независимые отзывы и оценки, экспорт диаграмм (png, svg, pdf и др.), документация и руководства</t>
  </si>
  <si>
    <t>оценки расширений: VS Marketplace (bierner.markdown-mermaid 60, vstirbu 27, tomoyukim 17) и JetBrains Mermaid 2,96 (65)</t>
  </si>
  <si>
    <t>mermaid-js/mermaid: 90 489 звёзд; mermaid-js/mermaid-live-editor: 6 836 звёзд</t>
  </si>
  <si>
    <t>Развитие библиотеки, экосистемы и документации</t>
  </si>
  <si>
    <t>Интеграции сообщества: редакторы, вики, платформы (страница integrations-community)</t>
  </si>
  <si>
    <t>Признаки: разработка сообщества; платные планы вынесены в Mermaid Chart</t>
  </si>
  <si>
    <t>Сообщество: 90 489 звёзд GitHub, плагины</t>
  </si>
  <si>
    <t>Гипотеза (для проверки): ядро открытого стандарта, монетизация вынесена в Mermaid Chart</t>
  </si>
  <si>
    <t>«Create diagrams, flowcharts, and documentation with Mermaid»; «You already think in systems»</t>
  </si>
  <si>
    <t>Облачный редактор диаграмм Mermaid с тарифами Free, Plus, Premium; описание диаграммы текстом (dsl), бесплатный доступ или free-тариф, платная подписка по тарифным уровням, открытая страница тарифов, корпоративный тариф (enterprise или on-prem), скидка или цена при годовой оплате, бесплатные гости или зрители, ии-генерация или ии-помощник</t>
  </si>
  <si>
    <t>G2 (карточка Mermaid) 4,8 (16); Trustpilot 3,5 (3); Product Hunt 4,8 (26)</t>
  </si>
  <si>
    <t>Команда продукта и облачная инфраструктура (по описанию сайта)</t>
  </si>
  <si>
    <t>Развитие облачного редактора, ИИ-функций, документации</t>
  </si>
  <si>
    <t>Плагины и интеграции (меню Product), экосистема Mermaid.js</t>
  </si>
  <si>
    <t>Признак: лимиты ИИ-кредитов указывают на стоимость ИИ-вызовов</t>
  </si>
  <si>
    <t>Совместная работа и общий доступ; 5M пользователей и 200k компаний по заявлению сайта</t>
  </si>
  <si>
    <t>Гипотеза (для проверки): облачный сервис над открытым стандартом: доход от тарифов за пользователя</t>
  </si>
  <si>
    <t>«Соберите все процессы компании»; «Одна платформа - девять модулей процессного управления»</t>
  </si>
  <si>
    <t>Платформа из семи модулей: редактор, реестр, архитектура, оргструктура, опросы, ИИ, симуляция; бесплатный доступ или free-тариф, платная подписка по тарифным уровням, открытая страница тарифов, корпоративный тариф (enterprise или on-prem), скидка или цена при годовой оплате, бесплатные гости или зрители, ии-генерация или ии-помощник, интеграции с другими сервисами</t>
  </si>
  <si>
    <t>Заявление сайта: «Нам доверяют больше 1 000 клиентов»</t>
  </si>
  <si>
    <t>Развитие девяти модулей платформы, ИИ-ассистента, MCP; продажи и внедрение on-prem</t>
  </si>
  <si>
    <t>MCP-интеграции, API в Enterprise</t>
  </si>
  <si>
    <t>Признаки: безлимитный ИИ в облачных тарифах, on-prem для крупных клиентов</t>
  </si>
  <si>
    <t>Связи процессов, реестр, оргструктура и база знаний внутри платформы; более 1 000 клиентов</t>
  </si>
  <si>
    <t>Гипотеза (для проверки): платформа процессного управления для русскоязычного рынка: доход от тарифов в рублях и on-prem</t>
  </si>
  <si>
    <t>«Security-first diagramming for teams»; «Free, open source diagramming application with 100M+ users»</t>
  </si>
  <si>
    <t>Бесплатный онлайн-редактор блок-схем, UML, ER и других диаграмм; бесплатный доступ или free-тариф, интеграции с другими сервисами, открытый код и сообщество, независимые отзывы и оценки, данные о числе пользователей или клиентов на сайте, раздел или упоминание о безопасности и приватности, вход и личный кабинет, совместная работа в реальном времени</t>
  </si>
  <si>
    <t>Capterra 4,6 (773); Trustpilot draw.io 3,4 (11) и diagrams.net 3,8 (2); Atlassian Marketplace draw.io Diagrams 4,8 (1 205)</t>
  </si>
  <si>
    <t>jgraph/drawio: 8 502 звёзд; jgraph/drawio-desktop: 63 351 звёзд</t>
  </si>
  <si>
    <t>Развитие приложения, интеграций и встраивания; документация</t>
  </si>
  <si>
    <t>Google Drive, Microsoft SharePoint и OneDrive, Atlassian Confluence и Jira, GitHub, VS Code, Notion</t>
  </si>
  <si>
    <t>Признак: «Not VC-funded», нет enterprise-тарифа</t>
  </si>
  <si>
    <t>Данные у пользователя («we cannot access it»); совместимость файлов с 2005 г.</t>
  </si>
  <si>
    <t>Гипотеза (для проверки): бесплатный массовый инструмент: привлекает аудиторию, монетизация на сайте не показана</t>
  </si>
  <si>
    <t>«Diagramming powered by intelligence»: диаграммы с ИИ, данными и автоматизацией</t>
  </si>
  <si>
    <t>Облачный редактор диаграмм с тарифами Free, Individual, Team, Enterprise; описание диаграммы текстом (dsl), бесплатный доступ или free-тариф, платная подписка по тарифным уровням, открытая страница тарифов, корпоративный тариф (enterprise или on-prem), скидка или цена при годовой оплате, пробный период платного тарифа, ии-генерация или ии-помощник</t>
  </si>
  <si>
    <t>G2 4,5 (8 988); Capterra/GetApp/Software Advice 4,5 (2 264); Trustpilot lucidchart.com 1,5 (116)</t>
  </si>
  <si>
    <t>Развитие продукта, ИИ, платформы разработчика, продажи Enterprise</t>
  </si>
  <si>
    <t>Microsoft 365, Confluence, Jira, LeanIX, Ardoq, Salesforce</t>
  </si>
  <si>
    <t>Признаки: ИИ, поддержка, учебный центр, Enterprise Shield</t>
  </si>
  <si>
    <t>Совместная работа, шаблоны, связывание данных; Fortune 500 по заявлению сайта</t>
  </si>
  <si>
    <t>Гипотеза (для проверки): облачный сервис с лестницей тарифов Free, Individual, Team, Enterprise</t>
  </si>
  <si>
    <t>«AI for diagrams that matter»; «Create technical diagrams using AI»</t>
  </si>
  <si>
    <t>Создание технических диаграмм с помощью ИИ; описание диаграммы текстом (dsl), бесплатный доступ или free-тариф, платная подписка по тарифным уровням, открытая страница тарифов, корпоративный тариф (enterprise или on-prem), скидка или цена при годовой оплате, бесплатные гости или зрители, ии-генерация или ии-помощник</t>
  </si>
  <si>
    <t>Вход и документация на сайте; данные Similarweb по домену не получены</t>
  </si>
  <si>
    <t>Product Hunt 4,9 (10); расширение VS Code 4,8 (5)</t>
  </si>
  <si>
    <t>Развитие ИИ-генерации диаграмм, интеграций, API</t>
  </si>
  <si>
    <t>GitHub, Notion, Confluence, VS Code</t>
  </si>
  <si>
    <t>Признак: лимиты ИИ-диаграмм по тарифам указывают на стоимость ИИ</t>
  </si>
  <si>
    <t>Совместная работа, гости без оплаты; история версий по тарифам</t>
  </si>
  <si>
    <t>Гипотеза (для проверки): подписка вокруг ИИ-генерации и diagram-as-code для технических команд</t>
  </si>
  <si>
    <t>«The whiteboard for product builders»: диаграммы, схемы интерфейсов, документы</t>
  </si>
  <si>
    <t>Редактор диаграмм, схем интерфейсов и документов; тарифы Free, Pro, Business (страница тарифов, 01.10.2026); бесплатный доступ или free-тариф, платная подписка по тарифным уровням, открытая страница тарифов, бесплатные гости или зрители, ии-генерация или ии-помощник, интеграции с другими сервисами, независимые отзывы и оценки, раздел или упоминание о безопасности и приватности</t>
  </si>
  <si>
    <t>Capterra 4,7 (59)</t>
  </si>
  <si>
    <t>Развитие доски, диаграмм, документов и ИИ</t>
  </si>
  <si>
    <t>Интеграции указаны на сайте (число не проверялось)</t>
  </si>
  <si>
    <t>Признаки: хранилище и история версий по тарифам, ИИ</t>
  </si>
  <si>
    <t>Совместная работа, гости и зрители без ограничений</t>
  </si>
  <si>
    <t>Гипотеза (для проверки): подписка для продуктовых команд: доход от платных мест редакторов</t>
  </si>
  <si>
    <t>Диаграммы UML из текста</t>
  </si>
  <si>
    <t>Экспорт, документация, интеграции</t>
  </si>
  <si>
    <t>Шаблоны, совместная работа, ИИ, API по тарифам</t>
  </si>
  <si>
    <t>Признаки развития на просмотренных страницах не найдены</t>
  </si>
  <si>
    <t>ценность - диаграммы из текста; доход не из продажи самого инструмента</t>
  </si>
  <si>
    <t>Диаграммы из текста и кода</t>
  </si>
  <si>
    <t>ядро открытого стандарта, монетизация вынесена в Mermaid Chart</t>
  </si>
  <si>
    <t>Облачный редактор Mermaid</t>
  </si>
  <si>
    <t>MCP-интеграция (Storm)</t>
  </si>
  <si>
    <t>облачный сервис над открытым стандартом: доход от тарифов за пользователя</t>
  </si>
  <si>
    <t>Моделирование и управление процессами</t>
  </si>
  <si>
    <t>платформа процессного управления для русскоязычного рынка: доход от тарифов в рублях и on-prem</t>
  </si>
  <si>
    <t>Бесплатный редактор диаграмм</t>
  </si>
  <si>
    <t>бесплатный массовый инструмент: привлекает аудиторию, монетизация на сайте не показана</t>
  </si>
  <si>
    <t>Облачный редактор диаграмм с ИИ</t>
  </si>
  <si>
    <t>облачный сервис с лестницей тарифов Free, Individual, Team, Enterprise</t>
  </si>
  <si>
    <t>ИИ-генерация технических диаграмм</t>
  </si>
  <si>
    <t>подписка вокруг ИИ-генерации и diagram-as-code для технических команд</t>
  </si>
  <si>
    <t>Доска, диаграммы и документы</t>
  </si>
  <si>
    <t>подписка для продуктовых команд: доход от платных мест редакторов</t>
  </si>
  <si>
    <t>да</t>
  </si>
  <si>
    <t>не найден на просмотренных страницах</t>
  </si>
  <si>
    <t>Бесплатно</t>
  </si>
  <si>
    <t>не применимо</t>
  </si>
  <si>
    <t>Нет единицы оплаты</t>
  </si>
  <si>
    <t>нет платежей</t>
  </si>
  <si>
    <t>не найдены</t>
  </si>
  <si>
    <t>Нет прямых доходов на сайте: ценность создаёт аудиторию и сообщество</t>
  </si>
  <si>
    <t>за пользователя в месяц</t>
  </si>
  <si>
    <t>Basic: до 6 диаграмм, 15 ИИ-кредитов</t>
  </si>
  <si>
    <t>при оплате за год</t>
  </si>
  <si>
    <t>Enterprise: SSO, менеджер по успеху клиента, договор</t>
  </si>
  <si>
    <t>Подписка за пользователя; зрители без оплаты; ИИ-кредиты по тарифам</t>
  </si>
  <si>
    <t>кнопка «Попробовать всё» в тарифе Бизнес</t>
  </si>
  <si>
    <t>Персональный 0, Команда 1 200 руб., Бизнес 4 720 руб., Enterprise от 990 тыс. руб. в год</t>
  </si>
  <si>
    <t>Персональный: до 50 моделей, 5 раз делиться процессами</t>
  </si>
  <si>
    <t>месяц или год (скидка 20 %)</t>
  </si>
  <si>
    <t>Enterprise on-prem: SSO, API, аудит, ИБ</t>
  </si>
  <si>
    <t>Бесплатный старт и рост до on-prem: потоки от подписок и корпоративных договоров</t>
  </si>
  <si>
    <t>7 дней</t>
  </si>
  <si>
    <t>Free: 3 документа, 75 фигур на документ</t>
  </si>
  <si>
    <t>Enterprise: SAML, Enterprise Shield, Salesforce</t>
  </si>
  <si>
    <t>Подписка за место с пробным периодом и Enterprise</t>
  </si>
  <si>
    <t>за участника в месяц</t>
  </si>
  <si>
    <t>Free: 3 файла, 3 ИИ-диаграммы</t>
  </si>
  <si>
    <t>Enterprise: гибкое развёртывание, менеджер по успеху клиента</t>
  </si>
  <si>
    <t>Подписка за участника с лимитами ИИ</t>
  </si>
  <si>
    <t>за редактора в месяц</t>
  </si>
  <si>
    <t>Free: 50 объектов доски и 50 блоков документа в месяц</t>
  </si>
  <si>
    <t>месячная цена за редактора</t>
  </si>
  <si>
    <t>Business с кнопкой «Contact sales», SAML SSO</t>
  </si>
  <si>
    <t>Подписка за редактора, зрители бесплатно</t>
  </si>
  <si>
    <t>Документация, примеры, блог на сайте</t>
  </si>
  <si>
    <t>Органический поиск 47,25 % трафика (Similarweb Pro)</t>
  </si>
  <si>
    <t>Онлайн-сервер без призыва к регистрации; ссылки на загрузку</t>
  </si>
  <si>
    <t>не требуется</t>
  </si>
  <si>
    <t>онлайн-сервер без регистрации</t>
  </si>
  <si>
    <t>Путь клиента: вход без регистрации; тип воронки - контентная воронка</t>
  </si>
  <si>
    <t>Органический поиск 58,56 % трафика (Similarweb Pro)</t>
  </si>
  <si>
    <t>«Get started», документация, живой редактор</t>
  </si>
  <si>
    <t>не требуется для библиотеки</t>
  </si>
  <si>
    <t>Mermaid Live Editor</t>
  </si>
  <si>
    <t>Путь клиента: регистрация или заявка; тип воронки - контентная воронка</t>
  </si>
  <si>
    <t>Органический поиск 32,54 % трафика (Similarweb Pro)</t>
  </si>
  <si>
    <t>«Start free», «Contact sales»</t>
  </si>
  <si>
    <t>регистрация для Free</t>
  </si>
  <si>
    <t>Free (до 6 диаграмм)</t>
  </si>
  <si>
    <t>Путь клиента: регистрация или заявка; тип воронки - регистрация</t>
  </si>
  <si>
    <t>Органический поиск 20,91 % трафика (Similarweb Pro)</t>
  </si>
  <si>
    <t>«Начать бесплатно», «Рассчитать для команды», «Обсудить on-prem»</t>
  </si>
  <si>
    <t>регистрация для Персонального</t>
  </si>
  <si>
    <t>бесплатный тариф, «Попробовать всё» (Бизнес)</t>
  </si>
  <si>
    <t>Путь клиента: регистрация или заявка; тип воронки - корпоративные продажи</t>
  </si>
  <si>
    <t>Органический поиск 13,96 % трафика (Similarweb Pro)</t>
  </si>
  <si>
    <t>Открыть приложение; «Embed»; GitHub</t>
  </si>
  <si>
    <t>приложение без регистрации</t>
  </si>
  <si>
    <t>Путь клиента: вход без регистрации; тип воронки - самостоятельная покупка</t>
  </si>
  <si>
    <t>Органический поиск 55,95 % трафика (Similarweb Pro)</t>
  </si>
  <si>
    <t>«Sign up free», вход через Google и Microsoft</t>
  </si>
  <si>
    <t>Free; пробный период 7 дней платных тарифов</t>
  </si>
  <si>
    <t>Путь клиента: регистрация или заявка; тип воронки - пробный доступ</t>
  </si>
  <si>
    <t>Данные Similarweb Pro по домену не получены</t>
  </si>
  <si>
    <t>Данные Similarweb по домену не получены</t>
  </si>
  <si>
    <t>«Try Eraser», «Get started for free»</t>
  </si>
  <si>
    <t>Free (3 файла)</t>
  </si>
  <si>
    <t>Страницы шаблонов и ИИ</t>
  </si>
  <si>
    <t>«Get started», «Contact sales» (Business)</t>
  </si>
  <si>
    <t>Free (50 объектов)</t>
  </si>
  <si>
    <t>Сообщество разработчиков, домен с 2010 г.</t>
  </si>
  <si>
    <t>Выпуск релизов, поддержка форумов</t>
  </si>
  <si>
    <t>Серверный рендеринг на Java; языковой справочник</t>
  </si>
  <si>
    <t>Диаграммы обрабатываются на сервере проекта</t>
  </si>
  <si>
    <t>FAQ, форум</t>
  </si>
  <si>
    <t>Низкая монетизация</t>
  </si>
  <si>
    <t>Устойчив за счёт сообщества, не за счёт доходов</t>
  </si>
  <si>
    <t>Сообщество (90 489 звёзд), команда проекта</t>
  </si>
  <si>
    <t>Релизы библиотеки, развитие экосистемы</t>
  </si>
  <si>
    <t>JavaScript-библиотека</t>
  </si>
  <si>
    <t>Рендеринг в браузере</t>
  </si>
  <si>
    <t>Документация, сообщество</t>
  </si>
  <si>
    <t>Зависимость от Mermaid Chart в финансировании</t>
  </si>
  <si>
    <t>Устойчив за счёт экосистемы</t>
  </si>
  <si>
    <t>Команда Mermaid, облако, ИИ</t>
  </si>
  <si>
    <t>Развитие редактора и ИИ-функций</t>
  </si>
  <si>
    <t>Облачный редактор, ИИ, API</t>
  </si>
  <si>
    <t>Данные пользователей в облаке</t>
  </si>
  <si>
    <t>Документация, контакты продаж</t>
  </si>
  <si>
    <t>Расходы на ИИ</t>
  </si>
  <si>
    <t>Устойчив при росте платных мест</t>
  </si>
  <si>
    <t>Платформа из девяти модулей, база клиентов (более 1 000)</t>
  </si>
  <si>
    <t>Продажи, внедрение, развитие модулей</t>
  </si>
  <si>
    <t>BPMN-редактор, ИИ, симуляция DES, MCP</t>
  </si>
  <si>
    <t>Модели процессов, реестр, оргструктура, опросы</t>
  </si>
  <si>
    <t>База знаний; Enterprise: аудит и ИБ</t>
  </si>
  <si>
    <t>Зависимость от русскоязычного рынка</t>
  </si>
  <si>
    <t>Модель устойчива у корпоративных клиентов</t>
  </si>
  <si>
    <t>Репозитории (63 351 звезда desktop), независимая частная компания</t>
  </si>
  <si>
    <t>Развитие приложения и интеграций</t>
  </si>
  <si>
    <t>Приложение на JavaScript, desktop, плагины</t>
  </si>
  <si>
    <t>Данные хранятся у пользователя</t>
  </si>
  <si>
    <t>Документация, GitHub</t>
  </si>
  <si>
    <t>Неясная монетизация на сайте</t>
  </si>
  <si>
    <t>Очень устойчив за счёт аудитории и независимости</t>
  </si>
  <si>
    <t>Команда и инфраструктура Lucid, платформа, бренд</t>
  </si>
  <si>
    <t>Продажи Enterprise, развитие ИИ и платформы</t>
  </si>
  <si>
    <t>Облако, ИИ, платформа разработчика, интеграции</t>
  </si>
  <si>
    <t>Связывание данных, импорт данных</t>
  </si>
  <si>
    <t>Учебный центр, поддержка, Enterprise Shield</t>
  </si>
  <si>
    <t>Высокая зависимость от платных мест</t>
  </si>
  <si>
    <t>Устойчив: широкий продукт и Enterprise</t>
  </si>
  <si>
    <t>Команда продукта, ИИ-инфраструктура</t>
  </si>
  <si>
    <t>Развитие ИИ и интеграций</t>
  </si>
  <si>
    <t>ИИ-генерация, diagram-as-code, API</t>
  </si>
  <si>
    <t>Данные в облаке, лимиты ИИ</t>
  </si>
  <si>
    <t>Документация docs.eraser.io</t>
  </si>
  <si>
    <t>Расходы на ИИ при росте</t>
  </si>
  <si>
    <t>Умеренно устойчив; зависит от ИИ-расходов</t>
  </si>
  <si>
    <t>Команда продукта, бренд</t>
  </si>
  <si>
    <t>Развитие доски, диаграмм, документов</t>
  </si>
  <si>
    <t>Облако, desktop, ИИ</t>
  </si>
  <si>
    <t>Данные в облаке, история версий</t>
  </si>
  <si>
    <t>Раздел support, страница Security</t>
  </si>
  <si>
    <t>Сильная конкуренция универсальных досок</t>
  </si>
  <si>
    <t>Устойчив у продуктовых команд</t>
  </si>
  <si>
    <t>Бесплатный доступ или Free-тариф</t>
  </si>
  <si>
    <t>Начать работу без оплаты</t>
  </si>
  <si>
    <t>Открытый код или тариф Free на страницах 8 из 8 конкурентов</t>
  </si>
  <si>
    <t>Платная подписка по тарифным уровням</t>
  </si>
  <si>
    <t>Получить расширенные возможности за оплату</t>
  </si>
  <si>
    <t>Страницы тарифов Mermaid Chart, Storm, Lucidchart, Eraser, Whimsical</t>
  </si>
  <si>
    <t>Открытая страница тарифов</t>
  </si>
  <si>
    <t>Понять цену и состав тарифа до регистрации</t>
  </si>
  <si>
    <t>Страницы тарифов (01.10.2026)</t>
  </si>
  <si>
    <t>Подключить организацию целиком</t>
  </si>
  <si>
    <t>Снизить стоимость при долгом использовании</t>
  </si>
  <si>
    <t>Проверить платные функции до оплаты</t>
  </si>
  <si>
    <t>Показать диаграмму без оплаты за каждого читателя</t>
  </si>
  <si>
    <t>Unlimited viewer seats (Mermaid Chart Premium); 100 гостей на участника (Storm); unlimited guests (Eraser, Whimsical)</t>
  </si>
  <si>
    <t>Встроить инструмент в рабочие процессы</t>
  </si>
  <si>
    <t>Автоматизировать генерацию диаграмм</t>
  </si>
  <si>
    <t>API Mermaid; пункт API в меню Mermaid Chart; API в Enterprise Storm; Developer platform Lucidchart; API calls Eraser</t>
  </si>
  <si>
    <t>Ускорить создание диаграммы по описанию</t>
  </si>
  <si>
    <t>Подключить корпоративную учётную запись</t>
  </si>
  <si>
    <t>Доверять инструменту и расширять его</t>
  </si>
  <si>
    <t>Независимые отзывы и оценки</t>
  </si>
  <si>
    <t>Оценить качество до выбора</t>
  </si>
  <si>
    <t>G2, Capterra, Trustpilot, каталоги расширений (ЛР2-3, ЛР4)</t>
  </si>
  <si>
    <t>Оценить масштаб и надёжность продукта</t>
  </si>
  <si>
    <t>5M человек и 200k компаний (Mermaid Chart); более 1 000 клиентов (Storm); 100M+ пользователей (draw.io); 99 % Fortune 500 (Lucidchart)</t>
  </si>
  <si>
    <t>Понять, где хранятся данные</t>
  </si>
  <si>
    <t>Страница Security (Whimsical); раздел безопасности (Lucidchart, Eraser); privacy-first (draw.io)</t>
  </si>
  <si>
    <t>Научиться пользоваться без обращения в поддержку</t>
  </si>
  <si>
    <t>PlantUML Language Reference Guide; Mermaid User Guide; docs.mermaidchart.com; docs.eraser.io; Learning center Lucidchart</t>
  </si>
  <si>
    <t>Хранить данные внутри организации</t>
  </si>
  <si>
    <t>Страницы running и download (PlantUML); библиотека Mermaid; on-prem (Storm); Flexible deployments (Eraser Enterprise)</t>
  </si>
  <si>
    <t>Сохранять диаграммы и настройки</t>
  </si>
  <si>
    <t>Работать на русском языке и платить в рублях</t>
  </si>
  <si>
    <t>Тарифы с лимитами ИИ-диаграмм и diagram-as-code в бесплатном тарифе</t>
  </si>
  <si>
    <t>eraser.io/pricing</t>
  </si>
  <si>
    <t>Бесплатный тариф с безлимитным ИИ и тарифы в рублях; on-prem</t>
  </si>
  <si>
    <t>stormbpmn.com/pricing</t>
  </si>
  <si>
    <t>Лестница тарифов с пробным периодом и Enterprise Shield</t>
  </si>
  <si>
    <t>lucid.app/pricing/lucidchart</t>
  </si>
  <si>
    <t>Бесплатное приложение без enterprise-тарифа и данные у пользователя</t>
  </si>
  <si>
    <t>drawio.com</t>
  </si>
  <si>
    <t>Экосистема интеграций и сообщество 90 489 звёзд</t>
  </si>
  <si>
    <t>mermaid.js.org/ecosystem</t>
  </si>
  <si>
    <t>Зрители без оплаты и четыре ясных тарифа</t>
  </si>
  <si>
    <t>mermaid.ai/pricing</t>
  </si>
  <si>
    <t>Гости и зрители без ограничений на всех тарифах</t>
  </si>
  <si>
    <t>whimsical.com/pricing</t>
  </si>
  <si>
    <t>Многолетний стандарт для UML из текста, запуск на своём сервере</t>
  </si>
  <si>
    <t>plantuml.com/running</t>
  </si>
  <si>
    <t>Журнал рабочей копии: исправления, источники, правила, ограничения</t>
  </si>
  <si>
    <t>Раздел</t>
  </si>
  <si>
    <t>Код</t>
  </si>
  <si>
    <t>Содержание</t>
  </si>
  <si>
    <t>Исправление шаблона</t>
  </si>
  <si>
    <t>Д-1</t>
  </si>
  <si>
    <t>Источники</t>
  </si>
  <si>
    <t>И-1</t>
  </si>
  <si>
    <t>Выборка</t>
  </si>
  <si>
    <t>В-1</t>
  </si>
  <si>
    <t>Правило</t>
  </si>
  <si>
    <t>П-1</t>
  </si>
  <si>
    <t>П-2</t>
  </si>
  <si>
    <t>П-3</t>
  </si>
  <si>
    <t>Ограничения</t>
  </si>
  <si>
    <t>О-1</t>
  </si>
  <si>
    <t>01.10.2026</t>
  </si>
  <si>
    <t>Basic Free (до 6 диаграмм, 15 ИИ-кредитов); Plus 10 у.е. (300 кредитов); Premium 20 у.е. (2 000 кредитов, зрители без оплаты) за пользователя в месяц при оплате за год; Enterprise по запросу</t>
  </si>
  <si>
    <t>Free (3 документа, 75 фигур, 100 шаблонов); Individual 9 у.е.; Team 10 у.е. за пользователя в месяц при оплате за год; Enterprise по запросу; пробный период 7 дней</t>
  </si>
  <si>
    <t>Free (0 у.е.; 3 файла, 3 ИИ-диаграммы); Starter 15 у.е. (20 у.е. при помесячной оплате); Business 45 у.е. (60 у.е.); Enterprise по запросу; цены за участника в месяц (страница тарифов, 01.10.2026)</t>
  </si>
  <si>
    <t>Starter 15 у.е. при годовой оплате против 20 у.е. помесячно</t>
  </si>
  <si>
    <t>Free (0 у.е.; 50 объектов доски и 50 блоков документа в месяц, водяной знак при экспорте); Pro 10 у.е., Business 20 у.е. за редактора в месяц (страница тарифов, 01.10.2026)</t>
  </si>
  <si>
    <t>Basic Free, Plus 10 у.е., Premium 20 у.е., Enterprise</t>
  </si>
  <si>
    <t>Free, Individual 9 у.е., Team 10 у.е., Enterprise</t>
  </si>
  <si>
    <t>Free 0, Starter 15 у.е., Business 45 у.е., Enterprise</t>
  </si>
  <si>
    <t>год (15 и 45 у.е.) или месяц (20 и 60 у.е.)</t>
  </si>
  <si>
    <t>Free 0, Pro 10 у.е., Business 20 у.е.</t>
  </si>
  <si>
    <t>Создание UML-диаграмм требует специальных инструментов и ручного рисования</t>
  </si>
  <si>
    <t>Диаграммы строятся из текста автоматически – без рисования и без лицензии</t>
  </si>
  <si>
    <t>Открытая библиотека и сервер; монетизация не из продажи инструмента, а через сервисы и поддержку</t>
  </si>
  <si>
    <t>Диаграммы в документации и коде устаревают и плохо интегрируются с текстом</t>
  </si>
  <si>
    <t>Диаграммы встраиваются прямо в Markdown и код; обновляются вместе с документацией</t>
  </si>
  <si>
    <t>Открытая JS-библиотека; ядро – бесплатный стандарт; доход выведен в Mermaid Chart и корпоративные контракты</t>
  </si>
  <si>
    <t>Нет удобного облачного хранения и совместной работы над Mermaid-диаграммами</t>
  </si>
  <si>
    <t>Облачное хранение, совместное редактирование и управление доступом к Mermaid-диаграммам</t>
  </si>
  <si>
    <t>SaaS-надстройка над открытым Mermaid; доход от тарифов Free, Plus, Premium за пользователя</t>
  </si>
  <si>
    <t>Нет единой русскоязычной платформы для моделирования процессов, реестров и оргструктуры</t>
  </si>
  <si>
    <t>Семь модулей в одной платформе: от BPMN-редактора до симуляции и ИИ-советника</t>
  </si>
  <si>
    <t>Комплексная BPM-платформа для русскоязычного рынка; доход от SaaS-подписки и on-prem Enterprise</t>
  </si>
  <si>
    <t>Профессиональные инструменты для диаграмм дорогие или требуют установки</t>
  </si>
  <si>
    <t>Профессиональные диаграммы в браузере – бесплатно, без регистрации, с экспортом</t>
  </si>
  <si>
    <t>Бесплатный массовый инструмент; монетизация на сайте не показана; вероятно – корпоративные интеграции</t>
  </si>
  <si>
    <t>Корпоративным командам нужен масштабируемый инструмент с управлением доступом и интеграциями</t>
  </si>
  <si>
    <t>Корпоративная визуализация с ИИ, шаблонами, SSO и интеграциями для Enterprise</t>
  </si>
  <si>
    <t>Enterprise SaaS с лестницей тарифов Free–Individual–Team–Enterprise; доход от платных мест и контрактов</t>
  </si>
  <si>
    <t>Создание технических диаграмм вручную занимает много времени у инженерных команд</t>
  </si>
  <si>
    <t>Технические диаграммы генерируются ИИ из описания или кода за секунды</t>
  </si>
  <si>
    <t>ИИ-первый подход к diagram-as-code; доход от подписок Free, Pro, Enterprise</t>
  </si>
  <si>
    <t>Продуктовым командам нужно единое пространство для вайрфреймов, диаграмм и документов</t>
  </si>
  <si>
    <t>Единое рабочее пространство: флоучарты, вайрфреймы, майндкарты и документы в одном месте</t>
  </si>
  <si>
    <t>Многофункциональный редактор для продуктовых команд; доход от платных мест редакторов (Free, Pro, Business)</t>
  </si>
  <si>
    <t>ИИ-генерация диаграмм обесценивает текстовый подход; необходим сопоставимый ИИ-функционал в NotaCode</t>
  </si>
  <si>
    <t>On-prem и рублевые тарифы перехватывают корпоративный русскоязычный сегмент; NotaCode нужен аналог</t>
  </si>
  <si>
    <t>Enterprise-лестница с SSO и Shield сложна для повторения на старте; риск потери крупных клиентов</t>
  </si>
  <si>
    <t>Бесплатность без ограничений удерживает пользователей без бюджета; NotaCode должен обосновать платность</t>
  </si>
  <si>
    <t>Экосистема 90К звезд формирует отраслевой стандарт; NotaCode нужна совместимость с Mermaid-синтаксисом</t>
  </si>
  <si>
    <t>Схожая модель зрителей без оплаты; прямой конкурент в сегменте diagram-as-code с облачным хранением</t>
  </si>
  <si>
    <t>Низкий риск: иной целевой сегмент (продуктовые команды); пересечение только по вайрфреймам</t>
  </si>
  <si>
    <t>Сетевой эффект многолетнего стандарта сложно переломить; выгоднее поддерживать PlantUML-синтаксис</t>
  </si>
  <si>
    <t>Дозаполнение</t>
  </si>
  <si>
    <t>Д-2</t>
  </si>
  <si>
    <t>05_Товар_ценность: заполнены столбцы 8 (Клиентская проблема), 9 (Клиентский результат), 13 (Вывод о роли товара) для C01–C08 (24 ячейки)</t>
  </si>
  <si>
    <t>Д-3</t>
  </si>
  <si>
    <t>06_Монетизация: восстановлены формулы VLOOKUP в столбце «Название» (col2), поврежденные автозаменой при очистке текста</t>
  </si>
  <si>
    <t>Д-4</t>
  </si>
  <si>
    <t>11_Преимущества: заполнен столбец 13 (Риск для нашей модели) для C01–C08 (8 ячеек)</t>
  </si>
  <si>
    <t>Используйте эти значения в рабочих листах, чтобы результаты можно было сопоставлять между конкурентами</t>
  </si>
  <si>
    <t>Рабочая книга предназначена для восстановления бизнес-модели конкурента по публичным данным сайта: продукт, ценность, монетизация, каналы, ресурсы, партнерства, данные, масштабируемость и конкурентные преимущества</t>
  </si>
  <si>
    <t>Внести список конкурентов, тип конкурента, географию, сегмент, приоритет и статус анализа</t>
  </si>
  <si>
    <t>Единый перечень объектов наблюдения</t>
  </si>
  <si>
    <t>Слабый косвенный признак: предположение без прямого подтверждения на сайте</t>
  </si>
  <si>
    <t>Фиксировать URL, раздел сайта, наблюдаемый факт, элемент бизнес-модели, уровень доказательности и вывод</t>
  </si>
  <si>
    <t>Проверяемая база фактов, на которой строятся гипотезы</t>
  </si>
  <si>
    <t>Косвенное подтверждение: факт есть, но связь с блоком бизнес-модели неочевидна</t>
  </si>
  <si>
    <t>По каждому конкуренту заполнить блоки бизнес-модели: сегменты, ценность, цифровой товар, каналы, отношения, доходы, ресурсы, деятельность, партнеры, издержки, данные</t>
  </si>
  <si>
    <t>Профиль бизнес-модели конкурента с оценкой полноты и доказательности</t>
  </si>
  <si>
    <t>Достаточное подтверждение: факт прямо указывает на элемент бизнес-модели</t>
  </si>
  <si>
    <t>Разложить предложение на ядро цифрового товара, ожидаемый уровень, расширенный уровень, потенциальное развитие и клиентский результат</t>
  </si>
  <si>
    <t>Понимание того, что фактически продается и за счет чего создается ценность</t>
  </si>
  <si>
    <t>Сильное подтверждение: несколько страниц или блоков сайта подтверждают один вывод</t>
  </si>
  <si>
    <t>Зафиксировать признаки ценовой модели, тарифы, пробный доступ, ограничения, платежные условия и логику получения выручки</t>
  </si>
  <si>
    <t>Вывод о потоках доходов и зрелости коммерческой модели</t>
  </si>
  <si>
    <t>Высокая доказательность: прямое описание, тариф, оферта, демонстрация, кейс или документация подтверждают вывод</t>
  </si>
  <si>
    <t>Выявить источники привлечения, точки конверсии, призывы к действию, контент, регистрацию, демонстрацию, заявки и продажи</t>
  </si>
  <si>
    <t>Понимание способа выхода на рынок и механики превращения посетителя в клиента</t>
  </si>
  <si>
    <t>Оценить ресурсы, процессы, данные, интеграции, партнеров, поддержку, признаки масштабируемости и операционных ограничений</t>
  </si>
  <si>
    <t>Оценка устойчивости и воспроизводимости бизнес-модели</t>
  </si>
  <si>
    <t>Поставить оценки по ключевым блокам, использовать веса и получить итоговый индекс силы бизнес-модели</t>
  </si>
  <si>
    <t>Рейтинг бизнес-моделей конкурентов</t>
  </si>
  <si>
    <t>Сгруппировать повторяющиеся практики и рассчитать долю конкурентов, у которых они присутствуют</t>
  </si>
  <si>
    <t>Отделение обязательного рыночного минимума от зон дифференциации</t>
  </si>
  <si>
    <t>Выделить преимущества конкурентов и оценить силу, трудность копирования, коммерческую значимость и доказательность</t>
  </si>
  <si>
    <t>Список проверяемых преимуществ и угроз</t>
  </si>
  <si>
    <t>Использовать сводный лист для контроля заполнения, рейтинга и общей интерпретации</t>
  </si>
  <si>
    <t>Сводная картина рынка и рекомендации к дальнейшему анализу</t>
  </si>
  <si>
    <t>Заполняется первым. Один конкурент – одна строка. ID используется во всех остальных листах</t>
  </si>
  <si>
    <t>Каждый вывод по бизнес-модели должен иметь источник: URL, наблюдаемый факт и уровень доказательности</t>
  </si>
  <si>
    <t>PlantUML Language Reference Guide; Mermaid User Guide; docs.mermaidchart.com; docs.eraser</t>
  </si>
  <si>
    <t>Заполняется на основе фактов с сайта. Полнота и доказательность рассчитываются автоматически</t>
  </si>
  <si>
    <t>Примечание: сначала заполните ID конкурента, затем восстановите блоки бизнес-модели на основе листа 03_Факты_сайта. Не заполняйте гипотезу без ссылок на доказательства</t>
  </si>
  <si>
    <t>Лист помогает отделить сам цифровой товар от упаковки, сервиса, каналов продажи и обещаний на сайте</t>
  </si>
  <si>
    <t>Фиксируются признаки получения выручки: тарифы, пробный доступ, условия оплаты, ограничения и коммерческая логика</t>
  </si>
  <si>
    <t>Анализируется, как сайт превращает посетителя в пользователя, лид или покупателя</t>
  </si>
  <si>
    <t>Лист фиксирует, за счет каких ресурсов, процессов, партнерств и данных конкурент поддерживает цифровой товар</t>
  </si>
  <si>
    <t>Повторяющиеся практики отделяются от настоящих конкурентных преимуществ. Порог стандарта можно корректировать в методике, базово используется 70%</t>
  </si>
  <si>
    <t>Оцениваются только преимущества, которые подтверждаются публичными фактами сайта или устойчивой совокупностью признаков</t>
  </si>
  <si>
    <t>Контроль заполнения, надежности выводов и рейтинга бизнес-моделей. Данные подтягиваются из рабочих листов</t>
  </si>
  <si>
    <t>Сколько объектов анализа внесено на лист 02_Конкуренты</t>
  </si>
  <si>
    <t>Сколько профилей можно использовать для итоговых выводов</t>
  </si>
  <si>
    <t>Контроль готовности исследования</t>
  </si>
  <si>
    <t>Насколько полно заполнены ключевые блоки бизнес-модели</t>
  </si>
  <si>
    <t>Насколько выводы подтверждены фактами с сайта</t>
  </si>
  <si>
    <t>Сопоставимая оценка по матрице бизнес-модели</t>
  </si>
  <si>
    <t>Сколько гипотез преимуществ внесено на лист 11_Преимущества</t>
  </si>
  <si>
    <t>Минимальный уровень, без которого товар или модель воспринимаются слабее рынка</t>
  </si>
  <si>
    <t>Практика уже заметна, но еще не стала обязательной</t>
  </si>
  <si>
    <t>Поле, где можно отличаться от конкурентов</t>
  </si>
  <si>
    <t>Требует дополнительной проверки до управленческого вывода</t>
  </si>
  <si>
    <t>Рыночный стандарт (порог шаблона 70 %): бесплатный доступ и интеграции (8 из 8), независимые отзывы (7 из 8), раздел о безопасности и документация (по 6 из 8)</t>
  </si>
  <si>
    <t>Преобладает условно-бесплатная модель: Free плюс подписка за пользователя или редактора в месяц (Mermaid Chart, Storm, Lucidchart, Eraser, Whimsical - 5 из 8); три инструмента бесплатны с открытым кодом (PlantUML, Mermaid, draw.io)</t>
  </si>
  <si>
    <t>Зона дифференциации по порогам шаблона: открытый код и сообщество (3 из 8). Формирующийся стандарт: подписка, открытая страница тарифов, ИИ, API, SSO, вход (по 5 из 8), корпоративный тариф, годовая оплата, гости, данные о числе клиентов (по 4 из 8). Слабые сигналы (по 1 из 8): пробный период (Lucidchart), тарифы в рублях (Storm); IDEF0, DFD и сети Петри на сайтах не найдены</t>
  </si>
  <si>
    <t>Сильнейшие по итогу матрицы с учётом надёжности: Lucidchart (4,52), Storm (StormBPMN) (4,05), Eraser (4,01); профили опираются на просмотренные страницы, доказательность 3,6-4,0</t>
  </si>
  <si>
    <t>Видимые элементы (тарифы, лимиты, отзывы) копировать можно; ресурсы (сообщество 90 489 звёзд Mermaid, 100M+ пользователей draw.io, Fortune 500 у Lucidchart) и партнёрства быстро не повторяются</t>
  </si>
  <si>
    <t>Лист 10_Стандарт, столбец E (Доля конкурентов): формула делила на ячейку 12_Сводка!B4 (заголовок «Значение»), поэтому доля везде была 0 и статус «слабый сигнал». Знаменатель заменён на 12_Сводка!B5 (число конкурентов в реестре); остальная логика сохранена</t>
  </si>
  <si>
    <t>Страницы тарифов, главные страницы, документация конкурентов: автоматическое извлечение текста 01.10.2026 и чтение во встроенном браузере (Lucidchart, тарифы Mermaid Chart); Similarweb Pro, GitHub, отзывы - ЛР1-ЛР4 (30.09.2026)</t>
  </si>
  <si>
    <t>8 конкурентов части B. Типы по справочнику 13_Справочники: PlantUML - прямой; Storm - смежная модель; Whimsical - заменитель; остальные - косвенные</t>
  </si>
  <si>
    <t>Доказательность 1-5: 5 - данные GitHub API и страницы тарифов SaaS-конкурентов; 4 - явное описание на странице, главная страница; 3 - найдено по ключевым словам или данным Similarweb</t>
  </si>
  <si>
    <t>Баллы 09_Матрица (1-5) - экспертная оценка силы подтверждения блока и положения на рынке; веса в строке 2 заданы шаблоном. Оценки 1-5 листов 06, 07, 08, 11 - экспертные</t>
  </si>
  <si>
    <t>Статус «завершен»: все 12 блоков заполнены; блоки деятельности, партнёров, затрат и сетевых эффектов основаны на косвенных признаках и гипотезах и помечены в тексте</t>
  </si>
  <si>
    <t>Страницы просмотрены с одного устройства и из одной страны; рекламные библиотеки и выдача поиска не проверялись (доступ закрыт). Планируется собрать: рекламные объявления, отзывы G2 и Capterra по Storm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</si>
</sst>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1"/>
      <name val="Carlito"/>
    </font>
    <font>
      <i/>
      <sz val="11"/>
      <color rgb="FF1F2937"/>
      <name val="Carlito"/>
    </font>
    <font>
      <b/>
      <sz val="11"/>
      <color rgb="FFFFFFFF"/>
      <name val="Carlito"/>
    </font>
    <font>
      <sz val="11"/>
      <color rgb="FF111827"/>
      <name val="Carlito"/>
    </font>
    <font>
      <i/>
      <sz val="11"/>
      <color rgb="FF78350F"/>
      <name val="Carlito"/>
    </font>
    <font>
      <b/>
      <i/>
      <sz val="11"/>
      <color rgb="FF1F2937"/>
      <name val="Carlito"/>
    </font>
    <font>
      <b/>
      <sz val="12"/>
      <color rgb="FF1F2937"/>
      <name val="Carlito"/>
    </font>
    <font>
      <b/>
      <sz val="11"/>
      <color rgb="FF1F2937"/>
      <name val="Carlito"/>
    </font>
    <font>
      <sz val="11"/>
      <color rgb="FF78350F"/>
      <name val="Carlito"/>
    </font>
    <font>
      <b/>
      <sz val="10"/>
      <color rgb="FFFFFFFF"/>
      <name val="Calibri"/>
    </font>
    <font>
      <sz val="10"/>
      <name val="Calibri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11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F3F4F6"/>
      </patternFill>
    </fill>
    <fill>
      <patternFill patternType="solid">
        <fgColor rgb="FF1F2937"/>
      </patternFill>
    </fill>
    <fill>
      <patternFill patternType="solid">
        <fgColor rgb="FFFFFFFF"/>
      </patternFill>
    </fill>
    <fill>
      <patternFill patternType="solid">
        <fgColor rgb="FFFFFBEB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CCFBF1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27">
    <xf numFmtId="0" fontId="0" fillId="0" borderId="0" xfId="0"/>
    <xf numFmtId="0" fontId="3" fillId="5" borderId="0" xfId="1" applyFont="1" applyFill="1" applyAlignment="1">
      <alignment vertical="top" wrapText="1"/>
    </xf>
    <xf numFmtId="49" fontId="3" fillId="5" borderId="0" xfId="1" applyNumberFormat="1" applyFont="1" applyFill="1" applyAlignment="1">
      <alignment vertical="top" wrapText="1"/>
    </xf>
    <xf numFmtId="0" fontId="3" fillId="7" borderId="0" xfId="1" applyFont="1" applyFill="1" applyAlignment="1">
      <alignment vertical="top" wrapText="1"/>
    </xf>
    <xf numFmtId="9" fontId="3" fillId="7" borderId="0" xfId="1" applyNumberFormat="1" applyFont="1" applyFill="1" applyAlignment="1">
      <alignment vertical="top" wrapText="1"/>
    </xf>
    <xf numFmtId="164" fontId="3" fillId="7" borderId="0" xfId="1" applyNumberFormat="1" applyFont="1" applyFill="1" applyAlignment="1">
      <alignment vertical="top" wrapText="1"/>
    </xf>
    <xf numFmtId="0" fontId="7" fillId="8" borderId="0" xfId="1" applyFont="1" applyFill="1" applyAlignment="1">
      <alignment vertical="top" wrapText="1"/>
    </xf>
    <xf numFmtId="164" fontId="3" fillId="5" borderId="0" xfId="1" applyNumberFormat="1" applyFont="1" applyFill="1" applyAlignment="1">
      <alignment vertical="top" wrapText="1"/>
    </xf>
    <xf numFmtId="0" fontId="8" fillId="6" borderId="0" xfId="1" applyFont="1" applyFill="1" applyAlignment="1">
      <alignment vertical="top" wrapText="1"/>
    </xf>
    <xf numFmtId="0" fontId="12" fillId="0" borderId="0" xfId="0" applyFont="1"/>
    <xf numFmtId="0" fontId="12" fillId="0" borderId="1" xfId="0" applyFont="1" applyBorder="1" applyAlignment="1">
      <alignment vertical="top" wrapText="1"/>
    </xf>
    <xf numFmtId="0" fontId="10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2" fillId="4" borderId="0" xfId="1" applyFont="1" applyFill="1" applyAlignment="1">
      <alignment horizontal="center" vertical="top" wrapText="1"/>
    </xf>
    <xf numFmtId="0" fontId="6" fillId="9" borderId="0" xfId="1" applyFont="1" applyFill="1" applyAlignment="1">
      <alignment horizontal="center" vertical="top" wrapText="1"/>
    </xf>
    <xf numFmtId="9" fontId="6" fillId="9" borderId="0" xfId="1" applyNumberFormat="1" applyFont="1" applyFill="1" applyAlignment="1">
      <alignment horizontal="center" vertical="top" wrapText="1"/>
    </xf>
    <xf numFmtId="164" fontId="6" fillId="9" borderId="0" xfId="1" applyNumberFormat="1" applyFont="1" applyFill="1" applyAlignment="1">
      <alignment horizontal="center" vertical="top" wrapText="1"/>
    </xf>
    <xf numFmtId="0" fontId="14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3" fillId="10" borderId="1" xfId="0" applyFont="1" applyFill="1" applyBorder="1" applyAlignment="1">
      <alignment vertical="top" wrapText="1"/>
    </xf>
    <xf numFmtId="0" fontId="9" fillId="2" borderId="0" xfId="1" applyFont="1" applyFill="1" applyAlignment="1">
      <alignment horizontal="left" vertical="top" wrapText="1"/>
    </xf>
    <xf numFmtId="0" fontId="4" fillId="6" borderId="0" xfId="1" applyFont="1" applyFill="1" applyAlignment="1">
      <alignment vertical="top" wrapText="1"/>
    </xf>
    <xf numFmtId="0" fontId="1" fillId="3" borderId="0" xfId="1" applyFont="1" applyFill="1" applyAlignment="1">
      <alignment vertical="top" wrapText="1"/>
    </xf>
    <xf numFmtId="0" fontId="8" fillId="6" borderId="0" xfId="1" applyFont="1" applyFill="1" applyAlignment="1">
      <alignment vertical="top" wrapText="1"/>
    </xf>
    <xf numFmtId="0" fontId="5" fillId="8" borderId="0" xfId="1" applyFont="1" applyFill="1" applyAlignment="1">
      <alignment vertical="top" wrapText="1"/>
    </xf>
    <xf numFmtId="9" fontId="5" fillId="8" borderId="0" xfId="1" applyNumberFormat="1" applyFont="1" applyFill="1" applyAlignment="1">
      <alignment vertical="top" wrapText="1"/>
    </xf>
    <xf numFmtId="0" fontId="2" fillId="4" borderId="0" xfId="1" applyFont="1" applyFill="1" applyAlignment="1">
      <alignment horizontal="center" vertical="top" wrapText="1"/>
    </xf>
  </cellXfs>
  <cellStyles count="2">
    <cellStyle name="Normal" xfId="1" xr:uid="{00000000-0005-0000-0000-000000000000}"/>
    <cellStyle name="Обычный" xfId="0" builtinId="0"/>
  </cellStyles>
  <dxfs count="170"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Итоговый балл</c:v>
          </c:tx>
          <c:invertIfNegative val="1"/>
          <c:cat>
            <c:strRef>
              <c:f>'12_Сводка'!$F$6:$F$15</c:f>
              <c:strCache>
                <c:ptCount val="8"/>
                <c:pt idx="0">
                  <c:v>Lucidchart</c:v>
                </c:pt>
                <c:pt idx="1">
                  <c:v>Storm (StormBPMN)</c:v>
                </c:pt>
                <c:pt idx="2">
                  <c:v>Eraser</c:v>
                </c:pt>
                <c:pt idx="3">
                  <c:v>draw.io (diagrams.net)</c:v>
                </c:pt>
                <c:pt idx="4">
                  <c:v>Mermaid Chart</c:v>
                </c:pt>
                <c:pt idx="5">
                  <c:v>Whimsical</c:v>
                </c:pt>
                <c:pt idx="6">
                  <c:v>Mermaid (библиотека)</c:v>
                </c:pt>
                <c:pt idx="7">
                  <c:v>PlantUML</c:v>
                </c:pt>
              </c:strCache>
            </c:strRef>
          </c:cat>
          <c:val>
            <c:numRef>
              <c:f>'12_Сводка'!$G$6:$G$15</c:f>
              <c:numCache>
                <c:formatCode>0.0</c:formatCode>
                <c:ptCount val="10"/>
                <c:pt idx="0">
                  <c:v>4.5175833333333344</c:v>
                </c:pt>
                <c:pt idx="1">
                  <c:v>4.0482857142857149</c:v>
                </c:pt>
                <c:pt idx="2">
                  <c:v>4.0060000000000002</c:v>
                </c:pt>
                <c:pt idx="3">
                  <c:v>3.9902499999999996</c:v>
                </c:pt>
                <c:pt idx="4">
                  <c:v>3.9760952380952386</c:v>
                </c:pt>
                <c:pt idx="5">
                  <c:v>3.9220000000000002</c:v>
                </c:pt>
                <c:pt idx="6">
                  <c:v>3.8144285714285715</c:v>
                </c:pt>
                <c:pt idx="7">
                  <c:v>3.5985714285714288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23-4921-A952-D895DB155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16</xdr:row>
      <xdr:rowOff>0</xdr:rowOff>
    </xdr:from>
    <xdr:to>
      <xdr:col>10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structionTable" displayName="InstructionTable" ref="A4:D15" headerRowDxfId="169" dataDxfId="168" totalsRowDxfId="167">
  <tableColumns count="4">
    <tableColumn id="1" xr3:uid="{00000000-0010-0000-0000-000001000000}" name="Этап" dataDxfId="166"/>
    <tableColumn id="2" xr3:uid="{00000000-0010-0000-0000-000002000000}" name="Что сделать" dataDxfId="165"/>
    <tableColumn id="3" xr3:uid="{00000000-0010-0000-0000-000003000000}" name="Где заполнять" dataDxfId="164"/>
    <tableColumn id="4" xr3:uid="{00000000-0010-0000-0000-000004000000}" name="Результат" dataDxfId="16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mpetitorsTable" displayName="CompetitorsTable" ref="A3:K11" headerRowDxfId="162" dataDxfId="161" totalsRowDxfId="160">
  <tableColumns count="11">
    <tableColumn id="1" xr3:uid="{00000000-0010-0000-0100-000001000000}" name="ID" dataDxfId="159"/>
    <tableColumn id="2" xr3:uid="{00000000-0010-0000-0100-000002000000}" name="Название конкурента" dataDxfId="158"/>
    <tableColumn id="3" xr3:uid="{00000000-0010-0000-0100-000003000000}" name="Сайт" dataDxfId="157"/>
    <tableColumn id="4" xr3:uid="{00000000-0010-0000-0100-000004000000}" name="Сегмент" dataDxfId="156"/>
    <tableColumn id="5" xr3:uid="{00000000-0010-0000-0100-000005000000}" name="Тип конкурента" dataDxfId="155"/>
    <tableColumn id="6" xr3:uid="{00000000-0010-0000-0100-000006000000}" name="География" dataDxfId="154"/>
    <tableColumn id="7" xr3:uid="{00000000-0010-0000-0100-000007000000}" name="Приоритет" dataDxfId="153"/>
    <tableColumn id="8" xr3:uid="{00000000-0010-0000-0100-000008000000}" name="Статус анализа" dataDxfId="152"/>
    <tableColumn id="9" xr3:uid="{00000000-0010-0000-0100-000009000000}" name="Дата фиксации" dataDxfId="151"/>
    <tableColumn id="10" xr3:uid="{00000000-0010-0000-0100-00000A000000}" name="Ответственный" dataDxfId="150"/>
    <tableColumn id="11" xr3:uid="{00000000-0010-0000-0100-00000B000000}" name="Примечание" dataDxfId="1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actsTable" displayName="FactsTable" ref="A3:L148" headerRowDxfId="148" dataDxfId="147" totalsRowDxfId="146">
  <tableColumns count="12">
    <tableColumn id="1" xr3:uid="{00000000-0010-0000-0200-000001000000}" name="Факт_ID" dataDxfId="145"/>
    <tableColumn id="2" xr3:uid="{00000000-0010-0000-0200-000002000000}" name="ID конкурента" dataDxfId="144"/>
    <tableColumn id="3" xr3:uid="{00000000-0010-0000-0200-000003000000}" name="Название" dataDxfId="143"/>
    <tableColumn id="4" xr3:uid="{00000000-0010-0000-0200-000004000000}" name="Раздел сайта" dataDxfId="142"/>
    <tableColumn id="5" xr3:uid="{00000000-0010-0000-0200-000005000000}" name="URL" dataDxfId="141"/>
    <tableColumn id="6" xr3:uid="{00000000-0010-0000-0200-000006000000}" name="Блок/страница" dataDxfId="140"/>
    <tableColumn id="7" xr3:uid="{00000000-0010-0000-0200-000007000000}" name="Наблюдаемый факт" dataDxfId="139"/>
    <tableColumn id="8" xr3:uid="{00000000-0010-0000-0200-000008000000}" name="Элемент бизнес-модели" dataDxfId="138"/>
    <tableColumn id="9" xr3:uid="{00000000-0010-0000-0200-000009000000}" name="Доказательность 1-5" dataDxfId="137"/>
    <tableColumn id="10" xr3:uid="{00000000-0010-0000-0200-00000A000000}" name="Дата фиксации" dataDxfId="136"/>
    <tableColumn id="11" xr3:uid="{00000000-0010-0000-0200-00000B000000}" name="Цитата/скриншот" dataDxfId="135"/>
    <tableColumn id="12" xr3:uid="{00000000-0010-0000-0200-00000C000000}" name="Аналитический вывод" dataDxfId="1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usinessModelTable" displayName="BusinessModelTable" ref="A3:Q203" headerRowDxfId="133" dataDxfId="132" totalsRowDxfId="131">
  <tableColumns count="17">
    <tableColumn id="1" xr3:uid="{00000000-0010-0000-0300-000001000000}" name="ID конкурента" dataDxfId="130"/>
    <tableColumn id="2" xr3:uid="{00000000-0010-0000-0300-000002000000}" name="Название" dataDxfId="129"/>
    <tableColumn id="3" xr3:uid="{00000000-0010-0000-0300-000003000000}" name="Целевые сегменты" dataDxfId="128"/>
    <tableColumn id="4" xr3:uid="{00000000-0010-0000-0300-000004000000}" name="Ценностное предложение" dataDxfId="127"/>
    <tableColumn id="5" xr3:uid="{00000000-0010-0000-0300-000005000000}" name="Цифровой товар" dataDxfId="126"/>
    <tableColumn id="6" xr3:uid="{00000000-0010-0000-0300-000006000000}" name="Каналы" dataDxfId="125"/>
    <tableColumn id="7" xr3:uid="{00000000-0010-0000-0300-000007000000}" name="Отношения с клиентами" dataDxfId="124"/>
    <tableColumn id="8" xr3:uid="{00000000-0010-0000-0300-000008000000}" name="Потоки доходов" dataDxfId="123"/>
    <tableColumn id="9" xr3:uid="{00000000-0010-0000-0300-000009000000}" name="Ключевые ресурсы" dataDxfId="122"/>
    <tableColumn id="10" xr3:uid="{00000000-0010-0000-0300-00000A000000}" name="Ключевые виды деятельности" dataDxfId="121"/>
    <tableColumn id="11" xr3:uid="{00000000-0010-0000-0300-00000B000000}" name="Ключевые партнеры" dataDxfId="120"/>
    <tableColumn id="12" xr3:uid="{00000000-0010-0000-0300-00000C000000}" name="Структура затрат" dataDxfId="119"/>
    <tableColumn id="13" xr3:uid="{00000000-0010-0000-0300-00000D000000}" name="Данные и сетевые эффекты" dataDxfId="118"/>
    <tableColumn id="14" xr3:uid="{00000000-0010-0000-0300-00000E000000}" name="Главная гипотеза бизнес-модели" dataDxfId="117"/>
    <tableColumn id="15" xr3:uid="{00000000-0010-0000-0300-00000F000000}" name="Полнота профиля" dataDxfId="116"/>
    <tableColumn id="16" xr3:uid="{00000000-0010-0000-0300-000010000000}" name="Средняя доказательность" dataDxfId="115"/>
    <tableColumn id="17" xr3:uid="{00000000-0010-0000-0300-000011000000}" name="Качество профиля" dataDxfId="1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oductValueTable" displayName="ProductValueTable" ref="A3:M11" headerRowDxfId="113" dataDxfId="112" totalsRowDxfId="111">
  <tableColumns count="13">
    <tableColumn id="1" xr3:uid="{00000000-0010-0000-0400-000001000000}" name="ID конкурента" dataDxfId="110"/>
    <tableColumn id="2" xr3:uid="{00000000-0010-0000-0400-000002000000}" name="Название" dataDxfId="109"/>
    <tableColumn id="3" xr3:uid="{00000000-0010-0000-0400-000003000000}" name="Ядро цифрового товара" dataDxfId="108"/>
    <tableColumn id="4" xr3:uid="{00000000-0010-0000-0400-000004000000}" name="Базовое предложение" dataDxfId="107"/>
    <tableColumn id="5" xr3:uid="{00000000-0010-0000-0400-000005000000}" name="Ожидаемый уровень" dataDxfId="106"/>
    <tableColumn id="6" xr3:uid="{00000000-0010-0000-0400-000006000000}" name="Расширенный уровень" dataDxfId="105"/>
    <tableColumn id="7" xr3:uid="{00000000-0010-0000-0400-000007000000}" name="Потенциальное развитие" dataDxfId="104"/>
    <tableColumn id="8" xr3:uid="{00000000-0010-0000-0400-000008000000}" name="Клиентская проблема" dataDxfId="103"/>
    <tableColumn id="9" xr3:uid="{00000000-0010-0000-0400-000009000000}" name="Клиентский результат" dataDxfId="102"/>
    <tableColumn id="10" xr3:uid="{00000000-0010-0000-0400-00000A000000}" name="Задача клиента" dataDxfId="101"/>
    <tableColumn id="11" xr3:uid="{00000000-0010-0000-0400-00000B000000}" name="Отличие от рынка" dataDxfId="100"/>
    <tableColumn id="12" xr3:uid="{00000000-0010-0000-0400-00000C000000}" name="Подтверждающие страницы" dataDxfId="99"/>
    <tableColumn id="13" xr3:uid="{00000000-0010-0000-0400-00000D000000}" name="Вывод о роли товара в бизнес-модели" dataDxfId="9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onetizationTable" displayName="MonetizationTable" ref="A3:N11" headerRowDxfId="97" dataDxfId="96" totalsRowDxfId="95">
  <tableColumns count="14">
    <tableColumn id="1" xr3:uid="{00000000-0010-0000-0500-000001000000}" name="ID конкурента" dataDxfId="94"/>
    <tableColumn id="2" xr3:uid="{00000000-0010-0000-0500-000002000000}" name="Название" dataDxfId="93"/>
    <tableColumn id="3" xr3:uid="{00000000-0010-0000-0500-000003000000}" name="Модель монетизации" dataDxfId="92"/>
    <tableColumn id="4" xr3:uid="{00000000-0010-0000-0500-000004000000}" name="Страница с тарифами/ценой" dataDxfId="91"/>
    <tableColumn id="5" xr3:uid="{00000000-0010-0000-0500-000005000000}" name="Наличие бесплатного уровня" dataDxfId="90"/>
    <tableColumn id="6" xr3:uid="{00000000-0010-0000-0500-000006000000}" name="Пробный доступ" dataDxfId="89"/>
    <tableColumn id="7" xr3:uid="{00000000-0010-0000-0500-000007000000}" name="Тарифные уровни" dataDxfId="88"/>
    <tableColumn id="8" xr3:uid="{00000000-0010-0000-0500-000008000000}" name="Единица оплаты" dataDxfId="87"/>
    <tableColumn id="9" xr3:uid="{00000000-0010-0000-0500-000009000000}" name="Ограничения тарифа" dataDxfId="86"/>
    <tableColumn id="10" xr3:uid="{00000000-0010-0000-0500-00000A000000}" name="Платежная периодичность" dataDxfId="85"/>
    <tableColumn id="11" xr3:uid="{00000000-0010-0000-0500-00000B000000}" name="Признаки корпоративных продаж" dataDxfId="84"/>
    <tableColumn id="12" xr3:uid="{00000000-0010-0000-0500-00000C000000}" name="Прозрачность цены 1-5" dataDxfId="83"/>
    <tableColumn id="13" xr3:uid="{00000000-0010-0000-0500-00000D000000}" name="Гибкость модели 1-5" dataDxfId="82"/>
    <tableColumn id="14" xr3:uid="{00000000-0010-0000-0500-00000E000000}" name="Вывод о потоках доходов" dataDxfId="8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hannelsTable" displayName="ChannelsTable" ref="A3:N11" headerRowDxfId="80" dataDxfId="79" totalsRowDxfId="78">
  <tableColumns count="14">
    <tableColumn id="1" xr3:uid="{00000000-0010-0000-0600-000001000000}" name="ID конкурента" dataDxfId="77"/>
    <tableColumn id="2" xr3:uid="{00000000-0010-0000-0600-000002000000}" name="Название" dataDxfId="76"/>
    <tableColumn id="3" xr3:uid="{00000000-0010-0000-0600-000003000000}" name="Главные каналы привлечения" dataDxfId="75"/>
    <tableColumn id="4" xr3:uid="{00000000-0010-0000-0600-000004000000}" name="Контентная стратегия" dataDxfId="74"/>
    <tableColumn id="5" xr3:uid="{00000000-0010-0000-0600-000005000000}" name="Поисковая видимость по сайту" dataDxfId="73"/>
    <tableColumn id="6" xr3:uid="{00000000-0010-0000-0600-000006000000}" name="Призыв к действию" dataDxfId="72"/>
    <tableColumn id="7" xr3:uid="{00000000-0010-0000-0600-000007000000}" name="Первичная конверсия" dataDxfId="71"/>
    <tableColumn id="8" xr3:uid="{00000000-0010-0000-0600-000008000000}" name="Тип воронки" dataDxfId="70"/>
    <tableColumn id="9" xr3:uid="{00000000-0010-0000-0600-000009000000}" name="Регистрация/заявка" dataDxfId="69"/>
    <tableColumn id="10" xr3:uid="{00000000-0010-0000-0600-00000A000000}" name="Демонстрация/пробный доступ" dataDxfId="68"/>
    <tableColumn id="11" xr3:uid="{00000000-0010-0000-0600-00000B000000}" name="Доверительные элементы" dataDxfId="67"/>
    <tableColumn id="12" xr3:uid="{00000000-0010-0000-0600-00000C000000}" name="Сложность пути клиента 1-5" dataDxfId="66"/>
    <tableColumn id="13" xr3:uid="{00000000-0010-0000-0600-00000D000000}" name="Сила воронки 1-5" dataDxfId="65"/>
    <tableColumn id="14" xr3:uid="{00000000-0010-0000-0600-00000E000000}" name="Вывод о рынке и каналах" dataDxfId="6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OpsModelTable" displayName="OpsModelTable" ref="A3:N11" headerRowDxfId="63" dataDxfId="62" totalsRowDxfId="61">
  <tableColumns count="14">
    <tableColumn id="1" xr3:uid="{00000000-0010-0000-0700-000001000000}" name="ID конкурента" dataDxfId="60"/>
    <tableColumn id="2" xr3:uid="{00000000-0010-0000-0700-000002000000}" name="Название" dataDxfId="59"/>
    <tableColumn id="3" xr3:uid="{00000000-0010-0000-0700-000003000000}" name="Ключевые ресурсы" dataDxfId="58"/>
    <tableColumn id="4" xr3:uid="{00000000-0010-0000-0700-000004000000}" name="Ключевые процессы" dataDxfId="57"/>
    <tableColumn id="5" xr3:uid="{00000000-0010-0000-0700-000005000000}" name="Технологические признаки на сайте" dataDxfId="56"/>
    <tableColumn id="6" xr3:uid="{00000000-0010-0000-0700-000006000000}" name="Использование данных" dataDxfId="55"/>
    <tableColumn id="7" xr3:uid="{00000000-0010-0000-0700-000007000000}" name="Интеграции" dataDxfId="54"/>
    <tableColumn id="8" xr3:uid="{00000000-0010-0000-0700-000008000000}" name="Партнеры" dataDxfId="53"/>
    <tableColumn id="9" xr3:uid="{00000000-0010-0000-0700-000009000000}" name="Поддержка и сервис" dataDxfId="52"/>
    <tableColumn id="10" xr3:uid="{00000000-0010-0000-0700-00000A000000}" name="Признаки структуры затрат" dataDxfId="51"/>
    <tableColumn id="11" xr3:uid="{00000000-0010-0000-0700-00000B000000}" name="Масштабируемость 1-5" dataDxfId="50"/>
    <tableColumn id="12" xr3:uid="{00000000-0010-0000-0700-00000C000000}" name="Трудность копирования 1-5" dataDxfId="49"/>
    <tableColumn id="13" xr3:uid="{00000000-0010-0000-0700-00000D000000}" name="Операционный риск" dataDxfId="48"/>
    <tableColumn id="14" xr3:uid="{00000000-0010-0000-0700-00000E000000}" name="Вывод об устойчивости модели" dataDxfId="4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coreMatrixTable" displayName="ScoreMatrixTable" ref="A3:Q11" headerRowDxfId="46" dataDxfId="45" totalsRowDxfId="44">
  <tableColumns count="17">
    <tableColumn id="1" xr3:uid="{00000000-0010-0000-0800-000001000000}" name="ID конкурента" dataDxfId="43"/>
    <tableColumn id="2" xr3:uid="{00000000-0010-0000-0800-000002000000}" name="Название" dataDxfId="42"/>
    <tableColumn id="3" xr3:uid="{00000000-0010-0000-0800-000003000000}" name="Сегменты" dataDxfId="41"/>
    <tableColumn id="4" xr3:uid="{00000000-0010-0000-0800-000004000000}" name="Ценность" dataDxfId="40"/>
    <tableColumn id="5" xr3:uid="{00000000-0010-0000-0800-000005000000}" name="Товар" dataDxfId="39"/>
    <tableColumn id="6" xr3:uid="{00000000-0010-0000-0800-000006000000}" name="Каналы" dataDxfId="38"/>
    <tableColumn id="7" xr3:uid="{00000000-0010-0000-0800-000007000000}" name="Отношения" dataDxfId="37"/>
    <tableColumn id="8" xr3:uid="{00000000-0010-0000-0800-000008000000}" name="Доходы" dataDxfId="36"/>
    <tableColumn id="9" xr3:uid="{00000000-0010-0000-0800-000009000000}" name="Ресурсы" dataDxfId="35"/>
    <tableColumn id="10" xr3:uid="{00000000-0010-0000-0800-00000A000000}" name="Партнеры" dataDxfId="34"/>
    <tableColumn id="11" xr3:uid="{00000000-0010-0000-0800-00000B000000}" name="Данные/сеть" dataDxfId="33"/>
    <tableColumn id="12" xr3:uid="{00000000-0010-0000-0800-00000C000000}" name="Масштаб" dataDxfId="32"/>
    <tableColumn id="13" xr3:uid="{00000000-0010-0000-0800-00000D000000}" name="Защищенность" dataDxfId="31"/>
    <tableColumn id="14" xr3:uid="{00000000-0010-0000-0800-00000E000000}" name="Индекс силы" dataDxfId="30"/>
    <tableColumn id="15" xr3:uid="{00000000-0010-0000-0800-00000F000000}" name="Доказательность" dataDxfId="29"/>
    <tableColumn id="16" xr3:uid="{00000000-0010-0000-0800-000010000000}" name="Полнота" dataDxfId="28"/>
    <tableColumn id="17" xr3:uid="{00000000-0010-0000-0800-000011000000}" name="Итог с учетом надежности" dataDxfId="2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MarketStandardTable" displayName="MarketStandardTable" ref="A3:H22" headerRowDxfId="26" dataDxfId="25" totalsRowDxfId="24">
  <tableColumns count="8">
    <tableColumn id="1" xr3:uid="{00000000-0010-0000-0900-000001000000}" name="Практика/элемент" dataDxfId="23"/>
    <tableColumn id="2" xr3:uid="{00000000-0010-0000-0900-000002000000}" name="Блок бизнес-модели" dataDxfId="22"/>
    <tableColumn id="3" xr3:uid="{00000000-0010-0000-0900-000003000000}" name="Описание признака" dataDxfId="21"/>
    <tableColumn id="4" xr3:uid="{00000000-0010-0000-0900-000004000000}" name="Кол-во конкурентов с признаком" dataDxfId="20"/>
    <tableColumn id="5" xr3:uid="{00000000-0010-0000-0900-000005000000}" name="Доля конкурентов" dataDxfId="19"/>
    <tableColumn id="6" xr3:uid="{00000000-0010-0000-0900-000006000000}" name="Статус" dataDxfId="18"/>
    <tableColumn id="7" xr3:uid="{00000000-0010-0000-0900-000007000000}" name="Управленческий вывод" dataDxfId="17"/>
    <tableColumn id="8" xr3:uid="{00000000-0010-0000-0900-000008000000}" name="Подтверждающие URL/факты" dataDxfId="1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AdvantagesTable" displayName="AdvantagesTable" ref="A3:M11" headerRowDxfId="15" dataDxfId="14" totalsRowDxfId="13">
  <tableColumns count="13">
    <tableColumn id="1" xr3:uid="{00000000-0010-0000-0A00-000001000000}" name="ID конкурента" dataDxfId="12"/>
    <tableColumn id="2" xr3:uid="{00000000-0010-0000-0A00-000002000000}" name="Название" dataDxfId="11"/>
    <tableColumn id="3" xr3:uid="{00000000-0010-0000-0A00-000003000000}" name="Гипотеза преимущества" dataDxfId="10"/>
    <tableColumn id="4" xr3:uid="{00000000-0010-0000-0A00-000004000000}" name="Тип преимущества" dataDxfId="9"/>
    <tableColumn id="5" xr3:uid="{00000000-0010-0000-0A00-000005000000}" name="Связанный блок бизнес-модели" dataDxfId="8"/>
    <tableColumn id="6" xr3:uid="{00000000-0010-0000-0A00-000006000000}" name="Подтверждающие страницы" dataDxfId="7"/>
    <tableColumn id="7" xr3:uid="{00000000-0010-0000-0A00-000007000000}" name="Сила 1-5" dataDxfId="6"/>
    <tableColumn id="8" xr3:uid="{00000000-0010-0000-0A00-000008000000}" name="Трудность копирования 1-5" dataDxfId="5"/>
    <tableColumn id="9" xr3:uid="{00000000-0010-0000-0A00-000009000000}" name="Коммерческая значимость 1-5" dataDxfId="4"/>
    <tableColumn id="10" xr3:uid="{00000000-0010-0000-0A00-00000A000000}" name="Доказательность 1-5" dataDxfId="3"/>
    <tableColumn id="11" xr3:uid="{00000000-0010-0000-0A00-00000B000000}" name="Итоговый балл" dataDxfId="2"/>
    <tableColumn id="12" xr3:uid="{00000000-0010-0000-0A00-00000C000000}" name="Интерпретация" dataDxfId="1"/>
    <tableColumn id="13" xr3:uid="{00000000-0010-0000-0A00-00000D000000}" name="Риск для нашей модели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"/>
  <sheetViews>
    <sheetView tabSelected="1" workbookViewId="0">
      <selection sqref="A1:H1"/>
    </sheetView>
  </sheetViews>
  <sheetFormatPr defaultRowHeight="14.25"/>
  <cols>
    <col min="1" max="1" width="55.625" customWidth="1"/>
    <col min="2" max="3" width="24" customWidth="1"/>
    <col min="4" max="4" width="28.625" customWidth="1"/>
    <col min="5" max="5" width="25.625" customWidth="1"/>
    <col min="6" max="6" width="27.625" customWidth="1"/>
    <col min="7" max="7" width="25.625" customWidth="1"/>
    <col min="8" max="8" width="24.625" customWidth="1"/>
    <col min="9" max="9" width="24" customWidth="1"/>
    <col min="10" max="26" width="9.625" customWidth="1"/>
  </cols>
  <sheetData>
    <row r="1" spans="1:26">
      <c r="A1" s="20" t="s">
        <v>0</v>
      </c>
      <c r="B1" s="20"/>
      <c r="C1" s="20"/>
      <c r="D1" s="20"/>
      <c r="E1" s="20"/>
      <c r="F1" s="20"/>
      <c r="G1" s="20"/>
      <c r="H1" s="20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1" t="s">
        <v>901</v>
      </c>
      <c r="B2" s="21"/>
      <c r="C2" s="21"/>
      <c r="D2" s="21"/>
      <c r="E2" s="21"/>
      <c r="F2" s="21"/>
      <c r="G2" s="21"/>
      <c r="H2" s="21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30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  <c r="I3" s="13" t="s">
        <v>9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27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  <c r="H6" s="1" t="s">
        <v>35</v>
      </c>
      <c r="I6" s="1" t="s">
        <v>36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>
      <c r="A7" s="1" t="s">
        <v>37</v>
      </c>
      <c r="B7" s="12"/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44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>
      <c r="A8" s="1" t="s">
        <v>45</v>
      </c>
      <c r="B8" s="12"/>
      <c r="C8" s="12"/>
      <c r="D8" s="1" t="s">
        <v>46</v>
      </c>
      <c r="E8" s="1" t="s">
        <v>47</v>
      </c>
      <c r="F8" s="1" t="s">
        <v>48</v>
      </c>
      <c r="G8" s="1" t="s">
        <v>49</v>
      </c>
      <c r="H8" s="1" t="s">
        <v>50</v>
      </c>
      <c r="I8" s="1" t="s">
        <v>51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>
      <c r="A9" s="12"/>
      <c r="B9" s="12"/>
      <c r="C9" s="12"/>
      <c r="D9" s="1" t="s">
        <v>52</v>
      </c>
      <c r="E9" s="12"/>
      <c r="F9" s="1" t="s">
        <v>53</v>
      </c>
      <c r="G9" s="1" t="s">
        <v>54</v>
      </c>
      <c r="H9" s="12"/>
      <c r="I9" s="1" t="s">
        <v>55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12"/>
      <c r="B10" s="12"/>
      <c r="C10" s="12"/>
      <c r="D10" s="1" t="s">
        <v>56</v>
      </c>
      <c r="E10" s="12"/>
      <c r="F10" s="1" t="s">
        <v>57</v>
      </c>
      <c r="G10" s="1" t="s">
        <v>58</v>
      </c>
      <c r="H10" s="12"/>
      <c r="I10" s="1" t="s">
        <v>59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>
      <c r="A11" s="12"/>
      <c r="B11" s="12"/>
      <c r="C11" s="12"/>
      <c r="D11" s="1" t="s">
        <v>60</v>
      </c>
      <c r="E11" s="12"/>
      <c r="F11" s="1" t="s">
        <v>61</v>
      </c>
      <c r="G11" s="1" t="s">
        <v>62</v>
      </c>
      <c r="H11" s="12"/>
      <c r="I11" s="1" t="s">
        <v>63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12"/>
      <c r="B12" s="12"/>
      <c r="C12" s="12"/>
      <c r="D12" s="1" t="s">
        <v>64</v>
      </c>
      <c r="E12" s="12"/>
      <c r="F12" s="1" t="s">
        <v>65</v>
      </c>
      <c r="G12" s="12"/>
      <c r="H12" s="12"/>
      <c r="I12" s="1" t="s">
        <v>66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12"/>
      <c r="B13" s="12"/>
      <c r="C13" s="12"/>
      <c r="D13" s="1" t="s">
        <v>67</v>
      </c>
      <c r="E13" s="12"/>
      <c r="F13" s="1" t="s">
        <v>68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12"/>
      <c r="B14" s="12"/>
      <c r="C14" s="12"/>
      <c r="D14" s="1" t="s">
        <v>69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12"/>
      <c r="B15" s="12"/>
      <c r="C15" s="12"/>
      <c r="D15" s="1" t="s">
        <v>70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5"/>
  <sheetViews>
    <sheetView workbookViewId="0"/>
  </sheetViews>
  <sheetFormatPr defaultRowHeight="14.25"/>
  <cols>
    <col min="1" max="2" width="55.625" customWidth="1"/>
    <col min="3" max="3" width="24" customWidth="1"/>
    <col min="4" max="4" width="55.625" customWidth="1"/>
    <col min="5" max="5" width="9.625" customWidth="1"/>
    <col min="6" max="6" width="10" customWidth="1"/>
    <col min="7" max="7" width="55.625" customWidth="1"/>
    <col min="8" max="26" width="9.625" customWidth="1"/>
  </cols>
  <sheetData>
    <row r="1" spans="1:26" ht="15" customHeight="1">
      <c r="A1" s="20" t="s">
        <v>71</v>
      </c>
      <c r="B1" s="20"/>
      <c r="C1" s="20"/>
      <c r="D1" s="20"/>
      <c r="E1" s="20"/>
      <c r="F1" s="20"/>
      <c r="G1" s="20"/>
      <c r="H1" s="20"/>
      <c r="I1" s="20"/>
      <c r="J1" s="20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2" t="s">
        <v>902</v>
      </c>
      <c r="B2" s="22"/>
      <c r="C2" s="22"/>
      <c r="D2" s="22"/>
      <c r="E2" s="22"/>
      <c r="F2" s="22"/>
      <c r="G2" s="22"/>
      <c r="H2" s="22"/>
      <c r="I2" s="22"/>
      <c r="J2" s="2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>
      <c r="A4" s="13" t="s">
        <v>72</v>
      </c>
      <c r="B4" s="13" t="s">
        <v>73</v>
      </c>
      <c r="C4" s="13" t="s">
        <v>74</v>
      </c>
      <c r="D4" s="13" t="s">
        <v>75</v>
      </c>
      <c r="E4" s="12"/>
      <c r="F4" s="13" t="s">
        <v>76</v>
      </c>
      <c r="G4" s="13" t="s">
        <v>77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28.5">
      <c r="A5" s="1" t="s">
        <v>78</v>
      </c>
      <c r="B5" s="1" t="s">
        <v>903</v>
      </c>
      <c r="C5" s="1" t="s">
        <v>79</v>
      </c>
      <c r="D5" s="1" t="s">
        <v>904</v>
      </c>
      <c r="E5" s="12"/>
      <c r="F5" s="1" t="s">
        <v>14</v>
      </c>
      <c r="G5" s="1" t="s">
        <v>905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28.5">
      <c r="A6" s="1" t="s">
        <v>80</v>
      </c>
      <c r="B6" s="1" t="s">
        <v>906</v>
      </c>
      <c r="C6" s="1" t="s">
        <v>81</v>
      </c>
      <c r="D6" s="1" t="s">
        <v>907</v>
      </c>
      <c r="E6" s="12"/>
      <c r="F6" s="1" t="s">
        <v>23</v>
      </c>
      <c r="G6" s="1" t="s">
        <v>908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42.75">
      <c r="A7" s="1" t="s">
        <v>82</v>
      </c>
      <c r="B7" s="1" t="s">
        <v>909</v>
      </c>
      <c r="C7" s="1" t="s">
        <v>83</v>
      </c>
      <c r="D7" s="1" t="s">
        <v>910</v>
      </c>
      <c r="E7" s="12"/>
      <c r="F7" s="1" t="s">
        <v>32</v>
      </c>
      <c r="G7" s="1" t="s">
        <v>911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42.75">
      <c r="A8" s="1" t="s">
        <v>84</v>
      </c>
      <c r="B8" s="1" t="s">
        <v>912</v>
      </c>
      <c r="C8" s="1" t="s">
        <v>85</v>
      </c>
      <c r="D8" s="1" t="s">
        <v>913</v>
      </c>
      <c r="E8" s="12"/>
      <c r="F8" s="1" t="s">
        <v>40</v>
      </c>
      <c r="G8" s="1" t="s">
        <v>914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42.75">
      <c r="A9" s="1" t="s">
        <v>86</v>
      </c>
      <c r="B9" s="1" t="s">
        <v>915</v>
      </c>
      <c r="C9" s="1" t="s">
        <v>87</v>
      </c>
      <c r="D9" s="1" t="s">
        <v>916</v>
      </c>
      <c r="E9" s="12"/>
      <c r="F9" s="1" t="s">
        <v>47</v>
      </c>
      <c r="G9" s="1" t="s">
        <v>917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42.75">
      <c r="A10" s="1" t="s">
        <v>88</v>
      </c>
      <c r="B10" s="1" t="s">
        <v>918</v>
      </c>
      <c r="C10" s="1" t="s">
        <v>89</v>
      </c>
      <c r="D10" s="1" t="s">
        <v>919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42.75">
      <c r="A11" s="1" t="s">
        <v>90</v>
      </c>
      <c r="B11" s="1" t="s">
        <v>920</v>
      </c>
      <c r="C11" s="1" t="s">
        <v>91</v>
      </c>
      <c r="D11" s="1" t="s">
        <v>921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28.5">
      <c r="A12" s="1" t="s">
        <v>92</v>
      </c>
      <c r="B12" s="1" t="s">
        <v>922</v>
      </c>
      <c r="C12" s="1" t="s">
        <v>93</v>
      </c>
      <c r="D12" s="1" t="s">
        <v>923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28.5">
      <c r="A13" s="1" t="s">
        <v>94</v>
      </c>
      <c r="B13" s="1" t="s">
        <v>924</v>
      </c>
      <c r="C13" s="1" t="s">
        <v>95</v>
      </c>
      <c r="D13" s="1" t="s">
        <v>925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42.75">
      <c r="A14" s="1" t="s">
        <v>96</v>
      </c>
      <c r="B14" s="1" t="s">
        <v>926</v>
      </c>
      <c r="C14" s="1" t="s">
        <v>97</v>
      </c>
      <c r="D14" s="1" t="s">
        <v>927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28.5">
      <c r="A15" s="1" t="s">
        <v>98</v>
      </c>
      <c r="B15" s="1" t="s">
        <v>928</v>
      </c>
      <c r="C15" s="1" t="s">
        <v>99</v>
      </c>
      <c r="D15" s="1" t="s">
        <v>929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1"/>
  <sheetViews>
    <sheetView workbookViewId="0"/>
  </sheetViews>
  <sheetFormatPr defaultRowHeight="14.25"/>
  <cols>
    <col min="1" max="1" width="55.625" customWidth="1"/>
    <col min="2" max="2" width="24.625" customWidth="1"/>
    <col min="3" max="3" width="34" customWidth="1"/>
    <col min="4" max="4" width="48.625" customWidth="1"/>
    <col min="5" max="5" width="24" customWidth="1"/>
    <col min="6" max="6" width="55.625" customWidth="1"/>
    <col min="7" max="7" width="14" customWidth="1"/>
    <col min="8" max="8" width="18" customWidth="1"/>
    <col min="9" max="9" width="16" customWidth="1"/>
    <col min="10" max="10" width="18" customWidth="1"/>
    <col min="11" max="11" width="55.625" customWidth="1"/>
    <col min="12" max="26" width="9.625" customWidth="1"/>
  </cols>
  <sheetData>
    <row r="1" spans="1:26">
      <c r="A1" s="20" t="s">
        <v>100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2" t="s">
        <v>930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">
      <c r="A3" s="13" t="s">
        <v>101</v>
      </c>
      <c r="B3" s="13" t="s">
        <v>102</v>
      </c>
      <c r="C3" s="13" t="s">
        <v>103</v>
      </c>
      <c r="D3" s="13" t="s">
        <v>104</v>
      </c>
      <c r="E3" s="13" t="s">
        <v>1</v>
      </c>
      <c r="F3" s="13" t="s">
        <v>105</v>
      </c>
      <c r="G3" s="13" t="s">
        <v>2</v>
      </c>
      <c r="H3" s="13" t="s">
        <v>3</v>
      </c>
      <c r="I3" s="13" t="s">
        <v>106</v>
      </c>
      <c r="J3" s="13" t="s">
        <v>107</v>
      </c>
      <c r="K3" s="13" t="s">
        <v>108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42.75">
      <c r="A4" s="2" t="s">
        <v>237</v>
      </c>
      <c r="B4" s="1" t="s">
        <v>238</v>
      </c>
      <c r="C4" s="1" t="s">
        <v>239</v>
      </c>
      <c r="D4" s="1" t="s">
        <v>240</v>
      </c>
      <c r="E4" s="1" t="s">
        <v>10</v>
      </c>
      <c r="F4" s="1" t="s">
        <v>241</v>
      </c>
      <c r="G4" s="1" t="s">
        <v>11</v>
      </c>
      <c r="H4" s="1" t="s">
        <v>38</v>
      </c>
      <c r="I4" s="2" t="s">
        <v>851</v>
      </c>
      <c r="J4" s="1" t="s">
        <v>242</v>
      </c>
      <c r="K4" s="1" t="s">
        <v>243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42.75">
      <c r="A5" s="2" t="s">
        <v>244</v>
      </c>
      <c r="B5" s="1" t="s">
        <v>245</v>
      </c>
      <c r="C5" s="1" t="s">
        <v>246</v>
      </c>
      <c r="D5" s="1" t="s">
        <v>247</v>
      </c>
      <c r="E5" s="1" t="s">
        <v>19</v>
      </c>
      <c r="F5" s="1" t="s">
        <v>241</v>
      </c>
      <c r="G5" s="1" t="s">
        <v>11</v>
      </c>
      <c r="H5" s="1" t="s">
        <v>38</v>
      </c>
      <c r="I5" s="2" t="s">
        <v>851</v>
      </c>
      <c r="J5" s="1" t="s">
        <v>242</v>
      </c>
      <c r="K5" s="1" t="s">
        <v>243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42.75">
      <c r="A6" s="2" t="s">
        <v>248</v>
      </c>
      <c r="B6" s="1" t="s">
        <v>249</v>
      </c>
      <c r="C6" s="1" t="s">
        <v>250</v>
      </c>
      <c r="D6" s="1" t="s">
        <v>251</v>
      </c>
      <c r="E6" s="1" t="s">
        <v>19</v>
      </c>
      <c r="F6" s="1" t="s">
        <v>252</v>
      </c>
      <c r="G6" s="1" t="s">
        <v>11</v>
      </c>
      <c r="H6" s="1" t="s">
        <v>38</v>
      </c>
      <c r="I6" s="2" t="s">
        <v>851</v>
      </c>
      <c r="J6" s="1" t="s">
        <v>242</v>
      </c>
      <c r="K6" s="1" t="s">
        <v>243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42.75">
      <c r="A7" s="2" t="s">
        <v>253</v>
      </c>
      <c r="B7" s="1" t="s">
        <v>254</v>
      </c>
      <c r="C7" s="1" t="s">
        <v>255</v>
      </c>
      <c r="D7" s="1" t="s">
        <v>256</v>
      </c>
      <c r="E7" s="1" t="s">
        <v>45</v>
      </c>
      <c r="F7" s="1" t="s">
        <v>257</v>
      </c>
      <c r="G7" s="1" t="s">
        <v>20</v>
      </c>
      <c r="H7" s="1" t="s">
        <v>38</v>
      </c>
      <c r="I7" s="2" t="s">
        <v>851</v>
      </c>
      <c r="J7" s="1" t="s">
        <v>242</v>
      </c>
      <c r="K7" s="1" t="s">
        <v>243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42.75">
      <c r="A8" s="2" t="s">
        <v>258</v>
      </c>
      <c r="B8" s="1" t="s">
        <v>259</v>
      </c>
      <c r="C8" s="1" t="s">
        <v>260</v>
      </c>
      <c r="D8" s="1" t="s">
        <v>261</v>
      </c>
      <c r="E8" s="1" t="s">
        <v>19</v>
      </c>
      <c r="F8" s="1" t="s">
        <v>262</v>
      </c>
      <c r="G8" s="1" t="s">
        <v>11</v>
      </c>
      <c r="H8" s="1" t="s">
        <v>38</v>
      </c>
      <c r="I8" s="2" t="s">
        <v>851</v>
      </c>
      <c r="J8" s="1" t="s">
        <v>242</v>
      </c>
      <c r="K8" s="1" t="s">
        <v>243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42.75">
      <c r="A9" s="2" t="s">
        <v>263</v>
      </c>
      <c r="B9" s="1" t="s">
        <v>264</v>
      </c>
      <c r="C9" s="1" t="s">
        <v>265</v>
      </c>
      <c r="D9" s="1" t="s">
        <v>266</v>
      </c>
      <c r="E9" s="1" t="s">
        <v>19</v>
      </c>
      <c r="F9" s="1" t="s">
        <v>267</v>
      </c>
      <c r="G9" s="1" t="s">
        <v>20</v>
      </c>
      <c r="H9" s="1" t="s">
        <v>38</v>
      </c>
      <c r="I9" s="2" t="s">
        <v>851</v>
      </c>
      <c r="J9" s="1" t="s">
        <v>242</v>
      </c>
      <c r="K9" s="1" t="s">
        <v>243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42.75">
      <c r="A10" s="2" t="s">
        <v>268</v>
      </c>
      <c r="B10" s="1" t="s">
        <v>269</v>
      </c>
      <c r="C10" s="1" t="s">
        <v>270</v>
      </c>
      <c r="D10" s="1" t="s">
        <v>271</v>
      </c>
      <c r="E10" s="1" t="s">
        <v>19</v>
      </c>
      <c r="F10" s="1" t="s">
        <v>272</v>
      </c>
      <c r="G10" s="1" t="s">
        <v>11</v>
      </c>
      <c r="H10" s="1" t="s">
        <v>38</v>
      </c>
      <c r="I10" s="2" t="s">
        <v>851</v>
      </c>
      <c r="J10" s="1" t="s">
        <v>242</v>
      </c>
      <c r="K10" s="1" t="s">
        <v>243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42.75">
      <c r="A11" s="2" t="s">
        <v>273</v>
      </c>
      <c r="B11" s="1" t="s">
        <v>274</v>
      </c>
      <c r="C11" s="1" t="s">
        <v>275</v>
      </c>
      <c r="D11" s="1" t="s">
        <v>276</v>
      </c>
      <c r="E11" s="1" t="s">
        <v>28</v>
      </c>
      <c r="F11" s="1" t="s">
        <v>272</v>
      </c>
      <c r="G11" s="1" t="s">
        <v>29</v>
      </c>
      <c r="H11" s="1" t="s">
        <v>38</v>
      </c>
      <c r="I11" s="2" t="s">
        <v>851</v>
      </c>
      <c r="J11" s="1" t="s">
        <v>242</v>
      </c>
      <c r="K11" s="1" t="s">
        <v>243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</sheetData>
  <mergeCells count="2">
    <mergeCell ref="A1:K1"/>
    <mergeCell ref="A2:K2"/>
  </mergeCells>
  <dataValidations count="3">
    <dataValidation type="list" sqref="E4:E11" xr:uid="{00000000-0002-0000-0200-000000000000}">
      <formula1>"прямой,косвенный,заменитель,эталон лучшей практики,смежная модель"</formula1>
    </dataValidation>
    <dataValidation type="list" sqref="G4:G11" xr:uid="{00000000-0002-0000-0200-000001000000}">
      <formula1>"высокий,средний,низкий"</formula1>
    </dataValidation>
    <dataValidation type="list" sqref="H4:H11" xr:uid="{00000000-0002-0000-0200-000002000000}">
      <formula1>"не начат,в работе,требует проверки,завершен"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48"/>
  <sheetViews>
    <sheetView workbookViewId="0"/>
  </sheetViews>
  <sheetFormatPr defaultRowHeight="14.25"/>
  <cols>
    <col min="1" max="1" width="55.625" customWidth="1"/>
    <col min="2" max="2" width="14.625" customWidth="1"/>
    <col min="3" max="3" width="24.625" customWidth="1"/>
    <col min="4" max="4" width="22" customWidth="1"/>
    <col min="5" max="5" width="39.625" customWidth="1"/>
    <col min="6" max="6" width="54.625" customWidth="1"/>
    <col min="7" max="7" width="55.625" customWidth="1"/>
    <col min="8" max="8" width="26" customWidth="1"/>
    <col min="9" max="9" width="20.625" customWidth="1"/>
    <col min="10" max="10" width="16" customWidth="1"/>
    <col min="11" max="11" width="55.625" customWidth="1"/>
    <col min="12" max="12" width="42" customWidth="1"/>
    <col min="13" max="26" width="9.625" customWidth="1"/>
  </cols>
  <sheetData>
    <row r="1" spans="1:26">
      <c r="A1" s="20" t="s">
        <v>109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2" t="s">
        <v>931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">
      <c r="A3" s="13" t="s">
        <v>110</v>
      </c>
      <c r="B3" s="13" t="s">
        <v>111</v>
      </c>
      <c r="C3" s="13" t="s">
        <v>112</v>
      </c>
      <c r="D3" s="13" t="s">
        <v>113</v>
      </c>
      <c r="E3" s="13" t="s">
        <v>114</v>
      </c>
      <c r="F3" s="13" t="s">
        <v>115</v>
      </c>
      <c r="G3" s="13" t="s">
        <v>116</v>
      </c>
      <c r="H3" s="13" t="s">
        <v>4</v>
      </c>
      <c r="I3" s="13" t="s">
        <v>117</v>
      </c>
      <c r="J3" s="13" t="s">
        <v>106</v>
      </c>
      <c r="K3" s="13" t="s">
        <v>118</v>
      </c>
      <c r="L3" s="13" t="s">
        <v>119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28.5">
      <c r="A4" s="1" t="s">
        <v>277</v>
      </c>
      <c r="B4" s="1" t="s">
        <v>237</v>
      </c>
      <c r="C4" s="3" t="str">
        <f>IF($B4="","",IFERROR(VLOOKUP($B4,'02_Конкуренты'!$A$4:$B$11,2,FALSE),"не найдено"))</f>
        <v>PlantUML</v>
      </c>
      <c r="D4" s="1" t="s">
        <v>278</v>
      </c>
      <c r="E4" s="1" t="s">
        <v>279</v>
      </c>
      <c r="F4" s="1" t="s">
        <v>280</v>
      </c>
      <c r="G4" s="1" t="s">
        <v>281</v>
      </c>
      <c r="H4" s="1" t="s">
        <v>22</v>
      </c>
      <c r="I4" s="1">
        <v>4</v>
      </c>
      <c r="J4" s="2" t="s">
        <v>851</v>
      </c>
      <c r="K4" s="1" t="s">
        <v>282</v>
      </c>
      <c r="L4" s="1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28.5">
      <c r="A5" s="1" t="s">
        <v>283</v>
      </c>
      <c r="B5" s="1" t="s">
        <v>237</v>
      </c>
      <c r="C5" s="3" t="str">
        <f>IF($B5="","",IFERROR(VLOOKUP($B5,'02_Конкуренты'!$A$4:$B$11,2,FALSE),"не найдено"))</f>
        <v>PlantUML</v>
      </c>
      <c r="D5" s="1" t="s">
        <v>278</v>
      </c>
      <c r="E5" s="1" t="s">
        <v>279</v>
      </c>
      <c r="F5" s="1" t="s">
        <v>284</v>
      </c>
      <c r="G5" s="1" t="s">
        <v>285</v>
      </c>
      <c r="H5" s="1" t="s">
        <v>31</v>
      </c>
      <c r="I5" s="1">
        <v>4</v>
      </c>
      <c r="J5" s="2" t="s">
        <v>851</v>
      </c>
      <c r="K5" s="1" t="s">
        <v>286</v>
      </c>
      <c r="L5" s="1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>
      <c r="A6" s="1" t="s">
        <v>287</v>
      </c>
      <c r="B6" s="1" t="s">
        <v>237</v>
      </c>
      <c r="C6" s="3" t="str">
        <f>IF($B6="","",IFERROR(VLOOKUP($B6,'02_Конкуренты'!$A$4:$B$11,2,FALSE),"не найдено"))</f>
        <v>PlantUML</v>
      </c>
      <c r="D6" s="1" t="s">
        <v>288</v>
      </c>
      <c r="E6" s="1" t="s">
        <v>279</v>
      </c>
      <c r="F6" s="1" t="s">
        <v>289</v>
      </c>
      <c r="G6" s="1" t="s">
        <v>290</v>
      </c>
      <c r="H6" s="1" t="s">
        <v>52</v>
      </c>
      <c r="I6" s="1">
        <v>4</v>
      </c>
      <c r="J6" s="2" t="s">
        <v>851</v>
      </c>
      <c r="K6" s="1" t="s">
        <v>291</v>
      </c>
      <c r="L6" s="1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57">
      <c r="A7" s="1" t="s">
        <v>292</v>
      </c>
      <c r="B7" s="1" t="s">
        <v>237</v>
      </c>
      <c r="C7" s="3" t="str">
        <f>IF($B7="","",IFERROR(VLOOKUP($B7,'02_Конкуренты'!$A$4:$B$11,2,FALSE),"не найдено"))</f>
        <v>PlantUML</v>
      </c>
      <c r="D7" s="1" t="s">
        <v>293</v>
      </c>
      <c r="E7" s="1" t="s">
        <v>279</v>
      </c>
      <c r="F7" s="1" t="s">
        <v>124</v>
      </c>
      <c r="G7" s="1" t="s">
        <v>294</v>
      </c>
      <c r="H7" s="1" t="s">
        <v>39</v>
      </c>
      <c r="I7" s="1">
        <v>3</v>
      </c>
      <c r="J7" s="2" t="s">
        <v>851</v>
      </c>
      <c r="K7" s="1" t="s">
        <v>295</v>
      </c>
      <c r="L7" s="1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>
      <c r="A8" s="1" t="s">
        <v>296</v>
      </c>
      <c r="B8" s="1" t="s">
        <v>237</v>
      </c>
      <c r="C8" s="3" t="str">
        <f>IF($B8="","",IFERROR(VLOOKUP($B8,'02_Конкуренты'!$A$4:$B$11,2,FALSE),"не найдено"))</f>
        <v>PlantUML</v>
      </c>
      <c r="D8" s="1" t="s">
        <v>297</v>
      </c>
      <c r="E8" s="1" t="s">
        <v>298</v>
      </c>
      <c r="F8" s="1" t="s">
        <v>299</v>
      </c>
      <c r="G8" s="1" t="s">
        <v>300</v>
      </c>
      <c r="H8" s="1" t="s">
        <v>56</v>
      </c>
      <c r="I8" s="1">
        <v>5</v>
      </c>
      <c r="J8" s="2" t="s">
        <v>851</v>
      </c>
      <c r="K8" s="1" t="s">
        <v>301</v>
      </c>
      <c r="L8" s="1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28.5">
      <c r="A9" s="1" t="s">
        <v>302</v>
      </c>
      <c r="B9" s="1" t="s">
        <v>237</v>
      </c>
      <c r="C9" s="3" t="str">
        <f>IF($B9="","",IFERROR(VLOOKUP($B9,'02_Конкуренты'!$A$4:$B$11,2,FALSE),"не найдено"))</f>
        <v>PlantUML</v>
      </c>
      <c r="D9" s="1" t="s">
        <v>303</v>
      </c>
      <c r="E9" s="1" t="s">
        <v>279</v>
      </c>
      <c r="F9" s="1" t="s">
        <v>304</v>
      </c>
      <c r="G9" s="1" t="s">
        <v>305</v>
      </c>
      <c r="H9" s="1" t="s">
        <v>31</v>
      </c>
      <c r="I9" s="1">
        <v>4</v>
      </c>
      <c r="J9" s="2" t="s">
        <v>851</v>
      </c>
      <c r="K9" s="1" t="s">
        <v>306</v>
      </c>
      <c r="L9" s="1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28.5">
      <c r="A10" s="1" t="s">
        <v>307</v>
      </c>
      <c r="B10" s="1" t="s">
        <v>237</v>
      </c>
      <c r="C10" s="3" t="str">
        <f>IF($B10="","",IFERROR(VLOOKUP($B10,'02_Конкуренты'!$A$4:$B$11,2,FALSE),"не найдено"))</f>
        <v>PlantUML</v>
      </c>
      <c r="D10" s="1" t="s">
        <v>303</v>
      </c>
      <c r="E10" s="1" t="s">
        <v>279</v>
      </c>
      <c r="F10" s="1" t="s">
        <v>308</v>
      </c>
      <c r="G10" s="1" t="s">
        <v>309</v>
      </c>
      <c r="H10" s="1" t="s">
        <v>64</v>
      </c>
      <c r="I10" s="1">
        <v>3</v>
      </c>
      <c r="J10" s="2" t="s">
        <v>851</v>
      </c>
      <c r="K10" s="1" t="s">
        <v>310</v>
      </c>
      <c r="L10" s="1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28.5">
      <c r="A11" s="1" t="s">
        <v>311</v>
      </c>
      <c r="B11" s="1" t="s">
        <v>237</v>
      </c>
      <c r="C11" s="3" t="str">
        <f>IF($B11="","",IFERROR(VLOOKUP($B11,'02_Конкуренты'!$A$4:$B$11,2,FALSE),"не найдено"))</f>
        <v>PlantUML</v>
      </c>
      <c r="D11" s="1" t="s">
        <v>303</v>
      </c>
      <c r="E11" s="1" t="s">
        <v>279</v>
      </c>
      <c r="F11" s="1" t="s">
        <v>312</v>
      </c>
      <c r="G11" s="1" t="s">
        <v>313</v>
      </c>
      <c r="H11" s="1" t="s">
        <v>56</v>
      </c>
      <c r="I11" s="1">
        <v>3</v>
      </c>
      <c r="J11" s="2" t="s">
        <v>851</v>
      </c>
      <c r="K11" s="1" t="s">
        <v>314</v>
      </c>
      <c r="L11" s="1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28.5">
      <c r="A12" s="1" t="s">
        <v>315</v>
      </c>
      <c r="B12" s="1" t="s">
        <v>237</v>
      </c>
      <c r="C12" s="3" t="str">
        <f>IF($B12="","",IFERROR(VLOOKUP($B12,'02_Конкуренты'!$A$4:$B$11,2,FALSE),"не найдено"))</f>
        <v>PlantUML</v>
      </c>
      <c r="D12" s="1" t="s">
        <v>303</v>
      </c>
      <c r="E12" s="1" t="s">
        <v>279</v>
      </c>
      <c r="F12" s="1" t="s">
        <v>316</v>
      </c>
      <c r="G12" s="1" t="s">
        <v>317</v>
      </c>
      <c r="H12" s="1" t="s">
        <v>31</v>
      </c>
      <c r="I12" s="1">
        <v>4</v>
      </c>
      <c r="J12" s="2" t="s">
        <v>851</v>
      </c>
      <c r="K12" s="1" t="s">
        <v>318</v>
      </c>
      <c r="L12" s="1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28.5">
      <c r="A13" s="1" t="s">
        <v>319</v>
      </c>
      <c r="B13" s="1" t="s">
        <v>237</v>
      </c>
      <c r="C13" s="3" t="str">
        <f>IF($B13="","",IFERROR(VLOOKUP($B13,'02_Конкуренты'!$A$4:$B$11,2,FALSE),"не найдено"))</f>
        <v>PlantUML</v>
      </c>
      <c r="D13" s="1" t="s">
        <v>303</v>
      </c>
      <c r="E13" s="1" t="s">
        <v>279</v>
      </c>
      <c r="F13" s="1" t="s">
        <v>320</v>
      </c>
      <c r="G13" s="1" t="s">
        <v>321</v>
      </c>
      <c r="H13" s="1" t="s">
        <v>46</v>
      </c>
      <c r="I13" s="1">
        <v>4</v>
      </c>
      <c r="J13" s="2" t="s">
        <v>851</v>
      </c>
      <c r="K13" s="1" t="s">
        <v>932</v>
      </c>
      <c r="L13" s="1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28.5">
      <c r="A14" s="1" t="s">
        <v>322</v>
      </c>
      <c r="B14" s="1" t="s">
        <v>237</v>
      </c>
      <c r="C14" s="3" t="str">
        <f>IF($B14="","",IFERROR(VLOOKUP($B14,'02_Конкуренты'!$A$4:$B$11,2,FALSE),"не найдено"))</f>
        <v>PlantUML</v>
      </c>
      <c r="D14" s="1" t="s">
        <v>303</v>
      </c>
      <c r="E14" s="1" t="s">
        <v>279</v>
      </c>
      <c r="F14" s="1" t="s">
        <v>323</v>
      </c>
      <c r="G14" s="1" t="s">
        <v>324</v>
      </c>
      <c r="H14" s="1" t="s">
        <v>31</v>
      </c>
      <c r="I14" s="1">
        <v>4</v>
      </c>
      <c r="J14" s="2" t="s">
        <v>851</v>
      </c>
      <c r="K14" s="1" t="s">
        <v>325</v>
      </c>
      <c r="L14" s="1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28.5">
      <c r="A15" s="1" t="s">
        <v>326</v>
      </c>
      <c r="B15" s="1" t="s">
        <v>237</v>
      </c>
      <c r="C15" s="3" t="str">
        <f>IF($B15="","",IFERROR(VLOOKUP($B15,'02_Конкуренты'!$A$4:$B$11,2,FALSE),"не найдено"))</f>
        <v>PlantUML</v>
      </c>
      <c r="D15" s="1" t="s">
        <v>303</v>
      </c>
      <c r="E15" s="1" t="s">
        <v>279</v>
      </c>
      <c r="F15" s="1" t="s">
        <v>327</v>
      </c>
      <c r="G15" s="1" t="s">
        <v>328</v>
      </c>
      <c r="H15" s="1" t="s">
        <v>31</v>
      </c>
      <c r="I15" s="1">
        <v>4</v>
      </c>
      <c r="J15" s="2" t="s">
        <v>851</v>
      </c>
      <c r="K15" s="1" t="s">
        <v>329</v>
      </c>
      <c r="L15" s="1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28.5">
      <c r="A16" s="1" t="s">
        <v>330</v>
      </c>
      <c r="B16" s="1" t="s">
        <v>237</v>
      </c>
      <c r="C16" s="3" t="str">
        <f>IF($B16="","",IFERROR(VLOOKUP($B16,'02_Конкуренты'!$A$4:$B$11,2,FALSE),"не найдено"))</f>
        <v>PlantUML</v>
      </c>
      <c r="D16" s="1" t="s">
        <v>303</v>
      </c>
      <c r="E16" s="1" t="s">
        <v>279</v>
      </c>
      <c r="F16" s="1" t="s">
        <v>331</v>
      </c>
      <c r="G16" s="1" t="s">
        <v>332</v>
      </c>
      <c r="H16" s="1" t="s">
        <v>67</v>
      </c>
      <c r="I16" s="1">
        <v>3</v>
      </c>
      <c r="J16" s="2" t="s">
        <v>851</v>
      </c>
      <c r="K16" s="1" t="s">
        <v>333</v>
      </c>
      <c r="L16" s="1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28.5">
      <c r="A17" s="1" t="s">
        <v>334</v>
      </c>
      <c r="B17" s="1" t="s">
        <v>237</v>
      </c>
      <c r="C17" s="3" t="str">
        <f>IF($B17="","",IFERROR(VLOOKUP($B17,'02_Конкуренты'!$A$4:$B$11,2,FALSE),"не найдено"))</f>
        <v>PlantUML</v>
      </c>
      <c r="D17" s="1" t="s">
        <v>303</v>
      </c>
      <c r="E17" s="1" t="s">
        <v>279</v>
      </c>
      <c r="F17" s="1" t="s">
        <v>335</v>
      </c>
      <c r="G17" s="1" t="s">
        <v>336</v>
      </c>
      <c r="H17" s="1" t="s">
        <v>31</v>
      </c>
      <c r="I17" s="1">
        <v>3</v>
      </c>
      <c r="J17" s="2" t="s">
        <v>851</v>
      </c>
      <c r="K17" s="1" t="s">
        <v>337</v>
      </c>
      <c r="L17" s="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28.5">
      <c r="A18" s="1" t="s">
        <v>338</v>
      </c>
      <c r="B18" s="1" t="s">
        <v>244</v>
      </c>
      <c r="C18" s="3" t="str">
        <f>IF($B18="","",IFERROR(VLOOKUP($B18,'02_Конкуренты'!$A$4:$B$11,2,FALSE),"не найдено"))</f>
        <v>Mermaid (библиотека)</v>
      </c>
      <c r="D18" s="1" t="s">
        <v>278</v>
      </c>
      <c r="E18" s="1" t="s">
        <v>339</v>
      </c>
      <c r="F18" s="1" t="s">
        <v>280</v>
      </c>
      <c r="G18" s="1" t="s">
        <v>340</v>
      </c>
      <c r="H18" s="1" t="s">
        <v>22</v>
      </c>
      <c r="I18" s="1">
        <v>4</v>
      </c>
      <c r="J18" s="2" t="s">
        <v>851</v>
      </c>
      <c r="K18" s="1" t="s">
        <v>282</v>
      </c>
      <c r="L18" s="1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28.5">
      <c r="A19" s="1" t="s">
        <v>341</v>
      </c>
      <c r="B19" s="1" t="s">
        <v>244</v>
      </c>
      <c r="C19" s="3" t="str">
        <f>IF($B19="","",IFERROR(VLOOKUP($B19,'02_Конкуренты'!$A$4:$B$11,2,FALSE),"не найдено"))</f>
        <v>Mermaid (библиотека)</v>
      </c>
      <c r="D19" s="1" t="s">
        <v>278</v>
      </c>
      <c r="E19" s="1" t="s">
        <v>339</v>
      </c>
      <c r="F19" s="1" t="s">
        <v>284</v>
      </c>
      <c r="G19" s="1" t="s">
        <v>342</v>
      </c>
      <c r="H19" s="1" t="s">
        <v>31</v>
      </c>
      <c r="I19" s="1">
        <v>4</v>
      </c>
      <c r="J19" s="2" t="s">
        <v>851</v>
      </c>
      <c r="K19" s="1" t="s">
        <v>286</v>
      </c>
      <c r="L19" s="1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>
      <c r="A20" s="1" t="s">
        <v>343</v>
      </c>
      <c r="B20" s="1" t="s">
        <v>244</v>
      </c>
      <c r="C20" s="3" t="str">
        <f>IF($B20="","",IFERROR(VLOOKUP($B20,'02_Конкуренты'!$A$4:$B$11,2,FALSE),"не найдено"))</f>
        <v>Mermaid (библиотека)</v>
      </c>
      <c r="D20" s="1" t="s">
        <v>288</v>
      </c>
      <c r="E20" s="1" t="s">
        <v>339</v>
      </c>
      <c r="F20" s="1" t="s">
        <v>289</v>
      </c>
      <c r="G20" s="1" t="s">
        <v>344</v>
      </c>
      <c r="H20" s="1" t="s">
        <v>52</v>
      </c>
      <c r="I20" s="1">
        <v>4</v>
      </c>
      <c r="J20" s="2" t="s">
        <v>851</v>
      </c>
      <c r="K20" s="1" t="s">
        <v>291</v>
      </c>
      <c r="L20" s="1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57">
      <c r="A21" s="1" t="s">
        <v>345</v>
      </c>
      <c r="B21" s="1" t="s">
        <v>244</v>
      </c>
      <c r="C21" s="3" t="str">
        <f>IF($B21="","",IFERROR(VLOOKUP($B21,'02_Конкуренты'!$A$4:$B$11,2,FALSE),"не найдено"))</f>
        <v>Mermaid (библиотека)</v>
      </c>
      <c r="D21" s="1" t="s">
        <v>293</v>
      </c>
      <c r="E21" s="1" t="s">
        <v>339</v>
      </c>
      <c r="F21" s="1" t="s">
        <v>124</v>
      </c>
      <c r="G21" s="1" t="s">
        <v>346</v>
      </c>
      <c r="H21" s="1" t="s">
        <v>39</v>
      </c>
      <c r="I21" s="1">
        <v>3</v>
      </c>
      <c r="J21" s="2" t="s">
        <v>851</v>
      </c>
      <c r="K21" s="1" t="s">
        <v>295</v>
      </c>
      <c r="L21" s="1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28.5">
      <c r="A22" s="1" t="s">
        <v>347</v>
      </c>
      <c r="B22" s="1" t="s">
        <v>244</v>
      </c>
      <c r="C22" s="3" t="str">
        <f>IF($B22="","",IFERROR(VLOOKUP($B22,'02_Конкуренты'!$A$4:$B$11,2,FALSE),"не найдено"))</f>
        <v>Mermaid (библиотека)</v>
      </c>
      <c r="D22" s="1" t="s">
        <v>297</v>
      </c>
      <c r="E22" s="1" t="s">
        <v>348</v>
      </c>
      <c r="F22" s="1" t="s">
        <v>299</v>
      </c>
      <c r="G22" s="1" t="s">
        <v>349</v>
      </c>
      <c r="H22" s="1" t="s">
        <v>56</v>
      </c>
      <c r="I22" s="1">
        <v>5</v>
      </c>
      <c r="J22" s="2" t="s">
        <v>851</v>
      </c>
      <c r="K22" s="1" t="s">
        <v>301</v>
      </c>
      <c r="L22" s="1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28.5">
      <c r="A23" s="1" t="s">
        <v>350</v>
      </c>
      <c r="B23" s="1" t="s">
        <v>244</v>
      </c>
      <c r="C23" s="3" t="str">
        <f>IF($B23="","",IFERROR(VLOOKUP($B23,'02_Конкуренты'!$A$4:$B$11,2,FALSE),"не найдено"))</f>
        <v>Mermaid (библиотека)</v>
      </c>
      <c r="D23" s="1" t="s">
        <v>303</v>
      </c>
      <c r="E23" s="1" t="s">
        <v>339</v>
      </c>
      <c r="F23" s="1" t="s">
        <v>304</v>
      </c>
      <c r="G23" s="1" t="s">
        <v>305</v>
      </c>
      <c r="H23" s="1" t="s">
        <v>31</v>
      </c>
      <c r="I23" s="1">
        <v>4</v>
      </c>
      <c r="J23" s="2" t="s">
        <v>851</v>
      </c>
      <c r="K23" s="1" t="s">
        <v>306</v>
      </c>
      <c r="L23" s="1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28.5">
      <c r="A24" s="1" t="s">
        <v>351</v>
      </c>
      <c r="B24" s="1" t="s">
        <v>244</v>
      </c>
      <c r="C24" s="3" t="str">
        <f>IF($B24="","",IFERROR(VLOOKUP($B24,'02_Конкуренты'!$A$4:$B$11,2,FALSE),"не найдено"))</f>
        <v>Mermaid (библиотека)</v>
      </c>
      <c r="D24" s="1" t="s">
        <v>303</v>
      </c>
      <c r="E24" s="1" t="s">
        <v>339</v>
      </c>
      <c r="F24" s="1" t="s">
        <v>308</v>
      </c>
      <c r="G24" s="1" t="s">
        <v>309</v>
      </c>
      <c r="H24" s="1" t="s">
        <v>64</v>
      </c>
      <c r="I24" s="1">
        <v>3</v>
      </c>
      <c r="J24" s="2" t="s">
        <v>851</v>
      </c>
      <c r="K24" s="1" t="s">
        <v>310</v>
      </c>
      <c r="L24" s="1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28.5">
      <c r="A25" s="1" t="s">
        <v>352</v>
      </c>
      <c r="B25" s="1" t="s">
        <v>244</v>
      </c>
      <c r="C25" s="3" t="str">
        <f>IF($B25="","",IFERROR(VLOOKUP($B25,'02_Конкуренты'!$A$4:$B$11,2,FALSE),"не найдено"))</f>
        <v>Mermaid (библиотека)</v>
      </c>
      <c r="D25" s="1" t="s">
        <v>303</v>
      </c>
      <c r="E25" s="1" t="s">
        <v>339</v>
      </c>
      <c r="F25" s="1" t="s">
        <v>353</v>
      </c>
      <c r="G25" s="1" t="s">
        <v>354</v>
      </c>
      <c r="H25" s="1" t="s">
        <v>31</v>
      </c>
      <c r="I25" s="1">
        <v>4</v>
      </c>
      <c r="J25" s="2" t="s">
        <v>851</v>
      </c>
      <c r="K25" s="1" t="s">
        <v>355</v>
      </c>
      <c r="L25" s="1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28.5">
      <c r="A26" s="1" t="s">
        <v>356</v>
      </c>
      <c r="B26" s="1" t="s">
        <v>244</v>
      </c>
      <c r="C26" s="3" t="str">
        <f>IF($B26="","",IFERROR(VLOOKUP($B26,'02_Конкуренты'!$A$4:$B$11,2,FALSE),"не найдено"))</f>
        <v>Mermaid (библиотека)</v>
      </c>
      <c r="D26" s="1" t="s">
        <v>303</v>
      </c>
      <c r="E26" s="1" t="s">
        <v>339</v>
      </c>
      <c r="F26" s="1" t="s">
        <v>312</v>
      </c>
      <c r="G26" s="1" t="s">
        <v>313</v>
      </c>
      <c r="H26" s="1" t="s">
        <v>56</v>
      </c>
      <c r="I26" s="1">
        <v>3</v>
      </c>
      <c r="J26" s="2" t="s">
        <v>851</v>
      </c>
      <c r="K26" s="1" t="s">
        <v>314</v>
      </c>
      <c r="L26" s="1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28.5">
      <c r="A27" s="1" t="s">
        <v>357</v>
      </c>
      <c r="B27" s="1" t="s">
        <v>244</v>
      </c>
      <c r="C27" s="3" t="str">
        <f>IF($B27="","",IFERROR(VLOOKUP($B27,'02_Конкуренты'!$A$4:$B$11,2,FALSE),"не найдено"))</f>
        <v>Mermaid (библиотека)</v>
      </c>
      <c r="D27" s="1" t="s">
        <v>303</v>
      </c>
      <c r="E27" s="1" t="s">
        <v>339</v>
      </c>
      <c r="F27" s="1" t="s">
        <v>316</v>
      </c>
      <c r="G27" s="1" t="s">
        <v>317</v>
      </c>
      <c r="H27" s="1" t="s">
        <v>31</v>
      </c>
      <c r="I27" s="1">
        <v>4</v>
      </c>
      <c r="J27" s="2" t="s">
        <v>851</v>
      </c>
      <c r="K27" s="1" t="s">
        <v>318</v>
      </c>
      <c r="L27" s="1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28.5">
      <c r="A28" s="1" t="s">
        <v>358</v>
      </c>
      <c r="B28" s="1" t="s">
        <v>244</v>
      </c>
      <c r="C28" s="3" t="str">
        <f>IF($B28="","",IFERROR(VLOOKUP($B28,'02_Конкуренты'!$A$4:$B$11,2,FALSE),"не найдено"))</f>
        <v>Mermaid (библиотека)</v>
      </c>
      <c r="D28" s="1" t="s">
        <v>303</v>
      </c>
      <c r="E28" s="1" t="s">
        <v>339</v>
      </c>
      <c r="F28" s="1" t="s">
        <v>320</v>
      </c>
      <c r="G28" s="1" t="s">
        <v>321</v>
      </c>
      <c r="H28" s="1" t="s">
        <v>46</v>
      </c>
      <c r="I28" s="1">
        <v>4</v>
      </c>
      <c r="J28" s="2" t="s">
        <v>851</v>
      </c>
      <c r="K28" s="1" t="s">
        <v>932</v>
      </c>
      <c r="L28" s="1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28.5">
      <c r="A29" s="1" t="s">
        <v>359</v>
      </c>
      <c r="B29" s="1" t="s">
        <v>244</v>
      </c>
      <c r="C29" s="3" t="str">
        <f>IF($B29="","",IFERROR(VLOOKUP($B29,'02_Конкуренты'!$A$4:$B$11,2,FALSE),"не найдено"))</f>
        <v>Mermaid (библиотека)</v>
      </c>
      <c r="D29" s="1" t="s">
        <v>303</v>
      </c>
      <c r="E29" s="1" t="s">
        <v>339</v>
      </c>
      <c r="F29" s="1" t="s">
        <v>323</v>
      </c>
      <c r="G29" s="1" t="s">
        <v>324</v>
      </c>
      <c r="H29" s="1" t="s">
        <v>31</v>
      </c>
      <c r="I29" s="1">
        <v>4</v>
      </c>
      <c r="J29" s="2" t="s">
        <v>851</v>
      </c>
      <c r="K29" s="1" t="s">
        <v>325</v>
      </c>
      <c r="L29" s="1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28.5">
      <c r="A30" s="1" t="s">
        <v>360</v>
      </c>
      <c r="B30" s="1" t="s">
        <v>244</v>
      </c>
      <c r="C30" s="3" t="str">
        <f>IF($B30="","",IFERROR(VLOOKUP($B30,'02_Конкуренты'!$A$4:$B$11,2,FALSE),"не найдено"))</f>
        <v>Mermaid (библиотека)</v>
      </c>
      <c r="D30" s="1" t="s">
        <v>303</v>
      </c>
      <c r="E30" s="1" t="s">
        <v>339</v>
      </c>
      <c r="F30" s="1" t="s">
        <v>327</v>
      </c>
      <c r="G30" s="1" t="s">
        <v>328</v>
      </c>
      <c r="H30" s="1" t="s">
        <v>31</v>
      </c>
      <c r="I30" s="1">
        <v>4</v>
      </c>
      <c r="J30" s="2" t="s">
        <v>851</v>
      </c>
      <c r="K30" s="1" t="s">
        <v>329</v>
      </c>
      <c r="L30" s="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28.5">
      <c r="A31" s="1" t="s">
        <v>361</v>
      </c>
      <c r="B31" s="1" t="s">
        <v>244</v>
      </c>
      <c r="C31" s="3" t="str">
        <f>IF($B31="","",IFERROR(VLOOKUP($B31,'02_Конкуренты'!$A$4:$B$11,2,FALSE),"не найдено"))</f>
        <v>Mermaid (библиотека)</v>
      </c>
      <c r="D31" s="1" t="s">
        <v>303</v>
      </c>
      <c r="E31" s="1" t="s">
        <v>339</v>
      </c>
      <c r="F31" s="1" t="s">
        <v>331</v>
      </c>
      <c r="G31" s="1" t="s">
        <v>332</v>
      </c>
      <c r="H31" s="1" t="s">
        <v>67</v>
      </c>
      <c r="I31" s="1">
        <v>3</v>
      </c>
      <c r="J31" s="2" t="s">
        <v>851</v>
      </c>
      <c r="K31" s="1" t="s">
        <v>333</v>
      </c>
      <c r="L31" s="1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28.5">
      <c r="A32" s="1" t="s">
        <v>362</v>
      </c>
      <c r="B32" s="1" t="s">
        <v>248</v>
      </c>
      <c r="C32" s="3" t="str">
        <f>IF($B32="","",IFERROR(VLOOKUP($B32,'02_Конкуренты'!$A$4:$B$11,2,FALSE),"не найдено"))</f>
        <v>Mermaid Chart</v>
      </c>
      <c r="D32" s="1" t="s">
        <v>278</v>
      </c>
      <c r="E32" s="1" t="s">
        <v>363</v>
      </c>
      <c r="F32" s="1" t="s">
        <v>280</v>
      </c>
      <c r="G32" s="1" t="s">
        <v>364</v>
      </c>
      <c r="H32" s="1" t="s">
        <v>22</v>
      </c>
      <c r="I32" s="1">
        <v>4</v>
      </c>
      <c r="J32" s="2" t="s">
        <v>851</v>
      </c>
      <c r="K32" s="1" t="s">
        <v>282</v>
      </c>
      <c r="L32" s="1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28.5">
      <c r="A33" s="1" t="s">
        <v>365</v>
      </c>
      <c r="B33" s="1" t="s">
        <v>248</v>
      </c>
      <c r="C33" s="3" t="str">
        <f>IF($B33="","",IFERROR(VLOOKUP($B33,'02_Конкуренты'!$A$4:$B$11,2,FALSE),"не найдено"))</f>
        <v>Mermaid Chart</v>
      </c>
      <c r="D33" s="1" t="s">
        <v>278</v>
      </c>
      <c r="E33" s="1" t="s">
        <v>363</v>
      </c>
      <c r="F33" s="1" t="s">
        <v>284</v>
      </c>
      <c r="G33" s="1" t="s">
        <v>366</v>
      </c>
      <c r="H33" s="1" t="s">
        <v>31</v>
      </c>
      <c r="I33" s="1">
        <v>4</v>
      </c>
      <c r="J33" s="2" t="s">
        <v>851</v>
      </c>
      <c r="K33" s="1" t="s">
        <v>286</v>
      </c>
      <c r="L33" s="1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57">
      <c r="A34" s="1" t="s">
        <v>367</v>
      </c>
      <c r="B34" s="1" t="s">
        <v>248</v>
      </c>
      <c r="C34" s="3" t="str">
        <f>IF($B34="","",IFERROR(VLOOKUP($B34,'02_Конкуренты'!$A$4:$B$11,2,FALSE),"не найдено"))</f>
        <v>Mermaid Chart</v>
      </c>
      <c r="D34" s="1" t="s">
        <v>288</v>
      </c>
      <c r="E34" s="1" t="s">
        <v>368</v>
      </c>
      <c r="F34" s="1" t="s">
        <v>289</v>
      </c>
      <c r="G34" s="1" t="s">
        <v>852</v>
      </c>
      <c r="H34" s="1" t="s">
        <v>52</v>
      </c>
      <c r="I34" s="1">
        <v>5</v>
      </c>
      <c r="J34" s="2" t="s">
        <v>851</v>
      </c>
      <c r="K34" s="1" t="s">
        <v>291</v>
      </c>
      <c r="L34" s="1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57">
      <c r="A35" s="1" t="s">
        <v>369</v>
      </c>
      <c r="B35" s="1" t="s">
        <v>248</v>
      </c>
      <c r="C35" s="3" t="str">
        <f>IF($B35="","",IFERROR(VLOOKUP($B35,'02_Конкуренты'!$A$4:$B$11,2,FALSE),"не найдено"))</f>
        <v>Mermaid Chart</v>
      </c>
      <c r="D35" s="1" t="s">
        <v>293</v>
      </c>
      <c r="E35" s="1" t="s">
        <v>363</v>
      </c>
      <c r="F35" s="1" t="s">
        <v>124</v>
      </c>
      <c r="G35" s="1" t="s">
        <v>370</v>
      </c>
      <c r="H35" s="1" t="s">
        <v>39</v>
      </c>
      <c r="I35" s="1">
        <v>3</v>
      </c>
      <c r="J35" s="2" t="s">
        <v>851</v>
      </c>
      <c r="K35" s="1" t="s">
        <v>295</v>
      </c>
      <c r="L35" s="1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28.5">
      <c r="A36" s="1" t="s">
        <v>371</v>
      </c>
      <c r="B36" s="1" t="s">
        <v>248</v>
      </c>
      <c r="C36" s="3" t="str">
        <f>IF($B36="","",IFERROR(VLOOKUP($B36,'02_Конкуренты'!$A$4:$B$11,2,FALSE),"не найдено"))</f>
        <v>Mermaid Chart</v>
      </c>
      <c r="D36" s="1" t="s">
        <v>303</v>
      </c>
      <c r="E36" s="1" t="s">
        <v>363</v>
      </c>
      <c r="F36" s="1" t="s">
        <v>304</v>
      </c>
      <c r="G36" s="1" t="s">
        <v>305</v>
      </c>
      <c r="H36" s="1" t="s">
        <v>31</v>
      </c>
      <c r="I36" s="1">
        <v>4</v>
      </c>
      <c r="J36" s="2" t="s">
        <v>851</v>
      </c>
      <c r="K36" s="1" t="s">
        <v>306</v>
      </c>
      <c r="L36" s="1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28.5">
      <c r="A37" s="1" t="s">
        <v>372</v>
      </c>
      <c r="B37" s="1" t="s">
        <v>248</v>
      </c>
      <c r="C37" s="3" t="str">
        <f>IF($B37="","",IFERROR(VLOOKUP($B37,'02_Конкуренты'!$A$4:$B$11,2,FALSE),"не найдено"))</f>
        <v>Mermaid Chart</v>
      </c>
      <c r="D37" s="1" t="s">
        <v>303</v>
      </c>
      <c r="E37" s="1" t="s">
        <v>368</v>
      </c>
      <c r="F37" s="1" t="s">
        <v>373</v>
      </c>
      <c r="G37" s="1" t="s">
        <v>374</v>
      </c>
      <c r="H37" s="1" t="s">
        <v>52</v>
      </c>
      <c r="I37" s="1">
        <v>5</v>
      </c>
      <c r="J37" s="2" t="s">
        <v>851</v>
      </c>
      <c r="K37" s="1" t="s">
        <v>375</v>
      </c>
      <c r="L37" s="1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28.5">
      <c r="A38" s="1" t="s">
        <v>376</v>
      </c>
      <c r="B38" s="1" t="s">
        <v>248</v>
      </c>
      <c r="C38" s="3" t="str">
        <f>IF($B38="","",IFERROR(VLOOKUP($B38,'02_Конкуренты'!$A$4:$B$11,2,FALSE),"не найдено"))</f>
        <v>Mermaid Chart</v>
      </c>
      <c r="D38" s="1" t="s">
        <v>303</v>
      </c>
      <c r="E38" s="1" t="s">
        <v>368</v>
      </c>
      <c r="F38" s="1" t="s">
        <v>377</v>
      </c>
      <c r="G38" s="1" t="s">
        <v>378</v>
      </c>
      <c r="H38" s="1" t="s">
        <v>52</v>
      </c>
      <c r="I38" s="1">
        <v>5</v>
      </c>
      <c r="J38" s="2" t="s">
        <v>851</v>
      </c>
      <c r="K38" s="1" t="s">
        <v>379</v>
      </c>
      <c r="L38" s="1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28.5">
      <c r="A39" s="1" t="s">
        <v>380</v>
      </c>
      <c r="B39" s="1" t="s">
        <v>248</v>
      </c>
      <c r="C39" s="3" t="str">
        <f>IF($B39="","",IFERROR(VLOOKUP($B39,'02_Конкуренты'!$A$4:$B$11,2,FALSE),"не найдено"))</f>
        <v>Mermaid Chart</v>
      </c>
      <c r="D39" s="1" t="s">
        <v>303</v>
      </c>
      <c r="E39" s="1" t="s">
        <v>368</v>
      </c>
      <c r="F39" s="1" t="s">
        <v>381</v>
      </c>
      <c r="G39" s="1" t="s">
        <v>382</v>
      </c>
      <c r="H39" s="1" t="s">
        <v>46</v>
      </c>
      <c r="I39" s="1">
        <v>5</v>
      </c>
      <c r="J39" s="2" t="s">
        <v>851</v>
      </c>
      <c r="K39" s="1" t="s">
        <v>383</v>
      </c>
      <c r="L39" s="1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28.5">
      <c r="A40" s="1" t="s">
        <v>384</v>
      </c>
      <c r="B40" s="1" t="s">
        <v>248</v>
      </c>
      <c r="C40" s="3" t="str">
        <f>IF($B40="","",IFERROR(VLOOKUP($B40,'02_Конкуренты'!$A$4:$B$11,2,FALSE),"не найдено"))</f>
        <v>Mermaid Chart</v>
      </c>
      <c r="D40" s="1" t="s">
        <v>303</v>
      </c>
      <c r="E40" s="1" t="s">
        <v>363</v>
      </c>
      <c r="F40" s="1" t="s">
        <v>385</v>
      </c>
      <c r="G40" s="1" t="s">
        <v>386</v>
      </c>
      <c r="H40" s="1" t="s">
        <v>31</v>
      </c>
      <c r="I40" s="1">
        <v>4</v>
      </c>
      <c r="J40" s="2" t="s">
        <v>851</v>
      </c>
      <c r="K40" s="1" t="s">
        <v>387</v>
      </c>
      <c r="L40" s="1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28.5">
      <c r="A41" s="1" t="s">
        <v>388</v>
      </c>
      <c r="B41" s="1" t="s">
        <v>248</v>
      </c>
      <c r="C41" s="3" t="str">
        <f>IF($B41="","",IFERROR(VLOOKUP($B41,'02_Конкуренты'!$A$4:$B$11,2,FALSE),"не найдено"))</f>
        <v>Mermaid Chart</v>
      </c>
      <c r="D41" s="1" t="s">
        <v>303</v>
      </c>
      <c r="E41" s="1" t="s">
        <v>363</v>
      </c>
      <c r="F41" s="1" t="s">
        <v>308</v>
      </c>
      <c r="G41" s="1" t="s">
        <v>309</v>
      </c>
      <c r="H41" s="1" t="s">
        <v>64</v>
      </c>
      <c r="I41" s="1">
        <v>3</v>
      </c>
      <c r="J41" s="2" t="s">
        <v>851</v>
      </c>
      <c r="K41" s="1" t="s">
        <v>310</v>
      </c>
      <c r="L41" s="1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28.5">
      <c r="A42" s="1" t="s">
        <v>389</v>
      </c>
      <c r="B42" s="1" t="s">
        <v>248</v>
      </c>
      <c r="C42" s="3" t="str">
        <f>IF($B42="","",IFERROR(VLOOKUP($B42,'02_Конкуренты'!$A$4:$B$11,2,FALSE),"не найдено"))</f>
        <v>Mermaid Chart</v>
      </c>
      <c r="D42" s="1" t="s">
        <v>303</v>
      </c>
      <c r="E42" s="1" t="s">
        <v>363</v>
      </c>
      <c r="F42" s="1" t="s">
        <v>353</v>
      </c>
      <c r="G42" s="1" t="s">
        <v>354</v>
      </c>
      <c r="H42" s="1" t="s">
        <v>31</v>
      </c>
      <c r="I42" s="1">
        <v>4</v>
      </c>
      <c r="J42" s="2" t="s">
        <v>851</v>
      </c>
      <c r="K42" s="1" t="s">
        <v>355</v>
      </c>
      <c r="L42" s="1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28.5">
      <c r="A43" s="1" t="s">
        <v>390</v>
      </c>
      <c r="B43" s="1" t="s">
        <v>248</v>
      </c>
      <c r="C43" s="3" t="str">
        <f>IF($B43="","",IFERROR(VLOOKUP($B43,'02_Конкуренты'!$A$4:$B$11,2,FALSE),"не найдено"))</f>
        <v>Mermaid Chart</v>
      </c>
      <c r="D43" s="1" t="s">
        <v>303</v>
      </c>
      <c r="E43" s="1" t="s">
        <v>363</v>
      </c>
      <c r="F43" s="1" t="s">
        <v>391</v>
      </c>
      <c r="G43" s="1" t="s">
        <v>392</v>
      </c>
      <c r="H43" s="1" t="s">
        <v>46</v>
      </c>
      <c r="I43" s="1">
        <v>3</v>
      </c>
      <c r="J43" s="2" t="s">
        <v>851</v>
      </c>
      <c r="K43" s="1" t="s">
        <v>393</v>
      </c>
      <c r="L43" s="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28.5">
      <c r="A44" s="1" t="s">
        <v>394</v>
      </c>
      <c r="B44" s="1" t="s">
        <v>248</v>
      </c>
      <c r="C44" s="3" t="str">
        <f>IF($B44="","",IFERROR(VLOOKUP($B44,'02_Конкуренты'!$A$4:$B$11,2,FALSE),"не найдено"))</f>
        <v>Mermaid Chart</v>
      </c>
      <c r="D44" s="1" t="s">
        <v>303</v>
      </c>
      <c r="E44" s="1" t="s">
        <v>363</v>
      </c>
      <c r="F44" s="1" t="s">
        <v>395</v>
      </c>
      <c r="G44" s="1" t="s">
        <v>396</v>
      </c>
      <c r="H44" s="1" t="s">
        <v>22</v>
      </c>
      <c r="I44" s="1">
        <v>3</v>
      </c>
      <c r="J44" s="2" t="s">
        <v>851</v>
      </c>
      <c r="K44" s="1" t="s">
        <v>397</v>
      </c>
      <c r="L44" s="1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>
      <c r="A45" s="1" t="s">
        <v>398</v>
      </c>
      <c r="B45" s="1" t="s">
        <v>248</v>
      </c>
      <c r="C45" s="3" t="str">
        <f>IF($B45="","",IFERROR(VLOOKUP($B45,'02_Конкуренты'!$A$4:$B$11,2,FALSE),"не найдено"))</f>
        <v>Mermaid Chart</v>
      </c>
      <c r="D45" s="1" t="s">
        <v>303</v>
      </c>
      <c r="E45" s="1" t="s">
        <v>368</v>
      </c>
      <c r="F45" s="1" t="s">
        <v>399</v>
      </c>
      <c r="G45" s="1" t="s">
        <v>400</v>
      </c>
      <c r="H45" s="1" t="s">
        <v>52</v>
      </c>
      <c r="I45" s="1">
        <v>5</v>
      </c>
      <c r="J45" s="2" t="s">
        <v>851</v>
      </c>
      <c r="K45" s="1" t="s">
        <v>401</v>
      </c>
      <c r="L45" s="1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28.5">
      <c r="A46" s="1" t="s">
        <v>402</v>
      </c>
      <c r="B46" s="1" t="s">
        <v>248</v>
      </c>
      <c r="C46" s="3" t="str">
        <f>IF($B46="","",IFERROR(VLOOKUP($B46,'02_Конкуренты'!$A$4:$B$11,2,FALSE),"не найдено"))</f>
        <v>Mermaid Chart</v>
      </c>
      <c r="D46" s="1" t="s">
        <v>303</v>
      </c>
      <c r="E46" s="1" t="s">
        <v>363</v>
      </c>
      <c r="F46" s="1" t="s">
        <v>403</v>
      </c>
      <c r="G46" s="1" t="s">
        <v>404</v>
      </c>
      <c r="H46" s="1" t="s">
        <v>39</v>
      </c>
      <c r="I46" s="1">
        <v>3</v>
      </c>
      <c r="J46" s="2" t="s">
        <v>851</v>
      </c>
      <c r="K46" s="1" t="s">
        <v>405</v>
      </c>
      <c r="L46" s="1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28.5">
      <c r="A47" s="1" t="s">
        <v>406</v>
      </c>
      <c r="B47" s="1" t="s">
        <v>248</v>
      </c>
      <c r="C47" s="3" t="str">
        <f>IF($B47="","",IFERROR(VLOOKUP($B47,'02_Конкуренты'!$A$4:$B$11,2,FALSE),"не найдено"))</f>
        <v>Mermaid Chart</v>
      </c>
      <c r="D47" s="1" t="s">
        <v>303</v>
      </c>
      <c r="E47" s="1" t="s">
        <v>363</v>
      </c>
      <c r="F47" s="1" t="s">
        <v>407</v>
      </c>
      <c r="G47" s="1" t="s">
        <v>408</v>
      </c>
      <c r="H47" s="1" t="s">
        <v>31</v>
      </c>
      <c r="I47" s="1">
        <v>4</v>
      </c>
      <c r="J47" s="2" t="s">
        <v>851</v>
      </c>
      <c r="K47" s="1" t="s">
        <v>409</v>
      </c>
      <c r="L47" s="1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28.5">
      <c r="A48" s="1" t="s">
        <v>410</v>
      </c>
      <c r="B48" s="1" t="s">
        <v>248</v>
      </c>
      <c r="C48" s="3" t="str">
        <f>IF($B48="","",IFERROR(VLOOKUP($B48,'02_Конкуренты'!$A$4:$B$11,2,FALSE),"не найдено"))</f>
        <v>Mermaid Chart</v>
      </c>
      <c r="D48" s="1" t="s">
        <v>303</v>
      </c>
      <c r="E48" s="1" t="s">
        <v>363</v>
      </c>
      <c r="F48" s="1" t="s">
        <v>316</v>
      </c>
      <c r="G48" s="1" t="s">
        <v>317</v>
      </c>
      <c r="H48" s="1" t="s">
        <v>31</v>
      </c>
      <c r="I48" s="1">
        <v>4</v>
      </c>
      <c r="J48" s="2" t="s">
        <v>851</v>
      </c>
      <c r="K48" s="1" t="s">
        <v>318</v>
      </c>
      <c r="L48" s="1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28.5">
      <c r="A49" s="1" t="s">
        <v>411</v>
      </c>
      <c r="B49" s="1" t="s">
        <v>248</v>
      </c>
      <c r="C49" s="3" t="str">
        <f>IF($B49="","",IFERROR(VLOOKUP($B49,'02_Конкуренты'!$A$4:$B$11,2,FALSE),"не найдено"))</f>
        <v>Mermaid Chart</v>
      </c>
      <c r="D49" s="1" t="s">
        <v>303</v>
      </c>
      <c r="E49" s="1" t="s">
        <v>363</v>
      </c>
      <c r="F49" s="1" t="s">
        <v>412</v>
      </c>
      <c r="G49" s="1" t="s">
        <v>413</v>
      </c>
      <c r="H49" s="1" t="s">
        <v>31</v>
      </c>
      <c r="I49" s="1">
        <v>4</v>
      </c>
      <c r="J49" s="2" t="s">
        <v>851</v>
      </c>
      <c r="K49" s="1" t="s">
        <v>414</v>
      </c>
      <c r="L49" s="1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28.5">
      <c r="A50" s="1" t="s">
        <v>415</v>
      </c>
      <c r="B50" s="1" t="s">
        <v>248</v>
      </c>
      <c r="C50" s="3" t="str">
        <f>IF($B50="","",IFERROR(VLOOKUP($B50,'02_Конкуренты'!$A$4:$B$11,2,FALSE),"не найдено"))</f>
        <v>Mermaid Chart</v>
      </c>
      <c r="D50" s="1" t="s">
        <v>303</v>
      </c>
      <c r="E50" s="1" t="s">
        <v>363</v>
      </c>
      <c r="F50" s="1" t="s">
        <v>320</v>
      </c>
      <c r="G50" s="1" t="s">
        <v>321</v>
      </c>
      <c r="H50" s="1" t="s">
        <v>46</v>
      </c>
      <c r="I50" s="1">
        <v>4</v>
      </c>
      <c r="J50" s="2" t="s">
        <v>851</v>
      </c>
      <c r="K50" s="1" t="s">
        <v>932</v>
      </c>
      <c r="L50" s="1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28.5">
      <c r="A51" s="1" t="s">
        <v>416</v>
      </c>
      <c r="B51" s="1" t="s">
        <v>248</v>
      </c>
      <c r="C51" s="3" t="str">
        <f>IF($B51="","",IFERROR(VLOOKUP($B51,'02_Конкуренты'!$A$4:$B$11,2,FALSE),"не найдено"))</f>
        <v>Mermaid Chart</v>
      </c>
      <c r="D51" s="1" t="s">
        <v>303</v>
      </c>
      <c r="E51" s="1" t="s">
        <v>363</v>
      </c>
      <c r="F51" s="1" t="s">
        <v>327</v>
      </c>
      <c r="G51" s="1" t="s">
        <v>328</v>
      </c>
      <c r="H51" s="1" t="s">
        <v>31</v>
      </c>
      <c r="I51" s="1">
        <v>4</v>
      </c>
      <c r="J51" s="2" t="s">
        <v>851</v>
      </c>
      <c r="K51" s="1" t="s">
        <v>329</v>
      </c>
      <c r="L51" s="1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28.5">
      <c r="A52" s="1" t="s">
        <v>417</v>
      </c>
      <c r="B52" s="1" t="s">
        <v>248</v>
      </c>
      <c r="C52" s="3" t="str">
        <f>IF($B52="","",IFERROR(VLOOKUP($B52,'02_Конкуренты'!$A$4:$B$11,2,FALSE),"не найдено"))</f>
        <v>Mermaid Chart</v>
      </c>
      <c r="D52" s="1" t="s">
        <v>303</v>
      </c>
      <c r="E52" s="1" t="s">
        <v>363</v>
      </c>
      <c r="F52" s="1" t="s">
        <v>418</v>
      </c>
      <c r="G52" s="1" t="s">
        <v>419</v>
      </c>
      <c r="H52" s="1" t="s">
        <v>70</v>
      </c>
      <c r="I52" s="1">
        <v>3</v>
      </c>
      <c r="J52" s="2" t="s">
        <v>851</v>
      </c>
      <c r="K52" s="1" t="s">
        <v>420</v>
      </c>
      <c r="L52" s="1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28.5">
      <c r="A53" s="1" t="s">
        <v>421</v>
      </c>
      <c r="B53" s="1" t="s">
        <v>253</v>
      </c>
      <c r="C53" s="3" t="str">
        <f>IF($B53="","",IFERROR(VLOOKUP($B53,'02_Конкуренты'!$A$4:$B$11,2,FALSE),"не найдено"))</f>
        <v>Storm (StormBPMN)</v>
      </c>
      <c r="D53" s="1" t="s">
        <v>278</v>
      </c>
      <c r="E53" s="1" t="s">
        <v>422</v>
      </c>
      <c r="F53" s="1" t="s">
        <v>280</v>
      </c>
      <c r="G53" s="1" t="s">
        <v>423</v>
      </c>
      <c r="H53" s="1" t="s">
        <v>22</v>
      </c>
      <c r="I53" s="1">
        <v>4</v>
      </c>
      <c r="J53" s="2" t="s">
        <v>851</v>
      </c>
      <c r="K53" s="1" t="s">
        <v>282</v>
      </c>
      <c r="L53" s="1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28.5">
      <c r="A54" s="1" t="s">
        <v>424</v>
      </c>
      <c r="B54" s="1" t="s">
        <v>253</v>
      </c>
      <c r="C54" s="3" t="str">
        <f>IF($B54="","",IFERROR(VLOOKUP($B54,'02_Конкуренты'!$A$4:$B$11,2,FALSE),"не найдено"))</f>
        <v>Storm (StormBPMN)</v>
      </c>
      <c r="D54" s="1" t="s">
        <v>278</v>
      </c>
      <c r="E54" s="1" t="s">
        <v>422</v>
      </c>
      <c r="F54" s="1" t="s">
        <v>284</v>
      </c>
      <c r="G54" s="1" t="s">
        <v>425</v>
      </c>
      <c r="H54" s="1" t="s">
        <v>31</v>
      </c>
      <c r="I54" s="1">
        <v>4</v>
      </c>
      <c r="J54" s="2" t="s">
        <v>851</v>
      </c>
      <c r="K54" s="1" t="s">
        <v>286</v>
      </c>
      <c r="L54" s="1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57">
      <c r="A55" s="1" t="s">
        <v>426</v>
      </c>
      <c r="B55" s="1" t="s">
        <v>253</v>
      </c>
      <c r="C55" s="3" t="str">
        <f>IF($B55="","",IFERROR(VLOOKUP($B55,'02_Конкуренты'!$A$4:$B$11,2,FALSE),"не найдено"))</f>
        <v>Storm (StormBPMN)</v>
      </c>
      <c r="D55" s="1" t="s">
        <v>288</v>
      </c>
      <c r="E55" s="1" t="s">
        <v>427</v>
      </c>
      <c r="F55" s="1" t="s">
        <v>289</v>
      </c>
      <c r="G55" s="1" t="s">
        <v>428</v>
      </c>
      <c r="H55" s="1" t="s">
        <v>52</v>
      </c>
      <c r="I55" s="1">
        <v>5</v>
      </c>
      <c r="J55" s="2" t="s">
        <v>851</v>
      </c>
      <c r="K55" s="1" t="s">
        <v>291</v>
      </c>
      <c r="L55" s="1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57">
      <c r="A56" s="1" t="s">
        <v>429</v>
      </c>
      <c r="B56" s="1" t="s">
        <v>253</v>
      </c>
      <c r="C56" s="3" t="str">
        <f>IF($B56="","",IFERROR(VLOOKUP($B56,'02_Конкуренты'!$A$4:$B$11,2,FALSE),"не найдено"))</f>
        <v>Storm (StormBPMN)</v>
      </c>
      <c r="D56" s="1" t="s">
        <v>293</v>
      </c>
      <c r="E56" s="1" t="s">
        <v>422</v>
      </c>
      <c r="F56" s="1" t="s">
        <v>124</v>
      </c>
      <c r="G56" s="1" t="s">
        <v>430</v>
      </c>
      <c r="H56" s="1" t="s">
        <v>39</v>
      </c>
      <c r="I56" s="1">
        <v>3</v>
      </c>
      <c r="J56" s="2" t="s">
        <v>851</v>
      </c>
      <c r="K56" s="1" t="s">
        <v>295</v>
      </c>
      <c r="L56" s="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28.5">
      <c r="A57" s="1" t="s">
        <v>431</v>
      </c>
      <c r="B57" s="1" t="s">
        <v>253</v>
      </c>
      <c r="C57" s="3" t="str">
        <f>IF($B57="","",IFERROR(VLOOKUP($B57,'02_Конкуренты'!$A$4:$B$11,2,FALSE),"не найдено"))</f>
        <v>Storm (StormBPMN)</v>
      </c>
      <c r="D57" s="1" t="s">
        <v>303</v>
      </c>
      <c r="E57" s="1" t="s">
        <v>427</v>
      </c>
      <c r="F57" s="1" t="s">
        <v>373</v>
      </c>
      <c r="G57" s="1" t="s">
        <v>432</v>
      </c>
      <c r="H57" s="1" t="s">
        <v>52</v>
      </c>
      <c r="I57" s="1">
        <v>5</v>
      </c>
      <c r="J57" s="2" t="s">
        <v>851</v>
      </c>
      <c r="K57" s="1" t="s">
        <v>375</v>
      </c>
      <c r="L57" s="1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28.5">
      <c r="A58" s="1" t="s">
        <v>433</v>
      </c>
      <c r="B58" s="1" t="s">
        <v>253</v>
      </c>
      <c r="C58" s="3" t="str">
        <f>IF($B58="","",IFERROR(VLOOKUP($B58,'02_Конкуренты'!$A$4:$B$11,2,FALSE),"не найдено"))</f>
        <v>Storm (StormBPMN)</v>
      </c>
      <c r="D58" s="1" t="s">
        <v>303</v>
      </c>
      <c r="E58" s="1" t="s">
        <v>427</v>
      </c>
      <c r="F58" s="1" t="s">
        <v>377</v>
      </c>
      <c r="G58" s="1" t="s">
        <v>434</v>
      </c>
      <c r="H58" s="1" t="s">
        <v>52</v>
      </c>
      <c r="I58" s="1">
        <v>5</v>
      </c>
      <c r="J58" s="2" t="s">
        <v>851</v>
      </c>
      <c r="K58" s="1" t="s">
        <v>379</v>
      </c>
      <c r="L58" s="1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28.5">
      <c r="A59" s="1" t="s">
        <v>435</v>
      </c>
      <c r="B59" s="1" t="s">
        <v>253</v>
      </c>
      <c r="C59" s="3" t="str">
        <f>IF($B59="","",IFERROR(VLOOKUP($B59,'02_Конкуренты'!$A$4:$B$11,2,FALSE),"не найдено"))</f>
        <v>Storm (StormBPMN)</v>
      </c>
      <c r="D59" s="1" t="s">
        <v>303</v>
      </c>
      <c r="E59" s="1" t="s">
        <v>427</v>
      </c>
      <c r="F59" s="1" t="s">
        <v>381</v>
      </c>
      <c r="G59" s="1" t="s">
        <v>436</v>
      </c>
      <c r="H59" s="1" t="s">
        <v>46</v>
      </c>
      <c r="I59" s="1">
        <v>5</v>
      </c>
      <c r="J59" s="2" t="s">
        <v>851</v>
      </c>
      <c r="K59" s="1" t="s">
        <v>383</v>
      </c>
      <c r="L59" s="1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28.5">
      <c r="A60" s="1" t="s">
        <v>437</v>
      </c>
      <c r="B60" s="1" t="s">
        <v>253</v>
      </c>
      <c r="C60" s="3" t="str">
        <f>IF($B60="","",IFERROR(VLOOKUP($B60,'02_Конкуренты'!$A$4:$B$11,2,FALSE),"не найдено"))</f>
        <v>Storm (StormBPMN)</v>
      </c>
      <c r="D60" s="1" t="s">
        <v>303</v>
      </c>
      <c r="E60" s="1" t="s">
        <v>422</v>
      </c>
      <c r="F60" s="1" t="s">
        <v>385</v>
      </c>
      <c r="G60" s="1" t="s">
        <v>438</v>
      </c>
      <c r="H60" s="1" t="s">
        <v>31</v>
      </c>
      <c r="I60" s="1">
        <v>4</v>
      </c>
      <c r="J60" s="2" t="s">
        <v>851</v>
      </c>
      <c r="K60" s="1" t="s">
        <v>387</v>
      </c>
      <c r="L60" s="1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28.5">
      <c r="A61" s="1" t="s">
        <v>439</v>
      </c>
      <c r="B61" s="1" t="s">
        <v>253</v>
      </c>
      <c r="C61" s="3" t="str">
        <f>IF($B61="","",IFERROR(VLOOKUP($B61,'02_Конкуренты'!$A$4:$B$11,2,FALSE),"не найдено"))</f>
        <v>Storm (StormBPMN)</v>
      </c>
      <c r="D61" s="1" t="s">
        <v>303</v>
      </c>
      <c r="E61" s="1" t="s">
        <v>422</v>
      </c>
      <c r="F61" s="1" t="s">
        <v>308</v>
      </c>
      <c r="G61" s="1" t="s">
        <v>309</v>
      </c>
      <c r="H61" s="1" t="s">
        <v>64</v>
      </c>
      <c r="I61" s="1">
        <v>3</v>
      </c>
      <c r="J61" s="2" t="s">
        <v>851</v>
      </c>
      <c r="K61" s="1" t="s">
        <v>310</v>
      </c>
      <c r="L61" s="1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28.5">
      <c r="A62" s="1" t="s">
        <v>440</v>
      </c>
      <c r="B62" s="1" t="s">
        <v>253</v>
      </c>
      <c r="C62" s="3" t="str">
        <f>IF($B62="","",IFERROR(VLOOKUP($B62,'02_Конкуренты'!$A$4:$B$11,2,FALSE),"не найдено"))</f>
        <v>Storm (StormBPMN)</v>
      </c>
      <c r="D62" s="1" t="s">
        <v>303</v>
      </c>
      <c r="E62" s="1" t="s">
        <v>422</v>
      </c>
      <c r="F62" s="1" t="s">
        <v>353</v>
      </c>
      <c r="G62" s="1" t="s">
        <v>354</v>
      </c>
      <c r="H62" s="1" t="s">
        <v>31</v>
      </c>
      <c r="I62" s="1">
        <v>4</v>
      </c>
      <c r="J62" s="2" t="s">
        <v>851</v>
      </c>
      <c r="K62" s="1" t="s">
        <v>355</v>
      </c>
      <c r="L62" s="1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28.5">
      <c r="A63" s="1" t="s">
        <v>441</v>
      </c>
      <c r="B63" s="1" t="s">
        <v>253</v>
      </c>
      <c r="C63" s="3" t="str">
        <f>IF($B63="","",IFERROR(VLOOKUP($B63,'02_Конкуренты'!$A$4:$B$11,2,FALSE),"не найдено"))</f>
        <v>Storm (StormBPMN)</v>
      </c>
      <c r="D63" s="1" t="s">
        <v>303</v>
      </c>
      <c r="E63" s="1" t="s">
        <v>422</v>
      </c>
      <c r="F63" s="1" t="s">
        <v>391</v>
      </c>
      <c r="G63" s="1" t="s">
        <v>442</v>
      </c>
      <c r="H63" s="1" t="s">
        <v>46</v>
      </c>
      <c r="I63" s="1">
        <v>3</v>
      </c>
      <c r="J63" s="2" t="s">
        <v>851</v>
      </c>
      <c r="K63" s="1" t="s">
        <v>393</v>
      </c>
      <c r="L63" s="1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28.5">
      <c r="A64" s="1" t="s">
        <v>443</v>
      </c>
      <c r="B64" s="1" t="s">
        <v>253</v>
      </c>
      <c r="C64" s="3" t="str">
        <f>IF($B64="","",IFERROR(VLOOKUP($B64,'02_Конкуренты'!$A$4:$B$11,2,FALSE),"не найдено"))</f>
        <v>Storm (StormBPMN)</v>
      </c>
      <c r="D64" s="1" t="s">
        <v>303</v>
      </c>
      <c r="E64" s="1" t="s">
        <v>422</v>
      </c>
      <c r="F64" s="1" t="s">
        <v>395</v>
      </c>
      <c r="G64" s="1" t="s">
        <v>396</v>
      </c>
      <c r="H64" s="1" t="s">
        <v>22</v>
      </c>
      <c r="I64" s="1">
        <v>3</v>
      </c>
      <c r="J64" s="2" t="s">
        <v>851</v>
      </c>
      <c r="K64" s="1" t="s">
        <v>397</v>
      </c>
      <c r="L64" s="1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28.5">
      <c r="A65" s="1" t="s">
        <v>444</v>
      </c>
      <c r="B65" s="1" t="s">
        <v>253</v>
      </c>
      <c r="C65" s="3" t="str">
        <f>IF($B65="","",IFERROR(VLOOKUP($B65,'02_Конкуренты'!$A$4:$B$11,2,FALSE),"не найдено"))</f>
        <v>Storm (StormBPMN)</v>
      </c>
      <c r="D65" s="1" t="s">
        <v>303</v>
      </c>
      <c r="E65" s="1" t="s">
        <v>427</v>
      </c>
      <c r="F65" s="1" t="s">
        <v>399</v>
      </c>
      <c r="G65" s="1" t="s">
        <v>445</v>
      </c>
      <c r="H65" s="1" t="s">
        <v>52</v>
      </c>
      <c r="I65" s="1">
        <v>5</v>
      </c>
      <c r="J65" s="2" t="s">
        <v>851</v>
      </c>
      <c r="K65" s="1" t="s">
        <v>401</v>
      </c>
      <c r="L65" s="1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28.5">
      <c r="A66" s="1" t="s">
        <v>446</v>
      </c>
      <c r="B66" s="1" t="s">
        <v>253</v>
      </c>
      <c r="C66" s="3" t="str">
        <f>IF($B66="","",IFERROR(VLOOKUP($B66,'02_Конкуренты'!$A$4:$B$11,2,FALSE),"не найдено"))</f>
        <v>Storm (StormBPMN)</v>
      </c>
      <c r="D66" s="1" t="s">
        <v>303</v>
      </c>
      <c r="E66" s="1" t="s">
        <v>422</v>
      </c>
      <c r="F66" s="1" t="s">
        <v>403</v>
      </c>
      <c r="G66" s="1" t="s">
        <v>404</v>
      </c>
      <c r="H66" s="1" t="s">
        <v>39</v>
      </c>
      <c r="I66" s="1">
        <v>3</v>
      </c>
      <c r="J66" s="2" t="s">
        <v>851</v>
      </c>
      <c r="K66" s="1" t="s">
        <v>405</v>
      </c>
      <c r="L66" s="1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28.5">
      <c r="A67" s="1" t="s">
        <v>447</v>
      </c>
      <c r="B67" s="1" t="s">
        <v>253</v>
      </c>
      <c r="C67" s="3" t="str">
        <f>IF($B67="","",IFERROR(VLOOKUP($B67,'02_Конкуренты'!$A$4:$B$11,2,FALSE),"не найдено"))</f>
        <v>Storm (StormBPMN)</v>
      </c>
      <c r="D67" s="1" t="s">
        <v>303</v>
      </c>
      <c r="E67" s="1" t="s">
        <v>422</v>
      </c>
      <c r="F67" s="1" t="s">
        <v>407</v>
      </c>
      <c r="G67" s="1" t="s">
        <v>408</v>
      </c>
      <c r="H67" s="1" t="s">
        <v>31</v>
      </c>
      <c r="I67" s="1">
        <v>4</v>
      </c>
      <c r="J67" s="2" t="s">
        <v>851</v>
      </c>
      <c r="K67" s="1" t="s">
        <v>409</v>
      </c>
      <c r="L67" s="1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28.5">
      <c r="A68" s="1" t="s">
        <v>448</v>
      </c>
      <c r="B68" s="1" t="s">
        <v>253</v>
      </c>
      <c r="C68" s="3" t="str">
        <f>IF($B68="","",IFERROR(VLOOKUP($B68,'02_Конкуренты'!$A$4:$B$11,2,FALSE),"не найдено"))</f>
        <v>Storm (StormBPMN)</v>
      </c>
      <c r="D68" s="1" t="s">
        <v>303</v>
      </c>
      <c r="E68" s="1" t="s">
        <v>422</v>
      </c>
      <c r="F68" s="1" t="s">
        <v>316</v>
      </c>
      <c r="G68" s="1" t="s">
        <v>317</v>
      </c>
      <c r="H68" s="1" t="s">
        <v>31</v>
      </c>
      <c r="I68" s="1">
        <v>4</v>
      </c>
      <c r="J68" s="2" t="s">
        <v>851</v>
      </c>
      <c r="K68" s="1" t="s">
        <v>318</v>
      </c>
      <c r="L68" s="1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28.5">
      <c r="A69" s="1" t="s">
        <v>449</v>
      </c>
      <c r="B69" s="1" t="s">
        <v>253</v>
      </c>
      <c r="C69" s="3" t="str">
        <f>IF($B69="","",IFERROR(VLOOKUP($B69,'02_Конкуренты'!$A$4:$B$11,2,FALSE),"не найдено"))</f>
        <v>Storm (StormBPMN)</v>
      </c>
      <c r="D69" s="1" t="s">
        <v>303</v>
      </c>
      <c r="E69" s="1" t="s">
        <v>422</v>
      </c>
      <c r="F69" s="1" t="s">
        <v>412</v>
      </c>
      <c r="G69" s="1" t="s">
        <v>413</v>
      </c>
      <c r="H69" s="1" t="s">
        <v>31</v>
      </c>
      <c r="I69" s="1">
        <v>4</v>
      </c>
      <c r="J69" s="2" t="s">
        <v>851</v>
      </c>
      <c r="K69" s="1" t="s">
        <v>414</v>
      </c>
      <c r="L69" s="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28.5">
      <c r="A70" s="1" t="s">
        <v>450</v>
      </c>
      <c r="B70" s="1" t="s">
        <v>253</v>
      </c>
      <c r="C70" s="3" t="str">
        <f>IF($B70="","",IFERROR(VLOOKUP($B70,'02_Конкуренты'!$A$4:$B$11,2,FALSE),"не найдено"))</f>
        <v>Storm (StormBPMN)</v>
      </c>
      <c r="D70" s="1" t="s">
        <v>303</v>
      </c>
      <c r="E70" s="1" t="s">
        <v>422</v>
      </c>
      <c r="F70" s="1" t="s">
        <v>451</v>
      </c>
      <c r="G70" s="1" t="s">
        <v>452</v>
      </c>
      <c r="H70" s="1" t="s">
        <v>31</v>
      </c>
      <c r="I70" s="1">
        <v>4</v>
      </c>
      <c r="J70" s="2" t="s">
        <v>851</v>
      </c>
      <c r="K70" s="1" t="s">
        <v>453</v>
      </c>
      <c r="L70" s="1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28.5">
      <c r="A71" s="1" t="s">
        <v>454</v>
      </c>
      <c r="B71" s="1" t="s">
        <v>253</v>
      </c>
      <c r="C71" s="3" t="str">
        <f>IF($B71="","",IFERROR(VLOOKUP($B71,'02_Конкуренты'!$A$4:$B$11,2,FALSE),"не найдено"))</f>
        <v>Storm (StormBPMN)</v>
      </c>
      <c r="D71" s="1" t="s">
        <v>303</v>
      </c>
      <c r="E71" s="1" t="s">
        <v>422</v>
      </c>
      <c r="F71" s="1" t="s">
        <v>331</v>
      </c>
      <c r="G71" s="1" t="s">
        <v>332</v>
      </c>
      <c r="H71" s="1" t="s">
        <v>67</v>
      </c>
      <c r="I71" s="1">
        <v>3</v>
      </c>
      <c r="J71" s="2" t="s">
        <v>851</v>
      </c>
      <c r="K71" s="1" t="s">
        <v>333</v>
      </c>
      <c r="L71" s="1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>
      <c r="A72" s="1" t="s">
        <v>455</v>
      </c>
      <c r="B72" s="1" t="s">
        <v>253</v>
      </c>
      <c r="C72" s="3" t="str">
        <f>IF($B72="","",IFERROR(VLOOKUP($B72,'02_Конкуренты'!$A$4:$B$11,2,FALSE),"не найдено"))</f>
        <v>Storm (StormBPMN)</v>
      </c>
      <c r="D72" s="1" t="s">
        <v>303</v>
      </c>
      <c r="E72" s="1" t="s">
        <v>422</v>
      </c>
      <c r="F72" s="1" t="s">
        <v>456</v>
      </c>
      <c r="G72" s="1" t="s">
        <v>457</v>
      </c>
      <c r="H72" s="1" t="s">
        <v>13</v>
      </c>
      <c r="I72" s="1">
        <v>3</v>
      </c>
      <c r="J72" s="2" t="s">
        <v>851</v>
      </c>
      <c r="K72" s="1" t="s">
        <v>458</v>
      </c>
      <c r="L72" s="1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28.5">
      <c r="A73" s="1" t="s">
        <v>459</v>
      </c>
      <c r="B73" s="1" t="s">
        <v>253</v>
      </c>
      <c r="C73" s="3" t="str">
        <f>IF($B73="","",IFERROR(VLOOKUP($B73,'02_Конкуренты'!$A$4:$B$11,2,FALSE),"не найдено"))</f>
        <v>Storm (StormBPMN)</v>
      </c>
      <c r="D73" s="1" t="s">
        <v>303</v>
      </c>
      <c r="E73" s="1" t="s">
        <v>422</v>
      </c>
      <c r="F73" s="1" t="s">
        <v>418</v>
      </c>
      <c r="G73" s="1" t="s">
        <v>419</v>
      </c>
      <c r="H73" s="1" t="s">
        <v>70</v>
      </c>
      <c r="I73" s="1">
        <v>3</v>
      </c>
      <c r="J73" s="2" t="s">
        <v>851</v>
      </c>
      <c r="K73" s="1" t="s">
        <v>420</v>
      </c>
      <c r="L73" s="1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28.5">
      <c r="A74" s="1" t="s">
        <v>460</v>
      </c>
      <c r="B74" s="1" t="s">
        <v>258</v>
      </c>
      <c r="C74" s="3" t="str">
        <f>IF($B74="","",IFERROR(VLOOKUP($B74,'02_Конкуренты'!$A$4:$B$11,2,FALSE),"не найдено"))</f>
        <v>draw.io (diagrams.net)</v>
      </c>
      <c r="D74" s="1" t="s">
        <v>278</v>
      </c>
      <c r="E74" s="1" t="s">
        <v>461</v>
      </c>
      <c r="F74" s="1" t="s">
        <v>280</v>
      </c>
      <c r="G74" s="1" t="s">
        <v>462</v>
      </c>
      <c r="H74" s="1" t="s">
        <v>22</v>
      </c>
      <c r="I74" s="1">
        <v>4</v>
      </c>
      <c r="J74" s="2" t="s">
        <v>851</v>
      </c>
      <c r="K74" s="1" t="s">
        <v>282</v>
      </c>
      <c r="L74" s="1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28.5">
      <c r="A75" s="1" t="s">
        <v>463</v>
      </c>
      <c r="B75" s="1" t="s">
        <v>258</v>
      </c>
      <c r="C75" s="3" t="str">
        <f>IF($B75="","",IFERROR(VLOOKUP($B75,'02_Конкуренты'!$A$4:$B$11,2,FALSE),"не найдено"))</f>
        <v>draw.io (diagrams.net)</v>
      </c>
      <c r="D75" s="1" t="s">
        <v>278</v>
      </c>
      <c r="E75" s="1" t="s">
        <v>461</v>
      </c>
      <c r="F75" s="1" t="s">
        <v>284</v>
      </c>
      <c r="G75" s="1" t="s">
        <v>464</v>
      </c>
      <c r="H75" s="1" t="s">
        <v>31</v>
      </c>
      <c r="I75" s="1">
        <v>4</v>
      </c>
      <c r="J75" s="2" t="s">
        <v>851</v>
      </c>
      <c r="K75" s="1" t="s">
        <v>286</v>
      </c>
      <c r="L75" s="1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28.5">
      <c r="A76" s="1" t="s">
        <v>465</v>
      </c>
      <c r="B76" s="1" t="s">
        <v>258</v>
      </c>
      <c r="C76" s="3" t="str">
        <f>IF($B76="","",IFERROR(VLOOKUP($B76,'02_Конкуренты'!$A$4:$B$11,2,FALSE),"не найдено"))</f>
        <v>draw.io (diagrams.net)</v>
      </c>
      <c r="D76" s="1" t="s">
        <v>288</v>
      </c>
      <c r="E76" s="1" t="s">
        <v>461</v>
      </c>
      <c r="F76" s="1" t="s">
        <v>289</v>
      </c>
      <c r="G76" s="1" t="s">
        <v>466</v>
      </c>
      <c r="H76" s="1" t="s">
        <v>52</v>
      </c>
      <c r="I76" s="1">
        <v>4</v>
      </c>
      <c r="J76" s="2" t="s">
        <v>851</v>
      </c>
      <c r="K76" s="1" t="s">
        <v>291</v>
      </c>
      <c r="L76" s="1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57">
      <c r="A77" s="1" t="s">
        <v>467</v>
      </c>
      <c r="B77" s="1" t="s">
        <v>258</v>
      </c>
      <c r="C77" s="3" t="str">
        <f>IF($B77="","",IFERROR(VLOOKUP($B77,'02_Конкуренты'!$A$4:$B$11,2,FALSE),"не найдено"))</f>
        <v>draw.io (diagrams.net)</v>
      </c>
      <c r="D77" s="1" t="s">
        <v>293</v>
      </c>
      <c r="E77" s="1" t="s">
        <v>461</v>
      </c>
      <c r="F77" s="1" t="s">
        <v>124</v>
      </c>
      <c r="G77" s="1" t="s">
        <v>468</v>
      </c>
      <c r="H77" s="1" t="s">
        <v>39</v>
      </c>
      <c r="I77" s="1">
        <v>3</v>
      </c>
      <c r="J77" s="2" t="s">
        <v>851</v>
      </c>
      <c r="K77" s="1" t="s">
        <v>295</v>
      </c>
      <c r="L77" s="1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28.5">
      <c r="A78" s="1" t="s">
        <v>469</v>
      </c>
      <c r="B78" s="1" t="s">
        <v>258</v>
      </c>
      <c r="C78" s="3" t="str">
        <f>IF($B78="","",IFERROR(VLOOKUP($B78,'02_Конкуренты'!$A$4:$B$11,2,FALSE),"не найдено"))</f>
        <v>draw.io (diagrams.net)</v>
      </c>
      <c r="D78" s="1" t="s">
        <v>297</v>
      </c>
      <c r="E78" s="1" t="s">
        <v>470</v>
      </c>
      <c r="F78" s="1" t="s">
        <v>299</v>
      </c>
      <c r="G78" s="1" t="s">
        <v>471</v>
      </c>
      <c r="H78" s="1" t="s">
        <v>56</v>
      </c>
      <c r="I78" s="1">
        <v>5</v>
      </c>
      <c r="J78" s="2" t="s">
        <v>851</v>
      </c>
      <c r="K78" s="1" t="s">
        <v>301</v>
      </c>
      <c r="L78" s="1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28.5">
      <c r="A79" s="1" t="s">
        <v>472</v>
      </c>
      <c r="B79" s="1" t="s">
        <v>258</v>
      </c>
      <c r="C79" s="3" t="str">
        <f>IF($B79="","",IFERROR(VLOOKUP($B79,'02_Конкуренты'!$A$4:$B$11,2,FALSE),"не найдено"))</f>
        <v>draw.io (diagrams.net)</v>
      </c>
      <c r="D79" s="1" t="s">
        <v>303</v>
      </c>
      <c r="E79" s="1" t="s">
        <v>461</v>
      </c>
      <c r="F79" s="1" t="s">
        <v>308</v>
      </c>
      <c r="G79" s="1" t="s">
        <v>309</v>
      </c>
      <c r="H79" s="1" t="s">
        <v>64</v>
      </c>
      <c r="I79" s="1">
        <v>3</v>
      </c>
      <c r="J79" s="2" t="s">
        <v>851</v>
      </c>
      <c r="K79" s="1" t="s">
        <v>310</v>
      </c>
      <c r="L79" s="1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28.5">
      <c r="A80" s="1" t="s">
        <v>473</v>
      </c>
      <c r="B80" s="1" t="s">
        <v>258</v>
      </c>
      <c r="C80" s="3" t="str">
        <f>IF($B80="","",IFERROR(VLOOKUP($B80,'02_Конкуренты'!$A$4:$B$11,2,FALSE),"не найдено"))</f>
        <v>draw.io (diagrams.net)</v>
      </c>
      <c r="D80" s="1" t="s">
        <v>303</v>
      </c>
      <c r="E80" s="1" t="s">
        <v>461</v>
      </c>
      <c r="F80" s="1" t="s">
        <v>312</v>
      </c>
      <c r="G80" s="1" t="s">
        <v>313</v>
      </c>
      <c r="H80" s="1" t="s">
        <v>56</v>
      </c>
      <c r="I80" s="1">
        <v>3</v>
      </c>
      <c r="J80" s="2" t="s">
        <v>851</v>
      </c>
      <c r="K80" s="1" t="s">
        <v>314</v>
      </c>
      <c r="L80" s="1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28.5">
      <c r="A81" s="1" t="s">
        <v>474</v>
      </c>
      <c r="B81" s="1" t="s">
        <v>258</v>
      </c>
      <c r="C81" s="3" t="str">
        <f>IF($B81="","",IFERROR(VLOOKUP($B81,'02_Конкуренты'!$A$4:$B$11,2,FALSE),"не найдено"))</f>
        <v>draw.io (diagrams.net)</v>
      </c>
      <c r="D81" s="1" t="s">
        <v>303</v>
      </c>
      <c r="E81" s="1" t="s">
        <v>461</v>
      </c>
      <c r="F81" s="1" t="s">
        <v>391</v>
      </c>
      <c r="G81" s="1" t="s">
        <v>475</v>
      </c>
      <c r="H81" s="1" t="s">
        <v>46</v>
      </c>
      <c r="I81" s="1">
        <v>3</v>
      </c>
      <c r="J81" s="2" t="s">
        <v>851</v>
      </c>
      <c r="K81" s="1" t="s">
        <v>393</v>
      </c>
      <c r="L81" s="1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28.5">
      <c r="A82" s="1" t="s">
        <v>476</v>
      </c>
      <c r="B82" s="1" t="s">
        <v>258</v>
      </c>
      <c r="C82" s="3" t="str">
        <f>IF($B82="","",IFERROR(VLOOKUP($B82,'02_Конкуренты'!$A$4:$B$11,2,FALSE),"не найдено"))</f>
        <v>draw.io (diagrams.net)</v>
      </c>
      <c r="D82" s="1" t="s">
        <v>303</v>
      </c>
      <c r="E82" s="1" t="s">
        <v>461</v>
      </c>
      <c r="F82" s="1" t="s">
        <v>395</v>
      </c>
      <c r="G82" s="1" t="s">
        <v>396</v>
      </c>
      <c r="H82" s="1" t="s">
        <v>22</v>
      </c>
      <c r="I82" s="1">
        <v>3</v>
      </c>
      <c r="J82" s="2" t="s">
        <v>851</v>
      </c>
      <c r="K82" s="1" t="s">
        <v>397</v>
      </c>
      <c r="L82" s="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28.5">
      <c r="A83" s="1" t="s">
        <v>477</v>
      </c>
      <c r="B83" s="1" t="s">
        <v>258</v>
      </c>
      <c r="C83" s="3" t="str">
        <f>IF($B83="","",IFERROR(VLOOKUP($B83,'02_Конкуренты'!$A$4:$B$11,2,FALSE),"не найдено"))</f>
        <v>draw.io (diagrams.net)</v>
      </c>
      <c r="D83" s="1" t="s">
        <v>303</v>
      </c>
      <c r="E83" s="1" t="s">
        <v>461</v>
      </c>
      <c r="F83" s="1" t="s">
        <v>403</v>
      </c>
      <c r="G83" s="1" t="s">
        <v>404</v>
      </c>
      <c r="H83" s="1" t="s">
        <v>39</v>
      </c>
      <c r="I83" s="1">
        <v>3</v>
      </c>
      <c r="J83" s="2" t="s">
        <v>851</v>
      </c>
      <c r="K83" s="1" t="s">
        <v>405</v>
      </c>
      <c r="L83" s="1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28.5">
      <c r="A84" s="1" t="s">
        <v>478</v>
      </c>
      <c r="B84" s="1" t="s">
        <v>258</v>
      </c>
      <c r="C84" s="3" t="str">
        <f>IF($B84="","",IFERROR(VLOOKUP($B84,'02_Конкуренты'!$A$4:$B$11,2,FALSE),"не найдено"))</f>
        <v>draw.io (diagrams.net)</v>
      </c>
      <c r="D84" s="1" t="s">
        <v>303</v>
      </c>
      <c r="E84" s="1" t="s">
        <v>461</v>
      </c>
      <c r="F84" s="1" t="s">
        <v>407</v>
      </c>
      <c r="G84" s="1" t="s">
        <v>408</v>
      </c>
      <c r="H84" s="1" t="s">
        <v>31</v>
      </c>
      <c r="I84" s="1">
        <v>4</v>
      </c>
      <c r="J84" s="2" t="s">
        <v>851</v>
      </c>
      <c r="K84" s="1" t="s">
        <v>409</v>
      </c>
      <c r="L84" s="1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28.5">
      <c r="A85" s="1" t="s">
        <v>479</v>
      </c>
      <c r="B85" s="1" t="s">
        <v>258</v>
      </c>
      <c r="C85" s="3" t="str">
        <f>IF($B85="","",IFERROR(VLOOKUP($B85,'02_Конкуренты'!$A$4:$B$11,2,FALSE),"не найдено"))</f>
        <v>draw.io (diagrams.net)</v>
      </c>
      <c r="D85" s="1" t="s">
        <v>303</v>
      </c>
      <c r="E85" s="1" t="s">
        <v>461</v>
      </c>
      <c r="F85" s="1" t="s">
        <v>316</v>
      </c>
      <c r="G85" s="1" t="s">
        <v>317</v>
      </c>
      <c r="H85" s="1" t="s">
        <v>31</v>
      </c>
      <c r="I85" s="1">
        <v>4</v>
      </c>
      <c r="J85" s="2" t="s">
        <v>851</v>
      </c>
      <c r="K85" s="1" t="s">
        <v>318</v>
      </c>
      <c r="L85" s="1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28.5">
      <c r="A86" s="1" t="s">
        <v>480</v>
      </c>
      <c r="B86" s="1" t="s">
        <v>258</v>
      </c>
      <c r="C86" s="3" t="str">
        <f>IF($B86="","",IFERROR(VLOOKUP($B86,'02_Конкуренты'!$A$4:$B$11,2,FALSE),"не найдено"))</f>
        <v>draw.io (diagrams.net)</v>
      </c>
      <c r="D86" s="1" t="s">
        <v>303</v>
      </c>
      <c r="E86" s="1" t="s">
        <v>461</v>
      </c>
      <c r="F86" s="1" t="s">
        <v>320</v>
      </c>
      <c r="G86" s="1" t="s">
        <v>321</v>
      </c>
      <c r="H86" s="1" t="s">
        <v>46</v>
      </c>
      <c r="I86" s="1">
        <v>4</v>
      </c>
      <c r="J86" s="2" t="s">
        <v>851</v>
      </c>
      <c r="K86" s="1" t="s">
        <v>932</v>
      </c>
      <c r="L86" s="1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28.5">
      <c r="A87" s="1" t="s">
        <v>481</v>
      </c>
      <c r="B87" s="1" t="s">
        <v>258</v>
      </c>
      <c r="C87" s="3" t="str">
        <f>IF($B87="","",IFERROR(VLOOKUP($B87,'02_Конкуренты'!$A$4:$B$11,2,FALSE),"не найдено"))</f>
        <v>draw.io (diagrams.net)</v>
      </c>
      <c r="D87" s="1" t="s">
        <v>303</v>
      </c>
      <c r="E87" s="1" t="s">
        <v>461</v>
      </c>
      <c r="F87" s="1" t="s">
        <v>323</v>
      </c>
      <c r="G87" s="1" t="s">
        <v>324</v>
      </c>
      <c r="H87" s="1" t="s">
        <v>31</v>
      </c>
      <c r="I87" s="1">
        <v>4</v>
      </c>
      <c r="J87" s="2" t="s">
        <v>851</v>
      </c>
      <c r="K87" s="1" t="s">
        <v>325</v>
      </c>
      <c r="L87" s="1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28.5">
      <c r="A88" s="1" t="s">
        <v>482</v>
      </c>
      <c r="B88" s="1" t="s">
        <v>258</v>
      </c>
      <c r="C88" s="3" t="str">
        <f>IF($B88="","",IFERROR(VLOOKUP($B88,'02_Конкуренты'!$A$4:$B$11,2,FALSE),"не найдено"))</f>
        <v>draw.io (diagrams.net)</v>
      </c>
      <c r="D88" s="1" t="s">
        <v>303</v>
      </c>
      <c r="E88" s="1" t="s">
        <v>461</v>
      </c>
      <c r="F88" s="1" t="s">
        <v>327</v>
      </c>
      <c r="G88" s="1" t="s">
        <v>328</v>
      </c>
      <c r="H88" s="1" t="s">
        <v>31</v>
      </c>
      <c r="I88" s="1">
        <v>4</v>
      </c>
      <c r="J88" s="2" t="s">
        <v>851</v>
      </c>
      <c r="K88" s="1" t="s">
        <v>329</v>
      </c>
      <c r="L88" s="1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28.5">
      <c r="A89" s="1" t="s">
        <v>483</v>
      </c>
      <c r="B89" s="1" t="s">
        <v>258</v>
      </c>
      <c r="C89" s="3" t="str">
        <f>IF($B89="","",IFERROR(VLOOKUP($B89,'02_Конкуренты'!$A$4:$B$11,2,FALSE),"не найдено"))</f>
        <v>draw.io (diagrams.net)</v>
      </c>
      <c r="D89" s="1" t="s">
        <v>303</v>
      </c>
      <c r="E89" s="1" t="s">
        <v>461</v>
      </c>
      <c r="F89" s="1" t="s">
        <v>335</v>
      </c>
      <c r="G89" s="1" t="s">
        <v>336</v>
      </c>
      <c r="H89" s="1" t="s">
        <v>31</v>
      </c>
      <c r="I89" s="1">
        <v>3</v>
      </c>
      <c r="J89" s="2" t="s">
        <v>851</v>
      </c>
      <c r="K89" s="1" t="s">
        <v>337</v>
      </c>
      <c r="L89" s="1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28.5">
      <c r="A90" s="1" t="s">
        <v>484</v>
      </c>
      <c r="B90" s="1" t="s">
        <v>263</v>
      </c>
      <c r="C90" s="3" t="str">
        <f>IF($B90="","",IFERROR(VLOOKUP($B90,'02_Конкуренты'!$A$4:$B$11,2,FALSE),"не найдено"))</f>
        <v>Lucidchart</v>
      </c>
      <c r="D90" s="1" t="s">
        <v>278</v>
      </c>
      <c r="E90" s="1" t="s">
        <v>485</v>
      </c>
      <c r="F90" s="1" t="s">
        <v>280</v>
      </c>
      <c r="G90" s="1" t="s">
        <v>486</v>
      </c>
      <c r="H90" s="1" t="s">
        <v>22</v>
      </c>
      <c r="I90" s="1">
        <v>4</v>
      </c>
      <c r="J90" s="2" t="s">
        <v>851</v>
      </c>
      <c r="K90" s="1" t="s">
        <v>282</v>
      </c>
      <c r="L90" s="1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28.5">
      <c r="A91" s="1" t="s">
        <v>487</v>
      </c>
      <c r="B91" s="1" t="s">
        <v>263</v>
      </c>
      <c r="C91" s="3" t="str">
        <f>IF($B91="","",IFERROR(VLOOKUP($B91,'02_Конкуренты'!$A$4:$B$11,2,FALSE),"не найдено"))</f>
        <v>Lucidchart</v>
      </c>
      <c r="D91" s="1" t="s">
        <v>278</v>
      </c>
      <c r="E91" s="1" t="s">
        <v>485</v>
      </c>
      <c r="F91" s="1" t="s">
        <v>284</v>
      </c>
      <c r="G91" s="1" t="s">
        <v>488</v>
      </c>
      <c r="H91" s="1" t="s">
        <v>31</v>
      </c>
      <c r="I91" s="1">
        <v>4</v>
      </c>
      <c r="J91" s="2" t="s">
        <v>851</v>
      </c>
      <c r="K91" s="1" t="s">
        <v>286</v>
      </c>
      <c r="L91" s="1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42.75">
      <c r="A92" s="1" t="s">
        <v>489</v>
      </c>
      <c r="B92" s="1" t="s">
        <v>263</v>
      </c>
      <c r="C92" s="3" t="str">
        <f>IF($B92="","",IFERROR(VLOOKUP($B92,'02_Конкуренты'!$A$4:$B$11,2,FALSE),"не найдено"))</f>
        <v>Lucidchart</v>
      </c>
      <c r="D92" s="1" t="s">
        <v>288</v>
      </c>
      <c r="E92" s="1" t="s">
        <v>490</v>
      </c>
      <c r="F92" s="1" t="s">
        <v>289</v>
      </c>
      <c r="G92" s="1" t="s">
        <v>853</v>
      </c>
      <c r="H92" s="1" t="s">
        <v>52</v>
      </c>
      <c r="I92" s="1">
        <v>5</v>
      </c>
      <c r="J92" s="2" t="s">
        <v>851</v>
      </c>
      <c r="K92" s="1" t="s">
        <v>291</v>
      </c>
      <c r="L92" s="1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57">
      <c r="A93" s="1" t="s">
        <v>491</v>
      </c>
      <c r="B93" s="1" t="s">
        <v>263</v>
      </c>
      <c r="C93" s="3" t="str">
        <f>IF($B93="","",IFERROR(VLOOKUP($B93,'02_Конкуренты'!$A$4:$B$11,2,FALSE),"не найдено"))</f>
        <v>Lucidchart</v>
      </c>
      <c r="D93" s="1" t="s">
        <v>293</v>
      </c>
      <c r="E93" s="1" t="s">
        <v>485</v>
      </c>
      <c r="F93" s="1" t="s">
        <v>124</v>
      </c>
      <c r="G93" s="1" t="s">
        <v>492</v>
      </c>
      <c r="H93" s="1" t="s">
        <v>39</v>
      </c>
      <c r="I93" s="1">
        <v>3</v>
      </c>
      <c r="J93" s="2" t="s">
        <v>851</v>
      </c>
      <c r="K93" s="1" t="s">
        <v>295</v>
      </c>
      <c r="L93" s="1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28.5">
      <c r="A94" s="1" t="s">
        <v>493</v>
      </c>
      <c r="B94" s="1" t="s">
        <v>263</v>
      </c>
      <c r="C94" s="3" t="str">
        <f>IF($B94="","",IFERROR(VLOOKUP($B94,'02_Конкуренты'!$A$4:$B$11,2,FALSE),"не найдено"))</f>
        <v>Lucidchart</v>
      </c>
      <c r="D94" s="1" t="s">
        <v>303</v>
      </c>
      <c r="E94" s="1" t="s">
        <v>485</v>
      </c>
      <c r="F94" s="1" t="s">
        <v>304</v>
      </c>
      <c r="G94" s="1" t="s">
        <v>305</v>
      </c>
      <c r="H94" s="1" t="s">
        <v>31</v>
      </c>
      <c r="I94" s="1">
        <v>4</v>
      </c>
      <c r="J94" s="2" t="s">
        <v>851</v>
      </c>
      <c r="K94" s="1" t="s">
        <v>306</v>
      </c>
      <c r="L94" s="1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28.5">
      <c r="A95" s="1" t="s">
        <v>494</v>
      </c>
      <c r="B95" s="1" t="s">
        <v>263</v>
      </c>
      <c r="C95" s="3" t="str">
        <f>IF($B95="","",IFERROR(VLOOKUP($B95,'02_Конкуренты'!$A$4:$B$11,2,FALSE),"не найдено"))</f>
        <v>Lucidchart</v>
      </c>
      <c r="D95" s="1" t="s">
        <v>303</v>
      </c>
      <c r="E95" s="1" t="s">
        <v>490</v>
      </c>
      <c r="F95" s="1" t="s">
        <v>373</v>
      </c>
      <c r="G95" s="1" t="s">
        <v>374</v>
      </c>
      <c r="H95" s="1" t="s">
        <v>52</v>
      </c>
      <c r="I95" s="1">
        <v>5</v>
      </c>
      <c r="J95" s="2" t="s">
        <v>851</v>
      </c>
      <c r="K95" s="1" t="s">
        <v>375</v>
      </c>
      <c r="L95" s="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28.5">
      <c r="A96" s="1" t="s">
        <v>495</v>
      </c>
      <c r="B96" s="1" t="s">
        <v>263</v>
      </c>
      <c r="C96" s="3" t="str">
        <f>IF($B96="","",IFERROR(VLOOKUP($B96,'02_Конкуренты'!$A$4:$B$11,2,FALSE),"не найдено"))</f>
        <v>Lucidchart</v>
      </c>
      <c r="D96" s="1" t="s">
        <v>303</v>
      </c>
      <c r="E96" s="1" t="s">
        <v>490</v>
      </c>
      <c r="F96" s="1" t="s">
        <v>377</v>
      </c>
      <c r="G96" s="1" t="s">
        <v>378</v>
      </c>
      <c r="H96" s="1" t="s">
        <v>52</v>
      </c>
      <c r="I96" s="1">
        <v>5</v>
      </c>
      <c r="J96" s="2" t="s">
        <v>851</v>
      </c>
      <c r="K96" s="1" t="s">
        <v>379</v>
      </c>
      <c r="L96" s="1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28.5">
      <c r="A97" s="1" t="s">
        <v>496</v>
      </c>
      <c r="B97" s="1" t="s">
        <v>263</v>
      </c>
      <c r="C97" s="3" t="str">
        <f>IF($B97="","",IFERROR(VLOOKUP($B97,'02_Конкуренты'!$A$4:$B$11,2,FALSE),"не найдено"))</f>
        <v>Lucidchart</v>
      </c>
      <c r="D97" s="1" t="s">
        <v>303</v>
      </c>
      <c r="E97" s="1" t="s">
        <v>490</v>
      </c>
      <c r="F97" s="1" t="s">
        <v>497</v>
      </c>
      <c r="G97" s="1" t="s">
        <v>498</v>
      </c>
      <c r="H97" s="1" t="s">
        <v>52</v>
      </c>
      <c r="I97" s="1">
        <v>5</v>
      </c>
      <c r="J97" s="2" t="s">
        <v>851</v>
      </c>
      <c r="K97" s="1" t="s">
        <v>499</v>
      </c>
      <c r="L97" s="1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28.5">
      <c r="A98" s="1" t="s">
        <v>500</v>
      </c>
      <c r="B98" s="1" t="s">
        <v>263</v>
      </c>
      <c r="C98" s="3" t="str">
        <f>IF($B98="","",IFERROR(VLOOKUP($B98,'02_Конкуренты'!$A$4:$B$11,2,FALSE),"не найдено"))</f>
        <v>Lucidchart</v>
      </c>
      <c r="D98" s="1" t="s">
        <v>303</v>
      </c>
      <c r="E98" s="1" t="s">
        <v>485</v>
      </c>
      <c r="F98" s="1" t="s">
        <v>385</v>
      </c>
      <c r="G98" s="1" t="s">
        <v>501</v>
      </c>
      <c r="H98" s="1" t="s">
        <v>31</v>
      </c>
      <c r="I98" s="1">
        <v>4</v>
      </c>
      <c r="J98" s="2" t="s">
        <v>851</v>
      </c>
      <c r="K98" s="1" t="s">
        <v>387</v>
      </c>
      <c r="L98" s="1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28.5">
      <c r="A99" s="1" t="s">
        <v>502</v>
      </c>
      <c r="B99" s="1" t="s">
        <v>263</v>
      </c>
      <c r="C99" s="3" t="str">
        <f>IF($B99="","",IFERROR(VLOOKUP($B99,'02_Конкуренты'!$A$4:$B$11,2,FALSE),"не найдено"))</f>
        <v>Lucidchart</v>
      </c>
      <c r="D99" s="1" t="s">
        <v>303</v>
      </c>
      <c r="E99" s="1" t="s">
        <v>485</v>
      </c>
      <c r="F99" s="1" t="s">
        <v>308</v>
      </c>
      <c r="G99" s="1" t="s">
        <v>309</v>
      </c>
      <c r="H99" s="1" t="s">
        <v>64</v>
      </c>
      <c r="I99" s="1">
        <v>3</v>
      </c>
      <c r="J99" s="2" t="s">
        <v>851</v>
      </c>
      <c r="K99" s="1" t="s">
        <v>310</v>
      </c>
      <c r="L99" s="1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28.5">
      <c r="A100" s="1" t="s">
        <v>503</v>
      </c>
      <c r="B100" s="1" t="s">
        <v>263</v>
      </c>
      <c r="C100" s="3" t="str">
        <f>IF($B100="","",IFERROR(VLOOKUP($B100,'02_Конкуренты'!$A$4:$B$11,2,FALSE),"не найдено"))</f>
        <v>Lucidchart</v>
      </c>
      <c r="D100" s="1" t="s">
        <v>303</v>
      </c>
      <c r="E100" s="1" t="s">
        <v>485</v>
      </c>
      <c r="F100" s="1" t="s">
        <v>353</v>
      </c>
      <c r="G100" s="1" t="s">
        <v>354</v>
      </c>
      <c r="H100" s="1" t="s">
        <v>31</v>
      </c>
      <c r="I100" s="1">
        <v>4</v>
      </c>
      <c r="J100" s="2" t="s">
        <v>851</v>
      </c>
      <c r="K100" s="1" t="s">
        <v>355</v>
      </c>
      <c r="L100" s="1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28.5">
      <c r="A101" s="1" t="s">
        <v>504</v>
      </c>
      <c r="B101" s="1" t="s">
        <v>263</v>
      </c>
      <c r="C101" s="3" t="str">
        <f>IF($B101="","",IFERROR(VLOOKUP($B101,'02_Конкуренты'!$A$4:$B$11,2,FALSE),"не найдено"))</f>
        <v>Lucidchart</v>
      </c>
      <c r="D101" s="1" t="s">
        <v>303</v>
      </c>
      <c r="E101" s="1" t="s">
        <v>485</v>
      </c>
      <c r="F101" s="1" t="s">
        <v>391</v>
      </c>
      <c r="G101" s="1" t="s">
        <v>505</v>
      </c>
      <c r="H101" s="1" t="s">
        <v>46</v>
      </c>
      <c r="I101" s="1">
        <v>3</v>
      </c>
      <c r="J101" s="2" t="s">
        <v>851</v>
      </c>
      <c r="K101" s="1" t="s">
        <v>393</v>
      </c>
      <c r="L101" s="1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28.5">
      <c r="A102" s="1" t="s">
        <v>506</v>
      </c>
      <c r="B102" s="1" t="s">
        <v>263</v>
      </c>
      <c r="C102" s="3" t="str">
        <f>IF($B102="","",IFERROR(VLOOKUP($B102,'02_Конкуренты'!$A$4:$B$11,2,FALSE),"не найдено"))</f>
        <v>Lucidchart</v>
      </c>
      <c r="D102" s="1" t="s">
        <v>303</v>
      </c>
      <c r="E102" s="1" t="s">
        <v>485</v>
      </c>
      <c r="F102" s="1" t="s">
        <v>395</v>
      </c>
      <c r="G102" s="1" t="s">
        <v>396</v>
      </c>
      <c r="H102" s="1" t="s">
        <v>22</v>
      </c>
      <c r="I102" s="1">
        <v>3</v>
      </c>
      <c r="J102" s="2" t="s">
        <v>851</v>
      </c>
      <c r="K102" s="1" t="s">
        <v>397</v>
      </c>
      <c r="L102" s="1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>
      <c r="A103" s="1" t="s">
        <v>507</v>
      </c>
      <c r="B103" s="1" t="s">
        <v>263</v>
      </c>
      <c r="C103" s="3" t="str">
        <f>IF($B103="","",IFERROR(VLOOKUP($B103,'02_Конкуренты'!$A$4:$B$11,2,FALSE),"не найдено"))</f>
        <v>Lucidchart</v>
      </c>
      <c r="D103" s="1" t="s">
        <v>303</v>
      </c>
      <c r="E103" s="1" t="s">
        <v>490</v>
      </c>
      <c r="F103" s="1" t="s">
        <v>399</v>
      </c>
      <c r="G103" s="1" t="s">
        <v>508</v>
      </c>
      <c r="H103" s="1" t="s">
        <v>52</v>
      </c>
      <c r="I103" s="1">
        <v>5</v>
      </c>
      <c r="J103" s="2" t="s">
        <v>851</v>
      </c>
      <c r="K103" s="1" t="s">
        <v>401</v>
      </c>
      <c r="L103" s="1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28.5">
      <c r="A104" s="1" t="s">
        <v>509</v>
      </c>
      <c r="B104" s="1" t="s">
        <v>263</v>
      </c>
      <c r="C104" s="3" t="str">
        <f>IF($B104="","",IFERROR(VLOOKUP($B104,'02_Конкуренты'!$A$4:$B$11,2,FALSE),"не найдено"))</f>
        <v>Lucidchart</v>
      </c>
      <c r="D104" s="1" t="s">
        <v>303</v>
      </c>
      <c r="E104" s="1" t="s">
        <v>485</v>
      </c>
      <c r="F104" s="1" t="s">
        <v>403</v>
      </c>
      <c r="G104" s="1" t="s">
        <v>404</v>
      </c>
      <c r="H104" s="1" t="s">
        <v>39</v>
      </c>
      <c r="I104" s="1">
        <v>3</v>
      </c>
      <c r="J104" s="2" t="s">
        <v>851</v>
      </c>
      <c r="K104" s="1" t="s">
        <v>405</v>
      </c>
      <c r="L104" s="1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28.5">
      <c r="A105" s="1" t="s">
        <v>510</v>
      </c>
      <c r="B105" s="1" t="s">
        <v>263</v>
      </c>
      <c r="C105" s="3" t="str">
        <f>IF($B105="","",IFERROR(VLOOKUP($B105,'02_Конкуренты'!$A$4:$B$11,2,FALSE),"не найдено"))</f>
        <v>Lucidchart</v>
      </c>
      <c r="D105" s="1" t="s">
        <v>303</v>
      </c>
      <c r="E105" s="1" t="s">
        <v>485</v>
      </c>
      <c r="F105" s="1" t="s">
        <v>511</v>
      </c>
      <c r="G105" s="1" t="s">
        <v>512</v>
      </c>
      <c r="H105" s="1" t="s">
        <v>31</v>
      </c>
      <c r="I105" s="1">
        <v>4</v>
      </c>
      <c r="J105" s="2" t="s">
        <v>851</v>
      </c>
      <c r="K105" s="1" t="s">
        <v>513</v>
      </c>
      <c r="L105" s="1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28.5">
      <c r="A106" s="1" t="s">
        <v>514</v>
      </c>
      <c r="B106" s="1" t="s">
        <v>263</v>
      </c>
      <c r="C106" s="3" t="str">
        <f>IF($B106="","",IFERROR(VLOOKUP($B106,'02_Конкуренты'!$A$4:$B$11,2,FALSE),"не найдено"))</f>
        <v>Lucidchart</v>
      </c>
      <c r="D106" s="1" t="s">
        <v>303</v>
      </c>
      <c r="E106" s="1" t="s">
        <v>485</v>
      </c>
      <c r="F106" s="1" t="s">
        <v>407</v>
      </c>
      <c r="G106" s="1" t="s">
        <v>408</v>
      </c>
      <c r="H106" s="1" t="s">
        <v>31</v>
      </c>
      <c r="I106" s="1">
        <v>4</v>
      </c>
      <c r="J106" s="2" t="s">
        <v>851</v>
      </c>
      <c r="K106" s="1" t="s">
        <v>409</v>
      </c>
      <c r="L106" s="1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28.5">
      <c r="A107" s="1" t="s">
        <v>515</v>
      </c>
      <c r="B107" s="1" t="s">
        <v>263</v>
      </c>
      <c r="C107" s="3" t="str">
        <f>IF($B107="","",IFERROR(VLOOKUP($B107,'02_Конкуренты'!$A$4:$B$11,2,FALSE),"не найдено"))</f>
        <v>Lucidchart</v>
      </c>
      <c r="D107" s="1" t="s">
        <v>303</v>
      </c>
      <c r="E107" s="1" t="s">
        <v>485</v>
      </c>
      <c r="F107" s="1" t="s">
        <v>316</v>
      </c>
      <c r="G107" s="1" t="s">
        <v>317</v>
      </c>
      <c r="H107" s="1" t="s">
        <v>31</v>
      </c>
      <c r="I107" s="1">
        <v>4</v>
      </c>
      <c r="J107" s="2" t="s">
        <v>851</v>
      </c>
      <c r="K107" s="1" t="s">
        <v>318</v>
      </c>
      <c r="L107" s="1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28.5">
      <c r="A108" s="1" t="s">
        <v>516</v>
      </c>
      <c r="B108" s="1" t="s">
        <v>263</v>
      </c>
      <c r="C108" s="3" t="str">
        <f>IF($B108="","",IFERROR(VLOOKUP($B108,'02_Конкуренты'!$A$4:$B$11,2,FALSE),"не найдено"))</f>
        <v>Lucidchart</v>
      </c>
      <c r="D108" s="1" t="s">
        <v>303</v>
      </c>
      <c r="E108" s="1" t="s">
        <v>485</v>
      </c>
      <c r="F108" s="1" t="s">
        <v>412</v>
      </c>
      <c r="G108" s="1" t="s">
        <v>413</v>
      </c>
      <c r="H108" s="1" t="s">
        <v>31</v>
      </c>
      <c r="I108" s="1">
        <v>4</v>
      </c>
      <c r="J108" s="2" t="s">
        <v>851</v>
      </c>
      <c r="K108" s="1" t="s">
        <v>414</v>
      </c>
      <c r="L108" s="1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28.5">
      <c r="A109" s="1" t="s">
        <v>517</v>
      </c>
      <c r="B109" s="1" t="s">
        <v>263</v>
      </c>
      <c r="C109" s="3" t="str">
        <f>IF($B109="","",IFERROR(VLOOKUP($B109,'02_Конкуренты'!$A$4:$B$11,2,FALSE),"не найдено"))</f>
        <v>Lucidchart</v>
      </c>
      <c r="D109" s="1" t="s">
        <v>303</v>
      </c>
      <c r="E109" s="1" t="s">
        <v>485</v>
      </c>
      <c r="F109" s="1" t="s">
        <v>320</v>
      </c>
      <c r="G109" s="1" t="s">
        <v>321</v>
      </c>
      <c r="H109" s="1" t="s">
        <v>46</v>
      </c>
      <c r="I109" s="1">
        <v>4</v>
      </c>
      <c r="J109" s="2" t="s">
        <v>851</v>
      </c>
      <c r="K109" s="1" t="s">
        <v>932</v>
      </c>
      <c r="L109" s="1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28.5">
      <c r="A110" s="1" t="s">
        <v>518</v>
      </c>
      <c r="B110" s="1" t="s">
        <v>263</v>
      </c>
      <c r="C110" s="3" t="str">
        <f>IF($B110="","",IFERROR(VLOOKUP($B110,'02_Конкуренты'!$A$4:$B$11,2,FALSE),"не найдено"))</f>
        <v>Lucidchart</v>
      </c>
      <c r="D110" s="1" t="s">
        <v>303</v>
      </c>
      <c r="E110" s="1" t="s">
        <v>485</v>
      </c>
      <c r="F110" s="1" t="s">
        <v>323</v>
      </c>
      <c r="G110" s="1" t="s">
        <v>324</v>
      </c>
      <c r="H110" s="1" t="s">
        <v>31</v>
      </c>
      <c r="I110" s="1">
        <v>4</v>
      </c>
      <c r="J110" s="2" t="s">
        <v>851</v>
      </c>
      <c r="K110" s="1" t="s">
        <v>325</v>
      </c>
      <c r="L110" s="1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28.5">
      <c r="A111" s="1" t="s">
        <v>519</v>
      </c>
      <c r="B111" s="1" t="s">
        <v>263</v>
      </c>
      <c r="C111" s="3" t="str">
        <f>IF($B111="","",IFERROR(VLOOKUP($B111,'02_Конкуренты'!$A$4:$B$11,2,FALSE),"не найдено"))</f>
        <v>Lucidchart</v>
      </c>
      <c r="D111" s="1" t="s">
        <v>303</v>
      </c>
      <c r="E111" s="1" t="s">
        <v>485</v>
      </c>
      <c r="F111" s="1" t="s">
        <v>451</v>
      </c>
      <c r="G111" s="1" t="s">
        <v>452</v>
      </c>
      <c r="H111" s="1" t="s">
        <v>31</v>
      </c>
      <c r="I111" s="1">
        <v>4</v>
      </c>
      <c r="J111" s="2" t="s">
        <v>851</v>
      </c>
      <c r="K111" s="1" t="s">
        <v>453</v>
      </c>
      <c r="L111" s="1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28.5">
      <c r="A112" s="1" t="s">
        <v>520</v>
      </c>
      <c r="B112" s="1" t="s">
        <v>263</v>
      </c>
      <c r="C112" s="3" t="str">
        <f>IF($B112="","",IFERROR(VLOOKUP($B112,'02_Конкуренты'!$A$4:$B$11,2,FALSE),"не найдено"))</f>
        <v>Lucidchart</v>
      </c>
      <c r="D112" s="1" t="s">
        <v>303</v>
      </c>
      <c r="E112" s="1" t="s">
        <v>485</v>
      </c>
      <c r="F112" s="1" t="s">
        <v>327</v>
      </c>
      <c r="G112" s="1" t="s">
        <v>328</v>
      </c>
      <c r="H112" s="1" t="s">
        <v>31</v>
      </c>
      <c r="I112" s="1">
        <v>4</v>
      </c>
      <c r="J112" s="2" t="s">
        <v>851</v>
      </c>
      <c r="K112" s="1" t="s">
        <v>329</v>
      </c>
      <c r="L112" s="1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28.5">
      <c r="A113" s="1" t="s">
        <v>521</v>
      </c>
      <c r="B113" s="1" t="s">
        <v>263</v>
      </c>
      <c r="C113" s="3" t="str">
        <f>IF($B113="","",IFERROR(VLOOKUP($B113,'02_Конкуренты'!$A$4:$B$11,2,FALSE),"не найдено"))</f>
        <v>Lucidchart</v>
      </c>
      <c r="D113" s="1" t="s">
        <v>303</v>
      </c>
      <c r="E113" s="1" t="s">
        <v>485</v>
      </c>
      <c r="F113" s="1" t="s">
        <v>418</v>
      </c>
      <c r="G113" s="1" t="s">
        <v>419</v>
      </c>
      <c r="H113" s="1" t="s">
        <v>70</v>
      </c>
      <c r="I113" s="1">
        <v>3</v>
      </c>
      <c r="J113" s="2" t="s">
        <v>851</v>
      </c>
      <c r="K113" s="1" t="s">
        <v>420</v>
      </c>
      <c r="L113" s="1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28.5">
      <c r="A114" s="1" t="s">
        <v>522</v>
      </c>
      <c r="B114" s="1" t="s">
        <v>268</v>
      </c>
      <c r="C114" s="3" t="str">
        <f>IF($B114="","",IFERROR(VLOOKUP($B114,'02_Конкуренты'!$A$4:$B$11,2,FALSE),"не найдено"))</f>
        <v>Eraser</v>
      </c>
      <c r="D114" s="1" t="s">
        <v>278</v>
      </c>
      <c r="E114" s="1" t="s">
        <v>523</v>
      </c>
      <c r="F114" s="1" t="s">
        <v>280</v>
      </c>
      <c r="G114" s="1" t="s">
        <v>524</v>
      </c>
      <c r="H114" s="1" t="s">
        <v>22</v>
      </c>
      <c r="I114" s="1">
        <v>4</v>
      </c>
      <c r="J114" s="2" t="s">
        <v>851</v>
      </c>
      <c r="K114" s="1" t="s">
        <v>282</v>
      </c>
      <c r="L114" s="1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>
      <c r="A115" s="1" t="s">
        <v>525</v>
      </c>
      <c r="B115" s="1" t="s">
        <v>268</v>
      </c>
      <c r="C115" s="3" t="str">
        <f>IF($B115="","",IFERROR(VLOOKUP($B115,'02_Конкуренты'!$A$4:$B$11,2,FALSE),"не найдено"))</f>
        <v>Eraser</v>
      </c>
      <c r="D115" s="1" t="s">
        <v>278</v>
      </c>
      <c r="E115" s="1" t="s">
        <v>523</v>
      </c>
      <c r="F115" s="1" t="s">
        <v>284</v>
      </c>
      <c r="G115" s="1" t="s">
        <v>526</v>
      </c>
      <c r="H115" s="1" t="s">
        <v>31</v>
      </c>
      <c r="I115" s="1">
        <v>4</v>
      </c>
      <c r="J115" s="2" t="s">
        <v>851</v>
      </c>
      <c r="K115" s="1" t="s">
        <v>286</v>
      </c>
      <c r="L115" s="1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57">
      <c r="A116" s="1" t="s">
        <v>527</v>
      </c>
      <c r="B116" s="1" t="s">
        <v>268</v>
      </c>
      <c r="C116" s="3" t="str">
        <f>IF($B116="","",IFERROR(VLOOKUP($B116,'02_Конкуренты'!$A$4:$B$11,2,FALSE),"не найдено"))</f>
        <v>Eraser</v>
      </c>
      <c r="D116" s="1" t="s">
        <v>288</v>
      </c>
      <c r="E116" s="1" t="s">
        <v>528</v>
      </c>
      <c r="F116" s="1" t="s">
        <v>289</v>
      </c>
      <c r="G116" s="1" t="s">
        <v>854</v>
      </c>
      <c r="H116" s="1" t="s">
        <v>52</v>
      </c>
      <c r="I116" s="1">
        <v>5</v>
      </c>
      <c r="J116" s="2" t="s">
        <v>851</v>
      </c>
      <c r="K116" s="1" t="s">
        <v>291</v>
      </c>
      <c r="L116" s="1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28.5">
      <c r="A117" s="1" t="s">
        <v>529</v>
      </c>
      <c r="B117" s="1" t="s">
        <v>268</v>
      </c>
      <c r="C117" s="3" t="str">
        <f>IF($B117="","",IFERROR(VLOOKUP($B117,'02_Конкуренты'!$A$4:$B$11,2,FALSE),"не найдено"))</f>
        <v>Eraser</v>
      </c>
      <c r="D117" s="1" t="s">
        <v>303</v>
      </c>
      <c r="E117" s="1" t="s">
        <v>523</v>
      </c>
      <c r="F117" s="1" t="s">
        <v>304</v>
      </c>
      <c r="G117" s="1" t="s">
        <v>305</v>
      </c>
      <c r="H117" s="1" t="s">
        <v>31</v>
      </c>
      <c r="I117" s="1">
        <v>4</v>
      </c>
      <c r="J117" s="2" t="s">
        <v>851</v>
      </c>
      <c r="K117" s="1" t="s">
        <v>306</v>
      </c>
      <c r="L117" s="1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28.5">
      <c r="A118" s="1" t="s">
        <v>530</v>
      </c>
      <c r="B118" s="1" t="s">
        <v>268</v>
      </c>
      <c r="C118" s="3" t="str">
        <f>IF($B118="","",IFERROR(VLOOKUP($B118,'02_Конкуренты'!$A$4:$B$11,2,FALSE),"не найдено"))</f>
        <v>Eraser</v>
      </c>
      <c r="D118" s="1" t="s">
        <v>303</v>
      </c>
      <c r="E118" s="1" t="s">
        <v>528</v>
      </c>
      <c r="F118" s="1" t="s">
        <v>373</v>
      </c>
      <c r="G118" s="1" t="s">
        <v>374</v>
      </c>
      <c r="H118" s="1" t="s">
        <v>52</v>
      </c>
      <c r="I118" s="1">
        <v>5</v>
      </c>
      <c r="J118" s="2" t="s">
        <v>851</v>
      </c>
      <c r="K118" s="1" t="s">
        <v>375</v>
      </c>
      <c r="L118" s="1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28.5">
      <c r="A119" s="1" t="s">
        <v>531</v>
      </c>
      <c r="B119" s="1" t="s">
        <v>268</v>
      </c>
      <c r="C119" s="3" t="str">
        <f>IF($B119="","",IFERROR(VLOOKUP($B119,'02_Конкуренты'!$A$4:$B$11,2,FALSE),"не найдено"))</f>
        <v>Eraser</v>
      </c>
      <c r="D119" s="1" t="s">
        <v>303</v>
      </c>
      <c r="E119" s="1" t="s">
        <v>528</v>
      </c>
      <c r="F119" s="1" t="s">
        <v>377</v>
      </c>
      <c r="G119" s="1" t="s">
        <v>855</v>
      </c>
      <c r="H119" s="1" t="s">
        <v>52</v>
      </c>
      <c r="I119" s="1">
        <v>5</v>
      </c>
      <c r="J119" s="2" t="s">
        <v>851</v>
      </c>
      <c r="K119" s="1" t="s">
        <v>379</v>
      </c>
      <c r="L119" s="1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28.5">
      <c r="A120" s="1" t="s">
        <v>532</v>
      </c>
      <c r="B120" s="1" t="s">
        <v>268</v>
      </c>
      <c r="C120" s="3" t="str">
        <f>IF($B120="","",IFERROR(VLOOKUP($B120,'02_Конкуренты'!$A$4:$B$11,2,FALSE),"не найдено"))</f>
        <v>Eraser</v>
      </c>
      <c r="D120" s="1" t="s">
        <v>303</v>
      </c>
      <c r="E120" s="1" t="s">
        <v>528</v>
      </c>
      <c r="F120" s="1" t="s">
        <v>381</v>
      </c>
      <c r="G120" s="1" t="s">
        <v>533</v>
      </c>
      <c r="H120" s="1" t="s">
        <v>46</v>
      </c>
      <c r="I120" s="1">
        <v>5</v>
      </c>
      <c r="J120" s="2" t="s">
        <v>851</v>
      </c>
      <c r="K120" s="1" t="s">
        <v>383</v>
      </c>
      <c r="L120" s="1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28.5">
      <c r="A121" s="1" t="s">
        <v>534</v>
      </c>
      <c r="B121" s="1" t="s">
        <v>268</v>
      </c>
      <c r="C121" s="3" t="str">
        <f>IF($B121="","",IFERROR(VLOOKUP($B121,'02_Конкуренты'!$A$4:$B$11,2,FALSE),"не найдено"))</f>
        <v>Eraser</v>
      </c>
      <c r="D121" s="1" t="s">
        <v>303</v>
      </c>
      <c r="E121" s="1" t="s">
        <v>528</v>
      </c>
      <c r="F121" s="1" t="s">
        <v>385</v>
      </c>
      <c r="G121" s="1" t="s">
        <v>535</v>
      </c>
      <c r="H121" s="1" t="s">
        <v>31</v>
      </c>
      <c r="I121" s="1">
        <v>4</v>
      </c>
      <c r="J121" s="2" t="s">
        <v>851</v>
      </c>
      <c r="K121" s="1" t="s">
        <v>387</v>
      </c>
      <c r="L121" s="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28.5">
      <c r="A122" s="1" t="s">
        <v>536</v>
      </c>
      <c r="B122" s="1" t="s">
        <v>268</v>
      </c>
      <c r="C122" s="3" t="str">
        <f>IF($B122="","",IFERROR(VLOOKUP($B122,'02_Конкуренты'!$A$4:$B$11,2,FALSE),"не найдено"))</f>
        <v>Eraser</v>
      </c>
      <c r="D122" s="1" t="s">
        <v>303</v>
      </c>
      <c r="E122" s="1" t="s">
        <v>523</v>
      </c>
      <c r="F122" s="1" t="s">
        <v>308</v>
      </c>
      <c r="G122" s="1" t="s">
        <v>309</v>
      </c>
      <c r="H122" s="1" t="s">
        <v>64</v>
      </c>
      <c r="I122" s="1">
        <v>3</v>
      </c>
      <c r="J122" s="2" t="s">
        <v>851</v>
      </c>
      <c r="K122" s="1" t="s">
        <v>310</v>
      </c>
      <c r="L122" s="1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28.5">
      <c r="A123" s="1" t="s">
        <v>537</v>
      </c>
      <c r="B123" s="1" t="s">
        <v>268</v>
      </c>
      <c r="C123" s="3" t="str">
        <f>IF($B123="","",IFERROR(VLOOKUP($B123,'02_Конкуренты'!$A$4:$B$11,2,FALSE),"не найдено"))</f>
        <v>Eraser</v>
      </c>
      <c r="D123" s="1" t="s">
        <v>303</v>
      </c>
      <c r="E123" s="1" t="s">
        <v>523</v>
      </c>
      <c r="F123" s="1" t="s">
        <v>353</v>
      </c>
      <c r="G123" s="1" t="s">
        <v>354</v>
      </c>
      <c r="H123" s="1" t="s">
        <v>31</v>
      </c>
      <c r="I123" s="1">
        <v>4</v>
      </c>
      <c r="J123" s="2" t="s">
        <v>851</v>
      </c>
      <c r="K123" s="1" t="s">
        <v>355</v>
      </c>
      <c r="L123" s="1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28.5">
      <c r="A124" s="1" t="s">
        <v>538</v>
      </c>
      <c r="B124" s="1" t="s">
        <v>268</v>
      </c>
      <c r="C124" s="3" t="str">
        <f>IF($B124="","",IFERROR(VLOOKUP($B124,'02_Конкуренты'!$A$4:$B$11,2,FALSE),"не найдено"))</f>
        <v>Eraser</v>
      </c>
      <c r="D124" s="1" t="s">
        <v>303</v>
      </c>
      <c r="E124" s="1" t="s">
        <v>523</v>
      </c>
      <c r="F124" s="1" t="s">
        <v>395</v>
      </c>
      <c r="G124" s="1" t="s">
        <v>396</v>
      </c>
      <c r="H124" s="1" t="s">
        <v>22</v>
      </c>
      <c r="I124" s="1">
        <v>3</v>
      </c>
      <c r="J124" s="2" t="s">
        <v>851</v>
      </c>
      <c r="K124" s="1" t="s">
        <v>397</v>
      </c>
      <c r="L124" s="1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>
      <c r="A125" s="1" t="s">
        <v>539</v>
      </c>
      <c r="B125" s="1" t="s">
        <v>268</v>
      </c>
      <c r="C125" s="3" t="str">
        <f>IF($B125="","",IFERROR(VLOOKUP($B125,'02_Конкуренты'!$A$4:$B$11,2,FALSE),"не найдено"))</f>
        <v>Eraser</v>
      </c>
      <c r="D125" s="1" t="s">
        <v>303</v>
      </c>
      <c r="E125" s="1" t="s">
        <v>528</v>
      </c>
      <c r="F125" s="1" t="s">
        <v>399</v>
      </c>
      <c r="G125" s="1" t="s">
        <v>540</v>
      </c>
      <c r="H125" s="1" t="s">
        <v>52</v>
      </c>
      <c r="I125" s="1">
        <v>5</v>
      </c>
      <c r="J125" s="2" t="s">
        <v>851</v>
      </c>
      <c r="K125" s="1" t="s">
        <v>401</v>
      </c>
      <c r="L125" s="1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28.5">
      <c r="A126" s="1" t="s">
        <v>541</v>
      </c>
      <c r="B126" s="1" t="s">
        <v>268</v>
      </c>
      <c r="C126" s="3" t="str">
        <f>IF($B126="","",IFERROR(VLOOKUP($B126,'02_Конкуренты'!$A$4:$B$11,2,FALSE),"не найдено"))</f>
        <v>Eraser</v>
      </c>
      <c r="D126" s="1" t="s">
        <v>303</v>
      </c>
      <c r="E126" s="1" t="s">
        <v>523</v>
      </c>
      <c r="F126" s="1" t="s">
        <v>403</v>
      </c>
      <c r="G126" s="1" t="s">
        <v>404</v>
      </c>
      <c r="H126" s="1" t="s">
        <v>39</v>
      </c>
      <c r="I126" s="1">
        <v>3</v>
      </c>
      <c r="J126" s="2" t="s">
        <v>851</v>
      </c>
      <c r="K126" s="1" t="s">
        <v>405</v>
      </c>
      <c r="L126" s="1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28.5">
      <c r="A127" s="1" t="s">
        <v>542</v>
      </c>
      <c r="B127" s="1" t="s">
        <v>268</v>
      </c>
      <c r="C127" s="3" t="str">
        <f>IF($B127="","",IFERROR(VLOOKUP($B127,'02_Конкуренты'!$A$4:$B$11,2,FALSE),"не найдено"))</f>
        <v>Eraser</v>
      </c>
      <c r="D127" s="1" t="s">
        <v>303</v>
      </c>
      <c r="E127" s="1" t="s">
        <v>523</v>
      </c>
      <c r="F127" s="1" t="s">
        <v>511</v>
      </c>
      <c r="G127" s="1" t="s">
        <v>543</v>
      </c>
      <c r="H127" s="1" t="s">
        <v>31</v>
      </c>
      <c r="I127" s="1">
        <v>4</v>
      </c>
      <c r="J127" s="2" t="s">
        <v>851</v>
      </c>
      <c r="K127" s="1" t="s">
        <v>513</v>
      </c>
      <c r="L127" s="1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28.5">
      <c r="A128" s="1" t="s">
        <v>544</v>
      </c>
      <c r="B128" s="1" t="s">
        <v>268</v>
      </c>
      <c r="C128" s="3" t="str">
        <f>IF($B128="","",IFERROR(VLOOKUP($B128,'02_Конкуренты'!$A$4:$B$11,2,FALSE),"не найдено"))</f>
        <v>Eraser</v>
      </c>
      <c r="D128" s="1" t="s">
        <v>303</v>
      </c>
      <c r="E128" s="1" t="s">
        <v>523</v>
      </c>
      <c r="F128" s="1" t="s">
        <v>407</v>
      </c>
      <c r="G128" s="1" t="s">
        <v>408</v>
      </c>
      <c r="H128" s="1" t="s">
        <v>31</v>
      </c>
      <c r="I128" s="1">
        <v>4</v>
      </c>
      <c r="J128" s="2" t="s">
        <v>851</v>
      </c>
      <c r="K128" s="1" t="s">
        <v>409</v>
      </c>
      <c r="L128" s="1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28.5">
      <c r="A129" s="1" t="s">
        <v>545</v>
      </c>
      <c r="B129" s="1" t="s">
        <v>268</v>
      </c>
      <c r="C129" s="3" t="str">
        <f>IF($B129="","",IFERROR(VLOOKUP($B129,'02_Конкуренты'!$A$4:$B$11,2,FALSE),"не найдено"))</f>
        <v>Eraser</v>
      </c>
      <c r="D129" s="1" t="s">
        <v>303</v>
      </c>
      <c r="E129" s="1" t="s">
        <v>523</v>
      </c>
      <c r="F129" s="1" t="s">
        <v>316</v>
      </c>
      <c r="G129" s="1" t="s">
        <v>317</v>
      </c>
      <c r="H129" s="1" t="s">
        <v>31</v>
      </c>
      <c r="I129" s="1">
        <v>4</v>
      </c>
      <c r="J129" s="2" t="s">
        <v>851</v>
      </c>
      <c r="K129" s="1" t="s">
        <v>318</v>
      </c>
      <c r="L129" s="1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28.5">
      <c r="A130" s="1" t="s">
        <v>546</v>
      </c>
      <c r="B130" s="1" t="s">
        <v>268</v>
      </c>
      <c r="C130" s="3" t="str">
        <f>IF($B130="","",IFERROR(VLOOKUP($B130,'02_Конкуренты'!$A$4:$B$11,2,FALSE),"не найдено"))</f>
        <v>Eraser</v>
      </c>
      <c r="D130" s="1" t="s">
        <v>303</v>
      </c>
      <c r="E130" s="1" t="s">
        <v>528</v>
      </c>
      <c r="F130" s="1" t="s">
        <v>412</v>
      </c>
      <c r="G130" s="1" t="s">
        <v>547</v>
      </c>
      <c r="H130" s="1" t="s">
        <v>31</v>
      </c>
      <c r="I130" s="1">
        <v>4</v>
      </c>
      <c r="J130" s="2" t="s">
        <v>851</v>
      </c>
      <c r="K130" s="1" t="s">
        <v>414</v>
      </c>
      <c r="L130" s="1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28.5">
      <c r="A131" s="1" t="s">
        <v>548</v>
      </c>
      <c r="B131" s="1" t="s">
        <v>268</v>
      </c>
      <c r="C131" s="3" t="str">
        <f>IF($B131="","",IFERROR(VLOOKUP($B131,'02_Конкуренты'!$A$4:$B$11,2,FALSE),"не найдено"))</f>
        <v>Eraser</v>
      </c>
      <c r="D131" s="1" t="s">
        <v>303</v>
      </c>
      <c r="E131" s="1" t="s">
        <v>523</v>
      </c>
      <c r="F131" s="1" t="s">
        <v>320</v>
      </c>
      <c r="G131" s="1" t="s">
        <v>321</v>
      </c>
      <c r="H131" s="1" t="s">
        <v>46</v>
      </c>
      <c r="I131" s="1">
        <v>4</v>
      </c>
      <c r="J131" s="2" t="s">
        <v>851</v>
      </c>
      <c r="K131" s="1" t="s">
        <v>932</v>
      </c>
      <c r="L131" s="1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28.5">
      <c r="A132" s="1" t="s">
        <v>549</v>
      </c>
      <c r="B132" s="1" t="s">
        <v>268</v>
      </c>
      <c r="C132" s="3" t="str">
        <f>IF($B132="","",IFERROR(VLOOKUP($B132,'02_Конкуренты'!$A$4:$B$11,2,FALSE),"не найдено"))</f>
        <v>Eraser</v>
      </c>
      <c r="D132" s="1" t="s">
        <v>303</v>
      </c>
      <c r="E132" s="1" t="s">
        <v>523</v>
      </c>
      <c r="F132" s="1" t="s">
        <v>451</v>
      </c>
      <c r="G132" s="1" t="s">
        <v>452</v>
      </c>
      <c r="H132" s="1" t="s">
        <v>31</v>
      </c>
      <c r="I132" s="1">
        <v>4</v>
      </c>
      <c r="J132" s="2" t="s">
        <v>851</v>
      </c>
      <c r="K132" s="1" t="s">
        <v>453</v>
      </c>
      <c r="L132" s="1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28.5">
      <c r="A133" s="1" t="s">
        <v>550</v>
      </c>
      <c r="B133" s="1" t="s">
        <v>268</v>
      </c>
      <c r="C133" s="3" t="str">
        <f>IF($B133="","",IFERROR(VLOOKUP($B133,'02_Конкуренты'!$A$4:$B$11,2,FALSE),"не найдено"))</f>
        <v>Eraser</v>
      </c>
      <c r="D133" s="1" t="s">
        <v>303</v>
      </c>
      <c r="E133" s="1" t="s">
        <v>523</v>
      </c>
      <c r="F133" s="1" t="s">
        <v>327</v>
      </c>
      <c r="G133" s="1" t="s">
        <v>328</v>
      </c>
      <c r="H133" s="1" t="s">
        <v>31</v>
      </c>
      <c r="I133" s="1">
        <v>4</v>
      </c>
      <c r="J133" s="2" t="s">
        <v>851</v>
      </c>
      <c r="K133" s="1" t="s">
        <v>329</v>
      </c>
      <c r="L133" s="1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28.5">
      <c r="A134" s="1" t="s">
        <v>551</v>
      </c>
      <c r="B134" s="1" t="s">
        <v>268</v>
      </c>
      <c r="C134" s="3" t="str">
        <f>IF($B134="","",IFERROR(VLOOKUP($B134,'02_Конкуренты'!$A$4:$B$11,2,FALSE),"не найдено"))</f>
        <v>Eraser</v>
      </c>
      <c r="D134" s="1" t="s">
        <v>303</v>
      </c>
      <c r="E134" s="1" t="s">
        <v>523</v>
      </c>
      <c r="F134" s="1" t="s">
        <v>331</v>
      </c>
      <c r="G134" s="1" t="s">
        <v>332</v>
      </c>
      <c r="H134" s="1" t="s">
        <v>67</v>
      </c>
      <c r="I134" s="1">
        <v>3</v>
      </c>
      <c r="J134" s="2" t="s">
        <v>851</v>
      </c>
      <c r="K134" s="1" t="s">
        <v>333</v>
      </c>
      <c r="L134" s="1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28.5">
      <c r="A135" s="1" t="s">
        <v>552</v>
      </c>
      <c r="B135" s="1" t="s">
        <v>268</v>
      </c>
      <c r="C135" s="3" t="str">
        <f>IF($B135="","",IFERROR(VLOOKUP($B135,'02_Конкуренты'!$A$4:$B$11,2,FALSE),"не найдено"))</f>
        <v>Eraser</v>
      </c>
      <c r="D135" s="1" t="s">
        <v>303</v>
      </c>
      <c r="E135" s="1" t="s">
        <v>523</v>
      </c>
      <c r="F135" s="1" t="s">
        <v>418</v>
      </c>
      <c r="G135" s="1" t="s">
        <v>419</v>
      </c>
      <c r="H135" s="1" t="s">
        <v>70</v>
      </c>
      <c r="I135" s="1">
        <v>3</v>
      </c>
      <c r="J135" s="2" t="s">
        <v>851</v>
      </c>
      <c r="K135" s="1" t="s">
        <v>420</v>
      </c>
      <c r="L135" s="1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28.5">
      <c r="A136" s="1" t="s">
        <v>553</v>
      </c>
      <c r="B136" s="1" t="s">
        <v>273</v>
      </c>
      <c r="C136" s="3" t="str">
        <f>IF($B136="","",IFERROR(VLOOKUP($B136,'02_Конкуренты'!$A$4:$B$11,2,FALSE),"не найдено"))</f>
        <v>Whimsical</v>
      </c>
      <c r="D136" s="1" t="s">
        <v>278</v>
      </c>
      <c r="E136" s="1" t="s">
        <v>554</v>
      </c>
      <c r="F136" s="1" t="s">
        <v>280</v>
      </c>
      <c r="G136" s="1" t="s">
        <v>555</v>
      </c>
      <c r="H136" s="1" t="s">
        <v>22</v>
      </c>
      <c r="I136" s="1">
        <v>4</v>
      </c>
      <c r="J136" s="2" t="s">
        <v>851</v>
      </c>
      <c r="K136" s="1" t="s">
        <v>282</v>
      </c>
      <c r="L136" s="1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28.5">
      <c r="A137" s="1" t="s">
        <v>556</v>
      </c>
      <c r="B137" s="1" t="s">
        <v>273</v>
      </c>
      <c r="C137" s="3" t="str">
        <f>IF($B137="","",IFERROR(VLOOKUP($B137,'02_Конкуренты'!$A$4:$B$11,2,FALSE),"не найдено"))</f>
        <v>Whimsical</v>
      </c>
      <c r="D137" s="1" t="s">
        <v>278</v>
      </c>
      <c r="E137" s="1" t="s">
        <v>554</v>
      </c>
      <c r="F137" s="1" t="s">
        <v>284</v>
      </c>
      <c r="G137" s="1" t="s">
        <v>557</v>
      </c>
      <c r="H137" s="1" t="s">
        <v>31</v>
      </c>
      <c r="I137" s="1">
        <v>4</v>
      </c>
      <c r="J137" s="2" t="s">
        <v>851</v>
      </c>
      <c r="K137" s="1" t="s">
        <v>286</v>
      </c>
      <c r="L137" s="1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42.75">
      <c r="A138" s="1" t="s">
        <v>558</v>
      </c>
      <c r="B138" s="1" t="s">
        <v>273</v>
      </c>
      <c r="C138" s="3" t="str">
        <f>IF($B138="","",IFERROR(VLOOKUP($B138,'02_Конкуренты'!$A$4:$B$11,2,FALSE),"не найдено"))</f>
        <v>Whimsical</v>
      </c>
      <c r="D138" s="1" t="s">
        <v>288</v>
      </c>
      <c r="E138" s="1" t="s">
        <v>559</v>
      </c>
      <c r="F138" s="1" t="s">
        <v>289</v>
      </c>
      <c r="G138" s="1" t="s">
        <v>856</v>
      </c>
      <c r="H138" s="1" t="s">
        <v>52</v>
      </c>
      <c r="I138" s="1">
        <v>5</v>
      </c>
      <c r="J138" s="2" t="s">
        <v>851</v>
      </c>
      <c r="K138" s="1" t="s">
        <v>291</v>
      </c>
      <c r="L138" s="1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28.5">
      <c r="A139" s="1" t="s">
        <v>560</v>
      </c>
      <c r="B139" s="1" t="s">
        <v>273</v>
      </c>
      <c r="C139" s="3" t="str">
        <f>IF($B139="","",IFERROR(VLOOKUP($B139,'02_Конкуренты'!$A$4:$B$11,2,FALSE),"не найдено"))</f>
        <v>Whimsical</v>
      </c>
      <c r="D139" s="1" t="s">
        <v>303</v>
      </c>
      <c r="E139" s="1" t="s">
        <v>559</v>
      </c>
      <c r="F139" s="1" t="s">
        <v>381</v>
      </c>
      <c r="G139" s="1" t="s">
        <v>561</v>
      </c>
      <c r="H139" s="1" t="s">
        <v>46</v>
      </c>
      <c r="I139" s="1">
        <v>5</v>
      </c>
      <c r="J139" s="2" t="s">
        <v>851</v>
      </c>
      <c r="K139" s="1" t="s">
        <v>383</v>
      </c>
      <c r="L139" s="1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28.5">
      <c r="A140" s="1" t="s">
        <v>562</v>
      </c>
      <c r="B140" s="1" t="s">
        <v>273</v>
      </c>
      <c r="C140" s="3" t="str">
        <f>IF($B140="","",IFERROR(VLOOKUP($B140,'02_Конкуренты'!$A$4:$B$11,2,FALSE),"не найдено"))</f>
        <v>Whimsical</v>
      </c>
      <c r="D140" s="1" t="s">
        <v>303</v>
      </c>
      <c r="E140" s="1" t="s">
        <v>559</v>
      </c>
      <c r="F140" s="1" t="s">
        <v>385</v>
      </c>
      <c r="G140" s="1" t="s">
        <v>501</v>
      </c>
      <c r="H140" s="1" t="s">
        <v>31</v>
      </c>
      <c r="I140" s="1">
        <v>4</v>
      </c>
      <c r="J140" s="2" t="s">
        <v>851</v>
      </c>
      <c r="K140" s="1" t="s">
        <v>387</v>
      </c>
      <c r="L140" s="1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28.5">
      <c r="A141" s="1" t="s">
        <v>563</v>
      </c>
      <c r="B141" s="1" t="s">
        <v>273</v>
      </c>
      <c r="C141" s="3" t="str">
        <f>IF($B141="","",IFERROR(VLOOKUP($B141,'02_Конкуренты'!$A$4:$B$11,2,FALSE),"не найдено"))</f>
        <v>Whimsical</v>
      </c>
      <c r="D141" s="1" t="s">
        <v>303</v>
      </c>
      <c r="E141" s="1" t="s">
        <v>554</v>
      </c>
      <c r="F141" s="1" t="s">
        <v>308</v>
      </c>
      <c r="G141" s="1" t="s">
        <v>309</v>
      </c>
      <c r="H141" s="1" t="s">
        <v>64</v>
      </c>
      <c r="I141" s="1">
        <v>3</v>
      </c>
      <c r="J141" s="2" t="s">
        <v>851</v>
      </c>
      <c r="K141" s="1" t="s">
        <v>310</v>
      </c>
      <c r="L141" s="1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28.5">
      <c r="A142" s="1" t="s">
        <v>564</v>
      </c>
      <c r="B142" s="1" t="s">
        <v>273</v>
      </c>
      <c r="C142" s="3" t="str">
        <f>IF($B142="","",IFERROR(VLOOKUP($B142,'02_Конкуренты'!$A$4:$B$11,2,FALSE),"не найдено"))</f>
        <v>Whimsical</v>
      </c>
      <c r="D142" s="1" t="s">
        <v>303</v>
      </c>
      <c r="E142" s="1" t="s">
        <v>554</v>
      </c>
      <c r="F142" s="1" t="s">
        <v>395</v>
      </c>
      <c r="G142" s="1" t="s">
        <v>396</v>
      </c>
      <c r="H142" s="1" t="s">
        <v>22</v>
      </c>
      <c r="I142" s="1">
        <v>3</v>
      </c>
      <c r="J142" s="2" t="s">
        <v>851</v>
      </c>
      <c r="K142" s="1" t="s">
        <v>397</v>
      </c>
      <c r="L142" s="1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>
      <c r="A143" s="1" t="s">
        <v>565</v>
      </c>
      <c r="B143" s="1" t="s">
        <v>273</v>
      </c>
      <c r="C143" s="3" t="str">
        <f>IF($B143="","",IFERROR(VLOOKUP($B143,'02_Конкуренты'!$A$4:$B$11,2,FALSE),"не найдено"))</f>
        <v>Whimsical</v>
      </c>
      <c r="D143" s="1" t="s">
        <v>303</v>
      </c>
      <c r="E143" s="1" t="s">
        <v>559</v>
      </c>
      <c r="F143" s="1" t="s">
        <v>399</v>
      </c>
      <c r="G143" s="1" t="s">
        <v>566</v>
      </c>
      <c r="H143" s="1" t="s">
        <v>52</v>
      </c>
      <c r="I143" s="1">
        <v>5</v>
      </c>
      <c r="J143" s="2" t="s">
        <v>851</v>
      </c>
      <c r="K143" s="1" t="s">
        <v>401</v>
      </c>
      <c r="L143" s="1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28.5">
      <c r="A144" s="1" t="s">
        <v>567</v>
      </c>
      <c r="B144" s="1" t="s">
        <v>273</v>
      </c>
      <c r="C144" s="3" t="str">
        <f>IF($B144="","",IFERROR(VLOOKUP($B144,'02_Конкуренты'!$A$4:$B$11,2,FALSE),"не найдено"))</f>
        <v>Whimsical</v>
      </c>
      <c r="D144" s="1" t="s">
        <v>303</v>
      </c>
      <c r="E144" s="1" t="s">
        <v>554</v>
      </c>
      <c r="F144" s="1" t="s">
        <v>511</v>
      </c>
      <c r="G144" s="1" t="s">
        <v>543</v>
      </c>
      <c r="H144" s="1" t="s">
        <v>31</v>
      </c>
      <c r="I144" s="1">
        <v>4</v>
      </c>
      <c r="J144" s="2" t="s">
        <v>851</v>
      </c>
      <c r="K144" s="1" t="s">
        <v>513</v>
      </c>
      <c r="L144" s="1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28.5">
      <c r="A145" s="1" t="s">
        <v>568</v>
      </c>
      <c r="B145" s="1" t="s">
        <v>273</v>
      </c>
      <c r="C145" s="3" t="str">
        <f>IF($B145="","",IFERROR(VLOOKUP($B145,'02_Конкуренты'!$A$4:$B$11,2,FALSE),"не найдено"))</f>
        <v>Whimsical</v>
      </c>
      <c r="D145" s="1" t="s">
        <v>303</v>
      </c>
      <c r="E145" s="1" t="s">
        <v>554</v>
      </c>
      <c r="F145" s="1" t="s">
        <v>407</v>
      </c>
      <c r="G145" s="1" t="s">
        <v>408</v>
      </c>
      <c r="H145" s="1" t="s">
        <v>31</v>
      </c>
      <c r="I145" s="1">
        <v>4</v>
      </c>
      <c r="J145" s="2" t="s">
        <v>851</v>
      </c>
      <c r="K145" s="1" t="s">
        <v>409</v>
      </c>
      <c r="L145" s="1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28.5">
      <c r="A146" s="1" t="s">
        <v>569</v>
      </c>
      <c r="B146" s="1" t="s">
        <v>273</v>
      </c>
      <c r="C146" s="3" t="str">
        <f>IF($B146="","",IFERROR(VLOOKUP($B146,'02_Конкуренты'!$A$4:$B$11,2,FALSE),"не найдено"))</f>
        <v>Whimsical</v>
      </c>
      <c r="D146" s="1" t="s">
        <v>303</v>
      </c>
      <c r="E146" s="1" t="s">
        <v>554</v>
      </c>
      <c r="F146" s="1" t="s">
        <v>316</v>
      </c>
      <c r="G146" s="1" t="s">
        <v>317</v>
      </c>
      <c r="H146" s="1" t="s">
        <v>31</v>
      </c>
      <c r="I146" s="1">
        <v>4</v>
      </c>
      <c r="J146" s="2" t="s">
        <v>851</v>
      </c>
      <c r="K146" s="1" t="s">
        <v>318</v>
      </c>
      <c r="L146" s="1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28.5">
      <c r="A147" s="1" t="s">
        <v>570</v>
      </c>
      <c r="B147" s="1" t="s">
        <v>273</v>
      </c>
      <c r="C147" s="3" t="str">
        <f>IF($B147="","",IFERROR(VLOOKUP($B147,'02_Конкуренты'!$A$4:$B$11,2,FALSE),"не найдено"))</f>
        <v>Whimsical</v>
      </c>
      <c r="D147" s="1" t="s">
        <v>303</v>
      </c>
      <c r="E147" s="1" t="s">
        <v>559</v>
      </c>
      <c r="F147" s="1" t="s">
        <v>412</v>
      </c>
      <c r="G147" s="1" t="s">
        <v>571</v>
      </c>
      <c r="H147" s="1" t="s">
        <v>31</v>
      </c>
      <c r="I147" s="1">
        <v>4</v>
      </c>
      <c r="J147" s="2" t="s">
        <v>851</v>
      </c>
      <c r="K147" s="1" t="s">
        <v>414</v>
      </c>
      <c r="L147" s="1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28.5">
      <c r="A148" s="1" t="s">
        <v>572</v>
      </c>
      <c r="B148" s="1" t="s">
        <v>273</v>
      </c>
      <c r="C148" s="3" t="str">
        <f>IF($B148="","",IFERROR(VLOOKUP($B148,'02_Конкуренты'!$A$4:$B$11,2,FALSE),"не найдено"))</f>
        <v>Whimsical</v>
      </c>
      <c r="D148" s="1" t="s">
        <v>303</v>
      </c>
      <c r="E148" s="1" t="s">
        <v>554</v>
      </c>
      <c r="F148" s="1" t="s">
        <v>335</v>
      </c>
      <c r="G148" s="1" t="s">
        <v>336</v>
      </c>
      <c r="H148" s="1" t="s">
        <v>31</v>
      </c>
      <c r="I148" s="1">
        <v>3</v>
      </c>
      <c r="J148" s="2" t="s">
        <v>851</v>
      </c>
      <c r="K148" s="1" t="s">
        <v>337</v>
      </c>
      <c r="L148" s="1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</sheetData>
  <mergeCells count="2">
    <mergeCell ref="A1:L1"/>
    <mergeCell ref="A2:L2"/>
  </mergeCells>
  <conditionalFormatting sqref="I4:I148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type="list" sqref="H4:H148" xr:uid="{00000000-0002-0000-0300-000000000000}">
      <formula1>"целевые сегменты,ценностное предложение,цифровой товар,каналы,отношения с клиентами,потоки доходов,ключевые ресурсы,ключевые виды деятельности,ключевые партнеры,структура затрат,данные и сетевые эффекты,масштабирование"</formula1>
    </dataValidation>
    <dataValidation type="list" sqref="I4:I148" xr:uid="{00000000-0002-0000-03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5"/>
  <sheetViews>
    <sheetView workbookViewId="0"/>
  </sheetViews>
  <sheetFormatPr defaultRowHeight="14.25"/>
  <cols>
    <col min="1" max="17" width="55.625" customWidth="1"/>
    <col min="18" max="26" width="9.625" customWidth="1"/>
  </cols>
  <sheetData>
    <row r="1" spans="1:26">
      <c r="A1" s="20" t="s">
        <v>120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2" t="s">
        <v>933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12"/>
      <c r="S2" s="12"/>
      <c r="T2" s="12"/>
      <c r="U2" s="12"/>
      <c r="V2" s="12"/>
      <c r="W2" s="12"/>
      <c r="X2" s="12"/>
      <c r="Y2" s="12"/>
      <c r="Z2" s="12"/>
    </row>
    <row r="3" spans="1:26" ht="15">
      <c r="A3" s="13" t="s">
        <v>111</v>
      </c>
      <c r="B3" s="13" t="s">
        <v>112</v>
      </c>
      <c r="C3" s="13" t="s">
        <v>121</v>
      </c>
      <c r="D3" s="13" t="s">
        <v>122</v>
      </c>
      <c r="E3" s="13" t="s">
        <v>123</v>
      </c>
      <c r="F3" s="13" t="s">
        <v>124</v>
      </c>
      <c r="G3" s="13" t="s">
        <v>125</v>
      </c>
      <c r="H3" s="13" t="s">
        <v>126</v>
      </c>
      <c r="I3" s="13" t="s">
        <v>127</v>
      </c>
      <c r="J3" s="13" t="s">
        <v>128</v>
      </c>
      <c r="K3" s="13" t="s">
        <v>129</v>
      </c>
      <c r="L3" s="13" t="s">
        <v>130</v>
      </c>
      <c r="M3" s="13" t="s">
        <v>131</v>
      </c>
      <c r="N3" s="13" t="s">
        <v>132</v>
      </c>
      <c r="O3" s="13" t="s">
        <v>133</v>
      </c>
      <c r="P3" s="13" t="s">
        <v>134</v>
      </c>
      <c r="Q3" s="13" t="s">
        <v>135</v>
      </c>
      <c r="R3" s="12"/>
      <c r="S3" s="12"/>
      <c r="T3" s="12"/>
      <c r="U3" s="12"/>
      <c r="V3" s="12"/>
      <c r="W3" s="12"/>
      <c r="X3" s="12"/>
      <c r="Y3" s="12"/>
      <c r="Z3" s="12"/>
    </row>
    <row r="4" spans="1:26" ht="85.5">
      <c r="A4" s="1" t="s">
        <v>237</v>
      </c>
      <c r="B4" s="3" t="str">
        <f>IF($A4="","",IFERROR(VLOOKUP($A4,'02_Конкуренты'!$A$4:$B$11,2,FALSE),"не найдено"))</f>
        <v>PlantUML</v>
      </c>
      <c r="C4" s="1" t="s">
        <v>240</v>
      </c>
      <c r="D4" s="1" t="s">
        <v>573</v>
      </c>
      <c r="E4" s="1" t="s">
        <v>574</v>
      </c>
      <c r="F4" s="1" t="s">
        <v>294</v>
      </c>
      <c r="G4" s="1" t="s">
        <v>575</v>
      </c>
      <c r="H4" s="1" t="s">
        <v>290</v>
      </c>
      <c r="I4" s="1" t="s">
        <v>576</v>
      </c>
      <c r="J4" s="1" t="s">
        <v>577</v>
      </c>
      <c r="K4" s="1" t="s">
        <v>578</v>
      </c>
      <c r="L4" s="1" t="s">
        <v>579</v>
      </c>
      <c r="M4" s="1" t="s">
        <v>580</v>
      </c>
      <c r="N4" s="1" t="s">
        <v>581</v>
      </c>
      <c r="O4" s="4">
        <f t="shared" ref="O4:O35" si="0">IF($A4="","",COUNTA($C4:$N4)/12)</f>
        <v>1</v>
      </c>
      <c r="P4" s="5">
        <f>IF($A4="","",IFERROR(AVERAGEIF('03_Факты_сайта'!$B$4:$B$148,$A4,'03_Факты_сайта'!$I$4:$I$148),0))</f>
        <v>3.7142857142857144</v>
      </c>
      <c r="Q4" s="3" t="str">
        <f t="shared" ref="Q4:Q35" si="1">IF($A4="","",IF($O4&lt;0.5,"недостаточно данных",IF($P4&lt;3,"низкая доказательность",IF($O4&gt;=0.85,"готов к сравнению","требует дополнения"))))</f>
        <v>готов к сравнению</v>
      </c>
      <c r="R4" s="12"/>
      <c r="S4" s="12"/>
      <c r="T4" s="12"/>
      <c r="U4" s="12"/>
      <c r="V4" s="12"/>
      <c r="W4" s="12"/>
      <c r="X4" s="12"/>
      <c r="Y4" s="12"/>
      <c r="Z4" s="12"/>
    </row>
    <row r="5" spans="1:26" ht="85.5">
      <c r="A5" s="1" t="s">
        <v>244</v>
      </c>
      <c r="B5" s="3" t="str">
        <f>IF($A5="","",IFERROR(VLOOKUP($A5,'02_Конкуренты'!$A$4:$B$11,2,FALSE),"не найдено"))</f>
        <v>Mermaid (библиотека)</v>
      </c>
      <c r="C5" s="1" t="s">
        <v>247</v>
      </c>
      <c r="D5" s="1" t="s">
        <v>582</v>
      </c>
      <c r="E5" s="1" t="s">
        <v>583</v>
      </c>
      <c r="F5" s="1" t="s">
        <v>346</v>
      </c>
      <c r="G5" s="1" t="s">
        <v>584</v>
      </c>
      <c r="H5" s="1" t="s">
        <v>344</v>
      </c>
      <c r="I5" s="1" t="s">
        <v>585</v>
      </c>
      <c r="J5" s="1" t="s">
        <v>586</v>
      </c>
      <c r="K5" s="1" t="s">
        <v>587</v>
      </c>
      <c r="L5" s="1" t="s">
        <v>588</v>
      </c>
      <c r="M5" s="1" t="s">
        <v>589</v>
      </c>
      <c r="N5" s="1" t="s">
        <v>590</v>
      </c>
      <c r="O5" s="4">
        <f t="shared" si="0"/>
        <v>1</v>
      </c>
      <c r="P5" s="5">
        <f>IF($A5="","",IFERROR(AVERAGEIF('03_Факты_сайта'!$B$4:$B$148,$A5,'03_Факты_сайта'!$I$4:$I$148),0))</f>
        <v>3.7857142857142856</v>
      </c>
      <c r="Q5" s="3" t="str">
        <f t="shared" si="1"/>
        <v>готов к сравнению</v>
      </c>
      <c r="R5" s="12"/>
      <c r="S5" s="12"/>
      <c r="T5" s="12"/>
      <c r="U5" s="12"/>
      <c r="V5" s="12"/>
      <c r="W5" s="12"/>
      <c r="X5" s="12"/>
      <c r="Y5" s="12"/>
      <c r="Z5" s="12"/>
    </row>
    <row r="6" spans="1:26" ht="99.75">
      <c r="A6" s="1" t="s">
        <v>248</v>
      </c>
      <c r="B6" s="3" t="str">
        <f>IF($A6="","",IFERROR(VLOOKUP($A6,'02_Конкуренты'!$A$4:$B$11,2,FALSE),"не найдено"))</f>
        <v>Mermaid Chart</v>
      </c>
      <c r="C6" s="1" t="s">
        <v>251</v>
      </c>
      <c r="D6" s="1" t="s">
        <v>591</v>
      </c>
      <c r="E6" s="1" t="s">
        <v>592</v>
      </c>
      <c r="F6" s="1" t="s">
        <v>370</v>
      </c>
      <c r="G6" s="1" t="s">
        <v>593</v>
      </c>
      <c r="H6" s="1" t="s">
        <v>852</v>
      </c>
      <c r="I6" s="1" t="s">
        <v>594</v>
      </c>
      <c r="J6" s="1" t="s">
        <v>595</v>
      </c>
      <c r="K6" s="1" t="s">
        <v>596</v>
      </c>
      <c r="L6" s="1" t="s">
        <v>597</v>
      </c>
      <c r="M6" s="1" t="s">
        <v>598</v>
      </c>
      <c r="N6" s="1" t="s">
        <v>599</v>
      </c>
      <c r="O6" s="4">
        <f t="shared" si="0"/>
        <v>1</v>
      </c>
      <c r="P6" s="5">
        <f>IF($A6="","",IFERROR(AVERAGEIF('03_Факты_сайта'!$B$4:$B$148,$A6,'03_Факты_сайта'!$I$4:$I$148),0))</f>
        <v>3.9523809523809526</v>
      </c>
      <c r="Q6" s="3" t="str">
        <f t="shared" si="1"/>
        <v>готов к сравнению</v>
      </c>
      <c r="R6" s="12"/>
      <c r="S6" s="12"/>
      <c r="T6" s="12"/>
      <c r="U6" s="12"/>
      <c r="V6" s="12"/>
      <c r="W6" s="12"/>
      <c r="X6" s="12"/>
      <c r="Y6" s="12"/>
      <c r="Z6" s="12"/>
    </row>
    <row r="7" spans="1:26" ht="99.75">
      <c r="A7" s="1" t="s">
        <v>253</v>
      </c>
      <c r="B7" s="3" t="str">
        <f>IF($A7="","",IFERROR(VLOOKUP($A7,'02_Конкуренты'!$A$4:$B$11,2,FALSE),"не найдено"))</f>
        <v>Storm (StormBPMN)</v>
      </c>
      <c r="C7" s="1" t="s">
        <v>256</v>
      </c>
      <c r="D7" s="1" t="s">
        <v>600</v>
      </c>
      <c r="E7" s="1" t="s">
        <v>601</v>
      </c>
      <c r="F7" s="1" t="s">
        <v>430</v>
      </c>
      <c r="G7" s="1" t="s">
        <v>602</v>
      </c>
      <c r="H7" s="1" t="s">
        <v>428</v>
      </c>
      <c r="I7" s="1" t="s">
        <v>594</v>
      </c>
      <c r="J7" s="1" t="s">
        <v>603</v>
      </c>
      <c r="K7" s="1" t="s">
        <v>604</v>
      </c>
      <c r="L7" s="1" t="s">
        <v>605</v>
      </c>
      <c r="M7" s="1" t="s">
        <v>606</v>
      </c>
      <c r="N7" s="1" t="s">
        <v>607</v>
      </c>
      <c r="O7" s="4">
        <f t="shared" si="0"/>
        <v>1</v>
      </c>
      <c r="P7" s="5">
        <f>IF($A7="","",IFERROR(AVERAGEIF('03_Факты_сайта'!$B$4:$B$148,$A7,'03_Факты_сайта'!$I$4:$I$148),0))</f>
        <v>3.8571428571428572</v>
      </c>
      <c r="Q7" s="3" t="str">
        <f t="shared" si="1"/>
        <v>готов к сравнению</v>
      </c>
      <c r="R7" s="12"/>
      <c r="S7" s="12"/>
      <c r="T7" s="12"/>
      <c r="U7" s="12"/>
      <c r="V7" s="12"/>
      <c r="W7" s="12"/>
      <c r="X7" s="12"/>
      <c r="Y7" s="12"/>
      <c r="Z7" s="12"/>
    </row>
    <row r="8" spans="1:26" ht="99.75">
      <c r="A8" s="1" t="s">
        <v>258</v>
      </c>
      <c r="B8" s="3" t="str">
        <f>IF($A8="","",IFERROR(VLOOKUP($A8,'02_Конкуренты'!$A$4:$B$11,2,FALSE),"не найдено"))</f>
        <v>draw.io (diagrams.net)</v>
      </c>
      <c r="C8" s="1" t="s">
        <v>261</v>
      </c>
      <c r="D8" s="1" t="s">
        <v>608</v>
      </c>
      <c r="E8" s="1" t="s">
        <v>609</v>
      </c>
      <c r="F8" s="1" t="s">
        <v>468</v>
      </c>
      <c r="G8" s="1" t="s">
        <v>610</v>
      </c>
      <c r="H8" s="1" t="s">
        <v>466</v>
      </c>
      <c r="I8" s="1" t="s">
        <v>611</v>
      </c>
      <c r="J8" s="1" t="s">
        <v>612</v>
      </c>
      <c r="K8" s="1" t="s">
        <v>613</v>
      </c>
      <c r="L8" s="1" t="s">
        <v>614</v>
      </c>
      <c r="M8" s="1" t="s">
        <v>615</v>
      </c>
      <c r="N8" s="1" t="s">
        <v>616</v>
      </c>
      <c r="O8" s="4">
        <f t="shared" si="0"/>
        <v>1</v>
      </c>
      <c r="P8" s="5">
        <f>IF($A8="","",IFERROR(AVERAGEIF('03_Факты_сайта'!$B$4:$B$148,$A8,'03_Факты_сайта'!$I$4:$I$148),0))</f>
        <v>3.625</v>
      </c>
      <c r="Q8" s="3" t="str">
        <f t="shared" si="1"/>
        <v>готов к сравнению</v>
      </c>
      <c r="R8" s="12"/>
      <c r="S8" s="12"/>
      <c r="T8" s="12"/>
      <c r="U8" s="12"/>
      <c r="V8" s="12"/>
      <c r="W8" s="12"/>
      <c r="X8" s="12"/>
      <c r="Y8" s="12"/>
      <c r="Z8" s="12"/>
    </row>
    <row r="9" spans="1:26" ht="99.75">
      <c r="A9" s="1" t="s">
        <v>263</v>
      </c>
      <c r="B9" s="3" t="str">
        <f>IF($A9="","",IFERROR(VLOOKUP($A9,'02_Конкуренты'!$A$4:$B$11,2,FALSE),"не найдено"))</f>
        <v>Lucidchart</v>
      </c>
      <c r="C9" s="1" t="s">
        <v>266</v>
      </c>
      <c r="D9" s="1" t="s">
        <v>617</v>
      </c>
      <c r="E9" s="1" t="s">
        <v>618</v>
      </c>
      <c r="F9" s="1" t="s">
        <v>492</v>
      </c>
      <c r="G9" s="1" t="s">
        <v>619</v>
      </c>
      <c r="H9" s="1" t="s">
        <v>853</v>
      </c>
      <c r="I9" s="1" t="s">
        <v>594</v>
      </c>
      <c r="J9" s="1" t="s">
        <v>620</v>
      </c>
      <c r="K9" s="1" t="s">
        <v>621</v>
      </c>
      <c r="L9" s="1" t="s">
        <v>622</v>
      </c>
      <c r="M9" s="1" t="s">
        <v>623</v>
      </c>
      <c r="N9" s="1" t="s">
        <v>624</v>
      </c>
      <c r="O9" s="4">
        <f t="shared" si="0"/>
        <v>1</v>
      </c>
      <c r="P9" s="5">
        <f>IF($A9="","",IFERROR(AVERAGEIF('03_Факты_сайта'!$B$4:$B$148,$A9,'03_Факты_сайта'!$I$4:$I$148),0))</f>
        <v>3.9583333333333335</v>
      </c>
      <c r="Q9" s="3" t="str">
        <f t="shared" si="1"/>
        <v>готов к сравнению</v>
      </c>
      <c r="R9" s="12"/>
      <c r="S9" s="12"/>
      <c r="T9" s="12"/>
      <c r="U9" s="12"/>
      <c r="V9" s="12"/>
      <c r="W9" s="12"/>
      <c r="X9" s="12"/>
      <c r="Y9" s="12"/>
      <c r="Z9" s="12"/>
    </row>
    <row r="10" spans="1:26" ht="85.5">
      <c r="A10" s="1" t="s">
        <v>268</v>
      </c>
      <c r="B10" s="3" t="str">
        <f>IF($A10="","",IFERROR(VLOOKUP($A10,'02_Конкуренты'!$A$4:$B$11,2,FALSE),"не найдено"))</f>
        <v>Eraser</v>
      </c>
      <c r="C10" s="1" t="s">
        <v>271</v>
      </c>
      <c r="D10" s="1" t="s">
        <v>625</v>
      </c>
      <c r="E10" s="1" t="s">
        <v>626</v>
      </c>
      <c r="F10" s="1" t="s">
        <v>627</v>
      </c>
      <c r="G10" s="1" t="s">
        <v>628</v>
      </c>
      <c r="H10" s="1" t="s">
        <v>854</v>
      </c>
      <c r="I10" s="1" t="s">
        <v>594</v>
      </c>
      <c r="J10" s="1" t="s">
        <v>629</v>
      </c>
      <c r="K10" s="1" t="s">
        <v>630</v>
      </c>
      <c r="L10" s="1" t="s">
        <v>631</v>
      </c>
      <c r="M10" s="1" t="s">
        <v>632</v>
      </c>
      <c r="N10" s="1" t="s">
        <v>633</v>
      </c>
      <c r="O10" s="4">
        <f t="shared" si="0"/>
        <v>1</v>
      </c>
      <c r="P10" s="5">
        <f>IF($A10="","",IFERROR(AVERAGEIF('03_Факты_сайта'!$B$4:$B$148,$A10,'03_Факты_сайта'!$I$4:$I$148),0))</f>
        <v>4</v>
      </c>
      <c r="Q10" s="3" t="str">
        <f t="shared" si="1"/>
        <v>готов к сравнению</v>
      </c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99.75">
      <c r="A11" s="1" t="s">
        <v>273</v>
      </c>
      <c r="B11" s="3" t="str">
        <f>IF($A11="","",IFERROR(VLOOKUP($A11,'02_Конкуренты'!$A$4:$B$11,2,FALSE),"не найдено"))</f>
        <v>Whimsical</v>
      </c>
      <c r="C11" s="1" t="s">
        <v>276</v>
      </c>
      <c r="D11" s="1" t="s">
        <v>634</v>
      </c>
      <c r="E11" s="1" t="s">
        <v>635</v>
      </c>
      <c r="F11" s="1" t="s">
        <v>627</v>
      </c>
      <c r="G11" s="1" t="s">
        <v>636</v>
      </c>
      <c r="H11" s="1" t="s">
        <v>856</v>
      </c>
      <c r="I11" s="1" t="s">
        <v>594</v>
      </c>
      <c r="J11" s="1" t="s">
        <v>637</v>
      </c>
      <c r="K11" s="1" t="s">
        <v>638</v>
      </c>
      <c r="L11" s="1" t="s">
        <v>639</v>
      </c>
      <c r="M11" s="1" t="s">
        <v>640</v>
      </c>
      <c r="N11" s="1" t="s">
        <v>641</v>
      </c>
      <c r="O11" s="4">
        <f t="shared" si="0"/>
        <v>1</v>
      </c>
      <c r="P11" s="5">
        <f>IF($A11="","",IFERROR(AVERAGEIF('03_Факты_сайта'!$B$4:$B$148,$A11,'03_Факты_сайта'!$I$4:$I$148),0))</f>
        <v>4</v>
      </c>
      <c r="Q11" s="3" t="str">
        <f t="shared" si="1"/>
        <v>готов к сравнению</v>
      </c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1"/>
      <c r="B12" s="3" t="str">
        <f>IF($A12="","",IFERROR(VLOOKUP($A12,'02_Конкуренты'!$A$4:$B$11,2,FALSE),"не найдено"))</f>
        <v/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4" t="str">
        <f t="shared" si="0"/>
        <v/>
      </c>
      <c r="P12" s="5" t="str">
        <f>IF($A12="","",IFERROR(AVERAGEIF('03_Факты_сайта'!$B$4:$B$148,$A12,'03_Факты_сайта'!$I$4:$I$148),0))</f>
        <v/>
      </c>
      <c r="Q12" s="3" t="str">
        <f t="shared" si="1"/>
        <v/>
      </c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1"/>
      <c r="B13" s="3" t="str">
        <f>IF($A13="","",IFERROR(VLOOKUP($A13,'02_Конкуренты'!$A$4:$B$11,2,FALSE),"не найдено"))</f>
        <v/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4" t="str">
        <f t="shared" si="0"/>
        <v/>
      </c>
      <c r="P13" s="5" t="str">
        <f>IF($A13="","",IFERROR(AVERAGEIF('03_Факты_сайта'!$B$4:$B$148,$A13,'03_Факты_сайта'!$I$4:$I$148),0))</f>
        <v/>
      </c>
      <c r="Q13" s="3" t="str">
        <f t="shared" si="1"/>
        <v/>
      </c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1"/>
      <c r="B14" s="3" t="str">
        <f>IF($A14="","",IFERROR(VLOOKUP($A14,'02_Конкуренты'!$A$4:$B$11,2,FALSE),"не найдено"))</f>
        <v/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4" t="str">
        <f t="shared" si="0"/>
        <v/>
      </c>
      <c r="P14" s="5" t="str">
        <f>IF($A14="","",IFERROR(AVERAGEIF('03_Факты_сайта'!$B$4:$B$148,$A14,'03_Факты_сайта'!$I$4:$I$148),0))</f>
        <v/>
      </c>
      <c r="Q14" s="3" t="str">
        <f t="shared" si="1"/>
        <v/>
      </c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1"/>
      <c r="B15" s="3" t="str">
        <f>IF($A15="","",IFERROR(VLOOKUP($A15,'02_Конкуренты'!$A$4:$B$11,2,FALSE),"не найдено"))</f>
        <v/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4" t="str">
        <f t="shared" si="0"/>
        <v/>
      </c>
      <c r="P15" s="5" t="str">
        <f>IF($A15="","",IFERROR(AVERAGEIF('03_Факты_сайта'!$B$4:$B$148,$A15,'03_Факты_сайта'!$I$4:$I$148),0))</f>
        <v/>
      </c>
      <c r="Q15" s="3" t="str">
        <f t="shared" si="1"/>
        <v/>
      </c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1"/>
      <c r="B16" s="3" t="str">
        <f>IF($A16="","",IFERROR(VLOOKUP($A16,'02_Конкуренты'!$A$4:$B$11,2,FALSE),"не найдено"))</f>
        <v/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4" t="str">
        <f t="shared" si="0"/>
        <v/>
      </c>
      <c r="P16" s="5" t="str">
        <f>IF($A16="","",IFERROR(AVERAGEIF('03_Факты_сайта'!$B$4:$B$148,$A16,'03_Факты_сайта'!$I$4:$I$148),0))</f>
        <v/>
      </c>
      <c r="Q16" s="3" t="str">
        <f t="shared" si="1"/>
        <v/>
      </c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1"/>
      <c r="B17" s="3" t="str">
        <f>IF($A17="","",IFERROR(VLOOKUP($A17,'02_Конкуренты'!$A$4:$B$11,2,FALSE),"не найдено"))</f>
        <v/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4" t="str">
        <f t="shared" si="0"/>
        <v/>
      </c>
      <c r="P17" s="5" t="str">
        <f>IF($A17="","",IFERROR(AVERAGEIF('03_Факты_сайта'!$B$4:$B$148,$A17,'03_Факты_сайта'!$I$4:$I$148),0))</f>
        <v/>
      </c>
      <c r="Q17" s="3" t="str">
        <f t="shared" si="1"/>
        <v/>
      </c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1"/>
      <c r="B18" s="3" t="str">
        <f>IF($A18="","",IFERROR(VLOOKUP($A18,'02_Конкуренты'!$A$4:$B$11,2,FALSE),"не найдено"))</f>
        <v/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4" t="str">
        <f t="shared" si="0"/>
        <v/>
      </c>
      <c r="P18" s="5" t="str">
        <f>IF($A18="","",IFERROR(AVERAGEIF('03_Факты_сайта'!$B$4:$B$148,$A18,'03_Факты_сайта'!$I$4:$I$148),0))</f>
        <v/>
      </c>
      <c r="Q18" s="3" t="str">
        <f t="shared" si="1"/>
        <v/>
      </c>
      <c r="R18" s="12"/>
      <c r="S18" s="12"/>
      <c r="T18" s="12"/>
      <c r="U18" s="12"/>
      <c r="V18" s="12"/>
      <c r="W18" s="12"/>
      <c r="X18" s="12"/>
      <c r="Y18" s="12"/>
      <c r="Z18" s="12"/>
    </row>
    <row r="19" spans="1:26">
      <c r="A19" s="1"/>
      <c r="B19" s="3" t="str">
        <f>IF($A19="","",IFERROR(VLOOKUP($A19,'02_Конкуренты'!$A$4:$B$11,2,FALSE),"не найдено"))</f>
        <v/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4" t="str">
        <f t="shared" si="0"/>
        <v/>
      </c>
      <c r="P19" s="5" t="str">
        <f>IF($A19="","",IFERROR(AVERAGEIF('03_Факты_сайта'!$B$4:$B$148,$A19,'03_Факты_сайта'!$I$4:$I$148),0))</f>
        <v/>
      </c>
      <c r="Q19" s="3" t="str">
        <f t="shared" si="1"/>
        <v/>
      </c>
      <c r="R19" s="12"/>
      <c r="S19" s="12"/>
      <c r="T19" s="12"/>
      <c r="U19" s="12"/>
      <c r="V19" s="12"/>
      <c r="W19" s="12"/>
      <c r="X19" s="12"/>
      <c r="Y19" s="12"/>
      <c r="Z19" s="12"/>
    </row>
    <row r="20" spans="1:26">
      <c r="A20" s="1"/>
      <c r="B20" s="3" t="str">
        <f>IF($A20="","",IFERROR(VLOOKUP($A20,'02_Конкуренты'!$A$4:$B$11,2,FALSE),"не найдено"))</f>
        <v/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4" t="str">
        <f t="shared" si="0"/>
        <v/>
      </c>
      <c r="P20" s="5" t="str">
        <f>IF($A20="","",IFERROR(AVERAGEIF('03_Факты_сайта'!$B$4:$B$148,$A20,'03_Факты_сайта'!$I$4:$I$148),0))</f>
        <v/>
      </c>
      <c r="Q20" s="3" t="str">
        <f t="shared" si="1"/>
        <v/>
      </c>
      <c r="R20" s="12"/>
      <c r="S20" s="12"/>
      <c r="T20" s="12"/>
      <c r="U20" s="12"/>
      <c r="V20" s="12"/>
      <c r="W20" s="12"/>
      <c r="X20" s="12"/>
      <c r="Y20" s="12"/>
      <c r="Z20" s="12"/>
    </row>
    <row r="21" spans="1:26">
      <c r="A21" s="1"/>
      <c r="B21" s="3" t="str">
        <f>IF($A21="","",IFERROR(VLOOKUP($A21,'02_Конкуренты'!$A$4:$B$11,2,FALSE),"не найдено"))</f>
        <v/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4" t="str">
        <f t="shared" si="0"/>
        <v/>
      </c>
      <c r="P21" s="5" t="str">
        <f>IF($A21="","",IFERROR(AVERAGEIF('03_Факты_сайта'!$B$4:$B$148,$A21,'03_Факты_сайта'!$I$4:$I$148),0))</f>
        <v/>
      </c>
      <c r="Q21" s="3" t="str">
        <f t="shared" si="1"/>
        <v/>
      </c>
      <c r="R21" s="12"/>
      <c r="S21" s="12"/>
      <c r="T21" s="12"/>
      <c r="U21" s="12"/>
      <c r="V21" s="12"/>
      <c r="W21" s="12"/>
      <c r="X21" s="12"/>
      <c r="Y21" s="12"/>
      <c r="Z21" s="12"/>
    </row>
    <row r="22" spans="1:26">
      <c r="A22" s="1"/>
      <c r="B22" s="3" t="str">
        <f>IF($A22="","",IFERROR(VLOOKUP($A22,'02_Конкуренты'!$A$4:$B$11,2,FALSE),"не найдено"))</f>
        <v/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4" t="str">
        <f t="shared" si="0"/>
        <v/>
      </c>
      <c r="P22" s="5" t="str">
        <f>IF($A22="","",IFERROR(AVERAGEIF('03_Факты_сайта'!$B$4:$B$148,$A22,'03_Факты_сайта'!$I$4:$I$148),0))</f>
        <v/>
      </c>
      <c r="Q22" s="3" t="str">
        <f t="shared" si="1"/>
        <v/>
      </c>
      <c r="R22" s="12"/>
      <c r="S22" s="12"/>
      <c r="T22" s="12"/>
      <c r="U22" s="12"/>
      <c r="V22" s="12"/>
      <c r="W22" s="12"/>
      <c r="X22" s="12"/>
      <c r="Y22" s="12"/>
      <c r="Z22" s="12"/>
    </row>
    <row r="23" spans="1:26">
      <c r="A23" s="1"/>
      <c r="B23" s="3" t="str">
        <f>IF($A23="","",IFERROR(VLOOKUP($A23,'02_Конкуренты'!$A$4:$B$11,2,FALSE),"не найдено"))</f>
        <v/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4" t="str">
        <f t="shared" si="0"/>
        <v/>
      </c>
      <c r="P23" s="5" t="str">
        <f>IF($A23="","",IFERROR(AVERAGEIF('03_Факты_сайта'!$B$4:$B$148,$A23,'03_Факты_сайта'!$I$4:$I$148),0))</f>
        <v/>
      </c>
      <c r="Q23" s="3" t="str">
        <f t="shared" si="1"/>
        <v/>
      </c>
      <c r="R23" s="12"/>
      <c r="S23" s="12"/>
      <c r="T23" s="12"/>
      <c r="U23" s="12"/>
      <c r="V23" s="12"/>
      <c r="W23" s="12"/>
      <c r="X23" s="12"/>
      <c r="Y23" s="12"/>
      <c r="Z23" s="12"/>
    </row>
    <row r="24" spans="1:26">
      <c r="A24" s="1"/>
      <c r="B24" s="3" t="str">
        <f>IF($A24="","",IFERROR(VLOOKUP($A24,'02_Конкуренты'!$A$4:$B$11,2,FALSE),"не найдено"))</f>
        <v/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4" t="str">
        <f t="shared" si="0"/>
        <v/>
      </c>
      <c r="P24" s="5" t="str">
        <f>IF($A24="","",IFERROR(AVERAGEIF('03_Факты_сайта'!$B$4:$B$148,$A24,'03_Факты_сайта'!$I$4:$I$148),0))</f>
        <v/>
      </c>
      <c r="Q24" s="3" t="str">
        <f t="shared" si="1"/>
        <v/>
      </c>
      <c r="R24" s="12"/>
      <c r="S24" s="12"/>
      <c r="T24" s="12"/>
      <c r="U24" s="12"/>
      <c r="V24" s="12"/>
      <c r="W24" s="12"/>
      <c r="X24" s="12"/>
      <c r="Y24" s="12"/>
      <c r="Z24" s="12"/>
    </row>
    <row r="25" spans="1:26">
      <c r="A25" s="1"/>
      <c r="B25" s="3" t="str">
        <f>IF($A25="","",IFERROR(VLOOKUP($A25,'02_Конкуренты'!$A$4:$B$11,2,FALSE),"не найдено"))</f>
        <v/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4" t="str">
        <f t="shared" si="0"/>
        <v/>
      </c>
      <c r="P25" s="5" t="str">
        <f>IF($A25="","",IFERROR(AVERAGEIF('03_Факты_сайта'!$B$4:$B$148,$A25,'03_Факты_сайта'!$I$4:$I$148),0))</f>
        <v/>
      </c>
      <c r="Q25" s="3" t="str">
        <f t="shared" si="1"/>
        <v/>
      </c>
      <c r="R25" s="12"/>
      <c r="S25" s="12"/>
      <c r="T25" s="12"/>
      <c r="U25" s="12"/>
      <c r="V25" s="12"/>
      <c r="W25" s="12"/>
      <c r="X25" s="12"/>
      <c r="Y25" s="12"/>
      <c r="Z25" s="12"/>
    </row>
    <row r="26" spans="1:26">
      <c r="A26" s="1"/>
      <c r="B26" s="3" t="str">
        <f>IF($A26="","",IFERROR(VLOOKUP($A26,'02_Конкуренты'!$A$4:$B$11,2,FALSE),"не найдено"))</f>
        <v/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4" t="str">
        <f t="shared" si="0"/>
        <v/>
      </c>
      <c r="P26" s="5" t="str">
        <f>IF($A26="","",IFERROR(AVERAGEIF('03_Факты_сайта'!$B$4:$B$148,$A26,'03_Факты_сайта'!$I$4:$I$148),0))</f>
        <v/>
      </c>
      <c r="Q26" s="3" t="str">
        <f t="shared" si="1"/>
        <v/>
      </c>
      <c r="R26" s="12"/>
      <c r="S26" s="12"/>
      <c r="T26" s="12"/>
      <c r="U26" s="12"/>
      <c r="V26" s="12"/>
      <c r="W26" s="12"/>
      <c r="X26" s="12"/>
      <c r="Y26" s="12"/>
      <c r="Z26" s="12"/>
    </row>
    <row r="27" spans="1:26">
      <c r="A27" s="1"/>
      <c r="B27" s="3" t="str">
        <f>IF($A27="","",IFERROR(VLOOKUP($A27,'02_Конкуренты'!$A$4:$B$11,2,FALSE),"не найдено"))</f>
        <v/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4" t="str">
        <f t="shared" si="0"/>
        <v/>
      </c>
      <c r="P27" s="5" t="str">
        <f>IF($A27="","",IFERROR(AVERAGEIF('03_Факты_сайта'!$B$4:$B$148,$A27,'03_Факты_сайта'!$I$4:$I$148),0))</f>
        <v/>
      </c>
      <c r="Q27" s="3" t="str">
        <f t="shared" si="1"/>
        <v/>
      </c>
      <c r="R27" s="12"/>
      <c r="S27" s="12"/>
      <c r="T27" s="12"/>
      <c r="U27" s="12"/>
      <c r="V27" s="12"/>
      <c r="W27" s="12"/>
      <c r="X27" s="12"/>
      <c r="Y27" s="12"/>
      <c r="Z27" s="12"/>
    </row>
    <row r="28" spans="1:26">
      <c r="A28" s="1"/>
      <c r="B28" s="3" t="str">
        <f>IF($A28="","",IFERROR(VLOOKUP($A28,'02_Конкуренты'!$A$4:$B$11,2,FALSE),"не найдено"))</f>
        <v/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4" t="str">
        <f t="shared" si="0"/>
        <v/>
      </c>
      <c r="P28" s="5" t="str">
        <f>IF($A28="","",IFERROR(AVERAGEIF('03_Факты_сайта'!$B$4:$B$148,$A28,'03_Факты_сайта'!$I$4:$I$148),0))</f>
        <v/>
      </c>
      <c r="Q28" s="3" t="str">
        <f t="shared" si="1"/>
        <v/>
      </c>
      <c r="R28" s="12"/>
      <c r="S28" s="12"/>
      <c r="T28" s="12"/>
      <c r="U28" s="12"/>
      <c r="V28" s="12"/>
      <c r="W28" s="12"/>
      <c r="X28" s="12"/>
      <c r="Y28" s="12"/>
      <c r="Z28" s="12"/>
    </row>
    <row r="29" spans="1:26">
      <c r="A29" s="1"/>
      <c r="B29" s="3" t="str">
        <f>IF($A29="","",IFERROR(VLOOKUP($A29,'02_Конкуренты'!$A$4:$B$11,2,FALSE),"не найдено"))</f>
        <v/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4" t="str">
        <f t="shared" si="0"/>
        <v/>
      </c>
      <c r="P29" s="5" t="str">
        <f>IF($A29="","",IFERROR(AVERAGEIF('03_Факты_сайта'!$B$4:$B$148,$A29,'03_Факты_сайта'!$I$4:$I$148),0))</f>
        <v/>
      </c>
      <c r="Q29" s="3" t="str">
        <f t="shared" si="1"/>
        <v/>
      </c>
      <c r="R29" s="12"/>
      <c r="S29" s="12"/>
      <c r="T29" s="12"/>
      <c r="U29" s="12"/>
      <c r="V29" s="12"/>
      <c r="W29" s="12"/>
      <c r="X29" s="12"/>
      <c r="Y29" s="12"/>
      <c r="Z29" s="12"/>
    </row>
    <row r="30" spans="1:26">
      <c r="A30" s="1"/>
      <c r="B30" s="3" t="str">
        <f>IF($A30="","",IFERROR(VLOOKUP($A30,'02_Конкуренты'!$A$4:$B$11,2,FALSE),"не найдено"))</f>
        <v/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4" t="str">
        <f t="shared" si="0"/>
        <v/>
      </c>
      <c r="P30" s="5" t="str">
        <f>IF($A30="","",IFERROR(AVERAGEIF('03_Факты_сайта'!$B$4:$B$148,$A30,'03_Факты_сайта'!$I$4:$I$148),0))</f>
        <v/>
      </c>
      <c r="Q30" s="3" t="str">
        <f t="shared" si="1"/>
        <v/>
      </c>
      <c r="R30" s="12"/>
      <c r="S30" s="12"/>
      <c r="T30" s="12"/>
      <c r="U30" s="12"/>
      <c r="V30" s="12"/>
      <c r="W30" s="12"/>
      <c r="X30" s="12"/>
      <c r="Y30" s="12"/>
      <c r="Z30" s="12"/>
    </row>
    <row r="31" spans="1:26">
      <c r="A31" s="1"/>
      <c r="B31" s="3" t="str">
        <f>IF($A31="","",IFERROR(VLOOKUP($A31,'02_Конкуренты'!$A$4:$B$11,2,FALSE),"не найдено"))</f>
        <v/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4" t="str">
        <f t="shared" si="0"/>
        <v/>
      </c>
      <c r="P31" s="5" t="str">
        <f>IF($A31="","",IFERROR(AVERAGEIF('03_Факты_сайта'!$B$4:$B$148,$A31,'03_Факты_сайта'!$I$4:$I$148),0))</f>
        <v/>
      </c>
      <c r="Q31" s="3" t="str">
        <f t="shared" si="1"/>
        <v/>
      </c>
      <c r="R31" s="12"/>
      <c r="S31" s="12"/>
      <c r="T31" s="12"/>
      <c r="U31" s="12"/>
      <c r="V31" s="12"/>
      <c r="W31" s="12"/>
      <c r="X31" s="12"/>
      <c r="Y31" s="12"/>
      <c r="Z31" s="12"/>
    </row>
    <row r="32" spans="1:26">
      <c r="A32" s="1"/>
      <c r="B32" s="3" t="str">
        <f>IF($A32="","",IFERROR(VLOOKUP($A32,'02_Конкуренты'!$A$4:$B$11,2,FALSE),"не найдено"))</f>
        <v/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4" t="str">
        <f t="shared" si="0"/>
        <v/>
      </c>
      <c r="P32" s="5" t="str">
        <f>IF($A32="","",IFERROR(AVERAGEIF('03_Факты_сайта'!$B$4:$B$148,$A32,'03_Факты_сайта'!$I$4:$I$148),0))</f>
        <v/>
      </c>
      <c r="Q32" s="3" t="str">
        <f t="shared" si="1"/>
        <v/>
      </c>
      <c r="R32" s="12"/>
      <c r="S32" s="12"/>
      <c r="T32" s="12"/>
      <c r="U32" s="12"/>
      <c r="V32" s="12"/>
      <c r="W32" s="12"/>
      <c r="X32" s="12"/>
      <c r="Y32" s="12"/>
      <c r="Z32" s="12"/>
    </row>
    <row r="33" spans="1:26">
      <c r="A33" s="1"/>
      <c r="B33" s="3" t="str">
        <f>IF($A33="","",IFERROR(VLOOKUP($A33,'02_Конкуренты'!$A$4:$B$11,2,FALSE),"не найдено"))</f>
        <v/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4" t="str">
        <f t="shared" si="0"/>
        <v/>
      </c>
      <c r="P33" s="5" t="str">
        <f>IF($A33="","",IFERROR(AVERAGEIF('03_Факты_сайта'!$B$4:$B$148,$A33,'03_Факты_сайта'!$I$4:$I$148),0))</f>
        <v/>
      </c>
      <c r="Q33" s="3" t="str">
        <f t="shared" si="1"/>
        <v/>
      </c>
      <c r="R33" s="12"/>
      <c r="S33" s="12"/>
      <c r="T33" s="12"/>
      <c r="U33" s="12"/>
      <c r="V33" s="12"/>
      <c r="W33" s="12"/>
      <c r="X33" s="12"/>
      <c r="Y33" s="12"/>
      <c r="Z33" s="12"/>
    </row>
    <row r="34" spans="1:26">
      <c r="A34" s="1"/>
      <c r="B34" s="3" t="str">
        <f>IF($A34="","",IFERROR(VLOOKUP($A34,'02_Конкуренты'!$A$4:$B$11,2,FALSE),"не найдено"))</f>
        <v/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4" t="str">
        <f t="shared" si="0"/>
        <v/>
      </c>
      <c r="P34" s="5" t="str">
        <f>IF($A34="","",IFERROR(AVERAGEIF('03_Факты_сайта'!$B$4:$B$148,$A34,'03_Факты_сайта'!$I$4:$I$148),0))</f>
        <v/>
      </c>
      <c r="Q34" s="3" t="str">
        <f t="shared" si="1"/>
        <v/>
      </c>
      <c r="R34" s="12"/>
      <c r="S34" s="12"/>
      <c r="T34" s="12"/>
      <c r="U34" s="12"/>
      <c r="V34" s="12"/>
      <c r="W34" s="12"/>
      <c r="X34" s="12"/>
      <c r="Y34" s="12"/>
      <c r="Z34" s="12"/>
    </row>
    <row r="35" spans="1:26">
      <c r="A35" s="1"/>
      <c r="B35" s="3" t="str">
        <f>IF($A35="","",IFERROR(VLOOKUP($A35,'02_Конкуренты'!$A$4:$B$11,2,FALSE),"не найдено"))</f>
        <v/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4" t="str">
        <f t="shared" si="0"/>
        <v/>
      </c>
      <c r="P35" s="5" t="str">
        <f>IF($A35="","",IFERROR(AVERAGEIF('03_Факты_сайта'!$B$4:$B$148,$A35,'03_Факты_сайта'!$I$4:$I$148),0))</f>
        <v/>
      </c>
      <c r="Q35" s="3" t="str">
        <f t="shared" si="1"/>
        <v/>
      </c>
      <c r="R35" s="12"/>
      <c r="S35" s="12"/>
      <c r="T35" s="12"/>
      <c r="U35" s="12"/>
      <c r="V35" s="12"/>
      <c r="W35" s="12"/>
      <c r="X35" s="12"/>
      <c r="Y35" s="12"/>
      <c r="Z35" s="12"/>
    </row>
    <row r="36" spans="1:26">
      <c r="A36" s="1"/>
      <c r="B36" s="3" t="str">
        <f>IF($A36="","",IFERROR(VLOOKUP($A36,'02_Конкуренты'!$A$4:$B$11,2,FALSE),"не найдено"))</f>
        <v/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4" t="str">
        <f t="shared" ref="O36:O67" si="2">IF($A36="","",COUNTA($C36:$N36)/12)</f>
        <v/>
      </c>
      <c r="P36" s="5" t="str">
        <f>IF($A36="","",IFERROR(AVERAGEIF('03_Факты_сайта'!$B$4:$B$148,$A36,'03_Факты_сайта'!$I$4:$I$148),0))</f>
        <v/>
      </c>
      <c r="Q36" s="3" t="str">
        <f t="shared" ref="Q36:Q67" si="3">IF($A36="","",IF($O36&lt;0.5,"недостаточно данных",IF($P36&lt;3,"низкая доказательность",IF($O36&gt;=0.85,"готов к сравнению","требует дополнения"))))</f>
        <v/>
      </c>
      <c r="R36" s="12"/>
      <c r="S36" s="12"/>
      <c r="T36" s="12"/>
      <c r="U36" s="12"/>
      <c r="V36" s="12"/>
      <c r="W36" s="12"/>
      <c r="X36" s="12"/>
      <c r="Y36" s="12"/>
      <c r="Z36" s="12"/>
    </row>
    <row r="37" spans="1:26">
      <c r="A37" s="1"/>
      <c r="B37" s="3" t="str">
        <f>IF($A37="","",IFERROR(VLOOKUP($A37,'02_Конкуренты'!$A$4:$B$11,2,FALSE),"не найдено"))</f>
        <v/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4" t="str">
        <f t="shared" si="2"/>
        <v/>
      </c>
      <c r="P37" s="5" t="str">
        <f>IF($A37="","",IFERROR(AVERAGEIF('03_Факты_сайта'!$B$4:$B$148,$A37,'03_Факты_сайта'!$I$4:$I$148),0))</f>
        <v/>
      </c>
      <c r="Q37" s="3" t="str">
        <f t="shared" si="3"/>
        <v/>
      </c>
      <c r="R37" s="12"/>
      <c r="S37" s="12"/>
      <c r="T37" s="12"/>
      <c r="U37" s="12"/>
      <c r="V37" s="12"/>
      <c r="W37" s="12"/>
      <c r="X37" s="12"/>
      <c r="Y37" s="12"/>
      <c r="Z37" s="12"/>
    </row>
    <row r="38" spans="1:26">
      <c r="A38" s="1"/>
      <c r="B38" s="3" t="str">
        <f>IF($A38="","",IFERROR(VLOOKUP($A38,'02_Конкуренты'!$A$4:$B$11,2,FALSE),"не найдено"))</f>
        <v/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4" t="str">
        <f t="shared" si="2"/>
        <v/>
      </c>
      <c r="P38" s="5" t="str">
        <f>IF($A38="","",IFERROR(AVERAGEIF('03_Факты_сайта'!$B$4:$B$148,$A38,'03_Факты_сайта'!$I$4:$I$148),0))</f>
        <v/>
      </c>
      <c r="Q38" s="3" t="str">
        <f t="shared" si="3"/>
        <v/>
      </c>
      <c r="R38" s="12"/>
      <c r="S38" s="12"/>
      <c r="T38" s="12"/>
      <c r="U38" s="12"/>
      <c r="V38" s="12"/>
      <c r="W38" s="12"/>
      <c r="X38" s="12"/>
      <c r="Y38" s="12"/>
      <c r="Z38" s="12"/>
    </row>
    <row r="39" spans="1:26">
      <c r="A39" s="1"/>
      <c r="B39" s="3" t="str">
        <f>IF($A39="","",IFERROR(VLOOKUP($A39,'02_Конкуренты'!$A$4:$B$11,2,FALSE),"не найдено"))</f>
        <v/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 t="str">
        <f t="shared" si="2"/>
        <v/>
      </c>
      <c r="P39" s="5" t="str">
        <f>IF($A39="","",IFERROR(AVERAGEIF('03_Факты_сайта'!$B$4:$B$148,$A39,'03_Факты_сайта'!$I$4:$I$148),0))</f>
        <v/>
      </c>
      <c r="Q39" s="3" t="str">
        <f t="shared" si="3"/>
        <v/>
      </c>
      <c r="R39" s="12"/>
      <c r="S39" s="12"/>
      <c r="T39" s="12"/>
      <c r="U39" s="12"/>
      <c r="V39" s="12"/>
      <c r="W39" s="12"/>
      <c r="X39" s="12"/>
      <c r="Y39" s="12"/>
      <c r="Z39" s="12"/>
    </row>
    <row r="40" spans="1:26">
      <c r="A40" s="1"/>
      <c r="B40" s="3" t="str">
        <f>IF($A40="","",IFERROR(VLOOKUP($A40,'02_Конкуренты'!$A$4:$B$11,2,FALSE),"не найдено"))</f>
        <v/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4" t="str">
        <f t="shared" si="2"/>
        <v/>
      </c>
      <c r="P40" s="5" t="str">
        <f>IF($A40="","",IFERROR(AVERAGEIF('03_Факты_сайта'!$B$4:$B$148,$A40,'03_Факты_сайта'!$I$4:$I$148),0))</f>
        <v/>
      </c>
      <c r="Q40" s="3" t="str">
        <f t="shared" si="3"/>
        <v/>
      </c>
      <c r="R40" s="12"/>
      <c r="S40" s="12"/>
      <c r="T40" s="12"/>
      <c r="U40" s="12"/>
      <c r="V40" s="12"/>
      <c r="W40" s="12"/>
      <c r="X40" s="12"/>
      <c r="Y40" s="12"/>
      <c r="Z40" s="12"/>
    </row>
    <row r="41" spans="1:26">
      <c r="A41" s="1"/>
      <c r="B41" s="3" t="str">
        <f>IF($A41="","",IFERROR(VLOOKUP($A41,'02_Конкуренты'!$A$4:$B$11,2,FALSE),"не найдено"))</f>
        <v/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4" t="str">
        <f t="shared" si="2"/>
        <v/>
      </c>
      <c r="P41" s="5" t="str">
        <f>IF($A41="","",IFERROR(AVERAGEIF('03_Факты_сайта'!$B$4:$B$148,$A41,'03_Факты_сайта'!$I$4:$I$148),0))</f>
        <v/>
      </c>
      <c r="Q41" s="3" t="str">
        <f t="shared" si="3"/>
        <v/>
      </c>
      <c r="R41" s="12"/>
      <c r="S41" s="12"/>
      <c r="T41" s="12"/>
      <c r="U41" s="12"/>
      <c r="V41" s="12"/>
      <c r="W41" s="12"/>
      <c r="X41" s="12"/>
      <c r="Y41" s="12"/>
      <c r="Z41" s="12"/>
    </row>
    <row r="42" spans="1:26">
      <c r="A42" s="1"/>
      <c r="B42" s="3" t="str">
        <f>IF($A42="","",IFERROR(VLOOKUP($A42,'02_Конкуренты'!$A$4:$B$11,2,FALSE),"не найдено"))</f>
        <v/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4" t="str">
        <f t="shared" si="2"/>
        <v/>
      </c>
      <c r="P42" s="5" t="str">
        <f>IF($A42="","",IFERROR(AVERAGEIF('03_Факты_сайта'!$B$4:$B$148,$A42,'03_Факты_сайта'!$I$4:$I$148),0))</f>
        <v/>
      </c>
      <c r="Q42" s="3" t="str">
        <f t="shared" si="3"/>
        <v/>
      </c>
      <c r="R42" s="12"/>
      <c r="S42" s="12"/>
      <c r="T42" s="12"/>
      <c r="U42" s="12"/>
      <c r="V42" s="12"/>
      <c r="W42" s="12"/>
      <c r="X42" s="12"/>
      <c r="Y42" s="12"/>
      <c r="Z42" s="12"/>
    </row>
    <row r="43" spans="1:26">
      <c r="A43" s="1"/>
      <c r="B43" s="3" t="str">
        <f>IF($A43="","",IFERROR(VLOOKUP($A43,'02_Конкуренты'!$A$4:$B$11,2,FALSE),"не найдено"))</f>
        <v/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4" t="str">
        <f t="shared" si="2"/>
        <v/>
      </c>
      <c r="P43" s="5" t="str">
        <f>IF($A43="","",IFERROR(AVERAGEIF('03_Факты_сайта'!$B$4:$B$148,$A43,'03_Факты_сайта'!$I$4:$I$148),0))</f>
        <v/>
      </c>
      <c r="Q43" s="3" t="str">
        <f t="shared" si="3"/>
        <v/>
      </c>
      <c r="R43" s="12"/>
      <c r="S43" s="12"/>
      <c r="T43" s="12"/>
      <c r="U43" s="12"/>
      <c r="V43" s="12"/>
      <c r="W43" s="12"/>
      <c r="X43" s="12"/>
      <c r="Y43" s="12"/>
      <c r="Z43" s="12"/>
    </row>
    <row r="44" spans="1:26">
      <c r="A44" s="1"/>
      <c r="B44" s="3" t="str">
        <f>IF($A44="","",IFERROR(VLOOKUP($A44,'02_Конкуренты'!$A$4:$B$11,2,FALSE),"не найдено"))</f>
        <v/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4" t="str">
        <f t="shared" si="2"/>
        <v/>
      </c>
      <c r="P44" s="5" t="str">
        <f>IF($A44="","",IFERROR(AVERAGEIF('03_Факты_сайта'!$B$4:$B$148,$A44,'03_Факты_сайта'!$I$4:$I$148),0))</f>
        <v/>
      </c>
      <c r="Q44" s="3" t="str">
        <f t="shared" si="3"/>
        <v/>
      </c>
      <c r="R44" s="12"/>
      <c r="S44" s="12"/>
      <c r="T44" s="12"/>
      <c r="U44" s="12"/>
      <c r="V44" s="12"/>
      <c r="W44" s="12"/>
      <c r="X44" s="12"/>
      <c r="Y44" s="12"/>
      <c r="Z44" s="12"/>
    </row>
    <row r="45" spans="1:26">
      <c r="A45" s="1"/>
      <c r="B45" s="3" t="str">
        <f>IF($A45="","",IFERROR(VLOOKUP($A45,'02_Конкуренты'!$A$4:$B$11,2,FALSE),"не найдено"))</f>
        <v/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4" t="str">
        <f t="shared" si="2"/>
        <v/>
      </c>
      <c r="P45" s="5" t="str">
        <f>IF($A45="","",IFERROR(AVERAGEIF('03_Факты_сайта'!$B$4:$B$148,$A45,'03_Факты_сайта'!$I$4:$I$148),0))</f>
        <v/>
      </c>
      <c r="Q45" s="3" t="str">
        <f t="shared" si="3"/>
        <v/>
      </c>
      <c r="R45" s="12"/>
      <c r="S45" s="12"/>
      <c r="T45" s="12"/>
      <c r="U45" s="12"/>
      <c r="V45" s="12"/>
      <c r="W45" s="12"/>
      <c r="X45" s="12"/>
      <c r="Y45" s="12"/>
      <c r="Z45" s="12"/>
    </row>
    <row r="46" spans="1:26">
      <c r="A46" s="1"/>
      <c r="B46" s="3" t="str">
        <f>IF($A46="","",IFERROR(VLOOKUP($A46,'02_Конкуренты'!$A$4:$B$11,2,FALSE),"не найдено"))</f>
        <v/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4" t="str">
        <f t="shared" si="2"/>
        <v/>
      </c>
      <c r="P46" s="5" t="str">
        <f>IF($A46="","",IFERROR(AVERAGEIF('03_Факты_сайта'!$B$4:$B$148,$A46,'03_Факты_сайта'!$I$4:$I$148),0))</f>
        <v/>
      </c>
      <c r="Q46" s="3" t="str">
        <f t="shared" si="3"/>
        <v/>
      </c>
      <c r="R46" s="12"/>
      <c r="S46" s="12"/>
      <c r="T46" s="12"/>
      <c r="U46" s="12"/>
      <c r="V46" s="12"/>
      <c r="W46" s="12"/>
      <c r="X46" s="12"/>
      <c r="Y46" s="12"/>
      <c r="Z46" s="12"/>
    </row>
    <row r="47" spans="1:26">
      <c r="A47" s="1"/>
      <c r="B47" s="3" t="str">
        <f>IF($A47="","",IFERROR(VLOOKUP($A47,'02_Конкуренты'!$A$4:$B$11,2,FALSE),"не найдено"))</f>
        <v/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4" t="str">
        <f t="shared" si="2"/>
        <v/>
      </c>
      <c r="P47" s="5" t="str">
        <f>IF($A47="","",IFERROR(AVERAGEIF('03_Факты_сайта'!$B$4:$B$148,$A47,'03_Факты_сайта'!$I$4:$I$148),0))</f>
        <v/>
      </c>
      <c r="Q47" s="3" t="str">
        <f t="shared" si="3"/>
        <v/>
      </c>
      <c r="R47" s="12"/>
      <c r="S47" s="12"/>
      <c r="T47" s="12"/>
      <c r="U47" s="12"/>
      <c r="V47" s="12"/>
      <c r="W47" s="12"/>
      <c r="X47" s="12"/>
      <c r="Y47" s="12"/>
      <c r="Z47" s="12"/>
    </row>
    <row r="48" spans="1:26">
      <c r="A48" s="1"/>
      <c r="B48" s="3" t="str">
        <f>IF($A48="","",IFERROR(VLOOKUP($A48,'02_Конкуренты'!$A$4:$B$11,2,FALSE),"не найдено"))</f>
        <v/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4" t="str">
        <f t="shared" si="2"/>
        <v/>
      </c>
      <c r="P48" s="5" t="str">
        <f>IF($A48="","",IFERROR(AVERAGEIF('03_Факты_сайта'!$B$4:$B$148,$A48,'03_Факты_сайта'!$I$4:$I$148),0))</f>
        <v/>
      </c>
      <c r="Q48" s="3" t="str">
        <f t="shared" si="3"/>
        <v/>
      </c>
      <c r="R48" s="12"/>
      <c r="S48" s="12"/>
      <c r="T48" s="12"/>
      <c r="U48" s="12"/>
      <c r="V48" s="12"/>
      <c r="W48" s="12"/>
      <c r="X48" s="12"/>
      <c r="Y48" s="12"/>
      <c r="Z48" s="12"/>
    </row>
    <row r="49" spans="1:26">
      <c r="A49" s="1"/>
      <c r="B49" s="3" t="str">
        <f>IF($A49="","",IFERROR(VLOOKUP($A49,'02_Конкуренты'!$A$4:$B$11,2,FALSE),"не найдено"))</f>
        <v/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4" t="str">
        <f t="shared" si="2"/>
        <v/>
      </c>
      <c r="P49" s="5" t="str">
        <f>IF($A49="","",IFERROR(AVERAGEIF('03_Факты_сайта'!$B$4:$B$148,$A49,'03_Факты_сайта'!$I$4:$I$148),0))</f>
        <v/>
      </c>
      <c r="Q49" s="3" t="str">
        <f t="shared" si="3"/>
        <v/>
      </c>
      <c r="R49" s="12"/>
      <c r="S49" s="12"/>
      <c r="T49" s="12"/>
      <c r="U49" s="12"/>
      <c r="V49" s="12"/>
      <c r="W49" s="12"/>
      <c r="X49" s="12"/>
      <c r="Y49" s="12"/>
      <c r="Z49" s="12"/>
    </row>
    <row r="50" spans="1:26">
      <c r="A50" s="1"/>
      <c r="B50" s="3" t="str">
        <f>IF($A50="","",IFERROR(VLOOKUP($A50,'02_Конкуренты'!$A$4:$B$11,2,FALSE),"не найдено"))</f>
        <v/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4" t="str">
        <f t="shared" si="2"/>
        <v/>
      </c>
      <c r="P50" s="5" t="str">
        <f>IF($A50="","",IFERROR(AVERAGEIF('03_Факты_сайта'!$B$4:$B$148,$A50,'03_Факты_сайта'!$I$4:$I$148),0))</f>
        <v/>
      </c>
      <c r="Q50" s="3" t="str">
        <f t="shared" si="3"/>
        <v/>
      </c>
      <c r="R50" s="12"/>
      <c r="S50" s="12"/>
      <c r="T50" s="12"/>
      <c r="U50" s="12"/>
      <c r="V50" s="12"/>
      <c r="W50" s="12"/>
      <c r="X50" s="12"/>
      <c r="Y50" s="12"/>
      <c r="Z50" s="12"/>
    </row>
    <row r="51" spans="1:26">
      <c r="A51" s="1"/>
      <c r="B51" s="3" t="str">
        <f>IF($A51="","",IFERROR(VLOOKUP($A51,'02_Конкуренты'!$A$4:$B$11,2,FALSE),"не найдено"))</f>
        <v/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4" t="str">
        <f t="shared" si="2"/>
        <v/>
      </c>
      <c r="P51" s="5" t="str">
        <f>IF($A51="","",IFERROR(AVERAGEIF('03_Факты_сайта'!$B$4:$B$148,$A51,'03_Факты_сайта'!$I$4:$I$148),0))</f>
        <v/>
      </c>
      <c r="Q51" s="3" t="str">
        <f t="shared" si="3"/>
        <v/>
      </c>
      <c r="R51" s="12"/>
      <c r="S51" s="12"/>
      <c r="T51" s="12"/>
      <c r="U51" s="12"/>
      <c r="V51" s="12"/>
      <c r="W51" s="12"/>
      <c r="X51" s="12"/>
      <c r="Y51" s="12"/>
      <c r="Z51" s="12"/>
    </row>
    <row r="52" spans="1:26">
      <c r="A52" s="1"/>
      <c r="B52" s="3" t="str">
        <f>IF($A52="","",IFERROR(VLOOKUP($A52,'02_Конкуренты'!$A$4:$B$11,2,FALSE),"не найдено"))</f>
        <v/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4" t="str">
        <f t="shared" si="2"/>
        <v/>
      </c>
      <c r="P52" s="5" t="str">
        <f>IF($A52="","",IFERROR(AVERAGEIF('03_Факты_сайта'!$B$4:$B$148,$A52,'03_Факты_сайта'!$I$4:$I$148),0))</f>
        <v/>
      </c>
      <c r="Q52" s="3" t="str">
        <f t="shared" si="3"/>
        <v/>
      </c>
      <c r="R52" s="12"/>
      <c r="S52" s="12"/>
      <c r="T52" s="12"/>
      <c r="U52" s="12"/>
      <c r="V52" s="12"/>
      <c r="W52" s="12"/>
      <c r="X52" s="12"/>
      <c r="Y52" s="12"/>
      <c r="Z52" s="12"/>
    </row>
    <row r="53" spans="1:26">
      <c r="A53" s="1"/>
      <c r="B53" s="3" t="str">
        <f>IF($A53="","",IFERROR(VLOOKUP($A53,'02_Конкуренты'!$A$4:$B$11,2,FALSE),"не найдено"))</f>
        <v/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4" t="str">
        <f t="shared" si="2"/>
        <v/>
      </c>
      <c r="P53" s="5" t="str">
        <f>IF($A53="","",IFERROR(AVERAGEIF('03_Факты_сайта'!$B$4:$B$148,$A53,'03_Факты_сайта'!$I$4:$I$148),0))</f>
        <v/>
      </c>
      <c r="Q53" s="3" t="str">
        <f t="shared" si="3"/>
        <v/>
      </c>
      <c r="R53" s="12"/>
      <c r="S53" s="12"/>
      <c r="T53" s="12"/>
      <c r="U53" s="12"/>
      <c r="V53" s="12"/>
      <c r="W53" s="12"/>
      <c r="X53" s="12"/>
      <c r="Y53" s="12"/>
      <c r="Z53" s="12"/>
    </row>
    <row r="54" spans="1:26">
      <c r="A54" s="1"/>
      <c r="B54" s="3" t="str">
        <f>IF($A54="","",IFERROR(VLOOKUP($A54,'02_Конкуренты'!$A$4:$B$11,2,FALSE),"не найдено"))</f>
        <v/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4" t="str">
        <f t="shared" si="2"/>
        <v/>
      </c>
      <c r="P54" s="5" t="str">
        <f>IF($A54="","",IFERROR(AVERAGEIF('03_Факты_сайта'!$B$4:$B$148,$A54,'03_Факты_сайта'!$I$4:$I$148),0))</f>
        <v/>
      </c>
      <c r="Q54" s="3" t="str">
        <f t="shared" si="3"/>
        <v/>
      </c>
      <c r="R54" s="12"/>
      <c r="S54" s="12"/>
      <c r="T54" s="12"/>
      <c r="U54" s="12"/>
      <c r="V54" s="12"/>
      <c r="W54" s="12"/>
      <c r="X54" s="12"/>
      <c r="Y54" s="12"/>
      <c r="Z54" s="12"/>
    </row>
    <row r="55" spans="1:26">
      <c r="A55" s="1"/>
      <c r="B55" s="3" t="str">
        <f>IF($A55="","",IFERROR(VLOOKUP($A55,'02_Конкуренты'!$A$4:$B$11,2,FALSE),"не найдено"))</f>
        <v/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4" t="str">
        <f t="shared" si="2"/>
        <v/>
      </c>
      <c r="P55" s="5" t="str">
        <f>IF($A55="","",IFERROR(AVERAGEIF('03_Факты_сайта'!$B$4:$B$148,$A55,'03_Факты_сайта'!$I$4:$I$148),0))</f>
        <v/>
      </c>
      <c r="Q55" s="3" t="str">
        <f t="shared" si="3"/>
        <v/>
      </c>
      <c r="R55" s="12"/>
      <c r="S55" s="12"/>
      <c r="T55" s="12"/>
      <c r="U55" s="12"/>
      <c r="V55" s="12"/>
      <c r="W55" s="12"/>
      <c r="X55" s="12"/>
      <c r="Y55" s="12"/>
      <c r="Z55" s="12"/>
    </row>
    <row r="56" spans="1:26">
      <c r="A56" s="1"/>
      <c r="B56" s="3" t="str">
        <f>IF($A56="","",IFERROR(VLOOKUP($A56,'02_Конкуренты'!$A$4:$B$11,2,FALSE),"не найдено"))</f>
        <v/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4" t="str">
        <f t="shared" si="2"/>
        <v/>
      </c>
      <c r="P56" s="5" t="str">
        <f>IF($A56="","",IFERROR(AVERAGEIF('03_Факты_сайта'!$B$4:$B$148,$A56,'03_Факты_сайта'!$I$4:$I$148),0))</f>
        <v/>
      </c>
      <c r="Q56" s="3" t="str">
        <f t="shared" si="3"/>
        <v/>
      </c>
      <c r="R56" s="12"/>
      <c r="S56" s="12"/>
      <c r="T56" s="12"/>
      <c r="U56" s="12"/>
      <c r="V56" s="12"/>
      <c r="W56" s="12"/>
      <c r="X56" s="12"/>
      <c r="Y56" s="12"/>
      <c r="Z56" s="12"/>
    </row>
    <row r="57" spans="1:26">
      <c r="A57" s="1"/>
      <c r="B57" s="3" t="str">
        <f>IF($A57="","",IFERROR(VLOOKUP($A57,'02_Конкуренты'!$A$4:$B$11,2,FALSE),"не найдено"))</f>
        <v/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4" t="str">
        <f t="shared" si="2"/>
        <v/>
      </c>
      <c r="P57" s="5" t="str">
        <f>IF($A57="","",IFERROR(AVERAGEIF('03_Факты_сайта'!$B$4:$B$148,$A57,'03_Факты_сайта'!$I$4:$I$148),0))</f>
        <v/>
      </c>
      <c r="Q57" s="3" t="str">
        <f t="shared" si="3"/>
        <v/>
      </c>
      <c r="R57" s="12"/>
      <c r="S57" s="12"/>
      <c r="T57" s="12"/>
      <c r="U57" s="12"/>
      <c r="V57" s="12"/>
      <c r="W57" s="12"/>
      <c r="X57" s="12"/>
      <c r="Y57" s="12"/>
      <c r="Z57" s="12"/>
    </row>
    <row r="58" spans="1:26">
      <c r="A58" s="1"/>
      <c r="B58" s="3" t="str">
        <f>IF($A58="","",IFERROR(VLOOKUP($A58,'02_Конкуренты'!$A$4:$B$11,2,FALSE),"не найдено"))</f>
        <v/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4" t="str">
        <f t="shared" si="2"/>
        <v/>
      </c>
      <c r="P58" s="5" t="str">
        <f>IF($A58="","",IFERROR(AVERAGEIF('03_Факты_сайта'!$B$4:$B$148,$A58,'03_Факты_сайта'!$I$4:$I$148),0))</f>
        <v/>
      </c>
      <c r="Q58" s="3" t="str">
        <f t="shared" si="3"/>
        <v/>
      </c>
      <c r="R58" s="12"/>
      <c r="S58" s="12"/>
      <c r="T58" s="12"/>
      <c r="U58" s="12"/>
      <c r="V58" s="12"/>
      <c r="W58" s="12"/>
      <c r="X58" s="12"/>
      <c r="Y58" s="12"/>
      <c r="Z58" s="12"/>
    </row>
    <row r="59" spans="1:26">
      <c r="A59" s="1"/>
      <c r="B59" s="3" t="str">
        <f>IF($A59="","",IFERROR(VLOOKUP($A59,'02_Конкуренты'!$A$4:$B$11,2,FALSE),"не найдено"))</f>
        <v/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4" t="str">
        <f t="shared" si="2"/>
        <v/>
      </c>
      <c r="P59" s="5" t="str">
        <f>IF($A59="","",IFERROR(AVERAGEIF('03_Факты_сайта'!$B$4:$B$148,$A59,'03_Факты_сайта'!$I$4:$I$148),0))</f>
        <v/>
      </c>
      <c r="Q59" s="3" t="str">
        <f t="shared" si="3"/>
        <v/>
      </c>
      <c r="R59" s="12"/>
      <c r="S59" s="12"/>
      <c r="T59" s="12"/>
      <c r="U59" s="12"/>
      <c r="V59" s="12"/>
      <c r="W59" s="12"/>
      <c r="X59" s="12"/>
      <c r="Y59" s="12"/>
      <c r="Z59" s="12"/>
    </row>
    <row r="60" spans="1:26">
      <c r="A60" s="1"/>
      <c r="B60" s="3" t="str">
        <f>IF($A60="","",IFERROR(VLOOKUP($A60,'02_Конкуренты'!$A$4:$B$11,2,FALSE),"не найдено"))</f>
        <v/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4" t="str">
        <f t="shared" si="2"/>
        <v/>
      </c>
      <c r="P60" s="5" t="str">
        <f>IF($A60="","",IFERROR(AVERAGEIF('03_Факты_сайта'!$B$4:$B$148,$A60,'03_Факты_сайта'!$I$4:$I$148),0))</f>
        <v/>
      </c>
      <c r="Q60" s="3" t="str">
        <f t="shared" si="3"/>
        <v/>
      </c>
      <c r="R60" s="12"/>
      <c r="S60" s="12"/>
      <c r="T60" s="12"/>
      <c r="U60" s="12"/>
      <c r="V60" s="12"/>
      <c r="W60" s="12"/>
      <c r="X60" s="12"/>
      <c r="Y60" s="12"/>
      <c r="Z60" s="12"/>
    </row>
    <row r="61" spans="1:26">
      <c r="A61" s="1"/>
      <c r="B61" s="3" t="str">
        <f>IF($A61="","",IFERROR(VLOOKUP($A61,'02_Конкуренты'!$A$4:$B$11,2,FALSE),"не найдено"))</f>
        <v/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4" t="str">
        <f t="shared" si="2"/>
        <v/>
      </c>
      <c r="P61" s="5" t="str">
        <f>IF($A61="","",IFERROR(AVERAGEIF('03_Факты_сайта'!$B$4:$B$148,$A61,'03_Факты_сайта'!$I$4:$I$148),0))</f>
        <v/>
      </c>
      <c r="Q61" s="3" t="str">
        <f t="shared" si="3"/>
        <v/>
      </c>
      <c r="R61" s="12"/>
      <c r="S61" s="12"/>
      <c r="T61" s="12"/>
      <c r="U61" s="12"/>
      <c r="V61" s="12"/>
      <c r="W61" s="12"/>
      <c r="X61" s="12"/>
      <c r="Y61" s="12"/>
      <c r="Z61" s="12"/>
    </row>
    <row r="62" spans="1:26">
      <c r="A62" s="1"/>
      <c r="B62" s="3" t="str">
        <f>IF($A62="","",IFERROR(VLOOKUP($A62,'02_Конкуренты'!$A$4:$B$11,2,FALSE),"не найдено"))</f>
        <v/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4" t="str">
        <f t="shared" si="2"/>
        <v/>
      </c>
      <c r="P62" s="5" t="str">
        <f>IF($A62="","",IFERROR(AVERAGEIF('03_Факты_сайта'!$B$4:$B$148,$A62,'03_Факты_сайта'!$I$4:$I$148),0))</f>
        <v/>
      </c>
      <c r="Q62" s="3" t="str">
        <f t="shared" si="3"/>
        <v/>
      </c>
      <c r="R62" s="12"/>
      <c r="S62" s="12"/>
      <c r="T62" s="12"/>
      <c r="U62" s="12"/>
      <c r="V62" s="12"/>
      <c r="W62" s="12"/>
      <c r="X62" s="12"/>
      <c r="Y62" s="12"/>
      <c r="Z62" s="12"/>
    </row>
    <row r="63" spans="1:26">
      <c r="A63" s="1"/>
      <c r="B63" s="3" t="str">
        <f>IF($A63="","",IFERROR(VLOOKUP($A63,'02_Конкуренты'!$A$4:$B$11,2,FALSE),"не найдено"))</f>
        <v/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4" t="str">
        <f t="shared" si="2"/>
        <v/>
      </c>
      <c r="P63" s="5" t="str">
        <f>IF($A63="","",IFERROR(AVERAGEIF('03_Факты_сайта'!$B$4:$B$148,$A63,'03_Факты_сайта'!$I$4:$I$148),0))</f>
        <v/>
      </c>
      <c r="Q63" s="3" t="str">
        <f t="shared" si="3"/>
        <v/>
      </c>
      <c r="R63" s="12"/>
      <c r="S63" s="12"/>
      <c r="T63" s="12"/>
      <c r="U63" s="12"/>
      <c r="V63" s="12"/>
      <c r="W63" s="12"/>
      <c r="X63" s="12"/>
      <c r="Y63" s="12"/>
      <c r="Z63" s="12"/>
    </row>
    <row r="64" spans="1:26">
      <c r="A64" s="1"/>
      <c r="B64" s="3" t="str">
        <f>IF($A64="","",IFERROR(VLOOKUP($A64,'02_Конкуренты'!$A$4:$B$11,2,FALSE),"не найдено"))</f>
        <v/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4" t="str">
        <f t="shared" si="2"/>
        <v/>
      </c>
      <c r="P64" s="5" t="str">
        <f>IF($A64="","",IFERROR(AVERAGEIF('03_Факты_сайта'!$B$4:$B$148,$A64,'03_Факты_сайта'!$I$4:$I$148),0))</f>
        <v/>
      </c>
      <c r="Q64" s="3" t="str">
        <f t="shared" si="3"/>
        <v/>
      </c>
      <c r="R64" s="12"/>
      <c r="S64" s="12"/>
      <c r="T64" s="12"/>
      <c r="U64" s="12"/>
      <c r="V64" s="12"/>
      <c r="W64" s="12"/>
      <c r="X64" s="12"/>
      <c r="Y64" s="12"/>
      <c r="Z64" s="12"/>
    </row>
    <row r="65" spans="1:26">
      <c r="A65" s="1"/>
      <c r="B65" s="3" t="str">
        <f>IF($A65="","",IFERROR(VLOOKUP($A65,'02_Конкуренты'!$A$4:$B$11,2,FALSE),"не найдено"))</f>
        <v/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4" t="str">
        <f t="shared" si="2"/>
        <v/>
      </c>
      <c r="P65" s="5" t="str">
        <f>IF($A65="","",IFERROR(AVERAGEIF('03_Факты_сайта'!$B$4:$B$148,$A65,'03_Факты_сайта'!$I$4:$I$148),0))</f>
        <v/>
      </c>
      <c r="Q65" s="3" t="str">
        <f t="shared" si="3"/>
        <v/>
      </c>
      <c r="R65" s="12"/>
      <c r="S65" s="12"/>
      <c r="T65" s="12"/>
      <c r="U65" s="12"/>
      <c r="V65" s="12"/>
      <c r="W65" s="12"/>
      <c r="X65" s="12"/>
      <c r="Y65" s="12"/>
      <c r="Z65" s="12"/>
    </row>
    <row r="66" spans="1:26">
      <c r="A66" s="1"/>
      <c r="B66" s="3" t="str">
        <f>IF($A66="","",IFERROR(VLOOKUP($A66,'02_Конкуренты'!$A$4:$B$11,2,FALSE),"не найдено"))</f>
        <v/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4" t="str">
        <f t="shared" si="2"/>
        <v/>
      </c>
      <c r="P66" s="5" t="str">
        <f>IF($A66="","",IFERROR(AVERAGEIF('03_Факты_сайта'!$B$4:$B$148,$A66,'03_Факты_сайта'!$I$4:$I$148),0))</f>
        <v/>
      </c>
      <c r="Q66" s="3" t="str">
        <f t="shared" si="3"/>
        <v/>
      </c>
      <c r="R66" s="12"/>
      <c r="S66" s="12"/>
      <c r="T66" s="12"/>
      <c r="U66" s="12"/>
      <c r="V66" s="12"/>
      <c r="W66" s="12"/>
      <c r="X66" s="12"/>
      <c r="Y66" s="12"/>
      <c r="Z66" s="12"/>
    </row>
    <row r="67" spans="1:26">
      <c r="A67" s="1"/>
      <c r="B67" s="3" t="str">
        <f>IF($A67="","",IFERROR(VLOOKUP($A67,'02_Конкуренты'!$A$4:$B$11,2,FALSE),"не найдено"))</f>
        <v/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4" t="str">
        <f t="shared" si="2"/>
        <v/>
      </c>
      <c r="P67" s="5" t="str">
        <f>IF($A67="","",IFERROR(AVERAGEIF('03_Факты_сайта'!$B$4:$B$148,$A67,'03_Факты_сайта'!$I$4:$I$148),0))</f>
        <v/>
      </c>
      <c r="Q67" s="3" t="str">
        <f t="shared" si="3"/>
        <v/>
      </c>
      <c r="R67" s="12"/>
      <c r="S67" s="12"/>
      <c r="T67" s="12"/>
      <c r="U67" s="12"/>
      <c r="V67" s="12"/>
      <c r="W67" s="12"/>
      <c r="X67" s="12"/>
      <c r="Y67" s="12"/>
      <c r="Z67" s="12"/>
    </row>
    <row r="68" spans="1:26">
      <c r="A68" s="1"/>
      <c r="B68" s="3" t="str">
        <f>IF($A68="","",IFERROR(VLOOKUP($A68,'02_Конкуренты'!$A$4:$B$11,2,FALSE),"не найдено"))</f>
        <v/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4" t="str">
        <f t="shared" ref="O68:O99" si="4">IF($A68="","",COUNTA($C68:$N68)/12)</f>
        <v/>
      </c>
      <c r="P68" s="5" t="str">
        <f>IF($A68="","",IFERROR(AVERAGEIF('03_Факты_сайта'!$B$4:$B$148,$A68,'03_Факты_сайта'!$I$4:$I$148),0))</f>
        <v/>
      </c>
      <c r="Q68" s="3" t="str">
        <f t="shared" ref="Q68:Q99" si="5">IF($A68="","",IF($O68&lt;0.5,"недостаточно данных",IF($P68&lt;3,"низкая доказательность",IF($O68&gt;=0.85,"готов к сравнению","требует дополнения"))))</f>
        <v/>
      </c>
      <c r="R68" s="12"/>
      <c r="S68" s="12"/>
      <c r="T68" s="12"/>
      <c r="U68" s="12"/>
      <c r="V68" s="12"/>
      <c r="W68" s="12"/>
      <c r="X68" s="12"/>
      <c r="Y68" s="12"/>
      <c r="Z68" s="12"/>
    </row>
    <row r="69" spans="1:26">
      <c r="A69" s="1"/>
      <c r="B69" s="3" t="str">
        <f>IF($A69="","",IFERROR(VLOOKUP($A69,'02_Конкуренты'!$A$4:$B$11,2,FALSE),"не найдено"))</f>
        <v/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4" t="str">
        <f t="shared" si="4"/>
        <v/>
      </c>
      <c r="P69" s="5" t="str">
        <f>IF($A69="","",IFERROR(AVERAGEIF('03_Факты_сайта'!$B$4:$B$148,$A69,'03_Факты_сайта'!$I$4:$I$148),0))</f>
        <v/>
      </c>
      <c r="Q69" s="3" t="str">
        <f t="shared" si="5"/>
        <v/>
      </c>
      <c r="R69" s="12"/>
      <c r="S69" s="12"/>
      <c r="T69" s="12"/>
      <c r="U69" s="12"/>
      <c r="V69" s="12"/>
      <c r="W69" s="12"/>
      <c r="X69" s="12"/>
      <c r="Y69" s="12"/>
      <c r="Z69" s="12"/>
    </row>
    <row r="70" spans="1:26">
      <c r="A70" s="1"/>
      <c r="B70" s="3" t="str">
        <f>IF($A70="","",IFERROR(VLOOKUP($A70,'02_Конкуренты'!$A$4:$B$11,2,FALSE),"не найдено"))</f>
        <v/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4" t="str">
        <f t="shared" si="4"/>
        <v/>
      </c>
      <c r="P70" s="5" t="str">
        <f>IF($A70="","",IFERROR(AVERAGEIF('03_Факты_сайта'!$B$4:$B$148,$A70,'03_Факты_сайта'!$I$4:$I$148),0))</f>
        <v/>
      </c>
      <c r="Q70" s="3" t="str">
        <f t="shared" si="5"/>
        <v/>
      </c>
      <c r="R70" s="12"/>
      <c r="S70" s="12"/>
      <c r="T70" s="12"/>
      <c r="U70" s="12"/>
      <c r="V70" s="12"/>
      <c r="W70" s="12"/>
      <c r="X70" s="12"/>
      <c r="Y70" s="12"/>
      <c r="Z70" s="12"/>
    </row>
    <row r="71" spans="1:26">
      <c r="A71" s="1"/>
      <c r="B71" s="3" t="str">
        <f>IF($A71="","",IFERROR(VLOOKUP($A71,'02_Конкуренты'!$A$4:$B$11,2,FALSE),"не найдено"))</f>
        <v/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4" t="str">
        <f t="shared" si="4"/>
        <v/>
      </c>
      <c r="P71" s="5" t="str">
        <f>IF($A71="","",IFERROR(AVERAGEIF('03_Факты_сайта'!$B$4:$B$148,$A71,'03_Факты_сайта'!$I$4:$I$148),0))</f>
        <v/>
      </c>
      <c r="Q71" s="3" t="str">
        <f t="shared" si="5"/>
        <v/>
      </c>
      <c r="R71" s="12"/>
      <c r="S71" s="12"/>
      <c r="T71" s="12"/>
      <c r="U71" s="12"/>
      <c r="V71" s="12"/>
      <c r="W71" s="12"/>
      <c r="X71" s="12"/>
      <c r="Y71" s="12"/>
      <c r="Z71" s="12"/>
    </row>
    <row r="72" spans="1:26">
      <c r="A72" s="1"/>
      <c r="B72" s="3" t="str">
        <f>IF($A72="","",IFERROR(VLOOKUP($A72,'02_Конкуренты'!$A$4:$B$11,2,FALSE),"не найдено"))</f>
        <v/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4" t="str">
        <f t="shared" si="4"/>
        <v/>
      </c>
      <c r="P72" s="5" t="str">
        <f>IF($A72="","",IFERROR(AVERAGEIF('03_Факты_сайта'!$B$4:$B$148,$A72,'03_Факты_сайта'!$I$4:$I$148),0))</f>
        <v/>
      </c>
      <c r="Q72" s="3" t="str">
        <f t="shared" si="5"/>
        <v/>
      </c>
      <c r="R72" s="12"/>
      <c r="S72" s="12"/>
      <c r="T72" s="12"/>
      <c r="U72" s="12"/>
      <c r="V72" s="12"/>
      <c r="W72" s="12"/>
      <c r="X72" s="12"/>
      <c r="Y72" s="12"/>
      <c r="Z72" s="12"/>
    </row>
    <row r="73" spans="1:26">
      <c r="A73" s="1"/>
      <c r="B73" s="3" t="str">
        <f>IF($A73="","",IFERROR(VLOOKUP($A73,'02_Конкуренты'!$A$4:$B$11,2,FALSE),"не найдено"))</f>
        <v/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4" t="str">
        <f t="shared" si="4"/>
        <v/>
      </c>
      <c r="P73" s="5" t="str">
        <f>IF($A73="","",IFERROR(AVERAGEIF('03_Факты_сайта'!$B$4:$B$148,$A73,'03_Факты_сайта'!$I$4:$I$148),0))</f>
        <v/>
      </c>
      <c r="Q73" s="3" t="str">
        <f t="shared" si="5"/>
        <v/>
      </c>
      <c r="R73" s="12"/>
      <c r="S73" s="12"/>
      <c r="T73" s="12"/>
      <c r="U73" s="12"/>
      <c r="V73" s="12"/>
      <c r="W73" s="12"/>
      <c r="X73" s="12"/>
      <c r="Y73" s="12"/>
      <c r="Z73" s="12"/>
    </row>
    <row r="74" spans="1:26">
      <c r="A74" s="1"/>
      <c r="B74" s="3" t="str">
        <f>IF($A74="","",IFERROR(VLOOKUP($A74,'02_Конкуренты'!$A$4:$B$11,2,FALSE),"не найдено"))</f>
        <v/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4" t="str">
        <f t="shared" si="4"/>
        <v/>
      </c>
      <c r="P74" s="5" t="str">
        <f>IF($A74="","",IFERROR(AVERAGEIF('03_Факты_сайта'!$B$4:$B$148,$A74,'03_Факты_сайта'!$I$4:$I$148),0))</f>
        <v/>
      </c>
      <c r="Q74" s="3" t="str">
        <f t="shared" si="5"/>
        <v/>
      </c>
      <c r="R74" s="12"/>
      <c r="S74" s="12"/>
      <c r="T74" s="12"/>
      <c r="U74" s="12"/>
      <c r="V74" s="12"/>
      <c r="W74" s="12"/>
      <c r="X74" s="12"/>
      <c r="Y74" s="12"/>
      <c r="Z74" s="12"/>
    </row>
    <row r="75" spans="1:26">
      <c r="A75" s="1"/>
      <c r="B75" s="3" t="str">
        <f>IF($A75="","",IFERROR(VLOOKUP($A75,'02_Конкуренты'!$A$4:$B$11,2,FALSE),"не найдено"))</f>
        <v/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4" t="str">
        <f t="shared" si="4"/>
        <v/>
      </c>
      <c r="P75" s="5" t="str">
        <f>IF($A75="","",IFERROR(AVERAGEIF('03_Факты_сайта'!$B$4:$B$148,$A75,'03_Факты_сайта'!$I$4:$I$148),0))</f>
        <v/>
      </c>
      <c r="Q75" s="3" t="str">
        <f t="shared" si="5"/>
        <v/>
      </c>
      <c r="R75" s="12"/>
      <c r="S75" s="12"/>
      <c r="T75" s="12"/>
      <c r="U75" s="12"/>
      <c r="V75" s="12"/>
      <c r="W75" s="12"/>
      <c r="X75" s="12"/>
      <c r="Y75" s="12"/>
      <c r="Z75" s="12"/>
    </row>
    <row r="76" spans="1:26">
      <c r="A76" s="1"/>
      <c r="B76" s="3" t="str">
        <f>IF($A76="","",IFERROR(VLOOKUP($A76,'02_Конкуренты'!$A$4:$B$11,2,FALSE),"не найдено"))</f>
        <v/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4" t="str">
        <f t="shared" si="4"/>
        <v/>
      </c>
      <c r="P76" s="5" t="str">
        <f>IF($A76="","",IFERROR(AVERAGEIF('03_Факты_сайта'!$B$4:$B$148,$A76,'03_Факты_сайта'!$I$4:$I$148),0))</f>
        <v/>
      </c>
      <c r="Q76" s="3" t="str">
        <f t="shared" si="5"/>
        <v/>
      </c>
      <c r="R76" s="12"/>
      <c r="S76" s="12"/>
      <c r="T76" s="12"/>
      <c r="U76" s="12"/>
      <c r="V76" s="12"/>
      <c r="W76" s="12"/>
      <c r="X76" s="12"/>
      <c r="Y76" s="12"/>
      <c r="Z76" s="12"/>
    </row>
    <row r="77" spans="1:26">
      <c r="A77" s="1"/>
      <c r="B77" s="3" t="str">
        <f>IF($A77="","",IFERROR(VLOOKUP($A77,'02_Конкуренты'!$A$4:$B$11,2,FALSE),"не найдено"))</f>
        <v/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4" t="str">
        <f t="shared" si="4"/>
        <v/>
      </c>
      <c r="P77" s="5" t="str">
        <f>IF($A77="","",IFERROR(AVERAGEIF('03_Факты_сайта'!$B$4:$B$148,$A77,'03_Факты_сайта'!$I$4:$I$148),0))</f>
        <v/>
      </c>
      <c r="Q77" s="3" t="str">
        <f t="shared" si="5"/>
        <v/>
      </c>
      <c r="R77" s="12"/>
      <c r="S77" s="12"/>
      <c r="T77" s="12"/>
      <c r="U77" s="12"/>
      <c r="V77" s="12"/>
      <c r="W77" s="12"/>
      <c r="X77" s="12"/>
      <c r="Y77" s="12"/>
      <c r="Z77" s="12"/>
    </row>
    <row r="78" spans="1:26">
      <c r="A78" s="1"/>
      <c r="B78" s="3" t="str">
        <f>IF($A78="","",IFERROR(VLOOKUP($A78,'02_Конкуренты'!$A$4:$B$11,2,FALSE),"не найдено"))</f>
        <v/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4" t="str">
        <f t="shared" si="4"/>
        <v/>
      </c>
      <c r="P78" s="5" t="str">
        <f>IF($A78="","",IFERROR(AVERAGEIF('03_Факты_сайта'!$B$4:$B$148,$A78,'03_Факты_сайта'!$I$4:$I$148),0))</f>
        <v/>
      </c>
      <c r="Q78" s="3" t="str">
        <f t="shared" si="5"/>
        <v/>
      </c>
      <c r="R78" s="12"/>
      <c r="S78" s="12"/>
      <c r="T78" s="12"/>
      <c r="U78" s="12"/>
      <c r="V78" s="12"/>
      <c r="W78" s="12"/>
      <c r="X78" s="12"/>
      <c r="Y78" s="12"/>
      <c r="Z78" s="12"/>
    </row>
    <row r="79" spans="1:26">
      <c r="A79" s="1"/>
      <c r="B79" s="3" t="str">
        <f>IF($A79="","",IFERROR(VLOOKUP($A79,'02_Конкуренты'!$A$4:$B$11,2,FALSE),"не найдено"))</f>
        <v/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4" t="str">
        <f t="shared" si="4"/>
        <v/>
      </c>
      <c r="P79" s="5" t="str">
        <f>IF($A79="","",IFERROR(AVERAGEIF('03_Факты_сайта'!$B$4:$B$148,$A79,'03_Факты_сайта'!$I$4:$I$148),0))</f>
        <v/>
      </c>
      <c r="Q79" s="3" t="str">
        <f t="shared" si="5"/>
        <v/>
      </c>
      <c r="R79" s="12"/>
      <c r="S79" s="12"/>
      <c r="T79" s="12"/>
      <c r="U79" s="12"/>
      <c r="V79" s="12"/>
      <c r="W79" s="12"/>
      <c r="X79" s="12"/>
      <c r="Y79" s="12"/>
      <c r="Z79" s="12"/>
    </row>
    <row r="80" spans="1:26">
      <c r="A80" s="1"/>
      <c r="B80" s="3" t="str">
        <f>IF($A80="","",IFERROR(VLOOKUP($A80,'02_Конкуренты'!$A$4:$B$11,2,FALSE),"не найдено"))</f>
        <v/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4" t="str">
        <f t="shared" si="4"/>
        <v/>
      </c>
      <c r="P80" s="5" t="str">
        <f>IF($A80="","",IFERROR(AVERAGEIF('03_Факты_сайта'!$B$4:$B$148,$A80,'03_Факты_сайта'!$I$4:$I$148),0))</f>
        <v/>
      </c>
      <c r="Q80" s="3" t="str">
        <f t="shared" si="5"/>
        <v/>
      </c>
      <c r="R80" s="12"/>
      <c r="S80" s="12"/>
      <c r="T80" s="12"/>
      <c r="U80" s="12"/>
      <c r="V80" s="12"/>
      <c r="W80" s="12"/>
      <c r="X80" s="12"/>
      <c r="Y80" s="12"/>
      <c r="Z80" s="12"/>
    </row>
    <row r="81" spans="1:26">
      <c r="A81" s="1"/>
      <c r="B81" s="3" t="str">
        <f>IF($A81="","",IFERROR(VLOOKUP($A81,'02_Конкуренты'!$A$4:$B$11,2,FALSE),"не найдено"))</f>
        <v/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4" t="str">
        <f t="shared" si="4"/>
        <v/>
      </c>
      <c r="P81" s="5" t="str">
        <f>IF($A81="","",IFERROR(AVERAGEIF('03_Факты_сайта'!$B$4:$B$148,$A81,'03_Факты_сайта'!$I$4:$I$148),0))</f>
        <v/>
      </c>
      <c r="Q81" s="3" t="str">
        <f t="shared" si="5"/>
        <v/>
      </c>
      <c r="R81" s="12"/>
      <c r="S81" s="12"/>
      <c r="T81" s="12"/>
      <c r="U81" s="12"/>
      <c r="V81" s="12"/>
      <c r="W81" s="12"/>
      <c r="X81" s="12"/>
      <c r="Y81" s="12"/>
      <c r="Z81" s="12"/>
    </row>
    <row r="82" spans="1:26">
      <c r="A82" s="1"/>
      <c r="B82" s="3" t="str">
        <f>IF($A82="","",IFERROR(VLOOKUP($A82,'02_Конкуренты'!$A$4:$B$11,2,FALSE),"не найдено"))</f>
        <v/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4" t="str">
        <f t="shared" si="4"/>
        <v/>
      </c>
      <c r="P82" s="5" t="str">
        <f>IF($A82="","",IFERROR(AVERAGEIF('03_Факты_сайта'!$B$4:$B$148,$A82,'03_Факты_сайта'!$I$4:$I$148),0))</f>
        <v/>
      </c>
      <c r="Q82" s="3" t="str">
        <f t="shared" si="5"/>
        <v/>
      </c>
      <c r="R82" s="12"/>
      <c r="S82" s="12"/>
      <c r="T82" s="12"/>
      <c r="U82" s="12"/>
      <c r="V82" s="12"/>
      <c r="W82" s="12"/>
      <c r="X82" s="12"/>
      <c r="Y82" s="12"/>
      <c r="Z82" s="12"/>
    </row>
    <row r="83" spans="1:26">
      <c r="A83" s="1"/>
      <c r="B83" s="3" t="str">
        <f>IF($A83="","",IFERROR(VLOOKUP($A83,'02_Конкуренты'!$A$4:$B$11,2,FALSE),"не найдено"))</f>
        <v/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4" t="str">
        <f t="shared" si="4"/>
        <v/>
      </c>
      <c r="P83" s="5" t="str">
        <f>IF($A83="","",IFERROR(AVERAGEIF('03_Факты_сайта'!$B$4:$B$148,$A83,'03_Факты_сайта'!$I$4:$I$148),0))</f>
        <v/>
      </c>
      <c r="Q83" s="3" t="str">
        <f t="shared" si="5"/>
        <v/>
      </c>
      <c r="R83" s="12"/>
      <c r="S83" s="12"/>
      <c r="T83" s="12"/>
      <c r="U83" s="12"/>
      <c r="V83" s="12"/>
      <c r="W83" s="12"/>
      <c r="X83" s="12"/>
      <c r="Y83" s="12"/>
      <c r="Z83" s="12"/>
    </row>
    <row r="84" spans="1:26">
      <c r="A84" s="1"/>
      <c r="B84" s="3" t="str">
        <f>IF($A84="","",IFERROR(VLOOKUP($A84,'02_Конкуренты'!$A$4:$B$11,2,FALSE),"не найдено"))</f>
        <v/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4" t="str">
        <f t="shared" si="4"/>
        <v/>
      </c>
      <c r="P84" s="5" t="str">
        <f>IF($A84="","",IFERROR(AVERAGEIF('03_Факты_сайта'!$B$4:$B$148,$A84,'03_Факты_сайта'!$I$4:$I$148),0))</f>
        <v/>
      </c>
      <c r="Q84" s="3" t="str">
        <f t="shared" si="5"/>
        <v/>
      </c>
      <c r="R84" s="12"/>
      <c r="S84" s="12"/>
      <c r="T84" s="12"/>
      <c r="U84" s="12"/>
      <c r="V84" s="12"/>
      <c r="W84" s="12"/>
      <c r="X84" s="12"/>
      <c r="Y84" s="12"/>
      <c r="Z84" s="12"/>
    </row>
    <row r="85" spans="1:26">
      <c r="A85" s="1"/>
      <c r="B85" s="3" t="str">
        <f>IF($A85="","",IFERROR(VLOOKUP($A85,'02_Конкуренты'!$A$4:$B$11,2,FALSE),"не найдено"))</f>
        <v/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4" t="str">
        <f t="shared" si="4"/>
        <v/>
      </c>
      <c r="P85" s="5" t="str">
        <f>IF($A85="","",IFERROR(AVERAGEIF('03_Факты_сайта'!$B$4:$B$148,$A85,'03_Факты_сайта'!$I$4:$I$148),0))</f>
        <v/>
      </c>
      <c r="Q85" s="3" t="str">
        <f t="shared" si="5"/>
        <v/>
      </c>
      <c r="R85" s="12"/>
      <c r="S85" s="12"/>
      <c r="T85" s="12"/>
      <c r="U85" s="12"/>
      <c r="V85" s="12"/>
      <c r="W85" s="12"/>
      <c r="X85" s="12"/>
      <c r="Y85" s="12"/>
      <c r="Z85" s="12"/>
    </row>
    <row r="86" spans="1:26">
      <c r="A86" s="1"/>
      <c r="B86" s="3" t="str">
        <f>IF($A86="","",IFERROR(VLOOKUP($A86,'02_Конкуренты'!$A$4:$B$11,2,FALSE),"не найдено"))</f>
        <v/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4" t="str">
        <f t="shared" si="4"/>
        <v/>
      </c>
      <c r="P86" s="5" t="str">
        <f>IF($A86="","",IFERROR(AVERAGEIF('03_Факты_сайта'!$B$4:$B$148,$A86,'03_Факты_сайта'!$I$4:$I$148),0))</f>
        <v/>
      </c>
      <c r="Q86" s="3" t="str">
        <f t="shared" si="5"/>
        <v/>
      </c>
      <c r="R86" s="12"/>
      <c r="S86" s="12"/>
      <c r="T86" s="12"/>
      <c r="U86" s="12"/>
      <c r="V86" s="12"/>
      <c r="W86" s="12"/>
      <c r="X86" s="12"/>
      <c r="Y86" s="12"/>
      <c r="Z86" s="12"/>
    </row>
    <row r="87" spans="1:26">
      <c r="A87" s="1"/>
      <c r="B87" s="3" t="str">
        <f>IF($A87="","",IFERROR(VLOOKUP($A87,'02_Конкуренты'!$A$4:$B$11,2,FALSE),"не найдено"))</f>
        <v/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4" t="str">
        <f t="shared" si="4"/>
        <v/>
      </c>
      <c r="P87" s="5" t="str">
        <f>IF($A87="","",IFERROR(AVERAGEIF('03_Факты_сайта'!$B$4:$B$148,$A87,'03_Факты_сайта'!$I$4:$I$148),0))</f>
        <v/>
      </c>
      <c r="Q87" s="3" t="str">
        <f t="shared" si="5"/>
        <v/>
      </c>
      <c r="R87" s="12"/>
      <c r="S87" s="12"/>
      <c r="T87" s="12"/>
      <c r="U87" s="12"/>
      <c r="V87" s="12"/>
      <c r="W87" s="12"/>
      <c r="X87" s="12"/>
      <c r="Y87" s="12"/>
      <c r="Z87" s="12"/>
    </row>
    <row r="88" spans="1:26">
      <c r="A88" s="1"/>
      <c r="B88" s="3" t="str">
        <f>IF($A88="","",IFERROR(VLOOKUP($A88,'02_Конкуренты'!$A$4:$B$11,2,FALSE),"не найдено"))</f>
        <v/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4" t="str">
        <f t="shared" si="4"/>
        <v/>
      </c>
      <c r="P88" s="5" t="str">
        <f>IF($A88="","",IFERROR(AVERAGEIF('03_Факты_сайта'!$B$4:$B$148,$A88,'03_Факты_сайта'!$I$4:$I$148),0))</f>
        <v/>
      </c>
      <c r="Q88" s="3" t="str">
        <f t="shared" si="5"/>
        <v/>
      </c>
      <c r="R88" s="12"/>
      <c r="S88" s="12"/>
      <c r="T88" s="12"/>
      <c r="U88" s="12"/>
      <c r="V88" s="12"/>
      <c r="W88" s="12"/>
      <c r="X88" s="12"/>
      <c r="Y88" s="12"/>
      <c r="Z88" s="12"/>
    </row>
    <row r="89" spans="1:26">
      <c r="A89" s="1"/>
      <c r="B89" s="3" t="str">
        <f>IF($A89="","",IFERROR(VLOOKUP($A89,'02_Конкуренты'!$A$4:$B$11,2,FALSE),"не найдено"))</f>
        <v/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4" t="str">
        <f t="shared" si="4"/>
        <v/>
      </c>
      <c r="P89" s="5" t="str">
        <f>IF($A89="","",IFERROR(AVERAGEIF('03_Факты_сайта'!$B$4:$B$148,$A89,'03_Факты_сайта'!$I$4:$I$148),0))</f>
        <v/>
      </c>
      <c r="Q89" s="3" t="str">
        <f t="shared" si="5"/>
        <v/>
      </c>
      <c r="R89" s="12"/>
      <c r="S89" s="12"/>
      <c r="T89" s="12"/>
      <c r="U89" s="12"/>
      <c r="V89" s="12"/>
      <c r="W89" s="12"/>
      <c r="X89" s="12"/>
      <c r="Y89" s="12"/>
      <c r="Z89" s="12"/>
    </row>
    <row r="90" spans="1:26">
      <c r="A90" s="1"/>
      <c r="B90" s="3" t="str">
        <f>IF($A90="","",IFERROR(VLOOKUP($A90,'02_Конкуренты'!$A$4:$B$11,2,FALSE),"не найдено"))</f>
        <v/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4" t="str">
        <f t="shared" si="4"/>
        <v/>
      </c>
      <c r="P90" s="5" t="str">
        <f>IF($A90="","",IFERROR(AVERAGEIF('03_Факты_сайта'!$B$4:$B$148,$A90,'03_Факты_сайта'!$I$4:$I$148),0))</f>
        <v/>
      </c>
      <c r="Q90" s="3" t="str">
        <f t="shared" si="5"/>
        <v/>
      </c>
      <c r="R90" s="12"/>
      <c r="S90" s="12"/>
      <c r="T90" s="12"/>
      <c r="U90" s="12"/>
      <c r="V90" s="12"/>
      <c r="W90" s="12"/>
      <c r="X90" s="12"/>
      <c r="Y90" s="12"/>
      <c r="Z90" s="12"/>
    </row>
    <row r="91" spans="1:26">
      <c r="A91" s="1"/>
      <c r="B91" s="3" t="str">
        <f>IF($A91="","",IFERROR(VLOOKUP($A91,'02_Конкуренты'!$A$4:$B$11,2,FALSE),"не найдено"))</f>
        <v/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4" t="str">
        <f t="shared" si="4"/>
        <v/>
      </c>
      <c r="P91" s="5" t="str">
        <f>IF($A91="","",IFERROR(AVERAGEIF('03_Факты_сайта'!$B$4:$B$148,$A91,'03_Факты_сайта'!$I$4:$I$148),0))</f>
        <v/>
      </c>
      <c r="Q91" s="3" t="str">
        <f t="shared" si="5"/>
        <v/>
      </c>
      <c r="R91" s="12"/>
      <c r="S91" s="12"/>
      <c r="T91" s="12"/>
      <c r="U91" s="12"/>
      <c r="V91" s="12"/>
      <c r="W91" s="12"/>
      <c r="X91" s="12"/>
      <c r="Y91" s="12"/>
      <c r="Z91" s="12"/>
    </row>
    <row r="92" spans="1:26">
      <c r="A92" s="1"/>
      <c r="B92" s="3" t="str">
        <f>IF($A92="","",IFERROR(VLOOKUP($A92,'02_Конкуренты'!$A$4:$B$11,2,FALSE),"не найдено"))</f>
        <v/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4" t="str">
        <f t="shared" si="4"/>
        <v/>
      </c>
      <c r="P92" s="5" t="str">
        <f>IF($A92="","",IFERROR(AVERAGEIF('03_Факты_сайта'!$B$4:$B$148,$A92,'03_Факты_сайта'!$I$4:$I$148),0))</f>
        <v/>
      </c>
      <c r="Q92" s="3" t="str">
        <f t="shared" si="5"/>
        <v/>
      </c>
      <c r="R92" s="12"/>
      <c r="S92" s="12"/>
      <c r="T92" s="12"/>
      <c r="U92" s="12"/>
      <c r="V92" s="12"/>
      <c r="W92" s="12"/>
      <c r="X92" s="12"/>
      <c r="Y92" s="12"/>
      <c r="Z92" s="12"/>
    </row>
    <row r="93" spans="1:26">
      <c r="A93" s="1"/>
      <c r="B93" s="3" t="str">
        <f>IF($A93="","",IFERROR(VLOOKUP($A93,'02_Конкуренты'!$A$4:$B$11,2,FALSE),"не найдено"))</f>
        <v/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4" t="str">
        <f t="shared" si="4"/>
        <v/>
      </c>
      <c r="P93" s="5" t="str">
        <f>IF($A93="","",IFERROR(AVERAGEIF('03_Факты_сайта'!$B$4:$B$148,$A93,'03_Факты_сайта'!$I$4:$I$148),0))</f>
        <v/>
      </c>
      <c r="Q93" s="3" t="str">
        <f t="shared" si="5"/>
        <v/>
      </c>
      <c r="R93" s="12"/>
      <c r="S93" s="12"/>
      <c r="T93" s="12"/>
      <c r="U93" s="12"/>
      <c r="V93" s="12"/>
      <c r="W93" s="12"/>
      <c r="X93" s="12"/>
      <c r="Y93" s="12"/>
      <c r="Z93" s="12"/>
    </row>
    <row r="94" spans="1:26">
      <c r="A94" s="1"/>
      <c r="B94" s="3" t="str">
        <f>IF($A94="","",IFERROR(VLOOKUP($A94,'02_Конкуренты'!$A$4:$B$11,2,FALSE),"не найдено"))</f>
        <v/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4" t="str">
        <f t="shared" si="4"/>
        <v/>
      </c>
      <c r="P94" s="5" t="str">
        <f>IF($A94="","",IFERROR(AVERAGEIF('03_Факты_сайта'!$B$4:$B$148,$A94,'03_Факты_сайта'!$I$4:$I$148),0))</f>
        <v/>
      </c>
      <c r="Q94" s="3" t="str">
        <f t="shared" si="5"/>
        <v/>
      </c>
      <c r="R94" s="12"/>
      <c r="S94" s="12"/>
      <c r="T94" s="12"/>
      <c r="U94" s="12"/>
      <c r="V94" s="12"/>
      <c r="W94" s="12"/>
      <c r="X94" s="12"/>
      <c r="Y94" s="12"/>
      <c r="Z94" s="12"/>
    </row>
    <row r="95" spans="1:26">
      <c r="A95" s="1"/>
      <c r="B95" s="3" t="str">
        <f>IF($A95="","",IFERROR(VLOOKUP($A95,'02_Конкуренты'!$A$4:$B$11,2,FALSE),"не найдено"))</f>
        <v/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4" t="str">
        <f t="shared" si="4"/>
        <v/>
      </c>
      <c r="P95" s="5" t="str">
        <f>IF($A95="","",IFERROR(AVERAGEIF('03_Факты_сайта'!$B$4:$B$148,$A95,'03_Факты_сайта'!$I$4:$I$148),0))</f>
        <v/>
      </c>
      <c r="Q95" s="3" t="str">
        <f t="shared" si="5"/>
        <v/>
      </c>
      <c r="R95" s="12"/>
      <c r="S95" s="12"/>
      <c r="T95" s="12"/>
      <c r="U95" s="12"/>
      <c r="V95" s="12"/>
      <c r="W95" s="12"/>
      <c r="X95" s="12"/>
      <c r="Y95" s="12"/>
      <c r="Z95" s="12"/>
    </row>
    <row r="96" spans="1:26">
      <c r="A96" s="1"/>
      <c r="B96" s="3" t="str">
        <f>IF($A96="","",IFERROR(VLOOKUP($A96,'02_Конкуренты'!$A$4:$B$11,2,FALSE),"не найдено"))</f>
        <v/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4" t="str">
        <f t="shared" si="4"/>
        <v/>
      </c>
      <c r="P96" s="5" t="str">
        <f>IF($A96="","",IFERROR(AVERAGEIF('03_Факты_сайта'!$B$4:$B$148,$A96,'03_Факты_сайта'!$I$4:$I$148),0))</f>
        <v/>
      </c>
      <c r="Q96" s="3" t="str">
        <f t="shared" si="5"/>
        <v/>
      </c>
      <c r="R96" s="12"/>
      <c r="S96" s="12"/>
      <c r="T96" s="12"/>
      <c r="U96" s="12"/>
      <c r="V96" s="12"/>
      <c r="W96" s="12"/>
      <c r="X96" s="12"/>
      <c r="Y96" s="12"/>
      <c r="Z96" s="12"/>
    </row>
    <row r="97" spans="1:26">
      <c r="A97" s="1"/>
      <c r="B97" s="3" t="str">
        <f>IF($A97="","",IFERROR(VLOOKUP($A97,'02_Конкуренты'!$A$4:$B$11,2,FALSE),"не найдено"))</f>
        <v/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4" t="str">
        <f t="shared" si="4"/>
        <v/>
      </c>
      <c r="P97" s="5" t="str">
        <f>IF($A97="","",IFERROR(AVERAGEIF('03_Факты_сайта'!$B$4:$B$148,$A97,'03_Факты_сайта'!$I$4:$I$148),0))</f>
        <v/>
      </c>
      <c r="Q97" s="3" t="str">
        <f t="shared" si="5"/>
        <v/>
      </c>
      <c r="R97" s="12"/>
      <c r="S97" s="12"/>
      <c r="T97" s="12"/>
      <c r="U97" s="12"/>
      <c r="V97" s="12"/>
      <c r="W97" s="12"/>
      <c r="X97" s="12"/>
      <c r="Y97" s="12"/>
      <c r="Z97" s="12"/>
    </row>
    <row r="98" spans="1:26">
      <c r="A98" s="1"/>
      <c r="B98" s="3" t="str">
        <f>IF($A98="","",IFERROR(VLOOKUP($A98,'02_Конкуренты'!$A$4:$B$11,2,FALSE),"не найдено"))</f>
        <v/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4" t="str">
        <f t="shared" si="4"/>
        <v/>
      </c>
      <c r="P98" s="5" t="str">
        <f>IF($A98="","",IFERROR(AVERAGEIF('03_Факты_сайта'!$B$4:$B$148,$A98,'03_Факты_сайта'!$I$4:$I$148),0))</f>
        <v/>
      </c>
      <c r="Q98" s="3" t="str">
        <f t="shared" si="5"/>
        <v/>
      </c>
      <c r="R98" s="12"/>
      <c r="S98" s="12"/>
      <c r="T98" s="12"/>
      <c r="U98" s="12"/>
      <c r="V98" s="12"/>
      <c r="W98" s="12"/>
      <c r="X98" s="12"/>
      <c r="Y98" s="12"/>
      <c r="Z98" s="12"/>
    </row>
    <row r="99" spans="1:26">
      <c r="A99" s="1"/>
      <c r="B99" s="3" t="str">
        <f>IF($A99="","",IFERROR(VLOOKUP($A99,'02_Конкуренты'!$A$4:$B$11,2,FALSE),"не найдено"))</f>
        <v/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4" t="str">
        <f t="shared" si="4"/>
        <v/>
      </c>
      <c r="P99" s="5" t="str">
        <f>IF($A99="","",IFERROR(AVERAGEIF('03_Факты_сайта'!$B$4:$B$148,$A99,'03_Факты_сайта'!$I$4:$I$148),0))</f>
        <v/>
      </c>
      <c r="Q99" s="3" t="str">
        <f t="shared" si="5"/>
        <v/>
      </c>
      <c r="R99" s="12"/>
      <c r="S99" s="12"/>
      <c r="T99" s="12"/>
      <c r="U99" s="12"/>
      <c r="V99" s="12"/>
      <c r="W99" s="12"/>
      <c r="X99" s="12"/>
      <c r="Y99" s="12"/>
      <c r="Z99" s="12"/>
    </row>
    <row r="100" spans="1:26">
      <c r="A100" s="1"/>
      <c r="B100" s="3" t="str">
        <f>IF($A100="","",IFERROR(VLOOKUP($A100,'02_Конкуренты'!$A$4:$B$11,2,FALSE),"не найдено"))</f>
        <v/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4" t="str">
        <f t="shared" ref="O100:O131" si="6">IF($A100="","",COUNTA($C100:$N100)/12)</f>
        <v/>
      </c>
      <c r="P100" s="5" t="str">
        <f>IF($A100="","",IFERROR(AVERAGEIF('03_Факты_сайта'!$B$4:$B$148,$A100,'03_Факты_сайта'!$I$4:$I$148),0))</f>
        <v/>
      </c>
      <c r="Q100" s="3" t="str">
        <f t="shared" ref="Q100:Q131" si="7">IF($A100="","",IF($O100&lt;0.5,"недостаточно данных",IF($P100&lt;3,"низкая доказательность",IF($O100&gt;=0.85,"готов к сравнению","требует дополнения"))))</f>
        <v/>
      </c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>
      <c r="A101" s="1"/>
      <c r="B101" s="3" t="str">
        <f>IF($A101="","",IFERROR(VLOOKUP($A101,'02_Конкуренты'!$A$4:$B$11,2,FALSE),"не найдено"))</f>
        <v/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4" t="str">
        <f t="shared" si="6"/>
        <v/>
      </c>
      <c r="P101" s="5" t="str">
        <f>IF($A101="","",IFERROR(AVERAGEIF('03_Факты_сайта'!$B$4:$B$148,$A101,'03_Факты_сайта'!$I$4:$I$148),0))</f>
        <v/>
      </c>
      <c r="Q101" s="3" t="str">
        <f t="shared" si="7"/>
        <v/>
      </c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>
      <c r="A102" s="1"/>
      <c r="B102" s="3" t="str">
        <f>IF($A102="","",IFERROR(VLOOKUP($A102,'02_Конкуренты'!$A$4:$B$11,2,FALSE),"не найдено"))</f>
        <v/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4" t="str">
        <f t="shared" si="6"/>
        <v/>
      </c>
      <c r="P102" s="5" t="str">
        <f>IF($A102="","",IFERROR(AVERAGEIF('03_Факты_сайта'!$B$4:$B$148,$A102,'03_Факты_сайта'!$I$4:$I$148),0))</f>
        <v/>
      </c>
      <c r="Q102" s="3" t="str">
        <f t="shared" si="7"/>
        <v/>
      </c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>
      <c r="A103" s="1"/>
      <c r="B103" s="3" t="str">
        <f>IF($A103="","",IFERROR(VLOOKUP($A103,'02_Конкуренты'!$A$4:$B$11,2,FALSE),"не найдено"))</f>
        <v/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4" t="str">
        <f t="shared" si="6"/>
        <v/>
      </c>
      <c r="P103" s="5" t="str">
        <f>IF($A103="","",IFERROR(AVERAGEIF('03_Факты_сайта'!$B$4:$B$148,$A103,'03_Факты_сайта'!$I$4:$I$148),0))</f>
        <v/>
      </c>
      <c r="Q103" s="3" t="str">
        <f t="shared" si="7"/>
        <v/>
      </c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>
      <c r="A104" s="1"/>
      <c r="B104" s="3" t="str">
        <f>IF($A104="","",IFERROR(VLOOKUP($A104,'02_Конкуренты'!$A$4:$B$11,2,FALSE),"не найдено"))</f>
        <v/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4" t="str">
        <f t="shared" si="6"/>
        <v/>
      </c>
      <c r="P104" s="5" t="str">
        <f>IF($A104="","",IFERROR(AVERAGEIF('03_Факты_сайта'!$B$4:$B$148,$A104,'03_Факты_сайта'!$I$4:$I$148),0))</f>
        <v/>
      </c>
      <c r="Q104" s="3" t="str">
        <f t="shared" si="7"/>
        <v/>
      </c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>
      <c r="A105" s="1"/>
      <c r="B105" s="3" t="str">
        <f>IF($A105="","",IFERROR(VLOOKUP($A105,'02_Конкуренты'!$A$4:$B$11,2,FALSE),"не найдено"))</f>
        <v/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4" t="str">
        <f t="shared" si="6"/>
        <v/>
      </c>
      <c r="P105" s="5" t="str">
        <f>IF($A105="","",IFERROR(AVERAGEIF('03_Факты_сайта'!$B$4:$B$148,$A105,'03_Факты_сайта'!$I$4:$I$148),0))</f>
        <v/>
      </c>
      <c r="Q105" s="3" t="str">
        <f t="shared" si="7"/>
        <v/>
      </c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>
      <c r="A106" s="1"/>
      <c r="B106" s="3" t="str">
        <f>IF($A106="","",IFERROR(VLOOKUP($A106,'02_Конкуренты'!$A$4:$B$11,2,FALSE),"не найдено"))</f>
        <v/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4" t="str">
        <f t="shared" si="6"/>
        <v/>
      </c>
      <c r="P106" s="5" t="str">
        <f>IF($A106="","",IFERROR(AVERAGEIF('03_Факты_сайта'!$B$4:$B$148,$A106,'03_Факты_сайта'!$I$4:$I$148),0))</f>
        <v/>
      </c>
      <c r="Q106" s="3" t="str">
        <f t="shared" si="7"/>
        <v/>
      </c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>
      <c r="A107" s="1"/>
      <c r="B107" s="3" t="str">
        <f>IF($A107="","",IFERROR(VLOOKUP($A107,'02_Конкуренты'!$A$4:$B$11,2,FALSE),"не найдено"))</f>
        <v/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4" t="str">
        <f t="shared" si="6"/>
        <v/>
      </c>
      <c r="P107" s="5" t="str">
        <f>IF($A107="","",IFERROR(AVERAGEIF('03_Факты_сайта'!$B$4:$B$148,$A107,'03_Факты_сайта'!$I$4:$I$148),0))</f>
        <v/>
      </c>
      <c r="Q107" s="3" t="str">
        <f t="shared" si="7"/>
        <v/>
      </c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>
      <c r="A108" s="1"/>
      <c r="B108" s="3" t="str">
        <f>IF($A108="","",IFERROR(VLOOKUP($A108,'02_Конкуренты'!$A$4:$B$11,2,FALSE),"не найдено"))</f>
        <v/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4" t="str">
        <f t="shared" si="6"/>
        <v/>
      </c>
      <c r="P108" s="5" t="str">
        <f>IF($A108="","",IFERROR(AVERAGEIF('03_Факты_сайта'!$B$4:$B$148,$A108,'03_Факты_сайта'!$I$4:$I$148),0))</f>
        <v/>
      </c>
      <c r="Q108" s="3" t="str">
        <f t="shared" si="7"/>
        <v/>
      </c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>
      <c r="A109" s="1"/>
      <c r="B109" s="3" t="str">
        <f>IF($A109="","",IFERROR(VLOOKUP($A109,'02_Конкуренты'!$A$4:$B$11,2,FALSE),"не найдено"))</f>
        <v/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4" t="str">
        <f t="shared" si="6"/>
        <v/>
      </c>
      <c r="P109" s="5" t="str">
        <f>IF($A109="","",IFERROR(AVERAGEIF('03_Факты_сайта'!$B$4:$B$148,$A109,'03_Факты_сайта'!$I$4:$I$148),0))</f>
        <v/>
      </c>
      <c r="Q109" s="3" t="str">
        <f t="shared" si="7"/>
        <v/>
      </c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>
      <c r="A110" s="1"/>
      <c r="B110" s="3" t="str">
        <f>IF($A110="","",IFERROR(VLOOKUP($A110,'02_Конкуренты'!$A$4:$B$11,2,FALSE),"не найдено"))</f>
        <v/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4" t="str">
        <f t="shared" si="6"/>
        <v/>
      </c>
      <c r="P110" s="5" t="str">
        <f>IF($A110="","",IFERROR(AVERAGEIF('03_Факты_сайта'!$B$4:$B$148,$A110,'03_Факты_сайта'!$I$4:$I$148),0))</f>
        <v/>
      </c>
      <c r="Q110" s="3" t="str">
        <f t="shared" si="7"/>
        <v/>
      </c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>
      <c r="A111" s="1"/>
      <c r="B111" s="3" t="str">
        <f>IF($A111="","",IFERROR(VLOOKUP($A111,'02_Конкуренты'!$A$4:$B$11,2,FALSE),"не найдено"))</f>
        <v/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4" t="str">
        <f t="shared" si="6"/>
        <v/>
      </c>
      <c r="P111" s="5" t="str">
        <f>IF($A111="","",IFERROR(AVERAGEIF('03_Факты_сайта'!$B$4:$B$148,$A111,'03_Факты_сайта'!$I$4:$I$148),0))</f>
        <v/>
      </c>
      <c r="Q111" s="3" t="str">
        <f t="shared" si="7"/>
        <v/>
      </c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>
      <c r="A112" s="1"/>
      <c r="B112" s="3" t="str">
        <f>IF($A112="","",IFERROR(VLOOKUP($A112,'02_Конкуренты'!$A$4:$B$11,2,FALSE),"не найдено"))</f>
        <v/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4" t="str">
        <f t="shared" si="6"/>
        <v/>
      </c>
      <c r="P112" s="5" t="str">
        <f>IF($A112="","",IFERROR(AVERAGEIF('03_Факты_сайта'!$B$4:$B$148,$A112,'03_Факты_сайта'!$I$4:$I$148),0))</f>
        <v/>
      </c>
      <c r="Q112" s="3" t="str">
        <f t="shared" si="7"/>
        <v/>
      </c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>
      <c r="A113" s="1"/>
      <c r="B113" s="3" t="str">
        <f>IF($A113="","",IFERROR(VLOOKUP($A113,'02_Конкуренты'!$A$4:$B$11,2,FALSE),"не найдено"))</f>
        <v/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4" t="str">
        <f t="shared" si="6"/>
        <v/>
      </c>
      <c r="P113" s="5" t="str">
        <f>IF($A113="","",IFERROR(AVERAGEIF('03_Факты_сайта'!$B$4:$B$148,$A113,'03_Факты_сайта'!$I$4:$I$148),0))</f>
        <v/>
      </c>
      <c r="Q113" s="3" t="str">
        <f t="shared" si="7"/>
        <v/>
      </c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>
      <c r="A114" s="1"/>
      <c r="B114" s="3" t="str">
        <f>IF($A114="","",IFERROR(VLOOKUP($A114,'02_Конкуренты'!$A$4:$B$11,2,FALSE),"не найдено"))</f>
        <v/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4" t="str">
        <f t="shared" si="6"/>
        <v/>
      </c>
      <c r="P114" s="5" t="str">
        <f>IF($A114="","",IFERROR(AVERAGEIF('03_Факты_сайта'!$B$4:$B$148,$A114,'03_Факты_сайта'!$I$4:$I$148),0))</f>
        <v/>
      </c>
      <c r="Q114" s="3" t="str">
        <f t="shared" si="7"/>
        <v/>
      </c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>
      <c r="A115" s="1"/>
      <c r="B115" s="3" t="str">
        <f>IF($A115="","",IFERROR(VLOOKUP($A115,'02_Конкуренты'!$A$4:$B$11,2,FALSE),"не найдено"))</f>
        <v/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4" t="str">
        <f t="shared" si="6"/>
        <v/>
      </c>
      <c r="P115" s="5" t="str">
        <f>IF($A115="","",IFERROR(AVERAGEIF('03_Факты_сайта'!$B$4:$B$148,$A115,'03_Факты_сайта'!$I$4:$I$148),0))</f>
        <v/>
      </c>
      <c r="Q115" s="3" t="str">
        <f t="shared" si="7"/>
        <v/>
      </c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>
      <c r="A116" s="1"/>
      <c r="B116" s="3" t="str">
        <f>IF($A116="","",IFERROR(VLOOKUP($A116,'02_Конкуренты'!$A$4:$B$11,2,FALSE),"не найдено"))</f>
        <v/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4" t="str">
        <f t="shared" si="6"/>
        <v/>
      </c>
      <c r="P116" s="5" t="str">
        <f>IF($A116="","",IFERROR(AVERAGEIF('03_Факты_сайта'!$B$4:$B$148,$A116,'03_Факты_сайта'!$I$4:$I$148),0))</f>
        <v/>
      </c>
      <c r="Q116" s="3" t="str">
        <f t="shared" si="7"/>
        <v/>
      </c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>
      <c r="A117" s="1"/>
      <c r="B117" s="3" t="str">
        <f>IF($A117="","",IFERROR(VLOOKUP($A117,'02_Конкуренты'!$A$4:$B$11,2,FALSE),"не найдено"))</f>
        <v/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4" t="str">
        <f t="shared" si="6"/>
        <v/>
      </c>
      <c r="P117" s="5" t="str">
        <f>IF($A117="","",IFERROR(AVERAGEIF('03_Факты_сайта'!$B$4:$B$148,$A117,'03_Факты_сайта'!$I$4:$I$148),0))</f>
        <v/>
      </c>
      <c r="Q117" s="3" t="str">
        <f t="shared" si="7"/>
        <v/>
      </c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>
      <c r="A118" s="1"/>
      <c r="B118" s="3" t="str">
        <f>IF($A118="","",IFERROR(VLOOKUP($A118,'02_Конкуренты'!$A$4:$B$11,2,FALSE),"не найдено"))</f>
        <v/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4" t="str">
        <f t="shared" si="6"/>
        <v/>
      </c>
      <c r="P118" s="5" t="str">
        <f>IF($A118="","",IFERROR(AVERAGEIF('03_Факты_сайта'!$B$4:$B$148,$A118,'03_Факты_сайта'!$I$4:$I$148),0))</f>
        <v/>
      </c>
      <c r="Q118" s="3" t="str">
        <f t="shared" si="7"/>
        <v/>
      </c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>
      <c r="A119" s="1"/>
      <c r="B119" s="3" t="str">
        <f>IF($A119="","",IFERROR(VLOOKUP($A119,'02_Конкуренты'!$A$4:$B$11,2,FALSE),"не найдено"))</f>
        <v/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4" t="str">
        <f t="shared" si="6"/>
        <v/>
      </c>
      <c r="P119" s="5" t="str">
        <f>IF($A119="","",IFERROR(AVERAGEIF('03_Факты_сайта'!$B$4:$B$148,$A119,'03_Факты_сайта'!$I$4:$I$148),0))</f>
        <v/>
      </c>
      <c r="Q119" s="3" t="str">
        <f t="shared" si="7"/>
        <v/>
      </c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>
      <c r="A120" s="1"/>
      <c r="B120" s="3" t="str">
        <f>IF($A120="","",IFERROR(VLOOKUP($A120,'02_Конкуренты'!$A$4:$B$11,2,FALSE),"не найдено"))</f>
        <v/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4" t="str">
        <f t="shared" si="6"/>
        <v/>
      </c>
      <c r="P120" s="5" t="str">
        <f>IF($A120="","",IFERROR(AVERAGEIF('03_Факты_сайта'!$B$4:$B$148,$A120,'03_Факты_сайта'!$I$4:$I$148),0))</f>
        <v/>
      </c>
      <c r="Q120" s="3" t="str">
        <f t="shared" si="7"/>
        <v/>
      </c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>
      <c r="A121" s="1"/>
      <c r="B121" s="3" t="str">
        <f>IF($A121="","",IFERROR(VLOOKUP($A121,'02_Конкуренты'!$A$4:$B$11,2,FALSE),"не найдено"))</f>
        <v/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4" t="str">
        <f t="shared" si="6"/>
        <v/>
      </c>
      <c r="P121" s="5" t="str">
        <f>IF($A121="","",IFERROR(AVERAGEIF('03_Факты_сайта'!$B$4:$B$148,$A121,'03_Факты_сайта'!$I$4:$I$148),0))</f>
        <v/>
      </c>
      <c r="Q121" s="3" t="str">
        <f t="shared" si="7"/>
        <v/>
      </c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>
      <c r="A122" s="1"/>
      <c r="B122" s="3" t="str">
        <f>IF($A122="","",IFERROR(VLOOKUP($A122,'02_Конкуренты'!$A$4:$B$11,2,FALSE),"не найдено"))</f>
        <v/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4" t="str">
        <f t="shared" si="6"/>
        <v/>
      </c>
      <c r="P122" s="5" t="str">
        <f>IF($A122="","",IFERROR(AVERAGEIF('03_Факты_сайта'!$B$4:$B$148,$A122,'03_Факты_сайта'!$I$4:$I$148),0))</f>
        <v/>
      </c>
      <c r="Q122" s="3" t="str">
        <f t="shared" si="7"/>
        <v/>
      </c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>
      <c r="A123" s="1"/>
      <c r="B123" s="3" t="str">
        <f>IF($A123="","",IFERROR(VLOOKUP($A123,'02_Конкуренты'!$A$4:$B$11,2,FALSE),"не найдено"))</f>
        <v/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4" t="str">
        <f t="shared" si="6"/>
        <v/>
      </c>
      <c r="P123" s="5" t="str">
        <f>IF($A123="","",IFERROR(AVERAGEIF('03_Факты_сайта'!$B$4:$B$148,$A123,'03_Факты_сайта'!$I$4:$I$148),0))</f>
        <v/>
      </c>
      <c r="Q123" s="3" t="str">
        <f t="shared" si="7"/>
        <v/>
      </c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>
      <c r="A124" s="1"/>
      <c r="B124" s="3" t="str">
        <f>IF($A124="","",IFERROR(VLOOKUP($A124,'02_Конкуренты'!$A$4:$B$11,2,FALSE),"не найдено"))</f>
        <v/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4" t="str">
        <f t="shared" si="6"/>
        <v/>
      </c>
      <c r="P124" s="5" t="str">
        <f>IF($A124="","",IFERROR(AVERAGEIF('03_Факты_сайта'!$B$4:$B$148,$A124,'03_Факты_сайта'!$I$4:$I$148),0))</f>
        <v/>
      </c>
      <c r="Q124" s="3" t="str">
        <f t="shared" si="7"/>
        <v/>
      </c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>
      <c r="A125" s="1"/>
      <c r="B125" s="3" t="str">
        <f>IF($A125="","",IFERROR(VLOOKUP($A125,'02_Конкуренты'!$A$4:$B$11,2,FALSE),"не найдено"))</f>
        <v/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4" t="str">
        <f t="shared" si="6"/>
        <v/>
      </c>
      <c r="P125" s="5" t="str">
        <f>IF($A125="","",IFERROR(AVERAGEIF('03_Факты_сайта'!$B$4:$B$148,$A125,'03_Факты_сайта'!$I$4:$I$148),0))</f>
        <v/>
      </c>
      <c r="Q125" s="3" t="str">
        <f t="shared" si="7"/>
        <v/>
      </c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>
      <c r="A126" s="1"/>
      <c r="B126" s="3" t="str">
        <f>IF($A126="","",IFERROR(VLOOKUP($A126,'02_Конкуренты'!$A$4:$B$11,2,FALSE),"не найдено"))</f>
        <v/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4" t="str">
        <f t="shared" si="6"/>
        <v/>
      </c>
      <c r="P126" s="5" t="str">
        <f>IF($A126="","",IFERROR(AVERAGEIF('03_Факты_сайта'!$B$4:$B$148,$A126,'03_Факты_сайта'!$I$4:$I$148),0))</f>
        <v/>
      </c>
      <c r="Q126" s="3" t="str">
        <f t="shared" si="7"/>
        <v/>
      </c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>
      <c r="A127" s="1"/>
      <c r="B127" s="3" t="str">
        <f>IF($A127="","",IFERROR(VLOOKUP($A127,'02_Конкуренты'!$A$4:$B$11,2,FALSE),"не найдено"))</f>
        <v/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4" t="str">
        <f t="shared" si="6"/>
        <v/>
      </c>
      <c r="P127" s="5" t="str">
        <f>IF($A127="","",IFERROR(AVERAGEIF('03_Факты_сайта'!$B$4:$B$148,$A127,'03_Факты_сайта'!$I$4:$I$148),0))</f>
        <v/>
      </c>
      <c r="Q127" s="3" t="str">
        <f t="shared" si="7"/>
        <v/>
      </c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>
      <c r="A128" s="1"/>
      <c r="B128" s="3" t="str">
        <f>IF($A128="","",IFERROR(VLOOKUP($A128,'02_Конкуренты'!$A$4:$B$11,2,FALSE),"не найдено"))</f>
        <v/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4" t="str">
        <f t="shared" si="6"/>
        <v/>
      </c>
      <c r="P128" s="5" t="str">
        <f>IF($A128="","",IFERROR(AVERAGEIF('03_Факты_сайта'!$B$4:$B$148,$A128,'03_Факты_сайта'!$I$4:$I$148),0))</f>
        <v/>
      </c>
      <c r="Q128" s="3" t="str">
        <f t="shared" si="7"/>
        <v/>
      </c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>
      <c r="A129" s="1"/>
      <c r="B129" s="3" t="str">
        <f>IF($A129="","",IFERROR(VLOOKUP($A129,'02_Конкуренты'!$A$4:$B$11,2,FALSE),"не найдено"))</f>
        <v/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4" t="str">
        <f t="shared" si="6"/>
        <v/>
      </c>
      <c r="P129" s="5" t="str">
        <f>IF($A129="","",IFERROR(AVERAGEIF('03_Факты_сайта'!$B$4:$B$148,$A129,'03_Факты_сайта'!$I$4:$I$148),0))</f>
        <v/>
      </c>
      <c r="Q129" s="3" t="str">
        <f t="shared" si="7"/>
        <v/>
      </c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>
      <c r="A130" s="1"/>
      <c r="B130" s="3" t="str">
        <f>IF($A130="","",IFERROR(VLOOKUP($A130,'02_Конкуренты'!$A$4:$B$11,2,FALSE),"не найдено"))</f>
        <v/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4" t="str">
        <f t="shared" si="6"/>
        <v/>
      </c>
      <c r="P130" s="5" t="str">
        <f>IF($A130="","",IFERROR(AVERAGEIF('03_Факты_сайта'!$B$4:$B$148,$A130,'03_Факты_сайта'!$I$4:$I$148),0))</f>
        <v/>
      </c>
      <c r="Q130" s="3" t="str">
        <f t="shared" si="7"/>
        <v/>
      </c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>
      <c r="A131" s="1"/>
      <c r="B131" s="3" t="str">
        <f>IF($A131="","",IFERROR(VLOOKUP($A131,'02_Конкуренты'!$A$4:$B$11,2,FALSE),"не найдено"))</f>
        <v/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4" t="str">
        <f t="shared" si="6"/>
        <v/>
      </c>
      <c r="P131" s="5" t="str">
        <f>IF($A131="","",IFERROR(AVERAGEIF('03_Факты_сайта'!$B$4:$B$148,$A131,'03_Факты_сайта'!$I$4:$I$148),0))</f>
        <v/>
      </c>
      <c r="Q131" s="3" t="str">
        <f t="shared" si="7"/>
        <v/>
      </c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>
      <c r="A132" s="1"/>
      <c r="B132" s="3" t="str">
        <f>IF($A132="","",IFERROR(VLOOKUP($A132,'02_Конкуренты'!$A$4:$B$11,2,FALSE),"не найдено"))</f>
        <v/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4" t="str">
        <f t="shared" ref="O132:O163" si="8">IF($A132="","",COUNTA($C132:$N132)/12)</f>
        <v/>
      </c>
      <c r="P132" s="5" t="str">
        <f>IF($A132="","",IFERROR(AVERAGEIF('03_Факты_сайта'!$B$4:$B$148,$A132,'03_Факты_сайта'!$I$4:$I$148),0))</f>
        <v/>
      </c>
      <c r="Q132" s="3" t="str">
        <f t="shared" ref="Q132:Q163" si="9">IF($A132="","",IF($O132&lt;0.5,"недостаточно данных",IF($P132&lt;3,"низкая доказательность",IF($O132&gt;=0.85,"готов к сравнению","требует дополнения"))))</f>
        <v/>
      </c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>
      <c r="A133" s="1"/>
      <c r="B133" s="3" t="str">
        <f>IF($A133="","",IFERROR(VLOOKUP($A133,'02_Конкуренты'!$A$4:$B$11,2,FALSE),"не найдено"))</f>
        <v/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4" t="str">
        <f t="shared" si="8"/>
        <v/>
      </c>
      <c r="P133" s="5" t="str">
        <f>IF($A133="","",IFERROR(AVERAGEIF('03_Факты_сайта'!$B$4:$B$148,$A133,'03_Факты_сайта'!$I$4:$I$148),0))</f>
        <v/>
      </c>
      <c r="Q133" s="3" t="str">
        <f t="shared" si="9"/>
        <v/>
      </c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>
      <c r="A134" s="1"/>
      <c r="B134" s="3" t="str">
        <f>IF($A134="","",IFERROR(VLOOKUP($A134,'02_Конкуренты'!$A$4:$B$11,2,FALSE),"не найдено"))</f>
        <v/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4" t="str">
        <f t="shared" si="8"/>
        <v/>
      </c>
      <c r="P134" s="5" t="str">
        <f>IF($A134="","",IFERROR(AVERAGEIF('03_Факты_сайта'!$B$4:$B$148,$A134,'03_Факты_сайта'!$I$4:$I$148),0))</f>
        <v/>
      </c>
      <c r="Q134" s="3" t="str">
        <f t="shared" si="9"/>
        <v/>
      </c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>
      <c r="A135" s="1"/>
      <c r="B135" s="3" t="str">
        <f>IF($A135="","",IFERROR(VLOOKUP($A135,'02_Конкуренты'!$A$4:$B$11,2,FALSE),"не найдено"))</f>
        <v/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4" t="str">
        <f t="shared" si="8"/>
        <v/>
      </c>
      <c r="P135" s="5" t="str">
        <f>IF($A135="","",IFERROR(AVERAGEIF('03_Факты_сайта'!$B$4:$B$148,$A135,'03_Факты_сайта'!$I$4:$I$148),0))</f>
        <v/>
      </c>
      <c r="Q135" s="3" t="str">
        <f t="shared" si="9"/>
        <v/>
      </c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>
      <c r="A136" s="1"/>
      <c r="B136" s="3" t="str">
        <f>IF($A136="","",IFERROR(VLOOKUP($A136,'02_Конкуренты'!$A$4:$B$11,2,FALSE),"не найдено"))</f>
        <v/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4" t="str">
        <f t="shared" si="8"/>
        <v/>
      </c>
      <c r="P136" s="5" t="str">
        <f>IF($A136="","",IFERROR(AVERAGEIF('03_Факты_сайта'!$B$4:$B$148,$A136,'03_Факты_сайта'!$I$4:$I$148),0))</f>
        <v/>
      </c>
      <c r="Q136" s="3" t="str">
        <f t="shared" si="9"/>
        <v/>
      </c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>
      <c r="A137" s="1"/>
      <c r="B137" s="3" t="str">
        <f>IF($A137="","",IFERROR(VLOOKUP($A137,'02_Конкуренты'!$A$4:$B$11,2,FALSE),"не найдено"))</f>
        <v/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4" t="str">
        <f t="shared" si="8"/>
        <v/>
      </c>
      <c r="P137" s="5" t="str">
        <f>IF($A137="","",IFERROR(AVERAGEIF('03_Факты_сайта'!$B$4:$B$148,$A137,'03_Факты_сайта'!$I$4:$I$148),0))</f>
        <v/>
      </c>
      <c r="Q137" s="3" t="str">
        <f t="shared" si="9"/>
        <v/>
      </c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>
      <c r="A138" s="1"/>
      <c r="B138" s="3" t="str">
        <f>IF($A138="","",IFERROR(VLOOKUP($A138,'02_Конкуренты'!$A$4:$B$11,2,FALSE),"не найдено"))</f>
        <v/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4" t="str">
        <f t="shared" si="8"/>
        <v/>
      </c>
      <c r="P138" s="5" t="str">
        <f>IF($A138="","",IFERROR(AVERAGEIF('03_Факты_сайта'!$B$4:$B$148,$A138,'03_Факты_сайта'!$I$4:$I$148),0))</f>
        <v/>
      </c>
      <c r="Q138" s="3" t="str">
        <f t="shared" si="9"/>
        <v/>
      </c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>
      <c r="A139" s="1"/>
      <c r="B139" s="3" t="str">
        <f>IF($A139="","",IFERROR(VLOOKUP($A139,'02_Конкуренты'!$A$4:$B$11,2,FALSE),"не найдено"))</f>
        <v/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4" t="str">
        <f t="shared" si="8"/>
        <v/>
      </c>
      <c r="P139" s="5" t="str">
        <f>IF($A139="","",IFERROR(AVERAGEIF('03_Факты_сайта'!$B$4:$B$148,$A139,'03_Факты_сайта'!$I$4:$I$148),0))</f>
        <v/>
      </c>
      <c r="Q139" s="3" t="str">
        <f t="shared" si="9"/>
        <v/>
      </c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>
      <c r="A140" s="1"/>
      <c r="B140" s="3" t="str">
        <f>IF($A140="","",IFERROR(VLOOKUP($A140,'02_Конкуренты'!$A$4:$B$11,2,FALSE),"не найдено"))</f>
        <v/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4" t="str">
        <f t="shared" si="8"/>
        <v/>
      </c>
      <c r="P140" s="5" t="str">
        <f>IF($A140="","",IFERROR(AVERAGEIF('03_Факты_сайта'!$B$4:$B$148,$A140,'03_Факты_сайта'!$I$4:$I$148),0))</f>
        <v/>
      </c>
      <c r="Q140" s="3" t="str">
        <f t="shared" si="9"/>
        <v/>
      </c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>
      <c r="A141" s="1"/>
      <c r="B141" s="3" t="str">
        <f>IF($A141="","",IFERROR(VLOOKUP($A141,'02_Конкуренты'!$A$4:$B$11,2,FALSE),"не найдено"))</f>
        <v/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4" t="str">
        <f t="shared" si="8"/>
        <v/>
      </c>
      <c r="P141" s="5" t="str">
        <f>IF($A141="","",IFERROR(AVERAGEIF('03_Факты_сайта'!$B$4:$B$148,$A141,'03_Факты_сайта'!$I$4:$I$148),0))</f>
        <v/>
      </c>
      <c r="Q141" s="3" t="str">
        <f t="shared" si="9"/>
        <v/>
      </c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>
      <c r="A142" s="1"/>
      <c r="B142" s="3" t="str">
        <f>IF($A142="","",IFERROR(VLOOKUP($A142,'02_Конкуренты'!$A$4:$B$11,2,FALSE),"не найдено"))</f>
        <v/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4" t="str">
        <f t="shared" si="8"/>
        <v/>
      </c>
      <c r="P142" s="5" t="str">
        <f>IF($A142="","",IFERROR(AVERAGEIF('03_Факты_сайта'!$B$4:$B$148,$A142,'03_Факты_сайта'!$I$4:$I$148),0))</f>
        <v/>
      </c>
      <c r="Q142" s="3" t="str">
        <f t="shared" si="9"/>
        <v/>
      </c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>
      <c r="A143" s="1"/>
      <c r="B143" s="3" t="str">
        <f>IF($A143="","",IFERROR(VLOOKUP($A143,'02_Конкуренты'!$A$4:$B$11,2,FALSE),"не найдено"))</f>
        <v/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4" t="str">
        <f t="shared" si="8"/>
        <v/>
      </c>
      <c r="P143" s="5" t="str">
        <f>IF($A143="","",IFERROR(AVERAGEIF('03_Факты_сайта'!$B$4:$B$148,$A143,'03_Факты_сайта'!$I$4:$I$148),0))</f>
        <v/>
      </c>
      <c r="Q143" s="3" t="str">
        <f t="shared" si="9"/>
        <v/>
      </c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>
      <c r="A144" s="1"/>
      <c r="B144" s="3" t="str">
        <f>IF($A144="","",IFERROR(VLOOKUP($A144,'02_Конкуренты'!$A$4:$B$11,2,FALSE),"не найдено"))</f>
        <v/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4" t="str">
        <f t="shared" si="8"/>
        <v/>
      </c>
      <c r="P144" s="5" t="str">
        <f>IF($A144="","",IFERROR(AVERAGEIF('03_Факты_сайта'!$B$4:$B$148,$A144,'03_Факты_сайта'!$I$4:$I$148),0))</f>
        <v/>
      </c>
      <c r="Q144" s="3" t="str">
        <f t="shared" si="9"/>
        <v/>
      </c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>
      <c r="A145" s="1"/>
      <c r="B145" s="3" t="str">
        <f>IF($A145="","",IFERROR(VLOOKUP($A145,'02_Конкуренты'!$A$4:$B$11,2,FALSE),"не найдено"))</f>
        <v/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4" t="str">
        <f t="shared" si="8"/>
        <v/>
      </c>
      <c r="P145" s="5" t="str">
        <f>IF($A145="","",IFERROR(AVERAGEIF('03_Факты_сайта'!$B$4:$B$148,$A145,'03_Факты_сайта'!$I$4:$I$148),0))</f>
        <v/>
      </c>
      <c r="Q145" s="3" t="str">
        <f t="shared" si="9"/>
        <v/>
      </c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>
      <c r="A146" s="1"/>
      <c r="B146" s="3" t="str">
        <f>IF($A146="","",IFERROR(VLOOKUP($A146,'02_Конкуренты'!$A$4:$B$11,2,FALSE),"не найдено"))</f>
        <v/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4" t="str">
        <f t="shared" si="8"/>
        <v/>
      </c>
      <c r="P146" s="5" t="str">
        <f>IF($A146="","",IFERROR(AVERAGEIF('03_Факты_сайта'!$B$4:$B$148,$A146,'03_Факты_сайта'!$I$4:$I$148),0))</f>
        <v/>
      </c>
      <c r="Q146" s="3" t="str">
        <f t="shared" si="9"/>
        <v/>
      </c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>
      <c r="A147" s="1"/>
      <c r="B147" s="3" t="str">
        <f>IF($A147="","",IFERROR(VLOOKUP($A147,'02_Конкуренты'!$A$4:$B$11,2,FALSE),"не найдено"))</f>
        <v/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4" t="str">
        <f t="shared" si="8"/>
        <v/>
      </c>
      <c r="P147" s="5" t="str">
        <f>IF($A147="","",IFERROR(AVERAGEIF('03_Факты_сайта'!$B$4:$B$148,$A147,'03_Факты_сайта'!$I$4:$I$148),0))</f>
        <v/>
      </c>
      <c r="Q147" s="3" t="str">
        <f t="shared" si="9"/>
        <v/>
      </c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>
      <c r="A148" s="1"/>
      <c r="B148" s="3" t="str">
        <f>IF($A148="","",IFERROR(VLOOKUP($A148,'02_Конкуренты'!$A$4:$B$11,2,FALSE),"не найдено"))</f>
        <v/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4" t="str">
        <f t="shared" si="8"/>
        <v/>
      </c>
      <c r="P148" s="5" t="str">
        <f>IF($A148="","",IFERROR(AVERAGEIF('03_Факты_сайта'!$B$4:$B$148,$A148,'03_Факты_сайта'!$I$4:$I$148),0))</f>
        <v/>
      </c>
      <c r="Q148" s="3" t="str">
        <f t="shared" si="9"/>
        <v/>
      </c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>
      <c r="A149" s="1"/>
      <c r="B149" s="3" t="str">
        <f>IF($A149="","",IFERROR(VLOOKUP($A149,'02_Конкуренты'!$A$4:$B$11,2,FALSE),"не найдено"))</f>
        <v/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4" t="str">
        <f t="shared" si="8"/>
        <v/>
      </c>
      <c r="P149" s="5" t="str">
        <f>IF($A149="","",IFERROR(AVERAGEIF('03_Факты_сайта'!$B$4:$B$148,$A149,'03_Факты_сайта'!$I$4:$I$148),0))</f>
        <v/>
      </c>
      <c r="Q149" s="3" t="str">
        <f t="shared" si="9"/>
        <v/>
      </c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>
      <c r="A150" s="1"/>
      <c r="B150" s="3" t="str">
        <f>IF($A150="","",IFERROR(VLOOKUP($A150,'02_Конкуренты'!$A$4:$B$11,2,FALSE),"не найдено"))</f>
        <v/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4" t="str">
        <f t="shared" si="8"/>
        <v/>
      </c>
      <c r="P150" s="5" t="str">
        <f>IF($A150="","",IFERROR(AVERAGEIF('03_Факты_сайта'!$B$4:$B$148,$A150,'03_Факты_сайта'!$I$4:$I$148),0))</f>
        <v/>
      </c>
      <c r="Q150" s="3" t="str">
        <f t="shared" si="9"/>
        <v/>
      </c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>
      <c r="A151" s="1"/>
      <c r="B151" s="3" t="str">
        <f>IF($A151="","",IFERROR(VLOOKUP($A151,'02_Конкуренты'!$A$4:$B$11,2,FALSE),"не найдено"))</f>
        <v/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4" t="str">
        <f t="shared" si="8"/>
        <v/>
      </c>
      <c r="P151" s="5" t="str">
        <f>IF($A151="","",IFERROR(AVERAGEIF('03_Факты_сайта'!$B$4:$B$148,$A151,'03_Факты_сайта'!$I$4:$I$148),0))</f>
        <v/>
      </c>
      <c r="Q151" s="3" t="str">
        <f t="shared" si="9"/>
        <v/>
      </c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>
      <c r="A152" s="1"/>
      <c r="B152" s="3" t="str">
        <f>IF($A152="","",IFERROR(VLOOKUP($A152,'02_Конкуренты'!$A$4:$B$11,2,FALSE),"не найдено"))</f>
        <v/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4" t="str">
        <f t="shared" si="8"/>
        <v/>
      </c>
      <c r="P152" s="5" t="str">
        <f>IF($A152="","",IFERROR(AVERAGEIF('03_Факты_сайта'!$B$4:$B$148,$A152,'03_Факты_сайта'!$I$4:$I$148),0))</f>
        <v/>
      </c>
      <c r="Q152" s="3" t="str">
        <f t="shared" si="9"/>
        <v/>
      </c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>
      <c r="A153" s="1"/>
      <c r="B153" s="3" t="str">
        <f>IF($A153="","",IFERROR(VLOOKUP($A153,'02_Конкуренты'!$A$4:$B$11,2,FALSE),"не найдено"))</f>
        <v/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4" t="str">
        <f t="shared" si="8"/>
        <v/>
      </c>
      <c r="P153" s="5" t="str">
        <f>IF($A153="","",IFERROR(AVERAGEIF('03_Факты_сайта'!$B$4:$B$148,$A153,'03_Факты_сайта'!$I$4:$I$148),0))</f>
        <v/>
      </c>
      <c r="Q153" s="3" t="str">
        <f t="shared" si="9"/>
        <v/>
      </c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>
      <c r="A154" s="1"/>
      <c r="B154" s="3" t="str">
        <f>IF($A154="","",IFERROR(VLOOKUP($A154,'02_Конкуренты'!$A$4:$B$11,2,FALSE),"не найдено"))</f>
        <v/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4" t="str">
        <f t="shared" si="8"/>
        <v/>
      </c>
      <c r="P154" s="5" t="str">
        <f>IF($A154="","",IFERROR(AVERAGEIF('03_Факты_сайта'!$B$4:$B$148,$A154,'03_Факты_сайта'!$I$4:$I$148),0))</f>
        <v/>
      </c>
      <c r="Q154" s="3" t="str">
        <f t="shared" si="9"/>
        <v/>
      </c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>
      <c r="A155" s="1"/>
      <c r="B155" s="3" t="str">
        <f>IF($A155="","",IFERROR(VLOOKUP($A155,'02_Конкуренты'!$A$4:$B$11,2,FALSE),"не найдено"))</f>
        <v/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4" t="str">
        <f t="shared" si="8"/>
        <v/>
      </c>
      <c r="P155" s="5" t="str">
        <f>IF($A155="","",IFERROR(AVERAGEIF('03_Факты_сайта'!$B$4:$B$148,$A155,'03_Факты_сайта'!$I$4:$I$148),0))</f>
        <v/>
      </c>
      <c r="Q155" s="3" t="str">
        <f t="shared" si="9"/>
        <v/>
      </c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>
      <c r="A156" s="1"/>
      <c r="B156" s="3" t="str">
        <f>IF($A156="","",IFERROR(VLOOKUP($A156,'02_Конкуренты'!$A$4:$B$11,2,FALSE),"не найдено"))</f>
        <v/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4" t="str">
        <f t="shared" si="8"/>
        <v/>
      </c>
      <c r="P156" s="5" t="str">
        <f>IF($A156="","",IFERROR(AVERAGEIF('03_Факты_сайта'!$B$4:$B$148,$A156,'03_Факты_сайта'!$I$4:$I$148),0))</f>
        <v/>
      </c>
      <c r="Q156" s="3" t="str">
        <f t="shared" si="9"/>
        <v/>
      </c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>
      <c r="A157" s="1"/>
      <c r="B157" s="3" t="str">
        <f>IF($A157="","",IFERROR(VLOOKUP($A157,'02_Конкуренты'!$A$4:$B$11,2,FALSE),"не найдено"))</f>
        <v/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4" t="str">
        <f t="shared" si="8"/>
        <v/>
      </c>
      <c r="P157" s="5" t="str">
        <f>IF($A157="","",IFERROR(AVERAGEIF('03_Факты_сайта'!$B$4:$B$148,$A157,'03_Факты_сайта'!$I$4:$I$148),0))</f>
        <v/>
      </c>
      <c r="Q157" s="3" t="str">
        <f t="shared" si="9"/>
        <v/>
      </c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>
      <c r="A158" s="1"/>
      <c r="B158" s="3" t="str">
        <f>IF($A158="","",IFERROR(VLOOKUP($A158,'02_Конкуренты'!$A$4:$B$11,2,FALSE),"не найдено"))</f>
        <v/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4" t="str">
        <f t="shared" si="8"/>
        <v/>
      </c>
      <c r="P158" s="5" t="str">
        <f>IF($A158="","",IFERROR(AVERAGEIF('03_Факты_сайта'!$B$4:$B$148,$A158,'03_Факты_сайта'!$I$4:$I$148),0))</f>
        <v/>
      </c>
      <c r="Q158" s="3" t="str">
        <f t="shared" si="9"/>
        <v/>
      </c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>
      <c r="A159" s="1"/>
      <c r="B159" s="3" t="str">
        <f>IF($A159="","",IFERROR(VLOOKUP($A159,'02_Конкуренты'!$A$4:$B$11,2,FALSE),"не найдено"))</f>
        <v/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4" t="str">
        <f t="shared" si="8"/>
        <v/>
      </c>
      <c r="P159" s="5" t="str">
        <f>IF($A159="","",IFERROR(AVERAGEIF('03_Факты_сайта'!$B$4:$B$148,$A159,'03_Факты_сайта'!$I$4:$I$148),0))</f>
        <v/>
      </c>
      <c r="Q159" s="3" t="str">
        <f t="shared" si="9"/>
        <v/>
      </c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>
      <c r="A160" s="1"/>
      <c r="B160" s="3" t="str">
        <f>IF($A160="","",IFERROR(VLOOKUP($A160,'02_Конкуренты'!$A$4:$B$11,2,FALSE),"не найдено"))</f>
        <v/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4" t="str">
        <f t="shared" si="8"/>
        <v/>
      </c>
      <c r="P160" s="5" t="str">
        <f>IF($A160="","",IFERROR(AVERAGEIF('03_Факты_сайта'!$B$4:$B$148,$A160,'03_Факты_сайта'!$I$4:$I$148),0))</f>
        <v/>
      </c>
      <c r="Q160" s="3" t="str">
        <f t="shared" si="9"/>
        <v/>
      </c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>
      <c r="A161" s="1"/>
      <c r="B161" s="3" t="str">
        <f>IF($A161="","",IFERROR(VLOOKUP($A161,'02_Конкуренты'!$A$4:$B$11,2,FALSE),"не найдено"))</f>
        <v/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4" t="str">
        <f t="shared" si="8"/>
        <v/>
      </c>
      <c r="P161" s="5" t="str">
        <f>IF($A161="","",IFERROR(AVERAGEIF('03_Факты_сайта'!$B$4:$B$148,$A161,'03_Факты_сайта'!$I$4:$I$148),0))</f>
        <v/>
      </c>
      <c r="Q161" s="3" t="str">
        <f t="shared" si="9"/>
        <v/>
      </c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>
      <c r="A162" s="1"/>
      <c r="B162" s="3" t="str">
        <f>IF($A162="","",IFERROR(VLOOKUP($A162,'02_Конкуренты'!$A$4:$B$11,2,FALSE),"не найдено"))</f>
        <v/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4" t="str">
        <f t="shared" si="8"/>
        <v/>
      </c>
      <c r="P162" s="5" t="str">
        <f>IF($A162="","",IFERROR(AVERAGEIF('03_Факты_сайта'!$B$4:$B$148,$A162,'03_Факты_сайта'!$I$4:$I$148),0))</f>
        <v/>
      </c>
      <c r="Q162" s="3" t="str">
        <f t="shared" si="9"/>
        <v/>
      </c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>
      <c r="A163" s="1"/>
      <c r="B163" s="3" t="str">
        <f>IF($A163="","",IFERROR(VLOOKUP($A163,'02_Конкуренты'!$A$4:$B$11,2,FALSE),"не найдено"))</f>
        <v/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4" t="str">
        <f t="shared" si="8"/>
        <v/>
      </c>
      <c r="P163" s="5" t="str">
        <f>IF($A163="","",IFERROR(AVERAGEIF('03_Факты_сайта'!$B$4:$B$148,$A163,'03_Факты_сайта'!$I$4:$I$148),0))</f>
        <v/>
      </c>
      <c r="Q163" s="3" t="str">
        <f t="shared" si="9"/>
        <v/>
      </c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>
      <c r="A164" s="1"/>
      <c r="B164" s="3" t="str">
        <f>IF($A164="","",IFERROR(VLOOKUP($A164,'02_Конкуренты'!$A$4:$B$11,2,FALSE),"не найдено"))</f>
        <v/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4" t="str">
        <f t="shared" ref="O164:O195" si="10">IF($A164="","",COUNTA($C164:$N164)/12)</f>
        <v/>
      </c>
      <c r="P164" s="5" t="str">
        <f>IF($A164="","",IFERROR(AVERAGEIF('03_Факты_сайта'!$B$4:$B$148,$A164,'03_Факты_сайта'!$I$4:$I$148),0))</f>
        <v/>
      </c>
      <c r="Q164" s="3" t="str">
        <f t="shared" ref="Q164:Q195" si="11">IF($A164="","",IF($O164&lt;0.5,"недостаточно данных",IF($P164&lt;3,"низкая доказательность",IF($O164&gt;=0.85,"готов к сравнению","требует дополнения"))))</f>
        <v/>
      </c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>
      <c r="A165" s="1"/>
      <c r="B165" s="3" t="str">
        <f>IF($A165="","",IFERROR(VLOOKUP($A165,'02_Конкуренты'!$A$4:$B$11,2,FALSE),"не найдено"))</f>
        <v/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4" t="str">
        <f t="shared" si="10"/>
        <v/>
      </c>
      <c r="P165" s="5" t="str">
        <f>IF($A165="","",IFERROR(AVERAGEIF('03_Факты_сайта'!$B$4:$B$148,$A165,'03_Факты_сайта'!$I$4:$I$148),0))</f>
        <v/>
      </c>
      <c r="Q165" s="3" t="str">
        <f t="shared" si="11"/>
        <v/>
      </c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>
      <c r="A166" s="1"/>
      <c r="B166" s="3" t="str">
        <f>IF($A166="","",IFERROR(VLOOKUP($A166,'02_Конкуренты'!$A$4:$B$11,2,FALSE),"не найдено"))</f>
        <v/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4" t="str">
        <f t="shared" si="10"/>
        <v/>
      </c>
      <c r="P166" s="5" t="str">
        <f>IF($A166="","",IFERROR(AVERAGEIF('03_Факты_сайта'!$B$4:$B$148,$A166,'03_Факты_сайта'!$I$4:$I$148),0))</f>
        <v/>
      </c>
      <c r="Q166" s="3" t="str">
        <f t="shared" si="11"/>
        <v/>
      </c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>
      <c r="A167" s="1"/>
      <c r="B167" s="3" t="str">
        <f>IF($A167="","",IFERROR(VLOOKUP($A167,'02_Конкуренты'!$A$4:$B$11,2,FALSE),"не найдено"))</f>
        <v/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4" t="str">
        <f t="shared" si="10"/>
        <v/>
      </c>
      <c r="P167" s="5" t="str">
        <f>IF($A167="","",IFERROR(AVERAGEIF('03_Факты_сайта'!$B$4:$B$148,$A167,'03_Факты_сайта'!$I$4:$I$148),0))</f>
        <v/>
      </c>
      <c r="Q167" s="3" t="str">
        <f t="shared" si="11"/>
        <v/>
      </c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>
      <c r="A168" s="1"/>
      <c r="B168" s="3" t="str">
        <f>IF($A168="","",IFERROR(VLOOKUP($A168,'02_Конкуренты'!$A$4:$B$11,2,FALSE),"не найдено"))</f>
        <v/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4" t="str">
        <f t="shared" si="10"/>
        <v/>
      </c>
      <c r="P168" s="5" t="str">
        <f>IF($A168="","",IFERROR(AVERAGEIF('03_Факты_сайта'!$B$4:$B$148,$A168,'03_Факты_сайта'!$I$4:$I$148),0))</f>
        <v/>
      </c>
      <c r="Q168" s="3" t="str">
        <f t="shared" si="11"/>
        <v/>
      </c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>
      <c r="A169" s="1"/>
      <c r="B169" s="3" t="str">
        <f>IF($A169="","",IFERROR(VLOOKUP($A169,'02_Конкуренты'!$A$4:$B$11,2,FALSE),"не найдено"))</f>
        <v/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4" t="str">
        <f t="shared" si="10"/>
        <v/>
      </c>
      <c r="P169" s="5" t="str">
        <f>IF($A169="","",IFERROR(AVERAGEIF('03_Факты_сайта'!$B$4:$B$148,$A169,'03_Факты_сайта'!$I$4:$I$148),0))</f>
        <v/>
      </c>
      <c r="Q169" s="3" t="str">
        <f t="shared" si="11"/>
        <v/>
      </c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>
      <c r="A170" s="1"/>
      <c r="B170" s="3" t="str">
        <f>IF($A170="","",IFERROR(VLOOKUP($A170,'02_Конкуренты'!$A$4:$B$11,2,FALSE),"не найдено"))</f>
        <v/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4" t="str">
        <f t="shared" si="10"/>
        <v/>
      </c>
      <c r="P170" s="5" t="str">
        <f>IF($A170="","",IFERROR(AVERAGEIF('03_Факты_сайта'!$B$4:$B$148,$A170,'03_Факты_сайта'!$I$4:$I$148),0))</f>
        <v/>
      </c>
      <c r="Q170" s="3" t="str">
        <f t="shared" si="11"/>
        <v/>
      </c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>
      <c r="A171" s="1"/>
      <c r="B171" s="3" t="str">
        <f>IF($A171="","",IFERROR(VLOOKUP($A171,'02_Конкуренты'!$A$4:$B$11,2,FALSE),"не найдено"))</f>
        <v/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4" t="str">
        <f t="shared" si="10"/>
        <v/>
      </c>
      <c r="P171" s="5" t="str">
        <f>IF($A171="","",IFERROR(AVERAGEIF('03_Факты_сайта'!$B$4:$B$148,$A171,'03_Факты_сайта'!$I$4:$I$148),0))</f>
        <v/>
      </c>
      <c r="Q171" s="3" t="str">
        <f t="shared" si="11"/>
        <v/>
      </c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>
      <c r="A172" s="1"/>
      <c r="B172" s="3" t="str">
        <f>IF($A172="","",IFERROR(VLOOKUP($A172,'02_Конкуренты'!$A$4:$B$11,2,FALSE),"не найдено"))</f>
        <v/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4" t="str">
        <f t="shared" si="10"/>
        <v/>
      </c>
      <c r="P172" s="5" t="str">
        <f>IF($A172="","",IFERROR(AVERAGEIF('03_Факты_сайта'!$B$4:$B$148,$A172,'03_Факты_сайта'!$I$4:$I$148),0))</f>
        <v/>
      </c>
      <c r="Q172" s="3" t="str">
        <f t="shared" si="11"/>
        <v/>
      </c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>
      <c r="A173" s="1"/>
      <c r="B173" s="3" t="str">
        <f>IF($A173="","",IFERROR(VLOOKUP($A173,'02_Конкуренты'!$A$4:$B$11,2,FALSE),"не найдено"))</f>
        <v/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4" t="str">
        <f t="shared" si="10"/>
        <v/>
      </c>
      <c r="P173" s="5" t="str">
        <f>IF($A173="","",IFERROR(AVERAGEIF('03_Факты_сайта'!$B$4:$B$148,$A173,'03_Факты_сайта'!$I$4:$I$148),0))</f>
        <v/>
      </c>
      <c r="Q173" s="3" t="str">
        <f t="shared" si="11"/>
        <v/>
      </c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>
      <c r="A174" s="1"/>
      <c r="B174" s="3" t="str">
        <f>IF($A174="","",IFERROR(VLOOKUP($A174,'02_Конкуренты'!$A$4:$B$11,2,FALSE),"не найдено"))</f>
        <v/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4" t="str">
        <f t="shared" si="10"/>
        <v/>
      </c>
      <c r="P174" s="5" t="str">
        <f>IF($A174="","",IFERROR(AVERAGEIF('03_Факты_сайта'!$B$4:$B$148,$A174,'03_Факты_сайта'!$I$4:$I$148),0))</f>
        <v/>
      </c>
      <c r="Q174" s="3" t="str">
        <f t="shared" si="11"/>
        <v/>
      </c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>
      <c r="A175" s="1"/>
      <c r="B175" s="3" t="str">
        <f>IF($A175="","",IFERROR(VLOOKUP($A175,'02_Конкуренты'!$A$4:$B$11,2,FALSE),"не найдено"))</f>
        <v/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4" t="str">
        <f t="shared" si="10"/>
        <v/>
      </c>
      <c r="P175" s="5" t="str">
        <f>IF($A175="","",IFERROR(AVERAGEIF('03_Факты_сайта'!$B$4:$B$148,$A175,'03_Факты_сайта'!$I$4:$I$148),0))</f>
        <v/>
      </c>
      <c r="Q175" s="3" t="str">
        <f t="shared" si="11"/>
        <v/>
      </c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>
      <c r="A176" s="1"/>
      <c r="B176" s="3" t="str">
        <f>IF($A176="","",IFERROR(VLOOKUP($A176,'02_Конкуренты'!$A$4:$B$11,2,FALSE),"не найдено"))</f>
        <v/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4" t="str">
        <f t="shared" si="10"/>
        <v/>
      </c>
      <c r="P176" s="5" t="str">
        <f>IF($A176="","",IFERROR(AVERAGEIF('03_Факты_сайта'!$B$4:$B$148,$A176,'03_Факты_сайта'!$I$4:$I$148),0))</f>
        <v/>
      </c>
      <c r="Q176" s="3" t="str">
        <f t="shared" si="11"/>
        <v/>
      </c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>
      <c r="A177" s="1"/>
      <c r="B177" s="3" t="str">
        <f>IF($A177="","",IFERROR(VLOOKUP($A177,'02_Конкуренты'!$A$4:$B$11,2,FALSE),"не найдено"))</f>
        <v/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4" t="str">
        <f t="shared" si="10"/>
        <v/>
      </c>
      <c r="P177" s="5" t="str">
        <f>IF($A177="","",IFERROR(AVERAGEIF('03_Факты_сайта'!$B$4:$B$148,$A177,'03_Факты_сайта'!$I$4:$I$148),0))</f>
        <v/>
      </c>
      <c r="Q177" s="3" t="str">
        <f t="shared" si="11"/>
        <v/>
      </c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>
      <c r="A178" s="1"/>
      <c r="B178" s="3" t="str">
        <f>IF($A178="","",IFERROR(VLOOKUP($A178,'02_Конкуренты'!$A$4:$B$11,2,FALSE),"не найдено"))</f>
        <v/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4" t="str">
        <f t="shared" si="10"/>
        <v/>
      </c>
      <c r="P178" s="5" t="str">
        <f>IF($A178="","",IFERROR(AVERAGEIF('03_Факты_сайта'!$B$4:$B$148,$A178,'03_Факты_сайта'!$I$4:$I$148),0))</f>
        <v/>
      </c>
      <c r="Q178" s="3" t="str">
        <f t="shared" si="11"/>
        <v/>
      </c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>
      <c r="A179" s="1"/>
      <c r="B179" s="3" t="str">
        <f>IF($A179="","",IFERROR(VLOOKUP($A179,'02_Конкуренты'!$A$4:$B$11,2,FALSE),"не найдено"))</f>
        <v/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4" t="str">
        <f t="shared" si="10"/>
        <v/>
      </c>
      <c r="P179" s="5" t="str">
        <f>IF($A179="","",IFERROR(AVERAGEIF('03_Факты_сайта'!$B$4:$B$148,$A179,'03_Факты_сайта'!$I$4:$I$148),0))</f>
        <v/>
      </c>
      <c r="Q179" s="3" t="str">
        <f t="shared" si="11"/>
        <v/>
      </c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>
      <c r="A180" s="1"/>
      <c r="B180" s="3" t="str">
        <f>IF($A180="","",IFERROR(VLOOKUP($A180,'02_Конкуренты'!$A$4:$B$11,2,FALSE),"не найдено"))</f>
        <v/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4" t="str">
        <f t="shared" si="10"/>
        <v/>
      </c>
      <c r="P180" s="5" t="str">
        <f>IF($A180="","",IFERROR(AVERAGEIF('03_Факты_сайта'!$B$4:$B$148,$A180,'03_Факты_сайта'!$I$4:$I$148),0))</f>
        <v/>
      </c>
      <c r="Q180" s="3" t="str">
        <f t="shared" si="11"/>
        <v/>
      </c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>
      <c r="A181" s="1"/>
      <c r="B181" s="3" t="str">
        <f>IF($A181="","",IFERROR(VLOOKUP($A181,'02_Конкуренты'!$A$4:$B$11,2,FALSE),"не найдено"))</f>
        <v/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4" t="str">
        <f t="shared" si="10"/>
        <v/>
      </c>
      <c r="P181" s="5" t="str">
        <f>IF($A181="","",IFERROR(AVERAGEIF('03_Факты_сайта'!$B$4:$B$148,$A181,'03_Факты_сайта'!$I$4:$I$148),0))</f>
        <v/>
      </c>
      <c r="Q181" s="3" t="str">
        <f t="shared" si="11"/>
        <v/>
      </c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>
      <c r="A182" s="1"/>
      <c r="B182" s="3" t="str">
        <f>IF($A182="","",IFERROR(VLOOKUP($A182,'02_Конкуренты'!$A$4:$B$11,2,FALSE),"не найдено"))</f>
        <v/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4" t="str">
        <f t="shared" si="10"/>
        <v/>
      </c>
      <c r="P182" s="5" t="str">
        <f>IF($A182="","",IFERROR(AVERAGEIF('03_Факты_сайта'!$B$4:$B$148,$A182,'03_Факты_сайта'!$I$4:$I$148),0))</f>
        <v/>
      </c>
      <c r="Q182" s="3" t="str">
        <f t="shared" si="11"/>
        <v/>
      </c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>
      <c r="A183" s="1"/>
      <c r="B183" s="3" t="str">
        <f>IF($A183="","",IFERROR(VLOOKUP($A183,'02_Конкуренты'!$A$4:$B$11,2,FALSE),"не найдено"))</f>
        <v/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4" t="str">
        <f t="shared" si="10"/>
        <v/>
      </c>
      <c r="P183" s="5" t="str">
        <f>IF($A183="","",IFERROR(AVERAGEIF('03_Факты_сайта'!$B$4:$B$148,$A183,'03_Факты_сайта'!$I$4:$I$148),0))</f>
        <v/>
      </c>
      <c r="Q183" s="3" t="str">
        <f t="shared" si="11"/>
        <v/>
      </c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>
      <c r="A184" s="1"/>
      <c r="B184" s="3" t="str">
        <f>IF($A184="","",IFERROR(VLOOKUP($A184,'02_Конкуренты'!$A$4:$B$11,2,FALSE),"не найдено"))</f>
        <v/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4" t="str">
        <f t="shared" si="10"/>
        <v/>
      </c>
      <c r="P184" s="5" t="str">
        <f>IF($A184="","",IFERROR(AVERAGEIF('03_Факты_сайта'!$B$4:$B$148,$A184,'03_Факты_сайта'!$I$4:$I$148),0))</f>
        <v/>
      </c>
      <c r="Q184" s="3" t="str">
        <f t="shared" si="11"/>
        <v/>
      </c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>
      <c r="A185" s="1"/>
      <c r="B185" s="3" t="str">
        <f>IF($A185="","",IFERROR(VLOOKUP($A185,'02_Конкуренты'!$A$4:$B$11,2,FALSE),"не найдено"))</f>
        <v/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4" t="str">
        <f t="shared" si="10"/>
        <v/>
      </c>
      <c r="P185" s="5" t="str">
        <f>IF($A185="","",IFERROR(AVERAGEIF('03_Факты_сайта'!$B$4:$B$148,$A185,'03_Факты_сайта'!$I$4:$I$148),0))</f>
        <v/>
      </c>
      <c r="Q185" s="3" t="str">
        <f t="shared" si="11"/>
        <v/>
      </c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>
      <c r="A186" s="1"/>
      <c r="B186" s="3" t="str">
        <f>IF($A186="","",IFERROR(VLOOKUP($A186,'02_Конкуренты'!$A$4:$B$11,2,FALSE),"не найдено"))</f>
        <v/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4" t="str">
        <f t="shared" si="10"/>
        <v/>
      </c>
      <c r="P186" s="5" t="str">
        <f>IF($A186="","",IFERROR(AVERAGEIF('03_Факты_сайта'!$B$4:$B$148,$A186,'03_Факты_сайта'!$I$4:$I$148),0))</f>
        <v/>
      </c>
      <c r="Q186" s="3" t="str">
        <f t="shared" si="11"/>
        <v/>
      </c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>
      <c r="A187" s="1"/>
      <c r="B187" s="3" t="str">
        <f>IF($A187="","",IFERROR(VLOOKUP($A187,'02_Конкуренты'!$A$4:$B$11,2,FALSE),"не найдено"))</f>
        <v/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4" t="str">
        <f t="shared" si="10"/>
        <v/>
      </c>
      <c r="P187" s="5" t="str">
        <f>IF($A187="","",IFERROR(AVERAGEIF('03_Факты_сайта'!$B$4:$B$148,$A187,'03_Факты_сайта'!$I$4:$I$148),0))</f>
        <v/>
      </c>
      <c r="Q187" s="3" t="str">
        <f t="shared" si="11"/>
        <v/>
      </c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>
      <c r="A188" s="1"/>
      <c r="B188" s="3" t="str">
        <f>IF($A188="","",IFERROR(VLOOKUP($A188,'02_Конкуренты'!$A$4:$B$11,2,FALSE),"не найдено"))</f>
        <v/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4" t="str">
        <f t="shared" si="10"/>
        <v/>
      </c>
      <c r="P188" s="5" t="str">
        <f>IF($A188="","",IFERROR(AVERAGEIF('03_Факты_сайта'!$B$4:$B$148,$A188,'03_Факты_сайта'!$I$4:$I$148),0))</f>
        <v/>
      </c>
      <c r="Q188" s="3" t="str">
        <f t="shared" si="11"/>
        <v/>
      </c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>
      <c r="A189" s="1"/>
      <c r="B189" s="3" t="str">
        <f>IF($A189="","",IFERROR(VLOOKUP($A189,'02_Конкуренты'!$A$4:$B$11,2,FALSE),"не найдено"))</f>
        <v/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4" t="str">
        <f t="shared" si="10"/>
        <v/>
      </c>
      <c r="P189" s="5" t="str">
        <f>IF($A189="","",IFERROR(AVERAGEIF('03_Факты_сайта'!$B$4:$B$148,$A189,'03_Факты_сайта'!$I$4:$I$148),0))</f>
        <v/>
      </c>
      <c r="Q189" s="3" t="str">
        <f t="shared" si="11"/>
        <v/>
      </c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>
      <c r="A190" s="1"/>
      <c r="B190" s="3" t="str">
        <f>IF($A190="","",IFERROR(VLOOKUP($A190,'02_Конкуренты'!$A$4:$B$11,2,FALSE),"не найдено"))</f>
        <v/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4" t="str">
        <f t="shared" si="10"/>
        <v/>
      </c>
      <c r="P190" s="5" t="str">
        <f>IF($A190="","",IFERROR(AVERAGEIF('03_Факты_сайта'!$B$4:$B$148,$A190,'03_Факты_сайта'!$I$4:$I$148),0))</f>
        <v/>
      </c>
      <c r="Q190" s="3" t="str">
        <f t="shared" si="11"/>
        <v/>
      </c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>
      <c r="A191" s="1"/>
      <c r="B191" s="3" t="str">
        <f>IF($A191="","",IFERROR(VLOOKUP($A191,'02_Конкуренты'!$A$4:$B$11,2,FALSE),"не найдено"))</f>
        <v/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4" t="str">
        <f t="shared" si="10"/>
        <v/>
      </c>
      <c r="P191" s="5" t="str">
        <f>IF($A191="","",IFERROR(AVERAGEIF('03_Факты_сайта'!$B$4:$B$148,$A191,'03_Факты_сайта'!$I$4:$I$148),0))</f>
        <v/>
      </c>
      <c r="Q191" s="3" t="str">
        <f t="shared" si="11"/>
        <v/>
      </c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>
      <c r="A192" s="1"/>
      <c r="B192" s="3" t="str">
        <f>IF($A192="","",IFERROR(VLOOKUP($A192,'02_Конкуренты'!$A$4:$B$11,2,FALSE),"не найдено"))</f>
        <v/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4" t="str">
        <f t="shared" si="10"/>
        <v/>
      </c>
      <c r="P192" s="5" t="str">
        <f>IF($A192="","",IFERROR(AVERAGEIF('03_Факты_сайта'!$B$4:$B$148,$A192,'03_Факты_сайта'!$I$4:$I$148),0))</f>
        <v/>
      </c>
      <c r="Q192" s="3" t="str">
        <f t="shared" si="11"/>
        <v/>
      </c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>
      <c r="A193" s="1"/>
      <c r="B193" s="3" t="str">
        <f>IF($A193="","",IFERROR(VLOOKUP($A193,'02_Конкуренты'!$A$4:$B$11,2,FALSE),"не найдено"))</f>
        <v/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4" t="str">
        <f t="shared" si="10"/>
        <v/>
      </c>
      <c r="P193" s="5" t="str">
        <f>IF($A193="","",IFERROR(AVERAGEIF('03_Факты_сайта'!$B$4:$B$148,$A193,'03_Факты_сайта'!$I$4:$I$148),0))</f>
        <v/>
      </c>
      <c r="Q193" s="3" t="str">
        <f t="shared" si="11"/>
        <v/>
      </c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>
      <c r="A194" s="1"/>
      <c r="B194" s="3" t="str">
        <f>IF($A194="","",IFERROR(VLOOKUP($A194,'02_Конкуренты'!$A$4:$B$11,2,FALSE),"не найдено"))</f>
        <v/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4" t="str">
        <f t="shared" si="10"/>
        <v/>
      </c>
      <c r="P194" s="5" t="str">
        <f>IF($A194="","",IFERROR(AVERAGEIF('03_Факты_сайта'!$B$4:$B$148,$A194,'03_Факты_сайта'!$I$4:$I$148),0))</f>
        <v/>
      </c>
      <c r="Q194" s="3" t="str">
        <f t="shared" si="11"/>
        <v/>
      </c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>
      <c r="A195" s="1"/>
      <c r="B195" s="3" t="str">
        <f>IF($A195="","",IFERROR(VLOOKUP($A195,'02_Конкуренты'!$A$4:$B$11,2,FALSE),"не найдено"))</f>
        <v/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4" t="str">
        <f t="shared" si="10"/>
        <v/>
      </c>
      <c r="P195" s="5" t="str">
        <f>IF($A195="","",IFERROR(AVERAGEIF('03_Факты_сайта'!$B$4:$B$148,$A195,'03_Факты_сайта'!$I$4:$I$148),0))</f>
        <v/>
      </c>
      <c r="Q195" s="3" t="str">
        <f t="shared" si="11"/>
        <v/>
      </c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>
      <c r="A196" s="1"/>
      <c r="B196" s="3" t="str">
        <f>IF($A196="","",IFERROR(VLOOKUP($A196,'02_Конкуренты'!$A$4:$B$11,2,FALSE),"не найдено"))</f>
        <v/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4" t="str">
        <f t="shared" ref="O196:O203" si="12">IF($A196="","",COUNTA($C196:$N196)/12)</f>
        <v/>
      </c>
      <c r="P196" s="5" t="str">
        <f>IF($A196="","",IFERROR(AVERAGEIF('03_Факты_сайта'!$B$4:$B$148,$A196,'03_Факты_сайта'!$I$4:$I$148),0))</f>
        <v/>
      </c>
      <c r="Q196" s="3" t="str">
        <f t="shared" ref="Q196:Q203" si="13">IF($A196="","",IF($O196&lt;0.5,"недостаточно данных",IF($P196&lt;3,"низкая доказательность",IF($O196&gt;=0.85,"готов к сравнению","требует дополнения"))))</f>
        <v/>
      </c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>
      <c r="A197" s="1"/>
      <c r="B197" s="3" t="str">
        <f>IF($A197="","",IFERROR(VLOOKUP($A197,'02_Конкуренты'!$A$4:$B$11,2,FALSE),"не найдено"))</f>
        <v/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4" t="str">
        <f t="shared" si="12"/>
        <v/>
      </c>
      <c r="P197" s="5" t="str">
        <f>IF($A197="","",IFERROR(AVERAGEIF('03_Факты_сайта'!$B$4:$B$148,$A197,'03_Факты_сайта'!$I$4:$I$148),0))</f>
        <v/>
      </c>
      <c r="Q197" s="3" t="str">
        <f t="shared" si="13"/>
        <v/>
      </c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>
      <c r="A198" s="1"/>
      <c r="B198" s="3" t="str">
        <f>IF($A198="","",IFERROR(VLOOKUP($A198,'02_Конкуренты'!$A$4:$B$11,2,FALSE),"не найдено"))</f>
        <v/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4" t="str">
        <f t="shared" si="12"/>
        <v/>
      </c>
      <c r="P198" s="5" t="str">
        <f>IF($A198="","",IFERROR(AVERAGEIF('03_Факты_сайта'!$B$4:$B$148,$A198,'03_Факты_сайта'!$I$4:$I$148),0))</f>
        <v/>
      </c>
      <c r="Q198" s="3" t="str">
        <f t="shared" si="13"/>
        <v/>
      </c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>
      <c r="A199" s="1"/>
      <c r="B199" s="3" t="str">
        <f>IF($A199="","",IFERROR(VLOOKUP($A199,'02_Конкуренты'!$A$4:$B$11,2,FALSE),"не найдено"))</f>
        <v/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4" t="str">
        <f t="shared" si="12"/>
        <v/>
      </c>
      <c r="P199" s="5" t="str">
        <f>IF($A199="","",IFERROR(AVERAGEIF('03_Факты_сайта'!$B$4:$B$148,$A199,'03_Факты_сайта'!$I$4:$I$148),0))</f>
        <v/>
      </c>
      <c r="Q199" s="3" t="str">
        <f t="shared" si="13"/>
        <v/>
      </c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>
      <c r="A200" s="1"/>
      <c r="B200" s="3" t="str">
        <f>IF($A200="","",IFERROR(VLOOKUP($A200,'02_Конкуренты'!$A$4:$B$11,2,FALSE),"не найдено"))</f>
        <v/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4" t="str">
        <f t="shared" si="12"/>
        <v/>
      </c>
      <c r="P200" s="5" t="str">
        <f>IF($A200="","",IFERROR(AVERAGEIF('03_Факты_сайта'!$B$4:$B$148,$A200,'03_Факты_сайта'!$I$4:$I$148),0))</f>
        <v/>
      </c>
      <c r="Q200" s="3" t="str">
        <f t="shared" si="13"/>
        <v/>
      </c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>
      <c r="A201" s="1"/>
      <c r="B201" s="3" t="str">
        <f>IF($A201="","",IFERROR(VLOOKUP($A201,'02_Конкуренты'!$A$4:$B$11,2,FALSE),"не найдено"))</f>
        <v/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4" t="str">
        <f t="shared" si="12"/>
        <v/>
      </c>
      <c r="P201" s="5" t="str">
        <f>IF($A201="","",IFERROR(AVERAGEIF('03_Факты_сайта'!$B$4:$B$148,$A201,'03_Факты_сайта'!$I$4:$I$148),0))</f>
        <v/>
      </c>
      <c r="Q201" s="3" t="str">
        <f t="shared" si="13"/>
        <v/>
      </c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>
      <c r="A202" s="1"/>
      <c r="B202" s="3" t="str">
        <f>IF($A202="","",IFERROR(VLOOKUP($A202,'02_Конкуренты'!$A$4:$B$11,2,FALSE),"не найдено"))</f>
        <v/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4" t="str">
        <f t="shared" si="12"/>
        <v/>
      </c>
      <c r="P202" s="5" t="str">
        <f>IF($A202="","",IFERROR(AVERAGEIF('03_Факты_сайта'!$B$4:$B$148,$A202,'03_Факты_сайта'!$I$4:$I$148),0))</f>
        <v/>
      </c>
      <c r="Q202" s="3" t="str">
        <f t="shared" si="13"/>
        <v/>
      </c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>
      <c r="A203" s="1"/>
      <c r="B203" s="3" t="str">
        <f>IF($A203="","",IFERROR(VLOOKUP($A203,'02_Конкуренты'!$A$4:$B$11,2,FALSE),"не найдено"))</f>
        <v/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4" t="str">
        <f t="shared" si="12"/>
        <v/>
      </c>
      <c r="P203" s="5" t="str">
        <f>IF($A203="","",IFERROR(AVERAGEIF('03_Факты_сайта'!$B$4:$B$148,$A203,'03_Факты_сайта'!$I$4:$I$148),0))</f>
        <v/>
      </c>
      <c r="Q203" s="3" t="str">
        <f t="shared" si="13"/>
        <v/>
      </c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" customHeight="1">
      <c r="A205" s="23" t="s">
        <v>934</v>
      </c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12"/>
      <c r="S205" s="12"/>
      <c r="T205" s="12"/>
      <c r="U205" s="12"/>
      <c r="V205" s="12"/>
      <c r="W205" s="12"/>
      <c r="X205" s="12"/>
      <c r="Y205" s="12"/>
      <c r="Z205" s="12"/>
    </row>
  </sheetData>
  <mergeCells count="3">
    <mergeCell ref="A1:Q1"/>
    <mergeCell ref="A2:Q2"/>
    <mergeCell ref="A205:Q205"/>
  </mergeCells>
  <conditionalFormatting sqref="O4:P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1"/>
  <sheetViews>
    <sheetView workbookViewId="0"/>
  </sheetViews>
  <sheetFormatPr defaultRowHeight="14.25"/>
  <cols>
    <col min="1" max="1" width="55.625" customWidth="1"/>
    <col min="2" max="2" width="24.625" customWidth="1"/>
    <col min="3" max="3" width="39.625" customWidth="1"/>
    <col min="4" max="4" width="55.625" customWidth="1"/>
    <col min="5" max="5" width="35.625" customWidth="1"/>
    <col min="6" max="6" width="49.625" customWidth="1"/>
    <col min="7" max="9" width="55.625" customWidth="1"/>
    <col min="10" max="10" width="48.625" customWidth="1"/>
    <col min="11" max="11" width="55.625" customWidth="1"/>
    <col min="12" max="12" width="34" customWidth="1"/>
    <col min="13" max="13" width="55.625" customWidth="1"/>
    <col min="14" max="26" width="9.625" customWidth="1"/>
  </cols>
  <sheetData>
    <row r="1" spans="1:26">
      <c r="A1" s="20" t="s">
        <v>136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2" t="s">
        <v>935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">
      <c r="A3" s="13" t="s">
        <v>111</v>
      </c>
      <c r="B3" s="13" t="s">
        <v>112</v>
      </c>
      <c r="C3" s="13" t="s">
        <v>137</v>
      </c>
      <c r="D3" s="13" t="s">
        <v>138</v>
      </c>
      <c r="E3" s="13" t="s">
        <v>139</v>
      </c>
      <c r="F3" s="13" t="s">
        <v>140</v>
      </c>
      <c r="G3" s="13" t="s">
        <v>141</v>
      </c>
      <c r="H3" s="13" t="s">
        <v>142</v>
      </c>
      <c r="I3" s="13" t="s">
        <v>143</v>
      </c>
      <c r="J3" s="13" t="s">
        <v>144</v>
      </c>
      <c r="K3" s="13" t="s">
        <v>145</v>
      </c>
      <c r="L3" s="13" t="s">
        <v>146</v>
      </c>
      <c r="M3" s="13" t="s">
        <v>147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28.5">
      <c r="A4" s="1" t="s">
        <v>237</v>
      </c>
      <c r="B4" s="3" t="str">
        <f>IF($A4="","",IFERROR(VLOOKUP($A4,'02_Конкуренты'!$A$4:$B$11,2,FALSE),"не найдено"))</f>
        <v>PlantUML</v>
      </c>
      <c r="C4" s="1" t="s">
        <v>642</v>
      </c>
      <c r="D4" s="1" t="s">
        <v>285</v>
      </c>
      <c r="E4" s="1" t="s">
        <v>643</v>
      </c>
      <c r="F4" s="1" t="s">
        <v>644</v>
      </c>
      <c r="G4" s="1" t="s">
        <v>645</v>
      </c>
      <c r="H4" s="1" t="s">
        <v>862</v>
      </c>
      <c r="I4" s="1" t="s">
        <v>863</v>
      </c>
      <c r="J4" s="1" t="s">
        <v>240</v>
      </c>
      <c r="K4" s="1" t="s">
        <v>646</v>
      </c>
      <c r="L4" s="1" t="s">
        <v>279</v>
      </c>
      <c r="M4" s="1" t="s">
        <v>864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28.5">
      <c r="A5" s="1" t="s">
        <v>244</v>
      </c>
      <c r="B5" s="3" t="str">
        <f>IF($A5="","",IFERROR(VLOOKUP($A5,'02_Конкуренты'!$A$4:$B$11,2,FALSE),"не найдено"))</f>
        <v>Mermaid (библиотека)</v>
      </c>
      <c r="C5" s="1" t="s">
        <v>647</v>
      </c>
      <c r="D5" s="1" t="s">
        <v>342</v>
      </c>
      <c r="E5" s="1" t="s">
        <v>643</v>
      </c>
      <c r="F5" s="1" t="s">
        <v>644</v>
      </c>
      <c r="G5" s="1" t="s">
        <v>645</v>
      </c>
      <c r="H5" s="1" t="s">
        <v>865</v>
      </c>
      <c r="I5" s="1" t="s">
        <v>866</v>
      </c>
      <c r="J5" s="1" t="s">
        <v>247</v>
      </c>
      <c r="K5" s="1" t="s">
        <v>648</v>
      </c>
      <c r="L5" s="1" t="s">
        <v>339</v>
      </c>
      <c r="M5" s="1" t="s">
        <v>867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28.5">
      <c r="A6" s="1" t="s">
        <v>248</v>
      </c>
      <c r="B6" s="3" t="str">
        <f>IF($A6="","",IFERROR(VLOOKUP($A6,'02_Конкуренты'!$A$4:$B$11,2,FALSE),"не найдено"))</f>
        <v>Mermaid Chart</v>
      </c>
      <c r="C6" s="1" t="s">
        <v>649</v>
      </c>
      <c r="D6" s="1" t="s">
        <v>366</v>
      </c>
      <c r="E6" s="1" t="s">
        <v>643</v>
      </c>
      <c r="F6" s="1" t="s">
        <v>644</v>
      </c>
      <c r="G6" s="1" t="s">
        <v>650</v>
      </c>
      <c r="H6" s="1" t="s">
        <v>868</v>
      </c>
      <c r="I6" s="1" t="s">
        <v>869</v>
      </c>
      <c r="J6" s="1" t="s">
        <v>251</v>
      </c>
      <c r="K6" s="1" t="s">
        <v>651</v>
      </c>
      <c r="L6" s="1" t="s">
        <v>363</v>
      </c>
      <c r="M6" s="1" t="s">
        <v>870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28.5">
      <c r="A7" s="1" t="s">
        <v>253</v>
      </c>
      <c r="B7" s="3" t="str">
        <f>IF($A7="","",IFERROR(VLOOKUP($A7,'02_Конкуренты'!$A$4:$B$11,2,FALSE),"не найдено"))</f>
        <v>Storm (StormBPMN)</v>
      </c>
      <c r="C7" s="1" t="s">
        <v>652</v>
      </c>
      <c r="D7" s="1" t="s">
        <v>425</v>
      </c>
      <c r="E7" s="1" t="s">
        <v>643</v>
      </c>
      <c r="F7" s="1" t="s">
        <v>644</v>
      </c>
      <c r="G7" s="1" t="s">
        <v>650</v>
      </c>
      <c r="H7" s="1" t="s">
        <v>871</v>
      </c>
      <c r="I7" s="1" t="s">
        <v>872</v>
      </c>
      <c r="J7" s="1" t="s">
        <v>256</v>
      </c>
      <c r="K7" s="1" t="s">
        <v>653</v>
      </c>
      <c r="L7" s="1" t="s">
        <v>422</v>
      </c>
      <c r="M7" s="1" t="s">
        <v>873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28.5">
      <c r="A8" s="1" t="s">
        <v>258</v>
      </c>
      <c r="B8" s="3" t="str">
        <f>IF($A8="","",IFERROR(VLOOKUP($A8,'02_Конкуренты'!$A$4:$B$11,2,FALSE),"не найдено"))</f>
        <v>draw.io (diagrams.net)</v>
      </c>
      <c r="C8" s="1" t="s">
        <v>654</v>
      </c>
      <c r="D8" s="1" t="s">
        <v>464</v>
      </c>
      <c r="E8" s="1" t="s">
        <v>643</v>
      </c>
      <c r="F8" s="1" t="s">
        <v>644</v>
      </c>
      <c r="G8" s="1" t="s">
        <v>645</v>
      </c>
      <c r="H8" s="1" t="s">
        <v>874</v>
      </c>
      <c r="I8" s="1" t="s">
        <v>875</v>
      </c>
      <c r="J8" s="1" t="s">
        <v>261</v>
      </c>
      <c r="K8" s="1" t="s">
        <v>655</v>
      </c>
      <c r="L8" s="1" t="s">
        <v>461</v>
      </c>
      <c r="M8" s="1" t="s">
        <v>876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42.75">
      <c r="A9" s="1" t="s">
        <v>263</v>
      </c>
      <c r="B9" s="3" t="str">
        <f>IF($A9="","",IFERROR(VLOOKUP($A9,'02_Конкуренты'!$A$4:$B$11,2,FALSE),"не найдено"))</f>
        <v>Lucidchart</v>
      </c>
      <c r="C9" s="1" t="s">
        <v>656</v>
      </c>
      <c r="D9" s="1" t="s">
        <v>488</v>
      </c>
      <c r="E9" s="1" t="s">
        <v>643</v>
      </c>
      <c r="F9" s="1" t="s">
        <v>644</v>
      </c>
      <c r="G9" s="1" t="s">
        <v>650</v>
      </c>
      <c r="H9" s="1" t="s">
        <v>877</v>
      </c>
      <c r="I9" s="1" t="s">
        <v>878</v>
      </c>
      <c r="J9" s="1" t="s">
        <v>266</v>
      </c>
      <c r="K9" s="1" t="s">
        <v>657</v>
      </c>
      <c r="L9" s="1" t="s">
        <v>485</v>
      </c>
      <c r="M9" s="1" t="s">
        <v>879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28.5">
      <c r="A10" s="1" t="s">
        <v>268</v>
      </c>
      <c r="B10" s="3" t="str">
        <f>IF($A10="","",IFERROR(VLOOKUP($A10,'02_Конкуренты'!$A$4:$B$11,2,FALSE),"не найдено"))</f>
        <v>Eraser</v>
      </c>
      <c r="C10" s="1" t="s">
        <v>658</v>
      </c>
      <c r="D10" s="1" t="s">
        <v>526</v>
      </c>
      <c r="E10" s="1" t="s">
        <v>643</v>
      </c>
      <c r="F10" s="1" t="s">
        <v>644</v>
      </c>
      <c r="G10" s="1" t="s">
        <v>650</v>
      </c>
      <c r="H10" s="1" t="s">
        <v>880</v>
      </c>
      <c r="I10" s="1" t="s">
        <v>881</v>
      </c>
      <c r="J10" s="1" t="s">
        <v>271</v>
      </c>
      <c r="K10" s="1" t="s">
        <v>659</v>
      </c>
      <c r="L10" s="1" t="s">
        <v>523</v>
      </c>
      <c r="M10" s="1" t="s">
        <v>882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28.5">
      <c r="A11" s="1" t="s">
        <v>273</v>
      </c>
      <c r="B11" s="3" t="str">
        <f>IF($A11="","",IFERROR(VLOOKUP($A11,'02_Конкуренты'!$A$4:$B$11,2,FALSE),"не найдено"))</f>
        <v>Whimsical</v>
      </c>
      <c r="C11" s="1" t="s">
        <v>660</v>
      </c>
      <c r="D11" s="1" t="s">
        <v>557</v>
      </c>
      <c r="E11" s="1" t="s">
        <v>643</v>
      </c>
      <c r="F11" s="1" t="s">
        <v>644</v>
      </c>
      <c r="G11" s="1" t="s">
        <v>645</v>
      </c>
      <c r="H11" s="1" t="s">
        <v>883</v>
      </c>
      <c r="I11" s="1" t="s">
        <v>884</v>
      </c>
      <c r="J11" s="1" t="s">
        <v>276</v>
      </c>
      <c r="K11" s="1" t="s">
        <v>661</v>
      </c>
      <c r="L11" s="1" t="s">
        <v>554</v>
      </c>
      <c r="M11" s="1" t="s">
        <v>885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"/>
  <sheetViews>
    <sheetView workbookViewId="0"/>
  </sheetViews>
  <sheetFormatPr defaultRowHeight="14.25"/>
  <cols>
    <col min="1" max="1" width="55.625" customWidth="1"/>
    <col min="2" max="2" width="24.625" customWidth="1"/>
    <col min="3" max="3" width="27.625" customWidth="1"/>
    <col min="4" max="4" width="38.625" customWidth="1"/>
    <col min="5" max="5" width="28.625" customWidth="1"/>
    <col min="6" max="6" width="42.625" customWidth="1"/>
    <col min="7" max="7" width="55.625" customWidth="1"/>
    <col min="8" max="8" width="25.625" customWidth="1"/>
    <col min="9" max="9" width="55.625" customWidth="1"/>
    <col min="10" max="10" width="46.625" customWidth="1"/>
    <col min="11" max="11" width="55.625" customWidth="1"/>
    <col min="12" max="12" width="23.625" customWidth="1"/>
    <col min="13" max="13" width="20.625" customWidth="1"/>
    <col min="14" max="14" width="55.625" customWidth="1"/>
    <col min="15" max="26" width="9.625" customWidth="1"/>
  </cols>
  <sheetData>
    <row r="1" spans="1:26">
      <c r="A1" s="20" t="s">
        <v>148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2" t="s">
        <v>936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">
      <c r="A3" s="13" t="s">
        <v>111</v>
      </c>
      <c r="B3" s="13" t="s">
        <v>112</v>
      </c>
      <c r="C3" s="13" t="s">
        <v>6</v>
      </c>
      <c r="D3" s="13" t="s">
        <v>149</v>
      </c>
      <c r="E3" s="13" t="s">
        <v>150</v>
      </c>
      <c r="F3" s="13" t="s">
        <v>151</v>
      </c>
      <c r="G3" s="13" t="s">
        <v>152</v>
      </c>
      <c r="H3" s="13" t="s">
        <v>153</v>
      </c>
      <c r="I3" s="13" t="s">
        <v>154</v>
      </c>
      <c r="J3" s="13" t="s">
        <v>155</v>
      </c>
      <c r="K3" s="13" t="s">
        <v>156</v>
      </c>
      <c r="L3" s="13" t="s">
        <v>157</v>
      </c>
      <c r="M3" s="13" t="s">
        <v>158</v>
      </c>
      <c r="N3" s="13" t="s">
        <v>159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28.5">
      <c r="A4" s="1" t="s">
        <v>237</v>
      </c>
      <c r="B4" s="3" t="str">
        <f>IF($A4="","",IFERROR(VLOOKUP($A4,'02_Конкуренты'!$A$4:$B$11,2,FALSE),"не найдено"))</f>
        <v>PlantUML</v>
      </c>
      <c r="C4" s="1" t="s">
        <v>53</v>
      </c>
      <c r="D4" s="1" t="s">
        <v>279</v>
      </c>
      <c r="E4" s="1" t="s">
        <v>662</v>
      </c>
      <c r="F4" s="1" t="s">
        <v>663</v>
      </c>
      <c r="G4" s="1" t="s">
        <v>664</v>
      </c>
      <c r="H4" s="1" t="s">
        <v>665</v>
      </c>
      <c r="I4" s="1" t="s">
        <v>666</v>
      </c>
      <c r="J4" s="1" t="s">
        <v>667</v>
      </c>
      <c r="K4" s="1" t="s">
        <v>668</v>
      </c>
      <c r="L4" s="1">
        <v>4</v>
      </c>
      <c r="M4" s="1">
        <v>2</v>
      </c>
      <c r="N4" s="1" t="s">
        <v>669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28.5">
      <c r="A5" s="1" t="s">
        <v>244</v>
      </c>
      <c r="B5" s="3" t="str">
        <f>IF($A5="","",IFERROR(VLOOKUP($A5,'02_Конкуренты'!$A$4:$B$11,2,FALSE),"не найдено"))</f>
        <v>Mermaid (библиотека)</v>
      </c>
      <c r="C5" s="1" t="s">
        <v>53</v>
      </c>
      <c r="D5" s="1" t="s">
        <v>339</v>
      </c>
      <c r="E5" s="1" t="s">
        <v>662</v>
      </c>
      <c r="F5" s="1" t="s">
        <v>663</v>
      </c>
      <c r="G5" s="1" t="s">
        <v>664</v>
      </c>
      <c r="H5" s="1" t="s">
        <v>665</v>
      </c>
      <c r="I5" s="1" t="s">
        <v>666</v>
      </c>
      <c r="J5" s="1" t="s">
        <v>667</v>
      </c>
      <c r="K5" s="1" t="s">
        <v>668</v>
      </c>
      <c r="L5" s="1">
        <v>5</v>
      </c>
      <c r="M5" s="1">
        <v>2</v>
      </c>
      <c r="N5" s="1" t="s">
        <v>669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28.5">
      <c r="A6" s="1" t="s">
        <v>248</v>
      </c>
      <c r="B6" s="3" t="str">
        <f>IF($A6="","",IFERROR(VLOOKUP($A6,'02_Конкуренты'!$A$4:$B$11,2,FALSE),"не найдено"))</f>
        <v>Mermaid Chart</v>
      </c>
      <c r="C6" s="1" t="s">
        <v>48</v>
      </c>
      <c r="D6" s="1" t="s">
        <v>368</v>
      </c>
      <c r="E6" s="1" t="s">
        <v>662</v>
      </c>
      <c r="F6" s="1" t="s">
        <v>663</v>
      </c>
      <c r="G6" s="1" t="s">
        <v>857</v>
      </c>
      <c r="H6" s="1" t="s">
        <v>670</v>
      </c>
      <c r="I6" s="1" t="s">
        <v>671</v>
      </c>
      <c r="J6" s="1" t="s">
        <v>672</v>
      </c>
      <c r="K6" s="1" t="s">
        <v>673</v>
      </c>
      <c r="L6" s="1">
        <v>5</v>
      </c>
      <c r="M6" s="1">
        <v>4</v>
      </c>
      <c r="N6" s="1" t="s">
        <v>674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28.5">
      <c r="A7" s="1" t="s">
        <v>253</v>
      </c>
      <c r="B7" s="3" t="str">
        <f>IF($A7="","",IFERROR(VLOOKUP($A7,'02_Конкуренты'!$A$4:$B$11,2,FALSE),"не найдено"))</f>
        <v>Storm (StormBPMN)</v>
      </c>
      <c r="C7" s="1" t="s">
        <v>48</v>
      </c>
      <c r="D7" s="1" t="s">
        <v>427</v>
      </c>
      <c r="E7" s="1" t="s">
        <v>662</v>
      </c>
      <c r="F7" s="1" t="s">
        <v>675</v>
      </c>
      <c r="G7" s="1" t="s">
        <v>676</v>
      </c>
      <c r="H7" s="1" t="s">
        <v>670</v>
      </c>
      <c r="I7" s="1" t="s">
        <v>677</v>
      </c>
      <c r="J7" s="1" t="s">
        <v>678</v>
      </c>
      <c r="K7" s="1" t="s">
        <v>679</v>
      </c>
      <c r="L7" s="1">
        <v>5</v>
      </c>
      <c r="M7" s="1">
        <v>5</v>
      </c>
      <c r="N7" s="1" t="s">
        <v>680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28.5">
      <c r="A8" s="1" t="s">
        <v>258</v>
      </c>
      <c r="B8" s="3" t="str">
        <f>IF($A8="","",IFERROR(VLOOKUP($A8,'02_Конкуренты'!$A$4:$B$11,2,FALSE),"не найдено"))</f>
        <v>draw.io (diagrams.net)</v>
      </c>
      <c r="C8" s="1" t="s">
        <v>53</v>
      </c>
      <c r="D8" s="1" t="s">
        <v>461</v>
      </c>
      <c r="E8" s="1" t="s">
        <v>662</v>
      </c>
      <c r="F8" s="1" t="s">
        <v>663</v>
      </c>
      <c r="G8" s="1" t="s">
        <v>664</v>
      </c>
      <c r="H8" s="1" t="s">
        <v>665</v>
      </c>
      <c r="I8" s="1" t="s">
        <v>666</v>
      </c>
      <c r="J8" s="1" t="s">
        <v>667</v>
      </c>
      <c r="K8" s="1" t="s">
        <v>668</v>
      </c>
      <c r="L8" s="1">
        <v>5</v>
      </c>
      <c r="M8" s="1">
        <v>2</v>
      </c>
      <c r="N8" s="1" t="s">
        <v>669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>
      <c r="A9" s="1" t="s">
        <v>263</v>
      </c>
      <c r="B9" s="3" t="str">
        <f>IF($A9="","",IFERROR(VLOOKUP($A9,'02_Конкуренты'!$A$4:$B$11,2,FALSE),"не найдено"))</f>
        <v>Lucidchart</v>
      </c>
      <c r="C9" s="1" t="s">
        <v>48</v>
      </c>
      <c r="D9" s="1" t="s">
        <v>490</v>
      </c>
      <c r="E9" s="1" t="s">
        <v>662</v>
      </c>
      <c r="F9" s="1" t="s">
        <v>681</v>
      </c>
      <c r="G9" s="1" t="s">
        <v>858</v>
      </c>
      <c r="H9" s="1" t="s">
        <v>670</v>
      </c>
      <c r="I9" s="1" t="s">
        <v>682</v>
      </c>
      <c r="J9" s="1" t="s">
        <v>672</v>
      </c>
      <c r="K9" s="1" t="s">
        <v>683</v>
      </c>
      <c r="L9" s="1">
        <v>4</v>
      </c>
      <c r="M9" s="1">
        <v>4</v>
      </c>
      <c r="N9" s="1" t="s">
        <v>684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28.5">
      <c r="A10" s="1" t="s">
        <v>268</v>
      </c>
      <c r="B10" s="3" t="str">
        <f>IF($A10="","",IFERROR(VLOOKUP($A10,'02_Конкуренты'!$A$4:$B$11,2,FALSE),"не найдено"))</f>
        <v>Eraser</v>
      </c>
      <c r="C10" s="1" t="s">
        <v>48</v>
      </c>
      <c r="D10" s="1" t="s">
        <v>528</v>
      </c>
      <c r="E10" s="1" t="s">
        <v>662</v>
      </c>
      <c r="F10" s="1" t="s">
        <v>663</v>
      </c>
      <c r="G10" s="1" t="s">
        <v>859</v>
      </c>
      <c r="H10" s="1" t="s">
        <v>685</v>
      </c>
      <c r="I10" s="1" t="s">
        <v>686</v>
      </c>
      <c r="J10" s="1" t="s">
        <v>860</v>
      </c>
      <c r="K10" s="1" t="s">
        <v>687</v>
      </c>
      <c r="L10" s="1">
        <v>5</v>
      </c>
      <c r="M10" s="1">
        <v>4</v>
      </c>
      <c r="N10" s="1" t="s">
        <v>688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>
      <c r="A11" s="1" t="s">
        <v>273</v>
      </c>
      <c r="B11" s="3" t="str">
        <f>IF($A11="","",IFERROR(VLOOKUP($A11,'02_Конкуренты'!$A$4:$B$11,2,FALSE),"не найдено"))</f>
        <v>Whimsical</v>
      </c>
      <c r="C11" s="1" t="s">
        <v>48</v>
      </c>
      <c r="D11" s="1" t="s">
        <v>559</v>
      </c>
      <c r="E11" s="1" t="s">
        <v>662</v>
      </c>
      <c r="F11" s="1" t="s">
        <v>663</v>
      </c>
      <c r="G11" s="1" t="s">
        <v>861</v>
      </c>
      <c r="H11" s="1" t="s">
        <v>689</v>
      </c>
      <c r="I11" s="1" t="s">
        <v>690</v>
      </c>
      <c r="J11" s="1" t="s">
        <v>691</v>
      </c>
      <c r="K11" s="1" t="s">
        <v>692</v>
      </c>
      <c r="L11" s="1">
        <v>5</v>
      </c>
      <c r="M11" s="1">
        <v>4</v>
      </c>
      <c r="N11" s="1" t="s">
        <v>693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</sheetData>
  <mergeCells count="2">
    <mergeCell ref="A1:N1"/>
    <mergeCell ref="A2:N2"/>
  </mergeCells>
  <conditionalFormatting sqref="L4:M11">
    <cfRule type="colorScale" priority="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type="list" sqref="C4:C11" xr:uid="{00000000-0002-0000-0600-000000000000}">
      <formula1>"подписка,разовая покупка,комиссия,транзакционная оплата,условно-бесплатная модель,лицензия,реклама,оплата за использование,пакетная продажа,смешанная"</formula1>
    </dataValidation>
    <dataValidation type="list" sqref="L4:M11" xr:uid="{00000000-0002-0000-06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1"/>
  <sheetViews>
    <sheetView workbookViewId="0"/>
  </sheetViews>
  <sheetFormatPr defaultRowHeight="14.25"/>
  <cols>
    <col min="1" max="1" width="55.625" customWidth="1"/>
    <col min="2" max="2" width="24.625" customWidth="1"/>
    <col min="3" max="3" width="55.625" customWidth="1"/>
    <col min="4" max="4" width="38.625" customWidth="1"/>
    <col min="5" max="5" width="54.625" customWidth="1"/>
    <col min="6" max="6" width="55.625" customWidth="1"/>
    <col min="7" max="7" width="31.625" customWidth="1"/>
    <col min="8" max="8" width="26" customWidth="1"/>
    <col min="9" max="9" width="31.625" customWidth="1"/>
    <col min="10" max="10" width="47.625" customWidth="1"/>
    <col min="11" max="11" width="55.625" customWidth="1"/>
    <col min="12" max="12" width="28.625" customWidth="1"/>
    <col min="13" max="13" width="18" customWidth="1"/>
    <col min="14" max="14" width="55.625" customWidth="1"/>
    <col min="15" max="26" width="9.625" customWidth="1"/>
  </cols>
  <sheetData>
    <row r="1" spans="1:26">
      <c r="A1" s="20" t="s">
        <v>160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2" t="s">
        <v>937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">
      <c r="A3" s="13" t="s">
        <v>111</v>
      </c>
      <c r="B3" s="13" t="s">
        <v>112</v>
      </c>
      <c r="C3" s="13" t="s">
        <v>161</v>
      </c>
      <c r="D3" s="13" t="s">
        <v>162</v>
      </c>
      <c r="E3" s="13" t="s">
        <v>163</v>
      </c>
      <c r="F3" s="13" t="s">
        <v>164</v>
      </c>
      <c r="G3" s="13" t="s">
        <v>165</v>
      </c>
      <c r="H3" s="13" t="s">
        <v>7</v>
      </c>
      <c r="I3" s="13" t="s">
        <v>166</v>
      </c>
      <c r="J3" s="13" t="s">
        <v>167</v>
      </c>
      <c r="K3" s="13" t="s">
        <v>168</v>
      </c>
      <c r="L3" s="13" t="s">
        <v>169</v>
      </c>
      <c r="M3" s="13" t="s">
        <v>170</v>
      </c>
      <c r="N3" s="13" t="s">
        <v>171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57">
      <c r="A4" s="1" t="s">
        <v>237</v>
      </c>
      <c r="B4" s="3" t="str">
        <f>IF($A4="","",IFERROR(VLOOKUP($A4,'02_Конкуренты'!$A$4:$B$11,2,FALSE),"не найдено"))</f>
        <v>PlantUML</v>
      </c>
      <c r="C4" s="1" t="s">
        <v>294</v>
      </c>
      <c r="D4" s="1" t="s">
        <v>694</v>
      </c>
      <c r="E4" s="1" t="s">
        <v>695</v>
      </c>
      <c r="F4" s="1" t="s">
        <v>696</v>
      </c>
      <c r="G4" s="1" t="s">
        <v>697</v>
      </c>
      <c r="H4" s="1" t="s">
        <v>54</v>
      </c>
      <c r="I4" s="1" t="s">
        <v>697</v>
      </c>
      <c r="J4" s="1" t="s">
        <v>698</v>
      </c>
      <c r="K4" s="1" t="s">
        <v>575</v>
      </c>
      <c r="L4" s="1">
        <v>1</v>
      </c>
      <c r="M4" s="1">
        <v>2</v>
      </c>
      <c r="N4" s="1" t="s">
        <v>699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57">
      <c r="A5" s="1" t="s">
        <v>244</v>
      </c>
      <c r="B5" s="3" t="str">
        <f>IF($A5="","",IFERROR(VLOOKUP($A5,'02_Конкуренты'!$A$4:$B$11,2,FALSE),"не найдено"))</f>
        <v>Mermaid (библиотека)</v>
      </c>
      <c r="C5" s="1" t="s">
        <v>346</v>
      </c>
      <c r="D5" s="1" t="s">
        <v>694</v>
      </c>
      <c r="E5" s="1" t="s">
        <v>700</v>
      </c>
      <c r="F5" s="1" t="s">
        <v>701</v>
      </c>
      <c r="G5" s="1" t="s">
        <v>702</v>
      </c>
      <c r="H5" s="1" t="s">
        <v>54</v>
      </c>
      <c r="I5" s="1" t="s">
        <v>702</v>
      </c>
      <c r="J5" s="1" t="s">
        <v>703</v>
      </c>
      <c r="K5" s="1" t="s">
        <v>584</v>
      </c>
      <c r="L5" s="1">
        <v>2</v>
      </c>
      <c r="M5" s="1">
        <v>3</v>
      </c>
      <c r="N5" s="1" t="s">
        <v>704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57">
      <c r="A6" s="1" t="s">
        <v>248</v>
      </c>
      <c r="B6" s="3" t="str">
        <f>IF($A6="","",IFERROR(VLOOKUP($A6,'02_Конкуренты'!$A$4:$B$11,2,FALSE),"не найдено"))</f>
        <v>Mermaid Chart</v>
      </c>
      <c r="C6" s="1" t="s">
        <v>370</v>
      </c>
      <c r="D6" s="1" t="s">
        <v>694</v>
      </c>
      <c r="E6" s="1" t="s">
        <v>705</v>
      </c>
      <c r="F6" s="1" t="s">
        <v>706</v>
      </c>
      <c r="G6" s="1" t="s">
        <v>707</v>
      </c>
      <c r="H6" s="1" t="s">
        <v>42</v>
      </c>
      <c r="I6" s="1" t="s">
        <v>707</v>
      </c>
      <c r="J6" s="1" t="s">
        <v>708</v>
      </c>
      <c r="K6" s="1" t="s">
        <v>593</v>
      </c>
      <c r="L6" s="1">
        <v>2</v>
      </c>
      <c r="M6" s="1">
        <v>4</v>
      </c>
      <c r="N6" s="1" t="s">
        <v>709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57">
      <c r="A7" s="1" t="s">
        <v>253</v>
      </c>
      <c r="B7" s="3" t="str">
        <f>IF($A7="","",IFERROR(VLOOKUP($A7,'02_Конкуренты'!$A$4:$B$11,2,FALSE),"не найдено"))</f>
        <v>Storm (StormBPMN)</v>
      </c>
      <c r="C7" s="1" t="s">
        <v>430</v>
      </c>
      <c r="D7" s="1" t="s">
        <v>694</v>
      </c>
      <c r="E7" s="1" t="s">
        <v>710</v>
      </c>
      <c r="F7" s="1" t="s">
        <v>711</v>
      </c>
      <c r="G7" s="1" t="s">
        <v>712</v>
      </c>
      <c r="H7" s="1" t="s">
        <v>58</v>
      </c>
      <c r="I7" s="1" t="s">
        <v>712</v>
      </c>
      <c r="J7" s="1" t="s">
        <v>713</v>
      </c>
      <c r="K7" s="1" t="s">
        <v>442</v>
      </c>
      <c r="L7" s="1">
        <v>2</v>
      </c>
      <c r="M7" s="1">
        <v>4</v>
      </c>
      <c r="N7" s="1" t="s">
        <v>714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57">
      <c r="A8" s="1" t="s">
        <v>258</v>
      </c>
      <c r="B8" s="3" t="str">
        <f>IF($A8="","",IFERROR(VLOOKUP($A8,'02_Конкуренты'!$A$4:$B$11,2,FALSE),"не найдено"))</f>
        <v>draw.io (diagrams.net)</v>
      </c>
      <c r="C8" s="1" t="s">
        <v>468</v>
      </c>
      <c r="D8" s="1" t="s">
        <v>694</v>
      </c>
      <c r="E8" s="1" t="s">
        <v>715</v>
      </c>
      <c r="F8" s="1" t="s">
        <v>716</v>
      </c>
      <c r="G8" s="1" t="s">
        <v>697</v>
      </c>
      <c r="H8" s="1" t="s">
        <v>16</v>
      </c>
      <c r="I8" s="1" t="s">
        <v>697</v>
      </c>
      <c r="J8" s="1" t="s">
        <v>717</v>
      </c>
      <c r="K8" s="1" t="s">
        <v>610</v>
      </c>
      <c r="L8" s="1">
        <v>1</v>
      </c>
      <c r="M8" s="1">
        <v>4</v>
      </c>
      <c r="N8" s="1" t="s">
        <v>718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57">
      <c r="A9" s="1" t="s">
        <v>263</v>
      </c>
      <c r="B9" s="3" t="str">
        <f>IF($A9="","",IFERROR(VLOOKUP($A9,'02_Конкуренты'!$A$4:$B$11,2,FALSE),"не найдено"))</f>
        <v>Lucidchart</v>
      </c>
      <c r="C9" s="1" t="s">
        <v>492</v>
      </c>
      <c r="D9" s="1" t="s">
        <v>694</v>
      </c>
      <c r="E9" s="1" t="s">
        <v>719</v>
      </c>
      <c r="F9" s="1" t="s">
        <v>720</v>
      </c>
      <c r="G9" s="1" t="s">
        <v>42</v>
      </c>
      <c r="H9" s="1" t="s">
        <v>49</v>
      </c>
      <c r="I9" s="1" t="s">
        <v>42</v>
      </c>
      <c r="J9" s="1" t="s">
        <v>721</v>
      </c>
      <c r="K9" s="1" t="s">
        <v>619</v>
      </c>
      <c r="L9" s="1">
        <v>2</v>
      </c>
      <c r="M9" s="1">
        <v>5</v>
      </c>
      <c r="N9" s="1" t="s">
        <v>722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28.5">
      <c r="A10" s="1" t="s">
        <v>268</v>
      </c>
      <c r="B10" s="3" t="str">
        <f>IF($A10="","",IFERROR(VLOOKUP($A10,'02_Конкуренты'!$A$4:$B$11,2,FALSE),"не найдено"))</f>
        <v>Eraser</v>
      </c>
      <c r="C10" s="1" t="s">
        <v>723</v>
      </c>
      <c r="D10" s="1" t="s">
        <v>694</v>
      </c>
      <c r="E10" s="1" t="s">
        <v>724</v>
      </c>
      <c r="F10" s="1" t="s">
        <v>725</v>
      </c>
      <c r="G10" s="1" t="s">
        <v>42</v>
      </c>
      <c r="H10" s="1" t="s">
        <v>42</v>
      </c>
      <c r="I10" s="1" t="s">
        <v>42</v>
      </c>
      <c r="J10" s="1" t="s">
        <v>726</v>
      </c>
      <c r="K10" s="1" t="s">
        <v>628</v>
      </c>
      <c r="L10" s="1">
        <v>2</v>
      </c>
      <c r="M10" s="1">
        <v>4</v>
      </c>
      <c r="N10" s="1" t="s">
        <v>709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28.5">
      <c r="A11" s="1" t="s">
        <v>273</v>
      </c>
      <c r="B11" s="3" t="str">
        <f>IF($A11="","",IFERROR(VLOOKUP($A11,'02_Конкуренты'!$A$4:$B$11,2,FALSE),"не найдено"))</f>
        <v>Whimsical</v>
      </c>
      <c r="C11" s="1" t="s">
        <v>723</v>
      </c>
      <c r="D11" s="1" t="s">
        <v>727</v>
      </c>
      <c r="E11" s="1" t="s">
        <v>724</v>
      </c>
      <c r="F11" s="1" t="s">
        <v>728</v>
      </c>
      <c r="G11" s="1" t="s">
        <v>42</v>
      </c>
      <c r="H11" s="1" t="s">
        <v>42</v>
      </c>
      <c r="I11" s="1" t="s">
        <v>42</v>
      </c>
      <c r="J11" s="1" t="s">
        <v>729</v>
      </c>
      <c r="K11" s="1" t="s">
        <v>636</v>
      </c>
      <c r="L11" s="1">
        <v>2</v>
      </c>
      <c r="M11" s="1">
        <v>4</v>
      </c>
      <c r="N11" s="1" t="s">
        <v>709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</sheetData>
  <mergeCells count="2">
    <mergeCell ref="A1:N1"/>
    <mergeCell ref="A2:N2"/>
  </mergeCells>
  <conditionalFormatting sqref="L4:M11">
    <cfRule type="colorScale" priority="4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type="list" sqref="H4:H11" xr:uid="{00000000-0002-0000-0700-000000000000}">
      <formula1>"самостоятельная покупка,заявка на консультацию,демонстрация продукта,регистрация,пробный доступ,контентная воронка,корпоративные продажи,маркетплейс"</formula1>
    </dataValidation>
    <dataValidation type="list" sqref="L4:M11" xr:uid="{00000000-0002-0000-07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1"/>
  <sheetViews>
    <sheetView workbookViewId="0"/>
  </sheetViews>
  <sheetFormatPr defaultRowHeight="14.25"/>
  <cols>
    <col min="1" max="1" width="55.625" customWidth="1"/>
    <col min="2" max="2" width="24.625" customWidth="1"/>
    <col min="3" max="3" width="55.625" customWidth="1"/>
    <col min="4" max="4" width="46.625" customWidth="1"/>
    <col min="5" max="5" width="51.625" customWidth="1"/>
    <col min="6" max="6" width="49.625" customWidth="1"/>
    <col min="7" max="8" width="55.625" customWidth="1"/>
    <col min="9" max="9" width="46.625" customWidth="1"/>
    <col min="10" max="10" width="55.625" customWidth="1"/>
    <col min="11" max="11" width="21.625" customWidth="1"/>
    <col min="12" max="12" width="27.625" customWidth="1"/>
    <col min="13" max="13" width="48.625" customWidth="1"/>
    <col min="14" max="14" width="51.625" customWidth="1"/>
    <col min="15" max="26" width="9.625" customWidth="1"/>
  </cols>
  <sheetData>
    <row r="1" spans="1:26">
      <c r="A1" s="20" t="s">
        <v>172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2" t="s">
        <v>938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30">
      <c r="A3" s="13" t="s">
        <v>111</v>
      </c>
      <c r="B3" s="13" t="s">
        <v>112</v>
      </c>
      <c r="C3" s="13" t="s">
        <v>127</v>
      </c>
      <c r="D3" s="13" t="s">
        <v>173</v>
      </c>
      <c r="E3" s="13" t="s">
        <v>174</v>
      </c>
      <c r="F3" s="13" t="s">
        <v>175</v>
      </c>
      <c r="G3" s="13" t="s">
        <v>176</v>
      </c>
      <c r="H3" s="13" t="s">
        <v>177</v>
      </c>
      <c r="I3" s="13" t="s">
        <v>178</v>
      </c>
      <c r="J3" s="13" t="s">
        <v>179</v>
      </c>
      <c r="K3" s="13" t="s">
        <v>180</v>
      </c>
      <c r="L3" s="13" t="s">
        <v>181</v>
      </c>
      <c r="M3" s="13" t="s">
        <v>182</v>
      </c>
      <c r="N3" s="13" t="s">
        <v>183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28.5">
      <c r="A4" s="1" t="s">
        <v>237</v>
      </c>
      <c r="B4" s="3" t="str">
        <f>IF($A4="","",IFERROR(VLOOKUP($A4,'02_Конкуренты'!$A$4:$B$11,2,FALSE),"не найдено"))</f>
        <v>PlantUML</v>
      </c>
      <c r="C4" s="1" t="s">
        <v>730</v>
      </c>
      <c r="D4" s="1" t="s">
        <v>731</v>
      </c>
      <c r="E4" s="1" t="s">
        <v>732</v>
      </c>
      <c r="F4" s="1" t="s">
        <v>733</v>
      </c>
      <c r="G4" s="1" t="s">
        <v>578</v>
      </c>
      <c r="H4" s="1" t="s">
        <v>578</v>
      </c>
      <c r="I4" s="1" t="s">
        <v>734</v>
      </c>
      <c r="J4" s="1" t="s">
        <v>579</v>
      </c>
      <c r="K4" s="1">
        <v>3</v>
      </c>
      <c r="L4" s="1">
        <v>2</v>
      </c>
      <c r="M4" s="1" t="s">
        <v>735</v>
      </c>
      <c r="N4" s="1" t="s">
        <v>736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28.5">
      <c r="A5" s="1" t="s">
        <v>244</v>
      </c>
      <c r="B5" s="3" t="str">
        <f>IF($A5="","",IFERROR(VLOOKUP($A5,'02_Конкуренты'!$A$4:$B$11,2,FALSE),"не найдено"))</f>
        <v>Mermaid (библиотека)</v>
      </c>
      <c r="C5" s="1" t="s">
        <v>737</v>
      </c>
      <c r="D5" s="1" t="s">
        <v>738</v>
      </c>
      <c r="E5" s="1" t="s">
        <v>739</v>
      </c>
      <c r="F5" s="1" t="s">
        <v>740</v>
      </c>
      <c r="G5" s="1" t="s">
        <v>587</v>
      </c>
      <c r="H5" s="1" t="s">
        <v>587</v>
      </c>
      <c r="I5" s="1" t="s">
        <v>741</v>
      </c>
      <c r="J5" s="1" t="s">
        <v>588</v>
      </c>
      <c r="K5" s="1">
        <v>4</v>
      </c>
      <c r="L5" s="1">
        <v>3</v>
      </c>
      <c r="M5" s="1" t="s">
        <v>742</v>
      </c>
      <c r="N5" s="1" t="s">
        <v>743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28.5">
      <c r="A6" s="1" t="s">
        <v>248</v>
      </c>
      <c r="B6" s="3" t="str">
        <f>IF($A6="","",IFERROR(VLOOKUP($A6,'02_Конкуренты'!$A$4:$B$11,2,FALSE),"не найдено"))</f>
        <v>Mermaid Chart</v>
      </c>
      <c r="C6" s="1" t="s">
        <v>744</v>
      </c>
      <c r="D6" s="1" t="s">
        <v>745</v>
      </c>
      <c r="E6" s="1" t="s">
        <v>746</v>
      </c>
      <c r="F6" s="1" t="s">
        <v>747</v>
      </c>
      <c r="G6" s="1" t="s">
        <v>596</v>
      </c>
      <c r="H6" s="1" t="s">
        <v>596</v>
      </c>
      <c r="I6" s="1" t="s">
        <v>748</v>
      </c>
      <c r="J6" s="1" t="s">
        <v>597</v>
      </c>
      <c r="K6" s="1">
        <v>4</v>
      </c>
      <c r="L6" s="1">
        <v>3</v>
      </c>
      <c r="M6" s="1" t="s">
        <v>749</v>
      </c>
      <c r="N6" s="1" t="s">
        <v>750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28.5">
      <c r="A7" s="1" t="s">
        <v>253</v>
      </c>
      <c r="B7" s="3" t="str">
        <f>IF($A7="","",IFERROR(VLOOKUP($A7,'02_Конкуренты'!$A$4:$B$11,2,FALSE),"не найдено"))</f>
        <v>Storm (StormBPMN)</v>
      </c>
      <c r="C7" s="1" t="s">
        <v>751</v>
      </c>
      <c r="D7" s="1" t="s">
        <v>752</v>
      </c>
      <c r="E7" s="1" t="s">
        <v>753</v>
      </c>
      <c r="F7" s="1" t="s">
        <v>754</v>
      </c>
      <c r="G7" s="1" t="s">
        <v>604</v>
      </c>
      <c r="H7" s="1" t="s">
        <v>604</v>
      </c>
      <c r="I7" s="1" t="s">
        <v>755</v>
      </c>
      <c r="J7" s="1" t="s">
        <v>605</v>
      </c>
      <c r="K7" s="1">
        <v>3</v>
      </c>
      <c r="L7" s="1">
        <v>4</v>
      </c>
      <c r="M7" s="1" t="s">
        <v>756</v>
      </c>
      <c r="N7" s="1" t="s">
        <v>757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28.5">
      <c r="A8" s="1" t="s">
        <v>258</v>
      </c>
      <c r="B8" s="3" t="str">
        <f>IF($A8="","",IFERROR(VLOOKUP($A8,'02_Конкуренты'!$A$4:$B$11,2,FALSE),"не найдено"))</f>
        <v>draw.io (diagrams.net)</v>
      </c>
      <c r="C8" s="1" t="s">
        <v>758</v>
      </c>
      <c r="D8" s="1" t="s">
        <v>759</v>
      </c>
      <c r="E8" s="1" t="s">
        <v>760</v>
      </c>
      <c r="F8" s="1" t="s">
        <v>761</v>
      </c>
      <c r="G8" s="1" t="s">
        <v>613</v>
      </c>
      <c r="H8" s="1" t="s">
        <v>613</v>
      </c>
      <c r="I8" s="1" t="s">
        <v>762</v>
      </c>
      <c r="J8" s="1" t="s">
        <v>614</v>
      </c>
      <c r="K8" s="1">
        <v>5</v>
      </c>
      <c r="L8" s="1">
        <v>3</v>
      </c>
      <c r="M8" s="1" t="s">
        <v>763</v>
      </c>
      <c r="N8" s="1" t="s">
        <v>764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>
      <c r="A9" s="1" t="s">
        <v>263</v>
      </c>
      <c r="B9" s="3" t="str">
        <f>IF($A9="","",IFERROR(VLOOKUP($A9,'02_Конкуренты'!$A$4:$B$11,2,FALSE),"не найдено"))</f>
        <v>Lucidchart</v>
      </c>
      <c r="C9" s="1" t="s">
        <v>765</v>
      </c>
      <c r="D9" s="1" t="s">
        <v>766</v>
      </c>
      <c r="E9" s="1" t="s">
        <v>767</v>
      </c>
      <c r="F9" s="1" t="s">
        <v>768</v>
      </c>
      <c r="G9" s="1" t="s">
        <v>621</v>
      </c>
      <c r="H9" s="1" t="s">
        <v>621</v>
      </c>
      <c r="I9" s="1" t="s">
        <v>769</v>
      </c>
      <c r="J9" s="1" t="s">
        <v>622</v>
      </c>
      <c r="K9" s="1">
        <v>5</v>
      </c>
      <c r="L9" s="1">
        <v>5</v>
      </c>
      <c r="M9" s="1" t="s">
        <v>770</v>
      </c>
      <c r="N9" s="1" t="s">
        <v>771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28.5">
      <c r="A10" s="1" t="s">
        <v>268</v>
      </c>
      <c r="B10" s="3" t="str">
        <f>IF($A10="","",IFERROR(VLOOKUP($A10,'02_Конкуренты'!$A$4:$B$11,2,FALSE),"не найдено"))</f>
        <v>Eraser</v>
      </c>
      <c r="C10" s="1" t="s">
        <v>772</v>
      </c>
      <c r="D10" s="1" t="s">
        <v>773</v>
      </c>
      <c r="E10" s="1" t="s">
        <v>774</v>
      </c>
      <c r="F10" s="1" t="s">
        <v>775</v>
      </c>
      <c r="G10" s="1" t="s">
        <v>630</v>
      </c>
      <c r="H10" s="1" t="s">
        <v>630</v>
      </c>
      <c r="I10" s="1" t="s">
        <v>776</v>
      </c>
      <c r="J10" s="1" t="s">
        <v>631</v>
      </c>
      <c r="K10" s="1">
        <v>4</v>
      </c>
      <c r="L10" s="1">
        <v>3</v>
      </c>
      <c r="M10" s="1" t="s">
        <v>777</v>
      </c>
      <c r="N10" s="1" t="s">
        <v>778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>
      <c r="A11" s="1" t="s">
        <v>273</v>
      </c>
      <c r="B11" s="3" t="str">
        <f>IF($A11="","",IFERROR(VLOOKUP($A11,'02_Конкуренты'!$A$4:$B$11,2,FALSE),"не найдено"))</f>
        <v>Whimsical</v>
      </c>
      <c r="C11" s="1" t="s">
        <v>779</v>
      </c>
      <c r="D11" s="1" t="s">
        <v>780</v>
      </c>
      <c r="E11" s="1" t="s">
        <v>781</v>
      </c>
      <c r="F11" s="1" t="s">
        <v>782</v>
      </c>
      <c r="G11" s="1" t="s">
        <v>638</v>
      </c>
      <c r="H11" s="1" t="s">
        <v>638</v>
      </c>
      <c r="I11" s="1" t="s">
        <v>783</v>
      </c>
      <c r="J11" s="1" t="s">
        <v>639</v>
      </c>
      <c r="K11" s="1">
        <v>4</v>
      </c>
      <c r="L11" s="1">
        <v>2</v>
      </c>
      <c r="M11" s="1" t="s">
        <v>784</v>
      </c>
      <c r="N11" s="1" t="s">
        <v>785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</sheetData>
  <mergeCells count="2">
    <mergeCell ref="A1:N1"/>
    <mergeCell ref="A2:N2"/>
  </mergeCells>
  <conditionalFormatting sqref="K4:L11">
    <cfRule type="colorScale" priority="5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type="list" sqref="K4:L11" xr:uid="{00000000-0002-0000-0800-000000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1"/>
  <sheetViews>
    <sheetView workbookViewId="0"/>
  </sheetViews>
  <sheetFormatPr defaultRowHeight="14.25"/>
  <cols>
    <col min="1" max="1" width="38.625" customWidth="1"/>
    <col min="2" max="2" width="24.625" customWidth="1"/>
    <col min="3" max="6" width="12" customWidth="1"/>
    <col min="7" max="7" width="14" customWidth="1"/>
    <col min="8" max="10" width="12" customWidth="1"/>
    <col min="11" max="11" width="14" customWidth="1"/>
    <col min="12" max="12" width="12" customWidth="1"/>
    <col min="13" max="14" width="14" customWidth="1"/>
    <col min="15" max="15" width="17.625" customWidth="1"/>
    <col min="16" max="16" width="12" customWidth="1"/>
    <col min="17" max="17" width="26.625" customWidth="1"/>
    <col min="18" max="26" width="9.625" customWidth="1"/>
  </cols>
  <sheetData>
    <row r="1" spans="1:26">
      <c r="A1" s="20" t="s">
        <v>184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11"/>
      <c r="S1" s="11"/>
      <c r="T1" s="11"/>
      <c r="U1" s="11"/>
      <c r="V1" s="11"/>
      <c r="W1" s="11"/>
      <c r="X1" s="11"/>
      <c r="Y1" s="11"/>
      <c r="Z1" s="11"/>
    </row>
    <row r="2" spans="1:26">
      <c r="A2" s="24" t="s">
        <v>185</v>
      </c>
      <c r="B2" s="24"/>
      <c r="C2" s="25">
        <v>0.08</v>
      </c>
      <c r="D2" s="25">
        <v>0.13</v>
      </c>
      <c r="E2" s="25">
        <v>0.1</v>
      </c>
      <c r="F2" s="25">
        <v>0.09</v>
      </c>
      <c r="G2" s="25">
        <v>0.06</v>
      </c>
      <c r="H2" s="25">
        <v>0.12</v>
      </c>
      <c r="I2" s="25">
        <v>0.08</v>
      </c>
      <c r="J2" s="25">
        <v>0.06</v>
      </c>
      <c r="K2" s="25">
        <v>0.1</v>
      </c>
      <c r="L2" s="25">
        <v>0.09</v>
      </c>
      <c r="M2" s="25">
        <v>0.09</v>
      </c>
      <c r="N2" s="24"/>
      <c r="O2" s="24"/>
      <c r="P2" s="24"/>
      <c r="Q2" s="24"/>
      <c r="R2" s="12"/>
      <c r="S2" s="12"/>
      <c r="T2" s="12"/>
      <c r="U2" s="12"/>
      <c r="V2" s="12"/>
      <c r="W2" s="12"/>
      <c r="X2" s="12"/>
      <c r="Y2" s="12"/>
      <c r="Z2" s="12"/>
    </row>
    <row r="3" spans="1:26" ht="30">
      <c r="A3" s="13" t="s">
        <v>111</v>
      </c>
      <c r="B3" s="13" t="s">
        <v>112</v>
      </c>
      <c r="C3" s="13" t="s">
        <v>186</v>
      </c>
      <c r="D3" s="13" t="s">
        <v>187</v>
      </c>
      <c r="E3" s="13" t="s">
        <v>188</v>
      </c>
      <c r="F3" s="13" t="s">
        <v>124</v>
      </c>
      <c r="G3" s="13" t="s">
        <v>189</v>
      </c>
      <c r="H3" s="13" t="s">
        <v>190</v>
      </c>
      <c r="I3" s="13" t="s">
        <v>191</v>
      </c>
      <c r="J3" s="13" t="s">
        <v>177</v>
      </c>
      <c r="K3" s="13" t="s">
        <v>192</v>
      </c>
      <c r="L3" s="13" t="s">
        <v>193</v>
      </c>
      <c r="M3" s="13" t="s">
        <v>194</v>
      </c>
      <c r="N3" s="13" t="s">
        <v>195</v>
      </c>
      <c r="O3" s="13" t="s">
        <v>196</v>
      </c>
      <c r="P3" s="13" t="s">
        <v>197</v>
      </c>
      <c r="Q3" s="13" t="s">
        <v>198</v>
      </c>
      <c r="R3" s="12"/>
      <c r="S3" s="12"/>
      <c r="T3" s="12"/>
      <c r="U3" s="12"/>
      <c r="V3" s="12"/>
      <c r="W3" s="12"/>
      <c r="X3" s="12"/>
      <c r="Y3" s="12"/>
      <c r="Z3" s="12"/>
    </row>
    <row r="4" spans="1:26">
      <c r="A4" s="1" t="s">
        <v>237</v>
      </c>
      <c r="B4" s="3" t="str">
        <f>IF($A4="","",IFERROR(VLOOKUP($A4,'02_Конкуренты'!$A$4:$B$11,2,FALSE),"не найдено"))</f>
        <v>PlantUML</v>
      </c>
      <c r="C4" s="1">
        <v>3</v>
      </c>
      <c r="D4" s="1">
        <v>4</v>
      </c>
      <c r="E4" s="1">
        <v>4</v>
      </c>
      <c r="F4" s="1">
        <v>3</v>
      </c>
      <c r="G4" s="1">
        <v>2</v>
      </c>
      <c r="H4" s="1">
        <v>2</v>
      </c>
      <c r="I4" s="1">
        <v>3</v>
      </c>
      <c r="J4" s="1">
        <v>4</v>
      </c>
      <c r="K4" s="1">
        <v>3</v>
      </c>
      <c r="L4" s="1">
        <v>3</v>
      </c>
      <c r="M4" s="1">
        <v>4</v>
      </c>
      <c r="N4" s="5">
        <f t="shared" ref="N4:N11" si="0">IF($A4="","",SUMPRODUCT($C4:$M4,$C$2:$M$2)/SUM($C$2:$M$2))</f>
        <v>3.2000000000000006</v>
      </c>
      <c r="O4" s="5">
        <f>IF($A4="","",IFERROR(VLOOKUP($A4,'04_Бизнес_модель'!$A$4:$P$203,16,FALSE),0))</f>
        <v>3.7142857142857144</v>
      </c>
      <c r="P4" s="4">
        <f>IF($A4="","",IFERROR(VLOOKUP($A4,'04_Бизнес_модель'!$A$4:$O$203,15,FALSE),0))</f>
        <v>1</v>
      </c>
      <c r="Q4" s="5">
        <f t="shared" ref="Q4:Q11" si="1">IF($A4="","",$N4*0.6+$O4*0.25+$P4*5*0.15)</f>
        <v>3.5985714285714288</v>
      </c>
      <c r="R4" s="12"/>
      <c r="S4" s="12"/>
      <c r="T4" s="12"/>
      <c r="U4" s="12"/>
      <c r="V4" s="12"/>
      <c r="W4" s="12"/>
      <c r="X4" s="12"/>
      <c r="Y4" s="12"/>
      <c r="Z4" s="12"/>
    </row>
    <row r="5" spans="1:26">
      <c r="A5" s="1" t="s">
        <v>244</v>
      </c>
      <c r="B5" s="3" t="str">
        <f>IF($A5="","",IFERROR(VLOOKUP($A5,'02_Конкуренты'!$A$4:$B$11,2,FALSE),"не найдено"))</f>
        <v>Mermaid (библиотека)</v>
      </c>
      <c r="C5" s="1">
        <v>3</v>
      </c>
      <c r="D5" s="1">
        <v>4</v>
      </c>
      <c r="E5" s="1">
        <v>4</v>
      </c>
      <c r="F5" s="1">
        <v>3</v>
      </c>
      <c r="G5" s="1">
        <v>3</v>
      </c>
      <c r="H5" s="1">
        <v>2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5">
        <f t="shared" si="0"/>
        <v>3.5300000000000002</v>
      </c>
      <c r="O5" s="5">
        <f>IF($A5="","",IFERROR(VLOOKUP($A5,'04_Бизнес_модель'!$A$4:$P$203,16,FALSE),0))</f>
        <v>3.7857142857142856</v>
      </c>
      <c r="P5" s="4">
        <f>IF($A5="","",IFERROR(VLOOKUP($A5,'04_Бизнес_модель'!$A$4:$O$203,15,FALSE),0))</f>
        <v>1</v>
      </c>
      <c r="Q5" s="5">
        <f t="shared" si="1"/>
        <v>3.8144285714285715</v>
      </c>
      <c r="R5" s="12"/>
      <c r="S5" s="12"/>
      <c r="T5" s="12"/>
      <c r="U5" s="12"/>
      <c r="V5" s="12"/>
      <c r="W5" s="12"/>
      <c r="X5" s="12"/>
      <c r="Y5" s="12"/>
      <c r="Z5" s="12"/>
    </row>
    <row r="6" spans="1:26">
      <c r="A6" s="1" t="s">
        <v>248</v>
      </c>
      <c r="B6" s="3" t="str">
        <f>IF($A6="","",IFERROR(VLOOKUP($A6,'02_Конкуренты'!$A$4:$B$11,2,FALSE),"не найдено"))</f>
        <v>Mermaid Chart</v>
      </c>
      <c r="C6" s="1">
        <v>4</v>
      </c>
      <c r="D6" s="1">
        <v>4</v>
      </c>
      <c r="E6" s="1">
        <v>4</v>
      </c>
      <c r="F6" s="1">
        <v>4</v>
      </c>
      <c r="G6" s="1">
        <v>4</v>
      </c>
      <c r="H6" s="1">
        <v>4</v>
      </c>
      <c r="I6" s="1">
        <v>3</v>
      </c>
      <c r="J6" s="1">
        <v>4</v>
      </c>
      <c r="K6" s="1">
        <v>3</v>
      </c>
      <c r="L6" s="1">
        <v>4</v>
      </c>
      <c r="M6" s="1">
        <v>3</v>
      </c>
      <c r="N6" s="5">
        <f t="shared" si="0"/>
        <v>3.7300000000000009</v>
      </c>
      <c r="O6" s="5">
        <f>IF($A6="","",IFERROR(VLOOKUP($A6,'04_Бизнес_модель'!$A$4:$P$203,16,FALSE),0))</f>
        <v>3.9523809523809526</v>
      </c>
      <c r="P6" s="4">
        <f>IF($A6="","",IFERROR(VLOOKUP($A6,'04_Бизнес_модель'!$A$4:$O$203,15,FALSE),0))</f>
        <v>1</v>
      </c>
      <c r="Q6" s="5">
        <f t="shared" si="1"/>
        <v>3.9760952380952386</v>
      </c>
      <c r="R6" s="12"/>
      <c r="S6" s="12"/>
      <c r="T6" s="12"/>
      <c r="U6" s="12"/>
      <c r="V6" s="12"/>
      <c r="W6" s="12"/>
      <c r="X6" s="12"/>
      <c r="Y6" s="12"/>
      <c r="Z6" s="12"/>
    </row>
    <row r="7" spans="1:26">
      <c r="A7" s="1" t="s">
        <v>253</v>
      </c>
      <c r="B7" s="3" t="str">
        <f>IF($A7="","",IFERROR(VLOOKUP($A7,'02_Конкуренты'!$A$4:$B$11,2,FALSE),"не найдено"))</f>
        <v>Storm (StormBPMN)</v>
      </c>
      <c r="C7" s="1">
        <v>4</v>
      </c>
      <c r="D7" s="1">
        <v>4</v>
      </c>
      <c r="E7" s="1">
        <v>5</v>
      </c>
      <c r="F7" s="1">
        <v>4</v>
      </c>
      <c r="G7" s="1">
        <v>4</v>
      </c>
      <c r="H7" s="1">
        <v>5</v>
      </c>
      <c r="I7" s="1">
        <v>3</v>
      </c>
      <c r="J7" s="1">
        <v>3</v>
      </c>
      <c r="K7" s="1">
        <v>3</v>
      </c>
      <c r="L7" s="1">
        <v>4</v>
      </c>
      <c r="M7" s="1">
        <v>3</v>
      </c>
      <c r="N7" s="5">
        <f t="shared" si="0"/>
        <v>3.890000000000001</v>
      </c>
      <c r="O7" s="5">
        <f>IF($A7="","",IFERROR(VLOOKUP($A7,'04_Бизнес_модель'!$A$4:$P$203,16,FALSE),0))</f>
        <v>3.8571428571428572</v>
      </c>
      <c r="P7" s="4">
        <f>IF($A7="","",IFERROR(VLOOKUP($A7,'04_Бизнес_модель'!$A$4:$O$203,15,FALSE),0))</f>
        <v>1</v>
      </c>
      <c r="Q7" s="5">
        <f t="shared" si="1"/>
        <v>4.0482857142857149</v>
      </c>
      <c r="R7" s="12"/>
      <c r="S7" s="12"/>
      <c r="T7" s="12"/>
      <c r="U7" s="12"/>
      <c r="V7" s="12"/>
      <c r="W7" s="12"/>
      <c r="X7" s="12"/>
      <c r="Y7" s="12"/>
      <c r="Z7" s="12"/>
    </row>
    <row r="8" spans="1:26">
      <c r="A8" s="1" t="s">
        <v>258</v>
      </c>
      <c r="B8" s="3" t="str">
        <f>IF($A8="","",IFERROR(VLOOKUP($A8,'02_Конкуренты'!$A$4:$B$11,2,FALSE),"не найдено"))</f>
        <v>draw.io (diagrams.net)</v>
      </c>
      <c r="C8" s="1">
        <v>4</v>
      </c>
      <c r="D8" s="1">
        <v>5</v>
      </c>
      <c r="E8" s="1">
        <v>4</v>
      </c>
      <c r="F8" s="1">
        <v>3</v>
      </c>
      <c r="G8" s="1">
        <v>3</v>
      </c>
      <c r="H8" s="1">
        <v>2</v>
      </c>
      <c r="I8" s="1">
        <v>4</v>
      </c>
      <c r="J8" s="1">
        <v>5</v>
      </c>
      <c r="K8" s="1">
        <v>4</v>
      </c>
      <c r="L8" s="1">
        <v>5</v>
      </c>
      <c r="M8" s="1">
        <v>4</v>
      </c>
      <c r="N8" s="5">
        <f t="shared" si="0"/>
        <v>3.8899999999999997</v>
      </c>
      <c r="O8" s="5">
        <f>IF($A8="","",IFERROR(VLOOKUP($A8,'04_Бизнес_модель'!$A$4:$P$203,16,FALSE),0))</f>
        <v>3.625</v>
      </c>
      <c r="P8" s="4">
        <f>IF($A8="","",IFERROR(VLOOKUP($A8,'04_Бизнес_модель'!$A$4:$O$203,15,FALSE),0))</f>
        <v>1</v>
      </c>
      <c r="Q8" s="5">
        <f t="shared" si="1"/>
        <v>3.9902499999999996</v>
      </c>
      <c r="R8" s="12"/>
      <c r="S8" s="12"/>
      <c r="T8" s="12"/>
      <c r="U8" s="12"/>
      <c r="V8" s="12"/>
      <c r="W8" s="12"/>
      <c r="X8" s="12"/>
      <c r="Y8" s="12"/>
      <c r="Z8" s="12"/>
    </row>
    <row r="9" spans="1:26">
      <c r="A9" s="1" t="s">
        <v>263</v>
      </c>
      <c r="B9" s="3" t="str">
        <f>IF($A9="","",IFERROR(VLOOKUP($A9,'02_Конкуренты'!$A$4:$B$11,2,FALSE),"не найдено"))</f>
        <v>Lucidchart</v>
      </c>
      <c r="C9" s="1">
        <v>4</v>
      </c>
      <c r="D9" s="1">
        <v>4</v>
      </c>
      <c r="E9" s="1">
        <v>5</v>
      </c>
      <c r="F9" s="1">
        <v>5</v>
      </c>
      <c r="G9" s="1">
        <v>4</v>
      </c>
      <c r="H9" s="1">
        <v>5</v>
      </c>
      <c r="I9" s="1">
        <v>5</v>
      </c>
      <c r="J9" s="1">
        <v>5</v>
      </c>
      <c r="K9" s="1">
        <v>4</v>
      </c>
      <c r="L9" s="1">
        <v>5</v>
      </c>
      <c r="M9" s="1">
        <v>5</v>
      </c>
      <c r="N9" s="5">
        <f t="shared" si="0"/>
        <v>4.6300000000000008</v>
      </c>
      <c r="O9" s="5">
        <f>IF($A9="","",IFERROR(VLOOKUP($A9,'04_Бизнес_модель'!$A$4:$P$203,16,FALSE),0))</f>
        <v>3.9583333333333335</v>
      </c>
      <c r="P9" s="4">
        <f>IF($A9="","",IFERROR(VLOOKUP($A9,'04_Бизнес_модель'!$A$4:$O$203,15,FALSE),0))</f>
        <v>1</v>
      </c>
      <c r="Q9" s="5">
        <f t="shared" si="1"/>
        <v>4.5175833333333344</v>
      </c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1" t="s">
        <v>268</v>
      </c>
      <c r="B10" s="3" t="str">
        <f>IF($A10="","",IFERROR(VLOOKUP($A10,'02_Конкуренты'!$A$4:$B$11,2,FALSE),"не найдено"))</f>
        <v>Eraser</v>
      </c>
      <c r="C10" s="1">
        <v>4</v>
      </c>
      <c r="D10" s="1">
        <v>4</v>
      </c>
      <c r="E10" s="1">
        <v>4</v>
      </c>
      <c r="F10" s="1">
        <v>4</v>
      </c>
      <c r="G10" s="1">
        <v>4</v>
      </c>
      <c r="H10" s="1">
        <v>5</v>
      </c>
      <c r="I10" s="1">
        <v>3</v>
      </c>
      <c r="J10" s="1">
        <v>4</v>
      </c>
      <c r="K10" s="1">
        <v>3</v>
      </c>
      <c r="L10" s="1">
        <v>3</v>
      </c>
      <c r="M10" s="1">
        <v>3</v>
      </c>
      <c r="N10" s="5">
        <f t="shared" si="0"/>
        <v>3.7600000000000002</v>
      </c>
      <c r="O10" s="5">
        <f>IF($A10="","",IFERROR(VLOOKUP($A10,'04_Бизнес_модель'!$A$4:$P$203,16,FALSE),0))</f>
        <v>4</v>
      </c>
      <c r="P10" s="4">
        <f>IF($A10="","",IFERROR(VLOOKUP($A10,'04_Бизнес_модель'!$A$4:$O$203,15,FALSE),0))</f>
        <v>1</v>
      </c>
      <c r="Q10" s="5">
        <f t="shared" si="1"/>
        <v>4.0060000000000002</v>
      </c>
      <c r="R10" s="12"/>
      <c r="S10" s="12"/>
      <c r="T10" s="12"/>
      <c r="U10" s="12"/>
      <c r="V10" s="12"/>
      <c r="W10" s="12"/>
      <c r="X10" s="12"/>
      <c r="Y10" s="12"/>
      <c r="Z10" s="12"/>
    </row>
    <row r="11" spans="1:26">
      <c r="A11" s="1" t="s">
        <v>273</v>
      </c>
      <c r="B11" s="3" t="str">
        <f>IF($A11="","",IFERROR(VLOOKUP($A11,'02_Конкуренты'!$A$4:$B$11,2,FALSE),"не найдено"))</f>
        <v>Whimsical</v>
      </c>
      <c r="C11" s="1">
        <v>3</v>
      </c>
      <c r="D11" s="1">
        <v>4</v>
      </c>
      <c r="E11" s="1">
        <v>4</v>
      </c>
      <c r="F11" s="1">
        <v>4</v>
      </c>
      <c r="G11" s="1">
        <v>4</v>
      </c>
      <c r="H11" s="1">
        <v>5</v>
      </c>
      <c r="I11" s="1">
        <v>3</v>
      </c>
      <c r="J11" s="1">
        <v>3</v>
      </c>
      <c r="K11" s="1">
        <v>3</v>
      </c>
      <c r="L11" s="1">
        <v>3</v>
      </c>
      <c r="M11" s="1">
        <v>3</v>
      </c>
      <c r="N11" s="5">
        <f t="shared" si="0"/>
        <v>3.6200000000000006</v>
      </c>
      <c r="O11" s="5">
        <f>IF($A11="","",IFERROR(VLOOKUP($A11,'04_Бизнес_модель'!$A$4:$P$203,16,FALSE),0))</f>
        <v>4</v>
      </c>
      <c r="P11" s="4">
        <f>IF($A11="","",IFERROR(VLOOKUP($A11,'04_Бизнес_модель'!$A$4:$O$203,15,FALSE),0))</f>
        <v>1</v>
      </c>
      <c r="Q11" s="5">
        <f t="shared" si="1"/>
        <v>3.9220000000000002</v>
      </c>
      <c r="R11" s="12"/>
      <c r="S11" s="12"/>
      <c r="T11" s="12"/>
      <c r="U11" s="12"/>
      <c r="V11" s="12"/>
      <c r="W11" s="12"/>
      <c r="X11" s="12"/>
      <c r="Y11" s="12"/>
      <c r="Z11" s="12"/>
    </row>
  </sheetData>
  <mergeCells count="2">
    <mergeCell ref="A1:Q1"/>
    <mergeCell ref="A2:Q2"/>
  </mergeCells>
  <conditionalFormatting sqref="N4:Q11">
    <cfRule type="colorScale" priority="6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type="list" sqref="C4:M11" xr:uid="{00000000-0002-0000-0900-000000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2"/>
  <sheetViews>
    <sheetView workbookViewId="0"/>
  </sheetViews>
  <sheetFormatPr defaultRowHeight="14.25"/>
  <cols>
    <col min="1" max="1" width="55.625" customWidth="1"/>
    <col min="2" max="2" width="26" customWidth="1"/>
    <col min="3" max="3" width="52.625" customWidth="1"/>
    <col min="4" max="4" width="32.625" customWidth="1"/>
    <col min="5" max="5" width="18" customWidth="1"/>
    <col min="6" max="6" width="24.625" customWidth="1"/>
    <col min="7" max="8" width="55.625" customWidth="1"/>
    <col min="9" max="26" width="9.625" customWidth="1"/>
  </cols>
  <sheetData>
    <row r="1" spans="1:26" ht="15" customHeight="1">
      <c r="A1" s="20" t="s">
        <v>199</v>
      </c>
      <c r="B1" s="20"/>
      <c r="C1" s="20"/>
      <c r="D1" s="20"/>
      <c r="E1" s="20"/>
      <c r="F1" s="20"/>
      <c r="G1" s="20"/>
      <c r="H1" s="20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2" t="s">
        <v>939</v>
      </c>
      <c r="B2" s="22"/>
      <c r="C2" s="22"/>
      <c r="D2" s="22"/>
      <c r="E2" s="22"/>
      <c r="F2" s="22"/>
      <c r="G2" s="22"/>
      <c r="H2" s="2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">
      <c r="A3" s="13" t="s">
        <v>200</v>
      </c>
      <c r="B3" s="13" t="s">
        <v>201</v>
      </c>
      <c r="C3" s="13" t="s">
        <v>202</v>
      </c>
      <c r="D3" s="13" t="s">
        <v>203</v>
      </c>
      <c r="E3" s="13" t="s">
        <v>204</v>
      </c>
      <c r="F3" s="13" t="s">
        <v>205</v>
      </c>
      <c r="G3" s="13" t="s">
        <v>206</v>
      </c>
      <c r="H3" s="13" t="s">
        <v>207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28.5">
      <c r="A4" s="1" t="s">
        <v>786</v>
      </c>
      <c r="B4" s="1" t="s">
        <v>52</v>
      </c>
      <c r="C4" s="1" t="s">
        <v>787</v>
      </c>
      <c r="D4" s="1">
        <v>8</v>
      </c>
      <c r="E4" s="4">
        <f>IF($D4="","",IFERROR($D4/'12_Сводка'!$B$5,0))</f>
        <v>1</v>
      </c>
      <c r="F4" s="3" t="str">
        <f t="shared" ref="F4:F22" si="0">IF($A4="","",IF($E4&gt;=0.7,"рыночный стандарт",IF($E4&gt;=0.4,"формирующийся стандарт",IF($E4&gt;=0.2,"зона дифференциации","слабый сигнал"))))</f>
        <v>рыночный стандарт</v>
      </c>
      <c r="G4" s="3" t="str">
        <f t="shared" ref="G4:G22" si="1">IF($A4="","",IF($F4="рыночный стандарт","необходимо включить в минимально приемлемое предложение",IF($F4="формирующийся стандарт","проверить значимость для клиента и вероятность закрепления",IF($F4="зона дифференциации","может использоваться как поле позиционирования","не использовать без дополнительной проверки"))))</f>
        <v>необходимо включить в минимально приемлемое предложение</v>
      </c>
      <c r="H4" s="1" t="s">
        <v>788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28.5">
      <c r="A5" s="1" t="s">
        <v>789</v>
      </c>
      <c r="B5" s="1" t="s">
        <v>52</v>
      </c>
      <c r="C5" s="1" t="s">
        <v>790</v>
      </c>
      <c r="D5" s="1">
        <v>5</v>
      </c>
      <c r="E5" s="4">
        <f>IF($D5="","",IFERROR($D5/'12_Сводка'!$B$5,0))</f>
        <v>0.625</v>
      </c>
      <c r="F5" s="3" t="str">
        <f t="shared" si="0"/>
        <v>формирующийся стандарт</v>
      </c>
      <c r="G5" s="3" t="str">
        <f t="shared" si="1"/>
        <v>проверить значимость для клиента и вероятность закрепления</v>
      </c>
      <c r="H5" s="1" t="s">
        <v>791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28.5">
      <c r="A6" s="1" t="s">
        <v>792</v>
      </c>
      <c r="B6" s="1" t="s">
        <v>52</v>
      </c>
      <c r="C6" s="1" t="s">
        <v>793</v>
      </c>
      <c r="D6" s="1">
        <v>5</v>
      </c>
      <c r="E6" s="4">
        <f>IF($D6="","",IFERROR($D6/'12_Сводка'!$B$5,0))</f>
        <v>0.625</v>
      </c>
      <c r="F6" s="3" t="str">
        <f t="shared" si="0"/>
        <v>формирующийся стандарт</v>
      </c>
      <c r="G6" s="3" t="str">
        <f t="shared" si="1"/>
        <v>проверить значимость для клиента и вероятность закрепления</v>
      </c>
      <c r="H6" s="1" t="s">
        <v>794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28.5">
      <c r="A7" s="1" t="s">
        <v>373</v>
      </c>
      <c r="B7" s="1" t="s">
        <v>52</v>
      </c>
      <c r="C7" s="1" t="s">
        <v>795</v>
      </c>
      <c r="D7" s="1">
        <v>4</v>
      </c>
      <c r="E7" s="4">
        <f>IF($D7="","",IFERROR($D7/'12_Сводка'!$B$5,0))</f>
        <v>0.5</v>
      </c>
      <c r="F7" s="3" t="str">
        <f t="shared" si="0"/>
        <v>формирующийся стандарт</v>
      </c>
      <c r="G7" s="3" t="str">
        <f t="shared" si="1"/>
        <v>проверить значимость для клиента и вероятность закрепления</v>
      </c>
      <c r="H7" s="1" t="s">
        <v>375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28.5">
      <c r="A8" s="1" t="s">
        <v>377</v>
      </c>
      <c r="B8" s="1" t="s">
        <v>52</v>
      </c>
      <c r="C8" s="1" t="s">
        <v>796</v>
      </c>
      <c r="D8" s="1">
        <v>4</v>
      </c>
      <c r="E8" s="4">
        <f>IF($D8="","",IFERROR($D8/'12_Сводка'!$B$5,0))</f>
        <v>0.5</v>
      </c>
      <c r="F8" s="3" t="str">
        <f t="shared" si="0"/>
        <v>формирующийся стандарт</v>
      </c>
      <c r="G8" s="3" t="str">
        <f t="shared" si="1"/>
        <v>проверить значимость для клиента и вероятность закрепления</v>
      </c>
      <c r="H8" s="1" t="s">
        <v>379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>
      <c r="A9" s="1" t="s">
        <v>497</v>
      </c>
      <c r="B9" s="1" t="s">
        <v>52</v>
      </c>
      <c r="C9" s="1" t="s">
        <v>797</v>
      </c>
      <c r="D9" s="1">
        <v>1</v>
      </c>
      <c r="E9" s="4">
        <f>IF($D9="","",IFERROR($D9/'12_Сводка'!$B$5,0))</f>
        <v>0.125</v>
      </c>
      <c r="F9" s="3" t="str">
        <f t="shared" si="0"/>
        <v>слабый сигнал</v>
      </c>
      <c r="G9" s="3" t="str">
        <f t="shared" si="1"/>
        <v>не использовать без дополнительной проверки</v>
      </c>
      <c r="H9" s="1" t="s">
        <v>499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28.5">
      <c r="A10" s="1" t="s">
        <v>381</v>
      </c>
      <c r="B10" s="1" t="s">
        <v>46</v>
      </c>
      <c r="C10" s="1" t="s">
        <v>798</v>
      </c>
      <c r="D10" s="1">
        <v>4</v>
      </c>
      <c r="E10" s="4">
        <f>IF($D10="","",IFERROR($D10/'12_Сводка'!$B$5,0))</f>
        <v>0.5</v>
      </c>
      <c r="F10" s="3" t="str">
        <f t="shared" si="0"/>
        <v>формирующийся стандарт</v>
      </c>
      <c r="G10" s="3" t="str">
        <f t="shared" si="1"/>
        <v>проверить значимость для клиента и вероятность закрепления</v>
      </c>
      <c r="H10" s="1" t="s">
        <v>799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28.5">
      <c r="A11" s="1" t="s">
        <v>308</v>
      </c>
      <c r="B11" s="1" t="s">
        <v>64</v>
      </c>
      <c r="C11" s="1" t="s">
        <v>800</v>
      </c>
      <c r="D11" s="1">
        <v>8</v>
      </c>
      <c r="E11" s="4">
        <f>IF($D11="","",IFERROR($D11/'12_Сводка'!$B$5,0))</f>
        <v>1</v>
      </c>
      <c r="F11" s="3" t="str">
        <f t="shared" si="0"/>
        <v>рыночный стандарт</v>
      </c>
      <c r="G11" s="3" t="str">
        <f t="shared" si="1"/>
        <v>необходимо включить в минимально приемлемое предложение</v>
      </c>
      <c r="H11" s="1" t="s">
        <v>310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28.5">
      <c r="A12" s="1" t="s">
        <v>353</v>
      </c>
      <c r="B12" s="1" t="s">
        <v>31</v>
      </c>
      <c r="C12" s="1" t="s">
        <v>801</v>
      </c>
      <c r="D12" s="1">
        <v>5</v>
      </c>
      <c r="E12" s="4">
        <f>IF($D12="","",IFERROR($D12/'12_Сводка'!$B$5,0))</f>
        <v>0.625</v>
      </c>
      <c r="F12" s="3" t="str">
        <f t="shared" si="0"/>
        <v>формирующийся стандарт</v>
      </c>
      <c r="G12" s="3" t="str">
        <f t="shared" si="1"/>
        <v>проверить значимость для клиента и вероятность закрепления</v>
      </c>
      <c r="H12" s="1" t="s">
        <v>802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28.5">
      <c r="A13" s="1" t="s">
        <v>385</v>
      </c>
      <c r="B13" s="1" t="s">
        <v>31</v>
      </c>
      <c r="C13" s="1" t="s">
        <v>803</v>
      </c>
      <c r="D13" s="1">
        <v>5</v>
      </c>
      <c r="E13" s="4">
        <f>IF($D13="","",IFERROR($D13/'12_Сводка'!$B$5,0))</f>
        <v>0.625</v>
      </c>
      <c r="F13" s="3" t="str">
        <f t="shared" si="0"/>
        <v>формирующийся стандарт</v>
      </c>
      <c r="G13" s="3" t="str">
        <f t="shared" si="1"/>
        <v>проверить значимость для клиента и вероятность закрепления</v>
      </c>
      <c r="H13" s="1" t="s">
        <v>387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28.5">
      <c r="A14" s="1" t="s">
        <v>399</v>
      </c>
      <c r="B14" s="1" t="s">
        <v>52</v>
      </c>
      <c r="C14" s="1" t="s">
        <v>804</v>
      </c>
      <c r="D14" s="1">
        <v>5</v>
      </c>
      <c r="E14" s="4">
        <f>IF($D14="","",IFERROR($D14/'12_Сводка'!$B$5,0))</f>
        <v>0.625</v>
      </c>
      <c r="F14" s="3" t="str">
        <f t="shared" si="0"/>
        <v>формирующийся стандарт</v>
      </c>
      <c r="G14" s="3" t="str">
        <f t="shared" si="1"/>
        <v>проверить значимость для клиента и вероятность закрепления</v>
      </c>
      <c r="H14" s="1" t="s">
        <v>401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1" t="s">
        <v>312</v>
      </c>
      <c r="B15" s="1" t="s">
        <v>56</v>
      </c>
      <c r="C15" s="1" t="s">
        <v>805</v>
      </c>
      <c r="D15" s="1">
        <v>3</v>
      </c>
      <c r="E15" s="4">
        <f>IF($D15="","",IFERROR($D15/'12_Сводка'!$B$5,0))</f>
        <v>0.375</v>
      </c>
      <c r="F15" s="3" t="str">
        <f t="shared" si="0"/>
        <v>зона дифференциации</v>
      </c>
      <c r="G15" s="3" t="str">
        <f t="shared" si="1"/>
        <v>может использоваться как поле позиционирования</v>
      </c>
      <c r="H15" s="1" t="s">
        <v>314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28.5">
      <c r="A16" s="1" t="s">
        <v>806</v>
      </c>
      <c r="B16" s="1" t="s">
        <v>46</v>
      </c>
      <c r="C16" s="1" t="s">
        <v>807</v>
      </c>
      <c r="D16" s="1">
        <v>7</v>
      </c>
      <c r="E16" s="4">
        <f>IF($D16="","",IFERROR($D16/'12_Сводка'!$B$5,0))</f>
        <v>0.875</v>
      </c>
      <c r="F16" s="3" t="str">
        <f t="shared" si="0"/>
        <v>рыночный стандарт</v>
      </c>
      <c r="G16" s="3" t="str">
        <f t="shared" si="1"/>
        <v>необходимо включить в минимально приемлемое предложение</v>
      </c>
      <c r="H16" s="1" t="s">
        <v>808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42.75">
      <c r="A17" s="1" t="s">
        <v>391</v>
      </c>
      <c r="B17" s="1" t="s">
        <v>46</v>
      </c>
      <c r="C17" s="1" t="s">
        <v>809</v>
      </c>
      <c r="D17" s="1">
        <v>4</v>
      </c>
      <c r="E17" s="4">
        <f>IF($D17="","",IFERROR($D17/'12_Сводка'!$B$5,0))</f>
        <v>0.5</v>
      </c>
      <c r="F17" s="3" t="str">
        <f t="shared" si="0"/>
        <v>формирующийся стандарт</v>
      </c>
      <c r="G17" s="3" t="str">
        <f t="shared" si="1"/>
        <v>проверить значимость для клиента и вероятность закрепления</v>
      </c>
      <c r="H17" s="1" t="s">
        <v>810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28.5">
      <c r="A18" s="1" t="s">
        <v>395</v>
      </c>
      <c r="B18" s="1" t="s">
        <v>22</v>
      </c>
      <c r="C18" s="1" t="s">
        <v>811</v>
      </c>
      <c r="D18" s="1">
        <v>6</v>
      </c>
      <c r="E18" s="4">
        <f>IF($D18="","",IFERROR($D18/'12_Сводка'!$B$5,0))</f>
        <v>0.75</v>
      </c>
      <c r="F18" s="3" t="str">
        <f t="shared" si="0"/>
        <v>рыночный стандарт</v>
      </c>
      <c r="G18" s="3" t="str">
        <f t="shared" si="1"/>
        <v>необходимо включить в минимально приемлемое предложение</v>
      </c>
      <c r="H18" s="1" t="s">
        <v>812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42.75">
      <c r="A19" s="1" t="s">
        <v>320</v>
      </c>
      <c r="B19" s="1" t="s">
        <v>46</v>
      </c>
      <c r="C19" s="1" t="s">
        <v>813</v>
      </c>
      <c r="D19" s="1">
        <v>6</v>
      </c>
      <c r="E19" s="4">
        <f>IF($D19="","",IFERROR($D19/'12_Сводка'!$B$5,0))</f>
        <v>0.75</v>
      </c>
      <c r="F19" s="3" t="str">
        <f t="shared" si="0"/>
        <v>рыночный стандарт</v>
      </c>
      <c r="G19" s="3" t="str">
        <f t="shared" si="1"/>
        <v>необходимо включить в минимально приемлемое предложение</v>
      </c>
      <c r="H19" s="1" t="s">
        <v>814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42.75">
      <c r="A20" s="1" t="s">
        <v>331</v>
      </c>
      <c r="B20" s="1" t="s">
        <v>67</v>
      </c>
      <c r="C20" s="1" t="s">
        <v>815</v>
      </c>
      <c r="D20" s="1">
        <v>4</v>
      </c>
      <c r="E20" s="4">
        <f>IF($D20="","",IFERROR($D20/'12_Сводка'!$B$5,0))</f>
        <v>0.5</v>
      </c>
      <c r="F20" s="3" t="str">
        <f t="shared" si="0"/>
        <v>формирующийся стандарт</v>
      </c>
      <c r="G20" s="3" t="str">
        <f t="shared" si="1"/>
        <v>проверить значимость для клиента и вероятность закрепления</v>
      </c>
      <c r="H20" s="1" t="s">
        <v>816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28.5">
      <c r="A21" s="1" t="s">
        <v>403</v>
      </c>
      <c r="B21" s="1" t="s">
        <v>39</v>
      </c>
      <c r="C21" s="1" t="s">
        <v>817</v>
      </c>
      <c r="D21" s="1">
        <v>5</v>
      </c>
      <c r="E21" s="4">
        <f>IF($D21="","",IFERROR($D21/'12_Сводка'!$B$5,0))</f>
        <v>0.625</v>
      </c>
      <c r="F21" s="3" t="str">
        <f t="shared" si="0"/>
        <v>формирующийся стандарт</v>
      </c>
      <c r="G21" s="3" t="str">
        <f t="shared" si="1"/>
        <v>проверить значимость для клиента и вероятность закрепления</v>
      </c>
      <c r="H21" s="1" t="s">
        <v>405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>
      <c r="A22" s="1" t="s">
        <v>456</v>
      </c>
      <c r="B22" s="1" t="s">
        <v>13</v>
      </c>
      <c r="C22" s="1" t="s">
        <v>818</v>
      </c>
      <c r="D22" s="1">
        <v>1</v>
      </c>
      <c r="E22" s="4">
        <f>IF($D22="","",IFERROR($D22/'12_Сводка'!$B$5,0))</f>
        <v>0.125</v>
      </c>
      <c r="F22" s="3" t="str">
        <f t="shared" si="0"/>
        <v>слабый сигнал</v>
      </c>
      <c r="G22" s="3" t="str">
        <f t="shared" si="1"/>
        <v>не использовать без дополнительной проверки</v>
      </c>
      <c r="H22" s="1" t="s">
        <v>458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</sheetData>
  <mergeCells count="2">
    <mergeCell ref="A1:H1"/>
    <mergeCell ref="A2:H2"/>
  </mergeCells>
  <conditionalFormatting sqref="E4:E22">
    <cfRule type="colorScale" priority="7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type="list" sqref="B4:B22" xr:uid="{00000000-0002-0000-0A00-000000000000}">
      <formula1>"целевые сегменты,ценностное предложение,цифровой товар,каналы,отношения с клиентами,потоки доходов,ключевые ресурсы,ключевые виды деятельности,ключевые партнеры,структура затрат,данные и сетевые эффекты,масштабирование"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1"/>
  <sheetViews>
    <sheetView workbookViewId="0"/>
  </sheetViews>
  <sheetFormatPr defaultRowHeight="14.25"/>
  <cols>
    <col min="1" max="1" width="55.625" customWidth="1"/>
    <col min="2" max="2" width="24.625" customWidth="1"/>
    <col min="3" max="3" width="55.625" customWidth="1"/>
    <col min="4" max="4" width="24" customWidth="1"/>
    <col min="5" max="5" width="30.625" customWidth="1"/>
    <col min="6" max="6" width="36" customWidth="1"/>
    <col min="7" max="7" width="14" customWidth="1"/>
    <col min="8" max="8" width="27.625" customWidth="1"/>
    <col min="9" max="9" width="29.625" customWidth="1"/>
    <col min="10" max="10" width="20.625" customWidth="1"/>
    <col min="11" max="11" width="16" customWidth="1"/>
    <col min="12" max="12" width="32" customWidth="1"/>
    <col min="13" max="13" width="55.625" customWidth="1"/>
    <col min="14" max="26" width="9.625" customWidth="1"/>
  </cols>
  <sheetData>
    <row r="1" spans="1:26" ht="15" customHeight="1">
      <c r="A1" s="20" t="s">
        <v>208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2" t="s">
        <v>940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30">
      <c r="A3" s="13" t="s">
        <v>111</v>
      </c>
      <c r="B3" s="13" t="s">
        <v>112</v>
      </c>
      <c r="C3" s="13" t="s">
        <v>209</v>
      </c>
      <c r="D3" s="13" t="s">
        <v>9</v>
      </c>
      <c r="E3" s="13" t="s">
        <v>210</v>
      </c>
      <c r="F3" s="13" t="s">
        <v>146</v>
      </c>
      <c r="G3" s="13" t="s">
        <v>211</v>
      </c>
      <c r="H3" s="13" t="s">
        <v>181</v>
      </c>
      <c r="I3" s="13" t="s">
        <v>212</v>
      </c>
      <c r="J3" s="13" t="s">
        <v>117</v>
      </c>
      <c r="K3" s="13" t="s">
        <v>213</v>
      </c>
      <c r="L3" s="13" t="s">
        <v>77</v>
      </c>
      <c r="M3" s="13" t="s">
        <v>214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28.5">
      <c r="A4" s="1" t="s">
        <v>268</v>
      </c>
      <c r="B4" s="3" t="str">
        <f>IF($A4="","",IFERROR(VLOOKUP($A4,'02_Конкуренты'!$A$4:$B$11,2,FALSE),"не найдено"))</f>
        <v>Eraser</v>
      </c>
      <c r="C4" s="1" t="s">
        <v>819</v>
      </c>
      <c r="D4" s="1" t="s">
        <v>18</v>
      </c>
      <c r="E4" s="1" t="s">
        <v>31</v>
      </c>
      <c r="F4" s="1" t="s">
        <v>820</v>
      </c>
      <c r="G4" s="1">
        <v>4</v>
      </c>
      <c r="H4" s="1">
        <v>3</v>
      </c>
      <c r="I4" s="1">
        <v>4</v>
      </c>
      <c r="J4" s="1">
        <v>5</v>
      </c>
      <c r="K4" s="5">
        <f t="shared" ref="K4:K11" si="0">IF($A4="","",$G4*0.3+$H4*0.25+$I4*0.25+$J4*0.2)</f>
        <v>3.95</v>
      </c>
      <c r="L4" s="3" t="str">
        <f t="shared" ref="L4:L11" si="1">IF($A4="","",IF($K4&gt;=4,"сильное преимущество",IF($K4&gt;=3,"умеренное преимущество",IF($K4&gt;=2,"слабое преимущество","недостаточно подтверждений"))))</f>
        <v>умеренное преимущество</v>
      </c>
      <c r="M4" s="1" t="s">
        <v>886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28.5">
      <c r="A5" s="1" t="s">
        <v>253</v>
      </c>
      <c r="B5" s="3" t="str">
        <f>IF($A5="","",IFERROR(VLOOKUP($A5,'02_Конкуренты'!$A$4:$B$11,2,FALSE),"не найдено"))</f>
        <v>Storm (StormBPMN)</v>
      </c>
      <c r="C5" s="1" t="s">
        <v>821</v>
      </c>
      <c r="D5" s="1" t="s">
        <v>27</v>
      </c>
      <c r="E5" s="1" t="s">
        <v>52</v>
      </c>
      <c r="F5" s="1" t="s">
        <v>822</v>
      </c>
      <c r="G5" s="1">
        <v>4</v>
      </c>
      <c r="H5" s="1">
        <v>4</v>
      </c>
      <c r="I5" s="1">
        <v>4</v>
      </c>
      <c r="J5" s="1">
        <v>5</v>
      </c>
      <c r="K5" s="5">
        <f t="shared" si="0"/>
        <v>4.2</v>
      </c>
      <c r="L5" s="3" t="str">
        <f t="shared" si="1"/>
        <v>сильное преимущество</v>
      </c>
      <c r="M5" s="1" t="s">
        <v>887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28.5">
      <c r="A6" s="1" t="s">
        <v>263</v>
      </c>
      <c r="B6" s="3" t="str">
        <f>IF($A6="","",IFERROR(VLOOKUP($A6,'02_Конкуренты'!$A$4:$B$11,2,FALSE),"не найдено"))</f>
        <v>Lucidchart</v>
      </c>
      <c r="C6" s="1" t="s">
        <v>823</v>
      </c>
      <c r="D6" s="1" t="s">
        <v>18</v>
      </c>
      <c r="E6" s="1" t="s">
        <v>52</v>
      </c>
      <c r="F6" s="1" t="s">
        <v>824</v>
      </c>
      <c r="G6" s="1">
        <v>5</v>
      </c>
      <c r="H6" s="1">
        <v>5</v>
      </c>
      <c r="I6" s="1">
        <v>5</v>
      </c>
      <c r="J6" s="1">
        <v>5</v>
      </c>
      <c r="K6" s="5">
        <f t="shared" si="0"/>
        <v>5</v>
      </c>
      <c r="L6" s="3" t="str">
        <f t="shared" si="1"/>
        <v>сильное преимущество</v>
      </c>
      <c r="M6" s="1" t="s">
        <v>888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28.5">
      <c r="A7" s="1" t="s">
        <v>258</v>
      </c>
      <c r="B7" s="3" t="str">
        <f>IF($A7="","",IFERROR(VLOOKUP($A7,'02_Конкуренты'!$A$4:$B$11,2,FALSE),"не найдено"))</f>
        <v>draw.io (diagrams.net)</v>
      </c>
      <c r="C7" s="1" t="s">
        <v>825</v>
      </c>
      <c r="D7" s="1" t="s">
        <v>59</v>
      </c>
      <c r="E7" s="1" t="s">
        <v>22</v>
      </c>
      <c r="F7" s="1" t="s">
        <v>826</v>
      </c>
      <c r="G7" s="1">
        <v>4</v>
      </c>
      <c r="H7" s="1">
        <v>4</v>
      </c>
      <c r="I7" s="1">
        <v>4</v>
      </c>
      <c r="J7" s="1">
        <v>4</v>
      </c>
      <c r="K7" s="5">
        <f t="shared" si="0"/>
        <v>4</v>
      </c>
      <c r="L7" s="3" t="str">
        <f t="shared" si="1"/>
        <v>сильное преимущество</v>
      </c>
      <c r="M7" s="1" t="s">
        <v>889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28.5">
      <c r="A8" s="1" t="s">
        <v>244</v>
      </c>
      <c r="B8" s="3" t="str">
        <f>IF($A8="","",IFERROR(VLOOKUP($A8,'02_Конкуренты'!$A$4:$B$11,2,FALSE),"не найдено"))</f>
        <v>Mermaid (библиотека)</v>
      </c>
      <c r="C8" s="1" t="s">
        <v>827</v>
      </c>
      <c r="D8" s="1" t="s">
        <v>55</v>
      </c>
      <c r="E8" s="1" t="s">
        <v>64</v>
      </c>
      <c r="F8" s="1" t="s">
        <v>828</v>
      </c>
      <c r="G8" s="1">
        <v>5</v>
      </c>
      <c r="H8" s="1">
        <v>4</v>
      </c>
      <c r="I8" s="1">
        <v>3</v>
      </c>
      <c r="J8" s="1">
        <v>5</v>
      </c>
      <c r="K8" s="5">
        <f t="shared" si="0"/>
        <v>4.25</v>
      </c>
      <c r="L8" s="3" t="str">
        <f t="shared" si="1"/>
        <v>сильное преимущество</v>
      </c>
      <c r="M8" s="1" t="s">
        <v>890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28.5">
      <c r="A9" s="1" t="s">
        <v>248</v>
      </c>
      <c r="B9" s="3" t="str">
        <f>IF($A9="","",IFERROR(VLOOKUP($A9,'02_Конкуренты'!$A$4:$B$11,2,FALSE),"не найдено"))</f>
        <v>Mermaid Chart</v>
      </c>
      <c r="C9" s="1" t="s">
        <v>829</v>
      </c>
      <c r="D9" s="1" t="s">
        <v>27</v>
      </c>
      <c r="E9" s="1" t="s">
        <v>52</v>
      </c>
      <c r="F9" s="1" t="s">
        <v>830</v>
      </c>
      <c r="G9" s="1">
        <v>4</v>
      </c>
      <c r="H9" s="1">
        <v>3</v>
      </c>
      <c r="I9" s="1">
        <v>4</v>
      </c>
      <c r="J9" s="1">
        <v>5</v>
      </c>
      <c r="K9" s="5">
        <f t="shared" si="0"/>
        <v>3.95</v>
      </c>
      <c r="L9" s="3" t="str">
        <f t="shared" si="1"/>
        <v>умеренное преимущество</v>
      </c>
      <c r="M9" s="1" t="s">
        <v>891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28.5">
      <c r="A10" s="1" t="s">
        <v>273</v>
      </c>
      <c r="B10" s="3" t="str">
        <f>IF($A10="","",IFERROR(VLOOKUP($A10,'02_Конкуренты'!$A$4:$B$11,2,FALSE),"не найдено"))</f>
        <v>Whimsical</v>
      </c>
      <c r="C10" s="1" t="s">
        <v>831</v>
      </c>
      <c r="D10" s="1" t="s">
        <v>27</v>
      </c>
      <c r="E10" s="1" t="s">
        <v>46</v>
      </c>
      <c r="F10" s="1" t="s">
        <v>832</v>
      </c>
      <c r="G10" s="1">
        <v>3</v>
      </c>
      <c r="H10" s="1">
        <v>3</v>
      </c>
      <c r="I10" s="1">
        <v>3</v>
      </c>
      <c r="J10" s="1">
        <v>5</v>
      </c>
      <c r="K10" s="5">
        <f t="shared" si="0"/>
        <v>3.4</v>
      </c>
      <c r="L10" s="3" t="str">
        <f t="shared" si="1"/>
        <v>умеренное преимущество</v>
      </c>
      <c r="M10" s="1" t="s">
        <v>892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28.5">
      <c r="A11" s="1" t="s">
        <v>237</v>
      </c>
      <c r="B11" s="3" t="str">
        <f>IF($A11="","",IFERROR(VLOOKUP($A11,'02_Конкуренты'!$A$4:$B$11,2,FALSE),"не найдено"))</f>
        <v>PlantUML</v>
      </c>
      <c r="C11" s="1" t="s">
        <v>833</v>
      </c>
      <c r="D11" s="1" t="s">
        <v>44</v>
      </c>
      <c r="E11" s="1" t="s">
        <v>56</v>
      </c>
      <c r="F11" s="1" t="s">
        <v>834</v>
      </c>
      <c r="G11" s="1">
        <v>4</v>
      </c>
      <c r="H11" s="1">
        <v>2</v>
      </c>
      <c r="I11" s="1">
        <v>4</v>
      </c>
      <c r="J11" s="1">
        <v>4</v>
      </c>
      <c r="K11" s="5">
        <f t="shared" si="0"/>
        <v>3.5</v>
      </c>
      <c r="L11" s="3" t="str">
        <f t="shared" si="1"/>
        <v>умеренное преимущество</v>
      </c>
      <c r="M11" s="1" t="s">
        <v>893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</sheetData>
  <mergeCells count="2">
    <mergeCell ref="A1:M1"/>
    <mergeCell ref="A2:M2"/>
  </mergeCells>
  <conditionalFormatting sqref="K4:K11">
    <cfRule type="colorScale" priority="8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3">
    <dataValidation type="list" sqref="D4:D11" xr:uid="{00000000-0002-0000-0B00-000000000000}">
      <formula1>"товарное,ценовое,канальное,технологическое,данные,партнерское,брендовое,сервисное,операционное"</formula1>
    </dataValidation>
    <dataValidation type="list" sqref="E4:E11" xr:uid="{00000000-0002-0000-0B00-000001000000}">
      <formula1>"целевые сегменты,ценностное предложение,цифровой товар,каналы,отношения с клиентами,потоки доходов,ключевые ресурсы,ключевые виды деятельности,ключевые партнеры,структура затрат,данные и сетевые эффекты,масштабирование"</formula1>
    </dataValidation>
    <dataValidation type="list" sqref="G4:J11" xr:uid="{00000000-0002-0000-0B00-000002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27"/>
  <sheetViews>
    <sheetView workbookViewId="0">
      <selection sqref="A1:J1"/>
    </sheetView>
  </sheetViews>
  <sheetFormatPr defaultRowHeight="14.25"/>
  <cols>
    <col min="1" max="1" width="34" customWidth="1"/>
    <col min="2" max="2" width="86" customWidth="1"/>
    <col min="3" max="3" width="52" customWidth="1"/>
    <col min="5" max="5" width="10" customWidth="1"/>
    <col min="6" max="6" width="32" customWidth="1"/>
    <col min="7" max="7" width="16" customWidth="1"/>
  </cols>
  <sheetData>
    <row r="1" spans="1:26" ht="15" customHeight="1">
      <c r="A1" s="20" t="s">
        <v>215</v>
      </c>
      <c r="B1" s="20"/>
      <c r="C1" s="20"/>
      <c r="D1" s="20"/>
      <c r="E1" s="20"/>
      <c r="F1" s="20"/>
      <c r="G1" s="20"/>
      <c r="H1" s="20"/>
      <c r="I1" s="20"/>
      <c r="J1" s="20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9.149999999999999" customHeight="1">
      <c r="A2" s="22" t="s">
        <v>941</v>
      </c>
      <c r="B2" s="22"/>
      <c r="C2" s="22"/>
      <c r="D2" s="22"/>
      <c r="E2" s="22"/>
      <c r="F2" s="22"/>
      <c r="G2" s="22"/>
      <c r="H2" s="22"/>
      <c r="I2" s="22"/>
      <c r="J2" s="2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45">
      <c r="A4" s="13" t="s">
        <v>216</v>
      </c>
      <c r="B4" s="13" t="s">
        <v>217</v>
      </c>
      <c r="C4" s="13" t="s">
        <v>77</v>
      </c>
      <c r="D4" s="12"/>
      <c r="E4" s="13" t="s">
        <v>218</v>
      </c>
      <c r="F4" s="13"/>
      <c r="G4" s="13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31.5">
      <c r="A5" s="14" t="s">
        <v>219</v>
      </c>
      <c r="B5" s="14">
        <f>COUNTA('02_Конкуренты'!$A$4:$A$11)</f>
        <v>8</v>
      </c>
      <c r="C5" s="14" t="s">
        <v>942</v>
      </c>
      <c r="D5" s="12"/>
      <c r="E5" s="6" t="s">
        <v>220</v>
      </c>
      <c r="F5" s="6" t="s">
        <v>221</v>
      </c>
      <c r="G5" s="6" t="s">
        <v>213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31.5">
      <c r="A6" s="14" t="s">
        <v>222</v>
      </c>
      <c r="B6" s="14">
        <f>COUNTIF('02_Конкуренты'!$H$4:$H$11,"завершен")</f>
        <v>8</v>
      </c>
      <c r="C6" s="14" t="s">
        <v>943</v>
      </c>
      <c r="D6" s="12"/>
      <c r="E6" s="1">
        <f>1</f>
        <v>1</v>
      </c>
      <c r="F6" s="1" t="str">
        <f>IFERROR(INDEX('09_Матрица'!$B$4:$B$11,MATCH(LARGE('09_Матрица'!$Q$4:$Q$11,ROW(A1)),'09_Матрица'!$Q$4:$Q$11,0)),"")</f>
        <v>Lucidchart</v>
      </c>
      <c r="G6" s="7">
        <f>IFERROR(LARGE('09_Матрица'!$Q$4:$Q$11,ROW(A1)),"")</f>
        <v>4.5175833333333344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.75">
      <c r="A7" s="14" t="s">
        <v>223</v>
      </c>
      <c r="B7" s="15">
        <f>IFERROR($B$6/$B$5,0)</f>
        <v>1</v>
      </c>
      <c r="C7" s="14" t="s">
        <v>944</v>
      </c>
      <c r="D7" s="12"/>
      <c r="E7" s="1">
        <f>2</f>
        <v>2</v>
      </c>
      <c r="F7" s="1" t="str">
        <f>IFERROR(INDEX('09_Матрица'!$B$4:$B$11,MATCH(LARGE('09_Матрица'!$Q$4:$Q$11,ROW(A2)),'09_Матрица'!$Q$4:$Q$11,0)),"")</f>
        <v>Storm (StormBPMN)</v>
      </c>
      <c r="G7" s="7">
        <f>IFERROR(LARGE('09_Матрица'!$Q$4:$Q$11,ROW(A2)),"")</f>
        <v>4.0482857142857149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31.5">
      <c r="A8" s="14" t="s">
        <v>224</v>
      </c>
      <c r="B8" s="15">
        <f>IFERROR(AVERAGE('04_Бизнес_модель'!$O$4:$O$203),0)</f>
        <v>1</v>
      </c>
      <c r="C8" s="14" t="s">
        <v>945</v>
      </c>
      <c r="D8" s="12"/>
      <c r="E8" s="1">
        <f>3</f>
        <v>3</v>
      </c>
      <c r="F8" s="1" t="str">
        <f>IFERROR(INDEX('09_Матрица'!$B$4:$B$11,MATCH(LARGE('09_Матрица'!$Q$4:$Q$11,ROW(A3)),'09_Матрица'!$Q$4:$Q$11,0)),"")</f>
        <v>Eraser</v>
      </c>
      <c r="G8" s="7">
        <f>IFERROR(LARGE('09_Матрица'!$Q$4:$Q$11,ROW(A3)),"")</f>
        <v>4.0060000000000002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31.5">
      <c r="A9" s="14" t="s">
        <v>225</v>
      </c>
      <c r="B9" s="16">
        <f>IFERROR(AVERAGE('04_Бизнес_модель'!$P$4:$P$203),0)</f>
        <v>3.8616071428571428</v>
      </c>
      <c r="C9" s="14" t="s">
        <v>946</v>
      </c>
      <c r="D9" s="12"/>
      <c r="E9" s="1">
        <f>4</f>
        <v>4</v>
      </c>
      <c r="F9" s="1" t="str">
        <f>IFERROR(INDEX('09_Матрица'!$B$4:$B$11,MATCH(LARGE('09_Матрица'!$Q$4:$Q$11,ROW(A4)),'09_Матрица'!$Q$4:$Q$11,0)),"")</f>
        <v>draw.io (diagrams.net)</v>
      </c>
      <c r="G9" s="7">
        <f>IFERROR(LARGE('09_Матрица'!$Q$4:$Q$11,ROW(A4)),"")</f>
        <v>3.9902499999999996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31.5">
      <c r="A10" s="14" t="s">
        <v>226</v>
      </c>
      <c r="B10" s="16">
        <f>IFERROR(AVERAGE('09_Матрица'!$Q$4:$Q$11),0)</f>
        <v>3.9841517857142859</v>
      </c>
      <c r="C10" s="14" t="s">
        <v>947</v>
      </c>
      <c r="D10" s="12"/>
      <c r="E10" s="1">
        <f>5</f>
        <v>5</v>
      </c>
      <c r="F10" s="1" t="str">
        <f>IFERROR(INDEX('09_Матрица'!$B$4:$B$11,MATCH(LARGE('09_Матрица'!$Q$4:$Q$11,ROW(A5)),'09_Матрица'!$Q$4:$Q$11,0)),"")</f>
        <v>Mermaid Chart</v>
      </c>
      <c r="G10" s="7">
        <f>IFERROR(LARGE('09_Матрица'!$Q$4:$Q$11,ROW(A5)),"")</f>
        <v>3.9760952380952386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31.5">
      <c r="A11" s="14" t="s">
        <v>227</v>
      </c>
      <c r="B11" s="14">
        <f>COUNTIF('11_Преимущества'!$A$4:$A$11,"&lt;&gt;")</f>
        <v>8</v>
      </c>
      <c r="C11" s="14" t="s">
        <v>948</v>
      </c>
      <c r="D11" s="12"/>
      <c r="E11" s="1">
        <f>6</f>
        <v>6</v>
      </c>
      <c r="F11" s="1" t="str">
        <f>IFERROR(INDEX('09_Матрица'!$B$4:$B$11,MATCH(LARGE('09_Матрица'!$Q$4:$Q$11,ROW(A6)),'09_Матрица'!$Q$4:$Q$11,0)),"")</f>
        <v>Whimsical</v>
      </c>
      <c r="G11" s="7">
        <f>IFERROR(LARGE('09_Матрица'!$Q$4:$Q$11,ROW(A6)),"")</f>
        <v>3.9220000000000002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12"/>
      <c r="B12" s="12"/>
      <c r="C12" s="12"/>
      <c r="D12" s="12"/>
      <c r="E12" s="1">
        <f>7</f>
        <v>7</v>
      </c>
      <c r="F12" s="1" t="str">
        <f>IFERROR(INDEX('09_Матрица'!$B$4:$B$11,MATCH(LARGE('09_Матрица'!$Q$4:$Q$11,ROW(A7)),'09_Матрица'!$Q$4:$Q$11,0)),"")</f>
        <v>Mermaid (библиотека)</v>
      </c>
      <c r="G12" s="7">
        <f>IFERROR(LARGE('09_Матрица'!$Q$4:$Q$11,ROW(A7)),"")</f>
        <v>3.8144285714285715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12"/>
      <c r="B13" s="12"/>
      <c r="C13" s="12"/>
      <c r="D13" s="12"/>
      <c r="E13" s="1">
        <f>8</f>
        <v>8</v>
      </c>
      <c r="F13" s="1" t="str">
        <f>IFERROR(INDEX('09_Матрица'!$B$4:$B$11,MATCH(LARGE('09_Матрица'!$Q$4:$Q$11,ROW(A8)),'09_Матрица'!$Q$4:$Q$11,0)),"")</f>
        <v>PlantUML</v>
      </c>
      <c r="G13" s="7">
        <f>IFERROR(LARGE('09_Матрица'!$Q$4:$Q$11,ROW(A8)),"")</f>
        <v>3.5985714285714288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30">
      <c r="A14" s="13" t="s">
        <v>228</v>
      </c>
      <c r="B14" s="13"/>
      <c r="C14" s="13"/>
      <c r="D14" s="12"/>
      <c r="E14" s="1">
        <f>9</f>
        <v>9</v>
      </c>
      <c r="F14" s="1" t="str">
        <f>IFERROR(INDEX('09_Матрица'!$B$4:$B$11,MATCH(LARGE('09_Матрица'!$Q$4:$Q$11,ROW(A9)),'09_Матрица'!$Q$4:$Q$11,0)),"")</f>
        <v/>
      </c>
      <c r="G14" s="7" t="str">
        <f>IFERROR(LARGE('09_Матрица'!$Q$4:$Q$11,ROW(A9)),"")</f>
        <v/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">
      <c r="A15" s="6" t="s">
        <v>205</v>
      </c>
      <c r="B15" s="6" t="s">
        <v>229</v>
      </c>
      <c r="C15" s="6" t="s">
        <v>230</v>
      </c>
      <c r="D15" s="12"/>
      <c r="E15" s="1">
        <f>10</f>
        <v>10</v>
      </c>
      <c r="F15" s="1" t="str">
        <f>IFERROR(INDEX('09_Матрица'!$B$4:$B$11,MATCH(LARGE('09_Матрица'!$Q$4:$Q$11,ROW(A10)),'09_Матрица'!$Q$4:$Q$11,0)),"")</f>
        <v/>
      </c>
      <c r="G15" s="7" t="str">
        <f>IFERROR(LARGE('09_Матрица'!$Q$4:$Q$11,ROW(A10)),"")</f>
        <v/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28.5">
      <c r="A16" s="1" t="s">
        <v>17</v>
      </c>
      <c r="B16" s="1">
        <f>COUNTIF('10_Стандарт'!$F$4:$F$22,"рыночный стандарт")</f>
        <v>5</v>
      </c>
      <c r="C16" s="1" t="s">
        <v>949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1" t="s">
        <v>26</v>
      </c>
      <c r="B17" s="1">
        <f>COUNTIF('10_Стандарт'!$F$4:$F$22,"формирующийся стандарт")</f>
        <v>11</v>
      </c>
      <c r="C17" s="1" t="s">
        <v>950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1" t="s">
        <v>35</v>
      </c>
      <c r="B18" s="1">
        <f>COUNTIF('10_Стандарт'!$F$4:$F$22,"зона дифференциации")</f>
        <v>1</v>
      </c>
      <c r="C18" s="1" t="s">
        <v>951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28.5">
      <c r="A19" s="1" t="s">
        <v>50</v>
      </c>
      <c r="B19" s="1">
        <f>COUNTIF('10_Стандарт'!$F$4:$F$22,"слабый сигнал")</f>
        <v>2</v>
      </c>
      <c r="C19" s="1" t="s">
        <v>952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">
      <c r="A22" s="26" t="s">
        <v>231</v>
      </c>
      <c r="B22" s="26"/>
      <c r="C22" s="26"/>
      <c r="D22" s="26"/>
      <c r="E22" s="26"/>
      <c r="F22" s="26"/>
      <c r="G22" s="26"/>
      <c r="H22" s="26"/>
      <c r="I22" s="26"/>
      <c r="J22" s="26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28.5">
      <c r="A23" s="8" t="s">
        <v>232</v>
      </c>
      <c r="B23" s="8" t="s">
        <v>953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42.75">
      <c r="A24" s="8" t="s">
        <v>233</v>
      </c>
      <c r="B24" s="8" t="s">
        <v>954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71.25">
      <c r="A25" s="8" t="s">
        <v>234</v>
      </c>
      <c r="B25" s="8" t="s">
        <v>955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28.5">
      <c r="A26" s="8" t="s">
        <v>235</v>
      </c>
      <c r="B26" s="8" t="s">
        <v>956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42.75">
      <c r="A27" s="8" t="s">
        <v>236</v>
      </c>
      <c r="B27" s="8" t="s">
        <v>957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</sheetData>
  <mergeCells count="3">
    <mergeCell ref="A1:J1"/>
    <mergeCell ref="A2:J2"/>
    <mergeCell ref="A22:J2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9A1F7-08F3-4873-B0DE-0B36E38F6635}">
  <dimension ref="A1:C13"/>
  <sheetViews>
    <sheetView workbookViewId="0"/>
  </sheetViews>
  <sheetFormatPr defaultRowHeight="12.75"/>
  <cols>
    <col min="1" max="1" width="55.625" style="9" customWidth="1"/>
    <col min="2" max="2" width="9.625" style="9" customWidth="1"/>
    <col min="3" max="3" width="60.625" style="9" customWidth="1"/>
    <col min="4" max="16384" width="9" style="9"/>
  </cols>
  <sheetData>
    <row r="1" spans="1:3" ht="31.5">
      <c r="A1" s="17" t="s">
        <v>835</v>
      </c>
      <c r="B1" s="18"/>
      <c r="C1" s="18"/>
    </row>
    <row r="2" spans="1:3">
      <c r="A2" s="18"/>
      <c r="B2" s="18"/>
      <c r="C2" s="18"/>
    </row>
    <row r="3" spans="1:3">
      <c r="A3" s="19" t="s">
        <v>836</v>
      </c>
      <c r="B3" s="19" t="s">
        <v>837</v>
      </c>
      <c r="C3" s="19" t="s">
        <v>838</v>
      </c>
    </row>
    <row r="4" spans="1:3" ht="51">
      <c r="A4" s="10" t="s">
        <v>839</v>
      </c>
      <c r="B4" s="10" t="s">
        <v>840</v>
      </c>
      <c r="C4" s="10" t="s">
        <v>958</v>
      </c>
    </row>
    <row r="5" spans="1:3" ht="51">
      <c r="A5" s="10" t="s">
        <v>841</v>
      </c>
      <c r="B5" s="10" t="s">
        <v>842</v>
      </c>
      <c r="C5" s="10" t="s">
        <v>959</v>
      </c>
    </row>
    <row r="6" spans="1:3" ht="38.25">
      <c r="A6" s="10" t="s">
        <v>843</v>
      </c>
      <c r="B6" s="10" t="s">
        <v>844</v>
      </c>
      <c r="C6" s="10" t="s">
        <v>960</v>
      </c>
    </row>
    <row r="7" spans="1:3" ht="38.25">
      <c r="A7" s="10" t="s">
        <v>845</v>
      </c>
      <c r="B7" s="10" t="s">
        <v>846</v>
      </c>
      <c r="C7" s="10" t="s">
        <v>961</v>
      </c>
    </row>
    <row r="8" spans="1:3" ht="38.25">
      <c r="A8" s="10" t="s">
        <v>845</v>
      </c>
      <c r="B8" s="10" t="s">
        <v>847</v>
      </c>
      <c r="C8" s="10" t="s">
        <v>962</v>
      </c>
    </row>
    <row r="9" spans="1:3" ht="38.25">
      <c r="A9" s="10" t="s">
        <v>845</v>
      </c>
      <c r="B9" s="10" t="s">
        <v>848</v>
      </c>
      <c r="C9" s="10" t="s">
        <v>963</v>
      </c>
    </row>
    <row r="10" spans="1:3" ht="38.25">
      <c r="A10" s="10" t="s">
        <v>849</v>
      </c>
      <c r="B10" s="10" t="s">
        <v>850</v>
      </c>
      <c r="C10" s="10" t="s">
        <v>964</v>
      </c>
    </row>
    <row r="11" spans="1:3" ht="25.5">
      <c r="A11" s="18" t="s">
        <v>894</v>
      </c>
      <c r="B11" s="18" t="s">
        <v>895</v>
      </c>
      <c r="C11" s="18" t="s">
        <v>896</v>
      </c>
    </row>
    <row r="12" spans="1:3" ht="25.5">
      <c r="A12" s="18" t="s">
        <v>894</v>
      </c>
      <c r="B12" s="18" t="s">
        <v>897</v>
      </c>
      <c r="C12" s="18" t="s">
        <v>898</v>
      </c>
    </row>
    <row r="13" spans="1:3" ht="25.5">
      <c r="A13" s="18" t="s">
        <v>894</v>
      </c>
      <c r="B13" s="18" t="s">
        <v>899</v>
      </c>
      <c r="C13" s="18" t="s">
        <v>900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13_Справочники</vt:lpstr>
      <vt:lpstr>01_Инструкция</vt:lpstr>
      <vt:lpstr>02_Конкуренты</vt:lpstr>
      <vt:lpstr>03_Факты_сайта</vt:lpstr>
      <vt:lpstr>04_Бизнес_модель</vt:lpstr>
      <vt:lpstr>05_Товар_ценность</vt:lpstr>
      <vt:lpstr>06_Монетизация</vt:lpstr>
      <vt:lpstr>07_Каналы</vt:lpstr>
      <vt:lpstr>08_Операц_модель</vt:lpstr>
      <vt:lpstr>09_Матрица</vt:lpstr>
      <vt:lpstr>10_Стандарт</vt:lpstr>
      <vt:lpstr>11_Преимущества</vt:lpstr>
      <vt:lpstr>12_Сводка</vt:lpstr>
      <vt:lpstr>14_Журнал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Анализ бизнес-моделей конкурентов: NotaCode</dc:title>
  <dc:creator>К. А. Хаджинова</dc:creator>
  <dc:description/>
  <cp:lastModifiedBy>Aliaksandr Khajynau</cp:lastModifiedBy>
  <dcterms:created xsi:type="dcterms:W3CDTF">2026-10-04T16:53:25Z</dcterms:created>
  <dcterms:modified xsi:type="dcterms:W3CDTF">2026-10-04T18:20:45Z</dcterms:modified>
</cp:coreProperties>
</file>