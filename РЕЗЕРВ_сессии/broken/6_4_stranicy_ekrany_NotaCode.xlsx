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8" activeTab="14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Банк_выводов" sheetId="2" state="visible" r:id="rId2"/>
    <sheet xmlns:r="http://schemas.openxmlformats.org/officeDocument/2006/relationships" name="Роли_и_сегменты" sheetId="3" state="visible" r:id="rId3"/>
    <sheet xmlns:r="http://schemas.openxmlformats.org/officeDocument/2006/relationships" name="Пользовательские_сценарии" sheetId="4" state="visible" r:id="rId4"/>
    <sheet xmlns:r="http://schemas.openxmlformats.org/officeDocument/2006/relationships" name="Страницы_и_экраны" sheetId="5" state="visible" r:id="rId5"/>
    <sheet xmlns:r="http://schemas.openxmlformats.org/officeDocument/2006/relationships" name="Матрица_сценарий_интерфейс" sheetId="6" state="visible" r:id="rId6"/>
    <sheet xmlns:r="http://schemas.openxmlformats.org/officeDocument/2006/relationships" name="Навигация_и_карта" sheetId="7" state="visible" r:id="rId7"/>
    <sheet xmlns:r="http://schemas.openxmlformats.org/officeDocument/2006/relationships" name="Состояния_и_ошибки" sheetId="8" state="visible" r:id="rId8"/>
    <sheet xmlns:r="http://schemas.openxmlformats.org/officeDocument/2006/relationships" name="Контент_и_данные" sheetId="9" state="visible" r:id="rId9"/>
    <sheet xmlns:r="http://schemas.openxmlformats.org/officeDocument/2006/relationships" name="Паспорт_экрана" sheetId="10" state="visible" r:id="rId10"/>
    <sheet xmlns:r="http://schemas.openxmlformats.org/officeDocument/2006/relationships" name="Приоритизация" sheetId="11" state="visible" r:id="rId11"/>
    <sheet xmlns:r="http://schemas.openxmlformats.org/officeDocument/2006/relationships" name="Проверка_связности" sheetId="12" state="visible" r:id="rId12"/>
    <sheet xmlns:r="http://schemas.openxmlformats.org/officeDocument/2006/relationships" name="Дашборд" sheetId="13" state="visible" r:id="rId13"/>
    <sheet xmlns:r="http://schemas.openxmlformats.org/officeDocument/2006/relationships" name="Справочники" sheetId="14" state="visible" r:id="rId14"/>
    <sheet xmlns:r="http://schemas.openxmlformats.org/officeDocument/2006/relationships" name="Журнал_6_4" sheetId="15" state="visible" r:id="rId15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1F4E5F"/>
      <sz val="16"/>
    </font>
    <font>
      <name val="Carlito"/>
      <color rgb="FF1F2937"/>
      <sz val="11"/>
    </font>
    <font>
      <name val="Carlito"/>
      <b val="1"/>
      <color rgb="FF1F2937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0"/>
    </font>
    <font>
      <name val="Carlito"/>
      <charset val="204"/>
      <b val="1"/>
      <sz val="10"/>
    </font>
    <font>
      <name val="Carlito"/>
      <charset val="204"/>
      <b val="1"/>
      <sz val="12"/>
    </font>
  </fonts>
  <fills count="7">
    <fill>
      <patternFill/>
    </fill>
    <fill>
      <patternFill patternType="gray125"/>
    </fill>
    <fill>
      <patternFill patternType="solid">
        <fgColor rgb="FFE7F2F5"/>
      </patternFill>
    </fill>
    <fill>
      <patternFill patternType="solid">
        <fgColor rgb="FFD9EAF0"/>
      </patternFill>
    </fill>
    <fill>
      <patternFill patternType="solid">
        <fgColor rgb="FF2F6F7E"/>
      </patternFill>
    </fill>
    <fill>
      <patternFill patternType="solid">
        <fgColor rgb="FF1F4E5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21">
    <xf numFmtId="0" fontId="0" fillId="0" borderId="0" pivotButton="0" quotePrefix="0" xfId="0"/>
    <xf numFmtId="0" fontId="3" fillId="3" borderId="0" applyAlignment="1" pivotButton="0" quotePrefix="0" xfId="1">
      <alignment horizontal="center" vertical="top" wrapText="1"/>
    </xf>
    <xf numFmtId="0" fontId="0" fillId="0" borderId="0" applyAlignment="1" pivotButton="0" quotePrefix="0" xfId="1">
      <alignment vertical="top" wrapText="1"/>
    </xf>
    <xf numFmtId="0" fontId="4" fillId="5" borderId="0" applyAlignment="1" pivotButton="0" quotePrefix="0" xfId="1">
      <alignment horizontal="center" vertical="top" wrapText="1"/>
    </xf>
    <xf numFmtId="9" fontId="0" fillId="0" borderId="0" applyAlignment="1" pivotButton="0" quotePrefix="0" xfId="1">
      <alignment vertical="top" wrapText="1"/>
    </xf>
    <xf numFmtId="0" fontId="4" fillId="4" borderId="0" applyAlignment="1" pivotButton="0" quotePrefix="0" xfId="1">
      <alignment horizontal="center" vertical="top" wrapText="1"/>
    </xf>
    <xf numFmtId="0" fontId="6" fillId="0" borderId="0" pivotButton="0" quotePrefix="0" xfId="0"/>
    <xf numFmtId="0" fontId="8" fillId="0" borderId="0" pivotButton="0" quotePrefix="0" xfId="0"/>
    <xf numFmtId="0" fontId="7" fillId="6" borderId="1" pivotButton="0" quotePrefix="0" xfId="0"/>
    <xf numFmtId="0" fontId="6" fillId="0" borderId="1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2" borderId="0" applyAlignment="1" pivotButton="0" quotePrefix="0" xfId="1">
      <alignment vertical="top" wrapText="1"/>
    </xf>
    <xf numFmtId="0" fontId="0" fillId="0" borderId="0" applyAlignment="1" pivotButton="0" quotePrefix="0" xfId="1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1">
      <alignment vertical="center" wrapText="1"/>
    </xf>
    <xf numFmtId="0" fontId="3" fillId="3" borderId="0" applyAlignment="1" pivotButton="0" quotePrefix="0" xfId="1">
      <alignment horizontal="center" vertical="center" wrapText="1"/>
    </xf>
  </cellXfs>
  <cellStyles count="2">
    <cellStyle name="Обычный" xfId="0" builtinId="0"/>
    <cellStyle name="Normal" xfId="1"/>
  </cellStyles>
  <dxfs count="6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ru-RU"/>
              <a:t>Готовность ключевых блоков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Готовность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Дашборд!$A$15:$A$18</f>
              <strCache>
                <ptCount val="4"/>
                <pt idx="0">
                  <v>Покрытие сценариев</v>
                </pt>
                <pt idx="1">
                  <v>Описание страниц/экранов</v>
                </pt>
                <pt idx="2">
                  <v>Паспорта</v>
                </pt>
                <pt idx="3">
                  <v>Состояния</v>
                </pt>
              </strCache>
            </strRef>
          </cat>
          <val>
            <numRef>
              <f>Дашборд!$B$15:$B$18</f>
              <numCache>
                <formatCode>0%</formatCode>
                <ptCount val="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%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3</row>
      <rowOff>0</rowOff>
    </from>
    <to>
      <col>12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InstructionTable" displayName="InstructionTable" ref="A4:C13" headerRowCount="1">
  <tableColumns count="3">
    <tableColumn id="1" name="Шаг"/>
    <tableColumn id="2" name="Действие"/>
    <tableColumn id="3" name="Что сделат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dingsTable" displayName="FindingsTable" ref="A4:K204" headerRowCount="1">
  <tableColumns count="11">
    <tableColumn id="1" name="ID вывода"/>
    <tableColumn id="2" name="Вид анализа"/>
    <tableColumn id="3" name="Объект анализа"/>
    <tableColumn id="4" name="Вывод / факт"/>
    <tableColumn id="5" name="Доказательство / ссылка"/>
    <tableColumn id="6" name="Надежность 1–5"/>
    <tableColumn id="7" name="Значимость 1–5"/>
    <tableColumn id="8" name="Влияние на интерфейс"/>
    <tableColumn id="9" name="Связанные роли"/>
    <tableColumn id="10" name="Связанные сценарии"/>
    <tableColumn id="11" name="Решение для страниц/экрано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lesTable" displayName="RolesTable" ref="A4:J104" headerRowCount="1">
  <tableColumns count="10">
    <tableColumn id="1" name="Роль_ID"/>
    <tableColumn id="2" name="Роль / сегмент"/>
    <tableColumn id="3" name="Цель роли"/>
    <tableColumn id="4" name="Основная проблема"/>
    <tableColumn id="5" name="Ожидаемая ценность"/>
    <tableColumn id="6" name="Цифровая зрелость"/>
    <tableColumn id="7" name="Частота использования"/>
    <tableColumn id="8" name="Критичность задачи 1–5"/>
    <tableColumn id="9" name="Канал входа"/>
    <tableColumn id="10" name="Примеча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enariosTable" displayName="ScenariosTable" ref="A4:O304" headerRowCount="1">
  <tableColumns count="15">
    <tableColumn id="1" name="Сценарий_ID"/>
    <tableColumn id="2" name="Роль_ID"/>
    <tableColumn id="3" name="Этап пути"/>
    <tableColumn id="4" name="Пользовательская цель"/>
    <tableColumn id="5" name="Начальный триггер"/>
    <tableColumn id="6" name="Основной поток"/>
    <tableColumn id="7" name="Альтернативный поток"/>
    <tableColumn id="8" name="Данные / контент"/>
    <tableColumn id="9" name="Бизнес-результат"/>
    <tableColumn id="10" name="Критичность 1–5"/>
    <tableColumn id="11" name="Частота 1–5"/>
    <tableColumn id="12" name="Сложность 1–5"/>
    <tableColumn id="13" name="Кол-во страниц/экранов"/>
    <tableColumn id="14" name="Статус покрытия"/>
    <tableColumn id="15" name="Приоритет сценари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UnitsTable" displayName="UnitsTable" ref="A4:U304" headerRowCount="1">
  <tableColumns count="21">
    <tableColumn id="1" name="Unit_ID"/>
    <tableColumn id="2" name="Тип"/>
    <tableColumn id="3" name="Название"/>
    <tableColumn id="4" name="Назначение"/>
    <tableColumn id="5" name="Связанный сценарий_ID"/>
    <tableColumn id="6" name="Роль_ID"/>
    <tableColumn id="7" name="Этап пути"/>
    <tableColumn id="8" name="Главная задача пользователя"/>
    <tableColumn id="9" name="Ключевое действие"/>
    <tableColumn id="10" name="Источник требования"/>
    <tableColumn id="11" name="Данные / контент"/>
    <tableColumn id="12" name="Компоненты"/>
    <tableColumn id="13" name="Состояния"/>
    <tableColumn id="14" name="Ошибки / исключения"/>
    <tableColumn id="15" name="Нужна авторизация"/>
    <tableColumn id="16" name="Монетизационная роль"/>
    <tableColumn id="17" name="Оценка приоритета"/>
    <tableColumn id="18" name="Статус"/>
    <tableColumn id="19" name="Доказательность 1–5"/>
    <tableColumn id="20" name="Полнота описания"/>
    <tableColumn id="21" name="Реш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enarioInterfaceMatrix" displayName="ScenarioInterfaceMatrix" ref="A4:I304" headerRowCount="1">
  <tableColumns count="9">
    <tableColumn id="1" name="Связь_ID"/>
    <tableColumn id="2" name="Сценарий_ID"/>
    <tableColumn id="3" name="Unit_ID"/>
    <tableColumn id="4" name="Тип связи"/>
    <tableColumn id="5" name="Обязательность"/>
    <tableColumn id="6" name="Порядок в сценарии"/>
    <tableColumn id="7" name="Предыдущее Unit_ID"/>
    <tableColumn id="8" name="Следующее Unit_ID"/>
    <tableColumn id="9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NavigationTable" displayName="NavigationTable" ref="A4:J204" headerRowCount="1">
  <tableColumns count="10">
    <tableColumn id="1" name="Переход_ID"/>
    <tableColumn id="2" name="Откуда Unit_ID"/>
    <tableColumn id="3" name="Куда Unit_ID"/>
    <tableColumn id="4" name="Событие / действие"/>
    <tableColumn id="5" name="Условие"/>
    <tableColumn id="6" name="Роль_ID"/>
    <tableColumn id="7" name="Этап пути"/>
    <tableColumn id="8" name="Тип перехода"/>
    <tableColumn id="9" name="Риск разрыва 1–5"/>
    <tableColumn id="10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tatesTable" displayName="StatesTable" ref="A4:K204" headerRowCount="1">
  <tableColumns count="11">
    <tableColumn id="1" name="State_ID"/>
    <tableColumn id="2" name="Unit_ID"/>
    <tableColumn id="3" name="Нормальное состояние"/>
    <tableColumn id="4" name="Пустое состояние"/>
    <tableColumn id="5" name="Загрузка"/>
    <tableColumn id="6" name="Ошибка валидации"/>
    <tableColumn id="7" name="Ошибка сети/сервера"/>
    <tableColumn id="8" name="Нет прав"/>
    <tableColumn id="9" name="Успешное завершение"/>
    <tableColumn id="10" name="Сообщение пользователю"/>
    <tableColumn id="11" name="Полнота состояний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ontentTable" displayName="ContentTable" ref="A4:I204" headerRowCount="1">
  <tableColumns count="9">
    <tableColumn id="1" name="Unit_ID"/>
    <tableColumn id="2" name="Элемент контента / данных"/>
    <tableColumn id="3" name="Источник данных"/>
    <tableColumn id="4" name="Обязательность"/>
    <tableColumn id="5" name="Частота обновления"/>
    <tableColumn id="6" name="Персонализация"/>
    <tableColumn id="7" name="Правило отображения"/>
    <tableColumn id="8" name="Формат"/>
    <tableColumn id="9" name="Ответственный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assportTable" displayName="PassportTable" ref="A4:O304" headerRowCount="1">
  <tableColumns count="15">
    <tableColumn id="1" name="Unit_ID"/>
    <tableColumn id="2" name="Название"/>
    <tableColumn id="3" name="Тип"/>
    <tableColumn id="4" name="Сценарий_ID"/>
    <tableColumn id="5" name="Роль_ID"/>
    <tableColumn id="6" name="Назначение"/>
    <tableColumn id="7" name="Главная задача"/>
    <tableColumn id="8" name="Основное действие"/>
    <tableColumn id="9" name="Состав блоков"/>
    <tableColumn id="10" name="Состояния"/>
    <tableColumn id="11" name="Навигация"/>
    <tableColumn id="12" name="Метрики успеха"/>
    <tableColumn id="13" name="Риски"/>
    <tableColumn id="14" name="Полнота паспорта"/>
    <tableColumn id="15" name="Вердикт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riorityTable" displayName="PriorityTable" ref="A4:L304" headerRowCount="1">
  <tableColumns count="12">
    <tableColumn id="1" name="Unit_ID"/>
    <tableColumn id="2" name="Название"/>
    <tableColumn id="3" name="Связанный сценарий_ID"/>
    <tableColumn id="4" name="Ценность для пользователя 1–5"/>
    <tableColumn id="5" name="Влияние на бизнес 1–5"/>
    <tableColumn id="6" name="Частота использования 1–5"/>
    <tableColumn id="7" name="Риск без реализации 1–5"/>
    <tableColumn id="8" name="Сложность 1–5"/>
    <tableColumn id="9" name="Итоговый балл"/>
    <tableColumn id="10" name="Класс приоритета"/>
    <tableColumn id="11" name="Основание"/>
    <tableColumn id="12" name="Решение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hecksTable" displayName="ChecksTable" ref="A4:F11" headerRowCount="1">
  <tableColumns count="6">
    <tableColumn id="1" name="Проверка"/>
    <tableColumn id="2" name="Описание"/>
    <tableColumn id="3" name="Расчет / критерий"/>
    <tableColumn id="4" name="Результат"/>
    <tableColumn id="5" name="Статус"/>
    <tableColumn id="6" name="Что исправи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C23" sqref="C23"/>
    </sheetView>
  </sheetViews>
  <sheetFormatPr baseColWidth="8" defaultRowHeight="14.25"/>
  <cols>
    <col width="8" customWidth="1" style="13" min="1" max="1"/>
    <col width="28" customWidth="1" style="13" min="2" max="2"/>
    <col width="78" customWidth="1" style="13" min="3" max="3"/>
  </cols>
  <sheetData>
    <row r="1" ht="34.5" customHeight="1" s="13">
      <c r="A1" s="10" t="inlineStr">
        <is>
          <t>Шаблон перехода от бизнес-логики и пользовательских сценариев к страницам и экранам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Рабочая книга предназначена для проектирования состава сайта или мобильного приложения на основе результатов анализа проблем, конкурентов, ценностного предложения, цифрового товара, бизнес-модели и пользовательских сценариев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1" t="inlineStr">
        <is>
          <t>Шаг</t>
        </is>
      </c>
      <c r="B4" s="1" t="inlineStr">
        <is>
          <t>Действие</t>
        </is>
      </c>
      <c r="C4" s="1" t="inlineStr">
        <is>
          <t>Что сделать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28.5" customHeight="1" s="13">
      <c r="A5" s="2" t="inlineStr">
        <is>
          <t>1</t>
        </is>
      </c>
      <c r="B5" s="2" t="inlineStr">
        <is>
          <t>Собрать исходные выводы</t>
        </is>
      </c>
      <c r="C5" s="2" t="inlineStr">
        <is>
          <t>Перенесите ключевые выводы из анализа проблем, конкурентов, отзывов, бизнес-модели и пользовательских сценариев в лист «Банк_выводов»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28.5" customHeight="1" s="13">
      <c r="A6" s="2" t="inlineStr">
        <is>
          <t>2</t>
        </is>
      </c>
      <c r="B6" s="2" t="inlineStr">
        <is>
          <t>Зафиксировать роли</t>
        </is>
      </c>
      <c r="C6" s="2" t="inlineStr">
        <is>
          <t>Опишите пользовательские роли и сегменты на листе «Роли_и_сегменты». Эти роли используются дальше для сценариев, страниц и экранов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 ht="28.5" customHeight="1" s="13">
      <c r="A7" s="2" t="inlineStr">
        <is>
          <t>3</t>
        </is>
      </c>
      <c r="B7" s="2" t="inlineStr">
        <is>
          <t>Описать сценарии</t>
        </is>
      </c>
      <c r="C7" s="2" t="inlineStr">
        <is>
          <t>На листе «Пользовательские_сценарии» заполните пользовательские цели, потоки, данные, критичность, частоту и сложность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8.5" customHeight="1" s="13">
      <c r="A8" s="2" t="inlineStr">
        <is>
          <t>4</t>
        </is>
      </c>
      <c r="B8" s="2" t="inlineStr">
        <is>
          <t>Вывести страницы и экраны</t>
        </is>
      </c>
      <c r="C8" s="2" t="inlineStr">
        <is>
          <t>На листе «Страницы_и_экраны» каждая интерфейсная единица должна иметь связанный сценарий, задачу пользователя, действие и источник требования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 ht="28.5" customHeight="1" s="13">
      <c r="A9" s="2" t="inlineStr">
        <is>
          <t>5</t>
        </is>
      </c>
      <c r="B9" s="2" t="inlineStr">
        <is>
          <t>Проверить покрытие</t>
        </is>
      </c>
      <c r="C9" s="2" t="inlineStr">
        <is>
          <t>Лист «Матрица_сценарий_интерфейс» связывает сценарии со страницами и экранами. По нему рассчитывается покрытие сценариев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8.5" customHeight="1" s="13">
      <c r="A10" s="2" t="inlineStr">
        <is>
          <t>6</t>
        </is>
      </c>
      <c r="B10" s="2" t="inlineStr">
        <is>
          <t>Описать навигацию и состояния</t>
        </is>
      </c>
      <c r="C10" s="2" t="inlineStr">
        <is>
          <t>Заполните переходы, состояния, ошибки, пустые состояния и сообщения пользователю. Это снижает риск разрывов сценария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8.5" customHeight="1" s="13">
      <c r="A11" s="2" t="inlineStr">
        <is>
          <t>7</t>
        </is>
      </c>
      <c r="B11" s="2" t="inlineStr">
        <is>
          <t>Сформировать паспорта</t>
        </is>
      </c>
      <c r="C11" s="2" t="inlineStr">
        <is>
          <t>На листе «Паспорт_экрана» оформите итоговое описание каждой страницы или экрана для передачи в проектирование прототипа и техническое задание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8.5" customHeight="1" s="13">
      <c r="A12" s="2" t="inlineStr">
        <is>
          <t>8</t>
        </is>
      </c>
      <c r="B12" s="2" t="inlineStr">
        <is>
          <t>Приоритизировать</t>
        </is>
      </c>
      <c r="C12" s="2" t="inlineStr">
        <is>
          <t>Используйте лист «Приоритизация» для выбора первой версии, следующих выпусков и отложенных интерфейсных единиц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28.5" customHeight="1" s="13">
      <c r="A13" s="2" t="inlineStr">
        <is>
          <t>9</t>
        </is>
      </c>
      <c r="B13" s="2" t="inlineStr">
        <is>
          <t>Проверить готовность</t>
        </is>
      </c>
      <c r="C13" s="2" t="inlineStr">
        <is>
          <t>Листы «Проверка_связности» и «Дашборд» показывают полноту и согласованность проектной логики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D23" sqref="D23"/>
    </sheetView>
  </sheetViews>
  <sheetFormatPr baseColWidth="8" defaultRowHeight="14.25"/>
  <cols>
    <col width="12" customWidth="1" style="13" min="1" max="1"/>
    <col width="40.25" customWidth="1" style="13" min="2" max="2"/>
    <col width="24" customWidth="1" style="13" min="3" max="3"/>
    <col width="82.625" customWidth="1" style="13" min="4" max="4"/>
    <col width="48.625" customWidth="1" style="13" min="5" max="5"/>
    <col width="14" customWidth="1" style="13" min="6" max="7"/>
    <col width="84.625" customWidth="1" style="13" min="8" max="8"/>
    <col width="24.375" customWidth="1" style="13" min="9" max="9"/>
    <col width="25.625" customWidth="1" style="13" min="10" max="10"/>
    <col width="77.125" customWidth="1" style="13" min="11" max="11"/>
  </cols>
  <sheetData>
    <row r="1" ht="27.75" customHeight="1" s="13">
      <c r="A1" s="10" t="inlineStr">
        <is>
          <t>Банк исходных выводов из всех видов анализа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Каждая строка — доказанный вывод, который может повлиять на состав страниц, экранов, навигации, контента или состояний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3" t="inlineStr">
        <is>
          <t>ID вывода</t>
        </is>
      </c>
      <c r="B4" s="3" t="inlineStr">
        <is>
          <t>Вид анализа</t>
        </is>
      </c>
      <c r="C4" s="3" t="inlineStr">
        <is>
          <t>Объект анализа</t>
        </is>
      </c>
      <c r="D4" s="3" t="inlineStr">
        <is>
          <t>Вывод / факт</t>
        </is>
      </c>
      <c r="E4" s="3" t="inlineStr">
        <is>
          <t>Доказательство / ссылка</t>
        </is>
      </c>
      <c r="F4" s="3" t="inlineStr">
        <is>
          <t>Надежность 1–5</t>
        </is>
      </c>
      <c r="G4" s="3" t="inlineStr">
        <is>
          <t>Значимость 1–5</t>
        </is>
      </c>
      <c r="H4" s="3" t="inlineStr">
        <is>
          <t>Влияние на интерфейс</t>
        </is>
      </c>
      <c r="I4" s="3" t="inlineStr">
        <is>
          <t>Связанные роли</t>
        </is>
      </c>
      <c r="J4" s="3" t="inlineStr">
        <is>
          <t>Связанные сценарии</t>
        </is>
      </c>
      <c r="K4" s="3" t="inlineStr">
        <is>
          <t>Решение для страниц/экранов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s="13">
      <c r="A5" s="12" t="inlineStr">
        <is>
          <t>F-001</t>
        </is>
      </c>
      <c r="B5" s="12" t="inlineStr">
        <is>
          <t>Анализ конкурентов по сайтам</t>
        </is>
      </c>
      <c r="C5" s="12" t="inlineStr">
        <is>
          <t>Тарифы 5 конкурентов</t>
        </is>
      </c>
      <c r="D5" s="12" t="inlineStr">
        <is>
          <t>Страница тарифов с ценой за пользователя есть у 5 из 8 конкурентов</t>
        </is>
      </c>
      <c r="E5" s="12" t="inlineStr">
        <is>
          <t>ЛР5: лист 10_Стандарт</t>
        </is>
      </c>
      <c r="F5" s="12" t="n">
        <v>5</v>
      </c>
      <c r="G5" s="12" t="n">
        <v>5</v>
      </c>
      <c r="H5" s="12" t="inlineStr">
        <is>
          <t>Нужна страница тарифов Free и Pro</t>
        </is>
      </c>
      <c r="I5" s="12" t="inlineStr">
        <is>
          <t>ROLE-001, ROLE-002</t>
        </is>
      </c>
      <c r="J5" s="12" t="inlineStr">
        <is>
          <t>SC-002, SC-008</t>
        </is>
      </c>
      <c r="K5" s="12" t="inlineStr">
        <is>
          <t>Включить страницу тарифов в первую версию</t>
        </is>
      </c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 s="13">
      <c r="A6" s="12" t="inlineStr">
        <is>
          <t>F-002</t>
        </is>
      </c>
      <c r="B6" s="12" t="inlineStr">
        <is>
          <t>Анализ цифрового товара и стандарта</t>
        </is>
      </c>
      <c r="C6" s="12" t="inlineStr">
        <is>
          <t>Рыночный стандарт</t>
        </is>
      </c>
      <c r="D6" s="12" t="inlineStr">
        <is>
          <t>Экспорт у 8 из 8, документация у 6 из 8, вход у 5 из 8, совместная работа у 6 из 8</t>
        </is>
      </c>
      <c r="E6" s="12" t="inlineStr">
        <is>
          <t>ЛР5: лист 07_Стандарт_рынка</t>
        </is>
      </c>
      <c r="F6" s="12" t="n">
        <v>5</v>
      </c>
      <c r="G6" s="12" t="n">
        <v>5</v>
      </c>
      <c r="H6" s="12" t="inlineStr">
        <is>
          <t>Нужны экспорт, документация, вход</t>
        </is>
      </c>
      <c r="I6" s="12" t="inlineStr">
        <is>
          <t>ROLE-002, ROLE-003</t>
        </is>
      </c>
      <c r="J6" s="12" t="inlineStr">
        <is>
          <t>SC-003, SC-006, SC-010</t>
        </is>
      </c>
      <c r="K6" s="12" t="inlineStr">
        <is>
          <t>Включить в первую версию экран экспорта и вход; документацию - важная страница</t>
        </is>
      </c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</row>
    <row r="7" s="13">
      <c r="A7" s="12" t="inlineStr">
        <is>
          <t>F-003</t>
        </is>
      </c>
      <c r="B7" s="12" t="inlineStr">
        <is>
          <t>Анализ цифрового товара и стандарта</t>
        </is>
      </c>
      <c r="C7" s="12" t="inlineStr">
        <is>
          <t>Конкурентный пробел</t>
        </is>
      </c>
      <c r="D7" s="12" t="inlineStr">
        <is>
          <t>IDEF0, DFD, сети Петри не найдены у 8 конкурентов</t>
        </is>
      </c>
      <c r="E7" s="12" t="inlineStr">
        <is>
          <t>ЛР5: лист 04_Кано</t>
        </is>
      </c>
      <c r="F7" s="12" t="n">
        <v>4</v>
      </c>
      <c r="G7" s="12" t="n">
        <v>5</v>
      </c>
      <c r="H7" s="12" t="inlineStr">
        <is>
          <t>Нужен выбор нотации и страница возможностей с нотациями</t>
        </is>
      </c>
      <c r="I7" s="12" t="inlineStr">
        <is>
          <t>ROLE-003</t>
        </is>
      </c>
      <c r="J7" s="12" t="inlineStr">
        <is>
          <t>SC-005</t>
        </is>
      </c>
      <c r="K7" s="12" t="inlineStr">
        <is>
          <t>Показать нотации на странице возможностей и в выборе нотации</t>
        </is>
      </c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 s="13">
      <c r="A8" s="12" t="inlineStr">
        <is>
          <t>F-004</t>
        </is>
      </c>
      <c r="B8" s="12" t="inlineStr">
        <is>
          <t>Анализ бизнес-моделей конкурентов</t>
        </is>
      </c>
      <c r="C8" s="12" t="inlineStr">
        <is>
          <t>Каналы</t>
        </is>
      </c>
      <c r="D8" s="12" t="inlineStr">
        <is>
          <t>Органический поиск 47-59 % трафика у текстовых инструментов</t>
        </is>
      </c>
      <c r="E8" s="12" t="inlineStr">
        <is>
          <t>Similarweb Pro (ЛР4)</t>
        </is>
      </c>
      <c r="F8" s="12" t="n">
        <v>4</v>
      </c>
      <c r="G8" s="12" t="n">
        <v>4</v>
      </c>
      <c r="H8" s="12" t="inlineStr">
        <is>
          <t>Главная и страница возможностей должны отвечать на поисковые запросы по нотациям</t>
        </is>
      </c>
      <c r="I8" s="12" t="inlineStr">
        <is>
          <t>ROLE-001</t>
        </is>
      </c>
      <c r="J8" s="12" t="inlineStr">
        <is>
          <t>SC-001</t>
        </is>
      </c>
      <c r="K8" s="12" t="inlineStr">
        <is>
          <t>Главная и страницы нотаций для поиска</t>
        </is>
      </c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</row>
    <row r="9" s="13">
      <c r="A9" s="12" t="inlineStr">
        <is>
          <t>F-005</t>
        </is>
      </c>
      <c r="B9" s="12" t="inlineStr">
        <is>
          <t>Анализ проблем клиентов</t>
        </is>
      </c>
      <c r="C9" s="12" t="inlineStr">
        <is>
          <t>Проблема P-001</t>
        </is>
      </c>
      <c r="D9" s="12" t="inlineStr">
        <is>
          <t>Сложность синтаксиса текстовых языков</t>
        </is>
      </c>
      <c r="E9" s="12" t="inlineStr">
        <is>
          <t>6.1; опрос 27 студентов (данные сгенерированы)</t>
        </is>
      </c>
      <c r="F9" s="12" t="n">
        <v>3</v>
      </c>
      <c r="G9" s="12" t="n">
        <v>4</v>
      </c>
      <c r="H9" s="12" t="inlineStr">
        <is>
          <t>Нужны примеры, подсказки об ошибках и ИИ-ассистент</t>
        </is>
      </c>
      <c r="I9" s="12" t="inlineStr">
        <is>
          <t>ROLE-002</t>
        </is>
      </c>
      <c r="J9" s="12" t="inlineStr">
        <is>
          <t>SC-004, SC-009</t>
        </is>
      </c>
      <c r="K9" s="12" t="inlineStr">
        <is>
          <t>Включить примеры в редактор; подсказки - во вторую версию</t>
        </is>
      </c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 s="13">
      <c r="A10" s="12" t="inlineStr">
        <is>
          <t>F-006</t>
        </is>
      </c>
      <c r="B10" s="12" t="inlineStr">
        <is>
          <t>Анализ монетизации</t>
        </is>
      </c>
      <c r="C10" s="12" t="inlineStr">
        <is>
          <t>Единица монетизации</t>
        </is>
      </c>
      <c r="D10" s="12" t="inlineStr">
        <is>
          <t>Подписка Pro 40 у.е. в год за пользователя; Free без оплаты</t>
        </is>
      </c>
      <c r="E10" s="12" t="inlineStr">
        <is>
          <t>6.1: M-001; 6.2</t>
        </is>
      </c>
      <c r="F10" s="12" t="n">
        <v>3</v>
      </c>
      <c r="G10" s="12" t="n">
        <v>5</v>
      </c>
      <c r="H10" s="12" t="inlineStr">
        <is>
          <t>Нужны экран подписки и оплата</t>
        </is>
      </c>
      <c r="I10" s="12" t="inlineStr">
        <is>
          <t>ROLE-004</t>
        </is>
      </c>
      <c r="J10" s="12" t="inlineStr">
        <is>
          <t>SC-008</t>
        </is>
      </c>
      <c r="K10" s="12" t="inlineStr">
        <is>
          <t>Оплата Pro в первой версии, если выбран платёжный провайдер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</row>
    <row r="11" s="13">
      <c r="A11" s="12" t="inlineStr">
        <is>
          <t>F-007</t>
        </is>
      </c>
      <c r="B11" s="12" t="inlineStr">
        <is>
          <t>Пользовательские сценарии</t>
        </is>
      </c>
      <c r="C11" s="12" t="inlineStr">
        <is>
          <t>6.3: сценарии</t>
        </is>
      </c>
      <c r="D11" s="12" t="inlineStr">
        <is>
          <t>Критический сценарий: оформление подписки; высокие - первая диаграмма и экспорт</t>
        </is>
      </c>
      <c r="E11" s="12" t="inlineStr">
        <is>
          <t>6.3: Excel/6_3_..</t>
        </is>
      </c>
      <c r="F11" s="12" t="n">
        <v>4</v>
      </c>
      <c r="G11" s="12" t="n">
        <v>5</v>
      </c>
      <c r="H11" s="12" t="inlineStr">
        <is>
          <t>Каждому сценарию нужна страница или экран</t>
        </is>
      </c>
      <c r="I11" s="12" t="inlineStr">
        <is>
          <t>ROLE-001 - ROLE-005</t>
        </is>
      </c>
      <c r="J11" s="12" t="inlineStr">
        <is>
          <t>SC-001 - SC-010</t>
        </is>
      </c>
      <c r="K11" s="12" t="inlineStr">
        <is>
          <t>Составить реестр единиц по сценариям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 s="13">
      <c r="A12" s="12" t="inlineStr">
        <is>
          <t>F-008</t>
        </is>
      </c>
      <c r="B12" s="12" t="inlineStr">
        <is>
          <t>Отзывы и опрос</t>
        </is>
      </c>
      <c r="C12" s="12" t="inlineStr">
        <is>
          <t>Опрос студентов</t>
        </is>
      </c>
      <c r="D12" s="12" t="inlineStr">
        <is>
          <t>Коллаборация важна 26 из 27, экспорт PNG 27 из 27</t>
        </is>
      </c>
      <c r="E12" s="12" t="inlineStr">
        <is>
          <t>ЛР4: survey_students.csv</t>
        </is>
      </c>
      <c r="F12" s="12" t="n">
        <v>2</v>
      </c>
      <c r="G12" s="12" t="n">
        <v>4</v>
      </c>
      <c r="H12" s="12" t="inlineStr">
        <is>
          <t>Экспорт - обязательный экран; коллаборация - позже</t>
        </is>
      </c>
      <c r="I12" s="12" t="inlineStr">
        <is>
          <t>ROLE-002</t>
        </is>
      </c>
      <c r="J12" s="12" t="inlineStr">
        <is>
          <t>SC-006</t>
        </is>
      </c>
      <c r="K12" s="12" t="inlineStr">
        <is>
          <t>Экспорт в первую версию, коллаборация - во вторую</t>
        </is>
      </c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</sheetData>
  <mergeCells count="2">
    <mergeCell ref="A2:K2"/>
    <mergeCell ref="A1:K1"/>
  </mergeCells>
  <dataValidations count="2">
    <dataValidation sqref="B5:B204" showDropDown="0" showInputMessage="0" showErrorMessage="0" allowBlank="0" type="list">
      <formula1>"Анализ проблем,Анализ отзывов,Анализ конкурентов,Анализ цифрового товара,Ценностное предложение,Бизнес-модель Канвас,Бизнес-логика,Пользовательский сценарий"</formula1>
    </dataValidation>
    <dataValidation sqref="F5:G204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topLeftCell="E1" workbookViewId="0">
      <selection activeCell="E13" sqref="E13"/>
    </sheetView>
  </sheetViews>
  <sheetFormatPr baseColWidth="8" defaultRowHeight="14.25"/>
  <cols>
    <col width="12" customWidth="1" style="13" min="1" max="1"/>
    <col width="26.375" customWidth="1" style="13" min="2" max="2"/>
    <col width="45" customWidth="1" style="13" min="3" max="3"/>
    <col width="55.375" customWidth="1" style="13" min="4" max="4"/>
    <col width="45.125" customWidth="1" style="13" min="5" max="5"/>
    <col width="18" customWidth="1" style="13" min="6" max="6"/>
    <col width="20" customWidth="1" style="13" min="7" max="7"/>
    <col width="14" customWidth="1" style="13" min="8" max="8"/>
    <col width="28" customWidth="1" style="13" min="9" max="9"/>
    <col width="36.875" customWidth="1" style="13" min="10" max="10"/>
  </cols>
  <sheetData>
    <row r="1" ht="30.75" customHeight="1" s="13">
      <c r="A1" s="10" t="inlineStr">
        <is>
          <t>Роли и пользовательские сегменты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Роли используются как связующее звено между бизнес-логикой, сценариями, страницами и экранами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33" customHeight="1" s="13">
      <c r="A4" s="3" t="inlineStr">
        <is>
          <t>Роль_ID</t>
        </is>
      </c>
      <c r="B4" s="3" t="inlineStr">
        <is>
          <t>Роль / сегмент</t>
        </is>
      </c>
      <c r="C4" s="3" t="inlineStr">
        <is>
          <t>Цель роли</t>
        </is>
      </c>
      <c r="D4" s="3" t="inlineStr">
        <is>
          <t>Основная проблема</t>
        </is>
      </c>
      <c r="E4" s="3" t="inlineStr">
        <is>
          <t>Ожидаемая ценность</t>
        </is>
      </c>
      <c r="F4" s="3" t="inlineStr">
        <is>
          <t>Цифровая зрелость</t>
        </is>
      </c>
      <c r="G4" s="3" t="inlineStr">
        <is>
          <t>Частота использования</t>
        </is>
      </c>
      <c r="H4" s="3" t="inlineStr">
        <is>
          <t>Критичность задачи 1–5</t>
        </is>
      </c>
      <c r="I4" s="3" t="inlineStr">
        <is>
          <t>Канал входа</t>
        </is>
      </c>
      <c r="J4" s="3" t="inlineStr">
        <is>
          <t>Примечание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s="13">
      <c r="A5" s="12" t="inlineStr">
        <is>
          <t>ROLE-001</t>
        </is>
      </c>
      <c r="B5" s="12" t="inlineStr">
        <is>
          <t>Посетитель</t>
        </is>
      </c>
      <c r="C5" s="12" t="inlineStr">
        <is>
          <t>Найти инструмент для диаграммы нотации</t>
        </is>
      </c>
      <c r="D5" s="12" t="inlineStr">
        <is>
          <t>Не ясно, какой инструмент поддерживает нужную нотацию</t>
        </is>
      </c>
      <c r="E5" s="12" t="inlineStr">
        <is>
          <t>Быстро убедиться в наборе нотаций и цене</t>
        </is>
      </c>
      <c r="F5" s="12" t="n">
        <v>4</v>
      </c>
      <c r="G5" s="12" t="n">
        <v>4</v>
      </c>
      <c r="H5" s="12" t="n">
        <v>4</v>
      </c>
      <c r="I5" s="12" t="inlineStr">
        <is>
          <t>Поиск Google и Яндекс</t>
        </is>
      </c>
      <c r="J5" s="12" t="inlineStr">
        <is>
          <t>Студент или аналитик до регистрации</t>
        </is>
      </c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 s="13">
      <c r="A6" s="12" t="inlineStr">
        <is>
          <t>ROLE-002</t>
        </is>
      </c>
      <c r="B6" s="12" t="inlineStr">
        <is>
          <t>Новый пользователь</t>
        </is>
      </c>
      <c r="C6" s="12" t="inlineStr">
        <is>
          <t>Получить первую диаграмму</t>
        </is>
      </c>
      <c r="D6" s="12" t="inlineStr">
        <is>
          <t>Сложность синтаксиса текстовых языков</t>
        </is>
      </c>
      <c r="E6" s="12" t="inlineStr">
        <is>
          <t>Корректная диаграмма из текста</t>
        </is>
      </c>
      <c r="F6" s="12" t="n">
        <v>3</v>
      </c>
      <c r="G6" s="12" t="n">
        <v>4</v>
      </c>
      <c r="H6" s="12" t="n">
        <v>5</v>
      </c>
      <c r="I6" s="12" t="inlineStr">
        <is>
          <t>Сайт, регистрация</t>
        </is>
      </c>
      <c r="J6" s="12" t="inlineStr">
        <is>
          <t>Основной сегмент Free</t>
        </is>
      </c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</row>
    <row r="7" s="13">
      <c r="A7" s="12" t="inlineStr">
        <is>
          <t>ROLE-003</t>
        </is>
      </c>
      <c r="B7" s="12" t="inlineStr">
        <is>
          <t>Активный пользователь</t>
        </is>
      </c>
      <c r="C7" s="12" t="inlineStr">
        <is>
          <t>Регулярно строить диаграммы разных нотаций</t>
        </is>
      </c>
      <c r="D7" s="12" t="inlineStr">
        <is>
          <t>Нужны несколько инструментов</t>
        </is>
      </c>
      <c r="E7" s="12" t="inlineStr">
        <is>
          <t>Все нотации в одном месте</t>
        </is>
      </c>
      <c r="F7" s="12" t="n">
        <v>4</v>
      </c>
      <c r="G7" s="12" t="n">
        <v>5</v>
      </c>
      <c r="H7" s="12" t="n">
        <v>4</v>
      </c>
      <c r="I7" s="12" t="inlineStr">
        <is>
          <t>Личный кабинет</t>
        </is>
      </c>
      <c r="J7" s="12" t="inlineStr">
        <is>
          <t>Студенты старших курсов и аналитики</t>
        </is>
      </c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 s="13">
      <c r="A8" s="12" t="inlineStr">
        <is>
          <t>ROLE-004</t>
        </is>
      </c>
      <c r="B8" s="12" t="inlineStr">
        <is>
          <t>Платящий клиент</t>
        </is>
      </c>
      <c r="C8" s="12" t="inlineStr">
        <is>
          <t>Снять ограничения Free</t>
        </is>
      </c>
      <c r="D8" s="12" t="inlineStr">
        <is>
          <t>Ограничения бесплатного уровня</t>
        </is>
      </c>
      <c r="E8" s="12" t="inlineStr">
        <is>
          <t>Профессиональный результат</t>
        </is>
      </c>
      <c r="F8" s="12" t="n">
        <v>4</v>
      </c>
      <c r="G8" s="12" t="n">
        <v>3</v>
      </c>
      <c r="H8" s="12" t="n">
        <v>5</v>
      </c>
      <c r="I8" s="12" t="inlineStr">
        <is>
          <t>Прямой заход, кабинет</t>
        </is>
      </c>
      <c r="J8" s="12" t="inlineStr">
        <is>
          <t>Подписка Pro</t>
        </is>
      </c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</row>
    <row r="9" s="13">
      <c r="A9" s="12" t="inlineStr">
        <is>
          <t>ROLE-005</t>
        </is>
      </c>
      <c r="B9" s="12" t="inlineStr">
        <is>
          <t>Внутренний администратор</t>
        </is>
      </c>
      <c r="C9" s="12" t="inlineStr">
        <is>
          <t>Обрабатывать обращения и ошибки</t>
        </is>
      </c>
      <c r="D9" s="12" t="inlineStr">
        <is>
          <t>Обращения по нотациям и оплате</t>
        </is>
      </c>
      <c r="E9" s="12" t="inlineStr">
        <is>
          <t>Качество сервиса</t>
        </is>
      </c>
      <c r="F9" s="12" t="n">
        <v>5</v>
      </c>
      <c r="G9" s="12" t="n">
        <v>3</v>
      </c>
      <c r="H9" s="12" t="n">
        <v>3</v>
      </c>
      <c r="I9" s="12" t="inlineStr">
        <is>
          <t>Поддержка</t>
        </is>
      </c>
      <c r="J9" s="12" t="inlineStr">
        <is>
          <t>Роль команды проекта</t>
        </is>
      </c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</sheetData>
  <mergeCells count="2">
    <mergeCell ref="A1:J1"/>
    <mergeCell ref="A2:J2"/>
  </mergeCells>
  <dataValidations count="2">
    <dataValidation sqref="H5:H104" showDropDown="0" showInputMessage="0" showErrorMessage="0" allowBlank="0" type="list">
      <formula1>"1,2,3,4,5"</formula1>
    </dataValidation>
    <dataValidation sqref="I5:I104" showDropDown="0" showInputMessage="0" showErrorMessage="0" allowBlank="0" type="list">
      <formula1>"Поиск,Реклама,Социальные сети,Рекомендация,Партнерский канал,Прямой вход,Уведомление,Внутренний переход"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topLeftCell="G1" workbookViewId="0">
      <selection activeCell="D16" sqref="D16"/>
    </sheetView>
  </sheetViews>
  <sheetFormatPr baseColWidth="8" defaultRowHeight="14.25"/>
  <cols>
    <col width="13" customWidth="1" style="13" min="1" max="1"/>
    <col width="12" customWidth="1" style="13" min="2" max="2"/>
    <col width="31.25" customWidth="1" style="13" min="3" max="3"/>
    <col width="57.125" customWidth="1" style="13" min="4" max="4"/>
    <col width="39.875" customWidth="1" style="13" min="5" max="5"/>
    <col width="60" customWidth="1" style="13" min="6" max="6"/>
    <col width="40" customWidth="1" style="13" min="7" max="7"/>
    <col width="31" customWidth="1" style="13" min="8" max="8"/>
    <col width="31.25" customWidth="1" style="13" min="9" max="9"/>
    <col width="14" customWidth="1" style="13" min="10" max="10"/>
    <col width="12" customWidth="1" style="13" min="11" max="12"/>
    <col width="16" customWidth="1" style="13" min="13" max="13"/>
    <col width="20" customWidth="1" style="13" min="14" max="14"/>
    <col width="16" customWidth="1" style="13" min="15" max="15"/>
  </cols>
  <sheetData>
    <row r="1" ht="27" customHeight="1" s="13">
      <c r="A1" s="10" t="inlineStr">
        <is>
          <t>Пользовательские сценарии</t>
        </is>
      </c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Сценарий должен иметь пользовательскую цель, поток действий, бизнес-результат и связку с интерфейсными единицами</t>
        </is>
      </c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45" customHeight="1" s="13">
      <c r="A4" s="3" t="inlineStr">
        <is>
          <t>Сценарий_ID</t>
        </is>
      </c>
      <c r="B4" s="3" t="inlineStr">
        <is>
          <t>Роль_ID</t>
        </is>
      </c>
      <c r="C4" s="3" t="inlineStr">
        <is>
          <t>Этап пути</t>
        </is>
      </c>
      <c r="D4" s="3" t="inlineStr">
        <is>
          <t>Пользовательская цель</t>
        </is>
      </c>
      <c r="E4" s="3" t="inlineStr">
        <is>
          <t>Начальный триггер</t>
        </is>
      </c>
      <c r="F4" s="3" t="inlineStr">
        <is>
          <t>Основной поток</t>
        </is>
      </c>
      <c r="G4" s="3" t="inlineStr">
        <is>
          <t>Альтернативный поток</t>
        </is>
      </c>
      <c r="H4" s="3" t="inlineStr">
        <is>
          <t>Данные / контент</t>
        </is>
      </c>
      <c r="I4" s="3" t="inlineStr">
        <is>
          <t>Бизнес-результат</t>
        </is>
      </c>
      <c r="J4" s="3" t="inlineStr">
        <is>
          <t>Критичность 1–5</t>
        </is>
      </c>
      <c r="K4" s="3" t="inlineStr">
        <is>
          <t>Частота 1–5</t>
        </is>
      </c>
      <c r="L4" s="3" t="inlineStr">
        <is>
          <t>Сложность 1–5</t>
        </is>
      </c>
      <c r="M4" s="3" t="inlineStr">
        <is>
          <t>Кол-во страниц/экранов</t>
        </is>
      </c>
      <c r="N4" s="3" t="inlineStr">
        <is>
          <t>Статус покрытия</t>
        </is>
      </c>
      <c r="O4" s="3" t="inlineStr">
        <is>
          <t>Приоритет сценария</t>
        </is>
      </c>
      <c r="P4" s="2" t="n"/>
      <c r="Q4" s="2" t="n"/>
      <c r="R4" s="2" t="n"/>
      <c r="S4" s="2" t="n"/>
      <c r="T4" s="2" t="n"/>
      <c r="U4" s="2" t="n"/>
    </row>
    <row r="5" customFormat="1" s="18">
      <c r="A5" s="17" t="inlineStr">
        <is>
          <t>SC-001</t>
        </is>
      </c>
      <c r="B5" s="17" t="inlineStr">
        <is>
          <t>ROLE-001</t>
        </is>
      </c>
      <c r="C5" s="17" t="inlineStr">
        <is>
          <t>Вход в сценарий</t>
        </is>
      </c>
      <c r="D5" s="17" t="inlineStr">
        <is>
          <t>Найти инструмент для диаграммы нотации</t>
        </is>
      </c>
      <c r="E5" s="17" t="inlineStr">
        <is>
          <t>Задание по проектированию, поиск</t>
        </is>
      </c>
      <c r="F5" s="17" t="inlineStr">
        <is>
          <t>Запрос в поиске, переход на главную, страница возможностей</t>
        </is>
      </c>
      <c r="G5" s="17" t="inlineStr">
        <is>
          <t>Выбор другого инструмента</t>
        </is>
      </c>
      <c r="H5" s="17" t="inlineStr">
        <is>
          <t>Названия нотаций, примеры</t>
        </is>
      </c>
      <c r="I5" s="17" t="inlineStr">
        <is>
          <t>Рост трафика</t>
        </is>
      </c>
      <c r="J5" s="17" t="n">
        <v>4</v>
      </c>
      <c r="K5" s="17" t="n">
        <v>4</v>
      </c>
      <c r="L5" s="17" t="n">
        <v>2</v>
      </c>
      <c r="M5" s="17">
        <f>IF(A5="","",COUNTIF(Страницы_и_экраны!$E\$5:$E\$304,A5))</f>
        <v/>
      </c>
      <c r="N5" s="17">
        <f>IF(A5="","",IF(M5&gt;0,"Покрыт","Нет страницы/экрана"))</f>
        <v/>
      </c>
      <c r="O5" s="17">
        <f>IF(A5="","",MAX(0,MIN(100,ROUND(((J5*0.45)+(K5*0.35)-(L5*0.2))*20,0))))</f>
        <v/>
      </c>
      <c r="P5" s="17" t="n"/>
      <c r="Q5" s="17" t="n"/>
      <c r="R5" s="17" t="n"/>
      <c r="S5" s="17" t="n"/>
      <c r="T5" s="17" t="n"/>
      <c r="U5" s="17" t="n"/>
    </row>
    <row r="6" customFormat="1" s="18">
      <c r="A6" s="17" t="inlineStr">
        <is>
          <t>SC-002</t>
        </is>
      </c>
      <c r="B6" s="17" t="inlineStr">
        <is>
          <t>ROLE-001</t>
        </is>
      </c>
      <c r="C6" s="17" t="inlineStr">
        <is>
          <t>Проверка соответствия</t>
        </is>
      </c>
      <c r="D6" s="17" t="inlineStr">
        <is>
          <t>Сравнить NotaCode с другими инструментами и увидеть цену</t>
        </is>
      </c>
      <c r="E6" s="17" t="inlineStr">
        <is>
          <t>Сомнение в выборе</t>
        </is>
      </c>
      <c r="F6" s="17" t="inlineStr">
        <is>
          <t>Страница возможностей, тарифы, документация</t>
        </is>
      </c>
      <c r="G6" s="17" t="inlineStr">
        <is>
          <t>Уход к draw.io или PlantUML</t>
        </is>
      </c>
      <c r="H6" s="17" t="inlineStr">
        <is>
          <t>Тарифы, сравнение</t>
        </is>
      </c>
      <c r="I6" s="17" t="inlineStr">
        <is>
          <t>Конверсия в регистрацию</t>
        </is>
      </c>
      <c r="J6" s="17" t="n">
        <v>4</v>
      </c>
      <c r="K6" s="17" t="n">
        <v>4</v>
      </c>
      <c r="L6" s="17" t="n">
        <v>2</v>
      </c>
      <c r="M6" s="17">
        <f>IF(A6="","",COUNTIF(Страницы_и_экраны!$E\$5:$E\$304,A6))</f>
        <v/>
      </c>
      <c r="N6" s="17">
        <f>IF(A6="","",IF(M6&gt;0,"Покрыт","Нет страницы/экрана"))</f>
        <v/>
      </c>
      <c r="O6" s="17">
        <f>IF(A6="","",MAX(0,MIN(100,ROUND(((J6*0.45)+(K6*0.35)-(L6*0.2))*20,0))))</f>
        <v/>
      </c>
      <c r="P6" s="17" t="n"/>
      <c r="Q6" s="17" t="n"/>
      <c r="R6" s="17" t="n"/>
      <c r="S6" s="17" t="n"/>
      <c r="T6" s="17" t="n"/>
      <c r="U6" s="17" t="n"/>
    </row>
    <row r="7" customFormat="1" s="18">
      <c r="A7" s="17" t="inlineStr">
        <is>
          <t>SC-003</t>
        </is>
      </c>
      <c r="B7" s="17" t="inlineStr">
        <is>
          <t>ROLE-002</t>
        </is>
      </c>
      <c r="C7" s="17" t="inlineStr">
        <is>
          <t>Принятие решения</t>
        </is>
      </c>
      <c r="D7" s="17" t="inlineStr">
        <is>
          <t>Зарегистрироваться в бесплатном уровне</t>
        </is>
      </c>
      <c r="E7" s="17" t="inlineStr">
        <is>
          <t>Решение попробовать</t>
        </is>
      </c>
      <c r="F7" s="17" t="inlineStr">
        <is>
          <t>Кнопка входа, форма, подтверждение, переход в редактор</t>
        </is>
      </c>
      <c r="G7" s="17" t="inlineStr">
        <is>
          <t>Отказ от регистрации</t>
        </is>
      </c>
      <c r="H7" s="17" t="inlineStr">
        <is>
          <t>Почта, пароль</t>
        </is>
      </c>
      <c r="I7" s="17" t="inlineStr">
        <is>
          <t>Активация</t>
        </is>
      </c>
      <c r="J7" s="17" t="n">
        <v>4</v>
      </c>
      <c r="K7" s="17" t="n">
        <v>4</v>
      </c>
      <c r="L7" s="17" t="n">
        <v>2</v>
      </c>
      <c r="M7" s="17">
        <f>IF(A7="","",COUNTIF(Страницы_и_экраны!$E\$5:$E\$304,A7))</f>
        <v/>
      </c>
      <c r="N7" s="17">
        <f>IF(A7="","",IF(M7&gt;0,"Покрыт","Нет страницы/экрана"))</f>
        <v/>
      </c>
      <c r="O7" s="17">
        <f>IF(A7="","",MAX(0,MIN(100,ROUND(((J7*0.45)+(K7*0.35)-(L7*0.2))*20,0))))</f>
        <v/>
      </c>
      <c r="P7" s="17" t="n"/>
      <c r="Q7" s="17" t="n"/>
      <c r="R7" s="17" t="n"/>
      <c r="S7" s="17" t="n"/>
      <c r="T7" s="17" t="n"/>
      <c r="U7" s="17" t="n"/>
    </row>
    <row r="8" customFormat="1" s="18">
      <c r="A8" s="17" t="inlineStr">
        <is>
          <t>SC-004</t>
        </is>
      </c>
      <c r="B8" s="17" t="inlineStr">
        <is>
          <t>ROLE-002</t>
        </is>
      </c>
      <c r="C8" s="17" t="inlineStr">
        <is>
          <t>Первое получение ценности</t>
        </is>
      </c>
      <c r="D8" s="17" t="inlineStr">
        <is>
          <t>Построить первую диаграмму из текста</t>
        </is>
      </c>
      <c r="E8" s="17" t="inlineStr">
        <is>
          <t>Задание на диаграмму</t>
        </is>
      </c>
      <c r="F8" s="17" t="inlineStr">
        <is>
          <t>Выбор нотации, ввод текста, предпросмотр, правка</t>
        </is>
      </c>
      <c r="G8" s="17" t="inlineStr">
        <is>
          <t>Ошибка синтаксиса, подсказка</t>
        </is>
      </c>
      <c r="H8" s="17" t="inlineStr">
        <is>
          <t>Текст диаграммы</t>
        </is>
      </c>
      <c r="I8" s="17" t="inlineStr">
        <is>
          <t>Первое значимое действие</t>
        </is>
      </c>
      <c r="J8" s="17" t="n">
        <v>5</v>
      </c>
      <c r="K8" s="17" t="n">
        <v>5</v>
      </c>
      <c r="L8" s="17" t="n">
        <v>4</v>
      </c>
      <c r="M8" s="17">
        <f>IF(A8="","",COUNTIF(Страницы_и_экраны!$E\$5:$E\$304,A8))</f>
        <v/>
      </c>
      <c r="N8" s="17">
        <f>IF(A8="","",IF(M8&gt;0,"Покрыт","Нет страницы/экрана"))</f>
        <v/>
      </c>
      <c r="O8" s="17">
        <f>IF(A8="","",MAX(0,MIN(100,ROUND(((J8*0.45)+(K8*0.35)-(L8*0.2))*20,0))))</f>
        <v/>
      </c>
      <c r="P8" s="17" t="n"/>
      <c r="Q8" s="17" t="n"/>
      <c r="R8" s="17" t="n"/>
      <c r="S8" s="17" t="n"/>
      <c r="T8" s="17" t="n"/>
      <c r="U8" s="17" t="n"/>
    </row>
    <row r="9" customFormat="1" s="18">
      <c r="A9" s="17" t="inlineStr">
        <is>
          <t>SC-005</t>
        </is>
      </c>
      <c r="B9" s="17" t="inlineStr">
        <is>
          <t>ROLE-003</t>
        </is>
      </c>
      <c r="C9" s="17" t="inlineStr">
        <is>
          <t>Первое получение ценности</t>
        </is>
      </c>
      <c r="D9" s="17" t="inlineStr">
        <is>
          <t>Построить диаграмму IDEF0 или DFD</t>
        </is>
      </c>
      <c r="E9" s="17" t="inlineStr">
        <is>
          <t>Задание по стандарту моделирования</t>
        </is>
      </c>
      <c r="F9" s="17" t="inlineStr">
        <is>
          <t>Выбор нотации, ввод текста, предпросмотр</t>
        </is>
      </c>
      <c r="G9" s="17" t="inlineStr">
        <is>
          <t>Достигнут лимит проектов Free</t>
        </is>
      </c>
      <c r="H9" s="17" t="inlineStr">
        <is>
          <t>Текст диаграммы</t>
        </is>
      </c>
      <c r="I9" s="17" t="inlineStr">
        <is>
          <t>Отличие от конкурентов</t>
        </is>
      </c>
      <c r="J9" s="17" t="n">
        <v>5</v>
      </c>
      <c r="K9" s="17" t="n">
        <v>3</v>
      </c>
      <c r="L9" s="17" t="n">
        <v>4</v>
      </c>
      <c r="M9" s="17">
        <f>IF(A9="","",COUNTIF(Страницы_и_экраны!$E\$5:$E\$304,A9))</f>
        <v/>
      </c>
      <c r="N9" s="17">
        <f>IF(A9="","",IF(M9&gt;0,"Покрыт","Нет страницы/экрана"))</f>
        <v/>
      </c>
      <c r="O9" s="17">
        <f>IF(A9="","",MAX(0,MIN(100,ROUND(((J9*0.45)+(K9*0.35)-(L9*0.2))*20,0))))</f>
        <v/>
      </c>
      <c r="P9" s="17" t="n"/>
      <c r="Q9" s="17" t="n"/>
      <c r="R9" s="17" t="n"/>
      <c r="S9" s="17" t="n"/>
      <c r="T9" s="17" t="n"/>
      <c r="U9" s="17" t="n"/>
    </row>
    <row r="10" customFormat="1" s="18">
      <c r="A10" s="17" t="inlineStr">
        <is>
          <t>SC-006</t>
        </is>
      </c>
      <c r="B10" s="17" t="inlineStr">
        <is>
          <t>ROLE-002</t>
        </is>
      </c>
      <c r="C10" s="17" t="inlineStr">
        <is>
          <t>Первое получение ценности</t>
        </is>
      </c>
      <c r="D10" s="17" t="inlineStr">
        <is>
          <t>Экспортировать диаграмму в PNG или SVG</t>
        </is>
      </c>
      <c r="E10" s="17" t="inlineStr">
        <is>
          <t>Оформление работы</t>
        </is>
      </c>
      <c r="F10" s="17" t="inlineStr">
        <is>
          <t>Кнопка экспорта, выбор формата, скачивание</t>
        </is>
      </c>
      <c r="G10" s="17" t="inlineStr">
        <is>
          <t>Формат недоступен</t>
        </is>
      </c>
      <c r="H10" s="17" t="inlineStr">
        <is>
          <t>Диаграмма, формат</t>
        </is>
      </c>
      <c r="I10" s="17" t="inlineStr">
        <is>
          <t>Удовлетворённость</t>
        </is>
      </c>
      <c r="J10" s="17" t="n">
        <v>5</v>
      </c>
      <c r="K10" s="17" t="n">
        <v>5</v>
      </c>
      <c r="L10" s="17" t="n">
        <v>2</v>
      </c>
      <c r="M10" s="17">
        <f>IF(A10="","",COUNTIF(Страницы_и_экраны!$E\$5:$E\$304,A10))</f>
        <v/>
      </c>
      <c r="N10" s="17">
        <f>IF(A10="","",IF(M10&gt;0,"Покрыт","Нет страницы/экрана"))</f>
        <v/>
      </c>
      <c r="O10" s="17">
        <f>IF(A10="","",MAX(0,MIN(100,ROUND(((J10*0.45)+(K10*0.35)-(L10*0.2))*20,0))))</f>
        <v/>
      </c>
      <c r="P10" s="17" t="n"/>
      <c r="Q10" s="17" t="n"/>
      <c r="R10" s="17" t="n"/>
      <c r="S10" s="17" t="n"/>
      <c r="T10" s="17" t="n"/>
      <c r="U10" s="17" t="n"/>
    </row>
    <row r="11" customFormat="1" s="18">
      <c r="A11" s="17" t="inlineStr">
        <is>
          <t>SC-007</t>
        </is>
      </c>
      <c r="B11" s="17" t="inlineStr">
        <is>
          <t>ROLE-003</t>
        </is>
      </c>
      <c r="C11" s="17" t="inlineStr">
        <is>
          <t>Регулярное использование</t>
        </is>
      </c>
      <c r="D11" s="17" t="inlineStr">
        <is>
          <t>Сохранить диаграмму и вернуться к ней</t>
        </is>
      </c>
      <c r="E11" s="17" t="inlineStr">
        <is>
          <t>Возврат к заданию</t>
        </is>
      </c>
      <c r="F11" s="17" t="inlineStr">
        <is>
          <t>Вход, список диаграмм, открытие</t>
        </is>
      </c>
      <c r="G11" s="17" t="inlineStr">
        <is>
          <t>Потеря версии</t>
        </is>
      </c>
      <c r="H11" s="17" t="inlineStr">
        <is>
          <t>Сохранённые диаграммы</t>
        </is>
      </c>
      <c r="I11" s="17" t="inlineStr">
        <is>
          <t>Удержание</t>
        </is>
      </c>
      <c r="J11" s="17" t="n">
        <v>4</v>
      </c>
      <c r="K11" s="17" t="n">
        <v>4</v>
      </c>
      <c r="L11" s="17" t="n">
        <v>3</v>
      </c>
      <c r="M11" s="17">
        <f>IF(A11="","",COUNTIF(Страницы_и_экраны!$E\$5:$E\$304,A11))</f>
        <v/>
      </c>
      <c r="N11" s="17">
        <f>IF(A11="","",IF(M11&gt;0,"Покрыт","Нет страницы/экрана"))</f>
        <v/>
      </c>
      <c r="O11" s="17">
        <f>IF(A11="","",MAX(0,MIN(100,ROUND(((J11*0.45)+(K11*0.35)-(L11*0.2))*20,0))))</f>
        <v/>
      </c>
      <c r="P11" s="17" t="n"/>
      <c r="Q11" s="17" t="n"/>
      <c r="R11" s="17" t="n"/>
      <c r="S11" s="17" t="n"/>
      <c r="T11" s="17" t="n"/>
      <c r="U11" s="17" t="n"/>
    </row>
    <row r="12" customFormat="1" s="18">
      <c r="A12" s="17" t="inlineStr">
        <is>
          <t>SC-008</t>
        </is>
      </c>
      <c r="B12" s="17" t="inlineStr">
        <is>
          <t>ROLE-004</t>
        </is>
      </c>
      <c r="C12" s="17" t="inlineStr">
        <is>
          <t>Продление и развитие</t>
        </is>
      </c>
      <c r="D12" s="17" t="inlineStr">
        <is>
          <t>Оформить подписку Pro</t>
        </is>
      </c>
      <c r="E12" s="17" t="inlineStr">
        <is>
          <t>Достигнут лимит Free</t>
        </is>
      </c>
      <c r="F12" s="17" t="inlineStr">
        <is>
          <t>Тарифы, выбор Pro, оплата 40 у.е. в год</t>
        </is>
      </c>
      <c r="G12" s="17" t="inlineStr">
        <is>
          <t>Ошибка оплаты</t>
        </is>
      </c>
      <c r="H12" s="17" t="inlineStr">
        <is>
          <t>Платёжные данные</t>
        </is>
      </c>
      <c r="I12" s="17" t="inlineStr">
        <is>
          <t>Выручка Pro</t>
        </is>
      </c>
      <c r="J12" s="17" t="n">
        <v>5</v>
      </c>
      <c r="K12" s="17" t="n">
        <v>3</v>
      </c>
      <c r="L12" s="17" t="n">
        <v>3</v>
      </c>
      <c r="M12" s="17">
        <f>IF(A12="","",COUNTIF(Страницы_и_экраны!$E\$5:$E\$304,A12))</f>
        <v/>
      </c>
      <c r="N12" s="17">
        <f>IF(A12="","",IF(M12&gt;0,"Покрыт","Нет страницы/экрана"))</f>
        <v/>
      </c>
      <c r="O12" s="17">
        <f>IF(A12="","",MAX(0,MIN(100,ROUND(((J12*0.45)+(K12*0.35)-(L12*0.2))*20,0))))</f>
        <v/>
      </c>
      <c r="P12" s="17" t="n"/>
      <c r="Q12" s="17" t="n"/>
      <c r="R12" s="17" t="n"/>
      <c r="S12" s="17" t="n"/>
      <c r="T12" s="17" t="n"/>
      <c r="U12" s="17" t="n"/>
    </row>
    <row r="13" customFormat="1" s="18">
      <c r="A13" s="17" t="inlineStr">
        <is>
          <t>SC-009</t>
        </is>
      </c>
      <c r="B13" s="17" t="inlineStr">
        <is>
          <t>ROLE-002</t>
        </is>
      </c>
      <c r="C13" s="17" t="inlineStr">
        <is>
          <t>Поддержка и ошибки</t>
        </is>
      </c>
      <c r="D13" s="17" t="inlineStr">
        <is>
          <t>Исправить ошибку в описании диаграммы</t>
        </is>
      </c>
      <c r="E13" s="17" t="inlineStr">
        <is>
          <t>Сообщение об ошибке</t>
        </is>
      </c>
      <c r="F13" s="17" t="inlineStr">
        <is>
          <t>Сообщение, подсказка, пример, правка</t>
        </is>
      </c>
      <c r="G13" s="17" t="inlineStr">
        <is>
          <t>Обращение в поддержку</t>
        </is>
      </c>
      <c r="H13" s="17" t="inlineStr">
        <is>
          <t>Текст диаграммы, сообщение</t>
        </is>
      </c>
      <c r="I13" s="17" t="inlineStr">
        <is>
          <t>Снижение оттока</t>
        </is>
      </c>
      <c r="J13" s="17" t="n">
        <v>4</v>
      </c>
      <c r="K13" s="17" t="n">
        <v>4</v>
      </c>
      <c r="L13" s="17" t="n">
        <v>3</v>
      </c>
      <c r="M13" s="17">
        <f>IF(A13="","",COUNTIF(Страницы_и_экраны!$E\$5:$E\$304,A13))</f>
        <v/>
      </c>
      <c r="N13" s="17">
        <f>IF(A13="","",IF(M13&gt;0,"Покрыт","Нет страницы/экрана"))</f>
        <v/>
      </c>
      <c r="O13" s="17">
        <f>IF(A13="","",MAX(0,MIN(100,ROUND(((J13*0.45)+(K13*0.35)-(L13*0.2))*20,0))))</f>
        <v/>
      </c>
      <c r="P13" s="17" t="n"/>
      <c r="Q13" s="17" t="n"/>
      <c r="R13" s="17" t="n"/>
      <c r="S13" s="17" t="n"/>
      <c r="T13" s="17" t="n"/>
      <c r="U13" s="17" t="n"/>
    </row>
    <row r="14" customFormat="1" s="18">
      <c r="A14" s="17" t="inlineStr">
        <is>
          <t>SC-010</t>
        </is>
      </c>
      <c r="B14" s="17" t="inlineStr">
        <is>
          <t>ROLE-003</t>
        </is>
      </c>
      <c r="C14" s="17" t="inlineStr">
        <is>
          <t>Поддержка и ошибки</t>
        </is>
      </c>
      <c r="D14" s="17" t="inlineStr">
        <is>
          <t>Найти ответ в документации</t>
        </is>
      </c>
      <c r="E14" s="17" t="inlineStr">
        <is>
          <t>Вопрос по нотации</t>
        </is>
      </c>
      <c r="F14" s="17" t="inlineStr">
        <is>
          <t>Поиск, раздел документации, пример</t>
        </is>
      </c>
      <c r="G14" s="17" t="inlineStr">
        <is>
          <t>Обращение в поддержку</t>
        </is>
      </c>
      <c r="H14" s="17" t="inlineStr">
        <is>
          <t>Статьи документации</t>
        </is>
      </c>
      <c r="I14" s="17" t="inlineStr">
        <is>
          <t>Снижение нагрузки на поддержку</t>
        </is>
      </c>
      <c r="J14" s="17" t="n">
        <v>3</v>
      </c>
      <c r="K14" s="17" t="n">
        <v>3</v>
      </c>
      <c r="L14" s="17" t="n">
        <v>2</v>
      </c>
      <c r="M14" s="17">
        <f>IF(A14="","",COUNTIF(Страницы_и_экраны!$E\$5:$E\$304,A14))</f>
        <v/>
      </c>
      <c r="N14" s="17">
        <f>IF(A14="","",IF(M14&gt;0,"Покрыт","Нет страницы/экрана"))</f>
        <v/>
      </c>
      <c r="O14" s="17">
        <f>IF(A14="","",MAX(0,MIN(100,ROUND(((J14*0.45)+(K14*0.35)-(L14*0.2))*20,0))))</f>
        <v/>
      </c>
      <c r="P14" s="17" t="n"/>
      <c r="Q14" s="17" t="n"/>
      <c r="R14" s="17" t="n"/>
      <c r="S14" s="17" t="n"/>
      <c r="T14" s="17" t="n"/>
      <c r="U14" s="17" t="n"/>
    </row>
  </sheetData>
  <mergeCells count="2">
    <mergeCell ref="A1:O1"/>
    <mergeCell ref="A2:O2"/>
  </mergeCells>
  <conditionalFormatting sqref="N5:N304">
    <cfRule type="expression" priority="1" dxfId="2">
      <formula>N5="Нет страницы/экрана"</formula>
    </cfRule>
    <cfRule type="expression" priority="2" dxfId="0">
      <formula>N5="Покрыт"</formula>
    </cfRule>
  </conditionalFormatting>
  <dataValidations count="2">
    <dataValidation sqref="C5:C304" showDropDown="0" showInputMessage="0" showErrorMessage="0" allowBlank="0" type="list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sqref="J5:L304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D20" sqref="D20"/>
    </sheetView>
  </sheetViews>
  <sheetFormatPr baseColWidth="8" defaultRowHeight="14.25"/>
  <cols>
    <col width="12" customWidth="1" style="13" min="1" max="1"/>
    <col width="18" customWidth="1" style="13" min="2" max="2"/>
    <col width="26" customWidth="1" style="13" min="3" max="3"/>
    <col width="42" customWidth="1" style="13" min="4" max="4"/>
    <col width="15" customWidth="1" style="13" min="5" max="5"/>
    <col width="12" customWidth="1" style="13" min="6" max="6"/>
    <col width="20" customWidth="1" style="13" min="7" max="7"/>
    <col width="34" customWidth="1" style="13" min="8" max="8"/>
    <col width="30" customWidth="1" style="13" min="9" max="9"/>
    <col width="28" customWidth="1" style="13" min="10" max="10"/>
    <col width="38" customWidth="1" style="13" min="11" max="11"/>
    <col width="42" customWidth="1" style="13" min="12" max="12"/>
    <col width="30" customWidth="1" style="13" min="13" max="13"/>
    <col width="32" customWidth="1" style="13" min="14" max="14"/>
    <col width="18" customWidth="1" style="13" min="15" max="15"/>
    <col width="24" customWidth="1" style="13" min="16" max="16"/>
    <col width="16" customWidth="1" style="13" min="17" max="17"/>
    <col width="22" customWidth="1" style="13" min="18" max="18"/>
    <col width="14" customWidth="1" style="13" min="19" max="19"/>
    <col width="16" customWidth="1" style="13" min="20" max="20"/>
    <col width="24" customWidth="1" style="13" min="21" max="21"/>
  </cols>
  <sheetData>
    <row r="1" ht="30.75" customHeight="1" s="13">
      <c r="A1" s="10" t="inlineStr">
        <is>
          <t>Страницы сайта и экраны приложения</t>
        </is>
      </c>
    </row>
    <row r="2" ht="16.15" customHeight="1" s="13">
      <c r="A2" s="11" t="inlineStr">
        <is>
          <t>Каждая интерфейсная единица должна выводиться из сценария, проблемы, ценностного предложения или требования бизнес-модели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36" customHeight="1" s="13">
      <c r="A4" s="3" t="inlineStr">
        <is>
          <t>Unit_ID</t>
        </is>
      </c>
      <c r="B4" s="3" t="inlineStr">
        <is>
          <t>Тип</t>
        </is>
      </c>
      <c r="C4" s="3" t="inlineStr">
        <is>
          <t>Название</t>
        </is>
      </c>
      <c r="D4" s="3" t="inlineStr">
        <is>
          <t>Назначение</t>
        </is>
      </c>
      <c r="E4" s="3" t="inlineStr">
        <is>
          <t>Связанный сценарий_ID</t>
        </is>
      </c>
      <c r="F4" s="3" t="inlineStr">
        <is>
          <t>Роль_ID</t>
        </is>
      </c>
      <c r="G4" s="3" t="inlineStr">
        <is>
          <t>Этап пути</t>
        </is>
      </c>
      <c r="H4" s="3" t="inlineStr">
        <is>
          <t>Главная задача пользователя</t>
        </is>
      </c>
      <c r="I4" s="3" t="inlineStr">
        <is>
          <t>Ключевое действие</t>
        </is>
      </c>
      <c r="J4" s="3" t="inlineStr">
        <is>
          <t>Источник требования</t>
        </is>
      </c>
      <c r="K4" s="3" t="inlineStr">
        <is>
          <t>Данные / контент</t>
        </is>
      </c>
      <c r="L4" s="3" t="inlineStr">
        <is>
          <t>Компоненты</t>
        </is>
      </c>
      <c r="M4" s="3" t="inlineStr">
        <is>
          <t>Состояния</t>
        </is>
      </c>
      <c r="N4" s="3" t="inlineStr">
        <is>
          <t>Ошибки / исключения</t>
        </is>
      </c>
      <c r="O4" s="3" t="inlineStr">
        <is>
          <t>Нужна авторизация</t>
        </is>
      </c>
      <c r="P4" s="3" t="inlineStr">
        <is>
          <t>Монетизационная роль</t>
        </is>
      </c>
      <c r="Q4" s="3" t="inlineStr">
        <is>
          <t>Оценка приоритета</t>
        </is>
      </c>
      <c r="R4" s="3" t="inlineStr">
        <is>
          <t>Статус</t>
        </is>
      </c>
      <c r="S4" s="3" t="inlineStr">
        <is>
          <t>Доказательность 1–5</t>
        </is>
      </c>
      <c r="T4" s="3" t="inlineStr">
        <is>
          <t>Полнота описания</t>
        </is>
      </c>
      <c r="U4" s="3" t="inlineStr">
        <is>
          <t>Решение</t>
        </is>
      </c>
    </row>
    <row r="5" ht="28.5" customFormat="1" customHeight="1" s="16">
      <c r="A5" s="15" t="inlineStr">
        <is>
          <t>U-001</t>
        </is>
      </c>
      <c r="B5" s="15" t="inlineStr">
        <is>
          <t>Страница сайта</t>
        </is>
      </c>
      <c r="C5" s="15" t="inlineStr">
        <is>
          <t>Главная страница</t>
        </is>
      </c>
      <c r="D5" s="15" t="inlineStr">
        <is>
          <t>Объяснить, что делает NotaCode, и привести к возможностям и регистрации</t>
        </is>
      </c>
      <c r="E5" s="15" t="inlineStr">
        <is>
          <t>SC-001</t>
        </is>
      </c>
      <c r="F5" s="15" t="inlineStr">
        <is>
          <t>ROLE-001</t>
        </is>
      </c>
      <c r="G5" s="15" t="inlineStr">
        <is>
          <t>Вход в сценарий</t>
        </is>
      </c>
      <c r="H5" s="15" t="inlineStr">
        <is>
          <t>Понять, подходит ли инструмент</t>
        </is>
      </c>
      <c r="I5" s="15" t="inlineStr">
        <is>
          <t>Перейти к возможностям или регистрации</t>
        </is>
      </c>
      <c r="J5" s="15" t="inlineStr">
        <is>
          <t>A-007; ЛР5</t>
        </is>
      </c>
      <c r="K5" s="15" t="inlineStr">
        <is>
          <t>Обещание, нотации, примеры</t>
        </is>
      </c>
      <c r="L5" s="15" t="inlineStr">
        <is>
          <t>Заголовок, список нотаций, призыв «Попробовать бесплатно»</t>
        </is>
      </c>
      <c r="M5" s="15" t="inlineStr">
        <is>
          <t>Обычное, загрузка</t>
        </is>
      </c>
      <c r="N5" s="15" t="inlineStr">
        <is>
          <t>Нет ответа сервера</t>
        </is>
      </c>
      <c r="O5" s="15" t="inlineStr">
        <is>
          <t>Нет</t>
        </is>
      </c>
      <c r="P5" s="15" t="inlineStr">
        <is>
          <t>Косвенная</t>
        </is>
      </c>
      <c r="Q5" s="15">
        <f>IF(A5="","",IFERROR(INDEX(Пользовательские_сценарии!$O\$5:$O\$304,MATCH(E5,Пользовательские_сценарии!$A\$5:$A\$304,0)),0))</f>
        <v/>
      </c>
      <c r="R5" s="15" t="inlineStr">
        <is>
          <t>Принято</t>
        </is>
      </c>
      <c r="S5" s="15" t="n">
        <v>4</v>
      </c>
      <c r="T5" s="19">
        <f>IF(A5="","",ROUND(COUNTA(D5:P5)/13,2))</f>
        <v/>
      </c>
      <c r="U5" s="15" t="inlineStr">
        <is>
          <t>Оставить</t>
        </is>
      </c>
    </row>
    <row r="6" ht="28.5" customFormat="1" customHeight="1" s="16">
      <c r="A6" s="15" t="inlineStr">
        <is>
          <t>U-002</t>
        </is>
      </c>
      <c r="B6" s="15" t="inlineStr">
        <is>
          <t>Страница сайта</t>
        </is>
      </c>
      <c r="C6" s="15" t="inlineStr">
        <is>
          <t>Возможности и нотации</t>
        </is>
      </c>
      <c r="D6" s="15" t="inlineStr">
        <is>
          <t>Показать нотации UML, BPMN, ERD, IDEF0, DFD, сети Петри и отличие</t>
        </is>
      </c>
      <c r="E6" s="15" t="inlineStr">
        <is>
          <t>SC-002</t>
        </is>
      </c>
      <c r="F6" s="15" t="inlineStr">
        <is>
          <t>ROLE-001</t>
        </is>
      </c>
      <c r="G6" s="15" t="inlineStr">
        <is>
          <t>Понимание ценности</t>
        </is>
      </c>
      <c r="H6" s="15" t="inlineStr">
        <is>
          <t>Убедиться в наборе нотаций</t>
        </is>
      </c>
      <c r="I6" s="15" t="inlineStr">
        <is>
          <t>Перейти к тарифам или регистрации</t>
        </is>
      </c>
      <c r="J6" s="15" t="inlineStr">
        <is>
          <t>ЛР5: конкурентный пробел</t>
        </is>
      </c>
      <c r="K6" s="15" t="inlineStr">
        <is>
          <t>Список нотаций, примеры диаграмм</t>
        </is>
      </c>
      <c r="L6" s="15" t="inlineStr">
        <is>
          <t>Блоки нотаций, примеры, сравнение</t>
        </is>
      </c>
      <c r="M6" s="15" t="inlineStr">
        <is>
          <t>Обычное</t>
        </is>
      </c>
      <c r="N6" s="15" t="inlineStr">
        <is>
          <t>Нет ответа сервера</t>
        </is>
      </c>
      <c r="O6" s="15" t="inlineStr">
        <is>
          <t>Нет</t>
        </is>
      </c>
      <c r="P6" s="15" t="inlineStr">
        <is>
          <t>Косвенная</t>
        </is>
      </c>
      <c r="Q6" s="15">
        <f>IF(A6="","",IFERROR(INDEX(Пользовательские_сценарии!$O\$5:$O\$304,MATCH(E6,Пользовательские_сценарии!$A\$5:$A\$304,0)),0))</f>
        <v/>
      </c>
      <c r="R6" s="15" t="inlineStr">
        <is>
          <t>Принято</t>
        </is>
      </c>
      <c r="S6" s="15" t="n">
        <v>4</v>
      </c>
      <c r="T6" s="19">
        <f>IF(A6="","",ROUND(COUNTA(D6:P6)/13,2))</f>
        <v/>
      </c>
      <c r="U6" s="15" t="inlineStr">
        <is>
          <t>Оставить</t>
        </is>
      </c>
    </row>
    <row r="7" ht="28.5" customFormat="1" customHeight="1" s="16">
      <c r="A7" s="15" t="inlineStr">
        <is>
          <t>U-003</t>
        </is>
      </c>
      <c r="B7" s="15" t="inlineStr">
        <is>
          <t>Страница сайта</t>
        </is>
      </c>
      <c r="C7" s="15" t="inlineStr">
        <is>
          <t>Тарифы Free и Pro</t>
        </is>
      </c>
      <c r="D7" s="15" t="inlineStr">
        <is>
          <t>Прозрачный выбор между Free и Pro</t>
        </is>
      </c>
      <c r="E7" s="15" t="inlineStr">
        <is>
          <t>SC-002</t>
        </is>
      </c>
      <c r="F7" s="15" t="inlineStr">
        <is>
          <t>ROLE-001</t>
        </is>
      </c>
      <c r="G7" s="15" t="inlineStr">
        <is>
          <t>Принятие решения</t>
        </is>
      </c>
      <c r="H7" s="15" t="inlineStr">
        <is>
          <t>Понять цену и ограничения</t>
        </is>
      </c>
      <c r="I7" s="15" t="inlineStr">
        <is>
          <t>Выбрать Pro и перейти к оплате</t>
        </is>
      </c>
      <c r="J7" s="15" t="inlineStr">
        <is>
          <t>ЛР5: тарифы у 5 из 8; M-001</t>
        </is>
      </c>
      <c r="K7" s="15" t="inlineStr">
        <is>
          <t>Free 0 у.е., Pro 40 у.е. в год (48 у.е. при 4 x 12)</t>
        </is>
      </c>
      <c r="L7" s="15" t="inlineStr">
        <is>
          <t>Таблица тарифов, ограничения, вопросы</t>
        </is>
      </c>
      <c r="M7" s="15" t="inlineStr">
        <is>
          <t>Новый пользователь, тариф выбран, активная подписка</t>
        </is>
      </c>
      <c r="N7" s="15" t="inlineStr">
        <is>
          <t>Ошибка загрузки цен</t>
        </is>
      </c>
      <c r="O7" s="15" t="inlineStr">
        <is>
          <t>Нет</t>
        </is>
      </c>
      <c r="P7" s="15" t="inlineStr">
        <is>
          <t>Подведение к оплате</t>
        </is>
      </c>
      <c r="Q7" s="15">
        <f>IF(A7="","",IFERROR(INDEX(Пользовательские_сценарии!$O\$5:$O\$304,MATCH(E7,Пользовательские_сценарии!$A\$5:$A\$304,0)),0))</f>
        <v/>
      </c>
      <c r="R7" s="15" t="inlineStr">
        <is>
          <t>Принято</t>
        </is>
      </c>
      <c r="S7" s="15" t="n">
        <v>4</v>
      </c>
      <c r="T7" s="19">
        <f>IF(A7="","",ROUND(COUNTA(D7:P7)/13,2))</f>
        <v/>
      </c>
      <c r="U7" s="15" t="n"/>
    </row>
    <row r="8" ht="28.5" customFormat="1" customHeight="1" s="16">
      <c r="A8" s="15" t="inlineStr">
        <is>
          <t>U-004</t>
        </is>
      </c>
      <c r="B8" s="15" t="inlineStr">
        <is>
          <t>Страница сайта</t>
        </is>
      </c>
      <c r="C8" s="15" t="inlineStr">
        <is>
          <t>Документация и примеры</t>
        </is>
      </c>
      <c r="D8" s="15" t="inlineStr">
        <is>
          <t>Научиться пользоваться нотациями без поддержки</t>
        </is>
      </c>
      <c r="E8" s="15" t="inlineStr">
        <is>
          <t>SC-010</t>
        </is>
      </c>
      <c r="F8" s="15" t="inlineStr">
        <is>
          <t>ROLE-003</t>
        </is>
      </c>
      <c r="G8" s="15" t="inlineStr">
        <is>
          <t>Поддержка и ошибки</t>
        </is>
      </c>
      <c r="H8" s="15" t="inlineStr">
        <is>
          <t>Найти пример нотации</t>
        </is>
      </c>
      <c r="I8" s="15" t="inlineStr">
        <is>
          <t>Открыть пример и скопировать в редактор</t>
        </is>
      </c>
      <c r="J8" s="15" t="inlineStr">
        <is>
          <t>ЛР5: документация у 6 из 8</t>
        </is>
      </c>
      <c r="K8" s="15" t="inlineStr">
        <is>
          <t>Статьи, примеры</t>
        </is>
      </c>
      <c r="L8" s="15" t="inlineStr">
        <is>
          <t>Поиск, список статей, пример</t>
        </is>
      </c>
      <c r="M8" s="15" t="inlineStr">
        <is>
          <t>Обычное, пустой поиск</t>
        </is>
      </c>
      <c r="N8" s="15" t="inlineStr">
        <is>
          <t>Статья не найдена</t>
        </is>
      </c>
      <c r="O8" s="15" t="inlineStr">
        <is>
          <t>Нет</t>
        </is>
      </c>
      <c r="P8" s="15" t="inlineStr">
        <is>
          <t>Косвенная</t>
        </is>
      </c>
      <c r="Q8" s="15">
        <f>IF(A8="","",IFERROR(INDEX(Пользовательские_сценарии!$O\$5:$O\$304,MATCH(E8,Пользовательские_сценарии!$A\$5:$A\$304,0)),0))</f>
        <v/>
      </c>
      <c r="R8" s="15" t="inlineStr">
        <is>
          <t>Принято</t>
        </is>
      </c>
      <c r="S8" s="15" t="n">
        <v>3</v>
      </c>
      <c r="T8" s="19">
        <f>IF(A8="","",ROUND(COUNTA(D8:P8)/13,2))</f>
        <v/>
      </c>
      <c r="U8" s="15" t="n"/>
    </row>
    <row r="9" ht="28.5" customFormat="1" customHeight="1" s="16">
      <c r="A9" s="15" t="inlineStr">
        <is>
          <t>U-005</t>
        </is>
      </c>
      <c r="B9" s="15" t="inlineStr">
        <is>
          <t>Страница сайта</t>
        </is>
      </c>
      <c r="C9" s="15" t="inlineStr">
        <is>
          <t>Регистрация и вход</t>
        </is>
      </c>
      <c r="D9" s="15" t="inlineStr">
        <is>
          <t>Получить доступ к редактору Free</t>
        </is>
      </c>
      <c r="E9" s="15" t="inlineStr">
        <is>
          <t>SC-003</t>
        </is>
      </c>
      <c r="F9" s="15" t="inlineStr">
        <is>
          <t>ROLE-002</t>
        </is>
      </c>
      <c r="G9" s="15" t="inlineStr">
        <is>
          <t>Принятие решения</t>
        </is>
      </c>
      <c r="H9" s="15" t="inlineStr">
        <is>
          <t>Зарегистрироваться</t>
        </is>
      </c>
      <c r="I9" s="15" t="inlineStr">
        <is>
          <t>Отправить форму регистрации</t>
        </is>
      </c>
      <c r="J9" s="15" t="inlineStr">
        <is>
          <t>ЛР5: вход у 5 из 8</t>
        </is>
      </c>
      <c r="K9" s="15" t="inlineStr">
        <is>
          <t>Почта, пароль</t>
        </is>
      </c>
      <c r="L9" s="15" t="inlineStr">
        <is>
          <t>Форма, согласие с условиями</t>
        </is>
      </c>
      <c r="M9" s="15" t="inlineStr">
        <is>
          <t>Начальное, ошибка валидации, успех</t>
        </is>
      </c>
      <c r="N9" s="15" t="inlineStr">
        <is>
          <t>Почта занята, ошибка сети</t>
        </is>
      </c>
      <c r="O9" s="15" t="inlineStr">
        <is>
          <t>Нет</t>
        </is>
      </c>
      <c r="P9" s="15" t="inlineStr">
        <is>
          <t>Косвенная</t>
        </is>
      </c>
      <c r="Q9" s="15">
        <f>IF(A9="","",IFERROR(INDEX(Пользовательские_сценарии!$O\$5:$O\$304,MATCH(E9,Пользовательские_сценарии!$A\$5:$A\$304,0)),0))</f>
        <v/>
      </c>
      <c r="R9" s="15" t="inlineStr">
        <is>
          <t>Принято</t>
        </is>
      </c>
      <c r="S9" s="15" t="n">
        <v>4</v>
      </c>
      <c r="T9" s="19">
        <f>IF(A9="","",ROUND(COUNTA(D9:P9)/13,2))</f>
        <v/>
      </c>
      <c r="U9" s="15" t="n"/>
    </row>
    <row r="10" ht="28.5" customFormat="1" customHeight="1" s="16">
      <c r="A10" s="15" t="inlineStr">
        <is>
          <t>U-006</t>
        </is>
      </c>
      <c r="B10" s="15" t="inlineStr">
        <is>
          <t>Страница сайта</t>
        </is>
      </c>
      <c r="C10" s="15" t="inlineStr">
        <is>
          <t>Оплата Pro</t>
        </is>
      </c>
      <c r="D10" s="15" t="inlineStr">
        <is>
          <t>Оформить годовую подписку Pro</t>
        </is>
      </c>
      <c r="E10" s="15" t="inlineStr">
        <is>
          <t>SC-008</t>
        </is>
      </c>
      <c r="F10" s="15" t="inlineStr">
        <is>
          <t>ROLE-004</t>
        </is>
      </c>
      <c r="G10" s="15" t="inlineStr">
        <is>
          <t>Продление и развитие</t>
        </is>
      </c>
      <c r="H10" s="15" t="inlineStr">
        <is>
          <t>Оплатить подписку</t>
        </is>
      </c>
      <c r="I10" s="15" t="inlineStr">
        <is>
          <t>Подтвердить оплату</t>
        </is>
      </c>
      <c r="J10" s="15" t="inlineStr">
        <is>
          <t>M-001; 6.2</t>
        </is>
      </c>
      <c r="K10" s="15" t="inlineStr">
        <is>
          <t>Платёжные данные (у провайдера)</t>
        </is>
      </c>
      <c r="L10" s="15" t="inlineStr">
        <is>
          <t>Состав заказа, платёжная форма, подтверждение</t>
        </is>
      </c>
      <c r="M10" s="15" t="inlineStr">
        <is>
          <t>Выбран тариф, оплата, успех, ошибка оплаты</t>
        </is>
      </c>
      <c r="N10" s="15" t="inlineStr">
        <is>
          <t>Отказ платежа, повтор</t>
        </is>
      </c>
      <c r="O10" s="15" t="inlineStr">
        <is>
          <t>Да</t>
        </is>
      </c>
      <c r="P10" s="15" t="inlineStr">
        <is>
          <t>Прямая</t>
        </is>
      </c>
      <c r="Q10" s="15">
        <f>IF(A10="","",IFERROR(INDEX(Пользовательские_сценарии!$O\$5:$O\$304,MATCH(E10,Пользовательские_сценарии!$A\$5:$A\$304,0)),0))</f>
        <v/>
      </c>
      <c r="R10" s="15" t="inlineStr">
        <is>
          <t>Требует уточнения</t>
        </is>
      </c>
      <c r="S10" s="15" t="n">
        <v>3</v>
      </c>
      <c r="T10" s="19">
        <f>IF(A10="","",ROUND(COUNTA(D10:P10)/13,2))</f>
        <v/>
      </c>
      <c r="U10" s="15" t="n"/>
    </row>
    <row r="11" ht="28.5" customFormat="1" customHeight="1" s="16">
      <c r="A11" s="15" t="inlineStr">
        <is>
          <t>U-007</t>
        </is>
      </c>
      <c r="B11" s="15" t="inlineStr">
        <is>
          <t>Экран приложения</t>
        </is>
      </c>
      <c r="C11" s="15" t="inlineStr">
        <is>
          <t>Выбор нотации и шаблона</t>
        </is>
      </c>
      <c r="D11" s="15" t="inlineStr">
        <is>
          <t>Выбрать нотацию и начать с примера</t>
        </is>
      </c>
      <c r="E11" s="15" t="inlineStr">
        <is>
          <t>SC-005</t>
        </is>
      </c>
      <c r="F11" s="15" t="inlineStr">
        <is>
          <t>ROLE-002</t>
        </is>
      </c>
      <c r="G11" s="15" t="inlineStr">
        <is>
          <t>Первое получение ценности</t>
        </is>
      </c>
      <c r="H11" s="15" t="inlineStr">
        <is>
          <t>Выбрать нотацию</t>
        </is>
      </c>
      <c r="I11" s="15" t="inlineStr">
        <is>
          <t>Выбрать нотацию или пример</t>
        </is>
      </c>
      <c r="J11" s="15" t="inlineStr">
        <is>
          <t>ЛР5: стандарт; 6.3: F-001</t>
        </is>
      </c>
      <c r="K11" s="15" t="inlineStr">
        <is>
          <t>Список нотаций, примеры</t>
        </is>
      </c>
      <c r="L11" s="15" t="inlineStr">
        <is>
          <t>Карточки нотаций, шаблоны</t>
        </is>
      </c>
      <c r="M11" s="15" t="inlineStr">
        <is>
          <t>Начальное, пустое</t>
        </is>
      </c>
      <c r="N11" s="15" t="inlineStr">
        <is>
          <t>Ошибка загрузки списка</t>
        </is>
      </c>
      <c r="O11" s="15" t="inlineStr">
        <is>
          <t>Да</t>
        </is>
      </c>
      <c r="P11" s="15" t="inlineStr">
        <is>
          <t>Косвенная</t>
        </is>
      </c>
      <c r="Q11" s="15">
        <f>IF(A11="","",IFERROR(INDEX(Пользовательские_сценарии!$O\$5:$O\$304,MATCH(E11,Пользовательские_сценарии!$A\$5:$A\$304,0)),0))</f>
        <v/>
      </c>
      <c r="R11" s="15" t="inlineStr">
        <is>
          <t>Принято</t>
        </is>
      </c>
      <c r="S11" s="15" t="n">
        <v>4</v>
      </c>
      <c r="T11" s="19">
        <f>IF(A11="","",ROUND(COUNTA(D11:P11)/13,2))</f>
        <v/>
      </c>
      <c r="U11" s="15" t="n"/>
    </row>
    <row r="12" ht="28.5" customFormat="1" customHeight="1" s="16">
      <c r="A12" s="15" t="inlineStr">
        <is>
          <t>U-008</t>
        </is>
      </c>
      <c r="B12" s="15" t="inlineStr">
        <is>
          <t>Экран приложения</t>
        </is>
      </c>
      <c r="C12" s="15" t="inlineStr">
        <is>
          <t>Рабочая область редактора</t>
        </is>
      </c>
      <c r="D12" s="15" t="inlineStr">
        <is>
          <t>Ввести текст диаграммы и увидеть результат</t>
        </is>
      </c>
      <c r="E12" s="15" t="inlineStr">
        <is>
          <t>SC-004</t>
        </is>
      </c>
      <c r="F12" s="15" t="inlineStr">
        <is>
          <t>ROLE-002</t>
        </is>
      </c>
      <c r="G12" s="15" t="inlineStr">
        <is>
          <t>Первое получение ценности</t>
        </is>
      </c>
      <c r="H12" s="15" t="inlineStr">
        <is>
          <t>Построить диаграмму</t>
        </is>
      </c>
      <c r="I12" s="15" t="inlineStr">
        <is>
          <t>Ввести текст и увидеть предпросмотр</t>
        </is>
      </c>
      <c r="J12" s="15" t="inlineStr">
        <is>
          <t>6.3: F-001; ЛР5</t>
        </is>
      </c>
      <c r="K12" s="15" t="inlineStr">
        <is>
          <t>Текст диаграммы</t>
        </is>
      </c>
      <c r="L12" s="15" t="inlineStr">
        <is>
          <t>Поле ввода, предпросмотр, панель ошибок</t>
        </is>
      </c>
      <c r="M12" s="15" t="inlineStr">
        <is>
          <t>Нормальное, пустое, загрузка, ошибка, успех</t>
        </is>
      </c>
      <c r="N12" s="15" t="inlineStr">
        <is>
          <t>Ошибка синтаксиса, ошибка сети</t>
        </is>
      </c>
      <c r="O12" s="15" t="inlineStr">
        <is>
          <t>Да</t>
        </is>
      </c>
      <c r="P12" s="15" t="inlineStr">
        <is>
          <t>Прямая (ограничения Free)</t>
        </is>
      </c>
      <c r="Q12" s="15">
        <f>IF(A12="","",IFERROR(INDEX(Пользовательские_сценарии!$O\$5:$O\$304,MATCH(E12,Пользовательские_сценарии!$A\$5:$A\$304,0)),0))</f>
        <v/>
      </c>
      <c r="R12" s="15" t="inlineStr">
        <is>
          <t>Принято</t>
        </is>
      </c>
      <c r="S12" s="15" t="n">
        <v>4</v>
      </c>
      <c r="T12" s="19">
        <f>IF(A12="","",ROUND(COUNTA(D12:P12)/13,2))</f>
        <v/>
      </c>
      <c r="U12" s="15" t="n"/>
    </row>
    <row r="13" ht="28.5" customFormat="1" customHeight="1" s="16">
      <c r="A13" s="15" t="inlineStr">
        <is>
          <t>U-009</t>
        </is>
      </c>
      <c r="B13" s="15" t="inlineStr">
        <is>
          <t>Экран приложения</t>
        </is>
      </c>
      <c r="C13" s="15" t="inlineStr">
        <is>
          <t>Результат и экспорт</t>
        </is>
      </c>
      <c r="D13" s="15" t="inlineStr">
        <is>
          <t>Получить файл диаграммы</t>
        </is>
      </c>
      <c r="E13" s="15" t="inlineStr">
        <is>
          <t>SC-006</t>
        </is>
      </c>
      <c r="F13" s="15" t="inlineStr">
        <is>
          <t>ROLE-002</t>
        </is>
      </c>
      <c r="G13" s="15" t="inlineStr">
        <is>
          <t>Первое получение ценности</t>
        </is>
      </c>
      <c r="H13" s="15" t="inlineStr">
        <is>
          <t>Скачать диаграмму</t>
        </is>
      </c>
      <c r="I13" s="15" t="inlineStr">
        <is>
          <t>Выбрать формат и скачать</t>
        </is>
      </c>
      <c r="J13" s="15" t="inlineStr">
        <is>
          <t>ЛР5: экспорт у 8 из 8</t>
        </is>
      </c>
      <c r="K13" s="15" t="inlineStr">
        <is>
          <t>Диаграмма, формат</t>
        </is>
      </c>
      <c r="L13" s="15" t="inlineStr">
        <is>
          <t>Выбор формата PNG, SVG, кнопка скачивания</t>
        </is>
      </c>
      <c r="M13" s="15" t="inlineStr">
        <is>
          <t>Нормальное, успех, формат недоступен</t>
        </is>
      </c>
      <c r="N13" s="15" t="inlineStr">
        <is>
          <t>Ошибка экспорта</t>
        </is>
      </c>
      <c r="O13" s="15" t="inlineStr">
        <is>
          <t>Да</t>
        </is>
      </c>
      <c r="P13" s="15" t="inlineStr">
        <is>
          <t>Прямая (форматы Pro)</t>
        </is>
      </c>
      <c r="Q13" s="15">
        <f>IF(A13="","",IFERROR(INDEX(Пользовательские_сценарии!$O\$5:$O\$304,MATCH(E13,Пользовательские_сценарии!$A\$5:$A\$304,0)),0))</f>
        <v/>
      </c>
      <c r="R13" s="15" t="inlineStr">
        <is>
          <t>Принято</t>
        </is>
      </c>
      <c r="S13" s="15" t="n">
        <v>5</v>
      </c>
      <c r="T13" s="19">
        <f>IF(A13="","",ROUND(COUNTA(D13:P13)/13,2))</f>
        <v/>
      </c>
      <c r="U13" s="15" t="n"/>
    </row>
    <row r="14" ht="28.5" customFormat="1" customHeight="1" s="16">
      <c r="A14" s="15" t="inlineStr">
        <is>
          <t>U-010</t>
        </is>
      </c>
      <c r="B14" s="15" t="inlineStr">
        <is>
          <t>Экран приложения</t>
        </is>
      </c>
      <c r="C14" s="15" t="inlineStr">
        <is>
          <t>Мои диаграммы</t>
        </is>
      </c>
      <c r="D14" s="15" t="inlineStr">
        <is>
          <t>Вернуться к сохранённым диаграммам</t>
        </is>
      </c>
      <c r="E14" s="15" t="inlineStr">
        <is>
          <t>SC-007</t>
        </is>
      </c>
      <c r="F14" s="15" t="inlineStr">
        <is>
          <t>ROLE-003</t>
        </is>
      </c>
      <c r="G14" s="15" t="inlineStr">
        <is>
          <t>Регулярное использование</t>
        </is>
      </c>
      <c r="H14" s="15" t="inlineStr">
        <is>
          <t>Открыть сохранённую диаграмму</t>
        </is>
      </c>
      <c r="I14" s="15" t="inlineStr">
        <is>
          <t>Открыть диаграмму из списка</t>
        </is>
      </c>
      <c r="J14" s="15" t="inlineStr">
        <is>
          <t>ЛР5: история версий у 5 из 8</t>
        </is>
      </c>
      <c r="K14" s="15" t="inlineStr">
        <is>
          <t>Список диаграмм</t>
        </is>
      </c>
      <c r="L14" s="15" t="inlineStr">
        <is>
          <t>Список, поиск, действия</t>
        </is>
      </c>
      <c r="M14" s="15" t="inlineStr">
        <is>
          <t>Список, пустой список, загрузка</t>
        </is>
      </c>
      <c r="N14" s="15" t="inlineStr">
        <is>
          <t>Диаграмма не найдена</t>
        </is>
      </c>
      <c r="O14" s="15" t="inlineStr">
        <is>
          <t>Да</t>
        </is>
      </c>
      <c r="P14" s="15" t="inlineStr">
        <is>
          <t>Косвенная</t>
        </is>
      </c>
      <c r="Q14" s="15">
        <f>IF(A14="","",IFERROR(INDEX(Пользовательские_сценарии!$O\$5:$O\$304,MATCH(E14,Пользовательские_сценарии!$A\$5:$A\$304,0)),0))</f>
        <v/>
      </c>
      <c r="R14" s="15" t="inlineStr">
        <is>
          <t>Принято</t>
        </is>
      </c>
      <c r="S14" s="15" t="n">
        <v>3</v>
      </c>
      <c r="T14" s="19">
        <f>IF(A14="","",ROUND(COUNTA(D14:P14)/13,2))</f>
        <v/>
      </c>
      <c r="U14" s="15" t="n"/>
    </row>
    <row r="15" ht="28.5" customFormat="1" customHeight="1" s="16">
      <c r="A15" s="15" t="inlineStr">
        <is>
          <t>U-011</t>
        </is>
      </c>
      <c r="B15" s="15" t="inlineStr">
        <is>
          <t>Экран приложения</t>
        </is>
      </c>
      <c r="C15" s="15" t="inlineStr">
        <is>
          <t>Подсказка об ошибке синтаксиса</t>
        </is>
      </c>
      <c r="D15" s="15" t="inlineStr">
        <is>
          <t>Объяснить ошибку и предложить исправление</t>
        </is>
      </c>
      <c r="E15" s="15" t="inlineStr">
        <is>
          <t>SC-009</t>
        </is>
      </c>
      <c r="F15" s="15" t="inlineStr">
        <is>
          <t>ROLE-002</t>
        </is>
      </c>
      <c r="G15" s="15" t="inlineStr">
        <is>
          <t>Поддержка и ошибки</t>
        </is>
      </c>
      <c r="H15" s="15" t="inlineStr">
        <is>
          <t>Исправить ошибку</t>
        </is>
      </c>
      <c r="I15" s="15" t="inlineStr">
        <is>
          <t>Принять подсказку или исправить вручную</t>
        </is>
      </c>
      <c r="J15" s="15" t="inlineStr">
        <is>
          <t>Проблема P-001 (6.1); данные о реализации - гипотеза</t>
        </is>
      </c>
      <c r="K15" s="15" t="inlineStr">
        <is>
          <t>Текст диаграммы, сообщение</t>
        </is>
      </c>
      <c r="L15" s="15" t="inlineStr">
        <is>
          <t>Сообщение, пример исправления</t>
        </is>
      </c>
      <c r="M15" s="15" t="inlineStr">
        <is>
          <t>Ошибка, исправлено</t>
        </is>
      </c>
      <c r="N15" s="15" t="inlineStr">
        <is>
          <t>Подсказка недоступна</t>
        </is>
      </c>
      <c r="O15" s="15" t="inlineStr">
        <is>
          <t>Да</t>
        </is>
      </c>
      <c r="P15" s="15" t="inlineStr">
        <is>
          <t>Косвенная</t>
        </is>
      </c>
      <c r="Q15" s="15">
        <f>IF(A15="","",IFERROR(INDEX(Пользовательские_сценарии!$O\$5:$O\$304,MATCH(E15,Пользовательские_сценарии!$A\$5:$A\$304,0)),0))</f>
        <v/>
      </c>
      <c r="R15" s="15" t="inlineStr">
        <is>
          <t>Гипотеза</t>
        </is>
      </c>
      <c r="S15" s="15" t="n">
        <v>2</v>
      </c>
      <c r="T15" s="19">
        <f>IF(A15="","",ROUND(COUNTA(D15:P15)/13,2))</f>
        <v/>
      </c>
      <c r="U15" s="15" t="n"/>
    </row>
    <row r="16" ht="28.5" customFormat="1" customHeight="1" s="16">
      <c r="A16" s="15" t="inlineStr">
        <is>
          <t>U-012</t>
        </is>
      </c>
      <c r="B16" s="15" t="inlineStr">
        <is>
          <t>Экран приложения</t>
        </is>
      </c>
      <c r="C16" s="15" t="inlineStr">
        <is>
          <t>Профиль и подписка</t>
        </is>
      </c>
      <c r="D16" s="15" t="inlineStr">
        <is>
          <t>Управлять подпиской и настройками</t>
        </is>
      </c>
      <c r="E16" s="15" t="inlineStr">
        <is>
          <t>SC-008</t>
        </is>
      </c>
      <c r="F16" s="15" t="inlineStr">
        <is>
          <t>ROLE-004</t>
        </is>
      </c>
      <c r="G16" s="15" t="inlineStr">
        <is>
          <t>Продление и развитие</t>
        </is>
      </c>
      <c r="H16" s="15" t="inlineStr">
        <is>
          <t>Проверить и продлить подписку</t>
        </is>
      </c>
      <c r="I16" s="15" t="inlineStr">
        <is>
          <t>Продлить или отменить подписку</t>
        </is>
      </c>
      <c r="J16" s="15" t="inlineStr">
        <is>
          <t>M-001</t>
        </is>
      </c>
      <c r="K16" s="15" t="inlineStr">
        <is>
          <t>Статус подписки, дата продления</t>
        </is>
      </c>
      <c r="L16" s="15" t="inlineStr">
        <is>
          <t>Профиль, подписка, настройки</t>
        </is>
      </c>
      <c r="M16" s="15" t="inlineStr">
        <is>
          <t>Free, активная подписка, истёкший доступ</t>
        </is>
      </c>
      <c r="N16" s="15" t="inlineStr">
        <is>
          <t>Ошибка продления</t>
        </is>
      </c>
      <c r="O16" s="15" t="inlineStr">
        <is>
          <t>Да</t>
        </is>
      </c>
      <c r="P16" s="15" t="inlineStr">
        <is>
          <t>Прямая</t>
        </is>
      </c>
      <c r="Q16" s="15">
        <f>IF(A16="","",IFERROR(INDEX(Пользовательские_сценарии!$O\$5:$O\$304,MATCH(E16,Пользовательские_сценарии!$A\$5:$A\$304,0)),0))</f>
        <v/>
      </c>
      <c r="R16" s="15" t="inlineStr">
        <is>
          <t>Принято</t>
        </is>
      </c>
      <c r="S16" s="15" t="n">
        <v>3</v>
      </c>
      <c r="T16" s="19">
        <f>IF(A16="","",ROUND(COUNTA(D16:P16)/13,2))</f>
        <v/>
      </c>
      <c r="U16" s="15" t="n"/>
    </row>
    <row r="17" ht="28.5" customFormat="1" customHeight="1" s="16">
      <c r="A17" s="15" t="inlineStr">
        <is>
          <t>U-013</t>
        </is>
      </c>
      <c r="B17" s="15" t="inlineStr">
        <is>
          <t>Экран приложения</t>
        </is>
      </c>
      <c r="C17" s="15" t="inlineStr">
        <is>
          <t>ИИ-ассистент</t>
        </is>
      </c>
      <c r="D17" s="15" t="inlineStr">
        <is>
          <t>Описать диаграмму словами и получить текст диаграммы</t>
        </is>
      </c>
      <c r="E17" s="15" t="inlineStr">
        <is>
          <t>SC-004</t>
        </is>
      </c>
      <c r="F17" s="15" t="inlineStr">
        <is>
          <t>ROLE-002</t>
        </is>
      </c>
      <c r="G17" s="15" t="inlineStr">
        <is>
          <t>Первое получение ценности</t>
        </is>
      </c>
      <c r="H17" s="15" t="inlineStr">
        <is>
          <t>Сформулировать диаграмму словами</t>
        </is>
      </c>
      <c r="I17" s="15" t="inlineStr">
        <is>
          <t>Отправить запрос ассистенту</t>
        </is>
      </c>
      <c r="J17" s="15" t="inlineStr">
        <is>
          <t>6.3: F-011; Eraser, Mermaid Chart</t>
        </is>
      </c>
      <c r="K17" s="15" t="inlineStr">
        <is>
          <t>Запрос, ответ</t>
        </is>
      </c>
      <c r="L17" s="15" t="inlineStr">
        <is>
          <t>Поле запроса, ответ, применение к редактору</t>
        </is>
      </c>
      <c r="M17" s="15" t="inlineStr">
        <is>
          <t>Начальное, загрузка, ответ, лимит исчерпан</t>
        </is>
      </c>
      <c r="N17" s="15" t="inlineStr">
        <is>
          <t>Лимит ИИ, ошибка сервиса</t>
        </is>
      </c>
      <c r="O17" s="15" t="inlineStr">
        <is>
          <t>Да</t>
        </is>
      </c>
      <c r="P17" s="15" t="inlineStr">
        <is>
          <t>Прямая (лимиты ИИ)</t>
        </is>
      </c>
      <c r="Q17" s="15">
        <f>IF(A17="","",IFERROR(INDEX(Пользовательские_сценарии!$O\$5:$O\$304,MATCH(E17,Пользовательские_сценарии!$A\$5:$A\$304,0)),0))</f>
        <v/>
      </c>
      <c r="R17" s="15" t="inlineStr">
        <is>
          <t>Гипотеза</t>
        </is>
      </c>
      <c r="S17" s="15" t="n">
        <v>3</v>
      </c>
      <c r="T17" s="19">
        <f>IF(A17="","",ROUND(COUNTA(D17:P17)/13,2))</f>
        <v/>
      </c>
      <c r="U17" s="15" t="n"/>
    </row>
  </sheetData>
  <mergeCells count="2">
    <mergeCell ref="A1:U1"/>
    <mergeCell ref="A2:U2"/>
  </mergeCells>
  <conditionalFormatting sqref="Q5:Q304">
    <cfRule type="dataBar" priority="1">
      <dataBar>
        <cfvo type="min"/>
        <cfvo type="max"/>
        <color rgb="FF2F6F7E"/>
      </dataBar>
    </cfRule>
    <cfRule type="dataBar" priority="3">
      <dataBar>
        <cfvo type="min"/>
        <cfvo type="max"/>
        <color rgb="FF2F6F7E"/>
      </dataBar>
    </cfRule>
  </conditionalFormatting>
  <conditionalFormatting sqref="T5:T304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7">
    <dataValidation sqref="B5:B304" showDropDown="0" showInputMessage="0" showErrorMessage="0" allowBlank="0" type="list">
      <formula1>"Страница сайта,Экран приложения,Общий модуль,Системное состояние,Форма,Личный кабинет,Платежный экран"</formula1>
    </dataValidation>
    <dataValidation sqref="G5:G304" showDropDown="0" showInputMessage="0" showErrorMessage="0" allowBlank="0" type="list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sqref="O5:O304" showDropDown="0" showInputMessage="0" showErrorMessage="0" allowBlank="0" type="list">
      <formula1>"Да,Нет,Частично"</formula1>
    </dataValidation>
    <dataValidation sqref="P5:P304" showDropDown="0" showInputMessage="0" showErrorMessage="0" allowBlank="0" type="list">
      <formula1>"Прямое получение оплаты,Подведение к оплате,Удержание,Повышение ценности тарифа,Снижение затрат,Не связана напрямую"</formula1>
    </dataValidation>
    <dataValidation sqref="R5:R304" showDropDown="0" showInputMessage="0" showErrorMessage="0" allowBlank="0" type="list">
      <formula1>"Не начато,Требует уточнения,В проектировании,В прототипе,Готово к ТЗ,Исключено"</formula1>
    </dataValidation>
    <dataValidation sqref="S5:S304" showDropDown="0" showInputMessage="0" showErrorMessage="0" allowBlank="0" type="list">
      <formula1>"1,2,3,4,5"</formula1>
    </dataValidation>
    <dataValidation sqref="U5:U304" showDropDown="0" showInputMessage="0" showErrorMessage="0" allowBlank="0" type="list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E30" sqref="E30"/>
    </sheetView>
  </sheetViews>
  <sheetFormatPr baseColWidth="8" defaultRowHeight="14.25"/>
  <cols>
    <col width="12" customWidth="1" style="13" min="1" max="1"/>
    <col width="14" customWidth="1" style="13" min="2" max="2"/>
    <col width="12" customWidth="1" style="13" min="3" max="3"/>
    <col width="20" customWidth="1" style="13" min="4" max="4"/>
    <col width="26" customWidth="1" style="13" min="5" max="5"/>
    <col width="12" customWidth="1" style="13" min="6" max="6"/>
    <col width="16" customWidth="1" style="13" min="7" max="8"/>
    <col width="44" customWidth="1" style="13" min="9" max="9"/>
  </cols>
  <sheetData>
    <row r="1" ht="30.75" customHeight="1" s="13">
      <c r="A1" s="10" t="inlineStr">
        <is>
          <t>Матрица связи сценариев со страницами и экранами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Используется для проверки покрытия сценариев и исключения интерфейсных единиц без понятной задачи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3" t="inlineStr">
        <is>
          <t>Связь_ID</t>
        </is>
      </c>
      <c r="B4" s="3" t="inlineStr">
        <is>
          <t>Сценарий_ID</t>
        </is>
      </c>
      <c r="C4" s="3" t="inlineStr">
        <is>
          <t>Unit_ID</t>
        </is>
      </c>
      <c r="D4" s="3" t="inlineStr">
        <is>
          <t>Тип связи</t>
        </is>
      </c>
      <c r="E4" s="3" t="inlineStr">
        <is>
          <t>Обязательность</t>
        </is>
      </c>
      <c r="F4" s="3" t="inlineStr">
        <is>
          <t>Порядок в сценарии</t>
        </is>
      </c>
      <c r="G4" s="3" t="inlineStr">
        <is>
          <t>Предыдущее Unit_ID</t>
        </is>
      </c>
      <c r="H4" s="3" t="inlineStr">
        <is>
          <t>Следующее Unit_ID</t>
        </is>
      </c>
      <c r="I4" s="3" t="inlineStr">
        <is>
          <t>Комментарий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28.5" customHeight="1" s="13">
      <c r="A5" s="2" t="inlineStr">
        <is>
          <t>M-001</t>
        </is>
      </c>
      <c r="B5" s="2" t="inlineStr">
        <is>
          <t>SC-001</t>
        </is>
      </c>
      <c r="C5" s="2" t="inlineStr">
        <is>
          <t>U-001</t>
        </is>
      </c>
      <c r="D5" s="2" t="inlineStr">
        <is>
          <t>Основной</t>
        </is>
      </c>
      <c r="E5" s="2" t="inlineStr">
        <is>
          <t>Обязательная</t>
        </is>
      </c>
      <c r="F5" s="2" t="n">
        <v>1</v>
      </c>
      <c r="G5" s="2" t="n"/>
      <c r="H5" s="2" t="inlineStr">
        <is>
          <t>U-002</t>
        </is>
      </c>
      <c r="I5" s="2" t="inlineStr">
        <is>
          <t>Главная страница ведет к регистрации или демонстрации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28.5" customHeight="1" s="13">
      <c r="A6" s="2" t="inlineStr">
        <is>
          <t>M-002</t>
        </is>
      </c>
      <c r="B6" s="2" t="inlineStr">
        <is>
          <t>SC-001</t>
        </is>
      </c>
      <c r="C6" s="2" t="inlineStr">
        <is>
          <t>U-002</t>
        </is>
      </c>
      <c r="D6" s="2" t="inlineStr">
        <is>
          <t>Вспомогательный</t>
        </is>
      </c>
      <c r="E6" s="2" t="inlineStr">
        <is>
          <t>Обязательная</t>
        </is>
      </c>
      <c r="F6" s="2" t="n">
        <v>2</v>
      </c>
      <c r="G6" s="2" t="inlineStr">
        <is>
          <t>U-001</t>
        </is>
      </c>
      <c r="H6" s="2" t="n"/>
      <c r="I6" s="2" t="inlineStr">
        <is>
          <t>Экран регистрации запускает пользовательскую работу с товаром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M-003</t>
        </is>
      </c>
      <c r="B7" s="2" t="inlineStr">
        <is>
          <t>SC-002</t>
        </is>
      </c>
      <c r="C7" s="2" t="inlineStr">
        <is>
          <t>U-002</t>
        </is>
      </c>
      <c r="D7" s="2" t="inlineStr">
        <is>
          <t>Основной</t>
        </is>
      </c>
      <c r="E7" s="2" t="inlineStr">
        <is>
          <t>Обязательная</t>
        </is>
      </c>
      <c r="F7" s="2" t="n">
        <v>1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M-004</t>
        </is>
      </c>
      <c r="B8" s="2" t="inlineStr">
        <is>
          <t>SC-002</t>
        </is>
      </c>
      <c r="C8" s="2" t="inlineStr">
        <is>
          <t>U-003</t>
        </is>
      </c>
      <c r="D8" s="2" t="inlineStr">
        <is>
          <t>Вспомогательный</t>
        </is>
      </c>
      <c r="E8" s="2" t="inlineStr">
        <is>
          <t>Обязательная</t>
        </is>
      </c>
      <c r="F8" s="2" t="n">
        <v>2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M-005</t>
        </is>
      </c>
      <c r="B9" s="2" t="inlineStr">
        <is>
          <t>SC-003</t>
        </is>
      </c>
      <c r="C9" s="2" t="inlineStr">
        <is>
          <t>U-005</t>
        </is>
      </c>
      <c r="D9" s="2" t="inlineStr">
        <is>
          <t>Основной</t>
        </is>
      </c>
      <c r="E9" s="2" t="inlineStr">
        <is>
          <t>Обязательная</t>
        </is>
      </c>
      <c r="F9" s="2" t="n">
        <v>1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M-006</t>
        </is>
      </c>
      <c r="B10" s="2" t="inlineStr">
        <is>
          <t>SC-003</t>
        </is>
      </c>
      <c r="C10" s="2" t="inlineStr">
        <is>
          <t>U-007</t>
        </is>
      </c>
      <c r="D10" s="2" t="inlineStr">
        <is>
          <t>Вспомогательный</t>
        </is>
      </c>
      <c r="E10" s="2" t="inlineStr">
        <is>
          <t>Обязательная</t>
        </is>
      </c>
      <c r="F10" s="2" t="n">
        <v>2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M-007</t>
        </is>
      </c>
      <c r="B11" s="2" t="inlineStr">
        <is>
          <t>SC-004</t>
        </is>
      </c>
      <c r="C11" s="2" t="inlineStr">
        <is>
          <t>U-007</t>
        </is>
      </c>
      <c r="D11" s="2" t="inlineStr">
        <is>
          <t>Основной</t>
        </is>
      </c>
      <c r="E11" s="2" t="inlineStr">
        <is>
          <t>Обязательная</t>
        </is>
      </c>
      <c r="F11" s="2" t="n">
        <v>1</v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M-008</t>
        </is>
      </c>
      <c r="B12" s="2" t="inlineStr">
        <is>
          <t>SC-004</t>
        </is>
      </c>
      <c r="C12" s="2" t="inlineStr">
        <is>
          <t>U-008</t>
        </is>
      </c>
      <c r="D12" s="2" t="inlineStr">
        <is>
          <t>Вспомогательный</t>
        </is>
      </c>
      <c r="E12" s="2" t="inlineStr">
        <is>
          <t>Обязательная</t>
        </is>
      </c>
      <c r="F12" s="2" t="n">
        <v>2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M-009</t>
        </is>
      </c>
      <c r="B13" s="2" t="inlineStr">
        <is>
          <t>SC-004</t>
        </is>
      </c>
      <c r="C13" s="2" t="inlineStr">
        <is>
          <t>U-013</t>
        </is>
      </c>
      <c r="D13" s="2" t="inlineStr">
        <is>
          <t>Вспомогательный</t>
        </is>
      </c>
      <c r="E13" s="2" t="inlineStr">
        <is>
          <t>Желательная</t>
        </is>
      </c>
      <c r="F13" s="2" t="n">
        <v>3</v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M-010</t>
        </is>
      </c>
      <c r="B14" s="2" t="inlineStr">
        <is>
          <t>SC-005</t>
        </is>
      </c>
      <c r="C14" s="2" t="inlineStr">
        <is>
          <t>U-007</t>
        </is>
      </c>
      <c r="D14" s="2" t="inlineStr">
        <is>
          <t>Основной</t>
        </is>
      </c>
      <c r="E14" s="2" t="inlineStr">
        <is>
          <t>Обязательная</t>
        </is>
      </c>
      <c r="F14" s="2" t="n">
        <v>1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M-011</t>
        </is>
      </c>
      <c r="B15" s="2" t="inlineStr">
        <is>
          <t>SC-005</t>
        </is>
      </c>
      <c r="C15" s="2" t="inlineStr">
        <is>
          <t>U-008</t>
        </is>
      </c>
      <c r="D15" s="2" t="inlineStr">
        <is>
          <t>Вспомогательный</t>
        </is>
      </c>
      <c r="E15" s="2" t="inlineStr">
        <is>
          <t>Обязательная</t>
        </is>
      </c>
      <c r="F15" s="2" t="n">
        <v>2</v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M-012</t>
        </is>
      </c>
      <c r="B16" s="2" t="inlineStr">
        <is>
          <t>SC-006</t>
        </is>
      </c>
      <c r="C16" s="2" t="inlineStr">
        <is>
          <t>U-009</t>
        </is>
      </c>
      <c r="D16" s="2" t="inlineStr">
        <is>
          <t>Основной</t>
        </is>
      </c>
      <c r="E16" s="2" t="inlineStr">
        <is>
          <t>Обязательная</t>
        </is>
      </c>
      <c r="F16" s="2" t="n">
        <v>1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M-013</t>
        </is>
      </c>
      <c r="B17" s="2" t="inlineStr">
        <is>
          <t>SC-007</t>
        </is>
      </c>
      <c r="C17" s="2" t="inlineStr">
        <is>
          <t>U-010</t>
        </is>
      </c>
      <c r="D17" s="2" t="inlineStr">
        <is>
          <t>Основной</t>
        </is>
      </c>
      <c r="E17" s="2" t="inlineStr">
        <is>
          <t>Обязательная</t>
        </is>
      </c>
      <c r="F17" s="2" t="n">
        <v>1</v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M-014</t>
        </is>
      </c>
      <c r="B18" s="2" t="inlineStr">
        <is>
          <t>SC-008</t>
        </is>
      </c>
      <c r="C18" s="2" t="inlineStr">
        <is>
          <t>U-003</t>
        </is>
      </c>
      <c r="D18" s="2" t="inlineStr">
        <is>
          <t>Основной</t>
        </is>
      </c>
      <c r="E18" s="2" t="inlineStr">
        <is>
          <t>Обязательная</t>
        </is>
      </c>
      <c r="F18" s="2" t="n">
        <v>1</v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M-015</t>
        </is>
      </c>
      <c r="B19" s="2" t="inlineStr">
        <is>
          <t>SC-008</t>
        </is>
      </c>
      <c r="C19" s="2" t="inlineStr">
        <is>
          <t>U-006</t>
        </is>
      </c>
      <c r="D19" s="2" t="inlineStr">
        <is>
          <t>Вспомогательный</t>
        </is>
      </c>
      <c r="E19" s="2" t="inlineStr">
        <is>
          <t>Обязательная</t>
        </is>
      </c>
      <c r="F19" s="2" t="n">
        <v>2</v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M-016</t>
        </is>
      </c>
      <c r="B20" s="2" t="inlineStr">
        <is>
          <t>SC-008</t>
        </is>
      </c>
      <c r="C20" s="2" t="inlineStr">
        <is>
          <t>U-012</t>
        </is>
      </c>
      <c r="D20" s="2" t="inlineStr">
        <is>
          <t>Вспомогательный</t>
        </is>
      </c>
      <c r="E20" s="2" t="inlineStr">
        <is>
          <t>Желательная</t>
        </is>
      </c>
      <c r="F20" s="2" t="n">
        <v>3</v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M-017</t>
        </is>
      </c>
      <c r="B21" s="2" t="inlineStr">
        <is>
          <t>SC-009</t>
        </is>
      </c>
      <c r="C21" s="2" t="inlineStr">
        <is>
          <t>U-011</t>
        </is>
      </c>
      <c r="D21" s="2" t="inlineStr">
        <is>
          <t>Основной</t>
        </is>
      </c>
      <c r="E21" s="2" t="inlineStr">
        <is>
          <t>Обязательная</t>
        </is>
      </c>
      <c r="F21" s="2" t="n">
        <v>1</v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M-018</t>
        </is>
      </c>
      <c r="B22" s="2" t="inlineStr">
        <is>
          <t>SC-010</t>
        </is>
      </c>
      <c r="C22" s="2" t="inlineStr">
        <is>
          <t>U-004</t>
        </is>
      </c>
      <c r="D22" s="2" t="inlineStr">
        <is>
          <t>Основной</t>
        </is>
      </c>
      <c r="E22" s="2" t="inlineStr">
        <is>
          <t>Обязательная</t>
        </is>
      </c>
      <c r="F22" s="2" t="n">
        <v>1</v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</sheetData>
  <mergeCells count="2">
    <mergeCell ref="A1:I1"/>
    <mergeCell ref="A2:I2"/>
  </mergeCells>
  <dataValidations count="2">
    <dataValidation sqref="D5:D304" showDropDown="0" showInputMessage="0" showErrorMessage="0" allowBlank="0" type="list">
      <formula1>"Основная,Поддерживающая,Альтернативная,Сервисная,Монетизационная,Контрольная"</formula1>
    </dataValidation>
    <dataValidation sqref="E5:E304" showDropDown="0" showInputMessage="0" showErrorMessage="0" allowBlank="0" type="list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E11" sqref="E11"/>
    </sheetView>
  </sheetViews>
  <sheetFormatPr baseColWidth="8" defaultRowHeight="14.25"/>
  <cols>
    <col width="12" customWidth="1" style="13" min="1" max="1"/>
    <col width="14" customWidth="1" style="13" min="2" max="3"/>
    <col width="34" customWidth="1" style="13" min="4" max="5"/>
    <col width="12" customWidth="1" style="13" min="6" max="6"/>
    <col width="22.25" customWidth="1" style="13" min="7" max="7"/>
    <col width="20" customWidth="1" style="13" min="8" max="8"/>
    <col width="14" customWidth="1" style="13" min="9" max="9"/>
    <col width="42" customWidth="1" style="13" min="10" max="10"/>
  </cols>
  <sheetData>
    <row r="1" ht="27.75" customHeight="1" s="13">
      <c r="A1" s="10" t="inlineStr">
        <is>
          <t>Навигация и карта переходов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Каждый переход описывает действие, условие, направление и риск разрыва пользовательского сценария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3" t="inlineStr">
        <is>
          <t>Переход_ID</t>
        </is>
      </c>
      <c r="B4" s="3" t="inlineStr">
        <is>
          <t>Откуда Unit_ID</t>
        </is>
      </c>
      <c r="C4" s="3" t="inlineStr">
        <is>
          <t>Куда Unit_ID</t>
        </is>
      </c>
      <c r="D4" s="3" t="inlineStr">
        <is>
          <t>Событие / действие</t>
        </is>
      </c>
      <c r="E4" s="3" t="inlineStr">
        <is>
          <t>Условие</t>
        </is>
      </c>
      <c r="F4" s="3" t="inlineStr">
        <is>
          <t>Роль_ID</t>
        </is>
      </c>
      <c r="G4" s="3" t="inlineStr">
        <is>
          <t>Этап пути</t>
        </is>
      </c>
      <c r="H4" s="3" t="inlineStr">
        <is>
          <t>Тип перехода</t>
        </is>
      </c>
      <c r="I4" s="3" t="inlineStr">
        <is>
          <t>Риск разрыва 1–5</t>
        </is>
      </c>
      <c r="J4" s="3" t="inlineStr">
        <is>
          <t>Комментарий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N-001</t>
        </is>
      </c>
      <c r="B5" s="2" t="inlineStr">
        <is>
          <t>U-001</t>
        </is>
      </c>
      <c r="C5" s="2" t="inlineStr">
        <is>
          <t>U-002</t>
        </is>
      </c>
      <c r="D5" s="2" t="inlineStr">
        <is>
          <t>Открыть возможности</t>
        </is>
      </c>
      <c r="E5" s="2" t="inlineStr">
        <is>
          <t>Нет</t>
        </is>
      </c>
      <c r="F5" s="2" t="inlineStr">
        <is>
          <t>ROLE-001</t>
        </is>
      </c>
      <c r="G5" s="2" t="inlineStr">
        <is>
          <t>Понимание ценности</t>
        </is>
      </c>
      <c r="H5" s="2" t="inlineStr">
        <is>
          <t>Сценарный</t>
        </is>
      </c>
      <c r="I5" s="2" t="n">
        <v>2</v>
      </c>
      <c r="J5" s="2" t="inlineStr">
        <is>
          <t>Главная ведёт к нотациям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N-002</t>
        </is>
      </c>
      <c r="B6" s="2" t="inlineStr">
        <is>
          <t>U-001</t>
        </is>
      </c>
      <c r="C6" s="2" t="inlineStr">
        <is>
          <t>U-005</t>
        </is>
      </c>
      <c r="D6" s="2" t="inlineStr">
        <is>
          <t>Нажать «Попробовать бесплатно»</t>
        </is>
      </c>
      <c r="E6" s="2" t="inlineStr">
        <is>
          <t>Нет</t>
        </is>
      </c>
      <c r="F6" s="2" t="inlineStr">
        <is>
          <t>ROLE-001</t>
        </is>
      </c>
      <c r="G6" s="2" t="inlineStr">
        <is>
          <t>Принятие решения</t>
        </is>
      </c>
      <c r="H6" s="2" t="inlineStr">
        <is>
          <t>Коммерческий</t>
        </is>
      </c>
      <c r="I6" s="2" t="n">
        <v>2</v>
      </c>
      <c r="J6" s="2" t="inlineStr">
        <is>
          <t>Прямой путь в Free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 ht="28.5" customHeight="1" s="13">
      <c r="A7" s="2" t="inlineStr">
        <is>
          <t>N-003</t>
        </is>
      </c>
      <c r="B7" s="2" t="inlineStr">
        <is>
          <t>U-002</t>
        </is>
      </c>
      <c r="C7" s="2" t="inlineStr">
        <is>
          <t>U-003</t>
        </is>
      </c>
      <c r="D7" s="2" t="inlineStr">
        <is>
          <t>Открыть тарифы</t>
        </is>
      </c>
      <c r="E7" s="2" t="inlineStr">
        <is>
          <t>Нет</t>
        </is>
      </c>
      <c r="F7" s="2" t="inlineStr">
        <is>
          <t>ROLE-001</t>
        </is>
      </c>
      <c r="G7" s="2" t="inlineStr">
        <is>
          <t>Проверка соответствия</t>
        </is>
      </c>
      <c r="H7" s="2" t="inlineStr">
        <is>
          <t>Сценарный</t>
        </is>
      </c>
      <c r="I7" s="2" t="n">
        <v>2</v>
      </c>
      <c r="J7" s="2" t="inlineStr">
        <is>
          <t>Сравнение перед регистрацией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N-004</t>
        </is>
      </c>
      <c r="B8" s="2" t="inlineStr">
        <is>
          <t>U-002</t>
        </is>
      </c>
      <c r="C8" s="2" t="inlineStr">
        <is>
          <t>U-005</t>
        </is>
      </c>
      <c r="D8" s="2" t="inlineStr">
        <is>
          <t>Нажать «Попробовать бесплатно»</t>
        </is>
      </c>
      <c r="E8" s="2" t="inlineStr">
        <is>
          <t>Нет</t>
        </is>
      </c>
      <c r="F8" s="2" t="inlineStr">
        <is>
          <t>ROLE-001</t>
        </is>
      </c>
      <c r="G8" s="2" t="inlineStr">
        <is>
          <t>Принятие решения</t>
        </is>
      </c>
      <c r="H8" s="2" t="inlineStr">
        <is>
          <t>Коммерческий</t>
        </is>
      </c>
      <c r="I8" s="2" t="n">
        <v>2</v>
      </c>
      <c r="J8" s="2" t="inlineStr">
        <is>
          <t>Регистрация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 ht="28.5" customHeight="1" s="13">
      <c r="A9" s="2" t="inlineStr">
        <is>
          <t>N-005</t>
        </is>
      </c>
      <c r="B9" s="2" t="inlineStr">
        <is>
          <t>U-003</t>
        </is>
      </c>
      <c r="C9" s="2" t="inlineStr">
        <is>
          <t>U-006</t>
        </is>
      </c>
      <c r="D9" s="2" t="inlineStr">
        <is>
          <t>Выбрать Pro</t>
        </is>
      </c>
      <c r="E9" s="2" t="inlineStr">
        <is>
          <t>Пользователь вошёл</t>
        </is>
      </c>
      <c r="F9" s="2" t="inlineStr">
        <is>
          <t>ROLE-004</t>
        </is>
      </c>
      <c r="G9" s="2" t="inlineStr">
        <is>
          <t>Продление и развитие</t>
        </is>
      </c>
      <c r="H9" s="2" t="inlineStr">
        <is>
          <t>Коммерческий</t>
        </is>
      </c>
      <c r="I9" s="2" t="n">
        <v>3</v>
      </c>
      <c r="J9" s="2" t="inlineStr">
        <is>
          <t>Переход к оплате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N-006</t>
        </is>
      </c>
      <c r="B10" s="2" t="inlineStr">
        <is>
          <t>U-003</t>
        </is>
      </c>
      <c r="C10" s="2" t="inlineStr">
        <is>
          <t>U-005</t>
        </is>
      </c>
      <c r="D10" s="2" t="inlineStr">
        <is>
          <t>Выбрать Free</t>
        </is>
      </c>
      <c r="E10" s="2" t="inlineStr">
        <is>
          <t>Нет аккаунта</t>
        </is>
      </c>
      <c r="F10" s="2" t="inlineStr">
        <is>
          <t>ROLE-001</t>
        </is>
      </c>
      <c r="G10" s="2" t="inlineStr">
        <is>
          <t>Принятие решения</t>
        </is>
      </c>
      <c r="H10" s="2" t="inlineStr">
        <is>
          <t>Коммерческий</t>
        </is>
      </c>
      <c r="I10" s="2" t="n">
        <v>2</v>
      </c>
      <c r="J10" s="2" t="inlineStr">
        <is>
          <t>Регистрация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8.5" customHeight="1" s="13">
      <c r="A11" s="2" t="inlineStr">
        <is>
          <t>N-007</t>
        </is>
      </c>
      <c r="B11" s="2" t="inlineStr">
        <is>
          <t>U-005</t>
        </is>
      </c>
      <c r="C11" s="2" t="inlineStr">
        <is>
          <t>U-007</t>
        </is>
      </c>
      <c r="D11" s="2" t="inlineStr">
        <is>
          <t>Подтвердить регистрацию</t>
        </is>
      </c>
      <c r="E11" s="2" t="inlineStr">
        <is>
          <t>Успех</t>
        </is>
      </c>
      <c r="F11" s="2" t="inlineStr">
        <is>
          <t>ROLE-002</t>
        </is>
      </c>
      <c r="G11" s="2" t="inlineStr">
        <is>
          <t>Первое получение ценности</t>
        </is>
      </c>
      <c r="H11" s="2" t="inlineStr">
        <is>
          <t>По состоянию</t>
        </is>
      </c>
      <c r="I11" s="2" t="n">
        <v>2</v>
      </c>
      <c r="J11" s="2" t="inlineStr">
        <is>
          <t>Переход к выбору нотации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8.5" customHeight="1" s="13">
      <c r="A12" s="2" t="inlineStr">
        <is>
          <t>N-008</t>
        </is>
      </c>
      <c r="B12" s="2" t="inlineStr">
        <is>
          <t>U-007</t>
        </is>
      </c>
      <c r="C12" s="2" t="inlineStr">
        <is>
          <t>U-008</t>
        </is>
      </c>
      <c r="D12" s="2" t="inlineStr">
        <is>
          <t>Выбрать нотацию</t>
        </is>
      </c>
      <c r="E12" s="2" t="inlineStr">
        <is>
          <t>Нотация доступна</t>
        </is>
      </c>
      <c r="F12" s="2" t="inlineStr">
        <is>
          <t>ROLE-002</t>
        </is>
      </c>
      <c r="G12" s="2" t="inlineStr">
        <is>
          <t>Первое получение ценности</t>
        </is>
      </c>
      <c r="H12" s="2" t="inlineStr">
        <is>
          <t>Сценарный</t>
        </is>
      </c>
      <c r="I12" s="2" t="n">
        <v>2</v>
      </c>
      <c r="J12" s="2" t="inlineStr">
        <is>
          <t>Открыть редактор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28.5" customHeight="1" s="13">
      <c r="A13" s="2" t="inlineStr">
        <is>
          <t>N-009</t>
        </is>
      </c>
      <c r="B13" s="2" t="inlineStr">
        <is>
          <t>U-008</t>
        </is>
      </c>
      <c r="C13" s="2" t="inlineStr">
        <is>
          <t>U-009</t>
        </is>
      </c>
      <c r="D13" s="2" t="inlineStr">
        <is>
          <t>Нажать «Экспорт»</t>
        </is>
      </c>
      <c r="E13" s="2" t="inlineStr">
        <is>
          <t>Диаграмма построена</t>
        </is>
      </c>
      <c r="F13" s="2" t="inlineStr">
        <is>
          <t>ROLE-002</t>
        </is>
      </c>
      <c r="G13" s="2" t="inlineStr">
        <is>
          <t>Первое получение ценности</t>
        </is>
      </c>
      <c r="H13" s="2" t="inlineStr">
        <is>
          <t>Сценарный</t>
        </is>
      </c>
      <c r="I13" s="2" t="n">
        <v>2</v>
      </c>
      <c r="J13" s="2" t="inlineStr">
        <is>
          <t>Получить файл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N-010</t>
        </is>
      </c>
      <c r="B14" s="2" t="inlineStr">
        <is>
          <t>U-008</t>
        </is>
      </c>
      <c r="C14" s="2" t="inlineStr">
        <is>
          <t>U-011</t>
        </is>
      </c>
      <c r="D14" s="2" t="inlineStr">
        <is>
          <t>Показать ошибку</t>
        </is>
      </c>
      <c r="E14" s="2" t="inlineStr">
        <is>
          <t>Ошибка синтаксиса</t>
        </is>
      </c>
      <c r="F14" s="2" t="inlineStr">
        <is>
          <t>ROLE-002</t>
        </is>
      </c>
      <c r="G14" s="2" t="inlineStr">
        <is>
          <t>Поддержка и ошибки</t>
        </is>
      </c>
      <c r="H14" s="2" t="inlineStr">
        <is>
          <t>По состоянию</t>
        </is>
      </c>
      <c r="I14" s="2" t="n">
        <v>3</v>
      </c>
      <c r="J14" s="2" t="inlineStr">
        <is>
          <t>Подсказка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8.5" customHeight="1" s="13">
      <c r="A15" s="2" t="inlineStr">
        <is>
          <t>N-011</t>
        </is>
      </c>
      <c r="B15" s="2" t="inlineStr">
        <is>
          <t>U-008</t>
        </is>
      </c>
      <c r="C15" s="2" t="inlineStr">
        <is>
          <t>U-013</t>
        </is>
      </c>
      <c r="D15" s="2" t="inlineStr">
        <is>
          <t>Открыть ИИ-ассистента</t>
        </is>
      </c>
      <c r="E15" s="2" t="inlineStr">
        <is>
          <t>Лимит не исчерпан</t>
        </is>
      </c>
      <c r="F15" s="2" t="inlineStr">
        <is>
          <t>ROLE-002</t>
        </is>
      </c>
      <c r="G15" s="2" t="inlineStr">
        <is>
          <t>Первое получение ценности</t>
        </is>
      </c>
      <c r="H15" s="2" t="inlineStr">
        <is>
          <t>Сценарный</t>
        </is>
      </c>
      <c r="I15" s="2" t="n">
        <v>3</v>
      </c>
      <c r="J15" s="2" t="inlineStr">
        <is>
          <t>Гипотеза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8.5" customHeight="1" s="13">
      <c r="A16" s="2" t="inlineStr">
        <is>
          <t>N-012</t>
        </is>
      </c>
      <c r="B16" s="2" t="inlineStr">
        <is>
          <t>U-009</t>
        </is>
      </c>
      <c r="C16" s="2" t="inlineStr">
        <is>
          <t>U-010</t>
        </is>
      </c>
      <c r="D16" s="2" t="inlineStr">
        <is>
          <t>Сохранить</t>
        </is>
      </c>
      <c r="E16" s="2" t="inlineStr">
        <is>
          <t>Пользователь вошёл</t>
        </is>
      </c>
      <c r="F16" s="2" t="inlineStr">
        <is>
          <t>ROLE-003</t>
        </is>
      </c>
      <c r="G16" s="2" t="inlineStr">
        <is>
          <t>Регулярное использование</t>
        </is>
      </c>
      <c r="H16" s="2" t="inlineStr">
        <is>
          <t>Возвратный</t>
        </is>
      </c>
      <c r="I16" s="2" t="n">
        <v>2</v>
      </c>
      <c r="J16" s="2" t="inlineStr">
        <is>
          <t>Возврат к работе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28.5" customHeight="1" s="13">
      <c r="A17" s="2" t="inlineStr">
        <is>
          <t>N-013</t>
        </is>
      </c>
      <c r="B17" s="2" t="inlineStr">
        <is>
          <t>U-010</t>
        </is>
      </c>
      <c r="C17" s="2" t="inlineStr">
        <is>
          <t>U-008</t>
        </is>
      </c>
      <c r="D17" s="2" t="inlineStr">
        <is>
          <t>Открыть диаграмму</t>
        </is>
      </c>
      <c r="E17" s="2" t="inlineStr">
        <is>
          <t>Диаграмма существует</t>
        </is>
      </c>
      <c r="F17" s="2" t="inlineStr">
        <is>
          <t>ROLE-003</t>
        </is>
      </c>
      <c r="G17" s="2" t="inlineStr">
        <is>
          <t>Регулярное использование</t>
        </is>
      </c>
      <c r="H17" s="2" t="inlineStr">
        <is>
          <t>Возвратный</t>
        </is>
      </c>
      <c r="I17" s="2" t="n">
        <v>2</v>
      </c>
      <c r="J17" s="2" t="inlineStr">
        <is>
          <t>Редактор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 ht="28.5" customHeight="1" s="13">
      <c r="A18" s="2" t="inlineStr">
        <is>
          <t>N-014</t>
        </is>
      </c>
      <c r="B18" s="2" t="inlineStr">
        <is>
          <t>U-012</t>
        </is>
      </c>
      <c r="C18" s="2" t="inlineStr">
        <is>
          <t>U-003</t>
        </is>
      </c>
      <c r="D18" s="2" t="inlineStr">
        <is>
          <t>Продлить подписку</t>
        </is>
      </c>
      <c r="E18" s="2" t="inlineStr">
        <is>
          <t>Истёк доступ</t>
        </is>
      </c>
      <c r="F18" s="2" t="inlineStr">
        <is>
          <t>ROLE-004</t>
        </is>
      </c>
      <c r="G18" s="2" t="inlineStr">
        <is>
          <t>Продление и развитие</t>
        </is>
      </c>
      <c r="H18" s="2" t="inlineStr">
        <is>
          <t>Коммерческий</t>
        </is>
      </c>
      <c r="I18" s="2" t="n">
        <v>3</v>
      </c>
      <c r="J18" s="2" t="inlineStr">
        <is>
          <t>Тарифы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N-015</t>
        </is>
      </c>
      <c r="B19" s="2" t="inlineStr">
        <is>
          <t>U-004</t>
        </is>
      </c>
      <c r="C19" s="2" t="inlineStr">
        <is>
          <t>U-008</t>
        </is>
      </c>
      <c r="D19" s="2" t="inlineStr">
        <is>
          <t>Открыть пример в редакторе</t>
        </is>
      </c>
      <c r="E19" s="2" t="inlineStr">
        <is>
          <t>Пример выбран</t>
        </is>
      </c>
      <c r="F19" s="2" t="inlineStr">
        <is>
          <t>ROLE-003</t>
        </is>
      </c>
      <c r="G19" s="2" t="inlineStr">
        <is>
          <t>Поддержка и ошибки</t>
        </is>
      </c>
      <c r="H19" s="2" t="inlineStr">
        <is>
          <t>Сервисный</t>
        </is>
      </c>
      <c r="I19" s="2" t="n">
        <v>2</v>
      </c>
      <c r="J19" s="2" t="inlineStr">
        <is>
          <t>Из документации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</sheetData>
  <mergeCells count="2">
    <mergeCell ref="A1:J1"/>
    <mergeCell ref="A2:J2"/>
  </mergeCells>
  <dataValidations count="3">
    <dataValidation sqref="G5:G204" showDropDown="0" showInputMessage="0" showErrorMessage="0" allowBlank="0" type="list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sqref="H5:H204" showDropDown="0" showInputMessage="0" showErrorMessage="0" allowBlank="0" type="list">
      <formula1>"Основной,Возврат,Ветвление,Переход после ошибки,Переход после оплаты,Внешний переход,Системный переход"</formula1>
    </dataValidation>
    <dataValidation sqref="I5:I204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E27" sqref="E27"/>
    </sheetView>
  </sheetViews>
  <sheetFormatPr baseColWidth="8" defaultRowHeight="14.25"/>
  <cols>
    <col width="12" customWidth="1" style="13" min="1" max="2"/>
    <col width="28" customWidth="1" style="13" min="3" max="4"/>
    <col width="24" customWidth="1" style="13" min="5" max="5"/>
    <col width="30" customWidth="1" style="13" min="6" max="7"/>
    <col width="25.125" customWidth="1" style="13" min="8" max="8"/>
    <col width="28.125" customWidth="1" style="13" min="9" max="9"/>
    <col width="39.125" customWidth="1" style="13" min="10" max="10"/>
    <col width="16" customWidth="1" style="13" min="11" max="11"/>
  </cols>
  <sheetData>
    <row r="1" ht="27" customHeight="1" s="13">
      <c r="A1" s="10" t="inlineStr">
        <is>
          <t>Состояния, ошибки и исключения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Для каждой ключевой страницы или экрана фиксируются нормальные, пустые, загрузочные, ошибочные и успешные состояния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3" t="inlineStr">
        <is>
          <t>State_ID</t>
        </is>
      </c>
      <c r="B4" s="3" t="inlineStr">
        <is>
          <t>Unit_ID</t>
        </is>
      </c>
      <c r="C4" s="3" t="inlineStr">
        <is>
          <t>Нормальное состояние</t>
        </is>
      </c>
      <c r="D4" s="3" t="inlineStr">
        <is>
          <t>Пустое состояние</t>
        </is>
      </c>
      <c r="E4" s="3" t="inlineStr">
        <is>
          <t>Загрузка</t>
        </is>
      </c>
      <c r="F4" s="3" t="inlineStr">
        <is>
          <t>Ошибка валидации</t>
        </is>
      </c>
      <c r="G4" s="3" t="inlineStr">
        <is>
          <t>Ошибка сети/сервера</t>
        </is>
      </c>
      <c r="H4" s="3" t="inlineStr">
        <is>
          <t>Нет прав</t>
        </is>
      </c>
      <c r="I4" s="3" t="inlineStr">
        <is>
          <t>Успешное завершение</t>
        </is>
      </c>
      <c r="J4" s="3" t="inlineStr">
        <is>
          <t>Сообщение пользователю</t>
        </is>
      </c>
      <c r="K4" s="3" t="inlineStr">
        <is>
          <t>Полнота состояний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28.5" customFormat="1" customHeight="1" s="14">
      <c r="A5" s="2" t="inlineStr">
        <is>
          <t>S-001</t>
        </is>
      </c>
      <c r="B5" s="2" t="inlineStr">
        <is>
          <t>U-003</t>
        </is>
      </c>
      <c r="C5" s="2" t="inlineStr">
        <is>
          <t>Таблица тарифов Free и Pro</t>
        </is>
      </c>
      <c r="D5" s="2" t="inlineStr">
        <is>
          <t>Тарифы недоступны</t>
        </is>
      </c>
      <c r="E5" s="2" t="inlineStr">
        <is>
          <t>Индикатор загрузки цен</t>
        </is>
      </c>
      <c r="F5" s="2" t="inlineStr">
        <is>
          <t>Не применимо</t>
        </is>
      </c>
      <c r="G5" s="2" t="inlineStr">
        <is>
          <t>Не удалось загрузить цены; повторить</t>
        </is>
      </c>
      <c r="H5" s="2" t="inlineStr">
        <is>
          <t>Не требуется</t>
        </is>
      </c>
      <c r="I5" s="2" t="inlineStr">
        <is>
          <t>Тариф выбран, переход к оплате</t>
        </is>
      </c>
      <c r="J5" s="2" t="inlineStr">
        <is>
          <t>Выберите тариф, чтобы продолжить</t>
        </is>
      </c>
      <c r="K5" s="4">
        <f>IF(A5="","",ROUND(COUNTA(C5:J5)/8,2))</f>
        <v/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28.5" customFormat="1" customHeight="1" s="14">
      <c r="A6" s="2" t="inlineStr">
        <is>
          <t>S-002</t>
        </is>
      </c>
      <c r="B6" s="2" t="inlineStr">
        <is>
          <t>U-005</t>
        </is>
      </c>
      <c r="C6" s="2" t="inlineStr">
        <is>
          <t>Форма регистрации</t>
        </is>
      </c>
      <c r="D6" s="2" t="inlineStr">
        <is>
          <t>Пустая форма</t>
        </is>
      </c>
      <c r="E6" s="2" t="inlineStr">
        <is>
          <t>Отправка формы</t>
        </is>
      </c>
      <c r="F6" s="2" t="inlineStr">
        <is>
          <t>Почта указана неверно</t>
        </is>
      </c>
      <c r="G6" s="2" t="inlineStr">
        <is>
          <t>Сервер недоступен; повторить позже</t>
        </is>
      </c>
      <c r="H6" s="2" t="inlineStr">
        <is>
          <t>Не требуется</t>
        </is>
      </c>
      <c r="I6" s="2" t="inlineStr">
        <is>
          <t>Аккаунт создан, переход в редактор</t>
        </is>
      </c>
      <c r="J6" s="2" t="inlineStr">
        <is>
          <t>Проверьте почту и пароль</t>
        </is>
      </c>
      <c r="K6" s="4">
        <f>IF(A6="","",ROUND(COUNTA(C6:J6)/8,2))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 ht="28.5" customFormat="1" customHeight="1" s="14">
      <c r="A7" s="2" t="inlineStr">
        <is>
          <t>S-003</t>
        </is>
      </c>
      <c r="B7" s="2" t="inlineStr">
        <is>
          <t>U-006</t>
        </is>
      </c>
      <c r="C7" s="2" t="inlineStr">
        <is>
          <t>Состав заказа и форма оплаты</t>
        </is>
      </c>
      <c r="D7" s="2" t="inlineStr">
        <is>
          <t>Тариф не выбран</t>
        </is>
      </c>
      <c r="E7" s="2" t="inlineStr">
        <is>
          <t>Обработка платежа</t>
        </is>
      </c>
      <c r="F7" s="2" t="inlineStr">
        <is>
          <t>Неверные данные платежа</t>
        </is>
      </c>
      <c r="G7" s="2" t="inlineStr">
        <is>
          <t>Платёж не прошёл; повторить</t>
        </is>
      </c>
      <c r="H7" s="2" t="inlineStr">
        <is>
          <t>Нужен вход</t>
        </is>
      </c>
      <c r="I7" s="2" t="inlineStr">
        <is>
          <t>Подписка Pro активна</t>
        </is>
      </c>
      <c r="J7" s="2" t="inlineStr">
        <is>
          <t>Платёж не выполнен; деньги не списаны</t>
        </is>
      </c>
      <c r="K7" s="4">
        <f>IF(A7="","",ROUND(COUNTA(C7:J7)/8,2))</f>
        <v/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8.5" customFormat="1" customHeight="1" s="14">
      <c r="A8" s="2" t="inlineStr">
        <is>
          <t>S-004</t>
        </is>
      </c>
      <c r="B8" s="2" t="inlineStr">
        <is>
          <t>U-008</t>
        </is>
      </c>
      <c r="C8" s="2" t="inlineStr">
        <is>
          <t>Редактор с предпросмотром</t>
        </is>
      </c>
      <c r="D8" s="2" t="inlineStr">
        <is>
          <t>Пустое поле: пример нотации</t>
        </is>
      </c>
      <c r="E8" s="2" t="inlineStr">
        <is>
          <t>Построение диаграммы</t>
        </is>
      </c>
      <c r="F8" s="2" t="inlineStr">
        <is>
          <t>Ошибка синтаксиса: строка и причина</t>
        </is>
      </c>
      <c r="G8" s="2" t="inlineStr">
        <is>
          <t>Нет соединения; черновик сохранён локально</t>
        </is>
      </c>
      <c r="H8" s="2" t="inlineStr">
        <is>
          <t>Нотация доступна в Pro</t>
        </is>
      </c>
      <c r="I8" s="2" t="inlineStr">
        <is>
          <t>Диаграмма построена</t>
        </is>
      </c>
      <c r="J8" s="2" t="inlineStr">
        <is>
          <t>Найдена ошибка в строке; посмотрите пример</t>
        </is>
      </c>
      <c r="K8" s="4">
        <f>IF(A8="","",ROUND(COUNTA(C8:J8)/8,2))</f>
        <v/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 customFormat="1" s="14">
      <c r="A9" s="2" t="inlineStr">
        <is>
          <t>S-005</t>
        </is>
      </c>
      <c r="B9" s="2" t="inlineStr">
        <is>
          <t>U-009</t>
        </is>
      </c>
      <c r="C9" s="2" t="inlineStr">
        <is>
          <t>Выбор формата и скачивание</t>
        </is>
      </c>
      <c r="D9" s="2" t="inlineStr">
        <is>
          <t>Нет диаграммы для экспорта</t>
        </is>
      </c>
      <c r="E9" s="2" t="inlineStr">
        <is>
          <t>Подготовка файла</t>
        </is>
      </c>
      <c r="F9" s="2" t="inlineStr">
        <is>
          <t>Формат не поддерживается</t>
        </is>
      </c>
      <c r="G9" s="2" t="inlineStr">
        <is>
          <t>Ошибка экспорта; повторить</t>
        </is>
      </c>
      <c r="H9" s="2" t="inlineStr">
        <is>
          <t>Формат доступен в Pro</t>
        </is>
      </c>
      <c r="I9" s="2" t="inlineStr">
        <is>
          <t>Файл скачан</t>
        </is>
      </c>
      <c r="J9" s="2" t="inlineStr">
        <is>
          <t>Экспорт выполнен</t>
        </is>
      </c>
      <c r="K9" s="4">
        <f>IF(A9="","",ROUND(COUNTA(C9:J9)/8,2))</f>
        <v/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customFormat="1" s="14">
      <c r="A10" s="2" t="inlineStr">
        <is>
          <t>S-006</t>
        </is>
      </c>
      <c r="B10" s="2" t="inlineStr">
        <is>
          <t>U-010</t>
        </is>
      </c>
      <c r="C10" s="2" t="inlineStr">
        <is>
          <t>Список сохранённых диаграмм</t>
        </is>
      </c>
      <c r="D10" s="2" t="inlineStr">
        <is>
          <t>Нет сохранённых диаграмм</t>
        </is>
      </c>
      <c r="E10" s="2" t="inlineStr">
        <is>
          <t>Загрузка списка</t>
        </is>
      </c>
      <c r="F10" s="2" t="inlineStr">
        <is>
          <t>Не применимо</t>
        </is>
      </c>
      <c r="G10" s="2" t="inlineStr">
        <is>
          <t>Не удалось загрузить список</t>
        </is>
      </c>
      <c r="H10" s="2" t="inlineStr">
        <is>
          <t>Нужен вход</t>
        </is>
      </c>
      <c r="I10" s="2" t="inlineStr">
        <is>
          <t>Диаграмма открыта</t>
        </is>
      </c>
      <c r="J10" s="2" t="inlineStr">
        <is>
          <t>Создайте первую диаграмму</t>
        </is>
      </c>
      <c r="K10" s="4">
        <f>IF(A10="","",ROUND(COUNTA(C10:J10)/8,2))</f>
        <v/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</sheetData>
  <mergeCells count="2">
    <mergeCell ref="A2:K2"/>
    <mergeCell ref="A1:K1"/>
  </mergeCells>
  <conditionalFormatting sqref="K5:K2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D25" sqref="D25"/>
    </sheetView>
  </sheetViews>
  <sheetFormatPr baseColWidth="8" defaultRowHeight="14.25"/>
  <cols>
    <col width="12" customWidth="1" style="13" min="1" max="1"/>
    <col width="34" customWidth="1" style="13" min="2" max="2"/>
    <col width="30" customWidth="1" style="13" min="3" max="3"/>
    <col width="28" customWidth="1" style="13" min="4" max="4"/>
    <col width="22" customWidth="1" style="13" min="5" max="5"/>
    <col width="18" customWidth="1" style="13" min="6" max="6"/>
    <col width="34" customWidth="1" style="13" min="7" max="7"/>
    <col width="22" customWidth="1" style="13" min="8" max="9"/>
  </cols>
  <sheetData>
    <row r="1" ht="27.75" customHeight="1" s="13">
      <c r="A1" s="10" t="inlineStr">
        <is>
          <t>Контент и данные для страниц и экранов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Лист нужен для перевода сценариев в состав данных, текстов, полей, правил отображения и источников информации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3" t="inlineStr">
        <is>
          <t>Unit_ID</t>
        </is>
      </c>
      <c r="B4" s="3" t="inlineStr">
        <is>
          <t>Элемент контента / данных</t>
        </is>
      </c>
      <c r="C4" s="3" t="inlineStr">
        <is>
          <t>Источник данных</t>
        </is>
      </c>
      <c r="D4" s="3" t="inlineStr">
        <is>
          <t>Обязательность</t>
        </is>
      </c>
      <c r="E4" s="3" t="inlineStr">
        <is>
          <t>Частота обновления</t>
        </is>
      </c>
      <c r="F4" s="3" t="inlineStr">
        <is>
          <t>Персонализация</t>
        </is>
      </c>
      <c r="G4" s="3" t="inlineStr">
        <is>
          <t>Правило отображения</t>
        </is>
      </c>
      <c r="H4" s="3" t="inlineStr">
        <is>
          <t>Формат</t>
        </is>
      </c>
      <c r="I4" s="3" t="inlineStr">
        <is>
          <t>Ответственный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U-001</t>
        </is>
      </c>
      <c r="B5" s="2" t="inlineStr">
        <is>
          <t>Обещание и список нотаций</t>
        </is>
      </c>
      <c r="C5" s="2" t="inlineStr">
        <is>
          <t>ЦП VP-001 (6.1)</t>
        </is>
      </c>
      <c r="D5" s="2" t="inlineStr">
        <is>
          <t>Обязательно</t>
        </is>
      </c>
      <c r="E5" s="2" t="inlineStr">
        <is>
          <t>По релизам</t>
        </is>
      </c>
      <c r="F5" s="2" t="inlineStr">
        <is>
          <t>Нет</t>
        </is>
      </c>
      <c r="G5" s="2" t="inlineStr">
        <is>
          <t>Всегда</t>
        </is>
      </c>
      <c r="H5" s="2" t="inlineStr">
        <is>
          <t>Текст</t>
        </is>
      </c>
      <c r="I5" s="2" t="inlineStr">
        <is>
          <t>Руководитель проекта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U-002</t>
        </is>
      </c>
      <c r="B6" s="2" t="inlineStr">
        <is>
          <t>Примеры диаграмм нотаций</t>
        </is>
      </c>
      <c r="C6" s="2" t="inlineStr">
        <is>
          <t>Движок нотаций</t>
        </is>
      </c>
      <c r="D6" s="2" t="inlineStr">
        <is>
          <t>Обязательно</t>
        </is>
      </c>
      <c r="E6" s="2" t="inlineStr">
        <is>
          <t>По релизам</t>
        </is>
      </c>
      <c r="F6" s="2" t="inlineStr">
        <is>
          <t>Нет</t>
        </is>
      </c>
      <c r="G6" s="2" t="inlineStr">
        <is>
          <t>Всегда</t>
        </is>
      </c>
      <c r="H6" s="2" t="inlineStr">
        <is>
          <t>Изображения и текст</t>
        </is>
      </c>
      <c r="I6" s="2" t="inlineStr">
        <is>
          <t>Разработчик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U-003</t>
        </is>
      </c>
      <c r="B7" s="2" t="inlineStr">
        <is>
          <t>Таблица тарифов Free и Pro</t>
        </is>
      </c>
      <c r="C7" s="2" t="inlineStr">
        <is>
          <t>Единица монетизации M-001</t>
        </is>
      </c>
      <c r="D7" s="2" t="inlineStr">
        <is>
          <t>Обязательно</t>
        </is>
      </c>
      <c r="E7" s="2" t="inlineStr">
        <is>
          <t>При смене цен</t>
        </is>
      </c>
      <c r="F7" s="2" t="inlineStr">
        <is>
          <t>Нет</t>
        </is>
      </c>
      <c r="G7" s="2" t="inlineStr">
        <is>
          <t>Цена в у.е</t>
        </is>
      </c>
      <c r="H7" s="2" t="inlineStr">
        <is>
          <t>Таблица</t>
        </is>
      </c>
      <c r="I7" s="2" t="inlineStr">
        <is>
          <t>Руководитель проекта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U-004</t>
        </is>
      </c>
      <c r="B8" s="2" t="inlineStr">
        <is>
          <t>Статьи по нотациям и примеры</t>
        </is>
      </c>
      <c r="C8" s="2" t="inlineStr">
        <is>
          <t>Документация</t>
        </is>
      </c>
      <c r="D8" s="2" t="inlineStr">
        <is>
          <t>Желательно</t>
        </is>
      </c>
      <c r="E8" s="2" t="inlineStr">
        <is>
          <t>По релизам</t>
        </is>
      </c>
      <c r="F8" s="2" t="inlineStr">
        <is>
          <t>Нет</t>
        </is>
      </c>
      <c r="G8" s="2" t="inlineStr">
        <is>
          <t>По поиску</t>
        </is>
      </c>
      <c r="H8" s="2" t="inlineStr">
        <is>
          <t>Текст</t>
        </is>
      </c>
      <c r="I8" s="2" t="inlineStr">
        <is>
          <t>Разработчик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U-006</t>
        </is>
      </c>
      <c r="B9" s="2" t="inlineStr">
        <is>
          <t>Состав заказа и условия оплаты</t>
        </is>
      </c>
      <c r="C9" s="2" t="inlineStr">
        <is>
          <t>Платёжный провайдер</t>
        </is>
      </c>
      <c r="D9" s="2" t="inlineStr">
        <is>
          <t>Обязательно</t>
        </is>
      </c>
      <c r="E9" s="2" t="inlineStr">
        <is>
          <t>При смене тарифов</t>
        </is>
      </c>
      <c r="F9" s="2" t="inlineStr">
        <is>
          <t>Да</t>
        </is>
      </c>
      <c r="G9" s="2" t="inlineStr">
        <is>
          <t>После выбора Pro</t>
        </is>
      </c>
      <c r="H9" s="2" t="inlineStr">
        <is>
          <t>Форма</t>
        </is>
      </c>
      <c r="I9" s="2" t="inlineStr">
        <is>
          <t>Руководитель проекта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U-008</t>
        </is>
      </c>
      <c r="B10" s="2" t="inlineStr">
        <is>
          <t>Текст диаграммы и результат</t>
        </is>
      </c>
      <c r="C10" s="2" t="inlineStr">
        <is>
          <t>Пользователь</t>
        </is>
      </c>
      <c r="D10" s="2" t="inlineStr">
        <is>
          <t>Обязательно</t>
        </is>
      </c>
      <c r="E10" s="2" t="inlineStr">
        <is>
          <t>В реальном времени</t>
        </is>
      </c>
      <c r="F10" s="2" t="inlineStr">
        <is>
          <t>Да</t>
        </is>
      </c>
      <c r="G10" s="2" t="inlineStr">
        <is>
          <t>Всегда</t>
        </is>
      </c>
      <c r="H10" s="2" t="inlineStr">
        <is>
          <t>Текст и изображение</t>
        </is>
      </c>
      <c r="I10" s="2" t="inlineStr">
        <is>
          <t>Пользователь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U-009</t>
        </is>
      </c>
      <c r="B11" s="2" t="inlineStr">
        <is>
          <t>Форматы экспорта PNG и SVG</t>
        </is>
      </c>
      <c r="C11" s="2" t="inlineStr">
        <is>
          <t>Требования F-005 (6.3)</t>
        </is>
      </c>
      <c r="D11" s="2" t="inlineStr">
        <is>
          <t>Обязательно</t>
        </is>
      </c>
      <c r="E11" s="2" t="inlineStr">
        <is>
          <t>По релизам</t>
        </is>
      </c>
      <c r="F11" s="2" t="inlineStr">
        <is>
          <t>Нет</t>
        </is>
      </c>
      <c r="G11" s="2" t="inlineStr">
        <is>
          <t>Pro: расширенные форматы</t>
        </is>
      </c>
      <c r="H11" s="2" t="inlineStr">
        <is>
          <t>Файл</t>
        </is>
      </c>
      <c r="I11" s="2" t="inlineStr">
        <is>
          <t>Разработчик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8.5" customHeight="1" s="13">
      <c r="A12" s="2" t="inlineStr">
        <is>
          <t>U-011</t>
        </is>
      </c>
      <c r="B12" s="2" t="inlineStr">
        <is>
          <t>Сообщения об ошибках и примеры исправления</t>
        </is>
      </c>
      <c r="C12" s="2" t="inlineStr">
        <is>
          <t>Движок нотаций</t>
        </is>
      </c>
      <c r="D12" s="2" t="inlineStr">
        <is>
          <t>Желательно</t>
        </is>
      </c>
      <c r="E12" s="2" t="inlineStr">
        <is>
          <t>По релизам</t>
        </is>
      </c>
      <c r="F12" s="2" t="inlineStr">
        <is>
          <t>Да</t>
        </is>
      </c>
      <c r="G12" s="2" t="inlineStr">
        <is>
          <t>При ошибке</t>
        </is>
      </c>
      <c r="H12" s="2" t="inlineStr">
        <is>
          <t>Текст</t>
        </is>
      </c>
      <c r="I12" s="2" t="inlineStr">
        <is>
          <t>Разработчик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</sheetData>
  <mergeCells count="2">
    <mergeCell ref="A1:I1"/>
    <mergeCell ref="A2:I2"/>
  </mergeCells>
  <dataValidations count="1">
    <dataValidation sqref="D5:D204" showDropDown="0" showInputMessage="0" showErrorMessage="0" allowBlank="0" type="list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E26" sqref="E26"/>
    </sheetView>
  </sheetViews>
  <sheetFormatPr baseColWidth="8" defaultRowHeight="14.25"/>
  <cols>
    <col width="12" customWidth="1" style="13" min="1" max="1"/>
    <col width="24" customWidth="1" style="13" min="2" max="2"/>
    <col width="18" customWidth="1" style="13" min="3" max="3"/>
    <col width="14" customWidth="1" style="13" min="4" max="4"/>
    <col width="12" customWidth="1" style="13" min="5" max="5"/>
    <col width="40" customWidth="1" style="13" min="6" max="6"/>
    <col width="32" customWidth="1" style="13" min="7" max="7"/>
    <col width="30" customWidth="1" style="13" min="8" max="8"/>
    <col width="42" customWidth="1" style="13" min="9" max="9"/>
    <col width="28" customWidth="1" style="13" min="10" max="10"/>
    <col width="30" customWidth="1" style="13" min="11" max="11"/>
    <col width="34" customWidth="1" style="13" min="12" max="12"/>
    <col width="30" customWidth="1" style="13" min="13" max="13"/>
    <col width="16" customWidth="1" style="13" min="14" max="14"/>
    <col width="22" customWidth="1" style="13" min="15" max="15"/>
  </cols>
  <sheetData>
    <row r="1" ht="26.25" customHeight="1" s="13">
      <c r="A1" s="10" t="inlineStr">
        <is>
          <t>Паспорт страницы или экрана</t>
        </is>
      </c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Итоговая форма описания интерфейсной единицы для прототипирования, постановки задачи и проверки связности</t>
        </is>
      </c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3" t="inlineStr">
        <is>
          <t>Unit_ID</t>
        </is>
      </c>
      <c r="B4" s="3" t="inlineStr">
        <is>
          <t>Название</t>
        </is>
      </c>
      <c r="C4" s="3" t="inlineStr">
        <is>
          <t>Тип</t>
        </is>
      </c>
      <c r="D4" s="3" t="inlineStr">
        <is>
          <t>Сценарий_ID</t>
        </is>
      </c>
      <c r="E4" s="3" t="inlineStr">
        <is>
          <t>Роль_ID</t>
        </is>
      </c>
      <c r="F4" s="3" t="inlineStr">
        <is>
          <t>Назначение</t>
        </is>
      </c>
      <c r="G4" s="3" t="inlineStr">
        <is>
          <t>Главная задача</t>
        </is>
      </c>
      <c r="H4" s="3" t="inlineStr">
        <is>
          <t>Основное действие</t>
        </is>
      </c>
      <c r="I4" s="3" t="inlineStr">
        <is>
          <t>Состав блоков</t>
        </is>
      </c>
      <c r="J4" s="3" t="inlineStr">
        <is>
          <t>Состояния</t>
        </is>
      </c>
      <c r="K4" s="3" t="inlineStr">
        <is>
          <t>Навигация</t>
        </is>
      </c>
      <c r="L4" s="3" t="inlineStr">
        <is>
          <t>Метрики успеха</t>
        </is>
      </c>
      <c r="M4" s="3" t="inlineStr">
        <is>
          <t>Риски</t>
        </is>
      </c>
      <c r="N4" s="3" t="inlineStr">
        <is>
          <t>Полнота паспорта</t>
        </is>
      </c>
      <c r="O4" s="3" t="inlineStr">
        <is>
          <t>Вердикт</t>
        </is>
      </c>
      <c r="P4" s="2" t="n"/>
      <c r="Q4" s="2" t="n"/>
      <c r="R4" s="2" t="n"/>
      <c r="S4" s="2" t="n"/>
      <c r="T4" s="2" t="n"/>
      <c r="U4" s="2" t="n"/>
    </row>
    <row r="5" ht="42.75" customHeight="1" s="13">
      <c r="A5" s="2" t="inlineStr">
        <is>
          <t>U-003</t>
        </is>
      </c>
      <c r="B5" s="2" t="inlineStr">
        <is>
          <t>Тарифы Free и Pro</t>
        </is>
      </c>
      <c r="C5" s="2" t="inlineStr">
        <is>
          <t>Страница сайта</t>
        </is>
      </c>
      <c r="D5" s="2" t="inlineStr">
        <is>
          <t>SC-002</t>
        </is>
      </c>
      <c r="E5" s="2" t="inlineStr">
        <is>
          <t>ROLE-001</t>
        </is>
      </c>
      <c r="F5" s="2" t="inlineStr">
        <is>
          <t>Прозрачный выбор между Free и Pro</t>
        </is>
      </c>
      <c r="G5" s="2" t="inlineStr">
        <is>
          <t>Понять цену и ограничения</t>
        </is>
      </c>
      <c r="H5" s="2" t="inlineStr">
        <is>
          <t>Выбрать тариф</t>
        </is>
      </c>
      <c r="I5" s="2" t="inlineStr">
        <is>
          <t>Таблица тарифов, ограничения, вопросы</t>
        </is>
      </c>
      <c r="J5" s="2" t="inlineStr">
        <is>
          <t>Новый пользователь, тариф выбран, активная подписка, ошибка загрузки</t>
        </is>
      </c>
      <c r="K5" s="2" t="inlineStr">
        <is>
          <t>Из главной и возможностей; в регистрацию и оплату</t>
        </is>
      </c>
      <c r="L5" s="2" t="inlineStr">
        <is>
          <t>Доля переходов в регистрацию и оплату</t>
        </is>
      </c>
      <c r="M5" s="2" t="inlineStr">
        <is>
          <t>Непонятные ограничения Free</t>
        </is>
      </c>
      <c r="N5" s="4">
        <f>IF(A5="","",ROUND(COUNTA(B5:M5)/12,2))</f>
        <v/>
      </c>
      <c r="O5" s="2">
        <f>IF(A5="","",IF(N5&gt;=0.85,"Готов к прототипу",IF(N5&gt;=0.6,"Требует доработки","Недостаточно данных")))</f>
        <v/>
      </c>
      <c r="P5" s="2" t="n"/>
      <c r="Q5" s="2" t="n"/>
      <c r="R5" s="2" t="n"/>
      <c r="S5" s="2" t="n"/>
      <c r="T5" s="2" t="n"/>
      <c r="U5" s="2" t="n"/>
    </row>
    <row r="6" ht="42.75" customHeight="1" s="13">
      <c r="A6" s="2" t="inlineStr">
        <is>
          <t>U-005</t>
        </is>
      </c>
      <c r="B6" s="2" t="inlineStr">
        <is>
          <t>Регистрация и вход</t>
        </is>
      </c>
      <c r="C6" s="2" t="inlineStr">
        <is>
          <t>Страница сайта</t>
        </is>
      </c>
      <c r="D6" s="2" t="inlineStr">
        <is>
          <t>SC-003</t>
        </is>
      </c>
      <c r="E6" s="2" t="inlineStr">
        <is>
          <t>ROLE-002</t>
        </is>
      </c>
      <c r="F6" s="2" t="inlineStr">
        <is>
          <t>Получить доступ к Free</t>
        </is>
      </c>
      <c r="G6" s="2" t="inlineStr">
        <is>
          <t>Зарегистрироваться</t>
        </is>
      </c>
      <c r="H6" s="2" t="inlineStr">
        <is>
          <t>Отправить форму</t>
        </is>
      </c>
      <c r="I6" s="2" t="inlineStr">
        <is>
          <t>Форма, согласие, ошибки</t>
        </is>
      </c>
      <c r="J6" s="2" t="inlineStr">
        <is>
          <t>Начальное, ошибка валидации, успех, ошибка сети</t>
        </is>
      </c>
      <c r="K6" s="2" t="inlineStr">
        <is>
          <t>Из тарифов и главной; в выбор нотации</t>
        </is>
      </c>
      <c r="L6" s="2" t="inlineStr">
        <is>
          <t>Доля завершённых регистраций</t>
        </is>
      </c>
      <c r="M6" s="2" t="inlineStr">
        <is>
          <t>Отказ от регистрации</t>
        </is>
      </c>
      <c r="N6" s="4">
        <f>IF(A6="","",ROUND(COUNTA(B6:M6)/12,2))</f>
        <v/>
      </c>
      <c r="O6" s="2">
        <f>IF(A6="","",IF(N6&gt;=0.85,"Готов к прототипу",IF(N6&gt;=0.6,"Требует доработки","Недостаточно данных")))</f>
        <v/>
      </c>
      <c r="P6" s="2" t="n"/>
      <c r="Q6" s="2" t="n"/>
      <c r="R6" s="2" t="n"/>
      <c r="S6" s="2" t="n"/>
      <c r="T6" s="2" t="n"/>
      <c r="U6" s="2" t="n"/>
    </row>
    <row r="7" ht="28.5" customHeight="1" s="13">
      <c r="A7" s="2" t="inlineStr">
        <is>
          <t>U-006</t>
        </is>
      </c>
      <c r="B7" s="2" t="inlineStr">
        <is>
          <t>Оплата Pro</t>
        </is>
      </c>
      <c r="C7" s="2" t="inlineStr">
        <is>
          <t>Страница сайта</t>
        </is>
      </c>
      <c r="D7" s="2" t="inlineStr">
        <is>
          <t>SC-008</t>
        </is>
      </c>
      <c r="E7" s="2" t="inlineStr">
        <is>
          <t>ROLE-004</t>
        </is>
      </c>
      <c r="F7" s="2" t="inlineStr">
        <is>
          <t>Оформить подписку</t>
        </is>
      </c>
      <c r="G7" s="2" t="inlineStr">
        <is>
          <t>Оплатить 40 у.е. в год</t>
        </is>
      </c>
      <c r="H7" s="2" t="inlineStr">
        <is>
          <t>Подтвердить оплату</t>
        </is>
      </c>
      <c r="I7" s="2" t="inlineStr">
        <is>
          <t>Состав заказа, форма оплаты, подтверждение</t>
        </is>
      </c>
      <c r="J7" s="2" t="inlineStr">
        <is>
          <t>Выбран тариф, оплата, успех, ошибка оплаты</t>
        </is>
      </c>
      <c r="K7" s="2" t="inlineStr">
        <is>
          <t>Из тарифов; в профиль</t>
        </is>
      </c>
      <c r="L7" s="2" t="inlineStr">
        <is>
          <t>Доля оплат от входа на страницу</t>
        </is>
      </c>
      <c r="M7" s="2" t="inlineStr">
        <is>
          <t>Отказ платежа, отсутствие провайдера</t>
        </is>
      </c>
      <c r="N7" s="4">
        <f>IF(A7="","",ROUND(COUNTA(B7:M7)/12,2))</f>
        <v/>
      </c>
      <c r="O7" s="2">
        <f>IF(A7="","",IF(N7&gt;=0.85,"Готов к прототипу",IF(N7&gt;=0.6,"Требует доработки","Недостаточно данных")))</f>
        <v/>
      </c>
      <c r="P7" s="2" t="n"/>
      <c r="Q7" s="2" t="n"/>
      <c r="R7" s="2" t="n"/>
      <c r="S7" s="2" t="n"/>
      <c r="T7" s="2" t="n"/>
      <c r="U7" s="2" t="n"/>
    </row>
    <row r="8" ht="28.5" customHeight="1" s="13">
      <c r="A8" s="2" t="inlineStr">
        <is>
          <t>U-008</t>
        </is>
      </c>
      <c r="B8" s="2" t="inlineStr">
        <is>
          <t>Рабочая область редактора</t>
        </is>
      </c>
      <c r="C8" s="2" t="inlineStr">
        <is>
          <t>Экран приложения</t>
        </is>
      </c>
      <c r="D8" s="2" t="inlineStr">
        <is>
          <t>SC-004</t>
        </is>
      </c>
      <c r="E8" s="2" t="inlineStr">
        <is>
          <t>ROLE-002</t>
        </is>
      </c>
      <c r="F8" s="2" t="inlineStr">
        <is>
          <t>Построить диаграмму из текста</t>
        </is>
      </c>
      <c r="G8" s="2" t="inlineStr">
        <is>
          <t>Ввести текст и получить диаграмму</t>
        </is>
      </c>
      <c r="H8" s="2" t="inlineStr">
        <is>
          <t>Ввести текст</t>
        </is>
      </c>
      <c r="I8" s="2" t="inlineStr">
        <is>
          <t>Поле ввода, предпросмотр, панель ошибок</t>
        </is>
      </c>
      <c r="J8" s="2" t="inlineStr">
        <is>
          <t>Нормальное, пустое, загрузка, ошибка, успех</t>
        </is>
      </c>
      <c r="K8" s="2" t="inlineStr">
        <is>
          <t>Из выбора нотации; в экспорт и сохранение</t>
        </is>
      </c>
      <c r="L8" s="2" t="inlineStr">
        <is>
          <t>Доля пользователей, построивших первую диаграмму</t>
        </is>
      </c>
      <c r="M8" s="2" t="inlineStr">
        <is>
          <t>Сложность синтаксиса</t>
        </is>
      </c>
      <c r="N8" s="4">
        <f>IF(A8="","",ROUND(COUNTA(B8:M8)/12,2))</f>
        <v/>
      </c>
      <c r="O8" s="2">
        <f>IF(A8="","",IF(N8&gt;=0.85,"Готов к прототипу",IF(N8&gt;=0.6,"Требует доработки","Недостаточно данных")))</f>
        <v/>
      </c>
      <c r="P8" s="2" t="n"/>
      <c r="Q8" s="2" t="n"/>
      <c r="R8" s="2" t="n"/>
      <c r="S8" s="2" t="n"/>
      <c r="T8" s="2" t="n"/>
      <c r="U8" s="2" t="n"/>
    </row>
    <row r="9" ht="28.5" customHeight="1" s="13">
      <c r="A9" s="2" t="inlineStr">
        <is>
          <t>U-009</t>
        </is>
      </c>
      <c r="B9" s="2" t="inlineStr">
        <is>
          <t>Результат и экспорт</t>
        </is>
      </c>
      <c r="C9" s="2" t="inlineStr">
        <is>
          <t>Экран приложения</t>
        </is>
      </c>
      <c r="D9" s="2" t="inlineStr">
        <is>
          <t>SC-006</t>
        </is>
      </c>
      <c r="E9" s="2" t="inlineStr">
        <is>
          <t>ROLE-002</t>
        </is>
      </c>
      <c r="F9" s="2" t="inlineStr">
        <is>
          <t>Получить файл диаграммы</t>
        </is>
      </c>
      <c r="G9" s="2" t="inlineStr">
        <is>
          <t>Скачать PNG или SVG</t>
        </is>
      </c>
      <c r="H9" s="2" t="inlineStr">
        <is>
          <t>Выбрать формат</t>
        </is>
      </c>
      <c r="I9" s="2" t="inlineStr">
        <is>
          <t>Выбор формата, скачивание</t>
        </is>
      </c>
      <c r="J9" s="2" t="inlineStr">
        <is>
          <t>Нормальное, успех, формат недоступен, ошибка экспорта</t>
        </is>
      </c>
      <c r="K9" s="2" t="inlineStr">
        <is>
          <t>Из редактора</t>
        </is>
      </c>
      <c r="L9" s="2" t="inlineStr">
        <is>
          <t>Доля экспортов от построенных диаграмм</t>
        </is>
      </c>
      <c r="M9" s="2" t="inlineStr">
        <is>
          <t>Ограничения форматов Free</t>
        </is>
      </c>
      <c r="N9" s="4">
        <f>IF(A9="","",ROUND(COUNTA(B9:M9)/12,2))</f>
        <v/>
      </c>
      <c r="O9" s="2">
        <f>IF(A9="","",IF(N9&gt;=0.85,"Готов к прототипу",IF(N9&gt;=0.6,"Требует доработки","Недостаточно данных")))</f>
        <v/>
      </c>
      <c r="P9" s="2" t="n"/>
      <c r="Q9" s="2" t="n"/>
      <c r="R9" s="2" t="n"/>
      <c r="S9" s="2" t="n"/>
      <c r="T9" s="2" t="n"/>
      <c r="U9" s="2" t="n"/>
    </row>
    <row r="10" ht="28.5" customHeight="1" s="13">
      <c r="A10" s="2" t="inlineStr">
        <is>
          <t>U-012</t>
        </is>
      </c>
      <c r="B10" s="2" t="inlineStr">
        <is>
          <t>Профиль и подписка</t>
        </is>
      </c>
      <c r="C10" s="2" t="inlineStr">
        <is>
          <t>Экран приложения</t>
        </is>
      </c>
      <c r="D10" s="2" t="inlineStr">
        <is>
          <t>SC-008</t>
        </is>
      </c>
      <c r="E10" s="2" t="inlineStr">
        <is>
          <t>ROLE-004</t>
        </is>
      </c>
      <c r="F10" s="2" t="inlineStr">
        <is>
          <t>Управлять подпиской</t>
        </is>
      </c>
      <c r="G10" s="2" t="inlineStr">
        <is>
          <t>Проверить и продлить подписку</t>
        </is>
      </c>
      <c r="H10" s="2" t="inlineStr">
        <is>
          <t>Продлить</t>
        </is>
      </c>
      <c r="I10" s="2" t="inlineStr">
        <is>
          <t>Профиль, подписка, настройки</t>
        </is>
      </c>
      <c r="J10" s="2" t="inlineStr">
        <is>
          <t>Free, активная подписка, истёкший доступ</t>
        </is>
      </c>
      <c r="K10" s="2" t="inlineStr">
        <is>
          <t>Из тарифов и кабинета</t>
        </is>
      </c>
      <c r="L10" s="2" t="inlineStr">
        <is>
          <t>Доля продлений</t>
        </is>
      </c>
      <c r="M10" s="2" t="inlineStr">
        <is>
          <t>Потеря доступа при просрочке</t>
        </is>
      </c>
      <c r="N10" s="4">
        <f>IF(A10="","",ROUND(COUNTA(B10:M10)/12,2))</f>
        <v/>
      </c>
      <c r="O10" s="2">
        <f>IF(A10="","",IF(N10&gt;=0.85,"Готов к прототипу",IF(N10&gt;=0.6,"Требует доработки","Недостаточно данных")))</f>
        <v/>
      </c>
      <c r="P10" s="2" t="n"/>
      <c r="Q10" s="2" t="n"/>
      <c r="R10" s="2" t="n"/>
      <c r="S10" s="2" t="n"/>
      <c r="T10" s="2" t="n"/>
      <c r="U10" s="2" t="n"/>
    </row>
  </sheetData>
  <mergeCells count="2">
    <mergeCell ref="A1:O1"/>
    <mergeCell ref="A2:O2"/>
  </mergeCells>
  <conditionalFormatting sqref="N5:N3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7"/>
  <sheetViews>
    <sheetView topLeftCell="F1" workbookViewId="0">
      <selection activeCell="F24" sqref="F24"/>
    </sheetView>
  </sheetViews>
  <sheetFormatPr baseColWidth="8" defaultRowHeight="14.25"/>
  <cols>
    <col width="12" customWidth="1" style="13" min="1" max="1"/>
    <col width="26" customWidth="1" style="13" min="2" max="2"/>
    <col width="16" customWidth="1" style="13" min="3" max="7"/>
    <col width="14" customWidth="1" style="13" min="8" max="9"/>
    <col width="24" customWidth="1" style="13" min="10" max="10"/>
    <col width="42" customWidth="1" style="13" min="11" max="11"/>
    <col width="26" customWidth="1" style="13" min="12" max="12"/>
  </cols>
  <sheetData>
    <row r="1" ht="24.75" customHeight="1" s="13">
      <c r="A1" s="10" t="inlineStr">
        <is>
          <t>Приоритизация страниц, экранов и интерфейсных инициатив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Итоговый балл помогает определить состав первой версии и очередность следующих выпусков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3" t="inlineStr">
        <is>
          <t>Unit_ID</t>
        </is>
      </c>
      <c r="B4" s="3" t="inlineStr">
        <is>
          <t>Название</t>
        </is>
      </c>
      <c r="C4" s="3" t="inlineStr">
        <is>
          <t>Связанный сценарий_ID</t>
        </is>
      </c>
      <c r="D4" s="3" t="inlineStr">
        <is>
          <t>Ценность для пользователя 1–5</t>
        </is>
      </c>
      <c r="E4" s="3" t="inlineStr">
        <is>
          <t>Влияние на бизнес 1–5</t>
        </is>
      </c>
      <c r="F4" s="3" t="inlineStr">
        <is>
          <t>Частота использования 1–5</t>
        </is>
      </c>
      <c r="G4" s="3" t="inlineStr">
        <is>
          <t>Риск без реализации 1–5</t>
        </is>
      </c>
      <c r="H4" s="3" t="inlineStr">
        <is>
          <t>Сложность 1–5</t>
        </is>
      </c>
      <c r="I4" s="3" t="inlineStr">
        <is>
          <t>Итоговый балл</t>
        </is>
      </c>
      <c r="J4" s="3" t="inlineStr">
        <is>
          <t>Класс приоритета</t>
        </is>
      </c>
      <c r="K4" s="3" t="inlineStr">
        <is>
          <t>Основание</t>
        </is>
      </c>
      <c r="L4" s="3" t="inlineStr">
        <is>
          <t>Решение</t>
        </is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U-001</t>
        </is>
      </c>
      <c r="B5" s="2" t="inlineStr">
        <is>
          <t>Главная страница</t>
        </is>
      </c>
      <c r="C5" s="2" t="inlineStr">
        <is>
          <t>SC-001</t>
        </is>
      </c>
      <c r="D5" s="2" t="n">
        <v>4</v>
      </c>
      <c r="E5" s="2" t="n">
        <v>3</v>
      </c>
      <c r="F5" s="2" t="n">
        <v>5</v>
      </c>
      <c r="G5" s="2" t="n">
        <v>3</v>
      </c>
      <c r="H5" s="2" t="n">
        <v>2</v>
      </c>
      <c r="I5" s="2">
        <f>IF(A5="","",MAX(0,MIN(100,ROUND(((D5*0.3)+(E5*0.3)+(F5*0.15)+(G5*0.15)-(H5*0.1))*20,0))))</f>
        <v/>
      </c>
      <c r="J5" s="2">
        <f>IF(A5="","",IF(I5&gt;=80,"P1 — первая версия",IF(I5&gt;=60,"P2 — следующий выпуск",IF(I5&gt;=40,"P3 — можно отложить","Не включать"))))</f>
        <v/>
      </c>
      <c r="K5" s="2" t="inlineStr">
        <is>
          <t>Вход в воронку</t>
        </is>
      </c>
      <c r="L5" s="2" t="inlineStr">
        <is>
          <t>Включить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U-002</t>
        </is>
      </c>
      <c r="B6" s="2" t="inlineStr">
        <is>
          <t>Возможности и нотации</t>
        </is>
      </c>
      <c r="C6" s="2" t="inlineStr">
        <is>
          <t>SC-002</t>
        </is>
      </c>
      <c r="D6" s="2" t="n">
        <v>5</v>
      </c>
      <c r="E6" s="2" t="n">
        <v>4</v>
      </c>
      <c r="F6" s="2" t="n">
        <v>4</v>
      </c>
      <c r="G6" s="2" t="n">
        <v>4</v>
      </c>
      <c r="H6" s="2" t="n">
        <v>2</v>
      </c>
      <c r="I6" s="2">
        <f>IF(A6="","",MAX(0,MIN(100,ROUND(((D6*0.3)+(E6*0.3)+(F6*0.15)+(G6*0.15)-(H6*0.1))*20,0))))</f>
        <v/>
      </c>
      <c r="J6" s="2">
        <f>IF(A6="","",IF(I6&gt;=80,"P1 — первая версия",IF(I6&gt;=60,"P2 — следующий выпуск",IF(I6&gt;=40,"P3 — можно отложить","Не включать"))))</f>
        <v/>
      </c>
      <c r="K6" s="2" t="inlineStr">
        <is>
          <t>Конкурентное отличие и поиск</t>
        </is>
      </c>
      <c r="L6" s="2" t="inlineStr">
        <is>
          <t>Включить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U-003</t>
        </is>
      </c>
      <c r="B7" s="2" t="inlineStr">
        <is>
          <t>Тарифы Free и Pro</t>
        </is>
      </c>
      <c r="C7" s="2" t="inlineStr">
        <is>
          <t>SC-002</t>
        </is>
      </c>
      <c r="D7" s="2" t="n">
        <v>5</v>
      </c>
      <c r="E7" s="2" t="n">
        <v>5</v>
      </c>
      <c r="F7" s="2" t="n">
        <v>4</v>
      </c>
      <c r="G7" s="2" t="n">
        <v>4</v>
      </c>
      <c r="H7" s="2" t="n">
        <v>2</v>
      </c>
      <c r="I7" s="2">
        <f>IF(A7="","",MAX(0,MIN(100,ROUND(((D7*0.3)+(E7*0.3)+(F7*0.15)+(G7*0.15)-(H7*0.1))*20,0))))</f>
        <v/>
      </c>
      <c r="J7" s="2">
        <f>IF(A7="","",IF(I7&gt;=80,"P1 — первая версия",IF(I7&gt;=60,"P2 — следующий выпуск",IF(I7&gt;=40,"P3 — можно отложить","Не включать"))))</f>
        <v/>
      </c>
      <c r="K7" s="2" t="inlineStr">
        <is>
          <t>Монетизация и доверие</t>
        </is>
      </c>
      <c r="L7" s="2" t="inlineStr">
        <is>
          <t>Включить</t>
        </is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U-004</t>
        </is>
      </c>
      <c r="B8" s="2" t="inlineStr">
        <is>
          <t>Документация и примеры</t>
        </is>
      </c>
      <c r="C8" s="2" t="inlineStr">
        <is>
          <t>SC-010</t>
        </is>
      </c>
      <c r="D8" s="2" t="n">
        <v>4</v>
      </c>
      <c r="E8" s="2" t="n">
        <v>3</v>
      </c>
      <c r="F8" s="2" t="n">
        <v>3</v>
      </c>
      <c r="G8" s="2" t="n">
        <v>3</v>
      </c>
      <c r="H8" s="2" t="n">
        <v>2</v>
      </c>
      <c r="I8" s="2">
        <f>IF(A8="","",MAX(0,MIN(100,ROUND(((D8*0.3)+(E8*0.3)+(F8*0.15)+(G8*0.15)-(H8*0.1))*20,0))))</f>
        <v/>
      </c>
      <c r="J8" s="2">
        <f>IF(A8="","",IF(I8&gt;=80,"P1 — первая версия",IF(I8&gt;=60,"P2 — следующий выпуск",IF(I8&gt;=40,"P3 — можно отложить","Не включать"))))</f>
        <v/>
      </c>
      <c r="K8" s="2" t="inlineStr">
        <is>
          <t>Снижает нагрузку поддержки</t>
        </is>
      </c>
      <c r="L8" s="2" t="inlineStr">
        <is>
          <t>Включить после проверки</t>
        </is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U-005</t>
        </is>
      </c>
      <c r="B9" s="2" t="inlineStr">
        <is>
          <t>Регистрация и вход</t>
        </is>
      </c>
      <c r="C9" s="2" t="inlineStr">
        <is>
          <t>SC-003</t>
        </is>
      </c>
      <c r="D9" s="2" t="n">
        <v>4</v>
      </c>
      <c r="E9" s="2" t="n">
        <v>4</v>
      </c>
      <c r="F9" s="2" t="n">
        <v>4</v>
      </c>
      <c r="G9" s="2" t="n">
        <v>5</v>
      </c>
      <c r="H9" s="2" t="n">
        <v>2</v>
      </c>
      <c r="I9" s="2">
        <f>IF(A9="","",MAX(0,MIN(100,ROUND(((D9*0.3)+(E9*0.3)+(F9*0.15)+(G9*0.15)-(H9*0.1))*20,0))))</f>
        <v/>
      </c>
      <c r="J9" s="2">
        <f>IF(A9="","",IF(I9&gt;=80,"P1 — первая версия",IF(I9&gt;=60,"P2 — следующий выпуск",IF(I9&gt;=40,"P3 — можно отложить","Не включать"))))</f>
        <v/>
      </c>
      <c r="K9" s="2" t="inlineStr">
        <is>
          <t>Активация</t>
        </is>
      </c>
      <c r="L9" s="2" t="inlineStr">
        <is>
          <t>Включить</t>
        </is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8.5" customHeight="1" s="13">
      <c r="A10" s="2" t="inlineStr">
        <is>
          <t>U-006</t>
        </is>
      </c>
      <c r="B10" s="2" t="inlineStr">
        <is>
          <t>Оплата Pro</t>
        </is>
      </c>
      <c r="C10" s="2" t="inlineStr">
        <is>
          <t>SC-008</t>
        </is>
      </c>
      <c r="D10" s="2" t="n">
        <v>4</v>
      </c>
      <c r="E10" s="2" t="n">
        <v>5</v>
      </c>
      <c r="F10" s="2" t="n">
        <v>2</v>
      </c>
      <c r="G10" s="2" t="n">
        <v>5</v>
      </c>
      <c r="H10" s="2" t="n">
        <v>3</v>
      </c>
      <c r="I10" s="2">
        <f>IF(A10="","",MAX(0,MIN(100,ROUND(((D10*0.3)+(E10*0.3)+(F10*0.15)+(G10*0.15)-(H10*0.1))*20,0))))</f>
        <v/>
      </c>
      <c r="J10" s="2">
        <f>IF(A10="","",IF(I10&gt;=80,"P1 — первая версия",IF(I10&gt;=60,"P2 — следующий выпуск",IF(I10&gt;=40,"P3 — можно отложить","Не включать"))))</f>
        <v/>
      </c>
      <c r="K10" s="2" t="inlineStr">
        <is>
          <t>Выручка Pro</t>
        </is>
      </c>
      <c r="L10" s="2" t="inlineStr">
        <is>
          <t>Включить после выбора провайдера</t>
        </is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U-007</t>
        </is>
      </c>
      <c r="B11" s="2" t="inlineStr">
        <is>
          <t>Выбор нотации и шаблона</t>
        </is>
      </c>
      <c r="C11" s="2" t="inlineStr">
        <is>
          <t>SC-005</t>
        </is>
      </c>
      <c r="D11" s="2" t="n">
        <v>4</v>
      </c>
      <c r="E11" s="2" t="n">
        <v>3</v>
      </c>
      <c r="F11" s="2" t="n">
        <v>4</v>
      </c>
      <c r="G11" s="2" t="n">
        <v>3</v>
      </c>
      <c r="H11" s="2" t="n">
        <v>2</v>
      </c>
      <c r="I11" s="2">
        <f>IF(A11="","",MAX(0,MIN(100,ROUND(((D11*0.3)+(E11*0.3)+(F11*0.15)+(G11*0.15)-(H11*0.1))*20,0))))</f>
        <v/>
      </c>
      <c r="J11" s="2">
        <f>IF(A11="","",IF(I11&gt;=80,"P1 — первая версия",IF(I11&gt;=60,"P2 — следующий выпуск",IF(I11&gt;=40,"P3 — можно отложить","Не включать"))))</f>
        <v/>
      </c>
      <c r="K11" s="2" t="inlineStr">
        <is>
          <t>Старт работы</t>
        </is>
      </c>
      <c r="L11" s="2" t="inlineStr">
        <is>
          <t>Включить</t>
        </is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U-008</t>
        </is>
      </c>
      <c r="B12" s="2" t="inlineStr">
        <is>
          <t>Рабочая область редактора</t>
        </is>
      </c>
      <c r="C12" s="2" t="inlineStr">
        <is>
          <t>SC-004</t>
        </is>
      </c>
      <c r="D12" s="2" t="n">
        <v>5</v>
      </c>
      <c r="E12" s="2" t="n">
        <v>5</v>
      </c>
      <c r="F12" s="2" t="n">
        <v>5</v>
      </c>
      <c r="G12" s="2" t="n">
        <v>5</v>
      </c>
      <c r="H12" s="2" t="n">
        <v>4</v>
      </c>
      <c r="I12" s="2">
        <f>IF(A12="","",MAX(0,MIN(100,ROUND(((D12*0.3)+(E12*0.3)+(F12*0.15)+(G12*0.15)-(H12*0.1))*20,0))))</f>
        <v/>
      </c>
      <c r="J12" s="2">
        <f>IF(A12="","",IF(I12&gt;=80,"P1 — первая версия",IF(I12&gt;=60,"P2 — следующий выпуск",IF(I12&gt;=40,"P3 — можно отложить","Не включать"))))</f>
        <v/>
      </c>
      <c r="K12" s="2" t="inlineStr">
        <is>
          <t>Ядро ценности</t>
        </is>
      </c>
      <c r="L12" s="2" t="inlineStr">
        <is>
          <t>Включить</t>
        </is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U-009</t>
        </is>
      </c>
      <c r="B13" s="2" t="inlineStr">
        <is>
          <t>Результат и экспорт</t>
        </is>
      </c>
      <c r="C13" s="2" t="inlineStr">
        <is>
          <t>SC-006</t>
        </is>
      </c>
      <c r="D13" s="2" t="n">
        <v>5</v>
      </c>
      <c r="E13" s="2" t="n">
        <v>4</v>
      </c>
      <c r="F13" s="2" t="n">
        <v>5</v>
      </c>
      <c r="G13" s="2" t="n">
        <v>5</v>
      </c>
      <c r="H13" s="2" t="n">
        <v>2</v>
      </c>
      <c r="I13" s="2">
        <f>IF(A13="","",MAX(0,MIN(100,ROUND(((D13*0.3)+(E13*0.3)+(F13*0.15)+(G13*0.15)-(H13*0.1))*20,0))))</f>
        <v/>
      </c>
      <c r="J13" s="2">
        <f>IF(A13="","",IF(I13&gt;=80,"P1 — первая версия",IF(I13&gt;=60,"P2 — следующий выпуск",IF(I13&gt;=40,"P3 — можно отложить","Не включать"))))</f>
        <v/>
      </c>
      <c r="K13" s="2" t="inlineStr">
        <is>
          <t>Обязательный минимум</t>
        </is>
      </c>
      <c r="L13" s="2" t="inlineStr">
        <is>
          <t>Включить</t>
        </is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U-010</t>
        </is>
      </c>
      <c r="B14" s="2" t="inlineStr">
        <is>
          <t>Мои диаграммы</t>
        </is>
      </c>
      <c r="C14" s="2" t="inlineStr">
        <is>
          <t>SC-007</t>
        </is>
      </c>
      <c r="D14" s="2" t="n">
        <v>4</v>
      </c>
      <c r="E14" s="2" t="n">
        <v>3</v>
      </c>
      <c r="F14" s="2" t="n">
        <v>4</v>
      </c>
      <c r="G14" s="2" t="n">
        <v>3</v>
      </c>
      <c r="H14" s="2" t="n">
        <v>3</v>
      </c>
      <c r="I14" s="2">
        <f>IF(A14="","",MAX(0,MIN(100,ROUND(((D14*0.3)+(E14*0.3)+(F14*0.15)+(G14*0.15)-(H14*0.1))*20,0))))</f>
        <v/>
      </c>
      <c r="J14" s="2">
        <f>IF(A14="","",IF(I14&gt;=80,"P1 — первая версия",IF(I14&gt;=60,"P2 — следующий выпуск",IF(I14&gt;=40,"P3 — можно отложить","Не включать"))))</f>
        <v/>
      </c>
      <c r="K14" s="2" t="inlineStr">
        <is>
          <t>Удержание</t>
        </is>
      </c>
      <c r="L14" s="2" t="inlineStr">
        <is>
          <t>Вторая версия</t>
        </is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8.5" customHeight="1" s="13">
      <c r="A15" s="2" t="inlineStr">
        <is>
          <t>U-011</t>
        </is>
      </c>
      <c r="B15" s="2" t="inlineStr">
        <is>
          <t>Подсказка об ошибке синтаксиса</t>
        </is>
      </c>
      <c r="C15" s="2" t="inlineStr">
        <is>
          <t>SC-009</t>
        </is>
      </c>
      <c r="D15" s="2" t="n">
        <v>4</v>
      </c>
      <c r="E15" s="2" t="n">
        <v>3</v>
      </c>
      <c r="F15" s="2" t="n">
        <v>4</v>
      </c>
      <c r="G15" s="2" t="n">
        <v>3</v>
      </c>
      <c r="H15" s="2" t="n">
        <v>4</v>
      </c>
      <c r="I15" s="2">
        <f>IF(A15="","",MAX(0,MIN(100,ROUND(((D15*0.3)+(E15*0.3)+(F15*0.15)+(G15*0.15)-(H15*0.1))*20,0))))</f>
        <v/>
      </c>
      <c r="J15" s="2">
        <f>IF(A15="","",IF(I15&gt;=80,"P1 — первая версия",IF(I15&gt;=60,"P2 — следующий выпуск",IF(I15&gt;=40,"P3 — можно отложить","Не включать"))))</f>
        <v/>
      </c>
      <c r="K15" s="2" t="inlineStr">
        <is>
          <t>Снижает отказы, данные слабые</t>
        </is>
      </c>
      <c r="L15" s="2" t="inlineStr">
        <is>
          <t>Вторая версия</t>
        </is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U-012</t>
        </is>
      </c>
      <c r="B16" s="2" t="inlineStr">
        <is>
          <t>Профиль и подписка</t>
        </is>
      </c>
      <c r="C16" s="2" t="inlineStr">
        <is>
          <t>SC-008</t>
        </is>
      </c>
      <c r="D16" s="2" t="n">
        <v>3</v>
      </c>
      <c r="E16" s="2" t="n">
        <v>4</v>
      </c>
      <c r="F16" s="2" t="n">
        <v>3</v>
      </c>
      <c r="G16" s="2" t="n">
        <v>3</v>
      </c>
      <c r="H16" s="2" t="n">
        <v>2</v>
      </c>
      <c r="I16" s="2">
        <f>IF(A16="","",MAX(0,MIN(100,ROUND(((D16*0.3)+(E16*0.3)+(F16*0.15)+(G16*0.15)-(H16*0.1))*20,0))))</f>
        <v/>
      </c>
      <c r="J16" s="2">
        <f>IF(A16="","",IF(I16&gt;=80,"P1 — первая версия",IF(I16&gt;=60,"P2 — следующий выпуск",IF(I16&gt;=40,"P3 — можно отложить","Не включать"))))</f>
        <v/>
      </c>
      <c r="K16" s="2" t="inlineStr">
        <is>
          <t>Продление</t>
        </is>
      </c>
      <c r="L16" s="2" t="inlineStr">
        <is>
          <t>Вторая версия</t>
        </is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U-013</t>
        </is>
      </c>
      <c r="B17" s="2" t="inlineStr">
        <is>
          <t>ИИ-ассистент</t>
        </is>
      </c>
      <c r="C17" s="2" t="inlineStr">
        <is>
          <t>SC-004</t>
        </is>
      </c>
      <c r="D17" s="2" t="n">
        <v>4</v>
      </c>
      <c r="E17" s="2" t="n">
        <v>4</v>
      </c>
      <c r="F17" s="2" t="n">
        <v>4</v>
      </c>
      <c r="G17" s="2" t="n">
        <v>2</v>
      </c>
      <c r="H17" s="2" t="n">
        <v>4</v>
      </c>
      <c r="I17" s="2">
        <f>IF(A17="","",MAX(0,MIN(100,ROUND(((D17*0.3)+(E17*0.3)+(F17*0.15)+(G17*0.15)-(H17*0.1))*20,0))))</f>
        <v/>
      </c>
      <c r="J17" s="2">
        <f>IF(A17="","",IF(I17&gt;=80,"P1 — первая версия",IF(I17&gt;=60,"P2 — следующий выпуск",IF(I17&gt;=40,"P3 — можно отложить","Не включать"))))</f>
        <v/>
      </c>
      <c r="K17" s="2" t="inlineStr">
        <is>
          <t>Гипотеза</t>
        </is>
      </c>
      <c r="L17" s="2" t="inlineStr">
        <is>
          <t>Вторая версия</t>
        </is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</sheetData>
  <mergeCells count="2">
    <mergeCell ref="A2:L2"/>
    <mergeCell ref="A1:L1"/>
  </mergeCells>
  <conditionalFormatting sqref="I5:I304">
    <cfRule type="dataBar" priority="1">
      <dataBar>
        <cfvo type="min"/>
        <cfvo type="max"/>
        <color rgb="FF2F6F7E"/>
      </dataBar>
    </cfRule>
    <cfRule type="dataBar" priority="3">
      <dataBar>
        <cfvo type="min"/>
        <cfvo type="max"/>
        <color rgb="FF2F6F7E"/>
      </dataBar>
    </cfRule>
  </conditionalFormatting>
  <conditionalFormatting sqref="J5:J304">
    <cfRule type="expression" priority="2" dxfId="0">
      <formula>LEFT(J5,2)="P1"</formula>
    </cfRule>
  </conditionalFormatting>
  <dataValidations count="2">
    <dataValidation sqref="D5:H304" showDropDown="0" showInputMessage="0" showErrorMessage="0" allowBlank="0" type="list">
      <formula1>"1,2,3,4,5"</formula1>
    </dataValidation>
    <dataValidation sqref="L5:L304" showDropDown="0" showInputMessage="0" showErrorMessage="0" allowBlank="0" type="list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F11" sqref="A1:F11"/>
    </sheetView>
  </sheetViews>
  <sheetFormatPr baseColWidth="8" defaultRowHeight="14.25"/>
  <cols>
    <col width="26" customWidth="1" style="13" min="1" max="1"/>
    <col width="48" customWidth="1" style="13" min="2" max="2"/>
    <col width="40" customWidth="1" style="13" min="3" max="3"/>
    <col width="16" customWidth="1" style="13" min="4" max="4"/>
    <col width="18" customWidth="1" style="13" min="5" max="5"/>
    <col width="55" customWidth="1" style="13" min="6" max="6"/>
  </cols>
  <sheetData>
    <row r="1" ht="20.25" customHeight="1" s="13">
      <c r="A1" s="10" t="inlineStr">
        <is>
          <t>Проверка связности проектной логики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Лист показывает, насколько интерфейсные единицы выведены из анализа и связаны со сценариями, навигацией, состояниями и бизнес-моделью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3" t="inlineStr">
        <is>
          <t>Проверка</t>
        </is>
      </c>
      <c r="B4" s="3" t="inlineStr">
        <is>
          <t>Описание</t>
        </is>
      </c>
      <c r="C4" s="3" t="inlineStr">
        <is>
          <t>Расчет / критерий</t>
        </is>
      </c>
      <c r="D4" s="3" t="inlineStr">
        <is>
          <t>Результат</t>
        </is>
      </c>
      <c r="E4" s="3" t="inlineStr">
        <is>
          <t>Статус</t>
        </is>
      </c>
      <c r="F4" s="3" t="inlineStr">
        <is>
          <t>Что исправить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28.5" customHeight="1" s="13">
      <c r="A5" s="2" t="inlineStr">
        <is>
          <t>Покрытие сценариев</t>
        </is>
      </c>
      <c r="B5" s="2" t="inlineStr">
        <is>
          <t>У каждого значимого сценария есть хотя бы одна страница или экран</t>
        </is>
      </c>
      <c r="C5" s="2" t="inlineStr">
        <is>
          <t>Сценарии с покрытием / всего сценариев</t>
        </is>
      </c>
      <c r="D5" s="4">
        <f>IFERROR(COUNTIF(Пользовательские_сценарии!$N\$5:$N\$304,"Покрыт")/SUMPRODUCT(--(Пользовательские_сценарии!$A\$5:$A\$304&lt;&gt;"")),0)</f>
        <v/>
      </c>
      <c r="E5" s="2">
        <f>IF(D5&gt;=0.9,"Норма",IF(D5&gt;=0.7,"Требует проверки","Проблема"))</f>
        <v/>
      </c>
      <c r="F5" s="2" t="inlineStr">
        <is>
          <t>Для сценариев без покрытия добавить интерфейсную единицу или исключить сценарий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28.5" customHeight="1" s="13">
      <c r="A6" s="2" t="inlineStr">
        <is>
          <t>Интерфейсные единицы без сценария</t>
        </is>
      </c>
      <c r="B6" s="2" t="inlineStr">
        <is>
          <t>Не должно быть страниц и экранов без связанного сценария</t>
        </is>
      </c>
      <c r="C6" s="2" t="inlineStr">
        <is>
          <t>Количество строк с пустым сценарием</t>
        </is>
      </c>
      <c r="D6" s="2">
        <f>SUMPRODUCT(--(Страницы_и_экраны!$A\$5:$A\$304&lt;&gt;""),--(Страницы_и_экраны!$E\$5:$E\$304=""))</f>
        <v/>
      </c>
      <c r="E6" s="2">
        <f>IF(D6=0,"Норма","Проблема")</f>
        <v/>
      </c>
      <c r="F6" s="2" t="inlineStr">
        <is>
          <t>Указать сценарий или удалить лишнюю единицу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 ht="28.5" customHeight="1" s="13">
      <c r="A7" s="2" t="inlineStr">
        <is>
          <t>Полнота паспортов</t>
        </is>
      </c>
      <c r="B7" s="2" t="inlineStr">
        <is>
          <t>Паспорта ключевых страниц и экранов должны быть заполнены не менее чем на 85%</t>
        </is>
      </c>
      <c r="C7" s="2" t="inlineStr">
        <is>
          <t>Средняя полнота паспортов</t>
        </is>
      </c>
      <c r="D7" s="4">
        <f>IFERROR(AVERAGE(Паспорт_экрана!$N\$5:$N\$304),0)</f>
        <v/>
      </c>
      <c r="E7" s="2">
        <f>IF(D7&gt;=0.85,"Норма",IF(D7&gt;=0.6,"Требует проверки","Проблема"))</f>
        <v/>
      </c>
      <c r="F7" s="2" t="inlineStr">
        <is>
          <t>Заполнить назначение, задачи, действия, состояния, навигацию, метрики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8.5" customHeight="1" s="13">
      <c r="A8" s="2" t="inlineStr">
        <is>
          <t>Навигация</t>
        </is>
      </c>
      <c r="B8" s="2" t="inlineStr">
        <is>
          <t>Ключевые страницы и экраны должны иметь переходы</t>
        </is>
      </c>
      <c r="C8" s="2" t="inlineStr">
        <is>
          <t>Количество описанных переходов</t>
        </is>
      </c>
      <c r="D8" s="2">
        <f>SUMPRODUCT(--(Навигация_и_карта!$A\$5:$A\$204&lt;&gt;""))</f>
        <v/>
      </c>
      <c r="E8" s="2">
        <f>IF(D8&gt;=SUMPRODUCT(--(Страницы_и_экраны!$A\$5:$A\$304&lt;&gt;""))-1,"Норма",IF(D8&gt;0,"Требует проверки","Проблема"))</f>
        <v/>
      </c>
      <c r="F8" s="2" t="inlineStr">
        <is>
          <t>Добавить переходы между интерфейсными единицами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 ht="28.5" customHeight="1" s="13">
      <c r="A9" s="2" t="inlineStr">
        <is>
          <t>Состояния и ошибки</t>
        </is>
      </c>
      <c r="B9" s="2" t="inlineStr">
        <is>
          <t>Для ключевых страниц и экранов описаны состояния и исключения</t>
        </is>
      </c>
      <c r="C9" s="2" t="inlineStr">
        <is>
          <t>Средняя полнота состояний</t>
        </is>
      </c>
      <c r="D9" s="4">
        <f>IFERROR(AVERAGE(Состояния_и_ошибки!$K\$5:$K\$204),0)</f>
        <v/>
      </c>
      <c r="E9" s="2">
        <f>IF(D9&gt;=0.85,"Норма",IF(D9&gt;=0.6,"Требует проверки","Проблема"))</f>
        <v/>
      </c>
      <c r="F9" s="2" t="inlineStr">
        <is>
          <t>Заполнить пустые, загрузочные, ошибочные и успешные состояния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8.5" customHeight="1" s="13">
      <c r="A10" s="2" t="inlineStr">
        <is>
          <t>Монетизационная связность</t>
        </is>
      </c>
      <c r="B10" s="2" t="inlineStr">
        <is>
          <t>Хотя бы одна интерфейсная единица должна вести к монетизации или поддерживать ее</t>
        </is>
      </c>
      <c r="C10" s="2" t="inlineStr">
        <is>
          <t>Количество единиц с монетизационной ролью</t>
        </is>
      </c>
      <c r="D10" s="2">
        <f>SUMPRODUCT(--(Страницы_и_экраны!$A\$5:$A\$304&lt;&gt;""),--(Страницы_и_экраны!$P\$5:$P\$304&lt;&gt;""),--(Страницы_и_экраны!$P\$5:$P\$304&lt;&gt;"Не связана напрямую"))</f>
        <v/>
      </c>
      <c r="E10" s="2">
        <f>IF(D10&gt;=1,"Норма","Требует проверки")</f>
        <v/>
      </c>
      <c r="F10" s="2" t="inlineStr">
        <is>
          <t>Уточнить роль экранов в оплате, тарифах, удержании или снижении затрат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8.5" customHeight="1" s="13">
      <c r="A11" s="2" t="inlineStr">
        <is>
          <t>Доказательность</t>
        </is>
      </c>
      <c r="B11" s="2" t="inlineStr">
        <is>
          <t>У интерфейсных единиц есть источник требования</t>
        </is>
      </c>
      <c r="C11" s="2" t="inlineStr">
        <is>
          <t>Доля строк с источником требования</t>
        </is>
      </c>
      <c r="D11" s="4">
        <f>IFERROR(SUMPRODUCT(--(Страницы_и_экраны!$A\$5:$A\$304&lt;&gt;""),--(Страницы_и_экраны!$J\$5:$J\$304&lt;&gt;""))/SUMPRODUCT(--(Страницы_и_экраны!$A\$5:$A\$304&lt;&gt;"")),0)</f>
        <v/>
      </c>
      <c r="E11" s="2">
        <f>IF(D11&gt;=0.8,"Норма",IF(D11&gt;=0.6,"Требует проверки","Проблема"))</f>
        <v/>
      </c>
      <c r="F11" s="2" t="inlineStr">
        <is>
          <t>Добавить ссылки на выводы, сценарии, отзывы, конкурентов или бизнес-модель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</sheetData>
  <mergeCells count="2">
    <mergeCell ref="A2:F2"/>
    <mergeCell ref="A1:F1"/>
  </mergeCells>
  <conditionalFormatting sqref="E5:E11">
    <cfRule type="expression" priority="1" dxfId="2">
      <formula>E5="Проблема"</formula>
    </cfRule>
    <cfRule type="expression" priority="2" dxfId="1">
      <formula>E5="Требует проверки"</formula>
    </cfRule>
    <cfRule type="expression" priority="3" dxfId="0">
      <formula>E5="Норма"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C24" sqref="C24"/>
    </sheetView>
  </sheetViews>
  <sheetFormatPr baseColWidth="8" defaultRowHeight="14.25"/>
  <cols>
    <col width="38" customWidth="1" style="13" min="1" max="1"/>
    <col width="18" customWidth="1" style="13" min="2" max="2"/>
    <col width="58" customWidth="1" style="13" min="3" max="3"/>
  </cols>
  <sheetData>
    <row r="1" ht="32.25" customHeight="1" s="13">
      <c r="A1" s="10" t="inlineStr">
        <is>
          <t>Дашборд готовности перехода к страницам и экранам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11" t="inlineStr">
        <is>
          <t>Показывает готовность проектной логики: покрытие сценариев, полноту паспортов, состояние навигации, наличие состояний и приоритизацию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Интерпретация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15" customHeight="1" s="13">
      <c r="A5" s="20" t="inlineStr">
        <is>
          <t>Всего сценариев</t>
        </is>
      </c>
      <c r="B5" s="19">
        <f>SUMPRODUCT(--(Пользовательские_сценарии!$A\$5:$A\$304&lt;&gt;""))</f>
        <v/>
      </c>
      <c r="C5" s="15" t="inlineStr">
        <is>
          <t>Количество описанных пользовательских сценариев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30" customHeight="1" s="13">
      <c r="A6" s="20" t="inlineStr">
        <is>
          <t>Покрытие сценариев страницами/экранами</t>
        </is>
      </c>
      <c r="B6" s="19">
        <f>IFERROR(COUNTIF(Пользовательские_сценарии!$N\$5:$N\$304,"Покрыт")/SUMPRODUCT(--(Пользовательские_сценарии!$A\$5:$A\$304&lt;&gt;"")),0)</f>
        <v/>
      </c>
      <c r="C6" s="15" t="inlineStr">
        <is>
          <t>Доля сценариев, для которых определена интерфейсная единица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 ht="15" customHeight="1" s="13">
      <c r="A7" s="20" t="inlineStr">
        <is>
          <t>Всего страниц и экранов</t>
        </is>
      </c>
      <c r="B7" s="19">
        <f>SUMPRODUCT(--(Страницы_и_экраны!$A\$5:$A\$304&lt;&gt;""))</f>
        <v/>
      </c>
      <c r="C7" s="15" t="inlineStr">
        <is>
          <t>Общее количество интерфейсных единиц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30" customHeight="1" s="13">
      <c r="A8" s="20" t="inlineStr">
        <is>
          <t>Средняя полнота описания страниц/экранов</t>
        </is>
      </c>
      <c r="B8" s="19">
        <f>IFERROR(AVERAGE(Страницы_и_экраны!$T\$5:$T\$304),0)</f>
        <v/>
      </c>
      <c r="C8" s="15" t="inlineStr">
        <is>
          <t>Насколько заполнены назначения, данные, действия, состояния и требования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 ht="15" customHeight="1" s="13">
      <c r="A9" s="20" t="inlineStr">
        <is>
          <t>Средняя полнота паспортов</t>
        </is>
      </c>
      <c r="B9" s="15">
        <f>IFERROR(AVERAGE(Паспорт_экрана!$N\$5:$N\$304),0)</f>
        <v/>
      </c>
      <c r="C9" s="15" t="inlineStr">
        <is>
          <t>Готовность к прототипированию и постановке задачи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8.5" customHeight="1" s="13">
      <c r="A10" s="20" t="inlineStr">
        <is>
          <t>Средняя полнота состояний</t>
        </is>
      </c>
      <c r="B10" s="15">
        <f>IFERROR(AVERAGE(Состояния_и_ошибки!$K\$5:$K\$204),0)</f>
        <v/>
      </c>
      <c r="C10" s="15" t="inlineStr">
        <is>
          <t>Наличие нормальных, пустых, загрузочных и ошибочных состояний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15" customHeight="1" s="13">
      <c r="A11" s="20" t="inlineStr">
        <is>
          <t>Интерфейсные единицы P1</t>
        </is>
      </c>
      <c r="B11" s="15">
        <f>COUNTIF(Приоритизация!$J\$5:$J\$304,"P1 — первая версия")</f>
        <v/>
      </c>
      <c r="C11" s="15" t="inlineStr">
        <is>
          <t>Кандидаты в первую версию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15" customHeight="1" s="13">
      <c r="A12" s="20" t="inlineStr">
        <is>
          <t>Интегральная готовность</t>
        </is>
      </c>
      <c r="B12" s="19">
        <f>ROUND(AVERAGE(B6,B8,B9,B10),2)</f>
        <v/>
      </c>
      <c r="C12" s="15" t="inlineStr">
        <is>
          <t>Средняя готовность к переходу в прототипирование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5" customHeight="1" s="13">
      <c r="A14" s="3" t="inlineStr">
        <is>
          <t>Блок проверки</t>
        </is>
      </c>
      <c r="B14" s="3" t="inlineStr">
        <is>
          <t>Готовность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Покрытие сценариев</t>
        </is>
      </c>
      <c r="B15" s="4">
        <f>B6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Описание страниц/экранов</t>
        </is>
      </c>
      <c r="B16" s="4">
        <f>B8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Паспорта</t>
        </is>
      </c>
      <c r="B17" s="4">
        <f>B9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Состояния</t>
        </is>
      </c>
      <c r="B18" s="4">
        <f>B10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J26" sqref="J26"/>
    </sheetView>
  </sheetViews>
  <sheetFormatPr baseColWidth="8" defaultRowHeight="14.25"/>
  <cols>
    <col width="28" customWidth="1" style="13" min="1" max="12"/>
  </cols>
  <sheetData>
    <row r="1" ht="27" customHeight="1" s="13">
      <c r="A1" s="10" t="inlineStr">
        <is>
          <t>Справочники для выпадающих списков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15" customHeight="1" s="13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 ht="15" customHeight="1" s="13">
      <c r="A3" s="5" t="inlineStr">
        <is>
          <t>Вид анализа</t>
        </is>
      </c>
      <c r="B3" s="5" t="inlineStr">
        <is>
          <t>Этап пути</t>
        </is>
      </c>
      <c r="C3" s="5" t="inlineStr">
        <is>
          <t>Тип интерфейсной единицы</t>
        </is>
      </c>
      <c r="D3" s="5" t="inlineStr">
        <is>
          <t>Тип связи</t>
        </is>
      </c>
      <c r="E3" s="5" t="inlineStr">
        <is>
          <t>Обязательность</t>
        </is>
      </c>
      <c r="F3" s="5" t="inlineStr">
        <is>
          <t>Статус</t>
        </is>
      </c>
      <c r="G3" s="5" t="inlineStr">
        <is>
          <t>ДаНет</t>
        </is>
      </c>
      <c r="H3" s="5" t="inlineStr">
        <is>
          <t>Решение</t>
        </is>
      </c>
      <c r="I3" s="5" t="inlineStr">
        <is>
          <t>Канал входа</t>
        </is>
      </c>
      <c r="J3" s="5" t="inlineStr">
        <is>
          <t>Роль в монетизации</t>
        </is>
      </c>
      <c r="K3" s="5" t="inlineStr">
        <is>
          <t>Тип перехода</t>
        </is>
      </c>
      <c r="L3" s="5" t="inlineStr">
        <is>
          <t>Приоритет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9.15" customHeight="1" s="13">
      <c r="A4" s="2" t="inlineStr">
        <is>
          <t>Анализ проблем</t>
        </is>
      </c>
      <c r="B4" s="2" t="inlineStr">
        <is>
          <t>Осведомление</t>
        </is>
      </c>
      <c r="C4" s="2" t="inlineStr">
        <is>
          <t>Страница сайта</t>
        </is>
      </c>
      <c r="D4" s="2" t="inlineStr">
        <is>
          <t>Основная</t>
        </is>
      </c>
      <c r="E4" s="2" t="inlineStr">
        <is>
          <t>Обязательно для первой версии</t>
        </is>
      </c>
      <c r="F4" s="2" t="inlineStr">
        <is>
          <t>Не начато</t>
        </is>
      </c>
      <c r="G4" s="2" t="inlineStr">
        <is>
          <t>Да</t>
        </is>
      </c>
      <c r="H4" s="2" t="inlineStr">
        <is>
          <t>Оставить</t>
        </is>
      </c>
      <c r="I4" s="2" t="inlineStr">
        <is>
          <t>Поиск</t>
        </is>
      </c>
      <c r="J4" s="2" t="inlineStr">
        <is>
          <t>Прямое получение оплаты</t>
        </is>
      </c>
      <c r="K4" s="2" t="inlineStr">
        <is>
          <t>Основной</t>
        </is>
      </c>
      <c r="L4" s="2" t="inlineStr">
        <is>
          <t>P1 — первая версия</t>
        </is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28.5" customHeight="1" s="13">
      <c r="A5" s="2" t="inlineStr">
        <is>
          <t>Анализ отзывов</t>
        </is>
      </c>
      <c r="B5" s="2" t="inlineStr">
        <is>
          <t>Первичный интерес</t>
        </is>
      </c>
      <c r="C5" s="2" t="inlineStr">
        <is>
          <t>Экран приложения</t>
        </is>
      </c>
      <c r="D5" s="2" t="inlineStr">
        <is>
          <t>Поддерживающая</t>
        </is>
      </c>
      <c r="E5" s="2" t="inlineStr">
        <is>
          <t>Желательно для первой версии</t>
        </is>
      </c>
      <c r="F5" s="2" t="inlineStr">
        <is>
          <t>Требует уточнения</t>
        </is>
      </c>
      <c r="G5" s="2" t="inlineStr">
        <is>
          <t>Нет</t>
        </is>
      </c>
      <c r="H5" s="2" t="inlineStr">
        <is>
          <t>Объединить</t>
        </is>
      </c>
      <c r="I5" s="2" t="inlineStr">
        <is>
          <t>Реклама</t>
        </is>
      </c>
      <c r="J5" s="2" t="inlineStr">
        <is>
          <t>Подведение к оплате</t>
        </is>
      </c>
      <c r="K5" s="2" t="inlineStr">
        <is>
          <t>Возврат</t>
        </is>
      </c>
      <c r="L5" s="2" t="inlineStr">
        <is>
          <t>P2 — следующий выпуск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Анализ конкурентов</t>
        </is>
      </c>
      <c r="B6" s="2" t="inlineStr">
        <is>
          <t>Оценка решения</t>
        </is>
      </c>
      <c r="C6" s="2" t="inlineStr">
        <is>
          <t>Общий модуль</t>
        </is>
      </c>
      <c r="D6" s="2" t="inlineStr">
        <is>
          <t>Альтернативная</t>
        </is>
      </c>
      <c r="E6" s="2" t="inlineStr">
        <is>
          <t>Следующий выпуск</t>
        </is>
      </c>
      <c r="F6" s="2" t="inlineStr">
        <is>
          <t>В проектировании</t>
        </is>
      </c>
      <c r="G6" s="2" t="inlineStr">
        <is>
          <t>Частично</t>
        </is>
      </c>
      <c r="H6" s="2" t="inlineStr">
        <is>
          <t>Разделить</t>
        </is>
      </c>
      <c r="I6" s="2" t="inlineStr">
        <is>
          <t>Социальные сети</t>
        </is>
      </c>
      <c r="J6" s="2" t="inlineStr">
        <is>
          <t>Удержание</t>
        </is>
      </c>
      <c r="K6" s="2" t="inlineStr">
        <is>
          <t>Ветвление</t>
        </is>
      </c>
      <c r="L6" s="2" t="inlineStr">
        <is>
          <t>P3 — можно отложить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Анализ цифрового товара</t>
        </is>
      </c>
      <c r="B7" s="2" t="inlineStr">
        <is>
          <t>Регистрация</t>
        </is>
      </c>
      <c r="C7" s="2" t="inlineStr">
        <is>
          <t>Системное состояние</t>
        </is>
      </c>
      <c r="D7" s="2" t="inlineStr">
        <is>
          <t>Сервисная</t>
        </is>
      </c>
      <c r="E7" s="2" t="inlineStr">
        <is>
          <t>Отложить</t>
        </is>
      </c>
      <c r="F7" s="2" t="inlineStr">
        <is>
          <t>В прототипе</t>
        </is>
      </c>
      <c r="G7" s="2" t="n"/>
      <c r="H7" s="2" t="inlineStr">
        <is>
          <t>Уточнить</t>
        </is>
      </c>
      <c r="I7" s="2" t="inlineStr">
        <is>
          <t>Рекомендация</t>
        </is>
      </c>
      <c r="J7" s="2" t="inlineStr">
        <is>
          <t>Повышение ценности тарифа</t>
        </is>
      </c>
      <c r="K7" s="2" t="inlineStr">
        <is>
          <t>Переход после ошибки</t>
        </is>
      </c>
      <c r="L7" s="2" t="inlineStr">
        <is>
          <t>Не включать</t>
        </is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Ценностное предложение</t>
        </is>
      </c>
      <c r="B8" s="2" t="inlineStr">
        <is>
          <t>Настройка</t>
        </is>
      </c>
      <c r="C8" s="2" t="inlineStr">
        <is>
          <t>Форма</t>
        </is>
      </c>
      <c r="D8" s="2" t="inlineStr">
        <is>
          <t>Монетизационная</t>
        </is>
      </c>
      <c r="E8" s="2" t="inlineStr">
        <is>
          <t>Исключить</t>
        </is>
      </c>
      <c r="F8" s="2" t="inlineStr">
        <is>
          <t>Готово к ТЗ</t>
        </is>
      </c>
      <c r="G8" s="2" t="n"/>
      <c r="H8" s="2" t="inlineStr">
        <is>
          <t>Исключить</t>
        </is>
      </c>
      <c r="I8" s="2" t="inlineStr">
        <is>
          <t>Партнерский канал</t>
        </is>
      </c>
      <c r="J8" s="2" t="inlineStr">
        <is>
          <t>Снижение затрат</t>
        </is>
      </c>
      <c r="K8" s="2" t="inlineStr">
        <is>
          <t>Переход после оплаты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 ht="28.5" customHeight="1" s="13">
      <c r="A9" s="2" t="inlineStr">
        <is>
          <t>Бизнес-модель Канвас</t>
        </is>
      </c>
      <c r="B9" s="2" t="inlineStr">
        <is>
          <t>Основное использование</t>
        </is>
      </c>
      <c r="C9" s="2" t="inlineStr">
        <is>
          <t>Личный кабинет</t>
        </is>
      </c>
      <c r="D9" s="2" t="inlineStr">
        <is>
          <t>Контрольная</t>
        </is>
      </c>
      <c r="E9" s="2" t="n"/>
      <c r="F9" s="2" t="inlineStr">
        <is>
          <t>Исключено</t>
        </is>
      </c>
      <c r="G9" s="2" t="n"/>
      <c r="H9" s="2" t="inlineStr">
        <is>
          <t>Перенести в следующий выпуск</t>
        </is>
      </c>
      <c r="I9" s="2" t="inlineStr">
        <is>
          <t>Прямой вход</t>
        </is>
      </c>
      <c r="J9" s="2" t="inlineStr">
        <is>
          <t>Не связана напрямую</t>
        </is>
      </c>
      <c r="K9" s="2" t="inlineStr">
        <is>
          <t>Внешний переход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Бизнес-логика</t>
        </is>
      </c>
      <c r="B10" s="2" t="inlineStr">
        <is>
          <t>Оплата</t>
        </is>
      </c>
      <c r="C10" s="2" t="inlineStr">
        <is>
          <t>Платежный экран</t>
        </is>
      </c>
      <c r="D10" s="2" t="n"/>
      <c r="E10" s="2" t="n"/>
      <c r="F10" s="2" t="n"/>
      <c r="G10" s="2" t="n"/>
      <c r="H10" s="2" t="n"/>
      <c r="I10" s="2" t="inlineStr">
        <is>
          <t>Уведомление</t>
        </is>
      </c>
      <c r="J10" s="2" t="n"/>
      <c r="K10" s="2" t="inlineStr">
        <is>
          <t>Системный переход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Пользовательский сценарий</t>
        </is>
      </c>
      <c r="B11" s="2" t="inlineStr">
        <is>
          <t>Поддержка</t>
        </is>
      </c>
      <c r="C11" s="2" t="n"/>
      <c r="D11" s="2" t="n"/>
      <c r="E11" s="2" t="n"/>
      <c r="F11" s="2" t="n"/>
      <c r="G11" s="2" t="n"/>
      <c r="H11" s="2" t="n"/>
      <c r="I11" s="2" t="inlineStr">
        <is>
          <t>Внутренний переход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2" t="inlineStr">
        <is>
          <t>Повторное использование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inlineStr">
        <is>
          <t>Отток/возврат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C28" sqref="C28"/>
    </sheetView>
  </sheetViews>
  <sheetFormatPr baseColWidth="8" defaultRowHeight="12.75"/>
  <cols>
    <col width="22.625" customWidth="1" style="6" min="1" max="1"/>
    <col width="8.625" customWidth="1" style="6" min="2" max="2"/>
    <col width="150.625" customWidth="1" style="6" min="3" max="3"/>
    <col width="9" customWidth="1" style="6" min="4" max="16384"/>
  </cols>
  <sheetData>
    <row r="1" ht="15.75" customHeight="1" s="13">
      <c r="A1" s="7" t="inlineStr">
        <is>
          <t>Журнал рабочей копии: источники, единицы, ограничения</t>
        </is>
      </c>
    </row>
    <row r="2"/>
    <row r="3">
      <c r="A3" s="8" t="inlineStr">
        <is>
          <t>Раздел</t>
        </is>
      </c>
      <c r="B3" s="8" t="inlineStr">
        <is>
          <t>Код</t>
        </is>
      </c>
      <c r="C3" s="8" t="inlineStr">
        <is>
          <t>Содержание</t>
        </is>
      </c>
    </row>
    <row r="4">
      <c r="A4" s="9" t="inlineStr">
        <is>
          <t>Источники</t>
        </is>
      </c>
      <c r="B4" s="9" t="inlineStr">
        <is>
          <t>И-1</t>
        </is>
      </c>
      <c r="C4" s="9" t="inlineStr">
        <is>
          <t>Банк выводов из ЛР5 (стандарт страниц, тарифы), методик 6.1-6.3 и ЛР4 (опрос, Similarweb)</t>
        </is>
      </c>
    </row>
    <row r="5" ht="25.5" customHeight="1" s="13">
      <c r="A5" s="9" t="inlineStr">
        <is>
          <t>Единицы</t>
        </is>
      </c>
      <c r="B5" s="9" t="inlineStr">
        <is>
          <t>Е-1</t>
        </is>
      </c>
      <c r="C5" s="9" t="inlineStr">
        <is>
          <t>13 единиц: 6 страниц сайта и 7 экранов приложения (PWA). Страница правовых документов и поддержки не вынесена: правовые документы и контакты размещаются в подвале и должны быть в первой версии (</t>
        </is>
      </c>
    </row>
    <row r="6">
      <c r="A6" s="9" t="inlineStr">
        <is>
          <t>Паспорта</t>
        </is>
      </c>
      <c r="B6" s="9" t="inlineStr">
        <is>
          <t>П-1</t>
        </is>
      </c>
      <c r="C6" s="9" t="inlineStr">
        <is>
          <t>Паспорта заполнены для 6 ключевых единиц (тарифы, регистрация, оплата, редактор, экспорт, профиль); для остальных -</t>
        </is>
      </c>
    </row>
    <row r="7">
      <c r="A7" s="9" t="inlineStr">
        <is>
          <t>Состояния</t>
        </is>
      </c>
      <c r="B7" s="9" t="inlineStr">
        <is>
          <t>С-1</t>
        </is>
      </c>
      <c r="C7" s="9" t="inlineStr">
        <is>
          <t>Карта состояний заполнена для 6 единиц; прочерк означает, что состояние неприменимо</t>
        </is>
      </c>
    </row>
    <row r="8" ht="25.5" customHeight="1" s="13">
      <c r="A8" s="9" t="inlineStr">
        <is>
          <t>Правило</t>
        </is>
      </c>
      <c r="B8" s="9" t="inlineStr">
        <is>
          <t>Р-2</t>
        </is>
      </c>
      <c r="C8" s="9" t="inlineStr">
        <is>
          <t>По формуле шаблона P1 получают 3 единицы (выбор нотации, редактор, экспорт); тарифы, регистрация и оплата - P2 или P3, но цепочка «обнаружение ценности - выбор - оплата - первый результат» требует их включения в первый выпуск: решение принимается в методике 6.5</t>
        </is>
      </c>
    </row>
    <row r="9">
      <c r="A9" s="9" t="inlineStr">
        <is>
          <t>Правило</t>
        </is>
      </c>
      <c r="B9" s="9" t="inlineStr">
        <is>
          <t>Р-1</t>
        </is>
      </c>
      <c r="C9" s="9" t="inlineStr">
        <is>
          <t>Приоритет единицы - формула шаблона; оценки 1-5 экспертные. Страницы без доказательства из анализа (подсказка об ошибке, ИИ-ассистент) имеют статус «Гипотеза»</t>
        </is>
      </c>
    </row>
    <row r="10">
      <c r="A10" s="9" t="inlineStr">
        <is>
          <t>Ограничения</t>
        </is>
      </c>
      <c r="B10" s="9" t="inlineStr">
        <is>
          <t>О-1</t>
        </is>
      </c>
      <c r="C10" s="9" t="inlineStr">
        <is>
          <t>Опрос студентов сгенерирован (ЛР4); UX-тестирование и прототипы не проводились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:title xmlns:dc="http://purl.org/dc/elements/1.1/">Страницы и экраны NotaCode</dc:title>
  <dcterms:created xmlns:dcterms="http://purl.org/dc/terms/" xmlns:xsi="http://www.w3.org/2001/XMLSchema-instance" xsi:type="dcterms:W3CDTF">2026-10-04T14:06:48Z</dcterms:created>
  <dcterms:modified xmlns:dcterms="http://purl.org/dc/terms/" xmlns:xsi="http://www.w3.org/2001/XMLSchema-instance" xsi:type="dcterms:W3CDTF">2026-10-04T14:43:43Z</dcterms:modified>
  <cp:lastModifiedBy>Aliaksandr Khajynau</cp:lastModifiedBy>
</cp:coreProperties>
</file>