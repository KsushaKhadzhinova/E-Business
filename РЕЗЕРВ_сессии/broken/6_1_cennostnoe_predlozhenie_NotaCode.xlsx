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11" autoFilterDateGrouping="1"/>
  </bookViews>
  <sheets>
    <sheet xmlns:r="http://schemas.openxmlformats.org/officeDocument/2006/relationships" name="Справочники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Исходные данные" sheetId="3" state="visible" r:id="rId3"/>
    <sheet xmlns:r="http://schemas.openxmlformats.org/officeDocument/2006/relationships" name="Проблемы клиентов" sheetId="4" state="visible" r:id="rId4"/>
    <sheet xmlns:r="http://schemas.openxmlformats.org/officeDocument/2006/relationships" name="Конкурентные решения" sheetId="5" state="visible" r:id="rId5"/>
    <sheet xmlns:r="http://schemas.openxmlformats.org/officeDocument/2006/relationships" name="Ценностные предложения" sheetId="6" state="visible" r:id="rId6"/>
    <sheet xmlns:r="http://schemas.openxmlformats.org/officeDocument/2006/relationships" name="Цифровой товар" sheetId="7" state="visible" r:id="rId7"/>
    <sheet xmlns:r="http://schemas.openxmlformats.org/officeDocument/2006/relationships" name="Единица монетизации" sheetId="8" state="visible" r:id="rId8"/>
    <sheet xmlns:r="http://schemas.openxmlformats.org/officeDocument/2006/relationships" name="Бизнес-модель" sheetId="9" state="visible" r:id="rId9"/>
    <sheet xmlns:r="http://schemas.openxmlformats.org/officeDocument/2006/relationships" name="Проверка связности" sheetId="10" state="visible" r:id="rId10"/>
    <sheet xmlns:r="http://schemas.openxmlformats.org/officeDocument/2006/relationships" name="Дашборд" sheetId="11" state="visible" r:id="rId11"/>
    <sheet xmlns:r="http://schemas.openxmlformats.org/officeDocument/2006/relationships" name="Журнал_6_1" sheetId="12" state="visible" r:id="rId12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rlito"/>
      <sz val="11"/>
    </font>
    <font>
      <name val="Carlito"/>
      <b val="1"/>
      <color rgb="FFFFFFFF"/>
      <sz val="14"/>
    </font>
    <font>
      <name val="Carlito"/>
      <i val="1"/>
      <color rgb="FF1F2937"/>
      <sz val="10"/>
    </font>
    <font>
      <name val="Carlito"/>
      <b val="1"/>
      <color rgb="FFFFFFFF"/>
      <sz val="11"/>
    </font>
    <font>
      <name val="Carlito"/>
      <color rgb="FF1F2937"/>
      <sz val="10"/>
    </font>
    <font>
      <name val="Carlito"/>
      <b val="1"/>
      <color rgb="FF1F2937"/>
      <sz val="10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9"/>
    <xf numFmtId="0" fontId="6" fillId="0" borderId="9"/>
  </cellStyleXfs>
  <cellXfs count="34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vertical="top" wrapText="1"/>
    </xf>
    <xf numFmtId="0" fontId="3" fillId="2" borderId="1" applyAlignment="1" pivotButton="0" quotePrefix="0" xfId="1">
      <alignment horizontal="center" vertical="center" wrapText="1"/>
    </xf>
    <xf numFmtId="0" fontId="3" fillId="2" borderId="2" applyAlignment="1" pivotButton="0" quotePrefix="0" xfId="1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4" fillId="0" borderId="4" applyAlignment="1" pivotButton="0" quotePrefix="0" xfId="1">
      <alignment vertical="top" wrapText="1"/>
    </xf>
    <xf numFmtId="0" fontId="4" fillId="0" borderId="5" applyAlignment="1" pivotButton="0" quotePrefix="0" xfId="1">
      <alignment vertical="top" wrapText="1"/>
    </xf>
    <xf numFmtId="0" fontId="4" fillId="0" borderId="6" applyAlignment="1" pivotButton="0" quotePrefix="0" xfId="1">
      <alignment vertical="top" wrapText="1"/>
    </xf>
    <xf numFmtId="0" fontId="4" fillId="0" borderId="7" applyAlignment="1" pivotButton="0" quotePrefix="0" xfId="1">
      <alignment vertical="top" wrapText="1"/>
    </xf>
    <xf numFmtId="0" fontId="4" fillId="0" borderId="8" applyAlignment="1" pivotButton="0" quotePrefix="0" xfId="1">
      <alignment vertical="top" wrapText="1"/>
    </xf>
    <xf numFmtId="0" fontId="4" fillId="0" borderId="9" applyAlignment="1" pivotButton="0" quotePrefix="0" xfId="1">
      <alignment vertical="top" wrapText="1"/>
    </xf>
    <xf numFmtId="164" fontId="4" fillId="0" borderId="0" applyAlignment="1" pivotButton="0" quotePrefix="0" xfId="1">
      <alignment vertical="top" wrapText="1"/>
    </xf>
    <xf numFmtId="3" fontId="4" fillId="0" borderId="0" applyAlignment="1" pivotButton="0" quotePrefix="0" xfId="1">
      <alignment vertical="top" wrapText="1"/>
    </xf>
    <xf numFmtId="0" fontId="5" fillId="4" borderId="5" applyAlignment="1" pivotButton="0" quotePrefix="0" xfId="1">
      <alignment horizontal="center" vertical="top" wrapText="1"/>
    </xf>
    <xf numFmtId="3" fontId="5" fillId="4" borderId="8" applyAlignment="1" pivotButton="0" quotePrefix="0" xfId="1">
      <alignment horizontal="center" vertical="top" wrapText="1"/>
    </xf>
    <xf numFmtId="9" fontId="4" fillId="0" borderId="0" applyAlignment="1" pivotButton="0" quotePrefix="0" xfId="1">
      <alignment vertical="top" wrapText="1"/>
    </xf>
    <xf numFmtId="0" fontId="7" fillId="0" borderId="0" pivotButton="0" quotePrefix="0" xfId="0"/>
    <xf numFmtId="0" fontId="9" fillId="0" borderId="0" pivotButton="0" quotePrefix="0" xfId="0"/>
    <xf numFmtId="0" fontId="8" fillId="5" borderId="10" pivotButton="0" quotePrefix="0" xfId="0"/>
    <xf numFmtId="0" fontId="7" fillId="0" borderId="10" applyAlignment="1" pivotButton="0" quotePrefix="0" xfId="0">
      <alignment vertical="top" wrapText="1"/>
    </xf>
    <xf numFmtId="0" fontId="1" fillId="2" borderId="0" applyAlignment="1" pivotButton="0" quotePrefix="0" xfId="1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top"/>
    </xf>
    <xf numFmtId="164" fontId="4" fillId="0" borderId="0" applyAlignment="1" pivotButton="0" quotePrefix="0" xfId="1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1">
      <alignment vertical="center" wrapText="1"/>
    </xf>
    <xf numFmtId="0" fontId="4" fillId="0" borderId="4" applyAlignment="1" pivotButton="0" quotePrefix="0" xfId="1">
      <alignment vertical="top"/>
    </xf>
    <xf numFmtId="0" fontId="5" fillId="4" borderId="5" applyAlignment="1" pivotButton="0" quotePrefix="0" xfId="1">
      <alignment horizontal="center" vertical="top"/>
    </xf>
    <xf numFmtId="0" fontId="4" fillId="0" borderId="6" applyAlignment="1" pivotButton="0" quotePrefix="0" xfId="1">
      <alignment vertical="top"/>
    </xf>
    <xf numFmtId="0" fontId="1" fillId="2" borderId="9" applyAlignment="1" pivotButton="0" quotePrefix="0" xfId="1">
      <alignment horizontal="center" vertical="center" wrapText="1"/>
    </xf>
    <xf numFmtId="0" fontId="2" fillId="3" borderId="9" applyAlignment="1" pivotButton="0" quotePrefix="0" xfId="1">
      <alignment horizontal="left" vertical="center" wrapText="1"/>
    </xf>
  </cellXfs>
  <cellStyles count="2">
    <cellStyle name="Обычный" xfId="0" builtinId="0"/>
    <cellStyle name="Normal" xfId="1"/>
  </cellStyles>
  <dxfs count="1">
    <dxf>
      <alignment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Дашборд!$E$5:$E$8</f>
              <strCache>
                <ptCount val="4"/>
                <pt idx="0">
                  <v>Критический</v>
                </pt>
                <pt idx="1">
                  <v>Высокий</v>
                </pt>
                <pt idx="2">
                  <v>Средний</v>
                </pt>
                <pt idx="3">
                  <v>Низкий</v>
                </pt>
              </strCache>
            </strRef>
          </cat>
          <val>
            <numRef>
              <f>Дашборд!$F$5:$F$8</f>
              <numCache>
                <formatCode>General</formatCode>
                <ptCount val="4"/>
                <pt idx="0">
                  <v>0</v>
                </pt>
                <pt idx="1">
                  <v>3</v>
                </pt>
                <pt idx="2">
                  <v>3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11</row>
      <rowOff>0</rowOff>
    </from>
    <to>
      <col>3</col>
      <colOff>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ourceDataTable" displayName="SourceDataTable" ref="A4:J104" headerRowCount="1">
  <tableColumns count="10">
    <tableColumn id="1" name="ID источника"/>
    <tableColumn id="2" name="Дата сбора"/>
    <tableColumn id="3" name="Тип источника"/>
    <tableColumn id="4" name="Площадка/сайт"/>
    <tableColumn id="5" name="Компания/товар"/>
    <tableColumn id="6" name="Ссылка"/>
    <tableColumn id="7" name="Фрагмент факта"/>
    <tableColumn id="8" name="Какая проблема/решение подтверждается"/>
    <tableColumn id="9" name="Достоверность 1–5"/>
    <tableColumn id="10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blemsTable" displayName="ProblemsTable" ref="A4:M104" headerRowCount="1" headerRowDxfId="0">
  <tableColumns count="13">
    <tableColumn id="1" name="ID проблемы"/>
    <tableColumn id="2" name="Сегмент"/>
    <tableColumn id="3" name="Тип проблемы"/>
    <tableColumn id="4" name="Формулировка проблемы клиента"/>
    <tableColumn id="5" name="Частота 1–5"/>
    <tableColumn id="6" name="Интенсивность 1–5"/>
    <tableColumn id="7" name="Срочность 1–5"/>
    <tableColumn id="8" name="Незакрытость конкурентами 1–5"/>
    <tableColumn id="9" name="Готовность платить 1–5"/>
    <tableColumn id="10" name="Доказательность 1–5"/>
    <tableColumn id="11" name="Индекс проблемы"/>
    <tableColumn id="12" name="Приоритет"/>
    <tableColumn id="13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etitorSolutionsTable" displayName="CompetitorSolutionsTable" ref="A4:L104" headerRowCount="1">
  <tableColumns count="12">
    <tableColumn id="1" name="Компания"/>
    <tableColumn id="2" name="Сайт"/>
    <tableColumn id="3" name="ID проблемы"/>
    <tableColumn id="4" name="Как конкурент решает проблему"/>
    <tableColumn id="5" name="Покрытие проблемы 1–5"/>
    <tableColumn id="6" name="Ясность обещания 1–5"/>
    <tableColumn id="7" name="Полнота товара 1–5"/>
    <tableColumn id="8" name="Удобство доступа 1–5"/>
    <tableColumn id="9" name="Доказательность 1–5"/>
    <tableColumn id="10" name="Индекс силы решения"/>
    <tableColumn id="11" name="Уровень решения"/>
    <tableColumn id="12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uePropositionsTable" displayName="ValuePropositionsTable" ref="A4:M104" headerRowCount="1">
  <tableColumns count="13">
    <tableColumn id="1" name="ID ЦП"/>
    <tableColumn id="2" name="ID проблемы"/>
    <tableColumn id="3" name="Сегмент"/>
    <tableColumn id="4" name="Опорная проблема"/>
    <tableColumn id="5" name="Конкурентный пробел"/>
    <tableColumn id="6" name="Обещаемый результат"/>
    <tableColumn id="7" name="Механизм создания ценности"/>
    <tableColumn id="8" name="Формулировка ценностного предложения"/>
    <tableColumn id="9" name="Тип ЦП"/>
    <tableColumn id="10" name="Тип ценности"/>
    <tableColumn id="11" name="Индекс проблемы"/>
    <tableColumn id="12" name="Статус"/>
    <tableColumn id="13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gitalProductTable" displayName="DigitalProductTable" ref="A4:M104" headerRowCount="1">
  <tableColumns count="13">
    <tableColumn id="1" name="ID товара"/>
    <tableColumn id="2" name="ID ЦП"/>
    <tableColumn id="3" name="Название цифрового товара"/>
    <tableColumn id="4" name="Тип цифрового товара"/>
    <tableColumn id="5" name="Клиентская задача"/>
    <tableColumn id="6" name="Базовая функция"/>
    <tableColumn id="7" name="Расширенные функции"/>
    <tableColumn id="8" name="Данные/алгоритмы как часть ценности"/>
    <tableColumn id="9" name="Условия доступа и использования"/>
    <tableColumn id="10" name="Носитель ценности"/>
    <tableColumn id="11" name="Индекс товарной оформленности"/>
    <tableColumn id="12" name="Статус"/>
    <tableColumn id="13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etizationTable" displayName="MonetizationTable" ref="A4:N104" headerRowCount="1">
  <tableColumns count="14">
    <tableColumn id="1" name="ID монетизации"/>
    <tableColumn id="2" name="ID товара"/>
    <tableColumn id="3" name="Единица монетизации"/>
    <tableColumn id="4" name="Что покупает клиент"/>
    <tableColumn id="5" name="Периодичность"/>
    <tableColumn id="6" name="Базовая цена"/>
    <tableColumn id="7" name="Кол-во единиц в месяц"/>
    <tableColumn id="8" name="Расчетная выручка"/>
    <tableColumn id="9" name="Обоснование готовности платить"/>
    <tableColumn id="10" name="Связь с ценностью 1–5"/>
    <tableColumn id="11" name="Простота тарификации 1–5"/>
    <tableColumn id="12" name="Повторяемость 1–5"/>
    <tableColumn id="13" name="Монетизационный потенциал"/>
    <tableColumn id="14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usinessModelTable" displayName="BusinessModelTable" ref="A4:M104" headerRowCount="1">
  <tableColumns count="13">
    <tableColumn id="1" name="ID модели"/>
    <tableColumn id="2" name="ID товара"/>
    <tableColumn id="3" name="Клиентские сегменты"/>
    <tableColumn id="4" name="Ценностное предложение"/>
    <tableColumn id="5" name="Каналы"/>
    <tableColumn id="6" name="Отношения с клиентами"/>
    <tableColumn id="7" name="Потоки доходов"/>
    <tableColumn id="8" name="Ключевые ресурсы"/>
    <tableColumn id="9" name="Ключевые виды деятельности"/>
    <tableColumn id="10" name="Ключевые партнеры"/>
    <tableColumn id="11" name="Структура затрат"/>
    <tableColumn id="12" name="Индекс полноты бизнес-модели"/>
    <tableColumn id="13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herenceCheckTable" displayName="CoherenceCheckTable" ref="A4:J104" headerRowCount="1">
  <tableColumns count="10">
    <tableColumn id="1" name="ID проверки"/>
    <tableColumn id="2" name="ID проблемы"/>
    <tableColumn id="3" name="ID ЦП"/>
    <tableColumn id="4" name="ID товара"/>
    <tableColumn id="5" name="ID монетизации"/>
    <tableColumn id="6" name="ID модели"/>
    <tableColumn id="7" name="Индекс связности"/>
    <tableColumn id="8" name="Решение"/>
    <tableColumn id="9" name="Главный разрыв"/>
    <tableColumn id="10" name="Что доработа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C25" sqref="C25"/>
    </sheetView>
  </sheetViews>
  <sheetFormatPr baseColWidth="8" defaultRowHeight="14.25"/>
  <cols>
    <col width="22" customWidth="1" style="26" min="1" max="5"/>
    <col width="31.75" customWidth="1" style="26" min="6" max="6"/>
    <col width="22" customWidth="1" style="26" min="7" max="13"/>
  </cols>
  <sheetData>
    <row r="1" ht="29.25" customHeight="1" s="26">
      <c r="A1" s="32" t="inlineStr">
        <is>
          <t>Справочники для выпадающих списков и шкал</t>
        </is>
      </c>
    </row>
    <row r="2" ht="17.1" customHeight="1" s="26">
      <c r="A2" s="33" t="inlineStr">
        <is>
          <t>Используются на расчетных листах для унификации классификации, оценок и статусов</t>
        </is>
      </c>
    </row>
    <row r="3" ht="39" customHeight="1" s="26">
      <c r="A3" s="1" t="inlineStr">
        <is>
          <t>Шкала_1_5</t>
        </is>
      </c>
      <c r="B3" s="1" t="inlineStr">
        <is>
          <t>Сегменты</t>
        </is>
      </c>
      <c r="C3" s="1" t="inlineStr">
        <is>
          <t>Тип_проблемы</t>
        </is>
      </c>
      <c r="D3" s="1" t="inlineStr">
        <is>
          <t>Тип_ценности</t>
        </is>
      </c>
      <c r="E3" s="1" t="inlineStr">
        <is>
          <t>Тип_ЦП</t>
        </is>
      </c>
      <c r="F3" s="1" t="inlineStr">
        <is>
          <t>Тип_цифрового_товара</t>
        </is>
      </c>
      <c r="G3" s="1" t="inlineStr">
        <is>
          <t>Единица_монетизации</t>
        </is>
      </c>
      <c r="H3" s="1" t="inlineStr">
        <is>
          <t>Периодичность</t>
        </is>
      </c>
      <c r="I3" s="1" t="inlineStr">
        <is>
          <t>Статус</t>
        </is>
      </c>
      <c r="J3" s="1" t="inlineStr">
        <is>
          <t>Да_нет</t>
        </is>
      </c>
      <c r="K3" s="1" t="inlineStr">
        <is>
          <t>Элемент_БМ</t>
        </is>
      </c>
      <c r="L3" s="1" t="inlineStr">
        <is>
          <t>Решение_проверки</t>
        </is>
      </c>
      <c r="M3" s="1" t="inlineStr">
        <is>
          <t>Приоритет</t>
        </is>
      </c>
    </row>
    <row r="4">
      <c r="A4" s="2" t="n">
        <v>1</v>
      </c>
      <c r="B4" s="2" t="inlineStr">
        <is>
          <t>B2B</t>
        </is>
      </c>
      <c r="C4" s="2" t="inlineStr">
        <is>
          <t>Функциональная</t>
        </is>
      </c>
      <c r="D4" s="2" t="inlineStr">
        <is>
          <t>Экономия времени</t>
        </is>
      </c>
      <c r="E4" s="2" t="inlineStr">
        <is>
          <t>Устранение боли</t>
        </is>
      </c>
      <c r="F4" s="2" t="inlineStr">
        <is>
          <t>Веб-сервис</t>
        </is>
      </c>
      <c r="G4" s="2" t="inlineStr">
        <is>
          <t>Пользователь</t>
        </is>
      </c>
      <c r="H4" s="2" t="inlineStr">
        <is>
          <t>Разово</t>
        </is>
      </c>
      <c r="I4" s="2" t="inlineStr">
        <is>
          <t>Черновик</t>
        </is>
      </c>
      <c r="J4" s="2" t="inlineStr">
        <is>
          <t>Да</t>
        </is>
      </c>
      <c r="K4" s="2" t="inlineStr">
        <is>
          <t>Клиентские сегменты</t>
        </is>
      </c>
      <c r="L4" s="2" t="inlineStr">
        <is>
          <t>Проходят проверку</t>
        </is>
      </c>
      <c r="M4" s="2" t="inlineStr">
        <is>
          <t>Критический</t>
        </is>
      </c>
    </row>
    <row r="5">
      <c r="A5" s="2" t="n">
        <v>2</v>
      </c>
      <c r="B5" s="2" t="inlineStr">
        <is>
          <t>B2C</t>
        </is>
      </c>
      <c r="C5" s="2" t="inlineStr">
        <is>
          <t>Экономическая</t>
        </is>
      </c>
      <c r="D5" s="2" t="inlineStr">
        <is>
          <t>Снижение затрат</t>
        </is>
      </c>
      <c r="E5" s="2" t="inlineStr">
        <is>
          <t>Усиление результата</t>
        </is>
      </c>
      <c r="F5" s="2" t="inlineStr">
        <is>
          <t>Мобильное приложение</t>
        </is>
      </c>
      <c r="G5" s="2" t="inlineStr">
        <is>
          <t>Рабочее место</t>
        </is>
      </c>
      <c r="H5" s="2" t="inlineStr">
        <is>
          <t>Ежемесячно</t>
        </is>
      </c>
      <c r="I5" s="2" t="inlineStr">
        <is>
          <t>Нужно дополнить</t>
        </is>
      </c>
      <c r="J5" s="2" t="inlineStr">
        <is>
          <t>Нет</t>
        </is>
      </c>
      <c r="K5" s="2" t="inlineStr">
        <is>
          <t>Ценностное предложение</t>
        </is>
      </c>
      <c r="L5" s="2" t="inlineStr">
        <is>
          <t>Требуется доработка</t>
        </is>
      </c>
      <c r="M5" s="2" t="inlineStr">
        <is>
          <t>Высокий</t>
        </is>
      </c>
    </row>
    <row r="6">
      <c r="A6" s="2" t="n">
        <v>3</v>
      </c>
      <c r="B6" s="2" t="inlineStr">
        <is>
          <t>B2B2C</t>
        </is>
      </c>
      <c r="C6" s="2" t="inlineStr">
        <is>
          <t>Организационная</t>
        </is>
      </c>
      <c r="D6" s="2" t="inlineStr">
        <is>
          <t>Снижение риска</t>
        </is>
      </c>
      <c r="E6" s="2" t="inlineStr">
        <is>
          <t>Повышение удобства</t>
        </is>
      </c>
      <c r="F6" s="2" t="inlineStr">
        <is>
          <t>Личный кабинет</t>
        </is>
      </c>
      <c r="G6" s="2" t="inlineStr">
        <is>
          <t>Транзакция</t>
        </is>
      </c>
      <c r="H6" s="2" t="inlineStr">
        <is>
          <t>Ежеквартально</t>
        </is>
      </c>
      <c r="I6" s="2" t="inlineStr">
        <is>
          <t>Готово</t>
        </is>
      </c>
      <c r="J6" s="2" t="n"/>
      <c r="K6" s="2" t="inlineStr">
        <is>
          <t>Каналы</t>
        </is>
      </c>
      <c r="L6" s="2" t="inlineStr">
        <is>
          <t>Недостаточно данных</t>
        </is>
      </c>
      <c r="M6" s="2" t="inlineStr">
        <is>
          <t>Средний</t>
        </is>
      </c>
    </row>
    <row r="7">
      <c r="A7" s="2" t="n">
        <v>4</v>
      </c>
      <c r="B7" s="2" t="inlineStr">
        <is>
          <t>Государственный сектор</t>
        </is>
      </c>
      <c r="C7" s="2" t="inlineStr">
        <is>
          <t>Информационная</t>
        </is>
      </c>
      <c r="D7" s="2" t="inlineStr">
        <is>
          <t>Повышение точности</t>
        </is>
      </c>
      <c r="E7" s="2" t="inlineStr">
        <is>
          <t>Автоматизация процесса</t>
        </is>
      </c>
      <c r="F7" s="2" t="inlineStr">
        <is>
          <t>Платформа</t>
        </is>
      </c>
      <c r="G7" s="2" t="inlineStr">
        <is>
          <t>Проект</t>
        </is>
      </c>
      <c r="H7" s="2" t="inlineStr">
        <is>
          <t>Ежегодно</t>
        </is>
      </c>
      <c r="I7" s="2" t="inlineStr">
        <is>
          <t>Отклонить</t>
        </is>
      </c>
      <c r="J7" s="2" t="n"/>
      <c r="K7" s="2" t="inlineStr">
        <is>
          <t>Отношения с клиентами</t>
        </is>
      </c>
      <c r="L7" s="2" t="n"/>
      <c r="M7" s="2" t="inlineStr">
        <is>
          <t>Низкий</t>
        </is>
      </c>
    </row>
    <row r="8">
      <c r="A8" s="2" t="n">
        <v>5</v>
      </c>
      <c r="B8" s="2" t="inlineStr">
        <is>
          <t>Смешанный сегмент</t>
        </is>
      </c>
      <c r="C8" s="2" t="inlineStr">
        <is>
          <t>Эмоциональная</t>
        </is>
      </c>
      <c r="D8" s="2" t="inlineStr">
        <is>
          <t>Рост дохода</t>
        </is>
      </c>
      <c r="E8" s="2" t="inlineStr">
        <is>
          <t>Новая возможность</t>
        </is>
      </c>
      <c r="F8" s="2" t="inlineStr">
        <is>
          <t>Расширение/модуль</t>
        </is>
      </c>
      <c r="G8" s="2" t="inlineStr">
        <is>
          <t>Объем данных</t>
        </is>
      </c>
      <c r="H8" s="2" t="inlineStr">
        <is>
          <t>По использованию</t>
        </is>
      </c>
      <c r="I8" s="2" t="n"/>
      <c r="J8" s="2" t="n"/>
      <c r="K8" s="2" t="inlineStr">
        <is>
          <t>Потоки доходов</t>
        </is>
      </c>
      <c r="L8" s="2" t="n"/>
      <c r="M8" s="2" t="n"/>
    </row>
    <row r="9" ht="25.5" customHeight="1" s="26">
      <c r="A9" s="2" t="n"/>
      <c r="B9" s="2" t="n"/>
      <c r="C9" s="2" t="inlineStr">
        <is>
          <t>Техническая</t>
        </is>
      </c>
      <c r="D9" s="2" t="inlineStr">
        <is>
          <t>Контроль и прозрачность</t>
        </is>
      </c>
      <c r="E9" s="2" t="inlineStr">
        <is>
          <t>Дифференциация</t>
        </is>
      </c>
      <c r="F9" s="2" t="inlineStr">
        <is>
          <t>Прикладной программный интерфейс</t>
        </is>
      </c>
      <c r="G9" s="2" t="inlineStr">
        <is>
          <t>Операция</t>
        </is>
      </c>
      <c r="H9" s="2" t="inlineStr">
        <is>
          <t>Подписка</t>
        </is>
      </c>
      <c r="I9" s="2" t="n"/>
      <c r="J9" s="2" t="n"/>
      <c r="K9" s="2" t="inlineStr">
        <is>
          <t>Ключевые ресурсы</t>
        </is>
      </c>
      <c r="L9" s="2" t="n"/>
      <c r="M9" s="2" t="n"/>
    </row>
    <row r="10" ht="25.5" customHeight="1" s="26">
      <c r="A10" s="2" t="n"/>
      <c r="B10" s="2" t="n"/>
      <c r="C10" s="2" t="inlineStr">
        <is>
          <t>Правовая/регуляторная</t>
        </is>
      </c>
      <c r="D10" s="2" t="inlineStr">
        <is>
          <t>Доступность</t>
        </is>
      </c>
      <c r="E10" s="2" t="inlineStr">
        <is>
          <t>Снижение барьера входа</t>
        </is>
      </c>
      <c r="F10" s="2" t="inlineStr">
        <is>
          <t>Цифровой контент</t>
        </is>
      </c>
      <c r="G10" s="2" t="inlineStr">
        <is>
          <t>Пакет функций</t>
        </is>
      </c>
      <c r="H10" s="2" t="inlineStr">
        <is>
          <t>Комиссия</t>
        </is>
      </c>
      <c r="I10" s="2" t="n"/>
      <c r="J10" s="2" t="n"/>
      <c r="K10" s="2" t="inlineStr">
        <is>
          <t>Ключевые виды деятельности</t>
        </is>
      </c>
      <c r="L10" s="2" t="n"/>
      <c r="M10" s="2" t="n"/>
    </row>
    <row r="11">
      <c r="A11" s="2" t="n"/>
      <c r="B11" s="2" t="n"/>
      <c r="C11" s="2" t="n"/>
      <c r="D11" s="2" t="inlineStr">
        <is>
          <t>Персонализация</t>
        </is>
      </c>
      <c r="E11" s="2" t="n"/>
      <c r="F11" s="2" t="inlineStr">
        <is>
          <t>Аналитический сервис</t>
        </is>
      </c>
      <c r="G11" s="2" t="inlineStr">
        <is>
          <t>Результат/отчет</t>
        </is>
      </c>
      <c r="H11" s="2" t="inlineStr">
        <is>
          <t>Смешанная модель</t>
        </is>
      </c>
      <c r="I11" s="2" t="n"/>
      <c r="J11" s="2" t="n"/>
      <c r="K11" s="2" t="inlineStr">
        <is>
          <t>Ключевые партнеры</t>
        </is>
      </c>
      <c r="L11" s="2" t="n"/>
      <c r="M11" s="2" t="n"/>
    </row>
    <row r="12">
      <c r="A12" s="2" t="n"/>
      <c r="B12" s="2" t="n"/>
      <c r="C12" s="2" t="n"/>
      <c r="D12" s="2" t="n"/>
      <c r="E12" s="2" t="n"/>
      <c r="F12" s="2" t="inlineStr">
        <is>
          <t>Маркетплейс</t>
        </is>
      </c>
      <c r="G12" s="2" t="inlineStr">
        <is>
          <t>Доступ к аудитории</t>
        </is>
      </c>
      <c r="H12" s="2" t="n"/>
      <c r="I12" s="2" t="n"/>
      <c r="J12" s="2" t="n"/>
      <c r="K12" s="2" t="inlineStr">
        <is>
          <t>Структура затрат</t>
        </is>
      </c>
      <c r="L12" s="2" t="n"/>
      <c r="M12" s="2" t="n"/>
    </row>
  </sheetData>
  <mergeCells count="2">
    <mergeCell ref="A2:M2"/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B24" sqref="B24"/>
    </sheetView>
  </sheetViews>
  <sheetFormatPr baseColWidth="8" defaultRowHeight="14.25"/>
  <cols>
    <col width="28" customWidth="1" style="26" min="1" max="1"/>
    <col width="107.5" customWidth="1" style="26" min="2" max="2"/>
    <col width="46" customWidth="1" style="26" min="3" max="3"/>
  </cols>
  <sheetData>
    <row r="1" ht="30.75" customHeight="1" s="26">
      <c r="A1" s="32" t="inlineStr">
        <is>
          <t>Excel-шаблон к методике формулирования ценностного предложения и цифрового товара</t>
        </is>
      </c>
    </row>
    <row r="2" ht="17.1" customHeight="1" s="26">
      <c r="A2" s="33" t="inlineStr">
        <is>
          <t>Книга предназначена для перехода от анализа проблем и конкурентов к проверяемому ценностному предложению, цифровому товару и единице монетизации</t>
        </is>
      </c>
    </row>
    <row r="3"/>
    <row r="4" ht="17.1" customHeight="1" s="26">
      <c r="A4" s="3" t="inlineStr">
        <is>
          <t>Раздел</t>
        </is>
      </c>
      <c r="B4" s="4" t="inlineStr">
        <is>
          <t>Что заполняется</t>
        </is>
      </c>
      <c r="C4" s="5" t="inlineStr">
        <is>
          <t>Результат</t>
        </is>
      </c>
    </row>
    <row r="5" ht="25.5" customHeight="1" s="26">
      <c r="A5" s="6" t="inlineStr">
        <is>
          <t>1. Исходные данные</t>
        </is>
      </c>
      <c r="B5" s="7" t="inlineStr">
        <is>
          <t>Фиксируются источники: отзывы, сайты конкурентов, страницы тарифов, описания функций, кейсы, часто задаваемые вопросы</t>
        </is>
      </c>
      <c r="C5" s="8" t="inlineStr">
        <is>
          <t>Контролируемая база доказательств</t>
        </is>
      </c>
    </row>
    <row r="6" ht="25.5" customHeight="1" s="26">
      <c r="A6" s="6" t="inlineStr">
        <is>
          <t>2. Проблемы клиентов</t>
        </is>
      </c>
      <c r="B6" s="7" t="inlineStr">
        <is>
          <t>Каждая проблема оценивается по частоте, интенсивности, срочности, незакрытости конкурентами, готовности платить и доказательности</t>
        </is>
      </c>
      <c r="C6" s="8" t="inlineStr">
        <is>
          <t>Рейтинг проблем для выбора опорной проблемы</t>
        </is>
      </c>
    </row>
    <row r="7" ht="25.5" customHeight="1" s="26">
      <c r="A7" s="6" t="inlineStr">
        <is>
          <t>3. Конкурентные решения</t>
        </is>
      </c>
      <c r="B7" s="7" t="inlineStr">
        <is>
          <t>По каждому конкуренту фиксируется, как он закрывает проблему и насколько убедительно оформляет свое решение</t>
        </is>
      </c>
      <c r="C7" s="8" t="inlineStr">
        <is>
          <t>Понимание рыночного стандарта и пробелов</t>
        </is>
      </c>
    </row>
    <row r="8" ht="25.5" customHeight="1" s="26">
      <c r="A8" s="6" t="inlineStr">
        <is>
          <t>4. Ценностные предложения</t>
        </is>
      </c>
      <c r="B8" s="7" t="inlineStr">
        <is>
          <t>Для выбранных проблем формулируется обещаемый результат, разрыв рынка и итоговая формулировка ценностного предложения</t>
        </is>
      </c>
      <c r="C8" s="8" t="inlineStr">
        <is>
          <t>Готовая формула ценности для клиента</t>
        </is>
      </c>
    </row>
    <row r="9" ht="25.5" customHeight="1" s="26">
      <c r="A9" s="6" t="inlineStr">
        <is>
          <t>5. Цифровой товар</t>
        </is>
      </c>
      <c r="B9" s="7" t="inlineStr">
        <is>
          <t>Ценностное предложение переводится в состав цифрового товара: функции, данные, сценарии использования и условия доступа</t>
        </is>
      </c>
      <c r="C9" s="8" t="inlineStr">
        <is>
          <t>Проверяемое описание товара как носителя ценности</t>
        </is>
      </c>
    </row>
    <row r="10" ht="25.5" customHeight="1" s="26">
      <c r="A10" s="6" t="inlineStr">
        <is>
          <t>6. Единица монетизации</t>
        </is>
      </c>
      <c r="B10" s="7" t="inlineStr">
        <is>
          <t>Определяется, за что именно платит клиент: пользователь, доступ, транзакция, операция, объем данных, результат, пакет функций</t>
        </is>
      </c>
      <c r="C10" s="8" t="inlineStr">
        <is>
          <t>Экономическая единица бизнес-модели</t>
        </is>
      </c>
    </row>
    <row r="11" ht="25.5" customHeight="1" s="26">
      <c r="A11" s="6" t="inlineStr">
        <is>
          <t>7. Связь с бизнес-моделью</t>
        </is>
      </c>
      <c r="B11" s="7" t="inlineStr">
        <is>
          <t>Проверяется, как товар и ценность связаны с клиентами, каналами, отношениями, ресурсами, доходами и затратами</t>
        </is>
      </c>
      <c r="C11" s="8" t="inlineStr">
        <is>
          <t>Согласованная бизнес-модель</t>
        </is>
      </c>
    </row>
    <row r="12" ht="25.5" customHeight="1" s="26">
      <c r="A12" s="9" t="inlineStr">
        <is>
          <t>8. Проверка связности</t>
        </is>
      </c>
      <c r="B12" s="10" t="inlineStr">
        <is>
          <t>Оценивается, не разорвана ли цепочка: проблема → ценность → товар → монетизация → бизнес-модель</t>
        </is>
      </c>
      <c r="C12" s="11" t="inlineStr">
        <is>
          <t>Итоговое решение о готовности концепции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topLeftCell="H1" workbookViewId="0">
      <selection activeCell="G11" sqref="G11"/>
    </sheetView>
  </sheetViews>
  <sheetFormatPr baseColWidth="8" defaultRowHeight="14.25"/>
  <cols>
    <col width="12" customWidth="1" style="26" min="1" max="1"/>
    <col width="13.75" customWidth="1" style="26" min="2" max="2"/>
    <col width="20" customWidth="1" style="26" min="3" max="3"/>
    <col width="24" customWidth="1" style="26" min="4" max="4"/>
    <col width="30.875" customWidth="1" style="26" min="5" max="5"/>
    <col width="68.25" customWidth="1" style="26" min="6" max="6"/>
    <col width="160.5" customWidth="1" style="26" min="7" max="7"/>
    <col width="53.5" customWidth="1" style="26" min="8" max="8"/>
    <col width="16" customWidth="1" style="26" min="9" max="9"/>
    <col width="35.875" customWidth="1" style="26" min="10" max="10"/>
  </cols>
  <sheetData>
    <row r="1" ht="14.1" customHeight="1" s="26">
      <c r="A1" s="32" t="inlineStr">
        <is>
          <t>Исходные данные анализа</t>
        </is>
      </c>
    </row>
    <row r="2" ht="17.1" customHeight="1" s="26">
      <c r="A2" s="33" t="inlineStr">
        <is>
          <t>Единый реестр источников, на основании которых выделяются проблемы, конкурентные решения и признаки ценности</t>
        </is>
      </c>
    </row>
    <row r="3"/>
    <row r="4" ht="39" customHeight="1" s="26">
      <c r="A4" s="1" t="inlineStr">
        <is>
          <t>ID источника</t>
        </is>
      </c>
      <c r="B4" s="1" t="inlineStr">
        <is>
          <t>Дата сбора</t>
        </is>
      </c>
      <c r="C4" s="1" t="inlineStr">
        <is>
          <t>Тип источника</t>
        </is>
      </c>
      <c r="D4" s="1" t="inlineStr">
        <is>
          <t>Площадка/сайт</t>
        </is>
      </c>
      <c r="E4" s="1" t="inlineStr">
        <is>
          <t>Компания/товар</t>
        </is>
      </c>
      <c r="F4" s="1" t="inlineStr">
        <is>
          <t>Ссылка</t>
        </is>
      </c>
      <c r="G4" s="1" t="inlineStr">
        <is>
          <t>Фрагмент факта</t>
        </is>
      </c>
      <c r="H4" s="1" t="inlineStr">
        <is>
          <t>Какая проблема/решение подтверждается</t>
        </is>
      </c>
      <c r="I4" s="1" t="inlineStr">
        <is>
          <t>Достоверность 1–5</t>
        </is>
      </c>
      <c r="J4" s="1" t="inlineStr">
        <is>
          <t>Комментарий</t>
        </is>
      </c>
    </row>
    <row r="5" s="26">
      <c r="A5" s="24" t="inlineStr">
        <is>
          <t>SRC-001</t>
        </is>
      </c>
      <c r="B5" s="25" t="n">
        <v>46295</v>
      </c>
      <c r="C5" s="24" t="inlineStr">
        <is>
          <t>Поисковый спрос</t>
        </is>
      </c>
      <c r="D5" s="24" t="inlineStr">
        <is>
          <t>Яндекс Вордстат</t>
        </is>
      </c>
      <c r="E5" s="24" t="inlineStr">
        <is>
          <t>Запросы по нотациям, Беларусь</t>
        </is>
      </c>
      <c r="F5" s="24" t="inlineStr">
        <is>
          <t>https://wordstat.yandex.ru</t>
        </is>
      </c>
      <c r="G5" s="24" t="inlineStr">
        <is>
          <t>Частотность запросов uml, bpmn, plantuml, idef0, erd и др. за 29.08-27.09.2026 (ЛР1, ЛР4)</t>
        </is>
      </c>
      <c r="H5" s="24" t="inlineStr">
        <is>
          <t>Спрос на диаграммы формальных нотаций</t>
        </is>
      </c>
      <c r="I5" s="24" t="n">
        <v>4</v>
      </c>
      <c r="J5" s="24" t="inlineStr">
        <is>
          <t>Данные ЛР1-ЛР5; дата - день получения</t>
        </is>
      </c>
    </row>
    <row r="6" s="26">
      <c r="A6" s="24" t="inlineStr">
        <is>
          <t>SRC-002</t>
        </is>
      </c>
      <c r="B6" s="25" t="n">
        <v>46295</v>
      </c>
      <c r="C6" s="24" t="inlineStr">
        <is>
          <t>Трафик</t>
        </is>
      </c>
      <c r="D6" s="24" t="inlineStr">
        <is>
          <t>Similarweb Pro</t>
        </is>
      </c>
      <c r="E6" s="24" t="inlineStr">
        <is>
          <t>plantuml.com, mermaid.js.org и др</t>
        </is>
      </c>
      <c r="F6" s="24" t="inlineStr">
        <is>
          <t>https://pro.similarweb.com</t>
        </is>
      </c>
      <c r="G6" s="24" t="inlineStr">
        <is>
          <t>PlantUML 739 657 визитов в месяц, 47,25 % органический поиск (июнь - август 2026)</t>
        </is>
      </c>
      <c r="H6" s="24" t="inlineStr">
        <is>
          <t>Текстовые инструменты востребованы</t>
        </is>
      </c>
      <c r="I6" s="24" t="n">
        <v>4</v>
      </c>
      <c r="J6" s="24" t="inlineStr">
        <is>
          <t>Данные ЛР1-ЛР5; дата - день получения</t>
        </is>
      </c>
    </row>
    <row r="7" s="26">
      <c r="A7" s="24" t="inlineStr">
        <is>
          <t>SRC-003</t>
        </is>
      </c>
      <c r="B7" s="25" t="n">
        <v>46295</v>
      </c>
      <c r="C7" s="24" t="inlineStr">
        <is>
          <t>Опрос</t>
        </is>
      </c>
      <c r="D7" s="24" t="inlineStr">
        <is>
          <t>Опрос студентов (ЛР4)</t>
        </is>
      </c>
      <c r="E7" s="24" t="inlineStr">
        <is>
          <t>27 студентов</t>
        </is>
      </c>
      <c r="F7" s="24" t="inlineStr">
        <is>
          <t>ЛР4_Пять_сил_Портера/Python/data/survey_students.csv</t>
        </is>
      </c>
      <c r="G7" s="24" t="inlineStr">
        <is>
          <t>Коллаборация важна 26 из 27, экспорт PNG 27 из 27, SVG 18 из 27; средняя сложность Mermaid 2,6 из 5</t>
        </is>
      </c>
      <c r="H7" s="24" t="inlineStr">
        <is>
          <t>Требования к функциям и порог сложности текстовых языков</t>
        </is>
      </c>
      <c r="I7" s="24" t="n">
        <v>3</v>
      </c>
      <c r="J7" s="24" t="inlineStr">
        <is>
          <t>Данные ЛР1-ЛР5; дата - день получения</t>
        </is>
      </c>
    </row>
    <row r="8" s="26">
      <c r="A8" s="24" t="inlineStr">
        <is>
          <t>SRC-004</t>
        </is>
      </c>
      <c r="B8" s="25" t="n">
        <v>46295</v>
      </c>
      <c r="C8" s="24" t="inlineStr">
        <is>
          <t>Опрос</t>
        </is>
      </c>
      <c r="D8" s="24" t="inlineStr">
        <is>
          <t>Опрос студентов (ЛР4)</t>
        </is>
      </c>
      <c r="E8" s="24" t="inlineStr">
        <is>
          <t>Готовность платить</t>
        </is>
      </c>
      <c r="F8" s="24" t="inlineStr">
        <is>
          <t>ЛР4_Пять_сил_Портера/Python/data/survey_students.csv</t>
        </is>
      </c>
      <c r="G8" s="24" t="inlineStr">
        <is>
          <t>18 из 27 готовы платить; средняя максимальная цена 728 BYN. (период в данных не указан)</t>
        </is>
      </c>
      <c r="H8" s="24" t="inlineStr">
        <is>
          <t>Готовность платить</t>
        </is>
      </c>
      <c r="I8" s="24" t="n">
        <v>3</v>
      </c>
      <c r="J8" s="24" t="inlineStr">
        <is>
          <t>Данные ЛР1-ЛР5; дата - день получения</t>
        </is>
      </c>
    </row>
    <row r="9" s="26">
      <c r="A9" s="24" t="inlineStr">
        <is>
          <t>SRC-005</t>
        </is>
      </c>
      <c r="B9" s="25" t="n">
        <v>46295</v>
      </c>
      <c r="C9" s="24" t="inlineStr">
        <is>
          <t>Оценки</t>
        </is>
      </c>
      <c r="D9" s="24" t="inlineStr">
        <is>
          <t>Trustpilot</t>
        </is>
      </c>
      <c r="E9" s="24" t="inlineStr">
        <is>
          <t>Miro, Lucidchart, Creately</t>
        </is>
      </c>
      <c r="F9" s="24" t="inlineStr">
        <is>
          <t>https://www.trustpilot.com</t>
        </is>
      </c>
      <c r="G9" s="24" t="inlineStr">
        <is>
          <t>Lucidchart 1,5 (116 отзывов), Miro 2,1 (155), Creately 1,9 (58) (ЛР4)</t>
        </is>
      </c>
      <c r="H9" s="24" t="inlineStr">
        <is>
          <t>Неудовлетворённость платными универсальными редакторами</t>
        </is>
      </c>
      <c r="I9" s="24" t="n">
        <v>3</v>
      </c>
      <c r="J9" s="24" t="inlineStr">
        <is>
          <t>Данные ЛР1-ЛР5; дата - день получения</t>
        </is>
      </c>
    </row>
    <row r="10" s="26">
      <c r="A10" s="24" t="inlineStr">
        <is>
          <t>SRC-006</t>
        </is>
      </c>
      <c r="B10" s="25" t="n">
        <v>46295</v>
      </c>
      <c r="C10" s="24" t="inlineStr">
        <is>
          <t>Оценки</t>
        </is>
      </c>
      <c r="D10" s="24" t="inlineStr">
        <is>
          <t>G2, Capterra</t>
        </is>
      </c>
      <c r="E10" s="24" t="inlineStr">
        <is>
          <t>Lucidchart, draw.io, Eraser</t>
        </is>
      </c>
      <c r="F10" s="24" t="inlineStr">
        <is>
          <t>https://www.g2.com</t>
        </is>
      </c>
      <c r="G10" s="24" t="inlineStr">
        <is>
          <t>Lucidchart G2 4,5 (8 988); draw.io Capterra 4,6 (773) (ЛР2-3, ЛР4)</t>
        </is>
      </c>
      <c r="H10" s="24" t="inlineStr">
        <is>
          <t>Рынок высоко оценивает универсальные редакторы</t>
        </is>
      </c>
      <c r="I10" s="24" t="n">
        <v>3</v>
      </c>
      <c r="J10" s="24" t="inlineStr">
        <is>
          <t>Данные ЛР1-ЛР5; дата - день получения</t>
        </is>
      </c>
    </row>
    <row r="11" s="26">
      <c r="A11" s="24" t="inlineStr">
        <is>
          <t>SRC-007</t>
        </is>
      </c>
      <c r="B11" s="25" t="n">
        <v>46296</v>
      </c>
      <c r="C11" s="24" t="inlineStr">
        <is>
          <t>Страница тарифов</t>
        </is>
      </c>
      <c r="D11" s="24" t="inlineStr">
        <is>
          <t>mermaid.ai</t>
        </is>
      </c>
      <c r="E11" s="24" t="inlineStr">
        <is>
          <t>Mermaid Chart</t>
        </is>
      </c>
      <c r="F11" s="24" t="inlineStr">
        <is>
          <t>https://mermaid.ai/pricing/</t>
        </is>
      </c>
      <c r="G11" s="24" t="inlineStr">
        <is>
          <t>Basic Free (до 6 диаграмм, 15 ИИ-кредитов), Plus 10 у.е., Premium 20 у.е., Enterprise</t>
        </is>
      </c>
      <c r="H11" s="24" t="inlineStr">
        <is>
          <t>Тарифная логика за пользователя</t>
        </is>
      </c>
      <c r="I11" s="24" t="n">
        <v>5</v>
      </c>
      <c r="J11" s="24" t="inlineStr">
        <is>
          <t>Данные ЛР1-ЛР5; дата - день получения</t>
        </is>
      </c>
    </row>
    <row r="12" s="26">
      <c r="A12" s="24" t="inlineStr">
        <is>
          <t>SRC-008</t>
        </is>
      </c>
      <c r="B12" s="25" t="n">
        <v>46296</v>
      </c>
      <c r="C12" s="24" t="inlineStr">
        <is>
          <t>Страница тарифов</t>
        </is>
      </c>
      <c r="D12" s="24" t="inlineStr">
        <is>
          <t>lucid.app</t>
        </is>
      </c>
      <c r="E12" s="24" t="inlineStr">
        <is>
          <t>Lucidchart</t>
        </is>
      </c>
      <c r="F12" s="24" t="inlineStr">
        <is>
          <t>https://lucid.app/pricing/lucidchart</t>
        </is>
      </c>
      <c r="G12" s="24" t="inlineStr">
        <is>
          <t>Free (3 документа, 75 фигур), Individual 9 у.е., Team 10 у.е., Enterprise; пробный период 7 дней</t>
        </is>
      </c>
      <c r="H12" s="24" t="inlineStr">
        <is>
          <t>Тарифная логика, ограничения Free</t>
        </is>
      </c>
      <c r="I12" s="24" t="n">
        <v>5</v>
      </c>
      <c r="J12" s="24" t="inlineStr">
        <is>
          <t>Данные ЛР1-ЛР5; дата - день получения</t>
        </is>
      </c>
    </row>
    <row r="13" s="26">
      <c r="A13" s="24" t="inlineStr">
        <is>
          <t>SRC-009</t>
        </is>
      </c>
      <c r="B13" s="25" t="n">
        <v>46296</v>
      </c>
      <c r="C13" s="24" t="inlineStr">
        <is>
          <t>Страница тарифов</t>
        </is>
      </c>
      <c r="D13" s="24" t="inlineStr">
        <is>
          <t>eraser.io</t>
        </is>
      </c>
      <c r="E13" s="24" t="inlineStr">
        <is>
          <t>Eraser</t>
        </is>
      </c>
      <c r="F13" s="24" t="inlineStr">
        <is>
          <t>https://www.eraser.io/pricing</t>
        </is>
      </c>
      <c r="G13" s="24" t="inlineStr">
        <is>
          <t>Free 0 у.е. (3 файла, 3 ИИ-диаграммы), Starter 15 у.е., Business 45 у.е., Enterprise</t>
        </is>
      </c>
      <c r="H13" s="24" t="inlineStr">
        <is>
          <t>Лимиты ИИ как единица тарифа</t>
        </is>
      </c>
      <c r="I13" s="24" t="n">
        <v>5</v>
      </c>
      <c r="J13" s="24" t="inlineStr">
        <is>
          <t>Данные ЛР1-ЛР5; дата - день получения</t>
        </is>
      </c>
    </row>
    <row r="14" s="26">
      <c r="A14" s="24" t="inlineStr">
        <is>
          <t>SRC-010</t>
        </is>
      </c>
      <c r="B14" s="25" t="n">
        <v>46296</v>
      </c>
      <c r="C14" s="24" t="inlineStr">
        <is>
          <t>Страница тарифов</t>
        </is>
      </c>
      <c r="D14" s="24" t="inlineStr">
        <is>
          <t>whimsical.com</t>
        </is>
      </c>
      <c r="E14" s="24" t="inlineStr">
        <is>
          <t>Whimsical</t>
        </is>
      </c>
      <c r="F14" s="24" t="inlineStr">
        <is>
          <t>https://whimsical.com/pricing</t>
        </is>
      </c>
      <c r="G14" s="24" t="inlineStr">
        <is>
          <t>Free (50 объектов в месяц), Pro 10 у.е., Business 20 у.е. за редактора</t>
        </is>
      </c>
      <c r="H14" s="24" t="inlineStr">
        <is>
          <t>Тарифная логика</t>
        </is>
      </c>
      <c r="I14" s="24" t="n">
        <v>5</v>
      </c>
      <c r="J14" s="24" t="inlineStr">
        <is>
          <t>Данные ЛР1-ЛР5; дата - день получения</t>
        </is>
      </c>
    </row>
    <row r="15" s="26">
      <c r="A15" s="24" t="inlineStr">
        <is>
          <t>SRC-011</t>
        </is>
      </c>
      <c r="B15" s="25" t="n">
        <v>46296</v>
      </c>
      <c r="C15" s="24" t="inlineStr">
        <is>
          <t>Страница тарифов</t>
        </is>
      </c>
      <c r="D15" s="24" t="inlineStr">
        <is>
          <t>stormbpmn.com</t>
        </is>
      </c>
      <c r="E15" s="24" t="inlineStr">
        <is>
          <t>Storm</t>
        </is>
      </c>
      <c r="F15" s="24" t="inlineStr">
        <is>
          <t>https://stormbpmn.com/pricing</t>
        </is>
      </c>
      <c r="G15" s="24" t="inlineStr">
        <is>
          <t>Персональный бесплатно, Команда 1 200 BYN., Бизнес 4 720 BYN. за пользователя в месяц, Enterprise on-prem от 990 тыс. руб. в год</t>
        </is>
      </c>
      <c r="H15" s="24" t="inlineStr">
        <is>
          <t>Русскоязычный рынок, тарифы в рублях</t>
        </is>
      </c>
      <c r="I15" s="24" t="n">
        <v>5</v>
      </c>
      <c r="J15" s="24" t="inlineStr">
        <is>
          <t>Данные ЛР1-ЛР5; дата - день получения</t>
        </is>
      </c>
    </row>
    <row r="16" s="26">
      <c r="A16" s="24" t="inlineStr">
        <is>
          <t>SRC-012</t>
        </is>
      </c>
      <c r="B16" s="25" t="n">
        <v>46296</v>
      </c>
      <c r="C16" s="24" t="inlineStr">
        <is>
          <t>Сайт продукта</t>
        </is>
      </c>
      <c r="D16" s="24" t="inlineStr">
        <is>
          <t>drawio.com</t>
        </is>
      </c>
      <c r="E16" s="24" t="inlineStr">
        <is>
          <t>draw.io</t>
        </is>
      </c>
      <c r="F16" s="24" t="inlineStr">
        <is>
          <t>https://www.drawio.com/</t>
        </is>
      </c>
      <c r="G16" s="24" t="inlineStr">
        <is>
          <t>Бесплатное приложение с открытым кодом, без enterprise-тарифа, 100M+ пользователей</t>
        </is>
      </c>
      <c r="H16" s="24" t="inlineStr">
        <is>
          <t>Бесплатный стандарт рынка</t>
        </is>
      </c>
      <c r="I16" s="24" t="n">
        <v>4</v>
      </c>
      <c r="J16" s="24" t="inlineStr">
        <is>
          <t>Данные ЛР1-ЛР5; дата - день получения</t>
        </is>
      </c>
    </row>
    <row r="17" s="26">
      <c r="A17" s="24" t="inlineStr">
        <is>
          <t>SRC-013</t>
        </is>
      </c>
      <c r="B17" s="25" t="n">
        <v>46296</v>
      </c>
      <c r="C17" s="24" t="inlineStr">
        <is>
          <t>Сайт продукта</t>
        </is>
      </c>
      <c r="D17" s="24" t="inlineStr">
        <is>
          <t>plantuml.com</t>
        </is>
      </c>
      <c r="E17" s="24" t="inlineStr">
        <is>
          <t>PlantUML</t>
        </is>
      </c>
      <c r="F17" s="24" t="inlineStr">
        <is>
          <t>https://plantuml.com/running</t>
        </is>
      </c>
      <c r="G17" s="24" t="inlineStr">
        <is>
          <t>Запуск на своём сервере, интеграции в вики, редакторы и IDE; раздел классовых и ER-диаграмм</t>
        </is>
      </c>
      <c r="H17" s="24" t="inlineStr">
        <is>
          <t>Широкий набор UML у бесплатного инструмента</t>
        </is>
      </c>
      <c r="I17" s="24" t="n">
        <v>4</v>
      </c>
      <c r="J17" s="24" t="inlineStr">
        <is>
          <t>Данные ЛР1-ЛР5; дата - день получения</t>
        </is>
      </c>
    </row>
    <row r="18" s="26">
      <c r="A18" s="24" t="inlineStr">
        <is>
          <t>SRC-014</t>
        </is>
      </c>
      <c r="B18" s="25" t="n">
        <v>46296</v>
      </c>
      <c r="C18" s="24" t="inlineStr">
        <is>
          <t>Сайт продукта</t>
        </is>
      </c>
      <c r="D18" s="24" t="inlineStr">
        <is>
          <t>mermaid.js.org</t>
        </is>
      </c>
      <c r="E18" s="24" t="inlineStr">
        <is>
          <t>Mermaid</t>
        </is>
      </c>
      <c r="F18" s="24" t="inlineStr">
        <is>
          <t>https://mermaid.js.org/ecosystem/integrations-community.html</t>
        </is>
      </c>
      <c r="G18" s="24" t="inlineStr">
        <is>
          <t>Экосистема интеграций; 90 489 звёзд GitHub</t>
        </is>
      </c>
      <c r="H18" s="24" t="inlineStr">
        <is>
          <t>Открытое сообщество как стандарт</t>
        </is>
      </c>
      <c r="I18" s="24" t="n">
        <v>4</v>
      </c>
      <c r="J18" s="24" t="inlineStr">
        <is>
          <t>Данные ЛР1-ЛР5; дата - день получения</t>
        </is>
      </c>
    </row>
    <row r="19" s="26">
      <c r="A19" s="24" t="inlineStr">
        <is>
          <t>SRC-015</t>
        </is>
      </c>
      <c r="B19" s="25" t="n">
        <v>46296</v>
      </c>
      <c r="C19" s="24" t="inlineStr">
        <is>
          <t>Анализ конкурентов</t>
        </is>
      </c>
      <c r="D19" s="24" t="inlineStr">
        <is>
          <t>ЛР5</t>
        </is>
      </c>
      <c r="E19" s="24" t="inlineStr">
        <is>
          <t>8 конкурентов</t>
        </is>
      </c>
      <c r="F19" s="24" t="inlineStr">
        <is>
          <t>ЛР5_Анализ_конкурентов/Excel/analiz_konkurentov_Levitt_Kano_NotaCode.xlsx</t>
        </is>
      </c>
      <c r="G19" s="24" t="inlineStr">
        <is>
          <t>IDEF0, DFD, сети Петри на сайтах 8 конкурентов не найдены; полный набор UML, BPMN, ERD найден только у Lucidchart</t>
        </is>
      </c>
      <c r="H19" s="24" t="inlineStr">
        <is>
          <t>Конкурентный пробел по нотациям</t>
        </is>
      </c>
      <c r="I19" s="24" t="n">
        <v>4</v>
      </c>
      <c r="J19" s="24" t="inlineStr">
        <is>
          <t>Данные ЛР1-ЛР5; дата - день получения</t>
        </is>
      </c>
    </row>
    <row r="20" s="26">
      <c r="A20" s="24" t="inlineStr">
        <is>
          <t>SRC-016</t>
        </is>
      </c>
      <c r="B20" s="25" t="n">
        <v>46296</v>
      </c>
      <c r="C20" s="24" t="inlineStr">
        <is>
          <t>Анализ конкурентов</t>
        </is>
      </c>
      <c r="D20" s="24" t="inlineStr">
        <is>
          <t>ЛР5</t>
        </is>
      </c>
      <c r="E20" s="24" t="inlineStr">
        <is>
          <t>8 конкурентов</t>
        </is>
      </c>
      <c r="F20" s="24" t="inlineStr">
        <is>
          <t>ЛР5_Анализ_конкурентов/Excel/analiz_biznes_modeli_konkurentov_NotaCode.xlsx</t>
        </is>
      </c>
      <c r="G20" s="24" t="inlineStr">
        <is>
          <t>Рыночный стандарт бизнес-модели: бесплатный доступ, интеграции, независимые отзывы, раздел безопасности, документация</t>
        </is>
      </c>
      <c r="H20" s="24" t="inlineStr">
        <is>
          <t>Стандарт рынка</t>
        </is>
      </c>
      <c r="I20" s="24" t="n">
        <v>4</v>
      </c>
      <c r="J20" s="24" t="inlineStr">
        <is>
          <t>Данные ЛР1-ЛР5; дата - день получения</t>
        </is>
      </c>
    </row>
    <row r="21" ht="21" customHeight="1" s="26">
      <c r="A21" s="24" t="inlineStr">
        <is>
          <t>SRC-017</t>
        </is>
      </c>
      <c r="B21" s="25" t="n">
        <v>46288</v>
      </c>
      <c r="C21" s="24" t="inlineStr">
        <is>
          <t>Документация проекта</t>
        </is>
      </c>
      <c r="D21" s="24" t="inlineStr">
        <is>
          <t>NotaCode/docs</t>
        </is>
      </c>
      <c r="E21" s="24" t="inlineStr">
        <is>
          <t>Концепция NotaCode</t>
        </is>
      </c>
      <c r="F21" s="24" t="inlineStr">
        <is>
          <t>NotaCode/docs/business/01-project-concept.md</t>
        </is>
      </c>
      <c r="G21" s="24" t="inlineStr">
        <is>
          <t>Сегменты S-01-S-04, тарифы Free и Pro (4 у.е. в месяц, 40 у.е. в год), допущения: конверсия 3-5 %, бюджет инфраструктуры 0, около 610 ч</t>
        </is>
      </c>
      <c r="H21" s="24" t="inlineStr">
        <is>
          <t>Состав товара, лимиты Free, допущения модели</t>
        </is>
      </c>
      <c r="I21" s="24" t="n">
        <v>4</v>
      </c>
      <c r="J21" s="24" t="inlineStr">
        <is>
          <t>Данные ЛР1-ЛР5; дата - день получения</t>
        </is>
      </c>
    </row>
    <row r="22" ht="21" customHeight="1" s="26">
      <c r="A22" s="24" t="inlineStr">
        <is>
          <t>SRC-018</t>
        </is>
      </c>
      <c r="B22" s="25" t="n">
        <v>46288</v>
      </c>
      <c r="C22" s="24" t="inlineStr">
        <is>
          <t>Документация проекта</t>
        </is>
      </c>
      <c r="D22" s="24" t="inlineStr">
        <is>
          <t>NotaCode/docs</t>
        </is>
      </c>
      <c r="E22" s="24" t="inlineStr">
        <is>
          <t>SMART-цели и KPI</t>
        </is>
      </c>
      <c r="F22" s="24" t="inlineStr">
        <is>
          <t>NotaCode/docs/business/03-smart-goals.md</t>
        </is>
      </c>
      <c r="G22" s="24" t="inlineStr">
        <is>
          <t>KPI первого года: 1 500 пользователей, активация не менее 60 %, D7 30 %, D30 15 %, конверсия в Pro 3 %, ARPPU 4 у.е., отток не более 8 %</t>
        </is>
      </c>
      <c r="H22" s="24" t="inlineStr">
        <is>
          <t>Пороги метрик пилота</t>
        </is>
      </c>
      <c r="I22" s="24" t="n">
        <v>4</v>
      </c>
      <c r="J22" s="24" t="inlineStr">
        <is>
          <t>Данные ЛР1-ЛР5; дата - день получения</t>
        </is>
      </c>
    </row>
    <row r="23" ht="21" customHeight="1" s="26">
      <c r="A23" s="24" t="inlineStr">
        <is>
          <t>SRC-019</t>
        </is>
      </c>
      <c r="B23" s="25" t="n">
        <v>46288</v>
      </c>
      <c r="C23" s="24" t="inlineStr">
        <is>
          <t>Документация проекта</t>
        </is>
      </c>
      <c r="D23" s="24" t="inlineStr">
        <is>
          <t>NotaCode/docs</t>
        </is>
      </c>
      <c r="E23" s="24" t="inlineStr">
        <is>
          <t>План MVP</t>
        </is>
      </c>
      <c r="F23" s="24" t="inlineStr">
        <is>
          <t>NotaCode/docs/planning/agile-plan.md</t>
        </is>
      </c>
      <c r="G23" s="24" t="inlineStr">
        <is>
          <t>Must: нотации волны 1 (UML, ERD, IDEF0, IDEF1X, IDEF3, DFD), редактор, холст, валидация, экспорт SVG и PNG, сохранение, ИИ-заглушка; BPMN - волна 2, сети Петри - волна 3; MVP до 06.12.2026</t>
        </is>
      </c>
      <c r="H23" s="24" t="inlineStr">
        <is>
          <t>Состав первого релиза и сроки</t>
        </is>
      </c>
      <c r="I23" s="24" t="n">
        <v>4</v>
      </c>
      <c r="J23" s="24" t="inlineStr">
        <is>
          <t>Данные ЛР1-ЛР5; дата - день получения</t>
        </is>
      </c>
    </row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1:J1"/>
    <mergeCell ref="A2:J2"/>
  </mergeCells>
  <dataValidations count="1">
    <dataValidation sqref="C5:C104" showDropDown="0" showInputMessage="0" showErrorMessage="0" allowBlank="0" type="list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M14" sqref="M14"/>
    </sheetView>
  </sheetViews>
  <sheetFormatPr baseColWidth="8" defaultRowHeight="14.25"/>
  <cols>
    <col width="14" customWidth="1" style="26" min="1" max="1"/>
    <col width="20" customWidth="1" style="26" min="2" max="2"/>
    <col width="22" customWidth="1" style="26" min="3" max="3"/>
    <col width="58" customWidth="1" style="26" min="4" max="4"/>
    <col width="13" customWidth="1" style="26" min="5" max="5"/>
    <col width="15" customWidth="1" style="26" min="6" max="6"/>
    <col width="13" customWidth="1" style="26" min="7" max="7"/>
    <col width="22" customWidth="1" style="26" min="8" max="8"/>
    <col width="18" customWidth="1" style="26" min="9" max="9"/>
    <col width="17" customWidth="1" style="26" min="10" max="10"/>
    <col width="16" customWidth="1" style="26" min="11" max="12"/>
    <col width="65.625" customWidth="1" style="26" min="13" max="13"/>
  </cols>
  <sheetData>
    <row r="1" ht="27" customHeight="1" s="26">
      <c r="A1" s="32" t="inlineStr">
        <is>
          <t>Анализ проблем клиентов</t>
        </is>
      </c>
    </row>
    <row r="2" ht="17.1" customHeight="1" s="26">
      <c r="A2" s="33" t="inlineStr">
        <is>
          <t>Приоритет проблемы рассчитывается по частоте, интенсивности, срочности, незакрытости конкурентами, готовности платить и доказательности</t>
        </is>
      </c>
    </row>
    <row r="3"/>
    <row r="4" ht="37.5" customFormat="1" customHeight="1" s="27">
      <c r="A4" s="1" t="inlineStr">
        <is>
          <t>ID проблемы</t>
        </is>
      </c>
      <c r="B4" s="1" t="inlineStr">
        <is>
          <t>Сегмент</t>
        </is>
      </c>
      <c r="C4" s="1" t="inlineStr">
        <is>
          <t>Тип проблемы</t>
        </is>
      </c>
      <c r="D4" s="1" t="inlineStr">
        <is>
          <t>Формулировка проблемы клиента</t>
        </is>
      </c>
      <c r="E4" s="1" t="inlineStr">
        <is>
          <t>Частота 1–5</t>
        </is>
      </c>
      <c r="F4" s="1" t="inlineStr">
        <is>
          <t>Интенсивность 1–5</t>
        </is>
      </c>
      <c r="G4" s="1" t="inlineStr">
        <is>
          <t>Срочность 1–5</t>
        </is>
      </c>
      <c r="H4" s="1" t="inlineStr">
        <is>
          <t>Незакрытость конкурентами 1–5</t>
        </is>
      </c>
      <c r="I4" s="1" t="inlineStr">
        <is>
          <t>Готовность платить 1–5</t>
        </is>
      </c>
      <c r="J4" s="1" t="inlineStr">
        <is>
          <t>Доказательность 1–5</t>
        </is>
      </c>
      <c r="K4" s="1" t="inlineStr">
        <is>
          <t>Индекс проблемы</t>
        </is>
      </c>
      <c r="L4" s="1" t="inlineStr">
        <is>
          <t>Приоритет</t>
        </is>
      </c>
      <c r="M4" s="1" t="inlineStr">
        <is>
          <t>Комментарий</t>
        </is>
      </c>
    </row>
    <row r="5" ht="51" customHeight="1" s="26">
      <c r="A5" s="24" t="inlineStr">
        <is>
          <t>P-001</t>
        </is>
      </c>
      <c r="B5" s="24" t="inlineStr">
        <is>
          <t>B2C</t>
        </is>
      </c>
      <c r="C5" s="24" t="inlineStr">
        <is>
          <t>Информационная</t>
        </is>
      </c>
      <c r="D5" s="28" t="inlineStr">
        <is>
          <t>Студент или аналитик, которому нужна диаграмма UML, BPMN или ERD к проекту, тратит время на освоение синтаксиса текстовых языков (PlantUML, Mermaid) и теряет результат при ошибке; сложность Mermaid в опросе в среднем 2,6 из 5</t>
        </is>
      </c>
      <c r="E5" s="24" t="n">
        <v>4</v>
      </c>
      <c r="F5" s="24" t="n">
        <v>3</v>
      </c>
      <c r="G5" s="24" t="n">
        <v>4</v>
      </c>
      <c r="H5" s="24" t="n">
        <v>3</v>
      </c>
      <c r="I5" s="24" t="n">
        <v>3</v>
      </c>
      <c r="J5" s="24" t="n">
        <v>3</v>
      </c>
      <c r="K5" s="24">
        <f>IF(COUNTA(E5:J5)=0,"",ROUND(((E5*0.18)+(F5*0.22)+(G5*0.18)+(H5*0.2)+(I5*0.14)+(J5*0.08))*20,0))</f>
        <v/>
      </c>
      <c r="L5" s="24">
        <f>IF(K5="","",IF(K5&gt;=80,"Критический",IF(K5&gt;=65,"Высокий",IF(K5&gt;=45,"Средний","Низкий"))))</f>
        <v/>
      </c>
      <c r="M5" s="24" t="inlineStr">
        <is>
          <t>Оценка экспертная. Источники SRC-003, SRC-013, SRC-014</t>
        </is>
      </c>
    </row>
    <row r="6" ht="38.25" customHeight="1" s="26">
      <c r="A6" s="24" t="inlineStr">
        <is>
          <t>P-002</t>
        </is>
      </c>
      <c r="B6" s="24" t="inlineStr">
        <is>
          <t>Смешанный сегмент</t>
        </is>
      </c>
      <c r="C6" s="24" t="inlineStr">
        <is>
          <t>Функциональная</t>
        </is>
      </c>
      <c r="D6" s="28" t="inlineStr">
        <is>
          <t>Нотации IDEF0, DFD и сети Петри не поддерживаются ни одним из 8 просмотренных конкурентов; полный набор UML, BPMN и ERD есть только у платного Lucidchart</t>
        </is>
      </c>
      <c r="E6" s="24" t="n">
        <v>3</v>
      </c>
      <c r="F6" s="24" t="n">
        <v>4</v>
      </c>
      <c r="G6" s="24" t="n">
        <v>3</v>
      </c>
      <c r="H6" s="24" t="n">
        <v>5</v>
      </c>
      <c r="I6" s="24" t="n">
        <v>3</v>
      </c>
      <c r="J6" s="24" t="n">
        <v>4</v>
      </c>
      <c r="K6" s="24">
        <f>IF(COUNTA(E6:J6)=0,"",ROUND(((E6*0.18)+(F6*0.22)+(G6*0.18)+(H6*0.2)+(I6*0.14)+(J6*0.08))*20,0))</f>
        <v/>
      </c>
      <c r="L6" s="24">
        <f>IF(K6="","",IF(K6&gt;=80,"Критический",IF(K6&gt;=65,"Высокий",IF(K6&gt;=45,"Средний","Низкий"))))</f>
        <v/>
      </c>
      <c r="M6" s="24" t="inlineStr">
        <is>
          <t>Оценка экспертная. Источники SRC-015, SRC-008; ЛР5</t>
        </is>
      </c>
    </row>
    <row r="7" ht="38.25" customHeight="1" s="26">
      <c r="A7" s="24" t="inlineStr">
        <is>
          <t>P-003</t>
        </is>
      </c>
      <c r="B7" s="24" t="inlineStr">
        <is>
          <t>B2C</t>
        </is>
      </c>
      <c r="C7" s="24" t="inlineStr">
        <is>
          <t>Экономическая</t>
        </is>
      </c>
      <c r="D7" s="28" t="inlineStr">
        <is>
          <t>Платные редакторы тарифицируются за пользователя от 9 до 20 у.е. в месяц (Mermaid Chart, Lucidchart, Eraser, Whimsical); бесплатные тарифы ограничены 3-6 документами или диаграммами</t>
        </is>
      </c>
      <c r="E7" s="24" t="n">
        <v>4</v>
      </c>
      <c r="F7" s="24" t="n">
        <v>4</v>
      </c>
      <c r="G7" s="24" t="n">
        <v>3</v>
      </c>
      <c r="H7" s="24" t="n">
        <v>3</v>
      </c>
      <c r="I7" s="24" t="n">
        <v>4</v>
      </c>
      <c r="J7" s="24" t="n">
        <v>4</v>
      </c>
      <c r="K7" s="24">
        <f>IF(COUNTA(E7:J7)=0,"",ROUND(((E7*0.18)+(F7*0.22)+(G7*0.18)+(H7*0.2)+(I7*0.14)+(J7*0.08))*20,0))</f>
        <v/>
      </c>
      <c r="L7" s="24">
        <f>IF(K7="","",IF(K7&gt;=80,"Критический",IF(K7&gt;=65,"Высокий",IF(K7&gt;=45,"Средний","Низкий"))))</f>
        <v/>
      </c>
      <c r="M7" s="24" t="inlineStr">
        <is>
          <t>Оценка экспертная. Источники SRC-004, SRC-007 - SRC-010</t>
        </is>
      </c>
    </row>
    <row r="8" ht="38.25" customHeight="1" s="26">
      <c r="A8" s="24" t="inlineStr">
        <is>
          <t>P-004</t>
        </is>
      </c>
      <c r="B8" s="24" t="inlineStr">
        <is>
          <t>B2C</t>
        </is>
      </c>
      <c r="C8" s="24" t="inlineStr">
        <is>
          <t>Функциональная</t>
        </is>
      </c>
      <c r="D8" s="28" t="inlineStr">
        <is>
          <t>Совместная работа и экспорт - ожидаемый минимум: коллаборация важна 26 из 27 опрошенных, экспорт PNG 27 из 27, SVG 18 из 27; эти функции уже есть у большинства конкурентов</t>
        </is>
      </c>
      <c r="E8" s="24" t="n">
        <v>5</v>
      </c>
      <c r="F8" s="24" t="n">
        <v>3</v>
      </c>
      <c r="G8" s="24" t="n">
        <v>3</v>
      </c>
      <c r="H8" s="24" t="n">
        <v>2</v>
      </c>
      <c r="I8" s="24" t="n">
        <v>2</v>
      </c>
      <c r="J8" s="24" t="n">
        <v>4</v>
      </c>
      <c r="K8" s="24">
        <f>IF(COUNTA(E8:J8)=0,"",ROUND(((E8*0.18)+(F8*0.22)+(G8*0.18)+(H8*0.2)+(I8*0.14)+(J8*0.08))*20,0))</f>
        <v/>
      </c>
      <c r="L8" s="24">
        <f>IF(K8="","",IF(K8&gt;=80,"Критический",IF(K8&gt;=65,"Высокий",IF(K8&gt;=45,"Средний","Низкий"))))</f>
        <v/>
      </c>
      <c r="M8" s="24" t="inlineStr">
        <is>
          <t>Оценка экспертная. Источник SRC-003; ЛР5 (экспорт 8 из 8, коллаборация 6 из 8)</t>
        </is>
      </c>
    </row>
    <row r="9" ht="25.5" customHeight="1" s="26">
      <c r="A9" s="24" t="inlineStr">
        <is>
          <t>P-005</t>
        </is>
      </c>
      <c r="B9" s="24" t="inlineStr">
        <is>
          <t>B2C</t>
        </is>
      </c>
      <c r="C9" s="24" t="inlineStr">
        <is>
          <t>Техническая</t>
        </is>
      </c>
      <c r="D9" s="28" t="inlineStr">
        <is>
          <t>Редактор не подсказывает ошибки правил нотации при вводе; данных о реализации у конкурентов нет (</t>
        </is>
      </c>
      <c r="E9" s="24" t="n">
        <v>3</v>
      </c>
      <c r="F9" s="24" t="n">
        <v>4</v>
      </c>
      <c r="G9" s="24" t="n">
        <v>3</v>
      </c>
      <c r="H9" s="24" t="n">
        <v>3</v>
      </c>
      <c r="I9" s="24" t="n">
        <v>3</v>
      </c>
      <c r="J9" s="24" t="n">
        <v>1</v>
      </c>
      <c r="K9" s="24">
        <f>IF(COUNTA(E9:J9)=0,"",ROUND(((E9*0.18)+(F9*0.22)+(G9*0.18)+(H9*0.2)+(I9*0.14)+(J9*0.08))*20,0))</f>
        <v/>
      </c>
      <c r="L9" s="24">
        <f>IF(K9="","",IF(K9&gt;=80,"Критический",IF(K9&gt;=65,"Высокий",IF(K9&gt;=45,"Средний","Низкий"))))</f>
        <v/>
      </c>
      <c r="M9" s="24" t="inlineStr">
        <is>
          <t>Оценка экспертная. Гипотеза; доказательность низкая</t>
        </is>
      </c>
    </row>
    <row r="10" ht="25.5" customHeight="1" s="26">
      <c r="A10" s="24" t="inlineStr">
        <is>
          <t>P-006</t>
        </is>
      </c>
      <c r="B10" s="24" t="inlineStr">
        <is>
          <t>Смешанный сегмент</t>
        </is>
      </c>
      <c r="C10" s="24" t="inlineStr">
        <is>
          <t>Информационная</t>
        </is>
      </c>
      <c r="D10" s="28" t="inlineStr">
        <is>
          <t>Русскоязычная среда и оплата в рублях: на русском языке с тарифами в рублях найден только Storm (платформа процессов BPMN)</t>
        </is>
      </c>
      <c r="E10" s="24" t="n">
        <v>3</v>
      </c>
      <c r="F10" s="24" t="n">
        <v>3</v>
      </c>
      <c r="G10" s="24" t="n">
        <v>2</v>
      </c>
      <c r="H10" s="24" t="n">
        <v>4</v>
      </c>
      <c r="I10" s="24" t="n">
        <v>3</v>
      </c>
      <c r="J10" s="24" t="n">
        <v>3</v>
      </c>
      <c r="K10" s="24">
        <f>IF(COUNTA(E10:J10)=0,"",ROUND(((E10*0.18)+(F10*0.22)+(G10*0.18)+(H10*0.2)+(I10*0.14)+(J10*0.08))*20,0))</f>
        <v/>
      </c>
      <c r="L10" s="24">
        <f>IF(K10="","",IF(K10&gt;=80,"Критический",IF(K10&gt;=65,"Высокий",IF(K10&gt;=45,"Средний","Низкий"))))</f>
        <v/>
      </c>
      <c r="M10" s="24" t="inlineStr">
        <is>
          <t>Оценка экспертная. Источник SRC-011</t>
        </is>
      </c>
    </row>
    <row r="11" ht="21" customHeight="1" s="26"/>
    <row r="12" ht="21" customHeight="1" s="26"/>
    <row r="13" ht="21" customHeight="1" s="26"/>
    <row r="14" ht="21" customHeight="1" s="26"/>
    <row r="15" ht="21" customHeight="1" s="26"/>
    <row r="16" ht="21" customHeight="1" s="26"/>
    <row r="17" ht="21" customHeight="1" s="26"/>
    <row r="18" ht="21" customHeight="1" s="26"/>
    <row r="19" ht="21" customHeight="1" s="26"/>
    <row r="20" ht="21" customHeight="1" s="26"/>
    <row r="21" ht="21" customHeight="1" s="26"/>
    <row r="22" ht="21" customHeight="1" s="26"/>
    <row r="23" ht="21" customHeight="1" s="26"/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2:M2"/>
    <mergeCell ref="A1:M1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D1" workbookViewId="0">
      <selection activeCell="H23" sqref="H23"/>
    </sheetView>
  </sheetViews>
  <sheetFormatPr baseColWidth="8" defaultRowHeight="14.25"/>
  <cols>
    <col width="22" customWidth="1" style="26" min="1" max="1"/>
    <col width="30" customWidth="1" style="26" min="2" max="2"/>
    <col width="14" customWidth="1" style="26" min="3" max="3"/>
    <col width="54" customWidth="1" style="26" min="4" max="4"/>
    <col width="16" customWidth="1" style="26" min="5" max="6"/>
    <col width="15" customWidth="1" style="26" min="7" max="7"/>
    <col width="16" customWidth="1" style="26" min="8" max="8"/>
    <col width="15" customWidth="1" style="26" min="9" max="9"/>
    <col width="17" customWidth="1" style="26" min="10" max="10"/>
    <col width="20" customWidth="1" style="26" min="11" max="11"/>
    <col width="32" customWidth="1" style="26" min="12" max="12"/>
  </cols>
  <sheetData>
    <row r="1" ht="25.5" customHeight="1" s="26">
      <c r="A1" s="32" t="inlineStr">
        <is>
          <t>Анализ конкурентных решений</t>
        </is>
      </c>
    </row>
    <row r="2" ht="17.1" customHeight="1" s="26">
      <c r="A2" s="33" t="inlineStr">
        <is>
          <t>Лист показывает, какие проблемы конкуренты уже закрывают, где находится рыночный стандарт и где сохраняется пространство для дифференциации</t>
        </is>
      </c>
    </row>
    <row r="3"/>
    <row r="4" ht="40.5" customHeight="1" s="26">
      <c r="A4" s="1" t="inlineStr">
        <is>
          <t>Компания</t>
        </is>
      </c>
      <c r="B4" s="1" t="inlineStr">
        <is>
          <t>Сайт</t>
        </is>
      </c>
      <c r="C4" s="1" t="inlineStr">
        <is>
          <t>ID проблемы</t>
        </is>
      </c>
      <c r="D4" s="1" t="inlineStr">
        <is>
          <t>Как конкурент решает проблему</t>
        </is>
      </c>
      <c r="E4" s="1" t="inlineStr">
        <is>
          <t>Покрытие проблемы 1–5</t>
        </is>
      </c>
      <c r="F4" s="1" t="inlineStr">
        <is>
          <t>Ясность обещания 1–5</t>
        </is>
      </c>
      <c r="G4" s="1" t="inlineStr">
        <is>
          <t>Полнота товара 1–5</t>
        </is>
      </c>
      <c r="H4" s="1" t="inlineStr">
        <is>
          <t>Удобство доступа 1–5</t>
        </is>
      </c>
      <c r="I4" s="1" t="inlineStr">
        <is>
          <t>Доказательность 1–5</t>
        </is>
      </c>
      <c r="J4" s="1" t="inlineStr">
        <is>
          <t>Индекс силы решения</t>
        </is>
      </c>
      <c r="K4" s="1" t="inlineStr">
        <is>
          <t>Уровень решения</t>
        </is>
      </c>
      <c r="L4" s="1" t="inlineStr">
        <is>
          <t>Комментарий</t>
        </is>
      </c>
    </row>
    <row r="5" ht="25.5" customHeight="1" s="26">
      <c r="A5" s="2" t="inlineStr">
        <is>
          <t>Lucidchart</t>
        </is>
      </c>
      <c r="B5" s="2" t="inlineStr">
        <is>
          <t>https://lucid.co/lucidchart</t>
        </is>
      </c>
      <c r="C5" s="2" t="inlineStr">
        <is>
          <t>P-002</t>
        </is>
      </c>
      <c r="D5" s="2" t="inlineStr">
        <is>
          <t>UML-, BPMN-шаблоны и ERD markup, но платный полный набор; IDEF0 и DFD не найдены</t>
        </is>
      </c>
      <c r="E5" s="2" t="n">
        <v>3</v>
      </c>
      <c r="F5" s="2" t="n">
        <v>4</v>
      </c>
      <c r="G5" s="2" t="n">
        <v>5</v>
      </c>
      <c r="H5" s="2" t="n">
        <v>3</v>
      </c>
      <c r="I5" s="2" t="n">
        <v>5</v>
      </c>
      <c r="J5" s="2">
        <f>IF(COUNTA(E5:I5)=0,"",ROUND(((E5*0.25)+(F5*0.2)+(G5*0.2)+(H5*0.15)+(I5*0.2))*20,0))</f>
        <v/>
      </c>
      <c r="K5" s="2">
        <f>IF(J5="","",IF(J5&gt;=80,"Сильное решение",IF(J5&gt;=60,"Рыночный стандарт",IF(J5&gt;=40,"Частичное решение","Слабое решение"))))</f>
        <v/>
      </c>
      <c r="L5" s="2" t="inlineStr">
        <is>
          <t>Страницы просмотрены 01.10.2026 (ЛР5)</t>
        </is>
      </c>
    </row>
    <row r="6" ht="25.5" customHeight="1" s="26">
      <c r="A6" s="2" t="inlineStr">
        <is>
          <t>draw.io</t>
        </is>
      </c>
      <c r="B6" s="2" t="inlineStr">
        <is>
          <t>https://www.drawio.com/</t>
        </is>
      </c>
      <c r="C6" s="2" t="inlineStr">
        <is>
          <t>P-002</t>
        </is>
      </c>
      <c r="D6" s="2" t="inlineStr">
        <is>
          <t>UML, ER и блок-схемы в бесплатном редакторе; IDEF0 и DFD на главной странице не найдены</t>
        </is>
      </c>
      <c r="E6" s="2" t="n">
        <v>3</v>
      </c>
      <c r="F6" s="2" t="n">
        <v>4</v>
      </c>
      <c r="G6" s="2" t="n">
        <v>4</v>
      </c>
      <c r="H6" s="2" t="n">
        <v>5</v>
      </c>
      <c r="I6" s="2" t="n">
        <v>4</v>
      </c>
      <c r="J6" s="2">
        <f>IF(COUNTA(E6:I6)=0,"",ROUND(((E6*0.25)+(F6*0.2)+(G6*0.2)+(H6*0.15)+(I6*0.2))*20,0))</f>
        <v/>
      </c>
      <c r="K6" s="2">
        <f>IF(J6="","",IF(J6&gt;=80,"Сильное решение",IF(J6&gt;=60,"Рыночный стандарт",IF(J6&gt;=40,"Частичное решение","Слабое решение"))))</f>
        <v/>
      </c>
      <c r="L6" s="2" t="inlineStr">
        <is>
          <t>Страницы просмотрены 01.10.2026 (ЛР5)</t>
        </is>
      </c>
    </row>
    <row r="7" ht="25.5" customHeight="1" s="26">
      <c r="A7" s="2" t="inlineStr">
        <is>
          <t>PlantUML</t>
        </is>
      </c>
      <c r="B7" s="2" t="inlineStr">
        <is>
          <t>https://plantuml.com/</t>
        </is>
      </c>
      <c r="C7" s="2" t="inlineStr">
        <is>
          <t>P-002</t>
        </is>
      </c>
      <c r="D7" s="2" t="inlineStr">
        <is>
          <t>Классовые, ER и другие диаграммы из текста; IDEF0, DFD, BPMN-редактора нет в просмотренных разделах</t>
        </is>
      </c>
      <c r="E7" s="2" t="n">
        <v>3</v>
      </c>
      <c r="F7" s="2" t="n">
        <v>4</v>
      </c>
      <c r="G7" s="2" t="n">
        <v>4</v>
      </c>
      <c r="H7" s="2" t="n">
        <v>5</v>
      </c>
      <c r="I7" s="2" t="n">
        <v>4</v>
      </c>
      <c r="J7" s="2">
        <f>IF(COUNTA(E7:I7)=0,"",ROUND(((E7*0.25)+(F7*0.2)+(G7*0.2)+(H7*0.15)+(I7*0.2))*20,0))</f>
        <v/>
      </c>
      <c r="K7" s="2">
        <f>IF(J7="","",IF(J7&gt;=80,"Сильное решение",IF(J7&gt;=60,"Рыночный стандарт",IF(J7&gt;=40,"Частичное решение","Слабое решение"))))</f>
        <v/>
      </c>
      <c r="L7" s="2" t="inlineStr">
        <is>
          <t>Страницы просмотрены 01.10.2026 (ЛР5)</t>
        </is>
      </c>
    </row>
    <row r="8" ht="25.5" customHeight="1" s="26">
      <c r="A8" s="2" t="inlineStr">
        <is>
          <t>PlantUML</t>
        </is>
      </c>
      <c r="B8" s="2" t="inlineStr">
        <is>
          <t>https://plantuml.com/</t>
        </is>
      </c>
      <c r="C8" s="2" t="inlineStr">
        <is>
          <t>P-001</t>
        </is>
      </c>
      <c r="D8" s="2" t="inlineStr">
        <is>
          <t>Язык описания с подробным справочником; требует изучения синтаксиса</t>
        </is>
      </c>
      <c r="E8" s="2" t="n">
        <v>3</v>
      </c>
      <c r="F8" s="2" t="n">
        <v>3</v>
      </c>
      <c r="G8" s="2" t="n">
        <v>4</v>
      </c>
      <c r="H8" s="2" t="n">
        <v>5</v>
      </c>
      <c r="I8" s="2" t="n">
        <v>4</v>
      </c>
      <c r="J8" s="2">
        <f>IF(COUNTA(E8:I8)=0,"",ROUND(((E8*0.25)+(F8*0.2)+(G8*0.2)+(H8*0.15)+(I8*0.2))*20,0))</f>
        <v/>
      </c>
      <c r="K8" s="2">
        <f>IF(J8="","",IF(J8&gt;=80,"Сильное решение",IF(J8&gt;=60,"Рыночный стандарт",IF(J8&gt;=40,"Частичное решение","Слабое решение"))))</f>
        <v/>
      </c>
      <c r="L8" s="2" t="inlineStr">
        <is>
          <t>Страницы просмотрены 01.10.2026 (ЛР5)</t>
        </is>
      </c>
    </row>
    <row r="9" ht="25.5" customHeight="1" s="26">
      <c r="A9" s="2" t="inlineStr">
        <is>
          <t>Mermaid Chart</t>
        </is>
      </c>
      <c r="B9" s="2" t="inlineStr">
        <is>
          <t>https://www.mermaidchart.com/</t>
        </is>
      </c>
      <c r="C9" s="2" t="inlineStr">
        <is>
          <t>P-001</t>
        </is>
      </c>
      <c r="D9" s="2" t="inlineStr">
        <is>
          <t>Облачный редактор Mermaid с ИИ-кредитами (15 в Free)</t>
        </is>
      </c>
      <c r="E9" s="2" t="n">
        <v>4</v>
      </c>
      <c r="F9" s="2" t="n">
        <v>5</v>
      </c>
      <c r="G9" s="2" t="n">
        <v>4</v>
      </c>
      <c r="H9" s="2" t="n">
        <v>4</v>
      </c>
      <c r="I9" s="2" t="n">
        <v>5</v>
      </c>
      <c r="J9" s="2">
        <f>IF(COUNTA(E9:I9)=0,"",ROUND(((E9*0.25)+(F9*0.2)+(G9*0.2)+(H9*0.15)+(I9*0.2))*20,0))</f>
        <v/>
      </c>
      <c r="K9" s="2">
        <f>IF(J9="","",IF(J9&gt;=80,"Сильное решение",IF(J9&gt;=60,"Рыночный стандарт",IF(J9&gt;=40,"Частичное решение","Слабое решение"))))</f>
        <v/>
      </c>
      <c r="L9" s="2" t="inlineStr">
        <is>
          <t>Страницы просмотрены 01.10.2026 (ЛР5)</t>
        </is>
      </c>
    </row>
    <row r="10" ht="25.5" customHeight="1" s="26">
      <c r="A10" s="2" t="inlineStr">
        <is>
          <t>Eraser</t>
        </is>
      </c>
      <c r="B10" s="2" t="inlineStr">
        <is>
          <t>https://www.eraser.io/</t>
        </is>
      </c>
      <c r="C10" s="2" t="inlineStr">
        <is>
          <t>P-001</t>
        </is>
      </c>
      <c r="D10" s="2" t="inlineStr">
        <is>
          <t>ИИ-генерация диаграмм и diagram-as-code; Free: 3 ИИ-диаграммы</t>
        </is>
      </c>
      <c r="E10" s="2" t="n">
        <v>4</v>
      </c>
      <c r="F10" s="2" t="n">
        <v>5</v>
      </c>
      <c r="G10" s="2" t="n">
        <v>4</v>
      </c>
      <c r="H10" s="2" t="n">
        <v>4</v>
      </c>
      <c r="I10" s="2" t="n">
        <v>5</v>
      </c>
      <c r="J10" s="2">
        <f>IF(COUNTA(E10:I10)=0,"",ROUND(((E10*0.25)+(F10*0.2)+(G10*0.2)+(H10*0.15)+(I10*0.2))*20,0))</f>
        <v/>
      </c>
      <c r="K10" s="2">
        <f>IF(J10="","",IF(J10&gt;=80,"Сильное решение",IF(J10&gt;=60,"Рыночный стандарт",IF(J10&gt;=40,"Частичное решение","Слабое решение"))))</f>
        <v/>
      </c>
      <c r="L10" s="2" t="inlineStr">
        <is>
          <t>Страницы просмотрены 01.10.2026 (ЛР5)</t>
        </is>
      </c>
    </row>
    <row r="11" ht="25.5" customHeight="1" s="26">
      <c r="A11" s="2" t="inlineStr">
        <is>
          <t>Lucidchart</t>
        </is>
      </c>
      <c r="B11" s="2" t="inlineStr">
        <is>
          <t>https://lucid.app/pricing/lucidchart</t>
        </is>
      </c>
      <c r="C11" s="2" t="inlineStr">
        <is>
          <t>P-003</t>
        </is>
      </c>
      <c r="D11" s="2" t="inlineStr">
        <is>
          <t>Free: 3 документа, 75 фигур; Individual 9 у.е., Team 10 у.е.</t>
        </is>
      </c>
      <c r="E11" s="2" t="n">
        <v>2</v>
      </c>
      <c r="F11" s="2" t="n">
        <v>5</v>
      </c>
      <c r="G11" s="2" t="n">
        <v>5</v>
      </c>
      <c r="H11" s="2" t="n">
        <v>3</v>
      </c>
      <c r="I11" s="2" t="n">
        <v>5</v>
      </c>
      <c r="J11" s="2">
        <f>IF(COUNTA(E11:I11)=0,"",ROUND(((E11*0.25)+(F11*0.2)+(G11*0.2)+(H11*0.15)+(I11*0.2))*20,0))</f>
        <v/>
      </c>
      <c r="K11" s="2">
        <f>IF(J11="","",IF(J11&gt;=80,"Сильное решение",IF(J11&gt;=60,"Рыночный стандарт",IF(J11&gt;=40,"Частичное решение","Слабое решение"))))</f>
        <v/>
      </c>
      <c r="L11" s="2" t="inlineStr">
        <is>
          <t>Страницы просмотрены 01.10.2026 (ЛР5)</t>
        </is>
      </c>
    </row>
    <row r="12" ht="25.5" customHeight="1" s="26">
      <c r="A12" s="2" t="inlineStr">
        <is>
          <t>Mermaid Chart</t>
        </is>
      </c>
      <c r="B12" s="2" t="inlineStr">
        <is>
          <t>https://mermaid.ai/pricing/</t>
        </is>
      </c>
      <c r="C12" s="2" t="inlineStr">
        <is>
          <t>P-003</t>
        </is>
      </c>
      <c r="D12" s="2" t="inlineStr">
        <is>
          <t>Free: до 6 диаграмм; Plus 10 у.е., Premium 20 у.е.</t>
        </is>
      </c>
      <c r="E12" s="2" t="n">
        <v>3</v>
      </c>
      <c r="F12" s="2" t="n">
        <v>5</v>
      </c>
      <c r="G12" s="2" t="n">
        <v>4</v>
      </c>
      <c r="H12" s="2" t="n">
        <v>4</v>
      </c>
      <c r="I12" s="2" t="n">
        <v>5</v>
      </c>
      <c r="J12" s="2">
        <f>IF(COUNTA(E12:I12)=0,"",ROUND(((E12*0.25)+(F12*0.2)+(G12*0.2)+(H12*0.15)+(I12*0.2))*20,0))</f>
        <v/>
      </c>
      <c r="K12" s="2">
        <f>IF(J12="","",IF(J12&gt;=80,"Сильное решение",IF(J12&gt;=60,"Рыночный стандарт",IF(J12&gt;=40,"Частичное решение","Слабое решение"))))</f>
        <v/>
      </c>
      <c r="L12" s="2" t="inlineStr">
        <is>
          <t>Страницы просмотрены 01.10.2026 (ЛР5)</t>
        </is>
      </c>
    </row>
    <row r="13" ht="25.5" customHeight="1" s="26">
      <c r="A13" s="2" t="inlineStr">
        <is>
          <t>Whimsical</t>
        </is>
      </c>
      <c r="B13" s="2" t="inlineStr">
        <is>
          <t>https://whimsical.com/pricing</t>
        </is>
      </c>
      <c r="C13" s="2" t="inlineStr">
        <is>
          <t>P-003</t>
        </is>
      </c>
      <c r="D13" s="2" t="inlineStr">
        <is>
          <t>Free: 50 объектов в месяц, водяной знак; Pro 10 у.е., Business 20 у.е.</t>
        </is>
      </c>
      <c r="E13" s="2" t="n">
        <v>2</v>
      </c>
      <c r="F13" s="2" t="n">
        <v>4</v>
      </c>
      <c r="G13" s="2" t="n">
        <v>3</v>
      </c>
      <c r="H13" s="2" t="n">
        <v>4</v>
      </c>
      <c r="I13" s="2" t="n">
        <v>5</v>
      </c>
      <c r="J13" s="2">
        <f>IF(COUNTA(E13:I13)=0,"",ROUND(((E13*0.25)+(F13*0.2)+(G13*0.2)+(H13*0.15)+(I13*0.2))*20,0))</f>
        <v/>
      </c>
      <c r="K13" s="2">
        <f>IF(J13="","",IF(J13&gt;=80,"Сильное решение",IF(J13&gt;=60,"Рыночный стандарт",IF(J13&gt;=40,"Частичное решение","Слабое решение"))))</f>
        <v/>
      </c>
      <c r="L13" s="2" t="inlineStr">
        <is>
          <t>Страницы просмотрены 01.10.2026 (ЛР5)</t>
        </is>
      </c>
    </row>
    <row r="14" ht="25.5" customHeight="1" s="26">
      <c r="A14" s="2" t="inlineStr">
        <is>
          <t>draw.io</t>
        </is>
      </c>
      <c r="B14" s="2" t="inlineStr">
        <is>
          <t>https://www.drawio.com/</t>
        </is>
      </c>
      <c r="C14" s="2" t="inlineStr">
        <is>
          <t>P-003</t>
        </is>
      </c>
      <c r="D14" s="2" t="inlineStr">
        <is>
          <t>Полностью бесплатное приложение с открытым кодом</t>
        </is>
      </c>
      <c r="E14" s="2" t="n">
        <v>5</v>
      </c>
      <c r="F14" s="2" t="n">
        <v>4</v>
      </c>
      <c r="G14" s="2" t="n">
        <v>4</v>
      </c>
      <c r="H14" s="2" t="n">
        <v>5</v>
      </c>
      <c r="I14" s="2" t="n">
        <v>4</v>
      </c>
      <c r="J14" s="2">
        <f>IF(COUNTA(E14:I14)=0,"",ROUND(((E14*0.25)+(F14*0.2)+(G14*0.2)+(H14*0.15)+(I14*0.2))*20,0))</f>
        <v/>
      </c>
      <c r="K14" s="2">
        <f>IF(J14="","",IF(J14&gt;=80,"Сильное решение",IF(J14&gt;=60,"Рыночный стандарт",IF(J14&gt;=40,"Частичное решение","Слабое решение"))))</f>
        <v/>
      </c>
      <c r="L14" s="2" t="inlineStr">
        <is>
          <t>Страницы просмотрены 01.10.2026 (ЛР5)</t>
        </is>
      </c>
    </row>
    <row r="15" ht="25.5" customHeight="1" s="26">
      <c r="A15" s="2" t="inlineStr">
        <is>
          <t>draw.io</t>
        </is>
      </c>
      <c r="B15" s="2" t="inlineStr">
        <is>
          <t>https://www.drawio.com/</t>
        </is>
      </c>
      <c r="C15" s="2" t="inlineStr">
        <is>
          <t>P-004</t>
        </is>
      </c>
      <c r="D15" s="2" t="inlineStr">
        <is>
          <t>Совместная работа в реальном времени, экспорт SVG, PNG, PDF</t>
        </is>
      </c>
      <c r="E15" s="2" t="n">
        <v>5</v>
      </c>
      <c r="F15" s="2" t="n">
        <v>4</v>
      </c>
      <c r="G15" s="2" t="n">
        <v>4</v>
      </c>
      <c r="H15" s="2" t="n">
        <v>5</v>
      </c>
      <c r="I15" s="2" t="n">
        <v>4</v>
      </c>
      <c r="J15" s="2">
        <f>IF(COUNTA(E15:I15)=0,"",ROUND(((E15*0.25)+(F15*0.2)+(G15*0.2)+(H15*0.15)+(I15*0.2))*20,0))</f>
        <v/>
      </c>
      <c r="K15" s="2">
        <f>IF(J15="","",IF(J15&gt;=80,"Сильное решение",IF(J15&gt;=60,"Рыночный стандарт",IF(J15&gt;=40,"Частичное решение","Слабое решение"))))</f>
        <v/>
      </c>
      <c r="L15" s="2" t="inlineStr">
        <is>
          <t>Страницы просмотрены 01.10.2026 (ЛР5)</t>
        </is>
      </c>
    </row>
    <row r="16" ht="25.5" customHeight="1" s="26">
      <c r="A16" s="2" t="inlineStr">
        <is>
          <t>Storm</t>
        </is>
      </c>
      <c r="B16" s="2" t="inlineStr">
        <is>
          <t>https://stormbpmn.com/pricing</t>
        </is>
      </c>
      <c r="C16" s="2" t="inlineStr">
        <is>
          <t>P-006</t>
        </is>
      </c>
      <c r="D16" s="2" t="inlineStr">
        <is>
          <t>Русскоязычная платформа BPMN с тарифами в рублях; только процессная нотация</t>
        </is>
      </c>
      <c r="E16" s="2" t="n">
        <v>3</v>
      </c>
      <c r="F16" s="2" t="n">
        <v>5</v>
      </c>
      <c r="G16" s="2" t="n">
        <v>5</v>
      </c>
      <c r="H16" s="2" t="n">
        <v>3</v>
      </c>
      <c r="I16" s="2" t="n">
        <v>4</v>
      </c>
      <c r="J16" s="2">
        <f>IF(COUNTA(E16:I16)=0,"",ROUND(((E16*0.25)+(F16*0.2)+(G16*0.2)+(H16*0.15)+(I16*0.2))*20,0))</f>
        <v/>
      </c>
      <c r="K16" s="2">
        <f>IF(J16="","",IF(J16&gt;=80,"Сильное решение",IF(J16&gt;=60,"Рыночный стандарт",IF(J16&gt;=40,"Частичное решение","Слабое решение"))))</f>
        <v/>
      </c>
      <c r="L16" s="2" t="inlineStr">
        <is>
          <t>Страницы просмотрены 01.10.2026 (ЛР5)</t>
        </is>
      </c>
    </row>
    <row r="17" ht="21" customHeight="1" s="26"/>
    <row r="18" ht="21" customHeight="1" s="26"/>
    <row r="19" ht="21" customHeight="1" s="26"/>
    <row r="20" ht="21" customHeight="1" s="26"/>
    <row r="21" ht="21" customHeight="1" s="26"/>
    <row r="22" ht="21" customHeight="1" s="26"/>
    <row r="23" ht="21" customHeight="1" s="26"/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2:L2"/>
    <mergeCell ref="A1:L1"/>
  </mergeCells>
  <conditionalFormatting sqref="J5:J104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G1" workbookViewId="0">
      <selection activeCell="D14" sqref="D14"/>
    </sheetView>
  </sheetViews>
  <sheetFormatPr baseColWidth="8" defaultRowHeight="14.25"/>
  <cols>
    <col width="12" customWidth="1" style="26" min="1" max="2"/>
    <col width="16" customWidth="1" style="26" min="3" max="3"/>
    <col width="42" customWidth="1" style="26" min="4" max="5"/>
    <col width="36" customWidth="1" style="26" min="6" max="6"/>
    <col width="42" customWidth="1" style="26" min="7" max="7"/>
    <col width="64" customWidth="1" style="26" min="8" max="8"/>
    <col width="24" customWidth="1" style="26" min="9" max="10"/>
    <col width="16" customWidth="1" style="26" min="11" max="11"/>
    <col width="18" customWidth="1" style="26" min="12" max="12"/>
    <col width="28" customWidth="1" style="26" min="13" max="13"/>
  </cols>
  <sheetData>
    <row r="1" ht="29.25" customHeight="1" s="26">
      <c r="A1" s="32" t="inlineStr">
        <is>
          <t>Формулирование ценностного предложения</t>
        </is>
      </c>
    </row>
    <row r="2" ht="17.1" customHeight="1" s="26">
      <c r="A2" s="33" t="inlineStr">
        <is>
          <t>Ценностное предложение связывает опорную проблему клиента, конкурентный пробел и обещаемый измеримый результат</t>
        </is>
      </c>
    </row>
    <row r="3"/>
    <row r="4" ht="39" customHeight="1" s="26">
      <c r="A4" s="1" t="inlineStr">
        <is>
          <t>ID ЦП</t>
        </is>
      </c>
      <c r="B4" s="1" t="inlineStr">
        <is>
          <t>ID проблемы</t>
        </is>
      </c>
      <c r="C4" s="1" t="inlineStr">
        <is>
          <t>Сегмент</t>
        </is>
      </c>
      <c r="D4" s="1" t="inlineStr">
        <is>
          <t>Опорная проблема</t>
        </is>
      </c>
      <c r="E4" s="1" t="inlineStr">
        <is>
          <t>Конкурентный пробел</t>
        </is>
      </c>
      <c r="F4" s="1" t="inlineStr">
        <is>
          <t>Обещаемый результат</t>
        </is>
      </c>
      <c r="G4" s="1" t="inlineStr">
        <is>
          <t>Механизм создания ценности</t>
        </is>
      </c>
      <c r="H4" s="1" t="inlineStr">
        <is>
          <t>Формулировка ценностного предложения</t>
        </is>
      </c>
      <c r="I4" s="1" t="inlineStr">
        <is>
          <t>Тип ЦП</t>
        </is>
      </c>
      <c r="J4" s="1" t="inlineStr">
        <is>
          <t>Тип ценности</t>
        </is>
      </c>
      <c r="K4" s="1" t="inlineStr">
        <is>
          <t>Индекс проблемы</t>
        </is>
      </c>
      <c r="L4" s="1" t="inlineStr">
        <is>
          <t>Статус</t>
        </is>
      </c>
      <c r="M4" s="1" t="inlineStr">
        <is>
          <t>Комментарий</t>
        </is>
      </c>
    </row>
    <row r="5" ht="102" customHeight="1" s="26">
      <c r="A5" s="2" t="inlineStr">
        <is>
          <t>VP-001</t>
        </is>
      </c>
      <c r="B5" s="2" t="inlineStr">
        <is>
          <t>P-002</t>
        </is>
      </c>
      <c r="C5" s="2" t="inlineStr">
        <is>
          <t>Смешанный сегмент</t>
        </is>
      </c>
      <c r="D5" s="2" t="inlineStr">
        <is>
          <t>Нет единого инструмента для всех нотаций проекта: IDEF0, DFD и сети Петри не найдены у 8 конкурентов, полный набор UML, BPMN, ERD - только у платного Lucidchart</t>
        </is>
      </c>
      <c r="E5" s="2" t="inlineStr">
        <is>
          <t>Конкуренты закрывают UML, ERD и BPMN по отдельности; Lucidchart - платно (9-10 у.е. в месяц), draw.io и PlantUML - без IDEF0 и DFD</t>
        </is>
      </c>
      <c r="F5" s="2" t="inlineStr">
        <is>
          <t>Получить диаграмму в любой нотации проекта из текстового описания в одном бесплатном веб-инструменте</t>
        </is>
      </c>
      <c r="G5" s="2" t="inlineStr">
        <is>
          <t>Текстовый ввод, визуальный редактор, набор нотаций UML, BPMN 2.0, ERD, IDEF0, DFD, сети Петри, ИИ-ассистент, экспорт</t>
        </is>
      </c>
      <c r="H5" s="2" t="inlineStr">
        <is>
          <t>Для студентов технических специальностей и аналитиков ПО, которым нужны диаграммы UML, BPMN, ERD, IDEF0 и DFD к проектам и учебным работам, NotaCode - веб-IDE «диаграммы как код» - позволяет получить диаграмму в выбранной нотации по текстовому описанию в одном инструменте без установки, в отличие от текстовых языков без визуального редактора и платных редакторов с оплатой за пользователя, потому что поддерживает весь набор нотаций проекта (в том числе IDEF0, DFD и сети Петри, не найденные у 8 конкурентов) и имеет бесплатный уровень Free</t>
        </is>
      </c>
      <c r="I5" s="2" t="inlineStr">
        <is>
          <t>Дифференциация</t>
        </is>
      </c>
      <c r="J5" s="2" t="inlineStr">
        <is>
          <t>Доступность</t>
        </is>
      </c>
      <c r="K5" s="2">
        <f>IF(B5="","",IFERROR(INDEX('Проблемы клиентов'!$K\$5:$K\$104,MATCH(B5,'Проблемы клиентов'!$A\$5:$A\$104,0)),0))</f>
        <v/>
      </c>
      <c r="L5" s="2">
        <f>IF(A5="","",IF(AND(B5&lt;&gt;"",F5&lt;&gt;"",G5&lt;&gt;"",H5&lt;&gt;"",I5&lt;&gt;"",J5&lt;&gt;""),"Готово","Нужно дополнить"))</f>
        <v/>
      </c>
      <c r="M5" s="2" t="inlineStr">
        <is>
          <t>Опорная проблема: наибольший индекс проблемы (74 по шаблону); ЦП нужно проверить на реальных клиентах</t>
        </is>
      </c>
    </row>
    <row r="6" ht="21" customHeight="1" s="26"/>
    <row r="7" ht="21" customHeight="1" s="26"/>
    <row r="8" ht="21" customHeight="1" s="26"/>
    <row r="9" ht="21" customHeight="1" s="26"/>
    <row r="10" ht="21" customHeight="1" s="26"/>
    <row r="11" ht="21" customHeight="1" s="26"/>
    <row r="12" ht="21" customHeight="1" s="26"/>
    <row r="13" ht="21" customHeight="1" s="26"/>
    <row r="14" ht="21" customHeight="1" s="26"/>
    <row r="15" ht="21" customHeight="1" s="26"/>
    <row r="16" ht="21" customHeight="1" s="26"/>
    <row r="17" ht="21" customHeight="1" s="26"/>
    <row r="18" ht="21" customHeight="1" s="26"/>
    <row r="19" ht="21" customHeight="1" s="26"/>
    <row r="20" ht="21" customHeight="1" s="26"/>
    <row r="21" ht="21" customHeight="1" s="26"/>
    <row r="22" ht="21" customHeight="1" s="26"/>
    <row r="23" ht="21" customHeight="1" s="26"/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2:M2"/>
    <mergeCell ref="A1:M1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G1" workbookViewId="0">
      <selection activeCell="I10" sqref="I10"/>
    </sheetView>
  </sheetViews>
  <sheetFormatPr baseColWidth="8" defaultRowHeight="14.25"/>
  <cols>
    <col width="12" customWidth="1" style="26" min="1" max="2"/>
    <col width="30" customWidth="1" style="26" min="3" max="3"/>
    <col width="24" customWidth="1" style="26" min="4" max="4"/>
    <col width="40" customWidth="1" style="26" min="5" max="5"/>
    <col width="38" customWidth="1" style="26" min="6" max="6"/>
    <col width="42" customWidth="1" style="26" min="7" max="8"/>
    <col width="38" customWidth="1" style="26" min="9" max="9"/>
    <col width="17" customWidth="1" style="26" min="10" max="10"/>
    <col width="20" customWidth="1" style="26" min="11" max="11"/>
    <col width="18" customWidth="1" style="26" min="12" max="12"/>
    <col width="28" customWidth="1" style="26" min="13" max="13"/>
  </cols>
  <sheetData>
    <row r="1" ht="24.75" customHeight="1" s="26">
      <c r="A1" s="32" t="inlineStr">
        <is>
          <t>Описание цифрового товара как носителя ценности</t>
        </is>
      </c>
    </row>
    <row r="2" ht="17.1" customHeight="1" s="26">
      <c r="A2" s="33" t="inlineStr">
        <is>
          <t>На листе ценностное предложение переводится в состав цифрового товара, функции, пользовательский сценарий и условия доступа</t>
        </is>
      </c>
    </row>
    <row r="3"/>
    <row r="4" ht="39.75" customHeight="1" s="26">
      <c r="A4" s="1" t="inlineStr">
        <is>
          <t>ID товара</t>
        </is>
      </c>
      <c r="B4" s="1" t="inlineStr">
        <is>
          <t>ID ЦП</t>
        </is>
      </c>
      <c r="C4" s="1" t="inlineStr">
        <is>
          <t>Название цифрового товара</t>
        </is>
      </c>
      <c r="D4" s="1" t="inlineStr">
        <is>
          <t>Тип цифрового товара</t>
        </is>
      </c>
      <c r="E4" s="1" t="inlineStr">
        <is>
          <t>Клиентская задача</t>
        </is>
      </c>
      <c r="F4" s="1" t="inlineStr">
        <is>
          <t>Базовая функция</t>
        </is>
      </c>
      <c r="G4" s="1" t="inlineStr">
        <is>
          <t>Расширенные функции</t>
        </is>
      </c>
      <c r="H4" s="1" t="inlineStr">
        <is>
          <t>Данные/алгоритмы как часть ценности</t>
        </is>
      </c>
      <c r="I4" s="1" t="inlineStr">
        <is>
          <t>Условия доступа и использования</t>
        </is>
      </c>
      <c r="J4" s="1" t="inlineStr">
        <is>
          <t>Носитель ценности</t>
        </is>
      </c>
      <c r="K4" s="1" t="inlineStr">
        <is>
          <t>Индекс товарной оформленности</t>
        </is>
      </c>
      <c r="L4" s="1" t="inlineStr">
        <is>
          <t>Статус</t>
        </is>
      </c>
      <c r="M4" s="1" t="inlineStr">
        <is>
          <t>Комментарий</t>
        </is>
      </c>
    </row>
    <row r="5" ht="73.5" customHeight="1" s="26">
      <c r="A5" s="2" t="inlineStr">
        <is>
          <t>PR-001</t>
        </is>
      </c>
      <c r="B5" s="2" t="inlineStr">
        <is>
          <t>VP-001</t>
        </is>
      </c>
      <c r="C5" s="2" t="inlineStr">
        <is>
          <t>NotaCode</t>
        </is>
      </c>
      <c r="D5" s="2" t="inlineStr">
        <is>
          <t>Веб-сервис</t>
        </is>
      </c>
      <c r="E5" s="2" t="inlineStr">
        <is>
          <t>Построить диаграмму в нужной нотации из текстового описания без установки программ</t>
        </is>
      </c>
      <c r="F5" s="2" t="inlineStr">
        <is>
          <t>Редактор диаграмм «как код» (текст и визуализация) для UML, BPMN 2.0, ERD, IDEF0/IDEF1X/IDEF3, DFD, сетей Петри</t>
        </is>
      </c>
      <c r="G5" s="2" t="inlineStr">
        <is>
          <t>ИИ-ассистент (в MVP - заглушка с четырьмя режимами); экспорт SVG, PNG, XML и расширения нотации, кода и проекта (Pro: BPMN XML, XMI, PNML, draw.io, PlantUML, Mermaid, D2, DOT); работа в браузере (PWA)</t>
        </is>
      </c>
      <c r="H5" s="2" t="inlineStr">
        <is>
          <t>Описание диаграммы на текстовом языке; библиотека нотаций (данные и алгоритм разбора)</t>
        </is>
      </c>
      <c r="I5" s="2" t="inlineStr">
        <is>
          <t>Free - бесплатный доступ (все нотации, до 5 проектов, до 20 файлов, 20 последних версий); Pro - подписка 40 у.е. в год (48 у.е. при цене 4 у.е. в месяц, 4 x 12); вход через личный кабинет</t>
        </is>
      </c>
      <c r="J5" s="2" t="inlineStr">
        <is>
          <t>Да</t>
        </is>
      </c>
      <c r="K5" s="2">
        <f>IF(A5="","",ROUND((COUNTA(E5:I5)/5)*100,0))</f>
        <v/>
      </c>
      <c r="L5" s="2">
        <f>IF(A5="","",IF(K5&gt;=80,"Готово",IF(K5&gt;=50,"Нужно дополнить","Черновик")))</f>
        <v/>
      </c>
      <c r="M5" s="2" t="inlineStr">
        <is>
          <t>Продукт до выпуска MVP; состав подтверждается разработкой</t>
        </is>
      </c>
    </row>
    <row r="6" ht="21" customHeight="1" s="26"/>
    <row r="7" ht="21" customHeight="1" s="26"/>
    <row r="8" ht="21" customHeight="1" s="26"/>
    <row r="9" ht="21" customHeight="1" s="26"/>
    <row r="10" ht="21" customHeight="1" s="26"/>
    <row r="11" ht="21" customHeight="1" s="26"/>
    <row r="12" ht="21" customHeight="1" s="26"/>
    <row r="13" ht="21" customHeight="1" s="26"/>
    <row r="14" ht="21" customHeight="1" s="26"/>
    <row r="15" ht="21" customHeight="1" s="26"/>
    <row r="16" ht="21" customHeight="1" s="26"/>
    <row r="17" ht="21" customHeight="1" s="26"/>
    <row r="18" ht="21" customHeight="1" s="26"/>
    <row r="19" ht="21" customHeight="1" s="26"/>
    <row r="20" ht="21" customHeight="1" s="26"/>
    <row r="21" ht="21" customHeight="1" s="26"/>
    <row r="22" ht="21" customHeight="1" s="26"/>
    <row r="23" ht="21" customHeight="1" s="26"/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2:M2"/>
    <mergeCell ref="A1:M1"/>
  </mergeCells>
  <conditionalFormatting sqref="K5:K104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topLeftCell="F1" workbookViewId="0">
      <selection activeCell="L12" sqref="L12"/>
    </sheetView>
  </sheetViews>
  <sheetFormatPr baseColWidth="8" defaultRowHeight="14.25"/>
  <cols>
    <col width="14" customWidth="1" style="26" min="1" max="1"/>
    <col width="12" customWidth="1" style="26" min="2" max="2"/>
    <col width="24" customWidth="1" style="26" min="3" max="3"/>
    <col width="44" customWidth="1" style="26" min="4" max="4"/>
    <col width="18" customWidth="1" style="26" min="5" max="5"/>
    <col width="14" customWidth="1" style="26" min="6" max="6"/>
    <col width="18" customWidth="1" style="26" min="7" max="7"/>
    <col width="17" customWidth="1" style="26" min="8" max="8"/>
    <col width="42" customWidth="1" style="26" min="9" max="9"/>
    <col width="18" customWidth="1" style="26" min="10" max="11"/>
    <col width="17" customWidth="1" style="26" min="12" max="12"/>
    <col width="20" customWidth="1" style="26" min="13" max="13"/>
    <col width="18" customWidth="1" style="26" min="14" max="14"/>
  </cols>
  <sheetData>
    <row r="1" ht="14.1" customHeight="1" s="26">
      <c r="A1" s="32" t="inlineStr">
        <is>
          <t>Определение единицы монетизации</t>
        </is>
      </c>
    </row>
    <row r="2" ht="17.1" customHeight="1" s="26">
      <c r="A2" s="33" t="inlineStr">
        <is>
          <t>Единица монетизации показывает, за что именно платит клиент и как цифровой товар становится источником выручки</t>
        </is>
      </c>
    </row>
    <row r="3"/>
    <row r="4" ht="33.75" customHeight="1" s="26">
      <c r="A4" s="1" t="inlineStr">
        <is>
          <t>ID монетизации</t>
        </is>
      </c>
      <c r="B4" s="1" t="inlineStr">
        <is>
          <t>ID товара</t>
        </is>
      </c>
      <c r="C4" s="1" t="inlineStr">
        <is>
          <t>Единица монетизации</t>
        </is>
      </c>
      <c r="D4" s="1" t="inlineStr">
        <is>
          <t>Что покупает клиент</t>
        </is>
      </c>
      <c r="E4" s="1" t="inlineStr">
        <is>
          <t>Периодичность</t>
        </is>
      </c>
      <c r="F4" s="1" t="inlineStr">
        <is>
          <t>Базовая цена</t>
        </is>
      </c>
      <c r="G4" s="1" t="inlineStr">
        <is>
          <t>Кол-во единиц в месяц</t>
        </is>
      </c>
      <c r="H4" s="1" t="inlineStr">
        <is>
          <t>Расчетная выручка</t>
        </is>
      </c>
      <c r="I4" s="1" t="inlineStr">
        <is>
          <t>Обоснование готовности платить</t>
        </is>
      </c>
      <c r="J4" s="1" t="inlineStr">
        <is>
          <t>Связь с ценностью 1–5</t>
        </is>
      </c>
      <c r="K4" s="1" t="inlineStr">
        <is>
          <t>Простота тарификации 1–5</t>
        </is>
      </c>
      <c r="L4" s="1" t="inlineStr">
        <is>
          <t>Повторяемость 1–5</t>
        </is>
      </c>
      <c r="M4" s="1" t="inlineStr">
        <is>
          <t>Монетизационный потенциал</t>
        </is>
      </c>
      <c r="N4" s="1" t="inlineStr">
        <is>
          <t>Статус</t>
        </is>
      </c>
    </row>
    <row r="5" ht="51" customHeight="1" s="26">
      <c r="A5" s="24" t="inlineStr">
        <is>
          <t>M-001</t>
        </is>
      </c>
      <c r="B5" s="24" t="inlineStr">
        <is>
          <t>PR-001</t>
        </is>
      </c>
      <c r="C5" s="24" t="inlineStr">
        <is>
          <t>Пользователь</t>
        </is>
      </c>
      <c r="D5" s="2" t="inlineStr">
        <is>
          <t>Подписка Pro: расширенные возможности и снятие ограничений Free</t>
        </is>
      </c>
      <c r="E5" s="2" t="inlineStr">
        <is>
          <t>Ежегодно</t>
        </is>
      </c>
      <c r="F5" s="13" t="n">
        <v>40</v>
      </c>
      <c r="G5" s="13" t="n">
        <v>1634</v>
      </c>
      <c r="H5" s="13">
        <f>IF(OR(F5="",G5=""),"",F5*G5)</f>
        <v/>
      </c>
      <c r="I5" s="2" t="inlineStr">
        <is>
          <t>Базовая оценка ЛР2-3, ЛР4: около 1 634 платящих пользователей (SAM 197 988 BYN, около 65 375 у.е.); в опросе 18 из 27 готовы платить; у конкурентов 9-20 у.е. за пользователя в месяц</t>
        </is>
      </c>
      <c r="J5" s="2" t="n">
        <v>4</v>
      </c>
      <c r="K5" s="2" t="n">
        <v>5</v>
      </c>
      <c r="L5" s="2" t="n">
        <v>4</v>
      </c>
      <c r="M5" s="2">
        <f>IF(COUNTA(J5:L5)=0,"",ROUND(((J5*0.4)+(K5*0.3)+(L5*0.3))*20,0))</f>
        <v/>
      </c>
      <c r="N5" s="24">
        <f>IF(A5="","",IF(M5&gt;=80,"Готово",IF(M5&gt;=60,"Нужно дополнить",IF(M5&gt;=40,"Черновик","Отклонить"))))</f>
        <v/>
      </c>
    </row>
    <row r="6" ht="38.25" customHeight="1" s="26">
      <c r="A6" s="24" t="inlineStr">
        <is>
          <t>M-002</t>
        </is>
      </c>
      <c r="B6" s="24" t="inlineStr">
        <is>
          <t>PR-001</t>
        </is>
      </c>
      <c r="C6" s="24" t="inlineStr">
        <is>
          <t>Пользователь</t>
        </is>
      </c>
      <c r="D6" s="2" t="inlineStr">
        <is>
          <t>Бесплатный доступ с ограничениями для студентов</t>
        </is>
      </c>
      <c r="E6" s="2" t="inlineStr">
        <is>
          <t>Разово</t>
        </is>
      </c>
      <c r="F6" s="13" t="n">
        <v>0</v>
      </c>
      <c r="G6" s="13" t="n">
        <v>0</v>
      </c>
      <c r="H6" s="13">
        <f>IF(OR(F6="",G6=""),"",F6*G6)</f>
        <v/>
      </c>
      <c r="I6" s="2" t="inlineStr">
        <is>
          <t>Free привлекает аудиторию и совпадает с практикой 8 из 8 конкурентов (бесплатный доступ или Free-тариф)</t>
        </is>
      </c>
      <c r="J6" s="2" t="n">
        <v>4</v>
      </c>
      <c r="K6" s="2" t="n">
        <v>5</v>
      </c>
      <c r="L6" s="2" t="n">
        <v>2</v>
      </c>
      <c r="M6" s="2">
        <f>IF(COUNTA(J6:L6)=0,"",ROUND(((J6*0.4)+(K6*0.3)+(L6*0.3))*20,0))</f>
        <v/>
      </c>
      <c r="N6" s="24">
        <f>IF(A6="","",IF(M6&gt;=80,"Готово",IF(M6&gt;=60,"Нужно дополнить",IF(M6&gt;=40,"Черновик","Отклонить"))))</f>
        <v/>
      </c>
    </row>
    <row r="7" ht="21" customHeight="1" s="26"/>
    <row r="8" ht="21" customHeight="1" s="26"/>
    <row r="9" ht="21" customHeight="1" s="26"/>
    <row r="10" ht="21" customHeight="1" s="26"/>
    <row r="11" ht="21" customHeight="1" s="26"/>
    <row r="12" ht="21" customHeight="1" s="26"/>
    <row r="13" ht="21" customHeight="1" s="26"/>
    <row r="14" ht="21" customHeight="1" s="26"/>
    <row r="15" ht="21" customHeight="1" s="26"/>
    <row r="16" ht="21" customHeight="1" s="26"/>
    <row r="17" ht="21" customHeight="1" s="26"/>
    <row r="18" ht="21" customHeight="1" s="26"/>
    <row r="19" ht="21" customHeight="1" s="26"/>
    <row r="20" ht="21" customHeight="1" s="26"/>
    <row r="21" ht="21" customHeight="1" s="26"/>
    <row r="22" ht="21" customHeight="1" s="26"/>
    <row r="23" ht="21" customHeight="1" s="26"/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2:N2"/>
    <mergeCell ref="A1:N1"/>
  </mergeCells>
  <conditionalFormatting sqref="M5:M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G1" workbookViewId="0">
      <selection activeCell="I16" sqref="I16"/>
    </sheetView>
  </sheetViews>
  <sheetFormatPr baseColWidth="8" defaultRowHeight="14.25"/>
  <cols>
    <col width="12" customWidth="1" style="26" min="1" max="2"/>
    <col width="36" customWidth="1" style="26" min="3" max="3"/>
    <col width="46" customWidth="1" style="26" min="4" max="4"/>
    <col width="30" customWidth="1" style="26" min="5" max="5"/>
    <col width="36" customWidth="1" style="26" min="6" max="6"/>
    <col width="34" customWidth="1" style="26" min="7" max="7"/>
    <col width="40" customWidth="1" style="26" min="8" max="8"/>
    <col width="38" customWidth="1" style="26" min="9" max="9"/>
    <col width="32" customWidth="1" style="26" min="10" max="10"/>
    <col width="34" customWidth="1" style="26" min="11" max="11"/>
    <col width="20" customWidth="1" style="26" min="12" max="12"/>
    <col width="28" customWidth="1" style="26" min="13" max="13"/>
  </cols>
  <sheetData>
    <row r="1" ht="27.75" customHeight="1" s="26">
      <c r="A1" s="32" t="inlineStr">
        <is>
          <t>Связь цифрового товара с бизнес-моделью</t>
        </is>
      </c>
    </row>
    <row r="2" ht="17.1" customHeight="1" s="26">
      <c r="A2" s="33" t="inlineStr">
        <is>
          <t>Лист фиксирует, как ценностное предложение, цифровой товар и монетизация превращаются в элементы бизнес-модели</t>
        </is>
      </c>
    </row>
    <row r="3"/>
    <row r="4" ht="36" customHeight="1" s="26">
      <c r="A4" s="1" t="inlineStr">
        <is>
          <t>ID модели</t>
        </is>
      </c>
      <c r="B4" s="1" t="inlineStr">
        <is>
          <t>ID товара</t>
        </is>
      </c>
      <c r="C4" s="1" t="inlineStr">
        <is>
          <t>Клиентские сегменты</t>
        </is>
      </c>
      <c r="D4" s="1" t="inlineStr">
        <is>
          <t>Ценностное предложение</t>
        </is>
      </c>
      <c r="E4" s="1" t="inlineStr">
        <is>
          <t>Каналы</t>
        </is>
      </c>
      <c r="F4" s="1" t="inlineStr">
        <is>
          <t>Отношения с клиентами</t>
        </is>
      </c>
      <c r="G4" s="1" t="inlineStr">
        <is>
          <t>Потоки доходов</t>
        </is>
      </c>
      <c r="H4" s="1" t="inlineStr">
        <is>
          <t>Ключевые ресурсы</t>
        </is>
      </c>
      <c r="I4" s="1" t="inlineStr">
        <is>
          <t>Ключевые виды деятельности</t>
        </is>
      </c>
      <c r="J4" s="1" t="inlineStr">
        <is>
          <t>Ключевые партнеры</t>
        </is>
      </c>
      <c r="K4" s="1" t="inlineStr">
        <is>
          <t>Структура затрат</t>
        </is>
      </c>
      <c r="L4" s="1" t="inlineStr">
        <is>
          <t>Индекс полноты бизнес-модели</t>
        </is>
      </c>
      <c r="M4" s="1" t="inlineStr">
        <is>
          <t>Комментарий</t>
        </is>
      </c>
    </row>
    <row r="5" ht="51" customHeight="1" s="26">
      <c r="A5" s="2" t="inlineStr">
        <is>
          <t>BM-001</t>
        </is>
      </c>
      <c r="B5" s="2" t="inlineStr">
        <is>
          <t>PR-001</t>
        </is>
      </c>
      <c r="C5" s="2" t="inlineStr">
        <is>
          <t>Студенты технических специальностей (Free), аналитики и разработчики ПО (Pro); Беларусь, затем Россия и СНГ</t>
        </is>
      </c>
      <c r="D5" s="2" t="inlineStr">
        <is>
          <t>Диаграмма любой нотации проекта из текста в одном бесплатном веб-инструменте</t>
        </is>
      </c>
      <c r="E5" s="2" t="inlineStr">
        <is>
          <t>Сайт и PWA, поиск (Google, Яндекс), вузовские каналы, сообщества разработчиков</t>
        </is>
      </c>
      <c r="F5" s="2" t="inlineStr">
        <is>
          <t>Самообслуживание, документация, бесплатный уровень Free</t>
        </is>
      </c>
      <c r="G5" s="2" t="inlineStr">
        <is>
          <t>Подписка Pro 40 у.е. в год (48 у.е. при 4 x 12); Free без оплаты</t>
        </is>
      </c>
      <c r="H5" s="2" t="inlineStr">
        <is>
          <t>Платформа (PWA), движок нотаций, ИИ-ассистент, домен и репозиторий</t>
        </is>
      </c>
      <c r="I5" s="2" t="inlineStr">
        <is>
          <t>Разработка и поддержка движка нотаций, документация, продвижение</t>
        </is>
      </c>
      <c r="J5" s="2" t="inlineStr">
        <is>
          <t>Вузы (канал), платёжный провайдер, ИИ-провайдер, облачная инфраструктура (</t>
        </is>
      </c>
      <c r="K5" s="2" t="inlineStr">
        <is>
          <t>Разработка, облачная инфраструктура, ИИ-вызовы, поддержка</t>
        </is>
      </c>
      <c r="L5" s="2">
        <f>IF(A5="","",ROUND((COUNTA(C5:K5)/9)*100,0))</f>
        <v/>
      </c>
      <c r="M5" s="2" t="inlineStr">
        <is>
          <t>Блоки 8-10 - гипотезы без подтверждения договорами</t>
        </is>
      </c>
    </row>
    <row r="6" ht="21" customHeight="1" s="26"/>
    <row r="7" ht="21" customHeight="1" s="26"/>
    <row r="8" ht="21" customHeight="1" s="26"/>
    <row r="9" ht="21" customHeight="1" s="26"/>
    <row r="10" ht="21" customHeight="1" s="26"/>
    <row r="11" ht="21" customHeight="1" s="26"/>
    <row r="12" ht="21" customHeight="1" s="26"/>
    <row r="13" ht="21" customHeight="1" s="26"/>
    <row r="14" ht="21" customHeight="1" s="26"/>
    <row r="15" ht="21" customHeight="1" s="26"/>
    <row r="16" ht="21" customHeight="1" s="26"/>
    <row r="17" ht="21" customHeight="1" s="26"/>
    <row r="18" ht="21" customHeight="1" s="26"/>
    <row r="19" ht="21" customHeight="1" s="26"/>
    <row r="20" ht="21" customHeight="1" s="26"/>
    <row r="21" ht="21" customHeight="1" s="26"/>
    <row r="22" ht="21" customHeight="1" s="26"/>
    <row r="23" ht="21" customHeight="1" s="26"/>
    <row r="24" ht="21" customHeight="1" s="26"/>
    <row r="25" ht="21" customHeight="1" s="26"/>
    <row r="26" ht="21" customHeight="1" s="26"/>
    <row r="27" ht="21" customHeight="1" s="26"/>
    <row r="28" ht="21" customHeight="1" s="26"/>
    <row r="29" ht="21" customHeight="1" s="26"/>
    <row r="30" ht="21" customHeight="1" s="26"/>
    <row r="31" ht="21" customHeight="1" s="26"/>
    <row r="32" ht="21" customHeight="1" s="26"/>
    <row r="33" ht="21" customHeight="1" s="26"/>
    <row r="34" ht="21" customHeight="1" s="26"/>
    <row r="35" ht="21" customHeight="1" s="26"/>
    <row r="36" ht="21" customHeight="1" s="26"/>
    <row r="37" ht="21" customHeight="1" s="26"/>
    <row r="38" ht="21" customHeight="1" s="26"/>
    <row r="39" ht="21" customHeight="1" s="26"/>
    <row r="40" ht="21" customHeight="1" s="26"/>
    <row r="41" ht="21" customHeight="1" s="26"/>
    <row r="42" ht="21" customHeight="1" s="26"/>
    <row r="43" ht="21" customHeight="1" s="26"/>
    <row r="44" ht="21" customHeight="1" s="26"/>
    <row r="45" ht="21" customHeight="1" s="26"/>
    <row r="46" ht="21" customHeight="1" s="26"/>
    <row r="47" ht="21" customHeight="1" s="26"/>
    <row r="48" ht="21" customHeight="1" s="26"/>
    <row r="49" ht="21" customHeight="1" s="26"/>
    <row r="50" ht="21" customHeight="1" s="26"/>
    <row r="51" ht="21" customHeight="1" s="26"/>
    <row r="52" ht="21" customHeight="1" s="26"/>
    <row r="53" ht="21" customHeight="1" s="26"/>
    <row r="54" ht="21" customHeight="1" s="26"/>
    <row r="55" ht="21" customHeight="1" s="26"/>
    <row r="56" ht="21" customHeight="1" s="26"/>
    <row r="57" ht="21" customHeight="1" s="26"/>
    <row r="58" ht="21" customHeight="1" s="26"/>
    <row r="59" ht="21" customHeight="1" s="26"/>
    <row r="60" ht="21" customHeight="1" s="26"/>
    <row r="61" ht="21" customHeight="1" s="26"/>
    <row r="62" ht="21" customHeight="1" s="26"/>
    <row r="63" ht="21" customHeight="1" s="26"/>
    <row r="64" ht="21" customHeight="1" s="26"/>
    <row r="65" ht="21" customHeight="1" s="26"/>
    <row r="66" ht="21" customHeight="1" s="26"/>
    <row r="67" ht="21" customHeight="1" s="26"/>
    <row r="68" ht="21" customHeight="1" s="26"/>
    <row r="69" ht="21" customHeight="1" s="26"/>
    <row r="70" ht="21" customHeight="1" s="26"/>
    <row r="71" ht="21" customHeight="1" s="26"/>
    <row r="72" ht="21" customHeight="1" s="26"/>
    <row r="73" ht="21" customHeight="1" s="26"/>
    <row r="74" ht="21" customHeight="1" s="26"/>
    <row r="75" ht="21" customHeight="1" s="26"/>
    <row r="76" ht="21" customHeight="1" s="26"/>
    <row r="77" ht="21" customHeight="1" s="26"/>
    <row r="78" ht="21" customHeight="1" s="26"/>
    <row r="79" ht="21" customHeight="1" s="26"/>
    <row r="80" ht="21" customHeight="1" s="26"/>
    <row r="81" ht="21" customHeight="1" s="26"/>
    <row r="82" ht="21" customHeight="1" s="26"/>
    <row r="83" ht="21" customHeight="1" s="26"/>
    <row r="84" ht="21" customHeight="1" s="26"/>
    <row r="85" ht="21" customHeight="1" s="26"/>
    <row r="86" ht="21" customHeight="1" s="26"/>
    <row r="87" ht="21" customHeight="1" s="26"/>
    <row r="88" ht="21" customHeight="1" s="26"/>
    <row r="89" ht="21" customHeight="1" s="26"/>
    <row r="90" ht="21" customHeight="1" s="26"/>
    <row r="91" ht="21" customHeight="1" s="26"/>
    <row r="92" ht="21" customHeight="1" s="26"/>
    <row r="93" ht="21" customHeight="1" s="26"/>
    <row r="94" ht="21" customHeight="1" s="26"/>
    <row r="95" ht="21" customHeight="1" s="26"/>
    <row r="96" ht="21" customHeight="1" s="26"/>
    <row r="97" ht="21" customHeight="1" s="26"/>
    <row r="98" ht="21" customHeight="1" s="26"/>
    <row r="99" ht="21" customHeight="1" s="26"/>
    <row r="100" ht="21" customHeight="1" s="26"/>
    <row r="101" ht="21" customHeight="1" s="26"/>
    <row r="102" ht="21" customHeight="1" s="26"/>
    <row r="103" ht="21" customHeight="1" s="26"/>
    <row r="104" ht="21" customHeight="1" s="26"/>
  </sheetData>
  <mergeCells count="2">
    <mergeCell ref="A2:M2"/>
    <mergeCell ref="A1:M1"/>
  </mergeCells>
  <conditionalFormatting sqref="L5:L104">
    <cfRule type="dataBar" priority="1">
      <dataBar>
        <cfvo type="min"/>
        <cfvo type="max"/>
        <color rgb="FF4472C4"/>
      </dataBar>
    </cfRule>
    <cfRule type="dataBar" priority="2">
      <dataBar>
        <cfvo type="min"/>
        <cfvo type="max"/>
        <color rgb="FF4472C4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H25" sqref="H25"/>
    </sheetView>
  </sheetViews>
  <sheetFormatPr baseColWidth="8" defaultRowHeight="14.25"/>
  <cols>
    <col width="14" customWidth="1" style="26" min="1" max="1"/>
    <col width="12" customWidth="1" style="26" min="2" max="4"/>
    <col width="16" customWidth="1" style="26" min="5" max="5"/>
    <col width="12" customWidth="1" style="26" min="6" max="6"/>
    <col width="16" customWidth="1" style="26" min="7" max="7"/>
    <col width="22" customWidth="1" style="26" min="8" max="8"/>
    <col width="38" customWidth="1" style="26" min="9" max="9"/>
    <col width="42" customWidth="1" style="26" min="10" max="10"/>
  </cols>
  <sheetData>
    <row r="1" ht="33.75" customHeight="1" s="26">
      <c r="A1" s="32" t="inlineStr">
        <is>
          <t>Проверка связности: проблема → ценность → товар → монетизация → бизнес-модель</t>
        </is>
      </c>
    </row>
    <row r="2" ht="17.1" customHeight="1" s="26">
      <c r="A2" s="33" t="inlineStr">
        <is>
          <t>Итоговая проверка нужна для выявления разрывов между выбранной проблемой, обещанной ценностью, цифровым товаром и экономикой бизнес-модели</t>
        </is>
      </c>
    </row>
    <row r="3"/>
    <row r="4" ht="35.25" customHeight="1" s="26">
      <c r="A4" s="1" t="inlineStr">
        <is>
          <t>ID проверки</t>
        </is>
      </c>
      <c r="B4" s="1" t="inlineStr">
        <is>
          <t>ID проблемы</t>
        </is>
      </c>
      <c r="C4" s="1" t="inlineStr">
        <is>
          <t>ID ЦП</t>
        </is>
      </c>
      <c r="D4" s="1" t="inlineStr">
        <is>
          <t>ID товара</t>
        </is>
      </c>
      <c r="E4" s="1" t="inlineStr">
        <is>
          <t>ID монетизации</t>
        </is>
      </c>
      <c r="F4" s="1" t="inlineStr">
        <is>
          <t>ID модели</t>
        </is>
      </c>
      <c r="G4" s="1" t="inlineStr">
        <is>
          <t>Индекс связности</t>
        </is>
      </c>
      <c r="H4" s="1" t="inlineStr">
        <is>
          <t>Решение</t>
        </is>
      </c>
      <c r="I4" s="1" t="inlineStr">
        <is>
          <t>Главный разрыв</t>
        </is>
      </c>
      <c r="J4" s="1" t="inlineStr">
        <is>
          <t>Что доработать</t>
        </is>
      </c>
    </row>
    <row r="5" ht="25.5" customHeight="1" s="26">
      <c r="A5" s="2" t="inlineStr">
        <is>
          <t>CHK-001</t>
        </is>
      </c>
      <c r="B5" s="2" t="inlineStr">
        <is>
          <t>P-002</t>
        </is>
      </c>
      <c r="C5" s="2" t="inlineStr">
        <is>
          <t>VP-001</t>
        </is>
      </c>
      <c r="D5" s="2" t="inlineStr">
        <is>
          <t>PR-001</t>
        </is>
      </c>
      <c r="E5" s="2" t="inlineStr">
        <is>
          <t>M-001</t>
        </is>
      </c>
      <c r="F5" s="2" t="inlineStr">
        <is>
          <t>BM-001</t>
        </is>
      </c>
      <c r="G5" s="2">
        <f>IF(A5="","",ROUND((IFERROR(INDEX('Проблемы клиентов'!$K\$5:$K\$104,MATCH(B5,'Проблемы клиентов'!$A\$5:$A\$104,0)),0)*0.3+IFERROR(INDEX('Ценностные предложения'!$K\$5:$K\$104,MATCH(C5,'Ценностные предложения'!$A\$5:$A\$104,0)),0)*0.15+IFERROR(INDEX('Цифровой товар'!$K\$5:$K\$104,MATCH(D5,'Цифровой товар'!$A\$5:$A\$104,0)),0)*0.2+IFERROR(INDEX('Единица монетизации'!$M\$5:$M\$104,MATCH(E5,'Единица монетизации'!$A\$5:$A\$104,0)),0)*0.2+IFERROR(INDEX('Бизнес-модель'!$L\$5:$L\$104,MATCH(F5,'Бизнес-модель'!$A\$5:$A\$104,0)),0)*0.15),0))</f>
        <v/>
      </c>
      <c r="H5" s="2">
        <f>IF(G5="","",IF(G5&gt;=75,"Проходят проверку",IF(G5&gt;=55,"Требуется доработка","Недостаточно данных")))</f>
        <v/>
      </c>
      <c r="I5" s="2" t="inlineStr">
        <is>
          <t>Спрос не проверен на реальных клиентах; продукт до MVP</t>
        </is>
      </c>
      <c r="J5" s="2" t="inlineStr">
        <is>
          <t>Проверить цену Pro и состав Free опросом потребителей</t>
        </is>
      </c>
    </row>
    <row r="6" ht="25.5" customHeight="1" s="26">
      <c r="A6" s="2" t="inlineStr">
        <is>
          <t>CHK-002</t>
        </is>
      </c>
      <c r="B6" s="2" t="inlineStr">
        <is>
          <t>P-002</t>
        </is>
      </c>
      <c r="C6" s="2" t="inlineStr">
        <is>
          <t>VP-001</t>
        </is>
      </c>
      <c r="D6" s="2" t="inlineStr">
        <is>
          <t>PR-001</t>
        </is>
      </c>
      <c r="E6" s="2" t="inlineStr">
        <is>
          <t>M-002</t>
        </is>
      </c>
      <c r="F6" s="2" t="inlineStr">
        <is>
          <t>BM-001</t>
        </is>
      </c>
      <c r="G6" s="2">
        <f>IF(A6="","",ROUND((IFERROR(INDEX('Проблемы клиентов'!$K\$5:$K\$104,MATCH(B6,'Проблемы клиентов'!$A\$5:$A\$104,0)),0)*0.3+IFERROR(INDEX('Ценностные предложения'!$K\$5:$K\$104,MATCH(C6,'Ценностные предложения'!$A\$5:$A\$104,0)),0)*0.15+IFERROR(INDEX('Цифровой товар'!$K\$5:$K\$104,MATCH(D6,'Цифровой товар'!$A\$5:$A\$104,0)),0)*0.2+IFERROR(INDEX('Единица монетизации'!$M\$5:$M\$104,MATCH(E6,'Единица монетизации'!$A\$5:$A\$104,0)),0)*0.2+IFERROR(INDEX('Бизнес-модель'!$L\$5:$L\$104,MATCH(F6,'Бизнес-модель'!$A\$5:$A\$104,0)),0)*0.15),0))</f>
        <v/>
      </c>
      <c r="H6" s="2">
        <f>IF(G6="","",IF(G6&gt;=75,"Проходят проверку",IF(G6&gt;=55,"Требуется доработка","Недостаточно данных")))</f>
        <v/>
      </c>
      <c r="I6" s="2" t="inlineStr">
        <is>
          <t>Free не даёт выручки: нужна доля перехода в Pro</t>
        </is>
      </c>
      <c r="J6" s="2" t="inlineStr">
        <is>
          <t>Определить границу Free и Pro</t>
        </is>
      </c>
    </row>
    <row r="7" ht="21" customHeight="1" s="26">
      <c r="A7" s="2" t="n"/>
      <c r="B7" s="2" t="n"/>
      <c r="C7" s="2" t="n"/>
      <c r="D7" s="2" t="n"/>
      <c r="E7" s="2" t="n"/>
      <c r="F7" s="2" t="n"/>
      <c r="G7" s="2">
        <f>IF(A7="","",ROUND((IFERROR(INDEX('Проблемы клиентов'!$K\$5:$K\$104,MATCH(B7,'Проблемы клиентов'!$A\$5:$A\$104,0)),0)*0.3+IFERROR(INDEX('Ценностные предложения'!$K\$5:$K\$104,MATCH(C7,'Ценностные предложения'!$A\$5:$A\$104,0)),0)*0.15+IFERROR(INDEX('Цифровой товар'!$K\$5:$K\$104,MATCH(D7,'Цифровой товар'!$A\$5:$A\$104,0)),0)*0.2+IFERROR(INDEX('Единица монетизации'!$M\$5:$M\$104,MATCH(E7,'Единица монетизации'!$A\$5:$A\$104,0)),0)*0.2+IFERROR(INDEX('Бизнес-модель'!$L\$5:$L\$104,MATCH(F7,'Бизнес-модель'!$A\$5:$A\$104,0)),0)*0.15),0))</f>
        <v/>
      </c>
      <c r="H7" s="2">
        <f>IF(G7="","",IF(G7&gt;=75,"Проходят проверку",IF(G7&gt;=55,"Требуется доработка","Недостаточно данных")))</f>
        <v/>
      </c>
      <c r="I7" s="2" t="n"/>
      <c r="J7" s="2" t="n"/>
    </row>
    <row r="8" ht="21" customHeight="1" s="26">
      <c r="A8" s="2" t="n"/>
      <c r="B8" s="2" t="n"/>
      <c r="C8" s="2" t="n"/>
      <c r="D8" s="2" t="n"/>
      <c r="E8" s="2" t="n"/>
      <c r="F8" s="2" t="n"/>
      <c r="G8" s="2">
        <f>IF(A8="","",ROUND((IFERROR(INDEX('Проблемы клиентов'!$K\$5:$K\$104,MATCH(B8,'Проблемы клиентов'!$A\$5:$A\$104,0)),0)*0.3+IFERROR(INDEX('Ценностные предложения'!$K\$5:$K\$104,MATCH(C8,'Ценностные предложения'!$A\$5:$A\$104,0)),0)*0.15+IFERROR(INDEX('Цифровой товар'!$K\$5:$K\$104,MATCH(D8,'Цифровой товар'!$A\$5:$A\$104,0)),0)*0.2+IFERROR(INDEX('Единица монетизации'!$M\$5:$M\$104,MATCH(E8,'Единица монетизации'!$A\$5:$A\$104,0)),0)*0.2+IFERROR(INDEX('Бизнес-модель'!$L\$5:$L\$104,MATCH(F8,'Бизнес-модель'!$A\$5:$A\$104,0)),0)*0.15),0))</f>
        <v/>
      </c>
      <c r="H8" s="2">
        <f>IF(G8="","",IF(G8&gt;=75,"Проходят проверку",IF(G8&gt;=55,"Требуется доработка","Недостаточно данных")))</f>
        <v/>
      </c>
      <c r="I8" s="2" t="n"/>
      <c r="J8" s="2" t="n"/>
    </row>
    <row r="9" ht="21" customHeight="1" s="26">
      <c r="A9" s="2" t="n"/>
      <c r="B9" s="2" t="n"/>
      <c r="C9" s="2" t="n"/>
      <c r="D9" s="2" t="n"/>
      <c r="E9" s="2" t="n"/>
      <c r="F9" s="2" t="n"/>
      <c r="G9" s="2">
        <f>IF(A9="","",ROUND((IFERROR(INDEX('Проблемы клиентов'!$K\$5:$K\$104,MATCH(B9,'Проблемы клиентов'!$A\$5:$A\$104,0)),0)*0.3+IFERROR(INDEX('Ценностные предложения'!$K\$5:$K\$104,MATCH(C9,'Ценностные предложения'!$A\$5:$A\$104,0)),0)*0.15+IFERROR(INDEX('Цифровой товар'!$K\$5:$K\$104,MATCH(D9,'Цифровой товар'!$A\$5:$A\$104,0)),0)*0.2+IFERROR(INDEX('Единица монетизации'!$M\$5:$M\$104,MATCH(E9,'Единица монетизации'!$A\$5:$A\$104,0)),0)*0.2+IFERROR(INDEX('Бизнес-модель'!$L\$5:$L\$104,MATCH(F9,'Бизнес-модель'!$A\$5:$A\$104,0)),0)*0.15),0))</f>
        <v/>
      </c>
      <c r="H9" s="2">
        <f>IF(G9="","",IF(G9&gt;=75,"Проходят проверку",IF(G9&gt;=55,"Требуется доработка","Недостаточно данных")))</f>
        <v/>
      </c>
      <c r="I9" s="2" t="n"/>
      <c r="J9" s="2" t="n"/>
    </row>
    <row r="10" ht="21" customHeight="1" s="26">
      <c r="A10" s="2" t="n"/>
      <c r="B10" s="2" t="n"/>
      <c r="C10" s="2" t="n"/>
      <c r="D10" s="2" t="n"/>
      <c r="E10" s="2" t="n"/>
      <c r="F10" s="2" t="n"/>
      <c r="G10" s="2">
        <f>IF(A10="","",ROUND((IFERROR(INDEX('Проблемы клиентов'!$K\$5:$K\$104,MATCH(B10,'Проблемы клиентов'!$A\$5:$A\$104,0)),0)*0.3+IFERROR(INDEX('Ценностные предложения'!$K\$5:$K\$104,MATCH(C10,'Ценностные предложения'!$A\$5:$A\$104,0)),0)*0.15+IFERROR(INDEX('Цифровой товар'!$K\$5:$K\$104,MATCH(D10,'Цифровой товар'!$A\$5:$A\$104,0)),0)*0.2+IFERROR(INDEX('Единица монетизации'!$M\$5:$M\$104,MATCH(E10,'Единица монетизации'!$A\$5:$A\$104,0)),0)*0.2+IFERROR(INDEX('Бизнес-модель'!$L\$5:$L\$104,MATCH(F10,'Бизнес-модель'!$A\$5:$A\$104,0)),0)*0.15),0))</f>
        <v/>
      </c>
      <c r="H10" s="2">
        <f>IF(G10="","",IF(G10&gt;=75,"Проходят проверку",IF(G10&gt;=55,"Требуется доработка","Недостаточно данных")))</f>
        <v/>
      </c>
      <c r="I10" s="2" t="n"/>
      <c r="J10" s="2" t="n"/>
    </row>
    <row r="11" ht="21" customHeight="1" s="26">
      <c r="A11" s="2" t="n"/>
      <c r="B11" s="2" t="n"/>
      <c r="C11" s="2" t="n"/>
      <c r="D11" s="2" t="n"/>
      <c r="E11" s="2" t="n"/>
      <c r="F11" s="2" t="n"/>
      <c r="G11" s="2">
        <f>IF(A11="","",ROUND((IFERROR(INDEX('Проблемы клиентов'!$K\$5:$K\$104,MATCH(B11,'Проблемы клиентов'!$A\$5:$A\$104,0)),0)*0.3+IFERROR(INDEX('Ценностные предложения'!$K\$5:$K\$104,MATCH(C11,'Ценностные предложения'!$A\$5:$A\$104,0)),0)*0.15+IFERROR(INDEX('Цифровой товар'!$K\$5:$K\$104,MATCH(D11,'Цифровой товар'!$A\$5:$A\$104,0)),0)*0.2+IFERROR(INDEX('Единица монетизации'!$M\$5:$M\$104,MATCH(E11,'Единица монетизации'!$A\$5:$A\$104,0)),0)*0.2+IFERROR(INDEX('Бизнес-модель'!$L\$5:$L\$104,MATCH(F11,'Бизнес-модель'!$A\$5:$A\$104,0)),0)*0.15),0))</f>
        <v/>
      </c>
      <c r="H11" s="2">
        <f>IF(G11="","",IF(G11&gt;=75,"Проходят проверку",IF(G11&gt;=55,"Требуется доработка","Недостаточно данных")))</f>
        <v/>
      </c>
      <c r="I11" s="2" t="n"/>
      <c r="J11" s="2" t="n"/>
    </row>
    <row r="12" ht="21" customHeight="1" s="26">
      <c r="A12" s="2" t="n"/>
      <c r="B12" s="2" t="n"/>
      <c r="C12" s="2" t="n"/>
      <c r="D12" s="2" t="n"/>
      <c r="E12" s="2" t="n"/>
      <c r="F12" s="2" t="n"/>
      <c r="G12" s="2">
        <f>IF(A12="","",ROUND((IFERROR(INDEX('Проблемы клиентов'!$K\$5:$K\$104,MATCH(B12,'Проблемы клиентов'!$A\$5:$A\$104,0)),0)*0.3+IFERROR(INDEX('Ценностные предложения'!$K\$5:$K\$104,MATCH(C12,'Ценностные предложения'!$A\$5:$A\$104,0)),0)*0.15+IFERROR(INDEX('Цифровой товар'!$K\$5:$K\$104,MATCH(D12,'Цифровой товар'!$A\$5:$A\$104,0)),0)*0.2+IFERROR(INDEX('Единица монетизации'!$M\$5:$M\$104,MATCH(E12,'Единица монетизации'!$A\$5:$A\$104,0)),0)*0.2+IFERROR(INDEX('Бизнес-модель'!$L\$5:$L\$104,MATCH(F12,'Бизнес-модель'!$A\$5:$A\$104,0)),0)*0.15),0))</f>
        <v/>
      </c>
      <c r="H12" s="2">
        <f>IF(G12="","",IF(G12&gt;=75,"Проходят проверку",IF(G12&gt;=55,"Требуется доработка","Недостаточно данных")))</f>
        <v/>
      </c>
      <c r="I12" s="2" t="n"/>
      <c r="J12" s="2" t="n"/>
    </row>
    <row r="13" ht="21" customHeight="1" s="26">
      <c r="A13" s="2" t="n"/>
      <c r="B13" s="2" t="n"/>
      <c r="C13" s="2" t="n"/>
      <c r="D13" s="2" t="n"/>
      <c r="E13" s="2" t="n"/>
      <c r="F13" s="2" t="n"/>
      <c r="G13" s="2">
        <f>IF(A13="","",ROUND((IFERROR(INDEX('Проблемы клиентов'!$K\$5:$K\$104,MATCH(B13,'Проблемы клиентов'!$A\$5:$A\$104,0)),0)*0.3+IFERROR(INDEX('Ценностные предложения'!$K\$5:$K\$104,MATCH(C13,'Ценностные предложения'!$A\$5:$A\$104,0)),0)*0.15+IFERROR(INDEX('Цифровой товар'!$K\$5:$K\$104,MATCH(D13,'Цифровой товар'!$A\$5:$A\$104,0)),0)*0.2+IFERROR(INDEX('Единица монетизации'!$M\$5:$M\$104,MATCH(E13,'Единица монетизации'!$A\$5:$A\$104,0)),0)*0.2+IFERROR(INDEX('Бизнес-модель'!$L\$5:$L\$104,MATCH(F13,'Бизнес-модель'!$A\$5:$A\$104,0)),0)*0.15),0))</f>
        <v/>
      </c>
      <c r="H13" s="2">
        <f>IF(G13="","",IF(G13&gt;=75,"Проходят проверку",IF(G13&gt;=55,"Требуется доработка","Недостаточно данных")))</f>
        <v/>
      </c>
      <c r="I13" s="2" t="n"/>
      <c r="J13" s="2" t="n"/>
    </row>
    <row r="14" ht="21" customHeight="1" s="26">
      <c r="A14" s="2" t="n"/>
      <c r="B14" s="2" t="n"/>
      <c r="C14" s="2" t="n"/>
      <c r="D14" s="2" t="n"/>
      <c r="E14" s="2" t="n"/>
      <c r="F14" s="2" t="n"/>
      <c r="G14" s="2">
        <f>IF(A14="","",ROUND((IFERROR(INDEX('Проблемы клиентов'!$K\$5:$K\$104,MATCH(B14,'Проблемы клиентов'!$A\$5:$A\$104,0)),0)*0.3+IFERROR(INDEX('Ценностные предложения'!$K\$5:$K\$104,MATCH(C14,'Ценностные предложения'!$A\$5:$A\$104,0)),0)*0.15+IFERROR(INDEX('Цифровой товар'!$K\$5:$K\$104,MATCH(D14,'Цифровой товар'!$A\$5:$A\$104,0)),0)*0.2+IFERROR(INDEX('Единица монетизации'!$M\$5:$M\$104,MATCH(E14,'Единица монетизации'!$A\$5:$A\$104,0)),0)*0.2+IFERROR(INDEX('Бизнес-модель'!$L\$5:$L\$104,MATCH(F14,'Бизнес-модель'!$A\$5:$A\$104,0)),0)*0.15),0))</f>
        <v/>
      </c>
      <c r="H14" s="2">
        <f>IF(G14="","",IF(G14&gt;=75,"Проходят проверку",IF(G14&gt;=55,"Требуется доработка","Недостаточно данных")))</f>
        <v/>
      </c>
      <c r="I14" s="2" t="n"/>
      <c r="J14" s="2" t="n"/>
    </row>
    <row r="15" ht="21" customHeight="1" s="26">
      <c r="A15" s="2" t="n"/>
      <c r="B15" s="2" t="n"/>
      <c r="C15" s="2" t="n"/>
      <c r="D15" s="2" t="n"/>
      <c r="E15" s="2" t="n"/>
      <c r="F15" s="2" t="n"/>
      <c r="G15" s="2">
        <f>IF(A15="","",ROUND((IFERROR(INDEX('Проблемы клиентов'!$K\$5:$K\$104,MATCH(B15,'Проблемы клиентов'!$A\$5:$A\$104,0)),0)*0.3+IFERROR(INDEX('Ценностные предложения'!$K\$5:$K\$104,MATCH(C15,'Ценностные предложения'!$A\$5:$A\$104,0)),0)*0.15+IFERROR(INDEX('Цифровой товар'!$K\$5:$K\$104,MATCH(D15,'Цифровой товар'!$A\$5:$A\$104,0)),0)*0.2+IFERROR(INDEX('Единица монетизации'!$M\$5:$M\$104,MATCH(E15,'Единица монетизации'!$A\$5:$A\$104,0)),0)*0.2+IFERROR(INDEX('Бизнес-модель'!$L\$5:$L\$104,MATCH(F15,'Бизнес-модель'!$A\$5:$A\$104,0)),0)*0.15),0))</f>
        <v/>
      </c>
      <c r="H15" s="2">
        <f>IF(G15="","",IF(G15&gt;=75,"Проходят проверку",IF(G15&gt;=55,"Требуется доработка","Недостаточно данных")))</f>
        <v/>
      </c>
      <c r="I15" s="2" t="n"/>
      <c r="J15" s="2" t="n"/>
    </row>
    <row r="16" ht="21" customHeight="1" s="26">
      <c r="A16" s="2" t="n"/>
      <c r="B16" s="2" t="n"/>
      <c r="C16" s="2" t="n"/>
      <c r="D16" s="2" t="n"/>
      <c r="E16" s="2" t="n"/>
      <c r="F16" s="2" t="n"/>
      <c r="G16" s="2">
        <f>IF(A16="","",ROUND((IFERROR(INDEX('Проблемы клиентов'!$K\$5:$K\$104,MATCH(B16,'Проблемы клиентов'!$A\$5:$A\$104,0)),0)*0.3+IFERROR(INDEX('Ценностные предложения'!$K\$5:$K\$104,MATCH(C16,'Ценностные предложения'!$A\$5:$A\$104,0)),0)*0.15+IFERROR(INDEX('Цифровой товар'!$K\$5:$K\$104,MATCH(D16,'Цифровой товар'!$A\$5:$A\$104,0)),0)*0.2+IFERROR(INDEX('Единица монетизации'!$M\$5:$M\$104,MATCH(E16,'Единица монетизации'!$A\$5:$A\$104,0)),0)*0.2+IFERROR(INDEX('Бизнес-модель'!$L\$5:$L\$104,MATCH(F16,'Бизнес-модель'!$A\$5:$A\$104,0)),0)*0.15),0))</f>
        <v/>
      </c>
      <c r="H16" s="2">
        <f>IF(G16="","",IF(G16&gt;=75,"Проходят проверку",IF(G16&gt;=55,"Требуется доработка","Недостаточно данных")))</f>
        <v/>
      </c>
      <c r="I16" s="2" t="n"/>
      <c r="J16" s="2" t="n"/>
    </row>
    <row r="17" ht="21" customHeight="1" s="26">
      <c r="A17" s="2" t="n"/>
      <c r="B17" s="2" t="n"/>
      <c r="C17" s="2" t="n"/>
      <c r="D17" s="2" t="n"/>
      <c r="E17" s="2" t="n"/>
      <c r="F17" s="2" t="n"/>
      <c r="G17" s="2">
        <f>IF(A17="","",ROUND((IFERROR(INDEX('Проблемы клиентов'!$K\$5:$K\$104,MATCH(B17,'Проблемы клиентов'!$A\$5:$A\$104,0)),0)*0.3+IFERROR(INDEX('Ценностные предложения'!$K\$5:$K\$104,MATCH(C17,'Ценностные предложения'!$A\$5:$A\$104,0)),0)*0.15+IFERROR(INDEX('Цифровой товар'!$K\$5:$K\$104,MATCH(D17,'Цифровой товар'!$A\$5:$A\$104,0)),0)*0.2+IFERROR(INDEX('Единица монетизации'!$M\$5:$M\$104,MATCH(E17,'Единица монетизации'!$A\$5:$A\$104,0)),0)*0.2+IFERROR(INDEX('Бизнес-модель'!$L\$5:$L\$104,MATCH(F17,'Бизнес-модель'!$A\$5:$A\$104,0)),0)*0.15),0))</f>
        <v/>
      </c>
      <c r="H17" s="2">
        <f>IF(G17="","",IF(G17&gt;=75,"Проходят проверку",IF(G17&gt;=55,"Требуется доработка","Недостаточно данных")))</f>
        <v/>
      </c>
      <c r="I17" s="2" t="n"/>
      <c r="J17" s="2" t="n"/>
    </row>
    <row r="18" ht="21" customHeight="1" s="26">
      <c r="A18" s="2" t="n"/>
      <c r="B18" s="2" t="n"/>
      <c r="C18" s="2" t="n"/>
      <c r="D18" s="2" t="n"/>
      <c r="E18" s="2" t="n"/>
      <c r="F18" s="2" t="n"/>
      <c r="G18" s="2">
        <f>IF(A18="","",ROUND((IFERROR(INDEX('Проблемы клиентов'!$K\$5:$K\$104,MATCH(B18,'Проблемы клиентов'!$A\$5:$A\$104,0)),0)*0.3+IFERROR(INDEX('Ценностные предложения'!$K\$5:$K\$104,MATCH(C18,'Ценностные предложения'!$A\$5:$A\$104,0)),0)*0.15+IFERROR(INDEX('Цифровой товар'!$K\$5:$K\$104,MATCH(D18,'Цифровой товар'!$A\$5:$A\$104,0)),0)*0.2+IFERROR(INDEX('Единица монетизации'!$M\$5:$M\$104,MATCH(E18,'Единица монетизации'!$A\$5:$A\$104,0)),0)*0.2+IFERROR(INDEX('Бизнес-модель'!$L\$5:$L\$104,MATCH(F18,'Бизнес-модель'!$A\$5:$A\$104,0)),0)*0.15),0))</f>
        <v/>
      </c>
      <c r="H18" s="2">
        <f>IF(G18="","",IF(G18&gt;=75,"Проходят проверку",IF(G18&gt;=55,"Требуется доработка","Недостаточно данных")))</f>
        <v/>
      </c>
      <c r="I18" s="2" t="n"/>
      <c r="J18" s="2" t="n"/>
    </row>
    <row r="19" ht="21" customHeight="1" s="26">
      <c r="A19" s="2" t="n"/>
      <c r="B19" s="2" t="n"/>
      <c r="C19" s="2" t="n"/>
      <c r="D19" s="2" t="n"/>
      <c r="E19" s="2" t="n"/>
      <c r="F19" s="2" t="n"/>
      <c r="G19" s="2">
        <f>IF(A19="","",ROUND((IFERROR(INDEX('Проблемы клиентов'!$K\$5:$K\$104,MATCH(B19,'Проблемы клиентов'!$A\$5:$A\$104,0)),0)*0.3+IFERROR(INDEX('Ценностные предложения'!$K\$5:$K\$104,MATCH(C19,'Ценностные предложения'!$A\$5:$A\$104,0)),0)*0.15+IFERROR(INDEX('Цифровой товар'!$K\$5:$K\$104,MATCH(D19,'Цифровой товар'!$A\$5:$A\$104,0)),0)*0.2+IFERROR(INDEX('Единица монетизации'!$M\$5:$M\$104,MATCH(E19,'Единица монетизации'!$A\$5:$A\$104,0)),0)*0.2+IFERROR(INDEX('Бизнес-модель'!$L\$5:$L\$104,MATCH(F19,'Бизнес-модель'!$A\$5:$A\$104,0)),0)*0.15),0))</f>
        <v/>
      </c>
      <c r="H19" s="2">
        <f>IF(G19="","",IF(G19&gt;=75,"Проходят проверку",IF(G19&gt;=55,"Требуется доработка","Недостаточно данных")))</f>
        <v/>
      </c>
      <c r="I19" s="2" t="n"/>
      <c r="J19" s="2" t="n"/>
    </row>
    <row r="20" ht="21" customHeight="1" s="26">
      <c r="A20" s="2" t="n"/>
      <c r="B20" s="2" t="n"/>
      <c r="C20" s="2" t="n"/>
      <c r="D20" s="2" t="n"/>
      <c r="E20" s="2" t="n"/>
      <c r="F20" s="2" t="n"/>
      <c r="G20" s="2">
        <f>IF(A20="","",ROUND((IFERROR(INDEX('Проблемы клиентов'!$K\$5:$K\$104,MATCH(B20,'Проблемы клиентов'!$A\$5:$A\$104,0)),0)*0.3+IFERROR(INDEX('Ценностные предложения'!$K\$5:$K\$104,MATCH(C20,'Ценностные предложения'!$A\$5:$A\$104,0)),0)*0.15+IFERROR(INDEX('Цифровой товар'!$K\$5:$K\$104,MATCH(D20,'Цифровой товар'!$A\$5:$A\$104,0)),0)*0.2+IFERROR(INDEX('Единица монетизации'!$M\$5:$M\$104,MATCH(E20,'Единица монетизации'!$A\$5:$A\$104,0)),0)*0.2+IFERROR(INDEX('Бизнес-модель'!$L\$5:$L\$104,MATCH(F20,'Бизнес-модель'!$A\$5:$A\$104,0)),0)*0.15),0))</f>
        <v/>
      </c>
      <c r="H20" s="2">
        <f>IF(G20="","",IF(G20&gt;=75,"Проходят проверку",IF(G20&gt;=55,"Требуется доработка","Недостаточно данных")))</f>
        <v/>
      </c>
      <c r="I20" s="2" t="n"/>
      <c r="J20" s="2" t="n"/>
    </row>
    <row r="21" ht="21" customHeight="1" s="26">
      <c r="A21" s="2" t="n"/>
      <c r="B21" s="2" t="n"/>
      <c r="C21" s="2" t="n"/>
      <c r="D21" s="2" t="n"/>
      <c r="E21" s="2" t="n"/>
      <c r="F21" s="2" t="n"/>
      <c r="G21" s="2">
        <f>IF(A21="","",ROUND((IFERROR(INDEX('Проблемы клиентов'!$K\$5:$K\$104,MATCH(B21,'Проблемы клиентов'!$A\$5:$A\$104,0)),0)*0.3+IFERROR(INDEX('Ценностные предложения'!$K\$5:$K\$104,MATCH(C21,'Ценностные предложения'!$A\$5:$A\$104,0)),0)*0.15+IFERROR(INDEX('Цифровой товар'!$K\$5:$K\$104,MATCH(D21,'Цифровой товар'!$A\$5:$A\$104,0)),0)*0.2+IFERROR(INDEX('Единица монетизации'!$M\$5:$M\$104,MATCH(E21,'Единица монетизации'!$A\$5:$A\$104,0)),0)*0.2+IFERROR(INDEX('Бизнес-модель'!$L\$5:$L\$104,MATCH(F21,'Бизнес-модель'!$A\$5:$A\$104,0)),0)*0.15),0))</f>
        <v/>
      </c>
      <c r="H21" s="2">
        <f>IF(G21="","",IF(G21&gt;=75,"Проходят проверку",IF(G21&gt;=55,"Требуется доработка","Недостаточно данных")))</f>
        <v/>
      </c>
      <c r="I21" s="2" t="n"/>
      <c r="J21" s="2" t="n"/>
    </row>
    <row r="22" ht="21" customHeight="1" s="26">
      <c r="A22" s="2" t="n"/>
      <c r="B22" s="2" t="n"/>
      <c r="C22" s="2" t="n"/>
      <c r="D22" s="2" t="n"/>
      <c r="E22" s="2" t="n"/>
      <c r="F22" s="2" t="n"/>
      <c r="G22" s="2">
        <f>IF(A22="","",ROUND((IFERROR(INDEX('Проблемы клиентов'!$K\$5:$K\$104,MATCH(B22,'Проблемы клиентов'!$A\$5:$A\$104,0)),0)*0.3+IFERROR(INDEX('Ценностные предложения'!$K\$5:$K\$104,MATCH(C22,'Ценностные предложения'!$A\$5:$A\$104,0)),0)*0.15+IFERROR(INDEX('Цифровой товар'!$K\$5:$K\$104,MATCH(D22,'Цифровой товар'!$A\$5:$A\$104,0)),0)*0.2+IFERROR(INDEX('Единица монетизации'!$M\$5:$M\$104,MATCH(E22,'Единица монетизации'!$A\$5:$A\$104,0)),0)*0.2+IFERROR(INDEX('Бизнес-модель'!$L\$5:$L\$104,MATCH(F22,'Бизнес-модель'!$A\$5:$A\$104,0)),0)*0.15),0))</f>
        <v/>
      </c>
      <c r="H22" s="2">
        <f>IF(G22="","",IF(G22&gt;=75,"Проходят проверку",IF(G22&gt;=55,"Требуется доработка","Недостаточно данных")))</f>
        <v/>
      </c>
      <c r="I22" s="2" t="n"/>
      <c r="J22" s="2" t="n"/>
    </row>
    <row r="23" ht="21" customHeight="1" s="26">
      <c r="A23" s="2" t="n"/>
      <c r="B23" s="2" t="n"/>
      <c r="C23" s="2" t="n"/>
      <c r="D23" s="2" t="n"/>
      <c r="E23" s="2" t="n"/>
      <c r="F23" s="2" t="n"/>
      <c r="G23" s="2">
        <f>IF(A23="","",ROUND((IFERROR(INDEX('Проблемы клиентов'!$K\$5:$K\$104,MATCH(B23,'Проблемы клиентов'!$A\$5:$A\$104,0)),0)*0.3+IFERROR(INDEX('Ценностные предложения'!$K\$5:$K\$104,MATCH(C23,'Ценностные предложения'!$A\$5:$A\$104,0)),0)*0.15+IFERROR(INDEX('Цифровой товар'!$K\$5:$K\$104,MATCH(D23,'Цифровой товар'!$A\$5:$A\$104,0)),0)*0.2+IFERROR(INDEX('Единица монетизации'!$M\$5:$M\$104,MATCH(E23,'Единица монетизации'!$A\$5:$A\$104,0)),0)*0.2+IFERROR(INDEX('Бизнес-модель'!$L\$5:$L\$104,MATCH(F23,'Бизнес-модель'!$A\$5:$A\$104,0)),0)*0.15),0))</f>
        <v/>
      </c>
      <c r="H23" s="2">
        <f>IF(G23="","",IF(G23&gt;=75,"Проходят проверку",IF(G23&gt;=55,"Требуется доработка","Недостаточно данных")))</f>
        <v/>
      </c>
      <c r="I23" s="2" t="n"/>
      <c r="J23" s="2" t="n"/>
    </row>
    <row r="24" ht="21" customHeight="1" s="26">
      <c r="A24" s="2" t="n"/>
      <c r="B24" s="2" t="n"/>
      <c r="C24" s="2" t="n"/>
      <c r="D24" s="2" t="n"/>
      <c r="E24" s="2" t="n"/>
      <c r="F24" s="2" t="n"/>
      <c r="G24" s="2">
        <f>IF(A24="","",ROUND((IFERROR(INDEX('Проблемы клиентов'!$K\$5:$K\$104,MATCH(B24,'Проблемы клиентов'!$A\$5:$A\$104,0)),0)*0.3+IFERROR(INDEX('Ценностные предложения'!$K\$5:$K\$104,MATCH(C24,'Ценностные предложения'!$A\$5:$A\$104,0)),0)*0.15+IFERROR(INDEX('Цифровой товар'!$K\$5:$K\$104,MATCH(D24,'Цифровой товар'!$A\$5:$A\$104,0)),0)*0.2+IFERROR(INDEX('Единица монетизации'!$M\$5:$M\$104,MATCH(E24,'Единица монетизации'!$A\$5:$A\$104,0)),0)*0.2+IFERROR(INDEX('Бизнес-модель'!$L\$5:$L\$104,MATCH(F24,'Бизнес-модель'!$A\$5:$A\$104,0)),0)*0.15),0))</f>
        <v/>
      </c>
      <c r="H24" s="2">
        <f>IF(G24="","",IF(G24&gt;=75,"Проходят проверку",IF(G24&gt;=55,"Требуется доработка","Недостаточно данных")))</f>
        <v/>
      </c>
      <c r="I24" s="2" t="n"/>
      <c r="J24" s="2" t="n"/>
    </row>
    <row r="25" ht="21" customHeight="1" s="26">
      <c r="A25" s="2" t="n"/>
      <c r="B25" s="2" t="n"/>
      <c r="C25" s="2" t="n"/>
      <c r="D25" s="2" t="n"/>
      <c r="E25" s="2" t="n"/>
      <c r="F25" s="2" t="n"/>
      <c r="G25" s="2">
        <f>IF(A25="","",ROUND((IFERROR(INDEX('Проблемы клиентов'!$K\$5:$K\$104,MATCH(B25,'Проблемы клиентов'!$A\$5:$A\$104,0)),0)*0.3+IFERROR(INDEX('Ценностные предложения'!$K\$5:$K\$104,MATCH(C25,'Ценностные предложения'!$A\$5:$A\$104,0)),0)*0.15+IFERROR(INDEX('Цифровой товар'!$K\$5:$K\$104,MATCH(D25,'Цифровой товар'!$A\$5:$A\$104,0)),0)*0.2+IFERROR(INDEX('Единица монетизации'!$M\$5:$M\$104,MATCH(E25,'Единица монетизации'!$A\$5:$A\$104,0)),0)*0.2+IFERROR(INDEX('Бизнес-модель'!$L\$5:$L\$104,MATCH(F25,'Бизнес-модель'!$A\$5:$A\$104,0)),0)*0.15),0))</f>
        <v/>
      </c>
      <c r="H25" s="2">
        <f>IF(G25="","",IF(G25&gt;=75,"Проходят проверку",IF(G25&gt;=55,"Требуется доработка","Недостаточно данных")))</f>
        <v/>
      </c>
      <c r="I25" s="2" t="n"/>
      <c r="J25" s="2" t="n"/>
    </row>
    <row r="26" ht="21" customHeight="1" s="26">
      <c r="A26" s="2" t="n"/>
      <c r="B26" s="2" t="n"/>
      <c r="C26" s="2" t="n"/>
      <c r="D26" s="2" t="n"/>
      <c r="E26" s="2" t="n"/>
      <c r="F26" s="2" t="n"/>
      <c r="G26" s="2">
        <f>IF(A26="","",ROUND((IFERROR(INDEX('Проблемы клиентов'!$K\$5:$K\$104,MATCH(B26,'Проблемы клиентов'!$A\$5:$A\$104,0)),0)*0.3+IFERROR(INDEX('Ценностные предложения'!$K\$5:$K\$104,MATCH(C26,'Ценностные предложения'!$A\$5:$A\$104,0)),0)*0.15+IFERROR(INDEX('Цифровой товар'!$K\$5:$K\$104,MATCH(D26,'Цифровой товар'!$A\$5:$A\$104,0)),0)*0.2+IFERROR(INDEX('Единица монетизации'!$M\$5:$M\$104,MATCH(E26,'Единица монетизации'!$A\$5:$A\$104,0)),0)*0.2+IFERROR(INDEX('Бизнес-модель'!$L\$5:$L\$104,MATCH(F26,'Бизнес-модель'!$A\$5:$A\$104,0)),0)*0.15),0))</f>
        <v/>
      </c>
      <c r="H26" s="2">
        <f>IF(G26="","",IF(G26&gt;=75,"Проходят проверку",IF(G26&gt;=55,"Требуется доработка","Недостаточно данных")))</f>
        <v/>
      </c>
      <c r="I26" s="2" t="n"/>
      <c r="J26" s="2" t="n"/>
    </row>
    <row r="27" ht="21" customHeight="1" s="26">
      <c r="A27" s="2" t="n"/>
      <c r="B27" s="2" t="n"/>
      <c r="C27" s="2" t="n"/>
      <c r="D27" s="2" t="n"/>
      <c r="E27" s="2" t="n"/>
      <c r="F27" s="2" t="n"/>
      <c r="G27" s="2">
        <f>IF(A27="","",ROUND((IFERROR(INDEX('Проблемы клиентов'!$K\$5:$K\$104,MATCH(B27,'Проблемы клиентов'!$A\$5:$A\$104,0)),0)*0.3+IFERROR(INDEX('Ценностные предложения'!$K\$5:$K\$104,MATCH(C27,'Ценностные предложения'!$A\$5:$A\$104,0)),0)*0.15+IFERROR(INDEX('Цифровой товар'!$K\$5:$K\$104,MATCH(D27,'Цифровой товар'!$A\$5:$A\$104,0)),0)*0.2+IFERROR(INDEX('Единица монетизации'!$M\$5:$M\$104,MATCH(E27,'Единица монетизации'!$A\$5:$A\$104,0)),0)*0.2+IFERROR(INDEX('Бизнес-модель'!$L\$5:$L\$104,MATCH(F27,'Бизнес-модель'!$A\$5:$A\$104,0)),0)*0.15),0))</f>
        <v/>
      </c>
      <c r="H27" s="2">
        <f>IF(G27="","",IF(G27&gt;=75,"Проходят проверку",IF(G27&gt;=55,"Требуется доработка","Недостаточно данных")))</f>
        <v/>
      </c>
      <c r="I27" s="2" t="n"/>
      <c r="J27" s="2" t="n"/>
    </row>
    <row r="28" ht="21" customHeight="1" s="26">
      <c r="A28" s="2" t="n"/>
      <c r="B28" s="2" t="n"/>
      <c r="C28" s="2" t="n"/>
      <c r="D28" s="2" t="n"/>
      <c r="E28" s="2" t="n"/>
      <c r="F28" s="2" t="n"/>
      <c r="G28" s="2">
        <f>IF(A28="","",ROUND((IFERROR(INDEX('Проблемы клиентов'!$K\$5:$K\$104,MATCH(B28,'Проблемы клиентов'!$A\$5:$A\$104,0)),0)*0.3+IFERROR(INDEX('Ценностные предложения'!$K\$5:$K\$104,MATCH(C28,'Ценностные предложения'!$A\$5:$A\$104,0)),0)*0.15+IFERROR(INDEX('Цифровой товар'!$K\$5:$K\$104,MATCH(D28,'Цифровой товар'!$A\$5:$A\$104,0)),0)*0.2+IFERROR(INDEX('Единица монетизации'!$M\$5:$M\$104,MATCH(E28,'Единица монетизации'!$A\$5:$A\$104,0)),0)*0.2+IFERROR(INDEX('Бизнес-модель'!$L\$5:$L\$104,MATCH(F28,'Бизнес-модель'!$A\$5:$A\$104,0)),0)*0.15),0))</f>
        <v/>
      </c>
      <c r="H28" s="2">
        <f>IF(G28="","",IF(G28&gt;=75,"Проходят проверку",IF(G28&gt;=55,"Требуется доработка","Недостаточно данных")))</f>
        <v/>
      </c>
      <c r="I28" s="2" t="n"/>
      <c r="J28" s="2" t="n"/>
    </row>
    <row r="29" ht="21" customHeight="1" s="26">
      <c r="A29" s="2" t="n"/>
      <c r="B29" s="2" t="n"/>
      <c r="C29" s="2" t="n"/>
      <c r="D29" s="2" t="n"/>
      <c r="E29" s="2" t="n"/>
      <c r="F29" s="2" t="n"/>
      <c r="G29" s="2">
        <f>IF(A29="","",ROUND((IFERROR(INDEX('Проблемы клиентов'!$K\$5:$K\$104,MATCH(B29,'Проблемы клиентов'!$A\$5:$A\$104,0)),0)*0.3+IFERROR(INDEX('Ценностные предложения'!$K\$5:$K\$104,MATCH(C29,'Ценностные предложения'!$A\$5:$A\$104,0)),0)*0.15+IFERROR(INDEX('Цифровой товар'!$K\$5:$K\$104,MATCH(D29,'Цифровой товар'!$A\$5:$A\$104,0)),0)*0.2+IFERROR(INDEX('Единица монетизации'!$M\$5:$M\$104,MATCH(E29,'Единица монетизации'!$A\$5:$A\$104,0)),0)*0.2+IFERROR(INDEX('Бизнес-модель'!$L\$5:$L\$104,MATCH(F29,'Бизнес-модель'!$A\$5:$A\$104,0)),0)*0.15),0))</f>
        <v/>
      </c>
      <c r="H29" s="2">
        <f>IF(G29="","",IF(G29&gt;=75,"Проходят проверку",IF(G29&gt;=55,"Требуется доработка","Недостаточно данных")))</f>
        <v/>
      </c>
      <c r="I29" s="2" t="n"/>
      <c r="J29" s="2" t="n"/>
    </row>
    <row r="30" ht="21" customHeight="1" s="26">
      <c r="A30" s="2" t="n"/>
      <c r="B30" s="2" t="n"/>
      <c r="C30" s="2" t="n"/>
      <c r="D30" s="2" t="n"/>
      <c r="E30" s="2" t="n"/>
      <c r="F30" s="2" t="n"/>
      <c r="G30" s="2">
        <f>IF(A30="","",ROUND((IFERROR(INDEX('Проблемы клиентов'!$K\$5:$K\$104,MATCH(B30,'Проблемы клиентов'!$A\$5:$A\$104,0)),0)*0.3+IFERROR(INDEX('Ценностные предложения'!$K\$5:$K\$104,MATCH(C30,'Ценностные предложения'!$A\$5:$A\$104,0)),0)*0.15+IFERROR(INDEX('Цифровой товар'!$K\$5:$K\$104,MATCH(D30,'Цифровой товар'!$A\$5:$A\$104,0)),0)*0.2+IFERROR(INDEX('Единица монетизации'!$M\$5:$M\$104,MATCH(E30,'Единица монетизации'!$A\$5:$A\$104,0)),0)*0.2+IFERROR(INDEX('Бизнес-модель'!$L\$5:$L\$104,MATCH(F30,'Бизнес-модель'!$A\$5:$A\$104,0)),0)*0.15),0))</f>
        <v/>
      </c>
      <c r="H30" s="2">
        <f>IF(G30="","",IF(G30&gt;=75,"Проходят проверку",IF(G30&gt;=55,"Требуется доработка","Недостаточно данных")))</f>
        <v/>
      </c>
      <c r="I30" s="2" t="n"/>
      <c r="J30" s="2" t="n"/>
    </row>
    <row r="31" ht="21" customHeight="1" s="26">
      <c r="A31" s="2" t="n"/>
      <c r="B31" s="2" t="n"/>
      <c r="C31" s="2" t="n"/>
      <c r="D31" s="2" t="n"/>
      <c r="E31" s="2" t="n"/>
      <c r="F31" s="2" t="n"/>
      <c r="G31" s="2">
        <f>IF(A31="","",ROUND((IFERROR(INDEX('Проблемы клиентов'!$K\$5:$K\$104,MATCH(B31,'Проблемы клиентов'!$A\$5:$A\$104,0)),0)*0.3+IFERROR(INDEX('Ценностные предложения'!$K\$5:$K\$104,MATCH(C31,'Ценностные предложения'!$A\$5:$A\$104,0)),0)*0.15+IFERROR(INDEX('Цифровой товар'!$K\$5:$K\$104,MATCH(D31,'Цифровой товар'!$A\$5:$A\$104,0)),0)*0.2+IFERROR(INDEX('Единица монетизации'!$M\$5:$M\$104,MATCH(E31,'Единица монетизации'!$A\$5:$A\$104,0)),0)*0.2+IFERROR(INDEX('Бизнес-модель'!$L\$5:$L\$104,MATCH(F31,'Бизнес-модель'!$A\$5:$A\$104,0)),0)*0.15),0))</f>
        <v/>
      </c>
      <c r="H31" s="2">
        <f>IF(G31="","",IF(G31&gt;=75,"Проходят проверку",IF(G31&gt;=55,"Требуется доработка","Недостаточно данных")))</f>
        <v/>
      </c>
      <c r="I31" s="2" t="n"/>
      <c r="J31" s="2" t="n"/>
    </row>
    <row r="32" ht="21" customHeight="1" s="26">
      <c r="A32" s="2" t="n"/>
      <c r="B32" s="2" t="n"/>
      <c r="C32" s="2" t="n"/>
      <c r="D32" s="2" t="n"/>
      <c r="E32" s="2" t="n"/>
      <c r="F32" s="2" t="n"/>
      <c r="G32" s="2">
        <f>IF(A32="","",ROUND((IFERROR(INDEX('Проблемы клиентов'!$K\$5:$K\$104,MATCH(B32,'Проблемы клиентов'!$A\$5:$A\$104,0)),0)*0.3+IFERROR(INDEX('Ценностные предложения'!$K\$5:$K\$104,MATCH(C32,'Ценностные предложения'!$A\$5:$A\$104,0)),0)*0.15+IFERROR(INDEX('Цифровой товар'!$K\$5:$K\$104,MATCH(D32,'Цифровой товар'!$A\$5:$A\$104,0)),0)*0.2+IFERROR(INDEX('Единица монетизации'!$M\$5:$M\$104,MATCH(E32,'Единица монетизации'!$A\$5:$A\$104,0)),0)*0.2+IFERROR(INDEX('Бизнес-модель'!$L\$5:$L\$104,MATCH(F32,'Бизнес-модель'!$A\$5:$A\$104,0)),0)*0.15),0))</f>
        <v/>
      </c>
      <c r="H32" s="2">
        <f>IF(G32="","",IF(G32&gt;=75,"Проходят проверку",IF(G32&gt;=55,"Требуется доработка","Недостаточно данных")))</f>
        <v/>
      </c>
      <c r="I32" s="2" t="n"/>
      <c r="J32" s="2" t="n"/>
    </row>
    <row r="33" ht="21" customHeight="1" s="26">
      <c r="A33" s="2" t="n"/>
      <c r="B33" s="2" t="n"/>
      <c r="C33" s="2" t="n"/>
      <c r="D33" s="2" t="n"/>
      <c r="E33" s="2" t="n"/>
      <c r="F33" s="2" t="n"/>
      <c r="G33" s="2">
        <f>IF(A33="","",ROUND((IFERROR(INDEX('Проблемы клиентов'!$K\$5:$K\$104,MATCH(B33,'Проблемы клиентов'!$A\$5:$A\$104,0)),0)*0.3+IFERROR(INDEX('Ценностные предложения'!$K\$5:$K\$104,MATCH(C33,'Ценностные предложения'!$A\$5:$A\$104,0)),0)*0.15+IFERROR(INDEX('Цифровой товар'!$K\$5:$K\$104,MATCH(D33,'Цифровой товар'!$A\$5:$A\$104,0)),0)*0.2+IFERROR(INDEX('Единица монетизации'!$M\$5:$M\$104,MATCH(E33,'Единица монетизации'!$A\$5:$A\$104,0)),0)*0.2+IFERROR(INDEX('Бизнес-модель'!$L\$5:$L\$104,MATCH(F33,'Бизнес-модель'!$A\$5:$A\$104,0)),0)*0.15),0))</f>
        <v/>
      </c>
      <c r="H33" s="2">
        <f>IF(G33="","",IF(G33&gt;=75,"Проходят проверку",IF(G33&gt;=55,"Требуется доработка","Недостаточно данных")))</f>
        <v/>
      </c>
      <c r="I33" s="2" t="n"/>
      <c r="J33" s="2" t="n"/>
    </row>
    <row r="34" ht="21" customHeight="1" s="26">
      <c r="A34" s="2" t="n"/>
      <c r="B34" s="2" t="n"/>
      <c r="C34" s="2" t="n"/>
      <c r="D34" s="2" t="n"/>
      <c r="E34" s="2" t="n"/>
      <c r="F34" s="2" t="n"/>
      <c r="G34" s="2">
        <f>IF(A34="","",ROUND((IFERROR(INDEX('Проблемы клиентов'!$K\$5:$K\$104,MATCH(B34,'Проблемы клиентов'!$A\$5:$A\$104,0)),0)*0.3+IFERROR(INDEX('Ценностные предложения'!$K\$5:$K\$104,MATCH(C34,'Ценностные предложения'!$A\$5:$A\$104,0)),0)*0.15+IFERROR(INDEX('Цифровой товар'!$K\$5:$K\$104,MATCH(D34,'Цифровой товар'!$A\$5:$A\$104,0)),0)*0.2+IFERROR(INDEX('Единица монетизации'!$M\$5:$M\$104,MATCH(E34,'Единица монетизации'!$A\$5:$A\$104,0)),0)*0.2+IFERROR(INDEX('Бизнес-модель'!$L\$5:$L\$104,MATCH(F34,'Бизнес-модель'!$A\$5:$A\$104,0)),0)*0.15),0))</f>
        <v/>
      </c>
      <c r="H34" s="2">
        <f>IF(G34="","",IF(G34&gt;=75,"Проходят проверку",IF(G34&gt;=55,"Требуется доработка","Недостаточно данных")))</f>
        <v/>
      </c>
      <c r="I34" s="2" t="n"/>
      <c r="J34" s="2" t="n"/>
    </row>
    <row r="35" ht="21" customHeight="1" s="26">
      <c r="A35" s="2" t="n"/>
      <c r="B35" s="2" t="n"/>
      <c r="C35" s="2" t="n"/>
      <c r="D35" s="2" t="n"/>
      <c r="E35" s="2" t="n"/>
      <c r="F35" s="2" t="n"/>
      <c r="G35" s="2">
        <f>IF(A35="","",ROUND((IFERROR(INDEX('Проблемы клиентов'!$K\$5:$K\$104,MATCH(B35,'Проблемы клиентов'!$A\$5:$A\$104,0)),0)*0.3+IFERROR(INDEX('Ценностные предложения'!$K\$5:$K\$104,MATCH(C35,'Ценностные предложения'!$A\$5:$A\$104,0)),0)*0.15+IFERROR(INDEX('Цифровой товар'!$K\$5:$K\$104,MATCH(D35,'Цифровой товар'!$A\$5:$A\$104,0)),0)*0.2+IFERROR(INDEX('Единица монетизации'!$M\$5:$M\$104,MATCH(E35,'Единица монетизации'!$A\$5:$A\$104,0)),0)*0.2+IFERROR(INDEX('Бизнес-модель'!$L\$5:$L\$104,MATCH(F35,'Бизнес-модель'!$A\$5:$A\$104,0)),0)*0.15),0))</f>
        <v/>
      </c>
      <c r="H35" s="2">
        <f>IF(G35="","",IF(G35&gt;=75,"Проходят проверку",IF(G35&gt;=55,"Требуется доработка","Недостаточно данных")))</f>
        <v/>
      </c>
      <c r="I35" s="2" t="n"/>
      <c r="J35" s="2" t="n"/>
    </row>
    <row r="36" ht="21" customHeight="1" s="26">
      <c r="A36" s="2" t="n"/>
      <c r="B36" s="2" t="n"/>
      <c r="C36" s="2" t="n"/>
      <c r="D36" s="2" t="n"/>
      <c r="E36" s="2" t="n"/>
      <c r="F36" s="2" t="n"/>
      <c r="G36" s="2">
        <f>IF(A36="","",ROUND((IFERROR(INDEX('Проблемы клиентов'!$K\$5:$K\$104,MATCH(B36,'Проблемы клиентов'!$A\$5:$A\$104,0)),0)*0.3+IFERROR(INDEX('Ценностные предложения'!$K\$5:$K\$104,MATCH(C36,'Ценностные предложения'!$A\$5:$A\$104,0)),0)*0.15+IFERROR(INDEX('Цифровой товар'!$K\$5:$K\$104,MATCH(D36,'Цифровой товар'!$A\$5:$A\$104,0)),0)*0.2+IFERROR(INDEX('Единица монетизации'!$M\$5:$M\$104,MATCH(E36,'Единица монетизации'!$A\$5:$A\$104,0)),0)*0.2+IFERROR(INDEX('Бизнес-модель'!$L\$5:$L\$104,MATCH(F36,'Бизнес-модель'!$A\$5:$A\$104,0)),0)*0.15),0))</f>
        <v/>
      </c>
      <c r="H36" s="2">
        <f>IF(G36="","",IF(G36&gt;=75,"Проходят проверку",IF(G36&gt;=55,"Требуется доработка","Недостаточно данных")))</f>
        <v/>
      </c>
      <c r="I36" s="2" t="n"/>
      <c r="J36" s="2" t="n"/>
    </row>
    <row r="37" ht="21" customHeight="1" s="26">
      <c r="A37" s="2" t="n"/>
      <c r="B37" s="2" t="n"/>
      <c r="C37" s="2" t="n"/>
      <c r="D37" s="2" t="n"/>
      <c r="E37" s="2" t="n"/>
      <c r="F37" s="2" t="n"/>
      <c r="G37" s="2">
        <f>IF(A37="","",ROUND((IFERROR(INDEX('Проблемы клиентов'!$K\$5:$K\$104,MATCH(B37,'Проблемы клиентов'!$A\$5:$A\$104,0)),0)*0.3+IFERROR(INDEX('Ценностные предложения'!$K\$5:$K\$104,MATCH(C37,'Ценностные предложения'!$A\$5:$A\$104,0)),0)*0.15+IFERROR(INDEX('Цифровой товар'!$K\$5:$K\$104,MATCH(D37,'Цифровой товар'!$A\$5:$A\$104,0)),0)*0.2+IFERROR(INDEX('Единица монетизации'!$M\$5:$M\$104,MATCH(E37,'Единица монетизации'!$A\$5:$A\$104,0)),0)*0.2+IFERROR(INDEX('Бизнес-модель'!$L\$5:$L\$104,MATCH(F37,'Бизнес-модель'!$A\$5:$A\$104,0)),0)*0.15),0))</f>
        <v/>
      </c>
      <c r="H37" s="2">
        <f>IF(G37="","",IF(G37&gt;=75,"Проходят проверку",IF(G37&gt;=55,"Требуется доработка","Недостаточно данных")))</f>
        <v/>
      </c>
      <c r="I37" s="2" t="n"/>
      <c r="J37" s="2" t="n"/>
    </row>
    <row r="38" ht="21" customHeight="1" s="26">
      <c r="A38" s="2" t="n"/>
      <c r="B38" s="2" t="n"/>
      <c r="C38" s="2" t="n"/>
      <c r="D38" s="2" t="n"/>
      <c r="E38" s="2" t="n"/>
      <c r="F38" s="2" t="n"/>
      <c r="G38" s="2">
        <f>IF(A38="","",ROUND((IFERROR(INDEX('Проблемы клиентов'!$K\$5:$K\$104,MATCH(B38,'Проблемы клиентов'!$A\$5:$A\$104,0)),0)*0.3+IFERROR(INDEX('Ценностные предложения'!$K\$5:$K\$104,MATCH(C38,'Ценностные предложения'!$A\$5:$A\$104,0)),0)*0.15+IFERROR(INDEX('Цифровой товар'!$K\$5:$K\$104,MATCH(D38,'Цифровой товар'!$A\$5:$A\$104,0)),0)*0.2+IFERROR(INDEX('Единица монетизации'!$M\$5:$M\$104,MATCH(E38,'Единица монетизации'!$A\$5:$A\$104,0)),0)*0.2+IFERROR(INDEX('Бизнес-модель'!$L\$5:$L\$104,MATCH(F38,'Бизнес-модель'!$A\$5:$A\$104,0)),0)*0.15),0))</f>
        <v/>
      </c>
      <c r="H38" s="2">
        <f>IF(G38="","",IF(G38&gt;=75,"Проходят проверку",IF(G38&gt;=55,"Требуется доработка","Недостаточно данных")))</f>
        <v/>
      </c>
      <c r="I38" s="2" t="n"/>
      <c r="J38" s="2" t="n"/>
    </row>
    <row r="39" ht="21" customHeight="1" s="26">
      <c r="A39" s="2" t="n"/>
      <c r="B39" s="2" t="n"/>
      <c r="C39" s="2" t="n"/>
      <c r="D39" s="2" t="n"/>
      <c r="E39" s="2" t="n"/>
      <c r="F39" s="2" t="n"/>
      <c r="G39" s="2">
        <f>IF(A39="","",ROUND((IFERROR(INDEX('Проблемы клиентов'!$K\$5:$K\$104,MATCH(B39,'Проблемы клиентов'!$A\$5:$A\$104,0)),0)*0.3+IFERROR(INDEX('Ценностные предложения'!$K\$5:$K\$104,MATCH(C39,'Ценностные предложения'!$A\$5:$A\$104,0)),0)*0.15+IFERROR(INDEX('Цифровой товар'!$K\$5:$K\$104,MATCH(D39,'Цифровой товар'!$A\$5:$A\$104,0)),0)*0.2+IFERROR(INDEX('Единица монетизации'!$M\$5:$M\$104,MATCH(E39,'Единица монетизации'!$A\$5:$A\$104,0)),0)*0.2+IFERROR(INDEX('Бизнес-модель'!$L\$5:$L\$104,MATCH(F39,'Бизнес-модель'!$A\$5:$A\$104,0)),0)*0.15),0))</f>
        <v/>
      </c>
      <c r="H39" s="2">
        <f>IF(G39="","",IF(G39&gt;=75,"Проходят проверку",IF(G39&gt;=55,"Требуется доработка","Недостаточно данных")))</f>
        <v/>
      </c>
      <c r="I39" s="2" t="n"/>
      <c r="J39" s="2" t="n"/>
    </row>
    <row r="40" ht="21" customHeight="1" s="26">
      <c r="A40" s="2" t="n"/>
      <c r="B40" s="2" t="n"/>
      <c r="C40" s="2" t="n"/>
      <c r="D40" s="2" t="n"/>
      <c r="E40" s="2" t="n"/>
      <c r="F40" s="2" t="n"/>
      <c r="G40" s="2">
        <f>IF(A40="","",ROUND((IFERROR(INDEX('Проблемы клиентов'!$K\$5:$K\$104,MATCH(B40,'Проблемы клиентов'!$A\$5:$A\$104,0)),0)*0.3+IFERROR(INDEX('Ценностные предложения'!$K\$5:$K\$104,MATCH(C40,'Ценностные предложения'!$A\$5:$A\$104,0)),0)*0.15+IFERROR(INDEX('Цифровой товар'!$K\$5:$K\$104,MATCH(D40,'Цифровой товар'!$A\$5:$A\$104,0)),0)*0.2+IFERROR(INDEX('Единица монетизации'!$M\$5:$M\$104,MATCH(E40,'Единица монетизации'!$A\$5:$A\$104,0)),0)*0.2+IFERROR(INDEX('Бизнес-модель'!$L\$5:$L\$104,MATCH(F40,'Бизнес-модель'!$A\$5:$A\$104,0)),0)*0.15),0))</f>
        <v/>
      </c>
      <c r="H40" s="2">
        <f>IF(G40="","",IF(G40&gt;=75,"Проходят проверку",IF(G40&gt;=55,"Требуется доработка","Недостаточно данных")))</f>
        <v/>
      </c>
      <c r="I40" s="2" t="n"/>
      <c r="J40" s="2" t="n"/>
    </row>
    <row r="41" ht="21" customHeight="1" s="26">
      <c r="A41" s="2" t="n"/>
      <c r="B41" s="2" t="n"/>
      <c r="C41" s="2" t="n"/>
      <c r="D41" s="2" t="n"/>
      <c r="E41" s="2" t="n"/>
      <c r="F41" s="2" t="n"/>
      <c r="G41" s="2">
        <f>IF(A41="","",ROUND((IFERROR(INDEX('Проблемы клиентов'!$K\$5:$K\$104,MATCH(B41,'Проблемы клиентов'!$A\$5:$A\$104,0)),0)*0.3+IFERROR(INDEX('Ценностные предложения'!$K\$5:$K\$104,MATCH(C41,'Ценностные предложения'!$A\$5:$A\$104,0)),0)*0.15+IFERROR(INDEX('Цифровой товар'!$K\$5:$K\$104,MATCH(D41,'Цифровой товар'!$A\$5:$A\$104,0)),0)*0.2+IFERROR(INDEX('Единица монетизации'!$M\$5:$M\$104,MATCH(E41,'Единица монетизации'!$A\$5:$A\$104,0)),0)*0.2+IFERROR(INDEX('Бизнес-модель'!$L\$5:$L\$104,MATCH(F41,'Бизнес-модель'!$A\$5:$A\$104,0)),0)*0.15),0))</f>
        <v/>
      </c>
      <c r="H41" s="2">
        <f>IF(G41="","",IF(G41&gt;=75,"Проходят проверку",IF(G41&gt;=55,"Требуется доработка","Недостаточно данных")))</f>
        <v/>
      </c>
      <c r="I41" s="2" t="n"/>
      <c r="J41" s="2" t="n"/>
    </row>
    <row r="42" ht="21" customHeight="1" s="26">
      <c r="A42" s="2" t="n"/>
      <c r="B42" s="2" t="n"/>
      <c r="C42" s="2" t="n"/>
      <c r="D42" s="2" t="n"/>
      <c r="E42" s="2" t="n"/>
      <c r="F42" s="2" t="n"/>
      <c r="G42" s="2">
        <f>IF(A42="","",ROUND((IFERROR(INDEX('Проблемы клиентов'!$K\$5:$K\$104,MATCH(B42,'Проблемы клиентов'!$A\$5:$A\$104,0)),0)*0.3+IFERROR(INDEX('Ценностные предложения'!$K\$5:$K\$104,MATCH(C42,'Ценностные предложения'!$A\$5:$A\$104,0)),0)*0.15+IFERROR(INDEX('Цифровой товар'!$K\$5:$K\$104,MATCH(D42,'Цифровой товар'!$A\$5:$A\$104,0)),0)*0.2+IFERROR(INDEX('Единица монетизации'!$M\$5:$M\$104,MATCH(E42,'Единица монетизации'!$A\$5:$A\$104,0)),0)*0.2+IFERROR(INDEX('Бизнес-модель'!$L\$5:$L\$104,MATCH(F42,'Бизнес-модель'!$A\$5:$A\$104,0)),0)*0.15),0))</f>
        <v/>
      </c>
      <c r="H42" s="2">
        <f>IF(G42="","",IF(G42&gt;=75,"Проходят проверку",IF(G42&gt;=55,"Требуется доработка","Недостаточно данных")))</f>
        <v/>
      </c>
      <c r="I42" s="2" t="n"/>
      <c r="J42" s="2" t="n"/>
    </row>
    <row r="43" ht="21" customHeight="1" s="26">
      <c r="A43" s="2" t="n"/>
      <c r="B43" s="2" t="n"/>
      <c r="C43" s="2" t="n"/>
      <c r="D43" s="2" t="n"/>
      <c r="E43" s="2" t="n"/>
      <c r="F43" s="2" t="n"/>
      <c r="G43" s="2">
        <f>IF(A43="","",ROUND((IFERROR(INDEX('Проблемы клиентов'!$K\$5:$K\$104,MATCH(B43,'Проблемы клиентов'!$A\$5:$A\$104,0)),0)*0.3+IFERROR(INDEX('Ценностные предложения'!$K\$5:$K\$104,MATCH(C43,'Ценностные предложения'!$A\$5:$A\$104,0)),0)*0.15+IFERROR(INDEX('Цифровой товар'!$K\$5:$K\$104,MATCH(D43,'Цифровой товар'!$A\$5:$A\$104,0)),0)*0.2+IFERROR(INDEX('Единица монетизации'!$M\$5:$M\$104,MATCH(E43,'Единица монетизации'!$A\$5:$A\$104,0)),0)*0.2+IFERROR(INDEX('Бизнес-модель'!$L\$5:$L\$104,MATCH(F43,'Бизнес-модель'!$A\$5:$A\$104,0)),0)*0.15),0))</f>
        <v/>
      </c>
      <c r="H43" s="2">
        <f>IF(G43="","",IF(G43&gt;=75,"Проходят проверку",IF(G43&gt;=55,"Требуется доработка","Недостаточно данных")))</f>
        <v/>
      </c>
      <c r="I43" s="2" t="n"/>
      <c r="J43" s="2" t="n"/>
    </row>
    <row r="44" ht="21" customHeight="1" s="26">
      <c r="A44" s="2" t="n"/>
      <c r="B44" s="2" t="n"/>
      <c r="C44" s="2" t="n"/>
      <c r="D44" s="2" t="n"/>
      <c r="E44" s="2" t="n"/>
      <c r="F44" s="2" t="n"/>
      <c r="G44" s="2">
        <f>IF(A44="","",ROUND((IFERROR(INDEX('Проблемы клиентов'!$K\$5:$K\$104,MATCH(B44,'Проблемы клиентов'!$A\$5:$A\$104,0)),0)*0.3+IFERROR(INDEX('Ценностные предложения'!$K\$5:$K\$104,MATCH(C44,'Ценностные предложения'!$A\$5:$A\$104,0)),0)*0.15+IFERROR(INDEX('Цифровой товар'!$K\$5:$K\$104,MATCH(D44,'Цифровой товар'!$A\$5:$A\$104,0)),0)*0.2+IFERROR(INDEX('Единица монетизации'!$M\$5:$M\$104,MATCH(E44,'Единица монетизации'!$A\$5:$A\$104,0)),0)*0.2+IFERROR(INDEX('Бизнес-модель'!$L\$5:$L\$104,MATCH(F44,'Бизнес-модель'!$A\$5:$A\$104,0)),0)*0.15),0))</f>
        <v/>
      </c>
      <c r="H44" s="2">
        <f>IF(G44="","",IF(G44&gt;=75,"Проходят проверку",IF(G44&gt;=55,"Требуется доработка","Недостаточно данных")))</f>
        <v/>
      </c>
      <c r="I44" s="2" t="n"/>
      <c r="J44" s="2" t="n"/>
    </row>
    <row r="45" ht="21" customHeight="1" s="26">
      <c r="A45" s="2" t="n"/>
      <c r="B45" s="2" t="n"/>
      <c r="C45" s="2" t="n"/>
      <c r="D45" s="2" t="n"/>
      <c r="E45" s="2" t="n"/>
      <c r="F45" s="2" t="n"/>
      <c r="G45" s="2">
        <f>IF(A45="","",ROUND((IFERROR(INDEX('Проблемы клиентов'!$K\$5:$K\$104,MATCH(B45,'Проблемы клиентов'!$A\$5:$A\$104,0)),0)*0.3+IFERROR(INDEX('Ценностные предложения'!$K\$5:$K\$104,MATCH(C45,'Ценностные предложения'!$A\$5:$A\$104,0)),0)*0.15+IFERROR(INDEX('Цифровой товар'!$K\$5:$K\$104,MATCH(D45,'Цифровой товар'!$A\$5:$A\$104,0)),0)*0.2+IFERROR(INDEX('Единица монетизации'!$M\$5:$M\$104,MATCH(E45,'Единица монетизации'!$A\$5:$A\$104,0)),0)*0.2+IFERROR(INDEX('Бизнес-модель'!$L\$5:$L\$104,MATCH(F45,'Бизнес-модель'!$A\$5:$A\$104,0)),0)*0.15),0))</f>
        <v/>
      </c>
      <c r="H45" s="2">
        <f>IF(G45="","",IF(G45&gt;=75,"Проходят проверку",IF(G45&gt;=55,"Требуется доработка","Недостаточно данных")))</f>
        <v/>
      </c>
      <c r="I45" s="2" t="n"/>
      <c r="J45" s="2" t="n"/>
    </row>
    <row r="46" ht="21" customHeight="1" s="26">
      <c r="A46" s="2" t="n"/>
      <c r="B46" s="2" t="n"/>
      <c r="C46" s="2" t="n"/>
      <c r="D46" s="2" t="n"/>
      <c r="E46" s="2" t="n"/>
      <c r="F46" s="2" t="n"/>
      <c r="G46" s="2">
        <f>IF(A46="","",ROUND((IFERROR(INDEX('Проблемы клиентов'!$K\$5:$K\$104,MATCH(B46,'Проблемы клиентов'!$A\$5:$A\$104,0)),0)*0.3+IFERROR(INDEX('Ценностные предложения'!$K\$5:$K\$104,MATCH(C46,'Ценностные предложения'!$A\$5:$A\$104,0)),0)*0.15+IFERROR(INDEX('Цифровой товар'!$K\$5:$K\$104,MATCH(D46,'Цифровой товар'!$A\$5:$A\$104,0)),0)*0.2+IFERROR(INDEX('Единица монетизации'!$M\$5:$M\$104,MATCH(E46,'Единица монетизации'!$A\$5:$A\$104,0)),0)*0.2+IFERROR(INDEX('Бизнес-модель'!$L\$5:$L\$104,MATCH(F46,'Бизнес-модель'!$A\$5:$A\$104,0)),0)*0.15),0))</f>
        <v/>
      </c>
      <c r="H46" s="2">
        <f>IF(G46="","",IF(G46&gt;=75,"Проходят проверку",IF(G46&gt;=55,"Требуется доработка","Недостаточно данных")))</f>
        <v/>
      </c>
      <c r="I46" s="2" t="n"/>
      <c r="J46" s="2" t="n"/>
    </row>
    <row r="47" ht="21" customHeight="1" s="26">
      <c r="A47" s="2" t="n"/>
      <c r="B47" s="2" t="n"/>
      <c r="C47" s="2" t="n"/>
      <c r="D47" s="2" t="n"/>
      <c r="E47" s="2" t="n"/>
      <c r="F47" s="2" t="n"/>
      <c r="G47" s="2">
        <f>IF(A47="","",ROUND((IFERROR(INDEX('Проблемы клиентов'!$K\$5:$K\$104,MATCH(B47,'Проблемы клиентов'!$A\$5:$A\$104,0)),0)*0.3+IFERROR(INDEX('Ценностные предложения'!$K\$5:$K\$104,MATCH(C47,'Ценностные предложения'!$A\$5:$A\$104,0)),0)*0.15+IFERROR(INDEX('Цифровой товар'!$K\$5:$K\$104,MATCH(D47,'Цифровой товар'!$A\$5:$A\$104,0)),0)*0.2+IFERROR(INDEX('Единица монетизации'!$M\$5:$M\$104,MATCH(E47,'Единица монетизации'!$A\$5:$A\$104,0)),0)*0.2+IFERROR(INDEX('Бизнес-модель'!$L\$5:$L\$104,MATCH(F47,'Бизнес-модель'!$A\$5:$A\$104,0)),0)*0.15),0))</f>
        <v/>
      </c>
      <c r="H47" s="2">
        <f>IF(G47="","",IF(G47&gt;=75,"Проходят проверку",IF(G47&gt;=55,"Требуется доработка","Недостаточно данных")))</f>
        <v/>
      </c>
      <c r="I47" s="2" t="n"/>
      <c r="J47" s="2" t="n"/>
    </row>
    <row r="48" ht="21" customHeight="1" s="26">
      <c r="A48" s="2" t="n"/>
      <c r="B48" s="2" t="n"/>
      <c r="C48" s="2" t="n"/>
      <c r="D48" s="2" t="n"/>
      <c r="E48" s="2" t="n"/>
      <c r="F48" s="2" t="n"/>
      <c r="G48" s="2">
        <f>IF(A48="","",ROUND((IFERROR(INDEX('Проблемы клиентов'!$K\$5:$K\$104,MATCH(B48,'Проблемы клиентов'!$A\$5:$A\$104,0)),0)*0.3+IFERROR(INDEX('Ценностные предложения'!$K\$5:$K\$104,MATCH(C48,'Ценностные предложения'!$A\$5:$A\$104,0)),0)*0.15+IFERROR(INDEX('Цифровой товар'!$K\$5:$K\$104,MATCH(D48,'Цифровой товар'!$A\$5:$A\$104,0)),0)*0.2+IFERROR(INDEX('Единица монетизации'!$M\$5:$M\$104,MATCH(E48,'Единица монетизации'!$A\$5:$A\$104,0)),0)*0.2+IFERROR(INDEX('Бизнес-модель'!$L\$5:$L\$104,MATCH(F48,'Бизнес-модель'!$A\$5:$A\$104,0)),0)*0.15),0))</f>
        <v/>
      </c>
      <c r="H48" s="2">
        <f>IF(G48="","",IF(G48&gt;=75,"Проходят проверку",IF(G48&gt;=55,"Требуется доработка","Недостаточно данных")))</f>
        <v/>
      </c>
      <c r="I48" s="2" t="n"/>
      <c r="J48" s="2" t="n"/>
    </row>
    <row r="49" ht="21" customHeight="1" s="26">
      <c r="A49" s="2" t="n"/>
      <c r="B49" s="2" t="n"/>
      <c r="C49" s="2" t="n"/>
      <c r="D49" s="2" t="n"/>
      <c r="E49" s="2" t="n"/>
      <c r="F49" s="2" t="n"/>
      <c r="G49" s="2">
        <f>IF(A49="","",ROUND((IFERROR(INDEX('Проблемы клиентов'!$K\$5:$K\$104,MATCH(B49,'Проблемы клиентов'!$A\$5:$A\$104,0)),0)*0.3+IFERROR(INDEX('Ценностные предложения'!$K\$5:$K\$104,MATCH(C49,'Ценностные предложения'!$A\$5:$A\$104,0)),0)*0.15+IFERROR(INDEX('Цифровой товар'!$K\$5:$K\$104,MATCH(D49,'Цифровой товар'!$A\$5:$A\$104,0)),0)*0.2+IFERROR(INDEX('Единица монетизации'!$M\$5:$M\$104,MATCH(E49,'Единица монетизации'!$A\$5:$A\$104,0)),0)*0.2+IFERROR(INDEX('Бизнес-модель'!$L\$5:$L\$104,MATCH(F49,'Бизнес-модель'!$A\$5:$A\$104,0)),0)*0.15),0))</f>
        <v/>
      </c>
      <c r="H49" s="2">
        <f>IF(G49="","",IF(G49&gt;=75,"Проходят проверку",IF(G49&gt;=55,"Требуется доработка","Недостаточно данных")))</f>
        <v/>
      </c>
      <c r="I49" s="2" t="n"/>
      <c r="J49" s="2" t="n"/>
    </row>
    <row r="50" ht="21" customHeight="1" s="26">
      <c r="A50" s="2" t="n"/>
      <c r="B50" s="2" t="n"/>
      <c r="C50" s="2" t="n"/>
      <c r="D50" s="2" t="n"/>
      <c r="E50" s="2" t="n"/>
      <c r="F50" s="2" t="n"/>
      <c r="G50" s="2">
        <f>IF(A50="","",ROUND((IFERROR(INDEX('Проблемы клиентов'!$K\$5:$K\$104,MATCH(B50,'Проблемы клиентов'!$A\$5:$A\$104,0)),0)*0.3+IFERROR(INDEX('Ценностные предложения'!$K\$5:$K\$104,MATCH(C50,'Ценностные предложения'!$A\$5:$A\$104,0)),0)*0.15+IFERROR(INDEX('Цифровой товар'!$K\$5:$K\$104,MATCH(D50,'Цифровой товар'!$A\$5:$A\$104,0)),0)*0.2+IFERROR(INDEX('Единица монетизации'!$M\$5:$M\$104,MATCH(E50,'Единица монетизации'!$A\$5:$A\$104,0)),0)*0.2+IFERROR(INDEX('Бизнес-модель'!$L\$5:$L\$104,MATCH(F50,'Бизнес-модель'!$A\$5:$A\$104,0)),0)*0.15),0))</f>
        <v/>
      </c>
      <c r="H50" s="2">
        <f>IF(G50="","",IF(G50&gt;=75,"Проходят проверку",IF(G50&gt;=55,"Требуется доработка","Недостаточно данных")))</f>
        <v/>
      </c>
      <c r="I50" s="2" t="n"/>
      <c r="J50" s="2" t="n"/>
    </row>
    <row r="51" ht="21" customHeight="1" s="26">
      <c r="A51" s="2" t="n"/>
      <c r="B51" s="2" t="n"/>
      <c r="C51" s="2" t="n"/>
      <c r="D51" s="2" t="n"/>
      <c r="E51" s="2" t="n"/>
      <c r="F51" s="2" t="n"/>
      <c r="G51" s="2">
        <f>IF(A51="","",ROUND((IFERROR(INDEX('Проблемы клиентов'!$K\$5:$K\$104,MATCH(B51,'Проблемы клиентов'!$A\$5:$A\$104,0)),0)*0.3+IFERROR(INDEX('Ценностные предложения'!$K\$5:$K\$104,MATCH(C51,'Ценностные предложения'!$A\$5:$A\$104,0)),0)*0.15+IFERROR(INDEX('Цифровой товар'!$K\$5:$K\$104,MATCH(D51,'Цифровой товар'!$A\$5:$A\$104,0)),0)*0.2+IFERROR(INDEX('Единица монетизации'!$M\$5:$M\$104,MATCH(E51,'Единица монетизации'!$A\$5:$A\$104,0)),0)*0.2+IFERROR(INDEX('Бизнес-модель'!$L\$5:$L\$104,MATCH(F51,'Бизнес-модель'!$A\$5:$A\$104,0)),0)*0.15),0))</f>
        <v/>
      </c>
      <c r="H51" s="2">
        <f>IF(G51="","",IF(G51&gt;=75,"Проходят проверку",IF(G51&gt;=55,"Требуется доработка","Недостаточно данных")))</f>
        <v/>
      </c>
      <c r="I51" s="2" t="n"/>
      <c r="J51" s="2" t="n"/>
    </row>
    <row r="52" ht="21" customHeight="1" s="26">
      <c r="A52" s="2" t="n"/>
      <c r="B52" s="2" t="n"/>
      <c r="C52" s="2" t="n"/>
      <c r="D52" s="2" t="n"/>
      <c r="E52" s="2" t="n"/>
      <c r="F52" s="2" t="n"/>
      <c r="G52" s="2">
        <f>IF(A52="","",ROUND((IFERROR(INDEX('Проблемы клиентов'!$K\$5:$K\$104,MATCH(B52,'Проблемы клиентов'!$A\$5:$A\$104,0)),0)*0.3+IFERROR(INDEX('Ценностные предложения'!$K\$5:$K\$104,MATCH(C52,'Ценностные предложения'!$A\$5:$A\$104,0)),0)*0.15+IFERROR(INDEX('Цифровой товар'!$K\$5:$K\$104,MATCH(D52,'Цифровой товар'!$A\$5:$A\$104,0)),0)*0.2+IFERROR(INDEX('Единица монетизации'!$M\$5:$M\$104,MATCH(E52,'Единица монетизации'!$A\$5:$A\$104,0)),0)*0.2+IFERROR(INDEX('Бизнес-модель'!$L\$5:$L\$104,MATCH(F52,'Бизнес-модель'!$A\$5:$A\$104,0)),0)*0.15),0))</f>
        <v/>
      </c>
      <c r="H52" s="2">
        <f>IF(G52="","",IF(G52&gt;=75,"Проходят проверку",IF(G52&gt;=55,"Требуется доработка","Недостаточно данных")))</f>
        <v/>
      </c>
      <c r="I52" s="2" t="n"/>
      <c r="J52" s="2" t="n"/>
    </row>
    <row r="53" ht="21" customHeight="1" s="26">
      <c r="A53" s="2" t="n"/>
      <c r="B53" s="2" t="n"/>
      <c r="C53" s="2" t="n"/>
      <c r="D53" s="2" t="n"/>
      <c r="E53" s="2" t="n"/>
      <c r="F53" s="2" t="n"/>
      <c r="G53" s="2">
        <f>IF(A53="","",ROUND((IFERROR(INDEX('Проблемы клиентов'!$K\$5:$K\$104,MATCH(B53,'Проблемы клиентов'!$A\$5:$A\$104,0)),0)*0.3+IFERROR(INDEX('Ценностные предложения'!$K\$5:$K\$104,MATCH(C53,'Ценностные предложения'!$A\$5:$A\$104,0)),0)*0.15+IFERROR(INDEX('Цифровой товар'!$K\$5:$K\$104,MATCH(D53,'Цифровой товар'!$A\$5:$A\$104,0)),0)*0.2+IFERROR(INDEX('Единица монетизации'!$M\$5:$M\$104,MATCH(E53,'Единица монетизации'!$A\$5:$A\$104,0)),0)*0.2+IFERROR(INDEX('Бизнес-модель'!$L\$5:$L\$104,MATCH(F53,'Бизнес-модель'!$A\$5:$A\$104,0)),0)*0.15),0))</f>
        <v/>
      </c>
      <c r="H53" s="2">
        <f>IF(G53="","",IF(G53&gt;=75,"Проходят проверку",IF(G53&gt;=55,"Требуется доработка","Недостаточно данных")))</f>
        <v/>
      </c>
      <c r="I53" s="2" t="n"/>
      <c r="J53" s="2" t="n"/>
    </row>
    <row r="54" ht="21" customHeight="1" s="26">
      <c r="A54" s="2" t="n"/>
      <c r="B54" s="2" t="n"/>
      <c r="C54" s="2" t="n"/>
      <c r="D54" s="2" t="n"/>
      <c r="E54" s="2" t="n"/>
      <c r="F54" s="2" t="n"/>
      <c r="G54" s="2">
        <f>IF(A54="","",ROUND((IFERROR(INDEX('Проблемы клиентов'!$K\$5:$K\$104,MATCH(B54,'Проблемы клиентов'!$A\$5:$A\$104,0)),0)*0.3+IFERROR(INDEX('Ценностные предложения'!$K\$5:$K\$104,MATCH(C54,'Ценностные предложения'!$A\$5:$A\$104,0)),0)*0.15+IFERROR(INDEX('Цифровой товар'!$K\$5:$K\$104,MATCH(D54,'Цифровой товар'!$A\$5:$A\$104,0)),0)*0.2+IFERROR(INDEX('Единица монетизации'!$M\$5:$M\$104,MATCH(E54,'Единица монетизации'!$A\$5:$A\$104,0)),0)*0.2+IFERROR(INDEX('Бизнес-модель'!$L\$5:$L\$104,MATCH(F54,'Бизнес-модель'!$A\$5:$A\$104,0)),0)*0.15),0))</f>
        <v/>
      </c>
      <c r="H54" s="2">
        <f>IF(G54="","",IF(G54&gt;=75,"Проходят проверку",IF(G54&gt;=55,"Требуется доработка","Недостаточно данных")))</f>
        <v/>
      </c>
      <c r="I54" s="2" t="n"/>
      <c r="J54" s="2" t="n"/>
    </row>
    <row r="55" ht="21" customHeight="1" s="26">
      <c r="A55" s="2" t="n"/>
      <c r="B55" s="2" t="n"/>
      <c r="C55" s="2" t="n"/>
      <c r="D55" s="2" t="n"/>
      <c r="E55" s="2" t="n"/>
      <c r="F55" s="2" t="n"/>
      <c r="G55" s="2">
        <f>IF(A55="","",ROUND((IFERROR(INDEX('Проблемы клиентов'!$K\$5:$K\$104,MATCH(B55,'Проблемы клиентов'!$A\$5:$A\$104,0)),0)*0.3+IFERROR(INDEX('Ценностные предложения'!$K\$5:$K\$104,MATCH(C55,'Ценностные предложения'!$A\$5:$A\$104,0)),0)*0.15+IFERROR(INDEX('Цифровой товар'!$K\$5:$K\$104,MATCH(D55,'Цифровой товар'!$A\$5:$A\$104,0)),0)*0.2+IFERROR(INDEX('Единица монетизации'!$M\$5:$M\$104,MATCH(E55,'Единица монетизации'!$A\$5:$A\$104,0)),0)*0.2+IFERROR(INDEX('Бизнес-модель'!$L\$5:$L\$104,MATCH(F55,'Бизнес-модель'!$A\$5:$A\$104,0)),0)*0.15),0))</f>
        <v/>
      </c>
      <c r="H55" s="2">
        <f>IF(G55="","",IF(G55&gt;=75,"Проходят проверку",IF(G55&gt;=55,"Требуется доработка","Недостаточно данных")))</f>
        <v/>
      </c>
      <c r="I55" s="2" t="n"/>
      <c r="J55" s="2" t="n"/>
    </row>
    <row r="56" ht="21" customHeight="1" s="26">
      <c r="A56" s="2" t="n"/>
      <c r="B56" s="2" t="n"/>
      <c r="C56" s="2" t="n"/>
      <c r="D56" s="2" t="n"/>
      <c r="E56" s="2" t="n"/>
      <c r="F56" s="2" t="n"/>
      <c r="G56" s="2">
        <f>IF(A56="","",ROUND((IFERROR(INDEX('Проблемы клиентов'!$K\$5:$K\$104,MATCH(B56,'Проблемы клиентов'!$A\$5:$A\$104,0)),0)*0.3+IFERROR(INDEX('Ценностные предложения'!$K\$5:$K\$104,MATCH(C56,'Ценностные предложения'!$A\$5:$A\$104,0)),0)*0.15+IFERROR(INDEX('Цифровой товар'!$K\$5:$K\$104,MATCH(D56,'Цифровой товар'!$A\$5:$A\$104,0)),0)*0.2+IFERROR(INDEX('Единица монетизации'!$M\$5:$M\$104,MATCH(E56,'Единица монетизации'!$A\$5:$A\$104,0)),0)*0.2+IFERROR(INDEX('Бизнес-модель'!$L\$5:$L\$104,MATCH(F56,'Бизнес-модель'!$A\$5:$A\$104,0)),0)*0.15),0))</f>
        <v/>
      </c>
      <c r="H56" s="2">
        <f>IF(G56="","",IF(G56&gt;=75,"Проходят проверку",IF(G56&gt;=55,"Требуется доработка","Недостаточно данных")))</f>
        <v/>
      </c>
      <c r="I56" s="2" t="n"/>
      <c r="J56" s="2" t="n"/>
    </row>
    <row r="57" ht="21" customHeight="1" s="26">
      <c r="A57" s="2" t="n"/>
      <c r="B57" s="2" t="n"/>
      <c r="C57" s="2" t="n"/>
      <c r="D57" s="2" t="n"/>
      <c r="E57" s="2" t="n"/>
      <c r="F57" s="2" t="n"/>
      <c r="G57" s="2">
        <f>IF(A57="","",ROUND((IFERROR(INDEX('Проблемы клиентов'!$K\$5:$K\$104,MATCH(B57,'Проблемы клиентов'!$A\$5:$A\$104,0)),0)*0.3+IFERROR(INDEX('Ценностные предложения'!$K\$5:$K\$104,MATCH(C57,'Ценностные предложения'!$A\$5:$A\$104,0)),0)*0.15+IFERROR(INDEX('Цифровой товар'!$K\$5:$K\$104,MATCH(D57,'Цифровой товар'!$A\$5:$A\$104,0)),0)*0.2+IFERROR(INDEX('Единица монетизации'!$M\$5:$M\$104,MATCH(E57,'Единица монетизации'!$A\$5:$A\$104,0)),0)*0.2+IFERROR(INDEX('Бизнес-модель'!$L\$5:$L\$104,MATCH(F57,'Бизнес-модель'!$A\$5:$A\$104,0)),0)*0.15),0))</f>
        <v/>
      </c>
      <c r="H57" s="2">
        <f>IF(G57="","",IF(G57&gt;=75,"Проходят проверку",IF(G57&gt;=55,"Требуется доработка","Недостаточно данных")))</f>
        <v/>
      </c>
      <c r="I57" s="2" t="n"/>
      <c r="J57" s="2" t="n"/>
    </row>
    <row r="58" ht="21" customHeight="1" s="26">
      <c r="A58" s="2" t="n"/>
      <c r="B58" s="2" t="n"/>
      <c r="C58" s="2" t="n"/>
      <c r="D58" s="2" t="n"/>
      <c r="E58" s="2" t="n"/>
      <c r="F58" s="2" t="n"/>
      <c r="G58" s="2">
        <f>IF(A58="","",ROUND((IFERROR(INDEX('Проблемы клиентов'!$K\$5:$K\$104,MATCH(B58,'Проблемы клиентов'!$A\$5:$A\$104,0)),0)*0.3+IFERROR(INDEX('Ценностные предложения'!$K\$5:$K\$104,MATCH(C58,'Ценностные предложения'!$A\$5:$A\$104,0)),0)*0.15+IFERROR(INDEX('Цифровой товар'!$K\$5:$K\$104,MATCH(D58,'Цифровой товар'!$A\$5:$A\$104,0)),0)*0.2+IFERROR(INDEX('Единица монетизации'!$M\$5:$M\$104,MATCH(E58,'Единица монетизации'!$A\$5:$A\$104,0)),0)*0.2+IFERROR(INDEX('Бизнес-модель'!$L\$5:$L\$104,MATCH(F58,'Бизнес-модель'!$A\$5:$A\$104,0)),0)*0.15),0))</f>
        <v/>
      </c>
      <c r="H58" s="2">
        <f>IF(G58="","",IF(G58&gt;=75,"Проходят проверку",IF(G58&gt;=55,"Требуется доработка","Недостаточно данных")))</f>
        <v/>
      </c>
      <c r="I58" s="2" t="n"/>
      <c r="J58" s="2" t="n"/>
    </row>
    <row r="59" ht="21" customHeight="1" s="26">
      <c r="A59" s="2" t="n"/>
      <c r="B59" s="2" t="n"/>
      <c r="C59" s="2" t="n"/>
      <c r="D59" s="2" t="n"/>
      <c r="E59" s="2" t="n"/>
      <c r="F59" s="2" t="n"/>
      <c r="G59" s="2">
        <f>IF(A59="","",ROUND((IFERROR(INDEX('Проблемы клиентов'!$K\$5:$K\$104,MATCH(B59,'Проблемы клиентов'!$A\$5:$A\$104,0)),0)*0.3+IFERROR(INDEX('Ценностные предложения'!$K\$5:$K\$104,MATCH(C59,'Ценностные предложения'!$A\$5:$A\$104,0)),0)*0.15+IFERROR(INDEX('Цифровой товар'!$K\$5:$K\$104,MATCH(D59,'Цифровой товар'!$A\$5:$A\$104,0)),0)*0.2+IFERROR(INDEX('Единица монетизации'!$M\$5:$M\$104,MATCH(E59,'Единица монетизации'!$A\$5:$A\$104,0)),0)*0.2+IFERROR(INDEX('Бизнес-модель'!$L\$5:$L\$104,MATCH(F59,'Бизнес-модель'!$A\$5:$A\$104,0)),0)*0.15),0))</f>
        <v/>
      </c>
      <c r="H59" s="2">
        <f>IF(G59="","",IF(G59&gt;=75,"Проходят проверку",IF(G59&gt;=55,"Требуется доработка","Недостаточно данных")))</f>
        <v/>
      </c>
      <c r="I59" s="2" t="n"/>
      <c r="J59" s="2" t="n"/>
    </row>
    <row r="60" ht="21" customHeight="1" s="26">
      <c r="A60" s="2" t="n"/>
      <c r="B60" s="2" t="n"/>
      <c r="C60" s="2" t="n"/>
      <c r="D60" s="2" t="n"/>
      <c r="E60" s="2" t="n"/>
      <c r="F60" s="2" t="n"/>
      <c r="G60" s="2">
        <f>IF(A60="","",ROUND((IFERROR(INDEX('Проблемы клиентов'!$K\$5:$K\$104,MATCH(B60,'Проблемы клиентов'!$A\$5:$A\$104,0)),0)*0.3+IFERROR(INDEX('Ценностные предложения'!$K\$5:$K\$104,MATCH(C60,'Ценностные предложения'!$A\$5:$A\$104,0)),0)*0.15+IFERROR(INDEX('Цифровой товар'!$K\$5:$K\$104,MATCH(D60,'Цифровой товар'!$A\$5:$A\$104,0)),0)*0.2+IFERROR(INDEX('Единица монетизации'!$M\$5:$M\$104,MATCH(E60,'Единица монетизации'!$A\$5:$A\$104,0)),0)*0.2+IFERROR(INDEX('Бизнес-модель'!$L\$5:$L\$104,MATCH(F60,'Бизнес-модель'!$A\$5:$A\$104,0)),0)*0.15),0))</f>
        <v/>
      </c>
      <c r="H60" s="2">
        <f>IF(G60="","",IF(G60&gt;=75,"Проходят проверку",IF(G60&gt;=55,"Требуется доработка","Недостаточно данных")))</f>
        <v/>
      </c>
      <c r="I60" s="2" t="n"/>
      <c r="J60" s="2" t="n"/>
    </row>
    <row r="61" ht="21" customHeight="1" s="26">
      <c r="A61" s="2" t="n"/>
      <c r="B61" s="2" t="n"/>
      <c r="C61" s="2" t="n"/>
      <c r="D61" s="2" t="n"/>
      <c r="E61" s="2" t="n"/>
      <c r="F61" s="2" t="n"/>
      <c r="G61" s="2">
        <f>IF(A61="","",ROUND((IFERROR(INDEX('Проблемы клиентов'!$K\$5:$K\$104,MATCH(B61,'Проблемы клиентов'!$A\$5:$A\$104,0)),0)*0.3+IFERROR(INDEX('Ценностные предложения'!$K\$5:$K\$104,MATCH(C61,'Ценностные предложения'!$A\$5:$A\$104,0)),0)*0.15+IFERROR(INDEX('Цифровой товар'!$K\$5:$K\$104,MATCH(D61,'Цифровой товар'!$A\$5:$A\$104,0)),0)*0.2+IFERROR(INDEX('Единица монетизации'!$M\$5:$M\$104,MATCH(E61,'Единица монетизации'!$A\$5:$A\$104,0)),0)*0.2+IFERROR(INDEX('Бизнес-модель'!$L\$5:$L\$104,MATCH(F61,'Бизнес-модель'!$A\$5:$A\$104,0)),0)*0.15),0))</f>
        <v/>
      </c>
      <c r="H61" s="2">
        <f>IF(G61="","",IF(G61&gt;=75,"Проходят проверку",IF(G61&gt;=55,"Требуется доработка","Недостаточно данных")))</f>
        <v/>
      </c>
      <c r="I61" s="2" t="n"/>
      <c r="J61" s="2" t="n"/>
    </row>
    <row r="62" ht="21" customHeight="1" s="26">
      <c r="A62" s="2" t="n"/>
      <c r="B62" s="2" t="n"/>
      <c r="C62" s="2" t="n"/>
      <c r="D62" s="2" t="n"/>
      <c r="E62" s="2" t="n"/>
      <c r="F62" s="2" t="n"/>
      <c r="G62" s="2">
        <f>IF(A62="","",ROUND((IFERROR(INDEX('Проблемы клиентов'!$K\$5:$K\$104,MATCH(B62,'Проблемы клиентов'!$A\$5:$A\$104,0)),0)*0.3+IFERROR(INDEX('Ценностные предложения'!$K\$5:$K\$104,MATCH(C62,'Ценностные предложения'!$A\$5:$A\$104,0)),0)*0.15+IFERROR(INDEX('Цифровой товар'!$K\$5:$K\$104,MATCH(D62,'Цифровой товар'!$A\$5:$A\$104,0)),0)*0.2+IFERROR(INDEX('Единица монетизации'!$M\$5:$M\$104,MATCH(E62,'Единица монетизации'!$A\$5:$A\$104,0)),0)*0.2+IFERROR(INDEX('Бизнес-модель'!$L\$5:$L\$104,MATCH(F62,'Бизнес-модель'!$A\$5:$A\$104,0)),0)*0.15),0))</f>
        <v/>
      </c>
      <c r="H62" s="2">
        <f>IF(G62="","",IF(G62&gt;=75,"Проходят проверку",IF(G62&gt;=55,"Требуется доработка","Недостаточно данных")))</f>
        <v/>
      </c>
      <c r="I62" s="2" t="n"/>
      <c r="J62" s="2" t="n"/>
    </row>
    <row r="63" ht="21" customHeight="1" s="26">
      <c r="A63" s="2" t="n"/>
      <c r="B63" s="2" t="n"/>
      <c r="C63" s="2" t="n"/>
      <c r="D63" s="2" t="n"/>
      <c r="E63" s="2" t="n"/>
      <c r="F63" s="2" t="n"/>
      <c r="G63" s="2">
        <f>IF(A63="","",ROUND((IFERROR(INDEX('Проблемы клиентов'!$K\$5:$K\$104,MATCH(B63,'Проблемы клиентов'!$A\$5:$A\$104,0)),0)*0.3+IFERROR(INDEX('Ценностные предложения'!$K\$5:$K\$104,MATCH(C63,'Ценностные предложения'!$A\$5:$A\$104,0)),0)*0.15+IFERROR(INDEX('Цифровой товар'!$K\$5:$K\$104,MATCH(D63,'Цифровой товар'!$A\$5:$A\$104,0)),0)*0.2+IFERROR(INDEX('Единица монетизации'!$M\$5:$M\$104,MATCH(E63,'Единица монетизации'!$A\$5:$A\$104,0)),0)*0.2+IFERROR(INDEX('Бизнес-модель'!$L\$5:$L\$104,MATCH(F63,'Бизнес-модель'!$A\$5:$A\$104,0)),0)*0.15),0))</f>
        <v/>
      </c>
      <c r="H63" s="2">
        <f>IF(G63="","",IF(G63&gt;=75,"Проходят проверку",IF(G63&gt;=55,"Требуется доработка","Недостаточно данных")))</f>
        <v/>
      </c>
      <c r="I63" s="2" t="n"/>
      <c r="J63" s="2" t="n"/>
    </row>
    <row r="64" ht="21" customHeight="1" s="26">
      <c r="A64" s="2" t="n"/>
      <c r="B64" s="2" t="n"/>
      <c r="C64" s="2" t="n"/>
      <c r="D64" s="2" t="n"/>
      <c r="E64" s="2" t="n"/>
      <c r="F64" s="2" t="n"/>
      <c r="G64" s="2">
        <f>IF(A64="","",ROUND((IFERROR(INDEX('Проблемы клиентов'!$K\$5:$K\$104,MATCH(B64,'Проблемы клиентов'!$A\$5:$A\$104,0)),0)*0.3+IFERROR(INDEX('Ценностные предложения'!$K\$5:$K\$104,MATCH(C64,'Ценностные предложения'!$A\$5:$A\$104,0)),0)*0.15+IFERROR(INDEX('Цифровой товар'!$K\$5:$K\$104,MATCH(D64,'Цифровой товар'!$A\$5:$A\$104,0)),0)*0.2+IFERROR(INDEX('Единица монетизации'!$M\$5:$M\$104,MATCH(E64,'Единица монетизации'!$A\$5:$A\$104,0)),0)*0.2+IFERROR(INDEX('Бизнес-модель'!$L\$5:$L\$104,MATCH(F64,'Бизнес-модель'!$A\$5:$A\$104,0)),0)*0.15),0))</f>
        <v/>
      </c>
      <c r="H64" s="2">
        <f>IF(G64="","",IF(G64&gt;=75,"Проходят проверку",IF(G64&gt;=55,"Требуется доработка","Недостаточно данных")))</f>
        <v/>
      </c>
      <c r="I64" s="2" t="n"/>
      <c r="J64" s="2" t="n"/>
    </row>
    <row r="65" ht="21" customHeight="1" s="26">
      <c r="A65" s="2" t="n"/>
      <c r="B65" s="2" t="n"/>
      <c r="C65" s="2" t="n"/>
      <c r="D65" s="2" t="n"/>
      <c r="E65" s="2" t="n"/>
      <c r="F65" s="2" t="n"/>
      <c r="G65" s="2">
        <f>IF(A65="","",ROUND((IFERROR(INDEX('Проблемы клиентов'!$K\$5:$K\$104,MATCH(B65,'Проблемы клиентов'!$A\$5:$A\$104,0)),0)*0.3+IFERROR(INDEX('Ценностные предложения'!$K\$5:$K\$104,MATCH(C65,'Ценностные предложения'!$A\$5:$A\$104,0)),0)*0.15+IFERROR(INDEX('Цифровой товар'!$K\$5:$K\$104,MATCH(D65,'Цифровой товар'!$A\$5:$A\$104,0)),0)*0.2+IFERROR(INDEX('Единица монетизации'!$M\$5:$M\$104,MATCH(E65,'Единица монетизации'!$A\$5:$A\$104,0)),0)*0.2+IFERROR(INDEX('Бизнес-модель'!$L\$5:$L\$104,MATCH(F65,'Бизнес-модель'!$A\$5:$A\$104,0)),0)*0.15),0))</f>
        <v/>
      </c>
      <c r="H65" s="2">
        <f>IF(G65="","",IF(G65&gt;=75,"Проходят проверку",IF(G65&gt;=55,"Требуется доработка","Недостаточно данных")))</f>
        <v/>
      </c>
      <c r="I65" s="2" t="n"/>
      <c r="J65" s="2" t="n"/>
    </row>
    <row r="66" ht="21" customHeight="1" s="26">
      <c r="A66" s="2" t="n"/>
      <c r="B66" s="2" t="n"/>
      <c r="C66" s="2" t="n"/>
      <c r="D66" s="2" t="n"/>
      <c r="E66" s="2" t="n"/>
      <c r="F66" s="2" t="n"/>
      <c r="G66" s="2">
        <f>IF(A66="","",ROUND((IFERROR(INDEX('Проблемы клиентов'!$K\$5:$K\$104,MATCH(B66,'Проблемы клиентов'!$A\$5:$A\$104,0)),0)*0.3+IFERROR(INDEX('Ценностные предложения'!$K\$5:$K\$104,MATCH(C66,'Ценностные предложения'!$A\$5:$A\$104,0)),0)*0.15+IFERROR(INDEX('Цифровой товар'!$K\$5:$K\$104,MATCH(D66,'Цифровой товар'!$A\$5:$A\$104,0)),0)*0.2+IFERROR(INDEX('Единица монетизации'!$M\$5:$M\$104,MATCH(E66,'Единица монетизации'!$A\$5:$A\$104,0)),0)*0.2+IFERROR(INDEX('Бизнес-модель'!$L\$5:$L\$104,MATCH(F66,'Бизнес-модель'!$A\$5:$A\$104,0)),0)*0.15),0))</f>
        <v/>
      </c>
      <c r="H66" s="2">
        <f>IF(G66="","",IF(G66&gt;=75,"Проходят проверку",IF(G66&gt;=55,"Требуется доработка","Недостаточно данных")))</f>
        <v/>
      </c>
      <c r="I66" s="2" t="n"/>
      <c r="J66" s="2" t="n"/>
    </row>
    <row r="67" ht="21" customHeight="1" s="26">
      <c r="A67" s="2" t="n"/>
      <c r="B67" s="2" t="n"/>
      <c r="C67" s="2" t="n"/>
      <c r="D67" s="2" t="n"/>
      <c r="E67" s="2" t="n"/>
      <c r="F67" s="2" t="n"/>
      <c r="G67" s="2">
        <f>IF(A67="","",ROUND((IFERROR(INDEX('Проблемы клиентов'!$K\$5:$K\$104,MATCH(B67,'Проблемы клиентов'!$A\$5:$A\$104,0)),0)*0.3+IFERROR(INDEX('Ценностные предложения'!$K\$5:$K\$104,MATCH(C67,'Ценностные предложения'!$A\$5:$A\$104,0)),0)*0.15+IFERROR(INDEX('Цифровой товар'!$K\$5:$K\$104,MATCH(D67,'Цифровой товар'!$A\$5:$A\$104,0)),0)*0.2+IFERROR(INDEX('Единица монетизации'!$M\$5:$M\$104,MATCH(E67,'Единица монетизации'!$A\$5:$A\$104,0)),0)*0.2+IFERROR(INDEX('Бизнес-модель'!$L\$5:$L\$104,MATCH(F67,'Бизнес-модель'!$A\$5:$A\$104,0)),0)*0.15),0))</f>
        <v/>
      </c>
      <c r="H67" s="2">
        <f>IF(G67="","",IF(G67&gt;=75,"Проходят проверку",IF(G67&gt;=55,"Требуется доработка","Недостаточно данных")))</f>
        <v/>
      </c>
      <c r="I67" s="2" t="n"/>
      <c r="J67" s="2" t="n"/>
    </row>
    <row r="68" ht="21" customHeight="1" s="26">
      <c r="A68" s="2" t="n"/>
      <c r="B68" s="2" t="n"/>
      <c r="C68" s="2" t="n"/>
      <c r="D68" s="2" t="n"/>
      <c r="E68" s="2" t="n"/>
      <c r="F68" s="2" t="n"/>
      <c r="G68" s="2">
        <f>IF(A68="","",ROUND((IFERROR(INDEX('Проблемы клиентов'!$K\$5:$K\$104,MATCH(B68,'Проблемы клиентов'!$A\$5:$A\$104,0)),0)*0.3+IFERROR(INDEX('Ценностные предложения'!$K\$5:$K\$104,MATCH(C68,'Ценностные предложения'!$A\$5:$A\$104,0)),0)*0.15+IFERROR(INDEX('Цифровой товар'!$K\$5:$K\$104,MATCH(D68,'Цифровой товар'!$A\$5:$A\$104,0)),0)*0.2+IFERROR(INDEX('Единица монетизации'!$M\$5:$M\$104,MATCH(E68,'Единица монетизации'!$A\$5:$A\$104,0)),0)*0.2+IFERROR(INDEX('Бизнес-модель'!$L\$5:$L\$104,MATCH(F68,'Бизнес-модель'!$A\$5:$A\$104,0)),0)*0.15),0))</f>
        <v/>
      </c>
      <c r="H68" s="2">
        <f>IF(G68="","",IF(G68&gt;=75,"Проходят проверку",IF(G68&gt;=55,"Требуется доработка","Недостаточно данных")))</f>
        <v/>
      </c>
      <c r="I68" s="2" t="n"/>
      <c r="J68" s="2" t="n"/>
    </row>
    <row r="69" ht="21" customHeight="1" s="26">
      <c r="A69" s="2" t="n"/>
      <c r="B69" s="2" t="n"/>
      <c r="C69" s="2" t="n"/>
      <c r="D69" s="2" t="n"/>
      <c r="E69" s="2" t="n"/>
      <c r="F69" s="2" t="n"/>
      <c r="G69" s="2">
        <f>IF(A69="","",ROUND((IFERROR(INDEX('Проблемы клиентов'!$K\$5:$K\$104,MATCH(B69,'Проблемы клиентов'!$A\$5:$A\$104,0)),0)*0.3+IFERROR(INDEX('Ценностные предложения'!$K\$5:$K\$104,MATCH(C69,'Ценностные предложения'!$A\$5:$A\$104,0)),0)*0.15+IFERROR(INDEX('Цифровой товар'!$K\$5:$K\$104,MATCH(D69,'Цифровой товар'!$A\$5:$A\$104,0)),0)*0.2+IFERROR(INDEX('Единица монетизации'!$M\$5:$M\$104,MATCH(E69,'Единица монетизации'!$A\$5:$A\$104,0)),0)*0.2+IFERROR(INDEX('Бизнес-модель'!$L\$5:$L\$104,MATCH(F69,'Бизнес-модель'!$A\$5:$A\$104,0)),0)*0.15),0))</f>
        <v/>
      </c>
      <c r="H69" s="2">
        <f>IF(G69="","",IF(G69&gt;=75,"Проходят проверку",IF(G69&gt;=55,"Требуется доработка","Недостаточно данных")))</f>
        <v/>
      </c>
      <c r="I69" s="2" t="n"/>
      <c r="J69" s="2" t="n"/>
    </row>
    <row r="70" ht="21" customHeight="1" s="26">
      <c r="A70" s="2" t="n"/>
      <c r="B70" s="2" t="n"/>
      <c r="C70" s="2" t="n"/>
      <c r="D70" s="2" t="n"/>
      <c r="E70" s="2" t="n"/>
      <c r="F70" s="2" t="n"/>
      <c r="G70" s="2">
        <f>IF(A70="","",ROUND((IFERROR(INDEX('Проблемы клиентов'!$K\$5:$K\$104,MATCH(B70,'Проблемы клиентов'!$A\$5:$A\$104,0)),0)*0.3+IFERROR(INDEX('Ценностные предложения'!$K\$5:$K\$104,MATCH(C70,'Ценностные предложения'!$A\$5:$A\$104,0)),0)*0.15+IFERROR(INDEX('Цифровой товар'!$K\$5:$K\$104,MATCH(D70,'Цифровой товар'!$A\$5:$A\$104,0)),0)*0.2+IFERROR(INDEX('Единица монетизации'!$M\$5:$M\$104,MATCH(E70,'Единица монетизации'!$A\$5:$A\$104,0)),0)*0.2+IFERROR(INDEX('Бизнес-модель'!$L\$5:$L\$104,MATCH(F70,'Бизнес-модель'!$A\$5:$A\$104,0)),0)*0.15),0))</f>
        <v/>
      </c>
      <c r="H70" s="2">
        <f>IF(G70="","",IF(G70&gt;=75,"Проходят проверку",IF(G70&gt;=55,"Требуется доработка","Недостаточно данных")))</f>
        <v/>
      </c>
      <c r="I70" s="2" t="n"/>
      <c r="J70" s="2" t="n"/>
    </row>
    <row r="71" ht="21" customHeight="1" s="26">
      <c r="A71" s="2" t="n"/>
      <c r="B71" s="2" t="n"/>
      <c r="C71" s="2" t="n"/>
      <c r="D71" s="2" t="n"/>
      <c r="E71" s="2" t="n"/>
      <c r="F71" s="2" t="n"/>
      <c r="G71" s="2">
        <f>IF(A71="","",ROUND((IFERROR(INDEX('Проблемы клиентов'!$K\$5:$K\$104,MATCH(B71,'Проблемы клиентов'!$A\$5:$A\$104,0)),0)*0.3+IFERROR(INDEX('Ценностные предложения'!$K\$5:$K\$104,MATCH(C71,'Ценностные предложения'!$A\$5:$A\$104,0)),0)*0.15+IFERROR(INDEX('Цифровой товар'!$K\$5:$K\$104,MATCH(D71,'Цифровой товар'!$A\$5:$A\$104,0)),0)*0.2+IFERROR(INDEX('Единица монетизации'!$M\$5:$M\$104,MATCH(E71,'Единица монетизации'!$A\$5:$A\$104,0)),0)*0.2+IFERROR(INDEX('Бизнес-модель'!$L\$5:$L\$104,MATCH(F71,'Бизнес-модель'!$A\$5:$A\$104,0)),0)*0.15),0))</f>
        <v/>
      </c>
      <c r="H71" s="2">
        <f>IF(G71="","",IF(G71&gt;=75,"Проходят проверку",IF(G71&gt;=55,"Требуется доработка","Недостаточно данных")))</f>
        <v/>
      </c>
      <c r="I71" s="2" t="n"/>
      <c r="J71" s="2" t="n"/>
    </row>
    <row r="72" ht="21" customHeight="1" s="26">
      <c r="A72" s="2" t="n"/>
      <c r="B72" s="2" t="n"/>
      <c r="C72" s="2" t="n"/>
      <c r="D72" s="2" t="n"/>
      <c r="E72" s="2" t="n"/>
      <c r="F72" s="2" t="n"/>
      <c r="G72" s="2">
        <f>IF(A72="","",ROUND((IFERROR(INDEX('Проблемы клиентов'!$K\$5:$K\$104,MATCH(B72,'Проблемы клиентов'!$A\$5:$A\$104,0)),0)*0.3+IFERROR(INDEX('Ценностные предложения'!$K\$5:$K\$104,MATCH(C72,'Ценностные предложения'!$A\$5:$A\$104,0)),0)*0.15+IFERROR(INDEX('Цифровой товар'!$K\$5:$K\$104,MATCH(D72,'Цифровой товар'!$A\$5:$A\$104,0)),0)*0.2+IFERROR(INDEX('Единица монетизации'!$M\$5:$M\$104,MATCH(E72,'Единица монетизации'!$A\$5:$A\$104,0)),0)*0.2+IFERROR(INDEX('Бизнес-модель'!$L\$5:$L\$104,MATCH(F72,'Бизнес-модель'!$A\$5:$A\$104,0)),0)*0.15),0))</f>
        <v/>
      </c>
      <c r="H72" s="2">
        <f>IF(G72="","",IF(G72&gt;=75,"Проходят проверку",IF(G72&gt;=55,"Требуется доработка","Недостаточно данных")))</f>
        <v/>
      </c>
      <c r="I72" s="2" t="n"/>
      <c r="J72" s="2" t="n"/>
    </row>
    <row r="73" ht="21" customHeight="1" s="26">
      <c r="A73" s="2" t="n"/>
      <c r="B73" s="2" t="n"/>
      <c r="C73" s="2" t="n"/>
      <c r="D73" s="2" t="n"/>
      <c r="E73" s="2" t="n"/>
      <c r="F73" s="2" t="n"/>
      <c r="G73" s="2">
        <f>IF(A73="","",ROUND((IFERROR(INDEX('Проблемы клиентов'!$K\$5:$K\$104,MATCH(B73,'Проблемы клиентов'!$A\$5:$A\$104,0)),0)*0.3+IFERROR(INDEX('Ценностные предложения'!$K\$5:$K\$104,MATCH(C73,'Ценностные предложения'!$A\$5:$A\$104,0)),0)*0.15+IFERROR(INDEX('Цифровой товар'!$K\$5:$K\$104,MATCH(D73,'Цифровой товар'!$A\$5:$A\$104,0)),0)*0.2+IFERROR(INDEX('Единица монетизации'!$M\$5:$M\$104,MATCH(E73,'Единица монетизации'!$A\$5:$A\$104,0)),0)*0.2+IFERROR(INDEX('Бизнес-модель'!$L\$5:$L\$104,MATCH(F73,'Бизнес-модель'!$A\$5:$A\$104,0)),0)*0.15),0))</f>
        <v/>
      </c>
      <c r="H73" s="2">
        <f>IF(G73="","",IF(G73&gt;=75,"Проходят проверку",IF(G73&gt;=55,"Требуется доработка","Недостаточно данных")))</f>
        <v/>
      </c>
      <c r="I73" s="2" t="n"/>
      <c r="J73" s="2" t="n"/>
    </row>
    <row r="74" ht="21" customHeight="1" s="26">
      <c r="A74" s="2" t="n"/>
      <c r="B74" s="2" t="n"/>
      <c r="C74" s="2" t="n"/>
      <c r="D74" s="2" t="n"/>
      <c r="E74" s="2" t="n"/>
      <c r="F74" s="2" t="n"/>
      <c r="G74" s="2">
        <f>IF(A74="","",ROUND((IFERROR(INDEX('Проблемы клиентов'!$K\$5:$K\$104,MATCH(B74,'Проблемы клиентов'!$A\$5:$A\$104,0)),0)*0.3+IFERROR(INDEX('Ценностные предложения'!$K\$5:$K\$104,MATCH(C74,'Ценностные предложения'!$A\$5:$A\$104,0)),0)*0.15+IFERROR(INDEX('Цифровой товар'!$K\$5:$K\$104,MATCH(D74,'Цифровой товар'!$A\$5:$A\$104,0)),0)*0.2+IFERROR(INDEX('Единица монетизации'!$M\$5:$M\$104,MATCH(E74,'Единица монетизации'!$A\$5:$A\$104,0)),0)*0.2+IFERROR(INDEX('Бизнес-модель'!$L\$5:$L\$104,MATCH(F74,'Бизнес-модель'!$A\$5:$A\$104,0)),0)*0.15),0))</f>
        <v/>
      </c>
      <c r="H74" s="2">
        <f>IF(G74="","",IF(G74&gt;=75,"Проходят проверку",IF(G74&gt;=55,"Требуется доработка","Недостаточно данных")))</f>
        <v/>
      </c>
      <c r="I74" s="2" t="n"/>
      <c r="J74" s="2" t="n"/>
    </row>
    <row r="75" ht="21" customHeight="1" s="26">
      <c r="A75" s="2" t="n"/>
      <c r="B75" s="2" t="n"/>
      <c r="C75" s="2" t="n"/>
      <c r="D75" s="2" t="n"/>
      <c r="E75" s="2" t="n"/>
      <c r="F75" s="2" t="n"/>
      <c r="G75" s="2">
        <f>IF(A75="","",ROUND((IFERROR(INDEX('Проблемы клиентов'!$K\$5:$K\$104,MATCH(B75,'Проблемы клиентов'!$A\$5:$A\$104,0)),0)*0.3+IFERROR(INDEX('Ценностные предложения'!$K\$5:$K\$104,MATCH(C75,'Ценностные предложения'!$A\$5:$A\$104,0)),0)*0.15+IFERROR(INDEX('Цифровой товар'!$K\$5:$K\$104,MATCH(D75,'Цифровой товар'!$A\$5:$A\$104,0)),0)*0.2+IFERROR(INDEX('Единица монетизации'!$M\$5:$M\$104,MATCH(E75,'Единица монетизации'!$A\$5:$A\$104,0)),0)*0.2+IFERROR(INDEX('Бизнес-модель'!$L\$5:$L\$104,MATCH(F75,'Бизнес-модель'!$A\$5:$A\$104,0)),0)*0.15),0))</f>
        <v/>
      </c>
      <c r="H75" s="2">
        <f>IF(G75="","",IF(G75&gt;=75,"Проходят проверку",IF(G75&gt;=55,"Требуется доработка","Недостаточно данных")))</f>
        <v/>
      </c>
      <c r="I75" s="2" t="n"/>
      <c r="J75" s="2" t="n"/>
    </row>
    <row r="76" ht="21" customHeight="1" s="26">
      <c r="A76" s="2" t="n"/>
      <c r="B76" s="2" t="n"/>
      <c r="C76" s="2" t="n"/>
      <c r="D76" s="2" t="n"/>
      <c r="E76" s="2" t="n"/>
      <c r="F76" s="2" t="n"/>
      <c r="G76" s="2">
        <f>IF(A76="","",ROUND((IFERROR(INDEX('Проблемы клиентов'!$K\$5:$K\$104,MATCH(B76,'Проблемы клиентов'!$A\$5:$A\$104,0)),0)*0.3+IFERROR(INDEX('Ценностные предложения'!$K\$5:$K\$104,MATCH(C76,'Ценностные предложения'!$A\$5:$A\$104,0)),0)*0.15+IFERROR(INDEX('Цифровой товар'!$K\$5:$K\$104,MATCH(D76,'Цифровой товар'!$A\$5:$A\$104,0)),0)*0.2+IFERROR(INDEX('Единица монетизации'!$M\$5:$M\$104,MATCH(E76,'Единица монетизации'!$A\$5:$A\$104,0)),0)*0.2+IFERROR(INDEX('Бизнес-модель'!$L\$5:$L\$104,MATCH(F76,'Бизнес-модель'!$A\$5:$A\$104,0)),0)*0.15),0))</f>
        <v/>
      </c>
      <c r="H76" s="2">
        <f>IF(G76="","",IF(G76&gt;=75,"Проходят проверку",IF(G76&gt;=55,"Требуется доработка","Недостаточно данных")))</f>
        <v/>
      </c>
      <c r="I76" s="2" t="n"/>
      <c r="J76" s="2" t="n"/>
    </row>
    <row r="77" ht="21" customHeight="1" s="26">
      <c r="A77" s="2" t="n"/>
      <c r="B77" s="2" t="n"/>
      <c r="C77" s="2" t="n"/>
      <c r="D77" s="2" t="n"/>
      <c r="E77" s="2" t="n"/>
      <c r="F77" s="2" t="n"/>
      <c r="G77" s="2">
        <f>IF(A77="","",ROUND((IFERROR(INDEX('Проблемы клиентов'!$K\$5:$K\$104,MATCH(B77,'Проблемы клиентов'!$A\$5:$A\$104,0)),0)*0.3+IFERROR(INDEX('Ценностные предложения'!$K\$5:$K\$104,MATCH(C77,'Ценностные предложения'!$A\$5:$A\$104,0)),0)*0.15+IFERROR(INDEX('Цифровой товар'!$K\$5:$K\$104,MATCH(D77,'Цифровой товар'!$A\$5:$A\$104,0)),0)*0.2+IFERROR(INDEX('Единица монетизации'!$M\$5:$M\$104,MATCH(E77,'Единица монетизации'!$A\$5:$A\$104,0)),0)*0.2+IFERROR(INDEX('Бизнес-модель'!$L\$5:$L\$104,MATCH(F77,'Бизнес-модель'!$A\$5:$A\$104,0)),0)*0.15),0))</f>
        <v/>
      </c>
      <c r="H77" s="2">
        <f>IF(G77="","",IF(G77&gt;=75,"Проходят проверку",IF(G77&gt;=55,"Требуется доработка","Недостаточно данных")))</f>
        <v/>
      </c>
      <c r="I77" s="2" t="n"/>
      <c r="J77" s="2" t="n"/>
    </row>
    <row r="78" ht="21" customHeight="1" s="26">
      <c r="A78" s="2" t="n"/>
      <c r="B78" s="2" t="n"/>
      <c r="C78" s="2" t="n"/>
      <c r="D78" s="2" t="n"/>
      <c r="E78" s="2" t="n"/>
      <c r="F78" s="2" t="n"/>
      <c r="G78" s="2">
        <f>IF(A78="","",ROUND((IFERROR(INDEX('Проблемы клиентов'!$K\$5:$K\$104,MATCH(B78,'Проблемы клиентов'!$A\$5:$A\$104,0)),0)*0.3+IFERROR(INDEX('Ценностные предложения'!$K\$5:$K\$104,MATCH(C78,'Ценностные предложения'!$A\$5:$A\$104,0)),0)*0.15+IFERROR(INDEX('Цифровой товар'!$K\$5:$K\$104,MATCH(D78,'Цифровой товар'!$A\$5:$A\$104,0)),0)*0.2+IFERROR(INDEX('Единица монетизации'!$M\$5:$M\$104,MATCH(E78,'Единица монетизации'!$A\$5:$A\$104,0)),0)*0.2+IFERROR(INDEX('Бизнес-модель'!$L\$5:$L\$104,MATCH(F78,'Бизнес-модель'!$A\$5:$A\$104,0)),0)*0.15),0))</f>
        <v/>
      </c>
      <c r="H78" s="2">
        <f>IF(G78="","",IF(G78&gt;=75,"Проходят проверку",IF(G78&gt;=55,"Требуется доработка","Недостаточно данных")))</f>
        <v/>
      </c>
      <c r="I78" s="2" t="n"/>
      <c r="J78" s="2" t="n"/>
    </row>
    <row r="79" ht="21" customHeight="1" s="26">
      <c r="A79" s="2" t="n"/>
      <c r="B79" s="2" t="n"/>
      <c r="C79" s="2" t="n"/>
      <c r="D79" s="2" t="n"/>
      <c r="E79" s="2" t="n"/>
      <c r="F79" s="2" t="n"/>
      <c r="G79" s="2">
        <f>IF(A79="","",ROUND((IFERROR(INDEX('Проблемы клиентов'!$K\$5:$K\$104,MATCH(B79,'Проблемы клиентов'!$A\$5:$A\$104,0)),0)*0.3+IFERROR(INDEX('Ценностные предложения'!$K\$5:$K\$104,MATCH(C79,'Ценностные предложения'!$A\$5:$A\$104,0)),0)*0.15+IFERROR(INDEX('Цифровой товар'!$K\$5:$K\$104,MATCH(D79,'Цифровой товар'!$A\$5:$A\$104,0)),0)*0.2+IFERROR(INDEX('Единица монетизации'!$M\$5:$M\$104,MATCH(E79,'Единица монетизации'!$A\$5:$A\$104,0)),0)*0.2+IFERROR(INDEX('Бизнес-модель'!$L\$5:$L\$104,MATCH(F79,'Бизнес-модель'!$A\$5:$A\$104,0)),0)*0.15),0))</f>
        <v/>
      </c>
      <c r="H79" s="2">
        <f>IF(G79="","",IF(G79&gt;=75,"Проходят проверку",IF(G79&gt;=55,"Требуется доработка","Недостаточно данных")))</f>
        <v/>
      </c>
      <c r="I79" s="2" t="n"/>
      <c r="J79" s="2" t="n"/>
    </row>
    <row r="80" ht="21" customHeight="1" s="26">
      <c r="A80" s="2" t="n"/>
      <c r="B80" s="2" t="n"/>
      <c r="C80" s="2" t="n"/>
      <c r="D80" s="2" t="n"/>
      <c r="E80" s="2" t="n"/>
      <c r="F80" s="2" t="n"/>
      <c r="G80" s="2">
        <f>IF(A80="","",ROUND((IFERROR(INDEX('Проблемы клиентов'!$K\$5:$K\$104,MATCH(B80,'Проблемы клиентов'!$A\$5:$A\$104,0)),0)*0.3+IFERROR(INDEX('Ценностные предложения'!$K\$5:$K\$104,MATCH(C80,'Ценностные предложения'!$A\$5:$A\$104,0)),0)*0.15+IFERROR(INDEX('Цифровой товар'!$K\$5:$K\$104,MATCH(D80,'Цифровой товар'!$A\$5:$A\$104,0)),0)*0.2+IFERROR(INDEX('Единица монетизации'!$M\$5:$M\$104,MATCH(E80,'Единица монетизации'!$A\$5:$A\$104,0)),0)*0.2+IFERROR(INDEX('Бизнес-модель'!$L\$5:$L\$104,MATCH(F80,'Бизнес-модель'!$A\$5:$A\$104,0)),0)*0.15),0))</f>
        <v/>
      </c>
      <c r="H80" s="2">
        <f>IF(G80="","",IF(G80&gt;=75,"Проходят проверку",IF(G80&gt;=55,"Требуется доработка","Недостаточно данных")))</f>
        <v/>
      </c>
      <c r="I80" s="2" t="n"/>
      <c r="J80" s="2" t="n"/>
    </row>
    <row r="81" ht="21" customHeight="1" s="26">
      <c r="A81" s="2" t="n"/>
      <c r="B81" s="2" t="n"/>
      <c r="C81" s="2" t="n"/>
      <c r="D81" s="2" t="n"/>
      <c r="E81" s="2" t="n"/>
      <c r="F81" s="2" t="n"/>
      <c r="G81" s="2">
        <f>IF(A81="","",ROUND((IFERROR(INDEX('Проблемы клиентов'!$K\$5:$K\$104,MATCH(B81,'Проблемы клиентов'!$A\$5:$A\$104,0)),0)*0.3+IFERROR(INDEX('Ценностные предложения'!$K\$5:$K\$104,MATCH(C81,'Ценностные предложения'!$A\$5:$A\$104,0)),0)*0.15+IFERROR(INDEX('Цифровой товар'!$K\$5:$K\$104,MATCH(D81,'Цифровой товар'!$A\$5:$A\$104,0)),0)*0.2+IFERROR(INDEX('Единица монетизации'!$M\$5:$M\$104,MATCH(E81,'Единица монетизации'!$A\$5:$A\$104,0)),0)*0.2+IFERROR(INDEX('Бизнес-модель'!$L\$5:$L\$104,MATCH(F81,'Бизнес-модель'!$A\$5:$A\$104,0)),0)*0.15),0))</f>
        <v/>
      </c>
      <c r="H81" s="2">
        <f>IF(G81="","",IF(G81&gt;=75,"Проходят проверку",IF(G81&gt;=55,"Требуется доработка","Недостаточно данных")))</f>
        <v/>
      </c>
      <c r="I81" s="2" t="n"/>
      <c r="J81" s="2" t="n"/>
    </row>
    <row r="82" ht="21" customHeight="1" s="26">
      <c r="A82" s="2" t="n"/>
      <c r="B82" s="2" t="n"/>
      <c r="C82" s="2" t="n"/>
      <c r="D82" s="2" t="n"/>
      <c r="E82" s="2" t="n"/>
      <c r="F82" s="2" t="n"/>
      <c r="G82" s="2">
        <f>IF(A82="","",ROUND((IFERROR(INDEX('Проблемы клиентов'!$K\$5:$K\$104,MATCH(B82,'Проблемы клиентов'!$A\$5:$A\$104,0)),0)*0.3+IFERROR(INDEX('Ценностные предложения'!$K\$5:$K\$104,MATCH(C82,'Ценностные предложения'!$A\$5:$A\$104,0)),0)*0.15+IFERROR(INDEX('Цифровой товар'!$K\$5:$K\$104,MATCH(D82,'Цифровой товар'!$A\$5:$A\$104,0)),0)*0.2+IFERROR(INDEX('Единица монетизации'!$M\$5:$M\$104,MATCH(E82,'Единица монетизации'!$A\$5:$A\$104,0)),0)*0.2+IFERROR(INDEX('Бизнес-модель'!$L\$5:$L\$104,MATCH(F82,'Бизнес-модель'!$A\$5:$A\$104,0)),0)*0.15),0))</f>
        <v/>
      </c>
      <c r="H82" s="2">
        <f>IF(G82="","",IF(G82&gt;=75,"Проходят проверку",IF(G82&gt;=55,"Требуется доработка","Недостаточно данных")))</f>
        <v/>
      </c>
      <c r="I82" s="2" t="n"/>
      <c r="J82" s="2" t="n"/>
    </row>
    <row r="83" ht="21" customHeight="1" s="26">
      <c r="A83" s="2" t="n"/>
      <c r="B83" s="2" t="n"/>
      <c r="C83" s="2" t="n"/>
      <c r="D83" s="2" t="n"/>
      <c r="E83" s="2" t="n"/>
      <c r="F83" s="2" t="n"/>
      <c r="G83" s="2">
        <f>IF(A83="","",ROUND((IFERROR(INDEX('Проблемы клиентов'!$K\$5:$K\$104,MATCH(B83,'Проблемы клиентов'!$A\$5:$A\$104,0)),0)*0.3+IFERROR(INDEX('Ценностные предложения'!$K\$5:$K\$104,MATCH(C83,'Ценностные предложения'!$A\$5:$A\$104,0)),0)*0.15+IFERROR(INDEX('Цифровой товар'!$K\$5:$K\$104,MATCH(D83,'Цифровой товар'!$A\$5:$A\$104,0)),0)*0.2+IFERROR(INDEX('Единица монетизации'!$M\$5:$M\$104,MATCH(E83,'Единица монетизации'!$A\$5:$A\$104,0)),0)*0.2+IFERROR(INDEX('Бизнес-модель'!$L\$5:$L\$104,MATCH(F83,'Бизнес-модель'!$A\$5:$A\$104,0)),0)*0.15),0))</f>
        <v/>
      </c>
      <c r="H83" s="2">
        <f>IF(G83="","",IF(G83&gt;=75,"Проходят проверку",IF(G83&gt;=55,"Требуется доработка","Недостаточно данных")))</f>
        <v/>
      </c>
      <c r="I83" s="2" t="n"/>
      <c r="J83" s="2" t="n"/>
    </row>
    <row r="84" ht="21" customHeight="1" s="26">
      <c r="A84" s="2" t="n"/>
      <c r="B84" s="2" t="n"/>
      <c r="C84" s="2" t="n"/>
      <c r="D84" s="2" t="n"/>
      <c r="E84" s="2" t="n"/>
      <c r="F84" s="2" t="n"/>
      <c r="G84" s="2">
        <f>IF(A84="","",ROUND((IFERROR(INDEX('Проблемы клиентов'!$K\$5:$K\$104,MATCH(B84,'Проблемы клиентов'!$A\$5:$A\$104,0)),0)*0.3+IFERROR(INDEX('Ценностные предложения'!$K\$5:$K\$104,MATCH(C84,'Ценностные предложения'!$A\$5:$A\$104,0)),0)*0.15+IFERROR(INDEX('Цифровой товар'!$K\$5:$K\$104,MATCH(D84,'Цифровой товар'!$A\$5:$A\$104,0)),0)*0.2+IFERROR(INDEX('Единица монетизации'!$M\$5:$M\$104,MATCH(E84,'Единица монетизации'!$A\$5:$A\$104,0)),0)*0.2+IFERROR(INDEX('Бизнес-модель'!$L\$5:$L\$104,MATCH(F84,'Бизнес-модель'!$A\$5:$A\$104,0)),0)*0.15),0))</f>
        <v/>
      </c>
      <c r="H84" s="2">
        <f>IF(G84="","",IF(G84&gt;=75,"Проходят проверку",IF(G84&gt;=55,"Требуется доработка","Недостаточно данных")))</f>
        <v/>
      </c>
      <c r="I84" s="2" t="n"/>
      <c r="J84" s="2" t="n"/>
    </row>
    <row r="85" ht="21" customHeight="1" s="26">
      <c r="A85" s="2" t="n"/>
      <c r="B85" s="2" t="n"/>
      <c r="C85" s="2" t="n"/>
      <c r="D85" s="2" t="n"/>
      <c r="E85" s="2" t="n"/>
      <c r="F85" s="2" t="n"/>
      <c r="G85" s="2">
        <f>IF(A85="","",ROUND((IFERROR(INDEX('Проблемы клиентов'!$K\$5:$K\$104,MATCH(B85,'Проблемы клиентов'!$A\$5:$A\$104,0)),0)*0.3+IFERROR(INDEX('Ценностные предложения'!$K\$5:$K\$104,MATCH(C85,'Ценностные предложения'!$A\$5:$A\$104,0)),0)*0.15+IFERROR(INDEX('Цифровой товар'!$K\$5:$K\$104,MATCH(D85,'Цифровой товар'!$A\$5:$A\$104,0)),0)*0.2+IFERROR(INDEX('Единица монетизации'!$M\$5:$M\$104,MATCH(E85,'Единица монетизации'!$A\$5:$A\$104,0)),0)*0.2+IFERROR(INDEX('Бизнес-модель'!$L\$5:$L\$104,MATCH(F85,'Бизнес-модель'!$A\$5:$A\$104,0)),0)*0.15),0))</f>
        <v/>
      </c>
      <c r="H85" s="2">
        <f>IF(G85="","",IF(G85&gt;=75,"Проходят проверку",IF(G85&gt;=55,"Требуется доработка","Недостаточно данных")))</f>
        <v/>
      </c>
      <c r="I85" s="2" t="n"/>
      <c r="J85" s="2" t="n"/>
    </row>
    <row r="86" ht="21" customHeight="1" s="26">
      <c r="A86" s="2" t="n"/>
      <c r="B86" s="2" t="n"/>
      <c r="C86" s="2" t="n"/>
      <c r="D86" s="2" t="n"/>
      <c r="E86" s="2" t="n"/>
      <c r="F86" s="2" t="n"/>
      <c r="G86" s="2">
        <f>IF(A86="","",ROUND((IFERROR(INDEX('Проблемы клиентов'!$K\$5:$K\$104,MATCH(B86,'Проблемы клиентов'!$A\$5:$A\$104,0)),0)*0.3+IFERROR(INDEX('Ценностные предложения'!$K\$5:$K\$104,MATCH(C86,'Ценностные предложения'!$A\$5:$A\$104,0)),0)*0.15+IFERROR(INDEX('Цифровой товар'!$K\$5:$K\$104,MATCH(D86,'Цифровой товар'!$A\$5:$A\$104,0)),0)*0.2+IFERROR(INDEX('Единица монетизации'!$M\$5:$M\$104,MATCH(E86,'Единица монетизации'!$A\$5:$A\$104,0)),0)*0.2+IFERROR(INDEX('Бизнес-модель'!$L\$5:$L\$104,MATCH(F86,'Бизнес-модель'!$A\$5:$A\$104,0)),0)*0.15),0))</f>
        <v/>
      </c>
      <c r="H86" s="2">
        <f>IF(G86="","",IF(G86&gt;=75,"Проходят проверку",IF(G86&gt;=55,"Требуется доработка","Недостаточно данных")))</f>
        <v/>
      </c>
      <c r="I86" s="2" t="n"/>
      <c r="J86" s="2" t="n"/>
    </row>
    <row r="87" ht="21" customHeight="1" s="26">
      <c r="A87" s="2" t="n"/>
      <c r="B87" s="2" t="n"/>
      <c r="C87" s="2" t="n"/>
      <c r="D87" s="2" t="n"/>
      <c r="E87" s="2" t="n"/>
      <c r="F87" s="2" t="n"/>
      <c r="G87" s="2">
        <f>IF(A87="","",ROUND((IFERROR(INDEX('Проблемы клиентов'!$K\$5:$K\$104,MATCH(B87,'Проблемы клиентов'!$A\$5:$A\$104,0)),0)*0.3+IFERROR(INDEX('Ценностные предложения'!$K\$5:$K\$104,MATCH(C87,'Ценностные предложения'!$A\$5:$A\$104,0)),0)*0.15+IFERROR(INDEX('Цифровой товар'!$K\$5:$K\$104,MATCH(D87,'Цифровой товар'!$A\$5:$A\$104,0)),0)*0.2+IFERROR(INDEX('Единица монетизации'!$M\$5:$M\$104,MATCH(E87,'Единица монетизации'!$A\$5:$A\$104,0)),0)*0.2+IFERROR(INDEX('Бизнес-модель'!$L\$5:$L\$104,MATCH(F87,'Бизнес-модель'!$A\$5:$A\$104,0)),0)*0.15),0))</f>
        <v/>
      </c>
      <c r="H87" s="2">
        <f>IF(G87="","",IF(G87&gt;=75,"Проходят проверку",IF(G87&gt;=55,"Требуется доработка","Недостаточно данных")))</f>
        <v/>
      </c>
      <c r="I87" s="2" t="n"/>
      <c r="J87" s="2" t="n"/>
    </row>
    <row r="88" ht="21" customHeight="1" s="26">
      <c r="A88" s="2" t="n"/>
      <c r="B88" s="2" t="n"/>
      <c r="C88" s="2" t="n"/>
      <c r="D88" s="2" t="n"/>
      <c r="E88" s="2" t="n"/>
      <c r="F88" s="2" t="n"/>
      <c r="G88" s="2">
        <f>IF(A88="","",ROUND((IFERROR(INDEX('Проблемы клиентов'!$K\$5:$K\$104,MATCH(B88,'Проблемы клиентов'!$A\$5:$A\$104,0)),0)*0.3+IFERROR(INDEX('Ценностные предложения'!$K\$5:$K\$104,MATCH(C88,'Ценностные предложения'!$A\$5:$A\$104,0)),0)*0.15+IFERROR(INDEX('Цифровой товар'!$K\$5:$K\$104,MATCH(D88,'Цифровой товар'!$A\$5:$A\$104,0)),0)*0.2+IFERROR(INDEX('Единица монетизации'!$M\$5:$M\$104,MATCH(E88,'Единица монетизации'!$A\$5:$A\$104,0)),0)*0.2+IFERROR(INDEX('Бизнес-модель'!$L\$5:$L\$104,MATCH(F88,'Бизнес-модель'!$A\$5:$A\$104,0)),0)*0.15),0))</f>
        <v/>
      </c>
      <c r="H88" s="2">
        <f>IF(G88="","",IF(G88&gt;=75,"Проходят проверку",IF(G88&gt;=55,"Требуется доработка","Недостаточно данных")))</f>
        <v/>
      </c>
      <c r="I88" s="2" t="n"/>
      <c r="J88" s="2" t="n"/>
    </row>
    <row r="89" ht="21" customHeight="1" s="26">
      <c r="A89" s="2" t="n"/>
      <c r="B89" s="2" t="n"/>
      <c r="C89" s="2" t="n"/>
      <c r="D89" s="2" t="n"/>
      <c r="E89" s="2" t="n"/>
      <c r="F89" s="2" t="n"/>
      <c r="G89" s="2">
        <f>IF(A89="","",ROUND((IFERROR(INDEX('Проблемы клиентов'!$K\$5:$K\$104,MATCH(B89,'Проблемы клиентов'!$A\$5:$A\$104,0)),0)*0.3+IFERROR(INDEX('Ценностные предложения'!$K\$5:$K\$104,MATCH(C89,'Ценностные предложения'!$A\$5:$A\$104,0)),0)*0.15+IFERROR(INDEX('Цифровой товар'!$K\$5:$K\$104,MATCH(D89,'Цифровой товар'!$A\$5:$A\$104,0)),0)*0.2+IFERROR(INDEX('Единица монетизации'!$M\$5:$M\$104,MATCH(E89,'Единица монетизации'!$A\$5:$A\$104,0)),0)*0.2+IFERROR(INDEX('Бизнес-модель'!$L\$5:$L\$104,MATCH(F89,'Бизнес-модель'!$A\$5:$A\$104,0)),0)*0.15),0))</f>
        <v/>
      </c>
      <c r="H89" s="2">
        <f>IF(G89="","",IF(G89&gt;=75,"Проходят проверку",IF(G89&gt;=55,"Требуется доработка","Недостаточно данных")))</f>
        <v/>
      </c>
      <c r="I89" s="2" t="n"/>
      <c r="J89" s="2" t="n"/>
    </row>
    <row r="90" ht="21" customHeight="1" s="26">
      <c r="A90" s="2" t="n"/>
      <c r="B90" s="2" t="n"/>
      <c r="C90" s="2" t="n"/>
      <c r="D90" s="2" t="n"/>
      <c r="E90" s="2" t="n"/>
      <c r="F90" s="2" t="n"/>
      <c r="G90" s="2">
        <f>IF(A90="","",ROUND((IFERROR(INDEX('Проблемы клиентов'!$K\$5:$K\$104,MATCH(B90,'Проблемы клиентов'!$A\$5:$A\$104,0)),0)*0.3+IFERROR(INDEX('Ценностные предложения'!$K\$5:$K\$104,MATCH(C90,'Ценностные предложения'!$A\$5:$A\$104,0)),0)*0.15+IFERROR(INDEX('Цифровой товар'!$K\$5:$K\$104,MATCH(D90,'Цифровой товар'!$A\$5:$A\$104,0)),0)*0.2+IFERROR(INDEX('Единица монетизации'!$M\$5:$M\$104,MATCH(E90,'Единица монетизации'!$A\$5:$A\$104,0)),0)*0.2+IFERROR(INDEX('Бизнес-модель'!$L\$5:$L\$104,MATCH(F90,'Бизнес-модель'!$A\$5:$A\$104,0)),0)*0.15),0))</f>
        <v/>
      </c>
      <c r="H90" s="2">
        <f>IF(G90="","",IF(G90&gt;=75,"Проходят проверку",IF(G90&gt;=55,"Требуется доработка","Недостаточно данных")))</f>
        <v/>
      </c>
      <c r="I90" s="2" t="n"/>
      <c r="J90" s="2" t="n"/>
    </row>
    <row r="91" ht="21" customHeight="1" s="26">
      <c r="A91" s="2" t="n"/>
      <c r="B91" s="2" t="n"/>
      <c r="C91" s="2" t="n"/>
      <c r="D91" s="2" t="n"/>
      <c r="E91" s="2" t="n"/>
      <c r="F91" s="2" t="n"/>
      <c r="G91" s="2">
        <f>IF(A91="","",ROUND((IFERROR(INDEX('Проблемы клиентов'!$K\$5:$K\$104,MATCH(B91,'Проблемы клиентов'!$A\$5:$A\$104,0)),0)*0.3+IFERROR(INDEX('Ценностные предложения'!$K\$5:$K\$104,MATCH(C91,'Ценностные предложения'!$A\$5:$A\$104,0)),0)*0.15+IFERROR(INDEX('Цифровой товар'!$K\$5:$K\$104,MATCH(D91,'Цифровой товар'!$A\$5:$A\$104,0)),0)*0.2+IFERROR(INDEX('Единица монетизации'!$M\$5:$M\$104,MATCH(E91,'Единица монетизации'!$A\$5:$A\$104,0)),0)*0.2+IFERROR(INDEX('Бизнес-модель'!$L\$5:$L\$104,MATCH(F91,'Бизнес-модель'!$A\$5:$A\$104,0)),0)*0.15),0))</f>
        <v/>
      </c>
      <c r="H91" s="2">
        <f>IF(G91="","",IF(G91&gt;=75,"Проходят проверку",IF(G91&gt;=55,"Требуется доработка","Недостаточно данных")))</f>
        <v/>
      </c>
      <c r="I91" s="2" t="n"/>
      <c r="J91" s="2" t="n"/>
    </row>
    <row r="92" ht="21" customHeight="1" s="26">
      <c r="A92" s="2" t="n"/>
      <c r="B92" s="2" t="n"/>
      <c r="C92" s="2" t="n"/>
      <c r="D92" s="2" t="n"/>
      <c r="E92" s="2" t="n"/>
      <c r="F92" s="2" t="n"/>
      <c r="G92" s="2">
        <f>IF(A92="","",ROUND((IFERROR(INDEX('Проблемы клиентов'!$K\$5:$K\$104,MATCH(B92,'Проблемы клиентов'!$A\$5:$A\$104,0)),0)*0.3+IFERROR(INDEX('Ценностные предложения'!$K\$5:$K\$104,MATCH(C92,'Ценностные предложения'!$A\$5:$A\$104,0)),0)*0.15+IFERROR(INDEX('Цифровой товар'!$K\$5:$K\$104,MATCH(D92,'Цифровой товар'!$A\$5:$A\$104,0)),0)*0.2+IFERROR(INDEX('Единица монетизации'!$M\$5:$M\$104,MATCH(E92,'Единица монетизации'!$A\$5:$A\$104,0)),0)*0.2+IFERROR(INDEX('Бизнес-модель'!$L\$5:$L\$104,MATCH(F92,'Бизнес-модель'!$A\$5:$A\$104,0)),0)*0.15),0))</f>
        <v/>
      </c>
      <c r="H92" s="2">
        <f>IF(G92="","",IF(G92&gt;=75,"Проходят проверку",IF(G92&gt;=55,"Требуется доработка","Недостаточно данных")))</f>
        <v/>
      </c>
      <c r="I92" s="2" t="n"/>
      <c r="J92" s="2" t="n"/>
    </row>
    <row r="93" ht="21" customHeight="1" s="26">
      <c r="A93" s="2" t="n"/>
      <c r="B93" s="2" t="n"/>
      <c r="C93" s="2" t="n"/>
      <c r="D93" s="2" t="n"/>
      <c r="E93" s="2" t="n"/>
      <c r="F93" s="2" t="n"/>
      <c r="G93" s="2">
        <f>IF(A93="","",ROUND((IFERROR(INDEX('Проблемы клиентов'!$K\$5:$K\$104,MATCH(B93,'Проблемы клиентов'!$A\$5:$A\$104,0)),0)*0.3+IFERROR(INDEX('Ценностные предложения'!$K\$5:$K\$104,MATCH(C93,'Ценностные предложения'!$A\$5:$A\$104,0)),0)*0.15+IFERROR(INDEX('Цифровой товар'!$K\$5:$K\$104,MATCH(D93,'Цифровой товар'!$A\$5:$A\$104,0)),0)*0.2+IFERROR(INDEX('Единица монетизации'!$M\$5:$M\$104,MATCH(E93,'Единица монетизации'!$A\$5:$A\$104,0)),0)*0.2+IFERROR(INDEX('Бизнес-модель'!$L\$5:$L\$104,MATCH(F93,'Бизнес-модель'!$A\$5:$A\$104,0)),0)*0.15),0))</f>
        <v/>
      </c>
      <c r="H93" s="2">
        <f>IF(G93="","",IF(G93&gt;=75,"Проходят проверку",IF(G93&gt;=55,"Требуется доработка","Недостаточно данных")))</f>
        <v/>
      </c>
      <c r="I93" s="2" t="n"/>
      <c r="J93" s="2" t="n"/>
    </row>
    <row r="94" ht="21" customHeight="1" s="26">
      <c r="A94" s="2" t="n"/>
      <c r="B94" s="2" t="n"/>
      <c r="C94" s="2" t="n"/>
      <c r="D94" s="2" t="n"/>
      <c r="E94" s="2" t="n"/>
      <c r="F94" s="2" t="n"/>
      <c r="G94" s="2">
        <f>IF(A94="","",ROUND((IFERROR(INDEX('Проблемы клиентов'!$K\$5:$K\$104,MATCH(B94,'Проблемы клиентов'!$A\$5:$A\$104,0)),0)*0.3+IFERROR(INDEX('Ценностные предложения'!$K\$5:$K\$104,MATCH(C94,'Ценностные предложения'!$A\$5:$A\$104,0)),0)*0.15+IFERROR(INDEX('Цифровой товар'!$K\$5:$K\$104,MATCH(D94,'Цифровой товар'!$A\$5:$A\$104,0)),0)*0.2+IFERROR(INDEX('Единица монетизации'!$M\$5:$M\$104,MATCH(E94,'Единица монетизации'!$A\$5:$A\$104,0)),0)*0.2+IFERROR(INDEX('Бизнес-модель'!$L\$5:$L\$104,MATCH(F94,'Бизнес-модель'!$A\$5:$A\$104,0)),0)*0.15),0))</f>
        <v/>
      </c>
      <c r="H94" s="2">
        <f>IF(G94="","",IF(G94&gt;=75,"Проходят проверку",IF(G94&gt;=55,"Требуется доработка","Недостаточно данных")))</f>
        <v/>
      </c>
      <c r="I94" s="2" t="n"/>
      <c r="J94" s="2" t="n"/>
    </row>
    <row r="95" ht="21" customHeight="1" s="26">
      <c r="A95" s="2" t="n"/>
      <c r="B95" s="2" t="n"/>
      <c r="C95" s="2" t="n"/>
      <c r="D95" s="2" t="n"/>
      <c r="E95" s="2" t="n"/>
      <c r="F95" s="2" t="n"/>
      <c r="G95" s="2">
        <f>IF(A95="","",ROUND((IFERROR(INDEX('Проблемы клиентов'!$K\$5:$K\$104,MATCH(B95,'Проблемы клиентов'!$A\$5:$A\$104,0)),0)*0.3+IFERROR(INDEX('Ценностные предложения'!$K\$5:$K\$104,MATCH(C95,'Ценностные предложения'!$A\$5:$A\$104,0)),0)*0.15+IFERROR(INDEX('Цифровой товар'!$K\$5:$K\$104,MATCH(D95,'Цифровой товар'!$A\$5:$A\$104,0)),0)*0.2+IFERROR(INDEX('Единица монетизации'!$M\$5:$M\$104,MATCH(E95,'Единица монетизации'!$A\$5:$A\$104,0)),0)*0.2+IFERROR(INDEX('Бизнес-модель'!$L\$5:$L\$104,MATCH(F95,'Бизнес-модель'!$A\$5:$A\$104,0)),0)*0.15),0))</f>
        <v/>
      </c>
      <c r="H95" s="2">
        <f>IF(G95="","",IF(G95&gt;=75,"Проходят проверку",IF(G95&gt;=55,"Требуется доработка","Недостаточно данных")))</f>
        <v/>
      </c>
      <c r="I95" s="2" t="n"/>
      <c r="J95" s="2" t="n"/>
    </row>
    <row r="96" ht="21" customHeight="1" s="26">
      <c r="A96" s="2" t="n"/>
      <c r="B96" s="2" t="n"/>
      <c r="C96" s="2" t="n"/>
      <c r="D96" s="2" t="n"/>
      <c r="E96" s="2" t="n"/>
      <c r="F96" s="2" t="n"/>
      <c r="G96" s="2">
        <f>IF(A96="","",ROUND((IFERROR(INDEX('Проблемы клиентов'!$K\$5:$K\$104,MATCH(B96,'Проблемы клиентов'!$A\$5:$A\$104,0)),0)*0.3+IFERROR(INDEX('Ценностные предложения'!$K\$5:$K\$104,MATCH(C96,'Ценностные предложения'!$A\$5:$A\$104,0)),0)*0.15+IFERROR(INDEX('Цифровой товар'!$K\$5:$K\$104,MATCH(D96,'Цифровой товар'!$A\$5:$A\$104,0)),0)*0.2+IFERROR(INDEX('Единица монетизации'!$M\$5:$M\$104,MATCH(E96,'Единица монетизации'!$A\$5:$A\$104,0)),0)*0.2+IFERROR(INDEX('Бизнес-модель'!$L\$5:$L\$104,MATCH(F96,'Бизнес-модель'!$A\$5:$A\$104,0)),0)*0.15),0))</f>
        <v/>
      </c>
      <c r="H96" s="2">
        <f>IF(G96="","",IF(G96&gt;=75,"Проходят проверку",IF(G96&gt;=55,"Требуется доработка","Недостаточно данных")))</f>
        <v/>
      </c>
      <c r="I96" s="2" t="n"/>
      <c r="J96" s="2" t="n"/>
    </row>
    <row r="97" ht="21" customHeight="1" s="26">
      <c r="A97" s="2" t="n"/>
      <c r="B97" s="2" t="n"/>
      <c r="C97" s="2" t="n"/>
      <c r="D97" s="2" t="n"/>
      <c r="E97" s="2" t="n"/>
      <c r="F97" s="2" t="n"/>
      <c r="G97" s="2">
        <f>IF(A97="","",ROUND((IFERROR(INDEX('Проблемы клиентов'!$K\$5:$K\$104,MATCH(B97,'Проблемы клиентов'!$A\$5:$A\$104,0)),0)*0.3+IFERROR(INDEX('Ценностные предложения'!$K\$5:$K\$104,MATCH(C97,'Ценностные предложения'!$A\$5:$A\$104,0)),0)*0.15+IFERROR(INDEX('Цифровой товар'!$K\$5:$K\$104,MATCH(D97,'Цифровой товар'!$A\$5:$A\$104,0)),0)*0.2+IFERROR(INDEX('Единица монетизации'!$M\$5:$M\$104,MATCH(E97,'Единица монетизации'!$A\$5:$A\$104,0)),0)*0.2+IFERROR(INDEX('Бизнес-модель'!$L\$5:$L\$104,MATCH(F97,'Бизнес-модель'!$A\$5:$A\$104,0)),0)*0.15),0))</f>
        <v/>
      </c>
      <c r="H97" s="2">
        <f>IF(G97="","",IF(G97&gt;=75,"Проходят проверку",IF(G97&gt;=55,"Требуется доработка","Недостаточно данных")))</f>
        <v/>
      </c>
      <c r="I97" s="2" t="n"/>
      <c r="J97" s="2" t="n"/>
    </row>
    <row r="98" ht="21" customHeight="1" s="26">
      <c r="A98" s="2" t="n"/>
      <c r="B98" s="2" t="n"/>
      <c r="C98" s="2" t="n"/>
      <c r="D98" s="2" t="n"/>
      <c r="E98" s="2" t="n"/>
      <c r="F98" s="2" t="n"/>
      <c r="G98" s="2">
        <f>IF(A98="","",ROUND((IFERROR(INDEX('Проблемы клиентов'!$K\$5:$K\$104,MATCH(B98,'Проблемы клиентов'!$A\$5:$A\$104,0)),0)*0.3+IFERROR(INDEX('Ценностные предложения'!$K\$5:$K\$104,MATCH(C98,'Ценностные предложения'!$A\$5:$A\$104,0)),0)*0.15+IFERROR(INDEX('Цифровой товар'!$K\$5:$K\$104,MATCH(D98,'Цифровой товар'!$A\$5:$A\$104,0)),0)*0.2+IFERROR(INDEX('Единица монетизации'!$M\$5:$M\$104,MATCH(E98,'Единица монетизации'!$A\$5:$A\$104,0)),0)*0.2+IFERROR(INDEX('Бизнес-модель'!$L\$5:$L\$104,MATCH(F98,'Бизнес-модель'!$A\$5:$A\$104,0)),0)*0.15),0))</f>
        <v/>
      </c>
      <c r="H98" s="2">
        <f>IF(G98="","",IF(G98&gt;=75,"Проходят проверку",IF(G98&gt;=55,"Требуется доработка","Недостаточно данных")))</f>
        <v/>
      </c>
      <c r="I98" s="2" t="n"/>
      <c r="J98" s="2" t="n"/>
    </row>
    <row r="99" ht="21" customHeight="1" s="26">
      <c r="A99" s="2" t="n"/>
      <c r="B99" s="2" t="n"/>
      <c r="C99" s="2" t="n"/>
      <c r="D99" s="2" t="n"/>
      <c r="E99" s="2" t="n"/>
      <c r="F99" s="2" t="n"/>
      <c r="G99" s="2">
        <f>IF(A99="","",ROUND((IFERROR(INDEX('Проблемы клиентов'!$K\$5:$K\$104,MATCH(B99,'Проблемы клиентов'!$A\$5:$A\$104,0)),0)*0.3+IFERROR(INDEX('Ценностные предложения'!$K\$5:$K\$104,MATCH(C99,'Ценностные предложения'!$A\$5:$A\$104,0)),0)*0.15+IFERROR(INDEX('Цифровой товар'!$K\$5:$K\$104,MATCH(D99,'Цифровой товар'!$A\$5:$A\$104,0)),0)*0.2+IFERROR(INDEX('Единица монетизации'!$M\$5:$M\$104,MATCH(E99,'Единица монетизации'!$A\$5:$A\$104,0)),0)*0.2+IFERROR(INDEX('Бизнес-модель'!$L\$5:$L\$104,MATCH(F99,'Бизнес-модель'!$A\$5:$A\$104,0)),0)*0.15),0))</f>
        <v/>
      </c>
      <c r="H99" s="2">
        <f>IF(G99="","",IF(G99&gt;=75,"Проходят проверку",IF(G99&gt;=55,"Требуется доработка","Недостаточно данных")))</f>
        <v/>
      </c>
      <c r="I99" s="2" t="n"/>
      <c r="J99" s="2" t="n"/>
    </row>
    <row r="100" ht="21" customHeight="1" s="26">
      <c r="A100" s="2" t="n"/>
      <c r="B100" s="2" t="n"/>
      <c r="C100" s="2" t="n"/>
      <c r="D100" s="2" t="n"/>
      <c r="E100" s="2" t="n"/>
      <c r="F100" s="2" t="n"/>
      <c r="G100" s="2">
        <f>IF(A100="","",ROUND((IFERROR(INDEX('Проблемы клиентов'!$K\$5:$K\$104,MATCH(B100,'Проблемы клиентов'!$A\$5:$A\$104,0)),0)*0.3+IFERROR(INDEX('Ценностные предложения'!$K\$5:$K\$104,MATCH(C100,'Ценностные предложения'!$A\$5:$A\$104,0)),0)*0.15+IFERROR(INDEX('Цифровой товар'!$K\$5:$K\$104,MATCH(D100,'Цифровой товар'!$A\$5:$A\$104,0)),0)*0.2+IFERROR(INDEX('Единица монетизации'!$M\$5:$M\$104,MATCH(E100,'Единица монетизации'!$A\$5:$A\$104,0)),0)*0.2+IFERROR(INDEX('Бизнес-модель'!$L\$5:$L\$104,MATCH(F100,'Бизнес-модель'!$A\$5:$A\$104,0)),0)*0.15),0))</f>
        <v/>
      </c>
      <c r="H100" s="2">
        <f>IF(G100="","",IF(G100&gt;=75,"Проходят проверку",IF(G100&gt;=55,"Требуется доработка","Недостаточно данных")))</f>
        <v/>
      </c>
      <c r="I100" s="2" t="n"/>
      <c r="J100" s="2" t="n"/>
    </row>
    <row r="101" ht="21" customHeight="1" s="26">
      <c r="A101" s="2" t="n"/>
      <c r="B101" s="2" t="n"/>
      <c r="C101" s="2" t="n"/>
      <c r="D101" s="2" t="n"/>
      <c r="E101" s="2" t="n"/>
      <c r="F101" s="2" t="n"/>
      <c r="G101" s="2">
        <f>IF(A101="","",ROUND((IFERROR(INDEX('Проблемы клиентов'!$K\$5:$K\$104,MATCH(B101,'Проблемы клиентов'!$A\$5:$A\$104,0)),0)*0.3+IFERROR(INDEX('Ценностные предложения'!$K\$5:$K\$104,MATCH(C101,'Ценностные предложения'!$A\$5:$A\$104,0)),0)*0.15+IFERROR(INDEX('Цифровой товар'!$K\$5:$K\$104,MATCH(D101,'Цифровой товар'!$A\$5:$A\$104,0)),0)*0.2+IFERROR(INDEX('Единица монетизации'!$M\$5:$M\$104,MATCH(E101,'Единица монетизации'!$A\$5:$A\$104,0)),0)*0.2+IFERROR(INDEX('Бизнес-модель'!$L\$5:$L\$104,MATCH(F101,'Бизнес-модель'!$A\$5:$A\$104,0)),0)*0.15),0))</f>
        <v/>
      </c>
      <c r="H101" s="2">
        <f>IF(G101="","",IF(G101&gt;=75,"Проходят проверку",IF(G101&gt;=55,"Требуется доработка","Недостаточно данных")))</f>
        <v/>
      </c>
      <c r="I101" s="2" t="n"/>
      <c r="J101" s="2" t="n"/>
    </row>
    <row r="102" ht="21" customHeight="1" s="26">
      <c r="A102" s="2" t="n"/>
      <c r="B102" s="2" t="n"/>
      <c r="C102" s="2" t="n"/>
      <c r="D102" s="2" t="n"/>
      <c r="E102" s="2" t="n"/>
      <c r="F102" s="2" t="n"/>
      <c r="G102" s="2">
        <f>IF(A102="","",ROUND((IFERROR(INDEX('Проблемы клиентов'!$K\$5:$K\$104,MATCH(B102,'Проблемы клиентов'!$A\$5:$A\$104,0)),0)*0.3+IFERROR(INDEX('Ценностные предложения'!$K\$5:$K\$104,MATCH(C102,'Ценностные предложения'!$A\$5:$A\$104,0)),0)*0.15+IFERROR(INDEX('Цифровой товар'!$K\$5:$K\$104,MATCH(D102,'Цифровой товар'!$A\$5:$A\$104,0)),0)*0.2+IFERROR(INDEX('Единица монетизации'!$M\$5:$M\$104,MATCH(E102,'Единица монетизации'!$A\$5:$A\$104,0)),0)*0.2+IFERROR(INDEX('Бизнес-модель'!$L\$5:$L\$104,MATCH(F102,'Бизнес-модель'!$A\$5:$A\$104,0)),0)*0.15),0))</f>
        <v/>
      </c>
      <c r="H102" s="2">
        <f>IF(G102="","",IF(G102&gt;=75,"Проходят проверку",IF(G102&gt;=55,"Требуется доработка","Недостаточно данных")))</f>
        <v/>
      </c>
      <c r="I102" s="2" t="n"/>
      <c r="J102" s="2" t="n"/>
    </row>
    <row r="103" ht="21" customHeight="1" s="26">
      <c r="A103" s="2" t="n"/>
      <c r="B103" s="2" t="n"/>
      <c r="C103" s="2" t="n"/>
      <c r="D103" s="2" t="n"/>
      <c r="E103" s="2" t="n"/>
      <c r="F103" s="2" t="n"/>
      <c r="G103" s="2">
        <f>IF(A103="","",ROUND((IFERROR(INDEX('Проблемы клиентов'!$K\$5:$K\$104,MATCH(B103,'Проблемы клиентов'!$A\$5:$A\$104,0)),0)*0.3+IFERROR(INDEX('Ценностные предложения'!$K\$5:$K\$104,MATCH(C103,'Ценностные предложения'!$A\$5:$A\$104,0)),0)*0.15+IFERROR(INDEX('Цифровой товар'!$K\$5:$K\$104,MATCH(D103,'Цифровой товар'!$A\$5:$A\$104,0)),0)*0.2+IFERROR(INDEX('Единица монетизации'!$M\$5:$M\$104,MATCH(E103,'Единица монетизации'!$A\$5:$A\$104,0)),0)*0.2+IFERROR(INDEX('Бизнес-модель'!$L\$5:$L\$104,MATCH(F103,'Бизнес-модель'!$A\$5:$A\$104,0)),0)*0.15),0))</f>
        <v/>
      </c>
      <c r="H103" s="2">
        <f>IF(G103="","",IF(G103&gt;=75,"Проходят проверку",IF(G103&gt;=55,"Требуется доработка","Недостаточно данных")))</f>
        <v/>
      </c>
      <c r="I103" s="2" t="n"/>
      <c r="J103" s="2" t="n"/>
    </row>
    <row r="104" ht="21" customHeight="1" s="26">
      <c r="A104" s="2" t="n"/>
      <c r="B104" s="2" t="n"/>
      <c r="C104" s="2" t="n"/>
      <c r="D104" s="2" t="n"/>
      <c r="E104" s="2" t="n"/>
      <c r="F104" s="2" t="n"/>
      <c r="G104" s="2">
        <f>IF(A104="","",ROUND((IFERROR(INDEX('Проблемы клиентов'!$K\$5:$K\$104,MATCH(B104,'Проблемы клиентов'!$A\$5:$A\$104,0)),0)*0.3+IFERROR(INDEX('Ценностные предложения'!$K\$5:$K\$104,MATCH(C104,'Ценностные предложения'!$A\$5:$A\$104,0)),0)*0.15+IFERROR(INDEX('Цифровой товар'!$K\$5:$K\$104,MATCH(D104,'Цифровой товар'!$A\$5:$A\$104,0)),0)*0.2+IFERROR(INDEX('Единица монетизации'!$M\$5:$M\$104,MATCH(E104,'Единица монетизации'!$A\$5:$A\$104,0)),0)*0.2+IFERROR(INDEX('Бизнес-модель'!$L\$5:$L\$104,MATCH(F104,'Бизнес-модель'!$A\$5:$A\$104,0)),0)*0.15),0))</f>
        <v/>
      </c>
      <c r="H104" s="2">
        <f>IF(G104="","",IF(G104&gt;=75,"Проходят проверку",IF(G104&gt;=55,"Требуется доработка","Недостаточно данных")))</f>
        <v/>
      </c>
      <c r="I104" s="2" t="n"/>
      <c r="J104" s="2" t="n"/>
    </row>
  </sheetData>
  <mergeCells count="2">
    <mergeCell ref="A1:J1"/>
    <mergeCell ref="A2:J2"/>
  </mergeCells>
  <conditionalFormatting sqref="G5:G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C34" sqref="C34"/>
    </sheetView>
  </sheetViews>
  <sheetFormatPr baseColWidth="8" defaultRowHeight="14.25"/>
  <cols>
    <col width="38" customWidth="1" style="26" min="1" max="1"/>
    <col width="18" customWidth="1" style="26" min="2" max="2"/>
    <col width="74.75" customWidth="1" style="26" min="3" max="3"/>
    <col width="4" customWidth="1" style="26" min="4" max="4"/>
    <col width="28" customWidth="1" style="26" min="5" max="5"/>
    <col width="15" customWidth="1" style="26" min="6" max="7"/>
    <col width="4" customWidth="1" style="26" min="8" max="8"/>
    <col width="15" customWidth="1" style="26" min="9" max="11"/>
  </cols>
  <sheetData>
    <row r="1" ht="27" customHeight="1" s="26">
      <c r="A1" s="32" t="inlineStr">
        <is>
          <t>Сводный дашборд разработки ценностного предложения и цифрового товара</t>
        </is>
      </c>
    </row>
    <row r="2" ht="17.1" customHeight="1" s="26">
      <c r="A2" s="33" t="inlineStr">
        <is>
          <t>Расчетные показатели обновляются после заполнения рабочих листов</t>
        </is>
      </c>
    </row>
    <row r="3"/>
    <row r="4" ht="17.1" customHeight="1" s="26">
      <c r="A4" s="3" t="inlineStr">
        <is>
          <t>Показатель</t>
        </is>
      </c>
      <c r="B4" s="4" t="inlineStr">
        <is>
          <t>Значение</t>
        </is>
      </c>
      <c r="C4" s="5" t="inlineStr">
        <is>
          <t>Интерпретация</t>
        </is>
      </c>
      <c r="E4" s="1" t="inlineStr">
        <is>
          <t>Приоритет проблемы</t>
        </is>
      </c>
      <c r="F4" s="1" t="inlineStr">
        <is>
          <t>Количество</t>
        </is>
      </c>
      <c r="G4" s="1" t="inlineStr">
        <is>
          <t>Доля</t>
        </is>
      </c>
    </row>
    <row r="5">
      <c r="A5" s="6" t="inlineStr">
        <is>
          <t>Количество выявленных проблем</t>
        </is>
      </c>
      <c r="B5" s="14">
        <f>COUNTIF('Проблемы клиентов'!$A\$5:$A\$104,"&lt;&gt;")</f>
        <v/>
      </c>
      <c r="C5" s="8" t="inlineStr">
        <is>
          <t>Объем базы проблем для выбора опорной проблемы</t>
        </is>
      </c>
      <c r="E5" s="2" t="inlineStr">
        <is>
          <t>Критический</t>
        </is>
      </c>
      <c r="F5" s="2">
        <f>COUNTIF('Проблемы клиентов'!$L\$5:$L\$104,E5)</f>
        <v/>
      </c>
      <c r="G5" s="16">
        <f>IFERROR(F5/SUM($F\$5:$F\$8),0)</f>
        <v/>
      </c>
    </row>
    <row r="6">
      <c r="A6" s="6" t="inlineStr">
        <is>
          <t>Максимальный индекс проблемы</t>
        </is>
      </c>
      <c r="B6" s="14">
        <f>IFERROR(MAX('Проблемы клиентов'!$K\$5:$K\$104),0)</f>
        <v/>
      </c>
      <c r="C6" s="8" t="inlineStr">
        <is>
          <t>Наиболее значимая проблема по текущей оценке</t>
        </is>
      </c>
      <c r="E6" s="2" t="inlineStr">
        <is>
          <t>Высокий</t>
        </is>
      </c>
      <c r="F6" s="2">
        <f>COUNTIF('Проблемы клиентов'!$L\$5:$L\$104,E6)</f>
        <v/>
      </c>
      <c r="G6" s="16">
        <f>IFERROR(F6/SUM($F\$5:$F\$8),0)</f>
        <v/>
      </c>
    </row>
    <row r="7">
      <c r="A7" s="6" t="inlineStr">
        <is>
          <t>Готовых ценностных предложений</t>
        </is>
      </c>
      <c r="B7" s="14">
        <f>COUNTIF('Ценностные предложения'!$L\$5:$L\$104,"Готово")</f>
        <v/>
      </c>
      <c r="C7" s="8" t="inlineStr">
        <is>
          <t>Количество формулировок, прошедших минимальную проверку полноты</t>
        </is>
      </c>
      <c r="E7" s="2" t="inlineStr">
        <is>
          <t>Средний</t>
        </is>
      </c>
      <c r="F7" s="2">
        <f>COUNTIF('Проблемы клиентов'!$L\$5:$L\$104,E7)</f>
        <v/>
      </c>
      <c r="G7" s="16">
        <f>IFERROR(F7/SUM($F\$5:$F\$8),0)</f>
        <v/>
      </c>
    </row>
    <row r="8">
      <c r="A8" s="6" t="inlineStr">
        <is>
          <t>Готовых цифровых товаров</t>
        </is>
      </c>
      <c r="B8" s="14">
        <f>COUNTIF('Цифровой товар'!$L\$5:$L\$104,"Готово")</f>
        <v/>
      </c>
      <c r="C8" s="8" t="inlineStr">
        <is>
          <t>Количество описаний товара с достаточной оформленностью</t>
        </is>
      </c>
      <c r="E8" s="2" t="inlineStr">
        <is>
          <t>Низкий</t>
        </is>
      </c>
      <c r="F8" s="2">
        <f>COUNTIF('Проблемы клиентов'!$L\$5:$L\$104,E8)</f>
        <v/>
      </c>
      <c r="G8" s="16">
        <f>IFERROR(F8/SUM($F\$5:$F\$8),0)</f>
        <v/>
      </c>
    </row>
    <row r="9">
      <c r="A9" s="29" t="inlineStr">
        <is>
          <t>Средний индекс связности</t>
        </is>
      </c>
      <c r="B9" s="30">
        <f>IFERROR(ROUND(AVERAGE('Проверка связности'!$G\$5:$G\$104),0),0)</f>
        <v/>
      </c>
      <c r="C9" s="31" t="inlineStr">
        <is>
          <t>Согласованность цепочки проблема → ценность → товар → монетизация → бизнес-модель</t>
        </is>
      </c>
    </row>
    <row r="10">
      <c r="A10" s="9" t="inlineStr">
        <is>
          <t>Расчетная выручка по заполненным единицам</t>
        </is>
      </c>
      <c r="B10" s="15">
        <f>IFERROR(SUM('Единица монетизации'!$H\$5:$H\$104),0)</f>
        <v/>
      </c>
      <c r="C10" s="11" t="inlineStr">
        <is>
          <t>Сумма расчетной месячной выручки по листу монетизации</t>
        </is>
      </c>
    </row>
    <row r="11" ht="17.1" customHeight="1" s="26">
      <c r="E11" s="1" t="inlineStr">
        <is>
          <t>Решение проверки</t>
        </is>
      </c>
      <c r="F11" s="1" t="inlineStr">
        <is>
          <t>Количество</t>
        </is>
      </c>
      <c r="G11" s="1" t="inlineStr">
        <is>
          <t>Доля</t>
        </is>
      </c>
    </row>
    <row r="12">
      <c r="E12" s="2" t="inlineStr">
        <is>
          <t>Проходят проверку</t>
        </is>
      </c>
      <c r="F12" s="2">
        <f>COUNTIF('Проверка связности'!$H\$5:$H\$104,E12)</f>
        <v/>
      </c>
      <c r="G12" s="16">
        <f>IFERROR(F12/SUM($F\$12:$F\$14),0)</f>
        <v/>
      </c>
    </row>
    <row r="13">
      <c r="E13" s="2" t="inlineStr">
        <is>
          <t>Требуется доработка</t>
        </is>
      </c>
      <c r="F13" s="2">
        <f>COUNTIF('Проверка связности'!$H\$5:$H\$104,E13)</f>
        <v/>
      </c>
      <c r="G13" s="16">
        <f>IFERROR(F13/SUM($F\$12:$F\$14),0)</f>
        <v/>
      </c>
    </row>
    <row r="14">
      <c r="E14" s="2" t="inlineStr">
        <is>
          <t>Недостаточно данных</t>
        </is>
      </c>
      <c r="F14" s="2">
        <f>COUNTIF('Проверка связности'!$H\$5:$H\$104,E14)</f>
        <v/>
      </c>
      <c r="G14" s="16">
        <f>IFERROR(F14/SUM($F\$12:$F\$14),0)</f>
        <v/>
      </c>
    </row>
  </sheetData>
  <mergeCells count="2">
    <mergeCell ref="A2:K2"/>
    <mergeCell ref="A1:K1"/>
  </mergeCells>
  <conditionalFormatting sqref="F5:F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C23" sqref="C23"/>
    </sheetView>
  </sheetViews>
  <sheetFormatPr baseColWidth="8" defaultRowHeight="12.75"/>
  <cols>
    <col width="22.625" customWidth="1" style="17" min="1" max="1"/>
    <col width="8.625" customWidth="1" style="17" min="2" max="2"/>
    <col width="150.625" customWidth="1" style="17" min="3" max="3"/>
    <col width="9" customWidth="1" style="17" min="4" max="16384"/>
  </cols>
  <sheetData>
    <row r="1" ht="15.75" customHeight="1" s="26">
      <c r="A1" s="18" t="inlineStr">
        <is>
          <t>Журнал рабочей копии: источники, формулы, ограничения</t>
        </is>
      </c>
    </row>
    <row r="2"/>
    <row r="3">
      <c r="A3" s="19" t="inlineStr">
        <is>
          <t>Раздел</t>
        </is>
      </c>
      <c r="B3" s="19" t="inlineStr">
        <is>
          <t>Код</t>
        </is>
      </c>
      <c r="C3" s="19" t="inlineStr">
        <is>
          <t>Содержание</t>
        </is>
      </c>
    </row>
    <row r="4" ht="25.5" customHeight="1" s="26">
      <c r="A4" s="20" t="inlineStr">
        <is>
          <t>Источники</t>
        </is>
      </c>
      <c r="B4" s="20" t="inlineStr">
        <is>
          <t>И-1</t>
        </is>
      </c>
      <c r="C4" s="20" t="inlineStr">
        <is>
          <t>Данные ЛР1-ЛР5 (Вордстат, Similarweb Pro, опрос 27 студентов, Trustpilot, G2, Capterra, страницы 8 конкурентов 01.10.2026); 19 источников; страниц сайтов 8 в реестре и 40 в ЛР5 (норма 10+); конкурентов 8 (норма 3+)</t>
        </is>
      </c>
    </row>
    <row r="5" ht="25.5" customHeight="1" s="26">
      <c r="A5" s="20" t="inlineStr">
        <is>
          <t>Индекс проблемы</t>
        </is>
      </c>
      <c r="B5" s="20" t="inlineStr">
        <is>
          <t>Ф-1</t>
        </is>
      </c>
      <c r="C5" s="20" t="inlineStr">
        <is>
          <t>Применена формула шаблона (веса 0,18/0,22/0,18/0,20/0,14/0,08, шкала 0-100). По формуле docx ИПП (0,20/0,25/0,20/0,15/0,10/0,10, шкала 1-5) для P-002: частота 3, последствие 4, неудовлетворённость 5, платёжеспособность 3, реализуемость 5, связь с ростом 4 = 3,95 («использовать после уточнения сегмента»)</t>
        </is>
      </c>
    </row>
    <row r="6">
      <c r="A6" s="20" t="inlineStr">
        <is>
          <t>ИКЦП</t>
        </is>
      </c>
      <c r="B6" s="20" t="inlineStr">
        <is>
          <t>Ф-2</t>
        </is>
      </c>
      <c r="C6" s="20" t="inlineStr">
        <is>
          <t>Ясность 4, значимость 4, отличимость 4, доказуемость 3, ограниченность 4, монетизационная связность 4: ИКЦП = 3,83 - нужно уточнение (порог 4,0)</t>
        </is>
      </c>
    </row>
    <row r="7">
      <c r="A7" s="20" t="inlineStr">
        <is>
          <t>ИКСТ</t>
        </is>
      </c>
      <c r="B7" s="20" t="inlineStr">
        <is>
          <t>Ф-3</t>
        </is>
      </c>
      <c r="C7" s="20" t="inlineStr">
        <is>
          <t>Стандарт 3 (продукт до MVP), отличие 4, доказательность 3, монетизация 4, снижение риска 3, защищённость 2: ИКСТ = 3,30 - уточнить состав и обещание</t>
        </is>
      </c>
    </row>
    <row r="8" ht="25.5" customHeight="1" s="26">
      <c r="A8" s="20" t="inlineStr">
        <is>
          <t>Монетизация</t>
        </is>
      </c>
      <c r="B8" s="20" t="inlineStr">
        <is>
          <t>Ф-4</t>
        </is>
      </c>
      <c r="C8" s="20" t="inlineStr">
        <is>
          <t>Единица - пользователь (подписка Pro, год). Число единиц 1 634 - годовая оценка платящих по ЛР2-3; шаблон считает выручку как цена на число единиц (65 360 у.е. в год), а в дашборде называет её месячной - в отчёте читать как годовую</t>
        </is>
      </c>
    </row>
    <row r="9" ht="25.5" customHeight="1" s="26">
      <c r="A9" s="20" t="inlineStr">
        <is>
          <t>Ограничения</t>
        </is>
      </c>
      <c r="B9" s="20" t="inlineStr">
        <is>
          <t>О-1</t>
        </is>
      </c>
      <c r="C9" s="20" t="inlineStr">
        <is>
          <t>Опрос студентов сгенерирован (ЛР4) и подтверждает требования, но не спрос. Оценки шкал экспертные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Ценностное предложение и цифровой товар NotaCode</dc:title>
  <dcterms:created xmlns:dcterms="http://purl.org/dc/terms/" xmlns:xsi="http://www.w3.org/2001/XMLSchema-instance" xsi:type="dcterms:W3CDTF">2026-10-04T11:49:14Z</dcterms:created>
  <dcterms:modified xmlns:dcterms="http://purl.org/dc/terms/" xmlns:xsi="http://www.w3.org/2001/XMLSchema-instance" xsi:type="dcterms:W3CDTF">2026-10-04T14:43:42Z</dcterms:modified>
  <cp:lastModifiedBy>Aliaksandr Khajynau</cp:lastModifiedBy>
</cp:coreProperties>
</file>