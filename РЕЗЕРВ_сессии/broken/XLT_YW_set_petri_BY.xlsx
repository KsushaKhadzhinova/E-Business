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3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 wrapText="1"/>
    </xf>
    <xf numFmtId="49" fontId="3" fillId="3" borderId="0" applyAlignment="1" pivotButton="0" quotePrefix="0" xfId="1">
      <alignment horizontal="center"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19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40</v>
                </pt>
                <pt idx="1">
                  <v>77</v>
                </pt>
                <pt idx="2">
                  <v>26</v>
                </pt>
                <pt idx="3">
                  <v>100</v>
                </pt>
                <pt idx="4">
                  <v>51</v>
                </pt>
                <pt idx="5">
                  <v>9</v>
                </pt>
                <pt idx="6">
                  <v>12</v>
                </pt>
                <pt idx="7">
                  <v>14</v>
                </pt>
                <pt idx="8">
                  <v>39</v>
                </pt>
                <pt idx="9">
                  <v>20</v>
                </pt>
                <pt idx="10">
                  <v>8</v>
                </pt>
                <pt idx="11">
                  <v>8</v>
                </pt>
                <pt idx="12">
                  <v>7.000000000000001</v>
                </pt>
                <pt idx="13">
                  <v>53</v>
                </pt>
                <pt idx="14">
                  <v>54</v>
                </pt>
                <pt idx="15">
                  <v>9</v>
                </pt>
                <pt idx="16">
                  <v>4</v>
                </pt>
                <pt idx="17">
                  <v>10</v>
                </pt>
                <pt idx="18">
                  <v>13</v>
                </pt>
                <pt idx="19">
                  <v>7.000000000000001</v>
                </pt>
                <pt idx="20">
                  <v>8</v>
                </pt>
                <pt idx="21">
                  <v>31</v>
                </pt>
                <pt idx="22">
                  <v>2</v>
                </pt>
                <pt idx="23">
                  <v>4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33.66666666666666</v>
                </pt>
                <pt idx="12">
                  <v>30.91666666666667</v>
                </pt>
                <pt idx="13">
                  <v>28.91666666666667</v>
                </pt>
                <pt idx="14">
                  <v>31.25</v>
                </pt>
                <pt idx="15">
                  <v>23.66666666666667</v>
                </pt>
                <pt idx="16">
                  <v>19.75</v>
                </pt>
                <pt idx="17">
                  <v>19.83333333333333</v>
                </pt>
                <pt idx="18">
                  <v>19.91666666666667</v>
                </pt>
                <pt idx="19">
                  <v>19.33333333333333</v>
                </pt>
                <pt idx="20">
                  <v>16.75</v>
                </pt>
                <pt idx="21">
                  <v>17.66666666666667</v>
                </pt>
                <pt idx="22">
                  <v>17.16666666666667</v>
                </pt>
                <pt idx="23">
                  <v>16.83333333333333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0.286752562488666</v>
                </pt>
                <pt idx="1">
                  <v>0.7138692994728345</v>
                </pt>
                <pt idx="2">
                  <v>0.9241471182296861</v>
                </pt>
                <pt idx="3">
                  <v>0.5126320055697166</v>
                </pt>
                <pt idx="4">
                  <v>0.6762224607941676</v>
                </pt>
                <pt idx="5">
                  <v>2.484399854486119</v>
                </pt>
                <pt idx="6">
                  <v>0.1649523235675093</v>
                </pt>
                <pt idx="7">
                  <v>0.3364374124248211</v>
                </pt>
                <pt idx="8">
                  <v>0.3205677231594993</v>
                </pt>
                <pt idx="9">
                  <v>2.59502805289635</v>
                </pt>
                <pt idx="10">
                  <v>2.446572863153298</v>
                </pt>
                <pt idx="11">
                  <v>0.538418323757328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2914649</colOff>
      <row>21</row>
      <rowOff>180974</rowOff>
    </from>
    <ext cx="12620626" cy="3524251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104774</colOff>
      <row>22</row>
      <rowOff>0</rowOff>
    </from>
    <ext cx="7153275" cy="34671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12">
  <tableColumns count="4">
    <tableColumn id="1" name="Показатель" dataDxfId="16"/>
    <tableColumn id="2" name="Формула / значение" dataDxfId="15"/>
    <tableColumn id="3" name="Интерпретация" dataDxfId="14"/>
    <tableColumn id="4" name="Комментарий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 dataDxfId="5">
  <tableColumns count="6">
    <tableColumn id="1" name="Раздел" dataDxfId="11"/>
    <tableColumn id="2" name="Содержание" dataDxfId="10"/>
    <tableColumn id="3" name="Практическое действие" dataDxfId="9"/>
    <tableColumn id="4" name="Результат" dataDxfId="8"/>
    <tableColumn id="5" name="Ограничение" dataDxfId="7"/>
    <tableColumn id="6" name="Источник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 dataDxfId="0">
  <tableColumns count="4">
    <tableColumn id="1" name="Параметр" dataDxfId="4"/>
    <tableColumn id="2" name="Значение" dataDxfId="3"/>
    <tableColumn id="3" name="Назначение" dataDxfId="2"/>
    <tableColumn id="4" name="Рекомендация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I14" sqref="I14"/>
    </sheetView>
  </sheetViews>
  <sheetFormatPr baseColWidth="8" defaultRowHeight="14.25"/>
  <cols>
    <col width="16" customWidth="1" min="1" max="1"/>
    <col width="35.75" customWidth="1" min="2" max="2"/>
    <col width="20" customWidth="1" min="3" max="3"/>
    <col width="49.25" customWidth="1" min="4" max="4"/>
    <col width="16" customWidth="1" min="5" max="8"/>
  </cols>
  <sheetData>
    <row r="1" ht="27.95" customHeight="1">
      <c r="A1" s="10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1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2" t="inlineStr">
        <is>
          <t>Блок</t>
        </is>
      </c>
      <c r="B5" s="12" t="inlineStr">
        <is>
          <t>Показатель</t>
        </is>
      </c>
      <c r="C5" s="12" t="inlineStr">
        <is>
          <t>Значение</t>
        </is>
      </c>
      <c r="D5" s="12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4" t="inlineStr">
        <is>
          <t>Данные</t>
        </is>
      </c>
      <c r="B6" s="14" t="inlineStr">
        <is>
          <t>Количество месяцев</t>
        </is>
      </c>
      <c r="C6" s="14">
        <f>Оценка_тренда!B4</f>
        <v/>
      </c>
      <c r="D6" s="14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4" t="inlineStr">
        <is>
          <t>Тренд</t>
        </is>
      </c>
      <c r="B7" s="14" t="inlineStr">
        <is>
          <t>Классификация тренда</t>
        </is>
      </c>
      <c r="C7" s="14">
        <f>Оценка_тренда!B10</f>
        <v/>
      </c>
      <c r="D7" s="14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4" t="inlineStr">
        <is>
          <t>Тренд</t>
        </is>
      </c>
      <c r="B8" s="14" t="inlineStr">
        <is>
          <t>Изменение последних 12 мес. к первым 12 мес</t>
        </is>
      </c>
      <c r="C8" s="15">
        <f>Оценка_тренда!B8</f>
        <v/>
      </c>
      <c r="D8" s="14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4" t="inlineStr">
        <is>
          <t>Сезонность</t>
        </is>
      </c>
      <c r="B9" s="14" t="inlineStr">
        <is>
          <t>Сила сезонности</t>
        </is>
      </c>
      <c r="C9" s="14">
        <f>Сезонность!B22</f>
        <v/>
      </c>
      <c r="D9" s="14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4" t="inlineStr">
        <is>
          <t>Сезонность</t>
        </is>
      </c>
      <c r="B10" s="14" t="inlineStr">
        <is>
          <t>Месяц максимума</t>
        </is>
      </c>
      <c r="C10" s="14">
        <f>Сезонность!B23</f>
        <v/>
      </c>
      <c r="D10" s="14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4" t="inlineStr">
        <is>
          <t>Сезонность</t>
        </is>
      </c>
      <c r="B11" s="14" t="inlineStr">
        <is>
          <t>Месяц минимума</t>
        </is>
      </c>
      <c r="C11" s="14">
        <f>Сезонность!B24</f>
        <v/>
      </c>
      <c r="D11" s="14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4" t="inlineStr">
        <is>
          <t>Циклы</t>
        </is>
      </c>
      <c r="B12" s="14" t="inlineStr">
        <is>
          <t>Текущая фаза</t>
        </is>
      </c>
      <c r="C12" s="14">
        <f>Деловые_циклы!B7</f>
        <v/>
      </c>
      <c r="D12" s="14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4" t="inlineStr">
        <is>
          <t>Циклы</t>
        </is>
      </c>
      <c r="B13" s="14" t="inlineStr">
        <is>
          <t>Текущий коэффициент</t>
        </is>
      </c>
      <c r="C13" s="16">
        <f>Деловые_циклы!B6</f>
        <v/>
      </c>
      <c r="D13" s="14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2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3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D9" sqref="D9"/>
    </sheetView>
  </sheetViews>
  <sheetFormatPr baseColWidth="8" defaultRowHeight="14.25"/>
  <cols>
    <col width="12" customWidth="1" min="1" max="1"/>
    <col width="34" customWidth="1" min="2" max="2"/>
    <col width="17.625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0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1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2" t="inlineStr">
        <is>
          <t>Период</t>
        </is>
      </c>
      <c r="B4" s="12" t="inlineStr">
        <is>
          <t>Кластер запросов</t>
        </is>
      </c>
      <c r="C4" s="12" t="inlineStr">
        <is>
          <t>Google Trends, 0–100</t>
        </is>
      </c>
      <c r="D4" s="12" t="inlineStr">
        <is>
          <t>Яндекс Вордстат, запросов</t>
        </is>
      </c>
      <c r="E4" s="12" t="inlineStr">
        <is>
          <t>Регион / рынок</t>
        </is>
      </c>
      <c r="F4" s="12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9" t="n">
        <v>45536</v>
      </c>
      <c r="B5" s="3" t="inlineStr">
        <is>
          <t>сеть петри</t>
        </is>
      </c>
      <c r="C5" s="6" t="n"/>
      <c r="D5" s="6" t="n">
        <v>40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9" t="n">
        <v>45566</v>
      </c>
      <c r="B6" s="3" t="inlineStr">
        <is>
          <t>сеть петри</t>
        </is>
      </c>
      <c r="C6" s="6" t="n"/>
      <c r="D6" s="6" t="n">
        <v>77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9" t="n">
        <v>45597</v>
      </c>
      <c r="B7" s="3" t="inlineStr">
        <is>
          <t>сеть петри</t>
        </is>
      </c>
      <c r="C7" s="6" t="n"/>
      <c r="D7" s="6" t="n">
        <v>26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9" t="n">
        <v>45627</v>
      </c>
      <c r="B8" s="3" t="inlineStr">
        <is>
          <t>сеть петри</t>
        </is>
      </c>
      <c r="C8" s="6" t="n"/>
      <c r="D8" s="6" t="n">
        <v>100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9" t="n">
        <v>45658</v>
      </c>
      <c r="B9" s="3" t="inlineStr">
        <is>
          <t>сеть петри</t>
        </is>
      </c>
      <c r="C9" s="6" t="n"/>
      <c r="D9" s="6" t="n">
        <v>51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9" t="n">
        <v>45689</v>
      </c>
      <c r="B10" s="3" t="inlineStr">
        <is>
          <t>сеть петри</t>
        </is>
      </c>
      <c r="C10" s="6" t="n"/>
      <c r="D10" s="6" t="n">
        <v>9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9" t="n">
        <v>45717</v>
      </c>
      <c r="B11" s="3" t="inlineStr">
        <is>
          <t>сеть петри</t>
        </is>
      </c>
      <c r="C11" s="6" t="n"/>
      <c r="D11" s="6" t="n">
        <v>12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9" t="n">
        <v>45748</v>
      </c>
      <c r="B12" s="3" t="inlineStr">
        <is>
          <t>сеть петри</t>
        </is>
      </c>
      <c r="C12" s="6" t="n"/>
      <c r="D12" s="6" t="n">
        <v>14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9" t="n">
        <v>45778</v>
      </c>
      <c r="B13" s="3" t="inlineStr">
        <is>
          <t>сеть петри</t>
        </is>
      </c>
      <c r="C13" s="6" t="n"/>
      <c r="D13" s="6" t="n">
        <v>39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9" t="n">
        <v>45809</v>
      </c>
      <c r="B14" s="3" t="inlineStr">
        <is>
          <t>сеть петри</t>
        </is>
      </c>
      <c r="C14" s="6" t="n"/>
      <c r="D14" s="6" t="n">
        <v>20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9" t="n">
        <v>45839</v>
      </c>
      <c r="B15" s="3" t="inlineStr">
        <is>
          <t>сеть петри</t>
        </is>
      </c>
      <c r="C15" s="6" t="n"/>
      <c r="D15" s="6" t="n">
        <v>8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9" t="n">
        <v>45870</v>
      </c>
      <c r="B16" s="3" t="inlineStr">
        <is>
          <t>сеть петри</t>
        </is>
      </c>
      <c r="C16" s="6" t="n"/>
      <c r="D16" s="6" t="n">
        <v>8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9" t="n">
        <v>45901</v>
      </c>
      <c r="B17" s="3" t="inlineStr">
        <is>
          <t>сеть петри</t>
        </is>
      </c>
      <c r="C17" s="6" t="n"/>
      <c r="D17" s="6" t="n">
        <v>7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9" t="n">
        <v>45931</v>
      </c>
      <c r="B18" s="3" t="inlineStr">
        <is>
          <t>сеть петри</t>
        </is>
      </c>
      <c r="C18" s="6" t="n"/>
      <c r="D18" s="6" t="n">
        <v>53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9" t="n">
        <v>45962</v>
      </c>
      <c r="B19" s="3" t="inlineStr">
        <is>
          <t>сеть петри</t>
        </is>
      </c>
      <c r="C19" s="6" t="n"/>
      <c r="D19" s="6" t="n">
        <v>54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9" t="n">
        <v>45992</v>
      </c>
      <c r="B20" s="3" t="inlineStr">
        <is>
          <t>сеть петри</t>
        </is>
      </c>
      <c r="C20" s="6" t="n"/>
      <c r="D20" s="6" t="n">
        <v>9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9" t="n">
        <v>46023</v>
      </c>
      <c r="B21" s="3" t="inlineStr">
        <is>
          <t>сеть петри</t>
        </is>
      </c>
      <c r="C21" s="6" t="n"/>
      <c r="D21" s="6" t="n">
        <v>4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9" t="n">
        <v>46054</v>
      </c>
      <c r="B22" s="3" t="inlineStr">
        <is>
          <t>сеть петри</t>
        </is>
      </c>
      <c r="C22" s="6" t="n"/>
      <c r="D22" s="6" t="n">
        <v>10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9" t="n">
        <v>46082</v>
      </c>
      <c r="B23" s="3" t="inlineStr">
        <is>
          <t>сеть петри</t>
        </is>
      </c>
      <c r="C23" s="6" t="n"/>
      <c r="D23" s="6" t="n">
        <v>13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9" t="n">
        <v>46113</v>
      </c>
      <c r="B24" s="3" t="inlineStr">
        <is>
          <t>сеть петри</t>
        </is>
      </c>
      <c r="C24" s="6" t="n"/>
      <c r="D24" s="6" t="n">
        <v>7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9" t="n">
        <v>46143</v>
      </c>
      <c r="B25" s="3" t="inlineStr">
        <is>
          <t>сеть петри</t>
        </is>
      </c>
      <c r="C25" s="6" t="n"/>
      <c r="D25" s="6" t="n">
        <v>8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9" t="n">
        <v>46174</v>
      </c>
      <c r="B26" s="3" t="inlineStr">
        <is>
          <t>сеть петри</t>
        </is>
      </c>
      <c r="C26" s="6" t="n"/>
      <c r="D26" s="6" t="n">
        <v>31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9" t="n">
        <v>46204</v>
      </c>
      <c r="B27" s="3" t="inlineStr">
        <is>
          <t>сеть петри</t>
        </is>
      </c>
      <c r="C27" s="6" t="n"/>
      <c r="D27" s="6" t="n">
        <v>2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9" t="n">
        <v>46235</v>
      </c>
      <c r="B28" s="3" t="inlineStr">
        <is>
          <t>сеть петри</t>
        </is>
      </c>
      <c r="C28" s="6" t="n"/>
      <c r="D28" s="6" t="n">
        <v>4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M31" sqref="M31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6.75" customWidth="1" min="8" max="8"/>
    <col width="10" customWidth="1" min="9" max="9"/>
    <col width="16.875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0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1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2" t="inlineStr">
        <is>
          <t>Период</t>
        </is>
      </c>
      <c r="B4" s="12" t="inlineStr">
        <is>
          <t>Месяц №</t>
        </is>
      </c>
      <c r="C4" s="12" t="inlineStr">
        <is>
          <t>Месяц</t>
        </is>
      </c>
      <c r="D4" s="12" t="inlineStr">
        <is>
          <t>Google Trends</t>
        </is>
      </c>
      <c r="E4" s="12" t="inlineStr">
        <is>
          <t>Вордстат</t>
        </is>
      </c>
      <c r="F4" s="12" t="inlineStr">
        <is>
          <t>Вордстат норм. 0–100</t>
        </is>
      </c>
      <c r="G4" s="12" t="inlineStr">
        <is>
          <t>Сводный индекс</t>
        </is>
      </c>
      <c r="H4" s="12" t="inlineStr">
        <is>
          <t>Тренд: скользящее среднее 12 мес</t>
        </is>
      </c>
      <c r="I4" s="12" t="inlineStr">
        <is>
          <t>Y/T</t>
        </is>
      </c>
      <c r="J4" s="12" t="inlineStr">
        <is>
          <t>Сезонно очищенный индекс</t>
        </is>
      </c>
      <c r="K4" s="12" t="inlineStr">
        <is>
          <t>Циклический коэффициент</t>
        </is>
      </c>
      <c r="L4" s="12" t="inlineStr">
        <is>
          <t>Фаза цикла</t>
        </is>
      </c>
      <c r="M4" s="12" t="inlineStr">
        <is>
          <t>Комментарий</t>
        </is>
      </c>
      <c r="N4" s="12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5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4">
        <f>IF(Ввод_данных!C5="","",Ввод_данных!C5)</f>
        <v/>
      </c>
      <c r="E5" s="4">
        <f>IF(Ввод_данных!D5="","",Ввод_данных!D5)</f>
        <v/>
      </c>
      <c r="F5" s="4">
        <f>IF(E5="","",IF(MAX($E\$5:$E\$64)=0,"",E5/MAX($E\$5:$E\$64)*100))</f>
        <v/>
      </c>
      <c r="G5" s="4">
        <f>IF(COUNT(D5,F5)=0,"",IF(COUNT(D5,F5)=2,D5*Настройки!$B\$4+F5*Настройки!$B\$5,IF(D5&lt;&gt;"",D5,F5)))</f>
        <v/>
      </c>
      <c r="H5" s="4">
        <f>IF(OR(G5="",COUNT($G\$5:G5)&lt;12),"","")</f>
        <v/>
      </c>
      <c r="I5" s="4">
        <f>IF(OR(G5="",H5="",H5=0),"",G5/H5)</f>
        <v/>
      </c>
      <c r="J5" s="4">
        <f>IF(OR(G5="",IFERROR(VLOOKUP(B5,Сезонность!$A\$4:$D\$15,4,FALSE),0)=0),"",G5/IFERROR(VLOOKUP(B5,Сезонность!$A\$4:$D\$15,4,FALSE),1))</f>
        <v/>
      </c>
      <c r="K5" s="4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5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4">
        <f>IF(Ввод_данных!C6="","",Ввод_данных!C6)</f>
        <v/>
      </c>
      <c r="E6" s="4">
        <f>IF(Ввод_данных!D6="","",Ввод_данных!D6)</f>
        <v/>
      </c>
      <c r="F6" s="4">
        <f>IF(E6="","",IF(MAX($E\$5:$E\$64)=0,"",E6/MAX($E\$5:$E\$64)*100))</f>
        <v/>
      </c>
      <c r="G6" s="4">
        <f>IF(COUNT(D6,F6)=0,"",IF(COUNT(D6,F6)=2,D6*Настройки!$B\$4+F6*Настройки!$B\$5,IF(D6&lt;&gt;"",D6,F6)))</f>
        <v/>
      </c>
      <c r="H6" s="4">
        <f>IF(OR(G6="",COUNT($G\$5:G6)&lt;12),"","")</f>
        <v/>
      </c>
      <c r="I6" s="4">
        <f>IF(OR(G6="",H6="",H6=0),"",G6/H6)</f>
        <v/>
      </c>
      <c r="J6" s="4">
        <f>IF(OR(G6="",IFERROR(VLOOKUP(B6,Сезонность!$A\$4:$D\$15,4,FALSE),0)=0),"",G6/IFERROR(VLOOKUP(B6,Сезонность!$A\$4:$D\$15,4,FALSE),1))</f>
        <v/>
      </c>
      <c r="K6" s="4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6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5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4">
        <f>IF(Ввод_данных!C7="","",Ввод_данных!C7)</f>
        <v/>
      </c>
      <c r="E7" s="4">
        <f>IF(Ввод_данных!D7="","",Ввод_данных!D7)</f>
        <v/>
      </c>
      <c r="F7" s="4">
        <f>IF(E7="","",IF(MAX($E\$5:$E\$64)=0,"",E7/MAX($E\$5:$E\$64)*100))</f>
        <v/>
      </c>
      <c r="G7" s="4">
        <f>IF(COUNT(D7,F7)=0,"",IF(COUNT(D7,F7)=2,D7*Настройки!$B\$4+F7*Настройки!$B\$5,IF(D7&lt;&gt;"",D7,F7)))</f>
        <v/>
      </c>
      <c r="H7" s="4">
        <f>IF(OR(G7="",COUNT($G\$5:G7)&lt;12),"","")</f>
        <v/>
      </c>
      <c r="I7" s="4">
        <f>IF(OR(G7="",H7="",H7=0),"",G7/H7)</f>
        <v/>
      </c>
      <c r="J7" s="4">
        <f>IF(OR(G7="",IFERROR(VLOOKUP(B7,Сезонность!$A\$4:$D\$15,4,FALSE),0)=0),"",G7/IFERROR(VLOOKUP(B7,Сезонность!$A\$4:$D\$15,4,FALSE),1))</f>
        <v/>
      </c>
      <c r="K7" s="4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6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5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4">
        <f>IF(Ввод_данных!C8="","",Ввод_данных!C8)</f>
        <v/>
      </c>
      <c r="E8" s="4">
        <f>IF(Ввод_данных!D8="","",Ввод_данных!D8)</f>
        <v/>
      </c>
      <c r="F8" s="4">
        <f>IF(E8="","",IF(MAX($E\$5:$E\$64)=0,"",E8/MAX($E\$5:$E\$64)*100))</f>
        <v/>
      </c>
      <c r="G8" s="4">
        <f>IF(COUNT(D8,F8)=0,"",IF(COUNT(D8,F8)=2,D8*Настройки!$B\$4+F8*Настройки!$B\$5,IF(D8&lt;&gt;"",D8,F8)))</f>
        <v/>
      </c>
      <c r="H8" s="4">
        <f>IF(OR(G8="",COUNT($G\$5:G8)&lt;12),"","")</f>
        <v/>
      </c>
      <c r="I8" s="4">
        <f>IF(OR(G8="",H8="",H8=0),"",G8/H8)</f>
        <v/>
      </c>
      <c r="J8" s="4">
        <f>IF(OR(G8="",IFERROR(VLOOKUP(B8,Сезонность!$A\$4:$D\$15,4,FALSE),0)=0),"",G8/IFERROR(VLOOKUP(B8,Сезонность!$A\$4:$D\$15,4,FALSE),1))</f>
        <v/>
      </c>
      <c r="K8" s="4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6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5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4">
        <f>IF(Ввод_данных!C9="","",Ввод_данных!C9)</f>
        <v/>
      </c>
      <c r="E9" s="4">
        <f>IF(Ввод_данных!D9="","",Ввод_данных!D9)</f>
        <v/>
      </c>
      <c r="F9" s="4">
        <f>IF(E9="","",IF(MAX($E\$5:$E\$64)=0,"",E9/MAX($E\$5:$E\$64)*100))</f>
        <v/>
      </c>
      <c r="G9" s="4">
        <f>IF(COUNT(D9,F9)=0,"",IF(COUNT(D9,F9)=2,D9*Настройки!$B\$4+F9*Настройки!$B\$5,IF(D9&lt;&gt;"",D9,F9)))</f>
        <v/>
      </c>
      <c r="H9" s="4">
        <f>IF(OR(G9="",COUNT($G\$5:G9)&lt;12),"","")</f>
        <v/>
      </c>
      <c r="I9" s="4">
        <f>IF(OR(G9="",H9="",H9=0),"",G9/H9)</f>
        <v/>
      </c>
      <c r="J9" s="4">
        <f>IF(OR(G9="",IFERROR(VLOOKUP(B9,Сезонность!$A\$4:$D\$15,4,FALSE),0)=0),"",G9/IFERROR(VLOOKUP(B9,Сезонность!$A\$4:$D\$15,4,FALSE),1))</f>
        <v/>
      </c>
      <c r="K9" s="4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6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5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4">
        <f>IF(Ввод_данных!C10="","",Ввод_данных!C10)</f>
        <v/>
      </c>
      <c r="E10" s="4">
        <f>IF(Ввод_данных!D10="","",Ввод_данных!D10)</f>
        <v/>
      </c>
      <c r="F10" s="4">
        <f>IF(E10="","",IF(MAX($E\$5:$E\$64)=0,"",E10/MAX($E\$5:$E\$64)*100))</f>
        <v/>
      </c>
      <c r="G10" s="4">
        <f>IF(COUNT(D10,F10)=0,"",IF(COUNT(D10,F10)=2,D10*Настройки!$B\$4+F10*Настройки!$B\$5,IF(D10&lt;&gt;"",D10,F10)))</f>
        <v/>
      </c>
      <c r="H10" s="4">
        <f>IF(OR(G10="",COUNT($G\$5:G10)&lt;12),"","")</f>
        <v/>
      </c>
      <c r="I10" s="4">
        <f>IF(OR(G10="",H10="",H10=0),"",G10/H10)</f>
        <v/>
      </c>
      <c r="J10" s="4">
        <f>IF(OR(G10="",IFERROR(VLOOKUP(B10,Сезонность!$A\$4:$D\$15,4,FALSE),0)=0),"",G10/IFERROR(VLOOKUP(B10,Сезонность!$A\$4:$D\$15,4,FALSE),1))</f>
        <v/>
      </c>
      <c r="K10" s="4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6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5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4">
        <f>IF(Ввод_данных!C11="","",Ввод_данных!C11)</f>
        <v/>
      </c>
      <c r="E11" s="4">
        <f>IF(Ввод_данных!D11="","",Ввод_данных!D11)</f>
        <v/>
      </c>
      <c r="F11" s="4">
        <f>IF(E11="","",IF(MAX($E\$5:$E\$64)=0,"",E11/MAX($E\$5:$E\$64)*100))</f>
        <v/>
      </c>
      <c r="G11" s="4">
        <f>IF(COUNT(D11,F11)=0,"",IF(COUNT(D11,F11)=2,D11*Настройки!$B\$4+F11*Настройки!$B\$5,IF(D11&lt;&gt;"",D11,F11)))</f>
        <v/>
      </c>
      <c r="H11" s="4">
        <f>IF(OR(G11="",COUNT($G\$5:G11)&lt;12),"","")</f>
        <v/>
      </c>
      <c r="I11" s="4">
        <f>IF(OR(G11="",H11="",H11=0),"",G11/H11)</f>
        <v/>
      </c>
      <c r="J11" s="4">
        <f>IF(OR(G11="",IFERROR(VLOOKUP(B11,Сезонность!$A\$4:$D\$15,4,FALSE),0)=0),"",G11/IFERROR(VLOOKUP(B11,Сезонность!$A\$4:$D\$15,4,FALSE),1))</f>
        <v/>
      </c>
      <c r="K11" s="4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6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5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4">
        <f>IF(Ввод_данных!C12="","",Ввод_данных!C12)</f>
        <v/>
      </c>
      <c r="E12" s="4">
        <f>IF(Ввод_данных!D12="","",Ввод_данных!D12)</f>
        <v/>
      </c>
      <c r="F12" s="4">
        <f>IF(E12="","",IF(MAX($E\$5:$E\$64)=0,"",E12/MAX($E\$5:$E\$64)*100))</f>
        <v/>
      </c>
      <c r="G12" s="4">
        <f>IF(COUNT(D12,F12)=0,"",IF(COUNT(D12,F12)=2,D12*Настройки!$B\$4+F12*Настройки!$B\$5,IF(D12&lt;&gt;"",D12,F12)))</f>
        <v/>
      </c>
      <c r="H12" s="4">
        <f>IF(OR(G12="",COUNT($G\$5:G12)&lt;12),"","")</f>
        <v/>
      </c>
      <c r="I12" s="4">
        <f>IF(OR(G12="",H12="",H12=0),"",G12/H12)</f>
        <v/>
      </c>
      <c r="J12" s="4">
        <f>IF(OR(G12="",IFERROR(VLOOKUP(B12,Сезонность!$A\$4:$D\$15,4,FALSE),0)=0),"",G12/IFERROR(VLOOKUP(B12,Сезонность!$A\$4:$D\$15,4,FALSE),1))</f>
        <v/>
      </c>
      <c r="K12" s="4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6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5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4">
        <f>IF(Ввод_данных!C13="","",Ввод_данных!C13)</f>
        <v/>
      </c>
      <c r="E13" s="4">
        <f>IF(Ввод_данных!D13="","",Ввод_данных!D13)</f>
        <v/>
      </c>
      <c r="F13" s="4">
        <f>IF(E13="","",IF(MAX($E\$5:$E\$64)=0,"",E13/MAX($E\$5:$E\$64)*100))</f>
        <v/>
      </c>
      <c r="G13" s="4">
        <f>IF(COUNT(D13,F13)=0,"",IF(COUNT(D13,F13)=2,D13*Настройки!$B\$4+F13*Настройки!$B\$5,IF(D13&lt;&gt;"",D13,F13)))</f>
        <v/>
      </c>
      <c r="H13" s="4">
        <f>IF(OR(G13="",COUNT($G\$5:G13)&lt;12),"","")</f>
        <v/>
      </c>
      <c r="I13" s="4">
        <f>IF(OR(G13="",H13="",H13=0),"",G13/H13)</f>
        <v/>
      </c>
      <c r="J13" s="4">
        <f>IF(OR(G13="",IFERROR(VLOOKUP(B13,Сезонность!$A\$4:$D\$15,4,FALSE),0)=0),"",G13/IFERROR(VLOOKUP(B13,Сезонность!$A\$4:$D\$15,4,FALSE),1))</f>
        <v/>
      </c>
      <c r="K13" s="4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6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5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4">
        <f>IF(Ввод_данных!C14="","",Ввод_данных!C14)</f>
        <v/>
      </c>
      <c r="E14" s="4">
        <f>IF(Ввод_данных!D14="","",Ввод_данных!D14)</f>
        <v/>
      </c>
      <c r="F14" s="4">
        <f>IF(E14="","",IF(MAX($E\$5:$E\$64)=0,"",E14/MAX($E\$5:$E\$64)*100))</f>
        <v/>
      </c>
      <c r="G14" s="4">
        <f>IF(COUNT(D14,F14)=0,"",IF(COUNT(D14,F14)=2,D14*Настройки!$B\$4+F14*Настройки!$B\$5,IF(D14&lt;&gt;"",D14,F14)))</f>
        <v/>
      </c>
      <c r="H14" s="4">
        <f>IF(OR(G14="",COUNT($G\$5:G14)&lt;12),"","")</f>
        <v/>
      </c>
      <c r="I14" s="4">
        <f>IF(OR(G14="",H14="",H14=0),"",G14/H14)</f>
        <v/>
      </c>
      <c r="J14" s="4">
        <f>IF(OR(G14="",IFERROR(VLOOKUP(B14,Сезонность!$A\$4:$D\$15,4,FALSE),0)=0),"",G14/IFERROR(VLOOKUP(B14,Сезонность!$A\$4:$D\$15,4,FALSE),1))</f>
        <v/>
      </c>
      <c r="K14" s="4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6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5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4">
        <f>IF(Ввод_данных!C15="","",Ввод_данных!C15)</f>
        <v/>
      </c>
      <c r="E15" s="4">
        <f>IF(Ввод_данных!D15="","",Ввод_данных!D15)</f>
        <v/>
      </c>
      <c r="F15" s="4">
        <f>IF(E15="","",IF(MAX($E\$5:$E\$64)=0,"",E15/MAX($E\$5:$E\$64)*100))</f>
        <v/>
      </c>
      <c r="G15" s="4">
        <f>IF(COUNT(D15,F15)=0,"",IF(COUNT(D15,F15)=2,D15*Настройки!$B\$4+F15*Настройки!$B\$5,IF(D15&lt;&gt;"",D15,F15)))</f>
        <v/>
      </c>
      <c r="H15" s="4">
        <f>IF(OR(G15="",COUNT($G\$5:G15)&lt;12),"","")</f>
        <v/>
      </c>
      <c r="I15" s="4">
        <f>IF(OR(G15="",H15="",H15=0),"",G15/H15)</f>
        <v/>
      </c>
      <c r="J15" s="4">
        <f>IF(OR(G15="",IFERROR(VLOOKUP(B15,Сезонность!$A\$4:$D\$15,4,FALSE),0)=0),"",G15/IFERROR(VLOOKUP(B15,Сезонность!$A\$4:$D\$15,4,FALSE),1))</f>
        <v/>
      </c>
      <c r="K15" s="4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6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5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4">
        <f>IF(Ввод_данных!C16="","",Ввод_данных!C16)</f>
        <v/>
      </c>
      <c r="E16" s="4">
        <f>IF(Ввод_данных!D16="","",Ввод_данных!D16)</f>
        <v/>
      </c>
      <c r="F16" s="4">
        <f>IF(E16="","",IF(MAX($E\$5:$E\$64)=0,"",E16/MAX($E\$5:$E\$64)*100))</f>
        <v/>
      </c>
      <c r="G16" s="4">
        <f>IF(COUNT(D16,F16)=0,"",IF(COUNT(D16,F16)=2,D16*Настройки!$B\$4+F16*Настройки!$B\$5,IF(D16&lt;&gt;"",D16,F16)))</f>
        <v/>
      </c>
      <c r="H16" s="4">
        <f>IF(OR(G16="",COUNT($G\$5:G16)&lt;12),"",AVERAGE(G5:G16))</f>
        <v/>
      </c>
      <c r="I16" s="4">
        <f>IF(OR(G16="",H16="",H16=0),"",G16/H16)</f>
        <v/>
      </c>
      <c r="J16" s="4">
        <f>IF(OR(G16="",IFERROR(VLOOKUP(B16,Сезонность!$A\$4:$D\$15,4,FALSE),0)=0),"",G16/IFERROR(VLOOKUP(B16,Сезонность!$A\$4:$D\$15,4,FALSE),1))</f>
        <v/>
      </c>
      <c r="K16" s="4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6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5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4">
        <f>IF(Ввод_данных!C17="","",Ввод_данных!C17)</f>
        <v/>
      </c>
      <c r="E17" s="4">
        <f>IF(Ввод_данных!D17="","",Ввод_данных!D17)</f>
        <v/>
      </c>
      <c r="F17" s="4">
        <f>IF(E17="","",IF(MAX($E\$5:$E\$64)=0,"",E17/MAX($E\$5:$E\$64)*100))</f>
        <v/>
      </c>
      <c r="G17" s="4">
        <f>IF(COUNT(D17,F17)=0,"",IF(COUNT(D17,F17)=2,D17*Настройки!$B\$4+F17*Настройки!$B\$5,IF(D17&lt;&gt;"",D17,F17)))</f>
        <v/>
      </c>
      <c r="H17" s="4">
        <f>IF(OR(G17="",COUNT($G\$5:G17)&lt;12),"",AVERAGE(G6:G17))</f>
        <v/>
      </c>
      <c r="I17" s="4">
        <f>IF(OR(G17="",H17="",H17=0),"",G17/H17)</f>
        <v/>
      </c>
      <c r="J17" s="4">
        <f>IF(OR(G17="",IFERROR(VLOOKUP(B17,Сезонность!$A\$4:$D\$15,4,FALSE),0)=0),"",G17/IFERROR(VLOOKUP(B17,Сезонность!$A\$4:$D\$15,4,FALSE),1))</f>
        <v/>
      </c>
      <c r="K17" s="4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6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5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4">
        <f>IF(Ввод_данных!C18="","",Ввод_данных!C18)</f>
        <v/>
      </c>
      <c r="E18" s="4">
        <f>IF(Ввод_данных!D18="","",Ввод_данных!D18)</f>
        <v/>
      </c>
      <c r="F18" s="4">
        <f>IF(E18="","",IF(MAX($E\$5:$E\$64)=0,"",E18/MAX($E\$5:$E\$64)*100))</f>
        <v/>
      </c>
      <c r="G18" s="4">
        <f>IF(COUNT(D18,F18)=0,"",IF(COUNT(D18,F18)=2,D18*Настройки!$B\$4+F18*Настройки!$B\$5,IF(D18&lt;&gt;"",D18,F18)))</f>
        <v/>
      </c>
      <c r="H18" s="4">
        <f>IF(OR(G18="",COUNT($G\$5:G18)&lt;12),"",AVERAGE(G7:G18))</f>
        <v/>
      </c>
      <c r="I18" s="4">
        <f>IF(OR(G18="",H18="",H18=0),"",G18/H18)</f>
        <v/>
      </c>
      <c r="J18" s="4">
        <f>IF(OR(G18="",IFERROR(VLOOKUP(B18,Сезонность!$A\$4:$D\$15,4,FALSE),0)=0),"",G18/IFERROR(VLOOKUP(B18,Сезонность!$A\$4:$D\$15,4,FALSE),1))</f>
        <v/>
      </c>
      <c r="K18" s="4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6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5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4">
        <f>IF(Ввод_данных!C19="","",Ввод_данных!C19)</f>
        <v/>
      </c>
      <c r="E19" s="4">
        <f>IF(Ввод_данных!D19="","",Ввод_данных!D19)</f>
        <v/>
      </c>
      <c r="F19" s="4">
        <f>IF(E19="","",IF(MAX($E\$5:$E\$64)=0,"",E19/MAX($E\$5:$E\$64)*100))</f>
        <v/>
      </c>
      <c r="G19" s="4">
        <f>IF(COUNT(D19,F19)=0,"",IF(COUNT(D19,F19)=2,D19*Настройки!$B\$4+F19*Настройки!$B\$5,IF(D19&lt;&gt;"",D19,F19)))</f>
        <v/>
      </c>
      <c r="H19" s="4">
        <f>IF(OR(G19="",COUNT($G\$5:G19)&lt;12),"",AVERAGE(G8:G19))</f>
        <v/>
      </c>
      <c r="I19" s="4">
        <f>IF(OR(G19="",H19="",H19=0),"",G19/H19)</f>
        <v/>
      </c>
      <c r="J19" s="4">
        <f>IF(OR(G19="",IFERROR(VLOOKUP(B19,Сезонность!$A\$4:$D\$15,4,FALSE),0)=0),"",G19/IFERROR(VLOOKUP(B19,Сезонность!$A\$4:$D\$15,4,FALSE),1))</f>
        <v/>
      </c>
      <c r="K19" s="4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6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5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4">
        <f>IF(Ввод_данных!C20="","",Ввод_данных!C20)</f>
        <v/>
      </c>
      <c r="E20" s="4">
        <f>IF(Ввод_данных!D20="","",Ввод_данных!D20)</f>
        <v/>
      </c>
      <c r="F20" s="4">
        <f>IF(E20="","",IF(MAX($E\$5:$E\$64)=0,"",E20/MAX($E\$5:$E\$64)*100))</f>
        <v/>
      </c>
      <c r="G20" s="4">
        <f>IF(COUNT(D20,F20)=0,"",IF(COUNT(D20,F20)=2,D20*Настройки!$B\$4+F20*Настройки!$B\$5,IF(D20&lt;&gt;"",D20,F20)))</f>
        <v/>
      </c>
      <c r="H20" s="4">
        <f>IF(OR(G20="",COUNT($G\$5:G20)&lt;12),"",AVERAGE(G9:G20))</f>
        <v/>
      </c>
      <c r="I20" s="4">
        <f>IF(OR(G20="",H20="",H20=0),"",G20/H20)</f>
        <v/>
      </c>
      <c r="J20" s="4">
        <f>IF(OR(G20="",IFERROR(VLOOKUP(B20,Сезонность!$A\$4:$D\$15,4,FALSE),0)=0),"",G20/IFERROR(VLOOKUP(B20,Сезонность!$A\$4:$D\$15,4,FALSE),1))</f>
        <v/>
      </c>
      <c r="K20" s="4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6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5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4">
        <f>IF(Ввод_данных!C21="","",Ввод_данных!C21)</f>
        <v/>
      </c>
      <c r="E21" s="4">
        <f>IF(Ввод_данных!D21="","",Ввод_данных!D21)</f>
        <v/>
      </c>
      <c r="F21" s="4">
        <f>IF(E21="","",IF(MAX($E\$5:$E\$64)=0,"",E21/MAX($E\$5:$E\$64)*100))</f>
        <v/>
      </c>
      <c r="G21" s="4">
        <f>IF(COUNT(D21,F21)=0,"",IF(COUNT(D21,F21)=2,D21*Настройки!$B\$4+F21*Настройки!$B\$5,IF(D21&lt;&gt;"",D21,F21)))</f>
        <v/>
      </c>
      <c r="H21" s="4">
        <f>IF(OR(G21="",COUNT($G\$5:G21)&lt;12),"",AVERAGE(G10:G21))</f>
        <v/>
      </c>
      <c r="I21" s="4">
        <f>IF(OR(G21="",H21="",H21=0),"",G21/H21)</f>
        <v/>
      </c>
      <c r="J21" s="4">
        <f>IF(OR(G21="",IFERROR(VLOOKUP(B21,Сезонность!$A\$4:$D\$15,4,FALSE),0)=0),"",G21/IFERROR(VLOOKUP(B21,Сезонность!$A\$4:$D\$15,4,FALSE),1))</f>
        <v/>
      </c>
      <c r="K21" s="4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6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5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4">
        <f>IF(Ввод_данных!C22="","",Ввод_данных!C22)</f>
        <v/>
      </c>
      <c r="E22" s="4">
        <f>IF(Ввод_данных!D22="","",Ввод_данных!D22)</f>
        <v/>
      </c>
      <c r="F22" s="4">
        <f>IF(E22="","",IF(MAX($E\$5:$E\$64)=0,"",E22/MAX($E\$5:$E\$64)*100))</f>
        <v/>
      </c>
      <c r="G22" s="4">
        <f>IF(COUNT(D22,F22)=0,"",IF(COUNT(D22,F22)=2,D22*Настройки!$B\$4+F22*Настройки!$B\$5,IF(D22&lt;&gt;"",D22,F22)))</f>
        <v/>
      </c>
      <c r="H22" s="4">
        <f>IF(OR(G22="",COUNT($G\$5:G22)&lt;12),"",AVERAGE(G11:G22))</f>
        <v/>
      </c>
      <c r="I22" s="4">
        <f>IF(OR(G22="",H22="",H22=0),"",G22/H22)</f>
        <v/>
      </c>
      <c r="J22" s="4">
        <f>IF(OR(G22="",IFERROR(VLOOKUP(B22,Сезонность!$A\$4:$D\$15,4,FALSE),0)=0),"",G22/IFERROR(VLOOKUP(B22,Сезонность!$A\$4:$D\$15,4,FALSE),1))</f>
        <v/>
      </c>
      <c r="K22" s="4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6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5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4">
        <f>IF(Ввод_данных!C23="","",Ввод_данных!C23)</f>
        <v/>
      </c>
      <c r="E23" s="4">
        <f>IF(Ввод_данных!D23="","",Ввод_данных!D23)</f>
        <v/>
      </c>
      <c r="F23" s="4">
        <f>IF(E23="","",IF(MAX($E\$5:$E\$64)=0,"",E23/MAX($E\$5:$E\$64)*100))</f>
        <v/>
      </c>
      <c r="G23" s="4">
        <f>IF(COUNT(D23,F23)=0,"",IF(COUNT(D23,F23)=2,D23*Настройки!$B\$4+F23*Настройки!$B\$5,IF(D23&lt;&gt;"",D23,F23)))</f>
        <v/>
      </c>
      <c r="H23" s="4">
        <f>IF(OR(G23="",COUNT($G\$5:G23)&lt;12),"",AVERAGE(G12:G23))</f>
        <v/>
      </c>
      <c r="I23" s="4">
        <f>IF(OR(G23="",H23="",H23=0),"",G23/H23)</f>
        <v/>
      </c>
      <c r="J23" s="4">
        <f>IF(OR(G23="",IFERROR(VLOOKUP(B23,Сезонность!$A\$4:$D\$15,4,FALSE),0)=0),"",G23/IFERROR(VLOOKUP(B23,Сезонность!$A\$4:$D\$15,4,FALSE),1))</f>
        <v/>
      </c>
      <c r="K23" s="4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6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5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4">
        <f>IF(Ввод_данных!C24="","",Ввод_данных!C24)</f>
        <v/>
      </c>
      <c r="E24" s="4">
        <f>IF(Ввод_данных!D24="","",Ввод_данных!D24)</f>
        <v/>
      </c>
      <c r="F24" s="4">
        <f>IF(E24="","",IF(MAX($E\$5:$E\$64)=0,"",E24/MAX($E\$5:$E\$64)*100))</f>
        <v/>
      </c>
      <c r="G24" s="4">
        <f>IF(COUNT(D24,F24)=0,"",IF(COUNT(D24,F24)=2,D24*Настройки!$B\$4+F24*Настройки!$B\$5,IF(D24&lt;&gt;"",D24,F24)))</f>
        <v/>
      </c>
      <c r="H24" s="4">
        <f>IF(OR(G24="",COUNT($G\$5:G24)&lt;12),"",AVERAGE(G13:G24))</f>
        <v/>
      </c>
      <c r="I24" s="4">
        <f>IF(OR(G24="",H24="",H24=0),"",G24/H24)</f>
        <v/>
      </c>
      <c r="J24" s="4">
        <f>IF(OR(G24="",IFERROR(VLOOKUP(B24,Сезонность!$A\$4:$D\$15,4,FALSE),0)=0),"",G24/IFERROR(VLOOKUP(B24,Сезонность!$A\$4:$D\$15,4,FALSE),1))</f>
        <v/>
      </c>
      <c r="K24" s="4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6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5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4">
        <f>IF(Ввод_данных!C25="","",Ввод_данных!C25)</f>
        <v/>
      </c>
      <c r="E25" s="4">
        <f>IF(Ввод_данных!D25="","",Ввод_данных!D25)</f>
        <v/>
      </c>
      <c r="F25" s="4">
        <f>IF(E25="","",IF(MAX($E\$5:$E\$64)=0,"",E25/MAX($E\$5:$E\$64)*100))</f>
        <v/>
      </c>
      <c r="G25" s="4">
        <f>IF(COUNT(D25,F25)=0,"",IF(COUNT(D25,F25)=2,D25*Настройки!$B\$4+F25*Настройки!$B\$5,IF(D25&lt;&gt;"",D25,F25)))</f>
        <v/>
      </c>
      <c r="H25" s="4">
        <f>IF(OR(G25="",COUNT($G\$5:G25)&lt;12),"",AVERAGE(G14:G25))</f>
        <v/>
      </c>
      <c r="I25" s="4">
        <f>IF(OR(G25="",H25="",H25=0),"",G25/H25)</f>
        <v/>
      </c>
      <c r="J25" s="4">
        <f>IF(OR(G25="",IFERROR(VLOOKUP(B25,Сезонность!$A\$4:$D\$15,4,FALSE),0)=0),"",G25/IFERROR(VLOOKUP(B25,Сезонность!$A\$4:$D\$15,4,FALSE),1))</f>
        <v/>
      </c>
      <c r="K25" s="4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6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5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4">
        <f>IF(Ввод_данных!C26="","",Ввод_данных!C26)</f>
        <v/>
      </c>
      <c r="E26" s="4">
        <f>IF(Ввод_данных!D26="","",Ввод_данных!D26)</f>
        <v/>
      </c>
      <c r="F26" s="4">
        <f>IF(E26="","",IF(MAX($E\$5:$E\$64)=0,"",E26/MAX($E\$5:$E\$64)*100))</f>
        <v/>
      </c>
      <c r="G26" s="4">
        <f>IF(COUNT(D26,F26)=0,"",IF(COUNT(D26,F26)=2,D26*Настройки!$B\$4+F26*Настройки!$B\$5,IF(D26&lt;&gt;"",D26,F26)))</f>
        <v/>
      </c>
      <c r="H26" s="4">
        <f>IF(OR(G26="",COUNT($G\$5:G26)&lt;12),"",AVERAGE(G15:G26))</f>
        <v/>
      </c>
      <c r="I26" s="4">
        <f>IF(OR(G26="",H26="",H26=0),"",G26/H26)</f>
        <v/>
      </c>
      <c r="J26" s="4">
        <f>IF(OR(G26="",IFERROR(VLOOKUP(B26,Сезонность!$A\$4:$D\$15,4,FALSE),0)=0),"",G26/IFERROR(VLOOKUP(B26,Сезонность!$A\$4:$D\$15,4,FALSE),1))</f>
        <v/>
      </c>
      <c r="K26" s="4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6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5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4">
        <f>IF(Ввод_данных!C27="","",Ввод_данных!C27)</f>
        <v/>
      </c>
      <c r="E27" s="4">
        <f>IF(Ввод_данных!D27="","",Ввод_данных!D27)</f>
        <v/>
      </c>
      <c r="F27" s="4">
        <f>IF(E27="","",IF(MAX($E\$5:$E\$64)=0,"",E27/MAX($E\$5:$E\$64)*100))</f>
        <v/>
      </c>
      <c r="G27" s="4">
        <f>IF(COUNT(D27,F27)=0,"",IF(COUNT(D27,F27)=2,D27*Настройки!$B\$4+F27*Настройки!$B\$5,IF(D27&lt;&gt;"",D27,F27)))</f>
        <v/>
      </c>
      <c r="H27" s="4">
        <f>IF(OR(G27="",COUNT($G\$5:G27)&lt;12),"",AVERAGE(G16:G27))</f>
        <v/>
      </c>
      <c r="I27" s="4">
        <f>IF(OR(G27="",H27="",H27=0),"",G27/H27)</f>
        <v/>
      </c>
      <c r="J27" s="4">
        <f>IF(OR(G27="",IFERROR(VLOOKUP(B27,Сезонность!$A\$4:$D\$15,4,FALSE),0)=0),"",G27/IFERROR(VLOOKUP(B27,Сезонность!$A\$4:$D\$15,4,FALSE),1))</f>
        <v/>
      </c>
      <c r="K27" s="4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6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5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4">
        <f>IF(Ввод_данных!C28="","",Ввод_данных!C28)</f>
        <v/>
      </c>
      <c r="E28" s="4">
        <f>IF(Ввод_данных!D28="","",Ввод_данных!D28)</f>
        <v/>
      </c>
      <c r="F28" s="4">
        <f>IF(E28="","",IF(MAX($E\$5:$E\$64)=0,"",E28/MAX($E\$5:$E\$64)*100))</f>
        <v/>
      </c>
      <c r="G28" s="4">
        <f>IF(COUNT(D28,F28)=0,"",IF(COUNT(D28,F28)=2,D28*Настройки!$B\$4+F28*Настройки!$B\$5,IF(D28&lt;&gt;"",D28,F28)))</f>
        <v/>
      </c>
      <c r="H28" s="4">
        <f>IF(OR(G28="",COUNT($G\$5:G28)&lt;12),"",AVERAGE(G17:G28))</f>
        <v/>
      </c>
      <c r="I28" s="4">
        <f>IF(OR(G28="",H28="",H28=0),"",G28/H28)</f>
        <v/>
      </c>
      <c r="J28" s="4">
        <f>IF(OR(G28="",IFERROR(VLOOKUP(B28,Сезонность!$A\$4:$D\$15,4,FALSE),0)=0),"",G28/IFERROR(VLOOKUP(B28,Сезонность!$A\$4:$D\$15,4,FALSE),1))</f>
        <v/>
      </c>
      <c r="K28" s="4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6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5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4">
        <f>IF(Ввод_данных!C29="","",Ввод_данных!C29)</f>
        <v/>
      </c>
      <c r="E29" s="4">
        <f>IF(Ввод_данных!D29="","",Ввод_данных!D29)</f>
        <v/>
      </c>
      <c r="F29" s="4">
        <f>IF(E29="","",IF(MAX($E\$5:$E\$64)=0,"",E29/MAX($E\$5:$E\$64)*100))</f>
        <v/>
      </c>
      <c r="G29" s="4">
        <f>IF(COUNT(D29,F29)=0,"",IF(COUNT(D29,F29)=2,D29*Настройки!$B\$4+F29*Настройки!$B\$5,IF(D29&lt;&gt;"",D29,F29)))</f>
        <v/>
      </c>
      <c r="H29" s="4">
        <f>IF(OR(G29="",COUNT($G\$5:G29)&lt;12),"",AVERAGE(G18:G29))</f>
        <v/>
      </c>
      <c r="I29" s="4">
        <f>IF(OR(G29="",H29="",H29=0),"",G29/H29)</f>
        <v/>
      </c>
      <c r="J29" s="4">
        <f>IF(OR(G29="",IFERROR(VLOOKUP(B29,Сезонность!$A\$4:$D\$15,4,FALSE),0)=0),"",G29/IFERROR(VLOOKUP(B29,Сезонность!$A\$4:$D\$15,4,FALSE),1))</f>
        <v/>
      </c>
      <c r="K29" s="4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6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5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4">
        <f>IF(Ввод_данных!C30="","",Ввод_данных!C30)</f>
        <v/>
      </c>
      <c r="E30" s="4">
        <f>IF(Ввод_данных!D30="","",Ввод_данных!D30)</f>
        <v/>
      </c>
      <c r="F30" s="4">
        <f>IF(E30="","",IF(MAX($E\$5:$E\$64)=0,"",E30/MAX($E\$5:$E\$64)*100))</f>
        <v/>
      </c>
      <c r="G30" s="4">
        <f>IF(COUNT(D30,F30)=0,"",IF(COUNT(D30,F30)=2,D30*Настройки!$B\$4+F30*Настройки!$B\$5,IF(D30&lt;&gt;"",D30,F30)))</f>
        <v/>
      </c>
      <c r="H30" s="4">
        <f>IF(OR(G30="",COUNT($G\$5:G30)&lt;12),"",AVERAGE(G19:G30))</f>
        <v/>
      </c>
      <c r="I30" s="4">
        <f>IF(OR(G30="",H30="",H30=0),"",G30/H30)</f>
        <v/>
      </c>
      <c r="J30" s="4">
        <f>IF(OR(G30="",IFERROR(VLOOKUP(B30,Сезонность!$A\$4:$D\$15,4,FALSE),0)=0),"",G30/IFERROR(VLOOKUP(B30,Сезонность!$A\$4:$D\$15,4,FALSE),1))</f>
        <v/>
      </c>
      <c r="K30" s="4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6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5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4">
        <f>IF(Ввод_данных!C31="","",Ввод_данных!C31)</f>
        <v/>
      </c>
      <c r="E31" s="4">
        <f>IF(Ввод_данных!D31="","",Ввод_данных!D31)</f>
        <v/>
      </c>
      <c r="F31" s="4">
        <f>IF(E31="","",IF(MAX($E\$5:$E\$64)=0,"",E31/MAX($E\$5:$E\$64)*100))</f>
        <v/>
      </c>
      <c r="G31" s="4">
        <f>IF(COUNT(D31,F31)=0,"",IF(COUNT(D31,F31)=2,D31*Настройки!$B\$4+F31*Настройки!$B\$5,IF(D31&lt;&gt;"",D31,F31)))</f>
        <v/>
      </c>
      <c r="H31" s="4">
        <f>IF(OR(G31="",COUNT($G\$5:G31)&lt;12),"",AVERAGE(G20:G31))</f>
        <v/>
      </c>
      <c r="I31" s="4">
        <f>IF(OR(G31="",H31="",H31=0),"",G31/H31)</f>
        <v/>
      </c>
      <c r="J31" s="4">
        <f>IF(OR(G31="",IFERROR(VLOOKUP(B31,Сезонность!$A\$4:$D\$15,4,FALSE),0)=0),"",G31/IFERROR(VLOOKUP(B31,Сезонность!$A\$4:$D\$15,4,FALSE),1))</f>
        <v/>
      </c>
      <c r="K31" s="4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6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5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4">
        <f>IF(Ввод_данных!C32="","",Ввод_данных!C32)</f>
        <v/>
      </c>
      <c r="E32" s="4">
        <f>IF(Ввод_данных!D32="","",Ввод_данных!D32)</f>
        <v/>
      </c>
      <c r="F32" s="4">
        <f>IF(E32="","",IF(MAX($E\$5:$E\$64)=0,"",E32/MAX($E\$5:$E\$64)*100))</f>
        <v/>
      </c>
      <c r="G32" s="4">
        <f>IF(COUNT(D32,F32)=0,"",IF(COUNT(D32,F32)=2,D32*Настройки!$B\$4+F32*Настройки!$B\$5,IF(D32&lt;&gt;"",D32,F32)))</f>
        <v/>
      </c>
      <c r="H32" s="4">
        <f>IF(OR(G32="",COUNT($G\$5:G32)&lt;12),"",AVERAGE(G21:G32))</f>
        <v/>
      </c>
      <c r="I32" s="4">
        <f>IF(OR(G32="",H32="",H32=0),"",G32/H32)</f>
        <v/>
      </c>
      <c r="J32" s="4">
        <f>IF(OR(G32="",IFERROR(VLOOKUP(B32,Сезонность!$A\$4:$D\$15,4,FALSE),0)=0),"",G32/IFERROR(VLOOKUP(B32,Сезонность!$A\$4:$D\$15,4,FALSE),1))</f>
        <v/>
      </c>
      <c r="K32" s="4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6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5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4">
        <f>IF(Ввод_данных!C33="","",Ввод_данных!C33)</f>
        <v/>
      </c>
      <c r="E33" s="4">
        <f>IF(Ввод_данных!D33="","",Ввод_данных!D33)</f>
        <v/>
      </c>
      <c r="F33" s="4">
        <f>IF(E33="","",IF(MAX($E\$5:$E\$64)=0,"",E33/MAX($E\$5:$E\$64)*100))</f>
        <v/>
      </c>
      <c r="G33" s="4">
        <f>IF(COUNT(D33,F33)=0,"",IF(COUNT(D33,F33)=2,D33*Настройки!$B\$4+F33*Настройки!$B\$5,IF(D33&lt;&gt;"",D33,F33)))</f>
        <v/>
      </c>
      <c r="H33" s="4">
        <f>IF(OR(G33="",COUNT($G\$5:G33)&lt;12),"",AVERAGE(G22:G33))</f>
        <v/>
      </c>
      <c r="I33" s="4">
        <f>IF(OR(G33="",H33="",H33=0),"",G33/H33)</f>
        <v/>
      </c>
      <c r="J33" s="4">
        <f>IF(OR(G33="",IFERROR(VLOOKUP(B33,Сезонность!$A\$4:$D\$15,4,FALSE),0)=0),"",G33/IFERROR(VLOOKUP(B33,Сезонность!$A\$4:$D\$15,4,FALSE),1))</f>
        <v/>
      </c>
      <c r="K33" s="4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6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5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4">
        <f>IF(Ввод_данных!C34="","",Ввод_данных!C34)</f>
        <v/>
      </c>
      <c r="E34" s="4">
        <f>IF(Ввод_данных!D34="","",Ввод_данных!D34)</f>
        <v/>
      </c>
      <c r="F34" s="4">
        <f>IF(E34="","",IF(MAX($E\$5:$E\$64)=0,"",E34/MAX($E\$5:$E\$64)*100))</f>
        <v/>
      </c>
      <c r="G34" s="4">
        <f>IF(COUNT(D34,F34)=0,"",IF(COUNT(D34,F34)=2,D34*Настройки!$B\$4+F34*Настройки!$B\$5,IF(D34&lt;&gt;"",D34,F34)))</f>
        <v/>
      </c>
      <c r="H34" s="4">
        <f>IF(OR(G34="",COUNT($G\$5:G34)&lt;12),"",AVERAGE(G23:G34))</f>
        <v/>
      </c>
      <c r="I34" s="4">
        <f>IF(OR(G34="",H34="",H34=0),"",G34/H34)</f>
        <v/>
      </c>
      <c r="J34" s="4">
        <f>IF(OR(G34="",IFERROR(VLOOKUP(B34,Сезонность!$A\$4:$D\$15,4,FALSE),0)=0),"",G34/IFERROR(VLOOKUP(B34,Сезонность!$A\$4:$D\$15,4,FALSE),1))</f>
        <v/>
      </c>
      <c r="K34" s="4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6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5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4">
        <f>IF(Ввод_данных!C35="","",Ввод_данных!C35)</f>
        <v/>
      </c>
      <c r="E35" s="4">
        <f>IF(Ввод_данных!D35="","",Ввод_данных!D35)</f>
        <v/>
      </c>
      <c r="F35" s="4">
        <f>IF(E35="","",IF(MAX($E\$5:$E\$64)=0,"",E35/MAX($E\$5:$E\$64)*100))</f>
        <v/>
      </c>
      <c r="G35" s="4">
        <f>IF(COUNT(D35,F35)=0,"",IF(COUNT(D35,F35)=2,D35*Настройки!$B\$4+F35*Настройки!$B\$5,IF(D35&lt;&gt;"",D35,F35)))</f>
        <v/>
      </c>
      <c r="H35" s="4">
        <f>IF(OR(G35="",COUNT($G\$5:G35)&lt;12),"",AVERAGE(G24:G35))</f>
        <v/>
      </c>
      <c r="I35" s="4">
        <f>IF(OR(G35="",H35="",H35=0),"",G35/H35)</f>
        <v/>
      </c>
      <c r="J35" s="4">
        <f>IF(OR(G35="",IFERROR(VLOOKUP(B35,Сезонность!$A\$4:$D\$15,4,FALSE),0)=0),"",G35/IFERROR(VLOOKUP(B35,Сезонность!$A\$4:$D\$15,4,FALSE),1))</f>
        <v/>
      </c>
      <c r="K35" s="4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6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5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4">
        <f>IF(Ввод_данных!C36="","",Ввод_данных!C36)</f>
        <v/>
      </c>
      <c r="E36" s="4">
        <f>IF(Ввод_данных!D36="","",Ввод_данных!D36)</f>
        <v/>
      </c>
      <c r="F36" s="4">
        <f>IF(E36="","",IF(MAX($E\$5:$E\$64)=0,"",E36/MAX($E\$5:$E\$64)*100))</f>
        <v/>
      </c>
      <c r="G36" s="4">
        <f>IF(COUNT(D36,F36)=0,"",IF(COUNT(D36,F36)=2,D36*Настройки!$B\$4+F36*Настройки!$B\$5,IF(D36&lt;&gt;"",D36,F36)))</f>
        <v/>
      </c>
      <c r="H36" s="4">
        <f>IF(OR(G36="",COUNT($G\$5:G36)&lt;12),"",AVERAGE(G25:G36))</f>
        <v/>
      </c>
      <c r="I36" s="4">
        <f>IF(OR(G36="",H36="",H36=0),"",G36/H36)</f>
        <v/>
      </c>
      <c r="J36" s="4">
        <f>IF(OR(G36="",IFERROR(VLOOKUP(B36,Сезонность!$A\$4:$D\$15,4,FALSE),0)=0),"",G36/IFERROR(VLOOKUP(B36,Сезонность!$A\$4:$D\$15,4,FALSE),1))</f>
        <v/>
      </c>
      <c r="K36" s="4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6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5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4">
        <f>IF(Ввод_данных!C37="","",Ввод_данных!C37)</f>
        <v/>
      </c>
      <c r="E37" s="4">
        <f>IF(Ввод_данных!D37="","",Ввод_данных!D37)</f>
        <v/>
      </c>
      <c r="F37" s="4">
        <f>IF(E37="","",IF(MAX($E\$5:$E\$64)=0,"",E37/MAX($E\$5:$E\$64)*100))</f>
        <v/>
      </c>
      <c r="G37" s="4">
        <f>IF(COUNT(D37,F37)=0,"",IF(COUNT(D37,F37)=2,D37*Настройки!$B\$4+F37*Настройки!$B\$5,IF(D37&lt;&gt;"",D37,F37)))</f>
        <v/>
      </c>
      <c r="H37" s="4">
        <f>IF(OR(G37="",COUNT($G\$5:G37)&lt;12),"",AVERAGE(G26:G37))</f>
        <v/>
      </c>
      <c r="I37" s="4">
        <f>IF(OR(G37="",H37="",H37=0),"",G37/H37)</f>
        <v/>
      </c>
      <c r="J37" s="4">
        <f>IF(OR(G37="",IFERROR(VLOOKUP(B37,Сезонность!$A\$4:$D\$15,4,FALSE),0)=0),"",G37/IFERROR(VLOOKUP(B37,Сезонность!$A\$4:$D\$15,4,FALSE),1))</f>
        <v/>
      </c>
      <c r="K37" s="4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5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4">
        <f>IF(Ввод_данных!C38="","",Ввод_данных!C38)</f>
        <v/>
      </c>
      <c r="E38" s="4">
        <f>IF(Ввод_данных!D38="","",Ввод_данных!D38)</f>
        <v/>
      </c>
      <c r="F38" s="4">
        <f>IF(E38="","",IF(MAX($E\$5:$E\$64)=0,"",E38/MAX($E\$5:$E\$64)*100))</f>
        <v/>
      </c>
      <c r="G38" s="4">
        <f>IF(COUNT(D38,F38)=0,"",IF(COUNT(D38,F38)=2,D38*Настройки!$B\$4+F38*Настройки!$B\$5,IF(D38&lt;&gt;"",D38,F38)))</f>
        <v/>
      </c>
      <c r="H38" s="4">
        <f>IF(OR(G38="",COUNT($G\$5:G38)&lt;12),"",AVERAGE(G27:G38))</f>
        <v/>
      </c>
      <c r="I38" s="4">
        <f>IF(OR(G38="",H38="",H38=0),"",G38/H38)</f>
        <v/>
      </c>
      <c r="J38" s="4">
        <f>IF(OR(G38="",IFERROR(VLOOKUP(B38,Сезонность!$A\$4:$D\$15,4,FALSE),0)=0),"",G38/IFERROR(VLOOKUP(B38,Сезонность!$A\$4:$D\$15,4,FALSE),1))</f>
        <v/>
      </c>
      <c r="K38" s="4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6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5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4">
        <f>IF(Ввод_данных!C39="","",Ввод_данных!C39)</f>
        <v/>
      </c>
      <c r="E39" s="4">
        <f>IF(Ввод_данных!D39="","",Ввод_данных!D39)</f>
        <v/>
      </c>
      <c r="F39" s="4">
        <f>IF(E39="","",IF(MAX($E\$5:$E\$64)=0,"",E39/MAX($E\$5:$E\$64)*100))</f>
        <v/>
      </c>
      <c r="G39" s="4">
        <f>IF(COUNT(D39,F39)=0,"",IF(COUNT(D39,F39)=2,D39*Настройки!$B\$4+F39*Настройки!$B\$5,IF(D39&lt;&gt;"",D39,F39)))</f>
        <v/>
      </c>
      <c r="H39" s="4">
        <f>IF(OR(G39="",COUNT($G\$5:G39)&lt;12),"",AVERAGE(G28:G39))</f>
        <v/>
      </c>
      <c r="I39" s="4">
        <f>IF(OR(G39="",H39="",H39=0),"",G39/H39)</f>
        <v/>
      </c>
      <c r="J39" s="4">
        <f>IF(OR(G39="",IFERROR(VLOOKUP(B39,Сезонность!$A\$4:$D\$15,4,FALSE),0)=0),"",G39/IFERROR(VLOOKUP(B39,Сезонность!$A\$4:$D\$15,4,FALSE),1))</f>
        <v/>
      </c>
      <c r="K39" s="4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6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5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4">
        <f>IF(Ввод_данных!C40="","",Ввод_данных!C40)</f>
        <v/>
      </c>
      <c r="E40" s="4">
        <f>IF(Ввод_данных!D40="","",Ввод_данных!D40)</f>
        <v/>
      </c>
      <c r="F40" s="4">
        <f>IF(E40="","",IF(MAX($E\$5:$E\$64)=0,"",E40/MAX($E\$5:$E\$64)*100))</f>
        <v/>
      </c>
      <c r="G40" s="4">
        <f>IF(COUNT(D40,F40)=0,"",IF(COUNT(D40,F40)=2,D40*Настройки!$B\$4+F40*Настройки!$B\$5,IF(D40&lt;&gt;"",D40,F40)))</f>
        <v/>
      </c>
      <c r="H40" s="4">
        <f>IF(OR(G40="",COUNT($G\$5:G40)&lt;12),"",AVERAGE(G29:G40))</f>
        <v/>
      </c>
      <c r="I40" s="4">
        <f>IF(OR(G40="",H40="",H40=0),"",G40/H40)</f>
        <v/>
      </c>
      <c r="J40" s="4">
        <f>IF(OR(G40="",IFERROR(VLOOKUP(B40,Сезонность!$A\$4:$D\$15,4,FALSE),0)=0),"",G40/IFERROR(VLOOKUP(B40,Сезонность!$A\$4:$D\$15,4,FALSE),1))</f>
        <v/>
      </c>
      <c r="K40" s="4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6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5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4">
        <f>IF(Ввод_данных!C41="","",Ввод_данных!C41)</f>
        <v/>
      </c>
      <c r="E41" s="4">
        <f>IF(Ввод_данных!D41="","",Ввод_данных!D41)</f>
        <v/>
      </c>
      <c r="F41" s="4">
        <f>IF(E41="","",IF(MAX($E\$5:$E\$64)=0,"",E41/MAX($E\$5:$E\$64)*100))</f>
        <v/>
      </c>
      <c r="G41" s="4">
        <f>IF(COUNT(D41,F41)=0,"",IF(COUNT(D41,F41)=2,D41*Настройки!$B\$4+F41*Настройки!$B\$5,IF(D41&lt;&gt;"",D41,F41)))</f>
        <v/>
      </c>
      <c r="H41" s="4">
        <f>IF(OR(G41="",COUNT($G\$5:G41)&lt;12),"",AVERAGE(G30:G41))</f>
        <v/>
      </c>
      <c r="I41" s="4">
        <f>IF(OR(G41="",H41="",H41=0),"",G41/H41)</f>
        <v/>
      </c>
      <c r="J41" s="4">
        <f>IF(OR(G41="",IFERROR(VLOOKUP(B41,Сезонность!$A\$4:$D\$15,4,FALSE),0)=0),"",G41/IFERROR(VLOOKUP(B41,Сезонность!$A\$4:$D\$15,4,FALSE),1))</f>
        <v/>
      </c>
      <c r="K41" s="4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6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5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4">
        <f>IF(Ввод_данных!C42="","",Ввод_данных!C42)</f>
        <v/>
      </c>
      <c r="E42" s="4">
        <f>IF(Ввод_данных!D42="","",Ввод_данных!D42)</f>
        <v/>
      </c>
      <c r="F42" s="4">
        <f>IF(E42="","",IF(MAX($E\$5:$E\$64)=0,"",E42/MAX($E\$5:$E\$64)*100))</f>
        <v/>
      </c>
      <c r="G42" s="4">
        <f>IF(COUNT(D42,F42)=0,"",IF(COUNT(D42,F42)=2,D42*Настройки!$B\$4+F42*Настройки!$B\$5,IF(D42&lt;&gt;"",D42,F42)))</f>
        <v/>
      </c>
      <c r="H42" s="4">
        <f>IF(OR(G42="",COUNT($G\$5:G42)&lt;12),"",AVERAGE(G31:G42))</f>
        <v/>
      </c>
      <c r="I42" s="4">
        <f>IF(OR(G42="",H42="",H42=0),"",G42/H42)</f>
        <v/>
      </c>
      <c r="J42" s="4">
        <f>IF(OR(G42="",IFERROR(VLOOKUP(B42,Сезонность!$A\$4:$D\$15,4,FALSE),0)=0),"",G42/IFERROR(VLOOKUP(B42,Сезонность!$A\$4:$D\$15,4,FALSE),1))</f>
        <v/>
      </c>
      <c r="K42" s="4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6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5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4">
        <f>IF(Ввод_данных!C43="","",Ввод_данных!C43)</f>
        <v/>
      </c>
      <c r="E43" s="4">
        <f>IF(Ввод_данных!D43="","",Ввод_данных!D43)</f>
        <v/>
      </c>
      <c r="F43" s="4">
        <f>IF(E43="","",IF(MAX($E\$5:$E\$64)=0,"",E43/MAX($E\$5:$E\$64)*100))</f>
        <v/>
      </c>
      <c r="G43" s="4">
        <f>IF(COUNT(D43,F43)=0,"",IF(COUNT(D43,F43)=2,D43*Настройки!$B\$4+F43*Настройки!$B\$5,IF(D43&lt;&gt;"",D43,F43)))</f>
        <v/>
      </c>
      <c r="H43" s="4">
        <f>IF(OR(G43="",COUNT($G\$5:G43)&lt;12),"",AVERAGE(G32:G43))</f>
        <v/>
      </c>
      <c r="I43" s="4">
        <f>IF(OR(G43="",H43="",H43=0),"",G43/H43)</f>
        <v/>
      </c>
      <c r="J43" s="4">
        <f>IF(OR(G43="",IFERROR(VLOOKUP(B43,Сезонность!$A\$4:$D\$15,4,FALSE),0)=0),"",G43/IFERROR(VLOOKUP(B43,Сезонность!$A\$4:$D\$15,4,FALSE),1))</f>
        <v/>
      </c>
      <c r="K43" s="4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6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5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4">
        <f>IF(Ввод_данных!C44="","",Ввод_данных!C44)</f>
        <v/>
      </c>
      <c r="E44" s="4">
        <f>IF(Ввод_данных!D44="","",Ввод_данных!D44)</f>
        <v/>
      </c>
      <c r="F44" s="4">
        <f>IF(E44="","",IF(MAX($E\$5:$E\$64)=0,"",E44/MAX($E\$5:$E\$64)*100))</f>
        <v/>
      </c>
      <c r="G44" s="4">
        <f>IF(COUNT(D44,F44)=0,"",IF(COUNT(D44,F44)=2,D44*Настройки!$B\$4+F44*Настройки!$B\$5,IF(D44&lt;&gt;"",D44,F44)))</f>
        <v/>
      </c>
      <c r="H44" s="4">
        <f>IF(OR(G44="",COUNT($G\$5:G44)&lt;12),"",AVERAGE(G33:G44))</f>
        <v/>
      </c>
      <c r="I44" s="4">
        <f>IF(OR(G44="",H44="",H44=0),"",G44/H44)</f>
        <v/>
      </c>
      <c r="J44" s="4">
        <f>IF(OR(G44="",IFERROR(VLOOKUP(B44,Сезонность!$A\$4:$D\$15,4,FALSE),0)=0),"",G44/IFERROR(VLOOKUP(B44,Сезонность!$A\$4:$D\$15,4,FALSE),1))</f>
        <v/>
      </c>
      <c r="K44" s="4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6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5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4">
        <f>IF(Ввод_данных!C45="","",Ввод_данных!C45)</f>
        <v/>
      </c>
      <c r="E45" s="4">
        <f>IF(Ввод_данных!D45="","",Ввод_данных!D45)</f>
        <v/>
      </c>
      <c r="F45" s="4">
        <f>IF(E45="","",IF(MAX($E\$5:$E\$64)=0,"",E45/MAX($E\$5:$E\$64)*100))</f>
        <v/>
      </c>
      <c r="G45" s="4">
        <f>IF(COUNT(D45,F45)=0,"",IF(COUNT(D45,F45)=2,D45*Настройки!$B\$4+F45*Настройки!$B\$5,IF(D45&lt;&gt;"",D45,F45)))</f>
        <v/>
      </c>
      <c r="H45" s="4">
        <f>IF(OR(G45="",COUNT($G\$5:G45)&lt;12),"",AVERAGE(G34:G45))</f>
        <v/>
      </c>
      <c r="I45" s="4">
        <f>IF(OR(G45="",H45="",H45=0),"",G45/H45)</f>
        <v/>
      </c>
      <c r="J45" s="4">
        <f>IF(OR(G45="",IFERROR(VLOOKUP(B45,Сезонность!$A\$4:$D\$15,4,FALSE),0)=0),"",G45/IFERROR(VLOOKUP(B45,Сезонность!$A\$4:$D\$15,4,FALSE),1))</f>
        <v/>
      </c>
      <c r="K45" s="4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6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5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4">
        <f>IF(Ввод_данных!C46="","",Ввод_данных!C46)</f>
        <v/>
      </c>
      <c r="E46" s="4">
        <f>IF(Ввод_данных!D46="","",Ввод_данных!D46)</f>
        <v/>
      </c>
      <c r="F46" s="4">
        <f>IF(E46="","",IF(MAX($E\$5:$E\$64)=0,"",E46/MAX($E\$5:$E\$64)*100))</f>
        <v/>
      </c>
      <c r="G46" s="4">
        <f>IF(COUNT(D46,F46)=0,"",IF(COUNT(D46,F46)=2,D46*Настройки!$B\$4+F46*Настройки!$B\$5,IF(D46&lt;&gt;"",D46,F46)))</f>
        <v/>
      </c>
      <c r="H46" s="4">
        <f>IF(OR(G46="",COUNT($G\$5:G46)&lt;12),"",AVERAGE(G35:G46))</f>
        <v/>
      </c>
      <c r="I46" s="4">
        <f>IF(OR(G46="",H46="",H46=0),"",G46/H46)</f>
        <v/>
      </c>
      <c r="J46" s="4">
        <f>IF(OR(G46="",IFERROR(VLOOKUP(B46,Сезонность!$A\$4:$D\$15,4,FALSE),0)=0),"",G46/IFERROR(VLOOKUP(B46,Сезонность!$A\$4:$D\$15,4,FALSE),1))</f>
        <v/>
      </c>
      <c r="K46" s="4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6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5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4">
        <f>IF(Ввод_данных!C47="","",Ввод_данных!C47)</f>
        <v/>
      </c>
      <c r="E47" s="4">
        <f>IF(Ввод_данных!D47="","",Ввод_данных!D47)</f>
        <v/>
      </c>
      <c r="F47" s="4">
        <f>IF(E47="","",IF(MAX($E\$5:$E\$64)=0,"",E47/MAX($E\$5:$E\$64)*100))</f>
        <v/>
      </c>
      <c r="G47" s="4">
        <f>IF(COUNT(D47,F47)=0,"",IF(COUNT(D47,F47)=2,D47*Настройки!$B\$4+F47*Настройки!$B\$5,IF(D47&lt;&gt;"",D47,F47)))</f>
        <v/>
      </c>
      <c r="H47" s="4">
        <f>IF(OR(G47="",COUNT($G\$5:G47)&lt;12),"",AVERAGE(G36:G47))</f>
        <v/>
      </c>
      <c r="I47" s="4">
        <f>IF(OR(G47="",H47="",H47=0),"",G47/H47)</f>
        <v/>
      </c>
      <c r="J47" s="4">
        <f>IF(OR(G47="",IFERROR(VLOOKUP(B47,Сезонность!$A\$4:$D\$15,4,FALSE),0)=0),"",G47/IFERROR(VLOOKUP(B47,Сезонность!$A\$4:$D\$15,4,FALSE),1))</f>
        <v/>
      </c>
      <c r="K47" s="4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6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5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4">
        <f>IF(Ввод_данных!C48="","",Ввод_данных!C48)</f>
        <v/>
      </c>
      <c r="E48" s="4">
        <f>IF(Ввод_данных!D48="","",Ввод_данных!D48)</f>
        <v/>
      </c>
      <c r="F48" s="4">
        <f>IF(E48="","",IF(MAX($E\$5:$E\$64)=0,"",E48/MAX($E\$5:$E\$64)*100))</f>
        <v/>
      </c>
      <c r="G48" s="4">
        <f>IF(COUNT(D48,F48)=0,"",IF(COUNT(D48,F48)=2,D48*Настройки!$B\$4+F48*Настройки!$B\$5,IF(D48&lt;&gt;"",D48,F48)))</f>
        <v/>
      </c>
      <c r="H48" s="4">
        <f>IF(OR(G48="",COUNT($G\$5:G48)&lt;12),"",AVERAGE(G37:G48))</f>
        <v/>
      </c>
      <c r="I48" s="4">
        <f>IF(OR(G48="",H48="",H48=0),"",G48/H48)</f>
        <v/>
      </c>
      <c r="J48" s="4">
        <f>IF(OR(G48="",IFERROR(VLOOKUP(B48,Сезонность!$A\$4:$D\$15,4,FALSE),0)=0),"",G48/IFERROR(VLOOKUP(B48,Сезонность!$A\$4:$D\$15,4,FALSE),1))</f>
        <v/>
      </c>
      <c r="K48" s="4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6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5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4">
        <f>IF(Ввод_данных!C49="","",Ввод_данных!C49)</f>
        <v/>
      </c>
      <c r="E49" s="4">
        <f>IF(Ввод_данных!D49="","",Ввод_данных!D49)</f>
        <v/>
      </c>
      <c r="F49" s="4">
        <f>IF(E49="","",IF(MAX($E\$5:$E\$64)=0,"",E49/MAX($E\$5:$E\$64)*100))</f>
        <v/>
      </c>
      <c r="G49" s="4">
        <f>IF(COUNT(D49,F49)=0,"",IF(COUNT(D49,F49)=2,D49*Настройки!$B\$4+F49*Настройки!$B\$5,IF(D49&lt;&gt;"",D49,F49)))</f>
        <v/>
      </c>
      <c r="H49" s="4">
        <f>IF(OR(G49="",COUNT($G\$5:G49)&lt;12),"",AVERAGE(G38:G49))</f>
        <v/>
      </c>
      <c r="I49" s="4">
        <f>IF(OR(G49="",H49="",H49=0),"",G49/H49)</f>
        <v/>
      </c>
      <c r="J49" s="4">
        <f>IF(OR(G49="",IFERROR(VLOOKUP(B49,Сезонность!$A\$4:$D\$15,4,FALSE),0)=0),"",G49/IFERROR(VLOOKUP(B49,Сезонность!$A\$4:$D\$15,4,FALSE),1))</f>
        <v/>
      </c>
      <c r="K49" s="4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6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5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4">
        <f>IF(Ввод_данных!C50="","",Ввод_данных!C50)</f>
        <v/>
      </c>
      <c r="E50" s="4">
        <f>IF(Ввод_данных!D50="","",Ввод_данных!D50)</f>
        <v/>
      </c>
      <c r="F50" s="4">
        <f>IF(E50="","",IF(MAX($E\$5:$E\$64)=0,"",E50/MAX($E\$5:$E\$64)*100))</f>
        <v/>
      </c>
      <c r="G50" s="4">
        <f>IF(COUNT(D50,F50)=0,"",IF(COUNT(D50,F50)=2,D50*Настройки!$B\$4+F50*Настройки!$B\$5,IF(D50&lt;&gt;"",D50,F50)))</f>
        <v/>
      </c>
      <c r="H50" s="4">
        <f>IF(OR(G50="",COUNT($G\$5:G50)&lt;12),"",AVERAGE(G39:G50))</f>
        <v/>
      </c>
      <c r="I50" s="4">
        <f>IF(OR(G50="",H50="",H50=0),"",G50/H50)</f>
        <v/>
      </c>
      <c r="J50" s="4">
        <f>IF(OR(G50="",IFERROR(VLOOKUP(B50,Сезонность!$A\$4:$D\$15,4,FALSE),0)=0),"",G50/IFERROR(VLOOKUP(B50,Сезонность!$A\$4:$D\$15,4,FALSE),1))</f>
        <v/>
      </c>
      <c r="K50" s="4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6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5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4">
        <f>IF(Ввод_данных!C51="","",Ввод_данных!C51)</f>
        <v/>
      </c>
      <c r="E51" s="4">
        <f>IF(Ввод_данных!D51="","",Ввод_данных!D51)</f>
        <v/>
      </c>
      <c r="F51" s="4">
        <f>IF(E51="","",IF(MAX($E\$5:$E\$64)=0,"",E51/MAX($E\$5:$E\$64)*100))</f>
        <v/>
      </c>
      <c r="G51" s="4">
        <f>IF(COUNT(D51,F51)=0,"",IF(COUNT(D51,F51)=2,D51*Настройки!$B\$4+F51*Настройки!$B\$5,IF(D51&lt;&gt;"",D51,F51)))</f>
        <v/>
      </c>
      <c r="H51" s="4">
        <f>IF(OR(G51="",COUNT($G\$5:G51)&lt;12),"",AVERAGE(G40:G51))</f>
        <v/>
      </c>
      <c r="I51" s="4">
        <f>IF(OR(G51="",H51="",H51=0),"",G51/H51)</f>
        <v/>
      </c>
      <c r="J51" s="4">
        <f>IF(OR(G51="",IFERROR(VLOOKUP(B51,Сезонность!$A\$4:$D\$15,4,FALSE),0)=0),"",G51/IFERROR(VLOOKUP(B51,Сезонность!$A\$4:$D\$15,4,FALSE),1))</f>
        <v/>
      </c>
      <c r="K51" s="4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6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5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4">
        <f>IF(Ввод_данных!C52="","",Ввод_данных!C52)</f>
        <v/>
      </c>
      <c r="E52" s="4">
        <f>IF(Ввод_данных!D52="","",Ввод_данных!D52)</f>
        <v/>
      </c>
      <c r="F52" s="4">
        <f>IF(E52="","",IF(MAX($E\$5:$E\$64)=0,"",E52/MAX($E\$5:$E\$64)*100))</f>
        <v/>
      </c>
      <c r="G52" s="4">
        <f>IF(COUNT(D52,F52)=0,"",IF(COUNT(D52,F52)=2,D52*Настройки!$B\$4+F52*Настройки!$B\$5,IF(D52&lt;&gt;"",D52,F52)))</f>
        <v/>
      </c>
      <c r="H52" s="4">
        <f>IF(OR(G52="",COUNT($G\$5:G52)&lt;12),"",AVERAGE(G41:G52))</f>
        <v/>
      </c>
      <c r="I52" s="4">
        <f>IF(OR(G52="",H52="",H52=0),"",G52/H52)</f>
        <v/>
      </c>
      <c r="J52" s="4">
        <f>IF(OR(G52="",IFERROR(VLOOKUP(B52,Сезонность!$A\$4:$D\$15,4,FALSE),0)=0),"",G52/IFERROR(VLOOKUP(B52,Сезонность!$A\$4:$D\$15,4,FALSE),1))</f>
        <v/>
      </c>
      <c r="K52" s="4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6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5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4">
        <f>IF(Ввод_данных!C53="","",Ввод_данных!C53)</f>
        <v/>
      </c>
      <c r="E53" s="4">
        <f>IF(Ввод_данных!D53="","",Ввод_данных!D53)</f>
        <v/>
      </c>
      <c r="F53" s="4">
        <f>IF(E53="","",IF(MAX($E\$5:$E\$64)=0,"",E53/MAX($E\$5:$E\$64)*100))</f>
        <v/>
      </c>
      <c r="G53" s="4">
        <f>IF(COUNT(D53,F53)=0,"",IF(COUNT(D53,F53)=2,D53*Настройки!$B\$4+F53*Настройки!$B\$5,IF(D53&lt;&gt;"",D53,F53)))</f>
        <v/>
      </c>
      <c r="H53" s="4">
        <f>IF(OR(G53="",COUNT($G\$5:G53)&lt;12),"",AVERAGE(G42:G53))</f>
        <v/>
      </c>
      <c r="I53" s="4">
        <f>IF(OR(G53="",H53="",H53=0),"",G53/H53)</f>
        <v/>
      </c>
      <c r="J53" s="4">
        <f>IF(OR(G53="",IFERROR(VLOOKUP(B53,Сезонность!$A\$4:$D\$15,4,FALSE),0)=0),"",G53/IFERROR(VLOOKUP(B53,Сезонность!$A\$4:$D\$15,4,FALSE),1))</f>
        <v/>
      </c>
      <c r="K53" s="4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6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5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4">
        <f>IF(Ввод_данных!C54="","",Ввод_данных!C54)</f>
        <v/>
      </c>
      <c r="E54" s="4">
        <f>IF(Ввод_данных!D54="","",Ввод_данных!D54)</f>
        <v/>
      </c>
      <c r="F54" s="4">
        <f>IF(E54="","",IF(MAX($E\$5:$E\$64)=0,"",E54/MAX($E\$5:$E\$64)*100))</f>
        <v/>
      </c>
      <c r="G54" s="4">
        <f>IF(COUNT(D54,F54)=0,"",IF(COUNT(D54,F54)=2,D54*Настройки!$B\$4+F54*Настройки!$B\$5,IF(D54&lt;&gt;"",D54,F54)))</f>
        <v/>
      </c>
      <c r="H54" s="4">
        <f>IF(OR(G54="",COUNT($G\$5:G54)&lt;12),"",AVERAGE(G43:G54))</f>
        <v/>
      </c>
      <c r="I54" s="4">
        <f>IF(OR(G54="",H54="",H54=0),"",G54/H54)</f>
        <v/>
      </c>
      <c r="J54" s="4">
        <f>IF(OR(G54="",IFERROR(VLOOKUP(B54,Сезонность!$A\$4:$D\$15,4,FALSE),0)=0),"",G54/IFERROR(VLOOKUP(B54,Сезонность!$A\$4:$D\$15,4,FALSE),1))</f>
        <v/>
      </c>
      <c r="K54" s="4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6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5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4">
        <f>IF(Ввод_данных!C55="","",Ввод_данных!C55)</f>
        <v/>
      </c>
      <c r="E55" s="4">
        <f>IF(Ввод_данных!D55="","",Ввод_данных!D55)</f>
        <v/>
      </c>
      <c r="F55" s="4">
        <f>IF(E55="","",IF(MAX($E\$5:$E\$64)=0,"",E55/MAX($E\$5:$E\$64)*100))</f>
        <v/>
      </c>
      <c r="G55" s="4">
        <f>IF(COUNT(D55,F55)=0,"",IF(COUNT(D55,F55)=2,D55*Настройки!$B\$4+F55*Настройки!$B\$5,IF(D55&lt;&gt;"",D55,F55)))</f>
        <v/>
      </c>
      <c r="H55" s="4">
        <f>IF(OR(G55="",COUNT($G\$5:G55)&lt;12),"",AVERAGE(G44:G55))</f>
        <v/>
      </c>
      <c r="I55" s="4">
        <f>IF(OR(G55="",H55="",H55=0),"",G55/H55)</f>
        <v/>
      </c>
      <c r="J55" s="4">
        <f>IF(OR(G55="",IFERROR(VLOOKUP(B55,Сезонность!$A\$4:$D\$15,4,FALSE),0)=0),"",G55/IFERROR(VLOOKUP(B55,Сезонность!$A\$4:$D\$15,4,FALSE),1))</f>
        <v/>
      </c>
      <c r="K55" s="4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6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5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4">
        <f>IF(Ввод_данных!C56="","",Ввод_данных!C56)</f>
        <v/>
      </c>
      <c r="E56" s="4">
        <f>IF(Ввод_данных!D56="","",Ввод_данных!D56)</f>
        <v/>
      </c>
      <c r="F56" s="4">
        <f>IF(E56="","",IF(MAX($E\$5:$E\$64)=0,"",E56/MAX($E\$5:$E\$64)*100))</f>
        <v/>
      </c>
      <c r="G56" s="4">
        <f>IF(COUNT(D56,F56)=0,"",IF(COUNT(D56,F56)=2,D56*Настройки!$B\$4+F56*Настройки!$B\$5,IF(D56&lt;&gt;"",D56,F56)))</f>
        <v/>
      </c>
      <c r="H56" s="4">
        <f>IF(OR(G56="",COUNT($G\$5:G56)&lt;12),"",AVERAGE(G45:G56))</f>
        <v/>
      </c>
      <c r="I56" s="4">
        <f>IF(OR(G56="",H56="",H56=0),"",G56/H56)</f>
        <v/>
      </c>
      <c r="J56" s="4">
        <f>IF(OR(G56="",IFERROR(VLOOKUP(B56,Сезонность!$A\$4:$D\$15,4,FALSE),0)=0),"",G56/IFERROR(VLOOKUP(B56,Сезонность!$A\$4:$D\$15,4,FALSE),1))</f>
        <v/>
      </c>
      <c r="K56" s="4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6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5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4">
        <f>IF(Ввод_данных!C57="","",Ввод_данных!C57)</f>
        <v/>
      </c>
      <c r="E57" s="4">
        <f>IF(Ввод_данных!D57="","",Ввод_данных!D57)</f>
        <v/>
      </c>
      <c r="F57" s="4">
        <f>IF(E57="","",IF(MAX($E\$5:$E\$64)=0,"",E57/MAX($E\$5:$E\$64)*100))</f>
        <v/>
      </c>
      <c r="G57" s="4">
        <f>IF(COUNT(D57,F57)=0,"",IF(COUNT(D57,F57)=2,D57*Настройки!$B\$4+F57*Настройки!$B\$5,IF(D57&lt;&gt;"",D57,F57)))</f>
        <v/>
      </c>
      <c r="H57" s="4">
        <f>IF(OR(G57="",COUNT($G\$5:G57)&lt;12),"",AVERAGE(G46:G57))</f>
        <v/>
      </c>
      <c r="I57" s="4">
        <f>IF(OR(G57="",H57="",H57=0),"",G57/H57)</f>
        <v/>
      </c>
      <c r="J57" s="4">
        <f>IF(OR(G57="",IFERROR(VLOOKUP(B57,Сезонность!$A\$4:$D\$15,4,FALSE),0)=0),"",G57/IFERROR(VLOOKUP(B57,Сезонность!$A\$4:$D\$15,4,FALSE),1))</f>
        <v/>
      </c>
      <c r="K57" s="4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6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5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4">
        <f>IF(Ввод_данных!C58="","",Ввод_данных!C58)</f>
        <v/>
      </c>
      <c r="E58" s="4">
        <f>IF(Ввод_данных!D58="","",Ввод_данных!D58)</f>
        <v/>
      </c>
      <c r="F58" s="4">
        <f>IF(E58="","",IF(MAX($E\$5:$E\$64)=0,"",E58/MAX($E\$5:$E\$64)*100))</f>
        <v/>
      </c>
      <c r="G58" s="4">
        <f>IF(COUNT(D58,F58)=0,"",IF(COUNT(D58,F58)=2,D58*Настройки!$B\$4+F58*Настройки!$B\$5,IF(D58&lt;&gt;"",D58,F58)))</f>
        <v/>
      </c>
      <c r="H58" s="4">
        <f>IF(OR(G58="",COUNT($G\$5:G58)&lt;12),"",AVERAGE(G47:G58))</f>
        <v/>
      </c>
      <c r="I58" s="4">
        <f>IF(OR(G58="",H58="",H58=0),"",G58/H58)</f>
        <v/>
      </c>
      <c r="J58" s="4">
        <f>IF(OR(G58="",IFERROR(VLOOKUP(B58,Сезонность!$A\$4:$D\$15,4,FALSE),0)=0),"",G58/IFERROR(VLOOKUP(B58,Сезонность!$A\$4:$D\$15,4,FALSE),1))</f>
        <v/>
      </c>
      <c r="K58" s="4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6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5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4">
        <f>IF(Ввод_данных!C59="","",Ввод_данных!C59)</f>
        <v/>
      </c>
      <c r="E59" s="4">
        <f>IF(Ввод_данных!D59="","",Ввод_данных!D59)</f>
        <v/>
      </c>
      <c r="F59" s="4">
        <f>IF(E59="","",IF(MAX($E\$5:$E\$64)=0,"",E59/MAX($E\$5:$E\$64)*100))</f>
        <v/>
      </c>
      <c r="G59" s="4">
        <f>IF(COUNT(D59,F59)=0,"",IF(COUNT(D59,F59)=2,D59*Настройки!$B\$4+F59*Настройки!$B\$5,IF(D59&lt;&gt;"",D59,F59)))</f>
        <v/>
      </c>
      <c r="H59" s="4">
        <f>IF(OR(G59="",COUNT($G\$5:G59)&lt;12),"",AVERAGE(G48:G59))</f>
        <v/>
      </c>
      <c r="I59" s="4">
        <f>IF(OR(G59="",H59="",H59=0),"",G59/H59)</f>
        <v/>
      </c>
      <c r="J59" s="4">
        <f>IF(OR(G59="",IFERROR(VLOOKUP(B59,Сезонность!$A\$4:$D\$15,4,FALSE),0)=0),"",G59/IFERROR(VLOOKUP(B59,Сезонность!$A\$4:$D\$15,4,FALSE),1))</f>
        <v/>
      </c>
      <c r="K59" s="4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6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5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4">
        <f>IF(Ввод_данных!C60="","",Ввод_данных!C60)</f>
        <v/>
      </c>
      <c r="E60" s="4">
        <f>IF(Ввод_данных!D60="","",Ввод_данных!D60)</f>
        <v/>
      </c>
      <c r="F60" s="4">
        <f>IF(E60="","",IF(MAX($E\$5:$E\$64)=0,"",E60/MAX($E\$5:$E\$64)*100))</f>
        <v/>
      </c>
      <c r="G60" s="4">
        <f>IF(COUNT(D60,F60)=0,"",IF(COUNT(D60,F60)=2,D60*Настройки!$B\$4+F60*Настройки!$B\$5,IF(D60&lt;&gt;"",D60,F60)))</f>
        <v/>
      </c>
      <c r="H60" s="4">
        <f>IF(OR(G60="",COUNT($G\$5:G60)&lt;12),"",AVERAGE(G49:G60))</f>
        <v/>
      </c>
      <c r="I60" s="4">
        <f>IF(OR(G60="",H60="",H60=0),"",G60/H60)</f>
        <v/>
      </c>
      <c r="J60" s="4">
        <f>IF(OR(G60="",IFERROR(VLOOKUP(B60,Сезонность!$A\$4:$D\$15,4,FALSE),0)=0),"",G60/IFERROR(VLOOKUP(B60,Сезонность!$A\$4:$D\$15,4,FALSE),1))</f>
        <v/>
      </c>
      <c r="K60" s="4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6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5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4">
        <f>IF(Ввод_данных!C61="","",Ввод_данных!C61)</f>
        <v/>
      </c>
      <c r="E61" s="4">
        <f>IF(Ввод_данных!D61="","",Ввод_данных!D61)</f>
        <v/>
      </c>
      <c r="F61" s="4">
        <f>IF(E61="","",IF(MAX($E\$5:$E\$64)=0,"",E61/MAX($E\$5:$E\$64)*100))</f>
        <v/>
      </c>
      <c r="G61" s="4">
        <f>IF(COUNT(D61,F61)=0,"",IF(COUNT(D61,F61)=2,D61*Настройки!$B\$4+F61*Настройки!$B\$5,IF(D61&lt;&gt;"",D61,F61)))</f>
        <v/>
      </c>
      <c r="H61" s="4">
        <f>IF(OR(G61="",COUNT($G\$5:G61)&lt;12),"",AVERAGE(G50:G61))</f>
        <v/>
      </c>
      <c r="I61" s="4">
        <f>IF(OR(G61="",H61="",H61=0),"",G61/H61)</f>
        <v/>
      </c>
      <c r="J61" s="4">
        <f>IF(OR(G61="",IFERROR(VLOOKUP(B61,Сезонность!$A\$4:$D\$15,4,FALSE),0)=0),"",G61/IFERROR(VLOOKUP(B61,Сезонность!$A\$4:$D\$15,4,FALSE),1))</f>
        <v/>
      </c>
      <c r="K61" s="4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6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5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4">
        <f>IF(Ввод_данных!C62="","",Ввод_данных!C62)</f>
        <v/>
      </c>
      <c r="E62" s="4">
        <f>IF(Ввод_данных!D62="","",Ввод_данных!D62)</f>
        <v/>
      </c>
      <c r="F62" s="4">
        <f>IF(E62="","",IF(MAX($E\$5:$E\$64)=0,"",E62/MAX($E\$5:$E\$64)*100))</f>
        <v/>
      </c>
      <c r="G62" s="4">
        <f>IF(COUNT(D62,F62)=0,"",IF(COUNT(D62,F62)=2,D62*Настройки!$B\$4+F62*Настройки!$B\$5,IF(D62&lt;&gt;"",D62,F62)))</f>
        <v/>
      </c>
      <c r="H62" s="4">
        <f>IF(OR(G62="",COUNT($G\$5:G62)&lt;12),"",AVERAGE(G51:G62))</f>
        <v/>
      </c>
      <c r="I62" s="4">
        <f>IF(OR(G62="",H62="",H62=0),"",G62/H62)</f>
        <v/>
      </c>
      <c r="J62" s="4">
        <f>IF(OR(G62="",IFERROR(VLOOKUP(B62,Сезонность!$A\$4:$D\$15,4,FALSE),0)=0),"",G62/IFERROR(VLOOKUP(B62,Сезонность!$A\$4:$D\$15,4,FALSE),1))</f>
        <v/>
      </c>
      <c r="K62" s="4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6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5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4">
        <f>IF(Ввод_данных!C63="","",Ввод_данных!C63)</f>
        <v/>
      </c>
      <c r="E63" s="4">
        <f>IF(Ввод_данных!D63="","",Ввод_данных!D63)</f>
        <v/>
      </c>
      <c r="F63" s="4">
        <f>IF(E63="","",IF(MAX($E\$5:$E\$64)=0,"",E63/MAX($E\$5:$E\$64)*100))</f>
        <v/>
      </c>
      <c r="G63" s="4">
        <f>IF(COUNT(D63,F63)=0,"",IF(COUNT(D63,F63)=2,D63*Настройки!$B\$4+F63*Настройки!$B\$5,IF(D63&lt;&gt;"",D63,F63)))</f>
        <v/>
      </c>
      <c r="H63" s="4">
        <f>IF(OR(G63="",COUNT($G\$5:G63)&lt;12),"",AVERAGE(G52:G63))</f>
        <v/>
      </c>
      <c r="I63" s="4">
        <f>IF(OR(G63="",H63="",H63=0),"",G63/H63)</f>
        <v/>
      </c>
      <c r="J63" s="4">
        <f>IF(OR(G63="",IFERROR(VLOOKUP(B63,Сезонность!$A\$4:$D\$15,4,FALSE),0)=0),"",G63/IFERROR(VLOOKUP(B63,Сезонность!$A\$4:$D\$15,4,FALSE),1))</f>
        <v/>
      </c>
      <c r="K63" s="4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6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5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4">
        <f>IF(Ввод_данных!C64="","",Ввод_данных!C64)</f>
        <v/>
      </c>
      <c r="E64" s="4">
        <f>IF(Ввод_данных!D64="","",Ввод_данных!D64)</f>
        <v/>
      </c>
      <c r="F64" s="4">
        <f>IF(E64="","",IF(MAX($E\$5:$E\$64)=0,"",E64/MAX($E\$5:$E\$64)*100))</f>
        <v/>
      </c>
      <c r="G64" s="4">
        <f>IF(COUNT(D64,F64)=0,"",IF(COUNT(D64,F64)=2,D64*Настройки!$B\$4+F64*Настройки!$B\$5,IF(D64&lt;&gt;"",D64,F64)))</f>
        <v/>
      </c>
      <c r="H64" s="4">
        <f>IF(OR(G64="",COUNT($G\$5:G64)&lt;12),"",AVERAGE(G53:G64))</f>
        <v/>
      </c>
      <c r="I64" s="4">
        <f>IF(OR(G64="",H64="",H64=0),"",G64/H64)</f>
        <v/>
      </c>
      <c r="J64" s="4">
        <f>IF(OR(G64="",IFERROR(VLOOKUP(B64,Сезонность!$A\$4:$D\$15,4,FALSE),0)=0),"",G64/IFERROR(VLOOKUP(B64,Сезонность!$A\$4:$D\$15,4,FALSE),1))</f>
        <v/>
      </c>
      <c r="K64" s="4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6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8">
      <formula>0.9</formula>
    </cfRule>
    <cfRule type="cellIs" priority="2" operator="greaterThan" dxfId="17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H22" sqref="H22"/>
    </sheetView>
  </sheetViews>
  <sheetFormatPr baseColWidth="8" defaultRowHeight="14.25"/>
  <cols>
    <col width="1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0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Месяц №</t>
        </is>
      </c>
      <c r="B3" s="12" t="inlineStr">
        <is>
          <t>Месяц</t>
        </is>
      </c>
      <c r="C3" s="12" t="inlineStr">
        <is>
          <t>Средний Y/T</t>
        </is>
      </c>
      <c r="D3" s="12" t="inlineStr">
        <is>
          <t>Сезонный индекс</t>
        </is>
      </c>
      <c r="E3" s="12" t="inlineStr">
        <is>
          <t>Отклонение от среднего</t>
        </is>
      </c>
      <c r="F3" s="12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4">
        <f>IFERROR(SUMIFS(Расчет!$I\$5:$I\$64,Расчет!$B\$5:$B\$64,A4)/COUNTIFS(Расчет!$B\$5:$B\$64,A4,Расчет!$I\$5:$I\$64,"&gt;0"),"")</f>
        <v/>
      </c>
      <c r="D4" s="4">
        <f>IF(C4="","",C4/AVERAGE($C\$4:$C\$15))</f>
        <v/>
      </c>
      <c r="E4" s="4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4">
        <f>IFERROR(SUMIFS(Расчет!$I\$5:$I\$64,Расчет!$B\$5:$B\$64,A5)/COUNTIFS(Расчет!$B\$5:$B\$64,A5,Расчет!$I\$5:$I\$64,"&gt;0"),"")</f>
        <v/>
      </c>
      <c r="D5" s="4">
        <f>IF(C5="","",C5/AVERAGE($C\$4:$C\$15))</f>
        <v/>
      </c>
      <c r="E5" s="4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4">
        <f>IFERROR(SUMIFS(Расчет!$I\$5:$I\$64,Расчет!$B\$5:$B\$64,A6)/COUNTIFS(Расчет!$B\$5:$B\$64,A6,Расчет!$I\$5:$I\$64,"&gt;0"),"")</f>
        <v/>
      </c>
      <c r="D6" s="4">
        <f>IF(C6="","",C6/AVERAGE($C\$4:$C\$15))</f>
        <v/>
      </c>
      <c r="E6" s="4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4">
        <f>IFERROR(SUMIFS(Расчет!$I\$5:$I\$64,Расчет!$B\$5:$B\$64,A7)/COUNTIFS(Расчет!$B\$5:$B\$64,A7,Расчет!$I\$5:$I\$64,"&gt;0"),"")</f>
        <v/>
      </c>
      <c r="D7" s="4">
        <f>IF(C7="","",C7/AVERAGE($C\$4:$C\$15))</f>
        <v/>
      </c>
      <c r="E7" s="4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4">
        <f>IFERROR(SUMIFS(Расчет!$I\$5:$I\$64,Расчет!$B\$5:$B\$64,A8)/COUNTIFS(Расчет!$B\$5:$B\$64,A8,Расчет!$I\$5:$I\$64,"&gt;0"),"")</f>
        <v/>
      </c>
      <c r="D8" s="4">
        <f>IF(C8="","",C8/AVERAGE($C\$4:$C\$15))</f>
        <v/>
      </c>
      <c r="E8" s="4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4">
        <f>IFERROR(SUMIFS(Расчет!$I\$5:$I\$64,Расчет!$B\$5:$B\$64,A9)/COUNTIFS(Расчет!$B\$5:$B\$64,A9,Расчет!$I\$5:$I\$64,"&gt;0"),"")</f>
        <v/>
      </c>
      <c r="D9" s="4">
        <f>IF(C9="","",C9/AVERAGE($C\$4:$C\$15))</f>
        <v/>
      </c>
      <c r="E9" s="4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4">
        <f>IFERROR(SUMIFS(Расчет!$I\$5:$I\$64,Расчет!$B\$5:$B\$64,A10)/COUNTIFS(Расчет!$B\$5:$B\$64,A10,Расчет!$I\$5:$I\$64,"&gt;0"),"")</f>
        <v/>
      </c>
      <c r="D10" s="4">
        <f>IF(C10="","",C10/AVERAGE($C\$4:$C\$15))</f>
        <v/>
      </c>
      <c r="E10" s="4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4">
        <f>IFERROR(SUMIFS(Расчет!$I\$5:$I\$64,Расчет!$B\$5:$B\$64,A11)/COUNTIFS(Расчет!$B\$5:$B\$64,A11,Расчет!$I\$5:$I\$64,"&gt;0"),"")</f>
        <v/>
      </c>
      <c r="D11" s="4">
        <f>IF(C11="","",C11/AVERAGE($C\$4:$C\$15))</f>
        <v/>
      </c>
      <c r="E11" s="4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4">
        <f>IFERROR(SUMIFS(Расчет!$I\$5:$I\$64,Расчет!$B\$5:$B\$64,A12)/COUNTIFS(Расчет!$B\$5:$B\$64,A12,Расчет!$I\$5:$I\$64,"&gt;0"),"")</f>
        <v/>
      </c>
      <c r="D12" s="4">
        <f>IF(C12="","",C12/AVERAGE($C\$4:$C\$15))</f>
        <v/>
      </c>
      <c r="E12" s="4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4">
        <f>IFERROR(SUMIFS(Расчет!$I\$5:$I\$64,Расчет!$B\$5:$B\$64,A13)/COUNTIFS(Расчет!$B\$5:$B\$64,A13,Расчет!$I\$5:$I\$64,"&gt;0"),"")</f>
        <v/>
      </c>
      <c r="D13" s="4">
        <f>IF(C13="","",C13/AVERAGE($C\$4:$C\$15))</f>
        <v/>
      </c>
      <c r="E13" s="4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4">
        <f>IFERROR(SUMIFS(Расчет!$I\$5:$I\$64,Расчет!$B\$5:$B\$64,A14)/COUNTIFS(Расчет!$B\$5:$B\$64,A14,Расчет!$I\$5:$I\$64,"&gt;0"),"")</f>
        <v/>
      </c>
      <c r="D14" s="4">
        <f>IF(C14="","",C14/AVERAGE($C\$4:$C\$15))</f>
        <v/>
      </c>
      <c r="E14" s="4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4">
        <f>IFERROR(SUMIFS(Расчет!$I\$5:$I\$64,Расчет!$B\$5:$B\$64,A15)/COUNTIFS(Расчет!$B\$5:$B\$64,A15,Расчет!$I\$5:$I\$64,"&gt;0"),"")</f>
        <v/>
      </c>
      <c r="D15" s="4">
        <f>IF(C15="","",C15/AVERAGE($C\$4:$C\$15))</f>
        <v/>
      </c>
      <c r="E15" s="4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2" t="inlineStr">
        <is>
          <t>Показатель</t>
        </is>
      </c>
      <c r="B18" s="12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4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4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14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4" t="inlineStr">
        <is>
          <t>Оценка силы сезонности</t>
        </is>
      </c>
      <c r="B22" s="14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4" t="inlineStr">
        <is>
          <t>Месяц максимума</t>
        </is>
      </c>
      <c r="B23" s="14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4" t="inlineStr">
        <is>
          <t>Месяц минимума</t>
        </is>
      </c>
      <c r="B24" s="14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17" sqref="D17"/>
    </sheetView>
  </sheetViews>
  <sheetFormatPr baseColWidth="8" defaultRowHeight="14.25"/>
  <cols>
    <col width="34" customWidth="1" min="1" max="1"/>
    <col width="42" customWidth="1" min="2" max="2"/>
    <col width="46" customWidth="1" min="3" max="3"/>
    <col width="48" customWidth="1" min="4" max="4"/>
  </cols>
  <sheetData>
    <row r="1" ht="27.95" customHeight="1">
      <c r="A1" s="10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Показатель</t>
        </is>
      </c>
      <c r="B3" s="12" t="inlineStr">
        <is>
          <t>Формула / значение</t>
        </is>
      </c>
      <c r="C3" s="12" t="inlineStr">
        <is>
          <t>Интерпретация</t>
        </is>
      </c>
      <c r="D3" s="12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4" t="inlineStr">
        <is>
          <t>Количество наблюдений</t>
        </is>
      </c>
      <c r="B4" s="14">
        <f>COUNT(Расчет!$G\$5:$G\$64)</f>
        <v/>
      </c>
      <c r="C4" s="14" t="inlineStr">
        <is>
          <t>минимально желательно не менее 24 месяцев</t>
        </is>
      </c>
      <c r="D4" s="14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4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4" t="inlineStr">
        <is>
          <t>исходный уровень интереса</t>
        </is>
      </c>
      <c r="D5" s="14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4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4" t="inlineStr">
        <is>
          <t>текущий уровень интереса</t>
        </is>
      </c>
      <c r="D6" s="14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4" t="inlineStr">
        <is>
          <t>Абсолютное изменение</t>
        </is>
      </c>
      <c r="B7" s="16">
        <f>IF(OR(B5="",B6=""),"",B6-B5)</f>
        <v/>
      </c>
      <c r="C7" s="14" t="inlineStr">
        <is>
          <t>последние 12 месяцев минус первые 12 месяцев</t>
        </is>
      </c>
      <c r="D7" s="14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4" t="inlineStr">
        <is>
          <t>Относительное изменение</t>
        </is>
      </c>
      <c r="B8" s="15">
        <f>IF(OR(B5="",B6=""),"",B7/B5)</f>
        <v/>
      </c>
      <c r="C8" s="14" t="inlineStr">
        <is>
          <t>темп изменения среднего уровня</t>
        </is>
      </c>
      <c r="D8" s="14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4" t="inlineStr">
        <is>
          <t>Наклон линейного тренда</t>
        </is>
      </c>
      <c r="B9" s="16">
        <f>IFERROR(SLOPE(Расчет!$G\$5:$G\$64,Расчет!$N\$5:$N\$64),"")</f>
        <v/>
      </c>
      <c r="C9" s="14" t="inlineStr">
        <is>
          <t>среднее изменение за месяц</t>
        </is>
      </c>
      <c r="D9" s="14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4" t="inlineStr">
        <is>
          <t>Классификация тренда</t>
        </is>
      </c>
      <c r="B10" s="14">
        <f>IF(B8="","",IF(B8&gt;=Настройки!$B\$10,"растущий тренд",IF(B8&lt;=Настройки!$B\$9,"снижающийся тренд","стабильный тренд")))</f>
        <v/>
      </c>
      <c r="C10" s="14" t="inlineStr">
        <is>
          <t>растущий / стабильный / снижающийся</t>
        </is>
      </c>
      <c r="D10" s="14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4" t="inlineStr">
        <is>
          <t>Управленческий вывод</t>
        </is>
      </c>
      <c r="B11" s="14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4" t="inlineStr">
        <is>
          <t>готовая формулировка для отчета</t>
        </is>
      </c>
      <c r="D11" s="14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L17" sqref="L17"/>
    </sheetView>
  </sheetViews>
  <sheetFormatPr baseColWidth="8" defaultRowHeight="14.25"/>
  <cols>
    <col width="28.87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0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1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2" t="inlineStr">
        <is>
          <t>Показатель</t>
        </is>
      </c>
      <c r="B4" s="12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7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8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8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8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8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8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2" t="inlineStr">
        <is>
          <t>Период</t>
        </is>
      </c>
      <c r="B13" s="12" t="inlineStr">
        <is>
          <t>Сводный индекс</t>
        </is>
      </c>
      <c r="C13" s="12" t="inlineStr">
        <is>
          <t>Тренд</t>
        </is>
      </c>
      <c r="D13" s="12" t="inlineStr">
        <is>
          <t>Сезонный индекс</t>
        </is>
      </c>
      <c r="E13" s="12" t="inlineStr">
        <is>
          <t>Сезонно очищенный индекс</t>
        </is>
      </c>
      <c r="F13" s="12" t="inlineStr">
        <is>
          <t>Циклический коэффициент</t>
        </is>
      </c>
      <c r="G13" s="12" t="inlineStr">
        <is>
          <t>Фаза</t>
        </is>
      </c>
      <c r="H13" s="12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5">
        <f>Расчет!A5</f>
        <v/>
      </c>
      <c r="B14" s="4">
        <f>Расчет!G5</f>
        <v/>
      </c>
      <c r="C14" s="4">
        <f>Расчет!H5</f>
        <v/>
      </c>
      <c r="D14" s="4">
        <f>IFERROR(VLOOKUP(Расчет!B5,Сезонность!$A\$4:$D\$15,4,FALSE),"")</f>
        <v/>
      </c>
      <c r="E14" s="4">
        <f>Расчет!J5</f>
        <v/>
      </c>
      <c r="F14" s="4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5">
        <f>Расчет!A6</f>
        <v/>
      </c>
      <c r="B15" s="4">
        <f>Расчет!G6</f>
        <v/>
      </c>
      <c r="C15" s="4">
        <f>Расчет!H6</f>
        <v/>
      </c>
      <c r="D15" s="4">
        <f>IFERROR(VLOOKUP(Расчет!B6,Сезонность!$A\$4:$D\$15,4,FALSE),"")</f>
        <v/>
      </c>
      <c r="E15" s="4">
        <f>Расчет!J6</f>
        <v/>
      </c>
      <c r="F15" s="4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5">
        <f>Расчет!A7</f>
        <v/>
      </c>
      <c r="B16" s="4">
        <f>Расчет!G7</f>
        <v/>
      </c>
      <c r="C16" s="4">
        <f>Расчет!H7</f>
        <v/>
      </c>
      <c r="D16" s="4">
        <f>IFERROR(VLOOKUP(Расчет!B7,Сезонность!$A\$4:$D\$15,4,FALSE),"")</f>
        <v/>
      </c>
      <c r="E16" s="4">
        <f>Расчет!J7</f>
        <v/>
      </c>
      <c r="F16" s="4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5">
        <f>Расчет!A8</f>
        <v/>
      </c>
      <c r="B17" s="4">
        <f>Расчет!G8</f>
        <v/>
      </c>
      <c r="C17" s="4">
        <f>Расчет!H8</f>
        <v/>
      </c>
      <c r="D17" s="4">
        <f>IFERROR(VLOOKUP(Расчет!B8,Сезонность!$A\$4:$D\$15,4,FALSE),"")</f>
        <v/>
      </c>
      <c r="E17" s="4">
        <f>Расчет!J8</f>
        <v/>
      </c>
      <c r="F17" s="4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5">
        <f>Расчет!A9</f>
        <v/>
      </c>
      <c r="B18" s="4">
        <f>Расчет!G9</f>
        <v/>
      </c>
      <c r="C18" s="4">
        <f>Расчет!H9</f>
        <v/>
      </c>
      <c r="D18" s="4">
        <f>IFERROR(VLOOKUP(Расчет!B9,Сезонность!$A\$4:$D\$15,4,FALSE),"")</f>
        <v/>
      </c>
      <c r="E18" s="4">
        <f>Расчет!J9</f>
        <v/>
      </c>
      <c r="F18" s="4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5">
        <f>Расчет!A10</f>
        <v/>
      </c>
      <c r="B19" s="4">
        <f>Расчет!G10</f>
        <v/>
      </c>
      <c r="C19" s="4">
        <f>Расчет!H10</f>
        <v/>
      </c>
      <c r="D19" s="4">
        <f>IFERROR(VLOOKUP(Расчет!B10,Сезонность!$A\$4:$D\$15,4,FALSE),"")</f>
        <v/>
      </c>
      <c r="E19" s="4">
        <f>Расчет!J10</f>
        <v/>
      </c>
      <c r="F19" s="4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5">
        <f>Расчет!A11</f>
        <v/>
      </c>
      <c r="B20" s="4">
        <f>Расчет!G11</f>
        <v/>
      </c>
      <c r="C20" s="4">
        <f>Расчет!H11</f>
        <v/>
      </c>
      <c r="D20" s="4">
        <f>IFERROR(VLOOKUP(Расчет!B11,Сезонность!$A\$4:$D\$15,4,FALSE),"")</f>
        <v/>
      </c>
      <c r="E20" s="4">
        <f>Расчет!J11</f>
        <v/>
      </c>
      <c r="F20" s="4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5">
        <f>Расчет!A12</f>
        <v/>
      </c>
      <c r="B21" s="4">
        <f>Расчет!G12</f>
        <v/>
      </c>
      <c r="C21" s="4">
        <f>Расчет!H12</f>
        <v/>
      </c>
      <c r="D21" s="4">
        <f>IFERROR(VLOOKUP(Расчет!B12,Сезонность!$A\$4:$D\$15,4,FALSE),"")</f>
        <v/>
      </c>
      <c r="E21" s="4">
        <f>Расчет!J12</f>
        <v/>
      </c>
      <c r="F21" s="4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5">
        <f>Расчет!A13</f>
        <v/>
      </c>
      <c r="B22" s="4">
        <f>Расчет!G13</f>
        <v/>
      </c>
      <c r="C22" s="4">
        <f>Расчет!H13</f>
        <v/>
      </c>
      <c r="D22" s="4">
        <f>IFERROR(VLOOKUP(Расчет!B13,Сезонность!$A\$4:$D\$15,4,FALSE),"")</f>
        <v/>
      </c>
      <c r="E22" s="4">
        <f>Расчет!J13</f>
        <v/>
      </c>
      <c r="F22" s="4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5">
        <f>Расчет!A14</f>
        <v/>
      </c>
      <c r="B23" s="4">
        <f>Расчет!G14</f>
        <v/>
      </c>
      <c r="C23" s="4">
        <f>Расчет!H14</f>
        <v/>
      </c>
      <c r="D23" s="4">
        <f>IFERROR(VLOOKUP(Расчет!B14,Сезонность!$A\$4:$D\$15,4,FALSE),"")</f>
        <v/>
      </c>
      <c r="E23" s="4">
        <f>Расчет!J14</f>
        <v/>
      </c>
      <c r="F23" s="4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5">
        <f>Расчет!A15</f>
        <v/>
      </c>
      <c r="B24" s="4">
        <f>Расчет!G15</f>
        <v/>
      </c>
      <c r="C24" s="4">
        <f>Расчет!H15</f>
        <v/>
      </c>
      <c r="D24" s="4">
        <f>IFERROR(VLOOKUP(Расчет!B15,Сезонность!$A\$4:$D\$15,4,FALSE),"")</f>
        <v/>
      </c>
      <c r="E24" s="4">
        <f>Расчет!J15</f>
        <v/>
      </c>
      <c r="F24" s="4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5">
        <f>Расчет!A16</f>
        <v/>
      </c>
      <c r="B25" s="4">
        <f>Расчет!G16</f>
        <v/>
      </c>
      <c r="C25" s="4">
        <f>Расчет!H16</f>
        <v/>
      </c>
      <c r="D25" s="4">
        <f>IFERROR(VLOOKUP(Расчет!B16,Сезонность!$A\$4:$D\$15,4,FALSE),"")</f>
        <v/>
      </c>
      <c r="E25" s="4">
        <f>Расчет!J16</f>
        <v/>
      </c>
      <c r="F25" s="4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5">
        <f>Расчет!A17</f>
        <v/>
      </c>
      <c r="B26" s="4">
        <f>Расчет!G17</f>
        <v/>
      </c>
      <c r="C26" s="4">
        <f>Расчет!H17</f>
        <v/>
      </c>
      <c r="D26" s="4">
        <f>IFERROR(VLOOKUP(Расчет!B17,Сезонность!$A\$4:$D\$15,4,FALSE),"")</f>
        <v/>
      </c>
      <c r="E26" s="4">
        <f>Расчет!J17</f>
        <v/>
      </c>
      <c r="F26" s="4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5">
        <f>Расчет!A18</f>
        <v/>
      </c>
      <c r="B27" s="4">
        <f>Расчет!G18</f>
        <v/>
      </c>
      <c r="C27" s="4">
        <f>Расчет!H18</f>
        <v/>
      </c>
      <c r="D27" s="4">
        <f>IFERROR(VLOOKUP(Расчет!B18,Сезонность!$A\$4:$D\$15,4,FALSE),"")</f>
        <v/>
      </c>
      <c r="E27" s="4">
        <f>Расчет!J18</f>
        <v/>
      </c>
      <c r="F27" s="4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5">
        <f>Расчет!A19</f>
        <v/>
      </c>
      <c r="B28" s="4">
        <f>Расчет!G19</f>
        <v/>
      </c>
      <c r="C28" s="4">
        <f>Расчет!H19</f>
        <v/>
      </c>
      <c r="D28" s="4">
        <f>IFERROR(VLOOKUP(Расчет!B19,Сезонность!$A\$4:$D\$15,4,FALSE),"")</f>
        <v/>
      </c>
      <c r="E28" s="4">
        <f>Расчет!J19</f>
        <v/>
      </c>
      <c r="F28" s="4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5">
        <f>Расчет!A20</f>
        <v/>
      </c>
      <c r="B29" s="4">
        <f>Расчет!G20</f>
        <v/>
      </c>
      <c r="C29" s="4">
        <f>Расчет!H20</f>
        <v/>
      </c>
      <c r="D29" s="4">
        <f>IFERROR(VLOOKUP(Расчет!B20,Сезонность!$A\$4:$D\$15,4,FALSE),"")</f>
        <v/>
      </c>
      <c r="E29" s="4">
        <f>Расчет!J20</f>
        <v/>
      </c>
      <c r="F29" s="4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5">
        <f>Расчет!A21</f>
        <v/>
      </c>
      <c r="B30" s="4">
        <f>Расчет!G21</f>
        <v/>
      </c>
      <c r="C30" s="4">
        <f>Расчет!H21</f>
        <v/>
      </c>
      <c r="D30" s="4">
        <f>IFERROR(VLOOKUP(Расчет!B21,Сезонность!$A\$4:$D\$15,4,FALSE),"")</f>
        <v/>
      </c>
      <c r="E30" s="4">
        <f>Расчет!J21</f>
        <v/>
      </c>
      <c r="F30" s="4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5">
        <f>Расчет!A22</f>
        <v/>
      </c>
      <c r="B31" s="4">
        <f>Расчет!G22</f>
        <v/>
      </c>
      <c r="C31" s="4">
        <f>Расчет!H22</f>
        <v/>
      </c>
      <c r="D31" s="4">
        <f>IFERROR(VLOOKUP(Расчет!B22,Сезонность!$A\$4:$D\$15,4,FALSE),"")</f>
        <v/>
      </c>
      <c r="E31" s="4">
        <f>Расчет!J22</f>
        <v/>
      </c>
      <c r="F31" s="4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5">
        <f>Расчет!A23</f>
        <v/>
      </c>
      <c r="B32" s="4">
        <f>Расчет!G23</f>
        <v/>
      </c>
      <c r="C32" s="4">
        <f>Расчет!H23</f>
        <v/>
      </c>
      <c r="D32" s="4">
        <f>IFERROR(VLOOKUP(Расчет!B23,Сезонность!$A\$4:$D\$15,4,FALSE),"")</f>
        <v/>
      </c>
      <c r="E32" s="4">
        <f>Расчет!J23</f>
        <v/>
      </c>
      <c r="F32" s="4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5">
        <f>Расчет!A24</f>
        <v/>
      </c>
      <c r="B33" s="4">
        <f>Расчет!G24</f>
        <v/>
      </c>
      <c r="C33" s="4">
        <f>Расчет!H24</f>
        <v/>
      </c>
      <c r="D33" s="4">
        <f>IFERROR(VLOOKUP(Расчет!B24,Сезонность!$A\$4:$D\$15,4,FALSE),"")</f>
        <v/>
      </c>
      <c r="E33" s="4">
        <f>Расчет!J24</f>
        <v/>
      </c>
      <c r="F33" s="4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5">
        <f>Расчет!A25</f>
        <v/>
      </c>
      <c r="B34" s="4">
        <f>Расчет!G25</f>
        <v/>
      </c>
      <c r="C34" s="4">
        <f>Расчет!H25</f>
        <v/>
      </c>
      <c r="D34" s="4">
        <f>IFERROR(VLOOKUP(Расчет!B25,Сезонность!$A\$4:$D\$15,4,FALSE),"")</f>
        <v/>
      </c>
      <c r="E34" s="4">
        <f>Расчет!J25</f>
        <v/>
      </c>
      <c r="F34" s="4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5">
        <f>Расчет!A26</f>
        <v/>
      </c>
      <c r="B35" s="4">
        <f>Расчет!G26</f>
        <v/>
      </c>
      <c r="C35" s="4">
        <f>Расчет!H26</f>
        <v/>
      </c>
      <c r="D35" s="4">
        <f>IFERROR(VLOOKUP(Расчет!B26,Сезонность!$A\$4:$D\$15,4,FALSE),"")</f>
        <v/>
      </c>
      <c r="E35" s="4">
        <f>Расчет!J26</f>
        <v/>
      </c>
      <c r="F35" s="4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5">
        <f>Расчет!A27</f>
        <v/>
      </c>
      <c r="B36" s="4">
        <f>Расчет!G27</f>
        <v/>
      </c>
      <c r="C36" s="4">
        <f>Расчет!H27</f>
        <v/>
      </c>
      <c r="D36" s="4">
        <f>IFERROR(VLOOKUP(Расчет!B27,Сезонность!$A\$4:$D\$15,4,FALSE),"")</f>
        <v/>
      </c>
      <c r="E36" s="4">
        <f>Расчет!J27</f>
        <v/>
      </c>
      <c r="F36" s="4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5">
        <f>Расчет!A28</f>
        <v/>
      </c>
      <c r="B37" s="4">
        <f>Расчет!G28</f>
        <v/>
      </c>
      <c r="C37" s="4">
        <f>Расчет!H28</f>
        <v/>
      </c>
      <c r="D37" s="4">
        <f>IFERROR(VLOOKUP(Расчет!B28,Сезонность!$A\$4:$D\$15,4,FALSE),"")</f>
        <v/>
      </c>
      <c r="E37" s="4">
        <f>Расчет!J28</f>
        <v/>
      </c>
      <c r="F37" s="4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5">
        <f>Расчет!A29</f>
        <v/>
      </c>
      <c r="B38" s="4">
        <f>Расчет!G29</f>
        <v/>
      </c>
      <c r="C38" s="4">
        <f>Расчет!H29</f>
        <v/>
      </c>
      <c r="D38" s="4">
        <f>IFERROR(VLOOKUP(Расчет!B29,Сезонность!$A\$4:$D\$15,4,FALSE),"")</f>
        <v/>
      </c>
      <c r="E38" s="4">
        <f>Расчет!J29</f>
        <v/>
      </c>
      <c r="F38" s="4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5">
        <f>Расчет!A30</f>
        <v/>
      </c>
      <c r="B39" s="4">
        <f>Расчет!G30</f>
        <v/>
      </c>
      <c r="C39" s="4">
        <f>Расчет!H30</f>
        <v/>
      </c>
      <c r="D39" s="4">
        <f>IFERROR(VLOOKUP(Расчет!B30,Сезонность!$A\$4:$D\$15,4,FALSE),"")</f>
        <v/>
      </c>
      <c r="E39" s="4">
        <f>Расчет!J30</f>
        <v/>
      </c>
      <c r="F39" s="4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5">
        <f>Расчет!A31</f>
        <v/>
      </c>
      <c r="B40" s="4">
        <f>Расчет!G31</f>
        <v/>
      </c>
      <c r="C40" s="4">
        <f>Расчет!H31</f>
        <v/>
      </c>
      <c r="D40" s="4">
        <f>IFERROR(VLOOKUP(Расчет!B31,Сезонность!$A\$4:$D\$15,4,FALSE),"")</f>
        <v/>
      </c>
      <c r="E40" s="4">
        <f>Расчет!J31</f>
        <v/>
      </c>
      <c r="F40" s="4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5">
        <f>Расчет!A32</f>
        <v/>
      </c>
      <c r="B41" s="4">
        <f>Расчет!G32</f>
        <v/>
      </c>
      <c r="C41" s="4">
        <f>Расчет!H32</f>
        <v/>
      </c>
      <c r="D41" s="4">
        <f>IFERROR(VLOOKUP(Расчет!B32,Сезонность!$A\$4:$D\$15,4,FALSE),"")</f>
        <v/>
      </c>
      <c r="E41" s="4">
        <f>Расчет!J32</f>
        <v/>
      </c>
      <c r="F41" s="4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5">
        <f>Расчет!A33</f>
        <v/>
      </c>
      <c r="B42" s="4">
        <f>Расчет!G33</f>
        <v/>
      </c>
      <c r="C42" s="4">
        <f>Расчет!H33</f>
        <v/>
      </c>
      <c r="D42" s="4">
        <f>IFERROR(VLOOKUP(Расчет!B33,Сезонность!$A\$4:$D\$15,4,FALSE),"")</f>
        <v/>
      </c>
      <c r="E42" s="4">
        <f>Расчет!J33</f>
        <v/>
      </c>
      <c r="F42" s="4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5">
        <f>Расчет!A34</f>
        <v/>
      </c>
      <c r="B43" s="4">
        <f>Расчет!G34</f>
        <v/>
      </c>
      <c r="C43" s="4">
        <f>Расчет!H34</f>
        <v/>
      </c>
      <c r="D43" s="4">
        <f>IFERROR(VLOOKUP(Расчет!B34,Сезонность!$A\$4:$D\$15,4,FALSE),"")</f>
        <v/>
      </c>
      <c r="E43" s="4">
        <f>Расчет!J34</f>
        <v/>
      </c>
      <c r="F43" s="4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5">
        <f>Расчет!A35</f>
        <v/>
      </c>
      <c r="B44" s="4">
        <f>Расчет!G35</f>
        <v/>
      </c>
      <c r="C44" s="4">
        <f>Расчет!H35</f>
        <v/>
      </c>
      <c r="D44" s="4">
        <f>IFERROR(VLOOKUP(Расчет!B35,Сезонность!$A\$4:$D\$15,4,FALSE),"")</f>
        <v/>
      </c>
      <c r="E44" s="4">
        <f>Расчет!J35</f>
        <v/>
      </c>
      <c r="F44" s="4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5">
        <f>Расчет!A36</f>
        <v/>
      </c>
      <c r="B45" s="4">
        <f>Расчет!G36</f>
        <v/>
      </c>
      <c r="C45" s="4">
        <f>Расчет!H36</f>
        <v/>
      </c>
      <c r="D45" s="4">
        <f>IFERROR(VLOOKUP(Расчет!B36,Сезонность!$A\$4:$D\$15,4,FALSE),"")</f>
        <v/>
      </c>
      <c r="E45" s="4">
        <f>Расчет!J36</f>
        <v/>
      </c>
      <c r="F45" s="4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5">
        <f>Расчет!A37</f>
        <v/>
      </c>
      <c r="B46" s="4">
        <f>Расчет!G37</f>
        <v/>
      </c>
      <c r="C46" s="4">
        <f>Расчет!H37</f>
        <v/>
      </c>
      <c r="D46" s="4">
        <f>IFERROR(VLOOKUP(Расчет!B37,Сезонность!$A\$4:$D\$15,4,FALSE),"")</f>
        <v/>
      </c>
      <c r="E46" s="4">
        <f>Расчет!J37</f>
        <v/>
      </c>
      <c r="F46" s="4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5">
        <f>Расчет!A38</f>
        <v/>
      </c>
      <c r="B47" s="4">
        <f>Расчет!G38</f>
        <v/>
      </c>
      <c r="C47" s="4">
        <f>Расчет!H38</f>
        <v/>
      </c>
      <c r="D47" s="4">
        <f>IFERROR(VLOOKUP(Расчет!B38,Сезонность!$A\$4:$D\$15,4,FALSE),"")</f>
        <v/>
      </c>
      <c r="E47" s="4">
        <f>Расчет!J38</f>
        <v/>
      </c>
      <c r="F47" s="4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5">
        <f>Расчет!A39</f>
        <v/>
      </c>
      <c r="B48" s="4">
        <f>Расчет!G39</f>
        <v/>
      </c>
      <c r="C48" s="4">
        <f>Расчет!H39</f>
        <v/>
      </c>
      <c r="D48" s="4">
        <f>IFERROR(VLOOKUP(Расчет!B39,Сезонность!$A\$4:$D\$15,4,FALSE),"")</f>
        <v/>
      </c>
      <c r="E48" s="4">
        <f>Расчет!J39</f>
        <v/>
      </c>
      <c r="F48" s="4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5">
        <f>Расчет!A40</f>
        <v/>
      </c>
      <c r="B49" s="4">
        <f>Расчет!G40</f>
        <v/>
      </c>
      <c r="C49" s="4">
        <f>Расчет!H40</f>
        <v/>
      </c>
      <c r="D49" s="4">
        <f>IFERROR(VLOOKUP(Расчет!B40,Сезонность!$A\$4:$D\$15,4,FALSE),"")</f>
        <v/>
      </c>
      <c r="E49" s="4">
        <f>Расчет!J40</f>
        <v/>
      </c>
      <c r="F49" s="4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5">
        <f>Расчет!A41</f>
        <v/>
      </c>
      <c r="B50" s="4">
        <f>Расчет!G41</f>
        <v/>
      </c>
      <c r="C50" s="4">
        <f>Расчет!H41</f>
        <v/>
      </c>
      <c r="D50" s="4">
        <f>IFERROR(VLOOKUP(Расчет!B41,Сезонность!$A\$4:$D\$15,4,FALSE),"")</f>
        <v/>
      </c>
      <c r="E50" s="4">
        <f>Расчет!J41</f>
        <v/>
      </c>
      <c r="F50" s="4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5">
        <f>Расчет!A42</f>
        <v/>
      </c>
      <c r="B51" s="4">
        <f>Расчет!G42</f>
        <v/>
      </c>
      <c r="C51" s="4">
        <f>Расчет!H42</f>
        <v/>
      </c>
      <c r="D51" s="4">
        <f>IFERROR(VLOOKUP(Расчет!B42,Сезонность!$A\$4:$D\$15,4,FALSE),"")</f>
        <v/>
      </c>
      <c r="E51" s="4">
        <f>Расчет!J42</f>
        <v/>
      </c>
      <c r="F51" s="4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5">
        <f>Расчет!A43</f>
        <v/>
      </c>
      <c r="B52" s="4">
        <f>Расчет!G43</f>
        <v/>
      </c>
      <c r="C52" s="4">
        <f>Расчет!H43</f>
        <v/>
      </c>
      <c r="D52" s="4">
        <f>IFERROR(VLOOKUP(Расчет!B43,Сезонность!$A\$4:$D\$15,4,FALSE),"")</f>
        <v/>
      </c>
      <c r="E52" s="4">
        <f>Расчет!J43</f>
        <v/>
      </c>
      <c r="F52" s="4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5">
        <f>Расчет!A44</f>
        <v/>
      </c>
      <c r="B53" s="4">
        <f>Расчет!G44</f>
        <v/>
      </c>
      <c r="C53" s="4">
        <f>Расчет!H44</f>
        <v/>
      </c>
      <c r="D53" s="4">
        <f>IFERROR(VLOOKUP(Расчет!B44,Сезонность!$A\$4:$D\$15,4,FALSE),"")</f>
        <v/>
      </c>
      <c r="E53" s="4">
        <f>Расчет!J44</f>
        <v/>
      </c>
      <c r="F53" s="4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5">
        <f>Расчет!A45</f>
        <v/>
      </c>
      <c r="B54" s="4">
        <f>Расчет!G45</f>
        <v/>
      </c>
      <c r="C54" s="4">
        <f>Расчет!H45</f>
        <v/>
      </c>
      <c r="D54" s="4">
        <f>IFERROR(VLOOKUP(Расчет!B45,Сезонность!$A\$4:$D\$15,4,FALSE),"")</f>
        <v/>
      </c>
      <c r="E54" s="4">
        <f>Расчет!J45</f>
        <v/>
      </c>
      <c r="F54" s="4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5">
        <f>Расчет!A46</f>
        <v/>
      </c>
      <c r="B55" s="4">
        <f>Расчет!G46</f>
        <v/>
      </c>
      <c r="C55" s="4">
        <f>Расчет!H46</f>
        <v/>
      </c>
      <c r="D55" s="4">
        <f>IFERROR(VLOOKUP(Расчет!B46,Сезонность!$A\$4:$D\$15,4,FALSE),"")</f>
        <v/>
      </c>
      <c r="E55" s="4">
        <f>Расчет!J46</f>
        <v/>
      </c>
      <c r="F55" s="4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5">
        <f>Расчет!A47</f>
        <v/>
      </c>
      <c r="B56" s="4">
        <f>Расчет!G47</f>
        <v/>
      </c>
      <c r="C56" s="4">
        <f>Расчет!H47</f>
        <v/>
      </c>
      <c r="D56" s="4">
        <f>IFERROR(VLOOKUP(Расчет!B47,Сезонность!$A\$4:$D\$15,4,FALSE),"")</f>
        <v/>
      </c>
      <c r="E56" s="4">
        <f>Расчет!J47</f>
        <v/>
      </c>
      <c r="F56" s="4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5">
        <f>Расчет!A48</f>
        <v/>
      </c>
      <c r="B57" s="4">
        <f>Расчет!G48</f>
        <v/>
      </c>
      <c r="C57" s="4">
        <f>Расчет!H48</f>
        <v/>
      </c>
      <c r="D57" s="4">
        <f>IFERROR(VLOOKUP(Расчет!B48,Сезонность!$A\$4:$D\$15,4,FALSE),"")</f>
        <v/>
      </c>
      <c r="E57" s="4">
        <f>Расчет!J48</f>
        <v/>
      </c>
      <c r="F57" s="4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5">
        <f>Расчет!A49</f>
        <v/>
      </c>
      <c r="B58" s="4">
        <f>Расчет!G49</f>
        <v/>
      </c>
      <c r="C58" s="4">
        <f>Расчет!H49</f>
        <v/>
      </c>
      <c r="D58" s="4">
        <f>IFERROR(VLOOKUP(Расчет!B49,Сезонность!$A\$4:$D\$15,4,FALSE),"")</f>
        <v/>
      </c>
      <c r="E58" s="4">
        <f>Расчет!J49</f>
        <v/>
      </c>
      <c r="F58" s="4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5">
        <f>Расчет!A50</f>
        <v/>
      </c>
      <c r="B59" s="4">
        <f>Расчет!G50</f>
        <v/>
      </c>
      <c r="C59" s="4">
        <f>Расчет!H50</f>
        <v/>
      </c>
      <c r="D59" s="4">
        <f>IFERROR(VLOOKUP(Расчет!B50,Сезонность!$A\$4:$D\$15,4,FALSE),"")</f>
        <v/>
      </c>
      <c r="E59" s="4">
        <f>Расчет!J50</f>
        <v/>
      </c>
      <c r="F59" s="4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5">
        <f>Расчет!A51</f>
        <v/>
      </c>
      <c r="B60" s="4">
        <f>Расчет!G51</f>
        <v/>
      </c>
      <c r="C60" s="4">
        <f>Расчет!H51</f>
        <v/>
      </c>
      <c r="D60" s="4">
        <f>IFERROR(VLOOKUP(Расчет!B51,Сезонность!$A\$4:$D\$15,4,FALSE),"")</f>
        <v/>
      </c>
      <c r="E60" s="4">
        <f>Расчет!J51</f>
        <v/>
      </c>
      <c r="F60" s="4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5">
        <f>Расчет!A52</f>
        <v/>
      </c>
      <c r="B61" s="4">
        <f>Расчет!G52</f>
        <v/>
      </c>
      <c r="C61" s="4">
        <f>Расчет!H52</f>
        <v/>
      </c>
      <c r="D61" s="4">
        <f>IFERROR(VLOOKUP(Расчет!B52,Сезонность!$A\$4:$D\$15,4,FALSE),"")</f>
        <v/>
      </c>
      <c r="E61" s="4">
        <f>Расчет!J52</f>
        <v/>
      </c>
      <c r="F61" s="4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5">
        <f>Расчет!A53</f>
        <v/>
      </c>
      <c r="B62" s="4">
        <f>Расчет!G53</f>
        <v/>
      </c>
      <c r="C62" s="4">
        <f>Расчет!H53</f>
        <v/>
      </c>
      <c r="D62" s="4">
        <f>IFERROR(VLOOKUP(Расчет!B53,Сезонность!$A\$4:$D\$15,4,FALSE),"")</f>
        <v/>
      </c>
      <c r="E62" s="4">
        <f>Расчет!J53</f>
        <v/>
      </c>
      <c r="F62" s="4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5">
        <f>Расчет!A54</f>
        <v/>
      </c>
      <c r="B63" s="4">
        <f>Расчет!G54</f>
        <v/>
      </c>
      <c r="C63" s="4">
        <f>Расчет!H54</f>
        <v/>
      </c>
      <c r="D63" s="4">
        <f>IFERROR(VLOOKUP(Расчет!B54,Сезонность!$A\$4:$D\$15,4,FALSE),"")</f>
        <v/>
      </c>
      <c r="E63" s="4">
        <f>Расчет!J54</f>
        <v/>
      </c>
      <c r="F63" s="4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5">
        <f>Расчет!A55</f>
        <v/>
      </c>
      <c r="B64" s="4">
        <f>Расчет!G55</f>
        <v/>
      </c>
      <c r="C64" s="4">
        <f>Расчет!H55</f>
        <v/>
      </c>
      <c r="D64" s="4">
        <f>IFERROR(VLOOKUP(Расчет!B55,Сезонность!$A\$4:$D\$15,4,FALSE),"")</f>
        <v/>
      </c>
      <c r="E64" s="4">
        <f>Расчет!J55</f>
        <v/>
      </c>
      <c r="F64" s="4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5">
        <f>Расчет!A56</f>
        <v/>
      </c>
      <c r="B65" s="4">
        <f>Расчет!G56</f>
        <v/>
      </c>
      <c r="C65" s="4">
        <f>Расчет!H56</f>
        <v/>
      </c>
      <c r="D65" s="4">
        <f>IFERROR(VLOOKUP(Расчет!B56,Сезонность!$A\$4:$D\$15,4,FALSE),"")</f>
        <v/>
      </c>
      <c r="E65" s="4">
        <f>Расчет!J56</f>
        <v/>
      </c>
      <c r="F65" s="4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5">
        <f>Расчет!A57</f>
        <v/>
      </c>
      <c r="B66" s="4">
        <f>Расчет!G57</f>
        <v/>
      </c>
      <c r="C66" s="4">
        <f>Расчет!H57</f>
        <v/>
      </c>
      <c r="D66" s="4">
        <f>IFERROR(VLOOKUP(Расчет!B57,Сезонность!$A\$4:$D\$15,4,FALSE),"")</f>
        <v/>
      </c>
      <c r="E66" s="4">
        <f>Расчет!J57</f>
        <v/>
      </c>
      <c r="F66" s="4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5">
        <f>Расчет!A58</f>
        <v/>
      </c>
      <c r="B67" s="4">
        <f>Расчет!G58</f>
        <v/>
      </c>
      <c r="C67" s="4">
        <f>Расчет!H58</f>
        <v/>
      </c>
      <c r="D67" s="4">
        <f>IFERROR(VLOOKUP(Расчет!B58,Сезонность!$A\$4:$D\$15,4,FALSE),"")</f>
        <v/>
      </c>
      <c r="E67" s="4">
        <f>Расчет!J58</f>
        <v/>
      </c>
      <c r="F67" s="4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5">
        <f>Расчет!A59</f>
        <v/>
      </c>
      <c r="B68" s="4">
        <f>Расчет!G59</f>
        <v/>
      </c>
      <c r="C68" s="4">
        <f>Расчет!H59</f>
        <v/>
      </c>
      <c r="D68" s="4">
        <f>IFERROR(VLOOKUP(Расчет!B59,Сезонность!$A\$4:$D\$15,4,FALSE),"")</f>
        <v/>
      </c>
      <c r="E68" s="4">
        <f>Расчет!J59</f>
        <v/>
      </c>
      <c r="F68" s="4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5">
        <f>Расчет!A60</f>
        <v/>
      </c>
      <c r="B69" s="4">
        <f>Расчет!G60</f>
        <v/>
      </c>
      <c r="C69" s="4">
        <f>Расчет!H60</f>
        <v/>
      </c>
      <c r="D69" s="4">
        <f>IFERROR(VLOOKUP(Расчет!B60,Сезонность!$A\$4:$D\$15,4,FALSE),"")</f>
        <v/>
      </c>
      <c r="E69" s="4">
        <f>Расчет!J60</f>
        <v/>
      </c>
      <c r="F69" s="4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5">
        <f>Расчет!A61</f>
        <v/>
      </c>
      <c r="B70" s="4">
        <f>Расчет!G61</f>
        <v/>
      </c>
      <c r="C70" s="4">
        <f>Расчет!H61</f>
        <v/>
      </c>
      <c r="D70" s="4">
        <f>IFERROR(VLOOKUP(Расчет!B61,Сезонность!$A\$4:$D\$15,4,FALSE),"")</f>
        <v/>
      </c>
      <c r="E70" s="4">
        <f>Расчет!J61</f>
        <v/>
      </c>
      <c r="F70" s="4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5">
        <f>Расчет!A62</f>
        <v/>
      </c>
      <c r="B71" s="4">
        <f>Расчет!G62</f>
        <v/>
      </c>
      <c r="C71" s="4">
        <f>Расчет!H62</f>
        <v/>
      </c>
      <c r="D71" s="4">
        <f>IFERROR(VLOOKUP(Расчет!B62,Сезонность!$A\$4:$D\$15,4,FALSE),"")</f>
        <v/>
      </c>
      <c r="E71" s="4">
        <f>Расчет!J62</f>
        <v/>
      </c>
      <c r="F71" s="4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5">
        <f>Расчет!A63</f>
        <v/>
      </c>
      <c r="B72" s="4">
        <f>Расчет!G63</f>
        <v/>
      </c>
      <c r="C72" s="4">
        <f>Расчет!H63</f>
        <v/>
      </c>
      <c r="D72" s="4">
        <f>IFERROR(VLOOKUP(Расчет!B63,Сезонность!$A\$4:$D\$15,4,FALSE),"")</f>
        <v/>
      </c>
      <c r="E72" s="4">
        <f>Расчет!J63</f>
        <v/>
      </c>
      <c r="F72" s="4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5">
        <f>Расчет!A64</f>
        <v/>
      </c>
      <c r="B73" s="4">
        <f>Расчет!G64</f>
        <v/>
      </c>
      <c r="C73" s="4">
        <f>Расчет!H64</f>
        <v/>
      </c>
      <c r="D73" s="4">
        <f>IFERROR(VLOOKUP(Расчет!B64,Сезонность!$A\$4:$D\$15,4,FALSE),"")</f>
        <v/>
      </c>
      <c r="E73" s="4">
        <f>Расчет!J64</f>
        <v/>
      </c>
      <c r="F73" s="4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C24" sqref="C24"/>
    </sheetView>
  </sheetViews>
  <sheetFormatPr baseColWidth="8" defaultRowHeight="14.25"/>
  <cols>
    <col width="14" customWidth="1" min="1" max="1"/>
    <col width="32.75" customWidth="1" min="2" max="2"/>
    <col width="34.375" customWidth="1" min="3" max="3"/>
    <col width="24.375" customWidth="1" min="4" max="4"/>
    <col width="32.875" customWidth="1" min="5" max="5"/>
    <col width="14" customWidth="1" min="6" max="6"/>
    <col width="75.5" customWidth="1" min="7" max="7"/>
    <col width="133.125" customWidth="1" min="8" max="8"/>
  </cols>
  <sheetData>
    <row r="1" ht="27.95" customHeight="1">
      <c r="A1" s="10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Дата выгрузки</t>
        </is>
      </c>
      <c r="B3" s="12" t="inlineStr">
        <is>
          <t>Источник</t>
        </is>
      </c>
      <c r="C3" s="12" t="inlineStr">
        <is>
          <t>Запрос / кластер</t>
        </is>
      </c>
      <c r="D3" s="12" t="inlineStr">
        <is>
          <t>Регион</t>
        </is>
      </c>
      <c r="E3" s="12" t="inlineStr">
        <is>
          <t>Период</t>
        </is>
      </c>
      <c r="F3" s="12" t="inlineStr">
        <is>
          <t>Формат файла</t>
        </is>
      </c>
      <c r="G3" s="12" t="inlineStr">
        <is>
          <t>Имя файла</t>
        </is>
      </c>
      <c r="H3" s="12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19">
      <c r="A4" s="20" t="inlineStr">
        <is>
          <t>30.09.2026</t>
        </is>
      </c>
      <c r="B4" s="18" t="inlineStr">
        <is>
          <t>Яндекс Вордстат</t>
        </is>
      </c>
      <c r="C4" s="18" t="inlineStr">
        <is>
          <t>сеть петри</t>
        </is>
      </c>
      <c r="D4" s="18" t="inlineStr">
        <is>
          <t>Беларусь (id=149)</t>
        </is>
      </c>
      <c r="E4" s="18" t="inlineStr">
        <is>
          <t>2024-09—2026-08 (24 мес., по месяцам)</t>
        </is>
      </c>
      <c r="F4" s="18" t="inlineStr">
        <is>
          <t>JSON</t>
        </is>
      </c>
      <c r="G4" s="18" t="inlineStr">
        <is>
          <t>wordstat_set-petri_dinamika_RB_2024-09_2026-08.json</t>
        </is>
      </c>
      <c r="H4" s="18" t="inlineStr">
        <is>
          <t>Динамика по месяцам, API getGraph; расширенный ряд 2018-01—2026-08 — файл wordstat_set-petri_dinamika_RB_2018-01_2026-08.json</t>
        </is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customFormat="1" s="19">
      <c r="A5" s="20" t="inlineStr">
        <is>
          <t>30.09.2026</t>
        </is>
      </c>
      <c r="B5" s="18" t="inlineStr">
        <is>
          <t>Яндекс Вордстат</t>
        </is>
      </c>
      <c r="C5" s="18" t="inlineStr">
        <is>
          <t>сеть петри</t>
        </is>
      </c>
      <c r="D5" s="18" t="inlineStr">
        <is>
          <t>Беларусь (id=149)</t>
        </is>
      </c>
      <c r="E5" s="18" t="inlineStr">
        <is>
          <t>Топы запросов, 29.08-29.09.2026</t>
        </is>
      </c>
      <c r="F5" s="18" t="inlineStr">
        <is>
          <t>JSON</t>
        </is>
      </c>
      <c r="G5" s="18" t="inlineStr">
        <is>
          <t>wordstat_topy_kommercheskie_problemnye_segmentnye_geo_RB_okno_2026-08-29_09-29.json</t>
        </is>
      </c>
      <c r="H5" s="18" t="inlineStr">
        <is>
          <t>Частотность за 30 дней: 16; подзапросы — в сводке данных Вордстата</t>
        </is>
      </c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customFormat="1" s="19">
      <c r="A6" s="21" t="inlineStr">
        <is>
          <t>30.09.2026</t>
        </is>
      </c>
      <c r="B6" s="14" t="inlineStr">
        <is>
          <t>Яндекс Вордстат</t>
        </is>
      </c>
      <c r="C6" s="14" t="inlineStr">
        <is>
          <t>plantuml</t>
        </is>
      </c>
      <c r="D6" s="14" t="inlineStr">
        <is>
          <t>Беларусь (id=149)</t>
        </is>
      </c>
      <c r="E6" s="14" t="inlineStr">
        <is>
          <t>2024-09—2026-08 (24 мес., по месяцам)</t>
        </is>
      </c>
      <c r="F6" s="14" t="inlineStr">
        <is>
          <t>JSON</t>
        </is>
      </c>
      <c r="G6" s="14" t="inlineStr">
        <is>
          <t>wordstat_plantuml_dinamika_RB_2024-09_2026-08.json</t>
        </is>
      </c>
      <c r="H6" s="14" t="inlineStr">
        <is>
          <t>Динамика по месяцам, API getGraph; расширенный ряд 2018-01—2026-08 — файл wordstat_plantuml_dinamika_RB_2018-01_2026-08.json</t>
        </is>
      </c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customFormat="1" s="19">
      <c r="A7" s="21" t="inlineStr">
        <is>
          <t>30.09.2026</t>
        </is>
      </c>
      <c r="B7" s="14" t="inlineStr">
        <is>
          <t>Яндекс Вордстат</t>
        </is>
      </c>
      <c r="C7" s="14" t="inlineStr">
        <is>
          <t>idef0</t>
        </is>
      </c>
      <c r="D7" s="14" t="inlineStr">
        <is>
          <t>Беларусь (id=149)</t>
        </is>
      </c>
      <c r="E7" s="14" t="inlineStr">
        <is>
          <t>2024-09—2026-08 (24 мес., по месяцам)</t>
        </is>
      </c>
      <c r="F7" s="14" t="inlineStr">
        <is>
          <t>JSON</t>
        </is>
      </c>
      <c r="G7" s="14" t="inlineStr">
        <is>
          <t>wordstat_idef0_dinamika_RB_2024-09_2026-08.json</t>
        </is>
      </c>
      <c r="H7" s="14" t="inlineStr">
        <is>
          <t>Динамика по месяцам, API getGraph; расширенный ряд 2018-01—2026-08 — файл wordstat_idef0_dinamika_RB_2018-01_2026-08.json</t>
        </is>
      </c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customFormat="1" s="19">
      <c r="A8" s="21" t="inlineStr">
        <is>
          <t>30.09.2026</t>
        </is>
      </c>
      <c r="B8" s="14" t="inlineStr">
        <is>
          <t>Яндекс Вордстат</t>
        </is>
      </c>
      <c r="C8" s="14" t="inlineStr">
        <is>
          <t>dfd диаграмма</t>
        </is>
      </c>
      <c r="D8" s="14" t="inlineStr">
        <is>
          <t>Беларусь (id=149)</t>
        </is>
      </c>
      <c r="E8" s="14" t="inlineStr">
        <is>
          <t>2024-09—2026-08 (24 мес., по месяцам)</t>
        </is>
      </c>
      <c r="F8" s="14" t="inlineStr">
        <is>
          <t>JSON</t>
        </is>
      </c>
      <c r="G8" s="14" t="inlineStr">
        <is>
          <t>wordstat_dfd-diagramma_dinamika_RB_2024-09_2026-08.json</t>
        </is>
      </c>
      <c r="H8" s="14" t="inlineStr">
        <is>
          <t>Динамика по месяцам, API getGraph; расширенный ряд 2018-01—2026-08 — файл wordstat_dfd-diagramma_dinamika_RB_2018-01_2026-08.json</t>
        </is>
      </c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customFormat="1" s="19">
      <c r="A9" s="21" t="inlineStr">
        <is>
          <t>30.09.2026</t>
        </is>
      </c>
      <c r="B9" s="14" t="inlineStr">
        <is>
          <t>Яндекс Вордстат</t>
        </is>
      </c>
      <c r="C9" s="14" t="inlineStr">
        <is>
          <t>erd диаграмма</t>
        </is>
      </c>
      <c r="D9" s="14" t="inlineStr">
        <is>
          <t>Беларусь (id=149)</t>
        </is>
      </c>
      <c r="E9" s="14" t="inlineStr">
        <is>
          <t>2024-09—2026-08 (24 мес., по месяцам)</t>
        </is>
      </c>
      <c r="F9" s="14" t="inlineStr">
        <is>
          <t>JSON</t>
        </is>
      </c>
      <c r="G9" s="14" t="inlineStr">
        <is>
          <t>wordstat_erd-diagramma_dinamika_RB_2024-09_2026-08.json</t>
        </is>
      </c>
      <c r="H9" s="14" t="inlineStr">
        <is>
          <t>Динамика по месяцам, API getGraph; расширенный ряд 2018-01—2026-08 — файл wordstat_erd-diagramma_dinamika_RB_2018-01_2026-08.json</t>
        </is>
      </c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customFormat="1" s="19">
      <c r="A10" s="21" t="inlineStr">
        <is>
          <t>30.09.2026</t>
        </is>
      </c>
      <c r="B10" s="14" t="inlineStr">
        <is>
          <t>Яндекс Вордстат</t>
        </is>
      </c>
      <c r="C10" s="14" t="inlineStr">
        <is>
          <t>erd (без уточнения, омоним)</t>
        </is>
      </c>
      <c r="D10" s="14" t="inlineStr">
        <is>
          <t>Беларусь (id=149)</t>
        </is>
      </c>
      <c r="E10" s="14" t="inlineStr">
        <is>
          <t>2024-09—2026-08 (24 мес., по месяцам)</t>
        </is>
      </c>
      <c r="F10" s="14" t="inlineStr">
        <is>
          <t>JSON</t>
        </is>
      </c>
      <c r="G10" s="14" t="inlineStr">
        <is>
          <t>wordstat_erd-bez-utochneniya_dinamika_RB_2024-09_2026-08.json</t>
        </is>
      </c>
      <c r="H10" s="14" t="inlineStr">
        <is>
          <t>Динамика по месяцам, API getGraph; расширенный ряд 2018-01—2026-08 — файл wordstat_erd-bez-utochneniya_dinamika_RB_2018-01_2026-08.json</t>
        </is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customFormat="1" s="19">
      <c r="A11" s="21" t="inlineStr">
        <is>
          <t>30.09.2026</t>
        </is>
      </c>
      <c r="B11" s="14" t="inlineStr">
        <is>
          <t>Яндекс Вордстат</t>
        </is>
      </c>
      <c r="C11" s="14" t="inlineStr">
        <is>
          <t>сеть петри</t>
        </is>
      </c>
      <c r="D11" s="14" t="inlineStr">
        <is>
          <t>Беларусь (id=149)</t>
        </is>
      </c>
      <c r="E11" s="14" t="inlineStr">
        <is>
          <t>2024-09—2026-08 (24 мес., по месяцам)</t>
        </is>
      </c>
      <c r="F11" s="14" t="inlineStr">
        <is>
          <t>JSON</t>
        </is>
      </c>
      <c r="G11" s="14" t="inlineStr">
        <is>
          <t>wordstat_set-petri_dinamika_RB_2024-09_2026-08.json</t>
        </is>
      </c>
      <c r="H11" s="14" t="inlineStr">
        <is>
          <t>Динамика по месяцам, API getGraph; расширенный ряд 2018-01—2026-08 — файл wordstat_set-petri_dinamika_RB_2018-01_2026-08.json</t>
        </is>
      </c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customFormat="1" s="19">
      <c r="A12" s="21" t="inlineStr">
        <is>
          <t>30.09.2026</t>
        </is>
      </c>
      <c r="B12" s="14" t="inlineStr">
        <is>
          <t>Яндекс Вордстат</t>
        </is>
      </c>
      <c r="C12" s="14" t="inlineStr">
        <is>
          <t>нейросеть схема</t>
        </is>
      </c>
      <c r="D12" s="14" t="inlineStr">
        <is>
          <t>Беларусь (id=149)</t>
        </is>
      </c>
      <c r="E12" s="14" t="inlineStr">
        <is>
          <t>2024-09—2026-08 (24 мес., по месяцам)</t>
        </is>
      </c>
      <c r="F12" s="14" t="inlineStr">
        <is>
          <t>JSON</t>
        </is>
      </c>
      <c r="G12" s="14" t="inlineStr">
        <is>
          <t>wordstat_neyroset-shema_dinamika_RB_2024-09_2026-08.json</t>
        </is>
      </c>
      <c r="H12" s="14" t="inlineStr">
        <is>
          <t>Динамика по месяцам, API getGraph; расширенный ряд 2018-01—2026-08 — файл wordstat_neyroset-shema_dinamika_RB_2018-01_2026-08.json</t>
        </is>
      </c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customFormat="1" s="19">
      <c r="A13" s="21" t="inlineStr">
        <is>
          <t>30.09.2026</t>
        </is>
      </c>
      <c r="B13" s="14" t="inlineStr">
        <is>
          <t>Яндекс Вордстат</t>
        </is>
      </c>
      <c r="C13" s="14" t="inlineStr">
        <is>
          <t>нейросеть диаграмма</t>
        </is>
      </c>
      <c r="D13" s="14" t="inlineStr">
        <is>
          <t>Беларусь (id=149)</t>
        </is>
      </c>
      <c r="E13" s="14" t="inlineStr">
        <is>
          <t>2024-09—2026-08 (24 мес., по месяцам)</t>
        </is>
      </c>
      <c r="F13" s="14" t="inlineStr">
        <is>
          <t>JSON</t>
        </is>
      </c>
      <c r="G13" s="14" t="inlineStr">
        <is>
          <t>wordstat_neyroset-diagramma_dinamika_RB_2024-09_2026-08.json</t>
        </is>
      </c>
      <c r="H13" s="14" t="inlineStr">
        <is>
          <t>Динамика по месяцам, API getGraph; расширенный ряд 2018-01—2026-08 — файл wordstat_neyroset-diagramma_dinamika_RB_2018-01_2026-08.json</t>
        </is>
      </c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customFormat="1" s="19">
      <c r="A14" s="21" t="inlineStr">
        <is>
          <t>30.09.2026</t>
        </is>
      </c>
      <c r="B14" s="14" t="inlineStr">
        <is>
          <t>Яндекс Вордстат</t>
        </is>
      </c>
      <c r="C14" s="14" t="inlineStr">
        <is>
          <t>uml; bpmn (по устройствам)</t>
        </is>
      </c>
      <c r="D14" s="14" t="inlineStr">
        <is>
          <t>Беларусь (id=149)</t>
        </is>
      </c>
      <c r="E14" s="14" t="inlineStr">
        <is>
          <t>2024-09—2026-08 (24 мес., по месяцам)</t>
        </is>
      </c>
      <c r="F14" s="14" t="inlineStr">
        <is>
          <t>JSON</t>
        </is>
      </c>
      <c r="G14" s="14" t="inlineStr">
        <is>
          <t>wordstat_uml_bpmn_dinamika_po_ustroystvam_RB_2024-09_2026-08.json</t>
        </is>
      </c>
      <c r="H14" s="14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customFormat="1" s="19">
      <c r="A15" s="21" t="inlineStr">
        <is>
          <t>30.09.2026</t>
        </is>
      </c>
      <c r="B15" s="14" t="inlineStr">
        <is>
          <t>Яндекс Вордстат</t>
        </is>
      </c>
      <c r="C15" s="14" t="inlineStr">
        <is>
          <t>uml; bpmn</t>
        </is>
      </c>
      <c r="D15" s="14" t="inlineStr">
        <is>
          <t>мир/СНГ (вкладка «Регионы»)</t>
        </is>
      </c>
      <c r="E15" s="14" t="inlineStr">
        <is>
          <t>29.08-29.09.2026</t>
        </is>
      </c>
      <c r="F15" s="14" t="inlineStr">
        <is>
          <t>JSON</t>
        </is>
      </c>
      <c r="G15" s="14" t="inlineStr">
        <is>
          <t>wordstat_regiony_bpmn_uml_RB_okno_2026-08-29_09-29.json</t>
        </is>
      </c>
      <c r="H15" s="14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25.5" customFormat="1" customHeight="1" s="19">
      <c r="A16" s="21" t="inlineStr">
        <is>
          <t>30.09.2026</t>
        </is>
      </c>
      <c r="B16" s="14" t="inlineStr">
        <is>
          <t>Яндекс Вордстат</t>
        </is>
      </c>
      <c r="C16" s="14" t="inlineStr">
        <is>
          <t>коммерческие, проблемные, сегментные, географические, обучающие формулировки</t>
        </is>
      </c>
      <c r="D16" s="14" t="inlineStr">
        <is>
          <t>Беларусь (id=149)</t>
        </is>
      </c>
      <c r="E16" s="14" t="inlineStr">
        <is>
          <t>Топы, 29.08-29.09.2026</t>
        </is>
      </c>
      <c r="F16" s="14" t="inlineStr">
        <is>
          <t>JSON</t>
        </is>
      </c>
      <c r="G16" s="14" t="inlineStr">
        <is>
          <t>wordstat_topy_kommercheskie_problemnye_segmentnye_geo_RB_okno_2026-08-29_09-29.json</t>
        </is>
      </c>
      <c r="H16" s="14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9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76.5" customHeight="1">
      <c r="A18" s="17" t="inlineStr">
        <is>
          <t>Примечание</t>
        </is>
      </c>
      <c r="B18" s="14" t="inlineStr">
        <is>
          <t>Вариант только Яндекс Вордстат: запрос «сеть петри»,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14" t="n"/>
      <c r="D18" s="14" t="n"/>
      <c r="E18" s="14" t="n"/>
      <c r="F18" s="14" t="n"/>
      <c r="G18" s="14" t="n"/>
      <c r="H18" s="14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:F9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0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Раздел</t>
        </is>
      </c>
      <c r="B3" s="12" t="inlineStr">
        <is>
          <t>Содержание</t>
        </is>
      </c>
      <c r="C3" s="12" t="inlineStr">
        <is>
          <t>Практическое действие</t>
        </is>
      </c>
      <c r="D3" s="12" t="inlineStr">
        <is>
          <t>Результат</t>
        </is>
      </c>
      <c r="E3" s="12" t="inlineStr">
        <is>
          <t>Ограничение</t>
        </is>
      </c>
      <c r="F3" s="12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Format="1" customHeight="1" s="19">
      <c r="A4" s="14" t="inlineStr">
        <is>
          <t>1. Сбор данных</t>
        </is>
      </c>
      <c r="B4" s="14" t="inlineStr">
        <is>
          <t>Выгрузить данные из Google Trends и Яндекс Вордстат за одинаковый период и одну территорию</t>
        </is>
      </c>
      <c r="C4" s="14" t="inlineStr">
        <is>
          <t>Зафиксировать регион, период, запросы, категорию и тип поиска</t>
        </is>
      </c>
      <c r="D4" s="14" t="inlineStr">
        <is>
          <t>Сопоставимый временной ряд</t>
        </is>
      </c>
      <c r="E4" s="14" t="inlineStr">
        <is>
          <t>Разные источники отражают разные аудитории</t>
        </is>
      </c>
      <c r="F4" s="14" t="inlineStr">
        <is>
          <t>https://support.google.com/trends/answer/4365538?hl=en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25.5" customFormat="1" customHeight="1" s="19">
      <c r="A5" s="14" t="inlineStr">
        <is>
          <t>2. Нормирование</t>
        </is>
      </c>
      <c r="B5" s="14" t="inlineStr">
        <is>
          <t>Google Trends уже представлен как индекс 0–100; Вордстат нормируется относительно максимума в выбранном ряду</t>
        </is>
      </c>
      <c r="C5" s="14" t="inlineStr">
        <is>
          <t>Ввести фактические значения на лист «Ввод_данных»</t>
        </is>
      </c>
      <c r="D5" s="14" t="inlineStr">
        <is>
          <t>Сводный индекс интереса</t>
        </is>
      </c>
      <c r="E5" s="14" t="inlineStr">
        <is>
          <t>Нормирование не превращает поисковый интерес в размер рынка</t>
        </is>
      </c>
      <c r="F5" s="14" t="inlineStr">
        <is>
          <t>https://support.google.com/trends/answer/4365533?hl=en</t>
        </is>
      </c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25.5" customFormat="1" customHeight="1" s="19">
      <c r="A6" s="14" t="inlineStr">
        <is>
          <t>3. Тренд</t>
        </is>
      </c>
      <c r="B6" s="14" t="inlineStr">
        <is>
          <t>Тренд оценивается через средние значения и скользящее среднее за 12 месяцев</t>
        </is>
      </c>
      <c r="C6" s="14" t="inlineStr">
        <is>
          <t>Смотреть лист «Оценка_тренда»</t>
        </is>
      </c>
      <c r="D6" s="14" t="inlineStr">
        <is>
          <t>Рост, стабильность или снижение интереса</t>
        </is>
      </c>
      <c r="E6" s="14" t="inlineStr">
        <is>
          <t>Короткие ряды менее надежны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25.5" customFormat="1" customHeight="1" s="19">
      <c r="A7" s="14" t="inlineStr">
        <is>
          <t>4. Сезонность</t>
        </is>
      </c>
      <c r="B7" s="14" t="inlineStr">
        <is>
          <t>Сезонный индекс показывает, в какие месяцы интерес выше или ниже среднего трендового уровня</t>
        </is>
      </c>
      <c r="C7" s="14" t="inlineStr">
        <is>
          <t>Смотреть лист «Сезонность»</t>
        </is>
      </c>
      <c r="D7" s="14" t="inlineStr">
        <is>
          <t>Месяцы максимального и минимального спроса</t>
        </is>
      </c>
      <c r="E7" s="14" t="inlineStr">
        <is>
          <t>Сезонность корректнее оценивать по данным за 2–3 года и более</t>
        </is>
      </c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25.5" customFormat="1" customHeight="1" s="19">
      <c r="A8" s="14" t="inlineStr">
        <is>
          <t>5. Циклы спроса</t>
        </is>
      </c>
      <c r="B8" s="14" t="inlineStr">
        <is>
          <t>Циклический коэффициент показывает отклонение от тренда с учетом сезонности</t>
        </is>
      </c>
      <c r="C8" s="14" t="inlineStr">
        <is>
          <t>Смотреть лист «Деловые_циклы»</t>
        </is>
      </c>
      <c r="D8" s="14" t="inlineStr">
        <is>
          <t>Периоды выше или ниже нормального уровня спроса</t>
        </is>
      </c>
      <c r="E8" s="14" t="inlineStr">
        <is>
          <t>Это поисковый цикл спроса, а не прямое измерение макроэкономического делового цикла</t>
        </is>
      </c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25.5" customFormat="1" customHeight="1" s="19">
      <c r="A9" s="14" t="inlineStr">
        <is>
          <t>6. Яндекс Вордстат</t>
        </is>
      </c>
      <c r="B9" s="14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14" t="inlineStr">
        <is>
          <t>Использовать одинаковые запросы и географические настройки</t>
        </is>
      </c>
      <c r="D9" s="14" t="inlineStr">
        <is>
          <t>Оценка интереса аудитории Яндекса</t>
        </is>
      </c>
      <c r="E9" s="14" t="inlineStr">
        <is>
          <t>Не отражает весь интернет-рынок</t>
        </is>
      </c>
      <c r="F9" s="14" t="inlineStr">
        <is>
          <t>https://wordstat.yandex.ru/</t>
        </is>
      </c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G15" sqref="G15"/>
    </sheetView>
  </sheetViews>
  <sheetFormatPr baseColWidth="8" defaultRowHeight="14.25"/>
  <cols>
    <col width="28" customWidth="1" min="1" max="1"/>
    <col width="14" customWidth="1" min="2" max="2"/>
    <col width="58.625" customWidth="1" min="3" max="3"/>
    <col width="22" customWidth="1" min="4" max="4"/>
  </cols>
  <sheetData>
    <row r="1" ht="27.95" customHeight="1">
      <c r="A1" s="10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Параметр</t>
        </is>
      </c>
      <c r="B3" s="12" t="inlineStr">
        <is>
          <t>Значение</t>
        </is>
      </c>
      <c r="C3" s="12" t="inlineStr">
        <is>
          <t>Назначение</t>
        </is>
      </c>
      <c r="D3" s="12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4" t="inlineStr">
        <is>
          <t>Вес Google Trends</t>
        </is>
      </c>
      <c r="B4" s="16" t="n">
        <v>0.5</v>
      </c>
      <c r="C4" s="14" t="inlineStr">
        <is>
          <t>Доля индекса Google Trends в сводном индексе</t>
        </is>
      </c>
      <c r="D4" s="14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4" t="inlineStr">
        <is>
          <t>Вес Яндекс Вордстат</t>
        </is>
      </c>
      <c r="B5" s="16" t="n">
        <v>0.5</v>
      </c>
      <c r="C5" s="14" t="inlineStr">
        <is>
          <t>Доля нормированного показателя Вордстат в сводном индексе</t>
        </is>
      </c>
      <c r="D5" s="14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4" t="inlineStr">
        <is>
          <t>Окно скользящего среднего, мес</t>
        </is>
      </c>
      <c r="B6" s="16" t="n">
        <v>12</v>
      </c>
      <c r="C6" s="14" t="inlineStr">
        <is>
          <t>Период сглаживания для оценки тренда</t>
        </is>
      </c>
      <c r="D6" s="14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4" t="inlineStr">
        <is>
          <t>Порог сильной сезонности</t>
        </is>
      </c>
      <c r="B7" s="16" t="n">
        <v>0.3</v>
      </c>
      <c r="C7" s="14" t="inlineStr">
        <is>
          <t>Амплитуда сезонных индексов, при которой сезонность считается выраженной</t>
        </is>
      </c>
      <c r="D7" s="14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4" t="inlineStr">
        <is>
          <t>Порог слабой сезонности</t>
        </is>
      </c>
      <c r="B8" s="16" t="n">
        <v>0.15</v>
      </c>
      <c r="C8" s="14" t="inlineStr">
        <is>
          <t>Амплитуда сезонных индексов для умеренной сезонности</t>
        </is>
      </c>
      <c r="D8" s="14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4" t="inlineStr">
        <is>
          <t>Порог снижения тренда</t>
        </is>
      </c>
      <c r="B9" s="16" t="n">
        <v>-0.15</v>
      </c>
      <c r="C9" s="14" t="inlineStr">
        <is>
          <t>Граница для классификации снижающегося тренда</t>
        </is>
      </c>
      <c r="D9" s="14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4" t="inlineStr">
        <is>
          <t>Порог роста тренда</t>
        </is>
      </c>
      <c r="B10" s="16" t="n">
        <v>0.15</v>
      </c>
      <c r="C10" s="14" t="inlineStr">
        <is>
          <t>Граница для классификации растущего тренда</t>
        </is>
      </c>
      <c r="D10" s="14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4" t="inlineStr">
        <is>
          <t>Нижний порог цикла</t>
        </is>
      </c>
      <c r="B11" s="16" t="n">
        <v>0.9</v>
      </c>
      <c r="C11" s="14" t="inlineStr">
        <is>
          <t>Ниже этого значения спрос считается ниже трендового уровня</t>
        </is>
      </c>
      <c r="D11" s="14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4" t="inlineStr">
        <is>
          <t>Верхний порог цикла</t>
        </is>
      </c>
      <c r="B12" s="16" t="n">
        <v>1.1</v>
      </c>
      <c r="C12" s="14" t="inlineStr">
        <is>
          <t>Выше этого значения спрос считается выше трендового уровня</t>
        </is>
      </c>
      <c r="D12" s="14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2026-10-04T14:13:13Z</dcterms:created>
  <dcterms:modified xmlns:dcterms="http://purl.org/dc/terms/" xmlns:xsi="http://www.w3.org/2001/XMLSchema-instance" xsi:type="dcterms:W3CDTF">2026-10-04T15:52:39Z</dcterms:modified>
  <cp:lastModifiedBy>Aliaksandr Khajynau</cp:lastModifiedBy>
</cp:coreProperties>
</file>