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6\"/>
    </mc:Choice>
  </mc:AlternateContent>
  <xr:revisionPtr revIDLastSave="0" documentId="13_ncr:1_{36AF372A-C207-4577-B45F-CC164226E2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Инструкция" sheetId="1" r:id="rId1"/>
    <sheet name="Банк анализа" sheetId="2" r:id="rId2"/>
    <sheet name="Бизнес-логика" sheetId="3" r:id="rId3"/>
    <sheet name="Роли и сегменты" sheetId="4" r:id="rId4"/>
    <sheet name="Пользовательские сценарии" sheetId="5" r:id="rId5"/>
    <sheet name="Карта сценариев" sheetId="6" r:id="rId6"/>
    <sheet name="Функциональные требования" sheetId="7" r:id="rId7"/>
    <sheet name="Приоритизация" sheetId="8" r:id="rId8"/>
    <sheet name="Связность" sheetId="9" r:id="rId9"/>
    <sheet name="Дашборд" sheetId="10" r:id="rId10"/>
    <sheet name="Справочники" sheetId="11" r:id="rId11"/>
    <sheet name="Журнал_6_3" sheetId="12" r:id="rId12"/>
  </sheets>
  <calcPr calcId="191029"/>
</workbook>
</file>

<file path=xl/calcChain.xml><?xml version="1.0" encoding="utf-8"?>
<calcChain xmlns="http://schemas.openxmlformats.org/spreadsheetml/2006/main">
  <c r="B12" i="10" l="1"/>
  <c r="B10" i="10"/>
  <c r="B9" i="10"/>
  <c r="B7" i="10"/>
  <c r="B6" i="10"/>
  <c r="B5" i="10"/>
  <c r="F12" i="9"/>
  <c r="G22" i="10" s="1"/>
  <c r="F10" i="9"/>
  <c r="F9" i="9"/>
  <c r="G19" i="10" s="1"/>
  <c r="F8" i="9"/>
  <c r="F7" i="9"/>
  <c r="G17" i="10" s="1"/>
  <c r="F6" i="9"/>
  <c r="F5" i="9"/>
  <c r="F4" i="9"/>
  <c r="G14" i="10" s="1"/>
  <c r="L10" i="3"/>
  <c r="L9" i="3"/>
  <c r="M9" i="3" s="1"/>
  <c r="L8" i="3"/>
  <c r="L7" i="3"/>
  <c r="M7" i="3" s="1"/>
  <c r="L6" i="3"/>
  <c r="L5" i="3"/>
  <c r="M5" i="3" s="1"/>
  <c r="L4" i="3"/>
  <c r="M10" i="3"/>
  <c r="M8" i="3"/>
  <c r="M6" i="3"/>
  <c r="M4" i="3"/>
  <c r="H23" i="10"/>
  <c r="F23" i="10"/>
  <c r="H22" i="10"/>
  <c r="F22" i="10"/>
  <c r="H21" i="10"/>
  <c r="F21" i="10"/>
  <c r="H20" i="10"/>
  <c r="F20" i="10"/>
  <c r="H19" i="10"/>
  <c r="F19" i="10"/>
  <c r="H18" i="10"/>
  <c r="F18" i="10"/>
  <c r="H17" i="10"/>
  <c r="F17" i="10"/>
  <c r="H16" i="10"/>
  <c r="F16" i="10"/>
  <c r="H15" i="10"/>
  <c r="F15" i="10"/>
  <c r="H14" i="10"/>
  <c r="F14" i="10"/>
  <c r="H10" i="9"/>
  <c r="I20" i="10" s="1"/>
  <c r="G16" i="10"/>
  <c r="K13" i="8"/>
  <c r="L13" i="8" s="1"/>
  <c r="K12" i="8"/>
  <c r="L12" i="8" s="1"/>
  <c r="K11" i="8"/>
  <c r="L11" i="8" s="1"/>
  <c r="K10" i="8"/>
  <c r="L10" i="8" s="1"/>
  <c r="K9" i="8"/>
  <c r="L9" i="8" s="1"/>
  <c r="K8" i="8"/>
  <c r="L8" i="8" s="1"/>
  <c r="K7" i="8"/>
  <c r="L7" i="8" s="1"/>
  <c r="K6" i="8"/>
  <c r="L6" i="8" s="1"/>
  <c r="K5" i="8"/>
  <c r="L5" i="8" s="1"/>
  <c r="K4" i="8"/>
  <c r="L4" i="8" s="1"/>
  <c r="M16" i="7"/>
  <c r="N16" i="7" s="1"/>
  <c r="M15" i="7"/>
  <c r="M14" i="7"/>
  <c r="M13" i="7"/>
  <c r="N13" i="7" s="1"/>
  <c r="O13" i="7" s="1"/>
  <c r="M12" i="7"/>
  <c r="M11" i="7"/>
  <c r="N11" i="7" s="1"/>
  <c r="M10" i="7"/>
  <c r="N10" i="7" s="1"/>
  <c r="M9" i="7"/>
  <c r="M8" i="7"/>
  <c r="M7" i="7"/>
  <c r="M6" i="7"/>
  <c r="M5" i="7"/>
  <c r="M4" i="7"/>
  <c r="R15" i="5"/>
  <c r="S15" i="5" s="1"/>
  <c r="R14" i="5"/>
  <c r="S14" i="5" s="1"/>
  <c r="R13" i="5"/>
  <c r="S13" i="5" s="1"/>
  <c r="R12" i="5"/>
  <c r="S12" i="5" s="1"/>
  <c r="R11" i="5"/>
  <c r="S11" i="5" s="1"/>
  <c r="R10" i="5"/>
  <c r="S10" i="5" s="1"/>
  <c r="R9" i="5"/>
  <c r="S9" i="5" s="1"/>
  <c r="R8" i="5"/>
  <c r="S8" i="5" s="1"/>
  <c r="R7" i="5"/>
  <c r="S7" i="5" s="1"/>
  <c r="R6" i="5"/>
  <c r="S6" i="5" s="1"/>
  <c r="R5" i="5"/>
  <c r="S5" i="5" s="1"/>
  <c r="R4" i="5"/>
  <c r="S4" i="5" s="1"/>
  <c r="I10" i="4"/>
  <c r="I9" i="4"/>
  <c r="I8" i="4"/>
  <c r="I7" i="4"/>
  <c r="I6" i="4"/>
  <c r="I5" i="4"/>
  <c r="I4" i="4"/>
  <c r="J203" i="2"/>
  <c r="M203" i="2" s="1"/>
  <c r="J202" i="2"/>
  <c r="M202" i="2" s="1"/>
  <c r="J201" i="2"/>
  <c r="M201" i="2" s="1"/>
  <c r="J200" i="2"/>
  <c r="M200" i="2" s="1"/>
  <c r="J199" i="2"/>
  <c r="M199" i="2" s="1"/>
  <c r="J198" i="2"/>
  <c r="M198" i="2" s="1"/>
  <c r="J197" i="2"/>
  <c r="M197" i="2" s="1"/>
  <c r="J196" i="2"/>
  <c r="M196" i="2" s="1"/>
  <c r="J195" i="2"/>
  <c r="M195" i="2" s="1"/>
  <c r="J194" i="2"/>
  <c r="M194" i="2" s="1"/>
  <c r="J193" i="2"/>
  <c r="M193" i="2" s="1"/>
  <c r="J192" i="2"/>
  <c r="M192" i="2" s="1"/>
  <c r="J191" i="2"/>
  <c r="M191" i="2" s="1"/>
  <c r="J190" i="2"/>
  <c r="M190" i="2" s="1"/>
  <c r="J189" i="2"/>
  <c r="M189" i="2" s="1"/>
  <c r="J188" i="2"/>
  <c r="M188" i="2" s="1"/>
  <c r="J187" i="2"/>
  <c r="M187" i="2" s="1"/>
  <c r="J186" i="2"/>
  <c r="M186" i="2" s="1"/>
  <c r="J185" i="2"/>
  <c r="M185" i="2" s="1"/>
  <c r="J184" i="2"/>
  <c r="M184" i="2" s="1"/>
  <c r="J183" i="2"/>
  <c r="M183" i="2" s="1"/>
  <c r="J182" i="2"/>
  <c r="M182" i="2" s="1"/>
  <c r="J181" i="2"/>
  <c r="M181" i="2" s="1"/>
  <c r="J180" i="2"/>
  <c r="M180" i="2" s="1"/>
  <c r="J179" i="2"/>
  <c r="M179" i="2" s="1"/>
  <c r="J178" i="2"/>
  <c r="M178" i="2" s="1"/>
  <c r="J177" i="2"/>
  <c r="M177" i="2" s="1"/>
  <c r="J176" i="2"/>
  <c r="M176" i="2" s="1"/>
  <c r="J175" i="2"/>
  <c r="M175" i="2" s="1"/>
  <c r="J174" i="2"/>
  <c r="M174" i="2" s="1"/>
  <c r="J173" i="2"/>
  <c r="M173" i="2" s="1"/>
  <c r="J172" i="2"/>
  <c r="M172" i="2" s="1"/>
  <c r="J171" i="2"/>
  <c r="M171" i="2" s="1"/>
  <c r="J170" i="2"/>
  <c r="M170" i="2" s="1"/>
  <c r="J169" i="2"/>
  <c r="M169" i="2" s="1"/>
  <c r="J168" i="2"/>
  <c r="M168" i="2" s="1"/>
  <c r="J167" i="2"/>
  <c r="M167" i="2" s="1"/>
  <c r="J166" i="2"/>
  <c r="M166" i="2" s="1"/>
  <c r="J165" i="2"/>
  <c r="M165" i="2" s="1"/>
  <c r="J164" i="2"/>
  <c r="M164" i="2" s="1"/>
  <c r="J163" i="2"/>
  <c r="M163" i="2" s="1"/>
  <c r="J162" i="2"/>
  <c r="M162" i="2" s="1"/>
  <c r="J161" i="2"/>
  <c r="M161" i="2" s="1"/>
  <c r="J160" i="2"/>
  <c r="M160" i="2" s="1"/>
  <c r="J159" i="2"/>
  <c r="M159" i="2" s="1"/>
  <c r="J158" i="2"/>
  <c r="M158" i="2" s="1"/>
  <c r="J157" i="2"/>
  <c r="M157" i="2" s="1"/>
  <c r="J156" i="2"/>
  <c r="M156" i="2" s="1"/>
  <c r="J155" i="2"/>
  <c r="M155" i="2" s="1"/>
  <c r="J154" i="2"/>
  <c r="M154" i="2" s="1"/>
  <c r="J153" i="2"/>
  <c r="M153" i="2" s="1"/>
  <c r="J152" i="2"/>
  <c r="M152" i="2" s="1"/>
  <c r="J151" i="2"/>
  <c r="M151" i="2" s="1"/>
  <c r="J150" i="2"/>
  <c r="M150" i="2" s="1"/>
  <c r="J149" i="2"/>
  <c r="M149" i="2" s="1"/>
  <c r="J148" i="2"/>
  <c r="M148" i="2" s="1"/>
  <c r="J147" i="2"/>
  <c r="M147" i="2" s="1"/>
  <c r="J146" i="2"/>
  <c r="M146" i="2" s="1"/>
  <c r="J145" i="2"/>
  <c r="M145" i="2" s="1"/>
  <c r="J144" i="2"/>
  <c r="M144" i="2" s="1"/>
  <c r="J143" i="2"/>
  <c r="M143" i="2" s="1"/>
  <c r="J142" i="2"/>
  <c r="M142" i="2" s="1"/>
  <c r="J141" i="2"/>
  <c r="M141" i="2" s="1"/>
  <c r="J140" i="2"/>
  <c r="M140" i="2" s="1"/>
  <c r="J139" i="2"/>
  <c r="M139" i="2" s="1"/>
  <c r="J138" i="2"/>
  <c r="M138" i="2" s="1"/>
  <c r="J137" i="2"/>
  <c r="M137" i="2" s="1"/>
  <c r="J136" i="2"/>
  <c r="M136" i="2" s="1"/>
  <c r="J135" i="2"/>
  <c r="M135" i="2" s="1"/>
  <c r="J134" i="2"/>
  <c r="M134" i="2" s="1"/>
  <c r="J133" i="2"/>
  <c r="M133" i="2" s="1"/>
  <c r="J132" i="2"/>
  <c r="M132" i="2" s="1"/>
  <c r="J131" i="2"/>
  <c r="M131" i="2" s="1"/>
  <c r="J130" i="2"/>
  <c r="M130" i="2" s="1"/>
  <c r="J129" i="2"/>
  <c r="M129" i="2" s="1"/>
  <c r="J128" i="2"/>
  <c r="M128" i="2" s="1"/>
  <c r="J127" i="2"/>
  <c r="M127" i="2" s="1"/>
  <c r="J126" i="2"/>
  <c r="M126" i="2" s="1"/>
  <c r="J125" i="2"/>
  <c r="M125" i="2" s="1"/>
  <c r="J124" i="2"/>
  <c r="M124" i="2" s="1"/>
  <c r="J123" i="2"/>
  <c r="M123" i="2" s="1"/>
  <c r="J122" i="2"/>
  <c r="M122" i="2" s="1"/>
  <c r="J121" i="2"/>
  <c r="M121" i="2" s="1"/>
  <c r="J120" i="2"/>
  <c r="M120" i="2" s="1"/>
  <c r="J119" i="2"/>
  <c r="M119" i="2" s="1"/>
  <c r="J118" i="2"/>
  <c r="M118" i="2" s="1"/>
  <c r="J117" i="2"/>
  <c r="M117" i="2" s="1"/>
  <c r="J116" i="2"/>
  <c r="M116" i="2" s="1"/>
  <c r="J115" i="2"/>
  <c r="M115" i="2" s="1"/>
  <c r="J114" i="2"/>
  <c r="M114" i="2" s="1"/>
  <c r="J113" i="2"/>
  <c r="M113" i="2" s="1"/>
  <c r="J112" i="2"/>
  <c r="M112" i="2" s="1"/>
  <c r="J111" i="2"/>
  <c r="M111" i="2" s="1"/>
  <c r="J110" i="2"/>
  <c r="M110" i="2" s="1"/>
  <c r="J109" i="2"/>
  <c r="M109" i="2" s="1"/>
  <c r="J108" i="2"/>
  <c r="M108" i="2" s="1"/>
  <c r="J107" i="2"/>
  <c r="M107" i="2" s="1"/>
  <c r="J106" i="2"/>
  <c r="M106" i="2" s="1"/>
  <c r="J105" i="2"/>
  <c r="M105" i="2" s="1"/>
  <c r="J104" i="2"/>
  <c r="M104" i="2" s="1"/>
  <c r="J103" i="2"/>
  <c r="M103" i="2" s="1"/>
  <c r="J102" i="2"/>
  <c r="M102" i="2" s="1"/>
  <c r="J101" i="2"/>
  <c r="M101" i="2" s="1"/>
  <c r="J100" i="2"/>
  <c r="M100" i="2" s="1"/>
  <c r="J99" i="2"/>
  <c r="M99" i="2" s="1"/>
  <c r="J98" i="2"/>
  <c r="M98" i="2" s="1"/>
  <c r="J97" i="2"/>
  <c r="M97" i="2" s="1"/>
  <c r="J96" i="2"/>
  <c r="M96" i="2" s="1"/>
  <c r="J95" i="2"/>
  <c r="M95" i="2" s="1"/>
  <c r="J94" i="2"/>
  <c r="M94" i="2" s="1"/>
  <c r="J93" i="2"/>
  <c r="M93" i="2" s="1"/>
  <c r="J92" i="2"/>
  <c r="M92" i="2" s="1"/>
  <c r="J91" i="2"/>
  <c r="M91" i="2" s="1"/>
  <c r="J90" i="2"/>
  <c r="M90" i="2" s="1"/>
  <c r="J89" i="2"/>
  <c r="M89" i="2" s="1"/>
  <c r="J88" i="2"/>
  <c r="M88" i="2" s="1"/>
  <c r="J87" i="2"/>
  <c r="M87" i="2" s="1"/>
  <c r="J86" i="2"/>
  <c r="M86" i="2" s="1"/>
  <c r="J85" i="2"/>
  <c r="M85" i="2" s="1"/>
  <c r="J84" i="2"/>
  <c r="M84" i="2" s="1"/>
  <c r="J83" i="2"/>
  <c r="M83" i="2" s="1"/>
  <c r="J82" i="2"/>
  <c r="M82" i="2" s="1"/>
  <c r="J81" i="2"/>
  <c r="M81" i="2" s="1"/>
  <c r="J80" i="2"/>
  <c r="M80" i="2" s="1"/>
  <c r="J79" i="2"/>
  <c r="M79" i="2" s="1"/>
  <c r="J78" i="2"/>
  <c r="M78" i="2" s="1"/>
  <c r="J77" i="2"/>
  <c r="M77" i="2" s="1"/>
  <c r="J76" i="2"/>
  <c r="M76" i="2" s="1"/>
  <c r="J75" i="2"/>
  <c r="M75" i="2" s="1"/>
  <c r="J74" i="2"/>
  <c r="M74" i="2" s="1"/>
  <c r="J73" i="2"/>
  <c r="M73" i="2" s="1"/>
  <c r="J72" i="2"/>
  <c r="M72" i="2" s="1"/>
  <c r="J71" i="2"/>
  <c r="M71" i="2" s="1"/>
  <c r="J70" i="2"/>
  <c r="M70" i="2" s="1"/>
  <c r="J69" i="2"/>
  <c r="M69" i="2" s="1"/>
  <c r="J68" i="2"/>
  <c r="M68" i="2" s="1"/>
  <c r="J67" i="2"/>
  <c r="M67" i="2" s="1"/>
  <c r="J66" i="2"/>
  <c r="M66" i="2" s="1"/>
  <c r="J65" i="2"/>
  <c r="M65" i="2" s="1"/>
  <c r="J64" i="2"/>
  <c r="M64" i="2" s="1"/>
  <c r="J63" i="2"/>
  <c r="M63" i="2" s="1"/>
  <c r="J62" i="2"/>
  <c r="M62" i="2" s="1"/>
  <c r="J61" i="2"/>
  <c r="M61" i="2" s="1"/>
  <c r="J60" i="2"/>
  <c r="M60" i="2" s="1"/>
  <c r="J59" i="2"/>
  <c r="M59" i="2" s="1"/>
  <c r="J58" i="2"/>
  <c r="M58" i="2" s="1"/>
  <c r="J57" i="2"/>
  <c r="M57" i="2" s="1"/>
  <c r="J56" i="2"/>
  <c r="M56" i="2" s="1"/>
  <c r="J55" i="2"/>
  <c r="M55" i="2" s="1"/>
  <c r="J54" i="2"/>
  <c r="M54" i="2" s="1"/>
  <c r="J53" i="2"/>
  <c r="M53" i="2" s="1"/>
  <c r="J52" i="2"/>
  <c r="M52" i="2" s="1"/>
  <c r="J51" i="2"/>
  <c r="M51" i="2" s="1"/>
  <c r="J50" i="2"/>
  <c r="M50" i="2" s="1"/>
  <c r="J49" i="2"/>
  <c r="M49" i="2" s="1"/>
  <c r="J48" i="2"/>
  <c r="M48" i="2" s="1"/>
  <c r="J47" i="2"/>
  <c r="M47" i="2" s="1"/>
  <c r="J46" i="2"/>
  <c r="M46" i="2" s="1"/>
  <c r="J45" i="2"/>
  <c r="M45" i="2" s="1"/>
  <c r="J44" i="2"/>
  <c r="M44" i="2" s="1"/>
  <c r="J43" i="2"/>
  <c r="M43" i="2" s="1"/>
  <c r="J42" i="2"/>
  <c r="M42" i="2" s="1"/>
  <c r="J41" i="2"/>
  <c r="M41" i="2" s="1"/>
  <c r="J40" i="2"/>
  <c r="M40" i="2" s="1"/>
  <c r="J39" i="2"/>
  <c r="M39" i="2" s="1"/>
  <c r="J38" i="2"/>
  <c r="M38" i="2" s="1"/>
  <c r="J37" i="2"/>
  <c r="M37" i="2" s="1"/>
  <c r="J36" i="2"/>
  <c r="M36" i="2" s="1"/>
  <c r="J35" i="2"/>
  <c r="M35" i="2" s="1"/>
  <c r="J34" i="2"/>
  <c r="M34" i="2" s="1"/>
  <c r="J33" i="2"/>
  <c r="M33" i="2" s="1"/>
  <c r="J32" i="2"/>
  <c r="M32" i="2" s="1"/>
  <c r="J31" i="2"/>
  <c r="M31" i="2" s="1"/>
  <c r="J30" i="2"/>
  <c r="M30" i="2" s="1"/>
  <c r="J29" i="2"/>
  <c r="M29" i="2" s="1"/>
  <c r="J28" i="2"/>
  <c r="M28" i="2" s="1"/>
  <c r="J27" i="2"/>
  <c r="M27" i="2" s="1"/>
  <c r="J26" i="2"/>
  <c r="M26" i="2" s="1"/>
  <c r="J25" i="2"/>
  <c r="M25" i="2" s="1"/>
  <c r="J24" i="2"/>
  <c r="M24" i="2" s="1"/>
  <c r="J23" i="2"/>
  <c r="M23" i="2" s="1"/>
  <c r="J22" i="2"/>
  <c r="M22" i="2" s="1"/>
  <c r="J21" i="2"/>
  <c r="M21" i="2" s="1"/>
  <c r="J20" i="2"/>
  <c r="M20" i="2" s="1"/>
  <c r="J19" i="2"/>
  <c r="M19" i="2" s="1"/>
  <c r="J18" i="2"/>
  <c r="M18" i="2" s="1"/>
  <c r="J17" i="2"/>
  <c r="M17" i="2" s="1"/>
  <c r="J16" i="2"/>
  <c r="M16" i="2" s="1"/>
  <c r="J15" i="2"/>
  <c r="M15" i="2" s="1"/>
  <c r="J14" i="2"/>
  <c r="M14" i="2" s="1"/>
  <c r="J13" i="2"/>
  <c r="M13" i="2" s="1"/>
  <c r="J12" i="2"/>
  <c r="M12" i="2" s="1"/>
  <c r="J11" i="2"/>
  <c r="M11" i="2" s="1"/>
  <c r="J10" i="2"/>
  <c r="M10" i="2" s="1"/>
  <c r="J9" i="2"/>
  <c r="M9" i="2" s="1"/>
  <c r="J8" i="2"/>
  <c r="M8" i="2" s="1"/>
  <c r="J7" i="2"/>
  <c r="M7" i="2" s="1"/>
  <c r="J6" i="2"/>
  <c r="M6" i="2" s="1"/>
  <c r="J5" i="2"/>
  <c r="M5" i="2" s="1"/>
  <c r="J4" i="2"/>
  <c r="M4" i="2" s="1"/>
  <c r="I5" i="10" l="1"/>
  <c r="I9" i="10"/>
  <c r="I8" i="10"/>
  <c r="I7" i="10"/>
  <c r="I6" i="10"/>
  <c r="B11" i="10"/>
  <c r="G9" i="10"/>
  <c r="G8" i="10"/>
  <c r="G7" i="10"/>
  <c r="G6" i="10"/>
  <c r="G5" i="10"/>
  <c r="H12" i="9"/>
  <c r="I22" i="10" s="1"/>
  <c r="N7" i="7"/>
  <c r="O7" i="7" s="1"/>
  <c r="O16" i="7"/>
  <c r="O10" i="7"/>
  <c r="G20" i="10"/>
  <c r="O11" i="7"/>
  <c r="H4" i="9"/>
  <c r="N12" i="7"/>
  <c r="O12" i="7" s="1"/>
  <c r="H6" i="9"/>
  <c r="I16" i="10" s="1"/>
  <c r="N8" i="7"/>
  <c r="O8" i="7" s="1"/>
  <c r="N14" i="7"/>
  <c r="O14" i="7" s="1"/>
  <c r="N9" i="7"/>
  <c r="O9" i="7" s="1"/>
  <c r="N15" i="7"/>
  <c r="O15" i="7" s="1"/>
  <c r="G15" i="10"/>
  <c r="H5" i="9"/>
  <c r="I15" i="10" s="1"/>
  <c r="H7" i="9"/>
  <c r="I17" i="10" s="1"/>
  <c r="G18" i="10"/>
  <c r="H8" i="9"/>
  <c r="I18" i="10" s="1"/>
  <c r="N4" i="7"/>
  <c r="H9" i="9"/>
  <c r="I19" i="10" s="1"/>
  <c r="N5" i="7"/>
  <c r="O5" i="7" s="1"/>
  <c r="B8" i="10"/>
  <c r="N6" i="7"/>
  <c r="O6" i="7" s="1"/>
  <c r="H9" i="10" l="1"/>
  <c r="H8" i="10"/>
  <c r="H7" i="10"/>
  <c r="H6" i="10"/>
  <c r="H5" i="10"/>
  <c r="I14" i="10"/>
  <c r="O4" i="7"/>
  <c r="B13" i="10" l="1"/>
  <c r="F11" i="9"/>
  <c r="H11" i="9" l="1"/>
  <c r="G21" i="10"/>
  <c r="F13" i="9" l="1"/>
  <c r="I21" i="10"/>
  <c r="G23" i="10" l="1"/>
  <c r="H13" i="9"/>
  <c r="B15" i="10" l="1"/>
  <c r="B14" i="10"/>
  <c r="I23" i="10"/>
</calcChain>
</file>

<file path=xl/sharedStrings.xml><?xml version="1.0" encoding="utf-8"?>
<sst xmlns="http://schemas.openxmlformats.org/spreadsheetml/2006/main" count="1255" uniqueCount="841">
  <si>
    <t>Excel-шаблон к методике формулирования бизнес-логики и пользовательских сценариев</t>
  </si>
  <si>
    <t>Назначение файла</t>
  </si>
  <si>
    <t>Этап</t>
  </si>
  <si>
    <t>Что сделать</t>
  </si>
  <si>
    <t>Основной лист</t>
  </si>
  <si>
    <t>Результат</t>
  </si>
  <si>
    <t>Проверка качества</t>
  </si>
  <si>
    <t>Связь с методикой</t>
  </si>
  <si>
    <t>Ответственный</t>
  </si>
  <si>
    <t>Статус</t>
  </si>
  <si>
    <t>Перенести ключевые выводы из всех видов анализа</t>
  </si>
  <si>
    <t>Банк анализа</t>
  </si>
  <si>
    <t>Единая доказательная база</t>
  </si>
  <si>
    <t>Есть ссылка/факт/уровень доказательности</t>
  </si>
  <si>
    <t>Анализ проблем, отзывов, конкурентов, Канвас</t>
  </si>
  <si>
    <t>Сформулировать элементы бизнес-логики</t>
  </si>
  <si>
    <t>Бизнес-логика</t>
  </si>
  <si>
    <t>Понятно, за счет чего создается, доставляется и монетизируется ценность</t>
  </si>
  <si>
    <t>Для элемента указаны ценность, товар, процесс и выручка</t>
  </si>
  <si>
    <t>Сборка бизнес-модели</t>
  </si>
  <si>
    <t>Описать роли и сегменты пользователей</t>
  </si>
  <si>
    <t>Роли и сегменты</t>
  </si>
  <si>
    <t>Понятно, кто участвует в сценариях</t>
  </si>
  <si>
    <t>У каждой роли есть задача, проблема и основание</t>
  </si>
  <si>
    <t>Потребительские сегменты Канвас</t>
  </si>
  <si>
    <t>Собрать пользовательские сценарии</t>
  </si>
  <si>
    <t>Пользовательские сценарии</t>
  </si>
  <si>
    <t>Описаны основные, монетизационные, сервисные и удерживающие сценарии</t>
  </si>
  <si>
    <t>У сценария есть проблема, цель, результат и монетизация</t>
  </si>
  <si>
    <t>Переход от ценности к поведению пользователя</t>
  </si>
  <si>
    <t>Разложить сценарии по этапам взаимодействия</t>
  </si>
  <si>
    <t>Карта сценариев</t>
  </si>
  <si>
    <t>Видны точки входа, оплаты, поддержки и удержания</t>
  </si>
  <si>
    <t>Нет разрывов между этапами</t>
  </si>
  <si>
    <t>Клиентский путь</t>
  </si>
  <si>
    <t>Перевести сценарии в требования</t>
  </si>
  <si>
    <t>Функциональные требования</t>
  </si>
  <si>
    <t>Получен перечень функций и требований</t>
  </si>
  <si>
    <t>Требование связано со сценарием и бизнес-целью</t>
  </si>
  <si>
    <t>Товар как носитель ценности</t>
  </si>
  <si>
    <t>Приоритизировать инициативы</t>
  </si>
  <si>
    <t>Приоритизация</t>
  </si>
  <si>
    <t>Определена очередность разработки</t>
  </si>
  <si>
    <t>Приоритет зависит от ценности, эффекта, доказательности и сложности</t>
  </si>
  <si>
    <t>MVP и развитие продукта</t>
  </si>
  <si>
    <t>Проверить связность всей конструкции</t>
  </si>
  <si>
    <t>Связность</t>
  </si>
  <si>
    <t>Выявлены слабые места модели</t>
  </si>
  <si>
    <t>Контрольные точки пройдены</t>
  </si>
  <si>
    <t>Цепочка «анализ → логика → сценарий → товар → монетизация»</t>
  </si>
  <si>
    <t>Банк выводов из всех видов анализа</t>
  </si>
  <si>
    <t>ID вывода</t>
  </si>
  <si>
    <t>Направление анализа</t>
  </si>
  <si>
    <t>Объект анализа</t>
  </si>
  <si>
    <t>Краткий вывод</t>
  </si>
  <si>
    <t>Подтверждающий факт</t>
  </si>
  <si>
    <t>Источник / ссылка</t>
  </si>
  <si>
    <t>Сила доказательства (1-4)</t>
  </si>
  <si>
    <t>Значимость для модели (1-5)</t>
  </si>
  <si>
    <t>Риск ошибочной интерпретации (1-5)</t>
  </si>
  <si>
    <t>Индекс опоры</t>
  </si>
  <si>
    <t>Связанный блок Канвас</t>
  </si>
  <si>
    <t>Связанная проблема / роль / сценарий</t>
  </si>
  <si>
    <t>Решение использовать</t>
  </si>
  <si>
    <t>Комментарий</t>
  </si>
  <si>
    <t>A-001</t>
  </si>
  <si>
    <t>Анализ отзывов</t>
  </si>
  <si>
    <t>Ценностные предложения</t>
  </si>
  <si>
    <t>Пример строки; заменить своими данными</t>
  </si>
  <si>
    <t>A-002</t>
  </si>
  <si>
    <t>Анализ конкурентов по сайтам</t>
  </si>
  <si>
    <t>Каналы</t>
  </si>
  <si>
    <t>A-003</t>
  </si>
  <si>
    <t>Канвас бизнес-модели</t>
  </si>
  <si>
    <t>Потоки доходов</t>
  </si>
  <si>
    <t>Единица монетизации</t>
  </si>
  <si>
    <t>Формулирование бизнес-логики цифрового товара</t>
  </si>
  <si>
    <t>ID элемента</t>
  </si>
  <si>
    <t>Элемент бизнес-логики</t>
  </si>
  <si>
    <t>Тип бизнес-логики</t>
  </si>
  <si>
    <t>Какая ценность создается</t>
  </si>
  <si>
    <t>Для кого</t>
  </si>
  <si>
    <t>Цифровой товар / функция</t>
  </si>
  <si>
    <t>Процесс или механизм</t>
  </si>
  <si>
    <t>Источник выручки / единица монетизации</t>
  </si>
  <si>
    <t>Связанный вывод анализа</t>
  </si>
  <si>
    <t>Доказательность (1-4)</t>
  </si>
  <si>
    <t>Влияние на модель (1-5)</t>
  </si>
  <si>
    <t>Проверка связности</t>
  </si>
  <si>
    <t>Индекс надежности</t>
  </si>
  <si>
    <t>Нужное уточнение</t>
  </si>
  <si>
    <t>BL-001</t>
  </si>
  <si>
    <t>Клиентская</t>
  </si>
  <si>
    <t>Новый пользователь</t>
  </si>
  <si>
    <t>Требует проверки</t>
  </si>
  <si>
    <t>Уточнить, какие шаги настройки критичны</t>
  </si>
  <si>
    <t>BL-002</t>
  </si>
  <si>
    <t>Монетизационная</t>
  </si>
  <si>
    <t>Платящий клиент</t>
  </si>
  <si>
    <t>Подписка</t>
  </si>
  <si>
    <t>Подтверждено</t>
  </si>
  <si>
    <t>Роли пользователей и потребительские сегменты</t>
  </si>
  <si>
    <t>ID роли</t>
  </si>
  <si>
    <t>Роль / сегмент</t>
  </si>
  <si>
    <t>Потребительская задача</t>
  </si>
  <si>
    <t>Проблема</t>
  </si>
  <si>
    <t>Мотивация</t>
  </si>
  <si>
    <t>Ограничения</t>
  </si>
  <si>
    <t>Готовность платить (1-5)</t>
  </si>
  <si>
    <t>Частота потребности (1-5)</t>
  </si>
  <si>
    <t>Ценность сегмента</t>
  </si>
  <si>
    <t>Канал входа</t>
  </si>
  <si>
    <t>Основание из анализа</t>
  </si>
  <si>
    <t>R-001</t>
  </si>
  <si>
    <t>Потребительские сегменты</t>
  </si>
  <si>
    <t>R-002</t>
  </si>
  <si>
    <t>Пользовательские сценарии: от проблемы к действию и монетизации</t>
  </si>
  <si>
    <t>ID сценария</t>
  </si>
  <si>
    <t>Название сценария</t>
  </si>
  <si>
    <t>Роль</t>
  </si>
  <si>
    <t>Тип сценария</t>
  </si>
  <si>
    <t>Исходная проблема</t>
  </si>
  <si>
    <t>Цель пользователя</t>
  </si>
  <si>
    <t>Триггер</t>
  </si>
  <si>
    <t>Основной путь</t>
  </si>
  <si>
    <t>Альтернативный путь / ошибка</t>
  </si>
  <si>
    <t>Результат для пользователя</t>
  </si>
  <si>
    <t>Результат для бизнес-модели</t>
  </si>
  <si>
    <t>Значимость проблемы (1-5)</t>
  </si>
  <si>
    <t>Влияние на выручку (1-5)</t>
  </si>
  <si>
    <t>Индекс сценария</t>
  </si>
  <si>
    <t>Приоритет</t>
  </si>
  <si>
    <t>Источник анализа</t>
  </si>
  <si>
    <t>S-001</t>
  </si>
  <si>
    <t>Получение ценности</t>
  </si>
  <si>
    <t>Основной</t>
  </si>
  <si>
    <t>S-002</t>
  </si>
  <si>
    <t>Потенциальный клиент</t>
  </si>
  <si>
    <t>Оплата</t>
  </si>
  <si>
    <t>Монетизационный</t>
  </si>
  <si>
    <t>Карта прохождения пользовательских сценариев по этапам взаимодействия</t>
  </si>
  <si>
    <t>Сценарий</t>
  </si>
  <si>
    <t>Привлечение</t>
  </si>
  <si>
    <t>Первичный интерес</t>
  </si>
  <si>
    <t>Регистрация</t>
  </si>
  <si>
    <t>Настройка</t>
  </si>
  <si>
    <t>Повторное использование</t>
  </si>
  <si>
    <t>Поддержка</t>
  </si>
  <si>
    <t>Удержание</t>
  </si>
  <si>
    <t>Разрыв / риск</t>
  </si>
  <si>
    <t>Критическая точка</t>
  </si>
  <si>
    <t>страница продукта</t>
  </si>
  <si>
    <t>демо без регистрации</t>
  </si>
  <si>
    <t>автонастройка</t>
  </si>
  <si>
    <t>первый результат</t>
  </si>
  <si>
    <t>подсказка</t>
  </si>
  <si>
    <t>email-приглашение</t>
  </si>
  <si>
    <t>ретаргетинг</t>
  </si>
  <si>
    <t>аккаунт создан</t>
  </si>
  <si>
    <t>доступ к ограничениям</t>
  </si>
  <si>
    <t>оплата тарифа</t>
  </si>
  <si>
    <t>активация доступа</t>
  </si>
  <si>
    <t>помощь при оплате</t>
  </si>
  <si>
    <t>уведомление о ценности</t>
  </si>
  <si>
    <t>Перевод пользовательских сценариев в функциональные требования</t>
  </si>
  <si>
    <t>ID требования</t>
  </si>
  <si>
    <t>Требование</t>
  </si>
  <si>
    <t>Связанный сценарий</t>
  </si>
  <si>
    <t>Пользовательская задача</t>
  </si>
  <si>
    <t>Бизнес-цель</t>
  </si>
  <si>
    <t>Категория Кано</t>
  </si>
  <si>
    <t>Уровень товара по Левитту</t>
  </si>
  <si>
    <t>Влияние на ценность (1-5)</t>
  </si>
  <si>
    <t>Влияние на монетизацию (1-5)</t>
  </si>
  <si>
    <t>Сложность реализации (1-5)</t>
  </si>
  <si>
    <t>Индекс приоритета</t>
  </si>
  <si>
    <t>MVP</t>
  </si>
  <si>
    <t>Источник</t>
  </si>
  <si>
    <t>F-001</t>
  </si>
  <si>
    <t>Базовое требование</t>
  </si>
  <si>
    <t>Ожидаемый товар</t>
  </si>
  <si>
    <t>F-002</t>
  </si>
  <si>
    <t>Линейное требование</t>
  </si>
  <si>
    <t>Расширенный товар</t>
  </si>
  <si>
    <t>Приоритизация сценариев, функций и продуктовых инициатив</t>
  </si>
  <si>
    <t>ID инициативы</t>
  </si>
  <si>
    <t>Инициатива</t>
  </si>
  <si>
    <t>Тип</t>
  </si>
  <si>
    <t>Связанное требование</t>
  </si>
  <si>
    <t>Пользовательская ценность (1-5)</t>
  </si>
  <si>
    <t>Бизнес-эффект (1-5)</t>
  </si>
  <si>
    <t>Сложность (1-5)</t>
  </si>
  <si>
    <t>Риск (1-5)</t>
  </si>
  <si>
    <t>Итоговый индекс</t>
  </si>
  <si>
    <t>Решение</t>
  </si>
  <si>
    <t>Период реализации</t>
  </si>
  <si>
    <t>P-001</t>
  </si>
  <si>
    <t>Сценарий + функция</t>
  </si>
  <si>
    <t>Первая версия</t>
  </si>
  <si>
    <t>P-002</t>
  </si>
  <si>
    <t>Монетизация</t>
  </si>
  <si>
    <t>Проверка связности: анализ → бизнес-логика → сценарии → требования → монетизация</t>
  </si>
  <si>
    <t>Контрольная точка</t>
  </si>
  <si>
    <t>Что проверяется</t>
  </si>
  <si>
    <t>Проверочный вопрос</t>
  </si>
  <si>
    <t>Источник листа</t>
  </si>
  <si>
    <t>Критерий прохождения</t>
  </si>
  <si>
    <t>Количество</t>
  </si>
  <si>
    <t>Порог</t>
  </si>
  <si>
    <t>Наличие выводов анализа</t>
  </si>
  <si>
    <t>Есть ли перенесенные выводы из предыдущих видов анализа?</t>
  </si>
  <si>
    <t>Не менее 5 выводов</t>
  </si>
  <si>
    <t>Подтвержденные основания</t>
  </si>
  <si>
    <t>Качество доказательств</t>
  </si>
  <si>
    <t>Есть ли сильные основания для решений?</t>
  </si>
  <si>
    <t>Не менее 3 выводов с силой доказательства 3-4</t>
  </si>
  <si>
    <t>Наличие элементов логики</t>
  </si>
  <si>
    <t>Сформулировано ли, за счет чего создается и монетизируется ценность?</t>
  </si>
  <si>
    <t>Не менее 3 элементов</t>
  </si>
  <si>
    <t>Наличие ролей</t>
  </si>
  <si>
    <t>Понятно ли, для кого создаются сценарии?</t>
  </si>
  <si>
    <t>Не менее 2 ролей</t>
  </si>
  <si>
    <t>Сценарии</t>
  </si>
  <si>
    <t>Наличие пользовательских сценариев</t>
  </si>
  <si>
    <t>Описаны ли действия пользователя от проблемы до результата?</t>
  </si>
  <si>
    <t>Не менее 5 сценариев</t>
  </si>
  <si>
    <t>Монетизационные сценарии</t>
  </si>
  <si>
    <t>Связь сценариев с доходами</t>
  </si>
  <si>
    <t>Есть ли сценарии, напрямую связанные с оплатой или удержанием?</t>
  </si>
  <si>
    <t>Не менее 1 монетизационного сценария</t>
  </si>
  <si>
    <t>Требования</t>
  </si>
  <si>
    <t>Перевод сценариев в функции</t>
  </si>
  <si>
    <t>Есть ли функциональные требования, выведенные из сценариев?</t>
  </si>
  <si>
    <t>Не менее 5 требований</t>
  </si>
  <si>
    <t>Фокус первой версии</t>
  </si>
  <si>
    <t>Есть ли требования, рекомендованные в первую версию?</t>
  </si>
  <si>
    <t>Не менее 3 требований MVP</t>
  </si>
  <si>
    <t>Очередность реализации</t>
  </si>
  <si>
    <t>Определены ли инициативы и решения по ним?</t>
  </si>
  <si>
    <t>Не менее 5 инициатив</t>
  </si>
  <si>
    <t>Общая связность</t>
  </si>
  <si>
    <t>Прохождение контрольных точек</t>
  </si>
  <si>
    <t>Прошла ли модель ключевые проверки?</t>
  </si>
  <si>
    <t>Не менее 7 пройденных точек</t>
  </si>
  <si>
    <t>Дашборд готовности бизнес-логики и пользовательских сценариев</t>
  </si>
  <si>
    <t>Ключевые показатели</t>
  </si>
  <si>
    <t>Распределение сценариев и требований по приоритетам</t>
  </si>
  <si>
    <t>Показатель</t>
  </si>
  <si>
    <t>Значение</t>
  </si>
  <si>
    <t>Единица</t>
  </si>
  <si>
    <t>Интерпретация</t>
  </si>
  <si>
    <t>Инициативы</t>
  </si>
  <si>
    <t>Выводов анализа</t>
  </si>
  <si>
    <t>шт.</t>
  </si>
  <si>
    <t>Объем доказательной базы</t>
  </si>
  <si>
    <t>Критический</t>
  </si>
  <si>
    <t>Сильных выводов</t>
  </si>
  <si>
    <t>Сила доказательной базы</t>
  </si>
  <si>
    <t>Высокий</t>
  </si>
  <si>
    <t>Элементов бизнес-логики</t>
  </si>
  <si>
    <t>Сформированность логики</t>
  </si>
  <si>
    <t>Средний</t>
  </si>
  <si>
    <t>Средний индекс надежности логики</t>
  </si>
  <si>
    <t>0-1</t>
  </si>
  <si>
    <t>Качество связности элементов</t>
  </si>
  <si>
    <t>Низкий</t>
  </si>
  <si>
    <t>Ролей и сегментов</t>
  </si>
  <si>
    <t>Покрытие пользователей</t>
  </si>
  <si>
    <t>Отложить</t>
  </si>
  <si>
    <t>Пользовательских сценариев</t>
  </si>
  <si>
    <t>Полнота сценарной модели</t>
  </si>
  <si>
    <t>Критических и высоких сценариев</t>
  </si>
  <si>
    <t>Фокус для проектирования</t>
  </si>
  <si>
    <t>Функциональных требований</t>
  </si>
  <si>
    <t>Перевод сценариев в продукт</t>
  </si>
  <si>
    <t>Контрольные точки связности</t>
  </si>
  <si>
    <t>Требований MVP</t>
  </si>
  <si>
    <t>Состав первой версии</t>
  </si>
  <si>
    <t>Пройденных контрольных точек</t>
  </si>
  <si>
    <t>из 10</t>
  </si>
  <si>
    <t>Общая проверка</t>
  </si>
  <si>
    <t>Индекс готовности</t>
  </si>
  <si>
    <t>%</t>
  </si>
  <si>
    <t>Итоговая готовность</t>
  </si>
  <si>
    <t>Итоговая интерпретация</t>
  </si>
  <si>
    <t>Индекс готовности менее 50%</t>
  </si>
  <si>
    <t>Индекс готовности 50–79%</t>
  </si>
  <si>
    <t>Индекс готовности 80–100%</t>
  </si>
  <si>
    <t>Главный риск</t>
  </si>
  <si>
    <t>Главное правило</t>
  </si>
  <si>
    <t>Справочники для выпадающих списков и шкал оценки</t>
  </si>
  <si>
    <t>Блок Канвас</t>
  </si>
  <si>
    <t>Уровень доказательности</t>
  </si>
  <si>
    <t>Роль пользователя</t>
  </si>
  <si>
    <t>Анализ проблем клиентов</t>
  </si>
  <si>
    <t>Посетитель</t>
  </si>
  <si>
    <t>Анализ бизнес-моделей конкурентов</t>
  </si>
  <si>
    <t>Отношения с клиентами</t>
  </si>
  <si>
    <t>Активный пользователь</t>
  </si>
  <si>
    <t>Классификация компаний по уровням конкуренции</t>
  </si>
  <si>
    <t>Анализ цифрового товара и рыночного стандарта</t>
  </si>
  <si>
    <t>Ключевые ресурсы</t>
  </si>
  <si>
    <t>Администратор клиента</t>
  </si>
  <si>
    <t>Ценностное предложение и цифровой товар</t>
  </si>
  <si>
    <t>Ключевые виды деятельности</t>
  </si>
  <si>
    <t>Менеджер/оператор</t>
  </si>
  <si>
    <t>Ключевые партнеры</t>
  </si>
  <si>
    <t>Партнер</t>
  </si>
  <si>
    <t>Экономика монетизации</t>
  </si>
  <si>
    <t>Структура затрат</t>
  </si>
  <si>
    <t>Внутренний администратор</t>
  </si>
  <si>
    <t>Проверка пользовательских сценариев</t>
  </si>
  <si>
    <t>Этап сценария</t>
  </si>
  <si>
    <t>Черновик</t>
  </si>
  <si>
    <t>Вспомогательный</t>
  </si>
  <si>
    <t>Первичная настройка</t>
  </si>
  <si>
    <t>Сервисный</t>
  </si>
  <si>
    <t>В разработку</t>
  </si>
  <si>
    <t>Административный</t>
  </si>
  <si>
    <t>Исключено</t>
  </si>
  <si>
    <t>Удерживающий</t>
  </si>
  <si>
    <t>Партнерский</t>
  </si>
  <si>
    <t>Расширение потребления</t>
  </si>
  <si>
    <t>Отказ/возврат</t>
  </si>
  <si>
    <t>Тип цифрового товара</t>
  </si>
  <si>
    <t>Ядро выгоды</t>
  </si>
  <si>
    <t>Продуктовая</t>
  </si>
  <si>
    <t>Базовый товар</t>
  </si>
  <si>
    <t>Доступ к сервису</t>
  </si>
  <si>
    <t>Восхищающее требование</t>
  </si>
  <si>
    <t>Цифровой контент</t>
  </si>
  <si>
    <t>Канальная</t>
  </si>
  <si>
    <t>Нейтральный признак</t>
  </si>
  <si>
    <t>Транзакционная услуга</t>
  </si>
  <si>
    <t>Сервисная</t>
  </si>
  <si>
    <t>Обратное требование</t>
  </si>
  <si>
    <t>Потенциальный товар</t>
  </si>
  <si>
    <t>Маркетплейс-доступ</t>
  </si>
  <si>
    <t>Партнерская</t>
  </si>
  <si>
    <t>Не определено</t>
  </si>
  <si>
    <t>Программный модуль</t>
  </si>
  <si>
    <t>Операционная</t>
  </si>
  <si>
    <t>Данные/аналитика</t>
  </si>
  <si>
    <t>Инфраструктурная</t>
  </si>
  <si>
    <t>Образовательный продукт</t>
  </si>
  <si>
    <t>Правовая</t>
  </si>
  <si>
    <t>Гибридный товар</t>
  </si>
  <si>
    <t>Аналитическая</t>
  </si>
  <si>
    <t>Шкала</t>
  </si>
  <si>
    <t>1</t>
  </si>
  <si>
    <t>2</t>
  </si>
  <si>
    <t>3</t>
  </si>
  <si>
    <t>4-5</t>
  </si>
  <si>
    <t>Правило</t>
  </si>
  <si>
    <t>Значимость проблемы</t>
  </si>
  <si>
    <t>единичный дискомфорт</t>
  </si>
  <si>
    <t>частая неудобность</t>
  </si>
  <si>
    <t>существенный ущерб</t>
  </si>
  <si>
    <t>критичная боль</t>
  </si>
  <si>
    <t>Оценивать по частоте, тяжести, экономическим последствиям</t>
  </si>
  <si>
    <t>Влияние на выручку</t>
  </si>
  <si>
    <t>слабое</t>
  </si>
  <si>
    <t>косвенное</t>
  </si>
  <si>
    <t>заметное</t>
  </si>
  <si>
    <t>прямое</t>
  </si>
  <si>
    <t>Связывать с оплатой, удержанием, расширением потребления</t>
  </si>
  <si>
    <t>Сложность реализации</t>
  </si>
  <si>
    <t>низкая</t>
  </si>
  <si>
    <t>умеренная</t>
  </si>
  <si>
    <t>средняя</t>
  </si>
  <si>
    <t>высокая</t>
  </si>
  <si>
    <t>Чем выше сложность, тем ниже приоритет при равной ценности</t>
  </si>
  <si>
    <t>Доказательность</t>
  </si>
  <si>
    <t>слабый сигнал</t>
  </si>
  <si>
    <t>частично</t>
  </si>
  <si>
    <t>подтверждено</t>
  </si>
  <si>
    <t>проверено</t>
  </si>
  <si>
    <t>Оценивать по числу и качеству источников</t>
  </si>
  <si>
    <t>Исключить</t>
  </si>
  <si>
    <t>Проблема P-002</t>
  </si>
  <si>
    <t>Нет единого инструмента для всех нотаций проекта</t>
  </si>
  <si>
    <t>IDEF0, DFD, сети Петри не найдены у 8 конкурентов; UML, BPMN, ERD вместе - только у Lucidchart</t>
  </si>
  <si>
    <t>6.1: Excel/6_1_...; ЛР5 (Excel/analiz_konkurentov_Levitt_Kano_NotaCode.xlsx)</t>
  </si>
  <si>
    <t>Проблема P-002; сценарий S-005</t>
  </si>
  <si>
    <t>Проблема P-001</t>
  </si>
  <si>
    <t>Текстовые языки требуют изучения синтаксиса</t>
  </si>
  <si>
    <t>ЛР4, survey_students.csv</t>
  </si>
  <si>
    <t>Проблема P-001; сценарий S-004</t>
  </si>
  <si>
    <t>Тарифы 5 конкурентов</t>
  </si>
  <si>
    <t>Страницы тарифов, 01.10.2026</t>
  </si>
  <si>
    <t>Сценарий S-008; требование F-010</t>
  </si>
  <si>
    <t>A-004</t>
  </si>
  <si>
    <t>Рыночный стандарт бизнес-модели</t>
  </si>
  <si>
    <t>Условно-бесплатная модель у 5 из 8, бесплатный доступ у 8 из 8</t>
  </si>
  <si>
    <t>Лист 10_Стандарт ЛР5</t>
  </si>
  <si>
    <t>ЛР5 (Excel/analiz_biznes_modeli_konkurentov_NotaCode.xlsx)</t>
  </si>
  <si>
    <t>Единица монетизации M-001</t>
  </si>
  <si>
    <t>A-005</t>
  </si>
  <si>
    <t>Рыночный стандарт товара</t>
  </si>
  <si>
    <t>Экспорт у 8 из 8, документация у 6 из 8, совместная работа у 6 из 8, вход у 5 из 8</t>
  </si>
  <si>
    <t>Лист 07_Стандарт_рынка ЛР5</t>
  </si>
  <si>
    <t>ЛР5 (Excel/analiz_konkurentov_Levitt_Kano_NotaCode.xlsx)</t>
  </si>
  <si>
    <t>Требования F-005, F-006, F-012</t>
  </si>
  <si>
    <t>A-006</t>
  </si>
  <si>
    <t>22 компании</t>
  </si>
  <si>
    <t>Один прямой конкурент (PlantUML) и четыре близких: ядро - текстовые инструменты</t>
  </si>
  <si>
    <t>Лист 06_Сводка ЛР5, средний балл 2,83</t>
  </si>
  <si>
    <t>ЛР5 (klassifikaciya_urovni_konkurencii_NotaCode.xlsx)</t>
  </si>
  <si>
    <t>Роли R-001, R-003</t>
  </si>
  <si>
    <t>A-007</t>
  </si>
  <si>
    <t>Каналы конкурентов</t>
  </si>
  <si>
    <t>Основной канал текстовых инструментов - органический поиск 47-59 %</t>
  </si>
  <si>
    <t>Similarweb Pro, июнь - август 2026 (PlantUML, Mermaid)</t>
  </si>
  <si>
    <t>ЛР4, Similarweb Pro</t>
  </si>
  <si>
    <t>Сценарии S-001, S-002</t>
  </si>
  <si>
    <t>A-008</t>
  </si>
  <si>
    <t>Опрос студентов</t>
  </si>
  <si>
    <t>Коллаборация важна 26 из 27, экспорт PNG 27 из 27, SVG 18 из 27</t>
  </si>
  <si>
    <t>survey_students.csv, ЛР4</t>
  </si>
  <si>
    <t>ЛР4</t>
  </si>
  <si>
    <t>Требования F-005, F-013</t>
  </si>
  <si>
    <t>A-009</t>
  </si>
  <si>
    <t>Готовность платить</t>
  </si>
  <si>
    <t>18 из 27 готовы платить; средняя максимальная цена 728 руб.</t>
  </si>
  <si>
    <t>survey_students.csv, ЛР4 (период не указан)</t>
  </si>
  <si>
    <t>Роль R-004</t>
  </si>
  <si>
    <t>A-010</t>
  </si>
  <si>
    <t>Расчёт выручки Pro</t>
  </si>
  <si>
    <t>ЛР2-3, ЛР4 (SAM 197 988 BYN)</t>
  </si>
  <si>
    <t>ЛР2-3, ЛР4</t>
  </si>
  <si>
    <t>A-011</t>
  </si>
  <si>
    <t>ЦП VP-001</t>
  </si>
  <si>
    <t>Опорная проблема P-002, индекс проблемы 74; ИКЦП 3,83</t>
  </si>
  <si>
    <t>Методика 6.1</t>
  </si>
  <si>
    <t>Excel/6_1_cennostnoe_predlozhenie_NotaCode.xlsx</t>
  </si>
  <si>
    <t>A-012</t>
  </si>
  <si>
    <t>Канвас</t>
  </si>
  <si>
    <t>Блоки 8-11 (ресурсы, деятельность, партнёры, затраты) - гипотезы; полнота 71 %</t>
  </si>
  <si>
    <t>Методика 6.2</t>
  </si>
  <si>
    <t>Excel/6_2_biznes_model_kanvas_NotaCode.xlsx</t>
  </si>
  <si>
    <t>BL-006</t>
  </si>
  <si>
    <t>A-013</t>
  </si>
  <si>
    <t>Eraser, Mermaid Chart</t>
  </si>
  <si>
    <t>Лимиты ИИ используются как тарифный ограничитель</t>
  </si>
  <si>
    <t>Eraser: 3, 40, 250 ИИ-диаграмм; Mermaid Chart: 15, 300, 2000 кредитов</t>
  </si>
  <si>
    <t>Функция F-011</t>
  </si>
  <si>
    <t>Снижение барьера первой диаграммы</t>
  </si>
  <si>
    <t>Пользователь быстрее получает корректную диаграмму без изучения всего синтаксиса</t>
  </si>
  <si>
    <t>Редактор с текстовым вводом, предпросмотром и примерами</t>
  </si>
  <si>
    <t>Текст превращается в диаграмму сразу; ИИ-ассистент помогает с описанием</t>
  </si>
  <si>
    <t>Free: конверсия в Pro</t>
  </si>
  <si>
    <t>Единый набор нотаций</t>
  </si>
  <si>
    <t>Конкурентная</t>
  </si>
  <si>
    <t>Одна среда вместо нескольких инструментов для UML, BPMN, ERD, IDEF0, DFD, сетей Петри</t>
  </si>
  <si>
    <t>Студент, аналитик ПО</t>
  </si>
  <si>
    <t>Движок нотаций</t>
  </si>
  <si>
    <t>Единый текстовый формат и общий редактор</t>
  </si>
  <si>
    <t>Pro: набор нотаций и экспорт</t>
  </si>
  <si>
    <t>BL-003</t>
  </si>
  <si>
    <t>Бесплатный вход</t>
  </si>
  <si>
    <t>Студент начинает без оплаты, как у 8 из 8 конкурентов</t>
  </si>
  <si>
    <t>Посетитель, студент</t>
  </si>
  <si>
    <t>Уровень Free</t>
  </si>
  <si>
    <t>Free привлекает аудиторию и ведёт к Pro</t>
  </si>
  <si>
    <t>Free: вход в воронку</t>
  </si>
  <si>
    <t>BL-004</t>
  </si>
  <si>
    <t>Монетизация подписки Pro</t>
  </si>
  <si>
    <t>Клиент платит за снятие ограничений и расширенные функции</t>
  </si>
  <si>
    <t>Ограничения функций по тарифам</t>
  </si>
  <si>
    <t>Пользователь Pro, год</t>
  </si>
  <si>
    <t>BL-005</t>
  </si>
  <si>
    <t>Доверие через открытую цену и документацию</t>
  </si>
  <si>
    <t>Клиент видит цену и умеет пользоваться без поддержки</t>
  </si>
  <si>
    <t>Страница тарифов, документация</t>
  </si>
  <si>
    <t>Прозрачные условия снижают риск выбора</t>
  </si>
  <si>
    <t>Pro: рост доверия</t>
  </si>
  <si>
    <t>Операционная способность</t>
  </si>
  <si>
    <t>Качество разбора нотаций и работа сервиса</t>
  </si>
  <si>
    <t>Внутренняя команда</t>
  </si>
  <si>
    <t>Движок нотаций, инфраструктура PWA, ИИ-провайдер</t>
  </si>
  <si>
    <t>Разработка, поддержка, документация</t>
  </si>
  <si>
    <t>Затраты: ИИ-вызовы переменные</t>
  </si>
  <si>
    <t>BL-007</t>
  </si>
  <si>
    <t>Метрики проверки</t>
  </si>
  <si>
    <t>Метрическая</t>
  </si>
  <si>
    <t>Показатели проверки модели: доля первой диаграммы, переход в Pro, удержание</t>
  </si>
  <si>
    <t>Руководитель проекта</t>
  </si>
  <si>
    <t>Аналитика продукта</t>
  </si>
  <si>
    <t>Сбор событий сценариев</t>
  </si>
  <si>
    <t>Конверсия Free в Pro</t>
  </si>
  <si>
    <t>Найти инструмент для диаграммы нотации</t>
  </si>
  <si>
    <t>Не знает, какой инструмент поддерживает нужную нотацию</t>
  </si>
  <si>
    <t>Быстро найти подходящий инструмент</t>
  </si>
  <si>
    <t>Нехватка времени, недоверие</t>
  </si>
  <si>
    <t>Поиск Google и Яндекс</t>
  </si>
  <si>
    <t>Получить первую диаграмму</t>
  </si>
  <si>
    <t>Сложность синтаксиса текстовых языков</t>
  </si>
  <si>
    <t>Сдать работу в срок</t>
  </si>
  <si>
    <t>Нет опыта с нотациями</t>
  </si>
  <si>
    <t>Сайт, документация</t>
  </si>
  <si>
    <t>R-003</t>
  </si>
  <si>
    <t>Регулярно строить диаграммы разных нотаций</t>
  </si>
  <si>
    <t>Нужны несколько инструментов</t>
  </si>
  <si>
    <t>Экономия времени</t>
  </si>
  <si>
    <t>Привычка к draw.io и PlantUML</t>
  </si>
  <si>
    <t>Личный кабинет</t>
  </si>
  <si>
    <t>R-004</t>
  </si>
  <si>
    <t>Снять ограничения Free и получить расширенные функции</t>
  </si>
  <si>
    <t>Ограничения бесплатного уровня</t>
  </si>
  <si>
    <t>Профессиональный результат</t>
  </si>
  <si>
    <t>Цена, оплата из Беларуси</t>
  </si>
  <si>
    <t>Прямой заход, кабинет</t>
  </si>
  <si>
    <t>R-005</t>
  </si>
  <si>
    <t>Выдать доступ команде</t>
  </si>
  <si>
    <t>Нет командного тарифа у Free</t>
  </si>
  <si>
    <t>Единая среда для команды</t>
  </si>
  <si>
    <t>Командный тариф отложен</t>
  </si>
  <si>
    <t>Кабинет</t>
  </si>
  <si>
    <t>R-006</t>
  </si>
  <si>
    <t>Обрабатывать обращения и ошибки</t>
  </si>
  <si>
    <t>Обращения по нотациям и оплате</t>
  </si>
  <si>
    <t>Качество сервиса</t>
  </si>
  <si>
    <t>Объём поддержки</t>
  </si>
  <si>
    <t>R-007</t>
  </si>
  <si>
    <t>Подключить студентов вуза</t>
  </si>
  <si>
    <t>Вузы требуют инструмент для занятий</t>
  </si>
  <si>
    <t>Доступ студентов к инструменту</t>
  </si>
  <si>
    <t>Нет договорённостей</t>
  </si>
  <si>
    <t>Вуз</t>
  </si>
  <si>
    <t>Не ясно, какой инструмент поддерживает нужную нотацию</t>
  </si>
  <si>
    <t>Найти подходящий инструмент</t>
  </si>
  <si>
    <t>Задание по проектированию, поиск в Google или Яндекс</t>
  </si>
  <si>
    <t>Поисковый запрос, переход на сайт, страница возможностей</t>
  </si>
  <si>
    <t>Выбор другого инструмента</t>
  </si>
  <si>
    <t>Понимание, что нотация поддерживается</t>
  </si>
  <si>
    <t>Рост трафика</t>
  </si>
  <si>
    <t>Free</t>
  </si>
  <si>
    <t>Да</t>
  </si>
  <si>
    <t>Метрика: Рост трафика</t>
  </si>
  <si>
    <t>Сравнить NotaCode с другими инструментами и увидеть цену</t>
  </si>
  <si>
    <t>Сравнение и доверие</t>
  </si>
  <si>
    <t>Риск выбора неподходящего инструмента</t>
  </si>
  <si>
    <t>Убедиться в наборе нотаций и цене</t>
  </si>
  <si>
    <t>Сомнение в выборе</t>
  </si>
  <si>
    <t>Страница возможностей, тарифы, документация</t>
  </si>
  <si>
    <t>Уход к draw.io или PlantUML</t>
  </si>
  <si>
    <t>Решение зарегистрироваться</t>
  </si>
  <si>
    <t>Конверсия в регистрацию</t>
  </si>
  <si>
    <t>Free, Pro</t>
  </si>
  <si>
    <t>Нет</t>
  </si>
  <si>
    <t>Метрика: Конверсия в регистрацию</t>
  </si>
  <si>
    <t>S-003</t>
  </si>
  <si>
    <t>Зарегистрироваться в бесплатном уровне</t>
  </si>
  <si>
    <t>Вход и активация</t>
  </si>
  <si>
    <t>Барьер входа</t>
  </si>
  <si>
    <t>Получить доступ к редактору</t>
  </si>
  <si>
    <t>Решение попробовать</t>
  </si>
  <si>
    <t>Кнопка входа, регистрация, подтверждение</t>
  </si>
  <si>
    <t>Отказ от регистрации</t>
  </si>
  <si>
    <t>Доступ к редактору Free</t>
  </si>
  <si>
    <t>Активация пользователя</t>
  </si>
  <si>
    <t>Метрика: Активация пользователя</t>
  </si>
  <si>
    <t>S-004</t>
  </si>
  <si>
    <t>Построить первую диаграмму из текста</t>
  </si>
  <si>
    <t>Получить корректную диаграмму</t>
  </si>
  <si>
    <t>Задание на диаграмму</t>
  </si>
  <si>
    <t>Выбор нотации, ввод текста, предпросмотр, правка</t>
  </si>
  <si>
    <t>Ошибка синтаксиса, подсказка и пример</t>
  </si>
  <si>
    <t>Диаграмма в выбранной нотации</t>
  </si>
  <si>
    <t>Первое значимое действие</t>
  </si>
  <si>
    <t>Метрика: Первое значимое действие</t>
  </si>
  <si>
    <t>S-005</t>
  </si>
  <si>
    <t>Построить диаграмму IDEF0 или DFD</t>
  </si>
  <si>
    <t>Нотации IDEF0 и DFD не поддерживаются конкурентами</t>
  </si>
  <si>
    <t>Получить диаграмму нужной нотации</t>
  </si>
  <si>
    <t>Задание по стандарту моделирования</t>
  </si>
  <si>
    <t>Выбор нотации, ввод текста, предпросмотр</t>
  </si>
  <si>
    <t>Достигнут лимит проектов Free</t>
  </si>
  <si>
    <t>Диаграмма IDEF0 или DFD</t>
  </si>
  <si>
    <t>Отличие от конкурентов</t>
  </si>
  <si>
    <t>Pro</t>
  </si>
  <si>
    <t>Метрика: Отличие от конкурентов</t>
  </si>
  <si>
    <t>S-006</t>
  </si>
  <si>
    <t>Экспортировать диаграмму в PNG или SVG</t>
  </si>
  <si>
    <t>Диаграмму нужно вставить в отчёт</t>
  </si>
  <si>
    <t>Получить файл диаграммы</t>
  </si>
  <si>
    <t>Оформление работы</t>
  </si>
  <si>
    <t>Кнопка экспорта, выбор формата, скачивание</t>
  </si>
  <si>
    <t>Формат недоступен</t>
  </si>
  <si>
    <t>Файл PNG или SVG</t>
  </si>
  <si>
    <t>Удовлетворённость</t>
  </si>
  <si>
    <t>Метрика: Удовлетворённость</t>
  </si>
  <si>
    <t>S-007</t>
  </si>
  <si>
    <t>Сохранить диаграмму и вернуться к ней</t>
  </si>
  <si>
    <t>Потеря наработок</t>
  </si>
  <si>
    <t>Продолжить работу позже</t>
  </si>
  <si>
    <t>Возврат к заданию</t>
  </si>
  <si>
    <t>Вход, список диаграмм, открытие, правка</t>
  </si>
  <si>
    <t>Версия утеряна</t>
  </si>
  <si>
    <t>Продолжение работы</t>
  </si>
  <si>
    <t>Удержание пользователя</t>
  </si>
  <si>
    <t>Метрика: Удержание пользователя</t>
  </si>
  <si>
    <t>S-008</t>
  </si>
  <si>
    <t>Оформить подписку Pro</t>
  </si>
  <si>
    <t>Достигнуто ограничение Free</t>
  </si>
  <si>
    <t>Снять ограничения</t>
  </si>
  <si>
    <t>Достигнут лимит или нужна нотация Pro</t>
  </si>
  <si>
    <t>Ошибка оплаты, повтор, другая карта</t>
  </si>
  <si>
    <t>Доступ Pro</t>
  </si>
  <si>
    <t>Выручка Pro</t>
  </si>
  <si>
    <t>Pro, год</t>
  </si>
  <si>
    <t>Метрика: Выручка Pro</t>
  </si>
  <si>
    <t>S-009</t>
  </si>
  <si>
    <t>Исправить ошибку в описании диаграммы</t>
  </si>
  <si>
    <t>Поддержка и восстановление</t>
  </si>
  <si>
    <t>Диаграмма не строится из-за ошибки</t>
  </si>
  <si>
    <t>Исправить и получить диаграмму</t>
  </si>
  <si>
    <t>Сообщение об ошибке</t>
  </si>
  <si>
    <t>Сообщение, подсказка, пример, правка</t>
  </si>
  <si>
    <t>Обращение в поддержку</t>
  </si>
  <si>
    <t>Исправленная диаграмма</t>
  </si>
  <si>
    <t>Снижение оттока</t>
  </si>
  <si>
    <t>Метрика: Снижение оттока</t>
  </si>
  <si>
    <t>S-010</t>
  </si>
  <si>
    <t>Найти ответ в документации</t>
  </si>
  <si>
    <t>Нужен пример нотации</t>
  </si>
  <si>
    <t>Найти ответ без обращения</t>
  </si>
  <si>
    <t>Вопрос по нотации</t>
  </si>
  <si>
    <t>Поиск, раздел документации, пример</t>
  </si>
  <si>
    <t>Ответ и пример</t>
  </si>
  <si>
    <t>Снижение нагрузки на поддержку</t>
  </si>
  <si>
    <t>Метрика: Снижение нагрузки на поддержку</t>
  </si>
  <si>
    <t>S-011</t>
  </si>
  <si>
    <t>Команде нужна единая среда</t>
  </si>
  <si>
    <t>Подключить участников</t>
  </si>
  <si>
    <t>Рост команды</t>
  </si>
  <si>
    <t>Кабинет, приглашение, роли</t>
  </si>
  <si>
    <t>Отдельные подписки</t>
  </si>
  <si>
    <t>Командная работа</t>
  </si>
  <si>
    <t>Командный тариф</t>
  </si>
  <si>
    <t>Организация</t>
  </si>
  <si>
    <t>Метрика: Командный тариф</t>
  </si>
  <si>
    <t>S-012</t>
  </si>
  <si>
    <t>Вузы нуждаются в инструменте для занятий</t>
  </si>
  <si>
    <t>Организовать доступ студентов</t>
  </si>
  <si>
    <t>Начало семестра</t>
  </si>
  <si>
    <t>Договорённость, инструкция, регистрация</t>
  </si>
  <si>
    <t>Отказ вуза</t>
  </si>
  <si>
    <t>Доступ студентов</t>
  </si>
  <si>
    <t>Рост аудитории</t>
  </si>
  <si>
    <t>Метрика: Рост аудитории</t>
  </si>
  <si>
    <t>Текстовый ввод диаграммы с предпросмотром</t>
  </si>
  <si>
    <t>Рост активации</t>
  </si>
  <si>
    <t>Родовой товар</t>
  </si>
  <si>
    <t>Нотация UML (классы, последовательности)</t>
  </si>
  <si>
    <t>Построить UML-диаграмму</t>
  </si>
  <si>
    <t>Закрыть стандарт рынка</t>
  </si>
  <si>
    <t>F-003</t>
  </si>
  <si>
    <t>Нотации ERD, IDEF1X и IDEF3 (волна 1)</t>
  </si>
  <si>
    <t>Построить процесс и модель данных</t>
  </si>
  <si>
    <t>Закрыть ожидаемый состав</t>
  </si>
  <si>
    <t>F-004</t>
  </si>
  <si>
    <t>Нотации IDEF0 и DFD (волна 1)</t>
  </si>
  <si>
    <t>Построить диаграмму по стандарту</t>
  </si>
  <si>
    <t>Конкурентное отличие</t>
  </si>
  <si>
    <t>Привлекательное требование</t>
  </si>
  <si>
    <t>F-005</t>
  </si>
  <si>
    <t>Экспорт в PNG и SVG</t>
  </si>
  <si>
    <t>Вставить диаграмму в отчёт</t>
  </si>
  <si>
    <t>F-006</t>
  </si>
  <si>
    <t>Регистрация и личный кабинет Free</t>
  </si>
  <si>
    <t>Получить доступ</t>
  </si>
  <si>
    <t>Активация</t>
  </si>
  <si>
    <t>F-007</t>
  </si>
  <si>
    <t>Сохранение диаграмм и история версий</t>
  </si>
  <si>
    <t>Вернуться к работе</t>
  </si>
  <si>
    <t>F-008</t>
  </si>
  <si>
    <t>Подсказки об ошибках синтаксиса</t>
  </si>
  <si>
    <t>Исправить ошибку</t>
  </si>
  <si>
    <t>Снизить отказы</t>
  </si>
  <si>
    <t>F-009</t>
  </si>
  <si>
    <t>Страница возможностей и тарифов Free и Pro</t>
  </si>
  <si>
    <t>Сравнить и увидеть цену</t>
  </si>
  <si>
    <t>F-010</t>
  </si>
  <si>
    <t>Оплата подписки Pro</t>
  </si>
  <si>
    <t>Оформить Pro</t>
  </si>
  <si>
    <t>Выручка</t>
  </si>
  <si>
    <t>F-011</t>
  </si>
  <si>
    <t>ИИ-ассистент построения диаграммы</t>
  </si>
  <si>
    <t>Описать диаграмму словами</t>
  </si>
  <si>
    <t>Снизить барьер входа</t>
  </si>
  <si>
    <t>F-012</t>
  </si>
  <si>
    <t>Документация и примеры нотаций</t>
  </si>
  <si>
    <t>Найти пример</t>
  </si>
  <si>
    <t>Снизить поддержку</t>
  </si>
  <si>
    <t>F-013</t>
  </si>
  <si>
    <t>Совместное редактирование и доступ команде</t>
  </si>
  <si>
    <t>Работать командой</t>
  </si>
  <si>
    <t>Построение диаграммы из текста с предпросмотром</t>
  </si>
  <si>
    <t>Ядро ценности</t>
  </si>
  <si>
    <t>Экспорт PNG и SVG</t>
  </si>
  <si>
    <t>Функция</t>
  </si>
  <si>
    <t>Ожидаемый минимум</t>
  </si>
  <si>
    <t>P-003</t>
  </si>
  <si>
    <t>Нотации UML, ERD, IDEF0, IDEF1X, IDEF3, DFD</t>
  </si>
  <si>
    <t>Стандарт рынка</t>
  </si>
  <si>
    <t>P-004</t>
  </si>
  <si>
    <t>Регистрация и вход Free</t>
  </si>
  <si>
    <t>P-005</t>
  </si>
  <si>
    <t>Страница возможностей и тарифов</t>
  </si>
  <si>
    <t>Открытая цена</t>
  </si>
  <si>
    <t>P-006</t>
  </si>
  <si>
    <t>Платёжный провайдер не выбран</t>
  </si>
  <si>
    <t>P-007</t>
  </si>
  <si>
    <t>P-008</t>
  </si>
  <si>
    <t>ИИ-ассистент</t>
  </si>
  <si>
    <t>Первая версия (заглушка)</t>
  </si>
  <si>
    <t>В MVP заглушка с четырьмя режимами; квоты - позже</t>
  </si>
  <si>
    <t>P-009</t>
  </si>
  <si>
    <t>Сохранение и история версий</t>
  </si>
  <si>
    <t>Вторая версия</t>
  </si>
  <si>
    <t>P-010</t>
  </si>
  <si>
    <t>Совместное редактирование</t>
  </si>
  <si>
    <t>Позже</t>
  </si>
  <si>
    <t>Журнал рабочей копии: формулы, бизнес-логика в трёх версиях, ограничения</t>
  </si>
  <si>
    <t>Раздел</t>
  </si>
  <si>
    <t>Код</t>
  </si>
  <si>
    <t>Содержание</t>
  </si>
  <si>
    <t>Формула</t>
  </si>
  <si>
    <t>Ф-1</t>
  </si>
  <si>
    <t>Бизнес-логика, полная версия</t>
  </si>
  <si>
    <t>Б-1</t>
  </si>
  <si>
    <t>Бизнес-логика, краткая версия</t>
  </si>
  <si>
    <t>Б-2</t>
  </si>
  <si>
    <t>Бизнес-логика, проверочная версия</t>
  </si>
  <si>
    <t>Б-3</t>
  </si>
  <si>
    <t>П-1</t>
  </si>
  <si>
    <t>О-1</t>
  </si>
  <si>
    <t>Платные редакторы тарифицируются за пользователя от 9 у.е. в месяц</t>
  </si>
  <si>
    <t>Mermaid Chart 10 и 20, Lucidchart 9 и 10, Eraser 15 и 45, Whimsical 10 и 20 у.е.</t>
  </si>
  <si>
    <t>Около 1 634 платящих пользователей при 40 у.е. в год - около 65 360 у.е.</t>
  </si>
  <si>
    <t>Подписка Pro 40 у.е. в год</t>
  </si>
  <si>
    <t>Страница тарифов, выбор Pro, оплата 40 у.е. в год</t>
  </si>
  <si>
    <t>Оплата Pro 40 у.е. в год</t>
  </si>
  <si>
    <t>1 – слабый сигнал</t>
  </si>
  <si>
    <t>2 – частично подтверждено</t>
  </si>
  <si>
    <t>3 – подтверждено несколькими источниками</t>
  </si>
  <si>
    <t>4 – проверенное основание</t>
  </si>
  <si>
    <t>К. А. Хаджинова</t>
  </si>
  <si>
    <t>Пройдено</t>
  </si>
  <si>
    <t>Гипотеза</t>
  </si>
  <si>
    <t>Просмотр галереи примеров</t>
  </si>
  <si>
    <t>Страница тарифов Free и Pro</t>
  </si>
  <si>
    <t>Онбординг-тур, первая диаграмма</t>
  </si>
  <si>
    <t>Рекомендация однокурсника, поиск «онлайн редактор UML бесплатно»</t>
  </si>
  <si>
    <t>Сайт: страница нотаций и тарифа Free</t>
  </si>
  <si>
    <t>Настройка профиля, выбор нотации</t>
  </si>
  <si>
    <t>Первая диаграмма в редакторе Free</t>
  </si>
  <si>
    <t>Повторный вход в редактор</t>
  </si>
  <si>
    <t>Документация, онбординг-тур</t>
  </si>
  <si>
    <t>Email о новых функциях</t>
  </si>
  <si>
    <t>Переход из поисковой выдачи или с главной страницы</t>
  </si>
  <si>
    <t>Страница нотаций, демо-диаграмма</t>
  </si>
  <si>
    <t>Вход в редактор Free</t>
  </si>
  <si>
    <t>Выбор нотации UML или ERD</t>
  </si>
  <si>
    <t>Сохранение проекта, повторный ввод</t>
  </si>
  <si>
    <t>Подсказки синтаксиса, валидация</t>
  </si>
  <si>
    <t>Уведомление о сохраненном проекте</t>
  </si>
  <si>
    <t>Задание по IDEF0 или DFD; поиск инструмента</t>
  </si>
  <si>
    <t>Страница нотаций: IDEF0, DFD, сети Петри</t>
  </si>
  <si>
    <t>Диаграмма IDEF0 или DFD построена</t>
  </si>
  <si>
    <t>Повторное использование при новом задании</t>
  </si>
  <si>
    <t>Примеры IDEF0 и DFD в документации</t>
  </si>
  <si>
    <t>Email с шаблонами IDEF0/DFD</t>
  </si>
  <si>
    <t>Завершение диаграммы, необходимость вставить в отчет</t>
  </si>
  <si>
    <t>Кнопка «Экспорт» в редакторе</t>
  </si>
  <si>
    <t>Выбор формата PNG или SVG</t>
  </si>
  <si>
    <t>Нажатие «Скачать»</t>
  </si>
  <si>
    <t>Повторный экспорт другой диаграммы</t>
  </si>
  <si>
    <t>Инструкция по разрешению изображения</t>
  </si>
  <si>
    <t>Напоминание об экспорте Pro: BPMN XML, DOT</t>
  </si>
  <si>
    <t>Опыт с PlantUML или Mermaid; поиск альтернативы</t>
  </si>
  <si>
    <t>Страница сравнения нотаций: IDEF0 в тексте vs визуальный редактор</t>
  </si>
  <si>
    <t>Вход без регистрации (демо) или в Free</t>
  </si>
  <si>
    <t>Попытка повторить знакомую диаграмму</t>
  </si>
  <si>
    <t>Результат совпадает с ожиданием</t>
  </si>
  <si>
    <t>Сравнение синтаксиса PlantUML и NotaCode</t>
  </si>
  <si>
    <t>Письмо о поддержке PlantUML-экспорта в Pro</t>
  </si>
  <si>
    <t>Исчерпание лимита Free или потребность в расширенном экспорте</t>
  </si>
  <si>
    <t>Страница тарифов: сравнение Free и Pro</t>
  </si>
  <si>
    <t>Кнопка «Перейти на Pro»</t>
  </si>
  <si>
    <t>Форма оплаты, выбор годового тарифа</t>
  </si>
  <si>
    <t>Оплата 40 у.е. в год, активация Pro</t>
  </si>
  <si>
    <t>Работа с расширенным экспортом</t>
  </si>
  <si>
    <t>Квитанция, FAQ по тарифам</t>
  </si>
  <si>
    <t>Уведомление за 14 дней до окончания подписки</t>
  </si>
  <si>
    <t>Студент рассказывает однокурснику; упоминание на занятии</t>
  </si>
  <si>
    <t>Ссылка на проект или демо-диаграмму</t>
  </si>
  <si>
    <t>Регистрация приглашенного пользователя</t>
  </si>
  <si>
    <t>Совместный доступ к проекту</t>
  </si>
  <si>
    <t>Коллаборация в одном редакторе</t>
  </si>
  <si>
    <t>Совместное редактирование при следующем задании</t>
  </si>
  <si>
    <t>Приглашение в Pro для команды</t>
  </si>
  <si>
    <t>Задание с описанием процесса на русском</t>
  </si>
  <si>
    <t>Кнопка ИИ-ассистента в редакторе</t>
  </si>
  <si>
    <t>Ввод текстового описания процесса</t>
  </si>
  <si>
    <t>Запрос к ИИ-ассистенту</t>
  </si>
  <si>
    <t>ИИ-заглушка возвращает шаблон нотации</t>
  </si>
  <si>
    <t>Повторный запрос для другого блока</t>
  </si>
  <si>
    <t>Уведомление о полной ИИ-генерации в Pro</t>
  </si>
  <si>
    <t>Преподаватель ищет инструмент для учебных материалов</t>
  </si>
  <si>
    <t>Сайт: страница для преподавателей или документация</t>
  </si>
  <si>
    <t>Регистрация преподавателя в Free</t>
  </si>
  <si>
    <t>Создание учебного проекта с диаграммами</t>
  </si>
  <si>
    <t>Диаграмма IDEF0 или UML для лекции</t>
  </si>
  <si>
    <t>Использование в следующем курсе</t>
  </si>
  <si>
    <t>Примеры учебных диаграмм, FAQ</t>
  </si>
  <si>
    <t>Корпоративная страница или рекомендация коллеги</t>
  </si>
  <si>
    <t>Регистрация команды в Free</t>
  </si>
  <si>
    <t>Создание общего рабочего пространства</t>
  </si>
  <si>
    <t>Архитектурная диаграмма согласована командой</t>
  </si>
  <si>
    <t>Рассмотрение Pro для команды (40 у.е./чел./год)</t>
  </si>
  <si>
    <t>Регулярное использование в спринтах</t>
  </si>
  <si>
    <t>Onboarding для IT-команд, интеграции</t>
  </si>
  <si>
    <t>Предложение корпоративного тарифа</t>
  </si>
  <si>
    <t>Этот файл предназначен для последовательной сборки бизнес-логики цифрового товара и пользовательских сценариев на основе всех ранее выполненных видов анализа: проблем, отзывов, конкурентов, рыночного стандарта, ценностного предложения, цифрового товара и Канвас</t>
  </si>
  <si>
    <t>Ключевой принцип: каждый элемент бизнес-логики и каждый пользовательский сценарий должен иметь источник, доказательство, связь с ценностным предложением, цифровым товаром, монетизацией и блоком бизнес-модели</t>
  </si>
  <si>
    <t>Сначала заполняется «Банк анализа», затем «Бизнес-логика», «Роли и сегменты», «Пользовательские сценарии», «Функциональные требования», «Приоритизация» и «Связность». Лист «Дашборд» рассчитывается автоматически</t>
  </si>
  <si>
    <t>Желтые ячейки – зоны ручного ввода. Зеленые ячейки – расчетные поля. Выпадающие списки берутся из листа «Справочники»</t>
  </si>
  <si>
    <t>Модель неполная: сначала усилить доказательную базу, роли и сценарии</t>
  </si>
  <si>
    <t>Модель рабочая, но требует проверки слабых связей и уточнения монетизационных сценариев</t>
  </si>
  <si>
    <t>Модель готова к переводу в техническое задание, прототипирование и план первой версии</t>
  </si>
  <si>
    <t>Сценарии без связи с проблемой, товаром или единицей монетизации не должны попадать в первую версию</t>
  </si>
  <si>
    <t>Функция включается в продукт только если она поддерживает ценность, сценарий или монетизацию</t>
  </si>
  <si>
    <t>Индекс сценария рассчитан по шаблону: частота x значимость x влияние на выручку x доказательность / 20. По формуле docx (ценность 0,25; монетизация 0,20; частота 0,15; риск отказа 0,15; конкурентное значение 0,10; доказательность 0,15; минус сложность 0,10) расчёт не вёлся</t>
  </si>
  <si>
    <t>Мы работаем со студентами технических специальностей и аналитиками ПО, которые сталкиваются с отсутствием единого инструмента для всех нотаций проекта (UML, BPMN, ERD, IDEF0, DFD, сети Петри) и с высоким порогом освоения текстовых языков. Для решения предлагается NotaCode - веб-IDE «диаграммы как код», которая даёт корректную диаграмму в выбранной нотации из текста за счёт единого редактора, набора нотаций и ИИ-ассистента. Пользователь получает ценность через сценарии построения первой диаграммы, экспорта и построения диаграмм IDEF0 и DFD, а компания монетизирует её через подписку Pro 40 у.е. в год за пользователя при бесплатном уровне Free. Устойчивость обеспечивают собственный движок нотаций, документация, облачная инфраструктура и ИИ-провайдер (гипотезы), результат проверяется долей пользователей, построивших первую диаграмму, конверсией Free в Pro и удержанием</t>
  </si>
  <si>
    <t>Студенты и аналитики ПО получают диаграмму любой нотации проекта из текста в одном бесплатном инструменте, а компания зарабатывает на подписке Pro за снятие ограничений</t>
  </si>
  <si>
    <t>Сегмент (студенты, аналитики ПО; A-006) -&gt; проблема P-002 (A-001) -&gt; цифровой товар NotaCode (6.1) -&gt; механизм (единый редактор и набор нотаций; BL-002) -&gt; сценарий S-004, S-005 -&gt; монетизация Pro 40 у.е. в год (A-003, A-004) -&gt; операционная способность (BL-006, гипотеза) -&gt; метрики (BL-007)</t>
  </si>
  <si>
    <t>Оценки 1-5 и 1-4 экспертные; источники - банк анализа (13 выводов из 6.1, 6.2 и ЛР1-ЛР5). Основные функции (нотации волны 1) по индексу шаблона получают статус «Кандидат» из-за сложности; решение об их включении принимается в методике 6.5</t>
  </si>
  <si>
    <t>Сложность Mermaid в опросе 2,6 из 5 (27 студентов, данные пробного опроса)</t>
  </si>
  <si>
    <t>Опрос студентов пробный, по условным профилям (ЛР4). Планируется собрать: интервью с пользователями для подтверждения сценариев и метрик; метрики успеха сценариев - целевые значения не заданы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</si>
</sst>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4"/>
      <color rgb="FFFFFFFF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6E0B4"/>
      </patternFill>
    </fill>
    <fill>
      <patternFill patternType="solid">
        <fgColor rgb="FFD9EAF7"/>
      </patternFill>
    </fill>
    <fill>
      <patternFill patternType="solid">
        <fgColor rgb="FFFFFDE7"/>
      </patternFill>
    </fill>
    <fill>
      <patternFill patternType="solid">
        <fgColor rgb="FF1F4E79"/>
      </patternFill>
    </fill>
    <fill>
      <patternFill patternType="solid">
        <fgColor rgb="FFE8F5E9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0" fillId="0" borderId="0" xfId="1" applyFont="1" applyAlignment="1">
      <alignment vertical="top" wrapText="1"/>
    </xf>
    <xf numFmtId="0" fontId="0" fillId="5" borderId="0" xfId="1" applyFont="1" applyFill="1" applyAlignment="1">
      <alignment vertical="top" wrapText="1"/>
    </xf>
    <xf numFmtId="1" fontId="0" fillId="5" borderId="0" xfId="1" applyNumberFormat="1" applyFont="1" applyFill="1" applyAlignment="1">
      <alignment vertical="top" wrapText="1"/>
    </xf>
    <xf numFmtId="2" fontId="0" fillId="7" borderId="0" xfId="1" applyNumberFormat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9" fontId="0" fillId="7" borderId="0" xfId="1" applyNumberFormat="1" applyFont="1" applyFill="1" applyAlignment="1">
      <alignment vertical="top" wrapText="1"/>
    </xf>
    <xf numFmtId="0" fontId="5" fillId="0" borderId="0" xfId="0" applyFont="1"/>
    <xf numFmtId="0" fontId="5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6" borderId="0" xfId="1" applyFont="1" applyFill="1" applyAlignment="1">
      <alignment horizontal="center" vertical="top" wrapText="1"/>
    </xf>
    <xf numFmtId="0" fontId="2" fillId="3" borderId="0" xfId="1" applyFont="1" applyFill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1" fillId="2" borderId="0" xfId="1" applyFont="1" applyFill="1" applyAlignment="1">
      <alignment horizontal="left" vertical="top" wrapText="1"/>
    </xf>
    <xf numFmtId="0" fontId="2" fillId="4" borderId="0" xfId="1" applyFont="1" applyFill="1" applyAlignment="1">
      <alignment horizontal="left" vertical="top" wrapText="1"/>
    </xf>
  </cellXfs>
  <cellStyles count="2">
    <cellStyle name="Normal" xfId="1" xr:uid="{00000000-0005-0000-0000-000000000000}"/>
    <cellStyle name="Обычный" xfId="0" builtinId="0"/>
  </cellStyles>
  <dxfs count="162"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FFC000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Сценарии и требования по приоритетам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Сценарии</c:v>
          </c:tx>
          <c:invertIfNegative val="1"/>
          <c:cat>
            <c:strRef>
              <c:f>Дашборд!$F$5:$F$9</c:f>
              <c:strCache>
                <c:ptCount val="5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  <c:pt idx="4">
                  <c:v>Отложить</c:v>
                </c:pt>
              </c:strCache>
            </c:strRef>
          </c:cat>
          <c:val>
            <c:numRef>
              <c:f>Дашборд!$G$5:$G$9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5-4907-B9A6-71796D71D258}"/>
            </c:ext>
          </c:extLst>
        </c:ser>
        <c:ser>
          <c:idx val="1"/>
          <c:order val="1"/>
          <c:tx>
            <c:v>Требования</c:v>
          </c:tx>
          <c:invertIfNegative val="1"/>
          <c:cat>
            <c:strRef>
              <c:f>Дашборд!$F$5:$F$9</c:f>
              <c:strCache>
                <c:ptCount val="5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  <c:pt idx="4">
                  <c:v>Отложить</c:v>
                </c:pt>
              </c:strCache>
            </c:strRef>
          </c:cat>
          <c:val>
            <c:numRef>
              <c:f>Дашборд!$H$5:$H$9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5-4907-B9A6-71796D71D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9:H17" headerRowDxfId="161" dataDxfId="160" totalsRowDxfId="159">
  <tableColumns count="8">
    <tableColumn id="1" xr3:uid="{00000000-0010-0000-0000-000001000000}" name="Этап" dataDxfId="158"/>
    <tableColumn id="2" xr3:uid="{00000000-0010-0000-0000-000002000000}" name="Что сделать" dataDxfId="157"/>
    <tableColumn id="3" xr3:uid="{00000000-0010-0000-0000-000003000000}" name="Основной лист" dataDxfId="156"/>
    <tableColumn id="4" xr3:uid="{00000000-0010-0000-0000-000004000000}" name="Результат" dataDxfId="155"/>
    <tableColumn id="5" xr3:uid="{00000000-0010-0000-0000-000005000000}" name="Проверка качества" dataDxfId="154"/>
    <tableColumn id="6" xr3:uid="{00000000-0010-0000-0000-000006000000}" name="Связь с методикой" dataDxfId="153"/>
    <tableColumn id="7" xr3:uid="{00000000-0010-0000-0000-000007000000}" name="Ответственный" dataDxfId="152"/>
    <tableColumn id="8" xr3:uid="{00000000-0010-0000-0000-000008000000}" name="Статус" dataDxfId="1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alysisBankTable" displayName="AnalysisBankTable" ref="A3:N203" headerRowDxfId="150" dataDxfId="149" totalsRowDxfId="148">
  <tableColumns count="14">
    <tableColumn id="1" xr3:uid="{00000000-0010-0000-0100-000001000000}" name="ID вывода" dataDxfId="147"/>
    <tableColumn id="2" xr3:uid="{00000000-0010-0000-0100-000002000000}" name="Направление анализа" dataDxfId="146"/>
    <tableColumn id="3" xr3:uid="{00000000-0010-0000-0100-000003000000}" name="Объект анализа" dataDxfId="145"/>
    <tableColumn id="4" xr3:uid="{00000000-0010-0000-0100-000004000000}" name="Краткий вывод" dataDxfId="144"/>
    <tableColumn id="5" xr3:uid="{00000000-0010-0000-0100-000005000000}" name="Подтверждающий факт" dataDxfId="143"/>
    <tableColumn id="6" xr3:uid="{00000000-0010-0000-0100-000006000000}" name="Источник / ссылка" dataDxfId="142"/>
    <tableColumn id="7" xr3:uid="{00000000-0010-0000-0100-000007000000}" name="Сила доказательства (1-4)" dataDxfId="141"/>
    <tableColumn id="8" xr3:uid="{00000000-0010-0000-0100-000008000000}" name="Значимость для модели (1-5)" dataDxfId="140"/>
    <tableColumn id="9" xr3:uid="{00000000-0010-0000-0100-000009000000}" name="Риск ошибочной интерпретации (1-5)" dataDxfId="139"/>
    <tableColumn id="10" xr3:uid="{00000000-0010-0000-0100-00000A000000}" name="Индекс опоры" dataDxfId="138"/>
    <tableColumn id="11" xr3:uid="{00000000-0010-0000-0100-00000B000000}" name="Связанный блок Канвас" dataDxfId="137"/>
    <tableColumn id="12" xr3:uid="{00000000-0010-0000-0100-00000C000000}" name="Связанная проблема / роль / сценарий" dataDxfId="136"/>
    <tableColumn id="13" xr3:uid="{00000000-0010-0000-0100-00000D000000}" name="Решение использовать" dataDxfId="135"/>
    <tableColumn id="14" xr3:uid="{00000000-0010-0000-0100-00000E000000}" name="Комментарий" dataDxfId="1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usinessLogicTable" displayName="BusinessLogicTable" ref="A3:O10" headerRowDxfId="133" dataDxfId="132" totalsRowDxfId="131">
  <tableColumns count="15">
    <tableColumn id="1" xr3:uid="{00000000-0010-0000-0200-000001000000}" name="ID элемента" dataDxfId="130"/>
    <tableColumn id="2" xr3:uid="{00000000-0010-0000-0200-000002000000}" name="Элемент бизнес-логики" dataDxfId="129"/>
    <tableColumn id="3" xr3:uid="{00000000-0010-0000-0200-000003000000}" name="Тип бизнес-логики" dataDxfId="128"/>
    <tableColumn id="4" xr3:uid="{00000000-0010-0000-0200-000004000000}" name="Какая ценность создается" dataDxfId="127"/>
    <tableColumn id="5" xr3:uid="{00000000-0010-0000-0200-000005000000}" name="Для кого" dataDxfId="126"/>
    <tableColumn id="6" xr3:uid="{00000000-0010-0000-0200-000006000000}" name="Цифровой товар / функция" dataDxfId="125"/>
    <tableColumn id="7" xr3:uid="{00000000-0010-0000-0200-000007000000}" name="Процесс или механизм" dataDxfId="124"/>
    <tableColumn id="8" xr3:uid="{00000000-0010-0000-0200-000008000000}" name="Источник выручки / единица монетизации" dataDxfId="123"/>
    <tableColumn id="9" xr3:uid="{00000000-0010-0000-0200-000009000000}" name="Связанный вывод анализа" dataDxfId="122"/>
    <tableColumn id="10" xr3:uid="{00000000-0010-0000-0200-00000A000000}" name="Доказательность (1-4)" dataDxfId="121"/>
    <tableColumn id="11" xr3:uid="{00000000-0010-0000-0200-00000B000000}" name="Влияние на модель (1-5)" dataDxfId="120"/>
    <tableColumn id="12" xr3:uid="{00000000-0010-0000-0200-00000C000000}" name="Проверка связности" dataDxfId="119"/>
    <tableColumn id="13" xr3:uid="{00000000-0010-0000-0200-00000D000000}" name="Индекс надежности" dataDxfId="118"/>
    <tableColumn id="14" xr3:uid="{00000000-0010-0000-0200-00000E000000}" name="Статус" dataDxfId="117"/>
    <tableColumn id="15" xr3:uid="{00000000-0010-0000-0200-00000F000000}" name="Нужное уточнение" dataDxfId="1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lesSegmentsTable" displayName="RolesSegmentsTable" ref="A3:N10" headerRowDxfId="115" dataDxfId="114" totalsRowDxfId="113">
  <tableColumns count="14">
    <tableColumn id="1" xr3:uid="{00000000-0010-0000-0300-000001000000}" name="ID роли" dataDxfId="112"/>
    <tableColumn id="2" xr3:uid="{00000000-0010-0000-0300-000002000000}" name="Роль / сегмент" dataDxfId="111"/>
    <tableColumn id="3" xr3:uid="{00000000-0010-0000-0300-000003000000}" name="Потребительская задача" dataDxfId="110"/>
    <tableColumn id="4" xr3:uid="{00000000-0010-0000-0300-000004000000}" name="Проблема" dataDxfId="109"/>
    <tableColumn id="5" xr3:uid="{00000000-0010-0000-0300-000005000000}" name="Мотивация" dataDxfId="108"/>
    <tableColumn id="6" xr3:uid="{00000000-0010-0000-0300-000006000000}" name="Ограничения" dataDxfId="107"/>
    <tableColumn id="7" xr3:uid="{00000000-0010-0000-0300-000007000000}" name="Готовность платить (1-5)" dataDxfId="106"/>
    <tableColumn id="8" xr3:uid="{00000000-0010-0000-0300-000008000000}" name="Частота потребности (1-5)" dataDxfId="105"/>
    <tableColumn id="9" xr3:uid="{00000000-0010-0000-0300-000009000000}" name="Ценность сегмента" dataDxfId="104"/>
    <tableColumn id="10" xr3:uid="{00000000-0010-0000-0300-00000A000000}" name="Канал входа" dataDxfId="103"/>
    <tableColumn id="11" xr3:uid="{00000000-0010-0000-0300-00000B000000}" name="Связанный блок Канвас" dataDxfId="102"/>
    <tableColumn id="12" xr3:uid="{00000000-0010-0000-0300-00000C000000}" name="Основание из анализа" dataDxfId="101"/>
    <tableColumn id="13" xr3:uid="{00000000-0010-0000-0300-00000D000000}" name="Доказательность (1-4)" dataDxfId="100"/>
    <tableColumn id="14" xr3:uid="{00000000-0010-0000-0300-00000E000000}" name="Статус" dataDxfId="9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serScenariosTable" displayName="UserScenariosTable" ref="A3:U15" headerRowDxfId="98" dataDxfId="97" totalsRowDxfId="96">
  <tableColumns count="21">
    <tableColumn id="1" xr3:uid="{00000000-0010-0000-0400-000001000000}" name="ID сценария" dataDxfId="95"/>
    <tableColumn id="2" xr3:uid="{00000000-0010-0000-0400-000002000000}" name="Название сценария" dataDxfId="94"/>
    <tableColumn id="3" xr3:uid="{00000000-0010-0000-0400-000003000000}" name="Роль" dataDxfId="93"/>
    <tableColumn id="4" xr3:uid="{00000000-0010-0000-0400-000004000000}" name="Этап" dataDxfId="92"/>
    <tableColumn id="5" xr3:uid="{00000000-0010-0000-0400-000005000000}" name="Тип сценария" dataDxfId="91"/>
    <tableColumn id="6" xr3:uid="{00000000-0010-0000-0400-000006000000}" name="Исходная проблема" dataDxfId="90"/>
    <tableColumn id="7" xr3:uid="{00000000-0010-0000-0400-000007000000}" name="Цель пользователя" dataDxfId="89"/>
    <tableColumn id="8" xr3:uid="{00000000-0010-0000-0400-000008000000}" name="Триггер" dataDxfId="88"/>
    <tableColumn id="9" xr3:uid="{00000000-0010-0000-0400-000009000000}" name="Основной путь" dataDxfId="87"/>
    <tableColumn id="10" xr3:uid="{00000000-0010-0000-0400-00000A000000}" name="Альтернативный путь / ошибка" dataDxfId="86"/>
    <tableColumn id="11" xr3:uid="{00000000-0010-0000-0400-00000B000000}" name="Результат для пользователя" dataDxfId="85"/>
    <tableColumn id="12" xr3:uid="{00000000-0010-0000-0400-00000C000000}" name="Результат для бизнес-модели" dataDxfId="84"/>
    <tableColumn id="13" xr3:uid="{00000000-0010-0000-0400-00000D000000}" name="Единица монетизации" dataDxfId="83"/>
    <tableColumn id="14" xr3:uid="{00000000-0010-0000-0400-00000E000000}" name="Частота потребности (1-5)" dataDxfId="82"/>
    <tableColumn id="15" xr3:uid="{00000000-0010-0000-0400-00000F000000}" name="Значимость проблемы (1-5)" dataDxfId="81"/>
    <tableColumn id="16" xr3:uid="{00000000-0010-0000-0400-000010000000}" name="Влияние на выручку (1-5)" dataDxfId="80"/>
    <tableColumn id="17" xr3:uid="{00000000-0010-0000-0400-000011000000}" name="Доказательность (1-4)" dataDxfId="79"/>
    <tableColumn id="18" xr3:uid="{00000000-0010-0000-0400-000012000000}" name="Индекс сценария" dataDxfId="78"/>
    <tableColumn id="19" xr3:uid="{00000000-0010-0000-0400-000013000000}" name="Приоритет" dataDxfId="77"/>
    <tableColumn id="20" xr3:uid="{00000000-0010-0000-0400-000014000000}" name="Статус" dataDxfId="76"/>
    <tableColumn id="21" xr3:uid="{00000000-0010-0000-0400-000015000000}" name="Источник анализа" dataDxfId="7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enarioMapTable" displayName="ScenarioMapTable" ref="A3:O15" headerRowDxfId="74" dataDxfId="73" totalsRowDxfId="72">
  <tableColumns count="15">
    <tableColumn id="1" xr3:uid="{00000000-0010-0000-0500-000001000000}" name="ID сценария" dataDxfId="71"/>
    <tableColumn id="2" xr3:uid="{00000000-0010-0000-0500-000002000000}" name="Роль" dataDxfId="70"/>
    <tableColumn id="3" xr3:uid="{00000000-0010-0000-0500-000003000000}" name="Сценарий" dataDxfId="69"/>
    <tableColumn id="4" xr3:uid="{00000000-0010-0000-0500-000004000000}" name="Привлечение" dataDxfId="68"/>
    <tableColumn id="5" xr3:uid="{00000000-0010-0000-0500-000005000000}" name="Первичный интерес" dataDxfId="67"/>
    <tableColumn id="6" xr3:uid="{00000000-0010-0000-0500-000006000000}" name="Регистрация" dataDxfId="66"/>
    <tableColumn id="7" xr3:uid="{00000000-0010-0000-0500-000007000000}" name="Настройка" dataDxfId="65"/>
    <tableColumn id="8" xr3:uid="{00000000-0010-0000-0500-000008000000}" name="Получение ценности" dataDxfId="64"/>
    <tableColumn id="9" xr3:uid="{00000000-0010-0000-0500-000009000000}" name="Оплата" dataDxfId="63"/>
    <tableColumn id="10" xr3:uid="{00000000-0010-0000-0500-00000A000000}" name="Повторное использование" dataDxfId="62"/>
    <tableColumn id="11" xr3:uid="{00000000-0010-0000-0500-00000B000000}" name="Поддержка" dataDxfId="61"/>
    <tableColumn id="12" xr3:uid="{00000000-0010-0000-0500-00000C000000}" name="Удержание" dataDxfId="60"/>
    <tableColumn id="13" xr3:uid="{00000000-0010-0000-0500-00000D000000}" name="Разрыв / риск" dataDxfId="59"/>
    <tableColumn id="14" xr3:uid="{00000000-0010-0000-0500-00000E000000}" name="Критическая точка" dataDxfId="58"/>
    <tableColumn id="15" xr3:uid="{00000000-0010-0000-0500-00000F000000}" name="Комментарий" dataDxfId="5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unctionalRequirementsTable" displayName="FunctionalRequirementsTable" ref="A3:Q16" headerRowDxfId="56" dataDxfId="55" totalsRowDxfId="54">
  <tableColumns count="17">
    <tableColumn id="1" xr3:uid="{00000000-0010-0000-0600-000001000000}" name="ID требования" dataDxfId="53"/>
    <tableColumn id="2" xr3:uid="{00000000-0010-0000-0600-000002000000}" name="Требование" dataDxfId="52"/>
    <tableColumn id="3" xr3:uid="{00000000-0010-0000-0600-000003000000}" name="Связанный сценарий" dataDxfId="51"/>
    <tableColumn id="4" xr3:uid="{00000000-0010-0000-0600-000004000000}" name="Роль" dataDxfId="50"/>
    <tableColumn id="5" xr3:uid="{00000000-0010-0000-0600-000005000000}" name="Пользовательская задача" dataDxfId="49"/>
    <tableColumn id="6" xr3:uid="{00000000-0010-0000-0600-000006000000}" name="Бизнес-цель" dataDxfId="48"/>
    <tableColumn id="7" xr3:uid="{00000000-0010-0000-0600-000007000000}" name="Категория Кано" dataDxfId="47"/>
    <tableColumn id="8" xr3:uid="{00000000-0010-0000-0600-000008000000}" name="Уровень товара по Левитту" dataDxfId="46"/>
    <tableColumn id="9" xr3:uid="{00000000-0010-0000-0600-000009000000}" name="Влияние на ценность (1-5)" dataDxfId="45"/>
    <tableColumn id="10" xr3:uid="{00000000-0010-0000-0600-00000A000000}" name="Влияние на монетизацию (1-5)" dataDxfId="44"/>
    <tableColumn id="11" xr3:uid="{00000000-0010-0000-0600-00000B000000}" name="Сложность реализации (1-5)" dataDxfId="43"/>
    <tableColumn id="12" xr3:uid="{00000000-0010-0000-0600-00000C000000}" name="Доказательность (1-4)" dataDxfId="42"/>
    <tableColumn id="13" xr3:uid="{00000000-0010-0000-0600-00000D000000}" name="Индекс приоритета" dataDxfId="41"/>
    <tableColumn id="14" xr3:uid="{00000000-0010-0000-0600-00000E000000}" name="Приоритет" dataDxfId="40"/>
    <tableColumn id="15" xr3:uid="{00000000-0010-0000-0600-00000F000000}" name="MVP" dataDxfId="39"/>
    <tableColumn id="16" xr3:uid="{00000000-0010-0000-0600-000010000000}" name="Статус" dataDxfId="38"/>
    <tableColumn id="17" xr3:uid="{00000000-0010-0000-0600-000011000000}" name="Источник" dataDxfId="3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ioritizationTable" displayName="PrioritizationTable" ref="A3:N13" headerRowDxfId="36" dataDxfId="35" totalsRowDxfId="34">
  <tableColumns count="14">
    <tableColumn id="1" xr3:uid="{00000000-0010-0000-0700-000001000000}" name="ID инициативы" dataDxfId="33"/>
    <tableColumn id="2" xr3:uid="{00000000-0010-0000-0700-000002000000}" name="Инициатива" dataDxfId="32"/>
    <tableColumn id="3" xr3:uid="{00000000-0010-0000-0700-000003000000}" name="Тип" dataDxfId="31"/>
    <tableColumn id="4" xr3:uid="{00000000-0010-0000-0700-000004000000}" name="Связанный сценарий" dataDxfId="30"/>
    <tableColumn id="5" xr3:uid="{00000000-0010-0000-0700-000005000000}" name="Связанное требование" dataDxfId="29"/>
    <tableColumn id="6" xr3:uid="{00000000-0010-0000-0700-000006000000}" name="Пользовательская ценность (1-5)" dataDxfId="28"/>
    <tableColumn id="7" xr3:uid="{00000000-0010-0000-0700-000007000000}" name="Бизнес-эффект (1-5)" dataDxfId="27"/>
    <tableColumn id="8" xr3:uid="{00000000-0010-0000-0700-000008000000}" name="Доказательность (1-4)" dataDxfId="26"/>
    <tableColumn id="9" xr3:uid="{00000000-0010-0000-0700-000009000000}" name="Сложность (1-5)" dataDxfId="25"/>
    <tableColumn id="10" xr3:uid="{00000000-0010-0000-0700-00000A000000}" name="Риск (1-5)" dataDxfId="24"/>
    <tableColumn id="11" xr3:uid="{00000000-0010-0000-0700-00000B000000}" name="Итоговый индекс" dataDxfId="23"/>
    <tableColumn id="12" xr3:uid="{00000000-0010-0000-0700-00000C000000}" name="Решение" dataDxfId="22"/>
    <tableColumn id="13" xr3:uid="{00000000-0010-0000-0700-00000D000000}" name="Период реализации" dataDxfId="21"/>
    <tableColumn id="14" xr3:uid="{00000000-0010-0000-0700-00000E000000}" name="Комментарий" dataDxfId="2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herenceTable" displayName="CoherenceTable" ref="A3:I13" headerRowDxfId="19" dataDxfId="18" totalsRowDxfId="17">
  <tableColumns count="9">
    <tableColumn id="1" xr3:uid="{00000000-0010-0000-0800-000001000000}" name="Контрольная точка" dataDxfId="16"/>
    <tableColumn id="2" xr3:uid="{00000000-0010-0000-0800-000002000000}" name="Что проверяется" dataDxfId="15"/>
    <tableColumn id="3" xr3:uid="{00000000-0010-0000-0800-000003000000}" name="Проверочный вопрос" dataDxfId="14"/>
    <tableColumn id="4" xr3:uid="{00000000-0010-0000-0800-000004000000}" name="Источник листа" dataDxfId="13"/>
    <tableColumn id="5" xr3:uid="{00000000-0010-0000-0800-000005000000}" name="Критерий прохождения" dataDxfId="12"/>
    <tableColumn id="6" xr3:uid="{00000000-0010-0000-0800-000006000000}" name="Количество" dataDxfId="11"/>
    <tableColumn id="7" xr3:uid="{00000000-0010-0000-0800-000007000000}" name="Порог" dataDxfId="10"/>
    <tableColumn id="8" xr3:uid="{00000000-0010-0000-0800-000008000000}" name="Статус" dataDxfId="9"/>
    <tableColumn id="9" xr3:uid="{00000000-0010-0000-0800-000009000000}" name="Комментарий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workbookViewId="0">
      <selection sqref="A1:H1"/>
    </sheetView>
  </sheetViews>
  <sheetFormatPr defaultRowHeight="14.25"/>
  <cols>
    <col min="1" max="1" width="55.625" customWidth="1"/>
    <col min="2" max="2" width="50.625" customWidth="1"/>
    <col min="3" max="3" width="27.625" customWidth="1"/>
    <col min="4" max="6" width="55.625" customWidth="1"/>
    <col min="7" max="8" width="18" customWidth="1"/>
    <col min="9" max="26" width="9.625" customWidth="1"/>
  </cols>
  <sheetData>
    <row r="1" spans="1:26" ht="18">
      <c r="A1" s="15" t="s">
        <v>0</v>
      </c>
      <c r="B1" s="15"/>
      <c r="C1" s="15"/>
      <c r="D1" s="15"/>
      <c r="E1" s="15"/>
      <c r="F1" s="15"/>
      <c r="G1" s="15"/>
      <c r="H1" s="1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6" t="s">
        <v>1</v>
      </c>
      <c r="B3" s="16"/>
      <c r="C3" s="16"/>
      <c r="D3" s="16"/>
      <c r="E3" s="16"/>
      <c r="F3" s="16"/>
      <c r="G3" s="16"/>
      <c r="H3" s="16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85.5">
      <c r="A4" s="2" t="s">
        <v>825</v>
      </c>
      <c r="B4" s="2"/>
      <c r="C4" s="2"/>
      <c r="D4" s="2"/>
      <c r="E4" s="2"/>
      <c r="F4" s="2"/>
      <c r="G4" s="2"/>
      <c r="H4" s="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57">
      <c r="A5" s="2" t="s">
        <v>826</v>
      </c>
      <c r="B5" s="2"/>
      <c r="C5" s="2"/>
      <c r="D5" s="2"/>
      <c r="E5" s="2"/>
      <c r="F5" s="2"/>
      <c r="G5" s="2"/>
      <c r="H5" s="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71.25">
      <c r="A6" s="2" t="s">
        <v>827</v>
      </c>
      <c r="B6" s="2"/>
      <c r="C6" s="2"/>
      <c r="D6" s="2"/>
      <c r="E6" s="2"/>
      <c r="F6" s="2"/>
      <c r="G6" s="2"/>
      <c r="H6" s="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42.75">
      <c r="A7" s="2" t="s">
        <v>828</v>
      </c>
      <c r="B7" s="2"/>
      <c r="C7" s="2"/>
      <c r="D7" s="2"/>
      <c r="E7" s="2"/>
      <c r="F7" s="2"/>
      <c r="G7" s="2"/>
      <c r="H7" s="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">
      <c r="A9" s="10" t="s">
        <v>2</v>
      </c>
      <c r="B9" s="10" t="s">
        <v>3</v>
      </c>
      <c r="C9" s="10" t="s">
        <v>4</v>
      </c>
      <c r="D9" s="10" t="s">
        <v>5</v>
      </c>
      <c r="E9" s="10" t="s">
        <v>6</v>
      </c>
      <c r="F9" s="10" t="s">
        <v>7</v>
      </c>
      <c r="G9" s="10" t="s">
        <v>8</v>
      </c>
      <c r="H9" s="10" t="s">
        <v>9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1">
        <v>1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748</v>
      </c>
      <c r="H10" s="1" t="s">
        <v>749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8.5">
      <c r="A11" s="1">
        <v>2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748</v>
      </c>
      <c r="H11" s="1" t="s">
        <v>749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1">
        <v>3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748</v>
      </c>
      <c r="H12" s="1" t="s">
        <v>749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28.5">
      <c r="A13" s="1">
        <v>4</v>
      </c>
      <c r="B13" s="1" t="s">
        <v>25</v>
      </c>
      <c r="C13" s="1" t="s">
        <v>26</v>
      </c>
      <c r="D13" s="1" t="s">
        <v>27</v>
      </c>
      <c r="E13" s="1" t="s">
        <v>28</v>
      </c>
      <c r="F13" s="1" t="s">
        <v>29</v>
      </c>
      <c r="G13" s="1" t="s">
        <v>748</v>
      </c>
      <c r="H13" s="1" t="s">
        <v>749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1">
        <v>5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34</v>
      </c>
      <c r="G14" s="1" t="s">
        <v>748</v>
      </c>
      <c r="H14" s="1" t="s">
        <v>749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1">
        <v>6</v>
      </c>
      <c r="B15" s="1" t="s">
        <v>35</v>
      </c>
      <c r="C15" s="1" t="s">
        <v>36</v>
      </c>
      <c r="D15" s="1" t="s">
        <v>37</v>
      </c>
      <c r="E15" s="1" t="s">
        <v>38</v>
      </c>
      <c r="F15" s="1" t="s">
        <v>39</v>
      </c>
      <c r="G15" s="1" t="s">
        <v>748</v>
      </c>
      <c r="H15" s="1" t="s">
        <v>749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8.5">
      <c r="A16" s="1">
        <v>7</v>
      </c>
      <c r="B16" s="1" t="s">
        <v>40</v>
      </c>
      <c r="C16" s="1" t="s">
        <v>41</v>
      </c>
      <c r="D16" s="1" t="s">
        <v>42</v>
      </c>
      <c r="E16" s="1" t="s">
        <v>43</v>
      </c>
      <c r="F16" s="1" t="s">
        <v>44</v>
      </c>
      <c r="G16" s="1" t="s">
        <v>748</v>
      </c>
      <c r="H16" s="1" t="s">
        <v>749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8.5">
      <c r="A17" s="1">
        <v>8</v>
      </c>
      <c r="B17" s="1" t="s">
        <v>45</v>
      </c>
      <c r="C17" s="1" t="s">
        <v>46</v>
      </c>
      <c r="D17" s="1" t="s">
        <v>47</v>
      </c>
      <c r="E17" s="1" t="s">
        <v>48</v>
      </c>
      <c r="F17" s="1" t="s">
        <v>49</v>
      </c>
      <c r="G17" s="1" t="s">
        <v>748</v>
      </c>
      <c r="H17" s="1" t="s">
        <v>749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</sheetData>
  <mergeCells count="2">
    <mergeCell ref="A1:H1"/>
    <mergeCell ref="A3:H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workbookViewId="0"/>
  </sheetViews>
  <sheetFormatPr defaultRowHeight="14.25"/>
  <cols>
    <col min="1" max="1" width="36.625" customWidth="1"/>
    <col min="2" max="2" width="48.625" customWidth="1"/>
    <col min="3" max="3" width="33.625" customWidth="1"/>
    <col min="4" max="6" width="55.625" customWidth="1"/>
    <col min="7" max="7" width="27.625" customWidth="1"/>
    <col min="8" max="8" width="29.625" customWidth="1"/>
    <col min="9" max="9" width="36.625" customWidth="1"/>
    <col min="10" max="10" width="16" customWidth="1"/>
    <col min="11" max="11" width="26.625" customWidth="1"/>
    <col min="12" max="12" width="38.625" customWidth="1"/>
    <col min="13" max="13" width="31.625" customWidth="1"/>
    <col min="14" max="14" width="40.625" customWidth="1"/>
    <col min="15" max="26" width="9.625" customWidth="1"/>
  </cols>
  <sheetData>
    <row r="1" spans="1:26" ht="18">
      <c r="A1" s="15" t="s">
        <v>50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0" t="s">
        <v>51</v>
      </c>
      <c r="B3" s="10" t="s">
        <v>52</v>
      </c>
      <c r="C3" s="10" t="s">
        <v>53</v>
      </c>
      <c r="D3" s="10" t="s">
        <v>54</v>
      </c>
      <c r="E3" s="10" t="s">
        <v>55</v>
      </c>
      <c r="F3" s="10" t="s">
        <v>56</v>
      </c>
      <c r="G3" s="10" t="s">
        <v>57</v>
      </c>
      <c r="H3" s="10" t="s">
        <v>58</v>
      </c>
      <c r="I3" s="10" t="s">
        <v>59</v>
      </c>
      <c r="J3" s="10" t="s">
        <v>60</v>
      </c>
      <c r="K3" s="10" t="s">
        <v>61</v>
      </c>
      <c r="L3" s="10" t="s">
        <v>62</v>
      </c>
      <c r="M3" s="10" t="s">
        <v>63</v>
      </c>
      <c r="N3" s="10" t="s">
        <v>64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8.5">
      <c r="A4" s="2" t="s">
        <v>65</v>
      </c>
      <c r="B4" s="2" t="s">
        <v>294</v>
      </c>
      <c r="C4" s="2" t="s">
        <v>379</v>
      </c>
      <c r="D4" s="2" t="s">
        <v>380</v>
      </c>
      <c r="E4" s="2" t="s">
        <v>381</v>
      </c>
      <c r="F4" s="2" t="s">
        <v>382</v>
      </c>
      <c r="G4" s="3">
        <v>3</v>
      </c>
      <c r="H4" s="3">
        <v>5</v>
      </c>
      <c r="I4" s="3">
        <v>2</v>
      </c>
      <c r="J4" s="4">
        <f t="shared" ref="J4:J35" si="0">IFERROR((G4*H4)*(6-I4)/20,"")</f>
        <v>3</v>
      </c>
      <c r="K4" s="2" t="s">
        <v>67</v>
      </c>
      <c r="L4" s="2" t="s">
        <v>383</v>
      </c>
      <c r="M4" s="5" t="str">
        <f t="shared" ref="M4:M35" si="1">IF(J4="","",IF(J4&gt;=3,"Использовать",IF(J4&gt;=1.8,"Проверить дополнительно","Не использовать как основание")))</f>
        <v>Использовать</v>
      </c>
      <c r="N4" s="2" t="s">
        <v>68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8.5">
      <c r="A5" s="2" t="s">
        <v>69</v>
      </c>
      <c r="B5" s="2" t="s">
        <v>294</v>
      </c>
      <c r="C5" s="2" t="s">
        <v>384</v>
      </c>
      <c r="D5" s="2" t="s">
        <v>385</v>
      </c>
      <c r="E5" s="2" t="s">
        <v>839</v>
      </c>
      <c r="F5" s="2" t="s">
        <v>386</v>
      </c>
      <c r="G5" s="3">
        <v>2</v>
      </c>
      <c r="H5" s="3">
        <v>4</v>
      </c>
      <c r="I5" s="3">
        <v>3</v>
      </c>
      <c r="J5" s="4">
        <f t="shared" si="0"/>
        <v>1.2</v>
      </c>
      <c r="K5" s="2" t="s">
        <v>67</v>
      </c>
      <c r="L5" s="2" t="s">
        <v>387</v>
      </c>
      <c r="M5" s="5" t="str">
        <f t="shared" si="1"/>
        <v>Не использовать как основание</v>
      </c>
      <c r="N5" s="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>
      <c r="A6" s="2" t="s">
        <v>72</v>
      </c>
      <c r="B6" s="2" t="s">
        <v>70</v>
      </c>
      <c r="C6" s="2" t="s">
        <v>388</v>
      </c>
      <c r="D6" s="2" t="s">
        <v>738</v>
      </c>
      <c r="E6" s="2" t="s">
        <v>739</v>
      </c>
      <c r="F6" s="2" t="s">
        <v>389</v>
      </c>
      <c r="G6" s="3">
        <v>4</v>
      </c>
      <c r="H6" s="3">
        <v>5</v>
      </c>
      <c r="I6" s="3">
        <v>1</v>
      </c>
      <c r="J6" s="4">
        <f t="shared" si="0"/>
        <v>5</v>
      </c>
      <c r="K6" s="2" t="s">
        <v>74</v>
      </c>
      <c r="L6" s="2" t="s">
        <v>390</v>
      </c>
      <c r="M6" s="5" t="str">
        <f t="shared" si="1"/>
        <v>Использовать</v>
      </c>
      <c r="N6" s="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8.5">
      <c r="A7" s="2" t="s">
        <v>391</v>
      </c>
      <c r="B7" s="2" t="s">
        <v>296</v>
      </c>
      <c r="C7" s="2" t="s">
        <v>392</v>
      </c>
      <c r="D7" s="2" t="s">
        <v>393</v>
      </c>
      <c r="E7" s="2" t="s">
        <v>394</v>
      </c>
      <c r="F7" s="2" t="s">
        <v>395</v>
      </c>
      <c r="G7" s="3">
        <v>4</v>
      </c>
      <c r="H7" s="3">
        <v>5</v>
      </c>
      <c r="I7" s="3">
        <v>1</v>
      </c>
      <c r="J7" s="4">
        <f t="shared" si="0"/>
        <v>5</v>
      </c>
      <c r="K7" s="2" t="s">
        <v>74</v>
      </c>
      <c r="L7" s="2" t="s">
        <v>396</v>
      </c>
      <c r="M7" s="5" t="str">
        <f t="shared" si="1"/>
        <v>Использовать</v>
      </c>
      <c r="N7" s="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8.5">
      <c r="A8" s="2" t="s">
        <v>397</v>
      </c>
      <c r="B8" s="2" t="s">
        <v>300</v>
      </c>
      <c r="C8" s="2" t="s">
        <v>398</v>
      </c>
      <c r="D8" s="2" t="s">
        <v>399</v>
      </c>
      <c r="E8" s="2" t="s">
        <v>400</v>
      </c>
      <c r="F8" s="2" t="s">
        <v>401</v>
      </c>
      <c r="G8" s="3">
        <v>4</v>
      </c>
      <c r="H8" s="3">
        <v>5</v>
      </c>
      <c r="I8" s="3">
        <v>1</v>
      </c>
      <c r="J8" s="4">
        <f t="shared" si="0"/>
        <v>5</v>
      </c>
      <c r="K8" s="2" t="s">
        <v>67</v>
      </c>
      <c r="L8" s="2" t="s">
        <v>402</v>
      </c>
      <c r="M8" s="5" t="str">
        <f t="shared" si="1"/>
        <v>Использовать</v>
      </c>
      <c r="N8" s="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8.5">
      <c r="A9" s="2" t="s">
        <v>403</v>
      </c>
      <c r="B9" s="2" t="s">
        <v>299</v>
      </c>
      <c r="C9" s="2" t="s">
        <v>404</v>
      </c>
      <c r="D9" s="2" t="s">
        <v>405</v>
      </c>
      <c r="E9" s="2" t="s">
        <v>406</v>
      </c>
      <c r="F9" s="2" t="s">
        <v>407</v>
      </c>
      <c r="G9" s="3">
        <v>3</v>
      </c>
      <c r="H9" s="3">
        <v>4</v>
      </c>
      <c r="I9" s="3">
        <v>2</v>
      </c>
      <c r="J9" s="4">
        <f t="shared" si="0"/>
        <v>2.4</v>
      </c>
      <c r="K9" s="2" t="s">
        <v>114</v>
      </c>
      <c r="L9" s="2" t="s">
        <v>408</v>
      </c>
      <c r="M9" s="5" t="str">
        <f t="shared" si="1"/>
        <v>Проверить дополнительно</v>
      </c>
      <c r="N9" s="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8.5">
      <c r="A10" s="2" t="s">
        <v>409</v>
      </c>
      <c r="B10" s="2" t="s">
        <v>70</v>
      </c>
      <c r="C10" s="2" t="s">
        <v>410</v>
      </c>
      <c r="D10" s="2" t="s">
        <v>411</v>
      </c>
      <c r="E10" s="2" t="s">
        <v>412</v>
      </c>
      <c r="F10" s="2" t="s">
        <v>413</v>
      </c>
      <c r="G10" s="3">
        <v>3</v>
      </c>
      <c r="H10" s="3">
        <v>4</v>
      </c>
      <c r="I10" s="3">
        <v>2</v>
      </c>
      <c r="J10" s="4">
        <f t="shared" si="0"/>
        <v>2.4</v>
      </c>
      <c r="K10" s="2" t="s">
        <v>71</v>
      </c>
      <c r="L10" s="2" t="s">
        <v>414</v>
      </c>
      <c r="M10" s="5" t="str">
        <f t="shared" si="1"/>
        <v>Проверить дополнительно</v>
      </c>
      <c r="N10" s="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8.5">
      <c r="A11" s="2" t="s">
        <v>415</v>
      </c>
      <c r="B11" s="2" t="s">
        <v>66</v>
      </c>
      <c r="C11" s="2" t="s">
        <v>416</v>
      </c>
      <c r="D11" s="2" t="s">
        <v>417</v>
      </c>
      <c r="E11" s="2" t="s">
        <v>418</v>
      </c>
      <c r="F11" s="2" t="s">
        <v>419</v>
      </c>
      <c r="G11" s="3">
        <v>2</v>
      </c>
      <c r="H11" s="3">
        <v>4</v>
      </c>
      <c r="I11" s="3">
        <v>3</v>
      </c>
      <c r="J11" s="4">
        <f t="shared" si="0"/>
        <v>1.2</v>
      </c>
      <c r="K11" s="2" t="s">
        <v>67</v>
      </c>
      <c r="L11" s="2" t="s">
        <v>420</v>
      </c>
      <c r="M11" s="5" t="str">
        <f t="shared" si="1"/>
        <v>Не использовать как основание</v>
      </c>
      <c r="N11" s="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8.5">
      <c r="A12" s="2" t="s">
        <v>421</v>
      </c>
      <c r="B12" s="2" t="s">
        <v>308</v>
      </c>
      <c r="C12" s="2" t="s">
        <v>422</v>
      </c>
      <c r="D12" s="2" t="s">
        <v>423</v>
      </c>
      <c r="E12" s="2" t="s">
        <v>424</v>
      </c>
      <c r="F12" s="2" t="s">
        <v>419</v>
      </c>
      <c r="G12" s="3">
        <v>2</v>
      </c>
      <c r="H12" s="3">
        <v>4</v>
      </c>
      <c r="I12" s="3">
        <v>4</v>
      </c>
      <c r="J12" s="4">
        <f t="shared" si="0"/>
        <v>0.8</v>
      </c>
      <c r="K12" s="2" t="s">
        <v>74</v>
      </c>
      <c r="L12" s="2" t="s">
        <v>425</v>
      </c>
      <c r="M12" s="5" t="str">
        <f t="shared" si="1"/>
        <v>Не использовать как основание</v>
      </c>
      <c r="N12" s="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28.5">
      <c r="A13" s="2" t="s">
        <v>426</v>
      </c>
      <c r="B13" s="2" t="s">
        <v>308</v>
      </c>
      <c r="C13" s="2" t="s">
        <v>427</v>
      </c>
      <c r="D13" s="2" t="s">
        <v>740</v>
      </c>
      <c r="E13" s="2" t="s">
        <v>428</v>
      </c>
      <c r="F13" s="2" t="s">
        <v>429</v>
      </c>
      <c r="G13" s="3">
        <v>2</v>
      </c>
      <c r="H13" s="3">
        <v>4</v>
      </c>
      <c r="I13" s="3">
        <v>3</v>
      </c>
      <c r="J13" s="4">
        <f t="shared" si="0"/>
        <v>1.2</v>
      </c>
      <c r="K13" s="2" t="s">
        <v>74</v>
      </c>
      <c r="L13" s="2" t="s">
        <v>396</v>
      </c>
      <c r="M13" s="5" t="str">
        <f t="shared" si="1"/>
        <v>Не использовать как основание</v>
      </c>
      <c r="N13" s="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2" t="s">
        <v>430</v>
      </c>
      <c r="B14" s="2" t="s">
        <v>303</v>
      </c>
      <c r="C14" s="2" t="s">
        <v>431</v>
      </c>
      <c r="D14" s="2" t="s">
        <v>432</v>
      </c>
      <c r="E14" s="2" t="s">
        <v>433</v>
      </c>
      <c r="F14" s="2" t="s">
        <v>434</v>
      </c>
      <c r="G14" s="3">
        <v>3</v>
      </c>
      <c r="H14" s="3">
        <v>5</v>
      </c>
      <c r="I14" s="3">
        <v>2</v>
      </c>
      <c r="J14" s="4">
        <f t="shared" si="0"/>
        <v>3</v>
      </c>
      <c r="K14" s="2" t="s">
        <v>67</v>
      </c>
      <c r="L14" s="2" t="s">
        <v>91</v>
      </c>
      <c r="M14" s="5" t="str">
        <f t="shared" si="1"/>
        <v>Использовать</v>
      </c>
      <c r="N14" s="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8.5">
      <c r="A15" s="2" t="s">
        <v>435</v>
      </c>
      <c r="B15" s="2" t="s">
        <v>73</v>
      </c>
      <c r="C15" s="2" t="s">
        <v>436</v>
      </c>
      <c r="D15" s="2" t="s">
        <v>437</v>
      </c>
      <c r="E15" s="2" t="s">
        <v>438</v>
      </c>
      <c r="F15" s="2" t="s">
        <v>439</v>
      </c>
      <c r="G15" s="3">
        <v>3</v>
      </c>
      <c r="H15" s="3">
        <v>4</v>
      </c>
      <c r="I15" s="3">
        <v>3</v>
      </c>
      <c r="J15" s="4">
        <f t="shared" si="0"/>
        <v>1.8</v>
      </c>
      <c r="K15" s="2" t="s">
        <v>301</v>
      </c>
      <c r="L15" s="2" t="s">
        <v>440</v>
      </c>
      <c r="M15" s="5" t="str">
        <f t="shared" si="1"/>
        <v>Проверить дополнительно</v>
      </c>
      <c r="N15" s="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8.5">
      <c r="A16" s="2" t="s">
        <v>441</v>
      </c>
      <c r="B16" s="2" t="s">
        <v>70</v>
      </c>
      <c r="C16" s="2" t="s">
        <v>442</v>
      </c>
      <c r="D16" s="2" t="s">
        <v>443</v>
      </c>
      <c r="E16" s="2" t="s">
        <v>444</v>
      </c>
      <c r="F16" s="2" t="s">
        <v>389</v>
      </c>
      <c r="G16" s="3">
        <v>3</v>
      </c>
      <c r="H16" s="3">
        <v>3</v>
      </c>
      <c r="I16" s="3">
        <v>2</v>
      </c>
      <c r="J16" s="4">
        <f t="shared" si="0"/>
        <v>1.8</v>
      </c>
      <c r="K16" s="2" t="s">
        <v>309</v>
      </c>
      <c r="L16" s="2" t="s">
        <v>445</v>
      </c>
      <c r="M16" s="5" t="str">
        <f t="shared" si="1"/>
        <v>Проверить дополнительно</v>
      </c>
      <c r="N16" s="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2"/>
      <c r="B17" s="2"/>
      <c r="C17" s="2"/>
      <c r="D17" s="2"/>
      <c r="E17" s="2"/>
      <c r="F17" s="2"/>
      <c r="G17" s="3"/>
      <c r="H17" s="3"/>
      <c r="I17" s="3"/>
      <c r="J17" s="4">
        <f t="shared" si="0"/>
        <v>0</v>
      </c>
      <c r="K17" s="2"/>
      <c r="L17" s="2"/>
      <c r="M17" s="5" t="str">
        <f t="shared" si="1"/>
        <v>Не использовать как основание</v>
      </c>
      <c r="N17" s="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2"/>
      <c r="B18" s="2"/>
      <c r="C18" s="2"/>
      <c r="D18" s="2"/>
      <c r="E18" s="2"/>
      <c r="F18" s="2"/>
      <c r="G18" s="3"/>
      <c r="H18" s="3"/>
      <c r="I18" s="3"/>
      <c r="J18" s="4">
        <f t="shared" si="0"/>
        <v>0</v>
      </c>
      <c r="K18" s="2"/>
      <c r="L18" s="2"/>
      <c r="M18" s="5" t="str">
        <f t="shared" si="1"/>
        <v>Не использовать как основание</v>
      </c>
      <c r="N18" s="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2"/>
      <c r="B19" s="2"/>
      <c r="C19" s="2"/>
      <c r="D19" s="2"/>
      <c r="E19" s="2"/>
      <c r="F19" s="2"/>
      <c r="G19" s="3"/>
      <c r="H19" s="3"/>
      <c r="I19" s="3"/>
      <c r="J19" s="4">
        <f t="shared" si="0"/>
        <v>0</v>
      </c>
      <c r="K19" s="2"/>
      <c r="L19" s="2"/>
      <c r="M19" s="5" t="str">
        <f t="shared" si="1"/>
        <v>Не использовать как основание</v>
      </c>
      <c r="N19" s="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2"/>
      <c r="B20" s="2"/>
      <c r="C20" s="2"/>
      <c r="D20" s="2"/>
      <c r="E20" s="2"/>
      <c r="F20" s="2"/>
      <c r="G20" s="3"/>
      <c r="H20" s="3"/>
      <c r="I20" s="3"/>
      <c r="J20" s="4">
        <f t="shared" si="0"/>
        <v>0</v>
      </c>
      <c r="K20" s="2"/>
      <c r="L20" s="2"/>
      <c r="M20" s="5" t="str">
        <f t="shared" si="1"/>
        <v>Не использовать как основание</v>
      </c>
      <c r="N20" s="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2"/>
      <c r="B21" s="2"/>
      <c r="C21" s="2"/>
      <c r="D21" s="2"/>
      <c r="E21" s="2"/>
      <c r="F21" s="2"/>
      <c r="G21" s="3"/>
      <c r="H21" s="3"/>
      <c r="I21" s="3"/>
      <c r="J21" s="4">
        <f t="shared" si="0"/>
        <v>0</v>
      </c>
      <c r="K21" s="2"/>
      <c r="L21" s="2"/>
      <c r="M21" s="5" t="str">
        <f t="shared" si="1"/>
        <v>Не использовать как основание</v>
      </c>
      <c r="N21" s="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2"/>
      <c r="B22" s="2"/>
      <c r="C22" s="2"/>
      <c r="D22" s="2"/>
      <c r="E22" s="2"/>
      <c r="F22" s="2"/>
      <c r="G22" s="3"/>
      <c r="H22" s="3"/>
      <c r="I22" s="3"/>
      <c r="J22" s="4">
        <f t="shared" si="0"/>
        <v>0</v>
      </c>
      <c r="K22" s="2"/>
      <c r="L22" s="2"/>
      <c r="M22" s="5" t="str">
        <f t="shared" si="1"/>
        <v>Не использовать как основание</v>
      </c>
      <c r="N22" s="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2"/>
      <c r="B23" s="2"/>
      <c r="C23" s="2"/>
      <c r="D23" s="2"/>
      <c r="E23" s="2"/>
      <c r="F23" s="2"/>
      <c r="G23" s="3"/>
      <c r="H23" s="3"/>
      <c r="I23" s="3"/>
      <c r="J23" s="4">
        <f t="shared" si="0"/>
        <v>0</v>
      </c>
      <c r="K23" s="2"/>
      <c r="L23" s="2"/>
      <c r="M23" s="5" t="str">
        <f t="shared" si="1"/>
        <v>Не использовать как основание</v>
      </c>
      <c r="N23" s="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2"/>
      <c r="B24" s="2"/>
      <c r="C24" s="2"/>
      <c r="D24" s="2"/>
      <c r="E24" s="2"/>
      <c r="F24" s="2"/>
      <c r="G24" s="3"/>
      <c r="H24" s="3"/>
      <c r="I24" s="3"/>
      <c r="J24" s="4">
        <f t="shared" si="0"/>
        <v>0</v>
      </c>
      <c r="K24" s="2"/>
      <c r="L24" s="2"/>
      <c r="M24" s="5" t="str">
        <f t="shared" si="1"/>
        <v>Не использовать как основание</v>
      </c>
      <c r="N24" s="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2"/>
      <c r="B25" s="2"/>
      <c r="C25" s="2"/>
      <c r="D25" s="2"/>
      <c r="E25" s="2"/>
      <c r="F25" s="2"/>
      <c r="G25" s="3"/>
      <c r="H25" s="3"/>
      <c r="I25" s="3"/>
      <c r="J25" s="4">
        <f t="shared" si="0"/>
        <v>0</v>
      </c>
      <c r="K25" s="2"/>
      <c r="L25" s="2"/>
      <c r="M25" s="5" t="str">
        <f t="shared" si="1"/>
        <v>Не использовать как основание</v>
      </c>
      <c r="N25" s="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2"/>
      <c r="B26" s="2"/>
      <c r="C26" s="2"/>
      <c r="D26" s="2"/>
      <c r="E26" s="2"/>
      <c r="F26" s="2"/>
      <c r="G26" s="3"/>
      <c r="H26" s="3"/>
      <c r="I26" s="3"/>
      <c r="J26" s="4">
        <f t="shared" si="0"/>
        <v>0</v>
      </c>
      <c r="K26" s="2"/>
      <c r="L26" s="2"/>
      <c r="M26" s="5" t="str">
        <f t="shared" si="1"/>
        <v>Не использовать как основание</v>
      </c>
      <c r="N26" s="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2"/>
      <c r="B27" s="2"/>
      <c r="C27" s="2"/>
      <c r="D27" s="2"/>
      <c r="E27" s="2"/>
      <c r="F27" s="2"/>
      <c r="G27" s="3"/>
      <c r="H27" s="3"/>
      <c r="I27" s="3"/>
      <c r="J27" s="4">
        <f t="shared" si="0"/>
        <v>0</v>
      </c>
      <c r="K27" s="2"/>
      <c r="L27" s="2"/>
      <c r="M27" s="5" t="str">
        <f t="shared" si="1"/>
        <v>Не использовать как основание</v>
      </c>
      <c r="N27" s="2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2"/>
      <c r="B28" s="2"/>
      <c r="C28" s="2"/>
      <c r="D28" s="2"/>
      <c r="E28" s="2"/>
      <c r="F28" s="2"/>
      <c r="G28" s="3"/>
      <c r="H28" s="3"/>
      <c r="I28" s="3"/>
      <c r="J28" s="4">
        <f t="shared" si="0"/>
        <v>0</v>
      </c>
      <c r="K28" s="2"/>
      <c r="L28" s="2"/>
      <c r="M28" s="5" t="str">
        <f t="shared" si="1"/>
        <v>Не использовать как основание</v>
      </c>
      <c r="N28" s="2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2"/>
      <c r="B29" s="2"/>
      <c r="C29" s="2"/>
      <c r="D29" s="2"/>
      <c r="E29" s="2"/>
      <c r="F29" s="2"/>
      <c r="G29" s="3"/>
      <c r="H29" s="3"/>
      <c r="I29" s="3"/>
      <c r="J29" s="4">
        <f t="shared" si="0"/>
        <v>0</v>
      </c>
      <c r="K29" s="2"/>
      <c r="L29" s="2"/>
      <c r="M29" s="5" t="str">
        <f t="shared" si="1"/>
        <v>Не использовать как основание</v>
      </c>
      <c r="N29" s="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2"/>
      <c r="B30" s="2"/>
      <c r="C30" s="2"/>
      <c r="D30" s="2"/>
      <c r="E30" s="2"/>
      <c r="F30" s="2"/>
      <c r="G30" s="3"/>
      <c r="H30" s="3"/>
      <c r="I30" s="3"/>
      <c r="J30" s="4">
        <f t="shared" si="0"/>
        <v>0</v>
      </c>
      <c r="K30" s="2"/>
      <c r="L30" s="2"/>
      <c r="M30" s="5" t="str">
        <f t="shared" si="1"/>
        <v>Не использовать как основание</v>
      </c>
      <c r="N30" s="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2"/>
      <c r="B31" s="2"/>
      <c r="C31" s="2"/>
      <c r="D31" s="2"/>
      <c r="E31" s="2"/>
      <c r="F31" s="2"/>
      <c r="G31" s="3"/>
      <c r="H31" s="3"/>
      <c r="I31" s="3"/>
      <c r="J31" s="4">
        <f t="shared" si="0"/>
        <v>0</v>
      </c>
      <c r="K31" s="2"/>
      <c r="L31" s="2"/>
      <c r="M31" s="5" t="str">
        <f t="shared" si="1"/>
        <v>Не использовать как основание</v>
      </c>
      <c r="N31" s="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2"/>
      <c r="B32" s="2"/>
      <c r="C32" s="2"/>
      <c r="D32" s="2"/>
      <c r="E32" s="2"/>
      <c r="F32" s="2"/>
      <c r="G32" s="3"/>
      <c r="H32" s="3"/>
      <c r="I32" s="3"/>
      <c r="J32" s="4">
        <f t="shared" si="0"/>
        <v>0</v>
      </c>
      <c r="K32" s="2"/>
      <c r="L32" s="2"/>
      <c r="M32" s="5" t="str">
        <f t="shared" si="1"/>
        <v>Не использовать как основание</v>
      </c>
      <c r="N32" s="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2"/>
      <c r="B33" s="2"/>
      <c r="C33" s="2"/>
      <c r="D33" s="2"/>
      <c r="E33" s="2"/>
      <c r="F33" s="2"/>
      <c r="G33" s="3"/>
      <c r="H33" s="3"/>
      <c r="I33" s="3"/>
      <c r="J33" s="4">
        <f t="shared" si="0"/>
        <v>0</v>
      </c>
      <c r="K33" s="2"/>
      <c r="L33" s="2"/>
      <c r="M33" s="5" t="str">
        <f t="shared" si="1"/>
        <v>Не использовать как основание</v>
      </c>
      <c r="N33" s="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2"/>
      <c r="B34" s="2"/>
      <c r="C34" s="2"/>
      <c r="D34" s="2"/>
      <c r="E34" s="2"/>
      <c r="F34" s="2"/>
      <c r="G34" s="3"/>
      <c r="H34" s="3"/>
      <c r="I34" s="3"/>
      <c r="J34" s="4">
        <f t="shared" si="0"/>
        <v>0</v>
      </c>
      <c r="K34" s="2"/>
      <c r="L34" s="2"/>
      <c r="M34" s="5" t="str">
        <f t="shared" si="1"/>
        <v>Не использовать как основание</v>
      </c>
      <c r="N34" s="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2"/>
      <c r="B35" s="2"/>
      <c r="C35" s="2"/>
      <c r="D35" s="2"/>
      <c r="E35" s="2"/>
      <c r="F35" s="2"/>
      <c r="G35" s="3"/>
      <c r="H35" s="3"/>
      <c r="I35" s="3"/>
      <c r="J35" s="4">
        <f t="shared" si="0"/>
        <v>0</v>
      </c>
      <c r="K35" s="2"/>
      <c r="L35" s="2"/>
      <c r="M35" s="5" t="str">
        <f t="shared" si="1"/>
        <v>Не использовать как основание</v>
      </c>
      <c r="N35" s="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2"/>
      <c r="B36" s="2"/>
      <c r="C36" s="2"/>
      <c r="D36" s="2"/>
      <c r="E36" s="2"/>
      <c r="F36" s="2"/>
      <c r="G36" s="3"/>
      <c r="H36" s="3"/>
      <c r="I36" s="3"/>
      <c r="J36" s="4">
        <f t="shared" ref="J36:J67" si="2">IFERROR((G36*H36)*(6-I36)/20,"")</f>
        <v>0</v>
      </c>
      <c r="K36" s="2"/>
      <c r="L36" s="2"/>
      <c r="M36" s="5" t="str">
        <f t="shared" ref="M36:M67" si="3">IF(J36="","",IF(J36&gt;=3,"Использовать",IF(J36&gt;=1.8,"Проверить дополнительно","Не использовать как основание")))</f>
        <v>Не использовать как основание</v>
      </c>
      <c r="N36" s="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2"/>
      <c r="B37" s="2"/>
      <c r="C37" s="2"/>
      <c r="D37" s="2"/>
      <c r="E37" s="2"/>
      <c r="F37" s="2"/>
      <c r="G37" s="3"/>
      <c r="H37" s="3"/>
      <c r="I37" s="3"/>
      <c r="J37" s="4">
        <f t="shared" si="2"/>
        <v>0</v>
      </c>
      <c r="K37" s="2"/>
      <c r="L37" s="2"/>
      <c r="M37" s="5" t="str">
        <f t="shared" si="3"/>
        <v>Не использовать как основание</v>
      </c>
      <c r="N37" s="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2"/>
      <c r="B38" s="2"/>
      <c r="C38" s="2"/>
      <c r="D38" s="2"/>
      <c r="E38" s="2"/>
      <c r="F38" s="2"/>
      <c r="G38" s="3"/>
      <c r="H38" s="3"/>
      <c r="I38" s="3"/>
      <c r="J38" s="4">
        <f t="shared" si="2"/>
        <v>0</v>
      </c>
      <c r="K38" s="2"/>
      <c r="L38" s="2"/>
      <c r="M38" s="5" t="str">
        <f t="shared" si="3"/>
        <v>Не использовать как основание</v>
      </c>
      <c r="N38" s="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2"/>
      <c r="B39" s="2"/>
      <c r="C39" s="2"/>
      <c r="D39" s="2"/>
      <c r="E39" s="2"/>
      <c r="F39" s="2"/>
      <c r="G39" s="3"/>
      <c r="H39" s="3"/>
      <c r="I39" s="3"/>
      <c r="J39" s="4">
        <f t="shared" si="2"/>
        <v>0</v>
      </c>
      <c r="K39" s="2"/>
      <c r="L39" s="2"/>
      <c r="M39" s="5" t="str">
        <f t="shared" si="3"/>
        <v>Не использовать как основание</v>
      </c>
      <c r="N39" s="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2"/>
      <c r="B40" s="2"/>
      <c r="C40" s="2"/>
      <c r="D40" s="2"/>
      <c r="E40" s="2"/>
      <c r="F40" s="2"/>
      <c r="G40" s="3"/>
      <c r="H40" s="3"/>
      <c r="I40" s="3"/>
      <c r="J40" s="4">
        <f t="shared" si="2"/>
        <v>0</v>
      </c>
      <c r="K40" s="2"/>
      <c r="L40" s="2"/>
      <c r="M40" s="5" t="str">
        <f t="shared" si="3"/>
        <v>Не использовать как основание</v>
      </c>
      <c r="N40" s="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2"/>
      <c r="B41" s="2"/>
      <c r="C41" s="2"/>
      <c r="D41" s="2"/>
      <c r="E41" s="2"/>
      <c r="F41" s="2"/>
      <c r="G41" s="3"/>
      <c r="H41" s="3"/>
      <c r="I41" s="3"/>
      <c r="J41" s="4">
        <f t="shared" si="2"/>
        <v>0</v>
      </c>
      <c r="K41" s="2"/>
      <c r="L41" s="2"/>
      <c r="M41" s="5" t="str">
        <f t="shared" si="3"/>
        <v>Не использовать как основание</v>
      </c>
      <c r="N41" s="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2"/>
      <c r="B42" s="2"/>
      <c r="C42" s="2"/>
      <c r="D42" s="2"/>
      <c r="E42" s="2"/>
      <c r="F42" s="2"/>
      <c r="G42" s="3"/>
      <c r="H42" s="3"/>
      <c r="I42" s="3"/>
      <c r="J42" s="4">
        <f t="shared" si="2"/>
        <v>0</v>
      </c>
      <c r="K42" s="2"/>
      <c r="L42" s="2"/>
      <c r="M42" s="5" t="str">
        <f t="shared" si="3"/>
        <v>Не использовать как основание</v>
      </c>
      <c r="N42" s="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2"/>
      <c r="B43" s="2"/>
      <c r="C43" s="2"/>
      <c r="D43" s="2"/>
      <c r="E43" s="2"/>
      <c r="F43" s="2"/>
      <c r="G43" s="3"/>
      <c r="H43" s="3"/>
      <c r="I43" s="3"/>
      <c r="J43" s="4">
        <f t="shared" si="2"/>
        <v>0</v>
      </c>
      <c r="K43" s="2"/>
      <c r="L43" s="2"/>
      <c r="M43" s="5" t="str">
        <f t="shared" si="3"/>
        <v>Не использовать как основание</v>
      </c>
      <c r="N43" s="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2"/>
      <c r="B44" s="2"/>
      <c r="C44" s="2"/>
      <c r="D44" s="2"/>
      <c r="E44" s="2"/>
      <c r="F44" s="2"/>
      <c r="G44" s="3"/>
      <c r="H44" s="3"/>
      <c r="I44" s="3"/>
      <c r="J44" s="4">
        <f t="shared" si="2"/>
        <v>0</v>
      </c>
      <c r="K44" s="2"/>
      <c r="L44" s="2"/>
      <c r="M44" s="5" t="str">
        <f t="shared" si="3"/>
        <v>Не использовать как основание</v>
      </c>
      <c r="N44" s="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2"/>
      <c r="B45" s="2"/>
      <c r="C45" s="2"/>
      <c r="D45" s="2"/>
      <c r="E45" s="2"/>
      <c r="F45" s="2"/>
      <c r="G45" s="3"/>
      <c r="H45" s="3"/>
      <c r="I45" s="3"/>
      <c r="J45" s="4">
        <f t="shared" si="2"/>
        <v>0</v>
      </c>
      <c r="K45" s="2"/>
      <c r="L45" s="2"/>
      <c r="M45" s="5" t="str">
        <f t="shared" si="3"/>
        <v>Не использовать как основание</v>
      </c>
      <c r="N45" s="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2"/>
      <c r="B46" s="2"/>
      <c r="C46" s="2"/>
      <c r="D46" s="2"/>
      <c r="E46" s="2"/>
      <c r="F46" s="2"/>
      <c r="G46" s="3"/>
      <c r="H46" s="3"/>
      <c r="I46" s="3"/>
      <c r="J46" s="4">
        <f t="shared" si="2"/>
        <v>0</v>
      </c>
      <c r="K46" s="2"/>
      <c r="L46" s="2"/>
      <c r="M46" s="5" t="str">
        <f t="shared" si="3"/>
        <v>Не использовать как основание</v>
      </c>
      <c r="N46" s="2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2"/>
      <c r="B47" s="2"/>
      <c r="C47" s="2"/>
      <c r="D47" s="2"/>
      <c r="E47" s="2"/>
      <c r="F47" s="2"/>
      <c r="G47" s="3"/>
      <c r="H47" s="3"/>
      <c r="I47" s="3"/>
      <c r="J47" s="4">
        <f t="shared" si="2"/>
        <v>0</v>
      </c>
      <c r="K47" s="2"/>
      <c r="L47" s="2"/>
      <c r="M47" s="5" t="str">
        <f t="shared" si="3"/>
        <v>Не использовать как основание</v>
      </c>
      <c r="N47" s="2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2"/>
      <c r="B48" s="2"/>
      <c r="C48" s="2"/>
      <c r="D48" s="2"/>
      <c r="E48" s="2"/>
      <c r="F48" s="2"/>
      <c r="G48" s="3"/>
      <c r="H48" s="3"/>
      <c r="I48" s="3"/>
      <c r="J48" s="4">
        <f t="shared" si="2"/>
        <v>0</v>
      </c>
      <c r="K48" s="2"/>
      <c r="L48" s="2"/>
      <c r="M48" s="5" t="str">
        <f t="shared" si="3"/>
        <v>Не использовать как основание</v>
      </c>
      <c r="N48" s="2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2"/>
      <c r="B49" s="2"/>
      <c r="C49" s="2"/>
      <c r="D49" s="2"/>
      <c r="E49" s="2"/>
      <c r="F49" s="2"/>
      <c r="G49" s="3"/>
      <c r="H49" s="3"/>
      <c r="I49" s="3"/>
      <c r="J49" s="4">
        <f t="shared" si="2"/>
        <v>0</v>
      </c>
      <c r="K49" s="2"/>
      <c r="L49" s="2"/>
      <c r="M49" s="5" t="str">
        <f t="shared" si="3"/>
        <v>Не использовать как основание</v>
      </c>
      <c r="N49" s="2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2"/>
      <c r="B50" s="2"/>
      <c r="C50" s="2"/>
      <c r="D50" s="2"/>
      <c r="E50" s="2"/>
      <c r="F50" s="2"/>
      <c r="G50" s="3"/>
      <c r="H50" s="3"/>
      <c r="I50" s="3"/>
      <c r="J50" s="4">
        <f t="shared" si="2"/>
        <v>0</v>
      </c>
      <c r="K50" s="2"/>
      <c r="L50" s="2"/>
      <c r="M50" s="5" t="str">
        <f t="shared" si="3"/>
        <v>Не использовать как основание</v>
      </c>
      <c r="N50" s="2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2"/>
      <c r="B51" s="2"/>
      <c r="C51" s="2"/>
      <c r="D51" s="2"/>
      <c r="E51" s="2"/>
      <c r="F51" s="2"/>
      <c r="G51" s="3"/>
      <c r="H51" s="3"/>
      <c r="I51" s="3"/>
      <c r="J51" s="4">
        <f t="shared" si="2"/>
        <v>0</v>
      </c>
      <c r="K51" s="2"/>
      <c r="L51" s="2"/>
      <c r="M51" s="5" t="str">
        <f t="shared" si="3"/>
        <v>Не использовать как основание</v>
      </c>
      <c r="N51" s="2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2"/>
      <c r="B52" s="2"/>
      <c r="C52" s="2"/>
      <c r="D52" s="2"/>
      <c r="E52" s="2"/>
      <c r="F52" s="2"/>
      <c r="G52" s="3"/>
      <c r="H52" s="3"/>
      <c r="I52" s="3"/>
      <c r="J52" s="4">
        <f t="shared" si="2"/>
        <v>0</v>
      </c>
      <c r="K52" s="2"/>
      <c r="L52" s="2"/>
      <c r="M52" s="5" t="str">
        <f t="shared" si="3"/>
        <v>Не использовать как основание</v>
      </c>
      <c r="N52" s="2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2"/>
      <c r="B53" s="2"/>
      <c r="C53" s="2"/>
      <c r="D53" s="2"/>
      <c r="E53" s="2"/>
      <c r="F53" s="2"/>
      <c r="G53" s="3"/>
      <c r="H53" s="3"/>
      <c r="I53" s="3"/>
      <c r="J53" s="4">
        <f t="shared" si="2"/>
        <v>0</v>
      </c>
      <c r="K53" s="2"/>
      <c r="L53" s="2"/>
      <c r="M53" s="5" t="str">
        <f t="shared" si="3"/>
        <v>Не использовать как основание</v>
      </c>
      <c r="N53" s="2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2"/>
      <c r="B54" s="2"/>
      <c r="C54" s="2"/>
      <c r="D54" s="2"/>
      <c r="E54" s="2"/>
      <c r="F54" s="2"/>
      <c r="G54" s="3"/>
      <c r="H54" s="3"/>
      <c r="I54" s="3"/>
      <c r="J54" s="4">
        <f t="shared" si="2"/>
        <v>0</v>
      </c>
      <c r="K54" s="2"/>
      <c r="L54" s="2"/>
      <c r="M54" s="5" t="str">
        <f t="shared" si="3"/>
        <v>Не использовать как основание</v>
      </c>
      <c r="N54" s="2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2"/>
      <c r="B55" s="2"/>
      <c r="C55" s="2"/>
      <c r="D55" s="2"/>
      <c r="E55" s="2"/>
      <c r="F55" s="2"/>
      <c r="G55" s="3"/>
      <c r="H55" s="3"/>
      <c r="I55" s="3"/>
      <c r="J55" s="4">
        <f t="shared" si="2"/>
        <v>0</v>
      </c>
      <c r="K55" s="2"/>
      <c r="L55" s="2"/>
      <c r="M55" s="5" t="str">
        <f t="shared" si="3"/>
        <v>Не использовать как основание</v>
      </c>
      <c r="N55" s="2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2"/>
      <c r="B56" s="2"/>
      <c r="C56" s="2"/>
      <c r="D56" s="2"/>
      <c r="E56" s="2"/>
      <c r="F56" s="2"/>
      <c r="G56" s="3"/>
      <c r="H56" s="3"/>
      <c r="I56" s="3"/>
      <c r="J56" s="4">
        <f t="shared" si="2"/>
        <v>0</v>
      </c>
      <c r="K56" s="2"/>
      <c r="L56" s="2"/>
      <c r="M56" s="5" t="str">
        <f t="shared" si="3"/>
        <v>Не использовать как основание</v>
      </c>
      <c r="N56" s="2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2"/>
      <c r="B57" s="2"/>
      <c r="C57" s="2"/>
      <c r="D57" s="2"/>
      <c r="E57" s="2"/>
      <c r="F57" s="2"/>
      <c r="G57" s="3"/>
      <c r="H57" s="3"/>
      <c r="I57" s="3"/>
      <c r="J57" s="4">
        <f t="shared" si="2"/>
        <v>0</v>
      </c>
      <c r="K57" s="2"/>
      <c r="L57" s="2"/>
      <c r="M57" s="5" t="str">
        <f t="shared" si="3"/>
        <v>Не использовать как основание</v>
      </c>
      <c r="N57" s="2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2"/>
      <c r="B58" s="2"/>
      <c r="C58" s="2"/>
      <c r="D58" s="2"/>
      <c r="E58" s="2"/>
      <c r="F58" s="2"/>
      <c r="G58" s="3"/>
      <c r="H58" s="3"/>
      <c r="I58" s="3"/>
      <c r="J58" s="4">
        <f t="shared" si="2"/>
        <v>0</v>
      </c>
      <c r="K58" s="2"/>
      <c r="L58" s="2"/>
      <c r="M58" s="5" t="str">
        <f t="shared" si="3"/>
        <v>Не использовать как основание</v>
      </c>
      <c r="N58" s="2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2"/>
      <c r="B59" s="2"/>
      <c r="C59" s="2"/>
      <c r="D59" s="2"/>
      <c r="E59" s="2"/>
      <c r="F59" s="2"/>
      <c r="G59" s="3"/>
      <c r="H59" s="3"/>
      <c r="I59" s="3"/>
      <c r="J59" s="4">
        <f t="shared" si="2"/>
        <v>0</v>
      </c>
      <c r="K59" s="2"/>
      <c r="L59" s="2"/>
      <c r="M59" s="5" t="str">
        <f t="shared" si="3"/>
        <v>Не использовать как основание</v>
      </c>
      <c r="N59" s="2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2"/>
      <c r="B60" s="2"/>
      <c r="C60" s="2"/>
      <c r="D60" s="2"/>
      <c r="E60" s="2"/>
      <c r="F60" s="2"/>
      <c r="G60" s="3"/>
      <c r="H60" s="3"/>
      <c r="I60" s="3"/>
      <c r="J60" s="4">
        <f t="shared" si="2"/>
        <v>0</v>
      </c>
      <c r="K60" s="2"/>
      <c r="L60" s="2"/>
      <c r="M60" s="5" t="str">
        <f t="shared" si="3"/>
        <v>Не использовать как основание</v>
      </c>
      <c r="N60" s="2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2"/>
      <c r="B61" s="2"/>
      <c r="C61" s="2"/>
      <c r="D61" s="2"/>
      <c r="E61" s="2"/>
      <c r="F61" s="2"/>
      <c r="G61" s="3"/>
      <c r="H61" s="3"/>
      <c r="I61" s="3"/>
      <c r="J61" s="4">
        <f t="shared" si="2"/>
        <v>0</v>
      </c>
      <c r="K61" s="2"/>
      <c r="L61" s="2"/>
      <c r="M61" s="5" t="str">
        <f t="shared" si="3"/>
        <v>Не использовать как основание</v>
      </c>
      <c r="N61" s="2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2"/>
      <c r="B62" s="2"/>
      <c r="C62" s="2"/>
      <c r="D62" s="2"/>
      <c r="E62" s="2"/>
      <c r="F62" s="2"/>
      <c r="G62" s="3"/>
      <c r="H62" s="3"/>
      <c r="I62" s="3"/>
      <c r="J62" s="4">
        <f t="shared" si="2"/>
        <v>0</v>
      </c>
      <c r="K62" s="2"/>
      <c r="L62" s="2"/>
      <c r="M62" s="5" t="str">
        <f t="shared" si="3"/>
        <v>Не использовать как основание</v>
      </c>
      <c r="N62" s="2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2"/>
      <c r="B63" s="2"/>
      <c r="C63" s="2"/>
      <c r="D63" s="2"/>
      <c r="E63" s="2"/>
      <c r="F63" s="2"/>
      <c r="G63" s="3"/>
      <c r="H63" s="3"/>
      <c r="I63" s="3"/>
      <c r="J63" s="4">
        <f t="shared" si="2"/>
        <v>0</v>
      </c>
      <c r="K63" s="2"/>
      <c r="L63" s="2"/>
      <c r="M63" s="5" t="str">
        <f t="shared" si="3"/>
        <v>Не использовать как основание</v>
      </c>
      <c r="N63" s="2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2"/>
      <c r="B64" s="2"/>
      <c r="C64" s="2"/>
      <c r="D64" s="2"/>
      <c r="E64" s="2"/>
      <c r="F64" s="2"/>
      <c r="G64" s="3"/>
      <c r="H64" s="3"/>
      <c r="I64" s="3"/>
      <c r="J64" s="4">
        <f t="shared" si="2"/>
        <v>0</v>
      </c>
      <c r="K64" s="2"/>
      <c r="L64" s="2"/>
      <c r="M64" s="5" t="str">
        <f t="shared" si="3"/>
        <v>Не использовать как основание</v>
      </c>
      <c r="N64" s="2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2"/>
      <c r="B65" s="2"/>
      <c r="C65" s="2"/>
      <c r="D65" s="2"/>
      <c r="E65" s="2"/>
      <c r="F65" s="2"/>
      <c r="G65" s="3"/>
      <c r="H65" s="3"/>
      <c r="I65" s="3"/>
      <c r="J65" s="4">
        <f t="shared" si="2"/>
        <v>0</v>
      </c>
      <c r="K65" s="2"/>
      <c r="L65" s="2"/>
      <c r="M65" s="5" t="str">
        <f t="shared" si="3"/>
        <v>Не использовать как основание</v>
      </c>
      <c r="N65" s="2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2"/>
      <c r="B66" s="2"/>
      <c r="C66" s="2"/>
      <c r="D66" s="2"/>
      <c r="E66" s="2"/>
      <c r="F66" s="2"/>
      <c r="G66" s="3"/>
      <c r="H66" s="3"/>
      <c r="I66" s="3"/>
      <c r="J66" s="4">
        <f t="shared" si="2"/>
        <v>0</v>
      </c>
      <c r="K66" s="2"/>
      <c r="L66" s="2"/>
      <c r="M66" s="5" t="str">
        <f t="shared" si="3"/>
        <v>Не использовать как основание</v>
      </c>
      <c r="N66" s="2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2"/>
      <c r="B67" s="2"/>
      <c r="C67" s="2"/>
      <c r="D67" s="2"/>
      <c r="E67" s="2"/>
      <c r="F67" s="2"/>
      <c r="G67" s="3"/>
      <c r="H67" s="3"/>
      <c r="I67" s="3"/>
      <c r="J67" s="4">
        <f t="shared" si="2"/>
        <v>0</v>
      </c>
      <c r="K67" s="2"/>
      <c r="L67" s="2"/>
      <c r="M67" s="5" t="str">
        <f t="shared" si="3"/>
        <v>Не использовать как основание</v>
      </c>
      <c r="N67" s="2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2"/>
      <c r="B68" s="2"/>
      <c r="C68" s="2"/>
      <c r="D68" s="2"/>
      <c r="E68" s="2"/>
      <c r="F68" s="2"/>
      <c r="G68" s="3"/>
      <c r="H68" s="3"/>
      <c r="I68" s="3"/>
      <c r="J68" s="4">
        <f t="shared" ref="J68:J99" si="4">IFERROR((G68*H68)*(6-I68)/20,"")</f>
        <v>0</v>
      </c>
      <c r="K68" s="2"/>
      <c r="L68" s="2"/>
      <c r="M68" s="5" t="str">
        <f t="shared" ref="M68:M99" si="5">IF(J68="","",IF(J68&gt;=3,"Использовать",IF(J68&gt;=1.8,"Проверить дополнительно","Не использовать как основание")))</f>
        <v>Не использовать как основание</v>
      </c>
      <c r="N68" s="2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2"/>
      <c r="B69" s="2"/>
      <c r="C69" s="2"/>
      <c r="D69" s="2"/>
      <c r="E69" s="2"/>
      <c r="F69" s="2"/>
      <c r="G69" s="3"/>
      <c r="H69" s="3"/>
      <c r="I69" s="3"/>
      <c r="J69" s="4">
        <f t="shared" si="4"/>
        <v>0</v>
      </c>
      <c r="K69" s="2"/>
      <c r="L69" s="2"/>
      <c r="M69" s="5" t="str">
        <f t="shared" si="5"/>
        <v>Не использовать как основание</v>
      </c>
      <c r="N69" s="2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2"/>
      <c r="B70" s="2"/>
      <c r="C70" s="2"/>
      <c r="D70" s="2"/>
      <c r="E70" s="2"/>
      <c r="F70" s="2"/>
      <c r="G70" s="3"/>
      <c r="H70" s="3"/>
      <c r="I70" s="3"/>
      <c r="J70" s="4">
        <f t="shared" si="4"/>
        <v>0</v>
      </c>
      <c r="K70" s="2"/>
      <c r="L70" s="2"/>
      <c r="M70" s="5" t="str">
        <f t="shared" si="5"/>
        <v>Не использовать как основание</v>
      </c>
      <c r="N70" s="2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2"/>
      <c r="B71" s="2"/>
      <c r="C71" s="2"/>
      <c r="D71" s="2"/>
      <c r="E71" s="2"/>
      <c r="F71" s="2"/>
      <c r="G71" s="3"/>
      <c r="H71" s="3"/>
      <c r="I71" s="3"/>
      <c r="J71" s="4">
        <f t="shared" si="4"/>
        <v>0</v>
      </c>
      <c r="K71" s="2"/>
      <c r="L71" s="2"/>
      <c r="M71" s="5" t="str">
        <f t="shared" si="5"/>
        <v>Не использовать как основание</v>
      </c>
      <c r="N71" s="2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2"/>
      <c r="B72" s="2"/>
      <c r="C72" s="2"/>
      <c r="D72" s="2"/>
      <c r="E72" s="2"/>
      <c r="F72" s="2"/>
      <c r="G72" s="3"/>
      <c r="H72" s="3"/>
      <c r="I72" s="3"/>
      <c r="J72" s="4">
        <f t="shared" si="4"/>
        <v>0</v>
      </c>
      <c r="K72" s="2"/>
      <c r="L72" s="2"/>
      <c r="M72" s="5" t="str">
        <f t="shared" si="5"/>
        <v>Не использовать как основание</v>
      </c>
      <c r="N72" s="2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2"/>
      <c r="B73" s="2"/>
      <c r="C73" s="2"/>
      <c r="D73" s="2"/>
      <c r="E73" s="2"/>
      <c r="F73" s="2"/>
      <c r="G73" s="3"/>
      <c r="H73" s="3"/>
      <c r="I73" s="3"/>
      <c r="J73" s="4">
        <f t="shared" si="4"/>
        <v>0</v>
      </c>
      <c r="K73" s="2"/>
      <c r="L73" s="2"/>
      <c r="M73" s="5" t="str">
        <f t="shared" si="5"/>
        <v>Не использовать как основание</v>
      </c>
      <c r="N73" s="2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2"/>
      <c r="B74" s="2"/>
      <c r="C74" s="2"/>
      <c r="D74" s="2"/>
      <c r="E74" s="2"/>
      <c r="F74" s="2"/>
      <c r="G74" s="3"/>
      <c r="H74" s="3"/>
      <c r="I74" s="3"/>
      <c r="J74" s="4">
        <f t="shared" si="4"/>
        <v>0</v>
      </c>
      <c r="K74" s="2"/>
      <c r="L74" s="2"/>
      <c r="M74" s="5" t="str">
        <f t="shared" si="5"/>
        <v>Не использовать как основание</v>
      </c>
      <c r="N74" s="2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2"/>
      <c r="B75" s="2"/>
      <c r="C75" s="2"/>
      <c r="D75" s="2"/>
      <c r="E75" s="2"/>
      <c r="F75" s="2"/>
      <c r="G75" s="3"/>
      <c r="H75" s="3"/>
      <c r="I75" s="3"/>
      <c r="J75" s="4">
        <f t="shared" si="4"/>
        <v>0</v>
      </c>
      <c r="K75" s="2"/>
      <c r="L75" s="2"/>
      <c r="M75" s="5" t="str">
        <f t="shared" si="5"/>
        <v>Не использовать как основание</v>
      </c>
      <c r="N75" s="2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2"/>
      <c r="B76" s="2"/>
      <c r="C76" s="2"/>
      <c r="D76" s="2"/>
      <c r="E76" s="2"/>
      <c r="F76" s="2"/>
      <c r="G76" s="3"/>
      <c r="H76" s="3"/>
      <c r="I76" s="3"/>
      <c r="J76" s="4">
        <f t="shared" si="4"/>
        <v>0</v>
      </c>
      <c r="K76" s="2"/>
      <c r="L76" s="2"/>
      <c r="M76" s="5" t="str">
        <f t="shared" si="5"/>
        <v>Не использовать как основание</v>
      </c>
      <c r="N76" s="2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2"/>
      <c r="B77" s="2"/>
      <c r="C77" s="2"/>
      <c r="D77" s="2"/>
      <c r="E77" s="2"/>
      <c r="F77" s="2"/>
      <c r="G77" s="3"/>
      <c r="H77" s="3"/>
      <c r="I77" s="3"/>
      <c r="J77" s="4">
        <f t="shared" si="4"/>
        <v>0</v>
      </c>
      <c r="K77" s="2"/>
      <c r="L77" s="2"/>
      <c r="M77" s="5" t="str">
        <f t="shared" si="5"/>
        <v>Не использовать как основание</v>
      </c>
      <c r="N77" s="2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2"/>
      <c r="B78" s="2"/>
      <c r="C78" s="2"/>
      <c r="D78" s="2"/>
      <c r="E78" s="2"/>
      <c r="F78" s="2"/>
      <c r="G78" s="3"/>
      <c r="H78" s="3"/>
      <c r="I78" s="3"/>
      <c r="J78" s="4">
        <f t="shared" si="4"/>
        <v>0</v>
      </c>
      <c r="K78" s="2"/>
      <c r="L78" s="2"/>
      <c r="M78" s="5" t="str">
        <f t="shared" si="5"/>
        <v>Не использовать как основание</v>
      </c>
      <c r="N78" s="2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2"/>
      <c r="B79" s="2"/>
      <c r="C79" s="2"/>
      <c r="D79" s="2"/>
      <c r="E79" s="2"/>
      <c r="F79" s="2"/>
      <c r="G79" s="3"/>
      <c r="H79" s="3"/>
      <c r="I79" s="3"/>
      <c r="J79" s="4">
        <f t="shared" si="4"/>
        <v>0</v>
      </c>
      <c r="K79" s="2"/>
      <c r="L79" s="2"/>
      <c r="M79" s="5" t="str">
        <f t="shared" si="5"/>
        <v>Не использовать как основание</v>
      </c>
      <c r="N79" s="2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2"/>
      <c r="B80" s="2"/>
      <c r="C80" s="2"/>
      <c r="D80" s="2"/>
      <c r="E80" s="2"/>
      <c r="F80" s="2"/>
      <c r="G80" s="3"/>
      <c r="H80" s="3"/>
      <c r="I80" s="3"/>
      <c r="J80" s="4">
        <f t="shared" si="4"/>
        <v>0</v>
      </c>
      <c r="K80" s="2"/>
      <c r="L80" s="2"/>
      <c r="M80" s="5" t="str">
        <f t="shared" si="5"/>
        <v>Не использовать как основание</v>
      </c>
      <c r="N80" s="2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2"/>
      <c r="B81" s="2"/>
      <c r="C81" s="2"/>
      <c r="D81" s="2"/>
      <c r="E81" s="2"/>
      <c r="F81" s="2"/>
      <c r="G81" s="3"/>
      <c r="H81" s="3"/>
      <c r="I81" s="3"/>
      <c r="J81" s="4">
        <f t="shared" si="4"/>
        <v>0</v>
      </c>
      <c r="K81" s="2"/>
      <c r="L81" s="2"/>
      <c r="M81" s="5" t="str">
        <f t="shared" si="5"/>
        <v>Не использовать как основание</v>
      </c>
      <c r="N81" s="2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2"/>
      <c r="B82" s="2"/>
      <c r="C82" s="2"/>
      <c r="D82" s="2"/>
      <c r="E82" s="2"/>
      <c r="F82" s="2"/>
      <c r="G82" s="3"/>
      <c r="H82" s="3"/>
      <c r="I82" s="3"/>
      <c r="J82" s="4">
        <f t="shared" si="4"/>
        <v>0</v>
      </c>
      <c r="K82" s="2"/>
      <c r="L82" s="2"/>
      <c r="M82" s="5" t="str">
        <f t="shared" si="5"/>
        <v>Не использовать как основание</v>
      </c>
      <c r="N82" s="2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2"/>
      <c r="B83" s="2"/>
      <c r="C83" s="2"/>
      <c r="D83" s="2"/>
      <c r="E83" s="2"/>
      <c r="F83" s="2"/>
      <c r="G83" s="3"/>
      <c r="H83" s="3"/>
      <c r="I83" s="3"/>
      <c r="J83" s="4">
        <f t="shared" si="4"/>
        <v>0</v>
      </c>
      <c r="K83" s="2"/>
      <c r="L83" s="2"/>
      <c r="M83" s="5" t="str">
        <f t="shared" si="5"/>
        <v>Не использовать как основание</v>
      </c>
      <c r="N83" s="2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2"/>
      <c r="B84" s="2"/>
      <c r="C84" s="2"/>
      <c r="D84" s="2"/>
      <c r="E84" s="2"/>
      <c r="F84" s="2"/>
      <c r="G84" s="3"/>
      <c r="H84" s="3"/>
      <c r="I84" s="3"/>
      <c r="J84" s="4">
        <f t="shared" si="4"/>
        <v>0</v>
      </c>
      <c r="K84" s="2"/>
      <c r="L84" s="2"/>
      <c r="M84" s="5" t="str">
        <f t="shared" si="5"/>
        <v>Не использовать как основание</v>
      </c>
      <c r="N84" s="2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2"/>
      <c r="B85" s="2"/>
      <c r="C85" s="2"/>
      <c r="D85" s="2"/>
      <c r="E85" s="2"/>
      <c r="F85" s="2"/>
      <c r="G85" s="3"/>
      <c r="H85" s="3"/>
      <c r="I85" s="3"/>
      <c r="J85" s="4">
        <f t="shared" si="4"/>
        <v>0</v>
      </c>
      <c r="K85" s="2"/>
      <c r="L85" s="2"/>
      <c r="M85" s="5" t="str">
        <f t="shared" si="5"/>
        <v>Не использовать как основание</v>
      </c>
      <c r="N85" s="2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2"/>
      <c r="B86" s="2"/>
      <c r="C86" s="2"/>
      <c r="D86" s="2"/>
      <c r="E86" s="2"/>
      <c r="F86" s="2"/>
      <c r="G86" s="3"/>
      <c r="H86" s="3"/>
      <c r="I86" s="3"/>
      <c r="J86" s="4">
        <f t="shared" si="4"/>
        <v>0</v>
      </c>
      <c r="K86" s="2"/>
      <c r="L86" s="2"/>
      <c r="M86" s="5" t="str">
        <f t="shared" si="5"/>
        <v>Не использовать как основание</v>
      </c>
      <c r="N86" s="2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2"/>
      <c r="B87" s="2"/>
      <c r="C87" s="2"/>
      <c r="D87" s="2"/>
      <c r="E87" s="2"/>
      <c r="F87" s="2"/>
      <c r="G87" s="3"/>
      <c r="H87" s="3"/>
      <c r="I87" s="3"/>
      <c r="J87" s="4">
        <f t="shared" si="4"/>
        <v>0</v>
      </c>
      <c r="K87" s="2"/>
      <c r="L87" s="2"/>
      <c r="M87" s="5" t="str">
        <f t="shared" si="5"/>
        <v>Не использовать как основание</v>
      </c>
      <c r="N87" s="2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2"/>
      <c r="B88" s="2"/>
      <c r="C88" s="2"/>
      <c r="D88" s="2"/>
      <c r="E88" s="2"/>
      <c r="F88" s="2"/>
      <c r="G88" s="3"/>
      <c r="H88" s="3"/>
      <c r="I88" s="3"/>
      <c r="J88" s="4">
        <f t="shared" si="4"/>
        <v>0</v>
      </c>
      <c r="K88" s="2"/>
      <c r="L88" s="2"/>
      <c r="M88" s="5" t="str">
        <f t="shared" si="5"/>
        <v>Не использовать как основание</v>
      </c>
      <c r="N88" s="2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2"/>
      <c r="B89" s="2"/>
      <c r="C89" s="2"/>
      <c r="D89" s="2"/>
      <c r="E89" s="2"/>
      <c r="F89" s="2"/>
      <c r="G89" s="3"/>
      <c r="H89" s="3"/>
      <c r="I89" s="3"/>
      <c r="J89" s="4">
        <f t="shared" si="4"/>
        <v>0</v>
      </c>
      <c r="K89" s="2"/>
      <c r="L89" s="2"/>
      <c r="M89" s="5" t="str">
        <f t="shared" si="5"/>
        <v>Не использовать как основание</v>
      </c>
      <c r="N89" s="2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2"/>
      <c r="B90" s="2"/>
      <c r="C90" s="2"/>
      <c r="D90" s="2"/>
      <c r="E90" s="2"/>
      <c r="F90" s="2"/>
      <c r="G90" s="3"/>
      <c r="H90" s="3"/>
      <c r="I90" s="3"/>
      <c r="J90" s="4">
        <f t="shared" si="4"/>
        <v>0</v>
      </c>
      <c r="K90" s="2"/>
      <c r="L90" s="2"/>
      <c r="M90" s="5" t="str">
        <f t="shared" si="5"/>
        <v>Не использовать как основание</v>
      </c>
      <c r="N90" s="2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2"/>
      <c r="B91" s="2"/>
      <c r="C91" s="2"/>
      <c r="D91" s="2"/>
      <c r="E91" s="2"/>
      <c r="F91" s="2"/>
      <c r="G91" s="3"/>
      <c r="H91" s="3"/>
      <c r="I91" s="3"/>
      <c r="J91" s="4">
        <f t="shared" si="4"/>
        <v>0</v>
      </c>
      <c r="K91" s="2"/>
      <c r="L91" s="2"/>
      <c r="M91" s="5" t="str">
        <f t="shared" si="5"/>
        <v>Не использовать как основание</v>
      </c>
      <c r="N91" s="2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2"/>
      <c r="B92" s="2"/>
      <c r="C92" s="2"/>
      <c r="D92" s="2"/>
      <c r="E92" s="2"/>
      <c r="F92" s="2"/>
      <c r="G92" s="3"/>
      <c r="H92" s="3"/>
      <c r="I92" s="3"/>
      <c r="J92" s="4">
        <f t="shared" si="4"/>
        <v>0</v>
      </c>
      <c r="K92" s="2"/>
      <c r="L92" s="2"/>
      <c r="M92" s="5" t="str">
        <f t="shared" si="5"/>
        <v>Не использовать как основание</v>
      </c>
      <c r="N92" s="2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2"/>
      <c r="B93" s="2"/>
      <c r="C93" s="2"/>
      <c r="D93" s="2"/>
      <c r="E93" s="2"/>
      <c r="F93" s="2"/>
      <c r="G93" s="3"/>
      <c r="H93" s="3"/>
      <c r="I93" s="3"/>
      <c r="J93" s="4">
        <f t="shared" si="4"/>
        <v>0</v>
      </c>
      <c r="K93" s="2"/>
      <c r="L93" s="2"/>
      <c r="M93" s="5" t="str">
        <f t="shared" si="5"/>
        <v>Не использовать как основание</v>
      </c>
      <c r="N93" s="2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2"/>
      <c r="B94" s="2"/>
      <c r="C94" s="2"/>
      <c r="D94" s="2"/>
      <c r="E94" s="2"/>
      <c r="F94" s="2"/>
      <c r="G94" s="3"/>
      <c r="H94" s="3"/>
      <c r="I94" s="3"/>
      <c r="J94" s="4">
        <f t="shared" si="4"/>
        <v>0</v>
      </c>
      <c r="K94" s="2"/>
      <c r="L94" s="2"/>
      <c r="M94" s="5" t="str">
        <f t="shared" si="5"/>
        <v>Не использовать как основание</v>
      </c>
      <c r="N94" s="2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2"/>
      <c r="B95" s="2"/>
      <c r="C95" s="2"/>
      <c r="D95" s="2"/>
      <c r="E95" s="2"/>
      <c r="F95" s="2"/>
      <c r="G95" s="3"/>
      <c r="H95" s="3"/>
      <c r="I95" s="3"/>
      <c r="J95" s="4">
        <f t="shared" si="4"/>
        <v>0</v>
      </c>
      <c r="K95" s="2"/>
      <c r="L95" s="2"/>
      <c r="M95" s="5" t="str">
        <f t="shared" si="5"/>
        <v>Не использовать как основание</v>
      </c>
      <c r="N95" s="2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2"/>
      <c r="B96" s="2"/>
      <c r="C96" s="2"/>
      <c r="D96" s="2"/>
      <c r="E96" s="2"/>
      <c r="F96" s="2"/>
      <c r="G96" s="3"/>
      <c r="H96" s="3"/>
      <c r="I96" s="3"/>
      <c r="J96" s="4">
        <f t="shared" si="4"/>
        <v>0</v>
      </c>
      <c r="K96" s="2"/>
      <c r="L96" s="2"/>
      <c r="M96" s="5" t="str">
        <f t="shared" si="5"/>
        <v>Не использовать как основание</v>
      </c>
      <c r="N96" s="2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2"/>
      <c r="B97" s="2"/>
      <c r="C97" s="2"/>
      <c r="D97" s="2"/>
      <c r="E97" s="2"/>
      <c r="F97" s="2"/>
      <c r="G97" s="3"/>
      <c r="H97" s="3"/>
      <c r="I97" s="3"/>
      <c r="J97" s="4">
        <f t="shared" si="4"/>
        <v>0</v>
      </c>
      <c r="K97" s="2"/>
      <c r="L97" s="2"/>
      <c r="M97" s="5" t="str">
        <f t="shared" si="5"/>
        <v>Не использовать как основание</v>
      </c>
      <c r="N97" s="2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2"/>
      <c r="B98" s="2"/>
      <c r="C98" s="2"/>
      <c r="D98" s="2"/>
      <c r="E98" s="2"/>
      <c r="F98" s="2"/>
      <c r="G98" s="3"/>
      <c r="H98" s="3"/>
      <c r="I98" s="3"/>
      <c r="J98" s="4">
        <f t="shared" si="4"/>
        <v>0</v>
      </c>
      <c r="K98" s="2"/>
      <c r="L98" s="2"/>
      <c r="M98" s="5" t="str">
        <f t="shared" si="5"/>
        <v>Не использовать как основание</v>
      </c>
      <c r="N98" s="2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2"/>
      <c r="B99" s="2"/>
      <c r="C99" s="2"/>
      <c r="D99" s="2"/>
      <c r="E99" s="2"/>
      <c r="F99" s="2"/>
      <c r="G99" s="3"/>
      <c r="H99" s="3"/>
      <c r="I99" s="3"/>
      <c r="J99" s="4">
        <f t="shared" si="4"/>
        <v>0</v>
      </c>
      <c r="K99" s="2"/>
      <c r="L99" s="2"/>
      <c r="M99" s="5" t="str">
        <f t="shared" si="5"/>
        <v>Не использовать как основание</v>
      </c>
      <c r="N99" s="2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2"/>
      <c r="B100" s="2"/>
      <c r="C100" s="2"/>
      <c r="D100" s="2"/>
      <c r="E100" s="2"/>
      <c r="F100" s="2"/>
      <c r="G100" s="3"/>
      <c r="H100" s="3"/>
      <c r="I100" s="3"/>
      <c r="J100" s="4">
        <f t="shared" ref="J100:J131" si="6">IFERROR((G100*H100)*(6-I100)/20,"")</f>
        <v>0</v>
      </c>
      <c r="K100" s="2"/>
      <c r="L100" s="2"/>
      <c r="M100" s="5" t="str">
        <f t="shared" ref="M100:M131" si="7">IF(J100="","",IF(J100&gt;=3,"Использовать",IF(J100&gt;=1.8,"Проверить дополнительно","Не использовать как основание")))</f>
        <v>Не использовать как основание</v>
      </c>
      <c r="N100" s="2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2"/>
      <c r="B101" s="2"/>
      <c r="C101" s="2"/>
      <c r="D101" s="2"/>
      <c r="E101" s="2"/>
      <c r="F101" s="2"/>
      <c r="G101" s="3"/>
      <c r="H101" s="3"/>
      <c r="I101" s="3"/>
      <c r="J101" s="4">
        <f t="shared" si="6"/>
        <v>0</v>
      </c>
      <c r="K101" s="2"/>
      <c r="L101" s="2"/>
      <c r="M101" s="5" t="str">
        <f t="shared" si="7"/>
        <v>Не использовать как основание</v>
      </c>
      <c r="N101" s="2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2"/>
      <c r="B102" s="2"/>
      <c r="C102" s="2"/>
      <c r="D102" s="2"/>
      <c r="E102" s="2"/>
      <c r="F102" s="2"/>
      <c r="G102" s="3"/>
      <c r="H102" s="3"/>
      <c r="I102" s="3"/>
      <c r="J102" s="4">
        <f t="shared" si="6"/>
        <v>0</v>
      </c>
      <c r="K102" s="2"/>
      <c r="L102" s="2"/>
      <c r="M102" s="5" t="str">
        <f t="shared" si="7"/>
        <v>Не использовать как основание</v>
      </c>
      <c r="N102" s="2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2"/>
      <c r="B103" s="2"/>
      <c r="C103" s="2"/>
      <c r="D103" s="2"/>
      <c r="E103" s="2"/>
      <c r="F103" s="2"/>
      <c r="G103" s="3"/>
      <c r="H103" s="3"/>
      <c r="I103" s="3"/>
      <c r="J103" s="4">
        <f t="shared" si="6"/>
        <v>0</v>
      </c>
      <c r="K103" s="2"/>
      <c r="L103" s="2"/>
      <c r="M103" s="5" t="str">
        <f t="shared" si="7"/>
        <v>Не использовать как основание</v>
      </c>
      <c r="N103" s="2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2"/>
      <c r="B104" s="2"/>
      <c r="C104" s="2"/>
      <c r="D104" s="2"/>
      <c r="E104" s="2"/>
      <c r="F104" s="2"/>
      <c r="G104" s="3"/>
      <c r="H104" s="3"/>
      <c r="I104" s="3"/>
      <c r="J104" s="4">
        <f t="shared" si="6"/>
        <v>0</v>
      </c>
      <c r="K104" s="2"/>
      <c r="L104" s="2"/>
      <c r="M104" s="5" t="str">
        <f t="shared" si="7"/>
        <v>Не использовать как основание</v>
      </c>
      <c r="N104" s="2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2"/>
      <c r="B105" s="2"/>
      <c r="C105" s="2"/>
      <c r="D105" s="2"/>
      <c r="E105" s="2"/>
      <c r="F105" s="2"/>
      <c r="G105" s="3"/>
      <c r="H105" s="3"/>
      <c r="I105" s="3"/>
      <c r="J105" s="4">
        <f t="shared" si="6"/>
        <v>0</v>
      </c>
      <c r="K105" s="2"/>
      <c r="L105" s="2"/>
      <c r="M105" s="5" t="str">
        <f t="shared" si="7"/>
        <v>Не использовать как основание</v>
      </c>
      <c r="N105" s="2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2"/>
      <c r="B106" s="2"/>
      <c r="C106" s="2"/>
      <c r="D106" s="2"/>
      <c r="E106" s="2"/>
      <c r="F106" s="2"/>
      <c r="G106" s="3"/>
      <c r="H106" s="3"/>
      <c r="I106" s="3"/>
      <c r="J106" s="4">
        <f t="shared" si="6"/>
        <v>0</v>
      </c>
      <c r="K106" s="2"/>
      <c r="L106" s="2"/>
      <c r="M106" s="5" t="str">
        <f t="shared" si="7"/>
        <v>Не использовать как основание</v>
      </c>
      <c r="N106" s="2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2"/>
      <c r="B107" s="2"/>
      <c r="C107" s="2"/>
      <c r="D107" s="2"/>
      <c r="E107" s="2"/>
      <c r="F107" s="2"/>
      <c r="G107" s="3"/>
      <c r="H107" s="3"/>
      <c r="I107" s="3"/>
      <c r="J107" s="4">
        <f t="shared" si="6"/>
        <v>0</v>
      </c>
      <c r="K107" s="2"/>
      <c r="L107" s="2"/>
      <c r="M107" s="5" t="str">
        <f t="shared" si="7"/>
        <v>Не использовать как основание</v>
      </c>
      <c r="N107" s="2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2"/>
      <c r="B108" s="2"/>
      <c r="C108" s="2"/>
      <c r="D108" s="2"/>
      <c r="E108" s="2"/>
      <c r="F108" s="2"/>
      <c r="G108" s="3"/>
      <c r="H108" s="3"/>
      <c r="I108" s="3"/>
      <c r="J108" s="4">
        <f t="shared" si="6"/>
        <v>0</v>
      </c>
      <c r="K108" s="2"/>
      <c r="L108" s="2"/>
      <c r="M108" s="5" t="str">
        <f t="shared" si="7"/>
        <v>Не использовать как основание</v>
      </c>
      <c r="N108" s="2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2"/>
      <c r="B109" s="2"/>
      <c r="C109" s="2"/>
      <c r="D109" s="2"/>
      <c r="E109" s="2"/>
      <c r="F109" s="2"/>
      <c r="G109" s="3"/>
      <c r="H109" s="3"/>
      <c r="I109" s="3"/>
      <c r="J109" s="4">
        <f t="shared" si="6"/>
        <v>0</v>
      </c>
      <c r="K109" s="2"/>
      <c r="L109" s="2"/>
      <c r="M109" s="5" t="str">
        <f t="shared" si="7"/>
        <v>Не использовать как основание</v>
      </c>
      <c r="N109" s="2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2"/>
      <c r="B110" s="2"/>
      <c r="C110" s="2"/>
      <c r="D110" s="2"/>
      <c r="E110" s="2"/>
      <c r="F110" s="2"/>
      <c r="G110" s="3"/>
      <c r="H110" s="3"/>
      <c r="I110" s="3"/>
      <c r="J110" s="4">
        <f t="shared" si="6"/>
        <v>0</v>
      </c>
      <c r="K110" s="2"/>
      <c r="L110" s="2"/>
      <c r="M110" s="5" t="str">
        <f t="shared" si="7"/>
        <v>Не использовать как основание</v>
      </c>
      <c r="N110" s="2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2"/>
      <c r="B111" s="2"/>
      <c r="C111" s="2"/>
      <c r="D111" s="2"/>
      <c r="E111" s="2"/>
      <c r="F111" s="2"/>
      <c r="G111" s="3"/>
      <c r="H111" s="3"/>
      <c r="I111" s="3"/>
      <c r="J111" s="4">
        <f t="shared" si="6"/>
        <v>0</v>
      </c>
      <c r="K111" s="2"/>
      <c r="L111" s="2"/>
      <c r="M111" s="5" t="str">
        <f t="shared" si="7"/>
        <v>Не использовать как основание</v>
      </c>
      <c r="N111" s="2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2"/>
      <c r="B112" s="2"/>
      <c r="C112" s="2"/>
      <c r="D112" s="2"/>
      <c r="E112" s="2"/>
      <c r="F112" s="2"/>
      <c r="G112" s="3"/>
      <c r="H112" s="3"/>
      <c r="I112" s="3"/>
      <c r="J112" s="4">
        <f t="shared" si="6"/>
        <v>0</v>
      </c>
      <c r="K112" s="2"/>
      <c r="L112" s="2"/>
      <c r="M112" s="5" t="str">
        <f t="shared" si="7"/>
        <v>Не использовать как основание</v>
      </c>
      <c r="N112" s="2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2"/>
      <c r="B113" s="2"/>
      <c r="C113" s="2"/>
      <c r="D113" s="2"/>
      <c r="E113" s="2"/>
      <c r="F113" s="2"/>
      <c r="G113" s="3"/>
      <c r="H113" s="3"/>
      <c r="I113" s="3"/>
      <c r="J113" s="4">
        <f t="shared" si="6"/>
        <v>0</v>
      </c>
      <c r="K113" s="2"/>
      <c r="L113" s="2"/>
      <c r="M113" s="5" t="str">
        <f t="shared" si="7"/>
        <v>Не использовать как основание</v>
      </c>
      <c r="N113" s="2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2"/>
      <c r="B114" s="2"/>
      <c r="C114" s="2"/>
      <c r="D114" s="2"/>
      <c r="E114" s="2"/>
      <c r="F114" s="2"/>
      <c r="G114" s="3"/>
      <c r="H114" s="3"/>
      <c r="I114" s="3"/>
      <c r="J114" s="4">
        <f t="shared" si="6"/>
        <v>0</v>
      </c>
      <c r="K114" s="2"/>
      <c r="L114" s="2"/>
      <c r="M114" s="5" t="str">
        <f t="shared" si="7"/>
        <v>Не использовать как основание</v>
      </c>
      <c r="N114" s="2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2"/>
      <c r="B115" s="2"/>
      <c r="C115" s="2"/>
      <c r="D115" s="2"/>
      <c r="E115" s="2"/>
      <c r="F115" s="2"/>
      <c r="G115" s="3"/>
      <c r="H115" s="3"/>
      <c r="I115" s="3"/>
      <c r="J115" s="4">
        <f t="shared" si="6"/>
        <v>0</v>
      </c>
      <c r="K115" s="2"/>
      <c r="L115" s="2"/>
      <c r="M115" s="5" t="str">
        <f t="shared" si="7"/>
        <v>Не использовать как основание</v>
      </c>
      <c r="N115" s="2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2"/>
      <c r="B116" s="2"/>
      <c r="C116" s="2"/>
      <c r="D116" s="2"/>
      <c r="E116" s="2"/>
      <c r="F116" s="2"/>
      <c r="G116" s="3"/>
      <c r="H116" s="3"/>
      <c r="I116" s="3"/>
      <c r="J116" s="4">
        <f t="shared" si="6"/>
        <v>0</v>
      </c>
      <c r="K116" s="2"/>
      <c r="L116" s="2"/>
      <c r="M116" s="5" t="str">
        <f t="shared" si="7"/>
        <v>Не использовать как основание</v>
      </c>
      <c r="N116" s="2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2"/>
      <c r="B117" s="2"/>
      <c r="C117" s="2"/>
      <c r="D117" s="2"/>
      <c r="E117" s="2"/>
      <c r="F117" s="2"/>
      <c r="G117" s="3"/>
      <c r="H117" s="3"/>
      <c r="I117" s="3"/>
      <c r="J117" s="4">
        <f t="shared" si="6"/>
        <v>0</v>
      </c>
      <c r="K117" s="2"/>
      <c r="L117" s="2"/>
      <c r="M117" s="5" t="str">
        <f t="shared" si="7"/>
        <v>Не использовать как основание</v>
      </c>
      <c r="N117" s="2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2"/>
      <c r="B118" s="2"/>
      <c r="C118" s="2"/>
      <c r="D118" s="2"/>
      <c r="E118" s="2"/>
      <c r="F118" s="2"/>
      <c r="G118" s="3"/>
      <c r="H118" s="3"/>
      <c r="I118" s="3"/>
      <c r="J118" s="4">
        <f t="shared" si="6"/>
        <v>0</v>
      </c>
      <c r="K118" s="2"/>
      <c r="L118" s="2"/>
      <c r="M118" s="5" t="str">
        <f t="shared" si="7"/>
        <v>Не использовать как основание</v>
      </c>
      <c r="N118" s="2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2"/>
      <c r="B119" s="2"/>
      <c r="C119" s="2"/>
      <c r="D119" s="2"/>
      <c r="E119" s="2"/>
      <c r="F119" s="2"/>
      <c r="G119" s="3"/>
      <c r="H119" s="3"/>
      <c r="I119" s="3"/>
      <c r="J119" s="4">
        <f t="shared" si="6"/>
        <v>0</v>
      </c>
      <c r="K119" s="2"/>
      <c r="L119" s="2"/>
      <c r="M119" s="5" t="str">
        <f t="shared" si="7"/>
        <v>Не использовать как основание</v>
      </c>
      <c r="N119" s="2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2"/>
      <c r="B120" s="2"/>
      <c r="C120" s="2"/>
      <c r="D120" s="2"/>
      <c r="E120" s="2"/>
      <c r="F120" s="2"/>
      <c r="G120" s="3"/>
      <c r="H120" s="3"/>
      <c r="I120" s="3"/>
      <c r="J120" s="4">
        <f t="shared" si="6"/>
        <v>0</v>
      </c>
      <c r="K120" s="2"/>
      <c r="L120" s="2"/>
      <c r="M120" s="5" t="str">
        <f t="shared" si="7"/>
        <v>Не использовать как основание</v>
      </c>
      <c r="N120" s="2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2"/>
      <c r="B121" s="2"/>
      <c r="C121" s="2"/>
      <c r="D121" s="2"/>
      <c r="E121" s="2"/>
      <c r="F121" s="2"/>
      <c r="G121" s="3"/>
      <c r="H121" s="3"/>
      <c r="I121" s="3"/>
      <c r="J121" s="4">
        <f t="shared" si="6"/>
        <v>0</v>
      </c>
      <c r="K121" s="2"/>
      <c r="L121" s="2"/>
      <c r="M121" s="5" t="str">
        <f t="shared" si="7"/>
        <v>Не использовать как основание</v>
      </c>
      <c r="N121" s="2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2"/>
      <c r="B122" s="2"/>
      <c r="C122" s="2"/>
      <c r="D122" s="2"/>
      <c r="E122" s="2"/>
      <c r="F122" s="2"/>
      <c r="G122" s="3"/>
      <c r="H122" s="3"/>
      <c r="I122" s="3"/>
      <c r="J122" s="4">
        <f t="shared" si="6"/>
        <v>0</v>
      </c>
      <c r="K122" s="2"/>
      <c r="L122" s="2"/>
      <c r="M122" s="5" t="str">
        <f t="shared" si="7"/>
        <v>Не использовать как основание</v>
      </c>
      <c r="N122" s="2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2"/>
      <c r="B123" s="2"/>
      <c r="C123" s="2"/>
      <c r="D123" s="2"/>
      <c r="E123" s="2"/>
      <c r="F123" s="2"/>
      <c r="G123" s="3"/>
      <c r="H123" s="3"/>
      <c r="I123" s="3"/>
      <c r="J123" s="4">
        <f t="shared" si="6"/>
        <v>0</v>
      </c>
      <c r="K123" s="2"/>
      <c r="L123" s="2"/>
      <c r="M123" s="5" t="str">
        <f t="shared" si="7"/>
        <v>Не использовать как основание</v>
      </c>
      <c r="N123" s="2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2"/>
      <c r="B124" s="2"/>
      <c r="C124" s="2"/>
      <c r="D124" s="2"/>
      <c r="E124" s="2"/>
      <c r="F124" s="2"/>
      <c r="G124" s="3"/>
      <c r="H124" s="3"/>
      <c r="I124" s="3"/>
      <c r="J124" s="4">
        <f t="shared" si="6"/>
        <v>0</v>
      </c>
      <c r="K124" s="2"/>
      <c r="L124" s="2"/>
      <c r="M124" s="5" t="str">
        <f t="shared" si="7"/>
        <v>Не использовать как основание</v>
      </c>
      <c r="N124" s="2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2"/>
      <c r="B125" s="2"/>
      <c r="C125" s="2"/>
      <c r="D125" s="2"/>
      <c r="E125" s="2"/>
      <c r="F125" s="2"/>
      <c r="G125" s="3"/>
      <c r="H125" s="3"/>
      <c r="I125" s="3"/>
      <c r="J125" s="4">
        <f t="shared" si="6"/>
        <v>0</v>
      </c>
      <c r="K125" s="2"/>
      <c r="L125" s="2"/>
      <c r="M125" s="5" t="str">
        <f t="shared" si="7"/>
        <v>Не использовать как основание</v>
      </c>
      <c r="N125" s="2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2"/>
      <c r="B126" s="2"/>
      <c r="C126" s="2"/>
      <c r="D126" s="2"/>
      <c r="E126" s="2"/>
      <c r="F126" s="2"/>
      <c r="G126" s="3"/>
      <c r="H126" s="3"/>
      <c r="I126" s="3"/>
      <c r="J126" s="4">
        <f t="shared" si="6"/>
        <v>0</v>
      </c>
      <c r="K126" s="2"/>
      <c r="L126" s="2"/>
      <c r="M126" s="5" t="str">
        <f t="shared" si="7"/>
        <v>Не использовать как основание</v>
      </c>
      <c r="N126" s="2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2"/>
      <c r="B127" s="2"/>
      <c r="C127" s="2"/>
      <c r="D127" s="2"/>
      <c r="E127" s="2"/>
      <c r="F127" s="2"/>
      <c r="G127" s="3"/>
      <c r="H127" s="3"/>
      <c r="I127" s="3"/>
      <c r="J127" s="4">
        <f t="shared" si="6"/>
        <v>0</v>
      </c>
      <c r="K127" s="2"/>
      <c r="L127" s="2"/>
      <c r="M127" s="5" t="str">
        <f t="shared" si="7"/>
        <v>Не использовать как основание</v>
      </c>
      <c r="N127" s="2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2"/>
      <c r="B128" s="2"/>
      <c r="C128" s="2"/>
      <c r="D128" s="2"/>
      <c r="E128" s="2"/>
      <c r="F128" s="2"/>
      <c r="G128" s="3"/>
      <c r="H128" s="3"/>
      <c r="I128" s="3"/>
      <c r="J128" s="4">
        <f t="shared" si="6"/>
        <v>0</v>
      </c>
      <c r="K128" s="2"/>
      <c r="L128" s="2"/>
      <c r="M128" s="5" t="str">
        <f t="shared" si="7"/>
        <v>Не использовать как основание</v>
      </c>
      <c r="N128" s="2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2"/>
      <c r="B129" s="2"/>
      <c r="C129" s="2"/>
      <c r="D129" s="2"/>
      <c r="E129" s="2"/>
      <c r="F129" s="2"/>
      <c r="G129" s="3"/>
      <c r="H129" s="3"/>
      <c r="I129" s="3"/>
      <c r="J129" s="4">
        <f t="shared" si="6"/>
        <v>0</v>
      </c>
      <c r="K129" s="2"/>
      <c r="L129" s="2"/>
      <c r="M129" s="5" t="str">
        <f t="shared" si="7"/>
        <v>Не использовать как основание</v>
      </c>
      <c r="N129" s="2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2"/>
      <c r="B130" s="2"/>
      <c r="C130" s="2"/>
      <c r="D130" s="2"/>
      <c r="E130" s="2"/>
      <c r="F130" s="2"/>
      <c r="G130" s="3"/>
      <c r="H130" s="3"/>
      <c r="I130" s="3"/>
      <c r="J130" s="4">
        <f t="shared" si="6"/>
        <v>0</v>
      </c>
      <c r="K130" s="2"/>
      <c r="L130" s="2"/>
      <c r="M130" s="5" t="str">
        <f t="shared" si="7"/>
        <v>Не использовать как основание</v>
      </c>
      <c r="N130" s="2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2"/>
      <c r="B131" s="2"/>
      <c r="C131" s="2"/>
      <c r="D131" s="2"/>
      <c r="E131" s="2"/>
      <c r="F131" s="2"/>
      <c r="G131" s="3"/>
      <c r="H131" s="3"/>
      <c r="I131" s="3"/>
      <c r="J131" s="4">
        <f t="shared" si="6"/>
        <v>0</v>
      </c>
      <c r="K131" s="2"/>
      <c r="L131" s="2"/>
      <c r="M131" s="5" t="str">
        <f t="shared" si="7"/>
        <v>Не использовать как основание</v>
      </c>
      <c r="N131" s="2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2"/>
      <c r="B132" s="2"/>
      <c r="C132" s="2"/>
      <c r="D132" s="2"/>
      <c r="E132" s="2"/>
      <c r="F132" s="2"/>
      <c r="G132" s="3"/>
      <c r="H132" s="3"/>
      <c r="I132" s="3"/>
      <c r="J132" s="4">
        <f t="shared" ref="J132:J163" si="8">IFERROR((G132*H132)*(6-I132)/20,"")</f>
        <v>0</v>
      </c>
      <c r="K132" s="2"/>
      <c r="L132" s="2"/>
      <c r="M132" s="5" t="str">
        <f t="shared" ref="M132:M163" si="9">IF(J132="","",IF(J132&gt;=3,"Использовать",IF(J132&gt;=1.8,"Проверить дополнительно","Не использовать как основание")))</f>
        <v>Не использовать как основание</v>
      </c>
      <c r="N132" s="2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2"/>
      <c r="B133" s="2"/>
      <c r="C133" s="2"/>
      <c r="D133" s="2"/>
      <c r="E133" s="2"/>
      <c r="F133" s="2"/>
      <c r="G133" s="3"/>
      <c r="H133" s="3"/>
      <c r="I133" s="3"/>
      <c r="J133" s="4">
        <f t="shared" si="8"/>
        <v>0</v>
      </c>
      <c r="K133" s="2"/>
      <c r="L133" s="2"/>
      <c r="M133" s="5" t="str">
        <f t="shared" si="9"/>
        <v>Не использовать как основание</v>
      </c>
      <c r="N133" s="2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2"/>
      <c r="B134" s="2"/>
      <c r="C134" s="2"/>
      <c r="D134" s="2"/>
      <c r="E134" s="2"/>
      <c r="F134" s="2"/>
      <c r="G134" s="3"/>
      <c r="H134" s="3"/>
      <c r="I134" s="3"/>
      <c r="J134" s="4">
        <f t="shared" si="8"/>
        <v>0</v>
      </c>
      <c r="K134" s="2"/>
      <c r="L134" s="2"/>
      <c r="M134" s="5" t="str">
        <f t="shared" si="9"/>
        <v>Не использовать как основание</v>
      </c>
      <c r="N134" s="2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2"/>
      <c r="B135" s="2"/>
      <c r="C135" s="2"/>
      <c r="D135" s="2"/>
      <c r="E135" s="2"/>
      <c r="F135" s="2"/>
      <c r="G135" s="3"/>
      <c r="H135" s="3"/>
      <c r="I135" s="3"/>
      <c r="J135" s="4">
        <f t="shared" si="8"/>
        <v>0</v>
      </c>
      <c r="K135" s="2"/>
      <c r="L135" s="2"/>
      <c r="M135" s="5" t="str">
        <f t="shared" si="9"/>
        <v>Не использовать как основание</v>
      </c>
      <c r="N135" s="2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2"/>
      <c r="B136" s="2"/>
      <c r="C136" s="2"/>
      <c r="D136" s="2"/>
      <c r="E136" s="2"/>
      <c r="F136" s="2"/>
      <c r="G136" s="3"/>
      <c r="H136" s="3"/>
      <c r="I136" s="3"/>
      <c r="J136" s="4">
        <f t="shared" si="8"/>
        <v>0</v>
      </c>
      <c r="K136" s="2"/>
      <c r="L136" s="2"/>
      <c r="M136" s="5" t="str">
        <f t="shared" si="9"/>
        <v>Не использовать как основание</v>
      </c>
      <c r="N136" s="2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2"/>
      <c r="B137" s="2"/>
      <c r="C137" s="2"/>
      <c r="D137" s="2"/>
      <c r="E137" s="2"/>
      <c r="F137" s="2"/>
      <c r="G137" s="3"/>
      <c r="H137" s="3"/>
      <c r="I137" s="3"/>
      <c r="J137" s="4">
        <f t="shared" si="8"/>
        <v>0</v>
      </c>
      <c r="K137" s="2"/>
      <c r="L137" s="2"/>
      <c r="M137" s="5" t="str">
        <f t="shared" si="9"/>
        <v>Не использовать как основание</v>
      </c>
      <c r="N137" s="2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2"/>
      <c r="B138" s="2"/>
      <c r="C138" s="2"/>
      <c r="D138" s="2"/>
      <c r="E138" s="2"/>
      <c r="F138" s="2"/>
      <c r="G138" s="3"/>
      <c r="H138" s="3"/>
      <c r="I138" s="3"/>
      <c r="J138" s="4">
        <f t="shared" si="8"/>
        <v>0</v>
      </c>
      <c r="K138" s="2"/>
      <c r="L138" s="2"/>
      <c r="M138" s="5" t="str">
        <f t="shared" si="9"/>
        <v>Не использовать как основание</v>
      </c>
      <c r="N138" s="2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2"/>
      <c r="B139" s="2"/>
      <c r="C139" s="2"/>
      <c r="D139" s="2"/>
      <c r="E139" s="2"/>
      <c r="F139" s="2"/>
      <c r="G139" s="3"/>
      <c r="H139" s="3"/>
      <c r="I139" s="3"/>
      <c r="J139" s="4">
        <f t="shared" si="8"/>
        <v>0</v>
      </c>
      <c r="K139" s="2"/>
      <c r="L139" s="2"/>
      <c r="M139" s="5" t="str">
        <f t="shared" si="9"/>
        <v>Не использовать как основание</v>
      </c>
      <c r="N139" s="2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2"/>
      <c r="B140" s="2"/>
      <c r="C140" s="2"/>
      <c r="D140" s="2"/>
      <c r="E140" s="2"/>
      <c r="F140" s="2"/>
      <c r="G140" s="3"/>
      <c r="H140" s="3"/>
      <c r="I140" s="3"/>
      <c r="J140" s="4">
        <f t="shared" si="8"/>
        <v>0</v>
      </c>
      <c r="K140" s="2"/>
      <c r="L140" s="2"/>
      <c r="M140" s="5" t="str">
        <f t="shared" si="9"/>
        <v>Не использовать как основание</v>
      </c>
      <c r="N140" s="2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2"/>
      <c r="B141" s="2"/>
      <c r="C141" s="2"/>
      <c r="D141" s="2"/>
      <c r="E141" s="2"/>
      <c r="F141" s="2"/>
      <c r="G141" s="3"/>
      <c r="H141" s="3"/>
      <c r="I141" s="3"/>
      <c r="J141" s="4">
        <f t="shared" si="8"/>
        <v>0</v>
      </c>
      <c r="K141" s="2"/>
      <c r="L141" s="2"/>
      <c r="M141" s="5" t="str">
        <f t="shared" si="9"/>
        <v>Не использовать как основание</v>
      </c>
      <c r="N141" s="2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2"/>
      <c r="B142" s="2"/>
      <c r="C142" s="2"/>
      <c r="D142" s="2"/>
      <c r="E142" s="2"/>
      <c r="F142" s="2"/>
      <c r="G142" s="3"/>
      <c r="H142" s="3"/>
      <c r="I142" s="3"/>
      <c r="J142" s="4">
        <f t="shared" si="8"/>
        <v>0</v>
      </c>
      <c r="K142" s="2"/>
      <c r="L142" s="2"/>
      <c r="M142" s="5" t="str">
        <f t="shared" si="9"/>
        <v>Не использовать как основание</v>
      </c>
      <c r="N142" s="2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2"/>
      <c r="B143" s="2"/>
      <c r="C143" s="2"/>
      <c r="D143" s="2"/>
      <c r="E143" s="2"/>
      <c r="F143" s="2"/>
      <c r="G143" s="3"/>
      <c r="H143" s="3"/>
      <c r="I143" s="3"/>
      <c r="J143" s="4">
        <f t="shared" si="8"/>
        <v>0</v>
      </c>
      <c r="K143" s="2"/>
      <c r="L143" s="2"/>
      <c r="M143" s="5" t="str">
        <f t="shared" si="9"/>
        <v>Не использовать как основание</v>
      </c>
      <c r="N143" s="2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2"/>
      <c r="B144" s="2"/>
      <c r="C144" s="2"/>
      <c r="D144" s="2"/>
      <c r="E144" s="2"/>
      <c r="F144" s="2"/>
      <c r="G144" s="3"/>
      <c r="H144" s="3"/>
      <c r="I144" s="3"/>
      <c r="J144" s="4">
        <f t="shared" si="8"/>
        <v>0</v>
      </c>
      <c r="K144" s="2"/>
      <c r="L144" s="2"/>
      <c r="M144" s="5" t="str">
        <f t="shared" si="9"/>
        <v>Не использовать как основание</v>
      </c>
      <c r="N144" s="2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2"/>
      <c r="B145" s="2"/>
      <c r="C145" s="2"/>
      <c r="D145" s="2"/>
      <c r="E145" s="2"/>
      <c r="F145" s="2"/>
      <c r="G145" s="3"/>
      <c r="H145" s="3"/>
      <c r="I145" s="3"/>
      <c r="J145" s="4">
        <f t="shared" si="8"/>
        <v>0</v>
      </c>
      <c r="K145" s="2"/>
      <c r="L145" s="2"/>
      <c r="M145" s="5" t="str">
        <f t="shared" si="9"/>
        <v>Не использовать как основание</v>
      </c>
      <c r="N145" s="2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2"/>
      <c r="B146" s="2"/>
      <c r="C146" s="2"/>
      <c r="D146" s="2"/>
      <c r="E146" s="2"/>
      <c r="F146" s="2"/>
      <c r="G146" s="3"/>
      <c r="H146" s="3"/>
      <c r="I146" s="3"/>
      <c r="J146" s="4">
        <f t="shared" si="8"/>
        <v>0</v>
      </c>
      <c r="K146" s="2"/>
      <c r="L146" s="2"/>
      <c r="M146" s="5" t="str">
        <f t="shared" si="9"/>
        <v>Не использовать как основание</v>
      </c>
      <c r="N146" s="2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2"/>
      <c r="B147" s="2"/>
      <c r="C147" s="2"/>
      <c r="D147" s="2"/>
      <c r="E147" s="2"/>
      <c r="F147" s="2"/>
      <c r="G147" s="3"/>
      <c r="H147" s="3"/>
      <c r="I147" s="3"/>
      <c r="J147" s="4">
        <f t="shared" si="8"/>
        <v>0</v>
      </c>
      <c r="K147" s="2"/>
      <c r="L147" s="2"/>
      <c r="M147" s="5" t="str">
        <f t="shared" si="9"/>
        <v>Не использовать как основание</v>
      </c>
      <c r="N147" s="2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2"/>
      <c r="B148" s="2"/>
      <c r="C148" s="2"/>
      <c r="D148" s="2"/>
      <c r="E148" s="2"/>
      <c r="F148" s="2"/>
      <c r="G148" s="3"/>
      <c r="H148" s="3"/>
      <c r="I148" s="3"/>
      <c r="J148" s="4">
        <f t="shared" si="8"/>
        <v>0</v>
      </c>
      <c r="K148" s="2"/>
      <c r="L148" s="2"/>
      <c r="M148" s="5" t="str">
        <f t="shared" si="9"/>
        <v>Не использовать как основание</v>
      </c>
      <c r="N148" s="2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2"/>
      <c r="B149" s="2"/>
      <c r="C149" s="2"/>
      <c r="D149" s="2"/>
      <c r="E149" s="2"/>
      <c r="F149" s="2"/>
      <c r="G149" s="3"/>
      <c r="H149" s="3"/>
      <c r="I149" s="3"/>
      <c r="J149" s="4">
        <f t="shared" si="8"/>
        <v>0</v>
      </c>
      <c r="K149" s="2"/>
      <c r="L149" s="2"/>
      <c r="M149" s="5" t="str">
        <f t="shared" si="9"/>
        <v>Не использовать как основание</v>
      </c>
      <c r="N149" s="2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2"/>
      <c r="B150" s="2"/>
      <c r="C150" s="2"/>
      <c r="D150" s="2"/>
      <c r="E150" s="2"/>
      <c r="F150" s="2"/>
      <c r="G150" s="3"/>
      <c r="H150" s="3"/>
      <c r="I150" s="3"/>
      <c r="J150" s="4">
        <f t="shared" si="8"/>
        <v>0</v>
      </c>
      <c r="K150" s="2"/>
      <c r="L150" s="2"/>
      <c r="M150" s="5" t="str">
        <f t="shared" si="9"/>
        <v>Не использовать как основание</v>
      </c>
      <c r="N150" s="2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2"/>
      <c r="B151" s="2"/>
      <c r="C151" s="2"/>
      <c r="D151" s="2"/>
      <c r="E151" s="2"/>
      <c r="F151" s="2"/>
      <c r="G151" s="3"/>
      <c r="H151" s="3"/>
      <c r="I151" s="3"/>
      <c r="J151" s="4">
        <f t="shared" si="8"/>
        <v>0</v>
      </c>
      <c r="K151" s="2"/>
      <c r="L151" s="2"/>
      <c r="M151" s="5" t="str">
        <f t="shared" si="9"/>
        <v>Не использовать как основание</v>
      </c>
      <c r="N151" s="2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2"/>
      <c r="B152" s="2"/>
      <c r="C152" s="2"/>
      <c r="D152" s="2"/>
      <c r="E152" s="2"/>
      <c r="F152" s="2"/>
      <c r="G152" s="3"/>
      <c r="H152" s="3"/>
      <c r="I152" s="3"/>
      <c r="J152" s="4">
        <f t="shared" si="8"/>
        <v>0</v>
      </c>
      <c r="K152" s="2"/>
      <c r="L152" s="2"/>
      <c r="M152" s="5" t="str">
        <f t="shared" si="9"/>
        <v>Не использовать как основание</v>
      </c>
      <c r="N152" s="2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2"/>
      <c r="B153" s="2"/>
      <c r="C153" s="2"/>
      <c r="D153" s="2"/>
      <c r="E153" s="2"/>
      <c r="F153" s="2"/>
      <c r="G153" s="3"/>
      <c r="H153" s="3"/>
      <c r="I153" s="3"/>
      <c r="J153" s="4">
        <f t="shared" si="8"/>
        <v>0</v>
      </c>
      <c r="K153" s="2"/>
      <c r="L153" s="2"/>
      <c r="M153" s="5" t="str">
        <f t="shared" si="9"/>
        <v>Не использовать как основание</v>
      </c>
      <c r="N153" s="2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2"/>
      <c r="B154" s="2"/>
      <c r="C154" s="2"/>
      <c r="D154" s="2"/>
      <c r="E154" s="2"/>
      <c r="F154" s="2"/>
      <c r="G154" s="3"/>
      <c r="H154" s="3"/>
      <c r="I154" s="3"/>
      <c r="J154" s="4">
        <f t="shared" si="8"/>
        <v>0</v>
      </c>
      <c r="K154" s="2"/>
      <c r="L154" s="2"/>
      <c r="M154" s="5" t="str">
        <f t="shared" si="9"/>
        <v>Не использовать как основание</v>
      </c>
      <c r="N154" s="2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2"/>
      <c r="B155" s="2"/>
      <c r="C155" s="2"/>
      <c r="D155" s="2"/>
      <c r="E155" s="2"/>
      <c r="F155" s="2"/>
      <c r="G155" s="3"/>
      <c r="H155" s="3"/>
      <c r="I155" s="3"/>
      <c r="J155" s="4">
        <f t="shared" si="8"/>
        <v>0</v>
      </c>
      <c r="K155" s="2"/>
      <c r="L155" s="2"/>
      <c r="M155" s="5" t="str">
        <f t="shared" si="9"/>
        <v>Не использовать как основание</v>
      </c>
      <c r="N155" s="2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2"/>
      <c r="B156" s="2"/>
      <c r="C156" s="2"/>
      <c r="D156" s="2"/>
      <c r="E156" s="2"/>
      <c r="F156" s="2"/>
      <c r="G156" s="3"/>
      <c r="H156" s="3"/>
      <c r="I156" s="3"/>
      <c r="J156" s="4">
        <f t="shared" si="8"/>
        <v>0</v>
      </c>
      <c r="K156" s="2"/>
      <c r="L156" s="2"/>
      <c r="M156" s="5" t="str">
        <f t="shared" si="9"/>
        <v>Не использовать как основание</v>
      </c>
      <c r="N156" s="2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2"/>
      <c r="B157" s="2"/>
      <c r="C157" s="2"/>
      <c r="D157" s="2"/>
      <c r="E157" s="2"/>
      <c r="F157" s="2"/>
      <c r="G157" s="3"/>
      <c r="H157" s="3"/>
      <c r="I157" s="3"/>
      <c r="J157" s="4">
        <f t="shared" si="8"/>
        <v>0</v>
      </c>
      <c r="K157" s="2"/>
      <c r="L157" s="2"/>
      <c r="M157" s="5" t="str">
        <f t="shared" si="9"/>
        <v>Не использовать как основание</v>
      </c>
      <c r="N157" s="2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2"/>
      <c r="B158" s="2"/>
      <c r="C158" s="2"/>
      <c r="D158" s="2"/>
      <c r="E158" s="2"/>
      <c r="F158" s="2"/>
      <c r="G158" s="3"/>
      <c r="H158" s="3"/>
      <c r="I158" s="3"/>
      <c r="J158" s="4">
        <f t="shared" si="8"/>
        <v>0</v>
      </c>
      <c r="K158" s="2"/>
      <c r="L158" s="2"/>
      <c r="M158" s="5" t="str">
        <f t="shared" si="9"/>
        <v>Не использовать как основание</v>
      </c>
      <c r="N158" s="2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2"/>
      <c r="B159" s="2"/>
      <c r="C159" s="2"/>
      <c r="D159" s="2"/>
      <c r="E159" s="2"/>
      <c r="F159" s="2"/>
      <c r="G159" s="3"/>
      <c r="H159" s="3"/>
      <c r="I159" s="3"/>
      <c r="J159" s="4">
        <f t="shared" si="8"/>
        <v>0</v>
      </c>
      <c r="K159" s="2"/>
      <c r="L159" s="2"/>
      <c r="M159" s="5" t="str">
        <f t="shared" si="9"/>
        <v>Не использовать как основание</v>
      </c>
      <c r="N159" s="2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2"/>
      <c r="B160" s="2"/>
      <c r="C160" s="2"/>
      <c r="D160" s="2"/>
      <c r="E160" s="2"/>
      <c r="F160" s="2"/>
      <c r="G160" s="3"/>
      <c r="H160" s="3"/>
      <c r="I160" s="3"/>
      <c r="J160" s="4">
        <f t="shared" si="8"/>
        <v>0</v>
      </c>
      <c r="K160" s="2"/>
      <c r="L160" s="2"/>
      <c r="M160" s="5" t="str">
        <f t="shared" si="9"/>
        <v>Не использовать как основание</v>
      </c>
      <c r="N160" s="2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2"/>
      <c r="B161" s="2"/>
      <c r="C161" s="2"/>
      <c r="D161" s="2"/>
      <c r="E161" s="2"/>
      <c r="F161" s="2"/>
      <c r="G161" s="3"/>
      <c r="H161" s="3"/>
      <c r="I161" s="3"/>
      <c r="J161" s="4">
        <f t="shared" si="8"/>
        <v>0</v>
      </c>
      <c r="K161" s="2"/>
      <c r="L161" s="2"/>
      <c r="M161" s="5" t="str">
        <f t="shared" si="9"/>
        <v>Не использовать как основание</v>
      </c>
      <c r="N161" s="2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2"/>
      <c r="B162" s="2"/>
      <c r="C162" s="2"/>
      <c r="D162" s="2"/>
      <c r="E162" s="2"/>
      <c r="F162" s="2"/>
      <c r="G162" s="3"/>
      <c r="H162" s="3"/>
      <c r="I162" s="3"/>
      <c r="J162" s="4">
        <f t="shared" si="8"/>
        <v>0</v>
      </c>
      <c r="K162" s="2"/>
      <c r="L162" s="2"/>
      <c r="M162" s="5" t="str">
        <f t="shared" si="9"/>
        <v>Не использовать как основание</v>
      </c>
      <c r="N162" s="2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2"/>
      <c r="B163" s="2"/>
      <c r="C163" s="2"/>
      <c r="D163" s="2"/>
      <c r="E163" s="2"/>
      <c r="F163" s="2"/>
      <c r="G163" s="3"/>
      <c r="H163" s="3"/>
      <c r="I163" s="3"/>
      <c r="J163" s="4">
        <f t="shared" si="8"/>
        <v>0</v>
      </c>
      <c r="K163" s="2"/>
      <c r="L163" s="2"/>
      <c r="M163" s="5" t="str">
        <f t="shared" si="9"/>
        <v>Не использовать как основание</v>
      </c>
      <c r="N163" s="2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2"/>
      <c r="B164" s="2"/>
      <c r="C164" s="2"/>
      <c r="D164" s="2"/>
      <c r="E164" s="2"/>
      <c r="F164" s="2"/>
      <c r="G164" s="3"/>
      <c r="H164" s="3"/>
      <c r="I164" s="3"/>
      <c r="J164" s="4">
        <f t="shared" ref="J164:J195" si="10">IFERROR((G164*H164)*(6-I164)/20,"")</f>
        <v>0</v>
      </c>
      <c r="K164" s="2"/>
      <c r="L164" s="2"/>
      <c r="M164" s="5" t="str">
        <f t="shared" ref="M164:M195" si="11">IF(J164="","",IF(J164&gt;=3,"Использовать",IF(J164&gt;=1.8,"Проверить дополнительно","Не использовать как основание")))</f>
        <v>Не использовать как основание</v>
      </c>
      <c r="N164" s="2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2"/>
      <c r="B165" s="2"/>
      <c r="C165" s="2"/>
      <c r="D165" s="2"/>
      <c r="E165" s="2"/>
      <c r="F165" s="2"/>
      <c r="G165" s="3"/>
      <c r="H165" s="3"/>
      <c r="I165" s="3"/>
      <c r="J165" s="4">
        <f t="shared" si="10"/>
        <v>0</v>
      </c>
      <c r="K165" s="2"/>
      <c r="L165" s="2"/>
      <c r="M165" s="5" t="str">
        <f t="shared" si="11"/>
        <v>Не использовать как основание</v>
      </c>
      <c r="N165" s="2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2"/>
      <c r="B166" s="2"/>
      <c r="C166" s="2"/>
      <c r="D166" s="2"/>
      <c r="E166" s="2"/>
      <c r="F166" s="2"/>
      <c r="G166" s="3"/>
      <c r="H166" s="3"/>
      <c r="I166" s="3"/>
      <c r="J166" s="4">
        <f t="shared" si="10"/>
        <v>0</v>
      </c>
      <c r="K166" s="2"/>
      <c r="L166" s="2"/>
      <c r="M166" s="5" t="str">
        <f t="shared" si="11"/>
        <v>Не использовать как основание</v>
      </c>
      <c r="N166" s="2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2"/>
      <c r="B167" s="2"/>
      <c r="C167" s="2"/>
      <c r="D167" s="2"/>
      <c r="E167" s="2"/>
      <c r="F167" s="2"/>
      <c r="G167" s="3"/>
      <c r="H167" s="3"/>
      <c r="I167" s="3"/>
      <c r="J167" s="4">
        <f t="shared" si="10"/>
        <v>0</v>
      </c>
      <c r="K167" s="2"/>
      <c r="L167" s="2"/>
      <c r="M167" s="5" t="str">
        <f t="shared" si="11"/>
        <v>Не использовать как основание</v>
      </c>
      <c r="N167" s="2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2"/>
      <c r="B168" s="2"/>
      <c r="C168" s="2"/>
      <c r="D168" s="2"/>
      <c r="E168" s="2"/>
      <c r="F168" s="2"/>
      <c r="G168" s="3"/>
      <c r="H168" s="3"/>
      <c r="I168" s="3"/>
      <c r="J168" s="4">
        <f t="shared" si="10"/>
        <v>0</v>
      </c>
      <c r="K168" s="2"/>
      <c r="L168" s="2"/>
      <c r="M168" s="5" t="str">
        <f t="shared" si="11"/>
        <v>Не использовать как основание</v>
      </c>
      <c r="N168" s="2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2"/>
      <c r="B169" s="2"/>
      <c r="C169" s="2"/>
      <c r="D169" s="2"/>
      <c r="E169" s="2"/>
      <c r="F169" s="2"/>
      <c r="G169" s="3"/>
      <c r="H169" s="3"/>
      <c r="I169" s="3"/>
      <c r="J169" s="4">
        <f t="shared" si="10"/>
        <v>0</v>
      </c>
      <c r="K169" s="2"/>
      <c r="L169" s="2"/>
      <c r="M169" s="5" t="str">
        <f t="shared" si="11"/>
        <v>Не использовать как основание</v>
      </c>
      <c r="N169" s="2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2"/>
      <c r="B170" s="2"/>
      <c r="C170" s="2"/>
      <c r="D170" s="2"/>
      <c r="E170" s="2"/>
      <c r="F170" s="2"/>
      <c r="G170" s="3"/>
      <c r="H170" s="3"/>
      <c r="I170" s="3"/>
      <c r="J170" s="4">
        <f t="shared" si="10"/>
        <v>0</v>
      </c>
      <c r="K170" s="2"/>
      <c r="L170" s="2"/>
      <c r="M170" s="5" t="str">
        <f t="shared" si="11"/>
        <v>Не использовать как основание</v>
      </c>
      <c r="N170" s="2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2"/>
      <c r="B171" s="2"/>
      <c r="C171" s="2"/>
      <c r="D171" s="2"/>
      <c r="E171" s="2"/>
      <c r="F171" s="2"/>
      <c r="G171" s="3"/>
      <c r="H171" s="3"/>
      <c r="I171" s="3"/>
      <c r="J171" s="4">
        <f t="shared" si="10"/>
        <v>0</v>
      </c>
      <c r="K171" s="2"/>
      <c r="L171" s="2"/>
      <c r="M171" s="5" t="str">
        <f t="shared" si="11"/>
        <v>Не использовать как основание</v>
      </c>
      <c r="N171" s="2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2"/>
      <c r="B172" s="2"/>
      <c r="C172" s="2"/>
      <c r="D172" s="2"/>
      <c r="E172" s="2"/>
      <c r="F172" s="2"/>
      <c r="G172" s="3"/>
      <c r="H172" s="3"/>
      <c r="I172" s="3"/>
      <c r="J172" s="4">
        <f t="shared" si="10"/>
        <v>0</v>
      </c>
      <c r="K172" s="2"/>
      <c r="L172" s="2"/>
      <c r="M172" s="5" t="str">
        <f t="shared" si="11"/>
        <v>Не использовать как основание</v>
      </c>
      <c r="N172" s="2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2"/>
      <c r="B173" s="2"/>
      <c r="C173" s="2"/>
      <c r="D173" s="2"/>
      <c r="E173" s="2"/>
      <c r="F173" s="2"/>
      <c r="G173" s="3"/>
      <c r="H173" s="3"/>
      <c r="I173" s="3"/>
      <c r="J173" s="4">
        <f t="shared" si="10"/>
        <v>0</v>
      </c>
      <c r="K173" s="2"/>
      <c r="L173" s="2"/>
      <c r="M173" s="5" t="str">
        <f t="shared" si="11"/>
        <v>Не использовать как основание</v>
      </c>
      <c r="N173" s="2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2"/>
      <c r="B174" s="2"/>
      <c r="C174" s="2"/>
      <c r="D174" s="2"/>
      <c r="E174" s="2"/>
      <c r="F174" s="2"/>
      <c r="G174" s="3"/>
      <c r="H174" s="3"/>
      <c r="I174" s="3"/>
      <c r="J174" s="4">
        <f t="shared" si="10"/>
        <v>0</v>
      </c>
      <c r="K174" s="2"/>
      <c r="L174" s="2"/>
      <c r="M174" s="5" t="str">
        <f t="shared" si="11"/>
        <v>Не использовать как основание</v>
      </c>
      <c r="N174" s="2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2"/>
      <c r="B175" s="2"/>
      <c r="C175" s="2"/>
      <c r="D175" s="2"/>
      <c r="E175" s="2"/>
      <c r="F175" s="2"/>
      <c r="G175" s="3"/>
      <c r="H175" s="3"/>
      <c r="I175" s="3"/>
      <c r="J175" s="4">
        <f t="shared" si="10"/>
        <v>0</v>
      </c>
      <c r="K175" s="2"/>
      <c r="L175" s="2"/>
      <c r="M175" s="5" t="str">
        <f t="shared" si="11"/>
        <v>Не использовать как основание</v>
      </c>
      <c r="N175" s="2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2"/>
      <c r="B176" s="2"/>
      <c r="C176" s="2"/>
      <c r="D176" s="2"/>
      <c r="E176" s="2"/>
      <c r="F176" s="2"/>
      <c r="G176" s="3"/>
      <c r="H176" s="3"/>
      <c r="I176" s="3"/>
      <c r="J176" s="4">
        <f t="shared" si="10"/>
        <v>0</v>
      </c>
      <c r="K176" s="2"/>
      <c r="L176" s="2"/>
      <c r="M176" s="5" t="str">
        <f t="shared" si="11"/>
        <v>Не использовать как основание</v>
      </c>
      <c r="N176" s="2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2"/>
      <c r="B177" s="2"/>
      <c r="C177" s="2"/>
      <c r="D177" s="2"/>
      <c r="E177" s="2"/>
      <c r="F177" s="2"/>
      <c r="G177" s="3"/>
      <c r="H177" s="3"/>
      <c r="I177" s="3"/>
      <c r="J177" s="4">
        <f t="shared" si="10"/>
        <v>0</v>
      </c>
      <c r="K177" s="2"/>
      <c r="L177" s="2"/>
      <c r="M177" s="5" t="str">
        <f t="shared" si="11"/>
        <v>Не использовать как основание</v>
      </c>
      <c r="N177" s="2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2"/>
      <c r="B178" s="2"/>
      <c r="C178" s="2"/>
      <c r="D178" s="2"/>
      <c r="E178" s="2"/>
      <c r="F178" s="2"/>
      <c r="G178" s="3"/>
      <c r="H178" s="3"/>
      <c r="I178" s="3"/>
      <c r="J178" s="4">
        <f t="shared" si="10"/>
        <v>0</v>
      </c>
      <c r="K178" s="2"/>
      <c r="L178" s="2"/>
      <c r="M178" s="5" t="str">
        <f t="shared" si="11"/>
        <v>Не использовать как основание</v>
      </c>
      <c r="N178" s="2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2"/>
      <c r="B179" s="2"/>
      <c r="C179" s="2"/>
      <c r="D179" s="2"/>
      <c r="E179" s="2"/>
      <c r="F179" s="2"/>
      <c r="G179" s="3"/>
      <c r="H179" s="3"/>
      <c r="I179" s="3"/>
      <c r="J179" s="4">
        <f t="shared" si="10"/>
        <v>0</v>
      </c>
      <c r="K179" s="2"/>
      <c r="L179" s="2"/>
      <c r="M179" s="5" t="str">
        <f t="shared" si="11"/>
        <v>Не использовать как основание</v>
      </c>
      <c r="N179" s="2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2"/>
      <c r="B180" s="2"/>
      <c r="C180" s="2"/>
      <c r="D180" s="2"/>
      <c r="E180" s="2"/>
      <c r="F180" s="2"/>
      <c r="G180" s="3"/>
      <c r="H180" s="3"/>
      <c r="I180" s="3"/>
      <c r="J180" s="4">
        <f t="shared" si="10"/>
        <v>0</v>
      </c>
      <c r="K180" s="2"/>
      <c r="L180" s="2"/>
      <c r="M180" s="5" t="str">
        <f t="shared" si="11"/>
        <v>Не использовать как основание</v>
      </c>
      <c r="N180" s="2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2"/>
      <c r="B181" s="2"/>
      <c r="C181" s="2"/>
      <c r="D181" s="2"/>
      <c r="E181" s="2"/>
      <c r="F181" s="2"/>
      <c r="G181" s="3"/>
      <c r="H181" s="3"/>
      <c r="I181" s="3"/>
      <c r="J181" s="4">
        <f t="shared" si="10"/>
        <v>0</v>
      </c>
      <c r="K181" s="2"/>
      <c r="L181" s="2"/>
      <c r="M181" s="5" t="str">
        <f t="shared" si="11"/>
        <v>Не использовать как основание</v>
      </c>
      <c r="N181" s="2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2"/>
      <c r="B182" s="2"/>
      <c r="C182" s="2"/>
      <c r="D182" s="2"/>
      <c r="E182" s="2"/>
      <c r="F182" s="2"/>
      <c r="G182" s="3"/>
      <c r="H182" s="3"/>
      <c r="I182" s="3"/>
      <c r="J182" s="4">
        <f t="shared" si="10"/>
        <v>0</v>
      </c>
      <c r="K182" s="2"/>
      <c r="L182" s="2"/>
      <c r="M182" s="5" t="str">
        <f t="shared" si="11"/>
        <v>Не использовать как основание</v>
      </c>
      <c r="N182" s="2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2"/>
      <c r="B183" s="2"/>
      <c r="C183" s="2"/>
      <c r="D183" s="2"/>
      <c r="E183" s="2"/>
      <c r="F183" s="2"/>
      <c r="G183" s="3"/>
      <c r="H183" s="3"/>
      <c r="I183" s="3"/>
      <c r="J183" s="4">
        <f t="shared" si="10"/>
        <v>0</v>
      </c>
      <c r="K183" s="2"/>
      <c r="L183" s="2"/>
      <c r="M183" s="5" t="str">
        <f t="shared" si="11"/>
        <v>Не использовать как основание</v>
      </c>
      <c r="N183" s="2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2"/>
      <c r="B184" s="2"/>
      <c r="C184" s="2"/>
      <c r="D184" s="2"/>
      <c r="E184" s="2"/>
      <c r="F184" s="2"/>
      <c r="G184" s="3"/>
      <c r="H184" s="3"/>
      <c r="I184" s="3"/>
      <c r="J184" s="4">
        <f t="shared" si="10"/>
        <v>0</v>
      </c>
      <c r="K184" s="2"/>
      <c r="L184" s="2"/>
      <c r="M184" s="5" t="str">
        <f t="shared" si="11"/>
        <v>Не использовать как основание</v>
      </c>
      <c r="N184" s="2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2"/>
      <c r="B185" s="2"/>
      <c r="C185" s="2"/>
      <c r="D185" s="2"/>
      <c r="E185" s="2"/>
      <c r="F185" s="2"/>
      <c r="G185" s="3"/>
      <c r="H185" s="3"/>
      <c r="I185" s="3"/>
      <c r="J185" s="4">
        <f t="shared" si="10"/>
        <v>0</v>
      </c>
      <c r="K185" s="2"/>
      <c r="L185" s="2"/>
      <c r="M185" s="5" t="str">
        <f t="shared" si="11"/>
        <v>Не использовать как основание</v>
      </c>
      <c r="N185" s="2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2"/>
      <c r="B186" s="2"/>
      <c r="C186" s="2"/>
      <c r="D186" s="2"/>
      <c r="E186" s="2"/>
      <c r="F186" s="2"/>
      <c r="G186" s="3"/>
      <c r="H186" s="3"/>
      <c r="I186" s="3"/>
      <c r="J186" s="4">
        <f t="shared" si="10"/>
        <v>0</v>
      </c>
      <c r="K186" s="2"/>
      <c r="L186" s="2"/>
      <c r="M186" s="5" t="str">
        <f t="shared" si="11"/>
        <v>Не использовать как основание</v>
      </c>
      <c r="N186" s="2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2"/>
      <c r="B187" s="2"/>
      <c r="C187" s="2"/>
      <c r="D187" s="2"/>
      <c r="E187" s="2"/>
      <c r="F187" s="2"/>
      <c r="G187" s="3"/>
      <c r="H187" s="3"/>
      <c r="I187" s="3"/>
      <c r="J187" s="4">
        <f t="shared" si="10"/>
        <v>0</v>
      </c>
      <c r="K187" s="2"/>
      <c r="L187" s="2"/>
      <c r="M187" s="5" t="str">
        <f t="shared" si="11"/>
        <v>Не использовать как основание</v>
      </c>
      <c r="N187" s="2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2"/>
      <c r="B188" s="2"/>
      <c r="C188" s="2"/>
      <c r="D188" s="2"/>
      <c r="E188" s="2"/>
      <c r="F188" s="2"/>
      <c r="G188" s="3"/>
      <c r="H188" s="3"/>
      <c r="I188" s="3"/>
      <c r="J188" s="4">
        <f t="shared" si="10"/>
        <v>0</v>
      </c>
      <c r="K188" s="2"/>
      <c r="L188" s="2"/>
      <c r="M188" s="5" t="str">
        <f t="shared" si="11"/>
        <v>Не использовать как основание</v>
      </c>
      <c r="N188" s="2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2"/>
      <c r="B189" s="2"/>
      <c r="C189" s="2"/>
      <c r="D189" s="2"/>
      <c r="E189" s="2"/>
      <c r="F189" s="2"/>
      <c r="G189" s="3"/>
      <c r="H189" s="3"/>
      <c r="I189" s="3"/>
      <c r="J189" s="4">
        <f t="shared" si="10"/>
        <v>0</v>
      </c>
      <c r="K189" s="2"/>
      <c r="L189" s="2"/>
      <c r="M189" s="5" t="str">
        <f t="shared" si="11"/>
        <v>Не использовать как основание</v>
      </c>
      <c r="N189" s="2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2"/>
      <c r="B190" s="2"/>
      <c r="C190" s="2"/>
      <c r="D190" s="2"/>
      <c r="E190" s="2"/>
      <c r="F190" s="2"/>
      <c r="G190" s="3"/>
      <c r="H190" s="3"/>
      <c r="I190" s="3"/>
      <c r="J190" s="4">
        <f t="shared" si="10"/>
        <v>0</v>
      </c>
      <c r="K190" s="2"/>
      <c r="L190" s="2"/>
      <c r="M190" s="5" t="str">
        <f t="shared" si="11"/>
        <v>Не использовать как основание</v>
      </c>
      <c r="N190" s="2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2"/>
      <c r="B191" s="2"/>
      <c r="C191" s="2"/>
      <c r="D191" s="2"/>
      <c r="E191" s="2"/>
      <c r="F191" s="2"/>
      <c r="G191" s="3"/>
      <c r="H191" s="3"/>
      <c r="I191" s="3"/>
      <c r="J191" s="4">
        <f t="shared" si="10"/>
        <v>0</v>
      </c>
      <c r="K191" s="2"/>
      <c r="L191" s="2"/>
      <c r="M191" s="5" t="str">
        <f t="shared" si="11"/>
        <v>Не использовать как основание</v>
      </c>
      <c r="N191" s="2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2"/>
      <c r="B192" s="2"/>
      <c r="C192" s="2"/>
      <c r="D192" s="2"/>
      <c r="E192" s="2"/>
      <c r="F192" s="2"/>
      <c r="G192" s="3"/>
      <c r="H192" s="3"/>
      <c r="I192" s="3"/>
      <c r="J192" s="4">
        <f t="shared" si="10"/>
        <v>0</v>
      </c>
      <c r="K192" s="2"/>
      <c r="L192" s="2"/>
      <c r="M192" s="5" t="str">
        <f t="shared" si="11"/>
        <v>Не использовать как основание</v>
      </c>
      <c r="N192" s="2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2"/>
      <c r="B193" s="2"/>
      <c r="C193" s="2"/>
      <c r="D193" s="2"/>
      <c r="E193" s="2"/>
      <c r="F193" s="2"/>
      <c r="G193" s="3"/>
      <c r="H193" s="3"/>
      <c r="I193" s="3"/>
      <c r="J193" s="4">
        <f t="shared" si="10"/>
        <v>0</v>
      </c>
      <c r="K193" s="2"/>
      <c r="L193" s="2"/>
      <c r="M193" s="5" t="str">
        <f t="shared" si="11"/>
        <v>Не использовать как основание</v>
      </c>
      <c r="N193" s="2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2"/>
      <c r="B194" s="2"/>
      <c r="C194" s="2"/>
      <c r="D194" s="2"/>
      <c r="E194" s="2"/>
      <c r="F194" s="2"/>
      <c r="G194" s="3"/>
      <c r="H194" s="3"/>
      <c r="I194" s="3"/>
      <c r="J194" s="4">
        <f t="shared" si="10"/>
        <v>0</v>
      </c>
      <c r="K194" s="2"/>
      <c r="L194" s="2"/>
      <c r="M194" s="5" t="str">
        <f t="shared" si="11"/>
        <v>Не использовать как основание</v>
      </c>
      <c r="N194" s="2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2"/>
      <c r="B195" s="2"/>
      <c r="C195" s="2"/>
      <c r="D195" s="2"/>
      <c r="E195" s="2"/>
      <c r="F195" s="2"/>
      <c r="G195" s="3"/>
      <c r="H195" s="3"/>
      <c r="I195" s="3"/>
      <c r="J195" s="4">
        <f t="shared" si="10"/>
        <v>0</v>
      </c>
      <c r="K195" s="2"/>
      <c r="L195" s="2"/>
      <c r="M195" s="5" t="str">
        <f t="shared" si="11"/>
        <v>Не использовать как основание</v>
      </c>
      <c r="N195" s="2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2"/>
      <c r="B196" s="2"/>
      <c r="C196" s="2"/>
      <c r="D196" s="2"/>
      <c r="E196" s="2"/>
      <c r="F196" s="2"/>
      <c r="G196" s="3"/>
      <c r="H196" s="3"/>
      <c r="I196" s="3"/>
      <c r="J196" s="4">
        <f t="shared" ref="J196:J203" si="12">IFERROR((G196*H196)*(6-I196)/20,"")</f>
        <v>0</v>
      </c>
      <c r="K196" s="2"/>
      <c r="L196" s="2"/>
      <c r="M196" s="5" t="str">
        <f t="shared" ref="M196:M203" si="13">IF(J196="","",IF(J196&gt;=3,"Использовать",IF(J196&gt;=1.8,"Проверить дополнительно","Не использовать как основание")))</f>
        <v>Не использовать как основание</v>
      </c>
      <c r="N196" s="2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2"/>
      <c r="B197" s="2"/>
      <c r="C197" s="2"/>
      <c r="D197" s="2"/>
      <c r="E197" s="2"/>
      <c r="F197" s="2"/>
      <c r="G197" s="3"/>
      <c r="H197" s="3"/>
      <c r="I197" s="3"/>
      <c r="J197" s="4">
        <f t="shared" si="12"/>
        <v>0</v>
      </c>
      <c r="K197" s="2"/>
      <c r="L197" s="2"/>
      <c r="M197" s="5" t="str">
        <f t="shared" si="13"/>
        <v>Не использовать как основание</v>
      </c>
      <c r="N197" s="2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2"/>
      <c r="B198" s="2"/>
      <c r="C198" s="2"/>
      <c r="D198" s="2"/>
      <c r="E198" s="2"/>
      <c r="F198" s="2"/>
      <c r="G198" s="3"/>
      <c r="H198" s="3"/>
      <c r="I198" s="3"/>
      <c r="J198" s="4">
        <f t="shared" si="12"/>
        <v>0</v>
      </c>
      <c r="K198" s="2"/>
      <c r="L198" s="2"/>
      <c r="M198" s="5" t="str">
        <f t="shared" si="13"/>
        <v>Не использовать как основание</v>
      </c>
      <c r="N198" s="2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2"/>
      <c r="B199" s="2"/>
      <c r="C199" s="2"/>
      <c r="D199" s="2"/>
      <c r="E199" s="2"/>
      <c r="F199" s="2"/>
      <c r="G199" s="3"/>
      <c r="H199" s="3"/>
      <c r="I199" s="3"/>
      <c r="J199" s="4">
        <f t="shared" si="12"/>
        <v>0</v>
      </c>
      <c r="K199" s="2"/>
      <c r="L199" s="2"/>
      <c r="M199" s="5" t="str">
        <f t="shared" si="13"/>
        <v>Не использовать как основание</v>
      </c>
      <c r="N199" s="2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2"/>
      <c r="B200" s="2"/>
      <c r="C200" s="2"/>
      <c r="D200" s="2"/>
      <c r="E200" s="2"/>
      <c r="F200" s="2"/>
      <c r="G200" s="3"/>
      <c r="H200" s="3"/>
      <c r="I200" s="3"/>
      <c r="J200" s="4">
        <f t="shared" si="12"/>
        <v>0</v>
      </c>
      <c r="K200" s="2"/>
      <c r="L200" s="2"/>
      <c r="M200" s="5" t="str">
        <f t="shared" si="13"/>
        <v>Не использовать как основание</v>
      </c>
      <c r="N200" s="2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>
      <c r="A201" s="2"/>
      <c r="B201" s="2"/>
      <c r="C201" s="2"/>
      <c r="D201" s="2"/>
      <c r="E201" s="2"/>
      <c r="F201" s="2"/>
      <c r="G201" s="3"/>
      <c r="H201" s="3"/>
      <c r="I201" s="3"/>
      <c r="J201" s="4">
        <f t="shared" si="12"/>
        <v>0</v>
      </c>
      <c r="K201" s="2"/>
      <c r="L201" s="2"/>
      <c r="M201" s="5" t="str">
        <f t="shared" si="13"/>
        <v>Не использовать как основание</v>
      </c>
      <c r="N201" s="2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>
      <c r="A202" s="2"/>
      <c r="B202" s="2"/>
      <c r="C202" s="2"/>
      <c r="D202" s="2"/>
      <c r="E202" s="2"/>
      <c r="F202" s="2"/>
      <c r="G202" s="3"/>
      <c r="H202" s="3"/>
      <c r="I202" s="3"/>
      <c r="J202" s="4">
        <f t="shared" si="12"/>
        <v>0</v>
      </c>
      <c r="K202" s="2"/>
      <c r="L202" s="2"/>
      <c r="M202" s="5" t="str">
        <f t="shared" si="13"/>
        <v>Не использовать как основание</v>
      </c>
      <c r="N202" s="2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>
      <c r="A203" s="2"/>
      <c r="B203" s="2"/>
      <c r="C203" s="2"/>
      <c r="D203" s="2"/>
      <c r="E203" s="2"/>
      <c r="F203" s="2"/>
      <c r="G203" s="3"/>
      <c r="H203" s="3"/>
      <c r="I203" s="3"/>
      <c r="J203" s="4">
        <f t="shared" si="12"/>
        <v>0</v>
      </c>
      <c r="K203" s="2"/>
      <c r="L203" s="2"/>
      <c r="M203" s="5" t="str">
        <f t="shared" si="13"/>
        <v>Не использовать как основание</v>
      </c>
      <c r="N203" s="2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</sheetData>
  <mergeCells count="1">
    <mergeCell ref="A1:N1"/>
  </mergeCells>
  <conditionalFormatting sqref="J4:J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G4:G203" xr:uid="{00000000-0002-0000-0100-000002000000}">
      <formula1>"1,2,3,4"</formula1>
    </dataValidation>
    <dataValidation type="list" sqref="H4:I203" xr:uid="{00000000-0002-0000-0100-000003000000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Справочники!$A$4:$A$13</xm:f>
          </x14:formula1>
          <xm:sqref>B4:B203</xm:sqref>
        </x14:dataValidation>
        <x14:dataValidation type="list" xr:uid="{00000000-0002-0000-0100-000001000000}">
          <x14:formula1>
            <xm:f>Справочники!$D$4:$D$12</xm:f>
          </x14:formula1>
          <xm:sqref>K4:K203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"/>
  <sheetViews>
    <sheetView workbookViewId="0"/>
  </sheetViews>
  <sheetFormatPr defaultRowHeight="14.25"/>
  <cols>
    <col min="1" max="1" width="48.625" customWidth="1"/>
    <col min="2" max="2" width="45.625" customWidth="1"/>
    <col min="3" max="3" width="22" customWidth="1"/>
    <col min="4" max="4" width="55.625" customWidth="1"/>
    <col min="5" max="5" width="24" customWidth="1"/>
    <col min="6" max="7" width="55.625" customWidth="1"/>
    <col min="8" max="8" width="40.625" customWidth="1"/>
    <col min="9" max="9" width="25.625" customWidth="1"/>
    <col min="10" max="10" width="23.625" customWidth="1"/>
    <col min="11" max="11" width="25.625" customWidth="1"/>
    <col min="12" max="12" width="19.625" customWidth="1"/>
    <col min="13" max="13" width="18.625" customWidth="1"/>
    <col min="14" max="14" width="20" customWidth="1"/>
    <col min="15" max="15" width="41.625" customWidth="1"/>
    <col min="16" max="26" width="9.625" customWidth="1"/>
  </cols>
  <sheetData>
    <row r="1" spans="1:26" ht="18">
      <c r="A1" s="15" t="s">
        <v>76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>
      <c r="A3" s="10" t="s">
        <v>77</v>
      </c>
      <c r="B3" s="10" t="s">
        <v>78</v>
      </c>
      <c r="C3" s="10" t="s">
        <v>79</v>
      </c>
      <c r="D3" s="10" t="s">
        <v>80</v>
      </c>
      <c r="E3" s="10" t="s">
        <v>81</v>
      </c>
      <c r="F3" s="10" t="s">
        <v>82</v>
      </c>
      <c r="G3" s="10" t="s">
        <v>83</v>
      </c>
      <c r="H3" s="10" t="s">
        <v>84</v>
      </c>
      <c r="I3" s="10" t="s">
        <v>85</v>
      </c>
      <c r="J3" s="10" t="s">
        <v>86</v>
      </c>
      <c r="K3" s="10" t="s">
        <v>87</v>
      </c>
      <c r="L3" s="10" t="s">
        <v>88</v>
      </c>
      <c r="M3" s="10" t="s">
        <v>89</v>
      </c>
      <c r="N3" s="10" t="s">
        <v>9</v>
      </c>
      <c r="O3" s="10" t="s">
        <v>90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8.5">
      <c r="A4" s="2" t="s">
        <v>91</v>
      </c>
      <c r="B4" s="2" t="s">
        <v>446</v>
      </c>
      <c r="C4" s="2" t="s">
        <v>92</v>
      </c>
      <c r="D4" s="2" t="s">
        <v>447</v>
      </c>
      <c r="E4" s="2" t="s">
        <v>93</v>
      </c>
      <c r="F4" s="2" t="s">
        <v>448</v>
      </c>
      <c r="G4" s="2" t="s">
        <v>449</v>
      </c>
      <c r="H4" s="2" t="s">
        <v>450</v>
      </c>
      <c r="I4" s="2" t="s">
        <v>69</v>
      </c>
      <c r="J4" s="2">
        <v>2</v>
      </c>
      <c r="K4" s="2">
        <v>5</v>
      </c>
      <c r="L4" s="5">
        <f t="shared" ref="L4:L10" si="0">IF(A4="","",IF(COUNTA(D4:I4)&gt;=5,1,0))</f>
        <v>1</v>
      </c>
      <c r="M4" s="4">
        <f t="shared" ref="M4:M10" si="1">IF(A4="","",IFERROR(J4*K4*L4/20,0))</f>
        <v>0.5</v>
      </c>
      <c r="N4" s="2" t="s">
        <v>94</v>
      </c>
      <c r="O4" s="2" t="s">
        <v>95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8.5">
      <c r="A5" s="2" t="s">
        <v>96</v>
      </c>
      <c r="B5" s="2" t="s">
        <v>451</v>
      </c>
      <c r="C5" s="2" t="s">
        <v>452</v>
      </c>
      <c r="D5" s="2" t="s">
        <v>453</v>
      </c>
      <c r="E5" s="2" t="s">
        <v>454</v>
      </c>
      <c r="F5" s="2" t="s">
        <v>455</v>
      </c>
      <c r="G5" s="2" t="s">
        <v>456</v>
      </c>
      <c r="H5" s="2" t="s">
        <v>457</v>
      </c>
      <c r="I5" s="2" t="s">
        <v>65</v>
      </c>
      <c r="J5" s="2">
        <v>3</v>
      </c>
      <c r="K5" s="2">
        <v>5</v>
      </c>
      <c r="L5" s="5">
        <f t="shared" si="0"/>
        <v>1</v>
      </c>
      <c r="M5" s="4">
        <f t="shared" si="1"/>
        <v>0.75</v>
      </c>
      <c r="N5" s="2" t="s">
        <v>100</v>
      </c>
      <c r="O5" s="2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2" t="s">
        <v>458</v>
      </c>
      <c r="B6" s="2" t="s">
        <v>459</v>
      </c>
      <c r="C6" s="2" t="s">
        <v>331</v>
      </c>
      <c r="D6" s="2" t="s">
        <v>460</v>
      </c>
      <c r="E6" s="2" t="s">
        <v>461</v>
      </c>
      <c r="F6" s="2" t="s">
        <v>462</v>
      </c>
      <c r="G6" s="2" t="s">
        <v>463</v>
      </c>
      <c r="H6" s="2" t="s">
        <v>464</v>
      </c>
      <c r="I6" s="2" t="s">
        <v>391</v>
      </c>
      <c r="J6" s="2">
        <v>4</v>
      </c>
      <c r="K6" s="2">
        <v>4</v>
      </c>
      <c r="L6" s="5">
        <f t="shared" si="0"/>
        <v>1</v>
      </c>
      <c r="M6" s="4">
        <f t="shared" si="1"/>
        <v>0.8</v>
      </c>
      <c r="N6" s="2" t="s">
        <v>100</v>
      </c>
      <c r="O6" s="2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8.5">
      <c r="A7" s="2" t="s">
        <v>465</v>
      </c>
      <c r="B7" s="2" t="s">
        <v>466</v>
      </c>
      <c r="C7" s="2" t="s">
        <v>97</v>
      </c>
      <c r="D7" s="2" t="s">
        <v>467</v>
      </c>
      <c r="E7" s="2" t="s">
        <v>98</v>
      </c>
      <c r="F7" s="2" t="s">
        <v>741</v>
      </c>
      <c r="G7" s="2" t="s">
        <v>468</v>
      </c>
      <c r="H7" s="2" t="s">
        <v>469</v>
      </c>
      <c r="I7" s="2" t="s">
        <v>72</v>
      </c>
      <c r="J7" s="2">
        <v>4</v>
      </c>
      <c r="K7" s="2">
        <v>5</v>
      </c>
      <c r="L7" s="5">
        <f t="shared" si="0"/>
        <v>1</v>
      </c>
      <c r="M7" s="4">
        <f t="shared" si="1"/>
        <v>1</v>
      </c>
      <c r="N7" s="2" t="s">
        <v>100</v>
      </c>
      <c r="O7" s="2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2" t="s">
        <v>470</v>
      </c>
      <c r="B8" s="2" t="s">
        <v>471</v>
      </c>
      <c r="C8" s="2" t="s">
        <v>92</v>
      </c>
      <c r="D8" s="2" t="s">
        <v>472</v>
      </c>
      <c r="E8" s="2" t="s">
        <v>137</v>
      </c>
      <c r="F8" s="2" t="s">
        <v>473</v>
      </c>
      <c r="G8" s="2" t="s">
        <v>474</v>
      </c>
      <c r="H8" s="2" t="s">
        <v>475</v>
      </c>
      <c r="I8" s="2" t="s">
        <v>397</v>
      </c>
      <c r="J8" s="2">
        <v>4</v>
      </c>
      <c r="K8" s="2">
        <v>4</v>
      </c>
      <c r="L8" s="5">
        <f t="shared" si="0"/>
        <v>1</v>
      </c>
      <c r="M8" s="4">
        <f t="shared" si="1"/>
        <v>0.8</v>
      </c>
      <c r="N8" s="2" t="s">
        <v>100</v>
      </c>
      <c r="O8" s="2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2" t="s">
        <v>440</v>
      </c>
      <c r="B9" s="2" t="s">
        <v>476</v>
      </c>
      <c r="C9" s="2" t="s">
        <v>341</v>
      </c>
      <c r="D9" s="2" t="s">
        <v>477</v>
      </c>
      <c r="E9" s="2" t="s">
        <v>478</v>
      </c>
      <c r="F9" s="2" t="s">
        <v>479</v>
      </c>
      <c r="G9" s="2" t="s">
        <v>480</v>
      </c>
      <c r="H9" s="2" t="s">
        <v>481</v>
      </c>
      <c r="I9" s="2" t="s">
        <v>435</v>
      </c>
      <c r="J9" s="2">
        <v>2</v>
      </c>
      <c r="K9" s="2">
        <v>4</v>
      </c>
      <c r="L9" s="5">
        <f t="shared" si="0"/>
        <v>1</v>
      </c>
      <c r="M9" s="4">
        <f t="shared" si="1"/>
        <v>0.4</v>
      </c>
      <c r="N9" s="2" t="s">
        <v>100</v>
      </c>
      <c r="O9" s="2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8.5">
      <c r="A10" s="2" t="s">
        <v>482</v>
      </c>
      <c r="B10" s="2" t="s">
        <v>483</v>
      </c>
      <c r="C10" s="2" t="s">
        <v>484</v>
      </c>
      <c r="D10" s="2" t="s">
        <v>485</v>
      </c>
      <c r="E10" s="2" t="s">
        <v>486</v>
      </c>
      <c r="F10" s="2" t="s">
        <v>487</v>
      </c>
      <c r="G10" s="2" t="s">
        <v>488</v>
      </c>
      <c r="H10" s="2" t="s">
        <v>489</v>
      </c>
      <c r="I10" s="2" t="s">
        <v>421</v>
      </c>
      <c r="J10" s="2">
        <v>2</v>
      </c>
      <c r="K10" s="2">
        <v>3</v>
      </c>
      <c r="L10" s="5">
        <f t="shared" si="0"/>
        <v>1</v>
      </c>
      <c r="M10" s="4">
        <f t="shared" si="1"/>
        <v>0.3</v>
      </c>
      <c r="N10" s="2" t="s">
        <v>100</v>
      </c>
      <c r="O10" s="2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</sheetData>
  <mergeCells count="1">
    <mergeCell ref="A1:O1"/>
  </mergeCells>
  <conditionalFormatting sqref="L4:L10">
    <cfRule type="expression" dxfId="7" priority="1">
      <formula>L4=0</formula>
    </cfRule>
  </conditionalFormatting>
  <conditionalFormatting sqref="M4:M10">
    <cfRule type="colorScale" priority="4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J4:J10" xr:uid="{00000000-0002-0000-0200-000001000000}">
      <formula1>"1,2,3,4"</formula1>
    </dataValidation>
    <dataValidation type="list" sqref="K4:K10" xr:uid="{00000000-0002-0000-0200-000002000000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Справочники!$A$32:$A$41</xm:f>
          </x14:formula1>
          <xm:sqref>C4:C10</xm:sqref>
        </x14:dataValidation>
        <x14:dataValidation type="list" xr:uid="{00000000-0002-0000-0200-000003000000}">
          <x14:formula1>
            <xm:f>Справочники!$J$18:$J$22</xm:f>
          </x14:formula1>
          <xm:sqref>N4:N10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"/>
  <sheetViews>
    <sheetView workbookViewId="0"/>
  </sheetViews>
  <sheetFormatPr defaultRowHeight="14.25"/>
  <cols>
    <col min="1" max="1" width="48.625" customWidth="1"/>
    <col min="2" max="2" width="26.625" customWidth="1"/>
    <col min="3" max="4" width="55.625" customWidth="1"/>
    <col min="5" max="5" width="36.625" customWidth="1"/>
    <col min="6" max="6" width="31.625" customWidth="1"/>
    <col min="7" max="7" width="26.625" customWidth="1"/>
    <col min="8" max="8" width="27.625" customWidth="1"/>
    <col min="9" max="9" width="18.625" customWidth="1"/>
    <col min="10" max="10" width="28" customWidth="1"/>
    <col min="11" max="11" width="28.625" customWidth="1"/>
    <col min="12" max="12" width="26" customWidth="1"/>
    <col min="13" max="13" width="23.625" customWidth="1"/>
    <col min="14" max="14" width="20" customWidth="1"/>
    <col min="15" max="26" width="9.625" customWidth="1"/>
  </cols>
  <sheetData>
    <row r="1" spans="1:26" ht="18">
      <c r="A1" s="15" t="s">
        <v>101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0" t="s">
        <v>102</v>
      </c>
      <c r="B3" s="10" t="s">
        <v>103</v>
      </c>
      <c r="C3" s="10" t="s">
        <v>104</v>
      </c>
      <c r="D3" s="10" t="s">
        <v>105</v>
      </c>
      <c r="E3" s="10" t="s">
        <v>106</v>
      </c>
      <c r="F3" s="10" t="s">
        <v>107</v>
      </c>
      <c r="G3" s="10" t="s">
        <v>108</v>
      </c>
      <c r="H3" s="10" t="s">
        <v>109</v>
      </c>
      <c r="I3" s="10" t="s">
        <v>110</v>
      </c>
      <c r="J3" s="10" t="s">
        <v>111</v>
      </c>
      <c r="K3" s="10" t="s">
        <v>61</v>
      </c>
      <c r="L3" s="10" t="s">
        <v>112</v>
      </c>
      <c r="M3" s="10" t="s">
        <v>86</v>
      </c>
      <c r="N3" s="10" t="s">
        <v>9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2" t="s">
        <v>113</v>
      </c>
      <c r="B4" s="2" t="s">
        <v>295</v>
      </c>
      <c r="C4" s="2" t="s">
        <v>490</v>
      </c>
      <c r="D4" s="2" t="s">
        <v>491</v>
      </c>
      <c r="E4" s="2" t="s">
        <v>492</v>
      </c>
      <c r="F4" s="2" t="s">
        <v>493</v>
      </c>
      <c r="G4" s="2">
        <v>2</v>
      </c>
      <c r="H4" s="2">
        <v>4</v>
      </c>
      <c r="I4" s="5">
        <f t="shared" ref="I4:I10" si="0">IF(A4="","",IFERROR(G4*H4,""))</f>
        <v>8</v>
      </c>
      <c r="J4" s="2" t="s">
        <v>494</v>
      </c>
      <c r="K4" s="2" t="s">
        <v>71</v>
      </c>
      <c r="L4" s="2" t="s">
        <v>409</v>
      </c>
      <c r="M4" s="2">
        <v>3</v>
      </c>
      <c r="N4" s="2" t="s">
        <v>94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2" t="s">
        <v>115</v>
      </c>
      <c r="B5" s="2" t="s">
        <v>93</v>
      </c>
      <c r="C5" s="2" t="s">
        <v>495</v>
      </c>
      <c r="D5" s="2" t="s">
        <v>496</v>
      </c>
      <c r="E5" s="2" t="s">
        <v>497</v>
      </c>
      <c r="F5" s="2" t="s">
        <v>498</v>
      </c>
      <c r="G5" s="2">
        <v>2</v>
      </c>
      <c r="H5" s="2">
        <v>4</v>
      </c>
      <c r="I5" s="5">
        <f t="shared" si="0"/>
        <v>8</v>
      </c>
      <c r="J5" s="2" t="s">
        <v>499</v>
      </c>
      <c r="K5" s="2" t="s">
        <v>114</v>
      </c>
      <c r="L5" s="2" t="s">
        <v>69</v>
      </c>
      <c r="M5" s="2">
        <v>4</v>
      </c>
      <c r="N5" s="2" t="s">
        <v>100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2" t="s">
        <v>500</v>
      </c>
      <c r="B6" s="2" t="s">
        <v>298</v>
      </c>
      <c r="C6" s="2" t="s">
        <v>501</v>
      </c>
      <c r="D6" s="2" t="s">
        <v>502</v>
      </c>
      <c r="E6" s="2" t="s">
        <v>503</v>
      </c>
      <c r="F6" s="2" t="s">
        <v>504</v>
      </c>
      <c r="G6" s="2">
        <v>3</v>
      </c>
      <c r="H6" s="2">
        <v>5</v>
      </c>
      <c r="I6" s="5">
        <f t="shared" si="0"/>
        <v>15</v>
      </c>
      <c r="J6" s="2" t="s">
        <v>505</v>
      </c>
      <c r="K6" s="2" t="s">
        <v>114</v>
      </c>
      <c r="L6" s="2" t="s">
        <v>65</v>
      </c>
      <c r="M6" s="2">
        <v>3</v>
      </c>
      <c r="N6" s="2" t="s">
        <v>94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2" t="s">
        <v>506</v>
      </c>
      <c r="B7" s="2" t="s">
        <v>98</v>
      </c>
      <c r="C7" s="2" t="s">
        <v>507</v>
      </c>
      <c r="D7" s="2" t="s">
        <v>508</v>
      </c>
      <c r="E7" s="2" t="s">
        <v>509</v>
      </c>
      <c r="F7" s="2" t="s">
        <v>510</v>
      </c>
      <c r="G7" s="2">
        <v>4</v>
      </c>
      <c r="H7" s="2">
        <v>4</v>
      </c>
      <c r="I7" s="5">
        <f t="shared" si="0"/>
        <v>16</v>
      </c>
      <c r="J7" s="2" t="s">
        <v>511</v>
      </c>
      <c r="K7" s="2" t="s">
        <v>74</v>
      </c>
      <c r="L7" s="2" t="s">
        <v>72</v>
      </c>
      <c r="M7" s="2">
        <v>3</v>
      </c>
      <c r="N7" s="2" t="s">
        <v>94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2" t="s">
        <v>512</v>
      </c>
      <c r="B8" s="2" t="s">
        <v>302</v>
      </c>
      <c r="C8" s="2" t="s">
        <v>513</v>
      </c>
      <c r="D8" s="2" t="s">
        <v>514</v>
      </c>
      <c r="E8" s="2" t="s">
        <v>515</v>
      </c>
      <c r="F8" s="2" t="s">
        <v>516</v>
      </c>
      <c r="G8" s="2">
        <v>3</v>
      </c>
      <c r="H8" s="2">
        <v>2</v>
      </c>
      <c r="I8" s="5">
        <f t="shared" si="0"/>
        <v>6</v>
      </c>
      <c r="J8" s="2" t="s">
        <v>517</v>
      </c>
      <c r="K8" s="2" t="s">
        <v>74</v>
      </c>
      <c r="L8" s="2" t="s">
        <v>72</v>
      </c>
      <c r="M8" s="2">
        <v>3</v>
      </c>
      <c r="N8" s="2" t="s">
        <v>94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2" t="s">
        <v>518</v>
      </c>
      <c r="B9" s="2" t="s">
        <v>310</v>
      </c>
      <c r="C9" s="2" t="s">
        <v>519</v>
      </c>
      <c r="D9" s="2" t="s">
        <v>520</v>
      </c>
      <c r="E9" s="2" t="s">
        <v>521</v>
      </c>
      <c r="F9" s="2" t="s">
        <v>522</v>
      </c>
      <c r="G9" s="2">
        <v>1</v>
      </c>
      <c r="H9" s="2">
        <v>3</v>
      </c>
      <c r="I9" s="5">
        <f t="shared" si="0"/>
        <v>3</v>
      </c>
      <c r="J9" s="2" t="s">
        <v>147</v>
      </c>
      <c r="K9" s="2" t="s">
        <v>304</v>
      </c>
      <c r="L9" s="2" t="s">
        <v>435</v>
      </c>
      <c r="M9" s="2">
        <v>3</v>
      </c>
      <c r="N9" s="2" t="s">
        <v>94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2" t="s">
        <v>523</v>
      </c>
      <c r="B10" s="2" t="s">
        <v>307</v>
      </c>
      <c r="C10" s="2" t="s">
        <v>524</v>
      </c>
      <c r="D10" s="2" t="s">
        <v>525</v>
      </c>
      <c r="E10" s="2" t="s">
        <v>526</v>
      </c>
      <c r="F10" s="2" t="s">
        <v>527</v>
      </c>
      <c r="G10" s="2">
        <v>2</v>
      </c>
      <c r="H10" s="2">
        <v>2</v>
      </c>
      <c r="I10" s="5">
        <f t="shared" si="0"/>
        <v>4</v>
      </c>
      <c r="J10" s="2" t="s">
        <v>528</v>
      </c>
      <c r="K10" s="2" t="s">
        <v>306</v>
      </c>
      <c r="L10" s="2" t="s">
        <v>403</v>
      </c>
      <c r="M10" s="2">
        <v>3</v>
      </c>
      <c r="N10" s="2" t="s">
        <v>94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</sheetData>
  <mergeCells count="1">
    <mergeCell ref="A1:N1"/>
  </mergeCells>
  <conditionalFormatting sqref="I4:I10">
    <cfRule type="colorScale" priority="5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G4:H10" xr:uid="{00000000-0002-0000-0300-000001000000}">
      <formula1>"1,2,3,4,5"</formula1>
    </dataValidation>
    <dataValidation type="list" sqref="M4:M10" xr:uid="{00000000-0002-0000-0300-000003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Справочники!$J$4:$J$12</xm:f>
          </x14:formula1>
          <xm:sqref>B4:B10</xm:sqref>
        </x14:dataValidation>
        <x14:dataValidation type="list" xr:uid="{00000000-0002-0000-0300-000002000000}">
          <x14:formula1>
            <xm:f>Справочники!$D$4:$D$12</xm:f>
          </x14:formula1>
          <xm:sqref>K4:K10</xm:sqref>
        </x14:dataValidation>
        <x14:dataValidation type="list" xr:uid="{00000000-0002-0000-0300-000004000000}">
          <x14:formula1>
            <xm:f>Справочники!$J$18:$J$22</xm:f>
          </x14:formula1>
          <xm:sqref>N4:N10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5"/>
  <sheetViews>
    <sheetView workbookViewId="0"/>
  </sheetViews>
  <sheetFormatPr defaultRowHeight="14.25"/>
  <cols>
    <col min="1" max="2" width="55.625" customWidth="1"/>
    <col min="3" max="3" width="24" customWidth="1"/>
    <col min="4" max="4" width="25.625" customWidth="1"/>
    <col min="5" max="5" width="28.625" customWidth="1"/>
    <col min="6" max="6" width="55.625" customWidth="1"/>
    <col min="7" max="7" width="35.625" customWidth="1"/>
    <col min="8" max="9" width="55.625" customWidth="1"/>
    <col min="10" max="10" width="42" customWidth="1"/>
    <col min="11" max="11" width="39.625" customWidth="1"/>
    <col min="12" max="12" width="34" customWidth="1"/>
    <col min="13" max="13" width="26" customWidth="1"/>
    <col min="14" max="15" width="27.625" customWidth="1"/>
    <col min="16" max="16" width="26.625" customWidth="1"/>
    <col min="17" max="17" width="23.625" customWidth="1"/>
    <col min="18" max="18" width="16.625" customWidth="1"/>
    <col min="19" max="19" width="18" customWidth="1"/>
    <col min="20" max="20" width="20" customWidth="1"/>
    <col min="21" max="21" width="22" customWidth="1"/>
    <col min="22" max="26" width="9.625" customWidth="1"/>
  </cols>
  <sheetData>
    <row r="1" spans="1:26" ht="18">
      <c r="A1" s="15" t="s">
        <v>116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>
      <c r="A3" s="10" t="s">
        <v>117</v>
      </c>
      <c r="B3" s="10" t="s">
        <v>118</v>
      </c>
      <c r="C3" s="10" t="s">
        <v>119</v>
      </c>
      <c r="D3" s="10" t="s">
        <v>2</v>
      </c>
      <c r="E3" s="10" t="s">
        <v>120</v>
      </c>
      <c r="F3" s="10" t="s">
        <v>121</v>
      </c>
      <c r="G3" s="10" t="s">
        <v>122</v>
      </c>
      <c r="H3" s="10" t="s">
        <v>123</v>
      </c>
      <c r="I3" s="10" t="s">
        <v>124</v>
      </c>
      <c r="J3" s="10" t="s">
        <v>125</v>
      </c>
      <c r="K3" s="10" t="s">
        <v>126</v>
      </c>
      <c r="L3" s="10" t="s">
        <v>127</v>
      </c>
      <c r="M3" s="10" t="s">
        <v>75</v>
      </c>
      <c r="N3" s="10" t="s">
        <v>109</v>
      </c>
      <c r="O3" s="10" t="s">
        <v>128</v>
      </c>
      <c r="P3" s="10" t="s">
        <v>129</v>
      </c>
      <c r="Q3" s="10" t="s">
        <v>86</v>
      </c>
      <c r="R3" s="10" t="s">
        <v>130</v>
      </c>
      <c r="S3" s="10" t="s">
        <v>131</v>
      </c>
      <c r="T3" s="10" t="s">
        <v>9</v>
      </c>
      <c r="U3" s="10" t="s">
        <v>132</v>
      </c>
      <c r="V3" s="9"/>
      <c r="W3" s="9"/>
      <c r="X3" s="9"/>
      <c r="Y3" s="9"/>
      <c r="Z3" s="9"/>
    </row>
    <row r="4" spans="1:26">
      <c r="A4" s="2" t="s">
        <v>133</v>
      </c>
      <c r="B4" s="2" t="s">
        <v>490</v>
      </c>
      <c r="C4" s="2" t="s">
        <v>295</v>
      </c>
      <c r="D4" s="2" t="s">
        <v>142</v>
      </c>
      <c r="E4" s="2" t="s">
        <v>142</v>
      </c>
      <c r="F4" s="2" t="s">
        <v>529</v>
      </c>
      <c r="G4" s="2" t="s">
        <v>530</v>
      </c>
      <c r="H4" s="2" t="s">
        <v>531</v>
      </c>
      <c r="I4" s="2" t="s">
        <v>532</v>
      </c>
      <c r="J4" s="2" t="s">
        <v>533</v>
      </c>
      <c r="K4" s="2" t="s">
        <v>534</v>
      </c>
      <c r="L4" s="2" t="s">
        <v>535</v>
      </c>
      <c r="M4" s="2" t="s">
        <v>536</v>
      </c>
      <c r="N4" s="2">
        <v>4</v>
      </c>
      <c r="O4" s="2">
        <v>4</v>
      </c>
      <c r="P4" s="2">
        <v>3</v>
      </c>
      <c r="Q4" s="2">
        <v>3</v>
      </c>
      <c r="R4" s="4">
        <f t="shared" ref="R4:R15" si="0">IF(A4="","",IFERROR(N4*O4*P4*Q4/20,0))</f>
        <v>7.2</v>
      </c>
      <c r="S4" s="5" t="str">
        <f t="shared" ref="S4:S15" si="1">IF(R4="","",IF(R4&gt;=15,"Критический",IF(R4&gt;=9,"Высокий",IF(R4&gt;=5,"Средний",IF(R4&gt;=2,"Низкий","Отложить")))))</f>
        <v>Средний</v>
      </c>
      <c r="T4" s="2" t="s">
        <v>94</v>
      </c>
      <c r="U4" s="2" t="s">
        <v>65</v>
      </c>
      <c r="V4" s="9"/>
      <c r="W4" s="9"/>
      <c r="X4" s="9"/>
      <c r="Y4" s="9"/>
      <c r="Z4" s="9"/>
    </row>
    <row r="5" spans="1:26" ht="15">
      <c r="A5" s="2" t="s">
        <v>136</v>
      </c>
      <c r="B5" s="2" t="s">
        <v>539</v>
      </c>
      <c r="C5" s="2" t="s">
        <v>137</v>
      </c>
      <c r="D5" s="2" t="s">
        <v>143</v>
      </c>
      <c r="E5" s="2" t="s">
        <v>540</v>
      </c>
      <c r="F5" s="2" t="s">
        <v>541</v>
      </c>
      <c r="G5" s="2" t="s">
        <v>542</v>
      </c>
      <c r="H5" s="2" t="s">
        <v>543</v>
      </c>
      <c r="I5" s="2" t="s">
        <v>544</v>
      </c>
      <c r="J5" s="2" t="s">
        <v>545</v>
      </c>
      <c r="K5" s="2" t="s">
        <v>546</v>
      </c>
      <c r="L5" s="2" t="s">
        <v>547</v>
      </c>
      <c r="M5" s="2" t="s">
        <v>548</v>
      </c>
      <c r="N5" s="2">
        <v>4</v>
      </c>
      <c r="O5" s="2">
        <v>4</v>
      </c>
      <c r="P5" s="2">
        <v>4</v>
      </c>
      <c r="Q5" s="2">
        <v>3</v>
      </c>
      <c r="R5" s="4">
        <f t="shared" si="0"/>
        <v>9.6</v>
      </c>
      <c r="S5" s="5" t="str">
        <f t="shared" si="1"/>
        <v>Высокий</v>
      </c>
      <c r="T5" s="2" t="s">
        <v>100</v>
      </c>
      <c r="U5" s="2" t="s">
        <v>72</v>
      </c>
      <c r="V5" s="9"/>
      <c r="W5" s="9"/>
      <c r="X5" s="9"/>
      <c r="Y5" s="9"/>
      <c r="Z5" s="9"/>
    </row>
    <row r="6" spans="1:26" ht="15">
      <c r="A6" s="2" t="s">
        <v>551</v>
      </c>
      <c r="B6" s="2" t="s">
        <v>552</v>
      </c>
      <c r="C6" s="2" t="s">
        <v>93</v>
      </c>
      <c r="D6" s="2" t="s">
        <v>144</v>
      </c>
      <c r="E6" s="2" t="s">
        <v>553</v>
      </c>
      <c r="F6" s="2" t="s">
        <v>554</v>
      </c>
      <c r="G6" s="2" t="s">
        <v>555</v>
      </c>
      <c r="H6" s="2" t="s">
        <v>556</v>
      </c>
      <c r="I6" s="2" t="s">
        <v>557</v>
      </c>
      <c r="J6" s="2" t="s">
        <v>558</v>
      </c>
      <c r="K6" s="2" t="s">
        <v>559</v>
      </c>
      <c r="L6" s="2" t="s">
        <v>560</v>
      </c>
      <c r="M6" s="2" t="s">
        <v>536</v>
      </c>
      <c r="N6" s="2">
        <v>4</v>
      </c>
      <c r="O6" s="2">
        <v>4</v>
      </c>
      <c r="P6" s="2">
        <v>3</v>
      </c>
      <c r="Q6" s="2">
        <v>4</v>
      </c>
      <c r="R6" s="4">
        <f t="shared" si="0"/>
        <v>9.6</v>
      </c>
      <c r="S6" s="5" t="str">
        <f t="shared" si="1"/>
        <v>Высокий</v>
      </c>
      <c r="T6" s="2" t="s">
        <v>100</v>
      </c>
      <c r="U6" s="2" t="s">
        <v>391</v>
      </c>
      <c r="V6" s="9"/>
      <c r="W6" s="9"/>
      <c r="X6" s="9"/>
      <c r="Y6" s="9"/>
      <c r="Z6" s="9"/>
    </row>
    <row r="7" spans="1:26" ht="15">
      <c r="A7" s="2" t="s">
        <v>562</v>
      </c>
      <c r="B7" s="2" t="s">
        <v>563</v>
      </c>
      <c r="C7" s="2" t="s">
        <v>93</v>
      </c>
      <c r="D7" s="2" t="s">
        <v>134</v>
      </c>
      <c r="E7" s="2" t="s">
        <v>135</v>
      </c>
      <c r="F7" s="2" t="s">
        <v>496</v>
      </c>
      <c r="G7" s="2" t="s">
        <v>564</v>
      </c>
      <c r="H7" s="2" t="s">
        <v>565</v>
      </c>
      <c r="I7" s="2" t="s">
        <v>566</v>
      </c>
      <c r="J7" s="2" t="s">
        <v>567</v>
      </c>
      <c r="K7" s="2" t="s">
        <v>568</v>
      </c>
      <c r="L7" s="2" t="s">
        <v>569</v>
      </c>
      <c r="M7" s="2" t="s">
        <v>536</v>
      </c>
      <c r="N7" s="2">
        <v>5</v>
      </c>
      <c r="O7" s="2">
        <v>5</v>
      </c>
      <c r="P7" s="2">
        <v>3</v>
      </c>
      <c r="Q7" s="2">
        <v>3</v>
      </c>
      <c r="R7" s="4">
        <f t="shared" si="0"/>
        <v>11.25</v>
      </c>
      <c r="S7" s="5" t="str">
        <f t="shared" si="1"/>
        <v>Высокий</v>
      </c>
      <c r="T7" s="2" t="s">
        <v>100</v>
      </c>
      <c r="U7" s="2" t="s">
        <v>65</v>
      </c>
      <c r="V7" s="9"/>
      <c r="W7" s="9"/>
      <c r="X7" s="9"/>
      <c r="Y7" s="9"/>
      <c r="Z7" s="9"/>
    </row>
    <row r="8" spans="1:26" ht="15">
      <c r="A8" s="2" t="s">
        <v>571</v>
      </c>
      <c r="B8" s="2" t="s">
        <v>572</v>
      </c>
      <c r="C8" s="2" t="s">
        <v>298</v>
      </c>
      <c r="D8" s="2" t="s">
        <v>145</v>
      </c>
      <c r="E8" s="2" t="s">
        <v>135</v>
      </c>
      <c r="F8" s="2" t="s">
        <v>573</v>
      </c>
      <c r="G8" s="2" t="s">
        <v>574</v>
      </c>
      <c r="H8" s="2" t="s">
        <v>575</v>
      </c>
      <c r="I8" s="2" t="s">
        <v>576</v>
      </c>
      <c r="J8" s="2" t="s">
        <v>577</v>
      </c>
      <c r="K8" s="2" t="s">
        <v>578</v>
      </c>
      <c r="L8" s="2" t="s">
        <v>579</v>
      </c>
      <c r="M8" s="2" t="s">
        <v>580</v>
      </c>
      <c r="N8" s="2">
        <v>3</v>
      </c>
      <c r="O8" s="2">
        <v>5</v>
      </c>
      <c r="P8" s="2">
        <v>4</v>
      </c>
      <c r="Q8" s="2">
        <v>3</v>
      </c>
      <c r="R8" s="4">
        <f t="shared" si="0"/>
        <v>9</v>
      </c>
      <c r="S8" s="5" t="str">
        <f t="shared" si="1"/>
        <v>Высокий</v>
      </c>
      <c r="T8" s="2" t="s">
        <v>100</v>
      </c>
      <c r="U8" s="2" t="s">
        <v>65</v>
      </c>
      <c r="V8" s="9"/>
      <c r="W8" s="9"/>
      <c r="X8" s="9"/>
      <c r="Y8" s="9"/>
      <c r="Z8" s="9"/>
    </row>
    <row r="9" spans="1:26" ht="15">
      <c r="A9" s="2" t="s">
        <v>582</v>
      </c>
      <c r="B9" s="2" t="s">
        <v>583</v>
      </c>
      <c r="C9" s="2" t="s">
        <v>93</v>
      </c>
      <c r="D9" s="2" t="s">
        <v>134</v>
      </c>
      <c r="E9" s="2" t="s">
        <v>135</v>
      </c>
      <c r="F9" s="2" t="s">
        <v>584</v>
      </c>
      <c r="G9" s="2" t="s">
        <v>585</v>
      </c>
      <c r="H9" s="2" t="s">
        <v>586</v>
      </c>
      <c r="I9" s="2" t="s">
        <v>587</v>
      </c>
      <c r="J9" s="2" t="s">
        <v>588</v>
      </c>
      <c r="K9" s="2" t="s">
        <v>589</v>
      </c>
      <c r="L9" s="2" t="s">
        <v>590</v>
      </c>
      <c r="M9" s="2" t="s">
        <v>548</v>
      </c>
      <c r="N9" s="2">
        <v>5</v>
      </c>
      <c r="O9" s="2">
        <v>5</v>
      </c>
      <c r="P9" s="2">
        <v>3</v>
      </c>
      <c r="Q9" s="2">
        <v>4</v>
      </c>
      <c r="R9" s="4">
        <f t="shared" si="0"/>
        <v>15</v>
      </c>
      <c r="S9" s="5" t="str">
        <f t="shared" si="1"/>
        <v>Критический</v>
      </c>
      <c r="T9" s="2" t="s">
        <v>100</v>
      </c>
      <c r="U9" s="2" t="s">
        <v>397</v>
      </c>
      <c r="V9" s="9"/>
      <c r="W9" s="9"/>
      <c r="X9" s="9"/>
      <c r="Y9" s="9"/>
      <c r="Z9" s="9"/>
    </row>
    <row r="10" spans="1:26">
      <c r="A10" s="2" t="s">
        <v>592</v>
      </c>
      <c r="B10" s="2" t="s">
        <v>593</v>
      </c>
      <c r="C10" s="2" t="s">
        <v>298</v>
      </c>
      <c r="D10" s="2" t="s">
        <v>146</v>
      </c>
      <c r="E10" s="2" t="s">
        <v>148</v>
      </c>
      <c r="F10" s="2" t="s">
        <v>594</v>
      </c>
      <c r="G10" s="2" t="s">
        <v>595</v>
      </c>
      <c r="H10" s="2" t="s">
        <v>596</v>
      </c>
      <c r="I10" s="2" t="s">
        <v>597</v>
      </c>
      <c r="J10" s="2" t="s">
        <v>598</v>
      </c>
      <c r="K10" s="2" t="s">
        <v>599</v>
      </c>
      <c r="L10" s="2" t="s">
        <v>600</v>
      </c>
      <c r="M10" s="2" t="s">
        <v>548</v>
      </c>
      <c r="N10" s="2">
        <v>4</v>
      </c>
      <c r="O10" s="2">
        <v>4</v>
      </c>
      <c r="P10" s="2">
        <v>3</v>
      </c>
      <c r="Q10" s="2">
        <v>3</v>
      </c>
      <c r="R10" s="4">
        <f t="shared" si="0"/>
        <v>7.2</v>
      </c>
      <c r="S10" s="5" t="str">
        <f t="shared" si="1"/>
        <v>Средний</v>
      </c>
      <c r="T10" s="2" t="s">
        <v>94</v>
      </c>
      <c r="U10" s="2" t="s">
        <v>435</v>
      </c>
      <c r="V10" s="9"/>
      <c r="W10" s="9"/>
      <c r="X10" s="9"/>
      <c r="Y10" s="9"/>
      <c r="Z10" s="9"/>
    </row>
    <row r="11" spans="1:26" ht="15">
      <c r="A11" s="2" t="s">
        <v>602</v>
      </c>
      <c r="B11" s="2" t="s">
        <v>603</v>
      </c>
      <c r="C11" s="2" t="s">
        <v>98</v>
      </c>
      <c r="D11" s="2" t="s">
        <v>138</v>
      </c>
      <c r="E11" s="2" t="s">
        <v>139</v>
      </c>
      <c r="F11" s="2" t="s">
        <v>604</v>
      </c>
      <c r="G11" s="2" t="s">
        <v>605</v>
      </c>
      <c r="H11" s="2" t="s">
        <v>606</v>
      </c>
      <c r="I11" s="2" t="s">
        <v>742</v>
      </c>
      <c r="J11" s="2" t="s">
        <v>607</v>
      </c>
      <c r="K11" s="2" t="s">
        <v>608</v>
      </c>
      <c r="L11" s="2" t="s">
        <v>609</v>
      </c>
      <c r="M11" s="2" t="s">
        <v>610</v>
      </c>
      <c r="N11" s="2">
        <v>3</v>
      </c>
      <c r="O11" s="2">
        <v>5</v>
      </c>
      <c r="P11" s="2">
        <v>5</v>
      </c>
      <c r="Q11" s="2">
        <v>3</v>
      </c>
      <c r="R11" s="4">
        <f t="shared" si="0"/>
        <v>11.25</v>
      </c>
      <c r="S11" s="5" t="str">
        <f t="shared" si="1"/>
        <v>Высокий</v>
      </c>
      <c r="T11" s="2" t="s">
        <v>100</v>
      </c>
      <c r="U11" s="2" t="s">
        <v>421</v>
      </c>
      <c r="V11" s="9"/>
      <c r="W11" s="9"/>
      <c r="X11" s="9"/>
      <c r="Y11" s="9"/>
      <c r="Z11" s="9"/>
    </row>
    <row r="12" spans="1:26">
      <c r="A12" s="2" t="s">
        <v>612</v>
      </c>
      <c r="B12" s="2" t="s">
        <v>613</v>
      </c>
      <c r="C12" s="2" t="s">
        <v>93</v>
      </c>
      <c r="D12" s="2" t="s">
        <v>147</v>
      </c>
      <c r="E12" s="2" t="s">
        <v>614</v>
      </c>
      <c r="F12" s="2" t="s">
        <v>615</v>
      </c>
      <c r="G12" s="2" t="s">
        <v>616</v>
      </c>
      <c r="H12" s="2" t="s">
        <v>617</v>
      </c>
      <c r="I12" s="2" t="s">
        <v>618</v>
      </c>
      <c r="J12" s="2" t="s">
        <v>619</v>
      </c>
      <c r="K12" s="2" t="s">
        <v>620</v>
      </c>
      <c r="L12" s="2" t="s">
        <v>621</v>
      </c>
      <c r="M12" s="2" t="s">
        <v>536</v>
      </c>
      <c r="N12" s="2">
        <v>4</v>
      </c>
      <c r="O12" s="2">
        <v>4</v>
      </c>
      <c r="P12" s="2">
        <v>2</v>
      </c>
      <c r="Q12" s="2">
        <v>2</v>
      </c>
      <c r="R12" s="4">
        <f t="shared" si="0"/>
        <v>3.2</v>
      </c>
      <c r="S12" s="5" t="str">
        <f t="shared" si="1"/>
        <v>Низкий</v>
      </c>
      <c r="T12" s="2" t="s">
        <v>94</v>
      </c>
      <c r="U12" s="2" t="s">
        <v>69</v>
      </c>
      <c r="V12" s="9"/>
      <c r="W12" s="9"/>
      <c r="X12" s="9"/>
      <c r="Y12" s="9"/>
      <c r="Z12" s="9"/>
    </row>
    <row r="13" spans="1:26">
      <c r="A13" s="2" t="s">
        <v>623</v>
      </c>
      <c r="B13" s="2" t="s">
        <v>624</v>
      </c>
      <c r="C13" s="2" t="s">
        <v>298</v>
      </c>
      <c r="D13" s="2" t="s">
        <v>147</v>
      </c>
      <c r="E13" s="2" t="s">
        <v>614</v>
      </c>
      <c r="F13" s="2" t="s">
        <v>625</v>
      </c>
      <c r="G13" s="2" t="s">
        <v>626</v>
      </c>
      <c r="H13" s="2" t="s">
        <v>627</v>
      </c>
      <c r="I13" s="2" t="s">
        <v>628</v>
      </c>
      <c r="J13" s="2" t="s">
        <v>619</v>
      </c>
      <c r="K13" s="2" t="s">
        <v>629</v>
      </c>
      <c r="L13" s="2" t="s">
        <v>630</v>
      </c>
      <c r="M13" s="2" t="s">
        <v>548</v>
      </c>
      <c r="N13" s="2">
        <v>3</v>
      </c>
      <c r="O13" s="2">
        <v>3</v>
      </c>
      <c r="P13" s="2">
        <v>2</v>
      </c>
      <c r="Q13" s="2">
        <v>3</v>
      </c>
      <c r="R13" s="4">
        <f t="shared" si="0"/>
        <v>2.7</v>
      </c>
      <c r="S13" s="5" t="str">
        <f t="shared" si="1"/>
        <v>Низкий</v>
      </c>
      <c r="T13" s="2" t="s">
        <v>94</v>
      </c>
      <c r="U13" s="2" t="s">
        <v>397</v>
      </c>
      <c r="V13" s="9"/>
      <c r="W13" s="9"/>
      <c r="X13" s="9"/>
      <c r="Y13" s="9"/>
      <c r="Z13" s="9"/>
    </row>
    <row r="14" spans="1:26">
      <c r="A14" s="2" t="s">
        <v>632</v>
      </c>
      <c r="B14" s="2" t="s">
        <v>513</v>
      </c>
      <c r="C14" s="2" t="s">
        <v>302</v>
      </c>
      <c r="D14" s="2" t="s">
        <v>148</v>
      </c>
      <c r="E14" s="2" t="s">
        <v>318</v>
      </c>
      <c r="F14" s="2" t="s">
        <v>633</v>
      </c>
      <c r="G14" s="2" t="s">
        <v>634</v>
      </c>
      <c r="H14" s="2" t="s">
        <v>635</v>
      </c>
      <c r="I14" s="2" t="s">
        <v>636</v>
      </c>
      <c r="J14" s="2" t="s">
        <v>637</v>
      </c>
      <c r="K14" s="2" t="s">
        <v>638</v>
      </c>
      <c r="L14" s="2" t="s">
        <v>639</v>
      </c>
      <c r="M14" s="2" t="s">
        <v>640</v>
      </c>
      <c r="N14" s="2">
        <v>2</v>
      </c>
      <c r="O14" s="2">
        <v>3</v>
      </c>
      <c r="P14" s="2">
        <v>4</v>
      </c>
      <c r="Q14" s="2">
        <v>2</v>
      </c>
      <c r="R14" s="4">
        <f t="shared" si="0"/>
        <v>2.4</v>
      </c>
      <c r="S14" s="5" t="str">
        <f t="shared" si="1"/>
        <v>Низкий</v>
      </c>
      <c r="T14" s="2" t="s">
        <v>750</v>
      </c>
      <c r="U14" s="2" t="s">
        <v>403</v>
      </c>
      <c r="V14" s="9"/>
      <c r="W14" s="9"/>
      <c r="X14" s="9"/>
      <c r="Y14" s="9"/>
      <c r="Z14" s="9"/>
    </row>
    <row r="15" spans="1:26">
      <c r="A15" s="2" t="s">
        <v>642</v>
      </c>
      <c r="B15" s="2" t="s">
        <v>524</v>
      </c>
      <c r="C15" s="2" t="s">
        <v>307</v>
      </c>
      <c r="D15" s="2" t="s">
        <v>142</v>
      </c>
      <c r="E15" s="2" t="s">
        <v>321</v>
      </c>
      <c r="F15" s="2" t="s">
        <v>643</v>
      </c>
      <c r="G15" s="2" t="s">
        <v>644</v>
      </c>
      <c r="H15" s="2" t="s">
        <v>645</v>
      </c>
      <c r="I15" s="2" t="s">
        <v>646</v>
      </c>
      <c r="J15" s="2" t="s">
        <v>647</v>
      </c>
      <c r="K15" s="2" t="s">
        <v>648</v>
      </c>
      <c r="L15" s="2" t="s">
        <v>649</v>
      </c>
      <c r="M15" s="2" t="s">
        <v>536</v>
      </c>
      <c r="N15" s="2">
        <v>2</v>
      </c>
      <c r="O15" s="2">
        <v>3</v>
      </c>
      <c r="P15" s="2">
        <v>3</v>
      </c>
      <c r="Q15" s="2">
        <v>1</v>
      </c>
      <c r="R15" s="4">
        <f t="shared" si="0"/>
        <v>0.9</v>
      </c>
      <c r="S15" s="5" t="str">
        <f t="shared" si="1"/>
        <v>Отложить</v>
      </c>
      <c r="T15" s="2" t="s">
        <v>750</v>
      </c>
      <c r="U15" s="2" t="s">
        <v>403</v>
      </c>
      <c r="V15" s="9"/>
      <c r="W15" s="9"/>
      <c r="X15" s="9"/>
      <c r="Y15" s="9"/>
      <c r="Z15" s="9"/>
    </row>
  </sheetData>
  <mergeCells count="1">
    <mergeCell ref="A1:U1"/>
  </mergeCells>
  <conditionalFormatting sqref="R4:R15">
    <cfRule type="colorScale" priority="6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S4:S15">
    <cfRule type="expression" dxfId="6" priority="2">
      <formula>S4="Критический"</formula>
    </cfRule>
    <cfRule type="expression" dxfId="5" priority="3">
      <formula>S4="Высокий"</formula>
    </cfRule>
  </conditionalFormatting>
  <dataValidations count="2">
    <dataValidation type="list" sqref="N4:Q15" xr:uid="{00000000-0002-0000-0400-000003000000}">
      <formula1>"1,2,3,4,5"</formula1>
    </dataValidation>
    <dataValidation type="list" sqref="Q4:Q15" xr:uid="{00000000-0002-0000-0400-000004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400-000000000000}">
          <x14:formula1>
            <xm:f>Справочники!$J$4:$J$12</xm:f>
          </x14:formula1>
          <xm:sqref>C4:C15</xm:sqref>
        </x14:dataValidation>
        <x14:dataValidation type="list" xr:uid="{00000000-0002-0000-0400-000001000000}">
          <x14:formula1>
            <xm:f>Справочники!$A$18:$A$28</xm:f>
          </x14:formula1>
          <xm:sqref>D4:D15</xm:sqref>
        </x14:dataValidation>
        <x14:dataValidation type="list" xr:uid="{00000000-0002-0000-0400-000002000000}">
          <x14:formula1>
            <xm:f>Справочники!$D$18:$D$24</xm:f>
          </x14:formula1>
          <xm:sqref>E4:E15</xm:sqref>
        </x14:dataValidation>
        <x14:dataValidation type="list" xr:uid="{00000000-0002-0000-0400-000005000000}">
          <x14:formula1>
            <xm:f>Справочники!$J$18:$J$22</xm:f>
          </x14:formula1>
          <xm:sqref>T4:T15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5"/>
  <sheetViews>
    <sheetView workbookViewId="0"/>
  </sheetViews>
  <sheetFormatPr defaultRowHeight="14.25"/>
  <cols>
    <col min="1" max="1" width="55.625" customWidth="1"/>
    <col min="2" max="2" width="24" customWidth="1"/>
    <col min="3" max="5" width="55.625" customWidth="1"/>
    <col min="6" max="7" width="42.625" customWidth="1"/>
    <col min="8" max="8" width="51.625" customWidth="1"/>
    <col min="9" max="9" width="52.625" customWidth="1"/>
    <col min="10" max="10" width="50.625" customWidth="1"/>
    <col min="11" max="11" width="42.625" customWidth="1"/>
    <col min="12" max="12" width="47.625" customWidth="1"/>
    <col min="13" max="13" width="39.625" customWidth="1"/>
    <col min="14" max="14" width="24" customWidth="1"/>
    <col min="15" max="15" width="41.625" customWidth="1"/>
    <col min="16" max="26" width="9.625" customWidth="1"/>
  </cols>
  <sheetData>
    <row r="1" spans="1:26" ht="18">
      <c r="A1" s="15" t="s">
        <v>140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0" t="s">
        <v>117</v>
      </c>
      <c r="B3" s="10" t="s">
        <v>119</v>
      </c>
      <c r="C3" s="10" t="s">
        <v>141</v>
      </c>
      <c r="D3" s="10" t="s">
        <v>142</v>
      </c>
      <c r="E3" s="10" t="s">
        <v>143</v>
      </c>
      <c r="F3" s="10" t="s">
        <v>144</v>
      </c>
      <c r="G3" s="10" t="s">
        <v>145</v>
      </c>
      <c r="H3" s="10" t="s">
        <v>134</v>
      </c>
      <c r="I3" s="10" t="s">
        <v>138</v>
      </c>
      <c r="J3" s="10" t="s">
        <v>146</v>
      </c>
      <c r="K3" s="10" t="s">
        <v>147</v>
      </c>
      <c r="L3" s="10" t="s">
        <v>148</v>
      </c>
      <c r="M3" s="10" t="s">
        <v>149</v>
      </c>
      <c r="N3" s="10" t="s">
        <v>150</v>
      </c>
      <c r="O3" s="10" t="s">
        <v>64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2" t="s">
        <v>133</v>
      </c>
      <c r="B4" s="2" t="s">
        <v>295</v>
      </c>
      <c r="C4" s="2" t="s">
        <v>490</v>
      </c>
      <c r="D4" s="2" t="s">
        <v>532</v>
      </c>
      <c r="E4" s="2" t="s">
        <v>151</v>
      </c>
      <c r="F4" s="2" t="s">
        <v>152</v>
      </c>
      <c r="G4" s="2" t="s">
        <v>153</v>
      </c>
      <c r="H4" s="2" t="s">
        <v>154</v>
      </c>
      <c r="I4" s="2" t="s">
        <v>751</v>
      </c>
      <c r="J4" s="2" t="s">
        <v>752</v>
      </c>
      <c r="K4" s="2" t="s">
        <v>155</v>
      </c>
      <c r="L4" s="2" t="s">
        <v>156</v>
      </c>
      <c r="M4" s="2" t="s">
        <v>533</v>
      </c>
      <c r="N4" s="2" t="s">
        <v>537</v>
      </c>
      <c r="O4" s="2" t="s">
        <v>538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2" t="s">
        <v>136</v>
      </c>
      <c r="B5" s="2" t="s">
        <v>137</v>
      </c>
      <c r="C5" s="2" t="s">
        <v>539</v>
      </c>
      <c r="D5" s="2" t="s">
        <v>157</v>
      </c>
      <c r="E5" s="2" t="s">
        <v>544</v>
      </c>
      <c r="F5" s="2" t="s">
        <v>158</v>
      </c>
      <c r="G5" s="2" t="s">
        <v>753</v>
      </c>
      <c r="H5" s="2" t="s">
        <v>159</v>
      </c>
      <c r="I5" s="2" t="s">
        <v>160</v>
      </c>
      <c r="J5" s="2" t="s">
        <v>161</v>
      </c>
      <c r="K5" s="2" t="s">
        <v>162</v>
      </c>
      <c r="L5" s="2" t="s">
        <v>163</v>
      </c>
      <c r="M5" s="2" t="s">
        <v>545</v>
      </c>
      <c r="N5" s="2" t="s">
        <v>549</v>
      </c>
      <c r="O5" s="2" t="s">
        <v>550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>
      <c r="A6" s="2" t="s">
        <v>551</v>
      </c>
      <c r="B6" s="2" t="s">
        <v>93</v>
      </c>
      <c r="C6" s="2" t="s">
        <v>552</v>
      </c>
      <c r="D6" s="2" t="s">
        <v>754</v>
      </c>
      <c r="E6" s="2" t="s">
        <v>755</v>
      </c>
      <c r="F6" s="2" t="s">
        <v>557</v>
      </c>
      <c r="G6" s="2" t="s">
        <v>756</v>
      </c>
      <c r="H6" s="2" t="s">
        <v>757</v>
      </c>
      <c r="I6" s="2"/>
      <c r="J6" s="2" t="s">
        <v>758</v>
      </c>
      <c r="K6" s="2" t="s">
        <v>759</v>
      </c>
      <c r="L6" s="2" t="s">
        <v>760</v>
      </c>
      <c r="M6" s="2" t="s">
        <v>558</v>
      </c>
      <c r="N6" s="2" t="s">
        <v>549</v>
      </c>
      <c r="O6" s="2" t="s">
        <v>561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2" t="s">
        <v>562</v>
      </c>
      <c r="B7" s="2" t="s">
        <v>93</v>
      </c>
      <c r="C7" s="2" t="s">
        <v>563</v>
      </c>
      <c r="D7" s="2" t="s">
        <v>761</v>
      </c>
      <c r="E7" s="2" t="s">
        <v>762</v>
      </c>
      <c r="F7" s="2" t="s">
        <v>763</v>
      </c>
      <c r="G7" s="2" t="s">
        <v>764</v>
      </c>
      <c r="H7" s="2" t="s">
        <v>566</v>
      </c>
      <c r="I7" s="2"/>
      <c r="J7" s="2" t="s">
        <v>765</v>
      </c>
      <c r="K7" s="2" t="s">
        <v>766</v>
      </c>
      <c r="L7" s="2" t="s">
        <v>767</v>
      </c>
      <c r="M7" s="2" t="s">
        <v>567</v>
      </c>
      <c r="N7" s="2" t="s">
        <v>537</v>
      </c>
      <c r="O7" s="2" t="s">
        <v>570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2" t="s">
        <v>571</v>
      </c>
      <c r="B8" s="2" t="s">
        <v>298</v>
      </c>
      <c r="C8" s="2" t="s">
        <v>572</v>
      </c>
      <c r="D8" s="2" t="s">
        <v>768</v>
      </c>
      <c r="E8" s="2" t="s">
        <v>769</v>
      </c>
      <c r="F8" s="2" t="s">
        <v>763</v>
      </c>
      <c r="G8" s="2" t="s">
        <v>576</v>
      </c>
      <c r="H8" s="2" t="s">
        <v>770</v>
      </c>
      <c r="I8" s="2"/>
      <c r="J8" s="2" t="s">
        <v>771</v>
      </c>
      <c r="K8" s="2" t="s">
        <v>772</v>
      </c>
      <c r="L8" s="2" t="s">
        <v>773</v>
      </c>
      <c r="M8" s="2" t="s">
        <v>577</v>
      </c>
      <c r="N8" s="2" t="s">
        <v>549</v>
      </c>
      <c r="O8" s="2" t="s">
        <v>581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2" t="s">
        <v>582</v>
      </c>
      <c r="B9" s="2" t="s">
        <v>93</v>
      </c>
      <c r="C9" s="2" t="s">
        <v>583</v>
      </c>
      <c r="D9" s="2" t="s">
        <v>774</v>
      </c>
      <c r="E9" s="2" t="s">
        <v>775</v>
      </c>
      <c r="F9" s="2" t="s">
        <v>776</v>
      </c>
      <c r="G9" s="2" t="s">
        <v>777</v>
      </c>
      <c r="H9" s="2" t="s">
        <v>587</v>
      </c>
      <c r="I9" s="2"/>
      <c r="J9" s="2" t="s">
        <v>778</v>
      </c>
      <c r="K9" s="2" t="s">
        <v>779</v>
      </c>
      <c r="L9" s="2" t="s">
        <v>780</v>
      </c>
      <c r="M9" s="2" t="s">
        <v>588</v>
      </c>
      <c r="N9" s="2" t="s">
        <v>549</v>
      </c>
      <c r="O9" s="2" t="s">
        <v>591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8.5">
      <c r="A10" s="2" t="s">
        <v>592</v>
      </c>
      <c r="B10" s="2" t="s">
        <v>298</v>
      </c>
      <c r="C10" s="2" t="s">
        <v>593</v>
      </c>
      <c r="D10" s="2" t="s">
        <v>781</v>
      </c>
      <c r="E10" s="2" t="s">
        <v>782</v>
      </c>
      <c r="F10" s="2" t="s">
        <v>783</v>
      </c>
      <c r="G10" s="2" t="s">
        <v>784</v>
      </c>
      <c r="H10" s="2" t="s">
        <v>785</v>
      </c>
      <c r="I10" s="2"/>
      <c r="J10" s="2" t="s">
        <v>597</v>
      </c>
      <c r="K10" s="2" t="s">
        <v>786</v>
      </c>
      <c r="L10" s="2" t="s">
        <v>787</v>
      </c>
      <c r="M10" s="2" t="s">
        <v>598</v>
      </c>
      <c r="N10" s="2" t="s">
        <v>549</v>
      </c>
      <c r="O10" s="2" t="s">
        <v>601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8.5">
      <c r="A11" s="2" t="s">
        <v>602</v>
      </c>
      <c r="B11" s="2" t="s">
        <v>98</v>
      </c>
      <c r="C11" s="2" t="s">
        <v>603</v>
      </c>
      <c r="D11" s="2" t="s">
        <v>788</v>
      </c>
      <c r="E11" s="2" t="s">
        <v>789</v>
      </c>
      <c r="F11" s="2" t="s">
        <v>790</v>
      </c>
      <c r="G11" s="2" t="s">
        <v>791</v>
      </c>
      <c r="H11" s="2" t="s">
        <v>792</v>
      </c>
      <c r="I11" s="2" t="s">
        <v>742</v>
      </c>
      <c r="J11" s="2" t="s">
        <v>793</v>
      </c>
      <c r="K11" s="2" t="s">
        <v>794</v>
      </c>
      <c r="L11" s="2" t="s">
        <v>795</v>
      </c>
      <c r="M11" s="2" t="s">
        <v>607</v>
      </c>
      <c r="N11" s="2" t="s">
        <v>537</v>
      </c>
      <c r="O11" s="2" t="s">
        <v>611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2" t="s">
        <v>612</v>
      </c>
      <c r="B12" s="2" t="s">
        <v>93</v>
      </c>
      <c r="C12" s="2" t="s">
        <v>613</v>
      </c>
      <c r="D12" s="2" t="s">
        <v>796</v>
      </c>
      <c r="E12" s="2" t="s">
        <v>797</v>
      </c>
      <c r="F12" s="2" t="s">
        <v>798</v>
      </c>
      <c r="G12" s="2" t="s">
        <v>799</v>
      </c>
      <c r="H12" s="2" t="s">
        <v>800</v>
      </c>
      <c r="I12" s="2"/>
      <c r="J12" s="2" t="s">
        <v>801</v>
      </c>
      <c r="K12" s="2" t="s">
        <v>618</v>
      </c>
      <c r="L12" s="2" t="s">
        <v>802</v>
      </c>
      <c r="M12" s="2" t="s">
        <v>619</v>
      </c>
      <c r="N12" s="2" t="s">
        <v>549</v>
      </c>
      <c r="O12" s="2" t="s">
        <v>622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2" t="s">
        <v>623</v>
      </c>
      <c r="B13" s="2" t="s">
        <v>298</v>
      </c>
      <c r="C13" s="2" t="s">
        <v>624</v>
      </c>
      <c r="D13" s="2" t="s">
        <v>803</v>
      </c>
      <c r="E13" s="2" t="s">
        <v>804</v>
      </c>
      <c r="F13" s="2" t="s">
        <v>805</v>
      </c>
      <c r="G13" s="2" t="s">
        <v>806</v>
      </c>
      <c r="H13" s="2" t="s">
        <v>807</v>
      </c>
      <c r="I13" s="2"/>
      <c r="J13" s="2" t="s">
        <v>808</v>
      </c>
      <c r="K13" s="2" t="s">
        <v>628</v>
      </c>
      <c r="L13" s="2" t="s">
        <v>809</v>
      </c>
      <c r="M13" s="2" t="s">
        <v>619</v>
      </c>
      <c r="N13" s="2" t="s">
        <v>549</v>
      </c>
      <c r="O13" s="2" t="s">
        <v>631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2" t="s">
        <v>632</v>
      </c>
      <c r="B14" s="2" t="s">
        <v>302</v>
      </c>
      <c r="C14" s="2" t="s">
        <v>513</v>
      </c>
      <c r="D14" s="2" t="s">
        <v>810</v>
      </c>
      <c r="E14" s="2" t="s">
        <v>811</v>
      </c>
      <c r="F14" s="2" t="s">
        <v>812</v>
      </c>
      <c r="G14" s="2" t="s">
        <v>813</v>
      </c>
      <c r="H14" s="2" t="s">
        <v>814</v>
      </c>
      <c r="I14" s="2"/>
      <c r="J14" s="2" t="s">
        <v>815</v>
      </c>
      <c r="K14" s="2" t="s">
        <v>816</v>
      </c>
      <c r="L14" s="2" t="s">
        <v>636</v>
      </c>
      <c r="M14" s="2" t="s">
        <v>637</v>
      </c>
      <c r="N14" s="2" t="s">
        <v>549</v>
      </c>
      <c r="O14" s="2" t="s">
        <v>641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2" t="s">
        <v>642</v>
      </c>
      <c r="B15" s="2" t="s">
        <v>307</v>
      </c>
      <c r="C15" s="2" t="s">
        <v>524</v>
      </c>
      <c r="D15" s="2" t="s">
        <v>646</v>
      </c>
      <c r="E15" s="2" t="s">
        <v>817</v>
      </c>
      <c r="F15" s="2" t="s">
        <v>818</v>
      </c>
      <c r="G15" s="2" t="s">
        <v>819</v>
      </c>
      <c r="H15" s="2" t="s">
        <v>820</v>
      </c>
      <c r="I15" s="2" t="s">
        <v>821</v>
      </c>
      <c r="J15" s="2" t="s">
        <v>822</v>
      </c>
      <c r="K15" s="2" t="s">
        <v>823</v>
      </c>
      <c r="L15" s="2" t="s">
        <v>824</v>
      </c>
      <c r="M15" s="2" t="s">
        <v>647</v>
      </c>
      <c r="N15" s="2" t="s">
        <v>549</v>
      </c>
      <c r="O15" s="2" t="s">
        <v>650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</sheetData>
  <mergeCells count="1">
    <mergeCell ref="A1:O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Справочники!$J$4:$J$12</xm:f>
          </x14:formula1>
          <xm:sqref>B4:B15</xm:sqref>
        </x14:dataValidation>
        <x14:dataValidation type="list" xr:uid="{00000000-0002-0000-0500-000001000000}">
          <x14:formula1>
            <xm:f>Справочники!$A$18:$A$28</xm:f>
          </x14:formula1>
          <xm:sqref>N4:N15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6"/>
  <sheetViews>
    <sheetView workbookViewId="0"/>
  </sheetViews>
  <sheetFormatPr defaultRowHeight="14.25"/>
  <cols>
    <col min="1" max="1" width="55.625" customWidth="1"/>
    <col min="2" max="2" width="45.625" customWidth="1"/>
    <col min="3" max="3" width="19.625" customWidth="1"/>
    <col min="4" max="4" width="24" customWidth="1"/>
    <col min="5" max="5" width="36" customWidth="1"/>
    <col min="6" max="6" width="32" customWidth="1"/>
    <col min="7" max="7" width="28.625" customWidth="1"/>
    <col min="8" max="9" width="27.625" customWidth="1"/>
    <col min="10" max="10" width="30.625" customWidth="1"/>
    <col min="11" max="11" width="28.625" customWidth="1"/>
    <col min="12" max="12" width="23.625" customWidth="1"/>
    <col min="13" max="13" width="18.625" customWidth="1"/>
    <col min="14" max="14" width="18" customWidth="1"/>
    <col min="15" max="15" width="14" customWidth="1"/>
    <col min="16" max="16" width="20" customWidth="1"/>
    <col min="17" max="17" width="22" customWidth="1"/>
    <col min="18" max="26" width="9.625" customWidth="1"/>
  </cols>
  <sheetData>
    <row r="1" spans="1:26" ht="18">
      <c r="A1" s="15" t="s">
        <v>164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>
      <c r="A3" s="10" t="s">
        <v>165</v>
      </c>
      <c r="B3" s="10" t="s">
        <v>166</v>
      </c>
      <c r="C3" s="10" t="s">
        <v>167</v>
      </c>
      <c r="D3" s="10" t="s">
        <v>119</v>
      </c>
      <c r="E3" s="10" t="s">
        <v>168</v>
      </c>
      <c r="F3" s="10" t="s">
        <v>169</v>
      </c>
      <c r="G3" s="10" t="s">
        <v>170</v>
      </c>
      <c r="H3" s="10" t="s">
        <v>171</v>
      </c>
      <c r="I3" s="10" t="s">
        <v>172</v>
      </c>
      <c r="J3" s="10" t="s">
        <v>173</v>
      </c>
      <c r="K3" s="10" t="s">
        <v>174</v>
      </c>
      <c r="L3" s="10" t="s">
        <v>86</v>
      </c>
      <c r="M3" s="10" t="s">
        <v>175</v>
      </c>
      <c r="N3" s="10" t="s">
        <v>131</v>
      </c>
      <c r="O3" s="10" t="s">
        <v>176</v>
      </c>
      <c r="P3" s="10" t="s">
        <v>9</v>
      </c>
      <c r="Q3" s="10" t="s">
        <v>177</v>
      </c>
      <c r="R3" s="9"/>
      <c r="S3" s="9"/>
      <c r="T3" s="9"/>
      <c r="U3" s="9"/>
      <c r="V3" s="9"/>
      <c r="W3" s="9"/>
      <c r="X3" s="9"/>
      <c r="Y3" s="9"/>
      <c r="Z3" s="9"/>
    </row>
    <row r="4" spans="1:26">
      <c r="A4" s="2" t="s">
        <v>178</v>
      </c>
      <c r="B4" s="2" t="s">
        <v>651</v>
      </c>
      <c r="C4" s="2" t="s">
        <v>562</v>
      </c>
      <c r="D4" s="2" t="s">
        <v>93</v>
      </c>
      <c r="E4" s="2" t="s">
        <v>495</v>
      </c>
      <c r="F4" s="2" t="s">
        <v>652</v>
      </c>
      <c r="G4" s="2" t="s">
        <v>179</v>
      </c>
      <c r="H4" s="2" t="s">
        <v>653</v>
      </c>
      <c r="I4" s="2">
        <v>5</v>
      </c>
      <c r="J4" s="2">
        <v>4</v>
      </c>
      <c r="K4" s="2">
        <v>4</v>
      </c>
      <c r="L4" s="2">
        <v>4</v>
      </c>
      <c r="M4" s="4">
        <f t="shared" ref="M4:M16" si="0">IF(A4="","",IFERROR((I4+J4)*L4/K4,0))</f>
        <v>9</v>
      </c>
      <c r="N4" s="5" t="str">
        <f t="shared" ref="N4:N16" si="1">IF(M4="","",IF(M4&gt;=16,"Критический",IF(M4&gt;=10,"Высокий",IF(M4&gt;=6,"Средний",IF(M4&gt;=3,"Низкий","Отложить")))))</f>
        <v>Средний</v>
      </c>
      <c r="O4" s="5" t="str">
        <f t="shared" ref="O4:O16" si="2">IF(M4="","",IF(OR(N4="Критический",N4="Высокий"),"Да",IF(N4="Средний","Кандидат","Нет")))</f>
        <v>Кандидат</v>
      </c>
      <c r="P4" s="2" t="s">
        <v>94</v>
      </c>
      <c r="Q4" s="2" t="s">
        <v>65</v>
      </c>
      <c r="R4" s="9"/>
      <c r="S4" s="9"/>
      <c r="T4" s="9"/>
      <c r="U4" s="9"/>
      <c r="V4" s="9"/>
      <c r="W4" s="9"/>
      <c r="X4" s="9"/>
      <c r="Y4" s="9"/>
      <c r="Z4" s="9"/>
    </row>
    <row r="5" spans="1:26">
      <c r="A5" s="2" t="s">
        <v>181</v>
      </c>
      <c r="B5" s="2" t="s">
        <v>654</v>
      </c>
      <c r="C5" s="2" t="s">
        <v>562</v>
      </c>
      <c r="D5" s="2" t="s">
        <v>93</v>
      </c>
      <c r="E5" s="2" t="s">
        <v>655</v>
      </c>
      <c r="F5" s="2" t="s">
        <v>656</v>
      </c>
      <c r="G5" s="2" t="s">
        <v>179</v>
      </c>
      <c r="H5" s="2" t="s">
        <v>180</v>
      </c>
      <c r="I5" s="2">
        <v>5</v>
      </c>
      <c r="J5" s="2">
        <v>4</v>
      </c>
      <c r="K5" s="2">
        <v>3</v>
      </c>
      <c r="L5" s="2">
        <v>3</v>
      </c>
      <c r="M5" s="4">
        <f t="shared" si="0"/>
        <v>9</v>
      </c>
      <c r="N5" s="5" t="str">
        <f t="shared" si="1"/>
        <v>Средний</v>
      </c>
      <c r="O5" s="5" t="str">
        <f t="shared" si="2"/>
        <v>Кандидат</v>
      </c>
      <c r="P5" s="2" t="s">
        <v>100</v>
      </c>
      <c r="Q5" s="2" t="s">
        <v>72</v>
      </c>
      <c r="R5" s="9"/>
      <c r="S5" s="9"/>
      <c r="T5" s="9"/>
      <c r="U5" s="9"/>
      <c r="V5" s="9"/>
      <c r="W5" s="9"/>
      <c r="X5" s="9"/>
      <c r="Y5" s="9"/>
      <c r="Z5" s="9"/>
    </row>
    <row r="6" spans="1:26">
      <c r="A6" s="2" t="s">
        <v>657</v>
      </c>
      <c r="B6" s="2" t="s">
        <v>658</v>
      </c>
      <c r="C6" s="2" t="s">
        <v>562</v>
      </c>
      <c r="D6" s="2" t="s">
        <v>298</v>
      </c>
      <c r="E6" s="2" t="s">
        <v>659</v>
      </c>
      <c r="F6" s="2" t="s">
        <v>660</v>
      </c>
      <c r="G6" s="2" t="s">
        <v>182</v>
      </c>
      <c r="H6" s="2" t="s">
        <v>180</v>
      </c>
      <c r="I6" s="2">
        <v>4</v>
      </c>
      <c r="J6" s="2">
        <v>4</v>
      </c>
      <c r="K6" s="2">
        <v>3</v>
      </c>
      <c r="L6" s="2">
        <v>3</v>
      </c>
      <c r="M6" s="4">
        <f t="shared" si="0"/>
        <v>8</v>
      </c>
      <c r="N6" s="5" t="str">
        <f t="shared" si="1"/>
        <v>Средний</v>
      </c>
      <c r="O6" s="5" t="str">
        <f t="shared" si="2"/>
        <v>Кандидат</v>
      </c>
      <c r="P6" s="2" t="s">
        <v>94</v>
      </c>
      <c r="Q6" s="2"/>
      <c r="R6" s="9"/>
      <c r="S6" s="9"/>
      <c r="T6" s="9"/>
      <c r="U6" s="9"/>
      <c r="V6" s="9"/>
      <c r="W6" s="9"/>
      <c r="X6" s="9"/>
      <c r="Y6" s="9"/>
      <c r="Z6" s="9"/>
    </row>
    <row r="7" spans="1:26">
      <c r="A7" s="2" t="s">
        <v>661</v>
      </c>
      <c r="B7" s="2" t="s">
        <v>662</v>
      </c>
      <c r="C7" s="2" t="s">
        <v>571</v>
      </c>
      <c r="D7" s="2" t="s">
        <v>298</v>
      </c>
      <c r="E7" s="2" t="s">
        <v>663</v>
      </c>
      <c r="F7" s="2" t="s">
        <v>664</v>
      </c>
      <c r="G7" s="2" t="s">
        <v>665</v>
      </c>
      <c r="H7" s="2" t="s">
        <v>183</v>
      </c>
      <c r="I7" s="2">
        <v>5</v>
      </c>
      <c r="J7" s="2">
        <v>4</v>
      </c>
      <c r="K7" s="2">
        <v>4</v>
      </c>
      <c r="L7" s="2">
        <v>3</v>
      </c>
      <c r="M7" s="4">
        <f t="shared" si="0"/>
        <v>6.75</v>
      </c>
      <c r="N7" s="5" t="str">
        <f t="shared" si="1"/>
        <v>Средний</v>
      </c>
      <c r="O7" s="5" t="str">
        <f t="shared" si="2"/>
        <v>Кандидат</v>
      </c>
      <c r="P7" s="2" t="s">
        <v>94</v>
      </c>
      <c r="Q7" s="2"/>
      <c r="R7" s="9"/>
      <c r="S7" s="9"/>
      <c r="T7" s="9"/>
      <c r="U7" s="9"/>
      <c r="V7" s="9"/>
      <c r="W7" s="9"/>
      <c r="X7" s="9"/>
      <c r="Y7" s="9"/>
      <c r="Z7" s="9"/>
    </row>
    <row r="8" spans="1:26" ht="15">
      <c r="A8" s="2" t="s">
        <v>666</v>
      </c>
      <c r="B8" s="2" t="s">
        <v>667</v>
      </c>
      <c r="C8" s="2" t="s">
        <v>582</v>
      </c>
      <c r="D8" s="2" t="s">
        <v>93</v>
      </c>
      <c r="E8" s="2" t="s">
        <v>668</v>
      </c>
      <c r="F8" s="2" t="s">
        <v>590</v>
      </c>
      <c r="G8" s="2" t="s">
        <v>179</v>
      </c>
      <c r="H8" s="2" t="s">
        <v>180</v>
      </c>
      <c r="I8" s="2">
        <v>5</v>
      </c>
      <c r="J8" s="2">
        <v>3</v>
      </c>
      <c r="K8" s="2">
        <v>2</v>
      </c>
      <c r="L8" s="2">
        <v>4</v>
      </c>
      <c r="M8" s="4">
        <f t="shared" si="0"/>
        <v>16</v>
      </c>
      <c r="N8" s="5" t="str">
        <f t="shared" si="1"/>
        <v>Критический</v>
      </c>
      <c r="O8" s="5" t="str">
        <f t="shared" si="2"/>
        <v>Да</v>
      </c>
      <c r="P8" s="2" t="s">
        <v>94</v>
      </c>
      <c r="Q8" s="2"/>
      <c r="R8" s="9"/>
      <c r="S8" s="9"/>
      <c r="T8" s="9"/>
      <c r="U8" s="9"/>
      <c r="V8" s="9"/>
      <c r="W8" s="9"/>
      <c r="X8" s="9"/>
      <c r="Y8" s="9"/>
      <c r="Z8" s="9"/>
    </row>
    <row r="9" spans="1:26" ht="15">
      <c r="A9" s="2" t="s">
        <v>669</v>
      </c>
      <c r="B9" s="2" t="s">
        <v>670</v>
      </c>
      <c r="C9" s="2" t="s">
        <v>551</v>
      </c>
      <c r="D9" s="2" t="s">
        <v>93</v>
      </c>
      <c r="E9" s="2" t="s">
        <v>671</v>
      </c>
      <c r="F9" s="2" t="s">
        <v>672</v>
      </c>
      <c r="G9" s="2" t="s">
        <v>179</v>
      </c>
      <c r="H9" s="2" t="s">
        <v>180</v>
      </c>
      <c r="I9" s="2">
        <v>4</v>
      </c>
      <c r="J9" s="2">
        <v>4</v>
      </c>
      <c r="K9" s="2">
        <v>2</v>
      </c>
      <c r="L9" s="2">
        <v>3</v>
      </c>
      <c r="M9" s="4">
        <f t="shared" si="0"/>
        <v>12</v>
      </c>
      <c r="N9" s="5" t="str">
        <f t="shared" si="1"/>
        <v>Высокий</v>
      </c>
      <c r="O9" s="5" t="str">
        <f t="shared" si="2"/>
        <v>Да</v>
      </c>
      <c r="P9" s="2" t="s">
        <v>94</v>
      </c>
      <c r="Q9" s="2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2" t="s">
        <v>673</v>
      </c>
      <c r="B10" s="2" t="s">
        <v>674</v>
      </c>
      <c r="C10" s="2" t="s">
        <v>592</v>
      </c>
      <c r="D10" s="2" t="s">
        <v>298</v>
      </c>
      <c r="E10" s="2" t="s">
        <v>675</v>
      </c>
      <c r="F10" s="2" t="s">
        <v>148</v>
      </c>
      <c r="G10" s="2" t="s">
        <v>182</v>
      </c>
      <c r="H10" s="2" t="s">
        <v>183</v>
      </c>
      <c r="I10" s="2">
        <v>4</v>
      </c>
      <c r="J10" s="2">
        <v>3</v>
      </c>
      <c r="K10" s="2">
        <v>3</v>
      </c>
      <c r="L10" s="2">
        <v>3</v>
      </c>
      <c r="M10" s="4">
        <f t="shared" si="0"/>
        <v>7</v>
      </c>
      <c r="N10" s="5" t="str">
        <f t="shared" si="1"/>
        <v>Средний</v>
      </c>
      <c r="O10" s="5" t="str">
        <f t="shared" si="2"/>
        <v>Кандидат</v>
      </c>
      <c r="P10" s="2" t="s">
        <v>94</v>
      </c>
      <c r="Q10" s="2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2" t="s">
        <v>676</v>
      </c>
      <c r="B11" s="2" t="s">
        <v>677</v>
      </c>
      <c r="C11" s="2" t="s">
        <v>612</v>
      </c>
      <c r="D11" s="2" t="s">
        <v>93</v>
      </c>
      <c r="E11" s="2" t="s">
        <v>678</v>
      </c>
      <c r="F11" s="2" t="s">
        <v>679</v>
      </c>
      <c r="G11" s="2" t="s">
        <v>665</v>
      </c>
      <c r="H11" s="2" t="s">
        <v>183</v>
      </c>
      <c r="I11" s="2">
        <v>4</v>
      </c>
      <c r="J11" s="2">
        <v>3</v>
      </c>
      <c r="K11" s="2">
        <v>4</v>
      </c>
      <c r="L11" s="2">
        <v>2</v>
      </c>
      <c r="M11" s="4">
        <f t="shared" si="0"/>
        <v>3.5</v>
      </c>
      <c r="N11" s="5" t="str">
        <f t="shared" si="1"/>
        <v>Низкий</v>
      </c>
      <c r="O11" s="5" t="str">
        <f t="shared" si="2"/>
        <v>Нет</v>
      </c>
      <c r="P11" s="2" t="s">
        <v>94</v>
      </c>
      <c r="Q11" s="2"/>
      <c r="R11" s="9"/>
      <c r="S11" s="9"/>
      <c r="T11" s="9"/>
      <c r="U11" s="9"/>
      <c r="V11" s="9"/>
      <c r="W11" s="9"/>
      <c r="X11" s="9"/>
      <c r="Y11" s="9"/>
      <c r="Z11" s="9"/>
    </row>
    <row r="12" spans="1:26" ht="15">
      <c r="A12" s="2" t="s">
        <v>680</v>
      </c>
      <c r="B12" s="2" t="s">
        <v>681</v>
      </c>
      <c r="C12" s="2" t="s">
        <v>136</v>
      </c>
      <c r="D12" s="2" t="s">
        <v>137</v>
      </c>
      <c r="E12" s="2" t="s">
        <v>682</v>
      </c>
      <c r="F12" s="2" t="s">
        <v>547</v>
      </c>
      <c r="G12" s="2" t="s">
        <v>179</v>
      </c>
      <c r="H12" s="2" t="s">
        <v>180</v>
      </c>
      <c r="I12" s="2">
        <v>4</v>
      </c>
      <c r="J12" s="2">
        <v>5</v>
      </c>
      <c r="K12" s="2">
        <v>2</v>
      </c>
      <c r="L12" s="2">
        <v>4</v>
      </c>
      <c r="M12" s="4">
        <f t="shared" si="0"/>
        <v>18</v>
      </c>
      <c r="N12" s="5" t="str">
        <f t="shared" si="1"/>
        <v>Критический</v>
      </c>
      <c r="O12" s="5" t="str">
        <f t="shared" si="2"/>
        <v>Да</v>
      </c>
      <c r="P12" s="2" t="s">
        <v>94</v>
      </c>
      <c r="Q12" s="2"/>
      <c r="R12" s="9"/>
      <c r="S12" s="9"/>
      <c r="T12" s="9"/>
      <c r="U12" s="9"/>
      <c r="V12" s="9"/>
      <c r="W12" s="9"/>
      <c r="X12" s="9"/>
      <c r="Y12" s="9"/>
      <c r="Z12" s="9"/>
    </row>
    <row r="13" spans="1:26" ht="15">
      <c r="A13" s="2" t="s">
        <v>683</v>
      </c>
      <c r="B13" s="2" t="s">
        <v>684</v>
      </c>
      <c r="C13" s="2" t="s">
        <v>602</v>
      </c>
      <c r="D13" s="2" t="s">
        <v>98</v>
      </c>
      <c r="E13" s="2" t="s">
        <v>685</v>
      </c>
      <c r="F13" s="2" t="s">
        <v>686</v>
      </c>
      <c r="G13" s="2" t="s">
        <v>179</v>
      </c>
      <c r="H13" s="2" t="s">
        <v>180</v>
      </c>
      <c r="I13" s="2">
        <v>3</v>
      </c>
      <c r="J13" s="2">
        <v>5</v>
      </c>
      <c r="K13" s="2">
        <v>3</v>
      </c>
      <c r="L13" s="2">
        <v>4</v>
      </c>
      <c r="M13" s="4">
        <f t="shared" si="0"/>
        <v>10.666666666666666</v>
      </c>
      <c r="N13" s="5" t="str">
        <f t="shared" si="1"/>
        <v>Высокий</v>
      </c>
      <c r="O13" s="5" t="str">
        <f t="shared" si="2"/>
        <v>Да</v>
      </c>
      <c r="P13" s="2" t="s">
        <v>94</v>
      </c>
      <c r="Q13" s="2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2" t="s">
        <v>687</v>
      </c>
      <c r="B14" s="2" t="s">
        <v>688</v>
      </c>
      <c r="C14" s="2" t="s">
        <v>562</v>
      </c>
      <c r="D14" s="2" t="s">
        <v>93</v>
      </c>
      <c r="E14" s="2" t="s">
        <v>689</v>
      </c>
      <c r="F14" s="2" t="s">
        <v>690</v>
      </c>
      <c r="G14" s="2" t="s">
        <v>665</v>
      </c>
      <c r="H14" s="2" t="s">
        <v>183</v>
      </c>
      <c r="I14" s="2">
        <v>4</v>
      </c>
      <c r="J14" s="2">
        <v>4</v>
      </c>
      <c r="K14" s="2">
        <v>4</v>
      </c>
      <c r="L14" s="2">
        <v>3</v>
      </c>
      <c r="M14" s="4">
        <f t="shared" si="0"/>
        <v>6</v>
      </c>
      <c r="N14" s="5" t="str">
        <f t="shared" si="1"/>
        <v>Средний</v>
      </c>
      <c r="O14" s="5" t="str">
        <f t="shared" si="2"/>
        <v>Кандидат</v>
      </c>
      <c r="P14" s="2" t="s">
        <v>94</v>
      </c>
      <c r="Q14" s="2"/>
      <c r="R14" s="9"/>
      <c r="S14" s="9"/>
      <c r="T14" s="9"/>
      <c r="U14" s="9"/>
      <c r="V14" s="9"/>
      <c r="W14" s="9"/>
      <c r="X14" s="9"/>
      <c r="Y14" s="9"/>
      <c r="Z14" s="9"/>
    </row>
    <row r="15" spans="1:26" ht="15">
      <c r="A15" s="2" t="s">
        <v>691</v>
      </c>
      <c r="B15" s="2" t="s">
        <v>692</v>
      </c>
      <c r="C15" s="2" t="s">
        <v>623</v>
      </c>
      <c r="D15" s="2" t="s">
        <v>298</v>
      </c>
      <c r="E15" s="2" t="s">
        <v>693</v>
      </c>
      <c r="F15" s="2" t="s">
        <v>694</v>
      </c>
      <c r="G15" s="2" t="s">
        <v>179</v>
      </c>
      <c r="H15" s="2" t="s">
        <v>180</v>
      </c>
      <c r="I15" s="2">
        <v>4</v>
      </c>
      <c r="J15" s="2">
        <v>2</v>
      </c>
      <c r="K15" s="2">
        <v>2</v>
      </c>
      <c r="L15" s="2">
        <v>4</v>
      </c>
      <c r="M15" s="4">
        <f t="shared" si="0"/>
        <v>12</v>
      </c>
      <c r="N15" s="5" t="str">
        <f t="shared" si="1"/>
        <v>Высокий</v>
      </c>
      <c r="O15" s="5" t="str">
        <f t="shared" si="2"/>
        <v>Да</v>
      </c>
      <c r="P15" s="2" t="s">
        <v>94</v>
      </c>
      <c r="Q15" s="2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2" t="s">
        <v>695</v>
      </c>
      <c r="B16" s="2" t="s">
        <v>696</v>
      </c>
      <c r="C16" s="2" t="s">
        <v>632</v>
      </c>
      <c r="D16" s="2" t="s">
        <v>302</v>
      </c>
      <c r="E16" s="2" t="s">
        <v>697</v>
      </c>
      <c r="F16" s="2" t="s">
        <v>639</v>
      </c>
      <c r="G16" s="2" t="s">
        <v>182</v>
      </c>
      <c r="H16" s="2" t="s">
        <v>183</v>
      </c>
      <c r="I16" s="2">
        <v>4</v>
      </c>
      <c r="J16" s="2">
        <v>4</v>
      </c>
      <c r="K16" s="2">
        <v>5</v>
      </c>
      <c r="L16" s="2">
        <v>3</v>
      </c>
      <c r="M16" s="4">
        <f t="shared" si="0"/>
        <v>4.8</v>
      </c>
      <c r="N16" s="5" t="str">
        <f t="shared" si="1"/>
        <v>Низкий</v>
      </c>
      <c r="O16" s="5" t="str">
        <f t="shared" si="2"/>
        <v>Нет</v>
      </c>
      <c r="P16" s="2" t="s">
        <v>94</v>
      </c>
      <c r="Q16" s="2"/>
      <c r="R16" s="9"/>
      <c r="S16" s="9"/>
      <c r="T16" s="9"/>
      <c r="U16" s="9"/>
      <c r="V16" s="9"/>
      <c r="W16" s="9"/>
      <c r="X16" s="9"/>
      <c r="Y16" s="9"/>
      <c r="Z16" s="9"/>
    </row>
  </sheetData>
  <mergeCells count="1">
    <mergeCell ref="A1:Q1"/>
  </mergeCells>
  <conditionalFormatting sqref="M4:M16">
    <cfRule type="colorScale" priority="7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O4:O16">
    <cfRule type="expression" dxfId="4" priority="2">
      <formula>O4="Да"</formula>
    </cfRule>
  </conditionalFormatting>
  <dataValidations count="2">
    <dataValidation type="list" sqref="I4:K16" xr:uid="{00000000-0002-0000-0600-000003000000}">
      <formula1>"1,2,3,4,5"</formula1>
    </dataValidation>
    <dataValidation type="list" sqref="L4:L16" xr:uid="{00000000-0002-0000-0600-000004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600-000000000000}">
          <x14:formula1>
            <xm:f>Справочники!$J$4:$J$12</xm:f>
          </x14:formula1>
          <xm:sqref>D4:D16</xm:sqref>
        </x14:dataValidation>
        <x14:dataValidation type="list" xr:uid="{00000000-0002-0000-0600-000001000000}">
          <x14:formula1>
            <xm:f>Справочники!$D$32:$D$37</xm:f>
          </x14:formula1>
          <xm:sqref>G4:G16</xm:sqref>
        </x14:dataValidation>
        <x14:dataValidation type="list" xr:uid="{00000000-0002-0000-0600-000002000000}">
          <x14:formula1>
            <xm:f>Справочники!$G$32:$G$36</xm:f>
          </x14:formula1>
          <xm:sqref>H4:H16</xm:sqref>
        </x14:dataValidation>
        <x14:dataValidation type="list" xr:uid="{00000000-0002-0000-0600-000005000000}">
          <x14:formula1>
            <xm:f>Справочники!$J$18:$J$22</xm:f>
          </x14:formula1>
          <xm:sqref>P4:P16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3"/>
  <sheetViews>
    <sheetView workbookViewId="0"/>
  </sheetViews>
  <sheetFormatPr defaultRowHeight="14.25"/>
  <cols>
    <col min="1" max="1" width="55.625" customWidth="1"/>
    <col min="2" max="2" width="50.625" customWidth="1"/>
    <col min="3" max="3" width="24" customWidth="1"/>
    <col min="4" max="4" width="19.625" customWidth="1"/>
    <col min="5" max="5" width="21.625" customWidth="1"/>
    <col min="6" max="6" width="33.625" customWidth="1"/>
    <col min="7" max="7" width="20.625" customWidth="1"/>
    <col min="8" max="8" width="23.625" customWidth="1"/>
    <col min="9" max="9" width="16.625" customWidth="1"/>
    <col min="10" max="10" width="14" customWidth="1"/>
    <col min="11" max="11" width="17.625" customWidth="1"/>
    <col min="12" max="13" width="26.625" customWidth="1"/>
    <col min="14" max="14" width="52.625" customWidth="1"/>
    <col min="15" max="26" width="9.625" customWidth="1"/>
  </cols>
  <sheetData>
    <row r="1" spans="1:26" ht="18">
      <c r="A1" s="15" t="s">
        <v>184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>
      <c r="A3" s="10" t="s">
        <v>185</v>
      </c>
      <c r="B3" s="10" t="s">
        <v>186</v>
      </c>
      <c r="C3" s="10" t="s">
        <v>187</v>
      </c>
      <c r="D3" s="10" t="s">
        <v>167</v>
      </c>
      <c r="E3" s="10" t="s">
        <v>188</v>
      </c>
      <c r="F3" s="10" t="s">
        <v>189</v>
      </c>
      <c r="G3" s="10" t="s">
        <v>190</v>
      </c>
      <c r="H3" s="10" t="s">
        <v>86</v>
      </c>
      <c r="I3" s="10" t="s">
        <v>191</v>
      </c>
      <c r="J3" s="10" t="s">
        <v>192</v>
      </c>
      <c r="K3" s="10" t="s">
        <v>193</v>
      </c>
      <c r="L3" s="10" t="s">
        <v>194</v>
      </c>
      <c r="M3" s="10" t="s">
        <v>195</v>
      </c>
      <c r="N3" s="10" t="s">
        <v>64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2" t="s">
        <v>196</v>
      </c>
      <c r="B4" s="2" t="s">
        <v>698</v>
      </c>
      <c r="C4" s="2" t="s">
        <v>197</v>
      </c>
      <c r="D4" s="2" t="s">
        <v>562</v>
      </c>
      <c r="E4" s="2" t="s">
        <v>178</v>
      </c>
      <c r="F4" s="2">
        <v>5</v>
      </c>
      <c r="G4" s="2">
        <v>5</v>
      </c>
      <c r="H4" s="2">
        <v>4</v>
      </c>
      <c r="I4" s="2">
        <v>4</v>
      </c>
      <c r="J4" s="2">
        <v>2</v>
      </c>
      <c r="K4" s="4">
        <f t="shared" ref="K4:K13" si="0">IF(A4="","",IFERROR((F4+G4+H4)*((6-J4)/5)/I4,0))</f>
        <v>2.8000000000000003</v>
      </c>
      <c r="L4" s="5" t="str">
        <f t="shared" ref="L4:L13" si="1">IF(K4="","",IF(K4&gt;=6,"Включить в первую версию",IF(K4&gt;=4,"Включить после проверки",IF(K4&gt;=2.5,"Проверить дополнительно",IF(K4&gt;=1.5,"Отложить","Исключить")))))</f>
        <v>Проверить дополнительно</v>
      </c>
      <c r="M4" s="2" t="s">
        <v>198</v>
      </c>
      <c r="N4" s="2" t="s">
        <v>699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2" t="s">
        <v>199</v>
      </c>
      <c r="B5" s="2" t="s">
        <v>700</v>
      </c>
      <c r="C5" s="2" t="s">
        <v>701</v>
      </c>
      <c r="D5" s="2" t="s">
        <v>582</v>
      </c>
      <c r="E5" s="2" t="s">
        <v>666</v>
      </c>
      <c r="F5" s="2">
        <v>5</v>
      </c>
      <c r="G5" s="2">
        <v>4</v>
      </c>
      <c r="H5" s="2">
        <v>4</v>
      </c>
      <c r="I5" s="2">
        <v>2</v>
      </c>
      <c r="J5" s="2">
        <v>1</v>
      </c>
      <c r="K5" s="4">
        <f t="shared" si="0"/>
        <v>6.5</v>
      </c>
      <c r="L5" s="5" t="str">
        <f t="shared" si="1"/>
        <v>Включить в первую версию</v>
      </c>
      <c r="M5" s="2" t="s">
        <v>198</v>
      </c>
      <c r="N5" s="2" t="s">
        <v>702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2" t="s">
        <v>703</v>
      </c>
      <c r="B6" s="2" t="s">
        <v>704</v>
      </c>
      <c r="C6" s="2" t="s">
        <v>701</v>
      </c>
      <c r="D6" s="2" t="s">
        <v>562</v>
      </c>
      <c r="E6" s="2" t="s">
        <v>181</v>
      </c>
      <c r="F6" s="2">
        <v>5</v>
      </c>
      <c r="G6" s="2">
        <v>4</v>
      </c>
      <c r="H6" s="2">
        <v>3</v>
      </c>
      <c r="I6" s="2">
        <v>3</v>
      </c>
      <c r="J6" s="2">
        <v>2</v>
      </c>
      <c r="K6" s="4">
        <f t="shared" si="0"/>
        <v>3.2000000000000006</v>
      </c>
      <c r="L6" s="5" t="str">
        <f t="shared" si="1"/>
        <v>Проверить дополнительно</v>
      </c>
      <c r="M6" s="2" t="s">
        <v>198</v>
      </c>
      <c r="N6" s="2" t="s">
        <v>705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2" t="s">
        <v>706</v>
      </c>
      <c r="B7" s="2" t="s">
        <v>707</v>
      </c>
      <c r="C7" s="2" t="s">
        <v>701</v>
      </c>
      <c r="D7" s="2" t="s">
        <v>551</v>
      </c>
      <c r="E7" s="2" t="s">
        <v>669</v>
      </c>
      <c r="F7" s="2">
        <v>4</v>
      </c>
      <c r="G7" s="2">
        <v>4</v>
      </c>
      <c r="H7" s="2">
        <v>3</v>
      </c>
      <c r="I7" s="2">
        <v>2</v>
      </c>
      <c r="J7" s="2">
        <v>1</v>
      </c>
      <c r="K7" s="4">
        <f t="shared" si="0"/>
        <v>5.5</v>
      </c>
      <c r="L7" s="5" t="str">
        <f t="shared" si="1"/>
        <v>Включить после проверки</v>
      </c>
      <c r="M7" s="2" t="s">
        <v>198</v>
      </c>
      <c r="N7" s="2" t="s">
        <v>672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2" t="s">
        <v>708</v>
      </c>
      <c r="B8" s="2" t="s">
        <v>709</v>
      </c>
      <c r="C8" s="2" t="s">
        <v>200</v>
      </c>
      <c r="D8" s="2" t="s">
        <v>136</v>
      </c>
      <c r="E8" s="2" t="s">
        <v>680</v>
      </c>
      <c r="F8" s="2">
        <v>4</v>
      </c>
      <c r="G8" s="2">
        <v>5</v>
      </c>
      <c r="H8" s="2">
        <v>4</v>
      </c>
      <c r="I8" s="2">
        <v>2</v>
      </c>
      <c r="J8" s="2">
        <v>1</v>
      </c>
      <c r="K8" s="4">
        <f t="shared" si="0"/>
        <v>6.5</v>
      </c>
      <c r="L8" s="5" t="str">
        <f t="shared" si="1"/>
        <v>Включить в первую версию</v>
      </c>
      <c r="M8" s="2" t="s">
        <v>198</v>
      </c>
      <c r="N8" s="2" t="s">
        <v>710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2" t="s">
        <v>711</v>
      </c>
      <c r="B9" s="2" t="s">
        <v>743</v>
      </c>
      <c r="C9" s="2" t="s">
        <v>200</v>
      </c>
      <c r="D9" s="2" t="s">
        <v>602</v>
      </c>
      <c r="E9" s="2" t="s">
        <v>683</v>
      </c>
      <c r="F9" s="2">
        <v>3</v>
      </c>
      <c r="G9" s="2">
        <v>5</v>
      </c>
      <c r="H9" s="2">
        <v>4</v>
      </c>
      <c r="I9" s="2">
        <v>3</v>
      </c>
      <c r="J9" s="2">
        <v>3</v>
      </c>
      <c r="K9" s="4">
        <f t="shared" si="0"/>
        <v>2.4</v>
      </c>
      <c r="L9" s="5" t="str">
        <f t="shared" si="1"/>
        <v>Отложить</v>
      </c>
      <c r="M9" s="2" t="s">
        <v>198</v>
      </c>
      <c r="N9" s="2" t="s">
        <v>712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2" t="s">
        <v>713</v>
      </c>
      <c r="B10" s="2" t="s">
        <v>662</v>
      </c>
      <c r="C10" s="2" t="s">
        <v>701</v>
      </c>
      <c r="D10" s="2" t="s">
        <v>571</v>
      </c>
      <c r="E10" s="2" t="s">
        <v>661</v>
      </c>
      <c r="F10" s="2">
        <v>5</v>
      </c>
      <c r="G10" s="2">
        <v>4</v>
      </c>
      <c r="H10" s="2">
        <v>3</v>
      </c>
      <c r="I10" s="2">
        <v>4</v>
      </c>
      <c r="J10" s="2">
        <v>3</v>
      </c>
      <c r="K10" s="4">
        <f t="shared" si="0"/>
        <v>1.7999999999999998</v>
      </c>
      <c r="L10" s="5" t="str">
        <f t="shared" si="1"/>
        <v>Отложить</v>
      </c>
      <c r="M10" s="2" t="s">
        <v>198</v>
      </c>
      <c r="N10" s="2" t="s">
        <v>664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2" t="s">
        <v>714</v>
      </c>
      <c r="B11" s="2" t="s">
        <v>715</v>
      </c>
      <c r="C11" s="2" t="s">
        <v>701</v>
      </c>
      <c r="D11" s="2" t="s">
        <v>562</v>
      </c>
      <c r="E11" s="2" t="s">
        <v>687</v>
      </c>
      <c r="F11" s="2">
        <v>4</v>
      </c>
      <c r="G11" s="2">
        <v>4</v>
      </c>
      <c r="H11" s="2">
        <v>3</v>
      </c>
      <c r="I11" s="2">
        <v>4</v>
      </c>
      <c r="J11" s="2">
        <v>3</v>
      </c>
      <c r="K11" s="4">
        <f t="shared" si="0"/>
        <v>1.65</v>
      </c>
      <c r="L11" s="5" t="str">
        <f t="shared" si="1"/>
        <v>Отложить</v>
      </c>
      <c r="M11" s="2" t="s">
        <v>716</v>
      </c>
      <c r="N11" s="2" t="s">
        <v>717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2" t="s">
        <v>718</v>
      </c>
      <c r="B12" s="2" t="s">
        <v>719</v>
      </c>
      <c r="C12" s="2" t="s">
        <v>701</v>
      </c>
      <c r="D12" s="2" t="s">
        <v>592</v>
      </c>
      <c r="E12" s="2" t="s">
        <v>673</v>
      </c>
      <c r="F12" s="2">
        <v>4</v>
      </c>
      <c r="G12" s="2">
        <v>3</v>
      </c>
      <c r="H12" s="2">
        <v>3</v>
      </c>
      <c r="I12" s="2">
        <v>3</v>
      </c>
      <c r="J12" s="2">
        <v>2</v>
      </c>
      <c r="K12" s="4">
        <f t="shared" si="0"/>
        <v>2.6666666666666665</v>
      </c>
      <c r="L12" s="5" t="str">
        <f t="shared" si="1"/>
        <v>Проверить дополнительно</v>
      </c>
      <c r="M12" s="2" t="s">
        <v>720</v>
      </c>
      <c r="N12" s="2" t="s">
        <v>148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2" t="s">
        <v>721</v>
      </c>
      <c r="B13" s="2" t="s">
        <v>722</v>
      </c>
      <c r="C13" s="2" t="s">
        <v>701</v>
      </c>
      <c r="D13" s="2" t="s">
        <v>632</v>
      </c>
      <c r="E13" s="2" t="s">
        <v>695</v>
      </c>
      <c r="F13" s="2">
        <v>4</v>
      </c>
      <c r="G13" s="2">
        <v>4</v>
      </c>
      <c r="H13" s="2">
        <v>3</v>
      </c>
      <c r="I13" s="2">
        <v>5</v>
      </c>
      <c r="J13" s="2">
        <v>3</v>
      </c>
      <c r="K13" s="4">
        <f t="shared" si="0"/>
        <v>1.3199999999999998</v>
      </c>
      <c r="L13" s="5" t="str">
        <f t="shared" si="1"/>
        <v>Исключить</v>
      </c>
      <c r="M13" s="2" t="s">
        <v>723</v>
      </c>
      <c r="N13" s="2" t="s">
        <v>639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</sheetData>
  <mergeCells count="1">
    <mergeCell ref="A1:N1"/>
  </mergeCells>
  <conditionalFormatting sqref="K4:K13">
    <cfRule type="colorScale" priority="8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F4:J13" xr:uid="{00000000-0002-0000-0700-000000000000}">
      <formula1>"1,2,3,4,5"</formula1>
    </dataValidation>
    <dataValidation type="list" sqref="H4:H13" xr:uid="{00000000-0002-0000-0700-000001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2000000}">
          <x14:formula1>
            <xm:f>Справочники!$A$46:$A$50</xm:f>
          </x14:formula1>
          <xm:sqref>L4:L13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3"/>
  <sheetViews>
    <sheetView workbookViewId="0"/>
  </sheetViews>
  <sheetFormatPr defaultRowHeight="14.25"/>
  <cols>
    <col min="1" max="1" width="55.625" customWidth="1"/>
    <col min="2" max="2" width="36.625" customWidth="1"/>
    <col min="3" max="3" width="55.625" customWidth="1"/>
    <col min="4" max="4" width="28" customWidth="1"/>
    <col min="5" max="5" width="48.625" customWidth="1"/>
    <col min="6" max="6" width="14" customWidth="1"/>
    <col min="7" max="7" width="12" customWidth="1"/>
    <col min="8" max="8" width="18" customWidth="1"/>
    <col min="9" max="9" width="32" customWidth="1"/>
    <col min="10" max="26" width="9.625" customWidth="1"/>
  </cols>
  <sheetData>
    <row r="1" spans="1:26" ht="18">
      <c r="A1" s="15" t="s">
        <v>201</v>
      </c>
      <c r="B1" s="15"/>
      <c r="C1" s="15"/>
      <c r="D1" s="15"/>
      <c r="E1" s="15"/>
      <c r="F1" s="15"/>
      <c r="G1" s="15"/>
      <c r="H1" s="15"/>
      <c r="I1" s="1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0" t="s">
        <v>202</v>
      </c>
      <c r="B3" s="10" t="s">
        <v>203</v>
      </c>
      <c r="C3" s="10" t="s">
        <v>204</v>
      </c>
      <c r="D3" s="10" t="s">
        <v>205</v>
      </c>
      <c r="E3" s="10" t="s">
        <v>206</v>
      </c>
      <c r="F3" s="10" t="s">
        <v>207</v>
      </c>
      <c r="G3" s="10" t="s">
        <v>208</v>
      </c>
      <c r="H3" s="10" t="s">
        <v>9</v>
      </c>
      <c r="I3" s="10" t="s">
        <v>64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8.5">
      <c r="A4" s="2" t="s">
        <v>12</v>
      </c>
      <c r="B4" s="2" t="s">
        <v>209</v>
      </c>
      <c r="C4" s="2" t="s">
        <v>210</v>
      </c>
      <c r="D4" s="2" t="s">
        <v>11</v>
      </c>
      <c r="E4" s="2" t="s">
        <v>211</v>
      </c>
      <c r="F4" s="5">
        <f>COUNTA('Банк анализа'!A4:A203)</f>
        <v>13</v>
      </c>
      <c r="G4" s="2">
        <v>5</v>
      </c>
      <c r="H4" s="5" t="str">
        <f t="shared" ref="H4:H13" si="0">IF(F4&gt;=G4,"Пройдено","Недостаточно")</f>
        <v>Пройдено</v>
      </c>
      <c r="I4" s="2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">
      <c r="A5" s="2" t="s">
        <v>212</v>
      </c>
      <c r="B5" s="2" t="s">
        <v>213</v>
      </c>
      <c r="C5" s="2" t="s">
        <v>214</v>
      </c>
      <c r="D5" s="2" t="s">
        <v>11</v>
      </c>
      <c r="E5" s="2" t="s">
        <v>215</v>
      </c>
      <c r="F5" s="5">
        <f>COUNTIF('Банк анализа'!G4:G203,"&gt;=3")</f>
        <v>9</v>
      </c>
      <c r="G5" s="2">
        <v>3</v>
      </c>
      <c r="H5" s="5" t="str">
        <f t="shared" si="0"/>
        <v>Пройдено</v>
      </c>
      <c r="I5" s="2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>
      <c r="A6" s="2" t="s">
        <v>16</v>
      </c>
      <c r="B6" s="2" t="s">
        <v>216</v>
      </c>
      <c r="C6" s="2" t="s">
        <v>217</v>
      </c>
      <c r="D6" s="2" t="s">
        <v>16</v>
      </c>
      <c r="E6" s="2" t="s">
        <v>218</v>
      </c>
      <c r="F6" s="5">
        <f>COUNTA('Бизнес-логика'!A4:A10)</f>
        <v>7</v>
      </c>
      <c r="G6" s="2">
        <v>3</v>
      </c>
      <c r="H6" s="5" t="str">
        <f t="shared" si="0"/>
        <v>Пройдено</v>
      </c>
      <c r="I6" s="2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">
      <c r="A7" s="2" t="s">
        <v>21</v>
      </c>
      <c r="B7" s="2" t="s">
        <v>219</v>
      </c>
      <c r="C7" s="2" t="s">
        <v>220</v>
      </c>
      <c r="D7" s="2" t="s">
        <v>21</v>
      </c>
      <c r="E7" s="2" t="s">
        <v>221</v>
      </c>
      <c r="F7" s="5">
        <f>COUNTA('Роли и сегменты'!A4:A10)</f>
        <v>7</v>
      </c>
      <c r="G7" s="2">
        <v>2</v>
      </c>
      <c r="H7" s="5" t="str">
        <f t="shared" si="0"/>
        <v>Пройдено</v>
      </c>
      <c r="I7" s="2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8.5">
      <c r="A8" s="2" t="s">
        <v>222</v>
      </c>
      <c r="B8" s="2" t="s">
        <v>223</v>
      </c>
      <c r="C8" s="2" t="s">
        <v>224</v>
      </c>
      <c r="D8" s="2" t="s">
        <v>26</v>
      </c>
      <c r="E8" s="2" t="s">
        <v>225</v>
      </c>
      <c r="F8" s="5">
        <f>COUNTA('Пользовательские сценарии'!A4:A15)</f>
        <v>12</v>
      </c>
      <c r="G8" s="2">
        <v>5</v>
      </c>
      <c r="H8" s="5" t="str">
        <f t="shared" si="0"/>
        <v>Пройдено</v>
      </c>
      <c r="I8" s="2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8.5">
      <c r="A9" s="2" t="s">
        <v>226</v>
      </c>
      <c r="B9" s="2" t="s">
        <v>227</v>
      </c>
      <c r="C9" s="2" t="s">
        <v>228</v>
      </c>
      <c r="D9" s="2" t="s">
        <v>26</v>
      </c>
      <c r="E9" s="2" t="s">
        <v>229</v>
      </c>
      <c r="F9" s="5">
        <f>COUNTIF('Пользовательские сценарии'!E4:E15,"Монетизационный")</f>
        <v>1</v>
      </c>
      <c r="G9" s="2">
        <v>1</v>
      </c>
      <c r="H9" s="5" t="str">
        <f t="shared" si="0"/>
        <v>Пройдено</v>
      </c>
      <c r="I9" s="2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8.5">
      <c r="A10" s="2" t="s">
        <v>230</v>
      </c>
      <c r="B10" s="2" t="s">
        <v>231</v>
      </c>
      <c r="C10" s="2" t="s">
        <v>232</v>
      </c>
      <c r="D10" s="2" t="s">
        <v>36</v>
      </c>
      <c r="E10" s="2" t="s">
        <v>233</v>
      </c>
      <c r="F10" s="5">
        <f>COUNTA('Функциональные требования'!A4:A16)</f>
        <v>13</v>
      </c>
      <c r="G10" s="2">
        <v>5</v>
      </c>
      <c r="H10" s="5" t="str">
        <f t="shared" si="0"/>
        <v>Пройдено</v>
      </c>
      <c r="I10" s="2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">
      <c r="A11" s="2" t="s">
        <v>176</v>
      </c>
      <c r="B11" s="2" t="s">
        <v>234</v>
      </c>
      <c r="C11" s="2" t="s">
        <v>235</v>
      </c>
      <c r="D11" s="2" t="s">
        <v>36</v>
      </c>
      <c r="E11" s="2" t="s">
        <v>236</v>
      </c>
      <c r="F11" s="5">
        <f>COUNTIF('Функциональные требования'!O4:O16,"Да")</f>
        <v>5</v>
      </c>
      <c r="G11" s="2">
        <v>3</v>
      </c>
      <c r="H11" s="5" t="str">
        <f t="shared" si="0"/>
        <v>Пройдено</v>
      </c>
      <c r="I11" s="2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">
      <c r="A12" s="2" t="s">
        <v>41</v>
      </c>
      <c r="B12" s="2" t="s">
        <v>237</v>
      </c>
      <c r="C12" s="2" t="s">
        <v>238</v>
      </c>
      <c r="D12" s="2" t="s">
        <v>41</v>
      </c>
      <c r="E12" s="2" t="s">
        <v>239</v>
      </c>
      <c r="F12" s="5">
        <f>COUNTA(Приоритизация!A4:A13)</f>
        <v>10</v>
      </c>
      <c r="G12" s="2">
        <v>5</v>
      </c>
      <c r="H12" s="5" t="str">
        <f t="shared" si="0"/>
        <v>Пройдено</v>
      </c>
      <c r="I12" s="2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">
      <c r="A13" s="2" t="s">
        <v>240</v>
      </c>
      <c r="B13" s="2" t="s">
        <v>241</v>
      </c>
      <c r="C13" s="2" t="s">
        <v>242</v>
      </c>
      <c r="D13" s="2" t="s">
        <v>46</v>
      </c>
      <c r="E13" s="2" t="s">
        <v>243</v>
      </c>
      <c r="F13" s="5">
        <f>COUNTIF(H4:H12,"Пройдено")</f>
        <v>9</v>
      </c>
      <c r="G13" s="2">
        <v>7</v>
      </c>
      <c r="H13" s="5" t="str">
        <f t="shared" si="0"/>
        <v>Пройдено</v>
      </c>
      <c r="I13" s="2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</sheetData>
  <mergeCells count="1">
    <mergeCell ref="A1:I1"/>
  </mergeCells>
  <conditionalFormatting sqref="H4:H13">
    <cfRule type="expression" dxfId="3" priority="1">
      <formula>H4="Пройдено"</formula>
    </cfRule>
    <cfRule type="expression" dxfId="2" priority="2">
      <formula>H4="Недостаточно"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3"/>
  <sheetViews>
    <sheetView workbookViewId="0"/>
  </sheetViews>
  <sheetFormatPr defaultRowHeight="14.25"/>
  <cols>
    <col min="1" max="4" width="24" customWidth="1"/>
    <col min="6" max="9" width="24" customWidth="1"/>
  </cols>
  <sheetData>
    <row r="1" spans="1:26" ht="15" customHeight="1">
      <c r="A1" s="15" t="s">
        <v>244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7.100000000000001" customHeight="1">
      <c r="A3" s="16" t="s">
        <v>245</v>
      </c>
      <c r="B3" s="16"/>
      <c r="C3" s="16"/>
      <c r="D3" s="16"/>
      <c r="E3" s="9"/>
      <c r="F3" s="16" t="s">
        <v>246</v>
      </c>
      <c r="G3" s="16"/>
      <c r="H3" s="16"/>
      <c r="I3" s="16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7.100000000000001" customHeight="1">
      <c r="A4" s="10" t="s">
        <v>247</v>
      </c>
      <c r="B4" s="10" t="s">
        <v>248</v>
      </c>
      <c r="C4" s="10" t="s">
        <v>249</v>
      </c>
      <c r="D4" s="10" t="s">
        <v>250</v>
      </c>
      <c r="E4" s="9"/>
      <c r="F4" s="10" t="s">
        <v>131</v>
      </c>
      <c r="G4" s="10" t="s">
        <v>222</v>
      </c>
      <c r="H4" s="10" t="s">
        <v>230</v>
      </c>
      <c r="I4" s="10" t="s">
        <v>251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7.100000000000001" customHeight="1">
      <c r="A5" s="1" t="s">
        <v>252</v>
      </c>
      <c r="B5" s="5">
        <f>COUNTA('Банк анализа'!A4:A203)</f>
        <v>13</v>
      </c>
      <c r="C5" s="1" t="s">
        <v>253</v>
      </c>
      <c r="D5" s="1" t="s">
        <v>254</v>
      </c>
      <c r="E5" s="9"/>
      <c r="F5" s="1" t="s">
        <v>255</v>
      </c>
      <c r="G5" s="5">
        <f>COUNTIF('Пользовательские сценарии'!S4:S15,F5)</f>
        <v>1</v>
      </c>
      <c r="H5" s="5">
        <f>COUNTIF('Функциональные требования'!N4:N16,F5)</f>
        <v>2</v>
      </c>
      <c r="I5" s="5">
        <f>COUNTIF(Приоритизация!L4:L13,"*"&amp;F5&amp;"*")</f>
        <v>0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7.100000000000001" customHeight="1">
      <c r="A6" s="1" t="s">
        <v>256</v>
      </c>
      <c r="B6" s="5">
        <f>COUNTIF('Банк анализа'!G4:G203,"&gt;=3")</f>
        <v>9</v>
      </c>
      <c r="C6" s="1" t="s">
        <v>253</v>
      </c>
      <c r="D6" s="1" t="s">
        <v>257</v>
      </c>
      <c r="E6" s="9"/>
      <c r="F6" s="1" t="s">
        <v>258</v>
      </c>
      <c r="G6" s="5">
        <f>COUNTIF('Пользовательские сценарии'!S4:S15,F6)</f>
        <v>5</v>
      </c>
      <c r="H6" s="5">
        <f>COUNTIF('Функциональные требования'!N4:N16,F6)</f>
        <v>3</v>
      </c>
      <c r="I6" s="5">
        <f>COUNTIF(Приоритизация!L4:L13,"*"&amp;F6&amp;"*")</f>
        <v>0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7.100000000000001" customHeight="1">
      <c r="A7" s="1" t="s">
        <v>259</v>
      </c>
      <c r="B7" s="5">
        <f>COUNTA('Бизнес-логика'!A4:A10)</f>
        <v>7</v>
      </c>
      <c r="C7" s="1" t="s">
        <v>253</v>
      </c>
      <c r="D7" s="1" t="s">
        <v>260</v>
      </c>
      <c r="E7" s="9"/>
      <c r="F7" s="1" t="s">
        <v>261</v>
      </c>
      <c r="G7" s="5">
        <f>COUNTIF('Пользовательские сценарии'!S4:S15,F7)</f>
        <v>2</v>
      </c>
      <c r="H7" s="5">
        <f>COUNTIF('Функциональные требования'!N4:N16,F7)</f>
        <v>6</v>
      </c>
      <c r="I7" s="5">
        <f>COUNTIF(Приоритизация!L4:L13,"*"&amp;F7&amp;"*")</f>
        <v>0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7.100000000000001" customHeight="1">
      <c r="A8" s="1" t="s">
        <v>262</v>
      </c>
      <c r="B8" s="5">
        <f>IFERROR(AVERAGEIF('Бизнес-логика'!M4:M10,"&gt;0",'Бизнес-логика'!M4:M10),0)</f>
        <v>0.65</v>
      </c>
      <c r="C8" s="1" t="s">
        <v>263</v>
      </c>
      <c r="D8" s="1" t="s">
        <v>264</v>
      </c>
      <c r="E8" s="9"/>
      <c r="F8" s="1" t="s">
        <v>265</v>
      </c>
      <c r="G8" s="5">
        <f>COUNTIF('Пользовательские сценарии'!S4:S15,F8)</f>
        <v>3</v>
      </c>
      <c r="H8" s="5">
        <f>COUNTIF('Функциональные требования'!N4:N16,F8)</f>
        <v>2</v>
      </c>
      <c r="I8" s="5">
        <f>COUNTIF(Приоритизация!L4:L13,"*"&amp;F8&amp;"*")</f>
        <v>0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7.100000000000001" customHeight="1">
      <c r="A9" s="1" t="s">
        <v>266</v>
      </c>
      <c r="B9" s="5">
        <f>COUNTA('Роли и сегменты'!A4:A10)</f>
        <v>7</v>
      </c>
      <c r="C9" s="1" t="s">
        <v>253</v>
      </c>
      <c r="D9" s="1" t="s">
        <v>267</v>
      </c>
      <c r="E9" s="9"/>
      <c r="F9" s="1" t="s">
        <v>268</v>
      </c>
      <c r="G9" s="5">
        <f>COUNTIF('Пользовательские сценарии'!S4:S15,F9)</f>
        <v>1</v>
      </c>
      <c r="H9" s="5">
        <f>COUNTIF('Функциональные требования'!N4:N16,F9)</f>
        <v>0</v>
      </c>
      <c r="I9" s="5">
        <f>COUNTIF(Приоритизация!L4:L13,"*"&amp;F9&amp;"*")</f>
        <v>3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7.100000000000001" customHeight="1">
      <c r="A10" s="1" t="s">
        <v>269</v>
      </c>
      <c r="B10" s="5">
        <f>COUNTA('Пользовательские сценарии'!A4:A15)</f>
        <v>12</v>
      </c>
      <c r="C10" s="1" t="s">
        <v>253</v>
      </c>
      <c r="D10" s="1" t="s">
        <v>270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7.100000000000001" customHeight="1">
      <c r="A11" s="1" t="s">
        <v>271</v>
      </c>
      <c r="B11" s="5">
        <f>COUNTIF('Пользовательские сценарии'!S4:S15,"Критический")+COUNTIF('Пользовательские сценарии'!S4:S15,"Высокий")</f>
        <v>6</v>
      </c>
      <c r="C11" s="1" t="s">
        <v>253</v>
      </c>
      <c r="D11" s="1" t="s">
        <v>272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7.100000000000001" customHeight="1">
      <c r="A12" s="1" t="s">
        <v>273</v>
      </c>
      <c r="B12" s="5">
        <f>COUNTA('Функциональные требования'!A4:A16)</f>
        <v>13</v>
      </c>
      <c r="C12" s="1" t="s">
        <v>253</v>
      </c>
      <c r="D12" s="1" t="s">
        <v>274</v>
      </c>
      <c r="E12" s="9"/>
      <c r="F12" s="16" t="s">
        <v>275</v>
      </c>
      <c r="G12" s="16"/>
      <c r="H12" s="16"/>
      <c r="I12" s="16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7.100000000000001" customHeight="1">
      <c r="A13" s="1" t="s">
        <v>276</v>
      </c>
      <c r="B13" s="5">
        <f>COUNTIF('Функциональные требования'!O4:O16,"Да")</f>
        <v>5</v>
      </c>
      <c r="C13" s="1" t="s">
        <v>253</v>
      </c>
      <c r="D13" s="1" t="s">
        <v>277</v>
      </c>
      <c r="E13" s="9"/>
      <c r="F13" s="10" t="s">
        <v>202</v>
      </c>
      <c r="G13" s="10" t="s">
        <v>207</v>
      </c>
      <c r="H13" s="10" t="s">
        <v>208</v>
      </c>
      <c r="I13" s="10" t="s">
        <v>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7.100000000000001" customHeight="1">
      <c r="A14" s="1" t="s">
        <v>278</v>
      </c>
      <c r="B14" s="5">
        <f>COUNTIF(Связность!H4:H13,"Пройдено")</f>
        <v>10</v>
      </c>
      <c r="C14" s="1" t="s">
        <v>279</v>
      </c>
      <c r="D14" s="1" t="s">
        <v>280</v>
      </c>
      <c r="E14" s="9"/>
      <c r="F14" s="1" t="str">
        <f>Связность!A4</f>
        <v>Единая доказательная база</v>
      </c>
      <c r="G14" s="5">
        <f>Связность!F4</f>
        <v>13</v>
      </c>
      <c r="H14" s="5">
        <f>Связность!G4</f>
        <v>5</v>
      </c>
      <c r="I14" s="5" t="str">
        <f>Связность!H4</f>
        <v>Пройдено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7.100000000000001" customHeight="1">
      <c r="A15" s="1" t="s">
        <v>281</v>
      </c>
      <c r="B15" s="6">
        <f>IFERROR(COUNTIF(Связность!H4:H13,"Пройдено")/10,0)</f>
        <v>1</v>
      </c>
      <c r="C15" s="1" t="s">
        <v>282</v>
      </c>
      <c r="D15" s="1" t="s">
        <v>283</v>
      </c>
      <c r="E15" s="9"/>
      <c r="F15" s="1" t="str">
        <f>Связность!A5</f>
        <v>Подтвержденные основания</v>
      </c>
      <c r="G15" s="5">
        <f>Связность!F5</f>
        <v>9</v>
      </c>
      <c r="H15" s="5">
        <f>Связность!G5</f>
        <v>3</v>
      </c>
      <c r="I15" s="5" t="str">
        <f>Связность!H5</f>
        <v>Пройдено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7.100000000000001" customHeight="1">
      <c r="A16" s="9"/>
      <c r="B16" s="9"/>
      <c r="C16" s="9"/>
      <c r="D16" s="9"/>
      <c r="E16" s="9"/>
      <c r="F16" s="1" t="str">
        <f>Связность!A6</f>
        <v>Бизнес-логика</v>
      </c>
      <c r="G16" s="5">
        <f>Связность!F6</f>
        <v>7</v>
      </c>
      <c r="H16" s="5">
        <f>Связность!G6</f>
        <v>3</v>
      </c>
      <c r="I16" s="5" t="str">
        <f>Связность!H6</f>
        <v>Пройдено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7.100000000000001" customHeight="1">
      <c r="A17" s="9"/>
      <c r="B17" s="9"/>
      <c r="C17" s="9"/>
      <c r="D17" s="9"/>
      <c r="E17" s="9"/>
      <c r="F17" s="1" t="str">
        <f>Связность!A7</f>
        <v>Роли и сегменты</v>
      </c>
      <c r="G17" s="5">
        <f>Связность!F7</f>
        <v>7</v>
      </c>
      <c r="H17" s="5">
        <f>Связность!G7</f>
        <v>2</v>
      </c>
      <c r="I17" s="5" t="str">
        <f>Связность!H7</f>
        <v>Пройдено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7.100000000000001" customHeight="1">
      <c r="A18" s="16" t="s">
        <v>284</v>
      </c>
      <c r="B18" s="16"/>
      <c r="C18" s="16"/>
      <c r="D18" s="16"/>
      <c r="E18" s="9"/>
      <c r="F18" s="1" t="str">
        <f>Связность!A8</f>
        <v>Сценарии</v>
      </c>
      <c r="G18" s="5">
        <f>Связность!F8</f>
        <v>12</v>
      </c>
      <c r="H18" s="5">
        <f>Связность!G8</f>
        <v>5</v>
      </c>
      <c r="I18" s="5" t="str">
        <f>Связность!H8</f>
        <v>Пройдено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7.100000000000001" customHeight="1">
      <c r="A19" s="1" t="s">
        <v>285</v>
      </c>
      <c r="B19" s="1" t="s">
        <v>829</v>
      </c>
      <c r="C19" s="1"/>
      <c r="D19" s="1"/>
      <c r="E19" s="9"/>
      <c r="F19" s="1" t="str">
        <f>Связность!A9</f>
        <v>Монетизационные сценарии</v>
      </c>
      <c r="G19" s="5">
        <f>Связность!F9</f>
        <v>1</v>
      </c>
      <c r="H19" s="5">
        <f>Связность!G9</f>
        <v>1</v>
      </c>
      <c r="I19" s="5" t="str">
        <f>Связность!H9</f>
        <v>Пройдено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7.100000000000001" customHeight="1">
      <c r="A20" s="1" t="s">
        <v>286</v>
      </c>
      <c r="B20" s="1" t="s">
        <v>830</v>
      </c>
      <c r="C20" s="1"/>
      <c r="D20" s="1"/>
      <c r="E20" s="9"/>
      <c r="F20" s="1" t="str">
        <f>Связность!A10</f>
        <v>Требования</v>
      </c>
      <c r="G20" s="5">
        <f>Связность!F10</f>
        <v>13</v>
      </c>
      <c r="H20" s="5">
        <f>Связность!G10</f>
        <v>5</v>
      </c>
      <c r="I20" s="5" t="str">
        <f>Связность!H10</f>
        <v>Пройдено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7.100000000000001" customHeight="1">
      <c r="A21" s="1" t="s">
        <v>287</v>
      </c>
      <c r="B21" s="1" t="s">
        <v>831</v>
      </c>
      <c r="C21" s="1"/>
      <c r="D21" s="1"/>
      <c r="E21" s="9"/>
      <c r="F21" s="1" t="str">
        <f>Связность!A11</f>
        <v>MVP</v>
      </c>
      <c r="G21" s="5">
        <f>Связность!F11</f>
        <v>5</v>
      </c>
      <c r="H21" s="5">
        <f>Связность!G11</f>
        <v>3</v>
      </c>
      <c r="I21" s="5" t="str">
        <f>Связность!H11</f>
        <v>Пройдено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7.100000000000001" customHeight="1">
      <c r="A22" s="1" t="s">
        <v>288</v>
      </c>
      <c r="B22" s="1" t="s">
        <v>832</v>
      </c>
      <c r="C22" s="1"/>
      <c r="D22" s="1"/>
      <c r="E22" s="9"/>
      <c r="F22" s="1" t="str">
        <f>Связность!A12</f>
        <v>Приоритизация</v>
      </c>
      <c r="G22" s="5">
        <f>Связность!F12</f>
        <v>10</v>
      </c>
      <c r="H22" s="5">
        <f>Связность!G12</f>
        <v>5</v>
      </c>
      <c r="I22" s="5" t="str">
        <f>Связность!H12</f>
        <v>Пройдено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7.100000000000001" customHeight="1">
      <c r="A23" s="1" t="s">
        <v>289</v>
      </c>
      <c r="B23" s="1" t="s">
        <v>833</v>
      </c>
      <c r="C23" s="1"/>
      <c r="D23" s="1"/>
      <c r="E23" s="9"/>
      <c r="F23" s="1" t="str">
        <f>Связность!A13</f>
        <v>Общая связность</v>
      </c>
      <c r="G23" s="5">
        <f>Связность!F13</f>
        <v>9</v>
      </c>
      <c r="H23" s="5">
        <f>Связность!G13</f>
        <v>7</v>
      </c>
      <c r="I23" s="5" t="str">
        <f>Связность!H13</f>
        <v>Пройдено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7.100000000000001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7.100000000000001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7.100000000000001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7.100000000000001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7.100000000000001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7.100000000000001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7.100000000000001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7.100000000000001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7.100000000000001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7.100000000000001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7.100000000000001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7.100000000000001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7.100000000000001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7.100000000000001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7.100000000000001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7.100000000000001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7.100000000000001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7.100000000000001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7.100000000000001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7.100000000000001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7.100000000000001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7.100000000000001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7.100000000000001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7.100000000000001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7.100000000000001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7.100000000000001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7.100000000000001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7.100000000000001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7.100000000000001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7.100000000000001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7.100000000000001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7.100000000000001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7.100000000000001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7.100000000000001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7.100000000000001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7.100000000000001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7.100000000000001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7.100000000000001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7.100000000000001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7.100000000000001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7.100000000000001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7.100000000000001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7.100000000000001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7.100000000000001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7.100000000000001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7.100000000000001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7.100000000000001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7.100000000000001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7.100000000000001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7.100000000000001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7.100000000000001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7.100000000000001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7.100000000000001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7.100000000000001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7.100000000000001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7.100000000000001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7.100000000000001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7.100000000000001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7.100000000000001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7.100000000000001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7.100000000000001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7.100000000000001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7.100000000000001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7.100000000000001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7.100000000000001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7.100000000000001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7.100000000000001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7.100000000000001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7.100000000000001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7.100000000000001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7.100000000000001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7.100000000000001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7.100000000000001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7.100000000000001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7.100000000000001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7.100000000000001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7.100000000000001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7.100000000000001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7.100000000000001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7.100000000000001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7.100000000000001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7.100000000000001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7.100000000000001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7.100000000000001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7.100000000000001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7.100000000000001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7.100000000000001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7.100000000000001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7.100000000000001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7.100000000000001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7.100000000000001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7.100000000000001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7.100000000000001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7.100000000000001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7.100000000000001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7.100000000000001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7.100000000000001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7.100000000000001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7.100000000000001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7.100000000000001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7.100000000000001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7.100000000000001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7.100000000000001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7.100000000000001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7.100000000000001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7.100000000000001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7.100000000000001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7.100000000000001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7.100000000000001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7.100000000000001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7.100000000000001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7.100000000000001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7.100000000000001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7.100000000000001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7.100000000000001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7.100000000000001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7.100000000000001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7.100000000000001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7.100000000000001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7.100000000000001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7.100000000000001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7.100000000000001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7.100000000000001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7.100000000000001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7.100000000000001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7.100000000000001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7.100000000000001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7.100000000000001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7.100000000000001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7.100000000000001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7.100000000000001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7.100000000000001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7.100000000000001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7.100000000000001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7.100000000000001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7.100000000000001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7.100000000000001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7.100000000000001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7.100000000000001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7.100000000000001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7.100000000000001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7.100000000000001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7.100000000000001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7.100000000000001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7.100000000000001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7.100000000000001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7.100000000000001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7.100000000000001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7.100000000000001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7.100000000000001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7.100000000000001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7.100000000000001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7.100000000000001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7.100000000000001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7.100000000000001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7.100000000000001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7.100000000000001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7.100000000000001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7.100000000000001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7.100000000000001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7.100000000000001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7.100000000000001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7.100000000000001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7.100000000000001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7.100000000000001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7.100000000000001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7.100000000000001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7.100000000000001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7.100000000000001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7.100000000000001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7.100000000000001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7.100000000000001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7.100000000000001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7.100000000000001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7.100000000000001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7.100000000000001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7.100000000000001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7.100000000000001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7.100000000000001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7.100000000000001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</sheetData>
  <mergeCells count="5">
    <mergeCell ref="A1:L1"/>
    <mergeCell ref="A3:D3"/>
    <mergeCell ref="F3:I3"/>
    <mergeCell ref="F12:I12"/>
    <mergeCell ref="A18:D18"/>
  </mergeCells>
  <conditionalFormatting sqref="I14:I23">
    <cfRule type="expression" dxfId="1" priority="1">
      <formula>I14="Пройдено"</formula>
    </cfRule>
    <cfRule type="expression" dxfId="0" priority="2">
      <formula>I14="Недостаточно"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50"/>
  <sheetViews>
    <sheetView workbookViewId="0">
      <selection sqref="A1:Z1"/>
    </sheetView>
  </sheetViews>
  <sheetFormatPr defaultRowHeight="14.25"/>
  <cols>
    <col min="1" max="1" width="51.625" customWidth="1"/>
    <col min="2" max="3" width="22" customWidth="1"/>
    <col min="4" max="4" width="28.625" customWidth="1"/>
    <col min="5" max="5" width="22" customWidth="1"/>
    <col min="6" max="6" width="55.625" customWidth="1"/>
    <col min="7" max="7" width="42.625" customWidth="1"/>
    <col min="8" max="9" width="9.625" customWidth="1"/>
    <col min="10" max="10" width="28" customWidth="1"/>
    <col min="11" max="26" width="9.625" customWidth="1"/>
  </cols>
  <sheetData>
    <row r="1" spans="1:26" ht="18">
      <c r="A1" s="15" t="s">
        <v>290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1" t="s">
        <v>132</v>
      </c>
      <c r="B3" s="9"/>
      <c r="C3" s="9"/>
      <c r="D3" s="11" t="s">
        <v>291</v>
      </c>
      <c r="E3" s="9"/>
      <c r="F3" s="9"/>
      <c r="G3" s="11" t="s">
        <v>292</v>
      </c>
      <c r="H3" s="9"/>
      <c r="I3" s="9"/>
      <c r="J3" s="11" t="s">
        <v>293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1" t="s">
        <v>294</v>
      </c>
      <c r="B4" s="9"/>
      <c r="C4" s="9"/>
      <c r="D4" s="1" t="s">
        <v>114</v>
      </c>
      <c r="E4" s="9"/>
      <c r="F4" s="9"/>
      <c r="G4" s="1" t="s">
        <v>744</v>
      </c>
      <c r="H4" s="9"/>
      <c r="I4" s="9"/>
      <c r="J4" s="1" t="s">
        <v>295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1" t="s">
        <v>66</v>
      </c>
      <c r="B5" s="9"/>
      <c r="C5" s="9"/>
      <c r="D5" s="1" t="s">
        <v>67</v>
      </c>
      <c r="E5" s="9"/>
      <c r="F5" s="9"/>
      <c r="G5" s="1" t="s">
        <v>745</v>
      </c>
      <c r="H5" s="9"/>
      <c r="I5" s="9"/>
      <c r="J5" s="1" t="s">
        <v>137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1" t="s">
        <v>70</v>
      </c>
      <c r="B6" s="9"/>
      <c r="C6" s="9"/>
      <c r="D6" s="1" t="s">
        <v>71</v>
      </c>
      <c r="E6" s="9"/>
      <c r="F6" s="9"/>
      <c r="G6" s="1" t="s">
        <v>746</v>
      </c>
      <c r="H6" s="9"/>
      <c r="I6" s="9"/>
      <c r="J6" s="1" t="s">
        <v>93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1" t="s">
        <v>296</v>
      </c>
      <c r="B7" s="9"/>
      <c r="C7" s="9"/>
      <c r="D7" s="1" t="s">
        <v>297</v>
      </c>
      <c r="E7" s="9"/>
      <c r="F7" s="9"/>
      <c r="G7" s="1" t="s">
        <v>747</v>
      </c>
      <c r="H7" s="9"/>
      <c r="I7" s="9"/>
      <c r="J7" s="1" t="s">
        <v>298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1" t="s">
        <v>299</v>
      </c>
      <c r="B8" s="9"/>
      <c r="C8" s="9"/>
      <c r="D8" s="1" t="s">
        <v>74</v>
      </c>
      <c r="E8" s="9"/>
      <c r="F8" s="9"/>
      <c r="G8" s="9"/>
      <c r="H8" s="9"/>
      <c r="I8" s="9"/>
      <c r="J8" s="1" t="s">
        <v>98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1" t="s">
        <v>300</v>
      </c>
      <c r="B9" s="9"/>
      <c r="C9" s="9"/>
      <c r="D9" s="1" t="s">
        <v>301</v>
      </c>
      <c r="E9" s="9"/>
      <c r="F9" s="9"/>
      <c r="G9" s="9"/>
      <c r="H9" s="9"/>
      <c r="I9" s="9"/>
      <c r="J9" s="1" t="s">
        <v>302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1" t="s">
        <v>303</v>
      </c>
      <c r="B10" s="9"/>
      <c r="C10" s="9"/>
      <c r="D10" s="1" t="s">
        <v>304</v>
      </c>
      <c r="E10" s="9"/>
      <c r="F10" s="9"/>
      <c r="G10" s="9"/>
      <c r="H10" s="9"/>
      <c r="I10" s="9"/>
      <c r="J10" s="1" t="s">
        <v>305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1" t="s">
        <v>73</v>
      </c>
      <c r="B11" s="9"/>
      <c r="C11" s="9"/>
      <c r="D11" s="1" t="s">
        <v>306</v>
      </c>
      <c r="E11" s="9"/>
      <c r="F11" s="9"/>
      <c r="G11" s="9"/>
      <c r="H11" s="9"/>
      <c r="I11" s="9"/>
      <c r="J11" s="1" t="s">
        <v>307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1" t="s">
        <v>308</v>
      </c>
      <c r="B12" s="9"/>
      <c r="C12" s="9"/>
      <c r="D12" s="1" t="s">
        <v>309</v>
      </c>
      <c r="E12" s="9"/>
      <c r="F12" s="9"/>
      <c r="G12" s="9"/>
      <c r="H12" s="9"/>
      <c r="I12" s="9"/>
      <c r="J12" s="1" t="s">
        <v>310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1" t="s">
        <v>311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">
      <c r="A17" s="11" t="s">
        <v>312</v>
      </c>
      <c r="B17" s="9"/>
      <c r="C17" s="9"/>
      <c r="D17" s="11" t="s">
        <v>120</v>
      </c>
      <c r="E17" s="9"/>
      <c r="F17" s="9"/>
      <c r="G17" s="11" t="s">
        <v>131</v>
      </c>
      <c r="H17" s="9"/>
      <c r="I17" s="9"/>
      <c r="J17" s="11" t="s">
        <v>9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1" t="s">
        <v>142</v>
      </c>
      <c r="B18" s="9"/>
      <c r="C18" s="9"/>
      <c r="D18" s="1" t="s">
        <v>135</v>
      </c>
      <c r="E18" s="9"/>
      <c r="F18" s="9"/>
      <c r="G18" s="1" t="s">
        <v>255</v>
      </c>
      <c r="H18" s="9"/>
      <c r="I18" s="9"/>
      <c r="J18" s="1" t="s">
        <v>313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1" t="s">
        <v>143</v>
      </c>
      <c r="B19" s="9"/>
      <c r="C19" s="9"/>
      <c r="D19" s="1" t="s">
        <v>314</v>
      </c>
      <c r="E19" s="9"/>
      <c r="F19" s="9"/>
      <c r="G19" s="1" t="s">
        <v>258</v>
      </c>
      <c r="H19" s="9"/>
      <c r="I19" s="9"/>
      <c r="J19" s="1" t="s">
        <v>94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1" t="s">
        <v>144</v>
      </c>
      <c r="B20" s="9"/>
      <c r="C20" s="9"/>
      <c r="D20" s="1" t="s">
        <v>139</v>
      </c>
      <c r="E20" s="9"/>
      <c r="F20" s="9"/>
      <c r="G20" s="1" t="s">
        <v>261</v>
      </c>
      <c r="H20" s="9"/>
      <c r="I20" s="9"/>
      <c r="J20" s="1" t="s">
        <v>100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1" t="s">
        <v>315</v>
      </c>
      <c r="B21" s="9"/>
      <c r="C21" s="9"/>
      <c r="D21" s="1" t="s">
        <v>316</v>
      </c>
      <c r="E21" s="9"/>
      <c r="F21" s="9"/>
      <c r="G21" s="1" t="s">
        <v>265</v>
      </c>
      <c r="H21" s="9"/>
      <c r="I21" s="9"/>
      <c r="J21" s="1" t="s">
        <v>317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1" t="s">
        <v>134</v>
      </c>
      <c r="B22" s="9"/>
      <c r="C22" s="9"/>
      <c r="D22" s="1" t="s">
        <v>318</v>
      </c>
      <c r="E22" s="9"/>
      <c r="F22" s="9"/>
      <c r="G22" s="1" t="s">
        <v>268</v>
      </c>
      <c r="H22" s="9"/>
      <c r="I22" s="9"/>
      <c r="J22" s="1" t="s">
        <v>319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1" t="s">
        <v>138</v>
      </c>
      <c r="B23" s="9"/>
      <c r="C23" s="9"/>
      <c r="D23" s="1" t="s">
        <v>320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1" t="s">
        <v>146</v>
      </c>
      <c r="B24" s="9"/>
      <c r="C24" s="9"/>
      <c r="D24" s="1" t="s">
        <v>321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1" t="s">
        <v>147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1" t="s">
        <v>148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1" t="s">
        <v>322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1" t="s">
        <v>323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">
      <c r="A31" s="11" t="s">
        <v>79</v>
      </c>
      <c r="B31" s="9"/>
      <c r="C31" s="9"/>
      <c r="D31" s="11" t="s">
        <v>170</v>
      </c>
      <c r="E31" s="9"/>
      <c r="F31" s="9"/>
      <c r="G31" s="11" t="s">
        <v>171</v>
      </c>
      <c r="H31" s="9"/>
      <c r="I31" s="9"/>
      <c r="J31" s="11" t="s">
        <v>324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1" t="s">
        <v>92</v>
      </c>
      <c r="B32" s="9"/>
      <c r="C32" s="9"/>
      <c r="D32" s="1" t="s">
        <v>179</v>
      </c>
      <c r="E32" s="9"/>
      <c r="F32" s="9"/>
      <c r="G32" s="1" t="s">
        <v>325</v>
      </c>
      <c r="H32" s="9"/>
      <c r="I32" s="9"/>
      <c r="J32" s="1" t="s">
        <v>99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1" t="s">
        <v>326</v>
      </c>
      <c r="B33" s="9"/>
      <c r="C33" s="9"/>
      <c r="D33" s="1" t="s">
        <v>182</v>
      </c>
      <c r="E33" s="9"/>
      <c r="F33" s="9"/>
      <c r="G33" s="1" t="s">
        <v>327</v>
      </c>
      <c r="H33" s="9"/>
      <c r="I33" s="9"/>
      <c r="J33" s="1" t="s">
        <v>328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1" t="s">
        <v>97</v>
      </c>
      <c r="B34" s="9"/>
      <c r="C34" s="9"/>
      <c r="D34" s="1" t="s">
        <v>329</v>
      </c>
      <c r="E34" s="9"/>
      <c r="F34" s="9"/>
      <c r="G34" s="1" t="s">
        <v>180</v>
      </c>
      <c r="H34" s="9"/>
      <c r="I34" s="9"/>
      <c r="J34" s="1" t="s">
        <v>330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1" t="s">
        <v>331</v>
      </c>
      <c r="B35" s="9"/>
      <c r="C35" s="9"/>
      <c r="D35" s="1" t="s">
        <v>332</v>
      </c>
      <c r="E35" s="9"/>
      <c r="F35" s="9"/>
      <c r="G35" s="1" t="s">
        <v>183</v>
      </c>
      <c r="H35" s="9"/>
      <c r="I35" s="9"/>
      <c r="J35" s="1" t="s">
        <v>333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1" t="s">
        <v>334</v>
      </c>
      <c r="B36" s="9"/>
      <c r="C36" s="9"/>
      <c r="D36" s="1" t="s">
        <v>335</v>
      </c>
      <c r="E36" s="9"/>
      <c r="F36" s="9"/>
      <c r="G36" s="1" t="s">
        <v>336</v>
      </c>
      <c r="H36" s="9"/>
      <c r="I36" s="9"/>
      <c r="J36" s="1" t="s">
        <v>337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1" t="s">
        <v>338</v>
      </c>
      <c r="B37" s="9"/>
      <c r="C37" s="9"/>
      <c r="D37" s="1" t="s">
        <v>339</v>
      </c>
      <c r="E37" s="9"/>
      <c r="F37" s="9"/>
      <c r="G37" s="9"/>
      <c r="H37" s="9"/>
      <c r="I37" s="9"/>
      <c r="J37" s="1" t="s">
        <v>340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1" t="s">
        <v>341</v>
      </c>
      <c r="B38" s="9"/>
      <c r="C38" s="9"/>
      <c r="D38" s="9"/>
      <c r="E38" s="9"/>
      <c r="F38" s="9"/>
      <c r="G38" s="9"/>
      <c r="H38" s="9"/>
      <c r="I38" s="9"/>
      <c r="J38" s="1" t="s">
        <v>342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1" t="s">
        <v>343</v>
      </c>
      <c r="B39" s="9"/>
      <c r="C39" s="9"/>
      <c r="D39" s="9"/>
      <c r="E39" s="9"/>
      <c r="F39" s="9"/>
      <c r="G39" s="9"/>
      <c r="H39" s="9"/>
      <c r="I39" s="9"/>
      <c r="J39" s="1" t="s">
        <v>344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1" t="s">
        <v>345</v>
      </c>
      <c r="B40" s="9"/>
      <c r="C40" s="9"/>
      <c r="D40" s="9"/>
      <c r="E40" s="9"/>
      <c r="F40" s="9"/>
      <c r="G40" s="9"/>
      <c r="H40" s="9"/>
      <c r="I40" s="9"/>
      <c r="J40" s="1" t="s">
        <v>346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1" t="s">
        <v>347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">
      <c r="A45" s="11" t="s">
        <v>348</v>
      </c>
      <c r="B45" s="11" t="s">
        <v>349</v>
      </c>
      <c r="C45" s="11" t="s">
        <v>350</v>
      </c>
      <c r="D45" s="11" t="s">
        <v>351</v>
      </c>
      <c r="E45" s="11" t="s">
        <v>352</v>
      </c>
      <c r="F45" s="1" t="s">
        <v>353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28.5">
      <c r="A46" s="1" t="s">
        <v>354</v>
      </c>
      <c r="B46" s="1" t="s">
        <v>355</v>
      </c>
      <c r="C46" s="1" t="s">
        <v>356</v>
      </c>
      <c r="D46" s="1" t="s">
        <v>357</v>
      </c>
      <c r="E46" s="1" t="s">
        <v>358</v>
      </c>
      <c r="F46" s="1" t="s">
        <v>359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28.5">
      <c r="A47" s="1" t="s">
        <v>360</v>
      </c>
      <c r="B47" s="1" t="s">
        <v>361</v>
      </c>
      <c r="C47" s="1" t="s">
        <v>362</v>
      </c>
      <c r="D47" s="1" t="s">
        <v>363</v>
      </c>
      <c r="E47" s="1" t="s">
        <v>364</v>
      </c>
      <c r="F47" s="1" t="s">
        <v>365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28.5">
      <c r="A48" s="1" t="s">
        <v>366</v>
      </c>
      <c r="B48" s="1" t="s">
        <v>367</v>
      </c>
      <c r="C48" s="1" t="s">
        <v>368</v>
      </c>
      <c r="D48" s="1" t="s">
        <v>369</v>
      </c>
      <c r="E48" s="1" t="s">
        <v>370</v>
      </c>
      <c r="F48" s="1" t="s">
        <v>371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1" t="s">
        <v>372</v>
      </c>
      <c r="B49" s="1" t="s">
        <v>373</v>
      </c>
      <c r="C49" s="1" t="s">
        <v>374</v>
      </c>
      <c r="D49" s="1" t="s">
        <v>375</v>
      </c>
      <c r="E49" s="1" t="s">
        <v>376</v>
      </c>
      <c r="F49" s="1" t="s">
        <v>377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1" t="s">
        <v>378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</sheetData>
  <mergeCells count="1">
    <mergeCell ref="A1:Z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E67E-B080-41BA-965A-03F18B1AFE7A}">
  <dimension ref="A1:C9"/>
  <sheetViews>
    <sheetView workbookViewId="0"/>
  </sheetViews>
  <sheetFormatPr defaultRowHeight="12.75"/>
  <cols>
    <col min="1" max="1" width="55.625" style="7" customWidth="1"/>
    <col min="2" max="2" width="9.625" style="7" customWidth="1"/>
    <col min="3" max="3" width="60.625" style="7" customWidth="1"/>
    <col min="4" max="16384" width="9" style="7"/>
  </cols>
  <sheetData>
    <row r="1" spans="1:3" ht="31.5">
      <c r="A1" s="12" t="s">
        <v>724</v>
      </c>
      <c r="B1" s="13"/>
      <c r="C1" s="13"/>
    </row>
    <row r="2" spans="1:3">
      <c r="A2" s="13"/>
      <c r="B2" s="13"/>
      <c r="C2" s="13"/>
    </row>
    <row r="3" spans="1:3">
      <c r="A3" s="14" t="s">
        <v>725</v>
      </c>
      <c r="B3" s="14" t="s">
        <v>726</v>
      </c>
      <c r="C3" s="14" t="s">
        <v>727</v>
      </c>
    </row>
    <row r="4" spans="1:3" ht="51">
      <c r="A4" s="8" t="s">
        <v>728</v>
      </c>
      <c r="B4" s="8" t="s">
        <v>729</v>
      </c>
      <c r="C4" s="8" t="s">
        <v>834</v>
      </c>
    </row>
    <row r="5" spans="1:3" ht="165.75">
      <c r="A5" s="8" t="s">
        <v>730</v>
      </c>
      <c r="B5" s="8" t="s">
        <v>731</v>
      </c>
      <c r="C5" s="8" t="s">
        <v>835</v>
      </c>
    </row>
    <row r="6" spans="1:3" ht="38.25">
      <c r="A6" s="8" t="s">
        <v>732</v>
      </c>
      <c r="B6" s="8" t="s">
        <v>733</v>
      </c>
      <c r="C6" s="8" t="s">
        <v>836</v>
      </c>
    </row>
    <row r="7" spans="1:3" ht="63.75">
      <c r="A7" s="8" t="s">
        <v>734</v>
      </c>
      <c r="B7" s="8" t="s">
        <v>735</v>
      </c>
      <c r="C7" s="8" t="s">
        <v>837</v>
      </c>
    </row>
    <row r="8" spans="1:3" ht="51">
      <c r="A8" s="8" t="s">
        <v>353</v>
      </c>
      <c r="B8" s="8" t="s">
        <v>736</v>
      </c>
      <c r="C8" s="8" t="s">
        <v>838</v>
      </c>
    </row>
    <row r="9" spans="1:3" ht="38.25">
      <c r="A9" s="8" t="s">
        <v>107</v>
      </c>
      <c r="B9" s="8" t="s">
        <v>737</v>
      </c>
      <c r="C9" s="8" t="s">
        <v>840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Инструкция</vt:lpstr>
      <vt:lpstr>Банк анализа</vt:lpstr>
      <vt:lpstr>Бизнес-логика</vt:lpstr>
      <vt:lpstr>Роли и сегменты</vt:lpstr>
      <vt:lpstr>Пользовательские сценарии</vt:lpstr>
      <vt:lpstr>Карта сценариев</vt:lpstr>
      <vt:lpstr>Функциональные требования</vt:lpstr>
      <vt:lpstr>Приоритизация</vt:lpstr>
      <vt:lpstr>Связность</vt:lpstr>
      <vt:lpstr>Дашборд</vt:lpstr>
      <vt:lpstr>Справочники</vt:lpstr>
      <vt:lpstr>Журнал_6_3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Бизнес-логика и пользовательские сценарии NotaCode</dc:title>
  <dc:creator>К. А. Хаджинова</dc:creator>
  <dc:description/>
  <cp:lastModifiedBy>Aliaksandr Khajynau</cp:lastModifiedBy>
  <dcterms:created xsi:type="dcterms:W3CDTF">2026-10-04T16:53:27Z</dcterms:created>
  <dcterms:modified xsi:type="dcterms:W3CDTF">2026-10-04T18:20:48Z</dcterms:modified>
</cp:coreProperties>
</file>