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9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Трафик_охват" sheetId="3" state="visible" r:id="rId3"/>
    <sheet xmlns:r="http://schemas.openxmlformats.org/officeDocument/2006/relationships" name="03_Конкуренты_SW" sheetId="4" state="visible" r:id="rId4"/>
    <sheet xmlns:r="http://schemas.openxmlformats.org/officeDocument/2006/relationships" name="04_Воронка" sheetId="5" state="visible" r:id="rId5"/>
    <sheet xmlns:r="http://schemas.openxmlformats.org/officeDocument/2006/relationships" name="05_Сценарии" sheetId="6" state="visible" r:id="rId6"/>
    <sheet xmlns:r="http://schemas.openxmlformats.org/officeDocument/2006/relationships" name="06_Повторы_LTV" sheetId="7" state="visible" r:id="rId7"/>
    <sheet xmlns:r="http://schemas.openxmlformats.org/officeDocument/2006/relationships" name="07_Платформа_GMV" sheetId="8" state="visible" r:id="rId8"/>
    <sheet xmlns:r="http://schemas.openxmlformats.org/officeDocument/2006/relationships" name="08_Дашборд" sheetId="9" state="visible" r:id="rId9"/>
    <sheet xmlns:r="http://schemas.openxmlformats.org/officeDocument/2006/relationships" name="09_Источники" sheetId="10" state="visible" r:id="rId10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1">
      <alignment vertical="top" wrapText="1"/>
    </xf>
    <xf numFmtId="0" fontId="2" fillId="3" borderId="0" applyAlignment="1" pivotButton="0" quotePrefix="0" xfId="1">
      <alignment horizontal="center" vertical="top" wrapText="1"/>
    </xf>
    <xf numFmtId="0" fontId="0" fillId="4" borderId="0" applyAlignment="1" pivotButton="0" quotePrefix="0" xfId="1">
      <alignment vertical="top" wrapText="1"/>
    </xf>
    <xf numFmtId="0" fontId="0" fillId="5" borderId="0" applyAlignment="1" pivotButton="0" quotePrefix="0" xfId="1">
      <alignment vertical="top" wrapText="1"/>
    </xf>
    <xf numFmtId="0" fontId="0" fillId="6" borderId="0" applyAlignment="1" pivotButton="0" quotePrefix="0" xfId="1">
      <alignment vertical="top" wrapText="1"/>
    </xf>
    <xf numFmtId="10" fontId="0" fillId="5" borderId="0" applyAlignment="1" pivotButton="0" quotePrefix="0" xfId="1">
      <alignment vertical="top" wrapText="1"/>
    </xf>
    <xf numFmtId="3" fontId="0" fillId="6" borderId="0" applyAlignment="1" pivotButton="0" quotePrefix="0" xfId="1">
      <alignment vertical="top" wrapText="1"/>
    </xf>
    <xf numFmtId="1" fontId="0" fillId="5" borderId="0" applyAlignment="1" pivotButton="0" quotePrefix="0" xfId="1">
      <alignment vertical="top" wrapText="1"/>
    </xf>
    <xf numFmtId="3" fontId="0" fillId="0" borderId="0" applyAlignment="1" pivotButton="0" quotePrefix="0" xfId="1">
      <alignment vertical="top" wrapText="1"/>
    </xf>
    <xf numFmtId="3" fontId="2" fillId="3" borderId="0" applyAlignment="1" pivotButton="0" quotePrefix="0" xfId="1">
      <alignment horizontal="center" vertical="top" wrapText="1"/>
    </xf>
    <xf numFmtId="0" fontId="1" fillId="2" borderId="0" applyAlignment="1" pivotButton="0" quotePrefix="0" xfId="1">
      <alignment horizontal="center" vertical="top" wrapText="1"/>
    </xf>
    <xf numFmtId="0" fontId="0" fillId="4" borderId="0" applyAlignment="1" pivotButton="0" quotePrefix="0" xfId="1">
      <alignment vertical="center" wrapText="1"/>
    </xf>
    <xf numFmtId="0" fontId="0" fillId="0" borderId="0" applyAlignment="1" pivotButton="0" quotePrefix="0" xfId="1">
      <alignment vertical="center" wrapText="1"/>
    </xf>
    <xf numFmtId="0" fontId="0" fillId="5" borderId="0" applyAlignment="1" pivotButton="0" quotePrefix="0" xfId="1">
      <alignment vertical="center" wrapText="1"/>
    </xf>
    <xf numFmtId="3" fontId="0" fillId="5" borderId="0" applyAlignment="1" pivotButton="0" quotePrefix="0" xfId="1">
      <alignment vertical="center" wrapText="1"/>
    </xf>
    <xf numFmtId="9" fontId="0" fillId="5" borderId="0" applyAlignment="1" pivotButton="0" quotePrefix="0" xfId="1">
      <alignment vertical="center" wrapText="1"/>
    </xf>
    <xf numFmtId="164" fontId="0" fillId="5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3" fontId="0" fillId="6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10" fontId="0" fillId="5" borderId="0" applyAlignment="1" pivotButton="0" quotePrefix="0" xfId="1">
      <alignment vertical="center" wrapText="1"/>
    </xf>
    <xf numFmtId="9" fontId="0" fillId="6" borderId="0" applyAlignment="1" pivotButton="0" quotePrefix="0" xfId="1">
      <alignment vertical="center" wrapText="1"/>
    </xf>
    <xf numFmtId="10" fontId="0" fillId="6" borderId="0" applyAlignment="1" pivotButton="0" quotePrefix="0" xfId="1">
      <alignment vertical="center" wrapText="1"/>
    </xf>
    <xf numFmtId="0" fontId="0" fillId="4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49" fontId="0" fillId="5" borderId="0" applyAlignment="1" pivotButton="0" quotePrefix="0" xfId="1">
      <alignment vertical="center" wrapText="1"/>
    </xf>
    <xf numFmtId="49" fontId="0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42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Значение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'08_Дашборд'!$A$4:$A$6</f>
              <strCache>
                <ptCount val="3"/>
                <pt idx="0">
                  <v>Релевантные посещения в месяц</v>
                </pt>
                <pt idx="1">
                  <v>Релевантные посещения в год</v>
                </pt>
                <pt idx="2">
                  <v>Оценка полного трафика сегмента по Similarweb</v>
                </pt>
              </strCache>
            </strRef>
          </cat>
          <val>
            <numRef>
              <f>'08_Дашборд'!$B$4:$B$6</f>
              <numCache>
                <formatCode>#,##0</formatCode>
                <ptCount val="3"/>
                <pt idx="0">
                  <v>26.22</v>
                </pt>
                <pt idx="1">
                  <v>314.64</v>
                </pt>
                <pt idx="2">
                  <v>10433.12769230769</v>
                </pt>
              </numCache>
            </numRef>
          </val>
        </ser>
        <ser>
          <idx val="1"/>
          <order val="1"/>
          <tx>
            <v>Единица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'08_Дашборд'!$A$4:$A$6</f>
              <strCache>
                <ptCount val="3"/>
                <pt idx="0">
                  <v>Релевантные посещения в месяц</v>
                </pt>
                <pt idx="1">
                  <v>Релевантные посещения в год</v>
                </pt>
                <pt idx="2">
                  <v>Оценка полного трафика сегмента по Similarweb</v>
                </pt>
              </strCache>
            </strRef>
          </cat>
          <val>
            <numRef>
              <f>'08_Дашборд'!$C$4:$C$6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2"/>
          <order val="2"/>
          <tx>
            <v>Комментарий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'08_Дашборд'!$A$4:$A$6</f>
              <strCache>
                <ptCount val="3"/>
                <pt idx="0">
                  <v>Релевантные посещения в месяц</v>
                </pt>
                <pt idx="1">
                  <v>Релевантные посещения в год</v>
                </pt>
                <pt idx="2">
                  <v>Оценка полного трафика сегмента по Similarweb</v>
                </pt>
              </strCache>
            </strRef>
          </cat>
          <val>
            <numRef>
              <f>'08_Дашборд'!$D$4:$D$6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3"/>
          <order val="3"/>
          <tx>
            <v>Series 4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'08_Дашборд'!$A$4:$A$6</f>
              <strCache>
                <ptCount val="3"/>
                <pt idx="0">
                  <v>Релевантные посещения в месяц</v>
                </pt>
                <pt idx="1">
                  <v>Релевантные посещения в год</v>
                </pt>
                <pt idx="2">
                  <v>Оценка полного трафика сегмента по Similarweb</v>
                </pt>
              </strCache>
            </strRef>
          </cat>
          <val>
            <numRef>
              <f>'08_Дашборд'!$E$4:$E$6</f>
              <numCache>
                <formatCode>General</formatCode>
                <ptCount val="3"/>
              </numCache>
            </numRef>
          </val>
        </ser>
        <ser>
          <idx val="4"/>
          <order val="4"/>
          <tx>
            <v>Series 5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'08_Дашборд'!$A$4:$A$6</f>
              <strCache>
                <ptCount val="3"/>
                <pt idx="0">
                  <v>Релевантные посещения в месяц</v>
                </pt>
                <pt idx="1">
                  <v>Релевантные посещения в год</v>
                </pt>
                <pt idx="2">
                  <v>Оценка полного трафика сегмента по Similarweb</v>
                </pt>
              </strCache>
            </strRef>
          </cat>
          <val>
            <numRef>
              <f>'08_Дашборд'!$F$4:$F$6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85725</colOff>
      <row>19</row>
      <rowOff>76199</rowOff>
    </from>
    <to>
      <col>4</col>
      <colOff>771525</colOff>
      <row>39</row>
      <rowOff>161924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rafficSourcesTable" displayName="TrafficSourcesTable" ref="A3:I10" headerRowCount="1" dataDxfId="32">
  <tableColumns count="9">
    <tableColumn id="1" name="Канал" dataDxfId="41"/>
    <tableColumn id="2" name="Источник данных" dataDxfId="40"/>
    <tableColumn id="3" name="Охват/показы/посещения в месяц" dataDxfId="39"/>
    <tableColumn id="4" name="CTR или доля переходов" dataDxfId="38"/>
    <tableColumn id="5" name="Посещения в месяц" dataDxfId="37"/>
    <tableColumn id="6" name="Доля релевантной аудитории" dataDxfId="36"/>
    <tableColumn id="7" name="Релевантные посещения" dataDxfId="35"/>
    <tableColumn id="8" name="Качество данных" dataDxfId="34"/>
    <tableColumn id="9" name="Комментарий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etitorsSWTable" displayName="CompetitorsSWTable" ref="A3:J8" headerRowCount="1" dataDxfId="21">
  <tableColumns count="10">
    <tableColumn id="1" name="Конкурент / сайт" dataDxfId="31"/>
    <tableColumn id="2" name="Тип игрока" dataDxfId="30"/>
    <tableColumn id="3" name="Посещения в месяц по Similarweb" dataDxfId="29"/>
    <tableColumn id="4" name="Доля целевой географии" dataDxfId="28"/>
    <tableColumn id="5" name="Доля релевантной категории" dataDxfId="27"/>
    <tableColumn id="6" name="Релевантные посещения" dataDxfId="26"/>
    <tableColumn id="7" name="Оценочная конверсия в продажу" dataDxfId="25"/>
    <tableColumn id="8" name="Средний чек" dataDxfId="24"/>
    <tableColumn id="9" name="Оценочная выручка в месяц" dataDxfId="23"/>
    <tableColumn id="10" name="Комментарий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unnelScenarioTable" displayName="FunnelScenarioTable" ref="A3:E13" headerRowCount="1" dataDxfId="15">
  <tableColumns count="5">
    <tableColumn id="1" name="Показатель" dataDxfId="20"/>
    <tableColumn id="2" name="Осторожный" dataDxfId="19"/>
    <tableColumn id="3" name="Базовый" dataDxfId="18"/>
    <tableColumn id="4" name="Оптимистичный" dataDxfId="17"/>
    <tableColumn id="5" name="Комментарий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SummaryTable" displayName="ScenarioSummaryTable" ref="A3:G6" headerRowCount="1" dataDxfId="7">
  <tableColumns count="7">
    <tableColumn id="1" name="Сценарий" dataDxfId="14"/>
    <tableColumn id="2" name="Достижимые посещения/мес." dataDxfId="13"/>
    <tableColumn id="3" name="Заявки/мес." dataDxfId="12"/>
    <tableColumn id="4" name="Продажи/мес." dataDxfId="11"/>
    <tableColumn id="5" name="Выручка/мес." dataDxfId="10"/>
    <tableColumn id="6" name="Выручка/год" dataDxfId="9"/>
    <tableColumn id="7" name="Интерпретация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LogTable" displayName="SourcesLogTable" ref="A3:F10" headerRowCount="1" dataDxfId="0">
  <tableColumns count="6">
    <tableColumn id="1" name="Источник" dataDxfId="6"/>
    <tableColumn id="2" name="Что брать" dataDxfId="5"/>
    <tableColumn id="3" name="Ссылка / место хранения" dataDxfId="4"/>
    <tableColumn id="4" name="Дата обращения" dataDxfId="3"/>
    <tableColumn id="5" name="Качество" dataDxfId="2"/>
    <tableColumn id="6" name="Комментарий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F9" sqref="F9"/>
    </sheetView>
  </sheetViews>
  <sheetFormatPr baseColWidth="8" defaultRowHeight="14.25"/>
  <cols>
    <col width="24" customWidth="1" min="1" max="1"/>
    <col width="51.75" customWidth="1" min="2" max="2"/>
    <col width="20" customWidth="1" min="3" max="3"/>
    <col width="40.25" customWidth="1" min="4" max="4"/>
    <col width="20" customWidth="1" min="5" max="5"/>
    <col width="22" customWidth="1" min="6" max="6"/>
    <col width="24" customWidth="1" min="7" max="7"/>
    <col width="28" customWidth="1" min="8" max="10"/>
  </cols>
  <sheetData>
    <row r="1" ht="18" customHeight="1">
      <c r="A1" s="11" t="inlineStr">
        <is>
          <t>Excel-шаблон оценки рынка через цифровую воронку</t>
        </is>
      </c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2" t="inlineStr">
        <is>
          <t>Назначение файла</t>
        </is>
      </c>
      <c r="B3" s="2" t="inlineStr">
        <is>
          <t>Как использовать</t>
        </is>
      </c>
      <c r="C3" s="2" t="inlineStr">
        <is>
          <t>Основная формула</t>
        </is>
      </c>
      <c r="D3" s="2" t="inlineStr">
        <is>
          <t>Что является входом</t>
        </is>
      </c>
      <c r="E3" s="2" t="inlineStr">
        <is>
          <t>Что является расчетом</t>
        </is>
      </c>
      <c r="F3" s="2" t="inlineStr">
        <is>
          <t>Что проверять</t>
        </is>
      </c>
      <c r="G3" s="2" t="inlineStr">
        <is>
          <t>Ограничения</t>
        </is>
      </c>
      <c r="H3" s="2" t="inlineStr">
        <is>
          <t>Итог</t>
        </is>
      </c>
      <c r="I3" s="1" t="n"/>
      <c r="J3" s="1" t="n"/>
    </row>
    <row r="4" ht="128.25" customHeight="1">
      <c r="A4" s="24" t="inlineStr">
        <is>
          <t>Оценить потенциальный объем рынка электронного бизнеса через охват, трафик, заявки, продажи, средний чек, повторные покупки и платформенную модель</t>
        </is>
      </c>
      <c r="B4" s="24" t="inlineStr">
        <is>
          <t>Заполнить желтые ячейки на листах 01–03, затем проверить расчеты на листах 04–08</t>
        </is>
      </c>
      <c r="C4" s="24" t="inlineStr">
        <is>
          <t>Выручка = релевантные посещения × конверсия в заявку × конверсия в продажу × средний чек × повторные покупки</t>
        </is>
      </c>
      <c r="D4" s="24" t="inlineStr">
        <is>
          <t>Данные Google Trends, Яндекс Вордстат, Similarweb, рекламных кабинетов, аналитики сайта и экспертных допущений</t>
        </is>
      </c>
      <c r="E4" s="24" t="inlineStr">
        <is>
          <t>Зеленые ячейки содержат формулы и автоматически пересчитывают заявки, продажи, выручку, GMV и рыночный диапазон</t>
        </is>
      </c>
      <c r="F4" s="24" t="inlineStr">
        <is>
          <t>Согласованность допущений, реалистичность конверсий, различие между интересом аудитории и платежеспособным спросом</t>
        </is>
      </c>
      <c r="G4" s="24" t="inlineStr">
        <is>
          <t>Все расчеты являются оценочными; цифровая воронка не заменяет анализ конкурентов, цен, платежеспособности и фактических продаж</t>
        </is>
      </c>
      <c r="H4" s="24" t="inlineStr">
        <is>
          <t>Сценарный диапазон объема рынка и достижимой выручки</t>
        </is>
      </c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5" customHeight="1">
      <c r="A6" s="2" t="inlineStr">
        <is>
          <t>Этап</t>
        </is>
      </c>
      <c r="B6" s="2" t="inlineStr">
        <is>
          <t>Действие</t>
        </is>
      </c>
      <c r="C6" s="2" t="inlineStr">
        <is>
          <t>Где заполнять</t>
        </is>
      </c>
      <c r="D6" s="2" t="inlineStr">
        <is>
          <t>Результат</t>
        </is>
      </c>
      <c r="E6" s="1" t="n"/>
      <c r="F6" s="1" t="n"/>
      <c r="G6" s="1" t="n"/>
      <c r="H6" s="1" t="n"/>
      <c r="I6" s="1" t="n"/>
      <c r="J6" s="1" t="n"/>
    </row>
    <row r="7" ht="28.5" customHeight="1">
      <c r="A7" s="13" t="n">
        <v>1</v>
      </c>
      <c r="B7" s="13" t="inlineStr">
        <is>
          <t>Зафиксировать географию, продуктовую категорию и период расчета</t>
        </is>
      </c>
      <c r="C7" s="13" t="inlineStr">
        <is>
          <t>01_Параметры</t>
        </is>
      </c>
      <c r="D7" s="13" t="inlineStr">
        <is>
          <t>Единая база исследования</t>
        </is>
      </c>
      <c r="E7" s="1" t="n"/>
      <c r="F7" s="1" t="n"/>
      <c r="G7" s="1" t="n"/>
      <c r="H7" s="1" t="n"/>
      <c r="I7" s="1" t="n"/>
      <c r="J7" s="1" t="n"/>
    </row>
    <row r="8" ht="28.5" customHeight="1">
      <c r="A8" s="13" t="n">
        <v>2</v>
      </c>
      <c r="B8" s="13" t="inlineStr">
        <is>
          <t>Собрать исходные данные об охвате и трафике по каналам</t>
        </is>
      </c>
      <c r="C8" s="13" t="inlineStr">
        <is>
          <t>02_Трафик_охват</t>
        </is>
      </c>
      <c r="D8" s="13" t="inlineStr">
        <is>
          <t>Релевантные посещения рынка</t>
        </is>
      </c>
      <c r="E8" s="1" t="n"/>
      <c r="F8" s="1" t="n"/>
      <c r="G8" s="1" t="n"/>
      <c r="H8" s="1" t="n"/>
      <c r="I8" s="1" t="n"/>
      <c r="J8" s="1" t="n"/>
    </row>
    <row r="9" ht="28.5" customHeight="1">
      <c r="A9" s="13" t="n">
        <v>3</v>
      </c>
      <c r="B9" s="13" t="inlineStr">
        <is>
          <t>Зафиксировать данные конкурентов из Similarweb и других открытых источников</t>
        </is>
      </c>
      <c r="C9" s="13" t="inlineStr">
        <is>
          <t>03_Конкуренты_SW</t>
        </is>
      </c>
      <c r="D9" s="13" t="inlineStr">
        <is>
          <t>Оценка видимого цифрового объема сегмента</t>
        </is>
      </c>
      <c r="E9" s="1" t="n"/>
      <c r="F9" s="1" t="n"/>
      <c r="G9" s="1" t="n"/>
      <c r="H9" s="1" t="n"/>
      <c r="I9" s="1" t="n"/>
      <c r="J9" s="1" t="n"/>
    </row>
    <row r="10" ht="28.5" customHeight="1">
      <c r="A10" s="13" t="n">
        <v>4</v>
      </c>
      <c r="B10" s="13" t="inlineStr">
        <is>
          <t>Задать конверсии в заявку и продажу по трем сценариям</t>
        </is>
      </c>
      <c r="C10" s="13" t="inlineStr">
        <is>
          <t>04_Воронка</t>
        </is>
      </c>
      <c r="D10" s="13" t="inlineStr">
        <is>
          <t>Расчет заявок, продаж и выручки</t>
        </is>
      </c>
      <c r="E10" s="1" t="n"/>
      <c r="F10" s="1" t="n"/>
      <c r="G10" s="1" t="n"/>
      <c r="H10" s="1" t="n"/>
      <c r="I10" s="1" t="n"/>
      <c r="J10" s="1" t="n"/>
    </row>
    <row r="11" ht="28.5" customHeight="1">
      <c r="A11" s="13" t="n">
        <v>5</v>
      </c>
      <c r="B11" s="13" t="inlineStr">
        <is>
          <t>Сравнить осторожный, базовый и оптимистичный сценарии</t>
        </is>
      </c>
      <c r="C11" s="13" t="inlineStr">
        <is>
          <t>05_Сценарии</t>
        </is>
      </c>
      <c r="D11" s="13" t="inlineStr">
        <is>
          <t>Диапазон возможного объема рынка</t>
        </is>
      </c>
      <c r="E11" s="1" t="n"/>
      <c r="F11" s="1" t="n"/>
      <c r="G11" s="1" t="n"/>
      <c r="H11" s="1" t="n"/>
      <c r="I11" s="1" t="n"/>
      <c r="J11" s="1" t="n"/>
    </row>
    <row r="12" ht="28.5" customHeight="1">
      <c r="A12" s="13" t="n">
        <v>6</v>
      </c>
      <c r="B12" s="13" t="inlineStr">
        <is>
          <t>Учесть повторные покупки и жизненную ценность клиента</t>
        </is>
      </c>
      <c r="C12" s="13" t="inlineStr">
        <is>
          <t>06_Повторы_LTV</t>
        </is>
      </c>
      <c r="D12" s="13" t="inlineStr">
        <is>
          <t>Годовая и расширенная оценка выручки</t>
        </is>
      </c>
      <c r="E12" s="1" t="n"/>
      <c r="F12" s="1" t="n"/>
      <c r="G12" s="1" t="n"/>
      <c r="H12" s="1" t="n"/>
      <c r="I12" s="1" t="n"/>
      <c r="J12" s="1" t="n"/>
    </row>
    <row r="13" ht="28.5" customHeight="1">
      <c r="A13" s="13" t="n">
        <v>7</v>
      </c>
      <c r="B13" s="13" t="inlineStr">
        <is>
          <t>Если бизнес является платформой, рассчитать GMV и комиссионную выручку</t>
        </is>
      </c>
      <c r="C13" s="13" t="inlineStr">
        <is>
          <t>07_Платформа_GMV</t>
        </is>
      </c>
      <c r="D13" s="13" t="inlineStr">
        <is>
          <t>Разделение оборота платформы и собственной выручки</t>
        </is>
      </c>
      <c r="E13" s="1" t="n"/>
      <c r="F13" s="1" t="n"/>
      <c r="G13" s="1" t="n"/>
      <c r="H13" s="1" t="n"/>
      <c r="I13" s="1" t="n"/>
      <c r="J13" s="1" t="n"/>
    </row>
    <row r="14">
      <c r="A14" s="13" t="n">
        <v>8</v>
      </c>
      <c r="B14" s="13" t="inlineStr">
        <is>
          <t>Проверить итоговую панель и сформулировать вывод</t>
        </is>
      </c>
      <c r="C14" s="13" t="inlineStr">
        <is>
          <t>08_Дашборд</t>
        </is>
      </c>
      <c r="D14" s="13" t="inlineStr">
        <is>
          <t>Готовые показатели для отчета</t>
        </is>
      </c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5" customHeight="1">
      <c r="A16" s="2" t="inlineStr">
        <is>
          <t>Цвет ячеек</t>
        </is>
      </c>
      <c r="B16" s="2" t="inlineStr">
        <is>
          <t>Значение</t>
        </is>
      </c>
      <c r="C16" s="2" t="inlineStr">
        <is>
          <t>Можно изменять?</t>
        </is>
      </c>
      <c r="D16" s="2" t="inlineStr">
        <is>
          <t>Комментарий</t>
        </is>
      </c>
      <c r="E16" s="1" t="n"/>
      <c r="F16" s="1" t="n"/>
      <c r="G16" s="1" t="n"/>
      <c r="H16" s="1" t="n"/>
      <c r="I16" s="1" t="n"/>
      <c r="J16" s="1" t="n"/>
    </row>
    <row r="17" ht="28.5" customHeight="1">
      <c r="A17" s="4" t="inlineStr">
        <is>
          <t>Желтый</t>
        </is>
      </c>
      <c r="B17" s="1" t="inlineStr">
        <is>
          <t>Исходные данные / допущения</t>
        </is>
      </c>
      <c r="C17" s="1" t="inlineStr">
        <is>
          <t>Да</t>
        </is>
      </c>
      <c r="D17" s="1" t="inlineStr">
        <is>
          <t>Заполняются пользователем</t>
        </is>
      </c>
      <c r="E17" s="1" t="n"/>
      <c r="F17" s="1" t="n"/>
      <c r="G17" s="1" t="n"/>
      <c r="H17" s="1" t="n"/>
      <c r="I17" s="1" t="n"/>
      <c r="J17" s="1" t="n"/>
    </row>
    <row r="18">
      <c r="A18" s="5" t="inlineStr">
        <is>
          <t>Зеленый</t>
        </is>
      </c>
      <c r="B18" s="1" t="inlineStr">
        <is>
          <t>Расчетные ячейки</t>
        </is>
      </c>
      <c r="C18" s="1" t="inlineStr">
        <is>
          <t>Нет</t>
        </is>
      </c>
      <c r="D18" s="1" t="inlineStr">
        <is>
          <t>Содержат формулы</t>
        </is>
      </c>
      <c r="E18" s="1" t="n"/>
      <c r="F18" s="1" t="n"/>
      <c r="G18" s="1" t="n"/>
      <c r="H18" s="1" t="n"/>
      <c r="I18" s="1" t="n"/>
      <c r="J18" s="1" t="n"/>
    </row>
    <row r="19" ht="42.75" customHeight="1">
      <c r="A19" s="3" t="inlineStr">
        <is>
          <t>Серый</t>
        </is>
      </c>
      <c r="B19" s="1" t="inlineStr">
        <is>
          <t>Пояснения и методические комментарии</t>
        </is>
      </c>
      <c r="C19" s="1" t="inlineStr">
        <is>
          <t>Да</t>
        </is>
      </c>
      <c r="D19" s="1" t="inlineStr">
        <is>
          <t>Можно адаптировать под отчет</t>
        </is>
      </c>
      <c r="E19" s="1" t="n"/>
      <c r="F19" s="1" t="n"/>
      <c r="G19" s="1" t="n"/>
      <c r="H19" s="1" t="n"/>
      <c r="I19" s="1" t="n"/>
      <c r="J19" s="1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D28" sqref="D28"/>
    </sheetView>
  </sheetViews>
  <sheetFormatPr baseColWidth="8" defaultRowHeight="14.25"/>
  <cols>
    <col width="24" customWidth="1" min="1" max="1"/>
    <col width="37.375" customWidth="1" min="2" max="2"/>
    <col width="20" customWidth="1" min="3" max="3"/>
    <col width="64.5" customWidth="1" min="4" max="4"/>
    <col width="48.75" customWidth="1" min="5" max="5"/>
    <col width="22" customWidth="1" min="6" max="6"/>
    <col width="24" customWidth="1" min="7" max="7"/>
    <col width="28" customWidth="1" min="8" max="10"/>
  </cols>
  <sheetData>
    <row r="1" ht="18" customHeight="1">
      <c r="A1" s="11" t="inlineStr">
        <is>
          <t>01. Исходные параметры оценки рынка</t>
        </is>
      </c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Единица</t>
        </is>
      </c>
      <c r="D3" s="2" t="inlineStr">
        <is>
          <t>Источник/обоснование</t>
        </is>
      </c>
      <c r="E3" s="2" t="inlineStr">
        <is>
          <t>Комментарий</t>
        </is>
      </c>
      <c r="F3" s="2" t="inlineStr">
        <is>
          <t>Статус</t>
        </is>
      </c>
      <c r="G3" s="1" t="n"/>
      <c r="H3" s="1" t="n"/>
      <c r="I3" s="1" t="n"/>
      <c r="J3" s="1" t="n"/>
    </row>
    <row r="4" ht="57" customFormat="1" customHeight="1" s="18">
      <c r="A4" s="13" t="inlineStr">
        <is>
          <t>Название бизнес-идеи</t>
        </is>
      </c>
      <c r="B4" s="14" t="inlineStr">
        <is>
          <t>NotaCode — веб-IDE для построения и проверки диаграмм формальных нотаций (UML, BPMN, ERD, IDEF, DFD) как текста</t>
        </is>
      </c>
      <c r="C4" s="13" t="inlineStr">
        <is>
          <t>текст</t>
        </is>
      </c>
      <c r="D4" s="13" t="inlineStr">
        <is>
          <t>Пользователь</t>
        </is>
      </c>
      <c r="E4" s="13" t="inlineStr">
        <is>
          <t>Можно заменить на любую бизнес-идею</t>
        </is>
      </c>
      <c r="F4" s="13" t="inlineStr">
        <is>
          <t>ввод</t>
        </is>
      </c>
      <c r="G4" s="13" t="n"/>
      <c r="H4" s="13" t="n"/>
      <c r="I4" s="13" t="n"/>
      <c r="J4" s="13" t="n"/>
    </row>
    <row r="5" customFormat="1" s="18">
      <c r="A5" s="13" t="inlineStr">
        <is>
          <t>Географические границы</t>
        </is>
      </c>
      <c r="B5" s="14" t="inlineStr">
        <is>
          <t>Республика Беларусь</t>
        </is>
      </c>
      <c r="C5" s="13" t="inlineStr">
        <is>
          <t>территория</t>
        </is>
      </c>
      <c r="D5" s="13" t="inlineStr">
        <is>
          <t>Ранее зафиксированные границы рынка</t>
        </is>
      </c>
      <c r="E5" s="13" t="inlineStr">
        <is>
          <t>При необходимости указать город или регион</t>
        </is>
      </c>
      <c r="F5" s="13" t="inlineStr">
        <is>
          <t>ввод</t>
        </is>
      </c>
      <c r="G5" s="13" t="n"/>
      <c r="H5" s="13" t="n"/>
      <c r="I5" s="13" t="n"/>
      <c r="J5" s="13" t="n"/>
    </row>
    <row r="6" customFormat="1" s="18">
      <c r="A6" s="13" t="inlineStr">
        <is>
          <t>Период расчета</t>
        </is>
      </c>
      <c r="B6" s="14" t="inlineStr">
        <is>
          <t>месяц / год</t>
        </is>
      </c>
      <c r="C6" s="13" t="inlineStr">
        <is>
          <t>период</t>
        </is>
      </c>
      <c r="D6" s="13" t="inlineStr">
        <is>
          <t>Методика</t>
        </is>
      </c>
      <c r="E6" s="13" t="inlineStr">
        <is>
          <t>Для рынка услуг удобно считать месяц и год</t>
        </is>
      </c>
      <c r="F6" s="13" t="inlineStr">
        <is>
          <t>ввод</t>
        </is>
      </c>
      <c r="G6" s="13" t="n"/>
      <c r="H6" s="13" t="n"/>
      <c r="I6" s="13" t="n"/>
      <c r="J6" s="13" t="n"/>
    </row>
    <row r="7" customFormat="1" s="18">
      <c r="A7" s="13" t="inlineStr">
        <is>
          <t>Валюта расчета</t>
        </is>
      </c>
      <c r="B7" s="14" t="inlineStr">
        <is>
          <t>BYN</t>
        </is>
      </c>
      <c r="C7" s="13" t="inlineStr">
        <is>
          <t>валюта</t>
        </is>
      </c>
      <c r="D7" s="13" t="inlineStr">
        <is>
          <t>Пользователь</t>
        </is>
      </c>
      <c r="E7" s="13" t="inlineStr">
        <is>
          <t>Можно заменить на RUB, у.е., EUR</t>
        </is>
      </c>
      <c r="F7" s="13" t="inlineStr">
        <is>
          <t>ввод</t>
        </is>
      </c>
      <c r="G7" s="13" t="n"/>
      <c r="H7" s="13" t="n"/>
      <c r="I7" s="13" t="n"/>
      <c r="J7" s="13" t="n"/>
    </row>
    <row r="8" ht="57" customFormat="1" customHeight="1" s="18">
      <c r="A8" s="13" t="inlineStr">
        <is>
          <t>Целевой клиент</t>
        </is>
      </c>
      <c r="B8" s="15" t="inlineStr">
        <is>
          <t>пользователи-физические лица: студенты (S-01), аналитики (S-02), архитекторы и разработчики (S-03), преподаватели (S-04)</t>
        </is>
      </c>
      <c r="C8" s="13" t="inlineStr">
        <is>
          <t>сегмент</t>
        </is>
      </c>
      <c r="D8" s="13" t="inlineStr">
        <is>
          <t>Границы рынка</t>
        </is>
      </c>
      <c r="E8" s="13" t="inlineStr">
        <is>
          <t>Кто потенциально покупает услугу</t>
        </is>
      </c>
      <c r="F8" s="13" t="inlineStr">
        <is>
          <t>ввод</t>
        </is>
      </c>
      <c r="G8" s="13" t="n"/>
      <c r="H8" s="13" t="n"/>
      <c r="I8" s="13" t="n"/>
      <c r="J8" s="13" t="n"/>
    </row>
    <row r="9" customFormat="1" s="18">
      <c r="A9" s="13" t="inlineStr">
        <is>
          <t>Средний чек базовый</t>
        </is>
      </c>
      <c r="B9" s="15" t="n">
        <v>121.14</v>
      </c>
      <c r="C9" s="13" t="inlineStr">
        <is>
          <t>BYN/оплата (год)</t>
        </is>
      </c>
      <c r="D9" s="13" t="inlineStr">
        <is>
          <t>Pro: годовой тариф 40 у.е. × 3,0285 (курс НБРБ 30.09.2026)</t>
        </is>
      </c>
      <c r="E9" s="13" t="inlineStr">
        <is>
          <t>Используется в базовом сценарии</t>
        </is>
      </c>
      <c r="F9" s="13" t="inlineStr">
        <is>
          <t>ввод</t>
        </is>
      </c>
      <c r="G9" s="13" t="n"/>
      <c r="H9" s="13" t="n"/>
      <c r="I9" s="13" t="n"/>
      <c r="J9" s="13" t="n"/>
    </row>
    <row r="10" customFormat="1" s="18">
      <c r="A10" s="13" t="inlineStr">
        <is>
          <t>Средний чек осторожный</t>
        </is>
      </c>
      <c r="B10" s="15" t="n">
        <v>121.14</v>
      </c>
      <c r="C10" s="13" t="inlineStr">
        <is>
          <t>BYN/оплата (год)</t>
        </is>
      </c>
      <c r="D10" s="13" t="inlineStr">
        <is>
          <t>Альтернативный вариант: 4 у.е. × 12 = 48 у.е. × 3,0285 = 145,37 BYN</t>
        </is>
      </c>
      <c r="E10" s="13" t="inlineStr">
        <is>
          <t>Нижняя граница чека</t>
        </is>
      </c>
      <c r="F10" s="13" t="inlineStr">
        <is>
          <t>ввод</t>
        </is>
      </c>
      <c r="G10" s="13" t="n"/>
      <c r="H10" s="13" t="n"/>
      <c r="I10" s="13" t="n"/>
      <c r="J10" s="13" t="n"/>
    </row>
    <row r="11" ht="28.5" customFormat="1" customHeight="1" s="18">
      <c r="A11" s="13" t="inlineStr">
        <is>
          <t>Средний чек оптимистичный</t>
        </is>
      </c>
      <c r="B11" s="15" t="n">
        <v>290.74</v>
      </c>
      <c r="C11" s="13" t="inlineStr">
        <is>
          <t>BYN/оплата (год)</t>
        </is>
      </c>
      <c r="D11" s="13" t="inlineStr">
        <is>
          <t>Медиана входных платных тарифов конкурентов (8 у.е./мес.) × 12 × 3,0285</t>
        </is>
      </c>
      <c r="E11" s="13" t="inlineStr">
        <is>
          <t>Верхняя граница чека</t>
        </is>
      </c>
      <c r="F11" s="13" t="inlineStr">
        <is>
          <t>ввод</t>
        </is>
      </c>
      <c r="G11" s="13" t="n"/>
      <c r="H11" s="13" t="n"/>
      <c r="I11" s="13" t="n"/>
      <c r="J11" s="13" t="n"/>
    </row>
    <row r="12" ht="42.75" customFormat="1" customHeight="1" s="18">
      <c r="A12" s="13" t="inlineStr">
        <is>
          <t>Целевая доля релевантного трафика</t>
        </is>
      </c>
      <c r="B12" s="14" t="n">
        <v>0.3846</v>
      </c>
      <c r="C12" s="13" t="inlineStr">
        <is>
          <t>доля</t>
        </is>
      </c>
      <c r="D12" s="13" t="inlineStr">
        <is>
          <t>Допущение Д-02: средневзвешенная по визитам доля релевантного трафика четырёх доменов выборки (расчёт в 03_Конкуренты_SW); в формулах шаблона не должна использоваться как покрытие (П-2)</t>
        </is>
      </c>
      <c r="E12" s="13" t="inlineStr">
        <is>
          <t>Какая часть собранного трафика относится к анализируемому рынку</t>
        </is>
      </c>
      <c r="F12" s="13" t="inlineStr">
        <is>
          <t>ввод</t>
        </is>
      </c>
      <c r="G12" s="13" t="n"/>
      <c r="H12" s="13" t="n"/>
      <c r="I12" s="13" t="n"/>
      <c r="J12" s="13" t="n"/>
    </row>
    <row r="13" ht="42.75" customFormat="1" customHeight="1" s="18">
      <c r="A13" s="13" t="inlineStr">
        <is>
          <t>Коэффициент покрытия конкурентов</t>
        </is>
      </c>
      <c r="B13" s="14" t="n">
        <v>0.65</v>
      </c>
      <c r="C13" s="13" t="inlineStr">
        <is>
          <t>доля</t>
        </is>
      </c>
      <c r="D13" s="13" t="inlineStr">
        <is>
          <t>Допущение Д-05: коэффициент покрытия выборки; значение базового сценария М2 табл. 21 (0,65); шкала М2 табл. 9 для типовой ситуации 0,60–0,75</t>
        </is>
      </c>
      <c r="E13" s="13" t="inlineStr">
        <is>
          <t>Доля рынка, представленная найденными сайтами конкурентов</t>
        </is>
      </c>
      <c r="F13" s="13" t="inlineStr">
        <is>
          <t>ввод</t>
        </is>
      </c>
      <c r="G13" s="13" t="n"/>
      <c r="H13" s="13" t="n"/>
      <c r="I13" s="13" t="n"/>
      <c r="J13" s="13" t="n"/>
    </row>
    <row r="14" customFormat="1" s="18">
      <c r="A14" s="13" t="inlineStr">
        <is>
          <t>Дата обновления файла</t>
        </is>
      </c>
      <c r="B14" s="26" t="inlineStr">
        <is>
          <t>29.09.2026</t>
        </is>
      </c>
      <c r="C14" s="13" t="inlineStr">
        <is>
          <t>дата</t>
        </is>
      </c>
      <c r="D14" s="13" t="inlineStr">
        <is>
          <t>Пользователь</t>
        </is>
      </c>
      <c r="E14" s="13" t="inlineStr">
        <is>
          <t>Обновлять при новой выгрузке данных</t>
        </is>
      </c>
      <c r="F14" s="13" t="inlineStr">
        <is>
          <t>ввод</t>
        </is>
      </c>
      <c r="G14" s="13" t="n"/>
      <c r="H14" s="13" t="n"/>
      <c r="I14" s="13" t="n"/>
      <c r="J14" s="13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45" customHeight="1">
      <c r="A16" s="2" t="inlineStr">
        <is>
          <t>Сценарий</t>
        </is>
      </c>
      <c r="B16" s="2" t="inlineStr">
        <is>
          <t>Доля достижимого трафика</t>
        </is>
      </c>
      <c r="C16" s="2" t="inlineStr">
        <is>
          <t>Конверсия посещение → заявка</t>
        </is>
      </c>
      <c r="D16" s="2" t="inlineStr">
        <is>
          <t>Конверсия заявка → продажа</t>
        </is>
      </c>
      <c r="E16" s="2" t="inlineStr">
        <is>
          <t>Средний чек</t>
        </is>
      </c>
      <c r="F16" s="2" t="inlineStr">
        <is>
          <t>Повторных покупок в год</t>
        </is>
      </c>
      <c r="G16" s="1" t="n"/>
      <c r="H16" s="1" t="n"/>
      <c r="I16" s="1" t="n"/>
      <c r="J16" s="1" t="n"/>
    </row>
    <row r="17">
      <c r="A17" s="1" t="inlineStr">
        <is>
          <t>Осторожный</t>
        </is>
      </c>
      <c r="B17" s="6" t="n">
        <v>0.15</v>
      </c>
      <c r="C17" s="6" t="n">
        <v>0.01</v>
      </c>
      <c r="D17" s="6" t="n">
        <v>0.03</v>
      </c>
      <c r="E17" s="7">
        <f>B10</f>
        <v/>
      </c>
      <c r="F17" s="8" t="n">
        <v>1</v>
      </c>
      <c r="G17" s="1" t="n"/>
      <c r="H17" s="1" t="n"/>
      <c r="I17" s="1" t="n"/>
      <c r="J17" s="1" t="n"/>
    </row>
    <row r="18">
      <c r="A18" s="1" t="inlineStr">
        <is>
          <t>Базовый</t>
        </is>
      </c>
      <c r="B18" s="6" t="n">
        <v>0.25</v>
      </c>
      <c r="C18" s="6" t="n">
        <v>0.025</v>
      </c>
      <c r="D18" s="6" t="n">
        <v>0.04</v>
      </c>
      <c r="E18" s="7">
        <f>B9</f>
        <v/>
      </c>
      <c r="F18" s="8" t="n">
        <v>1.2</v>
      </c>
      <c r="G18" s="1" t="n"/>
      <c r="H18" s="1" t="n"/>
      <c r="I18" s="1" t="n"/>
      <c r="J18" s="1" t="n"/>
    </row>
    <row r="19">
      <c r="A19" s="1" t="inlineStr">
        <is>
          <t>Оптимистичный</t>
        </is>
      </c>
      <c r="B19" s="6" t="n">
        <v>0.4</v>
      </c>
      <c r="C19" s="6" t="n">
        <v>0.05</v>
      </c>
      <c r="D19" s="6" t="n">
        <v>0.05</v>
      </c>
      <c r="E19" s="7">
        <f>B11</f>
        <v/>
      </c>
      <c r="F19" s="8" t="n">
        <v>1.5</v>
      </c>
      <c r="G19" s="1" t="n"/>
      <c r="H19" s="1" t="n"/>
      <c r="I19" s="1" t="n"/>
      <c r="J19" s="1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H22" sqref="H22"/>
    </sheetView>
  </sheetViews>
  <sheetFormatPr baseColWidth="8" defaultRowHeight="14.25"/>
  <cols>
    <col width="32.25" customWidth="1" min="1" max="1"/>
    <col width="36.875" customWidth="1" min="2" max="2"/>
    <col width="25.375" customWidth="1" min="3" max="3"/>
    <col width="20" customWidth="1" min="4" max="5"/>
    <col width="22" customWidth="1" min="6" max="6"/>
    <col width="24" customWidth="1" min="7" max="7"/>
    <col width="28" customWidth="1" min="8" max="8"/>
    <col width="62.625" customWidth="1" min="9" max="9"/>
    <col width="28" customWidth="1" min="10" max="10"/>
  </cols>
  <sheetData>
    <row r="1" ht="18" customHeight="1">
      <c r="A1" s="11" t="inlineStr">
        <is>
          <t>02. Охват и трафик по цифровым каналам</t>
        </is>
      </c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2" t="inlineStr">
        <is>
          <t>Канал</t>
        </is>
      </c>
      <c r="B3" s="2" t="inlineStr">
        <is>
          <t>Источник данных</t>
        </is>
      </c>
      <c r="C3" s="2" t="inlineStr">
        <is>
          <t>Охват/показы/посещения в месяц</t>
        </is>
      </c>
      <c r="D3" s="2" t="inlineStr">
        <is>
          <t>CTR или доля переходов</t>
        </is>
      </c>
      <c r="E3" s="2" t="inlineStr">
        <is>
          <t>Посещения в месяц</t>
        </is>
      </c>
      <c r="F3" s="2" t="inlineStr">
        <is>
          <t>Доля релевантной аудитории</t>
        </is>
      </c>
      <c r="G3" s="2" t="inlineStr">
        <is>
          <t>Релевантные посещения</t>
        </is>
      </c>
      <c r="H3" s="2" t="inlineStr">
        <is>
          <t>Качество данных</t>
        </is>
      </c>
      <c r="I3" s="2" t="inlineStr">
        <is>
          <t>Комментарий</t>
        </is>
      </c>
      <c r="J3" s="1" t="n"/>
    </row>
    <row r="4" ht="42.75" customHeight="1">
      <c r="A4" s="13" t="inlineStr">
        <is>
          <t>Органический поиск</t>
        </is>
      </c>
      <c r="B4" s="13" t="inlineStr">
        <is>
          <t>Яндекс Вордстат (Беларусь), взвешенная частотность ядра, среднее за 12 мес. (см. расчёт ПС)</t>
        </is>
      </c>
      <c r="C4" s="15" t="n">
        <v>327.75</v>
      </c>
      <c r="D4" s="15" t="n">
        <v>0.08</v>
      </c>
      <c r="E4" s="19">
        <f>C4*D4</f>
        <v/>
      </c>
      <c r="F4" s="15" t="n">
        <v>1</v>
      </c>
      <c r="G4" s="19">
        <f>E4*F4</f>
        <v/>
      </c>
      <c r="H4" s="13" t="inlineStr">
        <is>
          <t>среднее</t>
        </is>
      </c>
      <c r="I4" s="13" t="inlineStr">
        <is>
          <t>Релевантность учтена весами ядра (ПС), поэтому доля релевантной аудитории = 1; CTR — базовое значение ПС табл. 17</t>
        </is>
      </c>
      <c r="J4" s="1" t="n"/>
    </row>
    <row r="5" ht="28.5" customHeight="1">
      <c r="A5" s="13" t="inlineStr">
        <is>
          <t>Платный поиск</t>
        </is>
      </c>
      <c r="B5" s="13" t="inlineStr">
        <is>
          <t>Google Ads / Яндекс Директ</t>
        </is>
      </c>
      <c r="C5" s="15" t="n">
        <v>0</v>
      </c>
      <c r="D5" s="15" t="n">
        <v>0</v>
      </c>
      <c r="E5" s="19">
        <f>C5*D5</f>
        <v/>
      </c>
      <c r="F5" s="15" t="n">
        <v>0</v>
      </c>
      <c r="G5" s="19">
        <f>E5*F5</f>
        <v/>
      </c>
      <c r="H5" s="13" t="inlineStr">
        <is>
          <t>нет данных</t>
        </is>
      </c>
      <c r="I5" s="13" t="inlineStr"/>
      <c r="J5" s="1" t="n"/>
    </row>
    <row r="6" ht="28.5" customHeight="1">
      <c r="A6" s="13" t="inlineStr">
        <is>
          <t>Социальные сети</t>
        </is>
      </c>
      <c r="B6" s="13" t="inlineStr">
        <is>
          <t>Meta Ads / VK / TikTok / статистика страниц</t>
        </is>
      </c>
      <c r="C6" s="15" t="n">
        <v>0</v>
      </c>
      <c r="D6" s="15" t="n">
        <v>0</v>
      </c>
      <c r="E6" s="19">
        <f>C6*D6</f>
        <v/>
      </c>
      <c r="F6" s="15" t="n">
        <v>0</v>
      </c>
      <c r="G6" s="19">
        <f>E6*F6</f>
        <v/>
      </c>
      <c r="H6" s="13" t="inlineStr">
        <is>
          <t>нет данных</t>
        </is>
      </c>
      <c r="I6" s="13" t="inlineStr"/>
      <c r="J6" s="1" t="n"/>
    </row>
    <row r="7" ht="28.5" customHeight="1">
      <c r="A7" s="13" t="inlineStr">
        <is>
          <t>Реферальные площадки</t>
        </is>
      </c>
      <c r="B7" s="13" t="inlineStr">
        <is>
          <t>Каталоги / партнеры / платформы</t>
        </is>
      </c>
      <c r="C7" s="15" t="n">
        <v>0</v>
      </c>
      <c r="D7" s="15" t="n">
        <v>0</v>
      </c>
      <c r="E7" s="19">
        <f>C7*D7</f>
        <v/>
      </c>
      <c r="F7" s="15" t="n">
        <v>0</v>
      </c>
      <c r="G7" s="19">
        <f>E7*F7</f>
        <v/>
      </c>
      <c r="H7" s="13" t="inlineStr">
        <is>
          <t>нет данных</t>
        </is>
      </c>
      <c r="I7" s="13" t="inlineStr">
        <is>
          <t>Нет данных: продукт не размещён в каталогах и у партнёров (MVP не запущен)</t>
        </is>
      </c>
      <c r="J7" s="1" t="n"/>
    </row>
    <row r="8">
      <c r="A8" s="13" t="inlineStr">
        <is>
          <t>Прямой трафик</t>
        </is>
      </c>
      <c r="B8" s="13" t="inlineStr">
        <is>
          <t>Similarweb / Google Analytics</t>
        </is>
      </c>
      <c r="C8" s="15" t="n">
        <v>0</v>
      </c>
      <c r="D8" s="15" t="n">
        <v>1</v>
      </c>
      <c r="E8" s="19">
        <f>C8*D8</f>
        <v/>
      </c>
      <c r="F8" s="15" t="n">
        <v>0</v>
      </c>
      <c r="G8" s="19">
        <f>E8*F8</f>
        <v/>
      </c>
      <c r="H8" s="13" t="inlineStr">
        <is>
          <t>нет данных</t>
        </is>
      </c>
      <c r="I8" s="13" t="inlineStr">
        <is>
          <t>Нет данных: бренд NotaCode не запущен, прямых заходов нет</t>
        </is>
      </c>
      <c r="J8" s="1" t="n"/>
    </row>
    <row r="9">
      <c r="A9" s="13" t="inlineStr">
        <is>
          <t>Маркетплейсы услуг</t>
        </is>
      </c>
      <c r="B9" s="13" t="inlineStr">
        <is>
          <t>Платформы / каталоги исполнителей</t>
        </is>
      </c>
      <c r="C9" s="15" t="n">
        <v>0</v>
      </c>
      <c r="D9" s="15" t="n">
        <v>0</v>
      </c>
      <c r="E9" s="19">
        <f>C9*D9</f>
        <v/>
      </c>
      <c r="F9" s="15" t="n">
        <v>0</v>
      </c>
      <c r="G9" s="19">
        <f>E9*F9</f>
        <v/>
      </c>
      <c r="H9" s="13" t="inlineStr">
        <is>
          <t>нет данных</t>
        </is>
      </c>
      <c r="I9" s="13" t="inlineStr">
        <is>
          <t>Не применяется: NotaCode не размещается на маркетплейсах услуг</t>
        </is>
      </c>
      <c r="J9" s="1" t="n"/>
    </row>
    <row r="10">
      <c r="A10" s="13" t="inlineStr">
        <is>
          <t>Прочие каналы</t>
        </is>
      </c>
      <c r="B10" s="13" t="inlineStr">
        <is>
          <t>Экспертная оценка</t>
        </is>
      </c>
      <c r="C10" s="15" t="n">
        <v>0</v>
      </c>
      <c r="D10" s="15" t="n">
        <v>0</v>
      </c>
      <c r="E10" s="19">
        <f>C10*D10</f>
        <v/>
      </c>
      <c r="F10" s="15" t="n">
        <v>0</v>
      </c>
      <c r="G10" s="19">
        <f>E10*F10</f>
        <v/>
      </c>
      <c r="H10" s="13" t="inlineStr">
        <is>
          <t>нет данных</t>
        </is>
      </c>
      <c r="I10" s="13" t="inlineStr">
        <is>
          <t>Нет данных</t>
        </is>
      </c>
      <c r="J10" s="1" t="n"/>
    </row>
    <row r="11">
      <c r="A11" s="1" t="n"/>
      <c r="B11" s="1" t="n"/>
      <c r="C11" s="9" t="n"/>
      <c r="D11" s="9" t="n"/>
      <c r="E11" s="9" t="n"/>
      <c r="F11" s="9" t="n"/>
      <c r="G11" s="9" t="n"/>
      <c r="H11" s="1" t="n"/>
      <c r="I11" s="1" t="n"/>
      <c r="J11" s="1" t="n"/>
    </row>
    <row r="12" ht="15" customHeight="1">
      <c r="A12" s="2" t="inlineStr">
        <is>
          <t>Итог</t>
        </is>
      </c>
      <c r="B12" s="2" t="inlineStr">
        <is>
          <t>Формула</t>
        </is>
      </c>
      <c r="C12" s="10" t="inlineStr">
        <is>
          <t>Значение</t>
        </is>
      </c>
      <c r="D12" s="10" t="inlineStr">
        <is>
          <t>Единица</t>
        </is>
      </c>
      <c r="E12" s="10" t="inlineStr">
        <is>
          <t>Комментарий</t>
        </is>
      </c>
      <c r="F12" s="10" t="inlineStr">
        <is>
          <t>Используется далее</t>
        </is>
      </c>
      <c r="G12" s="9" t="n"/>
      <c r="H12" s="1" t="n"/>
      <c r="I12" s="1" t="n"/>
      <c r="J12" s="1" t="n"/>
    </row>
    <row r="13" ht="42.75" customHeight="1">
      <c r="A13" s="13" t="inlineStr">
        <is>
          <t>Общие посещения в месяц</t>
        </is>
      </c>
      <c r="B13" s="13" t="inlineStr">
        <is>
          <t>SUM(E4:E10)</t>
        </is>
      </c>
      <c r="C13" s="19">
        <f>SUM(E4:E10)</f>
        <v/>
      </c>
      <c r="D13" s="20" t="inlineStr">
        <is>
          <t>посещений</t>
        </is>
      </c>
      <c r="E13" s="20" t="inlineStr">
        <is>
          <t>Оценка всех переходов по каналам</t>
        </is>
      </c>
      <c r="F13" s="20" t="inlineStr">
        <is>
          <t>да</t>
        </is>
      </c>
      <c r="G13" s="9" t="n"/>
      <c r="H13" s="1" t="n"/>
      <c r="I13" s="1" t="n"/>
      <c r="J13" s="1" t="n"/>
    </row>
    <row r="14" ht="28.5" customHeight="1">
      <c r="A14" s="13" t="inlineStr">
        <is>
          <t>Релевантные посещения в месяц</t>
        </is>
      </c>
      <c r="B14" s="13" t="inlineStr">
        <is>
          <t>SUM(G4:G10)</t>
        </is>
      </c>
      <c r="C14" s="19">
        <f>SUM(G4:G10)</f>
        <v/>
      </c>
      <c r="D14" s="20" t="inlineStr">
        <is>
          <t>посещений</t>
        </is>
      </c>
      <c r="E14" s="20" t="inlineStr">
        <is>
          <t>Трафик, относящийся к рынку</t>
        </is>
      </c>
      <c r="F14" s="20" t="inlineStr">
        <is>
          <t>да</t>
        </is>
      </c>
      <c r="G14" s="9" t="n"/>
      <c r="H14" s="1" t="n"/>
      <c r="I14" s="1" t="n"/>
      <c r="J14" s="1" t="n"/>
    </row>
    <row r="15" ht="28.5" customHeight="1">
      <c r="A15" s="13" t="inlineStr">
        <is>
          <t>Релевантные посещения в год</t>
        </is>
      </c>
      <c r="B15" s="13" t="inlineStr">
        <is>
          <t>C14*12</t>
        </is>
      </c>
      <c r="C15" s="19">
        <f>C14*12</f>
        <v/>
      </c>
      <c r="D15" s="20" t="inlineStr">
        <is>
          <t>посещений</t>
        </is>
      </c>
      <c r="E15" s="20" t="inlineStr">
        <is>
          <t>Годовая база для сценариев</t>
        </is>
      </c>
      <c r="F15" s="20" t="inlineStr">
        <is>
          <t>да</t>
        </is>
      </c>
      <c r="G15" s="9" t="n"/>
      <c r="H15" s="1" t="n"/>
      <c r="I15" s="1" t="n"/>
      <c r="J15" s="1" t="n"/>
    </row>
  </sheetData>
  <mergeCells count="1">
    <mergeCell ref="A1:I1"/>
  </mergeCells>
  <dataValidations count="1">
    <dataValidation sqref="H4:H10" showDropDown="0" showInputMessage="0" showErrorMessage="0" allowBlank="0" type="list">
      <formula1>"низкое,среднее,высокое"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F12" sqref="F12"/>
    </sheetView>
  </sheetViews>
  <sheetFormatPr baseColWidth="8" defaultRowHeight="14.25"/>
  <cols>
    <col width="24" customWidth="1" min="1" max="1"/>
    <col width="31.125" customWidth="1" min="2" max="2"/>
    <col width="20" customWidth="1" min="3" max="3"/>
    <col width="32.5" customWidth="1" min="4" max="4"/>
    <col width="20" customWidth="1" min="5" max="5"/>
    <col width="16.375" customWidth="1" min="6" max="6"/>
    <col width="22.5" customWidth="1" min="7" max="7"/>
    <col width="18.875" customWidth="1" min="8" max="8"/>
    <col width="21.25" customWidth="1" min="9" max="9"/>
    <col width="78.125" customWidth="1" min="10" max="10"/>
  </cols>
  <sheetData>
    <row r="1" ht="18" customHeight="1">
      <c r="A1" s="11" t="inlineStr">
        <is>
          <t>03. Данные Similarweb и конкурентов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2" t="inlineStr">
        <is>
          <t>Конкурент / сайт</t>
        </is>
      </c>
      <c r="B3" s="2" t="inlineStr">
        <is>
          <t>Тип игрока</t>
        </is>
      </c>
      <c r="C3" s="2" t="inlineStr">
        <is>
          <t>Посещения в месяц по Similarweb</t>
        </is>
      </c>
      <c r="D3" s="2" t="inlineStr">
        <is>
          <t>Доля целевой географии</t>
        </is>
      </c>
      <c r="E3" s="2" t="inlineStr">
        <is>
          <t>Доля релевантной категории</t>
        </is>
      </c>
      <c r="F3" s="2" t="inlineStr">
        <is>
          <t>Релевантные посещения</t>
        </is>
      </c>
      <c r="G3" s="2" t="inlineStr">
        <is>
          <t>Оценочная конверсия в продажу</t>
        </is>
      </c>
      <c r="H3" s="2" t="inlineStr">
        <is>
          <t>Средний чек</t>
        </is>
      </c>
      <c r="I3" s="2" t="inlineStr">
        <is>
          <t>Оценочная выручка в месяц</t>
        </is>
      </c>
      <c r="J3" s="2" t="inlineStr">
        <is>
          <t>Комментарий</t>
        </is>
      </c>
    </row>
    <row r="4" ht="42.75" customHeight="1">
      <c r="A4" s="14" t="inlineStr">
        <is>
          <t>plantuml.com</t>
        </is>
      </c>
      <c r="B4" s="14" t="inlineStr">
        <is>
          <t>прямой (текстовый DSL)</t>
        </is>
      </c>
      <c r="C4" s="15" t="n">
        <v>507000</v>
      </c>
      <c r="D4" s="21" t="n">
        <v>0.001958</v>
      </c>
      <c r="E4" s="16" t="n">
        <v>0.75</v>
      </c>
      <c r="F4" s="19">
        <f>C4*D4*E4</f>
        <v/>
      </c>
      <c r="G4" s="21" t="n">
        <v>0.001</v>
      </c>
      <c r="H4" s="15" t="n">
        <v>121.14</v>
      </c>
      <c r="I4" s="19">
        <f>F4*G4*H4</f>
        <v/>
      </c>
      <c r="J4" s="13" t="inlineStr">
        <is>
          <t>Визиты: ФАКТ (Similarweb, авг. 2026, скриншот). Доля Беларуси — допущение Д-01 (Similarweb не показывает). Конверсия = CR1 × CR2 базового сценария; чек = цена Pro</t>
        </is>
      </c>
    </row>
    <row r="5" ht="28.5" customHeight="1">
      <c r="A5" s="14" t="inlineStr">
        <is>
          <t>app.diagrams.net</t>
        </is>
      </c>
      <c r="B5" s="14" t="inlineStr">
        <is>
          <t>заменитель (визуальный редактор)</t>
        </is>
      </c>
      <c r="C5" s="15" t="n">
        <v>7800000</v>
      </c>
      <c r="D5" s="21" t="n">
        <v>0.001958</v>
      </c>
      <c r="E5" s="16" t="n">
        <v>0.35</v>
      </c>
      <c r="F5" s="19">
        <f>C5*D5*E5</f>
        <v/>
      </c>
      <c r="G5" s="21" t="n">
        <v>0.001</v>
      </c>
      <c r="H5" s="15" t="n">
        <v>121.14</v>
      </c>
      <c r="I5" s="19">
        <f>F5*G5*H5</f>
        <v/>
      </c>
      <c r="J5" s="13" t="inlineStr">
        <is>
          <t>Визиты: отчёт ЛР1, без скриншота. Доля Беларуси — допущение Д-01 (Similarweb не показывает). Конверсия = CR1 × CR2 базового сценария; чек = цена Pro</t>
        </is>
      </c>
    </row>
    <row r="6" ht="42.75" customHeight="1">
      <c r="A6" s="14" t="inlineStr">
        <is>
          <t>eraser.io</t>
        </is>
      </c>
      <c r="B6" s="14" t="inlineStr">
        <is>
          <t>прямой (AI + diagram as code)</t>
        </is>
      </c>
      <c r="C6" s="15" t="n">
        <v>678500</v>
      </c>
      <c r="D6" s="21" t="n">
        <v>0.001958</v>
      </c>
      <c r="E6" s="16" t="n">
        <v>0.5</v>
      </c>
      <c r="F6" s="19">
        <f>C6*D6*E6</f>
        <v/>
      </c>
      <c r="G6" s="21" t="n">
        <v>0.001</v>
      </c>
      <c r="H6" s="15" t="n">
        <v>121.14</v>
      </c>
      <c r="I6" s="19">
        <f>F6*G6*H6</f>
        <v/>
      </c>
      <c r="J6" s="13" t="inlineStr">
        <is>
          <t>Визиты: предварительный замер 17–23.09.2026, не подтверждён. Доля Беларуси — допущение Д-01 (Similarweb не показывает). Конверсия = CR1 × CR2 базового сценария; чек = цена Pro</t>
        </is>
      </c>
    </row>
    <row r="7" ht="42.75" customHeight="1">
      <c r="A7" s="14" t="inlineStr">
        <is>
          <t>mermaidchart.com</t>
        </is>
      </c>
      <c r="B7" s="14" t="inlineStr">
        <is>
          <t>прямой (текстовый DSL)</t>
        </is>
      </c>
      <c r="C7" s="15" t="n">
        <v>20000</v>
      </c>
      <c r="D7" s="21" t="n">
        <v>0.001958</v>
      </c>
      <c r="E7" s="16" t="n">
        <v>0.7</v>
      </c>
      <c r="F7" s="19">
        <f>C7*D7*E7</f>
        <v/>
      </c>
      <c r="G7" s="21" t="n">
        <v>0.001</v>
      </c>
      <c r="H7" s="15" t="n">
        <v>121.14</v>
      </c>
      <c r="I7" s="19">
        <f>F7*G7*H7</f>
        <v/>
      </c>
      <c r="J7" s="13" t="inlineStr">
        <is>
          <t>Визиты: предварительный замер: «менее 20 тыс.» (верхняя граница), не подтверждён. Доля Беларуси — допущение Д-01 (Similarweb не показывает). Конверсия = CR1 × CR2 базового сценария; чек = цена Pro</t>
        </is>
      </c>
    </row>
    <row r="8" ht="28.5" customHeight="1">
      <c r="A8" s="14" t="n"/>
      <c r="B8" s="14" t="n"/>
      <c r="C8" s="15" t="n"/>
      <c r="D8" s="16" t="n"/>
      <c r="E8" s="16" t="n"/>
      <c r="F8" s="19">
        <f>C8*D8*E8</f>
        <v/>
      </c>
      <c r="G8" s="21" t="n"/>
      <c r="H8" s="15" t="n"/>
      <c r="I8" s="19">
        <f>F8*G8*H8</f>
        <v/>
      </c>
      <c r="J8" s="13" t="inlineStr">
        <is>
          <t>Строка не заполнена: выборка — 4 домена; вручную)</t>
        </is>
      </c>
    </row>
    <row r="9">
      <c r="A9" s="1" t="n"/>
      <c r="B9" s="1" t="n"/>
      <c r="C9" s="9" t="n"/>
      <c r="D9" s="1" t="n"/>
      <c r="E9" s="1" t="n"/>
      <c r="F9" s="9" t="n"/>
      <c r="G9" s="1" t="n"/>
      <c r="H9" s="9" t="n"/>
      <c r="I9" s="9" t="n"/>
      <c r="J9" s="1" t="n"/>
    </row>
    <row r="10" ht="15" customHeight="1">
      <c r="A10" s="2" t="inlineStr">
        <is>
          <t>Показатель</t>
        </is>
      </c>
      <c r="B10" s="2" t="inlineStr">
        <is>
          <t>Формула</t>
        </is>
      </c>
      <c r="C10" s="10" t="inlineStr">
        <is>
          <t>Значение</t>
        </is>
      </c>
      <c r="D10" s="2" t="inlineStr">
        <is>
          <t>Комментарий</t>
        </is>
      </c>
      <c r="E10" s="1" t="n"/>
      <c r="F10" s="9" t="n"/>
      <c r="G10" s="1" t="n"/>
      <c r="H10" s="9" t="n"/>
      <c r="I10" s="9" t="n"/>
      <c r="J10" s="1" t="n"/>
    </row>
    <row r="11" ht="28.5" customHeight="1">
      <c r="A11" s="13" t="inlineStr">
        <is>
          <t>Суммарные релевантные посещения конкурентов</t>
        </is>
      </c>
      <c r="B11" s="13" t="inlineStr">
        <is>
          <t>SUM(F4:F8)</t>
        </is>
      </c>
      <c r="C11" s="19">
        <f>SUM(F4:F8)</f>
        <v/>
      </c>
      <c r="D11" s="13" t="inlineStr">
        <is>
          <t>Видимый объем цифрового сегмента по найденным сайтам</t>
        </is>
      </c>
      <c r="E11" s="1" t="n"/>
      <c r="F11" s="9" t="n"/>
      <c r="G11" s="1" t="n"/>
      <c r="H11" s="9" t="n"/>
      <c r="I11" s="9" t="n"/>
      <c r="J11" s="1" t="n"/>
    </row>
    <row r="12" ht="57" customHeight="1">
      <c r="A12" s="13" t="inlineStr">
        <is>
          <t>Оценка полного трафика сегмента</t>
        </is>
      </c>
      <c r="B12" s="13" t="inlineStr">
        <is>
          <t>B11 / коэффициент покрытия</t>
        </is>
      </c>
      <c r="C12" s="19">
        <f>C11/'01_Параметры'!B13</f>
        <v/>
      </c>
      <c r="D12" s="13" t="inlineStr">
        <is>
          <t>Исправлено в рабочей копии (П-2): деление на коэффициент покрытия B13, в шаблоне — на долю релевантного трафика B12</t>
        </is>
      </c>
      <c r="E12" s="1" t="n"/>
      <c r="F12" s="9" t="n"/>
      <c r="G12" s="1" t="n"/>
      <c r="H12" s="9" t="n"/>
      <c r="I12" s="9" t="n"/>
      <c r="J12" s="1" t="n"/>
    </row>
    <row r="13" ht="42.75" customHeight="1">
      <c r="A13" s="13" t="inlineStr">
        <is>
          <t>Оценочная выручка видимых конкурентов в месяц</t>
        </is>
      </c>
      <c r="B13" s="13" t="inlineStr">
        <is>
          <t>SUM(I4:I8)</t>
        </is>
      </c>
      <c r="C13" s="19">
        <f>SUM(I4:I8)</f>
        <v/>
      </c>
      <c r="D13" s="13" t="inlineStr">
        <is>
          <t>Ориентировочная оценка по конверсии и среднему чеку</t>
        </is>
      </c>
      <c r="E13" s="1" t="n"/>
      <c r="F13" s="9" t="n"/>
      <c r="G13" s="1" t="n"/>
      <c r="H13" s="9" t="n"/>
      <c r="I13" s="9" t="n"/>
      <c r="J13" s="1" t="n"/>
    </row>
    <row r="14" ht="28.5" customHeight="1">
      <c r="A14" s="13" t="inlineStr">
        <is>
          <t>Оценочная выручка сегмента в год</t>
        </is>
      </c>
      <c r="B14" s="13" t="inlineStr">
        <is>
          <t>C13 / коэффициент покрытия * 12</t>
        </is>
      </c>
      <c r="C14" s="19">
        <f>C13/'01_Параметры'!B13*12</f>
        <v/>
      </c>
      <c r="D14" s="13" t="inlineStr">
        <is>
          <t>Исправлено (П-2): C13 / B13 × 12</t>
        </is>
      </c>
      <c r="E14" s="1" t="n"/>
      <c r="F14" s="9" t="n"/>
      <c r="G14" s="1" t="n"/>
      <c r="H14" s="9" t="n"/>
      <c r="I14" s="9" t="n"/>
      <c r="J14" s="1" t="n"/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E22" sqref="E22"/>
    </sheetView>
  </sheetViews>
  <sheetFormatPr baseColWidth="8" defaultRowHeight="14.25"/>
  <cols>
    <col width="36.75" customWidth="1" min="1" max="1"/>
    <col width="20" customWidth="1" min="2" max="4"/>
    <col width="41.25" customWidth="1" min="5" max="5"/>
    <col width="22" customWidth="1" min="6" max="6"/>
    <col width="24" customWidth="1" min="7" max="7"/>
    <col width="28" customWidth="1" min="8" max="10"/>
  </cols>
  <sheetData>
    <row r="1" ht="18" customHeight="1">
      <c r="A1" s="11" t="inlineStr">
        <is>
          <t>04. Расчет цифровой воронки по сценариям</t>
        </is>
      </c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>
      <c r="A3" s="2" t="inlineStr">
        <is>
          <t>Показатель</t>
        </is>
      </c>
      <c r="B3" s="2" t="inlineStr">
        <is>
          <t>Осторожный</t>
        </is>
      </c>
      <c r="C3" s="2" t="inlineStr">
        <is>
          <t>Базовый</t>
        </is>
      </c>
      <c r="D3" s="2" t="inlineStr">
        <is>
          <t>Оптимистичный</t>
        </is>
      </c>
      <c r="E3" s="2" t="inlineStr">
        <is>
          <t>Комментарий</t>
        </is>
      </c>
      <c r="F3" s="1" t="n"/>
      <c r="G3" s="1" t="n"/>
      <c r="H3" s="1" t="n"/>
      <c r="I3" s="1" t="n"/>
      <c r="J3" s="1" t="n"/>
    </row>
    <row r="4">
      <c r="A4" s="13" t="inlineStr">
        <is>
          <t>Релевантные посещения в месяц</t>
        </is>
      </c>
      <c r="B4" s="19">
        <f>'02_Трафик_охват'!C14</f>
        <v/>
      </c>
      <c r="C4" s="19">
        <f>'02_Трафик_охват'!C14</f>
        <v/>
      </c>
      <c r="D4" s="19">
        <f>'02_Трафик_охват'!C14</f>
        <v/>
      </c>
      <c r="E4" s="13" t="inlineStr">
        <is>
          <t>Берется с листа 02_Трафик_охват</t>
        </is>
      </c>
      <c r="F4" s="1" t="n"/>
      <c r="G4" s="1" t="n"/>
      <c r="H4" s="1" t="n"/>
      <c r="I4" s="1" t="n"/>
      <c r="J4" s="1" t="n"/>
    </row>
    <row r="5">
      <c r="A5" s="13" t="inlineStr">
        <is>
          <t>Достижимая доля трафика</t>
        </is>
      </c>
      <c r="B5" s="22">
        <f>'01_Параметры'!B17</f>
        <v/>
      </c>
      <c r="C5" s="22">
        <f>'01_Параметры'!B18</f>
        <v/>
      </c>
      <c r="D5" s="22">
        <f>'01_Параметры'!B19</f>
        <v/>
      </c>
      <c r="E5" s="13" t="inlineStr">
        <is>
          <t>Сценарное допущение</t>
        </is>
      </c>
      <c r="F5" s="1" t="n"/>
      <c r="G5" s="1" t="n"/>
      <c r="H5" s="1" t="n"/>
      <c r="I5" s="1" t="n"/>
      <c r="J5" s="1" t="n"/>
    </row>
    <row r="6">
      <c r="A6" s="13" t="inlineStr">
        <is>
          <t>Достижимые посещения в месяц</t>
        </is>
      </c>
      <c r="B6" s="19">
        <f>B4*B5</f>
        <v/>
      </c>
      <c r="C6" s="19">
        <f>C4*C5</f>
        <v/>
      </c>
      <c r="D6" s="19">
        <f>D4*D5</f>
        <v/>
      </c>
      <c r="E6" s="13" t="inlineStr">
        <is>
          <t>Релевантные посещения × достижимая доля</t>
        </is>
      </c>
      <c r="F6" s="1" t="n"/>
      <c r="G6" s="1" t="n"/>
      <c r="H6" s="1" t="n"/>
      <c r="I6" s="1" t="n"/>
      <c r="J6" s="1" t="n"/>
    </row>
    <row r="7">
      <c r="A7" s="13" t="inlineStr">
        <is>
          <t>Конверсия посещение → заявка</t>
        </is>
      </c>
      <c r="B7" s="23">
        <f>'01_Параметры'!C17</f>
        <v/>
      </c>
      <c r="C7" s="23">
        <f>'01_Параметры'!C18</f>
        <v/>
      </c>
      <c r="D7" s="23">
        <f>'01_Параметры'!C19</f>
        <v/>
      </c>
      <c r="E7" s="13" t="inlineStr">
        <is>
          <t>Сценарное допущение</t>
        </is>
      </c>
      <c r="F7" s="1" t="n"/>
      <c r="G7" s="1" t="n"/>
      <c r="H7" s="1" t="n"/>
      <c r="I7" s="1" t="n"/>
      <c r="J7" s="1" t="n"/>
    </row>
    <row r="8" ht="28.5" customHeight="1">
      <c r="A8" s="13" t="inlineStr">
        <is>
          <t>Заявки в месяц</t>
        </is>
      </c>
      <c r="B8" s="19">
        <f>B6*B7</f>
        <v/>
      </c>
      <c r="C8" s="19">
        <f>C6*C7</f>
        <v/>
      </c>
      <c r="D8" s="19">
        <f>D6*D7</f>
        <v/>
      </c>
      <c r="E8" s="13" t="inlineStr">
        <is>
          <t>Достижимые посещения × конверсия в заявку</t>
        </is>
      </c>
      <c r="F8" s="1" t="n"/>
      <c r="G8" s="1" t="n"/>
      <c r="H8" s="1" t="n"/>
      <c r="I8" s="1" t="n"/>
      <c r="J8" s="1" t="n"/>
    </row>
    <row r="9">
      <c r="A9" s="13" t="inlineStr">
        <is>
          <t>Конверсия заявка → продажа</t>
        </is>
      </c>
      <c r="B9" s="23">
        <f>'01_Параметры'!D17</f>
        <v/>
      </c>
      <c r="C9" s="23">
        <f>'01_Параметры'!D18</f>
        <v/>
      </c>
      <c r="D9" s="23">
        <f>'01_Параметры'!D19</f>
        <v/>
      </c>
      <c r="E9" s="13" t="inlineStr">
        <is>
          <t>Сценарное допущение</t>
        </is>
      </c>
      <c r="F9" s="1" t="n"/>
      <c r="G9" s="1" t="n"/>
      <c r="H9" s="1" t="n"/>
      <c r="I9" s="1" t="n"/>
      <c r="J9" s="1" t="n"/>
    </row>
    <row r="10">
      <c r="A10" s="13" t="inlineStr">
        <is>
          <t>Продажи в месяц</t>
        </is>
      </c>
      <c r="B10" s="19">
        <f>B8*B9</f>
        <v/>
      </c>
      <c r="C10" s="19">
        <f>C8*C9</f>
        <v/>
      </c>
      <c r="D10" s="19">
        <f>D8*D9</f>
        <v/>
      </c>
      <c r="E10" s="13" t="inlineStr">
        <is>
          <t>Заявки × конверсия в продажу</t>
        </is>
      </c>
      <c r="F10" s="1" t="n"/>
      <c r="G10" s="1" t="n"/>
      <c r="H10" s="1" t="n"/>
      <c r="I10" s="1" t="n"/>
      <c r="J10" s="1" t="n"/>
    </row>
    <row r="11">
      <c r="A11" s="13" t="inlineStr">
        <is>
          <t>Средний чек</t>
        </is>
      </c>
      <c r="B11" s="19">
        <f>'01_Параметры'!E17</f>
        <v/>
      </c>
      <c r="C11" s="19">
        <f>'01_Параметры'!E18</f>
        <v/>
      </c>
      <c r="D11" s="19">
        <f>'01_Параметры'!E19</f>
        <v/>
      </c>
      <c r="E11" s="13" t="inlineStr">
        <is>
          <t>Сценарный средний чек</t>
        </is>
      </c>
      <c r="F11" s="1" t="n"/>
      <c r="G11" s="1" t="n"/>
      <c r="H11" s="1" t="n"/>
      <c r="I11" s="1" t="n"/>
      <c r="J11" s="1" t="n"/>
    </row>
    <row r="12">
      <c r="A12" s="13" t="inlineStr">
        <is>
          <t>Выручка в месяц</t>
        </is>
      </c>
      <c r="B12" s="19">
        <f>B10*B11</f>
        <v/>
      </c>
      <c r="C12" s="19">
        <f>C10*C11</f>
        <v/>
      </c>
      <c r="D12" s="19">
        <f>D10*D11</f>
        <v/>
      </c>
      <c r="E12" s="13" t="inlineStr">
        <is>
          <t>Продажи × средний чек</t>
        </is>
      </c>
      <c r="F12" s="1" t="n"/>
      <c r="G12" s="1" t="n"/>
      <c r="H12" s="1" t="n"/>
      <c r="I12" s="1" t="n"/>
      <c r="J12" s="1" t="n"/>
    </row>
    <row r="13">
      <c r="A13" s="13" t="inlineStr">
        <is>
          <t>Выручка в год</t>
        </is>
      </c>
      <c r="B13" s="19">
        <f>B12*12</f>
        <v/>
      </c>
      <c r="C13" s="19">
        <f>C12*12</f>
        <v/>
      </c>
      <c r="D13" s="19">
        <f>D12*12</f>
        <v/>
      </c>
      <c r="E13" s="13" t="inlineStr">
        <is>
          <t>Месячная выручка × 12</t>
        </is>
      </c>
      <c r="F13" s="1" t="n"/>
      <c r="G13" s="1" t="n"/>
      <c r="H13" s="1" t="n"/>
      <c r="I13" s="1" t="n"/>
      <c r="J13" s="1" t="n"/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F14" sqref="F14"/>
    </sheetView>
  </sheetViews>
  <sheetFormatPr baseColWidth="8" defaultRowHeight="14.25"/>
  <cols>
    <col width="24" customWidth="1" min="1" max="1"/>
    <col width="20" customWidth="1" min="2" max="3"/>
    <col width="30.875" customWidth="1" min="4" max="4"/>
    <col width="20" customWidth="1" min="5" max="5"/>
    <col width="22" customWidth="1" min="6" max="6"/>
    <col width="43.5" customWidth="1" min="7" max="7"/>
    <col width="28" customWidth="1" min="8" max="10"/>
  </cols>
  <sheetData>
    <row r="1" ht="18" customHeight="1">
      <c r="A1" s="11" t="inlineStr">
        <is>
          <t>05. Сценарная оценка объема рынка</t>
        </is>
      </c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2" t="inlineStr">
        <is>
          <t>Сценарий</t>
        </is>
      </c>
      <c r="B3" s="2" t="inlineStr">
        <is>
          <t>Достижимые посещения/мес</t>
        </is>
      </c>
      <c r="C3" s="2" t="inlineStr">
        <is>
          <t>Заявки/мес</t>
        </is>
      </c>
      <c r="D3" s="2" t="inlineStr">
        <is>
          <t>Продажи/мес</t>
        </is>
      </c>
      <c r="E3" s="2" t="inlineStr">
        <is>
          <t>Выручка/мес</t>
        </is>
      </c>
      <c r="F3" s="2" t="inlineStr">
        <is>
          <t>Выручка/год</t>
        </is>
      </c>
      <c r="G3" s="2" t="inlineStr">
        <is>
          <t>Интерпретация</t>
        </is>
      </c>
      <c r="H3" s="1" t="n"/>
      <c r="I3" s="1" t="n"/>
      <c r="J3" s="1" t="n"/>
    </row>
    <row r="4" ht="28.5" customHeight="1">
      <c r="A4" s="13" t="inlineStr">
        <is>
          <t>Осторожный</t>
        </is>
      </c>
      <c r="B4" s="19">
        <f>'04_Воронка'!B6</f>
        <v/>
      </c>
      <c r="C4" s="19">
        <f>'04_Воронка'!B8</f>
        <v/>
      </c>
      <c r="D4" s="19">
        <f>'04_Воронка'!B10</f>
        <v/>
      </c>
      <c r="E4" s="19">
        <f>'04_Воронка'!B12</f>
        <v/>
      </c>
      <c r="F4" s="19">
        <f>'04_Воронка'!B13</f>
        <v/>
      </c>
      <c r="G4" s="24" t="inlineStr">
        <is>
          <t>Нижняя граница при слабом охвате и низких конверсиях</t>
        </is>
      </c>
      <c r="H4" s="1" t="n"/>
      <c r="I4" s="1" t="n"/>
      <c r="J4" s="1" t="n"/>
    </row>
    <row r="5" ht="28.5" customHeight="1">
      <c r="A5" s="13" t="inlineStr">
        <is>
          <t>Базовый</t>
        </is>
      </c>
      <c r="B5" s="19">
        <f>'04_Воронка'!C6</f>
        <v/>
      </c>
      <c r="C5" s="19">
        <f>'04_Воронка'!C8</f>
        <v/>
      </c>
      <c r="D5" s="19">
        <f>'04_Воронка'!C10</f>
        <v/>
      </c>
      <c r="E5" s="19">
        <f>'04_Воронка'!C12</f>
        <v/>
      </c>
      <c r="F5" s="19">
        <f>'04_Воронка'!C13</f>
        <v/>
      </c>
      <c r="G5" s="24" t="inlineStr">
        <is>
          <t>Наиболее реалистичный сценарий при умеренной эффективности</t>
        </is>
      </c>
      <c r="H5" s="1" t="n"/>
      <c r="I5" s="1" t="n"/>
      <c r="J5" s="1" t="n"/>
    </row>
    <row r="6" ht="28.5" customHeight="1">
      <c r="A6" s="13" t="inlineStr">
        <is>
          <t>Оптимистичный</t>
        </is>
      </c>
      <c r="B6" s="19">
        <f>'04_Воронка'!D6</f>
        <v/>
      </c>
      <c r="C6" s="19">
        <f>'04_Воронка'!D8</f>
        <v/>
      </c>
      <c r="D6" s="19">
        <f>'04_Воронка'!D10</f>
        <v/>
      </c>
      <c r="E6" s="19">
        <f>'04_Воронка'!D12</f>
        <v/>
      </c>
      <c r="F6" s="19">
        <f>'04_Воронка'!D13</f>
        <v/>
      </c>
      <c r="G6" s="24" t="inlineStr">
        <is>
          <t>Верхняя граница при высокой эффективности каналов</t>
        </is>
      </c>
      <c r="H6" s="1" t="n"/>
      <c r="I6" s="1" t="n"/>
      <c r="J6" s="1" t="n"/>
    </row>
    <row r="7">
      <c r="A7" s="1" t="n"/>
      <c r="B7" s="9" t="n"/>
      <c r="C7" s="9" t="n"/>
      <c r="D7" s="9" t="n"/>
      <c r="E7" s="9" t="n"/>
      <c r="F7" s="9" t="n"/>
      <c r="G7" s="1" t="n"/>
      <c r="H7" s="1" t="n"/>
      <c r="I7" s="1" t="n"/>
      <c r="J7" s="1" t="n"/>
    </row>
    <row r="8" ht="15" customHeight="1">
      <c r="A8" s="2" t="inlineStr">
        <is>
          <t>Показатель</t>
        </is>
      </c>
      <c r="B8" s="10" t="inlineStr">
        <is>
          <t>Формула</t>
        </is>
      </c>
      <c r="C8" s="10" t="inlineStr">
        <is>
          <t>Значение</t>
        </is>
      </c>
      <c r="D8" s="10" t="inlineStr">
        <is>
          <t>Комментарий</t>
        </is>
      </c>
      <c r="E8" s="9" t="n"/>
      <c r="F8" s="9" t="n"/>
      <c r="G8" s="1" t="n"/>
      <c r="H8" s="1" t="n"/>
      <c r="I8" s="1" t="n"/>
      <c r="J8" s="1" t="n"/>
    </row>
    <row r="9" ht="28.5" customHeight="1">
      <c r="A9" s="13" t="inlineStr">
        <is>
          <t>Минимальная годовая выручка</t>
        </is>
      </c>
      <c r="B9" s="20" t="inlineStr">
        <is>
          <t>MIN(F4:F6)</t>
        </is>
      </c>
      <c r="C9" s="19">
        <f>MIN(F4:F6)</f>
        <v/>
      </c>
      <c r="D9" s="20" t="inlineStr">
        <is>
          <t>Нижняя граница расчетного диапазона</t>
        </is>
      </c>
      <c r="E9" s="9" t="n"/>
      <c r="F9" s="9" t="n"/>
      <c r="G9" s="1" t="n"/>
      <c r="H9" s="1" t="n"/>
      <c r="I9" s="1" t="n"/>
      <c r="J9" s="1" t="n"/>
    </row>
    <row r="10">
      <c r="A10" s="13" t="inlineStr">
        <is>
          <t>Базовая годовая выручка</t>
        </is>
      </c>
      <c r="B10" s="20" t="inlineStr">
        <is>
          <t>F5</t>
        </is>
      </c>
      <c r="C10" s="19">
        <f>F5</f>
        <v/>
      </c>
      <c r="D10" s="20" t="inlineStr">
        <is>
          <t>Основной ориентир для отчета</t>
        </is>
      </c>
      <c r="E10" s="9" t="n"/>
      <c r="F10" s="9" t="n"/>
      <c r="G10" s="1" t="n"/>
      <c r="H10" s="1" t="n"/>
      <c r="I10" s="1" t="n"/>
      <c r="J10" s="1" t="n"/>
    </row>
    <row r="11" ht="28.5" customHeight="1">
      <c r="A11" s="13" t="inlineStr">
        <is>
          <t>Максимальная годовая выручка</t>
        </is>
      </c>
      <c r="B11" s="20" t="inlineStr">
        <is>
          <t>MAX(F4:F6)</t>
        </is>
      </c>
      <c r="C11" s="19">
        <f>MAX(F4:F6)</f>
        <v/>
      </c>
      <c r="D11" s="20" t="inlineStr">
        <is>
          <t>Верхняя граница расчетного диапазона</t>
        </is>
      </c>
      <c r="E11" s="9" t="n"/>
      <c r="F11" s="9" t="n"/>
      <c r="G11" s="1" t="n"/>
      <c r="H11" s="1" t="n"/>
      <c r="I11" s="1" t="n"/>
      <c r="J11" s="1" t="n"/>
    </row>
    <row r="12" ht="28.5" customHeight="1">
      <c r="A12" s="13" t="inlineStr">
        <is>
          <t>Размах оценки</t>
        </is>
      </c>
      <c r="B12" s="20" t="inlineStr">
        <is>
          <t>C11-C9</t>
        </is>
      </c>
      <c r="C12" s="19">
        <f>C11-C9</f>
        <v/>
      </c>
      <c r="D12" s="20" t="inlineStr">
        <is>
          <t>Показывает неопределенность оценки</t>
        </is>
      </c>
      <c r="E12" s="9" t="n"/>
      <c r="F12" s="9" t="n"/>
      <c r="G12" s="1" t="n"/>
      <c r="H12" s="1" t="n"/>
      <c r="I12" s="1" t="n"/>
      <c r="J12" s="1" t="n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G22" sqref="G22"/>
    </sheetView>
  </sheetViews>
  <sheetFormatPr baseColWidth="8" defaultRowHeight="14.25"/>
  <cols>
    <col width="24" customWidth="1" min="1" max="1"/>
    <col width="16.25" customWidth="1" min="2" max="2"/>
    <col width="14.625" customWidth="1" min="3" max="3"/>
    <col width="17.375" customWidth="1" min="4" max="4"/>
    <col width="20" customWidth="1" min="5" max="5"/>
    <col width="22" customWidth="1" min="6" max="6"/>
    <col width="48.625" customWidth="1" min="7" max="7"/>
    <col width="28" customWidth="1" min="8" max="10"/>
  </cols>
  <sheetData>
    <row r="1" ht="18" customHeight="1">
      <c r="A1" s="11" t="inlineStr">
        <is>
          <t>06. Повторные покупки и жизненная ценность клиента</t>
        </is>
      </c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2" t="inlineStr">
        <is>
          <t>Сценарий</t>
        </is>
      </c>
      <c r="B3" s="2" t="inlineStr">
        <is>
          <t>Продажи/мес</t>
        </is>
      </c>
      <c r="C3" s="2" t="inlineStr">
        <is>
          <t>Средний чек</t>
        </is>
      </c>
      <c r="D3" s="2" t="inlineStr">
        <is>
          <t>Повторных покупок в год</t>
        </is>
      </c>
      <c r="E3" s="2" t="inlineStr">
        <is>
          <t>Годовая выручка с учетом повторов</t>
        </is>
      </c>
      <c r="F3" s="2" t="inlineStr">
        <is>
          <t>Средняя ценность клиента за год</t>
        </is>
      </c>
      <c r="G3" s="2" t="inlineStr">
        <is>
          <t>Комментарий</t>
        </is>
      </c>
      <c r="H3" s="1" t="n"/>
      <c r="I3" s="1" t="n"/>
      <c r="J3" s="1" t="n"/>
    </row>
    <row r="4">
      <c r="A4" s="13" t="inlineStr">
        <is>
          <t>Осторожный</t>
        </is>
      </c>
      <c r="B4" s="19">
        <f>'04_Воронка'!B10</f>
        <v/>
      </c>
      <c r="C4" s="19">
        <f>'04_Воронка'!B11</f>
        <v/>
      </c>
      <c r="D4" s="19">
        <f>'01_Параметры'!F17</f>
        <v/>
      </c>
      <c r="E4" s="19">
        <f>B4*C4*D4*12</f>
        <v/>
      </c>
      <c r="F4" s="19">
        <f>C4*D4</f>
        <v/>
      </c>
      <c r="G4" s="24" t="inlineStr">
        <is>
          <t>Разовые или редкие повторные покупки</t>
        </is>
      </c>
      <c r="H4" s="1" t="n"/>
      <c r="I4" s="1" t="n"/>
      <c r="J4" s="1" t="n"/>
    </row>
    <row r="5">
      <c r="A5" s="13" t="inlineStr">
        <is>
          <t>Базовый</t>
        </is>
      </c>
      <c r="B5" s="19">
        <f>'04_Воронка'!C10</f>
        <v/>
      </c>
      <c r="C5" s="19">
        <f>'04_Воронка'!C11</f>
        <v/>
      </c>
      <c r="D5" s="19">
        <f>'01_Параметры'!F18</f>
        <v/>
      </c>
      <c r="E5" s="19">
        <f>B5*C5*D5*12</f>
        <v/>
      </c>
      <c r="F5" s="19">
        <f>C5*D5</f>
        <v/>
      </c>
      <c r="G5" s="24" t="inlineStr">
        <is>
          <t>Умеренная повторяемость заказов</t>
        </is>
      </c>
      <c r="H5" s="1" t="n"/>
      <c r="I5" s="1" t="n"/>
      <c r="J5" s="1" t="n"/>
    </row>
    <row r="6">
      <c r="A6" s="13" t="inlineStr">
        <is>
          <t>Оптимистичный</t>
        </is>
      </c>
      <c r="B6" s="19">
        <f>'04_Воронка'!D10</f>
        <v/>
      </c>
      <c r="C6" s="19">
        <f>'04_Воронка'!D11</f>
        <v/>
      </c>
      <c r="D6" s="19">
        <f>'01_Параметры'!F19</f>
        <v/>
      </c>
      <c r="E6" s="19">
        <f>B6*C6*D6*12</f>
        <v/>
      </c>
      <c r="F6" s="19">
        <f>C6*D6</f>
        <v/>
      </c>
      <c r="G6" s="24" t="inlineStr">
        <is>
          <t>Регулярное сопровождение или подписочная модель</t>
        </is>
      </c>
      <c r="H6" s="1" t="n"/>
      <c r="I6" s="1" t="n"/>
      <c r="J6" s="1" t="n"/>
    </row>
    <row r="7">
      <c r="A7" s="1" t="n"/>
      <c r="B7" s="9" t="n"/>
      <c r="C7" s="9" t="n"/>
      <c r="D7" s="9" t="n"/>
      <c r="E7" s="9" t="n"/>
      <c r="F7" s="9" t="n"/>
      <c r="G7" s="1" t="n"/>
      <c r="H7" s="1" t="n"/>
      <c r="I7" s="1" t="n"/>
      <c r="J7" s="1" t="n"/>
    </row>
    <row r="8" ht="15" customHeight="1">
      <c r="A8" s="2" t="inlineStr">
        <is>
          <t>Показатель</t>
        </is>
      </c>
      <c r="B8" s="10" t="inlineStr">
        <is>
          <t>Осторожный</t>
        </is>
      </c>
      <c r="C8" s="10" t="inlineStr">
        <is>
          <t>Базовый</t>
        </is>
      </c>
      <c r="D8" s="10" t="inlineStr">
        <is>
          <t>Оптимистичный</t>
        </is>
      </c>
      <c r="E8" s="9" t="n"/>
      <c r="F8" s="9" t="n"/>
      <c r="G8" s="1" t="n"/>
      <c r="H8" s="1" t="n"/>
      <c r="I8" s="1" t="n"/>
      <c r="J8" s="1" t="n"/>
    </row>
    <row r="9" ht="28.5" customHeight="1">
      <c r="A9" s="13" t="inlineStr">
        <is>
          <t>Годовая выручка без учета повторов</t>
        </is>
      </c>
      <c r="B9" s="19">
        <f>'04_Воронка'!B13</f>
        <v/>
      </c>
      <c r="C9" s="19">
        <f>'04_Воронка'!C13</f>
        <v/>
      </c>
      <c r="D9" s="19">
        <f>'04_Воронка'!D13</f>
        <v/>
      </c>
      <c r="E9" s="9" t="n"/>
      <c r="F9" s="9" t="n"/>
      <c r="G9" s="1" t="n"/>
      <c r="H9" s="1" t="n"/>
      <c r="I9" s="1" t="n"/>
      <c r="J9" s="1" t="n"/>
    </row>
    <row r="10" ht="28.5" customHeight="1">
      <c r="A10" s="13" t="inlineStr">
        <is>
          <t>Годовая выручка с учетом повторов</t>
        </is>
      </c>
      <c r="B10" s="19">
        <f>E4</f>
        <v/>
      </c>
      <c r="C10" s="19">
        <f>E5</f>
        <v/>
      </c>
      <c r="D10" s="19">
        <f>E6</f>
        <v/>
      </c>
      <c r="E10" s="9" t="n"/>
      <c r="F10" s="9" t="n"/>
      <c r="G10" s="1" t="n"/>
      <c r="H10" s="1" t="n"/>
      <c r="I10" s="1" t="n"/>
      <c r="J10" s="1" t="n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H13" sqref="H13"/>
    </sheetView>
  </sheetViews>
  <sheetFormatPr baseColWidth="8" defaultRowHeight="14.25"/>
  <cols>
    <col width="29.5" customWidth="1" min="1" max="1"/>
    <col width="20" customWidth="1" min="2" max="5"/>
    <col width="28.25" customWidth="1" min="6" max="6"/>
    <col width="51.625" customWidth="1" min="7" max="7"/>
    <col width="28" customWidth="1" min="8" max="10"/>
  </cols>
  <sheetData>
    <row r="1" ht="18" customHeight="1">
      <c r="A1" s="11" t="inlineStr">
        <is>
          <t>07. Платформенная модель: GMV и выручка платформы</t>
        </is>
      </c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>
      <c r="A3" s="2" t="inlineStr">
        <is>
          <t>Параметр</t>
        </is>
      </c>
      <c r="B3" s="2" t="inlineStr">
        <is>
          <t>Осторожный</t>
        </is>
      </c>
      <c r="C3" s="2" t="inlineStr">
        <is>
          <t>Базовый</t>
        </is>
      </c>
      <c r="D3" s="2" t="inlineStr">
        <is>
          <t>Оптимистичный</t>
        </is>
      </c>
      <c r="E3" s="2" t="inlineStr">
        <is>
          <t>Единица</t>
        </is>
      </c>
      <c r="F3" s="2" t="inlineStr">
        <is>
          <t>Источник/обоснование</t>
        </is>
      </c>
      <c r="G3" s="2" t="inlineStr">
        <is>
          <t>Комментарий</t>
        </is>
      </c>
      <c r="H3" s="2" t="inlineStr">
        <is>
          <t>Тип</t>
        </is>
      </c>
      <c r="I3" s="1" t="n"/>
      <c r="J3" s="1" t="n"/>
    </row>
    <row r="4" ht="42.75" customHeight="1">
      <c r="A4" s="13" t="inlineStr">
        <is>
          <t>Количество сделок в месяц</t>
        </is>
      </c>
      <c r="B4" s="15" t="n">
        <v>0</v>
      </c>
      <c r="C4" s="15" t="n">
        <v>0</v>
      </c>
      <c r="D4" s="15" t="n">
        <v>0</v>
      </c>
      <c r="E4" s="13" t="inlineStr">
        <is>
          <t>сделок</t>
        </is>
      </c>
      <c r="F4" s="13" t="inlineStr">
        <is>
          <t>Сценарная оценка</t>
        </is>
      </c>
      <c r="G4" s="13" t="inlineStr">
        <is>
          <t>Не применяется: NotaCode — не многосторонняя платформа (подписка одного вида клиента); решение В-3</t>
        </is>
      </c>
      <c r="H4" s="13" t="inlineStr">
        <is>
          <t>ввод</t>
        </is>
      </c>
      <c r="I4" s="1" t="n"/>
      <c r="J4" s="1" t="n"/>
    </row>
    <row r="5">
      <c r="A5" s="13" t="inlineStr">
        <is>
          <t>Средняя сумма сделки</t>
        </is>
      </c>
      <c r="B5" s="15" t="n">
        <v>0</v>
      </c>
      <c r="C5" s="15" t="n">
        <v>0</v>
      </c>
      <c r="D5" s="15" t="n">
        <v>0</v>
      </c>
      <c r="E5" s="13" t="inlineStr">
        <is>
          <t>BYN</t>
        </is>
      </c>
      <c r="F5" s="13" t="inlineStr">
        <is>
          <t>Цены конкурентов / экспертно</t>
        </is>
      </c>
      <c r="G5" s="13" t="inlineStr">
        <is>
          <t>Не применяется</t>
        </is>
      </c>
      <c r="H5" s="13" t="inlineStr">
        <is>
          <t>ввод</t>
        </is>
      </c>
      <c r="I5" s="1" t="n"/>
      <c r="J5" s="1" t="n"/>
    </row>
    <row r="6">
      <c r="A6" s="13" t="inlineStr">
        <is>
          <t>GMV в месяц</t>
        </is>
      </c>
      <c r="B6" s="19">
        <f>B4*B5</f>
        <v/>
      </c>
      <c r="C6" s="19">
        <f>C4*C5</f>
        <v/>
      </c>
      <c r="D6" s="19">
        <f>D4*D5</f>
        <v/>
      </c>
      <c r="E6" s="13" t="inlineStr">
        <is>
          <t>BYN</t>
        </is>
      </c>
      <c r="F6" s="13" t="inlineStr">
        <is>
          <t>расчет</t>
        </is>
      </c>
      <c r="G6" s="13" t="inlineStr">
        <is>
          <t>Общий объем сделок на платформе</t>
        </is>
      </c>
      <c r="H6" s="13" t="inlineStr">
        <is>
          <t>расчет</t>
        </is>
      </c>
      <c r="I6" s="1" t="n"/>
      <c r="J6" s="1" t="n"/>
    </row>
    <row r="7">
      <c r="A7" s="13" t="inlineStr">
        <is>
          <t>Комиссия платформы</t>
        </is>
      </c>
      <c r="B7" s="16" t="n">
        <v>0</v>
      </c>
      <c r="C7" s="16" t="n">
        <v>0</v>
      </c>
      <c r="D7" s="16" t="n">
        <v>0</v>
      </c>
      <c r="E7" s="13" t="inlineStr">
        <is>
          <t>доля</t>
        </is>
      </c>
      <c r="F7" s="13" t="inlineStr">
        <is>
          <t>Бизнес-модель</t>
        </is>
      </c>
      <c r="G7" s="13" t="inlineStr">
        <is>
          <t>Не применяется</t>
        </is>
      </c>
      <c r="H7" s="13" t="inlineStr">
        <is>
          <t>ввод</t>
        </is>
      </c>
      <c r="I7" s="1" t="n"/>
      <c r="J7" s="1" t="n"/>
    </row>
    <row r="8">
      <c r="A8" s="13" t="inlineStr">
        <is>
          <t>Выручка платформы в месяц</t>
        </is>
      </c>
      <c r="B8" s="19">
        <f>B6*B7</f>
        <v/>
      </c>
      <c r="C8" s="19">
        <f>C6*C7</f>
        <v/>
      </c>
      <c r="D8" s="19">
        <f>D6*D7</f>
        <v/>
      </c>
      <c r="E8" s="13" t="inlineStr">
        <is>
          <t>BYN</t>
        </is>
      </c>
      <c r="F8" s="13" t="inlineStr">
        <is>
          <t>расчет</t>
        </is>
      </c>
      <c r="G8" s="13" t="inlineStr">
        <is>
          <t>Доход платформы от комиссии</t>
        </is>
      </c>
      <c r="H8" s="13" t="inlineStr">
        <is>
          <t>расчет</t>
        </is>
      </c>
      <c r="I8" s="1" t="n"/>
      <c r="J8" s="1" t="n"/>
    </row>
    <row r="9">
      <c r="A9" s="13" t="inlineStr">
        <is>
          <t>Выручка платформы в год</t>
        </is>
      </c>
      <c r="B9" s="19">
        <f>B8*12</f>
        <v/>
      </c>
      <c r="C9" s="19">
        <f>C8*12</f>
        <v/>
      </c>
      <c r="D9" s="19">
        <f>D8*12</f>
        <v/>
      </c>
      <c r="E9" s="13" t="inlineStr">
        <is>
          <t>BYN</t>
        </is>
      </c>
      <c r="F9" s="13" t="inlineStr">
        <is>
          <t>расчет</t>
        </is>
      </c>
      <c r="G9" s="13" t="inlineStr">
        <is>
          <t>Годовая комиссионная выручка</t>
        </is>
      </c>
      <c r="H9" s="13" t="inlineStr">
        <is>
          <t>расчет</t>
        </is>
      </c>
      <c r="I9" s="1" t="n"/>
      <c r="J9" s="1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I23" sqref="I23"/>
    </sheetView>
  </sheetViews>
  <sheetFormatPr baseColWidth="8" defaultRowHeight="14.25"/>
  <cols>
    <col width="54.125" customWidth="1" min="1" max="1"/>
    <col width="22.25" customWidth="1" min="2" max="2"/>
    <col width="20" customWidth="1" min="3" max="3"/>
    <col width="50.125" customWidth="1" min="4" max="4"/>
    <col width="6.5" customWidth="1" min="5" max="5"/>
    <col width="6.75" customWidth="1" min="6" max="6"/>
    <col width="6.125" customWidth="1" min="7" max="7"/>
    <col width="5.75" customWidth="1" min="8" max="8"/>
    <col width="28" customWidth="1" min="9" max="10"/>
  </cols>
  <sheetData>
    <row r="1" ht="18" customHeight="1">
      <c r="A1" s="11" t="inlineStr">
        <is>
          <t>08. Итоговая панель оценки рынка через цифровую воронку</t>
        </is>
      </c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>
      <c r="A3" s="2" t="inlineStr">
        <is>
          <t>Ключевой показатель</t>
        </is>
      </c>
      <c r="B3" s="2" t="inlineStr">
        <is>
          <t>Значение</t>
        </is>
      </c>
      <c r="C3" s="2" t="inlineStr">
        <is>
          <t>Единица</t>
        </is>
      </c>
      <c r="D3" s="2" t="inlineStr">
        <is>
          <t>Комментарий</t>
        </is>
      </c>
      <c r="E3" s="1" t="n"/>
      <c r="F3" s="1" t="n"/>
      <c r="G3" s="1" t="n"/>
      <c r="H3" s="1" t="n"/>
      <c r="I3" s="1" t="n"/>
      <c r="J3" s="1" t="n"/>
    </row>
    <row r="4">
      <c r="A4" s="13" t="inlineStr">
        <is>
          <t>Релевантные посещения в месяц</t>
        </is>
      </c>
      <c r="B4" s="19">
        <f>'02_Трафик_охват'!C14</f>
        <v/>
      </c>
      <c r="C4" s="13" t="inlineStr">
        <is>
          <t>посещений</t>
        </is>
      </c>
      <c r="D4" s="13" t="inlineStr">
        <is>
          <t>База для расчета воронки</t>
        </is>
      </c>
      <c r="E4" s="1" t="n"/>
      <c r="F4" s="1" t="n"/>
      <c r="G4" s="1" t="n"/>
      <c r="H4" s="1" t="n"/>
      <c r="I4" s="1" t="n"/>
      <c r="J4" s="1" t="n"/>
    </row>
    <row r="5">
      <c r="A5" s="13" t="inlineStr">
        <is>
          <t>Релевантные посещения в год</t>
        </is>
      </c>
      <c r="B5" s="19">
        <f>'02_Трафик_охват'!C15</f>
        <v/>
      </c>
      <c r="C5" s="13" t="inlineStr">
        <is>
          <t>посещений</t>
        </is>
      </c>
      <c r="D5" s="13" t="inlineStr">
        <is>
          <t>Годовая база трафика</t>
        </is>
      </c>
      <c r="E5" s="1" t="n"/>
      <c r="F5" s="1" t="n"/>
      <c r="G5" s="1" t="n"/>
      <c r="H5" s="1" t="n"/>
      <c r="I5" s="1" t="n"/>
      <c r="J5" s="1" t="n"/>
    </row>
    <row r="6">
      <c r="A6" s="13" t="inlineStr">
        <is>
          <t>Оценка полного трафика сегмента по Similarweb</t>
        </is>
      </c>
      <c r="B6" s="19">
        <f>'03_Конкуренты_SW'!C12</f>
        <v/>
      </c>
      <c r="C6" s="13" t="inlineStr">
        <is>
          <t>посещений/мес</t>
        </is>
      </c>
      <c r="D6" s="13" t="inlineStr">
        <is>
          <t>Оценка через конкурентов и коэффициент покрытия</t>
        </is>
      </c>
      <c r="E6" s="1" t="n"/>
      <c r="F6" s="1" t="n"/>
      <c r="G6" s="1" t="n"/>
      <c r="H6" s="1" t="n"/>
      <c r="I6" s="1" t="n"/>
      <c r="J6" s="1" t="n"/>
    </row>
    <row r="7">
      <c r="A7" s="13" t="inlineStr">
        <is>
          <t>Годовая выручка — осторожный сценарий</t>
        </is>
      </c>
      <c r="B7" s="19">
        <f>'05_Сценарии'!C9</f>
        <v/>
      </c>
      <c r="C7" s="13" t="inlineStr">
        <is>
          <t>BYN/год</t>
        </is>
      </c>
      <c r="D7" s="13" t="inlineStr">
        <is>
          <t>Нижняя граница</t>
        </is>
      </c>
      <c r="E7" s="1" t="n"/>
      <c r="F7" s="1" t="n"/>
      <c r="G7" s="1" t="n"/>
      <c r="H7" s="1" t="n"/>
      <c r="I7" s="1" t="n"/>
      <c r="J7" s="1" t="n"/>
    </row>
    <row r="8">
      <c r="A8" s="13" t="inlineStr">
        <is>
          <t>Годовая выручка — базовый сценарий</t>
        </is>
      </c>
      <c r="B8" s="19">
        <f>'05_Сценарии'!C10</f>
        <v/>
      </c>
      <c r="C8" s="13" t="inlineStr">
        <is>
          <t>BYN/год</t>
        </is>
      </c>
      <c r="D8" s="13" t="inlineStr">
        <is>
          <t>Основной ориентир</t>
        </is>
      </c>
      <c r="E8" s="1" t="n"/>
      <c r="F8" s="1" t="n"/>
      <c r="G8" s="1" t="n"/>
      <c r="H8" s="1" t="n"/>
      <c r="I8" s="1" t="n"/>
      <c r="J8" s="1" t="n"/>
    </row>
    <row r="9">
      <c r="A9" s="13" t="inlineStr">
        <is>
          <t>Годовая выручка — оптимистичный сценарий</t>
        </is>
      </c>
      <c r="B9" s="19">
        <f>'05_Сценарии'!C11</f>
        <v/>
      </c>
      <c r="C9" s="13" t="inlineStr">
        <is>
          <t>BYN/год</t>
        </is>
      </c>
      <c r="D9" s="13" t="inlineStr">
        <is>
          <t>Верхняя граница</t>
        </is>
      </c>
      <c r="E9" s="1" t="n"/>
      <c r="F9" s="1" t="n"/>
      <c r="G9" s="1" t="n"/>
      <c r="H9" s="1" t="n"/>
      <c r="I9" s="1" t="n"/>
      <c r="J9" s="1" t="n"/>
    </row>
    <row r="10">
      <c r="A10" s="13" t="inlineStr">
        <is>
          <t>Годовая выручка с учетом повторов — базовый сценарий</t>
        </is>
      </c>
      <c r="B10" s="19">
        <f>'06_Повторы_LTV'!C10</f>
        <v/>
      </c>
      <c r="C10" s="13" t="inlineStr">
        <is>
          <t>BYN/год</t>
        </is>
      </c>
      <c r="D10" s="13" t="inlineStr">
        <is>
          <t>Учитывает повторные покупки</t>
        </is>
      </c>
      <c r="E10" s="1" t="n"/>
      <c r="F10" s="1" t="n"/>
      <c r="G10" s="1" t="n"/>
      <c r="H10" s="1" t="n"/>
      <c r="I10" s="1" t="n"/>
      <c r="J10" s="1" t="n"/>
    </row>
    <row r="11">
      <c r="A11" s="13" t="inlineStr">
        <is>
          <t>GMV платформы — базовый сценарий</t>
        </is>
      </c>
      <c r="B11" s="19">
        <f>'07_Платформа_GMV'!C6*12</f>
        <v/>
      </c>
      <c r="C11" s="13" t="inlineStr">
        <is>
          <t>BYN/год</t>
        </is>
      </c>
      <c r="D11" s="13" t="inlineStr">
        <is>
          <t>Использовать только для платформенной модели</t>
        </is>
      </c>
      <c r="E11" s="1" t="n"/>
      <c r="F11" s="1" t="n"/>
      <c r="G11" s="1" t="n"/>
      <c r="H11" s="1" t="n"/>
      <c r="I11" s="1" t="n"/>
      <c r="J11" s="1" t="n"/>
    </row>
    <row r="12">
      <c r="A12" s="13" t="inlineStr">
        <is>
          <t>Комиссионная выручка платформы — базовый сценарий</t>
        </is>
      </c>
      <c r="B12" s="19">
        <f>'07_Платформа_GMV'!C9</f>
        <v/>
      </c>
      <c r="C12" s="13" t="inlineStr">
        <is>
          <t>BYN/год</t>
        </is>
      </c>
      <c r="D12" s="13" t="inlineStr">
        <is>
          <t>Собственная выручка платформы, если применимо</t>
        </is>
      </c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30" customHeight="1">
      <c r="A14" s="2" t="inlineStr">
        <is>
          <t>Итоговый вывод для отчета</t>
        </is>
      </c>
      <c r="B14" s="2" t="n"/>
      <c r="C14" s="2" t="n"/>
      <c r="D14" s="2" t="n"/>
      <c r="E14" s="2" t="n"/>
      <c r="F14" s="2" t="n"/>
      <c r="G14" s="2" t="n"/>
      <c r="H14" s="2" t="n"/>
      <c r="I14" s="1" t="n"/>
      <c r="J14" s="1" t="n"/>
    </row>
    <row r="15">
      <c r="A15" s="24" t="inlineStr">
        <is>
      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—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</t>
        </is>
      </c>
      <c r="I15" s="1" t="n"/>
      <c r="J15" s="1" t="n"/>
    </row>
    <row r="16"/>
    <row r="17"/>
    <row r="18"/>
    <row r="19"/>
  </sheetData>
  <mergeCells count="2">
    <mergeCell ref="A15:H19"/>
    <mergeCell ref="A1:H1"/>
  </mergeCells>
  <conditionalFormatting sqref="B7:B9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16" sqref="B16"/>
    </sheetView>
  </sheetViews>
  <sheetFormatPr baseColWidth="8" defaultRowHeight="14.25"/>
  <cols>
    <col width="24" customWidth="1" min="1" max="1"/>
    <col width="49.25" customWidth="1" min="2" max="2"/>
    <col width="68.625" customWidth="1" min="3" max="3"/>
    <col width="20" customWidth="1" min="4" max="5"/>
    <col width="61" customWidth="1" min="6" max="6"/>
    <col width="24" customWidth="1" min="7" max="7"/>
    <col width="28" customWidth="1" min="8" max="10"/>
  </cols>
  <sheetData>
    <row r="1" ht="18" customHeight="1">
      <c r="A1" s="11" t="inlineStr">
        <is>
          <t>09. Источники данных и журнал фиксации</t>
        </is>
      </c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5" customHeight="1">
      <c r="A3" s="2" t="inlineStr">
        <is>
          <t>Источник</t>
        </is>
      </c>
      <c r="B3" s="2" t="inlineStr">
        <is>
          <t>Что брать</t>
        </is>
      </c>
      <c r="C3" s="2" t="inlineStr">
        <is>
          <t>Ссылка / место хранения</t>
        </is>
      </c>
      <c r="D3" s="2" t="inlineStr">
        <is>
          <t>Дата обращения</t>
        </is>
      </c>
      <c r="E3" s="2" t="inlineStr">
        <is>
          <t>Качество</t>
        </is>
      </c>
      <c r="F3" s="2" t="inlineStr">
        <is>
          <t>Комментарий</t>
        </is>
      </c>
      <c r="G3" s="1" t="n"/>
      <c r="H3" s="1" t="n"/>
      <c r="I3" s="1" t="n"/>
      <c r="J3" s="1" t="n"/>
    </row>
    <row r="4" ht="28.5" customHeight="1">
      <c r="A4" s="13" t="inlineStr">
        <is>
          <t>Google Analytics</t>
        </is>
      </c>
      <c r="B4" s="13" t="inlineStr">
        <is>
          <t>трафик, источники, конверсии, события</t>
        </is>
      </c>
      <c r="C4" s="13" t="inlineStr">
        <is>
          <t>собственного сайта нет (MVP не запущен)</t>
        </is>
      </c>
      <c r="D4" s="27" t="inlineStr">
        <is>
          <t>29.09.2026</t>
        </is>
      </c>
      <c r="E4" s="13" t="inlineStr">
        <is>
          <t>высокое</t>
        </is>
      </c>
      <c r="F4" s="13" t="inlineStr">
        <is>
          <t>Использовать для собственного сайта</t>
        </is>
      </c>
      <c r="G4" s="1" t="n"/>
      <c r="H4" s="1" t="n"/>
      <c r="I4" s="1" t="n"/>
      <c r="J4" s="1" t="n"/>
    </row>
    <row r="5">
      <c r="A5" s="13" t="inlineStr">
        <is>
          <t>Google Ads</t>
        </is>
      </c>
      <c r="B5" s="13" t="inlineStr">
        <is>
          <t>показы, клики, стоимость, конверсии</t>
        </is>
      </c>
      <c r="C5" s="13" t="inlineStr"/>
      <c r="D5" s="27" t="inlineStr">
        <is>
          <t>29.09.2026</t>
        </is>
      </c>
      <c r="E5" s="13" t="inlineStr">
        <is>
          <t>высокое</t>
        </is>
      </c>
      <c r="F5" s="13" t="inlineStr">
        <is>
          <t>Использовать для рекламной воронки</t>
        </is>
      </c>
      <c r="G5" s="1" t="n"/>
      <c r="H5" s="1" t="n"/>
      <c r="I5" s="1" t="n"/>
      <c r="J5" s="1" t="n"/>
    </row>
    <row r="6" ht="28.5" customHeight="1">
      <c r="A6" s="13" t="inlineStr">
        <is>
          <t>Яндекс Вордстат</t>
        </is>
      </c>
      <c r="B6" s="13" t="inlineStr">
        <is>
          <t>частотность запросов, регионы, динамика</t>
        </is>
      </c>
      <c r="C6" s="13" t="inlineStr">
        <is>
          <t>https://yandex.ru/support2/wordstat/ru/</t>
        </is>
      </c>
      <c r="D6" s="27" t="inlineStr">
        <is>
          <t>29.09.2026</t>
        </is>
      </c>
      <c r="E6" s="13" t="inlineStr">
        <is>
          <t>среднее</t>
        </is>
      </c>
      <c r="F6" s="13" t="inlineStr">
        <is>
          <t>Отражает аудиторию Яндекса</t>
        </is>
      </c>
      <c r="G6" s="1" t="n"/>
      <c r="H6" s="1" t="n"/>
      <c r="I6" s="1" t="n"/>
      <c r="J6" s="1" t="n"/>
    </row>
    <row r="7">
      <c r="A7" s="13" t="inlineStr">
        <is>
          <t>Google Trends</t>
        </is>
      </c>
      <c r="B7" s="13" t="inlineStr">
        <is>
          <t>относительная динамика интереса</t>
        </is>
      </c>
      <c r="C7" s="13" t="inlineStr">
        <is>
          <t>https://support.google.com/trends/answer/4365533</t>
        </is>
      </c>
      <c r="D7" s="27" t="inlineStr">
        <is>
          <t>29.09.2026</t>
        </is>
      </c>
      <c r="E7" s="13" t="inlineStr">
        <is>
          <t>среднее</t>
        </is>
      </c>
      <c r="F7" s="13" t="inlineStr">
        <is>
          <t>Индекс 0–100, не абсолютное число запросов</t>
        </is>
      </c>
      <c r="G7" s="1" t="n"/>
      <c r="H7" s="1" t="n"/>
      <c r="I7" s="1" t="n"/>
      <c r="J7" s="1" t="n"/>
    </row>
    <row r="8" ht="42.75" customHeight="1">
      <c r="A8" s="13" t="inlineStr">
        <is>
          <t>Similarweb</t>
        </is>
      </c>
      <c r="B8" s="13" t="inlineStr">
        <is>
          <t>посещаемость конкурентов, каналы, география</t>
        </is>
      </c>
      <c r="C8" s="13" t="inlineStr">
        <is>
          <t>https://www.similarweb.com/website/plantuml.com/ (замер 30.09.2026); остальные домены — отчёт ЛР1 и предварительный замер 17–23.09.2026</t>
        </is>
      </c>
      <c r="D8" s="27" t="inlineStr">
        <is>
          <t>29.09.2026</t>
        </is>
      </c>
      <c r="E8" s="13" t="inlineStr">
        <is>
          <t>среднее</t>
        </is>
      </c>
      <c r="F8" s="13" t="inlineStr">
        <is>
          <t>Оценочные данные, особенно осторожно для малых сайтов</t>
        </is>
      </c>
      <c r="G8" s="1" t="n"/>
      <c r="H8" s="1" t="n"/>
      <c r="I8" s="1" t="n"/>
      <c r="J8" s="1" t="n"/>
    </row>
    <row r="9" ht="28.5" customHeight="1">
      <c r="A9" s="13" t="inlineStr">
        <is>
          <t>Рекламные кабинеты социальных сетей</t>
        </is>
      </c>
      <c r="B9" s="13" t="inlineStr">
        <is>
          <t>оценка охвата, клики, заявки</t>
        </is>
      </c>
      <c r="C9" s="14" t="inlineStr"/>
      <c r="D9" s="26" t="inlineStr">
        <is>
          <t>29.09.2026</t>
        </is>
      </c>
      <c r="E9" s="13" t="inlineStr">
        <is>
          <t>среднее</t>
        </is>
      </c>
      <c r="F9" s="13" t="inlineStr">
        <is>
          <t>Фиксировать настройки аудитории</t>
        </is>
      </c>
      <c r="G9" s="1" t="n"/>
      <c r="H9" s="1" t="n"/>
      <c r="I9" s="1" t="n"/>
      <c r="J9" s="1" t="n"/>
    </row>
    <row r="10" ht="28.5" customHeight="1">
      <c r="A10" s="13" t="inlineStr">
        <is>
          <t>Сайты конкурентов</t>
        </is>
      </c>
      <c r="B10" s="13" t="inlineStr">
        <is>
          <t>цены, услуги, офферы, формы заявки</t>
        </is>
      </c>
      <c r="C10" s="14" t="inlineStr">
        <is>
          <t>Страницы тарифов конкурентов (30.09.2026); курс НБРБ https://api.nbrb.by/exrates/rates/431</t>
        </is>
      </c>
      <c r="D10" s="26" t="inlineStr">
        <is>
          <t>29.09.2026</t>
        </is>
      </c>
      <c r="E10" s="13" t="inlineStr">
        <is>
          <t>среднее</t>
        </is>
      </c>
      <c r="F10" s="13" t="inlineStr">
        <is>
          <t>Использовать для среднего чека и структуры предложения</t>
        </is>
      </c>
      <c r="G10" s="1" t="n"/>
      <c r="H10" s="1" t="n"/>
      <c r="I10" s="1" t="n"/>
      <c r="J10" s="1" t="n"/>
    </row>
  </sheetData>
  <mergeCells count="1">
    <mergeCell ref="A1:F1"/>
  </mergeCells>
  <dataValidations count="1">
    <dataValidation sqref="E4:E10" showDropDown="0" showInputMessage="0" showErrorMessage="0" allowBlank="0" type="list">
      <formula1>"низкое,среднее,высокое"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2026-10-04T14:13:43Z</dcterms:created>
  <dcterms:modified xmlns:dcterms="http://purl.org/dc/terms/" xmlns:xsi="http://www.w3.org/2001/XMLSchema-instance" xsi:type="dcterms:W3CDTF">2026-10-04T15:48:01Z</dcterms:modified>
  <cp:lastModifiedBy>Aliaksandr Khajynau</cp:lastModifiedBy>
</cp:coreProperties>
</file>