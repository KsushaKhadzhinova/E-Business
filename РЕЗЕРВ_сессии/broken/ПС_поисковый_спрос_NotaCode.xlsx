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9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Семантика" sheetId="3" state="visible" r:id="rId3"/>
    <sheet xmlns:r="http://schemas.openxmlformats.org/officeDocument/2006/relationships" name="03_Google_Trends" sheetId="4" state="visible" r:id="rId4"/>
    <sheet xmlns:r="http://schemas.openxmlformats.org/officeDocument/2006/relationships" name="04_Wordstat" sheetId="5" state="visible" r:id="rId5"/>
    <sheet xmlns:r="http://schemas.openxmlformats.org/officeDocument/2006/relationships" name="05_Нормализация" sheetId="6" state="visible" r:id="rId6"/>
    <sheet xmlns:r="http://schemas.openxmlformats.org/officeDocument/2006/relationships" name="06_Воронка" sheetId="7" state="visible" r:id="rId7"/>
    <sheet xmlns:r="http://schemas.openxmlformats.org/officeDocument/2006/relationships" name="07_Сценарии" sheetId="8" state="visible" r:id="rId8"/>
    <sheet xmlns:r="http://schemas.openxmlformats.org/officeDocument/2006/relationships" name="08_Дашборд" sheetId="9" state="visible" r:id="rId9"/>
    <sheet xmlns:r="http://schemas.openxmlformats.org/officeDocument/2006/relationships" name="09_Источники" sheetId="10" state="visible" r:id="rId10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#\ ##0"/>
    <numFmt numFmtId="165" formatCode="yyyy\-mm"/>
    <numFmt numFmtId="166" formatCode="0.0"/>
    <numFmt numFmtId="167" formatCode="yyyy\-mm\-dd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color rgb="FF000000"/>
      <sz val="11"/>
    </font>
    <font>
      <name val="Carlito"/>
      <b val="1"/>
      <color rgb="FFFFFFFF"/>
      <sz val="11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1">
      <alignment wrapText="1"/>
    </xf>
    <xf numFmtId="0" fontId="3" fillId="4" borderId="0" applyAlignment="1" pivotButton="0" quotePrefix="0" xfId="1">
      <alignment horizontal="center" vertical="center" wrapText="1"/>
    </xf>
    <xf numFmtId="10" fontId="0" fillId="5" borderId="0" pivotButton="0" quotePrefix="0" xfId="1"/>
    <xf numFmtId="164" fontId="0" fillId="5" borderId="0" pivotButton="0" quotePrefix="0" xfId="1"/>
    <xf numFmtId="164" fontId="0" fillId="0" borderId="0" pivotButton="0" quotePrefix="0" xfId="1"/>
    <xf numFmtId="164" fontId="0" fillId="5" borderId="0" applyAlignment="1" pivotButton="0" quotePrefix="0" xfId="1">
      <alignment wrapText="1"/>
    </xf>
    <xf numFmtId="2" fontId="0" fillId="5" borderId="0" applyAlignment="1" pivotButton="0" quotePrefix="0" xfId="1">
      <alignment wrapText="1"/>
    </xf>
    <xf numFmtId="2" fontId="0" fillId="6" borderId="0" applyAlignment="1" pivotButton="0" quotePrefix="0" xfId="1">
      <alignment wrapText="1"/>
    </xf>
    <xf numFmtId="165" fontId="0" fillId="0" borderId="0" pivotButton="0" quotePrefix="0" xfId="1"/>
    <xf numFmtId="166" fontId="0" fillId="0" borderId="0" pivotButton="0" quotePrefix="0" xfId="1"/>
    <xf numFmtId="166" fontId="0" fillId="5" borderId="0" pivotButton="0" quotePrefix="0" xfId="1"/>
    <xf numFmtId="166" fontId="0" fillId="6" borderId="0" pivotButton="0" quotePrefix="0" xfId="1"/>
    <xf numFmtId="164" fontId="0" fillId="6" borderId="0" pivotButton="0" quotePrefix="0" xfId="1"/>
    <xf numFmtId="166" fontId="0" fillId="6" borderId="0" applyAlignment="1" pivotButton="0" quotePrefix="0" xfId="1">
      <alignment wrapText="1"/>
    </xf>
    <xf numFmtId="164" fontId="0" fillId="6" borderId="0" applyAlignment="1" pivotButton="0" quotePrefix="0" xfId="1">
      <alignment wrapText="1"/>
    </xf>
    <xf numFmtId="0" fontId="0" fillId="6" borderId="0" applyAlignment="1" pivotButton="0" quotePrefix="0" xfId="1">
      <alignment wrapText="1"/>
    </xf>
    <xf numFmtId="0" fontId="1" fillId="2" borderId="0" applyAlignment="1" pivotButton="0" quotePrefix="0" xfId="1">
      <alignment horizontal="left" vertical="center"/>
    </xf>
    <xf numFmtId="0" fontId="0" fillId="0" borderId="0" pivotButton="0" quotePrefix="0" xfId="0"/>
    <xf numFmtId="0" fontId="2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1">
      <alignment horizontal="center" vertical="center"/>
    </xf>
    <xf numFmtId="0" fontId="0" fillId="0" borderId="0" applyAlignment="1" pivotButton="0" quotePrefix="0" xfId="1">
      <alignment vertical="center"/>
    </xf>
    <xf numFmtId="0" fontId="0" fillId="5" borderId="0" applyAlignment="1" pivotButton="0" quotePrefix="0" xfId="1">
      <alignment vertical="center"/>
    </xf>
    <xf numFmtId="164" fontId="0" fillId="5" borderId="0" applyAlignment="1" pivotButton="0" quotePrefix="0" xfId="1">
      <alignment vertical="center"/>
    </xf>
    <xf numFmtId="10" fontId="0" fillId="5" borderId="0" applyAlignment="1" pivotButton="0" quotePrefix="0" xfId="1">
      <alignment vertical="center"/>
    </xf>
    <xf numFmtId="164" fontId="0" fillId="5" borderId="0" applyAlignment="1" pivotButton="0" quotePrefix="0" xfId="1">
      <alignment vertical="center" wrapText="1"/>
    </xf>
    <xf numFmtId="10" fontId="0" fillId="5" borderId="0" applyAlignment="1" pivotButton="0" quotePrefix="0" xfId="1">
      <alignment vertical="center" wrapText="1"/>
    </xf>
    <xf numFmtId="164" fontId="0" fillId="6" borderId="0" applyAlignment="1" pivotButton="0" quotePrefix="0" xfId="1">
      <alignment vertical="center" wrapText="1"/>
    </xf>
    <xf numFmtId="166" fontId="0" fillId="6" borderId="0" applyAlignment="1" pivotButton="0" quotePrefix="0" xfId="1">
      <alignment vertical="center" wrapText="1"/>
    </xf>
    <xf numFmtId="167" fontId="0" fillId="0" borderId="0" applyAlignment="1" pivotButton="0" quotePrefix="0" xfId="1">
      <alignment vertical="center" wrapText="1"/>
    </xf>
    <xf numFmtId="22" fontId="0" fillId="0" borderId="0" applyAlignment="1" pivotButton="0" quotePrefix="0" xfId="0">
      <alignment vertical="center" wrapText="1"/>
    </xf>
    <xf numFmtId="2" fontId="0" fillId="5" borderId="0" applyAlignment="1" pivotButton="0" quotePrefix="0" xfId="1">
      <alignment vertical="center"/>
    </xf>
    <xf numFmtId="49" fontId="0" fillId="0" borderId="0" pivotButton="0" quotePrefix="0" xfId="1"/>
    <xf numFmtId="49" fontId="0" fillId="0" borderId="0" applyAlignment="1" pivotButton="0" quotePrefix="0" xfId="1">
      <alignment vertical="center" wrapText="1"/>
    </xf>
    <xf numFmtId="49" fontId="0" fillId="0" borderId="0" applyAlignment="1" pivotButton="0" quotePrefix="0" xfId="0">
      <alignment vertical="center" wrapText="1"/>
    </xf>
  </cellXfs>
  <cellStyles count="2">
    <cellStyle name="Обычный" xfId="0" builtinId="0"/>
    <cellStyle name="Normal" xfId="1"/>
  </cellStyles>
  <dxfs count="12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 спроса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'05_Нормализация'!$A$4:$A$15</f>
              <numCache>
                <formatCode>yyyy\-mm</formatCode>
                <ptCount val="12"/>
                <pt idx="0">
                  <v>45900.875</v>
                </pt>
                <pt idx="1">
                  <v>45930.875</v>
                </pt>
                <pt idx="2">
                  <v>45961.875</v>
                </pt>
                <pt idx="3">
                  <v>45991.875</v>
                </pt>
                <pt idx="4">
                  <v>46022.875</v>
                </pt>
                <pt idx="5">
                  <v>46053.875</v>
                </pt>
                <pt idx="6">
                  <v>46081.875</v>
                </pt>
                <pt idx="7">
                  <v>46112.875</v>
                </pt>
                <pt idx="8">
                  <v>46142.875</v>
                </pt>
                <pt idx="9">
                  <v>46173.875</v>
                </pt>
                <pt idx="10">
                  <v>46203.875</v>
                </pt>
                <pt idx="11">
                  <v>46234.875</v>
                </pt>
              </numCache>
            </numRef>
          </cat>
          <val>
            <numRef>
              <f>'05_Нормализация'!$F$4:$F$15</f>
              <numCache>
                <formatCode>0.0</formatCode>
                <ptCount val="12"/>
                <pt idx="0">
                  <v>39.93129115373604</v>
                </pt>
                <pt idx="1">
                  <v>76.82820068061137</v>
                </pt>
                <pt idx="2">
                  <v>62.46476663734709</v>
                </pt>
                <pt idx="3">
                  <v>100</v>
                </pt>
                <pt idx="4">
                  <v>29.46985114378725</v>
                </pt>
                <pt idx="5">
                  <v>53.34392119727496</v>
                </pt>
                <pt idx="6">
                  <v>51.46136617125654</v>
                </pt>
                <pt idx="7">
                  <v>71.73934164385656</v>
                </pt>
                <pt idx="8">
                  <v>49.76810764385915</v>
                </pt>
                <pt idx="9">
                  <v>29.9456054967077</v>
                </pt>
                <pt idx="10">
                  <v>13.37532207271686</v>
                </pt>
                <pt idx="11">
                  <v>11.15946178070426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685799</colOff>
      <row>2</row>
      <rowOff>0</rowOff>
    </from>
    <to>
      <col>23</col>
      <colOff>333375</colOff>
      <row>31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emanticCore" displayName="SemanticCore" ref="A3:J13" headerRowCount="1">
  <tableColumns count="10">
    <tableColumn id="1" name="№"/>
    <tableColumn id="2" name="Запрос"/>
    <tableColumn id="3" name="Группа"/>
    <tableColumn id="4" name="Намерение"/>
    <tableColumn id="5" name="Регион"/>
    <tableColumn id="6" name="Частотность Wordstat / мес."/>
    <tableColumn id="7" name="Индекс Google Trends"/>
    <tableColumn id="8" name="Вес релевантности"/>
    <tableColumn id="9" name="Коммерческая близость"/>
    <tableColumn id="10" name="Взвешенный спро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oogleTrends" displayName="GoogleTrends" ref="A3:G15" headerRowCount="1">
  <tableColumns count="7">
    <tableColumn id="1" name="Месяц"/>
    <tableColumn id="2" name="UML"/>
    <tableColumn id="3" name="BPMN"/>
    <tableColumn id="4" name="PlantUML"/>
    <tableColumn id="5" name="IDEF0"/>
    <tableColumn id="6" name="Средний индекс GT"/>
    <tableColumn id="7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dstat" displayName="Wordstat" ref="A3:H15" headerRowCount="1">
  <tableColumns count="8">
    <tableColumn id="1" name="Месяц"/>
    <tableColumn id="2" name="Коммерческие запросы"/>
    <tableColumn id="3" name="Проблемные запросы"/>
    <tableColumn id="4" name="Инструментальные запросы"/>
    <tableColumn id="5" name="Локальные запросы"/>
    <tableColumn id="6" name="Суммарная частотность"/>
    <tableColumn id="7" name="Коммерческий коэффициент"/>
    <tableColumn id="8" name="Взвешенная частотнос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ormalizedDemand" displayName="NormalizedDemand" ref="A3:H15" headerRowCount="1">
  <tableColumns count="8">
    <tableColumn id="1" name="Месяц"/>
    <tableColumn id="2" name="Средний индекс GT"/>
    <tableColumn id="3" name="Нормированный GT"/>
    <tableColumn id="4" name="Взвешенная частотность WS"/>
    <tableColumn id="5" name="Нормированный WS"/>
    <tableColumn id="6" name="Сводный индекс спроса"/>
    <tableColumn id="7" name="Оценка уровня"/>
    <tableColumn id="8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nnel" displayName="Funnel" ref="A3:E14" headerRowCount="1" dataDxfId="6">
  <tableColumns count="5">
    <tableColumn id="1" name="Показатель" dataDxfId="11"/>
    <tableColumn id="2" name="Осторожный" dataDxfId="10"/>
    <tableColumn id="3" name="Базовый" dataDxfId="9"/>
    <tableColumn id="4" name="Оптимистичный" dataDxfId="8"/>
    <tableColumn id="5" name="Комментарий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enarios" displayName="Scenarios" ref="A3:H6" headerRowCount="1">
  <tableColumns count="8">
    <tableColumn id="1" name="Сценарий"/>
    <tableColumn id="2" name="Переходы / мес."/>
    <tableColumn id="3" name="Заявки / мес."/>
    <tableColumn id="4" name="Продажи / мес."/>
    <tableColumn id="5" name="Средний чек"/>
    <tableColumn id="6" name="Выручка / мес."/>
    <tableColumn id="7" name="Выручка / год"/>
    <tableColumn id="8" name="Интерпретация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" displayName="Sources" ref="A3:E12" headerRowCount="1" dataDxfId="0">
  <tableColumns count="5">
    <tableColumn id="1" name="Источник" dataDxfId="5"/>
    <tableColumn id="2" name="Что брать" dataDxfId="4"/>
    <tableColumn id="3" name="Период / регион" dataDxfId="3"/>
    <tableColumn id="4" name="Дата фиксации" dataDxfId="2"/>
    <tableColumn id="5" name="Ссылка / примечание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25" sqref="B25"/>
    </sheetView>
  </sheetViews>
  <sheetFormatPr baseColWidth="8" defaultRowHeight="14.25"/>
  <cols>
    <col width="36.25" customWidth="1" style="18" min="1" max="1"/>
    <col width="155.625" customWidth="1" style="18" min="2" max="2"/>
    <col width="24" customWidth="1" style="18" min="3" max="3"/>
  </cols>
  <sheetData>
    <row r="1" ht="18" customHeight="1" s="18">
      <c r="A1" s="17" t="inlineStr">
        <is>
          <t>Excel-шаблон: оценка объема рынка через поисковый спрос</t>
        </is>
      </c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</row>
    <row r="3" ht="15" customHeight="1" s="18">
      <c r="A3" s="25" t="inlineStr">
        <is>
          <t>Назначение</t>
        </is>
      </c>
      <c r="B3" s="26" t="inlineStr">
        <is>
          <t>Шаблон переводит поисковый спрос в оценку потенциальных переходов, заявок, продаж и денежного объема рынка</t>
        </is>
      </c>
      <c r="C3" s="24" t="n"/>
      <c r="D3" s="24" t="n"/>
      <c r="E3" s="24" t="n"/>
      <c r="F3" s="24" t="n"/>
      <c r="G3" s="24" t="n"/>
      <c r="H3" s="24" t="n"/>
    </row>
    <row r="4" ht="15" customHeight="1" s="18">
      <c r="A4" s="25" t="inlineStr">
        <is>
          <t>Логика</t>
        </is>
      </c>
      <c r="B4" s="26" t="inlineStr">
        <is>
          <t>Семантическое ядро → частотность и индекс интереса → нормализация → цифровая воронка → сценарный диапазон рынка</t>
        </is>
      </c>
      <c r="C4" s="24" t="n"/>
      <c r="D4" s="24" t="n"/>
      <c r="E4" s="24" t="n"/>
      <c r="F4" s="24" t="n"/>
      <c r="G4" s="24" t="n"/>
      <c r="H4" s="24" t="n"/>
    </row>
    <row r="5" ht="15" customHeight="1" s="18">
      <c r="A5" s="25" t="inlineStr">
        <is>
          <t>Ключевое ограничение</t>
        </is>
      </c>
      <c r="B5" s="26" t="inlineStr">
        <is>
          <t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</t>
        </is>
      </c>
      <c r="C5" s="24" t="n"/>
      <c r="D5" s="24" t="n"/>
      <c r="E5" s="24" t="n"/>
      <c r="F5" s="24" t="n"/>
      <c r="G5" s="24" t="n"/>
      <c r="H5" s="24" t="n"/>
    </row>
    <row r="6" ht="15" customHeight="1" s="18">
      <c r="A6" s="25" t="inlineStr">
        <is>
          <t>Источники данных</t>
        </is>
      </c>
      <c r="B6" s="26" t="inlineStr">
        <is>
          <t>Google Trends, Яндекс Вордстат, рекламные кабинеты, данные сайта, CRM, экспертные оценки среднего чека и конверсий</t>
        </is>
      </c>
      <c r="C6" s="24" t="n"/>
      <c r="D6" s="24" t="n"/>
      <c r="E6" s="24" t="n"/>
      <c r="F6" s="24" t="n"/>
      <c r="G6" s="24" t="n"/>
      <c r="H6" s="24" t="n"/>
    </row>
    <row r="7" ht="15" customHeight="1" s="18">
      <c r="A7" s="25" t="inlineStr">
        <is>
          <t>Как работать</t>
        </is>
      </c>
      <c r="B7" s="26" t="inlineStr">
        <is>
          <t>Заполните листы 01–04, проверьте расчет на листах 05–07 и используйте лист 08 для итогового вывода</t>
        </is>
      </c>
      <c r="C7" s="24" t="n"/>
      <c r="D7" s="24" t="n"/>
      <c r="E7" s="24" t="n"/>
      <c r="F7" s="24" t="n"/>
      <c r="G7" s="24" t="n"/>
      <c r="H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</row>
    <row r="9">
      <c r="A9" s="19" t="inlineStr">
        <is>
          <t>Порядок заполнения</t>
        </is>
      </c>
    </row>
    <row r="10" ht="15" customHeight="1" s="18">
      <c r="A10" s="2" t="inlineStr">
        <is>
          <t>№</t>
        </is>
      </c>
      <c r="B10" s="2" t="inlineStr">
        <is>
          <t>Действие</t>
        </is>
      </c>
      <c r="C10" s="2" t="inlineStr">
        <is>
          <t>Лист</t>
        </is>
      </c>
      <c r="D10" s="24" t="n"/>
      <c r="E10" s="24" t="n"/>
      <c r="F10" s="24" t="n"/>
      <c r="G10" s="24" t="n"/>
      <c r="H10" s="24" t="n"/>
    </row>
    <row r="11">
      <c r="A11" s="24" t="n">
        <v>1</v>
      </c>
      <c r="B11" s="24" t="inlineStr">
        <is>
          <t>Заполнить параметры рынка и конверсий</t>
        </is>
      </c>
      <c r="C11" s="24" t="inlineStr">
        <is>
          <t>01_Параметры</t>
        </is>
      </c>
      <c r="D11" s="24" t="n"/>
      <c r="E11" s="24" t="n"/>
      <c r="F11" s="24" t="n"/>
      <c r="G11" s="24" t="n"/>
      <c r="H11" s="24" t="n"/>
    </row>
    <row r="12">
      <c r="A12" s="24" t="n">
        <v>2</v>
      </c>
      <c r="B12" s="24" t="inlineStr">
        <is>
          <t>Внести запросы, группы и намерения аудитории</t>
        </is>
      </c>
      <c r="C12" s="24" t="inlineStr">
        <is>
          <t>02_Семантика</t>
        </is>
      </c>
      <c r="D12" s="24" t="n"/>
      <c r="E12" s="24" t="n"/>
      <c r="F12" s="24" t="n"/>
      <c r="G12" s="24" t="n"/>
      <c r="H12" s="24" t="n"/>
    </row>
    <row r="13">
      <c r="A13" s="24" t="n">
        <v>3</v>
      </c>
      <c r="B13" s="24" t="inlineStr">
        <is>
          <t>Внести выгрузку Google Trends по месяцам</t>
        </is>
      </c>
      <c r="C13" s="24" t="inlineStr">
        <is>
          <t>03_Google_Trends</t>
        </is>
      </c>
      <c r="D13" s="24" t="n"/>
      <c r="E13" s="24" t="n"/>
      <c r="F13" s="24" t="n"/>
      <c r="G13" s="24" t="n"/>
      <c r="H13" s="24" t="n"/>
    </row>
    <row r="14">
      <c r="A14" s="24" t="n">
        <v>4</v>
      </c>
      <c r="B14" s="24" t="inlineStr">
        <is>
          <t>Внести данные Яндекс Вордстат по частотности</t>
        </is>
      </c>
      <c r="C14" s="24" t="inlineStr">
        <is>
          <t>04_Wordstat</t>
        </is>
      </c>
      <c r="D14" s="24" t="n"/>
      <c r="E14" s="24" t="n"/>
      <c r="F14" s="24" t="n"/>
      <c r="G14" s="24" t="n"/>
      <c r="H14" s="24" t="n"/>
    </row>
    <row r="15">
      <c r="A15" s="24" t="n">
        <v>5</v>
      </c>
      <c r="B15" s="24" t="inlineStr">
        <is>
          <t>Проверить нормализацию и сводный индекс</t>
        </is>
      </c>
      <c r="C15" s="24" t="inlineStr">
        <is>
          <t>05_Нормализация</t>
        </is>
      </c>
      <c r="D15" s="24" t="n"/>
      <c r="E15" s="24" t="n"/>
      <c r="F15" s="24" t="n"/>
      <c r="G15" s="24" t="n"/>
      <c r="H15" s="24" t="n"/>
    </row>
    <row r="16">
      <c r="A16" s="24" t="n">
        <v>6</v>
      </c>
      <c r="B16" s="24" t="inlineStr">
        <is>
          <t>Рассчитать цифровую воронку</t>
        </is>
      </c>
      <c r="C16" s="24" t="inlineStr">
        <is>
          <t>06_Воронка</t>
        </is>
      </c>
      <c r="D16" s="24" t="n"/>
      <c r="E16" s="24" t="n"/>
      <c r="F16" s="24" t="n"/>
      <c r="G16" s="24" t="n"/>
      <c r="H16" s="24" t="n"/>
    </row>
    <row r="17">
      <c r="A17" s="24" t="n">
        <v>7</v>
      </c>
      <c r="B17" s="24" t="inlineStr">
        <is>
          <t>Сравнить осторожный, базовый и оптимистичный сценарии</t>
        </is>
      </c>
      <c r="C17" s="24" t="inlineStr">
        <is>
          <t>07_Сценарии</t>
        </is>
      </c>
      <c r="D17" s="24" t="n"/>
      <c r="E17" s="24" t="n"/>
      <c r="F17" s="24" t="n"/>
      <c r="G17" s="24" t="n"/>
      <c r="H17" s="24" t="n"/>
    </row>
    <row r="18">
      <c r="A18" s="24" t="n">
        <v>8</v>
      </c>
      <c r="B18" s="24" t="inlineStr">
        <is>
          <t>Сформулировать итоговый вывод</t>
        </is>
      </c>
      <c r="C18" s="24" t="inlineStr">
        <is>
          <t>08_Дашборд</t>
        </is>
      </c>
      <c r="D18" s="24" t="n"/>
      <c r="E18" s="24" t="n"/>
      <c r="F18" s="24" t="n"/>
      <c r="G18" s="24" t="n"/>
      <c r="H18" s="24" t="n"/>
    </row>
  </sheetData>
  <mergeCells count="2">
    <mergeCell ref="A9:H9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B20" sqref="B20"/>
    </sheetView>
  </sheetViews>
  <sheetFormatPr baseColWidth="8" defaultRowHeight="14.25"/>
  <cols>
    <col width="43.5" customWidth="1" style="18" min="1" max="1"/>
    <col width="33.75" customWidth="1" style="18" min="2" max="2"/>
    <col width="15.5" customWidth="1" style="18" min="3" max="3"/>
    <col width="120.625" customWidth="1" style="18" min="4" max="4"/>
  </cols>
  <sheetData>
    <row r="1" ht="18" customHeight="1" s="18">
      <c r="A1" s="17" t="inlineStr">
        <is>
          <t>Исходные параметры и допущения</t>
        </is>
      </c>
    </row>
    <row r="3" ht="15" customHeight="1" s="18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Единица</t>
        </is>
      </c>
      <c r="D3" s="2" t="inlineStr">
        <is>
          <t>Комментарий</t>
        </is>
      </c>
    </row>
    <row r="4">
      <c r="A4" s="22" t="inlineStr">
        <is>
          <t>Регион анализа</t>
        </is>
      </c>
      <c r="B4" s="27" t="inlineStr">
        <is>
          <t>Республика Беларусь</t>
        </is>
      </c>
      <c r="C4" s="22" t="inlineStr">
        <is>
          <t>текст</t>
        </is>
      </c>
      <c r="D4" s="22" t="inlineStr">
        <is>
          <t>Можно заменить на страну, область или город</t>
        </is>
      </c>
    </row>
    <row r="5">
      <c r="A5" s="22" t="inlineStr">
        <is>
          <t>Период анализа</t>
        </is>
      </c>
      <c r="B5" s="28" t="inlineStr">
        <is>
          <t>сентябрь 2025 – август 2026 (12 мес.)</t>
        </is>
      </c>
      <c r="C5" s="22" t="inlineStr">
        <is>
          <t>текст</t>
        </is>
      </c>
      <c r="D5" s="22" t="inlineStr">
        <is>
          <t>Желательно использовать одинаковый период во всех источниках</t>
        </is>
      </c>
    </row>
    <row r="6">
      <c r="A6" s="22" t="inlineStr">
        <is>
          <t>Средний чек</t>
        </is>
      </c>
      <c r="B6" s="36" t="n">
        <v>121.14</v>
      </c>
      <c r="C6" s="22" t="inlineStr">
        <is>
          <t>BYN/год</t>
        </is>
      </c>
      <c r="D6" s="22" t="inlineStr">
        <is>
          <t>Годовой чек Pro: 40 у.е. × курс НБРБ 3,0285 (30.09.2026). Альтернатива 4 у.е. × 12 = 48 у.е./год — 145,37 BYN</t>
        </is>
      </c>
    </row>
    <row r="7">
      <c r="A7" s="22" t="inlineStr">
        <is>
          <t>Доля переходов из поиска</t>
        </is>
      </c>
      <c r="B7" s="29" t="n">
        <v>0.08</v>
      </c>
      <c r="C7" s="22" t="inlineStr">
        <is>
          <t>доля</t>
        </is>
      </c>
      <c r="D7" s="22" t="inlineStr">
        <is>
          <t>Базовое значение шкалы ПС табл. 17 (5–8 %)</t>
        </is>
      </c>
    </row>
    <row r="8">
      <c r="A8" s="22" t="inlineStr">
        <is>
          <t>Конверсия посетитель → заявка</t>
        </is>
      </c>
      <c r="B8" s="29" t="n">
        <v>0.04</v>
      </c>
      <c r="C8" s="22" t="inlineStr">
        <is>
          <t>доля</t>
        </is>
      </c>
      <c r="D8" s="22" t="inlineStr">
        <is>
          <t>Посетитель → регистрация (заявка). ПС табл. 17: 3–5 %</t>
        </is>
      </c>
    </row>
    <row r="9">
      <c r="A9" s="22" t="inlineStr">
        <is>
          <t>Конверсия заявка → продажа</t>
        </is>
      </c>
      <c r="B9" s="29" t="n">
        <v>0.04</v>
      </c>
      <c r="C9" s="22" t="inlineStr">
        <is>
          <t>доля</t>
        </is>
      </c>
      <c r="D9" s="22" t="inlineStr">
        <is>
          <t>Регистрация → оплата Pro. Допущение проекта (концепция NotaCode: Free → Pro 3–5 %); шкала ПС 25–35 % для freemium неприменима</t>
        </is>
      </c>
    </row>
    <row r="10">
      <c r="A10" s="22" t="inlineStr">
        <is>
          <t>Коэффициент учета повторных покупок</t>
        </is>
      </c>
      <c r="B10" s="36" t="n">
        <v>1.2</v>
      </c>
      <c r="C10" s="22" t="inlineStr">
        <is>
          <t>раз</t>
        </is>
      </c>
      <c r="D10" s="22" t="inlineStr">
        <is>
          <t>Среднее число годовых оплат на платящего пользователя; шкала шаблона, срок удержания — допущение проекта ( данных нет)</t>
        </is>
      </c>
    </row>
    <row r="11">
      <c r="A11" s="22" t="inlineStr">
        <is>
          <t>Вес Google Trends в сводном индексе</t>
        </is>
      </c>
      <c r="B11" s="29" t="n">
        <v>0.4</v>
      </c>
      <c r="C11" s="22" t="inlineStr">
        <is>
          <t>доля</t>
        </is>
      </c>
      <c r="D11" s="22" t="inlineStr">
        <is>
          <t>В расчёте 05_Нормализация; механическое сложение GT и Вордстат запрещено ПС §3 — показан для сравнения (см. отчёт)</t>
        </is>
      </c>
    </row>
    <row r="12">
      <c r="A12" s="22" t="inlineStr">
        <is>
          <t>Вес Яндекс Вордстат в сводном индексе</t>
        </is>
      </c>
      <c r="B12" s="29" t="n">
        <v>0.6</v>
      </c>
      <c r="C12" s="22" t="inlineStr">
        <is>
          <t>доля</t>
        </is>
      </c>
      <c r="D12" s="22" t="inlineStr">
        <is>
          <t>Сумма весов Google Trends и Вордстат должна быть равна 1</t>
        </is>
      </c>
    </row>
    <row r="13">
      <c r="A13" s="22" t="inlineStr">
        <is>
          <t>Минимальная коммерческая близость</t>
        </is>
      </c>
      <c r="B13" s="29" t="n">
        <v>0.5</v>
      </c>
      <c r="C13" s="22" t="inlineStr">
        <is>
          <t>доля</t>
        </is>
      </c>
      <c r="D13" s="22" t="inlineStr">
        <is>
          <t>Не используется формулами (особенность шаблона П-13)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G8" sqref="G8"/>
    </sheetView>
  </sheetViews>
  <sheetFormatPr baseColWidth="8" defaultRowHeight="14.25"/>
  <cols>
    <col width="12.875" customWidth="1" style="18" min="1" max="1"/>
    <col width="32" customWidth="1" style="18" min="2" max="2"/>
    <col width="28" customWidth="1" style="18" min="3" max="3"/>
    <col width="22" customWidth="1" style="18" min="4" max="4"/>
    <col width="10.75" customWidth="1" style="18" min="5" max="5"/>
    <col width="23.75" customWidth="1" style="18" min="6" max="6"/>
    <col width="18.25" customWidth="1" style="18" min="7" max="7"/>
    <col width="16" customWidth="1" style="18" min="8" max="8"/>
    <col width="20.75" customWidth="1" style="18" min="9" max="9"/>
    <col width="16.25" customWidth="1" style="18" min="10" max="10"/>
  </cols>
  <sheetData>
    <row r="1" ht="18" customHeight="1" s="18">
      <c r="A1" s="17" t="inlineStr">
        <is>
          <t>Семантическое ядро и коммерческая близость запросов</t>
        </is>
      </c>
    </row>
    <row r="3" ht="30" customHeight="1" s="18">
      <c r="A3" s="2" t="inlineStr">
        <is>
          <t>№</t>
        </is>
      </c>
      <c r="B3" s="2" t="inlineStr">
        <is>
          <t>Запрос</t>
        </is>
      </c>
      <c r="C3" s="2" t="inlineStr">
        <is>
          <t>Группа</t>
        </is>
      </c>
      <c r="D3" s="2" t="inlineStr">
        <is>
          <t>Намерение</t>
        </is>
      </c>
      <c r="E3" s="2" t="inlineStr">
        <is>
          <t>Регион</t>
        </is>
      </c>
      <c r="F3" s="2" t="inlineStr">
        <is>
          <t>Частотность Wordstat / мес</t>
        </is>
      </c>
      <c r="G3" s="2" t="inlineStr">
        <is>
          <t>Индекс Google Trends</t>
        </is>
      </c>
      <c r="H3" s="2" t="inlineStr">
        <is>
          <t>Вес релевантности</t>
        </is>
      </c>
      <c r="I3" s="2" t="inlineStr">
        <is>
          <t>Коммерческая близость</t>
        </is>
      </c>
      <c r="J3" s="2" t="inlineStr">
        <is>
          <t>Взвешенный спрос</t>
        </is>
      </c>
    </row>
    <row r="4">
      <c r="A4" s="20" t="n">
        <v>1</v>
      </c>
      <c r="B4" s="20" t="inlineStr">
        <is>
          <t>uml купить</t>
        </is>
      </c>
      <c r="C4" s="20" t="inlineStr">
        <is>
          <t>Коммерческий спрос</t>
        </is>
      </c>
      <c r="D4" s="20" t="inlineStr">
        <is>
          <t>коммерческое</t>
        </is>
      </c>
      <c r="E4" s="20" t="inlineStr">
        <is>
          <t>РБ</t>
        </is>
      </c>
      <c r="F4" s="6" t="n">
        <v>5</v>
      </c>
      <c r="G4" s="7" t="inlineStr">
        <is>
          <t>н/д</t>
        </is>
      </c>
      <c r="H4" s="7" t="n">
        <v>1</v>
      </c>
      <c r="I4" s="7" t="n">
        <v>0.9</v>
      </c>
      <c r="J4" s="8">
        <f>F4*H4*I4</f>
        <v/>
      </c>
    </row>
    <row r="5">
      <c r="A5" s="20" t="n">
        <v>2</v>
      </c>
      <c r="B5" s="20" t="inlineStr">
        <is>
          <t>visio купить</t>
        </is>
      </c>
      <c r="C5" s="20" t="inlineStr">
        <is>
          <t>Коммерческий спрос</t>
        </is>
      </c>
      <c r="D5" s="20" t="inlineStr">
        <is>
          <t>коммерческое</t>
        </is>
      </c>
      <c r="E5" s="20" t="inlineStr">
        <is>
          <t>РБ</t>
        </is>
      </c>
      <c r="F5" s="6" t="n">
        <v>7</v>
      </c>
      <c r="G5" s="7" t="inlineStr">
        <is>
          <t>н/д</t>
        </is>
      </c>
      <c r="H5" s="7" t="n">
        <v>0.7</v>
      </c>
      <c r="I5" s="7" t="n">
        <v>0.85</v>
      </c>
      <c r="J5" s="8">
        <f>F5*H5*I5</f>
        <v/>
      </c>
    </row>
    <row r="6">
      <c r="A6" s="20" t="n">
        <v>3</v>
      </c>
      <c r="B6" s="20" t="inlineStr">
        <is>
          <t>uml онлайн</t>
        </is>
      </c>
      <c r="C6" s="20" t="inlineStr">
        <is>
          <t>Инструментальный спрос</t>
        </is>
      </c>
      <c r="D6" s="20" t="inlineStr">
        <is>
          <t>инструментальное</t>
        </is>
      </c>
      <c r="E6" s="20" t="inlineStr">
        <is>
          <t>РБ</t>
        </is>
      </c>
      <c r="F6" s="6" t="n">
        <v>28</v>
      </c>
      <c r="G6" s="7" t="inlineStr">
        <is>
          <t>н/д</t>
        </is>
      </c>
      <c r="H6" s="7" t="n">
        <v>1</v>
      </c>
      <c r="I6" s="7" t="n">
        <v>0.65</v>
      </c>
      <c r="J6" s="8">
        <f>F6*H6*I6</f>
        <v/>
      </c>
    </row>
    <row r="7">
      <c r="A7" s="20" t="n">
        <v>4</v>
      </c>
      <c r="B7" s="20" t="inlineStr">
        <is>
          <t>bpmn онлайн</t>
        </is>
      </c>
      <c r="C7" s="20" t="inlineStr">
        <is>
          <t>Инструментальный спрос</t>
        </is>
      </c>
      <c r="D7" s="20" t="inlineStr">
        <is>
          <t>инструментальное</t>
        </is>
      </c>
      <c r="E7" s="20" t="inlineStr">
        <is>
          <t>РБ</t>
        </is>
      </c>
      <c r="F7" s="6" t="n">
        <v>28</v>
      </c>
      <c r="G7" s="7" t="inlineStr">
        <is>
          <t>н/д</t>
        </is>
      </c>
      <c r="H7" s="7" t="n">
        <v>0.9</v>
      </c>
      <c r="I7" s="7" t="n">
        <v>0.65</v>
      </c>
      <c r="J7" s="8">
        <f>F7*H7*I7</f>
        <v/>
      </c>
    </row>
    <row r="8">
      <c r="A8" s="20" t="n">
        <v>5</v>
      </c>
      <c r="B8" s="20" t="inlineStr">
        <is>
          <t>plantuml online</t>
        </is>
      </c>
      <c r="C8" s="20" t="inlineStr">
        <is>
          <t>Инструментальный спрос</t>
        </is>
      </c>
      <c r="D8" s="20" t="inlineStr">
        <is>
          <t>инструментальное</t>
        </is>
      </c>
      <c r="E8" s="20" t="inlineStr">
        <is>
          <t>РБ</t>
        </is>
      </c>
      <c r="F8" s="6" t="n">
        <v>14</v>
      </c>
      <c r="G8" s="7" t="inlineStr">
        <is>
          <t>н/д</t>
        </is>
      </c>
      <c r="H8" s="7" t="n">
        <v>0.9</v>
      </c>
      <c r="I8" s="7" t="n">
        <v>0.7</v>
      </c>
      <c r="J8" s="8">
        <f>F8*H8*I8</f>
        <v/>
      </c>
    </row>
    <row r="9">
      <c r="A9" s="20" t="n">
        <v>6</v>
      </c>
      <c r="B9" s="20" t="inlineStr">
        <is>
          <t>нейросеть схема</t>
        </is>
      </c>
      <c r="C9" s="20" t="inlineStr">
        <is>
          <t>Инструментальный спрос</t>
        </is>
      </c>
      <c r="D9" s="20" t="inlineStr">
        <is>
          <t>инструментальное (AI)</t>
        </is>
      </c>
      <c r="E9" s="20" t="inlineStr">
        <is>
          <t>РБ</t>
        </is>
      </c>
      <c r="F9" s="6" t="n">
        <v>76</v>
      </c>
      <c r="G9" s="7" t="inlineStr">
        <is>
          <t>н/д</t>
        </is>
      </c>
      <c r="H9" s="7" t="n">
        <v>0.7</v>
      </c>
      <c r="I9" s="7" t="n">
        <v>0.55</v>
      </c>
      <c r="J9" s="8">
        <f>F9*H9*I9</f>
        <v/>
      </c>
    </row>
    <row r="10">
      <c r="A10" s="20" t="n">
        <v>7</v>
      </c>
      <c r="B10" s="20" t="inlineStr">
        <is>
          <t>idef0 как</t>
        </is>
      </c>
      <c r="C10" s="20" t="inlineStr">
        <is>
          <t>Проблемный спрос</t>
        </is>
      </c>
      <c r="D10" s="20" t="inlineStr">
        <is>
          <t>проблемное</t>
        </is>
      </c>
      <c r="E10" s="20" t="inlineStr">
        <is>
          <t>РБ</t>
        </is>
      </c>
      <c r="F10" s="6" t="n">
        <v>11</v>
      </c>
      <c r="G10" s="7" t="inlineStr">
        <is>
          <t>н/д</t>
        </is>
      </c>
      <c r="H10" s="7" t="n">
        <v>1</v>
      </c>
      <c r="I10" s="7" t="n">
        <v>0.45</v>
      </c>
      <c r="J10" s="8">
        <f>F10*H10*I10</f>
        <v/>
      </c>
    </row>
    <row r="11">
      <c r="A11" s="20" t="n">
        <v>8</v>
      </c>
      <c r="B11" s="20" t="inlineStr">
        <is>
          <t>bpmn пример</t>
        </is>
      </c>
      <c r="C11" s="20" t="inlineStr">
        <is>
          <t>Проблемный спрос</t>
        </is>
      </c>
      <c r="D11" s="20" t="inlineStr">
        <is>
          <t>проблемное</t>
        </is>
      </c>
      <c r="E11" s="20" t="inlineStr">
        <is>
          <t>РБ</t>
        </is>
      </c>
      <c r="F11" s="6" t="n">
        <v>10</v>
      </c>
      <c r="G11" s="7" t="inlineStr">
        <is>
          <t>н/д</t>
        </is>
      </c>
      <c r="H11" s="7" t="n">
        <v>0.9</v>
      </c>
      <c r="I11" s="7" t="n">
        <v>0.4</v>
      </c>
      <c r="J11" s="8">
        <f>F11*H11*I11</f>
        <v/>
      </c>
    </row>
    <row r="12">
      <c r="A12" s="20" t="n">
        <v>9</v>
      </c>
      <c r="B12" s="20" t="inlineStr">
        <is>
          <t>uml</t>
        </is>
      </c>
      <c r="C12" s="20" t="inlineStr">
        <is>
          <t>Общий тематический спрос</t>
        </is>
      </c>
      <c r="D12" s="20" t="inlineStr">
        <is>
          <t>информационное</t>
        </is>
      </c>
      <c r="E12" s="20" t="inlineStr">
        <is>
          <t>РБ</t>
        </is>
      </c>
      <c r="F12" s="6" t="n">
        <v>591</v>
      </c>
      <c r="G12" s="7" t="n">
        <v>14.52</v>
      </c>
      <c r="H12" s="7" t="n">
        <v>1</v>
      </c>
      <c r="I12" s="7" t="n">
        <v>0.2</v>
      </c>
      <c r="J12" s="8">
        <f>F12*H12*I12</f>
        <v/>
      </c>
    </row>
    <row r="13">
      <c r="A13" s="20" t="n">
        <v>10</v>
      </c>
      <c r="B13" s="20" t="inlineStr">
        <is>
          <t>mermaid</t>
        </is>
      </c>
      <c r="C13" s="20" t="inlineStr">
        <is>
          <t>Исключаемый (омоним)</t>
        </is>
      </c>
      <c r="D13" s="20" t="inlineStr">
        <is>
          <t>омоним: фильм</t>
        </is>
      </c>
      <c r="E13" s="20" t="inlineStr">
        <is>
          <t>РБ</t>
        </is>
      </c>
      <c r="F13" s="6" t="n">
        <v>1163</v>
      </c>
      <c r="G13" s="7" t="inlineStr">
        <is>
          <t>н/д</t>
        </is>
      </c>
      <c r="H13" s="7" t="n">
        <v>0</v>
      </c>
      <c r="I13" s="7" t="n">
        <v>0</v>
      </c>
      <c r="J13" s="8">
        <f>F13*H13*I13</f>
        <v/>
      </c>
    </row>
    <row r="15" ht="156.75" customHeight="1" s="18">
      <c r="A15" t="inlineStr">
        <is>
          <t>Примечание</t>
        </is>
      </c>
      <c r="B15" s="24" t="inlineStr">
        <is>
          <t>Частотность — Яндекс Вордстат, Беларусь, «Топы запросов», 25.08–23.09.2026, все устройства. GT-индекс: н/д = недостаточно данных по Беларуси; у «uml» — среднее недельного ряда за 12 мес. по данным ЛР1. «mermaid» без уточнения — омоним (фильм «Русалочка»), вес 0,00 по ПС табл. 9 (особенность шаблона П-14)</t>
        </is>
      </c>
    </row>
  </sheetData>
  <mergeCells count="1">
    <mergeCell ref="A1:J1"/>
  </mergeCells>
  <conditionalFormatting sqref="J4:J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30" sqref="C30"/>
    </sheetView>
  </sheetViews>
  <sheetFormatPr baseColWidth="8" defaultRowHeight="14.25"/>
  <cols>
    <col width="55.375" customWidth="1" style="18" min="1" max="1"/>
    <col width="19.625" customWidth="1" style="18" min="2" max="2"/>
    <col width="19.375" customWidth="1" style="18" min="3" max="3"/>
    <col width="18.25" customWidth="1" style="18" min="4" max="4"/>
    <col width="16.375" customWidth="1" style="18" min="5" max="5"/>
    <col width="16.5" customWidth="1" style="18" min="6" max="6"/>
    <col width="64" customWidth="1" style="18" min="7" max="7"/>
  </cols>
  <sheetData>
    <row r="1" ht="18" customHeight="1" s="18">
      <c r="A1" s="17" t="inlineStr">
        <is>
          <t>Данные Google Trends: месячный индекс интереса</t>
        </is>
      </c>
    </row>
    <row r="3" ht="30" customHeight="1" s="18">
      <c r="A3" s="2" t="inlineStr">
        <is>
          <t>Месяц</t>
        </is>
      </c>
      <c r="B3" s="2" t="inlineStr">
        <is>
          <t>UML</t>
        </is>
      </c>
      <c r="C3" s="2" t="inlineStr">
        <is>
          <t>BPMN</t>
        </is>
      </c>
      <c r="D3" s="2" t="inlineStr">
        <is>
          <t>PlantUML</t>
        </is>
      </c>
      <c r="E3" s="2" t="inlineStr">
        <is>
          <t>IDEF0</t>
        </is>
      </c>
      <c r="F3" s="2" t="inlineStr">
        <is>
          <t>Средний индекс GT</t>
        </is>
      </c>
      <c r="G3" s="2" t="inlineStr">
        <is>
          <t>Комментарий</t>
        </is>
      </c>
    </row>
    <row r="4">
      <c r="A4" s="37" t="inlineStr">
        <is>
          <t>2025-08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2">
        <f>AVERAGE(B4:E4)</f>
        <v/>
      </c>
      <c r="G4" t="inlineStr">
        <is>
          <t>все значения 0: недостаточно данных Google Trends по Беларуси</t>
        </is>
      </c>
    </row>
    <row r="5">
      <c r="A5" s="37" t="inlineStr">
        <is>
          <t>2025-09</t>
        </is>
      </c>
      <c r="B5" s="11" t="n">
        <v>27.75</v>
      </c>
      <c r="C5" s="11" t="n">
        <v>48</v>
      </c>
      <c r="D5" s="11" t="n">
        <v>0</v>
      </c>
      <c r="E5" s="11" t="n">
        <v>0</v>
      </c>
      <c r="F5" s="12">
        <f>AVERAGE(B5:E5)</f>
        <v/>
      </c>
    </row>
    <row r="6">
      <c r="A6" s="37" t="inlineStr">
        <is>
          <t>2025-10</t>
        </is>
      </c>
      <c r="B6" s="11" t="n">
        <v>18.2</v>
      </c>
      <c r="C6" s="11" t="n">
        <v>16.4</v>
      </c>
      <c r="D6" s="11" t="n">
        <v>0</v>
      </c>
      <c r="E6" s="11" t="n">
        <v>0</v>
      </c>
      <c r="F6" s="12">
        <f>AVERAGE(B6:E6)</f>
        <v/>
      </c>
    </row>
    <row r="7">
      <c r="A7" s="37" t="inlineStr">
        <is>
          <t>2025-11</t>
        </is>
      </c>
      <c r="B7" s="11" t="n">
        <v>67</v>
      </c>
      <c r="C7" s="11" t="n">
        <v>13</v>
      </c>
      <c r="D7" s="11" t="n">
        <v>30.5</v>
      </c>
      <c r="E7" s="11" t="n">
        <v>0</v>
      </c>
      <c r="F7" s="12">
        <f>AVERAGE(B7:E7)</f>
        <v/>
      </c>
    </row>
    <row r="8">
      <c r="A8" s="37" t="inlineStr">
        <is>
          <t>2025-12</t>
        </is>
      </c>
      <c r="B8" s="11" t="n">
        <v>0</v>
      </c>
      <c r="C8" s="11" t="n">
        <v>14.25</v>
      </c>
      <c r="D8" s="11" t="n">
        <v>0</v>
      </c>
      <c r="E8" s="11" t="n">
        <v>0</v>
      </c>
      <c r="F8" s="12">
        <f>AVERAGE(B8:E8)</f>
        <v/>
      </c>
    </row>
    <row r="9">
      <c r="A9" s="37" t="inlineStr">
        <is>
          <t>2026-01</t>
        </is>
      </c>
      <c r="B9" s="11" t="n">
        <v>27</v>
      </c>
      <c r="C9" s="11" t="n">
        <v>52</v>
      </c>
      <c r="D9" s="11" t="n">
        <v>0</v>
      </c>
      <c r="E9" s="11" t="n">
        <v>0</v>
      </c>
      <c r="F9" s="12">
        <f>AVERAGE(B9:E9)</f>
        <v/>
      </c>
    </row>
    <row r="10">
      <c r="A10" s="37" t="inlineStr">
        <is>
          <t>2026-02</t>
        </is>
      </c>
      <c r="B10" s="11" t="n">
        <v>11.4</v>
      </c>
      <c r="C10" s="11" t="n">
        <v>0</v>
      </c>
      <c r="D10" s="11" t="n">
        <v>0</v>
      </c>
      <c r="E10" s="11" t="n">
        <v>0</v>
      </c>
      <c r="F10" s="12">
        <f>AVERAGE(B10:E10)</f>
        <v/>
      </c>
    </row>
    <row r="11">
      <c r="A11" s="37" t="inlineStr">
        <is>
          <t>2026-03</t>
        </is>
      </c>
      <c r="B11" s="11" t="n">
        <v>18.75</v>
      </c>
      <c r="C11" s="11" t="n">
        <v>13.5</v>
      </c>
      <c r="D11" s="11" t="n">
        <v>12.25</v>
      </c>
      <c r="E11" s="11" t="n">
        <v>14.25</v>
      </c>
      <c r="F11" s="12">
        <f>AVERAGE(B11:E11)</f>
        <v/>
      </c>
    </row>
    <row r="12">
      <c r="A12" s="37" t="inlineStr">
        <is>
          <t>2026-04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2">
        <f>AVERAGE(B12:E12)</f>
        <v/>
      </c>
      <c r="G12" t="inlineStr">
        <is>
          <t>все значения 0: недостаточно данных Google Trends по Беларуси</t>
        </is>
      </c>
    </row>
    <row r="13">
      <c r="A13" s="37" t="inlineStr">
        <is>
          <t>2026-05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2">
        <f>AVERAGE(B13:E13)</f>
        <v/>
      </c>
      <c r="G13" t="inlineStr">
        <is>
          <t>все значения 0: недостаточно данных Google Trends по Беларуси</t>
        </is>
      </c>
    </row>
    <row r="14">
      <c r="A14" s="37" t="inlineStr">
        <is>
          <t>2026-06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2">
        <f>AVERAGE(B14:E14)</f>
        <v/>
      </c>
      <c r="G14" t="inlineStr">
        <is>
          <t>все значения 0: недостаточно данных Google Trends по Беларуси</t>
        </is>
      </c>
    </row>
    <row r="15">
      <c r="A15" s="37" t="inlineStr">
        <is>
          <t>2026-07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2">
        <f>AVERAGE(B15:E15)</f>
        <v/>
      </c>
      <c r="G15" t="inlineStr">
        <is>
          <t>все значения 0: недостаточно данных Google Trends по Беларуси</t>
        </is>
      </c>
    </row>
    <row r="17">
      <c r="A17" t="inlineStr">
        <is>
          <t>Источник: Google Trends, Беларусь, today 12-m, категория «все», веб-поиск, один запрос из 4 терминов (единая шкала); недельные значения усреднены по месяцам (по дате начала недели). Выгрузка 30.09.2026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topLeftCell="E1" workbookViewId="0">
      <selection activeCell="L17" sqref="L17"/>
    </sheetView>
  </sheetViews>
  <sheetFormatPr baseColWidth="8" defaultRowHeight="14.25"/>
  <cols>
    <col width="52" customWidth="1" style="18" min="1" max="1"/>
    <col width="20.5" customWidth="1" style="18" min="2" max="2"/>
    <col width="18.875" customWidth="1" style="18" min="3" max="3"/>
    <col width="24.25" customWidth="1" style="18" min="4" max="4"/>
    <col width="17.375" customWidth="1" style="18" min="5" max="5"/>
    <col width="20.375" customWidth="1" style="18" min="6" max="6"/>
    <col width="25" customWidth="1" style="18" min="7" max="7"/>
    <col width="21" customWidth="1" style="18" min="8" max="8"/>
    <col width="27.375" customWidth="1" style="18" min="11" max="11"/>
    <col width="14" customWidth="1" style="18" min="12" max="12"/>
  </cols>
  <sheetData>
    <row r="1" ht="18" customHeight="1" s="18">
      <c r="A1" s="17" t="inlineStr">
        <is>
          <t>Данные Яндекс Вордстат: частотность запросов</t>
        </is>
      </c>
    </row>
    <row r="3" ht="30" customHeight="1" s="18">
      <c r="A3" s="2" t="inlineStr">
        <is>
          <t>Месяц</t>
        </is>
      </c>
      <c r="B3" s="2" t="inlineStr">
        <is>
          <t>Коммерческие запросы</t>
        </is>
      </c>
      <c r="C3" s="2" t="inlineStr">
        <is>
          <t>Проблемные запросы</t>
        </is>
      </c>
      <c r="D3" s="2" t="inlineStr">
        <is>
          <t>Инструментальные запросы</t>
        </is>
      </c>
      <c r="E3" s="2" t="inlineStr">
        <is>
          <t>Локальные запросы</t>
        </is>
      </c>
      <c r="F3" s="2" t="inlineStr">
        <is>
          <t>Суммарная частотность</t>
        </is>
      </c>
      <c r="G3" s="2" t="inlineStr">
        <is>
          <t>Коммерческий коэффициент</t>
        </is>
      </c>
      <c r="H3" s="2" t="inlineStr">
        <is>
          <t>Взвешенная частотность</t>
        </is>
      </c>
      <c r="K3" t="inlineStr">
        <is>
          <t>Вес намерения</t>
        </is>
      </c>
      <c r="L3" t="inlineStr">
        <is>
          <t>ПС табл. 9</t>
        </is>
      </c>
    </row>
    <row r="4">
      <c r="A4" s="37" t="inlineStr">
        <is>
          <t>2025-08</t>
        </is>
      </c>
      <c r="B4" s="4" t="n">
        <v>21</v>
      </c>
      <c r="C4" s="4" t="n">
        <v>119</v>
      </c>
      <c r="D4" s="4" t="n">
        <v>425</v>
      </c>
      <c r="E4" s="4" t="n">
        <v>0</v>
      </c>
      <c r="F4" s="13">
        <f>SUM(B4:E4)</f>
        <v/>
      </c>
      <c r="G4" s="3">
        <f>IF(F4=0,0,(B4*$L\$4+C4*$L\$5+D4*$L\$6+E4*$L\$7)/F4)</f>
        <v/>
      </c>
      <c r="H4" s="13">
        <f>F4*G4</f>
        <v/>
      </c>
      <c r="K4" t="inlineStr">
        <is>
          <t>Коммерческие запросы</t>
        </is>
      </c>
      <c r="L4" t="n">
        <v>0.9</v>
      </c>
    </row>
    <row r="5">
      <c r="A5" s="37" t="inlineStr">
        <is>
          <t>2025-09</t>
        </is>
      </c>
      <c r="B5" s="4" t="n">
        <v>17</v>
      </c>
      <c r="C5" s="4" t="n">
        <v>113</v>
      </c>
      <c r="D5" s="4" t="n">
        <v>562</v>
      </c>
      <c r="E5" s="4" t="n">
        <v>0</v>
      </c>
      <c r="F5" s="13">
        <f>SUM(B5:E5)</f>
        <v/>
      </c>
      <c r="G5" s="3">
        <f>IF(F5=0,0,(B5*$L\$4+C5*$L\$5+D5*$L\$6+E5*$L\$7)/F5)</f>
        <v/>
      </c>
      <c r="H5" s="13">
        <f>F5*G5</f>
        <v/>
      </c>
      <c r="K5" t="inlineStr">
        <is>
          <t>Проблемные запросы</t>
        </is>
      </c>
      <c r="L5" t="n">
        <v>0.45</v>
      </c>
    </row>
    <row r="6">
      <c r="A6" s="37" t="inlineStr">
        <is>
          <t>2025-10</t>
        </is>
      </c>
      <c r="B6" s="4" t="n">
        <v>15</v>
      </c>
      <c r="C6" s="4" t="n">
        <v>110</v>
      </c>
      <c r="D6" s="4" t="n">
        <v>574</v>
      </c>
      <c r="E6" s="4" t="n">
        <v>0</v>
      </c>
      <c r="F6" s="13">
        <f>SUM(B6:E6)</f>
        <v/>
      </c>
      <c r="G6" s="3">
        <f>IF(F6=0,0,(B6*$L\$4+C6*$L\$5+D6*$L\$6+E6*$L\$7)/F6)</f>
        <v/>
      </c>
      <c r="H6" s="13">
        <f>F6*G6</f>
        <v/>
      </c>
      <c r="K6" t="inlineStr">
        <is>
          <t>Инструментальные запросы</t>
        </is>
      </c>
      <c r="L6" t="n">
        <v>0.65</v>
      </c>
    </row>
    <row r="7">
      <c r="A7" s="37" t="inlineStr">
        <is>
          <t>2025-11</t>
        </is>
      </c>
      <c r="B7" s="4" t="n">
        <v>20</v>
      </c>
      <c r="C7" s="4" t="n">
        <v>158</v>
      </c>
      <c r="D7" s="4" t="n">
        <v>669</v>
      </c>
      <c r="E7" s="4" t="n">
        <v>0</v>
      </c>
      <c r="F7" s="13">
        <f>SUM(B7:E7)</f>
        <v/>
      </c>
      <c r="G7" s="3">
        <f>IF(F7=0,0,(B7*$L\$4+C7*$L\$5+D7*$L\$6+E7*$L\$7)/F7)</f>
        <v/>
      </c>
      <c r="H7" s="13">
        <f>F7*G7</f>
        <v/>
      </c>
      <c r="K7" t="inlineStr">
        <is>
          <t>Локальные запросы</t>
        </is>
      </c>
      <c r="L7" t="n">
        <v>0.3</v>
      </c>
    </row>
    <row r="8">
      <c r="A8" s="37" t="inlineStr">
        <is>
          <t>2025-12</t>
        </is>
      </c>
      <c r="B8" s="4" t="n">
        <v>32</v>
      </c>
      <c r="C8" s="4" t="n">
        <v>64</v>
      </c>
      <c r="D8" s="4" t="n">
        <v>238</v>
      </c>
      <c r="E8" s="4" t="n">
        <v>0</v>
      </c>
      <c r="F8" s="13">
        <f>SUM(B8:E8)</f>
        <v/>
      </c>
      <c r="G8" s="3">
        <f>IF(F8=0,0,(B8*$L\$4+C8*$L\$5+D8*$L\$6+E8*$L\$7)/F8)</f>
        <v/>
      </c>
      <c r="H8" s="13">
        <f>F8*G8</f>
        <v/>
      </c>
      <c r="K8" t="inlineStr">
        <is>
          <t>Коммерческий коэффициент (столбец G) — средневзвешенный вес намерения по составу месяца</t>
        </is>
      </c>
    </row>
    <row r="9">
      <c r="A9" s="37" t="inlineStr">
        <is>
          <t>2026-01</t>
        </is>
      </c>
      <c r="B9" s="4" t="n">
        <v>12</v>
      </c>
      <c r="C9" s="4" t="n">
        <v>46</v>
      </c>
      <c r="D9" s="4" t="n">
        <v>284</v>
      </c>
      <c r="E9" s="4" t="n">
        <v>0</v>
      </c>
      <c r="F9" s="13">
        <f>SUM(B9:E9)</f>
        <v/>
      </c>
      <c r="G9" s="3">
        <f>IF(F9=0,0,(B9*$L\$4+C9*$L\$5+D9*$L\$6+E9*$L\$7)/F9)</f>
        <v/>
      </c>
      <c r="H9" s="13">
        <f>F9*G9</f>
        <v/>
      </c>
    </row>
    <row r="10">
      <c r="A10" s="37" t="inlineStr">
        <is>
          <t>2026-02</t>
        </is>
      </c>
      <c r="B10" s="4" t="n">
        <v>50</v>
      </c>
      <c r="C10" s="4" t="n">
        <v>105</v>
      </c>
      <c r="D10" s="4" t="n">
        <v>494</v>
      </c>
      <c r="E10" s="4" t="n">
        <v>0</v>
      </c>
      <c r="F10" s="13">
        <f>SUM(B10:E10)</f>
        <v/>
      </c>
      <c r="G10" s="3">
        <f>IF(F10=0,0,(B10*$L\$4+C10*$L\$5+D10*$L\$6+E10*$L\$7)/F10)</f>
        <v/>
      </c>
      <c r="H10" s="13">
        <f>F10*G10</f>
        <v/>
      </c>
    </row>
    <row r="11">
      <c r="A11" s="37" t="inlineStr">
        <is>
          <t>2026-03</t>
        </is>
      </c>
      <c r="B11" s="4" t="n">
        <v>52</v>
      </c>
      <c r="C11" s="4" t="n">
        <v>94</v>
      </c>
      <c r="D11" s="4" t="n">
        <v>541</v>
      </c>
      <c r="E11" s="4" t="n">
        <v>0</v>
      </c>
      <c r="F11" s="13">
        <f>SUM(B11:E11)</f>
        <v/>
      </c>
      <c r="G11" s="3">
        <f>IF(F11=0,0,(B11*$L\$4+C11*$L\$5+D11*$L\$6+E11*$L\$7)/F11)</f>
        <v/>
      </c>
      <c r="H11" s="13">
        <f>F11*G11</f>
        <v/>
      </c>
    </row>
    <row r="12">
      <c r="A12" s="37" t="inlineStr">
        <is>
          <t>2026-04</t>
        </is>
      </c>
      <c r="B12" s="4" t="n">
        <v>23</v>
      </c>
      <c r="C12" s="4" t="n">
        <v>69</v>
      </c>
      <c r="D12" s="4" t="n">
        <v>589</v>
      </c>
      <c r="E12" s="4" t="n">
        <v>0</v>
      </c>
      <c r="F12" s="13">
        <f>SUM(B12:E12)</f>
        <v/>
      </c>
      <c r="G12" s="3">
        <f>IF(F12=0,0,(B12*$L\$4+C12*$L\$5+D12*$L\$6+E12*$L\$7)/F12)</f>
        <v/>
      </c>
      <c r="H12" s="13">
        <f>F12*G12</f>
        <v/>
      </c>
    </row>
    <row r="13">
      <c r="A13" s="37" t="inlineStr">
        <is>
          <t>2026-05</t>
        </is>
      </c>
      <c r="B13" s="4" t="n">
        <v>12</v>
      </c>
      <c r="C13" s="4" t="n">
        <v>66</v>
      </c>
      <c r="D13" s="4" t="n">
        <v>340</v>
      </c>
      <c r="E13" s="4" t="n">
        <v>0</v>
      </c>
      <c r="F13" s="13">
        <f>SUM(B13:E13)</f>
        <v/>
      </c>
      <c r="G13" s="3">
        <f>IF(F13=0,0,(B13*$L\$4+C13*$L\$5+D13*$L\$6+E13*$L\$7)/F13)</f>
        <v/>
      </c>
      <c r="H13" s="13">
        <f>F13*G13</f>
        <v/>
      </c>
    </row>
    <row r="14">
      <c r="A14" s="37" t="inlineStr">
        <is>
          <t>2026-06</t>
        </is>
      </c>
      <c r="B14" s="4" t="n">
        <v>18</v>
      </c>
      <c r="C14" s="4" t="n">
        <v>43</v>
      </c>
      <c r="D14" s="4" t="n">
        <v>125</v>
      </c>
      <c r="E14" s="4" t="n">
        <v>0</v>
      </c>
      <c r="F14" s="13">
        <f>SUM(B14:E14)</f>
        <v/>
      </c>
      <c r="G14" s="3">
        <f>IF(F14=0,0,(B14*$L\$4+C14*$L\$5+D14*$L\$6+E14*$L\$7)/F14)</f>
        <v/>
      </c>
      <c r="H14" s="13">
        <f>F14*G14</f>
        <v/>
      </c>
    </row>
    <row r="15">
      <c r="A15" s="37" t="inlineStr">
        <is>
          <t>2026-07</t>
        </is>
      </c>
      <c r="B15" s="4" t="n">
        <v>14</v>
      </c>
      <c r="C15" s="4" t="n">
        <v>34</v>
      </c>
      <c r="D15" s="4" t="n">
        <v>107</v>
      </c>
      <c r="E15" s="4" t="n">
        <v>0</v>
      </c>
      <c r="F15" s="13">
        <f>SUM(B15:E15)</f>
        <v/>
      </c>
      <c r="G15" s="3">
        <f>IF(F15=0,0,(B15*$L\$4+C15*$L\$5+D15*$L\$6+E15*$L\$7)/F15)</f>
        <v/>
      </c>
      <c r="H15" s="13">
        <f>F15*G15</f>
        <v/>
      </c>
    </row>
    <row r="17" ht="114" customHeight="1" s="18">
      <c r="A17" s="24" t="inlineStr">
        <is>
          <t>Источник: Яндекс Вордстат, Беларусь (id=149), все устройства, вкладка «Динамика», месячные значения; групповой ряд — сумма рядов отдельных формулировок (операторы группировки в «Динамике» не поддерживаются). Состав групп и учёт пересечений — в отчёте. Локальные запросы: ряд ниже порога отображения (Топы: uml минск 3, bpmn минск 4 за 30 дней)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E29" sqref="E29"/>
    </sheetView>
  </sheetViews>
  <sheetFormatPr baseColWidth="8" defaultRowHeight="14.25"/>
  <cols>
    <col width="18.5" customWidth="1" style="18" min="1" max="1"/>
    <col width="16.5" customWidth="1" style="18" min="2" max="2"/>
    <col width="17.25" customWidth="1" style="18" min="3" max="3"/>
    <col width="24.125" customWidth="1" style="18" min="4" max="4"/>
    <col width="17.625" customWidth="1" style="18" min="5" max="5"/>
    <col width="20.5" customWidth="1" style="18" min="6" max="6"/>
    <col width="12.875" customWidth="1" style="18" min="7" max="7"/>
    <col width="30" customWidth="1" style="18" min="8" max="8"/>
  </cols>
  <sheetData>
    <row r="1" ht="18" customHeight="1" s="18">
      <c r="A1" s="17" t="inlineStr">
        <is>
          <t>Нормализация данных и сводный индекс поискового спроса</t>
        </is>
      </c>
    </row>
    <row r="3" ht="30" customHeight="1" s="18">
      <c r="A3" s="2" t="inlineStr">
        <is>
          <t>Месяц</t>
        </is>
      </c>
      <c r="B3" s="2" t="inlineStr">
        <is>
          <t>Средний индекс GT</t>
        </is>
      </c>
      <c r="C3" s="2" t="inlineStr">
        <is>
          <t>Нормированный GT</t>
        </is>
      </c>
      <c r="D3" s="2" t="inlineStr">
        <is>
          <t>Взвешенная частотность WS</t>
        </is>
      </c>
      <c r="E3" s="2" t="inlineStr">
        <is>
          <t>Нормированный WS</t>
        </is>
      </c>
      <c r="F3" s="2" t="inlineStr">
        <is>
          <t>Сводный индекс спроса</t>
        </is>
      </c>
      <c r="G3" s="2" t="inlineStr">
        <is>
          <t>Оценка уровня</t>
        </is>
      </c>
      <c r="H3" s="2" t="inlineStr">
        <is>
          <t>Комментарий</t>
        </is>
      </c>
    </row>
    <row r="4">
      <c r="A4" s="9">
        <f>'03_Google_Trends'!A4</f>
        <v/>
      </c>
      <c r="B4" s="10">
        <f>'03_Google_Trends'!F4</f>
        <v/>
      </c>
      <c r="C4" s="10">
        <f>IF(MAX($B\$4:$B\$15)=0,0,B4/MAX($B\$4:$B\$15)*100)</f>
        <v/>
      </c>
      <c r="D4" s="5">
        <f>'04_Wordstat'!H4</f>
        <v/>
      </c>
      <c r="E4" s="10">
        <f>IF(MAX($D\$4:$D\$15)=0,0,D4/MAX($D\$4:$D\$15)*100)</f>
        <v/>
      </c>
      <c r="F4" s="12">
        <f>C4*'01_Параметры'!$B\$11+E4*'01_Параметры'!$B\$12</f>
        <v/>
      </c>
      <c r="G4">
        <f>IF(F4&gt;=75,"высокий",IF(F4&gt;=45,"средний","низкий"))</f>
        <v/>
      </c>
    </row>
    <row r="5">
      <c r="A5" s="9">
        <f>'03_Google_Trends'!A5</f>
        <v/>
      </c>
      <c r="B5" s="10">
        <f>'03_Google_Trends'!F5</f>
        <v/>
      </c>
      <c r="C5" s="10">
        <f>IF(MAX($B\$4:$B\$15)=0,0,B5/MAX($B\$4:$B\$15)*100)</f>
        <v/>
      </c>
      <c r="D5" s="5">
        <f>'04_Wordstat'!H5</f>
        <v/>
      </c>
      <c r="E5" s="10">
        <f>IF(MAX($D\$4:$D\$15)=0,0,D5/MAX($D\$4:$D\$15)*100)</f>
        <v/>
      </c>
      <c r="F5" s="12">
        <f>C5*'01_Параметры'!$B\$11+E5*'01_Параметры'!$B\$12</f>
        <v/>
      </c>
      <c r="G5">
        <f>IF(F5&gt;=75,"высокий",IF(F5&gt;=45,"средний","низкий"))</f>
        <v/>
      </c>
    </row>
    <row r="6">
      <c r="A6" s="9">
        <f>'03_Google_Trends'!A6</f>
        <v/>
      </c>
      <c r="B6" s="10">
        <f>'03_Google_Trends'!F6</f>
        <v/>
      </c>
      <c r="C6" s="10">
        <f>IF(MAX($B\$4:$B\$15)=0,0,B6/MAX($B\$4:$B\$15)*100)</f>
        <v/>
      </c>
      <c r="D6" s="5">
        <f>'04_Wordstat'!H6</f>
        <v/>
      </c>
      <c r="E6" s="10">
        <f>IF(MAX($D\$4:$D\$15)=0,0,D6/MAX($D\$4:$D\$15)*100)</f>
        <v/>
      </c>
      <c r="F6" s="12">
        <f>C6*'01_Параметры'!$B\$11+E6*'01_Параметры'!$B\$12</f>
        <v/>
      </c>
      <c r="G6">
        <f>IF(F6&gt;=75,"высокий",IF(F6&gt;=45,"средний","низкий"))</f>
        <v/>
      </c>
    </row>
    <row r="7">
      <c r="A7" s="9">
        <f>'03_Google_Trends'!A7</f>
        <v/>
      </c>
      <c r="B7" s="10">
        <f>'03_Google_Trends'!F7</f>
        <v/>
      </c>
      <c r="C7" s="10">
        <f>IF(MAX($B\$4:$B\$15)=0,0,B7/MAX($B\$4:$B\$15)*100)</f>
        <v/>
      </c>
      <c r="D7" s="5">
        <f>'04_Wordstat'!H7</f>
        <v/>
      </c>
      <c r="E7" s="10">
        <f>IF(MAX($D\$4:$D\$15)=0,0,D7/MAX($D\$4:$D\$15)*100)</f>
        <v/>
      </c>
      <c r="F7" s="12">
        <f>C7*'01_Параметры'!$B\$11+E7*'01_Параметры'!$B\$12</f>
        <v/>
      </c>
      <c r="G7">
        <f>IF(F7&gt;=75,"высокий",IF(F7&gt;=45,"средний","низкий"))</f>
        <v/>
      </c>
    </row>
    <row r="8">
      <c r="A8" s="9">
        <f>'03_Google_Trends'!A8</f>
        <v/>
      </c>
      <c r="B8" s="10">
        <f>'03_Google_Trends'!F8</f>
        <v/>
      </c>
      <c r="C8" s="10">
        <f>IF(MAX($B\$4:$B\$15)=0,0,B8/MAX($B\$4:$B\$15)*100)</f>
        <v/>
      </c>
      <c r="D8" s="5">
        <f>'04_Wordstat'!H8</f>
        <v/>
      </c>
      <c r="E8" s="10">
        <f>IF(MAX($D\$4:$D\$15)=0,0,D8/MAX($D\$4:$D\$15)*100)</f>
        <v/>
      </c>
      <c r="F8" s="12">
        <f>C8*'01_Параметры'!$B\$11+E8*'01_Параметры'!$B\$12</f>
        <v/>
      </c>
      <c r="G8">
        <f>IF(F8&gt;=75,"высокий",IF(F8&gt;=45,"средний","низкий"))</f>
        <v/>
      </c>
    </row>
    <row r="9">
      <c r="A9" s="9">
        <f>'03_Google_Trends'!A9</f>
        <v/>
      </c>
      <c r="B9" s="10">
        <f>'03_Google_Trends'!F9</f>
        <v/>
      </c>
      <c r="C9" s="10">
        <f>IF(MAX($B\$4:$B\$15)=0,0,B9/MAX($B\$4:$B\$15)*100)</f>
        <v/>
      </c>
      <c r="D9" s="5">
        <f>'04_Wordstat'!H9</f>
        <v/>
      </c>
      <c r="E9" s="10">
        <f>IF(MAX($D\$4:$D\$15)=0,0,D9/MAX($D\$4:$D\$15)*100)</f>
        <v/>
      </c>
      <c r="F9" s="12">
        <f>C9*'01_Параметры'!$B\$11+E9*'01_Параметры'!$B\$12</f>
        <v/>
      </c>
      <c r="G9">
        <f>IF(F9&gt;=75,"высокий",IF(F9&gt;=45,"средний","низкий"))</f>
        <v/>
      </c>
    </row>
    <row r="10">
      <c r="A10" s="9">
        <f>'03_Google_Trends'!A10</f>
        <v/>
      </c>
      <c r="B10" s="10">
        <f>'03_Google_Trends'!F10</f>
        <v/>
      </c>
      <c r="C10" s="10">
        <f>IF(MAX($B\$4:$B\$15)=0,0,B10/MAX($B\$4:$B\$15)*100)</f>
        <v/>
      </c>
      <c r="D10" s="5">
        <f>'04_Wordstat'!H10</f>
        <v/>
      </c>
      <c r="E10" s="10">
        <f>IF(MAX($D\$4:$D\$15)=0,0,D10/MAX($D\$4:$D\$15)*100)</f>
        <v/>
      </c>
      <c r="F10" s="12">
        <f>C10*'01_Параметры'!$B\$11+E10*'01_Параметры'!$B\$12</f>
        <v/>
      </c>
      <c r="G10">
        <f>IF(F10&gt;=75,"высокий",IF(F10&gt;=45,"средний","низкий"))</f>
        <v/>
      </c>
    </row>
    <row r="11">
      <c r="A11" s="9">
        <f>'03_Google_Trends'!A11</f>
        <v/>
      </c>
      <c r="B11" s="10">
        <f>'03_Google_Trends'!F11</f>
        <v/>
      </c>
      <c r="C11" s="10">
        <f>IF(MAX($B\$4:$B\$15)=0,0,B11/MAX($B\$4:$B\$15)*100)</f>
        <v/>
      </c>
      <c r="D11" s="5">
        <f>'04_Wordstat'!H11</f>
        <v/>
      </c>
      <c r="E11" s="10">
        <f>IF(MAX($D\$4:$D\$15)=0,0,D11/MAX($D\$4:$D\$15)*100)</f>
        <v/>
      </c>
      <c r="F11" s="12">
        <f>C11*'01_Параметры'!$B\$11+E11*'01_Параметры'!$B\$12</f>
        <v/>
      </c>
      <c r="G11">
        <f>IF(F11&gt;=75,"высокий",IF(F11&gt;=45,"средний","низкий"))</f>
        <v/>
      </c>
    </row>
    <row r="12">
      <c r="A12" s="9">
        <f>'03_Google_Trends'!A12</f>
        <v/>
      </c>
      <c r="B12" s="10">
        <f>'03_Google_Trends'!F12</f>
        <v/>
      </c>
      <c r="C12" s="10">
        <f>IF(MAX($B\$4:$B\$15)=0,0,B12/MAX($B\$4:$B\$15)*100)</f>
        <v/>
      </c>
      <c r="D12" s="5">
        <f>'04_Wordstat'!H12</f>
        <v/>
      </c>
      <c r="E12" s="10">
        <f>IF(MAX($D\$4:$D\$15)=0,0,D12/MAX($D\$4:$D\$15)*100)</f>
        <v/>
      </c>
      <c r="F12" s="12">
        <f>C12*'01_Параметры'!$B\$11+E12*'01_Параметры'!$B\$12</f>
        <v/>
      </c>
      <c r="G12">
        <f>IF(F12&gt;=75,"высокий",IF(F12&gt;=45,"средний","низкий"))</f>
        <v/>
      </c>
    </row>
    <row r="13">
      <c r="A13" s="9">
        <f>'03_Google_Trends'!A13</f>
        <v/>
      </c>
      <c r="B13" s="10">
        <f>'03_Google_Trends'!F13</f>
        <v/>
      </c>
      <c r="C13" s="10">
        <f>IF(MAX($B\$4:$B\$15)=0,0,B13/MAX($B\$4:$B\$15)*100)</f>
        <v/>
      </c>
      <c r="D13" s="5">
        <f>'04_Wordstat'!H13</f>
        <v/>
      </c>
      <c r="E13" s="10">
        <f>IF(MAX($D\$4:$D\$15)=0,0,D13/MAX($D\$4:$D\$15)*100)</f>
        <v/>
      </c>
      <c r="F13" s="12">
        <f>C13*'01_Параметры'!$B\$11+E13*'01_Параметры'!$B\$12</f>
        <v/>
      </c>
      <c r="G13">
        <f>IF(F13&gt;=75,"высокий",IF(F13&gt;=45,"средний","низкий"))</f>
        <v/>
      </c>
    </row>
    <row r="14">
      <c r="A14" s="9">
        <f>'03_Google_Trends'!A14</f>
        <v/>
      </c>
      <c r="B14" s="10">
        <f>'03_Google_Trends'!F14</f>
        <v/>
      </c>
      <c r="C14" s="10">
        <f>IF(MAX($B\$4:$B\$15)=0,0,B14/MAX($B\$4:$B\$15)*100)</f>
        <v/>
      </c>
      <c r="D14" s="5">
        <f>'04_Wordstat'!H14</f>
        <v/>
      </c>
      <c r="E14" s="10">
        <f>IF(MAX($D\$4:$D\$15)=0,0,D14/MAX($D\$4:$D\$15)*100)</f>
        <v/>
      </c>
      <c r="F14" s="12">
        <f>C14*'01_Параметры'!$B\$11+E14*'01_Параметры'!$B\$12</f>
        <v/>
      </c>
      <c r="G14">
        <f>IF(F14&gt;=75,"высокий",IF(F14&gt;=45,"средний","низкий"))</f>
        <v/>
      </c>
    </row>
    <row r="15">
      <c r="A15" s="9">
        <f>'03_Google_Trends'!A15</f>
        <v/>
      </c>
      <c r="B15" s="10">
        <f>'03_Google_Trends'!F15</f>
        <v/>
      </c>
      <c r="C15" s="10">
        <f>IF(MAX($B\$4:$B\$15)=0,0,B15/MAX($B\$4:$B\$15)*100)</f>
        <v/>
      </c>
      <c r="D15" s="5">
        <f>'04_Wordstat'!H15</f>
        <v/>
      </c>
      <c r="E15" s="10">
        <f>IF(MAX($D\$4:$D\$15)=0,0,D15/MAX($D\$4:$D\$15)*100)</f>
        <v/>
      </c>
      <c r="F15" s="12">
        <f>C15*'01_Параметры'!$B\$11+E15*'01_Параметры'!$B\$12</f>
        <v/>
      </c>
      <c r="G15">
        <f>IF(F15&gt;=75,"высокий",IF(F15&gt;=45,"средний","низкий"))</f>
        <v/>
      </c>
    </row>
  </sheetData>
  <mergeCells count="1">
    <mergeCell ref="A1:H1"/>
  </mergeCells>
  <conditionalFormatting sqref="F4:F1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G23" sqref="G23"/>
    </sheetView>
  </sheetViews>
  <sheetFormatPr baseColWidth="8" defaultRowHeight="14.25"/>
  <cols>
    <col width="34" customWidth="1" style="18" min="1" max="1"/>
    <col width="14.125" customWidth="1" style="18" min="2" max="2"/>
    <col width="11.75" customWidth="1" style="18" min="3" max="3"/>
    <col width="17.625" customWidth="1" style="18" min="4" max="4"/>
    <col width="59.25" customWidth="1" style="18" min="5" max="5"/>
  </cols>
  <sheetData>
    <row r="1" ht="18" customHeight="1" s="18">
      <c r="A1" s="17" t="inlineStr">
        <is>
          <t>Цифровая воронка: перевод поискового спроса в продажи и выручку</t>
        </is>
      </c>
    </row>
    <row r="3" ht="15" customHeight="1" s="18">
      <c r="A3" s="2" t="inlineStr">
        <is>
          <t>Показатель</t>
        </is>
      </c>
      <c r="B3" s="2" t="inlineStr">
        <is>
          <t>Осторожный</t>
        </is>
      </c>
      <c r="C3" s="2" t="inlineStr">
        <is>
          <t>Базовый</t>
        </is>
      </c>
      <c r="D3" s="2" t="inlineStr">
        <is>
          <t>Оптимистичный</t>
        </is>
      </c>
      <c r="E3" s="2" t="inlineStr">
        <is>
          <t>Комментарий</t>
        </is>
      </c>
    </row>
    <row r="4">
      <c r="A4" s="24" t="inlineStr">
        <is>
          <t>Взвешенный поисковый спрос / мес</t>
        </is>
      </c>
      <c r="B4" s="32">
        <f>AVERAGE('04_Wordstat'!$H\$4:$H\$15)</f>
        <v/>
      </c>
      <c r="C4" s="32">
        <f>AVERAGE('04_Wordstat'!$H\$4:$H\$15)</f>
        <v/>
      </c>
      <c r="D4" s="32">
        <f>AVERAGE('04_Wordstat'!$H\$4:$H\$15)</f>
        <v/>
      </c>
      <c r="E4" s="24" t="inlineStr">
        <is>
          <t>Берется из листа 04_Wordstat как среднее значение</t>
        </is>
      </c>
    </row>
    <row r="5">
      <c r="A5" s="24" t="inlineStr">
        <is>
          <t>Доля переходов из поиска</t>
        </is>
      </c>
      <c r="B5" s="31" t="n">
        <v>0.04</v>
      </c>
      <c r="C5" s="31" t="n">
        <v>0.08</v>
      </c>
      <c r="D5" s="31" t="n">
        <v>0.12</v>
      </c>
      <c r="E5" s="24" t="inlineStr">
        <is>
          <t>CTR или доля пользователей, перешедших на сайт / страницу</t>
        </is>
      </c>
    </row>
    <row r="6">
      <c r="A6" s="24" t="inlineStr">
        <is>
          <t>Посещения / мес</t>
        </is>
      </c>
      <c r="B6" s="32">
        <f>B4*B5</f>
        <v/>
      </c>
      <c r="C6" s="32">
        <f>C4*C5</f>
        <v/>
      </c>
      <c r="D6" s="32">
        <f>D4*D5</f>
        <v/>
      </c>
      <c r="E6" s="24" t="inlineStr">
        <is>
          <t>Поисковый спрос × доля переходов</t>
        </is>
      </c>
    </row>
    <row r="7">
      <c r="A7" s="24" t="inlineStr">
        <is>
          <t>Конверсия посетитель → заявка</t>
        </is>
      </c>
      <c r="B7" s="31" t="n">
        <v>0.02</v>
      </c>
      <c r="C7" s="31" t="n">
        <v>0.04</v>
      </c>
      <c r="D7" s="31" t="n">
        <v>0.07000000000000001</v>
      </c>
      <c r="E7" s="24" t="inlineStr">
        <is>
          <t>Зависит от качества предложения и сайта</t>
        </is>
      </c>
    </row>
    <row r="8">
      <c r="A8" s="24" t="inlineStr">
        <is>
          <t>Заявки / мес</t>
        </is>
      </c>
      <c r="B8" s="32">
        <f>B6*B7</f>
        <v/>
      </c>
      <c r="C8" s="32">
        <f>C6*C7</f>
        <v/>
      </c>
      <c r="D8" s="32">
        <f>D6*D7</f>
        <v/>
      </c>
      <c r="E8" s="24" t="inlineStr">
        <is>
          <t>Посещения × конверсия в заявку</t>
        </is>
      </c>
    </row>
    <row r="9" ht="28.5" customHeight="1" s="18">
      <c r="A9" s="24" t="inlineStr">
        <is>
          <t>Конверсия заявка → продажа</t>
        </is>
      </c>
      <c r="B9" s="31" t="n">
        <v>0.03</v>
      </c>
      <c r="C9" s="31" t="n">
        <v>0.04</v>
      </c>
      <c r="D9" s="31" t="n">
        <v>0.05</v>
      </c>
      <c r="E9" s="24" t="inlineStr">
        <is>
          <t>Регистрация → оплата Pro: допущение проекта 3–5 % (вне шкалы ПС 10–50 %)</t>
        </is>
      </c>
    </row>
    <row r="10">
      <c r="A10" s="24" t="inlineStr">
        <is>
          <t>Продажи / мес</t>
        </is>
      </c>
      <c r="B10" s="33">
        <f>B8*B9</f>
        <v/>
      </c>
      <c r="C10" s="33">
        <f>C8*C9</f>
        <v/>
      </c>
      <c r="D10" s="33">
        <f>D8*D9</f>
        <v/>
      </c>
      <c r="E10" s="24" t="inlineStr">
        <is>
          <t>Заявки × конверсия в продажу</t>
        </is>
      </c>
    </row>
    <row r="11" ht="42.75" customHeight="1" s="18">
      <c r="A11" s="24" t="inlineStr">
        <is>
          <t>Средний чек</t>
        </is>
      </c>
      <c r="B11" s="30" t="n">
        <v>121.14</v>
      </c>
      <c r="C11" s="30" t="n">
        <v>121.14</v>
      </c>
      <c r="D11" s="30" t="n">
        <v>290.74</v>
      </c>
      <c r="E11" s="24" t="inlineStr">
        <is>
          <t>Годовой чек Pro, BYN: 40 у.е./год (осторожный и базовый); медиана входных платных тарифов конкурентов (8 у.е./мес. × 12)</t>
        </is>
      </c>
    </row>
    <row r="12" ht="28.5" customHeight="1" s="18">
      <c r="A12" s="24" t="inlineStr">
        <is>
          <t>Коэффициент повторных покупок</t>
        </is>
      </c>
      <c r="B12" s="30" t="n">
        <v>1</v>
      </c>
      <c r="C12" s="30" t="n">
        <v>1.2</v>
      </c>
      <c r="D12" s="30" t="n">
        <v>1.5</v>
      </c>
      <c r="E12" s="24" t="inlineStr">
        <is>
          <t>Число годовых оплат на платящего; шкала шаблона (1 / 1,2 / 1,5), срок удержания — допущение</t>
        </is>
      </c>
    </row>
    <row r="13">
      <c r="A13" s="24" t="inlineStr">
        <is>
          <t>Выручка / мес</t>
        </is>
      </c>
      <c r="B13" s="32">
        <f>B10*B11*B12</f>
        <v/>
      </c>
      <c r="C13" s="32">
        <f>C10*C11*C12</f>
        <v/>
      </c>
      <c r="D13" s="32">
        <f>D10*D11*D12</f>
        <v/>
      </c>
      <c r="E13" s="24" t="inlineStr">
        <is>
          <t>Продажи × средний чек × повторные покупки</t>
        </is>
      </c>
    </row>
    <row r="14">
      <c r="A14" s="24" t="inlineStr">
        <is>
          <t>Выручка / год</t>
        </is>
      </c>
      <c r="B14" s="32">
        <f>B13*12</f>
        <v/>
      </c>
      <c r="C14" s="32">
        <f>C13*12</f>
        <v/>
      </c>
      <c r="D14" s="32">
        <f>D13*12</f>
        <v/>
      </c>
      <c r="E14" s="24" t="inlineStr">
        <is>
          <t>Месячная выручка × 12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D24" sqref="D24"/>
    </sheetView>
  </sheetViews>
  <sheetFormatPr baseColWidth="8" defaultRowHeight="14.25"/>
  <cols>
    <col width="36.625" customWidth="1" style="18" min="1" max="1"/>
    <col width="14.125" customWidth="1" style="18" min="2" max="2"/>
    <col width="11.5" customWidth="1" style="18" min="3" max="3"/>
    <col width="13.5" customWidth="1" style="18" min="4" max="4"/>
    <col width="10.75" customWidth="1" style="18" min="5" max="5"/>
    <col width="12.75" customWidth="1" style="18" min="6" max="6"/>
    <col width="12" customWidth="1" style="18" min="7" max="7"/>
    <col width="51.75" customWidth="1" style="18" min="8" max="8"/>
  </cols>
  <sheetData>
    <row r="1" ht="18" customHeight="1" s="18">
      <c r="A1" s="17" t="inlineStr">
        <is>
          <t>Сценарная оценка объема рынка</t>
        </is>
      </c>
    </row>
    <row r="3" ht="30" customHeight="1" s="18">
      <c r="A3" s="2" t="inlineStr">
        <is>
          <t>Сценарий</t>
        </is>
      </c>
      <c r="B3" s="2" t="inlineStr">
        <is>
          <t>Переходы / мес</t>
        </is>
      </c>
      <c r="C3" s="2" t="inlineStr">
        <is>
          <t>Заявки / мес</t>
        </is>
      </c>
      <c r="D3" s="2" t="inlineStr">
        <is>
          <t>Продажи / мес</t>
        </is>
      </c>
      <c r="E3" s="2" t="inlineStr">
        <is>
          <t>Средний чек</t>
        </is>
      </c>
      <c r="F3" s="2" t="inlineStr">
        <is>
          <t>Выручка / мес</t>
        </is>
      </c>
      <c r="G3" s="2" t="inlineStr">
        <is>
          <t>Выручка / год</t>
        </is>
      </c>
      <c r="H3" s="2" t="inlineStr">
        <is>
          <t>Интерпретация</t>
        </is>
      </c>
    </row>
    <row r="4">
      <c r="A4" t="inlineStr">
        <is>
          <t>Осторожный</t>
        </is>
      </c>
      <c r="B4" s="10">
        <f>'06_Воронка'!B6</f>
        <v/>
      </c>
      <c r="C4" s="10">
        <f>'06_Воронка'!B8</f>
        <v/>
      </c>
      <c r="D4" s="10">
        <f>'06_Воронка'!B10</f>
        <v/>
      </c>
      <c r="E4" s="5">
        <f>'06_Воронка'!B11</f>
        <v/>
      </c>
      <c r="F4" s="5">
        <f>'06_Воронка'!B13</f>
        <v/>
      </c>
      <c r="G4" s="5">
        <f>'06_Воронка'!B14</f>
        <v/>
      </c>
      <c r="H4" t="inlineStr">
        <is>
          <t>Нижняя граница оценки при слабой конверсии</t>
        </is>
      </c>
    </row>
    <row r="5">
      <c r="A5" t="inlineStr">
        <is>
          <t>Базовый</t>
        </is>
      </c>
      <c r="B5" s="10">
        <f>'06_Воронка'!C6</f>
        <v/>
      </c>
      <c r="C5" s="10">
        <f>'06_Воронка'!C8</f>
        <v/>
      </c>
      <c r="D5" s="10">
        <f>'06_Воронка'!C10</f>
        <v/>
      </c>
      <c r="E5" s="5">
        <f>'06_Воронка'!C11</f>
        <v/>
      </c>
      <c r="F5" s="5">
        <f>'06_Воронка'!C13</f>
        <v/>
      </c>
      <c r="G5" s="5">
        <f>'06_Воронка'!C14</f>
        <v/>
      </c>
      <c r="H5" t="inlineStr">
        <is>
          <t>Рабочий ориентир для планирования</t>
        </is>
      </c>
    </row>
    <row r="6">
      <c r="A6" t="inlineStr">
        <is>
          <t>Оптимистичный</t>
        </is>
      </c>
      <c r="B6" s="10">
        <f>'06_Воронка'!D6</f>
        <v/>
      </c>
      <c r="C6" s="10">
        <f>'06_Воронка'!D8</f>
        <v/>
      </c>
      <c r="D6" s="10">
        <f>'06_Воронка'!D10</f>
        <v/>
      </c>
      <c r="E6" s="5">
        <f>'06_Воронка'!D11</f>
        <v/>
      </c>
      <c r="F6" s="5">
        <f>'06_Воронка'!D13</f>
        <v/>
      </c>
      <c r="G6" s="5">
        <f>'06_Воронка'!D14</f>
        <v/>
      </c>
      <c r="H6" t="inlineStr">
        <is>
          <t>Верхняя граница при сильном предложении и продвижении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C29" sqref="C29"/>
    </sheetView>
  </sheetViews>
  <sheetFormatPr baseColWidth="8" defaultRowHeight="14.25"/>
  <cols>
    <col width="34" customWidth="1" style="18" min="1" max="1"/>
    <col width="13.5" customWidth="1" style="18" min="2" max="2"/>
    <col width="48" customWidth="1" style="18" min="3" max="3"/>
  </cols>
  <sheetData>
    <row r="1" ht="18" customHeight="1" s="18">
      <c r="A1" s="17" t="inlineStr">
        <is>
          <t>Итоговая панель оценки рынка через поисковый спрос</t>
        </is>
      </c>
    </row>
    <row r="3" ht="15" customHeight="1" s="18">
      <c r="A3" s="2" t="inlineStr">
        <is>
          <t>Показатель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20" t="inlineStr">
        <is>
          <t>Средний сводный индекс спроса</t>
        </is>
      </c>
      <c r="B4" s="14">
        <f>AVERAGE('05_Нормализация'!F4:F15)</f>
        <v/>
      </c>
      <c r="C4" s="20" t="inlineStr">
        <is>
          <t>Среднее по листу нормализации</t>
        </is>
      </c>
    </row>
    <row r="5" ht="28.5" customHeight="1" s="18">
      <c r="A5" s="20" t="inlineStr">
        <is>
          <t>Максимальный сводный индекс спроса</t>
        </is>
      </c>
      <c r="B5" s="14">
        <f>MAX('05_Нормализация'!F4:F15)</f>
        <v/>
      </c>
      <c r="C5" s="20" t="inlineStr">
        <is>
          <t>Пик интереса за период</t>
        </is>
      </c>
    </row>
    <row r="6">
      <c r="A6" s="20" t="inlineStr">
        <is>
          <t>Средняя взвешенная частотность</t>
        </is>
      </c>
      <c r="B6" s="15">
        <f>AVERAGE('04_Wordstat'!H4:H15)</f>
        <v/>
      </c>
      <c r="C6" s="20" t="inlineStr">
        <is>
          <t>Средний коммерчески взвешенный спрос / мес</t>
        </is>
      </c>
    </row>
    <row r="7">
      <c r="A7" s="20" t="inlineStr">
        <is>
          <t>Базовая выручка / мес</t>
        </is>
      </c>
      <c r="B7" s="15">
        <f>'06_Воронка'!C13</f>
        <v/>
      </c>
      <c r="C7" s="20" t="inlineStr">
        <is>
          <t>Расчет по базовому сценарию</t>
        </is>
      </c>
    </row>
    <row r="8">
      <c r="A8" s="20" t="inlineStr">
        <is>
          <t>Базовая выручка / год</t>
        </is>
      </c>
      <c r="B8" s="15">
        <f>'06_Воронка'!C14</f>
        <v/>
      </c>
      <c r="C8" s="20" t="inlineStr">
        <is>
          <t>Расчет по базовому сценарию</t>
        </is>
      </c>
    </row>
    <row r="9">
      <c r="A9" s="20" t="inlineStr">
        <is>
          <t>Диапазон годовой выручки</t>
        </is>
      </c>
      <c r="B9" s="16">
        <f>TEXT('06_Воронка'!B14,"# ##0")&amp;" — "&amp;TEXT('06_Воронка'!D14,"# ##0")</f>
        <v/>
      </c>
      <c r="C9" s="20" t="inlineStr">
        <is>
          <t>Осторожный — оптимистичный сценарий</t>
        </is>
      </c>
    </row>
    <row r="10" ht="28.5" customHeight="1" s="18">
      <c r="A10" s="20" t="inlineStr">
        <is>
          <t>Уровень интереса</t>
        </is>
      </c>
      <c r="B10" s="16">
        <f>IF(B4&gt;=75,"высокий",IF(B4&gt;=45,"средний","низкий"))</f>
        <v/>
      </c>
      <c r="C10" s="20" t="inlineStr">
        <is>
          <t>Автоматическая классификация по среднему индексу</t>
        </is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D24" sqref="D24"/>
    </sheetView>
  </sheetViews>
  <sheetFormatPr baseColWidth="8" defaultRowHeight="14.25"/>
  <cols>
    <col width="42.625" customWidth="1" style="18" min="1" max="1"/>
    <col width="48" customWidth="1" style="18" min="2" max="2"/>
    <col width="38.25" customWidth="1" style="18" min="3" max="3"/>
    <col width="20.75" customWidth="1" style="18" min="4" max="4"/>
    <col width="58" customWidth="1" style="18" min="5" max="5"/>
  </cols>
  <sheetData>
    <row r="1" ht="18" customHeight="1" s="18">
      <c r="A1" s="17" t="inlineStr">
        <is>
          <t>Источники данных и журнал фиксации</t>
        </is>
      </c>
    </row>
    <row r="2"/>
    <row r="3" ht="15" customHeight="1" s="18">
      <c r="A3" s="2" t="inlineStr">
        <is>
          <t>Источник</t>
        </is>
      </c>
      <c r="B3" s="2" t="inlineStr">
        <is>
          <t>Что брать</t>
        </is>
      </c>
      <c r="C3" s="2" t="inlineStr">
        <is>
          <t>Период / регион</t>
        </is>
      </c>
      <c r="D3" s="2" t="inlineStr">
        <is>
          <t>Дата фиксации</t>
        </is>
      </c>
      <c r="E3" s="2" t="inlineStr">
        <is>
          <t>Ссылка / примечание</t>
        </is>
      </c>
    </row>
    <row r="4" ht="28.5" customHeight="1" s="18">
      <c r="A4" s="21" t="inlineStr">
        <is>
          <t>Google Trends</t>
        </is>
      </c>
      <c r="B4" s="21" t="inlineStr">
        <is>
          <t>Индекс интереса, динамика, региональность, связанные запросы</t>
        </is>
      </c>
      <c r="C4" s="21" t="inlineStr">
        <is>
          <t>Беларусь; 12 мес. (сент. 2025 – авг. 2026)</t>
        </is>
      </c>
      <c r="D4" s="38" t="inlineStr">
        <is>
          <t>29.09.2026</t>
        </is>
      </c>
      <c r="E4" s="21" t="inlineStr">
        <is>
          <t>https://trends.google.com/</t>
        </is>
      </c>
    </row>
    <row r="5">
      <c r="A5" s="21" t="inlineStr">
        <is>
          <t>Справка Google Trends</t>
        </is>
      </c>
      <c r="B5" s="21" t="inlineStr">
        <is>
          <t>Описание нормированного индекса и выгрузки CSV</t>
        </is>
      </c>
      <c r="C5" s="21" t="inlineStr">
        <is>
          <t>общая методика</t>
        </is>
      </c>
      <c r="D5" s="38" t="inlineStr">
        <is>
          <t>29.09.2026</t>
        </is>
      </c>
      <c r="E5" s="21" t="inlineStr">
        <is>
          <t>https://support.google.com/trends/answer/4365533</t>
        </is>
      </c>
    </row>
    <row r="6" ht="28.5" customHeight="1" s="18">
      <c r="A6" s="21" t="inlineStr">
        <is>
          <t>Яндекс Вордстат</t>
        </is>
      </c>
      <c r="B6" s="21" t="inlineStr">
        <is>
          <t>Частотность запросов, динамика, регионы, похожие запросы</t>
        </is>
      </c>
      <c r="C6" s="21" t="inlineStr">
        <is>
          <t>Беларусь (id=149); 24 мес. и 30 дней</t>
        </is>
      </c>
      <c r="D6" s="38" t="inlineStr">
        <is>
          <t>29.09.2026</t>
        </is>
      </c>
      <c r="E6" s="21" t="inlineStr">
        <is>
          <t>https://wordstat.yandex.ru/</t>
        </is>
      </c>
    </row>
    <row r="7" ht="28.5" customHeight="1" s="18">
      <c r="A7" s="21" t="inlineStr">
        <is>
          <t>Справка Яндекс Вордстат</t>
        </is>
      </c>
      <c r="B7" s="21" t="inlineStr">
        <is>
          <t>Описание интерфейса, динамики, регионов и экспорта</t>
        </is>
      </c>
      <c r="C7" s="21" t="inlineStr">
        <is>
          <t>общая методика</t>
        </is>
      </c>
      <c r="D7" s="38" t="inlineStr">
        <is>
          <t>29.09.2026</t>
        </is>
      </c>
      <c r="E7" s="21" t="inlineStr">
        <is>
          <t>https://yandex.ru/support2/wordstat/ru/</t>
        </is>
      </c>
    </row>
    <row r="8" ht="42.75" customHeight="1" s="18">
      <c r="A8" s="21" t="inlineStr">
        <is>
          <t>Рекламные кабинеты</t>
        </is>
      </c>
      <c r="B8" s="21" t="inlineStr">
        <is>
          <t>Оценка охвата, кликабельности, стоимости клика</t>
        </is>
      </c>
      <c r="C8" s="21" t="inlineStr">
        <is>
          <t>указать</t>
        </is>
      </c>
      <c r="D8" s="38" t="inlineStr">
        <is>
          <t>02.05.2026</t>
        </is>
      </c>
      <c r="E8" s="21" t="inlineStr"/>
    </row>
    <row r="9" ht="28.5" customHeight="1" s="18">
      <c r="A9" s="21" t="inlineStr">
        <is>
          <t>Сайт / CRM / продажи</t>
        </is>
      </c>
      <c r="B9" s="21" t="inlineStr">
        <is>
          <t>Фактические конверсии, заявки, средний чек</t>
        </is>
      </c>
      <c r="C9" s="21" t="inlineStr">
        <is>
          <t>указать</t>
        </is>
      </c>
      <c r="D9" s="38" t="inlineStr">
        <is>
          <t>02.05.2026</t>
        </is>
      </c>
      <c r="E9" s="21" t="inlineStr">
        <is>
          <t>Собственной аналитики нет (MVP не запущен): конверсии — допущение проекта (концепция NotaCode: Free → Pro 3–5 %)</t>
        </is>
      </c>
    </row>
    <row r="10">
      <c r="A10" s="24" t="inlineStr">
        <is>
          <t>Курс НБРБ у.е./BYN</t>
        </is>
      </c>
      <c r="B10" s="24" t="inlineStr">
        <is>
          <t>3,0285 BYN за 1 у.е</t>
        </is>
      </c>
      <c r="C10" s="24" t="inlineStr">
        <is>
          <t>—</t>
        </is>
      </c>
      <c r="D10" s="39" t="inlineStr">
        <is>
          <t>29.09.2026</t>
        </is>
      </c>
      <c r="E10" s="24" t="inlineStr">
        <is>
          <t>https://api.nbrb.by/exrates/rates/431</t>
        </is>
      </c>
    </row>
    <row r="11" ht="28.5" customHeight="1" s="18">
      <c r="A11" s="24" t="inlineStr">
        <is>
          <t>Концепция NotaCode</t>
        </is>
      </c>
      <c r="B11" s="24" t="inlineStr">
        <is>
          <t>Цена Pro 40 у.е./год (помесячно 4 у.е.); конверсия Free → Pro 3–5 % (гипотеза A-06)</t>
        </is>
      </c>
      <c r="C11" s="24" t="inlineStr">
        <is>
          <t>—</t>
        </is>
      </c>
      <c r="D11" s="39" t="inlineStr">
        <is>
          <t>29.09.2026</t>
        </is>
      </c>
      <c r="E11" s="24" t="inlineStr">
        <is>
          <t>документ проекта (концепция, раздел 6)</t>
        </is>
      </c>
    </row>
    <row r="12" ht="28.5" customHeight="1" s="18">
      <c r="A12" s="24" t="inlineStr">
        <is>
          <t>Тарифы конкурентов</t>
        </is>
      </c>
      <c r="B12" s="24" t="inlineStr">
        <is>
          <t>Входные платные тарифы, медиана 8 у.е./мес. при оплате за год</t>
        </is>
      </c>
      <c r="C12" s="24" t="inlineStr">
        <is>
          <t>—</t>
        </is>
      </c>
      <c r="D12" s="39" t="inlineStr">
        <is>
          <t>29.09.2026</t>
        </is>
      </c>
      <c r="E12" s="24" t="inlineStr">
        <is>
          <t>страницы тарифов Miro, Lucidchart, Mermaid Chart и др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2026-10-04T14:13:42Z</dcterms:created>
  <dcterms:modified xmlns:dcterms="http://purl.org/dc/terms/" xmlns:xsi="http://www.w3.org/2001/XMLSchema-instance" xsi:type="dcterms:W3CDTF">2026-10-04T15:44:26Z</dcterms:modified>
  <cp:lastModifiedBy>Aliaksandr Khajynau</cp:lastModifiedBy>
</cp:coreProperties>
</file>