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187E973D-B6C4-43B4-B907-F33F4CE0E8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5" i="3"/>
  <c r="G54" i="3"/>
  <c r="G47" i="3"/>
  <c r="G46" i="3"/>
  <c r="G45" i="3"/>
  <c r="G44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G56" i="3" s="1"/>
  <c r="D56" i="3"/>
  <c r="A56" i="3"/>
  <c r="E55" i="3"/>
  <c r="F55" i="3" s="1"/>
  <c r="D55" i="3"/>
  <c r="A55" i="3"/>
  <c r="B55" i="3" s="1"/>
  <c r="D64" i="6" s="1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D29" i="3"/>
  <c r="G29" i="3" s="1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N48" i="3" l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F16" i="3"/>
  <c r="G16" i="3" s="1"/>
  <c r="F23" i="3"/>
  <c r="G23" i="3" s="1"/>
  <c r="F15" i="3"/>
  <c r="G15" i="3" s="1"/>
  <c r="F24" i="3"/>
  <c r="G24" i="3" s="1"/>
  <c r="F28" i="3"/>
  <c r="G28" i="3" s="1"/>
  <c r="F27" i="3"/>
  <c r="G27" i="3" s="1"/>
  <c r="F25" i="3"/>
  <c r="G25" i="3" s="1"/>
  <c r="F22" i="3"/>
  <c r="G22" i="3" s="1"/>
  <c r="F18" i="3"/>
  <c r="G18" i="3" s="1"/>
  <c r="F17" i="3"/>
  <c r="G17" i="3" s="1"/>
  <c r="F26" i="3"/>
  <c r="G26" i="3" s="1"/>
  <c r="F20" i="3"/>
  <c r="G20" i="3" s="1"/>
  <c r="F19" i="3"/>
  <c r="G19" i="3" s="1"/>
  <c r="F21" i="3"/>
  <c r="G21" i="3" s="1"/>
  <c r="B43" i="6"/>
  <c r="F14" i="3"/>
  <c r="G14" i="3" s="1"/>
  <c r="F11" i="3"/>
  <c r="G11" i="3" s="1"/>
  <c r="F12" i="3"/>
  <c r="G12" i="3" s="1"/>
  <c r="F13" i="3"/>
  <c r="G13" i="3" s="1"/>
  <c r="F10" i="3"/>
  <c r="G10" i="3" s="1"/>
  <c r="F9" i="3"/>
  <c r="G9" i="3" s="1"/>
  <c r="B38" i="6"/>
  <c r="F8" i="3"/>
  <c r="G8" i="3" s="1"/>
  <c r="F7" i="3"/>
  <c r="G7" i="3" s="1"/>
  <c r="B42" i="6"/>
  <c r="F6" i="3"/>
  <c r="G6" i="3" s="1"/>
  <c r="B41" i="6"/>
  <c r="F5" i="3"/>
  <c r="G5" i="3" s="1"/>
  <c r="B45" i="6"/>
  <c r="B44" i="6"/>
  <c r="A73" i="6"/>
  <c r="B64" i="3"/>
  <c r="C64" i="3"/>
  <c r="B72" i="6"/>
  <c r="A72" i="6"/>
  <c r="C63" i="3"/>
  <c r="B63" i="3"/>
  <c r="A71" i="6"/>
  <c r="B62" i="3"/>
  <c r="C62" i="3"/>
  <c r="A70" i="6"/>
  <c r="C61" i="3"/>
  <c r="B61" i="3"/>
  <c r="A69" i="6"/>
  <c r="C60" i="3"/>
  <c r="B60" i="3"/>
  <c r="A68" i="6"/>
  <c r="B59" i="3"/>
  <c r="C59" i="3"/>
  <c r="A67" i="6"/>
  <c r="C58" i="3"/>
  <c r="B58" i="3"/>
  <c r="A66" i="6"/>
  <c r="C57" i="3"/>
  <c r="B57" i="3"/>
  <c r="D66" i="6" s="1"/>
  <c r="B65" i="6"/>
  <c r="A65" i="6"/>
  <c r="C56" i="3"/>
  <c r="B56" i="3"/>
  <c r="A64" i="6"/>
  <c r="C55" i="3"/>
  <c r="A63" i="6"/>
  <c r="C54" i="3"/>
  <c r="B54" i="3"/>
  <c r="A62" i="6"/>
  <c r="B53" i="3"/>
  <c r="C53" i="3"/>
  <c r="C52" i="3"/>
  <c r="B52" i="3"/>
  <c r="A61" i="6"/>
  <c r="B51" i="3"/>
  <c r="A60" i="6"/>
  <c r="C51" i="3"/>
  <c r="A59" i="6"/>
  <c r="B50" i="3"/>
  <c r="C50" i="3"/>
  <c r="A58" i="6"/>
  <c r="B49" i="3"/>
  <c r="C49" i="3"/>
  <c r="A57" i="6"/>
  <c r="B48" i="3"/>
  <c r="C48" i="3"/>
  <c r="A56" i="6"/>
  <c r="B47" i="3"/>
  <c r="C47" i="3"/>
  <c r="A55" i="6"/>
  <c r="B46" i="3"/>
  <c r="D55" i="6" s="1"/>
  <c r="C46" i="3"/>
  <c r="A54" i="6"/>
  <c r="C45" i="3"/>
  <c r="B45" i="3"/>
  <c r="A53" i="6"/>
  <c r="C44" i="3"/>
  <c r="B44" i="3"/>
  <c r="B43" i="3"/>
  <c r="A52" i="6"/>
  <c r="C43" i="3"/>
  <c r="B51" i="6"/>
  <c r="A51" i="6"/>
  <c r="B42" i="3"/>
  <c r="C42" i="3"/>
  <c r="C41" i="3"/>
  <c r="A50" i="6"/>
  <c r="B41" i="3"/>
  <c r="B40" i="3"/>
  <c r="A49" i="6"/>
  <c r="C40" i="3"/>
  <c r="B39" i="3"/>
  <c r="C39" i="3"/>
  <c r="A48" i="6"/>
  <c r="A47" i="6"/>
  <c r="B38" i="3"/>
  <c r="C38" i="3"/>
  <c r="B46" i="6"/>
  <c r="A46" i="6"/>
  <c r="C37" i="3"/>
  <c r="B37" i="3"/>
  <c r="A45" i="6"/>
  <c r="C36" i="3"/>
  <c r="B36" i="3"/>
  <c r="B35" i="3"/>
  <c r="A44" i="6"/>
  <c r="C35" i="3"/>
  <c r="A43" i="6"/>
  <c r="B34" i="3"/>
  <c r="C34" i="3"/>
  <c r="A42" i="6"/>
  <c r="B33" i="3"/>
  <c r="C33" i="3"/>
  <c r="A41" i="6"/>
  <c r="C32" i="3"/>
  <c r="B32" i="3"/>
  <c r="A40" i="6"/>
  <c r="C31" i="3"/>
  <c r="B31" i="3"/>
  <c r="C30" i="3"/>
  <c r="B30" i="3"/>
  <c r="A39" i="6"/>
  <c r="C29" i="3"/>
  <c r="A38" i="6"/>
  <c r="B29" i="3"/>
  <c r="A37" i="6"/>
  <c r="B28" i="3"/>
  <c r="C28" i="3"/>
  <c r="B27" i="3"/>
  <c r="C27" i="3"/>
  <c r="A36" i="6"/>
  <c r="C26" i="3"/>
  <c r="A35" i="6"/>
  <c r="B26" i="3"/>
  <c r="A34" i="6"/>
  <c r="B25" i="3"/>
  <c r="C25" i="3"/>
  <c r="A33" i="6"/>
  <c r="C24" i="3"/>
  <c r="B24" i="3"/>
  <c r="A32" i="6"/>
  <c r="B23" i="3"/>
  <c r="C23" i="3"/>
  <c r="A31" i="6"/>
  <c r="B22" i="3"/>
  <c r="C22" i="3"/>
  <c r="C21" i="3"/>
  <c r="A30" i="6"/>
  <c r="B21" i="3"/>
  <c r="B20" i="3"/>
  <c r="A29" i="6"/>
  <c r="C20" i="3"/>
  <c r="B19" i="3"/>
  <c r="A28" i="6"/>
  <c r="C19" i="3"/>
  <c r="B18" i="3"/>
  <c r="A27" i="6"/>
  <c r="C18" i="3"/>
  <c r="C17" i="3"/>
  <c r="B17" i="3"/>
  <c r="A26" i="6"/>
  <c r="C16" i="3"/>
  <c r="B16" i="3"/>
  <c r="A25" i="6"/>
  <c r="A24" i="6"/>
  <c r="B15" i="3"/>
  <c r="C15" i="3"/>
  <c r="A23" i="6"/>
  <c r="B14" i="3"/>
  <c r="C14" i="3"/>
  <c r="A22" i="6"/>
  <c r="C13" i="3"/>
  <c r="B13" i="3"/>
  <c r="A21" i="6"/>
  <c r="C12" i="3"/>
  <c r="B12" i="3"/>
  <c r="A20" i="6"/>
  <c r="C11" i="3"/>
  <c r="B11" i="3"/>
  <c r="B10" i="3"/>
  <c r="C10" i="3"/>
  <c r="A19" i="6"/>
  <c r="B9" i="3"/>
  <c r="A18" i="6"/>
  <c r="C9" i="3"/>
  <c r="C8" i="3"/>
  <c r="B8" i="3"/>
  <c r="A17" i="6"/>
  <c r="A16" i="6"/>
  <c r="B7" i="3"/>
  <c r="C7" i="3"/>
  <c r="B6" i="3"/>
  <c r="C6" i="3"/>
  <c r="A15" i="6"/>
  <c r="B5" i="3"/>
  <c r="C5" i="3"/>
  <c r="A14" i="6"/>
  <c r="B25" i="6" l="1"/>
  <c r="H16" i="3"/>
  <c r="N16" i="3"/>
  <c r="N23" i="3"/>
  <c r="B32" i="6"/>
  <c r="H23" i="3"/>
  <c r="N15" i="3"/>
  <c r="H15" i="3"/>
  <c r="N24" i="3"/>
  <c r="H24" i="3"/>
  <c r="B33" i="6"/>
  <c r="H28" i="3"/>
  <c r="N28" i="3"/>
  <c r="H27" i="3"/>
  <c r="N27" i="3"/>
  <c r="H25" i="3"/>
  <c r="N25" i="3"/>
  <c r="B34" i="6"/>
  <c r="H22" i="3"/>
  <c r="N22" i="3"/>
  <c r="B27" i="6"/>
  <c r="H18" i="3"/>
  <c r="N18" i="3"/>
  <c r="B26" i="6"/>
  <c r="N17" i="3"/>
  <c r="H17" i="3"/>
  <c r="H26" i="3"/>
  <c r="N26" i="3"/>
  <c r="B35" i="6"/>
  <c r="H20" i="3"/>
  <c r="N20" i="3"/>
  <c r="B28" i="6"/>
  <c r="H19" i="3"/>
  <c r="N19" i="3"/>
  <c r="N21" i="3"/>
  <c r="H21" i="3"/>
  <c r="I21" i="3" s="1"/>
  <c r="H14" i="3"/>
  <c r="N14" i="3"/>
  <c r="N11" i="3"/>
  <c r="H11" i="3"/>
  <c r="I11" i="3" s="1"/>
  <c r="H12" i="3"/>
  <c r="N12" i="3"/>
  <c r="N13" i="3"/>
  <c r="H13" i="3"/>
  <c r="H10" i="3"/>
  <c r="N10" i="3"/>
  <c r="H9" i="3"/>
  <c r="I9" i="3" s="1"/>
  <c r="C4" i="4" s="1"/>
  <c r="N9" i="3"/>
  <c r="H8" i="3"/>
  <c r="N8" i="3"/>
  <c r="N7" i="3"/>
  <c r="H7" i="3"/>
  <c r="N6" i="3"/>
  <c r="H6" i="3"/>
  <c r="H31" i="3"/>
  <c r="I31" i="3" s="1"/>
  <c r="H32" i="3"/>
  <c r="H33" i="3"/>
  <c r="H34" i="3"/>
  <c r="H35" i="3"/>
  <c r="H38" i="3"/>
  <c r="H39" i="3"/>
  <c r="H40" i="3"/>
  <c r="H46" i="3"/>
  <c r="H47" i="3"/>
  <c r="H50" i="3"/>
  <c r="H51" i="3"/>
  <c r="H52" i="3"/>
  <c r="H53" i="3"/>
  <c r="H54" i="3"/>
  <c r="H57" i="3"/>
  <c r="H58" i="3"/>
  <c r="H60" i="3"/>
  <c r="H61" i="3"/>
  <c r="H62" i="3"/>
  <c r="H64" i="3"/>
  <c r="H48" i="3"/>
  <c r="H29" i="3"/>
  <c r="H30" i="3"/>
  <c r="H36" i="3"/>
  <c r="H37" i="3"/>
  <c r="H41" i="3"/>
  <c r="H42" i="3"/>
  <c r="H43" i="3"/>
  <c r="H44" i="3"/>
  <c r="H45" i="3"/>
  <c r="H49" i="3"/>
  <c r="H55" i="3"/>
  <c r="H56" i="3"/>
  <c r="H59" i="3"/>
  <c r="H63" i="3"/>
  <c r="H5" i="3"/>
  <c r="N5" i="3"/>
  <c r="B4" i="5"/>
  <c r="B73" i="6"/>
  <c r="J55" i="3"/>
  <c r="E64" i="6" s="1"/>
  <c r="B64" i="6"/>
  <c r="B62" i="6"/>
  <c r="B56" i="6"/>
  <c r="B53" i="6"/>
  <c r="B71" i="6"/>
  <c r="B70" i="6"/>
  <c r="B69" i="6"/>
  <c r="B61" i="6"/>
  <c r="B68" i="6"/>
  <c r="B67" i="6"/>
  <c r="B50" i="6"/>
  <c r="B63" i="6"/>
  <c r="B60" i="6"/>
  <c r="B52" i="6"/>
  <c r="B58" i="6"/>
  <c r="B59" i="6"/>
  <c r="B57" i="6"/>
  <c r="J46" i="3"/>
  <c r="E55" i="6" s="1"/>
  <c r="B55" i="6"/>
  <c r="B54" i="6"/>
  <c r="I38" i="3"/>
  <c r="B47" i="6"/>
  <c r="B39" i="6"/>
  <c r="B24" i="6"/>
  <c r="B15" i="6"/>
  <c r="J57" i="3"/>
  <c r="E66" i="6" s="1"/>
  <c r="B66" i="6"/>
  <c r="B48" i="6"/>
  <c r="B23" i="6"/>
  <c r="B20" i="6"/>
  <c r="B18" i="6"/>
  <c r="B17" i="6"/>
  <c r="B16" i="6"/>
  <c r="B49" i="6"/>
  <c r="B40" i="6"/>
  <c r="B37" i="6"/>
  <c r="B29" i="6"/>
  <c r="B19" i="6"/>
  <c r="B14" i="6"/>
  <c r="B36" i="6"/>
  <c r="B31" i="6"/>
  <c r="B30" i="6"/>
  <c r="B22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8" i="6"/>
  <c r="J59" i="3"/>
  <c r="E68" i="6" s="1"/>
  <c r="D67" i="6"/>
  <c r="J58" i="3"/>
  <c r="E67" i="6" s="1"/>
  <c r="D65" i="6"/>
  <c r="J56" i="3"/>
  <c r="E65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D50" i="6"/>
  <c r="J41" i="3"/>
  <c r="E50" i="6" s="1"/>
  <c r="B5" i="5" l="1"/>
  <c r="B6" i="5"/>
  <c r="C24" i="6"/>
  <c r="I15" i="3"/>
  <c r="C10" i="4" s="1"/>
  <c r="B9" i="5"/>
  <c r="C16" i="6"/>
  <c r="I7" i="3"/>
  <c r="C14" i="4" s="1"/>
  <c r="C49" i="6"/>
  <c r="I40" i="3"/>
  <c r="C31" i="6"/>
  <c r="I22" i="3"/>
  <c r="C22" i="6"/>
  <c r="I13" i="3"/>
  <c r="C8" i="4" s="1"/>
  <c r="C6" i="1"/>
  <c r="B5" i="6"/>
  <c r="I58" i="3"/>
  <c r="K58" i="3"/>
  <c r="C67" i="6"/>
  <c r="K56" i="3"/>
  <c r="I56" i="3"/>
  <c r="C65" i="6"/>
  <c r="K50" i="3"/>
  <c r="I50" i="3"/>
  <c r="C59" i="6"/>
  <c r="I49" i="3"/>
  <c r="K49" i="3"/>
  <c r="C58" i="6"/>
  <c r="K48" i="3"/>
  <c r="I48" i="3"/>
  <c r="C57" i="6"/>
  <c r="I47" i="3"/>
  <c r="K47" i="3"/>
  <c r="C56" i="6"/>
  <c r="K46" i="3"/>
  <c r="I46" i="3"/>
  <c r="C55" i="6"/>
  <c r="K64" i="3"/>
  <c r="I64" i="3"/>
  <c r="C73" i="6"/>
  <c r="K63" i="3"/>
  <c r="I63" i="3"/>
  <c r="C72" i="6"/>
  <c r="I44" i="3"/>
  <c r="K44" i="3"/>
  <c r="C53" i="6"/>
  <c r="K62" i="3"/>
  <c r="I62" i="3"/>
  <c r="C71" i="6"/>
  <c r="K43" i="3"/>
  <c r="I43" i="3"/>
  <c r="C52" i="6"/>
  <c r="K61" i="3"/>
  <c r="I61" i="3"/>
  <c r="C70" i="6"/>
  <c r="I42" i="3"/>
  <c r="K42" i="3"/>
  <c r="C51" i="6"/>
  <c r="K41" i="3"/>
  <c r="I41" i="3"/>
  <c r="C50" i="6"/>
  <c r="K60" i="3"/>
  <c r="I60" i="3"/>
  <c r="C69" i="6"/>
  <c r="I25" i="3"/>
  <c r="C34" i="6"/>
  <c r="K59" i="3"/>
  <c r="I59" i="3"/>
  <c r="C68" i="6"/>
  <c r="I45" i="3"/>
  <c r="K45" i="3"/>
  <c r="C54" i="6"/>
  <c r="K55" i="3"/>
  <c r="I55" i="3"/>
  <c r="C64" i="6"/>
  <c r="I33" i="3"/>
  <c r="C42" i="6"/>
  <c r="I54" i="3"/>
  <c r="K54" i="3"/>
  <c r="C63" i="6"/>
  <c r="I32" i="3"/>
  <c r="C41" i="6"/>
  <c r="K53" i="3"/>
  <c r="I53" i="3"/>
  <c r="C62" i="6"/>
  <c r="I26" i="3"/>
  <c r="C35" i="6"/>
  <c r="I24" i="3"/>
  <c r="C33" i="6"/>
  <c r="I52" i="3"/>
  <c r="K52" i="3"/>
  <c r="C61" i="6"/>
  <c r="I37" i="3"/>
  <c r="C46" i="6"/>
  <c r="I29" i="3"/>
  <c r="C38" i="6"/>
  <c r="I23" i="3"/>
  <c r="C6" i="4" s="1"/>
  <c r="C32" i="6"/>
  <c r="I36" i="3"/>
  <c r="C45" i="6"/>
  <c r="K51" i="3"/>
  <c r="I51" i="3"/>
  <c r="C60" i="6"/>
  <c r="I19" i="3"/>
  <c r="C28" i="6"/>
  <c r="I18" i="3"/>
  <c r="C27" i="6"/>
  <c r="I35" i="3"/>
  <c r="C44" i="6"/>
  <c r="I17" i="3"/>
  <c r="C26" i="6"/>
  <c r="I34" i="3"/>
  <c r="C43" i="6"/>
  <c r="I16" i="3"/>
  <c r="C11" i="4" s="1"/>
  <c r="C25" i="6"/>
  <c r="C47" i="6"/>
  <c r="C39" i="6"/>
  <c r="I30" i="3"/>
  <c r="C15" i="6"/>
  <c r="I6" i="3"/>
  <c r="C13" i="4" s="1"/>
  <c r="C66" i="6"/>
  <c r="K57" i="3"/>
  <c r="I57" i="3"/>
  <c r="C48" i="6"/>
  <c r="I39" i="3"/>
  <c r="C23" i="6"/>
  <c r="I14" i="3"/>
  <c r="C9" i="4" s="1"/>
  <c r="C20" i="6"/>
  <c r="C18" i="6"/>
  <c r="C17" i="6"/>
  <c r="I8" i="3"/>
  <c r="C15" i="4" s="1"/>
  <c r="C40" i="6"/>
  <c r="C37" i="6"/>
  <c r="I28" i="3"/>
  <c r="C29" i="6"/>
  <c r="I20" i="3"/>
  <c r="C19" i="6"/>
  <c r="I10" i="3"/>
  <c r="C5" i="4" s="1"/>
  <c r="C14" i="6"/>
  <c r="I5" i="3"/>
  <c r="C12" i="4" s="1"/>
  <c r="C36" i="6"/>
  <c r="I27" i="3"/>
  <c r="C30" i="6"/>
  <c r="C21" i="6"/>
  <c r="I12" i="3"/>
  <c r="C7" i="4" s="1"/>
  <c r="B7" i="5" l="1"/>
  <c r="B8" i="5" s="1"/>
  <c r="L58" i="3"/>
  <c r="F67" i="6"/>
  <c r="L56" i="3"/>
  <c r="F65" i="6"/>
  <c r="L50" i="3"/>
  <c r="F59" i="6"/>
  <c r="L49" i="3"/>
  <c r="F58" i="6"/>
  <c r="F57" i="6"/>
  <c r="L48" i="3"/>
  <c r="F56" i="6"/>
  <c r="L47" i="3"/>
  <c r="L46" i="3"/>
  <c r="F55" i="6"/>
  <c r="F73" i="6"/>
  <c r="L64" i="3"/>
  <c r="F72" i="6"/>
  <c r="L63" i="3"/>
  <c r="L44" i="3"/>
  <c r="F53" i="6"/>
  <c r="F71" i="6"/>
  <c r="L62" i="3"/>
  <c r="F52" i="6"/>
  <c r="L43" i="3"/>
  <c r="F70" i="6"/>
  <c r="L61" i="3"/>
  <c r="F51" i="6"/>
  <c r="L42" i="3"/>
  <c r="L41" i="3"/>
  <c r="F50" i="6"/>
  <c r="L60" i="3"/>
  <c r="F69" i="6"/>
  <c r="F68" i="6"/>
  <c r="L59" i="3"/>
  <c r="F54" i="6"/>
  <c r="L45" i="3"/>
  <c r="F64" i="6"/>
  <c r="L55" i="3"/>
  <c r="F63" i="6"/>
  <c r="L54" i="3"/>
  <c r="F62" i="6"/>
  <c r="L53" i="3"/>
  <c r="L52" i="3"/>
  <c r="F61" i="6"/>
  <c r="F60" i="6"/>
  <c r="L51" i="3"/>
  <c r="L57" i="3"/>
  <c r="F66" i="6"/>
  <c r="D14" i="4" l="1"/>
  <c r="B10" i="5"/>
  <c r="C8" i="1"/>
  <c r="M58" i="3"/>
  <c r="G67" i="6"/>
  <c r="H67" i="6" s="1"/>
  <c r="M56" i="3"/>
  <c r="G65" i="6"/>
  <c r="H65" i="6" s="1"/>
  <c r="M50" i="3"/>
  <c r="G59" i="6"/>
  <c r="H59" i="6" s="1"/>
  <c r="M49" i="3"/>
  <c r="G58" i="6"/>
  <c r="H58" i="6" s="1"/>
  <c r="M48" i="3"/>
  <c r="G57" i="6"/>
  <c r="H57" i="6" s="1"/>
  <c r="M47" i="3"/>
  <c r="G56" i="6"/>
  <c r="H56" i="6" s="1"/>
  <c r="M46" i="3"/>
  <c r="G55" i="6"/>
  <c r="H55" i="6" s="1"/>
  <c r="M64" i="3"/>
  <c r="G73" i="6"/>
  <c r="H73" i="6" s="1"/>
  <c r="M63" i="3"/>
  <c r="G72" i="6"/>
  <c r="H72" i="6" s="1"/>
  <c r="M44" i="3"/>
  <c r="G53" i="6"/>
  <c r="H53" i="6" s="1"/>
  <c r="M62" i="3"/>
  <c r="G71" i="6"/>
  <c r="H71" i="6" s="1"/>
  <c r="G52" i="6"/>
  <c r="H52" i="6" s="1"/>
  <c r="M43" i="3"/>
  <c r="M61" i="3"/>
  <c r="G70" i="6"/>
  <c r="H70" i="6" s="1"/>
  <c r="M42" i="3"/>
  <c r="G51" i="6"/>
  <c r="H51" i="6" s="1"/>
  <c r="M41" i="3"/>
  <c r="G50" i="6"/>
  <c r="H50" i="6" s="1"/>
  <c r="M60" i="3"/>
  <c r="G69" i="6"/>
  <c r="H69" i="6" s="1"/>
  <c r="M59" i="3"/>
  <c r="G68" i="6"/>
  <c r="H68" i="6" s="1"/>
  <c r="M45" i="3"/>
  <c r="G54" i="6"/>
  <c r="H54" i="6" s="1"/>
  <c r="M55" i="3"/>
  <c r="G64" i="6"/>
  <c r="H64" i="6" s="1"/>
  <c r="M54" i="3"/>
  <c r="G63" i="6"/>
  <c r="H63" i="6" s="1"/>
  <c r="M53" i="3"/>
  <c r="G62" i="6"/>
  <c r="H62" i="6" s="1"/>
  <c r="M52" i="3"/>
  <c r="G61" i="6"/>
  <c r="H61" i="6" s="1"/>
  <c r="M51" i="3"/>
  <c r="G60" i="6"/>
  <c r="H60" i="6" s="1"/>
  <c r="M57" i="3"/>
  <c r="G66" i="6"/>
  <c r="H66" i="6" s="1"/>
  <c r="D9" i="4"/>
  <c r="D6" i="4"/>
  <c r="D8" i="4"/>
  <c r="D11" i="4"/>
  <c r="D4" i="4"/>
  <c r="J39" i="3"/>
  <c r="E48" i="6" s="1"/>
  <c r="D48" i="6"/>
  <c r="K39" i="3"/>
  <c r="D15" i="4"/>
  <c r="D10" i="4"/>
  <c r="D7" i="4"/>
  <c r="D12" i="4"/>
  <c r="D5" i="4"/>
  <c r="D13" i="4"/>
  <c r="J27" i="3" l="1"/>
  <c r="E36" i="6" s="1"/>
  <c r="D36" i="6"/>
  <c r="K27" i="3"/>
  <c r="F14" i="4"/>
  <c r="E14" i="4"/>
  <c r="J15" i="3"/>
  <c r="E24" i="6" s="1"/>
  <c r="K15" i="3"/>
  <c r="D24" i="6"/>
  <c r="B11" i="5"/>
  <c r="C7" i="1"/>
  <c r="J10" i="3"/>
  <c r="E19" i="6" s="1"/>
  <c r="J22" i="3"/>
  <c r="E31" i="6" s="1"/>
  <c r="K22" i="3"/>
  <c r="J34" i="3"/>
  <c r="E43" i="6" s="1"/>
  <c r="D19" i="6"/>
  <c r="D31" i="6"/>
  <c r="D43" i="6"/>
  <c r="E9" i="4"/>
  <c r="F9" i="4"/>
  <c r="K34" i="3"/>
  <c r="K10" i="3"/>
  <c r="K7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31" i="3"/>
  <c r="J33" i="3"/>
  <c r="E42" i="6" s="1"/>
  <c r="D18" i="6"/>
  <c r="D30" i="6"/>
  <c r="D42" i="6"/>
  <c r="E8" i="4"/>
  <c r="F8" i="4"/>
  <c r="K33" i="3"/>
  <c r="J9" i="3"/>
  <c r="E18" i="6" s="1"/>
  <c r="J21" i="3"/>
  <c r="E30" i="6" s="1"/>
  <c r="K21" i="3"/>
  <c r="K9" i="3"/>
  <c r="J12" i="3"/>
  <c r="E21" i="6" s="1"/>
  <c r="J36" i="3"/>
  <c r="E45" i="6" s="1"/>
  <c r="D21" i="6"/>
  <c r="D33" i="6"/>
  <c r="J24" i="3"/>
  <c r="E33" i="6" s="1"/>
  <c r="D45" i="6"/>
  <c r="E11" i="4"/>
  <c r="F11" i="4"/>
  <c r="K12" i="3"/>
  <c r="K36" i="3"/>
  <c r="K24" i="3"/>
  <c r="D14" i="6"/>
  <c r="J5" i="3"/>
  <c r="E14" i="6" s="1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17" i="3"/>
  <c r="K29" i="3"/>
  <c r="K5" i="3"/>
  <c r="L39" i="3"/>
  <c r="F48" i="6"/>
  <c r="K28" i="3"/>
  <c r="K16" i="3"/>
  <c r="F15" i="4"/>
  <c r="E15" i="4"/>
  <c r="D49" i="6"/>
  <c r="D37" i="6"/>
  <c r="D25" i="6"/>
  <c r="J16" i="3"/>
  <c r="E25" i="6" s="1"/>
  <c r="J28" i="3"/>
  <c r="E37" i="6" s="1"/>
  <c r="J40" i="3"/>
  <c r="E49" i="6" s="1"/>
  <c r="K40" i="3"/>
  <c r="K23" i="3"/>
  <c r="K11" i="3"/>
  <c r="K35" i="3"/>
  <c r="F10" i="4"/>
  <c r="E10" i="4"/>
  <c r="D44" i="6"/>
  <c r="D32" i="6"/>
  <c r="D20" i="6"/>
  <c r="J23" i="3"/>
  <c r="E32" i="6" s="1"/>
  <c r="J35" i="3"/>
  <c r="E44" i="6" s="1"/>
  <c r="J11" i="3"/>
  <c r="E20" i="6" s="1"/>
  <c r="K32" i="3"/>
  <c r="K8" i="3"/>
  <c r="F7" i="4"/>
  <c r="E7" i="4"/>
  <c r="D41" i="6"/>
  <c r="D29" i="6"/>
  <c r="D17" i="6"/>
  <c r="J32" i="3"/>
  <c r="E41" i="6" s="1"/>
  <c r="J20" i="3"/>
  <c r="E29" i="6" s="1"/>
  <c r="J8" i="3"/>
  <c r="E17" i="6" s="1"/>
  <c r="K20" i="3"/>
  <c r="K37" i="3"/>
  <c r="J13" i="3"/>
  <c r="E22" i="6" s="1"/>
  <c r="K13" i="3"/>
  <c r="K25" i="3"/>
  <c r="F12" i="4"/>
  <c r="E12" i="4"/>
  <c r="D46" i="6"/>
  <c r="D34" i="6"/>
  <c r="D22" i="6"/>
  <c r="J37" i="3"/>
  <c r="E46" i="6" s="1"/>
  <c r="J25" i="3"/>
  <c r="E34" i="6" s="1"/>
  <c r="K6" i="3"/>
  <c r="K18" i="3"/>
  <c r="K30" i="3"/>
  <c r="F5" i="4"/>
  <c r="E5" i="4"/>
  <c r="D39" i="6"/>
  <c r="D27" i="6"/>
  <c r="D15" i="6"/>
  <c r="J18" i="3"/>
  <c r="E27" i="6" s="1"/>
  <c r="J6" i="3"/>
  <c r="E15" i="6" s="1"/>
  <c r="J30" i="3"/>
  <c r="E39" i="6" s="1"/>
  <c r="K14" i="3"/>
  <c r="K26" i="3"/>
  <c r="K38" i="3"/>
  <c r="F13" i="4"/>
  <c r="E13" i="4"/>
  <c r="D47" i="6"/>
  <c r="D35" i="6"/>
  <c r="D23" i="6"/>
  <c r="J26" i="3"/>
  <c r="E35" i="6" s="1"/>
  <c r="J14" i="3"/>
  <c r="E23" i="6" s="1"/>
  <c r="J38" i="3"/>
  <c r="E47" i="6" s="1"/>
  <c r="F36" i="6" l="1"/>
  <c r="L27" i="3"/>
  <c r="L15" i="3"/>
  <c r="F24" i="6"/>
  <c r="L22" i="3"/>
  <c r="F31" i="6"/>
  <c r="L34" i="3"/>
  <c r="F43" i="6"/>
  <c r="L10" i="3"/>
  <c r="F19" i="6"/>
  <c r="F16" i="6"/>
  <c r="L7" i="3"/>
  <c r="F28" i="6"/>
  <c r="L19" i="3"/>
  <c r="L31" i="3"/>
  <c r="F40" i="6"/>
  <c r="F42" i="6"/>
  <c r="L33" i="3"/>
  <c r="F30" i="6"/>
  <c r="L21" i="3"/>
  <c r="F18" i="6"/>
  <c r="L9" i="3"/>
  <c r="F21" i="6"/>
  <c r="L12" i="3"/>
  <c r="F45" i="6"/>
  <c r="L36" i="3"/>
  <c r="F33" i="6"/>
  <c r="L24" i="3"/>
  <c r="B21" i="4"/>
  <c r="B22" i="4" s="1"/>
  <c r="B23" i="4"/>
  <c r="C10" i="1" s="1"/>
  <c r="L17" i="3"/>
  <c r="F26" i="6"/>
  <c r="L29" i="3"/>
  <c r="F38" i="6"/>
  <c r="L5" i="3"/>
  <c r="B9" i="6"/>
  <c r="F14" i="6"/>
  <c r="B8" i="6"/>
  <c r="M39" i="3"/>
  <c r="G48" i="6"/>
  <c r="H48" i="6" s="1"/>
  <c r="L28" i="3"/>
  <c r="F37" i="6"/>
  <c r="L16" i="3"/>
  <c r="F25" i="6"/>
  <c r="B6" i="6"/>
  <c r="C13" i="1" s="1"/>
  <c r="L40" i="3"/>
  <c r="F49" i="6"/>
  <c r="F32" i="6"/>
  <c r="L23" i="3"/>
  <c r="L11" i="3"/>
  <c r="F20" i="6"/>
  <c r="L35" i="3"/>
  <c r="F44" i="6"/>
  <c r="L32" i="3"/>
  <c r="F41" i="6"/>
  <c r="L8" i="3"/>
  <c r="F17" i="6"/>
  <c r="L20" i="3"/>
  <c r="F29" i="6"/>
  <c r="F46" i="6"/>
  <c r="L37" i="3"/>
  <c r="L13" i="3"/>
  <c r="F22" i="6"/>
  <c r="F34" i="6"/>
  <c r="L25" i="3"/>
  <c r="F15" i="6"/>
  <c r="L6" i="3"/>
  <c r="F27" i="6"/>
  <c r="L18" i="3"/>
  <c r="F39" i="6"/>
  <c r="L30" i="3"/>
  <c r="L14" i="3"/>
  <c r="F23" i="6"/>
  <c r="L26" i="3"/>
  <c r="F35" i="6"/>
  <c r="F47" i="6"/>
  <c r="L38" i="3"/>
  <c r="M27" i="3" l="1"/>
  <c r="G36" i="6"/>
  <c r="H36" i="6" s="1"/>
  <c r="M15" i="3"/>
  <c r="G24" i="6"/>
  <c r="H24" i="6" s="1"/>
  <c r="M22" i="3"/>
  <c r="G31" i="6"/>
  <c r="H31" i="6" s="1"/>
  <c r="M34" i="3"/>
  <c r="G43" i="6"/>
  <c r="H43" i="6" s="1"/>
  <c r="G19" i="6"/>
  <c r="H19" i="6" s="1"/>
  <c r="M10" i="3"/>
  <c r="G16" i="6"/>
  <c r="H16" i="6" s="1"/>
  <c r="M7" i="3"/>
  <c r="M19" i="3"/>
  <c r="G28" i="6"/>
  <c r="H28" i="6" s="1"/>
  <c r="G40" i="6"/>
  <c r="H40" i="6" s="1"/>
  <c r="M31" i="3"/>
  <c r="G42" i="6"/>
  <c r="H42" i="6" s="1"/>
  <c r="M33" i="3"/>
  <c r="G30" i="6"/>
  <c r="H30" i="6" s="1"/>
  <c r="M21" i="3"/>
  <c r="M9" i="3"/>
  <c r="G18" i="6"/>
  <c r="H18" i="6" s="1"/>
  <c r="M12" i="3"/>
  <c r="G21" i="6"/>
  <c r="H21" i="6" s="1"/>
  <c r="G45" i="6"/>
  <c r="H45" i="6" s="1"/>
  <c r="M36" i="3"/>
  <c r="G33" i="6"/>
  <c r="H33" i="6" s="1"/>
  <c r="M24" i="3"/>
  <c r="C9" i="1"/>
  <c r="G26" i="6"/>
  <c r="H26" i="6" s="1"/>
  <c r="M17" i="3"/>
  <c r="G38" i="6"/>
  <c r="H38" i="6" s="1"/>
  <c r="M29" i="3"/>
  <c r="G14" i="6"/>
  <c r="H14" i="6" s="1"/>
  <c r="M5" i="3"/>
  <c r="M28" i="3"/>
  <c r="G37" i="6"/>
  <c r="H37" i="6" s="1"/>
  <c r="G25" i="6"/>
  <c r="H25" i="6" s="1"/>
  <c r="M16" i="3"/>
  <c r="B7" i="6"/>
  <c r="A17" i="1" s="1"/>
  <c r="M40" i="3"/>
  <c r="G49" i="6"/>
  <c r="H49" i="6" s="1"/>
  <c r="M23" i="3"/>
  <c r="G32" i="6"/>
  <c r="H32" i="6" s="1"/>
  <c r="G20" i="6"/>
  <c r="H20" i="6" s="1"/>
  <c r="M11" i="3"/>
  <c r="G44" i="6"/>
  <c r="H44" i="6" s="1"/>
  <c r="M35" i="3"/>
  <c r="M32" i="3"/>
  <c r="G41" i="6"/>
  <c r="H41" i="6" s="1"/>
  <c r="M8" i="3"/>
  <c r="G17" i="6"/>
  <c r="H17" i="6" s="1"/>
  <c r="G29" i="6"/>
  <c r="H29" i="6" s="1"/>
  <c r="M20" i="3"/>
  <c r="M37" i="3"/>
  <c r="G46" i="6"/>
  <c r="H46" i="6" s="1"/>
  <c r="M13" i="3"/>
  <c r="G22" i="6"/>
  <c r="H22" i="6" s="1"/>
  <c r="M25" i="3"/>
  <c r="G34" i="6"/>
  <c r="H34" i="6" s="1"/>
  <c r="M6" i="3"/>
  <c r="G15" i="6"/>
  <c r="H15" i="6" s="1"/>
  <c r="M18" i="3"/>
  <c r="G27" i="6"/>
  <c r="H27" i="6" s="1"/>
  <c r="M30" i="3"/>
  <c r="G39" i="6"/>
  <c r="H39" i="6" s="1"/>
  <c r="G23" i="6"/>
  <c r="H23" i="6" s="1"/>
  <c r="M14" i="3"/>
  <c r="M26" i="3"/>
  <c r="G35" i="6"/>
  <c r="H35" i="6" s="1"/>
  <c r="M38" i="3"/>
  <c r="G47" i="6"/>
  <c r="H47" i="6" s="1"/>
  <c r="B10" i="6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<sst xmlns="http://schemas.openxmlformats.org/spreadsheetml/2006/main" count="501" uniqueCount="285">
  <si>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</si>
  <si>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</si>
  <si>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</si>
  <si>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</si>
  <si>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</si>
  <si>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</si>
  <si>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</si>
  <si>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</si>
  <si>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</si>
  <si>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</si>
  <si>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</si>
  <si>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</si>
  <si>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</si>
  <si>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</si>
  <si>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</si>
  <si>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</si>
  <si>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</si>
  <si>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</si>
  <si>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</si>
  <si>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</si>
  <si>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</si>
  <si>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</si>
  <si>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</si>
  <si>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</si>
  <si>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</si>
  <si>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</si>
  <si>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</si>
  <si>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</si>
  <si>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</si>
  <si>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</si>
  <si>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</si>
  <si>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</si>
  <si>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</si>
  <si>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</si>
  <si>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</si>
  <si>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</si>
  <si>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</si>
  <si>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</si>
  <si>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</si>
  <si>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</si>
  <si>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</si>
  <si>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</si>
  <si>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</si>
  <si>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</si>
  <si>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</si>
  <si>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</si>
  <si>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</si>
  <si>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</si>
  <si>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</si>
  <si>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</si>
  <si>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</si>
  <si>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</si>
  <si>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</si>
  <si>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</si>
  <si>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</si>
  <si>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</si>
  <si>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</si>
  <si>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</si>
  <si>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</si>
  <si>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</si>
  <si>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</si>
  <si>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</si>
  <si>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</si>
  <si>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</si>
  <si>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</si>
  <si>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</si>
  <si>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</si>
  <si>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</si>
  <si>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</si>
  <si>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</si>
  <si>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</si>
  <si>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</si>
  <si>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</si>
  <si>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</si>
  <si>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</si>
  <si>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</si>
  <si>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</si>
  <si>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</si>
  <si>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</si>
  <si>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</si>
  <si>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</si>
  <si>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</si>
  <si>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</si>
  <si>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</si>
  <si>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</si>
  <si>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</si>
  <si>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</si>
  <si>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</si>
  <si>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</si>
  <si>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</si>
  <si>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</si>
  <si>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</si>
  <si>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</si>
  <si>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</si>
  <si>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</si>
  <si>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</si>
  <si>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</si>
  <si>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</si>
  <si>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</si>
  <si>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</si>
  <si>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</si>
  <si>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</si>
  <si>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</si>
  <si>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</si>
  <si>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</si>
  <si>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</si>
  <si>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</si>
  <si>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</si>
  <si>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</si>
  <si>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</si>
  <si>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</si>
  <si>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</si>
  <si>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</si>
  <si>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</si>
  <si>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</si>
  <si>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</si>
  <si>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</si>
  <si>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</si>
  <si>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</si>
  <si>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</si>
  <si>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</si>
  <si>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</si>
  <si>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</si>
  <si>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</si>
  <si>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</si>
  <si>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</si>
  <si>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</si>
  <si>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</si>
  <si>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</si>
  <si>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</si>
  <si>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</si>
  <si>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</si>
  <si>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</si>
  <si>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</si>
  <si>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</si>
  <si>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</si>
  <si>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</si>
  <si>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</si>
  <si>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</si>
  <si>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</si>
  <si>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</si>
  <si>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</si>
  <si>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</si>
  <si>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</si>
  <si>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</si>
  <si>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</si>
  <si>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</si>
  <si>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</si>
  <si>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</si>
  <si>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</si>
  <si>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</si>
  <si>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</si>
  <si>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</si>
  <si>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</si>
  <si>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</si>
  <si>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</si>
  <si>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</si>
  <si>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</si>
  <si>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</si>
  <si>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</si>
  <si>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</si>
  <si>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</si>
  <si>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</si>
  <si>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</si>
  <si>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</si>
  <si>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</si>
  <si>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</si>
  <si>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</si>
  <si>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</si>
  <si>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</si>
  <si>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</si>
  <si>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</si>
  <si>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</si>
  <si>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</si>
  <si>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</si>
  <si>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</si>
  <si>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</si>
  <si>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</si>
  <si>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</si>
  <si>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</si>
  <si>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</si>
  <si>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</si>
  <si>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</si>
  <si>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bpmn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</si>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</sst>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68.039443155452446</c:v>
                </c:pt>
                <c:pt idx="1">
                  <c:v>82.250580046403712</c:v>
                </c:pt>
                <c:pt idx="2">
                  <c:v>80.684454756380504</c:v>
                </c:pt>
                <c:pt idx="3">
                  <c:v>81.496519721577727</c:v>
                </c:pt>
                <c:pt idx="4">
                  <c:v>70.185614849187942</c:v>
                </c:pt>
                <c:pt idx="5">
                  <c:v>71.461716937354993</c:v>
                </c:pt>
                <c:pt idx="6">
                  <c:v>75.812064965197209</c:v>
                </c:pt>
                <c:pt idx="7">
                  <c:v>100</c:v>
                </c:pt>
                <c:pt idx="8">
                  <c:v>90.487238979118331</c:v>
                </c:pt>
                <c:pt idx="9">
                  <c:v>69.779582366589338</c:v>
                </c:pt>
                <c:pt idx="10">
                  <c:v>52.088167053364266</c:v>
                </c:pt>
                <c:pt idx="11">
                  <c:v>43.793503480278424</c:v>
                </c:pt>
                <c:pt idx="12">
                  <c:v>45.301624129930396</c:v>
                </c:pt>
                <c:pt idx="13">
                  <c:v>53.654292343387468</c:v>
                </c:pt>
                <c:pt idx="14">
                  <c:v>50.232018561484914</c:v>
                </c:pt>
                <c:pt idx="15">
                  <c:v>50.986078886310906</c:v>
                </c:pt>
                <c:pt idx="16">
                  <c:v>28.016241299303946</c:v>
                </c:pt>
                <c:pt idx="17">
                  <c:v>27.436194895591647</c:v>
                </c:pt>
                <c:pt idx="18">
                  <c:v>40.661252900232022</c:v>
                </c:pt>
                <c:pt idx="19">
                  <c:v>40.19721577726218</c:v>
                </c:pt>
                <c:pt idx="20">
                  <c:v>56.496519721577734</c:v>
                </c:pt>
                <c:pt idx="21">
                  <c:v>34.280742459396748</c:v>
                </c:pt>
                <c:pt idx="22">
                  <c:v>26.682134570765658</c:v>
                </c:pt>
                <c:pt idx="23">
                  <c:v>41.067285382830626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A-4454-A0A7-99DDD18F26F0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73.83990719257541</c:v>
                </c:pt>
                <c:pt idx="12">
                  <c:v>71.945088940448571</c:v>
                </c:pt>
                <c:pt idx="13">
                  <c:v>69.562064965197223</c:v>
                </c:pt>
                <c:pt idx="14">
                  <c:v>67.024361948955914</c:v>
                </c:pt>
                <c:pt idx="15">
                  <c:v>64.481825212683688</c:v>
                </c:pt>
                <c:pt idx="16">
                  <c:v>60.967710750193355</c:v>
                </c:pt>
                <c:pt idx="17">
                  <c:v>57.298917246713067</c:v>
                </c:pt>
                <c:pt idx="18">
                  <c:v>54.369682907965974</c:v>
                </c:pt>
                <c:pt idx="19">
                  <c:v>49.386117556071156</c:v>
                </c:pt>
                <c:pt idx="20">
                  <c:v>46.553557617942765</c:v>
                </c:pt>
                <c:pt idx="21">
                  <c:v>43.595320959010053</c:v>
                </c:pt>
                <c:pt idx="22">
                  <c:v>41.478151585460168</c:v>
                </c:pt>
                <c:pt idx="23">
                  <c:v>41.250966744006185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A-4454-A0A7-99DDD18F2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0.62106317466722172</c:v>
                </c:pt>
                <c:pt idx="1">
                  <c:v>0.64714747611515278</c:v>
                </c:pt>
                <c:pt idx="2">
                  <c:v>1.0107639739176904</c:v>
                </c:pt>
                <c:pt idx="3">
                  <c:v>1.1000612965116241</c:v>
                </c:pt>
                <c:pt idx="4">
                  <c:v>1.6401917304872036</c:v>
                </c:pt>
                <c:pt idx="5">
                  <c:v>1.0627622947478721</c:v>
                </c:pt>
                <c:pt idx="6">
                  <c:v>0.86941468938326283</c:v>
                </c:pt>
                <c:pt idx="7">
                  <c:v>1.0735438039536924</c:v>
                </c:pt>
                <c:pt idx="8">
                  <c:v>0.85101735422570268</c:v>
                </c:pt>
                <c:pt idx="9">
                  <c:v>1.0424561683899576</c:v>
                </c:pt>
                <c:pt idx="10">
                  <c:v>1.012916720183821</c:v>
                </c:pt>
                <c:pt idx="11">
                  <c:v>1.0686613174167994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6-464E-BB4A-702FEA3E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-0.44134590206860441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май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январь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0.92734662452223171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май, минимум – январь. Текущая фаза спроса: норма.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/>
      <c r="D5" s="7">
        <v>1173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/>
      <c r="D6" s="7">
        <v>1418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/>
      <c r="D7" s="7">
        <v>1391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/>
      <c r="D8" s="7">
        <v>1405</v>
      </c>
      <c r="E8" s="3" t="s">
        <v>112</v>
      </c>
      <c r="F8" s="3" t="s">
        <v>184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/>
      <c r="D9" s="7">
        <v>1210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/>
      <c r="D10" s="7">
        <v>1232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/>
      <c r="D11" s="7">
        <v>1307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/>
      <c r="D12" s="7">
        <v>1724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/>
      <c r="D13" s="7">
        <v>1560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/>
      <c r="D14" s="7">
        <v>1203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/>
      <c r="D15" s="7">
        <v>898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/>
      <c r="D16" s="7">
        <v>755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/>
      <c r="D17" s="7">
        <v>781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/>
      <c r="D18" s="7">
        <v>925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/>
      <c r="D19" s="7">
        <v>866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/>
      <c r="D20" s="7">
        <v>879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/>
      <c r="D21" s="7">
        <v>483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/>
      <c r="D22" s="7">
        <v>473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/>
      <c r="D23" s="7">
        <v>701</v>
      </c>
      <c r="E23" s="3" t="s">
        <v>112</v>
      </c>
      <c r="F23" s="3" t="s">
        <v>184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/>
      <c r="D24" s="7">
        <v>693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/>
      <c r="D25" s="7">
        <v>974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/>
      <c r="D26" s="7">
        <v>591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/>
      <c r="D27" s="7">
        <v>460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/>
      <c r="D28" s="7">
        <v>708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1173</v>
      </c>
      <c r="F5" s="5">
        <f t="shared" ref="F5:F36" si="2">IF(E5="","",IF(MAX($E$5:$E$64)=0,"",E5/MAX($E$5:$E$64)*100))</f>
        <v>68.039443155452446</v>
      </c>
      <c r="G5" s="5">
        <f>IF(COUNT(D5,F5)=0,"",IF(COUNT(D5,F5)=2,D5*Настройки!$B$4+F5*Настройки!$B$5,IF(D5&lt;&gt;"",D5,F5)))</f>
        <v>68.039443155452446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79.950711718867439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1418</v>
      </c>
      <c r="F6" s="5">
        <f t="shared" si="2"/>
        <v>82.250580046403712</v>
      </c>
      <c r="G6" s="5">
        <f>IF(COUNT(D6,F6)=0,"",IF(COUNT(D6,F6)=2,D6*Настройки!$B$4+F6*Настройки!$B$5,IF(D6&lt;&gt;"",D6,F6)))</f>
        <v>82.250580046403712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78.900756252838221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1391</v>
      </c>
      <c r="F7" s="5">
        <f t="shared" si="2"/>
        <v>80.684454756380504</v>
      </c>
      <c r="G7" s="5">
        <f>IF(COUNT(D7,F7)=0,"",IF(COUNT(D7,F7)=2,D7*Настройки!$B$4+F7*Настройки!$B$5,IF(D7&lt;&gt;"",D7,F7)))</f>
        <v>80.684454756380504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79.655566098008677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1405</v>
      </c>
      <c r="F8" s="5">
        <f t="shared" si="2"/>
        <v>81.496519721577727</v>
      </c>
      <c r="G8" s="5">
        <f>IF(COUNT(D8,F8)=0,"",IF(COUNT(D8,F8)=2,D8*Настройки!$B$4+F8*Настройки!$B$5,IF(D8&lt;&gt;"",D8,F8)))</f>
        <v>81.496519721577727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76.260381463580615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1210</v>
      </c>
      <c r="F9" s="5">
        <f t="shared" si="2"/>
        <v>70.185614849187942</v>
      </c>
      <c r="G9" s="5">
        <f>IF(COUNT(D9,F9)=0,"",IF(COUNT(D9,F9)=2,D9*Настройки!$B$4+F9*Настройки!$B$5,IF(D9&lt;&gt;"",D9,F9)))</f>
        <v>70.185614849187942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113.00881731845529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1232</v>
      </c>
      <c r="F10" s="5">
        <f t="shared" si="2"/>
        <v>71.461716937354993</v>
      </c>
      <c r="G10" s="5">
        <f>IF(COUNT(D10,F10)=0,"",IF(COUNT(D10,F10)=2,D10*Настройки!$B$4+F10*Настройки!$B$5,IF(D10&lt;&gt;"",D10,F10)))</f>
        <v>71.461716937354993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110.42570600188691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1307</v>
      </c>
      <c r="F11" s="5">
        <f t="shared" si="2"/>
        <v>75.812064965197209</v>
      </c>
      <c r="G11" s="5">
        <f>IF(COUNT(D11,F11)=0,"",IF(COUNT(D11,F11)=2,D11*Настройки!$B$4+F11*Настройки!$B$5,IF(D11&lt;&gt;"",D11,F11)))</f>
        <v>75.812064965197209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75.004716156781839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1724</v>
      </c>
      <c r="F12" s="5">
        <f t="shared" si="2"/>
        <v>100</v>
      </c>
      <c r="G12" s="5">
        <f>IF(COUNT(D12,F12)=0,"",IF(COUNT(D12,F12)=2,D12*Настройки!$B$4+F12*Настройки!$B$5,IF(D12&lt;&gt;"",D12,F12)))</f>
        <v>100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90.904025363956904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1560</v>
      </c>
      <c r="F13" s="5">
        <f t="shared" si="2"/>
        <v>90.487238979118331</v>
      </c>
      <c r="G13" s="5">
        <f>IF(COUNT(D13,F13)=0,"",IF(COUNT(D13,F13)=2,D13*Настройки!$B$4+F13*Настройки!$B$5,IF(D13&lt;&gt;"",D13,F13)))</f>
        <v>90.487238979118331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55.168696011069358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1203</v>
      </c>
      <c r="F14" s="5">
        <f t="shared" si="2"/>
        <v>69.779582366589338</v>
      </c>
      <c r="G14" s="5">
        <f>IF(COUNT(D14,F14)=0,"",IF(COUNT(D14,F14)=2,D14*Настройки!$B$4+F14*Настройки!$B$5,IF(D14&lt;&gt;"",D14,F14)))</f>
        <v>69.779582366589338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65.658692175510168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898</v>
      </c>
      <c r="F15" s="5">
        <f t="shared" si="2"/>
        <v>52.088167053364266</v>
      </c>
      <c r="G15" s="5">
        <f>IF(COUNT(D15,F15)=0,"",IF(COUNT(D15,F15)=2,D15*Настройки!$B$4+F15*Настройки!$B$5,IF(D15&lt;&gt;"",D15,F15)))</f>
        <v>52.088167053364266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59.911763269509599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755</v>
      </c>
      <c r="F16" s="5">
        <f t="shared" si="2"/>
        <v>43.793503480278424</v>
      </c>
      <c r="G16" s="5">
        <f>IF(COUNT(D16,F16)=0,"",IF(COUNT(D16,F16)=2,D16*Настройки!$B$4+F16*Настройки!$B$5,IF(D16&lt;&gt;"",D16,F16)))</f>
        <v>43.793503480278424</v>
      </c>
      <c r="H16" s="5">
        <f>IF(OR(G16="",COUNT($G$5:G16)&lt;12),"",AVERAGE(G5:G16))</f>
        <v>73.83990719257541</v>
      </c>
      <c r="I16" s="5">
        <f t="shared" si="3"/>
        <v>0.5930871956009427</v>
      </c>
      <c r="J16" s="5">
        <f>IF(OR(G16="",IFERROR(VLOOKUP(B16,Сезонность!$A$4:$D$15,4,FALSE),0)=0),"",G16/IFERROR(VLOOKUP(B16,Сезонность!$A$4:$D$15,4,FALSE),1))</f>
        <v>40.793401553801402</v>
      </c>
      <c r="K16" s="5">
        <f>IF(OR(G16="",H16="",H16=0,IFERROR(VLOOKUP(B16,Сезонность!$A$4:$D$15,4,FALSE),0)=0),"",G16/(H16*IFERROR(VLOOKUP(B16,Сезонность!$A$4:$D$15,4,FALSE),1)))</f>
        <v>0.55245737846624987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781</v>
      </c>
      <c r="F17" s="5">
        <f t="shared" si="2"/>
        <v>45.301624129930396</v>
      </c>
      <c r="G17" s="5">
        <f>IF(COUNT(D17,F17)=0,"",IF(COUNT(D17,F17)=2,D17*Настройки!$B$4+F17*Настройки!$B$5,IF(D17&lt;&gt;"",D17,F17)))</f>
        <v>45.301624129930396</v>
      </c>
      <c r="H17" s="5">
        <f>IF(OR(G17="",COUNT($G$5:G17)&lt;12),"",AVERAGE(G6:G17))</f>
        <v>71.945088940448571</v>
      </c>
      <c r="I17" s="5">
        <f t="shared" si="3"/>
        <v>0.62966944369793065</v>
      </c>
      <c r="J17" s="5">
        <f>IF(OR(G17="",IFERROR(VLOOKUP(B17,Сезонность!$A$4:$D$15,4,FALSE),0)=0),"",G17/IFERROR(VLOOKUP(B17,Сезонность!$A$4:$D$15,4,FALSE),1))</f>
        <v>53.232315304719059</v>
      </c>
      <c r="K17" s="5">
        <f>IF(OR(G17="",H17="",H17=0,IFERROR(VLOOKUP(B17,Сезонность!$A$4:$D$15,4,FALSE),0)=0),"",G17/(H17*IFERROR(VLOOKUP(B17,Сезонность!$A$4:$D$15,4,FALSE),1)))</f>
        <v>0.73990200149424079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925</v>
      </c>
      <c r="F18" s="5">
        <f t="shared" si="2"/>
        <v>53.654292343387468</v>
      </c>
      <c r="G18" s="5">
        <f>IF(COUNT(D18,F18)=0,"",IF(COUNT(D18,F18)=2,D18*Настройки!$B$4+F18*Настройки!$B$5,IF(D18&lt;&gt;"",D18,F18)))</f>
        <v>53.654292343387468</v>
      </c>
      <c r="H18" s="5">
        <f>IF(OR(G18="",COUNT($G$5:G18)&lt;12),"",AVERAGE(G7:G18))</f>
        <v>69.562064965197223</v>
      </c>
      <c r="I18" s="5">
        <f t="shared" si="3"/>
        <v>0.77131540546174682</v>
      </c>
      <c r="J18" s="5">
        <f>IF(OR(G18="",IFERROR(VLOOKUP(B18,Сезонность!$A$4:$D$15,4,FALSE),0)=0),"",G18/IFERROR(VLOOKUP(B18,Сезонность!$A$4:$D$15,4,FALSE),1))</f>
        <v>51.469111095821823</v>
      </c>
      <c r="K18" s="5">
        <f>IF(OR(G18="",H18="",H18=0,IFERROR(VLOOKUP(B18,Сезонность!$A$4:$D$15,4,FALSE),0)=0),"",G18/(H18*IFERROR(VLOOKUP(B18,Сезонность!$A$4:$D$15,4,FALSE),1)))</f>
        <v>0.73990200149424068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866</v>
      </c>
      <c r="F19" s="5">
        <f t="shared" si="2"/>
        <v>50.232018561484914</v>
      </c>
      <c r="G19" s="5">
        <f>IF(COUNT(D19,F19)=0,"",IF(COUNT(D19,F19)=2,D19*Настройки!$B$4+F19*Настройки!$B$5,IF(D19&lt;&gt;"",D19,F19)))</f>
        <v>50.232018561484914</v>
      </c>
      <c r="H19" s="5">
        <f>IF(OR(G19="",COUNT($G$5:G19)&lt;12),"",AVERAGE(G8:G19))</f>
        <v>67.024361948955914</v>
      </c>
      <c r="I19" s="5">
        <f t="shared" si="3"/>
        <v>0.74945910861099085</v>
      </c>
      <c r="J19" s="5">
        <f>IF(OR(G19="",IFERROR(VLOOKUP(B19,Сезонность!$A$4:$D$15,4,FALSE),0)=0),"",G19/IFERROR(VLOOKUP(B19,Сезонность!$A$4:$D$15,4,FALSE),1))</f>
        <v>49.591459554906905</v>
      </c>
      <c r="K19" s="5">
        <f>IF(OR(G19="",H19="",H19=0,IFERROR(VLOOKUP(B19,Сезонность!$A$4:$D$15,4,FALSE),0)=0),"",G19/(H19*IFERROR(VLOOKUP(B19,Сезонность!$A$4:$D$15,4,FALSE),1)))</f>
        <v>0.73990200149424068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879</v>
      </c>
      <c r="F20" s="5">
        <f t="shared" si="2"/>
        <v>50.986078886310906</v>
      </c>
      <c r="G20" s="5">
        <f>IF(COUNT(D20,F20)=0,"",IF(COUNT(D20,F20)=2,D20*Настройки!$B$4+F20*Настройки!$B$5,IF(D20&lt;&gt;"",D20,F20)))</f>
        <v>50.986078886310906</v>
      </c>
      <c r="H20" s="5">
        <f>IF(OR(G20="",COUNT($G$5:G20)&lt;12),"",AVERAGE(G9:G20))</f>
        <v>64.481825212683688</v>
      </c>
      <c r="I20" s="5">
        <f t="shared" si="3"/>
        <v>0.79070464767616189</v>
      </c>
      <c r="J20" s="5">
        <f>IF(OR(G20="",IFERROR(VLOOKUP(B20,Сезонность!$A$4:$D$15,4,FALSE),0)=0),"",G20/IFERROR(VLOOKUP(B20,Сезонность!$A$4:$D$15,4,FALSE),1))</f>
        <v>47.710231534866452</v>
      </c>
      <c r="K20" s="5">
        <f>IF(OR(G20="",H20="",H20=0,IFERROR(VLOOKUP(B20,Сезонность!$A$4:$D$15,4,FALSE),0)=0),"",G20/(H20*IFERROR(VLOOKUP(B20,Сезонность!$A$4:$D$15,4,FALSE),1)))</f>
        <v>0.73990200149424068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483</v>
      </c>
      <c r="F21" s="5">
        <f t="shared" si="2"/>
        <v>28.016241299303946</v>
      </c>
      <c r="G21" s="5">
        <f>IF(COUNT(D21,F21)=0,"",IF(COUNT(D21,F21)=2,D21*Настройки!$B$4+F21*Настройки!$B$5,IF(D21&lt;&gt;"",D21,F21)))</f>
        <v>28.016241299303946</v>
      </c>
      <c r="H21" s="5">
        <f>IF(OR(G21="",COUNT($G$5:G21)&lt;12),"",AVERAGE(G10:G21))</f>
        <v>60.967710750193355</v>
      </c>
      <c r="I21" s="5">
        <f t="shared" si="3"/>
        <v>0.45952588599064453</v>
      </c>
      <c r="J21" s="5">
        <f>IF(OR(G21="",IFERROR(VLOOKUP(B21,Сезонность!$A$4:$D$15,4,FALSE),0)=0),"",G21/IFERROR(VLOOKUP(B21,Сезонность!$A$4:$D$15,4,FALSE),1))</f>
        <v>45.110131210589998</v>
      </c>
      <c r="K21" s="5">
        <f>IF(OR(G21="",H21="",H21=0,IFERROR(VLOOKUP(B21,Сезонность!$A$4:$D$15,4,FALSE),0)=0),"",G21/(H21*IFERROR(VLOOKUP(B21,Сезонность!$A$4:$D$15,4,FALSE),1)))</f>
        <v>0.73990200149424068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473</v>
      </c>
      <c r="F22" s="5">
        <f t="shared" si="2"/>
        <v>27.436194895591647</v>
      </c>
      <c r="G22" s="5">
        <f>IF(COUNT(D22,F22)=0,"",IF(COUNT(D22,F22)=2,D22*Настройки!$B$4+F22*Настройки!$B$5,IF(D22&lt;&gt;"",D22,F22)))</f>
        <v>27.436194895591647</v>
      </c>
      <c r="H22" s="5">
        <f>IF(OR(G22="",COUNT($G$5:G22)&lt;12),"",AVERAGE(G11:G22))</f>
        <v>57.298917246713067</v>
      </c>
      <c r="I22" s="5">
        <f t="shared" si="3"/>
        <v>0.47882571283954783</v>
      </c>
      <c r="J22" s="5">
        <f>IF(OR(G22="",IFERROR(VLOOKUP(B22,Сезонность!$A$4:$D$15,4,FALSE),0)=0),"",G22/IFERROR(VLOOKUP(B22,Сезонность!$A$4:$D$15,4,FALSE),1))</f>
        <v>42.395583554295868</v>
      </c>
      <c r="K22" s="5">
        <f>IF(OR(G22="",H22="",H22=0,IFERROR(VLOOKUP(B22,Сезонность!$A$4:$D$15,4,FALSE),0)=0),"",G22/(H22*IFERROR(VLOOKUP(B22,Сезонность!$A$4:$D$15,4,FALSE),1)))</f>
        <v>0.73990200149424068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701</v>
      </c>
      <c r="F23" s="5">
        <f t="shared" si="2"/>
        <v>40.661252900232022</v>
      </c>
      <c r="G23" s="5">
        <f>IF(COUNT(D23,F23)=0,"",IF(COUNT(D23,F23)=2,D23*Настройки!$B$4+F23*Настройки!$B$5,IF(D23&lt;&gt;"",D23,F23)))</f>
        <v>40.661252900232022</v>
      </c>
      <c r="H23" s="5">
        <f>IF(OR(G23="",COUNT($G$5:G23)&lt;12),"",AVERAGE(G12:G23))</f>
        <v>54.369682907965974</v>
      </c>
      <c r="I23" s="5">
        <f t="shared" si="3"/>
        <v>0.74786628733997151</v>
      </c>
      <c r="J23" s="5">
        <f>IF(OR(G23="",IFERROR(VLOOKUP(B23,Сезонность!$A$4:$D$15,4,FALSE),0)=0),"",G23/IFERROR(VLOOKUP(B23,Сезонность!$A$4:$D$15,4,FALSE),1))</f>
        <v>40.228237204211233</v>
      </c>
      <c r="K23" s="5">
        <f>IF(OR(G23="",H23="",H23=0,IFERROR(VLOOKUP(B23,Сезонность!$A$4:$D$15,4,FALSE),0)=0),"",G23/(H23*IFERROR(VLOOKUP(B23,Сезонность!$A$4:$D$15,4,FALSE),1)))</f>
        <v>0.73990200149424068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693</v>
      </c>
      <c r="F24" s="5">
        <f t="shared" si="2"/>
        <v>40.19721577726218</v>
      </c>
      <c r="G24" s="5">
        <f>IF(COUNT(D24,F24)=0,"",IF(COUNT(D24,F24)=2,D24*Настройки!$B$4+F24*Настройки!$B$5,IF(D24&lt;&gt;"",D24,F24)))</f>
        <v>40.19721577726218</v>
      </c>
      <c r="H24" s="5">
        <f>IF(OR(G24="",COUNT($G$5:G24)&lt;12),"",AVERAGE(G13:G24))</f>
        <v>49.386117556071156</v>
      </c>
      <c r="I24" s="5">
        <f t="shared" si="3"/>
        <v>0.81393755505529997</v>
      </c>
      <c r="J24" s="5">
        <f>IF(OR(G24="",IFERROR(VLOOKUP(B24,Сезонность!$A$4:$D$15,4,FALSE),0)=0),"",G24/IFERROR(VLOOKUP(B24,Сезонность!$A$4:$D$15,4,FALSE),1))</f>
        <v>36.540887225766902</v>
      </c>
      <c r="K24" s="5">
        <f>IF(OR(G24="",H24="",H24=0,IFERROR(VLOOKUP(B24,Сезонность!$A$4:$D$15,4,FALSE),0)=0),"",G24/(H24*IFERROR(VLOOKUP(B24,Сезонность!$A$4:$D$15,4,FALSE),1)))</f>
        <v>0.73990200149424057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974</v>
      </c>
      <c r="F25" s="5">
        <f t="shared" si="2"/>
        <v>56.496519721577734</v>
      </c>
      <c r="G25" s="5">
        <f>IF(COUNT(D25,F25)=0,"",IF(COUNT(D25,F25)=2,D25*Настройки!$B$4+F25*Настройки!$B$5,IF(D25&lt;&gt;"",D25,F25)))</f>
        <v>56.496519721577734</v>
      </c>
      <c r="H25" s="5">
        <f>IF(OR(G25="",COUNT($G$5:G25)&lt;12),"",AVERAGE(G14:G25))</f>
        <v>46.553557617942765</v>
      </c>
      <c r="I25" s="5">
        <f t="shared" si="3"/>
        <v>1.2135811442217841</v>
      </c>
      <c r="J25" s="5">
        <f>IF(OR(G25="",IFERROR(VLOOKUP(B25,Сезонность!$A$4:$D$15,4,FALSE),0)=0),"",G25/IFERROR(VLOOKUP(B25,Сезонность!$A$4:$D$15,4,FALSE),1))</f>
        <v>34.445070458193307</v>
      </c>
      <c r="K25" s="5">
        <f>IF(OR(G25="",H25="",H25=0,IFERROR(VLOOKUP(B25,Сезонность!$A$4:$D$15,4,FALSE),0)=0),"",G25/(H25*IFERROR(VLOOKUP(B25,Сезонность!$A$4:$D$15,4,FALSE),1)))</f>
        <v>0.73990200149424068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591</v>
      </c>
      <c r="F26" s="5">
        <f t="shared" si="2"/>
        <v>34.280742459396748</v>
      </c>
      <c r="G26" s="5">
        <f>IF(COUNT(D26,F26)=0,"",IF(COUNT(D26,F26)=2,D26*Настройки!$B$4+F26*Настройки!$B$5,IF(D26&lt;&gt;"",D26,F26)))</f>
        <v>34.280742459396748</v>
      </c>
      <c r="H26" s="5">
        <f>IF(OR(G26="",COUNT($G$5:G26)&lt;12),"",AVERAGE(G15:G26))</f>
        <v>43.595320959010053</v>
      </c>
      <c r="I26" s="5">
        <f t="shared" si="3"/>
        <v>0.78633994899656279</v>
      </c>
      <c r="J26" s="5">
        <f>IF(OR(G26="",IFERROR(VLOOKUP(B26,Сезонность!$A$4:$D$15,4,FALSE),0)=0),"",G26/IFERROR(VLOOKUP(B26,Сезонность!$A$4:$D$15,4,FALSE),1))</f>
        <v>32.256265233355357</v>
      </c>
      <c r="K26" s="5">
        <f>IF(OR(G26="",H26="",H26=0,IFERROR(VLOOKUP(B26,Сезонность!$A$4:$D$15,4,FALSE),0)=0),"",G26/(H26*IFERROR(VLOOKUP(B26,Сезонность!$A$4:$D$15,4,FALSE),1)))</f>
        <v>0.73990200149424079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460</v>
      </c>
      <c r="F27" s="5">
        <f t="shared" si="2"/>
        <v>26.682134570765658</v>
      </c>
      <c r="G27" s="5">
        <f>IF(COUNT(D27,F27)=0,"",IF(COUNT(D27,F27)=2,D27*Настройки!$B$4+F27*Настройки!$B$5,IF(D27&lt;&gt;"",D27,F27)))</f>
        <v>26.682134570765658</v>
      </c>
      <c r="H27" s="5">
        <f>IF(OR(G27="",COUNT($G$5:G27)&lt;12),"",AVERAGE(G16:G27))</f>
        <v>41.478151585460168</v>
      </c>
      <c r="I27" s="5">
        <f t="shared" si="3"/>
        <v>0.64328166880316973</v>
      </c>
      <c r="J27" s="5">
        <f>IF(OR(G27="",IFERROR(VLOOKUP(B27,Сезонность!$A$4:$D$15,4,FALSE),0)=0),"",G27/IFERROR(VLOOKUP(B27,Сезонность!$A$4:$D$15,4,FALSE),1))</f>
        <v>30.689767376363491</v>
      </c>
      <c r="K27" s="5">
        <f>IF(OR(G27="",H27="",H27=0,IFERROR(VLOOKUP(B27,Сезонность!$A$4:$D$15,4,FALSE),0)=0),"",G27/(H27*IFERROR(VLOOKUP(B27,Сезонность!$A$4:$D$15,4,FALSE),1)))</f>
        <v>0.73990200149424079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708</v>
      </c>
      <c r="F28" s="5">
        <f t="shared" si="2"/>
        <v>41.067285382830626</v>
      </c>
      <c r="G28" s="5">
        <f>IF(COUNT(D28,F28)=0,"",IF(COUNT(D28,F28)=2,D28*Настройки!$B$4+F28*Настройки!$B$5,IF(D28&lt;&gt;"",D28,F28)))</f>
        <v>41.067285382830626</v>
      </c>
      <c r="H28" s="5">
        <f>IF(OR(G28="",COUNT($G$5:G28)&lt;12),"",AVERAGE(G17:G28))</f>
        <v>41.250966744006185</v>
      </c>
      <c r="I28" s="5">
        <f t="shared" si="3"/>
        <v>0.99554722287321307</v>
      </c>
      <c r="J28" s="5">
        <f>IF(OR(G28="",IFERROR(VLOOKUP(B28,Сезонность!$A$4:$D$15,4,FALSE),0)=0),"",G28/IFERROR(VLOOKUP(B28,Сезонность!$A$4:$D$15,4,FALSE),1))</f>
        <v>38.253944768332971</v>
      </c>
      <c r="K28" s="5">
        <f>IF(OR(G28="",H28="",H28=0,IFERROR(VLOOKUP(B28,Сезонность!$A$4:$D$15,4,FALSE),0)=0),"",G28/(H28*IFERROR(VLOOKUP(B28,Сезонность!$A$4:$D$15,4,FALSE),1)))</f>
        <v>0.92734662452223171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0.45952588599064453</v>
      </c>
      <c r="D4" s="5">
        <f t="shared" ref="D4:D15" si="0">IF(C4="","",C4/AVERAGE($C$4:$C$15))</f>
        <v>0.62106317466722172</v>
      </c>
      <c r="E4" s="5">
        <f t="shared" ref="E4:E15" si="1">IF(D4="","",D4-1)</f>
        <v>-0.37893682533277828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0.47882571283954783</v>
      </c>
      <c r="D5" s="5">
        <f t="shared" si="0"/>
        <v>0.64714747611515278</v>
      </c>
      <c r="E5" s="5">
        <f t="shared" si="1"/>
        <v>-0.35285252388484722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0.74786628733997151</v>
      </c>
      <c r="D6" s="5">
        <f t="shared" si="0"/>
        <v>1.0107639739176904</v>
      </c>
      <c r="E6" s="5">
        <f t="shared" si="1"/>
        <v>1.076397391769035E-2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0.81393755505529997</v>
      </c>
      <c r="D7" s="5">
        <f t="shared" si="0"/>
        <v>1.1000612965116241</v>
      </c>
      <c r="E7" s="5">
        <f t="shared" si="1"/>
        <v>0.1000612965116241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1.2135811442217841</v>
      </c>
      <c r="D8" s="5">
        <f t="shared" si="0"/>
        <v>1.6401917304872036</v>
      </c>
      <c r="E8" s="5">
        <f t="shared" si="1"/>
        <v>0.64019173048720357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0.78633994899656279</v>
      </c>
      <c r="D9" s="5">
        <f t="shared" si="0"/>
        <v>1.0627622947478721</v>
      </c>
      <c r="E9" s="5">
        <f t="shared" si="1"/>
        <v>6.2762294747872094E-2</v>
      </c>
      <c r="F9" s="3" t="str">
        <f t="shared" si="2"/>
        <v>средний сезонный уровень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0.64328166880316973</v>
      </c>
      <c r="D10" s="5">
        <f t="shared" si="0"/>
        <v>0.86941468938326283</v>
      </c>
      <c r="E10" s="5">
        <f t="shared" si="1"/>
        <v>-0.13058531061673717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0.79431720923707783</v>
      </c>
      <c r="D11" s="5">
        <f t="shared" si="0"/>
        <v>1.0735438039536924</v>
      </c>
      <c r="E11" s="5">
        <f t="shared" si="1"/>
        <v>7.3543803953692422E-2</v>
      </c>
      <c r="F11" s="3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0.62966944369793065</v>
      </c>
      <c r="D12" s="5">
        <f t="shared" si="0"/>
        <v>0.85101735422570268</v>
      </c>
      <c r="E12" s="5">
        <f t="shared" si="1"/>
        <v>-0.14898264577429732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0.77131540546174682</v>
      </c>
      <c r="D13" s="5">
        <f t="shared" si="0"/>
        <v>1.0424561683899576</v>
      </c>
      <c r="E13" s="5">
        <f t="shared" si="1"/>
        <v>4.2456168389957583E-2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0.74945910861099085</v>
      </c>
      <c r="D14" s="5">
        <f t="shared" si="0"/>
        <v>1.012916720183821</v>
      </c>
      <c r="E14" s="5">
        <f t="shared" si="1"/>
        <v>1.2916720183820951E-2</v>
      </c>
      <c r="F14" s="3" t="str">
        <f t="shared" si="2"/>
        <v>средний сезонный уровень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0.79070464767616189</v>
      </c>
      <c r="D15" s="5">
        <f t="shared" si="0"/>
        <v>1.0686613174167994</v>
      </c>
      <c r="E15" s="5">
        <f t="shared" si="1"/>
        <v>6.8661317416799372E-2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1.6401917304872036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0.62106317466722172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1.0191285558199819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май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январь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73.83990719257541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41.250966744006185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-32.588940448569225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-0.44134590206860441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-2.3879249470392416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0.92734662452223171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0.55245737846624987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0.92734662452223171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0.37488924605598184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68.039443155452446</v>
      </c>
      <c r="C14" s="5" t="str">
        <f>Расчет!H5</f>
        <v/>
      </c>
      <c r="D14" s="5">
        <f>IFERROR(VLOOKUP(Расчет!B5,Сезонность!$A$4:$D$15,4,FALSE),"")</f>
        <v>0.85101735422570268</v>
      </c>
      <c r="E14" s="5">
        <f>Расчет!J5</f>
        <v>79.950711718867439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82.250580046403712</v>
      </c>
      <c r="C15" s="5" t="str">
        <f>Расчет!H6</f>
        <v/>
      </c>
      <c r="D15" s="5">
        <f>IFERROR(VLOOKUP(Расчет!B6,Сезонность!$A$4:$D$15,4,FALSE),"")</f>
        <v>1.0424561683899576</v>
      </c>
      <c r="E15" s="5">
        <f>Расчет!J6</f>
        <v>78.900756252838221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80.684454756380504</v>
      </c>
      <c r="C16" s="5" t="str">
        <f>Расчет!H7</f>
        <v/>
      </c>
      <c r="D16" s="5">
        <f>IFERROR(VLOOKUP(Расчет!B7,Сезонность!$A$4:$D$15,4,FALSE),"")</f>
        <v>1.012916720183821</v>
      </c>
      <c r="E16" s="5">
        <f>Расчет!J7</f>
        <v>79.655566098008677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81.496519721577727</v>
      </c>
      <c r="C17" s="5" t="str">
        <f>Расчет!H8</f>
        <v/>
      </c>
      <c r="D17" s="5">
        <f>IFERROR(VLOOKUP(Расчет!B8,Сезонность!$A$4:$D$15,4,FALSE),"")</f>
        <v>1.0686613174167994</v>
      </c>
      <c r="E17" s="5">
        <f>Расчет!J8</f>
        <v>76.260381463580615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70.185614849187942</v>
      </c>
      <c r="C18" s="5" t="str">
        <f>Расчет!H9</f>
        <v/>
      </c>
      <c r="D18" s="5">
        <f>IFERROR(VLOOKUP(Расчет!B9,Сезонность!$A$4:$D$15,4,FALSE),"")</f>
        <v>0.62106317466722172</v>
      </c>
      <c r="E18" s="5">
        <f>Расчет!J9</f>
        <v>113.00881731845529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71.461716937354993</v>
      </c>
      <c r="C19" s="5" t="str">
        <f>Расчет!H10</f>
        <v/>
      </c>
      <c r="D19" s="5">
        <f>IFERROR(VLOOKUP(Расчет!B10,Сезонность!$A$4:$D$15,4,FALSE),"")</f>
        <v>0.64714747611515278</v>
      </c>
      <c r="E19" s="5">
        <f>Расчет!J10</f>
        <v>110.42570600188691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75.812064965197209</v>
      </c>
      <c r="C20" s="5" t="str">
        <f>Расчет!H11</f>
        <v/>
      </c>
      <c r="D20" s="5">
        <f>IFERROR(VLOOKUP(Расчет!B11,Сезонность!$A$4:$D$15,4,FALSE),"")</f>
        <v>1.0107639739176904</v>
      </c>
      <c r="E20" s="5">
        <f>Расчет!J11</f>
        <v>75.004716156781839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100</v>
      </c>
      <c r="C21" s="5" t="str">
        <f>Расчет!H12</f>
        <v/>
      </c>
      <c r="D21" s="5">
        <f>IFERROR(VLOOKUP(Расчет!B12,Сезонность!$A$4:$D$15,4,FALSE),"")</f>
        <v>1.1000612965116241</v>
      </c>
      <c r="E21" s="5">
        <f>Расчет!J12</f>
        <v>90.904025363956904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90.487238979118331</v>
      </c>
      <c r="C22" s="5" t="str">
        <f>Расчет!H13</f>
        <v/>
      </c>
      <c r="D22" s="5">
        <f>IFERROR(VLOOKUP(Расчет!B13,Сезонность!$A$4:$D$15,4,FALSE),"")</f>
        <v>1.6401917304872036</v>
      </c>
      <c r="E22" s="5">
        <f>Расчет!J13</f>
        <v>55.168696011069358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69.779582366589338</v>
      </c>
      <c r="C23" s="5" t="str">
        <f>Расчет!H14</f>
        <v/>
      </c>
      <c r="D23" s="5">
        <f>IFERROR(VLOOKUP(Расчет!B14,Сезонность!$A$4:$D$15,4,FALSE),"")</f>
        <v>1.0627622947478721</v>
      </c>
      <c r="E23" s="5">
        <f>Расчет!J14</f>
        <v>65.658692175510168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52.088167053364266</v>
      </c>
      <c r="C24" s="5" t="str">
        <f>Расчет!H15</f>
        <v/>
      </c>
      <c r="D24" s="5">
        <f>IFERROR(VLOOKUP(Расчет!B15,Сезонность!$A$4:$D$15,4,FALSE),"")</f>
        <v>0.86941468938326283</v>
      </c>
      <c r="E24" s="5">
        <f>Расчет!J15</f>
        <v>59.911763269509599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43.793503480278424</v>
      </c>
      <c r="C25" s="5">
        <f>Расчет!H16</f>
        <v>73.83990719257541</v>
      </c>
      <c r="D25" s="5">
        <f>IFERROR(VLOOKUP(Расчет!B16,Сезонность!$A$4:$D$15,4,FALSE),"")</f>
        <v>1.0735438039536924</v>
      </c>
      <c r="E25" s="5">
        <f>Расчет!J16</f>
        <v>40.793401553801402</v>
      </c>
      <c r="F25" s="5">
        <f>Расчет!K16</f>
        <v>0.55245737846624987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45.301624129930396</v>
      </c>
      <c r="C26" s="5">
        <f>Расчет!H17</f>
        <v>71.945088940448571</v>
      </c>
      <c r="D26" s="5">
        <f>IFERROR(VLOOKUP(Расчет!B17,Сезонность!$A$4:$D$15,4,FALSE),"")</f>
        <v>0.85101735422570268</v>
      </c>
      <c r="E26" s="5">
        <f>Расчет!J17</f>
        <v>53.232315304719059</v>
      </c>
      <c r="F26" s="5">
        <f>Расчет!K17</f>
        <v>0.73990200149424079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53.654292343387468</v>
      </c>
      <c r="C27" s="5">
        <f>Расчет!H18</f>
        <v>69.562064965197223</v>
      </c>
      <c r="D27" s="5">
        <f>IFERROR(VLOOKUP(Расчет!B18,Сезонность!$A$4:$D$15,4,FALSE),"")</f>
        <v>1.0424561683899576</v>
      </c>
      <c r="E27" s="5">
        <f>Расчет!J18</f>
        <v>51.469111095821823</v>
      </c>
      <c r="F27" s="5">
        <f>Расчет!K18</f>
        <v>0.73990200149424068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50.232018561484914</v>
      </c>
      <c r="C28" s="5">
        <f>Расчет!H19</f>
        <v>67.024361948955914</v>
      </c>
      <c r="D28" s="5">
        <f>IFERROR(VLOOKUP(Расчет!B19,Сезонность!$A$4:$D$15,4,FALSE),"")</f>
        <v>1.012916720183821</v>
      </c>
      <c r="E28" s="5">
        <f>Расчет!J19</f>
        <v>49.591459554906905</v>
      </c>
      <c r="F28" s="5">
        <f>Расчет!K19</f>
        <v>0.73990200149424068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50.986078886310906</v>
      </c>
      <c r="C29" s="5">
        <f>Расчет!H20</f>
        <v>64.481825212683688</v>
      </c>
      <c r="D29" s="5">
        <f>IFERROR(VLOOKUP(Расчет!B20,Сезонность!$A$4:$D$15,4,FALSE),"")</f>
        <v>1.0686613174167994</v>
      </c>
      <c r="E29" s="5">
        <f>Расчет!J20</f>
        <v>47.710231534866452</v>
      </c>
      <c r="F29" s="5">
        <f>Расчет!K20</f>
        <v>0.73990200149424068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28.016241299303946</v>
      </c>
      <c r="C30" s="5">
        <f>Расчет!H21</f>
        <v>60.967710750193355</v>
      </c>
      <c r="D30" s="5">
        <f>IFERROR(VLOOKUP(Расчет!B21,Сезонность!$A$4:$D$15,4,FALSE),"")</f>
        <v>0.62106317466722172</v>
      </c>
      <c r="E30" s="5">
        <f>Расчет!J21</f>
        <v>45.110131210589998</v>
      </c>
      <c r="F30" s="5">
        <f>Расчет!K21</f>
        <v>0.73990200149424068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27.436194895591647</v>
      </c>
      <c r="C31" s="5">
        <f>Расчет!H22</f>
        <v>57.298917246713067</v>
      </c>
      <c r="D31" s="5">
        <f>IFERROR(VLOOKUP(Расчет!B22,Сезонность!$A$4:$D$15,4,FALSE),"")</f>
        <v>0.64714747611515278</v>
      </c>
      <c r="E31" s="5">
        <f>Расчет!J22</f>
        <v>42.395583554295868</v>
      </c>
      <c r="F31" s="5">
        <f>Расчет!K22</f>
        <v>0.73990200149424068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40.661252900232022</v>
      </c>
      <c r="C32" s="5">
        <f>Расчет!H23</f>
        <v>54.369682907965974</v>
      </c>
      <c r="D32" s="5">
        <f>IFERROR(VLOOKUP(Расчет!B23,Сезонность!$A$4:$D$15,4,FALSE),"")</f>
        <v>1.0107639739176904</v>
      </c>
      <c r="E32" s="5">
        <f>Расчет!J23</f>
        <v>40.228237204211233</v>
      </c>
      <c r="F32" s="5">
        <f>Расчет!K23</f>
        <v>0.73990200149424068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40.19721577726218</v>
      </c>
      <c r="C33" s="5">
        <f>Расчет!H24</f>
        <v>49.386117556071156</v>
      </c>
      <c r="D33" s="5">
        <f>IFERROR(VLOOKUP(Расчет!B24,Сезонность!$A$4:$D$15,4,FALSE),"")</f>
        <v>1.1000612965116241</v>
      </c>
      <c r="E33" s="5">
        <f>Расчет!J24</f>
        <v>36.540887225766902</v>
      </c>
      <c r="F33" s="5">
        <f>Расчет!K24</f>
        <v>0.73990200149424057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56.496519721577734</v>
      </c>
      <c r="C34" s="5">
        <f>Расчет!H25</f>
        <v>46.553557617942765</v>
      </c>
      <c r="D34" s="5">
        <f>IFERROR(VLOOKUP(Расчет!B25,Сезонность!$A$4:$D$15,4,FALSE),"")</f>
        <v>1.6401917304872036</v>
      </c>
      <c r="E34" s="5">
        <f>Расчет!J25</f>
        <v>34.445070458193307</v>
      </c>
      <c r="F34" s="5">
        <f>Расчет!K25</f>
        <v>0.73990200149424068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34.280742459396748</v>
      </c>
      <c r="C35" s="5">
        <f>Расчет!H26</f>
        <v>43.595320959010053</v>
      </c>
      <c r="D35" s="5">
        <f>IFERROR(VLOOKUP(Расчет!B26,Сезонность!$A$4:$D$15,4,FALSE),"")</f>
        <v>1.0627622947478721</v>
      </c>
      <c r="E35" s="5">
        <f>Расчет!J26</f>
        <v>32.256265233355357</v>
      </c>
      <c r="F35" s="5">
        <f>Расчет!K26</f>
        <v>0.73990200149424079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26.682134570765658</v>
      </c>
      <c r="C36" s="5">
        <f>Расчет!H27</f>
        <v>41.478151585460168</v>
      </c>
      <c r="D36" s="5">
        <f>IFERROR(VLOOKUP(Расчет!B27,Сезонность!$A$4:$D$15,4,FALSE),"")</f>
        <v>0.86941468938326283</v>
      </c>
      <c r="E36" s="5">
        <f>Расчет!J27</f>
        <v>30.689767376363491</v>
      </c>
      <c r="F36" s="5">
        <f>Расчет!K27</f>
        <v>0.73990200149424079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41.067285382830626</v>
      </c>
      <c r="C37" s="5">
        <f>Расчет!H28</f>
        <v>41.250966744006185</v>
      </c>
      <c r="D37" s="5">
        <f>IFERROR(VLOOKUP(Расчет!B28,Сезонность!$A$4:$D$15,4,FALSE),"")</f>
        <v>1.0735438039536924</v>
      </c>
      <c r="E37" s="5">
        <f>Расчет!J28</f>
        <v>38.253944768332971</v>
      </c>
      <c r="F37" s="5">
        <f>Расчет!K28</f>
        <v>0.92734662452223171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266</v>
      </c>
      <c r="B4" s="3" t="s">
        <v>39</v>
      </c>
      <c r="C4" s="3" t="s">
        <v>185</v>
      </c>
      <c r="D4" s="3" t="s">
        <v>112</v>
      </c>
      <c r="E4" s="3" t="s">
        <v>268</v>
      </c>
      <c r="F4" s="3" t="s">
        <v>186</v>
      </c>
      <c r="G4" s="3" t="s">
        <v>187</v>
      </c>
      <c r="H4" s="3" t="s">
        <v>269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266</v>
      </c>
      <c r="B5" s="3" t="s">
        <v>39</v>
      </c>
      <c r="C5" s="3" t="s">
        <v>188</v>
      </c>
      <c r="D5" s="3" t="s">
        <v>112</v>
      </c>
      <c r="E5" s="3" t="s">
        <v>268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266</v>
      </c>
      <c r="B6" s="3" t="s">
        <v>39</v>
      </c>
      <c r="C6" s="3" t="s">
        <v>190</v>
      </c>
      <c r="D6" s="3" t="s">
        <v>112</v>
      </c>
      <c r="E6" s="3" t="s">
        <v>268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266</v>
      </c>
      <c r="B7" s="3" t="s">
        <v>39</v>
      </c>
      <c r="C7" s="3" t="s">
        <v>192</v>
      </c>
      <c r="D7" s="3" t="s">
        <v>112</v>
      </c>
      <c r="E7" s="3" t="s">
        <v>268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266</v>
      </c>
      <c r="B8" s="3" t="s">
        <v>39</v>
      </c>
      <c r="C8" s="3" t="s">
        <v>194</v>
      </c>
      <c r="D8" s="3" t="s">
        <v>112</v>
      </c>
      <c r="E8" s="3" t="s">
        <v>270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266</v>
      </c>
      <c r="B9" s="3" t="s">
        <v>39</v>
      </c>
      <c r="C9" s="3" t="s">
        <v>197</v>
      </c>
      <c r="D9" s="3" t="s">
        <v>198</v>
      </c>
      <c r="E9" s="3" t="s">
        <v>268</v>
      </c>
      <c r="F9" s="3" t="s">
        <v>186</v>
      </c>
      <c r="G9" s="3" t="s">
        <v>199</v>
      </c>
      <c r="H9" s="3" t="s">
        <v>271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266</v>
      </c>
      <c r="B10" s="3" t="s">
        <v>113</v>
      </c>
      <c r="C10" s="3" t="s">
        <v>200</v>
      </c>
      <c r="D10" s="3" t="s">
        <v>201</v>
      </c>
      <c r="E10" s="3" t="s">
        <v>272</v>
      </c>
      <c r="F10" s="3" t="s">
        <v>186</v>
      </c>
      <c r="G10" s="3" t="s">
        <v>202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266</v>
      </c>
      <c r="B11" s="3" t="s">
        <v>113</v>
      </c>
      <c r="C11" s="3" t="s">
        <v>183</v>
      </c>
      <c r="D11" s="3" t="s">
        <v>201</v>
      </c>
      <c r="E11" s="3" t="s">
        <v>272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266</v>
      </c>
      <c r="B12" s="3" t="s">
        <v>113</v>
      </c>
      <c r="C12" s="3" t="s">
        <v>204</v>
      </c>
      <c r="D12" s="3" t="s">
        <v>201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266</v>
      </c>
      <c r="B13" s="3" t="s">
        <v>113</v>
      </c>
      <c r="C13" s="3" t="s">
        <v>200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266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266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266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266</v>
      </c>
      <c r="B17" s="3" t="s">
        <v>39</v>
      </c>
      <c r="C17" s="3" t="s">
        <v>226</v>
      </c>
      <c r="D17" s="3" t="s">
        <v>112</v>
      </c>
      <c r="E17" s="3" t="s">
        <v>268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266</v>
      </c>
      <c r="B18" s="3" t="s">
        <v>39</v>
      </c>
      <c r="C18" s="3" t="s">
        <v>229</v>
      </c>
      <c r="D18" s="3" t="s">
        <v>112</v>
      </c>
      <c r="E18" s="3" t="s">
        <v>268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266</v>
      </c>
      <c r="B19" s="3" t="s">
        <v>39</v>
      </c>
      <c r="C19" s="3" t="s">
        <v>232</v>
      </c>
      <c r="D19" s="3" t="s">
        <v>112</v>
      </c>
      <c r="E19" s="3" t="s">
        <v>270</v>
      </c>
      <c r="F19" s="3" t="s">
        <v>186</v>
      </c>
      <c r="G19" s="3" t="s">
        <v>233</v>
      </c>
      <c r="H19" s="3" t="s">
        <v>273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267</v>
      </c>
      <c r="B20" s="3" t="s">
        <v>39</v>
      </c>
      <c r="C20" s="3" t="s">
        <v>234</v>
      </c>
      <c r="D20" s="3" t="s">
        <v>112</v>
      </c>
      <c r="E20" s="3" t="s">
        <v>270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267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267</v>
      </c>
      <c r="B22" s="3" t="s">
        <v>113</v>
      </c>
      <c r="C22" s="3" t="s">
        <v>241</v>
      </c>
      <c r="D22" s="3" t="s">
        <v>201</v>
      </c>
      <c r="E22" s="3" t="s">
        <v>272</v>
      </c>
      <c r="F22" s="3" t="s">
        <v>186</v>
      </c>
      <c r="G22" s="3" t="s">
        <v>242</v>
      </c>
      <c r="H22" s="3" t="s">
        <v>274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267</v>
      </c>
      <c r="B23" s="3" t="s">
        <v>113</v>
      </c>
      <c r="C23" s="3" t="s">
        <v>243</v>
      </c>
      <c r="D23" s="3" t="s">
        <v>201</v>
      </c>
      <c r="E23" s="3" t="s">
        <v>272</v>
      </c>
      <c r="F23" s="3" t="s">
        <v>186</v>
      </c>
      <c r="G23" s="3" t="s">
        <v>244</v>
      </c>
      <c r="H23" s="3" t="s">
        <v>275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267</v>
      </c>
      <c r="B24" s="3" t="s">
        <v>113</v>
      </c>
      <c r="C24" s="3" t="s">
        <v>245</v>
      </c>
      <c r="D24" s="3" t="s">
        <v>201</v>
      </c>
      <c r="E24" s="3" t="s">
        <v>272</v>
      </c>
      <c r="F24" s="3" t="s">
        <v>186</v>
      </c>
      <c r="G24" s="3" t="s">
        <v>246</v>
      </c>
      <c r="H24" s="3" t="s">
        <v>276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267</v>
      </c>
      <c r="B25" s="3" t="s">
        <v>113</v>
      </c>
      <c r="C25" s="3" t="s">
        <v>247</v>
      </c>
      <c r="D25" s="3" t="s">
        <v>201</v>
      </c>
      <c r="E25" s="3" t="s">
        <v>272</v>
      </c>
      <c r="F25" s="3" t="s">
        <v>186</v>
      </c>
      <c r="G25" s="3" t="s">
        <v>248</v>
      </c>
      <c r="H25" s="3" t="s">
        <v>277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267</v>
      </c>
      <c r="B26" s="3" t="s">
        <v>113</v>
      </c>
      <c r="C26" s="3" t="s">
        <v>249</v>
      </c>
      <c r="D26" s="3" t="s">
        <v>201</v>
      </c>
      <c r="E26" s="3" t="s">
        <v>272</v>
      </c>
      <c r="F26" s="3" t="s">
        <v>186</v>
      </c>
      <c r="G26" s="3" t="s">
        <v>250</v>
      </c>
      <c r="H26" s="3" t="s">
        <v>278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267</v>
      </c>
      <c r="B27" s="3" t="s">
        <v>113</v>
      </c>
      <c r="C27" s="3" t="s">
        <v>251</v>
      </c>
      <c r="D27" s="3" t="s">
        <v>201</v>
      </c>
      <c r="E27" s="3" t="s">
        <v>272</v>
      </c>
      <c r="F27" s="3" t="s">
        <v>186</v>
      </c>
      <c r="G27" s="3" t="s">
        <v>252</v>
      </c>
      <c r="H27" s="3" t="s">
        <v>279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267</v>
      </c>
      <c r="B28" s="3" t="s">
        <v>113</v>
      </c>
      <c r="C28" s="3" t="s">
        <v>253</v>
      </c>
      <c r="D28" s="3" t="s">
        <v>201</v>
      </c>
      <c r="E28" s="3" t="s">
        <v>272</v>
      </c>
      <c r="F28" s="3" t="s">
        <v>186</v>
      </c>
      <c r="G28" s="3" t="s">
        <v>254</v>
      </c>
      <c r="H28" s="3" t="s">
        <v>280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267</v>
      </c>
      <c r="B29" s="3" t="s">
        <v>113</v>
      </c>
      <c r="C29" s="3" t="s">
        <v>255</v>
      </c>
      <c r="D29" s="3" t="s">
        <v>201</v>
      </c>
      <c r="E29" s="3" t="s">
        <v>272</v>
      </c>
      <c r="F29" s="3" t="s">
        <v>186</v>
      </c>
      <c r="G29" s="3" t="s">
        <v>256</v>
      </c>
      <c r="H29" s="3" t="s">
        <v>281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267</v>
      </c>
      <c r="B30" s="3" t="s">
        <v>113</v>
      </c>
      <c r="C30" s="3" t="s">
        <v>257</v>
      </c>
      <c r="D30" s="3" t="s">
        <v>201</v>
      </c>
      <c r="E30" s="3" t="s">
        <v>272</v>
      </c>
      <c r="F30" s="3" t="s">
        <v>186</v>
      </c>
      <c r="G30" s="3" t="s">
        <v>258</v>
      </c>
      <c r="H30" s="3" t="s">
        <v>282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267</v>
      </c>
      <c r="B31" s="3" t="s">
        <v>113</v>
      </c>
      <c r="C31" s="3" t="s">
        <v>259</v>
      </c>
      <c r="D31" s="3" t="s">
        <v>260</v>
      </c>
      <c r="E31" s="3" t="s">
        <v>261</v>
      </c>
      <c r="F31" s="3" t="s">
        <v>186</v>
      </c>
      <c r="G31" s="3" t="s">
        <v>262</v>
      </c>
      <c r="H31" s="3" t="s">
        <v>283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267</v>
      </c>
      <c r="B32" s="3" t="s">
        <v>113</v>
      </c>
      <c r="C32" s="3" t="s">
        <v>263</v>
      </c>
      <c r="D32" s="3" t="s">
        <v>201</v>
      </c>
      <c r="E32" s="3" t="s">
        <v>264</v>
      </c>
      <c r="F32" s="3" t="s">
        <v>186</v>
      </c>
      <c r="G32" s="3" t="s">
        <v>265</v>
      </c>
      <c r="H32" s="3" t="s">
        <v>284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>
      <c r="A34" s="10" t="s">
        <v>111</v>
      </c>
      <c r="B34" s="3" t="s">
        <v>240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2026-10-04T16:53:15Z</dcterms:created>
  <dcterms:modified xsi:type="dcterms:W3CDTF">2026-10-04T16:58:26Z</dcterms:modified>
</cp:coreProperties>
</file>