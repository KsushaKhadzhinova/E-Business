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2-3\"/>
    </mc:Choice>
  </mc:AlternateContent>
  <xr:revisionPtr revIDLastSave="0" documentId="13_ncr:1_{58A3FA56-A90E-453E-ACFC-17499964D0A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0_Методика" sheetId="1" r:id="rId1"/>
    <sheet name="01_Параметры" sheetId="2" r:id="rId2"/>
    <sheet name="02_Сегменты" sheetId="3" r:id="rId3"/>
    <sheet name="03_Ценовой_коридор" sheetId="4" r:id="rId4"/>
    <sheet name="04_Экономика_покупки" sheetId="5" r:id="rId5"/>
    <sheet name="05_Платежеспособность" sheetId="6" r:id="rId6"/>
    <sheet name="06_Сценарии" sheetId="7" r:id="rId7"/>
    <sheet name="07_Similarweb" sheetId="8" r:id="rId8"/>
    <sheet name="08_Итоговая_панель" sheetId="9" r:id="rId9"/>
    <sheet name="09_Источники" sheetId="10" r:id="rId10"/>
  </sheets>
  <calcPr calcId="191029" refMode="R1C1"/>
</workbook>
</file>

<file path=xl/calcChain.xml><?xml version="1.0" encoding="utf-8"?>
<calcChain xmlns="http://schemas.openxmlformats.org/spreadsheetml/2006/main">
  <c r="E14" i="4" l="1"/>
  <c r="A20" i="7"/>
  <c r="A19" i="7"/>
  <c r="A18" i="7"/>
  <c r="A17" i="7"/>
  <c r="A16" i="7"/>
  <c r="A15" i="7"/>
  <c r="A14" i="7"/>
  <c r="A13" i="7"/>
  <c r="F12" i="4"/>
  <c r="F11" i="4"/>
  <c r="F10" i="4"/>
  <c r="F9" i="4"/>
  <c r="F8" i="4"/>
  <c r="F7" i="4"/>
  <c r="F6" i="4"/>
  <c r="F5" i="4"/>
  <c r="F14" i="4" s="1"/>
  <c r="J14" i="8"/>
  <c r="H14" i="8"/>
  <c r="G14" i="8"/>
  <c r="F14" i="8"/>
  <c r="E14" i="8"/>
  <c r="C14" i="8"/>
  <c r="B14" i="8"/>
  <c r="K12" i="8"/>
  <c r="I12" i="8"/>
  <c r="D12" i="8"/>
  <c r="K11" i="8"/>
  <c r="I11" i="8"/>
  <c r="D11" i="8"/>
  <c r="K10" i="8"/>
  <c r="I10" i="8"/>
  <c r="D10" i="8"/>
  <c r="K9" i="8"/>
  <c r="I9" i="8"/>
  <c r="D9" i="8"/>
  <c r="D8" i="8"/>
  <c r="I8" i="8" s="1"/>
  <c r="K8" i="8" s="1"/>
  <c r="D7" i="8"/>
  <c r="I7" i="8" s="1"/>
  <c r="K7" i="8" s="1"/>
  <c r="D6" i="8"/>
  <c r="I6" i="8" s="1"/>
  <c r="K6" i="8" s="1"/>
  <c r="D5" i="8"/>
  <c r="I5" i="8" s="1"/>
  <c r="H14" i="6"/>
  <c r="F14" i="6"/>
  <c r="C14" i="6"/>
  <c r="B14" i="6"/>
  <c r="I12" i="6"/>
  <c r="G12" i="6"/>
  <c r="E12" i="6"/>
  <c r="D12" i="6"/>
  <c r="I11" i="6"/>
  <c r="G11" i="6"/>
  <c r="E11" i="6"/>
  <c r="D11" i="6"/>
  <c r="I10" i="6"/>
  <c r="G10" i="6"/>
  <c r="E10" i="6"/>
  <c r="D10" i="6"/>
  <c r="G9" i="6"/>
  <c r="I9" i="6" s="1"/>
  <c r="D9" i="6"/>
  <c r="E9" i="6" s="1"/>
  <c r="G8" i="6"/>
  <c r="I8" i="6" s="1"/>
  <c r="D8" i="6"/>
  <c r="E8" i="6" s="1"/>
  <c r="G7" i="6"/>
  <c r="I7" i="6" s="1"/>
  <c r="D7" i="6"/>
  <c r="E7" i="6" s="1"/>
  <c r="G6" i="6"/>
  <c r="I6" i="6" s="1"/>
  <c r="D6" i="6"/>
  <c r="E6" i="6" s="1"/>
  <c r="G5" i="6"/>
  <c r="I5" i="6" s="1"/>
  <c r="D5" i="6"/>
  <c r="E5" i="6" s="1"/>
  <c r="F14" i="5"/>
  <c r="D14" i="5"/>
  <c r="C14" i="5"/>
  <c r="B14" i="5"/>
  <c r="I12" i="5"/>
  <c r="H12" i="5"/>
  <c r="G12" i="5"/>
  <c r="E12" i="5"/>
  <c r="I11" i="5"/>
  <c r="H11" i="5"/>
  <c r="G11" i="5"/>
  <c r="E11" i="5"/>
  <c r="I10" i="5"/>
  <c r="H10" i="5"/>
  <c r="G10" i="5"/>
  <c r="E10" i="5"/>
  <c r="E9" i="5"/>
  <c r="E8" i="5"/>
  <c r="E7" i="5"/>
  <c r="E6" i="5"/>
  <c r="E5" i="5"/>
  <c r="D14" i="4"/>
  <c r="C14" i="4"/>
  <c r="B14" i="4"/>
  <c r="G12" i="4"/>
  <c r="G11" i="4"/>
  <c r="H11" i="4" s="1"/>
  <c r="G10" i="4"/>
  <c r="G9" i="4"/>
  <c r="G8" i="4"/>
  <c r="G7" i="4"/>
  <c r="G6" i="4"/>
  <c r="G5" i="4"/>
  <c r="J14" i="3"/>
  <c r="I14" i="3"/>
  <c r="H14" i="3"/>
  <c r="J13" i="3"/>
  <c r="I13" i="3"/>
  <c r="H13" i="3"/>
  <c r="J12" i="3"/>
  <c r="B20" i="7" s="1"/>
  <c r="I12" i="3"/>
  <c r="H12" i="3"/>
  <c r="J11" i="3"/>
  <c r="B19" i="7" s="1"/>
  <c r="I11" i="3"/>
  <c r="H11" i="3"/>
  <c r="J10" i="3"/>
  <c r="B18" i="7" s="1"/>
  <c r="I10" i="3"/>
  <c r="H10" i="3"/>
  <c r="H9" i="3"/>
  <c r="I9" i="3" s="1"/>
  <c r="J9" i="3" s="1"/>
  <c r="B17" i="7" s="1"/>
  <c r="H8" i="3"/>
  <c r="I8" i="3" s="1"/>
  <c r="J8" i="3" s="1"/>
  <c r="B16" i="7" s="1"/>
  <c r="H7" i="3"/>
  <c r="I7" i="3" s="1"/>
  <c r="J7" i="3" s="1"/>
  <c r="B15" i="7" s="1"/>
  <c r="H6" i="3"/>
  <c r="I6" i="3" s="1"/>
  <c r="J6" i="3" s="1"/>
  <c r="B14" i="7" s="1"/>
  <c r="H5" i="3"/>
  <c r="D14" i="8" l="1"/>
  <c r="I14" i="6"/>
  <c r="D14" i="6"/>
  <c r="B7" i="9" s="1"/>
  <c r="A16" i="9" s="1"/>
  <c r="G5" i="5"/>
  <c r="H5" i="5"/>
  <c r="I5" i="5" s="1"/>
  <c r="H12" i="4"/>
  <c r="H10" i="4"/>
  <c r="H7" i="4"/>
  <c r="H6" i="4"/>
  <c r="G14" i="6"/>
  <c r="K5" i="8"/>
  <c r="K14" i="8" s="1"/>
  <c r="B12" i="9" s="1"/>
  <c r="I14" i="8"/>
  <c r="E20" i="7"/>
  <c r="H20" i="7" s="1"/>
  <c r="D20" i="7"/>
  <c r="G20" i="7" s="1"/>
  <c r="C20" i="7"/>
  <c r="F20" i="7" s="1"/>
  <c r="C19" i="7"/>
  <c r="F19" i="7" s="1"/>
  <c r="E19" i="7"/>
  <c r="H19" i="7" s="1"/>
  <c r="D19" i="7"/>
  <c r="G19" i="7" s="1"/>
  <c r="E18" i="7"/>
  <c r="H18" i="7" s="1"/>
  <c r="D18" i="7"/>
  <c r="G18" i="7" s="1"/>
  <c r="C18" i="7"/>
  <c r="F18" i="7" s="1"/>
  <c r="D17" i="7"/>
  <c r="G17" i="7" s="1"/>
  <c r="C17" i="7"/>
  <c r="F17" i="7" s="1"/>
  <c r="E17" i="7"/>
  <c r="H17" i="7" s="1"/>
  <c r="C16" i="7"/>
  <c r="F16" i="7" s="1"/>
  <c r="D16" i="7"/>
  <c r="G16" i="7" s="1"/>
  <c r="E16" i="7"/>
  <c r="H16" i="7" s="1"/>
  <c r="D15" i="7"/>
  <c r="G15" i="7" s="1"/>
  <c r="E15" i="7"/>
  <c r="H15" i="7" s="1"/>
  <c r="C15" i="7"/>
  <c r="F15" i="7" s="1"/>
  <c r="C14" i="7"/>
  <c r="F14" i="7" s="1"/>
  <c r="D14" i="7"/>
  <c r="G14" i="7" s="1"/>
  <c r="E14" i="7"/>
  <c r="H14" i="7" s="1"/>
  <c r="G9" i="5"/>
  <c r="H9" i="5"/>
  <c r="I9" i="5" s="1"/>
  <c r="G8" i="5"/>
  <c r="H8" i="5"/>
  <c r="I8" i="5" s="1"/>
  <c r="H7" i="5"/>
  <c r="I7" i="5" s="1"/>
  <c r="G7" i="5"/>
  <c r="E14" i="5"/>
  <c r="G6" i="5"/>
  <c r="H6" i="5"/>
  <c r="H9" i="4"/>
  <c r="H8" i="4"/>
  <c r="H5" i="4"/>
  <c r="G14" i="4"/>
  <c r="H16" i="3"/>
  <c r="B6" i="9" s="1"/>
  <c r="I5" i="3"/>
  <c r="G14" i="5" l="1"/>
  <c r="H14" i="4"/>
  <c r="H14" i="5"/>
  <c r="B8" i="9" s="1"/>
  <c r="I6" i="5"/>
  <c r="I16" i="3"/>
  <c r="J5" i="3"/>
  <c r="J16" i="3" l="1"/>
  <c r="B5" i="9" s="1"/>
  <c r="B13" i="7"/>
  <c r="C13" i="7" l="1"/>
  <c r="E13" i="7"/>
  <c r="D13" i="7"/>
  <c r="B22" i="7"/>
  <c r="F13" i="7" l="1"/>
  <c r="F22" i="7" s="1"/>
  <c r="C22" i="7"/>
  <c r="F5" i="9" s="1"/>
  <c r="H13" i="7"/>
  <c r="H22" i="7" s="1"/>
  <c r="E22" i="7"/>
  <c r="F7" i="9" s="1"/>
  <c r="G13" i="7"/>
  <c r="G22" i="7" s="1"/>
  <c r="D22" i="7"/>
  <c r="F6" i="9" s="1"/>
  <c r="B9" i="9" l="1"/>
  <c r="G5" i="9"/>
  <c r="B11" i="9"/>
  <c r="G7" i="9"/>
  <c r="B10" i="9"/>
  <c r="G6" i="9"/>
</calcChain>
</file>

<file path=xl/sharedStrings.xml><?xml version="1.0" encoding="utf-8"?>
<sst xmlns="http://schemas.openxmlformats.org/spreadsheetml/2006/main" count="306" uniqueCount="259">
  <si>
    <t>Методика проверки рынка через платежеспособность</t>
  </si>
  <si>
    <t>Excel-шаблон для оценки, способен ли выявленный интерес аудитории перейти в платежеспособный спрос</t>
  </si>
  <si>
    <t>Этап</t>
  </si>
  <si>
    <t>Что выполняется</t>
  </si>
  <si>
    <t>Какие данные нужны</t>
  </si>
  <si>
    <t>Результат</t>
  </si>
  <si>
    <t>1. Сегментация</t>
  </si>
  <si>
    <t>Разделить потенциальных клиентов на группы по типу, размеру, потребности и цифровой доступности.</t>
  </si>
  <si>
    <t>Сегменты клиентов, численность, доля потребности, доля готовности покупать онлайн.</t>
  </si>
  <si>
    <t>Расчет платежеспособной клиентской базы.</t>
  </si>
  <si>
    <t>2. Ценовой коридор</t>
  </si>
  <si>
    <t>Собрать минимальные, медианные и максимальные цены конкурентов или аналогичных предложений.</t>
  </si>
  <si>
    <t>Сайты конкурентов, прайс-листы, коммерческие предложения, маркетплейсы услуг.</t>
  </si>
  <si>
    <t>Диапазон допустимой цены и ориентир среднего чека.</t>
  </si>
  <si>
    <t>3. Экономическая оправданность</t>
  </si>
  <si>
    <t>Проверить, окупается ли покупка для клиента через дополнительную выручку, экономию или снижение потерь.</t>
  </si>
  <si>
    <t>Выручка клиента, маржинальность, ожидаемый эффект, стоимость услуги.</t>
  </si>
  <si>
    <t>Показатель окупаемости и экономический аргумент покупки.</t>
  </si>
  <si>
    <t>4. Платежеспособность</t>
  </si>
  <si>
    <t>Сопоставить бюджет клиента с ежемесячной стоимостью предложения.</t>
  </si>
  <si>
    <t>Доступный бюджет, цена услуги, регулярность оплаты.</t>
  </si>
  <si>
    <t>Индекс платежеспособности и статус покупки.</t>
  </si>
  <si>
    <t>5. Сценарии</t>
  </si>
  <si>
    <t>Рассчитать осторожный, базовый и оптимистичный варианты рынка.</t>
  </si>
  <si>
    <t>Коэффициенты потребности, платежеспособности, частоты покупки и среднего чека.</t>
  </si>
  <si>
    <t>Диапазон платежеспособного объема рынка.</t>
  </si>
  <si>
    <t>6. Проверка цифровыми данными</t>
  </si>
  <si>
    <t>Использовать Similarweb и другие цифровые источники как косвенную проверку активности рынка.</t>
  </si>
  <si>
    <t>Посещаемость конкурентов, каналы, география, поисковый трафик.</t>
  </si>
  <si>
    <t>Проверка того, есть ли цифровая активность вокруг сегмента.</t>
  </si>
  <si>
    <t>Исходные параметры модели</t>
  </si>
  <si>
    <t>Заполните базовые сведения о бизнес-идее и единых допущениях расчета</t>
  </si>
  <si>
    <t>Параметр</t>
  </si>
  <si>
    <t>Значение</t>
  </si>
  <si>
    <t>Комментарий</t>
  </si>
  <si>
    <t>Бизнес-идея</t>
  </si>
  <si>
    <t>Можно заменить на собственную идею</t>
  </si>
  <si>
    <t>Географические границы</t>
  </si>
  <si>
    <t>Республика Беларусь</t>
  </si>
  <si>
    <t>Территория первичной проверки рынка</t>
  </si>
  <si>
    <t>Валюта расчета</t>
  </si>
  <si>
    <t>BYN</t>
  </si>
  <si>
    <t>Период расчета</t>
  </si>
  <si>
    <t>год</t>
  </si>
  <si>
    <t>Расчет годового платежеспособного объема рынка</t>
  </si>
  <si>
    <t>Базовая конверсия интереса в покупку</t>
  </si>
  <si>
    <t>Минимальный индекс платежеспособности</t>
  </si>
  <si>
    <t>Целевая маржинальность поставщика</t>
  </si>
  <si>
    <t>Дата заполнения</t>
  </si>
  <si>
    <t>Дата версии расчета</t>
  </si>
  <si>
    <t>Расчет рынка через количество платежеспособных клиентов</t>
  </si>
  <si>
    <t>Заполните клиентские сегменты, коэффициенты потребности и доступности покупки</t>
  </si>
  <si>
    <t>Сегмент</t>
  </si>
  <si>
    <t>Всего потенциальных клиентов</t>
  </si>
  <si>
    <t>Доля с потребностью</t>
  </si>
  <si>
    <t>Доля готовых покупать онлайн</t>
  </si>
  <si>
    <t>Доля платежеспособных</t>
  </si>
  <si>
    <t>Покупок/контрактов в год</t>
  </si>
  <si>
    <t>Средний чек</t>
  </si>
  <si>
    <t>Платежеспособные клиенты</t>
  </si>
  <si>
    <t>Годовое число покупок</t>
  </si>
  <si>
    <t>Потенциальный объем рынка</t>
  </si>
  <si>
    <t>Источник</t>
  </si>
  <si>
    <t>Итого</t>
  </si>
  <si>
    <t>Ценовой коридор и конкурентная цена</t>
  </si>
  <si>
    <t>Сравните цены аналогичных предложений и оцените допустимый средний чек</t>
  </si>
  <si>
    <t>Услуга / продукт</t>
  </si>
  <si>
    <t>Минимальная цена</t>
  </si>
  <si>
    <t>Медианная цена</t>
  </si>
  <si>
    <t>Максимальная цена</t>
  </si>
  <si>
    <t>Себестоимость</t>
  </si>
  <si>
    <t>Валовая маржа</t>
  </si>
  <si>
    <t>Цена в модели</t>
  </si>
  <si>
    <t>Индекс доступности цены</t>
  </si>
  <si>
    <t>Сайты конкурентов</t>
  </si>
  <si>
    <t>Среднее / ориентир</t>
  </si>
  <si>
    <t>Экономическая оправданность покупки для клиента</t>
  </si>
  <si>
    <t>Проверяется, возвращает ли клиент вложения в продукт или услугу</t>
  </si>
  <si>
    <t>Средняя месячная выручка клиента</t>
  </si>
  <si>
    <t>Маржинальность клиента</t>
  </si>
  <si>
    <t>Ожидаемый рост выручки</t>
  </si>
  <si>
    <t>Дополнительная валовая прибыль/мес.</t>
  </si>
  <si>
    <t>Цена услуги/мес.</t>
  </si>
  <si>
    <t>Окупаемость, мес.</t>
  </si>
  <si>
    <t>ROI за год</t>
  </si>
  <si>
    <t>Экономический статус</t>
  </si>
  <si>
    <t>Среднее / сводный показатель</t>
  </si>
  <si>
    <t>Проверка платежеспособности клиентских сегментов</t>
  </si>
  <si>
    <t>Индекс платежеспособности = доступный месячный бюджет клиента / месячная цена предложения</t>
  </si>
  <si>
    <t>Средний доступный бюджет/мес.</t>
  </si>
  <si>
    <t>Цена предложения/мес.</t>
  </si>
  <si>
    <t>Индекс платежеспособности</t>
  </si>
  <si>
    <t>Статус</t>
  </si>
  <si>
    <t>Доля клиентов с бюджетом</t>
  </si>
  <si>
    <t>Годовой чек</t>
  </si>
  <si>
    <t>Платежеспособный объем</t>
  </si>
  <si>
    <t>Итого / среднее</t>
  </si>
  <si>
    <t>Сценарная проверка платежеспособного объема рынка</t>
  </si>
  <si>
    <t>Сценарии позволяют не завышать вывод и показывать диапазон оценки</t>
  </si>
  <si>
    <t>Осторожный</t>
  </si>
  <si>
    <t>Базовый</t>
  </si>
  <si>
    <t>Оптимистичный</t>
  </si>
  <si>
    <t>Коэффициент потребности</t>
  </si>
  <si>
    <t>Корректировка доли клиентов с потребностью</t>
  </si>
  <si>
    <t>Коэффициент платежеспособности</t>
  </si>
  <si>
    <t>Корректировка доли платежеспособных клиентов</t>
  </si>
  <si>
    <t>Коэффициент частоты покупки</t>
  </si>
  <si>
    <t>Корректировка числа покупок/контрактов</t>
  </si>
  <si>
    <t>Коэффициент среднего чека</t>
  </si>
  <si>
    <t>Корректировка цены</t>
  </si>
  <si>
    <t>Достижимая доля нового бизнеса</t>
  </si>
  <si>
    <t>Реалистичная доля рынка для нового игрока</t>
  </si>
  <si>
    <t>Базовый объем</t>
  </si>
  <si>
    <t>Осторожный рынок</t>
  </si>
  <si>
    <t>Базовый рынок</t>
  </si>
  <si>
    <t>Оптимистичный рынок</t>
  </si>
  <si>
    <t>Осторожная достижимая выручка</t>
  </si>
  <si>
    <t>Базовая достижимая выручка</t>
  </si>
  <si>
    <t>Оптимистичная достижимая выручка</t>
  </si>
  <si>
    <t>Проверка цифровой активности через Similarweb</t>
  </si>
  <si>
    <t>Используется как косвенная проверка рынка: трафик конкурентов, география, каналы и поисковые запросы</t>
  </si>
  <si>
    <t>Сайт / конкурент</t>
  </si>
  <si>
    <t>Месячные посещения</t>
  </si>
  <si>
    <t>Доля целевой географии</t>
  </si>
  <si>
    <t>Релевантный трафик</t>
  </si>
  <si>
    <t>Доля поискового трафика</t>
  </si>
  <si>
    <t>Доля прямого трафика</t>
  </si>
  <si>
    <t>Доля соцсетей</t>
  </si>
  <si>
    <t>Оценка конверсии в заявку</t>
  </si>
  <si>
    <t>Оценка заявок/мес.</t>
  </si>
  <si>
    <t>Оценка выручки/мес.</t>
  </si>
  <si>
    <t>Источник / дата</t>
  </si>
  <si>
    <t>Итоговая панель проверки платежеспособности</t>
  </si>
  <si>
    <t>Ключевые показатели, сценарии и вывод для принятия решения</t>
  </si>
  <si>
    <t>Показатель</t>
  </si>
  <si>
    <t>Интерпретация</t>
  </si>
  <si>
    <t>Сценарий</t>
  </si>
  <si>
    <t>Рынок</t>
  </si>
  <si>
    <t>Достижимая выручка</t>
  </si>
  <si>
    <t>Потенциальный объем по сегментам</t>
  </si>
  <si>
    <t>Сумма по всем сегментам с учетом потребности, цифровой доступности и платежеспособности</t>
  </si>
  <si>
    <t>Нижняя граница</t>
  </si>
  <si>
    <t>Расчетная база клиентов, способных купить предложение</t>
  </si>
  <si>
    <t>Плановый ориентир</t>
  </si>
  <si>
    <t>Средний индекс платежеспособности</t>
  </si>
  <si>
    <t>Бюджет клиента / цена предложения</t>
  </si>
  <si>
    <t>Верхняя граница</t>
  </si>
  <si>
    <t>Средний ROI клиента за год</t>
  </si>
  <si>
    <t>Экономическая оправданность покупки с позиции клиента</t>
  </si>
  <si>
    <t>Реалистичный нижний сценарий для нового игрока</t>
  </si>
  <si>
    <t>Основной сценарий для планирования</t>
  </si>
  <si>
    <t>Верхний сценарий при высокой реализации</t>
  </si>
  <si>
    <t>Оценка выручки конкурентов по Similarweb/мес.</t>
  </si>
  <si>
    <t>Косвенный ориентир цифровой активности рынка</t>
  </si>
  <si>
    <t>Автоматизированный предварительный вывод</t>
  </si>
  <si>
    <t>Журнал источников данных и допущений</t>
  </si>
  <si>
    <t>Заполняется для воспроизводимости расчета и проверки ограничений</t>
  </si>
  <si>
    <t>Какие данные брать</t>
  </si>
  <si>
    <t>Как использовать</t>
  </si>
  <si>
    <t>Ссылка / путь</t>
  </si>
  <si>
    <t>Дата обращения</t>
  </si>
  <si>
    <t>Ограничение</t>
  </si>
  <si>
    <t>Белстат / государственная статистика</t>
  </si>
  <si>
    <t>Количество компаний, отрасли, доходы, социально-экономические показатели</t>
  </si>
  <si>
    <t>Оценка потенциальной клиентской базы и платежеспособности</t>
  </si>
  <si>
    <t>https://www.belstat.gov.by/</t>
  </si>
  <si>
    <t>Официальные данные могут быть укрупненными</t>
  </si>
  <si>
    <t>Similarweb</t>
  </si>
  <si>
    <t>Посещаемость конкурентов, каналы, география, поисковый трафик</t>
  </si>
  <si>
    <t>Проверка цифровой активности и конкурентной среды</t>
  </si>
  <si>
    <t>https://www.similarweb.com/website/</t>
  </si>
  <si>
    <t>Оценочные данные, точность ниже для малых сайтов</t>
  </si>
  <si>
    <t>Google Trends</t>
  </si>
  <si>
    <t>Динамика относительного интереса</t>
  </si>
  <si>
    <t>Проверка устойчивости интереса к теме</t>
  </si>
  <si>
    <t>https://trends.google.com/</t>
  </si>
  <si>
    <t>Индекс 0–100 не равен абсолютному спросу</t>
  </si>
  <si>
    <t>Яндекс Вордстат</t>
  </si>
  <si>
    <t>Частотность запросов, регионы, динамика</t>
  </si>
  <si>
    <t>Проверка поискового спроса и коммерческих формулировок</t>
  </si>
  <si>
    <t>https://wordstat.yandex.ru/</t>
  </si>
  <si>
    <t>Отражает аудиторию Яндекса</t>
  </si>
  <si>
    <t>Цены, пакеты услуг, позиционирование, офферы</t>
  </si>
  <si>
    <t>Определение ценового коридора и коммерческих условий</t>
  </si>
  <si>
    <t>Неполная видимость фактических продаж</t>
  </si>
  <si>
    <t>Опросы / интервью клиентов</t>
  </si>
  <si>
    <t>Бюджет, готовность платить, барьеры покупки</t>
  </si>
  <si>
    <t>Проверка платежеспособности и экономической оправданности</t>
  </si>
  <si>
    <t>Может быть смещенность выборки</t>
  </si>
  <si>
    <t>Доля регистраций, оплативших Pro: допущение проекта Free → Pro 3–5 % (базовое 4 %); формулами не используется (П-13)</t>
  </si>
  <si>
    <t>🔲</t>
  </si>
  <si>
    <t>S-01 Студенты технических и экономических специальностей</t>
  </si>
  <si>
    <t>Тариф: Free (первичный). Клиенты в границах = численность 229 000 × К1 0.3</t>
  </si>
  <si>
    <t>Белстат, «Образование в Республике Беларусь, 2026», табл. 7.1 (229,0 тыс., 2025/26)</t>
  </si>
  <si>
    <t>S-02/S-03 Аналитики, архитекторы ПО и разработчики</t>
  </si>
  <si>
    <t>Тариф: Pro. Клиенты в границах = численность 130 549 × К1 0.3</t>
  </si>
  <si>
    <t>Белстат, работники организаций цифровой экономики, 2024 (130 549)</t>
  </si>
  <si>
    <t>S-04 Преподаватели технических дисциплин</t>
  </si>
  <si>
    <t>Тариф: Free / Pro. Клиенты в границах = численность 17 100 × К1 0.2</t>
  </si>
  <si>
    <t>Белстат, ППС вузов (17,1 тыс., 2025/26); доля технических дисциплин неизвестна</t>
  </si>
  <si>
    <t>Примечание</t>
  </si>
  <si>
    <t>Miro (платные тарифы, BYN/мес.)</t>
  </si>
  <si>
    <t>Страница тарифов продукта, 30.09.2026</t>
  </si>
  <si>
    <t>Lucidchart (платные тарифы, BYN/мес.)</t>
  </si>
  <si>
    <t>Mermaid Chart (платные тарифы, BYN/мес.)</t>
  </si>
  <si>
    <t>Visual Paradigm Online (платные тарифы, BYN/мес.)</t>
  </si>
  <si>
    <t>Creately (платные тарифы, BYN/мес.)</t>
  </si>
  <si>
    <t>Eraser (платные тарифы, BYN/мес.)</t>
  </si>
  <si>
    <t>Whimsical (платные тарифы, BYN/мес.)</t>
  </si>
  <si>
    <t>dbdiagram.io (платные тарифы, BYN/мес.)</t>
  </si>
  <si>
    <t>Справочно (в среднее не входят)</t>
  </si>
  <si>
    <t>NotaCode Pro</t>
  </si>
  <si>
    <t>Microsoft Visio Plan 1 / Plan 2</t>
  </si>
  <si>
    <t>15.14 / 45.43</t>
  </si>
  <si>
    <t>draw.io, PlantUML</t>
  </si>
  <si>
    <t>бесплатные заменители (цена заменителя = 0)</t>
  </si>
  <si>
    <t>Денежного эффекта у студента нет (продукт Free); показано для случая покупки Pro</t>
  </si>
  <si>
    <t>Эффект = доход × доля сэкономленного времени (3 ч из 168 ч в месяц; допущение Д-07, 🔲 опрос)</t>
  </si>
  <si>
    <t>средняя з/п по РБ, июль 2026 (3 172,0 BYN; данных по преподавателям нет)</t>
  </si>
  <si>
    <t>Бюджет = доход × 5% (Д-08); доля F = доле платёжеспособных листа 02 (решение В-11)</t>
  </si>
  <si>
    <t>plantuml.com</t>
  </si>
  <si>
    <t>app.diagrams.net</t>
  </si>
  <si>
    <t>eraser.io</t>
  </si>
  <si>
    <t>mermaidchart.com</t>
  </si>
  <si>
    <t>Доля поискового трафика (E) показана бесплатной карточкой только у plantuml.com (Organic 48,47 %); прямой трафик и соцсети не показаны («нет данных в бесплатном доступе»).</t>
  </si>
  <si>
    <t>Страницы тарифов Miro, Lucidchart, Mermaid Chart, Visual Paradigm, Creately, Eraser, Whimsical, dbdiagram.io (30.09.2026)</t>
  </si>
  <si>
    <t>Белстат, стипендия и зарплата</t>
  </si>
  <si>
    <t>Доход сегментов</t>
  </si>
  <si>
    <t>Доля цены в доходе, бюджет</t>
  </si>
  <si>
    <t>НБРБ</t>
  </si>
  <si>
    <t>Перевод цен</t>
  </si>
  <si>
    <t>https://api.nbrb.by/exrates/rates/431</t>
  </si>
  <si>
    <t>средняя з/п «информация и связь», июль 2026 (6 413 BYN, Белстат)</t>
  </si>
  <si>
    <t>стипендия БГУИР (ИКТ), середина диапазона 229,75–367,60 BYN (таблица БГУИР с 01.08.2026)</t>
  </si>
  <si>
    <t>NotaCode – веб-IDE для построения и проверки диаграмм формальных нотаций как текста (подписка Free / Pro)</t>
  </si>
  <si>
    <t>Бюджет / цена ≥ 1 – покупка возможна; ниже 1 – затруднена (формулами не используется)</t>
  </si>
  <si>
    <t>Себестоимость обслуживания пользователя в концепции не определена – 🔲 (формулами не используется)</t>
  </si>
  <si>
    <t>Можно заменить на RUB, у.е., EUR</t>
  </si>
  <si>
    <t>Годовой чек 40 у.е. (решение В-5; альтернатива 48 у.е. = 4 у.е. × 12), в BYN по курсу НБРБ 3,0285 (30.09.2026); число оплат в год = 1 (годовой тариф). Доля платёжеспособных (E) совмещает финансовую возможность и готовность платить (К4 по ПК табл. 7). Строки ниже S-04 не используются (П-5).</t>
  </si>
  <si>
    <t>Себестоимость (столбец E) у конкурентов не публикуется – нет данных; формула валовой маржи в копии возвращает «нет данных» (в шаблоне при пустой ячейке давала 100 %). Индекс доступности цены H всегда равен 1 (особенность шаблона П-3) и в выводах не используется.</t>
  </si>
  <si>
    <t>Тарифы: Starter (за участника), Business (за участника); оплата за год, у.е. × 3,0285</t>
  </si>
  <si>
    <t>Тарифы: Individual, Team (за пользователя); оплата за год, у.е. × 3,0285</t>
  </si>
  <si>
    <t>Тарифы: Plus (за пользователя), Premium (за пользователя); оплата за год, у.е. × 3,0285</t>
  </si>
  <si>
    <t>Тарифы: Starter, Advance, Combo, Deluxe; оплата за год, у.е. × 3,0285</t>
  </si>
  <si>
    <t>Тарифы: Starter, Team, Business; оплата за год, у.е. × 3,0285</t>
  </si>
  <si>
    <t>Тарифы: Starter, Business; оплата за год, у.е. × 3,0285</t>
  </si>
  <si>
    <t>Тарифы: Pro, Business; оплата за год, у.е. × 3,0285</t>
  </si>
  <si>
    <t>Тарифы: Personal Pro; оплата за год, у.е. × 3,0285</t>
  </si>
  <si>
    <t>годовой тариф 40 у.е. = 10,10 BYN/мес.; помесячно 4 у.е. = 12,11 BYN</t>
  </si>
  <si>
    <t>5 и 15 у.е./мес. за пользователя</t>
  </si>
  <si>
    <t>Доход клиента – средняя месячная зарплата/стипендия; маржинальность принята 1,0 (трудовой доход, не выручка компании).</t>
  </si>
  <si>
    <t>ФАКТ (Similarweb, авг. 2026, скриншот); 30.09.2026. Доля РБ – допущение Д-01. H = CR1 × CR2 (в шаблоне отдельной конверсии в оплату нет)</t>
  </si>
  <si>
    <t>отчёт ЛР1, без скриншота; 30.09.2026. Доля РБ – допущение Д-01. H = CR1 × CR2 (в шаблоне отдельной конверсии в оплату нет)</t>
  </si>
  <si>
    <t>предварительный замер 17–23.09.2026, не подтверждён; 30.09.2026. Доля РБ – допущение Д-01. H = CR1 × CR2 (в шаблоне отдельной конверсии в оплату нет)</t>
  </si>
  <si>
    <t>предварительный замер: «менее 20 тыс.» (верхняя граница), не подтверждён; 30.09.2026. Доля РБ – допущение Д-01. H = CR1 × CR2 (в шаблоне отдельной конверсии в оплату нет)</t>
  </si>
  <si>
    <t>29.09.2026</t>
  </si>
  <si>
    <t>🔲 ДОСНЯТЬ: опрос ≥20–30 респондентов (готовность платить, допустимая цена) – провести опрос</t>
  </si>
  <si>
    <t>стипендия БГУИР (вторичный источник teenage.by); з/п: Белстат, экспресс-информация янв.–авг. 2026; «информация и связь» – Белстат, таблица по видам деятельности, июль 2026 (nach_sr_zarplata-2607.xlsx)</t>
  </si>
  <si>
    <t>Курс у.е./BYN 3,0285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</si>
</sst>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0.0%"/>
  </numFmts>
  <fonts count="6">
    <font>
      <sz val="11"/>
      <name val="Carlito"/>
    </font>
    <font>
      <b/>
      <sz val="14"/>
      <color rgb="FFFFFFFF"/>
      <name val="Carlito"/>
    </font>
    <font>
      <i/>
      <sz val="10"/>
      <color rgb="FF1F2937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2">
    <xf numFmtId="0" fontId="0" fillId="0" borderId="0" xfId="0"/>
    <xf numFmtId="0" fontId="3" fillId="4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0" borderId="0" xfId="1" applyFont="1" applyAlignment="1">
      <alignment vertical="top" wrapText="1"/>
    </xf>
    <xf numFmtId="9" fontId="0" fillId="0" borderId="0" xfId="1" applyNumberFormat="1" applyFont="1" applyAlignment="1">
      <alignment vertical="top" wrapText="1"/>
    </xf>
    <xf numFmtId="164" fontId="0" fillId="0" borderId="0" xfId="1" applyNumberFormat="1" applyFont="1" applyAlignment="1">
      <alignment vertical="top" wrapText="1"/>
    </xf>
    <xf numFmtId="0" fontId="4" fillId="5" borderId="0" xfId="1" applyFont="1" applyFill="1" applyAlignment="1">
      <alignment vertical="top" wrapText="1"/>
    </xf>
    <xf numFmtId="3" fontId="0" fillId="0" borderId="0" xfId="1" applyNumberFormat="1" applyFont="1" applyAlignment="1">
      <alignment vertical="top" wrapText="1"/>
    </xf>
    <xf numFmtId="165" fontId="0" fillId="0" borderId="0" xfId="1" applyNumberFormat="1" applyFont="1" applyAlignment="1">
      <alignment vertical="top" wrapText="1"/>
    </xf>
    <xf numFmtId="3" fontId="4" fillId="5" borderId="0" xfId="1" applyNumberFormat="1" applyFont="1" applyFill="1" applyAlignment="1">
      <alignment vertical="top" wrapText="1"/>
    </xf>
    <xf numFmtId="9" fontId="4" fillId="5" borderId="0" xfId="1" applyNumberFormat="1" applyFont="1" applyFill="1" applyAlignment="1">
      <alignment vertical="top" wrapText="1"/>
    </xf>
    <xf numFmtId="2" fontId="0" fillId="0" borderId="0" xfId="1" applyNumberFormat="1" applyFont="1" applyAlignment="1">
      <alignment vertical="top" wrapText="1"/>
    </xf>
    <xf numFmtId="2" fontId="4" fillId="5" borderId="0" xfId="1" applyNumberFormat="1" applyFont="1" applyFill="1" applyAlignment="1">
      <alignment vertical="top" wrapText="1"/>
    </xf>
    <xf numFmtId="165" fontId="4" fillId="5" borderId="0" xfId="1" applyNumberFormat="1" applyFont="1" applyFill="1" applyAlignment="1">
      <alignment vertical="top" wrapText="1"/>
    </xf>
    <xf numFmtId="166" fontId="0" fillId="0" borderId="0" xfId="1" applyNumberFormat="1" applyFont="1" applyAlignment="1">
      <alignment vertical="top" wrapText="1"/>
    </xf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2" fillId="3" borderId="0" xfId="1" applyFont="1" applyFill="1" applyAlignment="1">
      <alignment horizontal="center" vertical="center" wrapText="1"/>
    </xf>
    <xf numFmtId="0" fontId="3" fillId="4" borderId="0" xfId="1" applyFont="1" applyFill="1" applyAlignment="1">
      <alignment horizontal="center" wrapText="1"/>
    </xf>
    <xf numFmtId="0" fontId="0" fillId="6" borderId="0" xfId="1" applyFont="1" applyFill="1" applyAlignment="1">
      <alignment vertical="top" wrapText="1"/>
    </xf>
    <xf numFmtId="49" fontId="0" fillId="0" borderId="0" xfId="1" applyNumberFormat="1" applyFont="1" applyAlignment="1">
      <alignment vertical="top" wrapText="1"/>
    </xf>
    <xf numFmtId="49" fontId="0" fillId="0" borderId="0" xfId="1" applyNumberFormat="1" applyFont="1" applyAlignment="1">
      <alignment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Рынок</c:v>
          </c:tx>
          <c:invertIfNegative val="1"/>
          <c:cat>
            <c:strRef>
              <c:f>'08_Итоговая_панель'!$E$5:$E$7</c:f>
              <c:strCache>
                <c:ptCount val="3"/>
                <c:pt idx="0">
                  <c:v>Осторожный</c:v>
                </c:pt>
                <c:pt idx="1">
                  <c:v>Базовый</c:v>
                </c:pt>
                <c:pt idx="2">
                  <c:v>Оптимистичный</c:v>
                </c:pt>
              </c:strCache>
            </c:strRef>
          </c:cat>
          <c:val>
            <c:numRef>
              <c:f>'08_Итоговая_панель'!$F$5:$F$7</c:f>
              <c:numCache>
                <c:formatCode>#,##0</c:formatCode>
                <c:ptCount val="3"/>
                <c:pt idx="0">
                  <c:v>49893.228355162501</c:v>
                </c:pt>
                <c:pt idx="1">
                  <c:v>197989.00140937499</c:v>
                </c:pt>
                <c:pt idx="2">
                  <c:v>409837.23291740625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80-4552-BF8A-8B54FE2E5C25}"/>
            </c:ext>
          </c:extLst>
        </c:ser>
        <c:ser>
          <c:idx val="1"/>
          <c:order val="1"/>
          <c:tx>
            <c:v>Достижимая выручка</c:v>
          </c:tx>
          <c:invertIfNegative val="1"/>
          <c:cat>
            <c:strRef>
              <c:f>'08_Итоговая_панель'!$E$5:$E$7</c:f>
              <c:strCache>
                <c:ptCount val="3"/>
                <c:pt idx="0">
                  <c:v>Осторожный</c:v>
                </c:pt>
                <c:pt idx="1">
                  <c:v>Базовый</c:v>
                </c:pt>
                <c:pt idx="2">
                  <c:v>Оптимистичный</c:v>
                </c:pt>
              </c:strCache>
            </c:strRef>
          </c:cat>
          <c:val>
            <c:numRef>
              <c:f>'08_Итоговая_панель'!$G$5:$G$7</c:f>
              <c:numCache>
                <c:formatCode>#,##0</c:formatCode>
                <c:ptCount val="3"/>
                <c:pt idx="0">
                  <c:v>249.4661417758125</c:v>
                </c:pt>
                <c:pt idx="1">
                  <c:v>2969.835021140625</c:v>
                </c:pt>
                <c:pt idx="2">
                  <c:v>14344.303152109218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80-4552-BF8A-8B54FE2E5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Объем</c:v>
          </c:tx>
          <c:invertIfNegative val="1"/>
          <c:cat>
            <c:strRef>
              <c:f>'02_Сегменты'!$A$5:$A$9</c:f>
              <c:strCache>
                <c:ptCount val="3"/>
                <c:pt idx="0">
                  <c:v>S-01 Студенты технических и экономических специальностей</c:v>
                </c:pt>
                <c:pt idx="1">
                  <c:v>S-02/S-03 Аналитики, архитекторы ПО и разработчики</c:v>
                </c:pt>
                <c:pt idx="2">
                  <c:v>S-04 Преподаватели технических дисциплин</c:v>
                </c:pt>
              </c:strCache>
            </c:strRef>
          </c:cat>
          <c:val>
            <c:numRef>
              <c:f>'02_Сегменты'!$J$5:$J$9</c:f>
              <c:numCache>
                <c:formatCode>#,##0</c:formatCode>
                <c:ptCount val="5"/>
                <c:pt idx="0">
                  <c:v>90115.099593749997</c:v>
                </c:pt>
                <c:pt idx="1">
                  <c:v>102746.95416562501</c:v>
                </c:pt>
                <c:pt idx="2">
                  <c:v>5126.947650000001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F0-449D-982E-66A65759A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4</xdr:col>
      <xdr:colOff>0</xdr:colOff>
      <xdr:row>36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gmentsTable" displayName="SegmentsTable" ref="A4:L14">
  <tableColumns count="12">
    <tableColumn id="1" xr3:uid="{00000000-0010-0000-0000-000001000000}" name="Сегмент"/>
    <tableColumn id="2" xr3:uid="{00000000-0010-0000-0000-000002000000}" name="Всего потенциальных клиентов"/>
    <tableColumn id="3" xr3:uid="{00000000-0010-0000-0000-000003000000}" name="Доля с потребностью"/>
    <tableColumn id="4" xr3:uid="{00000000-0010-0000-0000-000004000000}" name="Доля готовых покупать онлайн"/>
    <tableColumn id="5" xr3:uid="{00000000-0010-0000-0000-000005000000}" name="Доля платежеспособных"/>
    <tableColumn id="6" xr3:uid="{00000000-0010-0000-0000-000006000000}" name="Покупок/контрактов в год"/>
    <tableColumn id="7" xr3:uid="{00000000-0010-0000-0000-000007000000}" name="Средний чек"/>
    <tableColumn id="8" xr3:uid="{00000000-0010-0000-0000-000008000000}" name="Платежеспособные клиенты"/>
    <tableColumn id="9" xr3:uid="{00000000-0010-0000-0000-000009000000}" name="Годовое число покупок"/>
    <tableColumn id="10" xr3:uid="{00000000-0010-0000-0000-00000A000000}" name="Потенциальный объем рынка"/>
    <tableColumn id="11" xr3:uid="{00000000-0010-0000-0000-00000B000000}" name="Комментарий"/>
    <tableColumn id="12" xr3:uid="{00000000-0010-0000-0000-00000C000000}" name="Источни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iceTable" displayName="PriceTable" ref="A4:J12">
  <tableColumns count="10">
    <tableColumn id="1" xr3:uid="{00000000-0010-0000-0100-000001000000}" name="Услуга / продукт"/>
    <tableColumn id="2" xr3:uid="{00000000-0010-0000-0100-000002000000}" name="Минимальная цена"/>
    <tableColumn id="3" xr3:uid="{00000000-0010-0000-0100-000003000000}" name="Медианная цена"/>
    <tableColumn id="4" xr3:uid="{00000000-0010-0000-0100-000004000000}" name="Максимальная цена"/>
    <tableColumn id="5" xr3:uid="{00000000-0010-0000-0100-000005000000}" name="Себестоимость"/>
    <tableColumn id="6" xr3:uid="{00000000-0010-0000-0100-000006000000}" name="Валовая маржа"/>
    <tableColumn id="7" xr3:uid="{00000000-0010-0000-0100-000007000000}" name="Цена в модели"/>
    <tableColumn id="8" xr3:uid="{00000000-0010-0000-0100-000008000000}" name="Индекс доступности цены"/>
    <tableColumn id="9" xr3:uid="{00000000-0010-0000-0100-000009000000}" name="Комментарий"/>
    <tableColumn id="10" xr3:uid="{00000000-0010-0000-0100-00000A000000}" name="Источник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conomicsTable" displayName="EconomicsTable" ref="A4:K12">
  <tableColumns count="11">
    <tableColumn id="1" xr3:uid="{00000000-0010-0000-0200-000001000000}" name="Сегмент"/>
    <tableColumn id="2" xr3:uid="{00000000-0010-0000-0200-000002000000}" name="Средняя месячная выручка клиента"/>
    <tableColumn id="3" xr3:uid="{00000000-0010-0000-0200-000003000000}" name="Маржинальность клиента"/>
    <tableColumn id="4" xr3:uid="{00000000-0010-0000-0200-000004000000}" name="Ожидаемый рост выручки"/>
    <tableColumn id="5" xr3:uid="{00000000-0010-0000-0200-000005000000}" name="Дополнительная валовая прибыль/мес."/>
    <tableColumn id="6" xr3:uid="{00000000-0010-0000-0200-000006000000}" name="Цена услуги/мес."/>
    <tableColumn id="7" xr3:uid="{00000000-0010-0000-0200-000007000000}" name="Окупаемость, мес."/>
    <tableColumn id="8" xr3:uid="{00000000-0010-0000-0200-000008000000}" name="ROI за год"/>
    <tableColumn id="9" xr3:uid="{00000000-0010-0000-0200-000009000000}" name="Экономический статус"/>
    <tableColumn id="10" xr3:uid="{00000000-0010-0000-0200-00000A000000}" name="Комментарий"/>
    <tableColumn id="11" xr3:uid="{00000000-0010-0000-0200-00000B000000}" name="Источни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apacityTable" displayName="CapacityTable" ref="A4:J12">
  <tableColumns count="10">
    <tableColumn id="1" xr3:uid="{00000000-0010-0000-0300-000001000000}" name="Сегмент"/>
    <tableColumn id="2" xr3:uid="{00000000-0010-0000-0300-000002000000}" name="Средний доступный бюджет/мес."/>
    <tableColumn id="3" xr3:uid="{00000000-0010-0000-0300-000003000000}" name="Цена предложения/мес."/>
    <tableColumn id="4" xr3:uid="{00000000-0010-0000-0300-000004000000}" name="Индекс платежеспособности"/>
    <tableColumn id="5" xr3:uid="{00000000-0010-0000-0300-000005000000}" name="Статус"/>
    <tableColumn id="6" xr3:uid="{00000000-0010-0000-0300-000006000000}" name="Доля клиентов с бюджетом"/>
    <tableColumn id="7" xr3:uid="{00000000-0010-0000-0300-000007000000}" name="Платежеспособные клиенты"/>
    <tableColumn id="8" xr3:uid="{00000000-0010-0000-0300-000008000000}" name="Годовой чек"/>
    <tableColumn id="9" xr3:uid="{00000000-0010-0000-0300-000009000000}" name="Платежеспособный объем"/>
    <tableColumn id="10" xr3:uid="{00000000-0010-0000-0300-00000A000000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imilarwebTable" displayName="SimilarwebTable" ref="A4:L12">
  <tableColumns count="12">
    <tableColumn id="1" xr3:uid="{00000000-0010-0000-0400-000001000000}" name="Сайт / конкурент"/>
    <tableColumn id="2" xr3:uid="{00000000-0010-0000-0400-000002000000}" name="Месячные посещения"/>
    <tableColumn id="3" xr3:uid="{00000000-0010-0000-0400-000003000000}" name="Доля целевой географии"/>
    <tableColumn id="4" xr3:uid="{00000000-0010-0000-0400-000004000000}" name="Релевантный трафик"/>
    <tableColumn id="5" xr3:uid="{00000000-0010-0000-0400-000005000000}" name="Доля поискового трафика"/>
    <tableColumn id="6" xr3:uid="{00000000-0010-0000-0400-000006000000}" name="Доля прямого трафика"/>
    <tableColumn id="7" xr3:uid="{00000000-0010-0000-0400-000007000000}" name="Доля соцсетей"/>
    <tableColumn id="8" xr3:uid="{00000000-0010-0000-0400-000008000000}" name="Оценка конверсии в заявку"/>
    <tableColumn id="9" xr3:uid="{00000000-0010-0000-0400-000009000000}" name="Оценка заявок/мес."/>
    <tableColumn id="10" xr3:uid="{00000000-0010-0000-0400-00000A000000}" name="Средний чек"/>
    <tableColumn id="11" xr3:uid="{00000000-0010-0000-0400-00000B000000}" name="Оценка выручки/мес."/>
    <tableColumn id="12" xr3:uid="{00000000-0010-0000-0400-00000C000000}" name="Источник / дат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"/>
  <sheetViews>
    <sheetView tabSelected="1" workbookViewId="0">
      <selection sqref="A1:H1"/>
    </sheetView>
  </sheetViews>
  <sheetFormatPr defaultRowHeight="14.25"/>
  <cols>
    <col min="1" max="1" width="20" customWidth="1"/>
    <col min="2" max="2" width="45" customWidth="1"/>
    <col min="3" max="3" width="42" customWidth="1"/>
    <col min="4" max="4" width="38" customWidth="1"/>
  </cols>
  <sheetData>
    <row r="1" spans="1:26" ht="27.95" customHeight="1">
      <c r="A1" s="15" t="s">
        <v>0</v>
      </c>
      <c r="B1" s="16"/>
      <c r="C1" s="16"/>
      <c r="D1" s="16"/>
      <c r="E1" s="16"/>
      <c r="F1" s="16"/>
      <c r="G1" s="16"/>
      <c r="H1" s="16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3.950000000000003" customHeight="1">
      <c r="A2" s="17" t="s">
        <v>1</v>
      </c>
      <c r="B2" s="16"/>
      <c r="C2" s="16"/>
      <c r="D2" s="16"/>
      <c r="E2" s="16"/>
      <c r="F2" s="16"/>
      <c r="G2" s="16"/>
      <c r="H2" s="16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.95" customHeight="1">
      <c r="A4" s="1" t="s">
        <v>2</v>
      </c>
      <c r="B4" s="1" t="s">
        <v>3</v>
      </c>
      <c r="C4" s="1" t="s">
        <v>4</v>
      </c>
      <c r="D4" s="1" t="s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2.75">
      <c r="A5" s="3" t="s">
        <v>6</v>
      </c>
      <c r="B5" s="3" t="s">
        <v>7</v>
      </c>
      <c r="C5" s="3" t="s">
        <v>8</v>
      </c>
      <c r="D5" s="3" t="s">
        <v>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2.75">
      <c r="A6" s="3" t="s">
        <v>10</v>
      </c>
      <c r="B6" s="3" t="s">
        <v>11</v>
      </c>
      <c r="C6" s="3" t="s">
        <v>12</v>
      </c>
      <c r="D6" s="3" t="s">
        <v>13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2.75">
      <c r="A7" s="3" t="s">
        <v>14</v>
      </c>
      <c r="B7" s="3" t="s">
        <v>15</v>
      </c>
      <c r="C7" s="3" t="s">
        <v>16</v>
      </c>
      <c r="D7" s="3" t="s">
        <v>17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8.5">
      <c r="A8" s="3" t="s">
        <v>18</v>
      </c>
      <c r="B8" s="3" t="s">
        <v>19</v>
      </c>
      <c r="C8" s="3" t="s">
        <v>20</v>
      </c>
      <c r="D8" s="3" t="s">
        <v>21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2.75">
      <c r="A9" s="3" t="s">
        <v>22</v>
      </c>
      <c r="B9" s="3" t="s">
        <v>23</v>
      </c>
      <c r="C9" s="3" t="s">
        <v>24</v>
      </c>
      <c r="D9" s="3" t="s">
        <v>25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2.75">
      <c r="A10" s="3" t="s">
        <v>26</v>
      </c>
      <c r="B10" s="3" t="s">
        <v>27</v>
      </c>
      <c r="C10" s="3" t="s">
        <v>28</v>
      </c>
      <c r="D10" s="3" t="s">
        <v>29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"/>
  <sheetViews>
    <sheetView workbookViewId="0"/>
  </sheetViews>
  <sheetFormatPr defaultRowHeight="14.25"/>
  <cols>
    <col min="1" max="1" width="32" customWidth="1"/>
    <col min="2" max="2" width="28" customWidth="1"/>
    <col min="3" max="3" width="52" customWidth="1"/>
  </cols>
  <sheetData>
    <row r="1" spans="1:26" ht="27.95" customHeight="1">
      <c r="A1" s="15" t="s">
        <v>30</v>
      </c>
      <c r="B1" s="16"/>
      <c r="C1" s="16"/>
      <c r="D1" s="16"/>
      <c r="E1" s="16"/>
      <c r="F1" s="16"/>
      <c r="G1" s="16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3.950000000000003" customHeight="1">
      <c r="A2" s="17" t="s">
        <v>31</v>
      </c>
      <c r="B2" s="16"/>
      <c r="C2" s="16"/>
      <c r="D2" s="16"/>
      <c r="E2" s="16"/>
      <c r="F2" s="16"/>
      <c r="G2" s="16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.95" customHeight="1">
      <c r="A4" s="1" t="s">
        <v>32</v>
      </c>
      <c r="B4" s="1" t="s">
        <v>33</v>
      </c>
      <c r="C4" s="1" t="s">
        <v>34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71.25">
      <c r="A5" s="3" t="s">
        <v>35</v>
      </c>
      <c r="B5" s="3" t="s">
        <v>234</v>
      </c>
      <c r="C5" s="3" t="s">
        <v>36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3" t="s">
        <v>37</v>
      </c>
      <c r="B6" s="3" t="s">
        <v>38</v>
      </c>
      <c r="C6" s="3" t="s">
        <v>39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3" t="s">
        <v>40</v>
      </c>
      <c r="B7" s="4" t="s">
        <v>41</v>
      </c>
      <c r="C7" s="3" t="s">
        <v>237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3" t="s">
        <v>42</v>
      </c>
      <c r="B8" s="3" t="s">
        <v>43</v>
      </c>
      <c r="C8" s="3" t="s">
        <v>44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2.75">
      <c r="A9" s="3" t="s">
        <v>45</v>
      </c>
      <c r="B9" s="4">
        <v>0.04</v>
      </c>
      <c r="C9" s="3" t="s">
        <v>189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8.5">
      <c r="A10" s="3" t="s">
        <v>46</v>
      </c>
      <c r="B10" s="3">
        <v>1</v>
      </c>
      <c r="C10" s="3" t="s">
        <v>235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2.75">
      <c r="A11" s="3" t="s">
        <v>47</v>
      </c>
      <c r="B11" s="3" t="s">
        <v>190</v>
      </c>
      <c r="C11" s="3" t="s">
        <v>236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3" t="s">
        <v>48</v>
      </c>
      <c r="B12" s="5">
        <v>46294.875</v>
      </c>
      <c r="C12" s="3" t="s">
        <v>49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2">
    <mergeCell ref="A1:G1"/>
    <mergeCell ref="A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workbookViewId="0"/>
  </sheetViews>
  <sheetFormatPr defaultRowHeight="14.25"/>
  <cols>
    <col min="1" max="1" width="26" customWidth="1"/>
    <col min="2" max="2" width="18" customWidth="1"/>
    <col min="3" max="3" width="16" customWidth="1"/>
    <col min="4" max="5" width="18" customWidth="1"/>
    <col min="6" max="6" width="17" customWidth="1"/>
    <col min="7" max="7" width="15" customWidth="1"/>
    <col min="8" max="9" width="18" customWidth="1"/>
    <col min="10" max="10" width="20" customWidth="1"/>
    <col min="11" max="11" width="34" customWidth="1"/>
    <col min="12" max="12" width="28" customWidth="1"/>
  </cols>
  <sheetData>
    <row r="1" spans="1:26" ht="27.95" customHeight="1">
      <c r="A1" s="15" t="s">
        <v>50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3.950000000000003" customHeight="1">
      <c r="A2" s="17" t="s">
        <v>51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.95" customHeight="1">
      <c r="A4" s="1" t="s">
        <v>52</v>
      </c>
      <c r="B4" s="1" t="s">
        <v>53</v>
      </c>
      <c r="C4" s="1" t="s">
        <v>54</v>
      </c>
      <c r="D4" s="1" t="s">
        <v>55</v>
      </c>
      <c r="E4" s="1" t="s">
        <v>56</v>
      </c>
      <c r="F4" s="1" t="s">
        <v>57</v>
      </c>
      <c r="G4" s="1" t="s">
        <v>58</v>
      </c>
      <c r="H4" s="1" t="s">
        <v>59</v>
      </c>
      <c r="I4" s="1" t="s">
        <v>60</v>
      </c>
      <c r="J4" s="1" t="s">
        <v>61</v>
      </c>
      <c r="K4" s="1" t="s">
        <v>34</v>
      </c>
      <c r="L4" s="1" t="s">
        <v>62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2.75">
      <c r="A5" s="3" t="s">
        <v>191</v>
      </c>
      <c r="B5" s="7">
        <v>68700</v>
      </c>
      <c r="C5" s="4">
        <v>0.22500000000000001</v>
      </c>
      <c r="D5" s="4">
        <v>0.55000000000000004</v>
      </c>
      <c r="E5" s="4">
        <v>8.7499999999999994E-2</v>
      </c>
      <c r="F5" s="8">
        <v>1</v>
      </c>
      <c r="G5" s="7">
        <v>121.14</v>
      </c>
      <c r="H5" s="7">
        <f t="shared" ref="H5:H14" si="0">IF(A5="","",B5*C5*D5*E5)</f>
        <v>743.89218749999998</v>
      </c>
      <c r="I5" s="7">
        <f t="shared" ref="I5:I14" si="1">IF(A5="","",H5*F5)</f>
        <v>743.89218749999998</v>
      </c>
      <c r="J5" s="7">
        <f t="shared" ref="J5:J14" si="2">IF(A5="","",I5*G5)</f>
        <v>90115.099593749997</v>
      </c>
      <c r="K5" s="3" t="s">
        <v>192</v>
      </c>
      <c r="L5" s="3" t="s">
        <v>193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2.75">
      <c r="A6" s="3" t="s">
        <v>194</v>
      </c>
      <c r="B6" s="7">
        <v>39165</v>
      </c>
      <c r="C6" s="4">
        <v>0.22500000000000001</v>
      </c>
      <c r="D6" s="4">
        <v>0.55000000000000004</v>
      </c>
      <c r="E6" s="4">
        <v>0.17499999999999999</v>
      </c>
      <c r="F6" s="8">
        <v>1</v>
      </c>
      <c r="G6" s="7">
        <v>121.14</v>
      </c>
      <c r="H6" s="7">
        <f t="shared" si="0"/>
        <v>848.16703125000004</v>
      </c>
      <c r="I6" s="7">
        <f t="shared" si="1"/>
        <v>848.16703125000004</v>
      </c>
      <c r="J6" s="7">
        <f t="shared" si="2"/>
        <v>102746.95416562501</v>
      </c>
      <c r="K6" s="3" t="s">
        <v>195</v>
      </c>
      <c r="L6" s="3" t="s">
        <v>196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57">
      <c r="A7" s="3" t="s">
        <v>197</v>
      </c>
      <c r="B7" s="7">
        <v>3420</v>
      </c>
      <c r="C7" s="4">
        <v>0.22500000000000001</v>
      </c>
      <c r="D7" s="4">
        <v>0.55000000000000004</v>
      </c>
      <c r="E7" s="4">
        <v>0.1</v>
      </c>
      <c r="F7" s="8">
        <v>1</v>
      </c>
      <c r="G7" s="7">
        <v>121.14</v>
      </c>
      <c r="H7" s="7">
        <f t="shared" si="0"/>
        <v>42.322500000000005</v>
      </c>
      <c r="I7" s="7">
        <f t="shared" si="1"/>
        <v>42.322500000000005</v>
      </c>
      <c r="J7" s="7">
        <f t="shared" si="2"/>
        <v>5126.947650000001</v>
      </c>
      <c r="K7" s="3" t="s">
        <v>198</v>
      </c>
      <c r="L7" s="3" t="s">
        <v>199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3"/>
      <c r="B8" s="7"/>
      <c r="C8" s="4"/>
      <c r="D8" s="4"/>
      <c r="E8" s="4"/>
      <c r="F8" s="8"/>
      <c r="G8" s="7"/>
      <c r="H8" s="7" t="str">
        <f t="shared" si="0"/>
        <v/>
      </c>
      <c r="I8" s="7" t="str">
        <f t="shared" si="1"/>
        <v/>
      </c>
      <c r="J8" s="7" t="str">
        <f t="shared" si="2"/>
        <v/>
      </c>
      <c r="K8" s="3"/>
      <c r="L8" s="3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3"/>
      <c r="B9" s="7"/>
      <c r="C9" s="4"/>
      <c r="D9" s="4"/>
      <c r="E9" s="4"/>
      <c r="F9" s="8"/>
      <c r="G9" s="7"/>
      <c r="H9" s="7" t="str">
        <f t="shared" si="0"/>
        <v/>
      </c>
      <c r="I9" s="7" t="str">
        <f t="shared" si="1"/>
        <v/>
      </c>
      <c r="J9" s="7" t="str">
        <f t="shared" si="2"/>
        <v/>
      </c>
      <c r="K9" s="3"/>
      <c r="L9" s="3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3"/>
      <c r="B10" s="7"/>
      <c r="C10" s="4"/>
      <c r="D10" s="4"/>
      <c r="E10" s="4"/>
      <c r="F10" s="8"/>
      <c r="G10" s="7"/>
      <c r="H10" s="7" t="str">
        <f t="shared" si="0"/>
        <v/>
      </c>
      <c r="I10" s="7" t="str">
        <f t="shared" si="1"/>
        <v/>
      </c>
      <c r="J10" s="7" t="str">
        <f t="shared" si="2"/>
        <v/>
      </c>
      <c r="K10" s="3"/>
      <c r="L10" s="3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3"/>
      <c r="B11" s="7"/>
      <c r="C11" s="4"/>
      <c r="D11" s="4"/>
      <c r="E11" s="4"/>
      <c r="F11" s="8"/>
      <c r="G11" s="7"/>
      <c r="H11" s="7" t="str">
        <f t="shared" si="0"/>
        <v/>
      </c>
      <c r="I11" s="7" t="str">
        <f t="shared" si="1"/>
        <v/>
      </c>
      <c r="J11" s="7" t="str">
        <f t="shared" si="2"/>
        <v/>
      </c>
      <c r="K11" s="3"/>
      <c r="L11" s="3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3"/>
      <c r="B12" s="7"/>
      <c r="C12" s="4"/>
      <c r="D12" s="4"/>
      <c r="E12" s="4"/>
      <c r="F12" s="8"/>
      <c r="G12" s="7"/>
      <c r="H12" s="7" t="str">
        <f t="shared" si="0"/>
        <v/>
      </c>
      <c r="I12" s="7" t="str">
        <f t="shared" si="1"/>
        <v/>
      </c>
      <c r="J12" s="7" t="str">
        <f t="shared" si="2"/>
        <v/>
      </c>
      <c r="K12" s="3"/>
      <c r="L12" s="3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3"/>
      <c r="B13" s="7"/>
      <c r="C13" s="4"/>
      <c r="D13" s="4"/>
      <c r="E13" s="4"/>
      <c r="F13" s="8"/>
      <c r="G13" s="7"/>
      <c r="H13" s="7" t="str">
        <f t="shared" si="0"/>
        <v/>
      </c>
      <c r="I13" s="7" t="str">
        <f t="shared" si="1"/>
        <v/>
      </c>
      <c r="J13" s="7" t="str">
        <f t="shared" si="2"/>
        <v/>
      </c>
      <c r="K13" s="3"/>
      <c r="L13" s="3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3"/>
      <c r="B14" s="7"/>
      <c r="C14" s="4"/>
      <c r="D14" s="4"/>
      <c r="E14" s="4"/>
      <c r="F14" s="8"/>
      <c r="G14" s="7"/>
      <c r="H14" s="7" t="str">
        <f t="shared" si="0"/>
        <v/>
      </c>
      <c r="I14" s="7" t="str">
        <f t="shared" si="1"/>
        <v/>
      </c>
      <c r="J14" s="7" t="str">
        <f t="shared" si="2"/>
        <v/>
      </c>
      <c r="K14" s="3"/>
      <c r="L14" s="3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3"/>
      <c r="B15" s="3"/>
      <c r="C15" s="3"/>
      <c r="D15" s="3"/>
      <c r="E15" s="3"/>
      <c r="F15" s="3"/>
      <c r="G15" s="3"/>
      <c r="H15" s="7"/>
      <c r="I15" s="7"/>
      <c r="J15" s="7"/>
      <c r="K15" s="3"/>
      <c r="L15" s="3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>
      <c r="A16" s="6" t="s">
        <v>63</v>
      </c>
      <c r="B16" s="6"/>
      <c r="C16" s="6"/>
      <c r="D16" s="6"/>
      <c r="E16" s="6"/>
      <c r="F16" s="6"/>
      <c r="G16" s="6"/>
      <c r="H16" s="9">
        <f>SUM(H5:H14)</f>
        <v>1634.3817187500001</v>
      </c>
      <c r="I16" s="9">
        <f>SUM(I5:I14)</f>
        <v>1634.3817187500001</v>
      </c>
      <c r="J16" s="9">
        <f>SUM(J5:J14)</f>
        <v>197989.00140937499</v>
      </c>
      <c r="K16" s="6"/>
      <c r="L16" s="6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85">
      <c r="A18" s="2" t="s">
        <v>200</v>
      </c>
      <c r="B18" s="2" t="s">
        <v>238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workbookViewId="0"/>
  </sheetViews>
  <sheetFormatPr defaultRowHeight="14.25"/>
  <cols>
    <col min="1" max="1" width="26" customWidth="1"/>
    <col min="2" max="5" width="16" customWidth="1"/>
    <col min="6" max="6" width="14" customWidth="1"/>
    <col min="7" max="7" width="15" customWidth="1"/>
    <col min="8" max="8" width="18" customWidth="1"/>
    <col min="9" max="9" width="36" customWidth="1"/>
    <col min="10" max="10" width="28" customWidth="1"/>
  </cols>
  <sheetData>
    <row r="1" spans="1:26" ht="27.95" customHeight="1">
      <c r="A1" s="15" t="s">
        <v>64</v>
      </c>
      <c r="B1" s="16"/>
      <c r="C1" s="16"/>
      <c r="D1" s="16"/>
      <c r="E1" s="16"/>
      <c r="F1" s="16"/>
      <c r="G1" s="16"/>
      <c r="H1" s="16"/>
      <c r="I1" s="16"/>
      <c r="J1" s="16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3.950000000000003" customHeight="1">
      <c r="A2" s="17" t="s">
        <v>65</v>
      </c>
      <c r="B2" s="16"/>
      <c r="C2" s="16"/>
      <c r="D2" s="16"/>
      <c r="E2" s="16"/>
      <c r="F2" s="16"/>
      <c r="G2" s="16"/>
      <c r="H2" s="16"/>
      <c r="I2" s="16"/>
      <c r="J2" s="1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.95" customHeight="1">
      <c r="A4" s="1" t="s">
        <v>66</v>
      </c>
      <c r="B4" s="1" t="s">
        <v>67</v>
      </c>
      <c r="C4" s="1" t="s">
        <v>68</v>
      </c>
      <c r="D4" s="1" t="s">
        <v>69</v>
      </c>
      <c r="E4" s="1" t="s">
        <v>70</v>
      </c>
      <c r="F4" s="1" t="s">
        <v>71</v>
      </c>
      <c r="G4" s="1" t="s">
        <v>72</v>
      </c>
      <c r="H4" s="1" t="s">
        <v>73</v>
      </c>
      <c r="I4" s="1" t="s">
        <v>34</v>
      </c>
      <c r="J4" s="1" t="s">
        <v>62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2.75">
      <c r="A5" s="3" t="s">
        <v>201</v>
      </c>
      <c r="B5" s="7">
        <v>24.23</v>
      </c>
      <c r="C5" s="7">
        <v>42.4</v>
      </c>
      <c r="D5" s="7">
        <v>60.57</v>
      </c>
      <c r="E5" s="7"/>
      <c r="F5" s="4" t="str">
        <f t="shared" ref="F5:F12" si="0">IF(OR(A5="",E5=""),"нет данных",(G5-E5)/G5)</f>
        <v>нет данных</v>
      </c>
      <c r="G5" s="7">
        <f t="shared" ref="G5:G12" si="1">IF(A5="","",C5)</f>
        <v>42.4</v>
      </c>
      <c r="H5" s="11">
        <f t="shared" ref="H5:H12" si="2">IF(A5="","",G5/C5)</f>
        <v>1</v>
      </c>
      <c r="I5" s="3" t="s">
        <v>240</v>
      </c>
      <c r="J5" s="3" t="s">
        <v>202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2.75">
      <c r="A6" s="3" t="s">
        <v>203</v>
      </c>
      <c r="B6" s="7">
        <v>27.26</v>
      </c>
      <c r="C6" s="7">
        <v>28.77</v>
      </c>
      <c r="D6" s="7">
        <v>30.29</v>
      </c>
      <c r="E6" s="7"/>
      <c r="F6" s="4" t="str">
        <f t="shared" si="0"/>
        <v>нет данных</v>
      </c>
      <c r="G6" s="7">
        <f t="shared" si="1"/>
        <v>28.77</v>
      </c>
      <c r="H6" s="11">
        <f t="shared" si="2"/>
        <v>1</v>
      </c>
      <c r="I6" s="3" t="s">
        <v>241</v>
      </c>
      <c r="J6" s="3" t="s">
        <v>202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2.75">
      <c r="A7" s="3" t="s">
        <v>204</v>
      </c>
      <c r="B7" s="7">
        <v>30.29</v>
      </c>
      <c r="C7" s="7">
        <v>45.43</v>
      </c>
      <c r="D7" s="7">
        <v>60.57</v>
      </c>
      <c r="E7" s="7"/>
      <c r="F7" s="4" t="str">
        <f t="shared" si="0"/>
        <v>нет данных</v>
      </c>
      <c r="G7" s="7">
        <f t="shared" si="1"/>
        <v>45.43</v>
      </c>
      <c r="H7" s="11">
        <f t="shared" si="2"/>
        <v>1</v>
      </c>
      <c r="I7" s="3" t="s">
        <v>242</v>
      </c>
      <c r="J7" s="3" t="s">
        <v>202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8.5">
      <c r="A8" s="3" t="s">
        <v>205</v>
      </c>
      <c r="B8" s="7">
        <v>12.11</v>
      </c>
      <c r="C8" s="7">
        <v>36.340000000000003</v>
      </c>
      <c r="D8" s="7">
        <v>90.86</v>
      </c>
      <c r="E8" s="7"/>
      <c r="F8" s="4" t="str">
        <f t="shared" si="0"/>
        <v>нет данных</v>
      </c>
      <c r="G8" s="7">
        <f t="shared" si="1"/>
        <v>36.340000000000003</v>
      </c>
      <c r="H8" s="11">
        <f t="shared" si="2"/>
        <v>1</v>
      </c>
      <c r="I8" s="3" t="s">
        <v>243</v>
      </c>
      <c r="J8" s="3" t="s">
        <v>202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8.5">
      <c r="A9" s="3" t="s">
        <v>206</v>
      </c>
      <c r="B9" s="7">
        <v>15.14</v>
      </c>
      <c r="C9" s="7">
        <v>15.14</v>
      </c>
      <c r="D9" s="7">
        <v>269.54000000000002</v>
      </c>
      <c r="E9" s="7"/>
      <c r="F9" s="4" t="str">
        <f t="shared" si="0"/>
        <v>нет данных</v>
      </c>
      <c r="G9" s="7">
        <f t="shared" si="1"/>
        <v>15.14</v>
      </c>
      <c r="H9" s="11">
        <f t="shared" si="2"/>
        <v>1</v>
      </c>
      <c r="I9" s="3" t="s">
        <v>244</v>
      </c>
      <c r="J9" s="3" t="s">
        <v>202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8.5">
      <c r="A10" s="3" t="s">
        <v>207</v>
      </c>
      <c r="B10" s="7">
        <v>45.43</v>
      </c>
      <c r="C10" s="7">
        <v>90.86</v>
      </c>
      <c r="D10" s="7">
        <v>136.28</v>
      </c>
      <c r="E10" s="7"/>
      <c r="F10" s="4" t="str">
        <f t="shared" si="0"/>
        <v>нет данных</v>
      </c>
      <c r="G10" s="7">
        <f t="shared" si="1"/>
        <v>90.86</v>
      </c>
      <c r="H10" s="11">
        <f t="shared" si="2"/>
        <v>1</v>
      </c>
      <c r="I10" s="3" t="s">
        <v>245</v>
      </c>
      <c r="J10" s="3" t="s">
        <v>202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8.5">
      <c r="A11" s="3" t="s">
        <v>208</v>
      </c>
      <c r="B11" s="7">
        <v>30.29</v>
      </c>
      <c r="C11" s="7">
        <v>45.43</v>
      </c>
      <c r="D11" s="7">
        <v>60.57</v>
      </c>
      <c r="E11" s="7"/>
      <c r="F11" s="4" t="str">
        <f t="shared" si="0"/>
        <v>нет данных</v>
      </c>
      <c r="G11" s="7">
        <f t="shared" si="1"/>
        <v>45.43</v>
      </c>
      <c r="H11" s="11">
        <f t="shared" si="2"/>
        <v>1</v>
      </c>
      <c r="I11" s="3" t="s">
        <v>246</v>
      </c>
      <c r="J11" s="3" t="s">
        <v>202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8.5">
      <c r="A12" s="3" t="s">
        <v>209</v>
      </c>
      <c r="B12" s="7">
        <v>24.23</v>
      </c>
      <c r="C12" s="7">
        <v>24.23</v>
      </c>
      <c r="D12" s="7">
        <v>24.23</v>
      </c>
      <c r="E12" s="7"/>
      <c r="F12" s="4" t="str">
        <f t="shared" si="0"/>
        <v>нет данных</v>
      </c>
      <c r="G12" s="7">
        <f t="shared" si="1"/>
        <v>24.23</v>
      </c>
      <c r="H12" s="11">
        <f t="shared" si="2"/>
        <v>1</v>
      </c>
      <c r="I12" s="3" t="s">
        <v>247</v>
      </c>
      <c r="J12" s="3" t="s">
        <v>202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3"/>
      <c r="B13" s="7"/>
      <c r="C13" s="7"/>
      <c r="D13" s="7"/>
      <c r="E13" s="7"/>
      <c r="F13" s="4"/>
      <c r="G13" s="7"/>
      <c r="H13" s="11"/>
      <c r="I13" s="3"/>
      <c r="J13" s="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>
      <c r="A14" s="6" t="s">
        <v>75</v>
      </c>
      <c r="B14" s="9">
        <f t="shared" ref="B14:H14" si="3">AVERAGE(B5:B12)</f>
        <v>26.122499999999999</v>
      </c>
      <c r="C14" s="9">
        <f t="shared" si="3"/>
        <v>41.075000000000003</v>
      </c>
      <c r="D14" s="9">
        <f t="shared" si="3"/>
        <v>91.61375000000001</v>
      </c>
      <c r="E14" s="9" t="str">
        <f>IFERROR(AVERAGE(E5:E12),"нет данных")</f>
        <v>нет данных</v>
      </c>
      <c r="F14" s="10" t="str">
        <f>IFERROR(AVERAGE(F5:F12),"нет данных")</f>
        <v>нет данных</v>
      </c>
      <c r="G14" s="9">
        <f t="shared" si="3"/>
        <v>41.075000000000003</v>
      </c>
      <c r="H14" s="12">
        <f t="shared" si="3"/>
        <v>1</v>
      </c>
      <c r="I14" s="6"/>
      <c r="J14" s="6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8.5">
      <c r="A16" s="2" t="s">
        <v>210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42.75">
      <c r="A17" s="2" t="s">
        <v>211</v>
      </c>
      <c r="B17" s="2"/>
      <c r="C17" s="2">
        <v>10.1</v>
      </c>
      <c r="D17" s="2"/>
      <c r="E17" s="2"/>
      <c r="F17" s="2"/>
      <c r="G17" s="2"/>
      <c r="H17" s="2"/>
      <c r="I17" s="2" t="s">
        <v>248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 t="s">
        <v>212</v>
      </c>
      <c r="B18" s="2"/>
      <c r="C18" s="2" t="s">
        <v>213</v>
      </c>
      <c r="D18" s="2"/>
      <c r="E18" s="2"/>
      <c r="F18" s="2"/>
      <c r="G18" s="2"/>
      <c r="H18" s="2"/>
      <c r="I18" s="2" t="s">
        <v>249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8.5">
      <c r="A19" s="2" t="s">
        <v>214</v>
      </c>
      <c r="B19" s="2"/>
      <c r="C19" s="2">
        <v>0</v>
      </c>
      <c r="D19" s="2"/>
      <c r="E19" s="2"/>
      <c r="F19" s="2"/>
      <c r="G19" s="2"/>
      <c r="H19" s="2"/>
      <c r="I19" s="2" t="s">
        <v>215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71">
      <c r="A21" s="2" t="s">
        <v>239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0"/>
  <sheetViews>
    <sheetView workbookViewId="0"/>
  </sheetViews>
  <sheetFormatPr defaultRowHeight="14.25"/>
  <cols>
    <col min="1" max="1" width="24" customWidth="1"/>
    <col min="2" max="2" width="20" customWidth="1"/>
    <col min="3" max="3" width="16" customWidth="1"/>
    <col min="4" max="4" width="18" customWidth="1"/>
    <col min="5" max="5" width="22" customWidth="1"/>
    <col min="6" max="7" width="16" customWidth="1"/>
    <col min="8" max="8" width="14" customWidth="1"/>
    <col min="9" max="9" width="24" customWidth="1"/>
    <col min="10" max="10" width="34" customWidth="1"/>
    <col min="11" max="11" width="24" customWidth="1"/>
  </cols>
  <sheetData>
    <row r="1" spans="1:26" ht="27.95" customHeight="1">
      <c r="A1" s="15" t="s">
        <v>76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3.950000000000003" customHeight="1">
      <c r="A2" s="17" t="s">
        <v>77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.95" customHeight="1">
      <c r="A4" s="1" t="s">
        <v>52</v>
      </c>
      <c r="B4" s="1" t="s">
        <v>78</v>
      </c>
      <c r="C4" s="1" t="s">
        <v>79</v>
      </c>
      <c r="D4" s="1" t="s">
        <v>80</v>
      </c>
      <c r="E4" s="1" t="s">
        <v>81</v>
      </c>
      <c r="F4" s="1" t="s">
        <v>82</v>
      </c>
      <c r="G4" s="1" t="s">
        <v>83</v>
      </c>
      <c r="H4" s="1" t="s">
        <v>84</v>
      </c>
      <c r="I4" s="1" t="s">
        <v>85</v>
      </c>
      <c r="J4" s="1" t="s">
        <v>34</v>
      </c>
      <c r="K4" s="1" t="s">
        <v>62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71.25">
      <c r="A5" s="3" t="s">
        <v>191</v>
      </c>
      <c r="B5" s="7">
        <v>298.68</v>
      </c>
      <c r="C5" s="4">
        <v>1</v>
      </c>
      <c r="D5" s="4">
        <v>0</v>
      </c>
      <c r="E5" s="7">
        <f t="shared" ref="E5:E12" si="0">IF(A5="","",B5*C5*D5)</f>
        <v>0</v>
      </c>
      <c r="F5" s="7">
        <v>10.095000000000001</v>
      </c>
      <c r="G5" s="8" t="str">
        <f t="shared" ref="G5:G12" si="1">IF(A5="","",IF(E5=0,"",F5/E5))</f>
        <v/>
      </c>
      <c r="H5" s="4">
        <f t="shared" ref="H5:H12" si="2">IF(A5="","",((E5-F5)*12)/(F5*12))</f>
        <v>-1</v>
      </c>
      <c r="I5" s="3" t="str">
        <f t="shared" ref="I5:I12" si="3">IF(A5="","",IF(H5&gt;=0.5,"экономически оправдано",IF(H5&gt;=0,"требует проверки","экономически слабо")))</f>
        <v>экономически слабо</v>
      </c>
      <c r="J5" s="3" t="s">
        <v>216</v>
      </c>
      <c r="K5" s="3" t="s">
        <v>233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57">
      <c r="A6" s="3" t="s">
        <v>194</v>
      </c>
      <c r="B6" s="7">
        <v>6413</v>
      </c>
      <c r="C6" s="4">
        <v>1</v>
      </c>
      <c r="D6" s="4">
        <v>1.7857000000000001E-2</v>
      </c>
      <c r="E6" s="7">
        <f t="shared" si="0"/>
        <v>114.516941</v>
      </c>
      <c r="F6" s="7">
        <v>10.095000000000001</v>
      </c>
      <c r="G6" s="8">
        <f t="shared" si="1"/>
        <v>8.8152896085479618E-2</v>
      </c>
      <c r="H6" s="4">
        <f t="shared" si="2"/>
        <v>10.343926795443288</v>
      </c>
      <c r="I6" s="3" t="str">
        <f t="shared" si="3"/>
        <v>экономически оправдано</v>
      </c>
      <c r="J6" s="3" t="s">
        <v>217</v>
      </c>
      <c r="K6" s="3" t="s">
        <v>232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57">
      <c r="A7" s="3" t="s">
        <v>197</v>
      </c>
      <c r="B7" s="7">
        <v>3172</v>
      </c>
      <c r="C7" s="4">
        <v>1</v>
      </c>
      <c r="D7" s="4">
        <v>1.7857000000000001E-2</v>
      </c>
      <c r="E7" s="7">
        <f t="shared" si="0"/>
        <v>56.642404000000006</v>
      </c>
      <c r="F7" s="7">
        <v>10.095000000000001</v>
      </c>
      <c r="G7" s="8">
        <f t="shared" si="1"/>
        <v>0.17822336777937603</v>
      </c>
      <c r="H7" s="4">
        <f t="shared" si="2"/>
        <v>4.6109365032194161</v>
      </c>
      <c r="I7" s="3" t="str">
        <f t="shared" si="3"/>
        <v>экономически оправдано</v>
      </c>
      <c r="J7" s="3" t="s">
        <v>217</v>
      </c>
      <c r="K7" s="3" t="s">
        <v>218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3"/>
      <c r="B8" s="7"/>
      <c r="C8" s="4"/>
      <c r="D8" s="4"/>
      <c r="E8" s="7" t="str">
        <f t="shared" si="0"/>
        <v/>
      </c>
      <c r="F8" s="7"/>
      <c r="G8" s="8" t="str">
        <f t="shared" si="1"/>
        <v/>
      </c>
      <c r="H8" s="4" t="str">
        <f t="shared" si="2"/>
        <v/>
      </c>
      <c r="I8" s="3" t="str">
        <f t="shared" si="3"/>
        <v/>
      </c>
      <c r="J8" s="3"/>
      <c r="K8" s="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3"/>
      <c r="B9" s="7"/>
      <c r="C9" s="4"/>
      <c r="D9" s="4"/>
      <c r="E9" s="7" t="str">
        <f t="shared" si="0"/>
        <v/>
      </c>
      <c r="F9" s="7"/>
      <c r="G9" s="8" t="str">
        <f t="shared" si="1"/>
        <v/>
      </c>
      <c r="H9" s="4" t="str">
        <f t="shared" si="2"/>
        <v/>
      </c>
      <c r="I9" s="3" t="str">
        <f t="shared" si="3"/>
        <v/>
      </c>
      <c r="J9" s="3"/>
      <c r="K9" s="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3"/>
      <c r="B10" s="7"/>
      <c r="C10" s="4"/>
      <c r="D10" s="4"/>
      <c r="E10" s="7" t="str">
        <f t="shared" si="0"/>
        <v/>
      </c>
      <c r="F10" s="7"/>
      <c r="G10" s="8" t="str">
        <f t="shared" si="1"/>
        <v/>
      </c>
      <c r="H10" s="4" t="str">
        <f t="shared" si="2"/>
        <v/>
      </c>
      <c r="I10" s="3" t="str">
        <f t="shared" si="3"/>
        <v/>
      </c>
      <c r="J10" s="3"/>
      <c r="K10" s="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3"/>
      <c r="B11" s="7"/>
      <c r="C11" s="4"/>
      <c r="D11" s="4"/>
      <c r="E11" s="7" t="str">
        <f t="shared" si="0"/>
        <v/>
      </c>
      <c r="F11" s="7"/>
      <c r="G11" s="8" t="str">
        <f t="shared" si="1"/>
        <v/>
      </c>
      <c r="H11" s="4" t="str">
        <f t="shared" si="2"/>
        <v/>
      </c>
      <c r="I11" s="3" t="str">
        <f t="shared" si="3"/>
        <v/>
      </c>
      <c r="J11" s="3"/>
      <c r="K11" s="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3"/>
      <c r="B12" s="7"/>
      <c r="C12" s="4"/>
      <c r="D12" s="4"/>
      <c r="E12" s="7" t="str">
        <f t="shared" si="0"/>
        <v/>
      </c>
      <c r="F12" s="7"/>
      <c r="G12" s="8" t="str">
        <f t="shared" si="1"/>
        <v/>
      </c>
      <c r="H12" s="4" t="str">
        <f t="shared" si="2"/>
        <v/>
      </c>
      <c r="I12" s="3" t="str">
        <f t="shared" si="3"/>
        <v/>
      </c>
      <c r="J12" s="3"/>
      <c r="K12" s="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3"/>
      <c r="B13" s="7"/>
      <c r="C13" s="4"/>
      <c r="D13" s="4"/>
      <c r="E13" s="7"/>
      <c r="F13" s="7"/>
      <c r="G13" s="8"/>
      <c r="H13" s="4"/>
      <c r="I13" s="3"/>
      <c r="J13" s="3"/>
      <c r="K13" s="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0">
      <c r="A14" s="6" t="s">
        <v>86</v>
      </c>
      <c r="B14" s="9">
        <f t="shared" ref="B14:H14" si="4">AVERAGE(B5:B12)</f>
        <v>3294.56</v>
      </c>
      <c r="C14" s="10">
        <f t="shared" si="4"/>
        <v>1</v>
      </c>
      <c r="D14" s="10">
        <f t="shared" si="4"/>
        <v>1.1904666666666668E-2</v>
      </c>
      <c r="E14" s="9">
        <f t="shared" si="4"/>
        <v>57.053114999999998</v>
      </c>
      <c r="F14" s="9">
        <f t="shared" si="4"/>
        <v>10.095000000000001</v>
      </c>
      <c r="G14" s="13">
        <f t="shared" si="4"/>
        <v>0.13318813193242782</v>
      </c>
      <c r="H14" s="10">
        <f t="shared" si="4"/>
        <v>4.6516210995542346</v>
      </c>
      <c r="I14" s="6"/>
      <c r="J14" s="6"/>
      <c r="K14" s="6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85.5">
      <c r="A16" s="2" t="s">
        <v>250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0"/>
  <sheetViews>
    <sheetView workbookViewId="0"/>
  </sheetViews>
  <sheetFormatPr defaultRowHeight="14.25"/>
  <cols>
    <col min="1" max="1" width="24" customWidth="1"/>
    <col min="2" max="2" width="22" customWidth="1"/>
    <col min="3" max="6" width="18" customWidth="1"/>
    <col min="7" max="7" width="20" customWidth="1"/>
    <col min="8" max="8" width="14" customWidth="1"/>
    <col min="9" max="9" width="20" customWidth="1"/>
    <col min="10" max="10" width="38" customWidth="1"/>
  </cols>
  <sheetData>
    <row r="1" spans="1:26" ht="27.95" customHeight="1">
      <c r="A1" s="15" t="s">
        <v>87</v>
      </c>
      <c r="B1" s="16"/>
      <c r="C1" s="16"/>
      <c r="D1" s="16"/>
      <c r="E1" s="16"/>
      <c r="F1" s="16"/>
      <c r="G1" s="16"/>
      <c r="H1" s="16"/>
      <c r="I1" s="16"/>
      <c r="J1" s="16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3.950000000000003" customHeight="1">
      <c r="A2" s="17" t="s">
        <v>88</v>
      </c>
      <c r="B2" s="16"/>
      <c r="C2" s="16"/>
      <c r="D2" s="16"/>
      <c r="E2" s="16"/>
      <c r="F2" s="16"/>
      <c r="G2" s="16"/>
      <c r="H2" s="16"/>
      <c r="I2" s="16"/>
      <c r="J2" s="1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.95" customHeight="1">
      <c r="A4" s="1" t="s">
        <v>52</v>
      </c>
      <c r="B4" s="1" t="s">
        <v>89</v>
      </c>
      <c r="C4" s="1" t="s">
        <v>90</v>
      </c>
      <c r="D4" s="1" t="s">
        <v>91</v>
      </c>
      <c r="E4" s="1" t="s">
        <v>92</v>
      </c>
      <c r="F4" s="1" t="s">
        <v>93</v>
      </c>
      <c r="G4" s="1" t="s">
        <v>59</v>
      </c>
      <c r="H4" s="1" t="s">
        <v>94</v>
      </c>
      <c r="I4" s="1" t="s">
        <v>95</v>
      </c>
      <c r="J4" s="1" t="s">
        <v>34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57">
      <c r="A5" s="3" t="s">
        <v>191</v>
      </c>
      <c r="B5" s="7">
        <v>14.93</v>
      </c>
      <c r="C5" s="7">
        <v>10.095000000000001</v>
      </c>
      <c r="D5" s="11">
        <f t="shared" ref="D5:D12" si="0">IF(A5="","",B5/C5)</f>
        <v>1.4789499752352648</v>
      </c>
      <c r="E5" s="3" t="str">
        <f t="shared" ref="E5:E12" si="1">IF(A5="","",IF(D5&gt;=1.5,"высокая",IF(D5&gt;=1,"достаточная",IF(D5&gt;=0.7,"пограничная","низкая"))))</f>
        <v>достаточная</v>
      </c>
      <c r="F5" s="4">
        <v>8.7499999999999994E-2</v>
      </c>
      <c r="G5" s="7">
        <f>IF(A5="","",'02_Сегменты'!B5*F5)</f>
        <v>6011.25</v>
      </c>
      <c r="H5" s="7">
        <v>121.14</v>
      </c>
      <c r="I5" s="7">
        <f t="shared" ref="I5:I12" si="2">IF(A5="","",G5*H5)</f>
        <v>728202.82499999995</v>
      </c>
      <c r="J5" s="3" t="s">
        <v>219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2.75">
      <c r="A6" s="3" t="s">
        <v>194</v>
      </c>
      <c r="B6" s="7">
        <v>320.64999999999998</v>
      </c>
      <c r="C6" s="7">
        <v>10.095000000000001</v>
      </c>
      <c r="D6" s="11">
        <f t="shared" si="0"/>
        <v>31.763249133234272</v>
      </c>
      <c r="E6" s="3" t="str">
        <f t="shared" si="1"/>
        <v>высокая</v>
      </c>
      <c r="F6" s="4">
        <v>0.17499999999999999</v>
      </c>
      <c r="G6" s="7">
        <f>IF(A6="","",'02_Сегменты'!B6*F6)</f>
        <v>6853.875</v>
      </c>
      <c r="H6" s="7">
        <v>121.14</v>
      </c>
      <c r="I6" s="7">
        <f t="shared" si="2"/>
        <v>830278.41749999998</v>
      </c>
      <c r="J6" s="3" t="s">
        <v>219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2.75">
      <c r="A7" s="3" t="s">
        <v>197</v>
      </c>
      <c r="B7" s="7">
        <v>158.6</v>
      </c>
      <c r="C7" s="7">
        <v>10.095000000000001</v>
      </c>
      <c r="D7" s="11">
        <f t="shared" si="0"/>
        <v>15.710747894997523</v>
      </c>
      <c r="E7" s="3" t="str">
        <f t="shared" si="1"/>
        <v>высокая</v>
      </c>
      <c r="F7" s="4">
        <v>0.1</v>
      </c>
      <c r="G7" s="7">
        <f>IF(A7="","",'02_Сегменты'!B7*F7)</f>
        <v>342</v>
      </c>
      <c r="H7" s="7">
        <v>121.14</v>
      </c>
      <c r="I7" s="7">
        <f t="shared" si="2"/>
        <v>41429.879999999997</v>
      </c>
      <c r="J7" s="3" t="s">
        <v>219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3"/>
      <c r="B8" s="7"/>
      <c r="C8" s="7"/>
      <c r="D8" s="11" t="str">
        <f t="shared" si="0"/>
        <v/>
      </c>
      <c r="E8" s="3" t="str">
        <f t="shared" si="1"/>
        <v/>
      </c>
      <c r="F8" s="4"/>
      <c r="G8" s="7" t="str">
        <f>IF(A8="","",'02_Сегменты'!B8*F8)</f>
        <v/>
      </c>
      <c r="H8" s="7"/>
      <c r="I8" s="7" t="str">
        <f t="shared" si="2"/>
        <v/>
      </c>
      <c r="J8" s="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3"/>
      <c r="B9" s="7"/>
      <c r="C9" s="7"/>
      <c r="D9" s="11" t="str">
        <f t="shared" si="0"/>
        <v/>
      </c>
      <c r="E9" s="3" t="str">
        <f t="shared" si="1"/>
        <v/>
      </c>
      <c r="F9" s="4"/>
      <c r="G9" s="7" t="str">
        <f>IF(A9="","",'02_Сегменты'!B9*F9)</f>
        <v/>
      </c>
      <c r="H9" s="7"/>
      <c r="I9" s="7" t="str">
        <f t="shared" si="2"/>
        <v/>
      </c>
      <c r="J9" s="3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3"/>
      <c r="B10" s="7"/>
      <c r="C10" s="7"/>
      <c r="D10" s="11" t="str">
        <f t="shared" si="0"/>
        <v/>
      </c>
      <c r="E10" s="3" t="str">
        <f t="shared" si="1"/>
        <v/>
      </c>
      <c r="F10" s="4"/>
      <c r="G10" s="7" t="str">
        <f>IF(A10="","",'02_Сегменты'!B10*F10)</f>
        <v/>
      </c>
      <c r="H10" s="7"/>
      <c r="I10" s="7" t="str">
        <f t="shared" si="2"/>
        <v/>
      </c>
      <c r="J10" s="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3"/>
      <c r="B11" s="7"/>
      <c r="C11" s="7"/>
      <c r="D11" s="11" t="str">
        <f t="shared" si="0"/>
        <v/>
      </c>
      <c r="E11" s="3" t="str">
        <f t="shared" si="1"/>
        <v/>
      </c>
      <c r="F11" s="4"/>
      <c r="G11" s="7" t="str">
        <f>IF(A11="","",'02_Сегменты'!B11*F11)</f>
        <v/>
      </c>
      <c r="H11" s="7"/>
      <c r="I11" s="7" t="str">
        <f t="shared" si="2"/>
        <v/>
      </c>
      <c r="J11" s="3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3"/>
      <c r="B12" s="7"/>
      <c r="C12" s="7"/>
      <c r="D12" s="11" t="str">
        <f t="shared" si="0"/>
        <v/>
      </c>
      <c r="E12" s="3" t="str">
        <f t="shared" si="1"/>
        <v/>
      </c>
      <c r="F12" s="4"/>
      <c r="G12" s="7" t="str">
        <f>IF(A12="","",'02_Сегменты'!B12*F12)</f>
        <v/>
      </c>
      <c r="H12" s="7"/>
      <c r="I12" s="7" t="str">
        <f t="shared" si="2"/>
        <v/>
      </c>
      <c r="J12" s="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3"/>
      <c r="B13" s="7"/>
      <c r="C13" s="7"/>
      <c r="D13" s="11"/>
      <c r="E13" s="3"/>
      <c r="F13" s="4"/>
      <c r="G13" s="7"/>
      <c r="H13" s="7"/>
      <c r="I13" s="7"/>
      <c r="J13" s="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>
      <c r="A14" s="6" t="s">
        <v>96</v>
      </c>
      <c r="B14" s="9">
        <f>AVERAGE(B5:B12)</f>
        <v>164.72666666666666</v>
      </c>
      <c r="C14" s="9">
        <f>AVERAGE(C5:C12)</f>
        <v>10.095000000000001</v>
      </c>
      <c r="D14" s="12">
        <f>AVERAGE(D5:D12)</f>
        <v>16.317649001155687</v>
      </c>
      <c r="E14" s="6"/>
      <c r="F14" s="10">
        <f>AVERAGE(F5:F12)</f>
        <v>0.12083333333333331</v>
      </c>
      <c r="G14" s="9">
        <f>SUM(G5:G12)</f>
        <v>13207.125</v>
      </c>
      <c r="H14" s="9">
        <f>AVERAGE(H5:H12)</f>
        <v>121.14</v>
      </c>
      <c r="I14" s="9">
        <f>SUM(I5:I12)</f>
        <v>1599911.1224999998</v>
      </c>
      <c r="J14" s="6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2">
    <mergeCell ref="A1:J1"/>
    <mergeCell ref="A2:J2"/>
  </mergeCells>
  <conditionalFormatting sqref="D5:D12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00"/>
  <sheetViews>
    <sheetView workbookViewId="0"/>
  </sheetViews>
  <sheetFormatPr defaultRowHeight="14.25"/>
  <cols>
    <col min="1" max="1" width="24" customWidth="1"/>
    <col min="2" max="2" width="18" customWidth="1"/>
    <col min="3" max="3" width="20" customWidth="1"/>
    <col min="4" max="4" width="18" customWidth="1"/>
    <col min="5" max="5" width="20" customWidth="1"/>
    <col min="6" max="7" width="24" customWidth="1"/>
    <col min="8" max="8" width="26" customWidth="1"/>
  </cols>
  <sheetData>
    <row r="1" spans="1:26" ht="27.95" customHeight="1">
      <c r="A1" s="15" t="s">
        <v>97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3.950000000000003" customHeight="1">
      <c r="A2" s="17" t="s">
        <v>98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.95" customHeight="1">
      <c r="A4" s="1" t="s">
        <v>32</v>
      </c>
      <c r="B4" s="1" t="s">
        <v>99</v>
      </c>
      <c r="C4" s="1" t="s">
        <v>100</v>
      </c>
      <c r="D4" s="1" t="s">
        <v>101</v>
      </c>
      <c r="E4" s="1" t="s">
        <v>34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2.75">
      <c r="A5" s="3" t="s">
        <v>102</v>
      </c>
      <c r="B5" s="14">
        <v>0.7</v>
      </c>
      <c r="C5" s="14">
        <v>1</v>
      </c>
      <c r="D5" s="14">
        <v>1.2</v>
      </c>
      <c r="E5" s="3" t="s">
        <v>103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2.75">
      <c r="A6" s="3" t="s">
        <v>104</v>
      </c>
      <c r="B6" s="14">
        <v>0.6</v>
      </c>
      <c r="C6" s="14">
        <v>1</v>
      </c>
      <c r="D6" s="14">
        <v>1.25</v>
      </c>
      <c r="E6" s="3" t="s">
        <v>105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8.5">
      <c r="A7" s="3" t="s">
        <v>106</v>
      </c>
      <c r="B7" s="11">
        <v>0.75</v>
      </c>
      <c r="C7" s="11">
        <v>1</v>
      </c>
      <c r="D7" s="11">
        <v>1.1499999999999999</v>
      </c>
      <c r="E7" s="3" t="s">
        <v>107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8.5">
      <c r="A8" s="3" t="s">
        <v>108</v>
      </c>
      <c r="B8" s="11">
        <v>0.8</v>
      </c>
      <c r="C8" s="11">
        <v>1</v>
      </c>
      <c r="D8" s="11">
        <v>1.2</v>
      </c>
      <c r="E8" s="3" t="s">
        <v>109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2.75">
      <c r="A9" s="3" t="s">
        <v>110</v>
      </c>
      <c r="B9" s="14">
        <v>5.0000000000000001E-3</v>
      </c>
      <c r="C9" s="14">
        <v>1.4999999999999999E-2</v>
      </c>
      <c r="D9" s="14">
        <v>3.5000000000000003E-2</v>
      </c>
      <c r="E9" s="3" t="s">
        <v>111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7.95" customHeight="1">
      <c r="A12" s="1" t="s">
        <v>52</v>
      </c>
      <c r="B12" s="1" t="s">
        <v>112</v>
      </c>
      <c r="C12" s="1" t="s">
        <v>113</v>
      </c>
      <c r="D12" s="1" t="s">
        <v>114</v>
      </c>
      <c r="E12" s="1" t="s">
        <v>115</v>
      </c>
      <c r="F12" s="1" t="s">
        <v>116</v>
      </c>
      <c r="G12" s="1" t="s">
        <v>117</v>
      </c>
      <c r="H12" s="1" t="s">
        <v>118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57">
      <c r="A13" s="3" t="str">
        <f>IF('02_Сегменты'!A5="","",'02_Сегменты'!A5)</f>
        <v>S-01 Студенты технических и экономических специальностей</v>
      </c>
      <c r="B13" s="7">
        <f>'02_Сегменты'!J5</f>
        <v>90115.099593749997</v>
      </c>
      <c r="C13" s="7">
        <f t="shared" ref="C13:C20" si="0">IF(A13="","",B13*$B$5*$B$6*$B$7*$B$8)</f>
        <v>22709.005097624999</v>
      </c>
      <c r="D13" s="7">
        <f t="shared" ref="D13:D20" si="1">IF(A13="","",B13*$C$5*$C$6*$C$7*$C$8)</f>
        <v>90115.099593749997</v>
      </c>
      <c r="E13" s="7">
        <f t="shared" ref="E13:E20" si="2">IF(A13="","",B13*$D$5*$D$6*$D$7*$D$8)</f>
        <v>186538.25615906247</v>
      </c>
      <c r="F13" s="7">
        <f t="shared" ref="F13:F20" si="3">IF(A13="","",C13*$B$9)</f>
        <v>113.54502548812499</v>
      </c>
      <c r="G13" s="7">
        <f t="shared" ref="G13:G20" si="4">IF(A13="","",D13*$C$9)</f>
        <v>1351.72649390625</v>
      </c>
      <c r="H13" s="7">
        <f t="shared" ref="H13:H20" si="5">IF(A13="","",E13*$D$9)</f>
        <v>6528.8389655671872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42.75">
      <c r="A14" s="3" t="str">
        <f>IF('02_Сегменты'!A6="","",'02_Сегменты'!A6)</f>
        <v>S-02/S-03 Аналитики, архитекторы ПО и разработчики</v>
      </c>
      <c r="B14" s="7">
        <f>'02_Сегменты'!J6</f>
        <v>102746.95416562501</v>
      </c>
      <c r="C14" s="7">
        <f t="shared" si="0"/>
        <v>25892.232449737501</v>
      </c>
      <c r="D14" s="7">
        <f t="shared" si="1"/>
        <v>102746.95416562501</v>
      </c>
      <c r="E14" s="7">
        <f t="shared" si="2"/>
        <v>212686.19512284372</v>
      </c>
      <c r="F14" s="7">
        <f t="shared" si="3"/>
        <v>129.46116224868751</v>
      </c>
      <c r="G14" s="7">
        <f t="shared" si="4"/>
        <v>1541.2043124843751</v>
      </c>
      <c r="H14" s="7">
        <f t="shared" si="5"/>
        <v>7444.0168292995313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8.5">
      <c r="A15" s="3" t="str">
        <f>IF('02_Сегменты'!A7="","",'02_Сегменты'!A7)</f>
        <v>S-04 Преподаватели технических дисциплин</v>
      </c>
      <c r="B15" s="7">
        <f>'02_Сегменты'!J7</f>
        <v>5126.947650000001</v>
      </c>
      <c r="C15" s="7">
        <f t="shared" si="0"/>
        <v>1291.9908078000001</v>
      </c>
      <c r="D15" s="7">
        <f t="shared" si="1"/>
        <v>5126.947650000001</v>
      </c>
      <c r="E15" s="7">
        <f t="shared" si="2"/>
        <v>10612.781635500001</v>
      </c>
      <c r="F15" s="7">
        <f t="shared" si="3"/>
        <v>6.4599540390000003</v>
      </c>
      <c r="G15" s="7">
        <f t="shared" si="4"/>
        <v>76.904214750000008</v>
      </c>
      <c r="H15" s="7">
        <f t="shared" si="5"/>
        <v>371.44735724250006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3" t="str">
        <f>IF('02_Сегменты'!A8="","",'02_Сегменты'!A8)</f>
        <v/>
      </c>
      <c r="B16" s="7" t="str">
        <f>'02_Сегменты'!J8</f>
        <v/>
      </c>
      <c r="C16" s="7" t="str">
        <f t="shared" si="0"/>
        <v/>
      </c>
      <c r="D16" s="7" t="str">
        <f t="shared" si="1"/>
        <v/>
      </c>
      <c r="E16" s="7" t="str">
        <f t="shared" si="2"/>
        <v/>
      </c>
      <c r="F16" s="7" t="str">
        <f t="shared" si="3"/>
        <v/>
      </c>
      <c r="G16" s="7" t="str">
        <f t="shared" si="4"/>
        <v/>
      </c>
      <c r="H16" s="7" t="str">
        <f t="shared" si="5"/>
        <v/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3" t="str">
        <f>IF('02_Сегменты'!A9="","",'02_Сегменты'!A9)</f>
        <v/>
      </c>
      <c r="B17" s="7" t="str">
        <f>'02_Сегменты'!J9</f>
        <v/>
      </c>
      <c r="C17" s="7" t="str">
        <f t="shared" si="0"/>
        <v/>
      </c>
      <c r="D17" s="7" t="str">
        <f t="shared" si="1"/>
        <v/>
      </c>
      <c r="E17" s="7" t="str">
        <f t="shared" si="2"/>
        <v/>
      </c>
      <c r="F17" s="7" t="str">
        <f t="shared" si="3"/>
        <v/>
      </c>
      <c r="G17" s="7" t="str">
        <f t="shared" si="4"/>
        <v/>
      </c>
      <c r="H17" s="7" t="str">
        <f t="shared" si="5"/>
        <v/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3" t="str">
        <f>IF('02_Сегменты'!A10="","",'02_Сегменты'!A10)</f>
        <v/>
      </c>
      <c r="B18" s="7" t="str">
        <f>'02_Сегменты'!J10</f>
        <v/>
      </c>
      <c r="C18" s="7" t="str">
        <f t="shared" si="0"/>
        <v/>
      </c>
      <c r="D18" s="7" t="str">
        <f t="shared" si="1"/>
        <v/>
      </c>
      <c r="E18" s="7" t="str">
        <f t="shared" si="2"/>
        <v/>
      </c>
      <c r="F18" s="7" t="str">
        <f t="shared" si="3"/>
        <v/>
      </c>
      <c r="G18" s="7" t="str">
        <f t="shared" si="4"/>
        <v/>
      </c>
      <c r="H18" s="7" t="str">
        <f t="shared" si="5"/>
        <v/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3" t="str">
        <f>IF('02_Сегменты'!A11="","",'02_Сегменты'!A11)</f>
        <v/>
      </c>
      <c r="B19" s="7" t="str">
        <f>'02_Сегменты'!J11</f>
        <v/>
      </c>
      <c r="C19" s="7" t="str">
        <f t="shared" si="0"/>
        <v/>
      </c>
      <c r="D19" s="7" t="str">
        <f t="shared" si="1"/>
        <v/>
      </c>
      <c r="E19" s="7" t="str">
        <f t="shared" si="2"/>
        <v/>
      </c>
      <c r="F19" s="7" t="str">
        <f t="shared" si="3"/>
        <v/>
      </c>
      <c r="G19" s="7" t="str">
        <f t="shared" si="4"/>
        <v/>
      </c>
      <c r="H19" s="7" t="str">
        <f t="shared" si="5"/>
        <v/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3" t="str">
        <f>IF('02_Сегменты'!A12="","",'02_Сегменты'!A12)</f>
        <v/>
      </c>
      <c r="B20" s="7" t="str">
        <f>'02_Сегменты'!J12</f>
        <v/>
      </c>
      <c r="C20" s="7" t="str">
        <f t="shared" si="0"/>
        <v/>
      </c>
      <c r="D20" s="7" t="str">
        <f t="shared" si="1"/>
        <v/>
      </c>
      <c r="E20" s="7" t="str">
        <f t="shared" si="2"/>
        <v/>
      </c>
      <c r="F20" s="7" t="str">
        <f t="shared" si="3"/>
        <v/>
      </c>
      <c r="G20" s="7" t="str">
        <f t="shared" si="4"/>
        <v/>
      </c>
      <c r="H20" s="7" t="str">
        <f t="shared" si="5"/>
        <v/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3"/>
      <c r="B21" s="7"/>
      <c r="C21" s="7"/>
      <c r="D21" s="7"/>
      <c r="E21" s="7"/>
      <c r="F21" s="7"/>
      <c r="G21" s="7"/>
      <c r="H21" s="7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>
      <c r="A22" s="6" t="s">
        <v>63</v>
      </c>
      <c r="B22" s="9">
        <f t="shared" ref="B22:H22" si="6">SUM(B13:B20)</f>
        <v>197989.00140937499</v>
      </c>
      <c r="C22" s="9">
        <f t="shared" si="6"/>
        <v>49893.228355162501</v>
      </c>
      <c r="D22" s="9">
        <f t="shared" si="6"/>
        <v>197989.00140937499</v>
      </c>
      <c r="E22" s="9">
        <f t="shared" si="6"/>
        <v>409837.23291740625</v>
      </c>
      <c r="F22" s="9">
        <f t="shared" si="6"/>
        <v>249.4661417758125</v>
      </c>
      <c r="G22" s="9">
        <f t="shared" si="6"/>
        <v>2969.835021140625</v>
      </c>
      <c r="H22" s="9">
        <f t="shared" si="6"/>
        <v>14344.303152109218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2">
    <mergeCell ref="A1:L1"/>
    <mergeCell ref="A2:L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00"/>
  <sheetViews>
    <sheetView workbookViewId="0"/>
  </sheetViews>
  <sheetFormatPr defaultRowHeight="14.25"/>
  <cols>
    <col min="1" max="1" width="24" customWidth="1"/>
    <col min="2" max="6" width="18" customWidth="1"/>
    <col min="7" max="7" width="16" customWidth="1"/>
    <col min="8" max="9" width="18" customWidth="1"/>
    <col min="10" max="10" width="14" customWidth="1"/>
    <col min="11" max="11" width="18" customWidth="1"/>
    <col min="12" max="12" width="28" customWidth="1"/>
  </cols>
  <sheetData>
    <row r="1" spans="1:26" ht="27.95" customHeight="1">
      <c r="A1" s="15" t="s">
        <v>119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3.950000000000003" customHeight="1">
      <c r="A2" s="17" t="s">
        <v>120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.95" customHeight="1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58</v>
      </c>
      <c r="K4" s="1" t="s">
        <v>130</v>
      </c>
      <c r="L4" s="1" t="s">
        <v>131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85.5">
      <c r="A5" s="3" t="s">
        <v>220</v>
      </c>
      <c r="B5" s="7">
        <v>507000</v>
      </c>
      <c r="C5" s="4">
        <v>1.9580000000000001E-3</v>
      </c>
      <c r="D5" s="7">
        <f t="shared" ref="D5:D12" si="0">IF(A5="","",B5*C5)</f>
        <v>992.70600000000002</v>
      </c>
      <c r="E5" s="4">
        <v>0.48470000000000002</v>
      </c>
      <c r="F5" s="4">
        <v>0.22</v>
      </c>
      <c r="G5" s="4">
        <v>0.15</v>
      </c>
      <c r="H5" s="4">
        <v>1E-3</v>
      </c>
      <c r="I5" s="7">
        <f t="shared" ref="I5:I12" si="1">IF(A5="","",D5*H5)</f>
        <v>0.99270600000000009</v>
      </c>
      <c r="J5" s="7">
        <v>121.14</v>
      </c>
      <c r="K5" s="7">
        <f t="shared" ref="K5:K12" si="2">IF(A5="","",I5*J5)</f>
        <v>120.25640484000002</v>
      </c>
      <c r="L5" s="3" t="s">
        <v>251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71.25">
      <c r="A6" s="3" t="s">
        <v>221</v>
      </c>
      <c r="B6" s="7">
        <v>7800000</v>
      </c>
      <c r="C6" s="4">
        <v>1.9580000000000001E-3</v>
      </c>
      <c r="D6" s="7">
        <f t="shared" si="0"/>
        <v>15272.400000000001</v>
      </c>
      <c r="E6" s="4">
        <v>0.42</v>
      </c>
      <c r="F6" s="4">
        <v>0.18</v>
      </c>
      <c r="G6" s="4">
        <v>0.2</v>
      </c>
      <c r="H6" s="4">
        <v>1E-3</v>
      </c>
      <c r="I6" s="7">
        <f t="shared" si="1"/>
        <v>15.272400000000001</v>
      </c>
      <c r="J6" s="7">
        <v>121.14</v>
      </c>
      <c r="K6" s="7">
        <f t="shared" si="2"/>
        <v>1850.0985360000002</v>
      </c>
      <c r="L6" s="3" t="s">
        <v>252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>
      <c r="A7" s="3" t="s">
        <v>222</v>
      </c>
      <c r="B7" s="7">
        <v>678500</v>
      </c>
      <c r="C7" s="4">
        <v>1.9580000000000001E-3</v>
      </c>
      <c r="D7" s="7">
        <f t="shared" si="0"/>
        <v>1328.5030000000002</v>
      </c>
      <c r="E7" s="4">
        <v>0.35</v>
      </c>
      <c r="F7" s="4">
        <v>0.25</v>
      </c>
      <c r="G7" s="4">
        <v>0.18</v>
      </c>
      <c r="H7" s="4">
        <v>1E-3</v>
      </c>
      <c r="I7" s="7">
        <f t="shared" si="1"/>
        <v>1.3285030000000002</v>
      </c>
      <c r="J7" s="7">
        <v>121.14</v>
      </c>
      <c r="K7" s="7">
        <f t="shared" si="2"/>
        <v>160.93485342000002</v>
      </c>
      <c r="L7" s="3" t="s">
        <v>253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>
      <c r="A8" s="3" t="s">
        <v>223</v>
      </c>
      <c r="B8" s="7">
        <v>20000</v>
      </c>
      <c r="C8" s="4">
        <v>1.9580000000000001E-3</v>
      </c>
      <c r="D8" s="7">
        <f t="shared" si="0"/>
        <v>39.160000000000004</v>
      </c>
      <c r="E8" s="4"/>
      <c r="F8" s="4"/>
      <c r="G8" s="4"/>
      <c r="H8" s="4">
        <v>1E-3</v>
      </c>
      <c r="I8" s="7">
        <f t="shared" si="1"/>
        <v>3.9160000000000007E-2</v>
      </c>
      <c r="J8" s="7">
        <v>121.14</v>
      </c>
      <c r="K8" s="7">
        <f t="shared" si="2"/>
        <v>4.743842400000001</v>
      </c>
      <c r="L8" s="3" t="s">
        <v>254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3"/>
      <c r="B9" s="7"/>
      <c r="C9" s="4"/>
      <c r="D9" s="7" t="str">
        <f t="shared" si="0"/>
        <v/>
      </c>
      <c r="E9" s="4"/>
      <c r="F9" s="4"/>
      <c r="G9" s="4"/>
      <c r="H9" s="4"/>
      <c r="I9" s="7" t="str">
        <f t="shared" si="1"/>
        <v/>
      </c>
      <c r="J9" s="7"/>
      <c r="K9" s="7" t="str">
        <f t="shared" si="2"/>
        <v/>
      </c>
      <c r="L9" s="3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3"/>
      <c r="B10" s="7"/>
      <c r="C10" s="4"/>
      <c r="D10" s="7" t="str">
        <f t="shared" si="0"/>
        <v/>
      </c>
      <c r="E10" s="4"/>
      <c r="F10" s="4"/>
      <c r="G10" s="4"/>
      <c r="H10" s="4"/>
      <c r="I10" s="7" t="str">
        <f t="shared" si="1"/>
        <v/>
      </c>
      <c r="J10" s="7"/>
      <c r="K10" s="7" t="str">
        <f t="shared" si="2"/>
        <v/>
      </c>
      <c r="L10" s="3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3"/>
      <c r="B11" s="7"/>
      <c r="C11" s="4"/>
      <c r="D11" s="7" t="str">
        <f t="shared" si="0"/>
        <v/>
      </c>
      <c r="E11" s="4"/>
      <c r="F11" s="4"/>
      <c r="G11" s="4"/>
      <c r="H11" s="4"/>
      <c r="I11" s="7" t="str">
        <f t="shared" si="1"/>
        <v/>
      </c>
      <c r="J11" s="7"/>
      <c r="K11" s="7" t="str">
        <f t="shared" si="2"/>
        <v/>
      </c>
      <c r="L11" s="3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3"/>
      <c r="B12" s="7"/>
      <c r="C12" s="4"/>
      <c r="D12" s="7" t="str">
        <f t="shared" si="0"/>
        <v/>
      </c>
      <c r="E12" s="4"/>
      <c r="F12" s="4"/>
      <c r="G12" s="4"/>
      <c r="H12" s="4"/>
      <c r="I12" s="7" t="str">
        <f t="shared" si="1"/>
        <v/>
      </c>
      <c r="J12" s="7"/>
      <c r="K12" s="7" t="str">
        <f t="shared" si="2"/>
        <v/>
      </c>
      <c r="L12" s="3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3"/>
      <c r="B13" s="7"/>
      <c r="C13" s="4"/>
      <c r="D13" s="7"/>
      <c r="E13" s="4"/>
      <c r="F13" s="4"/>
      <c r="G13" s="4"/>
      <c r="H13" s="4"/>
      <c r="I13" s="7"/>
      <c r="J13" s="7"/>
      <c r="K13" s="7"/>
      <c r="L13" s="3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>
      <c r="A14" s="6" t="s">
        <v>96</v>
      </c>
      <c r="B14" s="9">
        <f>SUM(B5:B12)</f>
        <v>9005500</v>
      </c>
      <c r="C14" s="10">
        <f>AVERAGE(C5:C12)</f>
        <v>1.9580000000000001E-3</v>
      </c>
      <c r="D14" s="9">
        <f>SUM(D5:D12)</f>
        <v>17632.769</v>
      </c>
      <c r="E14" s="10">
        <f>AVERAGE(E5:E12)</f>
        <v>0.4182333333333334</v>
      </c>
      <c r="F14" s="10">
        <f>AVERAGE(F5:F12)</f>
        <v>0.21666666666666667</v>
      </c>
      <c r="G14" s="10">
        <f>AVERAGE(G5:G12)</f>
        <v>0.17666666666666667</v>
      </c>
      <c r="H14" s="10">
        <f>AVERAGE(H5:H12)</f>
        <v>1E-3</v>
      </c>
      <c r="I14" s="9">
        <f>SUM(I5:I12)</f>
        <v>17.632769000000003</v>
      </c>
      <c r="J14" s="9">
        <f>AVERAGE(J5:J12)</f>
        <v>121.14</v>
      </c>
      <c r="K14" s="9">
        <f>SUM(K5:K12)</f>
        <v>2136.0336366600004</v>
      </c>
      <c r="L14" s="6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14">
      <c r="A16" s="2" t="s">
        <v>224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00"/>
  <sheetViews>
    <sheetView workbookViewId="0"/>
  </sheetViews>
  <sheetFormatPr defaultRowHeight="14.25"/>
  <cols>
    <col min="1" max="1" width="32" customWidth="1"/>
    <col min="2" max="2" width="18" customWidth="1"/>
    <col min="3" max="3" width="48" customWidth="1"/>
    <col min="5" max="8" width="22" customWidth="1"/>
  </cols>
  <sheetData>
    <row r="1" spans="1:26" ht="27.95" customHeight="1">
      <c r="A1" s="15" t="s">
        <v>132</v>
      </c>
      <c r="B1" s="16"/>
      <c r="C1" s="16"/>
      <c r="D1" s="16"/>
      <c r="E1" s="16"/>
      <c r="F1" s="16"/>
      <c r="G1" s="16"/>
      <c r="H1" s="16"/>
      <c r="I1" s="16"/>
      <c r="J1" s="16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3.950000000000003" customHeight="1">
      <c r="A2" s="17" t="s">
        <v>133</v>
      </c>
      <c r="B2" s="16"/>
      <c r="C2" s="16"/>
      <c r="D2" s="16"/>
      <c r="E2" s="16"/>
      <c r="F2" s="16"/>
      <c r="G2" s="16"/>
      <c r="H2" s="16"/>
      <c r="I2" s="16"/>
      <c r="J2" s="1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.95" customHeight="1">
      <c r="A4" s="1" t="s">
        <v>134</v>
      </c>
      <c r="B4" s="1" t="s">
        <v>33</v>
      </c>
      <c r="C4" s="1" t="s">
        <v>135</v>
      </c>
      <c r="D4" s="2"/>
      <c r="E4" s="1" t="s">
        <v>136</v>
      </c>
      <c r="F4" s="1" t="s">
        <v>137</v>
      </c>
      <c r="G4" s="1" t="s">
        <v>138</v>
      </c>
      <c r="H4" s="1" t="s">
        <v>34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8.5">
      <c r="A5" s="3" t="s">
        <v>139</v>
      </c>
      <c r="B5" s="7">
        <f>'02_Сегменты'!J16</f>
        <v>197989.00140937499</v>
      </c>
      <c r="C5" s="3" t="s">
        <v>140</v>
      </c>
      <c r="D5" s="2"/>
      <c r="E5" s="3" t="s">
        <v>99</v>
      </c>
      <c r="F5" s="7">
        <f>'06_Сценарии'!C22</f>
        <v>49893.228355162501</v>
      </c>
      <c r="G5" s="7">
        <f>'06_Сценарии'!F22</f>
        <v>249.4661417758125</v>
      </c>
      <c r="H5" s="3" t="s">
        <v>141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8.5">
      <c r="A6" s="3" t="s">
        <v>59</v>
      </c>
      <c r="B6" s="7">
        <f>'02_Сегменты'!H16</f>
        <v>1634.3817187500001</v>
      </c>
      <c r="C6" s="3" t="s">
        <v>142</v>
      </c>
      <c r="D6" s="2"/>
      <c r="E6" s="3" t="s">
        <v>100</v>
      </c>
      <c r="F6" s="7">
        <f>'06_Сценарии'!D22</f>
        <v>197989.00140937499</v>
      </c>
      <c r="G6" s="7">
        <f>'06_Сценарии'!G22</f>
        <v>2969.835021140625</v>
      </c>
      <c r="H6" s="3" t="s">
        <v>143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8.5">
      <c r="A7" s="3" t="s">
        <v>144</v>
      </c>
      <c r="B7" s="11">
        <f>'05_Платежеспособность'!D14</f>
        <v>16.317649001155687</v>
      </c>
      <c r="C7" s="3" t="s">
        <v>145</v>
      </c>
      <c r="D7" s="2"/>
      <c r="E7" s="3" t="s">
        <v>101</v>
      </c>
      <c r="F7" s="7">
        <f>'06_Сценарии'!E22</f>
        <v>409837.23291740625</v>
      </c>
      <c r="G7" s="7">
        <f>'06_Сценарии'!H22</f>
        <v>14344.303152109218</v>
      </c>
      <c r="H7" s="3" t="s">
        <v>146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8.5">
      <c r="A8" s="3" t="s">
        <v>147</v>
      </c>
      <c r="B8" s="4">
        <f>'04_Экономика_покупки'!H14</f>
        <v>4.6516210995542346</v>
      </c>
      <c r="C8" s="3" t="s">
        <v>148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3" t="s">
        <v>116</v>
      </c>
      <c r="B9" s="7">
        <f>'06_Сценарии'!F22</f>
        <v>249.4661417758125</v>
      </c>
      <c r="C9" s="3" t="s">
        <v>149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3" t="s">
        <v>117</v>
      </c>
      <c r="B10" s="7">
        <f>'06_Сценарии'!G22</f>
        <v>2969.835021140625</v>
      </c>
      <c r="C10" s="3" t="s">
        <v>150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8.5">
      <c r="A11" s="3" t="s">
        <v>118</v>
      </c>
      <c r="B11" s="7">
        <f>'06_Сценарии'!H22</f>
        <v>14344.303152109218</v>
      </c>
      <c r="C11" s="3" t="s">
        <v>151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8.5">
      <c r="A12" s="3" t="s">
        <v>152</v>
      </c>
      <c r="B12" s="7">
        <f>'07_Similarweb'!K14</f>
        <v>2136.0336366600004</v>
      </c>
      <c r="C12" s="3" t="s">
        <v>153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>
      <c r="A15" s="18" t="s">
        <v>154</v>
      </c>
      <c r="B15" s="16"/>
      <c r="C15" s="16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19" t="str">
        <f>IF(B7&gt;=1,"Платежеспособность сегментов в среднем достаточная: бюджет клиентов сопоставим с ценой предложения. Рекомендуется переходить к проверке конкурентов, каналов продаж и пилотному запуску.","Платежеспособность сегментов требует дополнительной проверки: цена предложения выше доступного бюджета. Нужно уточнить сегменты, снизить стоимость входного продукта или изменить состав предложения.")</f>
        <v>Платежеспособность сегментов в среднем достаточная: бюджет клиентов сопоставим с ценой предложения. Рекомендуется переходить к проверке конкурентов, каналов продаж и пилотному запуску.</v>
      </c>
      <c r="B16" s="16"/>
      <c r="C16" s="16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16"/>
      <c r="B17" s="16"/>
      <c r="C17" s="16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6"/>
      <c r="B18" s="16"/>
      <c r="C18" s="16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4">
    <mergeCell ref="A1:J1"/>
    <mergeCell ref="A2:J2"/>
    <mergeCell ref="A15:C15"/>
    <mergeCell ref="A16:C1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200"/>
  <sheetViews>
    <sheetView workbookViewId="0"/>
  </sheetViews>
  <sheetFormatPr defaultRowHeight="14.25"/>
  <cols>
    <col min="1" max="1" width="28" customWidth="1"/>
    <col min="2" max="2" width="40" customWidth="1"/>
    <col min="3" max="3" width="38" customWidth="1"/>
    <col min="4" max="4" width="36" customWidth="1"/>
    <col min="5" max="5" width="16" customWidth="1"/>
    <col min="6" max="6" width="36" customWidth="1"/>
  </cols>
  <sheetData>
    <row r="1" spans="1:26" ht="27.95" customHeight="1">
      <c r="A1" s="15" t="s">
        <v>155</v>
      </c>
      <c r="B1" s="16"/>
      <c r="C1" s="16"/>
      <c r="D1" s="16"/>
      <c r="E1" s="16"/>
      <c r="F1" s="16"/>
      <c r="G1" s="16"/>
      <c r="H1" s="16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3.950000000000003" customHeight="1">
      <c r="A2" s="17" t="s">
        <v>156</v>
      </c>
      <c r="B2" s="16"/>
      <c r="C2" s="16"/>
      <c r="D2" s="16"/>
      <c r="E2" s="16"/>
      <c r="F2" s="16"/>
      <c r="G2" s="16"/>
      <c r="H2" s="16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.95" customHeight="1">
      <c r="A4" s="1" t="s">
        <v>62</v>
      </c>
      <c r="B4" s="1" t="s">
        <v>157</v>
      </c>
      <c r="C4" s="1" t="s">
        <v>158</v>
      </c>
      <c r="D4" s="1" t="s">
        <v>159</v>
      </c>
      <c r="E4" s="1" t="s">
        <v>160</v>
      </c>
      <c r="F4" s="1" t="s">
        <v>161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8.5">
      <c r="A5" s="3" t="s">
        <v>162</v>
      </c>
      <c r="B5" s="3" t="s">
        <v>163</v>
      </c>
      <c r="C5" s="3" t="s">
        <v>164</v>
      </c>
      <c r="D5" s="3" t="s">
        <v>165</v>
      </c>
      <c r="E5" s="20" t="s">
        <v>255</v>
      </c>
      <c r="F5" s="3" t="s">
        <v>166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8.5">
      <c r="A6" s="3" t="s">
        <v>167</v>
      </c>
      <c r="B6" s="3" t="s">
        <v>168</v>
      </c>
      <c r="C6" s="3" t="s">
        <v>169</v>
      </c>
      <c r="D6" s="3" t="s">
        <v>170</v>
      </c>
      <c r="E6" s="20" t="s">
        <v>255</v>
      </c>
      <c r="F6" s="3" t="s">
        <v>171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8.5">
      <c r="A7" s="3" t="s">
        <v>172</v>
      </c>
      <c r="B7" s="3" t="s">
        <v>173</v>
      </c>
      <c r="C7" s="3" t="s">
        <v>174</v>
      </c>
      <c r="D7" s="3" t="s">
        <v>175</v>
      </c>
      <c r="E7" s="20" t="s">
        <v>255</v>
      </c>
      <c r="F7" s="3" t="s">
        <v>176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8.5">
      <c r="A8" s="3" t="s">
        <v>177</v>
      </c>
      <c r="B8" s="3" t="s">
        <v>178</v>
      </c>
      <c r="C8" s="3" t="s">
        <v>179</v>
      </c>
      <c r="D8" s="3" t="s">
        <v>180</v>
      </c>
      <c r="E8" s="20" t="s">
        <v>255</v>
      </c>
      <c r="F8" s="3" t="s">
        <v>181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57">
      <c r="A9" s="3" t="s">
        <v>74</v>
      </c>
      <c r="B9" s="3" t="s">
        <v>182</v>
      </c>
      <c r="C9" s="3" t="s">
        <v>183</v>
      </c>
      <c r="D9" s="3" t="s">
        <v>225</v>
      </c>
      <c r="E9" s="20" t="s">
        <v>255</v>
      </c>
      <c r="F9" s="3" t="s">
        <v>184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2.75">
      <c r="A10" s="3" t="s">
        <v>185</v>
      </c>
      <c r="B10" s="3" t="s">
        <v>186</v>
      </c>
      <c r="C10" s="3" t="s">
        <v>187</v>
      </c>
      <c r="D10" s="3" t="s">
        <v>256</v>
      </c>
      <c r="E10" s="3"/>
      <c r="F10" s="3" t="s">
        <v>188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85.5">
      <c r="A12" s="2" t="s">
        <v>226</v>
      </c>
      <c r="B12" s="2" t="s">
        <v>227</v>
      </c>
      <c r="C12" s="2" t="s">
        <v>228</v>
      </c>
      <c r="D12" s="2" t="s">
        <v>257</v>
      </c>
      <c r="E12" s="21" t="s">
        <v>255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 t="s">
        <v>229</v>
      </c>
      <c r="B13" s="2" t="s">
        <v>258</v>
      </c>
      <c r="C13" s="2" t="s">
        <v>230</v>
      </c>
      <c r="D13" s="2" t="s">
        <v>231</v>
      </c>
      <c r="E13" s="21" t="s">
        <v>255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00_Методика</vt:lpstr>
      <vt:lpstr>01_Параметры</vt:lpstr>
      <vt:lpstr>02_Сегменты</vt:lpstr>
      <vt:lpstr>03_Ценовой_коридор</vt:lpstr>
      <vt:lpstr>04_Экономика_покупки</vt:lpstr>
      <vt:lpstr>05_Платежеспособность</vt:lpstr>
      <vt:lpstr>06_Сценарии</vt:lpstr>
      <vt:lpstr>07_Similarweb</vt:lpstr>
      <vt:lpstr>08_Итоговая_панель</vt:lpstr>
      <vt:lpstr>09_Источники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2026-10-04T16:53:22Z</dcterms:created>
  <dcterms:modified xsi:type="dcterms:W3CDTF">2026-10-04T16:58:35Z</dcterms:modified>
</cp:coreProperties>
</file>