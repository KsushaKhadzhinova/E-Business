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98F89D58-E4FF-4D02-A6B9-5A5C91C68F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64" i="3" l="1"/>
  <c r="G63" i="3"/>
  <c r="G62" i="3"/>
  <c r="G55" i="3"/>
  <c r="G54" i="3"/>
  <c r="N54" i="3" s="1"/>
  <c r="G53" i="3"/>
  <c r="G52" i="3"/>
  <c r="G51" i="3"/>
  <c r="G50" i="3"/>
  <c r="G49" i="3"/>
  <c r="G48" i="3"/>
  <c r="G47" i="3"/>
  <c r="G46" i="3"/>
  <c r="G45" i="3"/>
  <c r="G44" i="3"/>
  <c r="E64" i="3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G59" i="3" s="1"/>
  <c r="A59" i="3"/>
  <c r="E58" i="3"/>
  <c r="F58" i="3" s="1"/>
  <c r="D58" i="3"/>
  <c r="G58" i="3" s="1"/>
  <c r="A58" i="3"/>
  <c r="E57" i="3"/>
  <c r="F57" i="3" s="1"/>
  <c r="D57" i="3"/>
  <c r="G57" i="3" s="1"/>
  <c r="A57" i="3"/>
  <c r="E56" i="3"/>
  <c r="F56" i="3" s="1"/>
  <c r="G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G33" i="3" s="1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N64" i="3" l="1"/>
  <c r="N63" i="3"/>
  <c r="N62" i="3"/>
  <c r="N61" i="3"/>
  <c r="N60" i="3"/>
  <c r="N59" i="3"/>
  <c r="N58" i="3"/>
  <c r="N57" i="3"/>
  <c r="N56" i="3"/>
  <c r="N55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H26" i="3"/>
  <c r="N26" i="3"/>
  <c r="H25" i="3"/>
  <c r="N25" i="3"/>
  <c r="H28" i="3"/>
  <c r="N28" i="3"/>
  <c r="N27" i="3"/>
  <c r="H27" i="3"/>
  <c r="N23" i="3"/>
  <c r="H23" i="3"/>
  <c r="N24" i="3"/>
  <c r="H24" i="3"/>
  <c r="N21" i="3"/>
  <c r="H21" i="3"/>
  <c r="N22" i="3"/>
  <c r="H22" i="3"/>
  <c r="N16" i="3"/>
  <c r="H16" i="3"/>
  <c r="N20" i="3"/>
  <c r="H20" i="3"/>
  <c r="B26" i="6"/>
  <c r="H17" i="3"/>
  <c r="N17" i="3"/>
  <c r="B28" i="6"/>
  <c r="N19" i="3"/>
  <c r="H19" i="3"/>
  <c r="B27" i="6"/>
  <c r="N18" i="3"/>
  <c r="H18" i="3"/>
  <c r="N15" i="3"/>
  <c r="H15" i="3"/>
  <c r="N14" i="3"/>
  <c r="H14" i="3"/>
  <c r="H13" i="3"/>
  <c r="N13" i="3"/>
  <c r="H12" i="3"/>
  <c r="N12" i="3"/>
  <c r="B20" i="6"/>
  <c r="N11" i="3"/>
  <c r="H11" i="3"/>
  <c r="N10" i="3"/>
  <c r="H10" i="3"/>
  <c r="B19" i="6"/>
  <c r="B18" i="6"/>
  <c r="N9" i="3"/>
  <c r="H9" i="3"/>
  <c r="B17" i="6"/>
  <c r="H8" i="3"/>
  <c r="N8" i="3"/>
  <c r="N7" i="3"/>
  <c r="H7" i="3"/>
  <c r="I7" i="3" s="1"/>
  <c r="N6" i="3"/>
  <c r="H6" i="3"/>
  <c r="H29" i="3"/>
  <c r="N29" i="3"/>
  <c r="N5" i="3"/>
  <c r="H5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5" i="3"/>
  <c r="H56" i="3"/>
  <c r="H57" i="3"/>
  <c r="H58" i="3"/>
  <c r="H59" i="3"/>
  <c r="H60" i="3"/>
  <c r="H61" i="3"/>
  <c r="H62" i="3"/>
  <c r="H63" i="3"/>
  <c r="H64" i="3"/>
  <c r="H54" i="3"/>
  <c r="B4" i="5"/>
  <c r="B71" i="6"/>
  <c r="B62" i="6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I29" i="3"/>
  <c r="B38" i="6"/>
  <c r="B48" i="6"/>
  <c r="B46" i="6"/>
  <c r="I37" i="3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1" i="4" s="1"/>
  <c r="C16" i="6"/>
  <c r="C51" i="6"/>
  <c r="I42" i="3"/>
  <c r="K42" i="3"/>
  <c r="C22" i="6"/>
  <c r="I13" i="3"/>
  <c r="C8" i="4" s="1"/>
  <c r="C23" i="6"/>
  <c r="I14" i="3"/>
  <c r="C9" i="4" s="1"/>
  <c r="C21" i="6"/>
  <c r="I12" i="3"/>
  <c r="C7" i="4" s="1"/>
  <c r="F73" i="6" l="1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<sst xmlns="http://schemas.openxmlformats.org/spreadsheetml/2006/main" count="364" uniqueCount="226">
  <si>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</si>
  <si>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</si>
  <si>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</si>
  <si>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</si>
  <si>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</si>
  <si>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</si>
  <si>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</si>
  <si>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</si>
  <si>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</si>
  <si>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</si>
  <si>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</si>
  <si>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</si>
  <si>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</si>
  <si>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</si>
  <si>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</si>
  <si>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</si>
  <si>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</si>
  <si>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</si>
  <si>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</si>
  <si>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</si>
  <si>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</si>
  <si>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</si>
  <si>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</si>
  <si>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</si>
  <si>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</si>
  <si>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</si>
  <si>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</si>
  <si>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</si>
  <si>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</si>
  <si>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</si>
  <si>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</si>
  <si>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</si>
  <si>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</si>
  <si>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</si>
  <si>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</si>
  <si>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</si>
  <si>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</si>
  <si>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</si>
  <si>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</si>
  <si>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</si>
  <si>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</si>
  <si>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</si>
  <si>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</si>
  <si>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</si>
  <si>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</si>
  <si>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</si>
  <si>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</si>
  <si>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</si>
  <si>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</si>
  <si>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</si>
  <si>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</si>
  <si>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</si>
  <si>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</si>
  <si>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</si>
  <si>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</si>
  <si>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</si>
  <si>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</si>
  <si>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</si>
  <si>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</si>
  <si>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</si>
  <si>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</si>
  <si>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</si>
  <si>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</si>
  <si>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</si>
  <si>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</si>
  <si>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</si>
  <si>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</si>
  <si>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</si>
  <si>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</si>
  <si>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</si>
  <si>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</si>
  <si>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</si>
  <si>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</si>
  <si>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</si>
  <si>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</si>
  <si>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</si>
  <si>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</si>
  <si>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</si>
  <si>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</si>
  <si>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</si>
  <si>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</si>
  <si>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</si>
  <si>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</si>
  <si>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</si>
  <si>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</si>
  <si>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</si>
  <si>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</si>
  <si>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</si>
  <si>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</si>
  <si>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</si>
  <si>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</si>
  <si>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</si>
  <si>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</si>
  <si>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</si>
  <si>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</si>
  <si>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</si>
  <si>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</si>
  <si>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</si>
  <si>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</si>
  <si>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</si>
  <si>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</si>
  <si>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</si>
  <si>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</si>
  <si>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</si>
  <si>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</si>
  <si>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</si>
  <si>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</si>
  <si>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</si>
  <si>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</si>
  <si>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</si>
  <si>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</si>
  <si>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</si>
  <si>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</si>
  <si>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</si>
  <si>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</si>
  <si>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</si>
  <si>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</si>
  <si>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</si>
  <si>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</si>
  <si>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</si>
  <si>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</si>
  <si>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</si>
  <si>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</si>
  <si>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</si>
  <si>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</si>
  <si>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</si>
  <si>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</si>
  <si>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</si>
  <si>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</si>
  <si>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</si>
  <si>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</si>
  <si>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</si>
  <si>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</si>
  <si>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</si>
  <si>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</si>
  <si>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</si>
  <si>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</si>
  <si>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</si>
  <si>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</si>
  <si>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</si>
  <si>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</si>
  <si>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</si>
  <si>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</si>
  <si>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</si>
  <si>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</si>
  <si>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</si>
  <si>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</si>
  <si>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</si>
  <si>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</si>
  <si>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</si>
  <si>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</si>
  <si>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</si>
  <si>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</si>
  <si>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</si>
  <si>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</si>
  <si>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</si>
  <si>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</si>
  <si>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</si>
  <si>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</si>
  <si>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</si>
  <si>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</si>
  <si>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</si>
  <si>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</si>
  <si>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</si>
  <si>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</si>
  <si>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</si>
  <si>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</si>
  <si>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</si>
  <si>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</si>
  <si>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</si>
  <si>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</si>
  <si>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</si>
  <si>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</si>
  <si>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</si>
  <si>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</si>
  <si>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</si>
  <si>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</si>
  <si>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</si>
  <si>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</si>
  <si>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</si>
  <si>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</si>
  <si>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</si>
  <si>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</si>
  <si>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</si>
  <si>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</si>
  <si>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</si>
  <si>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</si>
  <si>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</si>
  <si>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</si>
  <si>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</si>
  <si>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</si>
  <si>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</si>
  <si>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</si>
  <si>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</si>
  <si>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</si>
  <si>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</si>
  <si>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</si>
  <si>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</si>
  <si>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</si>
  <si>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</si>
  <si>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</si>
  <si>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</si>
  <si>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</si>
  <si>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</si>
  <si>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</si>
  <si>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</si>
  <si>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</si>
  <si>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</si>
  <si>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</si>
  <si>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</si>
  <si>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</si>
  <si>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</si>
  <si>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</si>
  <si>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wordstat_set-petri_dinamika_RB_2018-01_2026-08.json</t>
  </si>
  <si>
    <t>Частотность за 30 дней: 16; подзапросы – в сводке данных Вордстата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</si>
  <si>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</si>
  <si>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</si>
  <si>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</si>
  <si>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</si>
  <si>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</si>
  <si>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</si>
  <si>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</si>
  <si>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</si>
  <si>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</si>
  <si>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</si>
  <si>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Вариант только Яндекс Вордстат: запрос «сеть петри», Беларусь, 24 мес. (09.2024–08.2026);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</si>
</sst>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40</c:v>
                </c:pt>
                <c:pt idx="1">
                  <c:v>77</c:v>
                </c:pt>
                <c:pt idx="2">
                  <c:v>26</c:v>
                </c:pt>
                <c:pt idx="3">
                  <c:v>100</c:v>
                </c:pt>
                <c:pt idx="4">
                  <c:v>51</c:v>
                </c:pt>
                <c:pt idx="5">
                  <c:v>9</c:v>
                </c:pt>
                <c:pt idx="6">
                  <c:v>12</c:v>
                </c:pt>
                <c:pt idx="7">
                  <c:v>14.000000000000002</c:v>
                </c:pt>
                <c:pt idx="8">
                  <c:v>39</c:v>
                </c:pt>
                <c:pt idx="9">
                  <c:v>20</c:v>
                </c:pt>
                <c:pt idx="10">
                  <c:v>8</c:v>
                </c:pt>
                <c:pt idx="11">
                  <c:v>8</c:v>
                </c:pt>
                <c:pt idx="12">
                  <c:v>7.0000000000000009</c:v>
                </c:pt>
                <c:pt idx="13">
                  <c:v>53</c:v>
                </c:pt>
                <c:pt idx="14">
                  <c:v>54</c:v>
                </c:pt>
                <c:pt idx="15">
                  <c:v>9</c:v>
                </c:pt>
                <c:pt idx="16">
                  <c:v>4</c:v>
                </c:pt>
                <c:pt idx="17">
                  <c:v>10</c:v>
                </c:pt>
                <c:pt idx="18">
                  <c:v>13</c:v>
                </c:pt>
                <c:pt idx="19">
                  <c:v>7.0000000000000009</c:v>
                </c:pt>
                <c:pt idx="20">
                  <c:v>8</c:v>
                </c:pt>
                <c:pt idx="21">
                  <c:v>31</c:v>
                </c:pt>
                <c:pt idx="22">
                  <c:v>2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33.666666666666664</c:v>
                </c:pt>
                <c:pt idx="12">
                  <c:v>30.916666666666668</c:v>
                </c:pt>
                <c:pt idx="13">
                  <c:v>28.916666666666668</c:v>
                </c:pt>
                <c:pt idx="14">
                  <c:v>31.25</c:v>
                </c:pt>
                <c:pt idx="15">
                  <c:v>23.666666666666668</c:v>
                </c:pt>
                <c:pt idx="16">
                  <c:v>19.75</c:v>
                </c:pt>
                <c:pt idx="17">
                  <c:v>19.833333333333332</c:v>
                </c:pt>
                <c:pt idx="18">
                  <c:v>19.916666666666668</c:v>
                </c:pt>
                <c:pt idx="19">
                  <c:v>19.333333333333332</c:v>
                </c:pt>
                <c:pt idx="20">
                  <c:v>16.75</c:v>
                </c:pt>
                <c:pt idx="21">
                  <c:v>17.666666666666668</c:v>
                </c:pt>
                <c:pt idx="22">
                  <c:v>17.166666666666668</c:v>
                </c:pt>
                <c:pt idx="23">
                  <c:v>16.833333333333332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0.28675256248866599</c:v>
                </c:pt>
                <c:pt idx="1">
                  <c:v>0.71386929947283451</c:v>
                </c:pt>
                <c:pt idx="2">
                  <c:v>0.92414711822968609</c:v>
                </c:pt>
                <c:pt idx="3">
                  <c:v>0.51263200556971655</c:v>
                </c:pt>
                <c:pt idx="4">
                  <c:v>0.67622246079416759</c:v>
                </c:pt>
                <c:pt idx="5">
                  <c:v>2.484399854486119</c:v>
                </c:pt>
                <c:pt idx="6">
                  <c:v>0.16495232356750933</c:v>
                </c:pt>
                <c:pt idx="7">
                  <c:v>0.33643741242482106</c:v>
                </c:pt>
                <c:pt idx="8">
                  <c:v>0.32056772315949933</c:v>
                </c:pt>
                <c:pt idx="9">
                  <c:v>2.5950280528963501</c:v>
                </c:pt>
                <c:pt idx="10">
                  <c:v>2.4465728631532984</c:v>
                </c:pt>
                <c:pt idx="11">
                  <c:v>0.53841832375732801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3" t="s">
        <v>0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4" t="s">
        <v>1</v>
      </c>
      <c r="B3" s="14"/>
      <c r="C3" s="14"/>
      <c r="D3" s="14"/>
      <c r="E3" s="14"/>
      <c r="F3" s="14"/>
      <c r="G3" s="14"/>
      <c r="H3" s="1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-0.5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октябрь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июль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0.70629410880199328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5" t="s">
        <v>26</v>
      </c>
      <c r="B16" s="15"/>
      <c r="C16" s="15"/>
      <c r="D16" s="15"/>
      <c r="E16" s="15"/>
      <c r="F16" s="15"/>
      <c r="G16" s="15"/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6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октябрь, минимум – июль. Текущая фаза спроса: ниже тренда.</v>
      </c>
      <c r="B17" s="16"/>
      <c r="C17" s="16"/>
      <c r="D17" s="16"/>
      <c r="E17" s="16"/>
      <c r="F17" s="16"/>
      <c r="G17" s="16"/>
      <c r="H17" s="1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6"/>
      <c r="B18" s="16"/>
      <c r="C18" s="16"/>
      <c r="D18" s="16"/>
      <c r="E18" s="16"/>
      <c r="F18" s="16"/>
      <c r="G18" s="16"/>
      <c r="H18" s="1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6"/>
      <c r="B19" s="16"/>
      <c r="C19" s="16"/>
      <c r="D19" s="16"/>
      <c r="E19" s="16"/>
      <c r="F19" s="16"/>
      <c r="G19" s="16"/>
      <c r="H19" s="1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6"/>
      <c r="B20" s="16"/>
      <c r="C20" s="16"/>
      <c r="D20" s="16"/>
      <c r="E20" s="16"/>
      <c r="F20" s="16"/>
      <c r="G20" s="16"/>
      <c r="H20" s="1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3" t="s">
        <v>27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28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195</v>
      </c>
      <c r="C5" s="7"/>
      <c r="D5" s="7">
        <v>40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195</v>
      </c>
      <c r="C6" s="7"/>
      <c r="D6" s="7">
        <v>77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195</v>
      </c>
      <c r="C7" s="7"/>
      <c r="D7" s="7">
        <v>26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195</v>
      </c>
      <c r="C8" s="7"/>
      <c r="D8" s="7">
        <v>100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195</v>
      </c>
      <c r="C9" s="7"/>
      <c r="D9" s="7">
        <v>51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195</v>
      </c>
      <c r="C10" s="7"/>
      <c r="D10" s="7">
        <v>9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195</v>
      </c>
      <c r="C11" s="7"/>
      <c r="D11" s="7">
        <v>12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195</v>
      </c>
      <c r="C12" s="7"/>
      <c r="D12" s="7">
        <v>14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195</v>
      </c>
      <c r="C13" s="7"/>
      <c r="D13" s="7">
        <v>39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195</v>
      </c>
      <c r="C14" s="7"/>
      <c r="D14" s="7">
        <v>20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195</v>
      </c>
      <c r="C15" s="7"/>
      <c r="D15" s="7">
        <v>8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195</v>
      </c>
      <c r="C16" s="7"/>
      <c r="D16" s="7">
        <v>8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195</v>
      </c>
      <c r="C17" s="7"/>
      <c r="D17" s="7">
        <v>7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195</v>
      </c>
      <c r="C18" s="7"/>
      <c r="D18" s="7">
        <v>53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195</v>
      </c>
      <c r="C19" s="7"/>
      <c r="D19" s="7">
        <v>54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195</v>
      </c>
      <c r="C20" s="7"/>
      <c r="D20" s="7">
        <v>9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195</v>
      </c>
      <c r="C21" s="7"/>
      <c r="D21" s="7">
        <v>4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195</v>
      </c>
      <c r="C22" s="7"/>
      <c r="D22" s="7">
        <v>10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195</v>
      </c>
      <c r="C23" s="7"/>
      <c r="D23" s="7">
        <v>13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195</v>
      </c>
      <c r="C24" s="7"/>
      <c r="D24" s="7">
        <v>7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195</v>
      </c>
      <c r="C25" s="7"/>
      <c r="D25" s="7">
        <v>8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195</v>
      </c>
      <c r="C26" s="7"/>
      <c r="D26" s="7">
        <v>31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195</v>
      </c>
      <c r="C27" s="7"/>
      <c r="D27" s="7">
        <v>2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195</v>
      </c>
      <c r="C28" s="7"/>
      <c r="D28" s="7">
        <v>4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36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40</v>
      </c>
      <c r="F5" s="5">
        <f t="shared" ref="F5:F36" si="2">IF(E5="","",IF(MAX($E$5:$E$64)=0,"",E5/MAX($E$5:$E$64)*100))</f>
        <v>40</v>
      </c>
      <c r="G5" s="5">
        <f>IF(COUNT(D5,F5)=0,"",IF(COUNT(D5,F5)=2,D5*Настройки!$B$4+F5*Настройки!$B$5,IF(D5&lt;&gt;"",D5,F5)))</f>
        <v>40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124.77862588835212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77</v>
      </c>
      <c r="F6" s="5">
        <f t="shared" si="2"/>
        <v>77</v>
      </c>
      <c r="G6" s="5">
        <f>IF(COUNT(D6,F6)=0,"",IF(COUNT(D6,F6)=2,D6*Настройки!$B$4+F6*Настройки!$B$5,IF(D6&lt;&gt;"",D6,F6)))</f>
        <v>77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29.672126246981854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26</v>
      </c>
      <c r="F7" s="5">
        <f t="shared" si="2"/>
        <v>26</v>
      </c>
      <c r="G7" s="5">
        <f>IF(COUNT(D7,F7)=0,"",IF(COUNT(D7,F7)=2,D7*Настройки!$B$4+F7*Настройки!$B$5,IF(D7&lt;&gt;"",D7,F7)))</f>
        <v>26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10.627110433363326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100</v>
      </c>
      <c r="F8" s="5">
        <f t="shared" si="2"/>
        <v>100</v>
      </c>
      <c r="G8" s="5">
        <f>IF(COUNT(D8,F8)=0,"",IF(COUNT(D8,F8)=2,D8*Настройки!$B$4+F8*Настройки!$B$5,IF(D8&lt;&gt;"",D8,F8)))</f>
        <v>100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185.72919157385749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51</v>
      </c>
      <c r="F9" s="5">
        <f t="shared" si="2"/>
        <v>51</v>
      </c>
      <c r="G9" s="5">
        <f>IF(COUNT(D9,F9)=0,"",IF(COUNT(D9,F9)=2,D9*Настройки!$B$4+F9*Настройки!$B$5,IF(D9&lt;&gt;"",D9,F9)))</f>
        <v>51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177.85368527270197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9</v>
      </c>
      <c r="F10" s="5">
        <f t="shared" si="2"/>
        <v>9</v>
      </c>
      <c r="G10" s="5">
        <f>IF(COUNT(D10,F10)=0,"",IF(COUNT(D10,F10)=2,D10*Настройки!$B$4+F10*Настройки!$B$5,IF(D10&lt;&gt;"",D10,F10)))</f>
        <v>9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12.60734984211558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12</v>
      </c>
      <c r="F11" s="5">
        <f t="shared" si="2"/>
        <v>12</v>
      </c>
      <c r="G11" s="5">
        <f>IF(COUNT(D11,F11)=0,"",IF(COUNT(D11,F11)=2,D11*Настройки!$B$4+F11*Настройки!$B$5,IF(D11&lt;&gt;"",D11,F11)))</f>
        <v>12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12.98494553874434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14</v>
      </c>
      <c r="F12" s="5">
        <f t="shared" si="2"/>
        <v>14.000000000000002</v>
      </c>
      <c r="G12" s="5">
        <f>IF(COUNT(D12,F12)=0,"",IF(COUNT(D12,F12)=2,D12*Настройки!$B$4+F12*Настройки!$B$5,IF(D12&lt;&gt;"",D12,F12)))</f>
        <v>14.000000000000002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27.310038873677076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39</v>
      </c>
      <c r="F13" s="5">
        <f t="shared" si="2"/>
        <v>39</v>
      </c>
      <c r="G13" s="5">
        <f>IF(COUNT(D13,F13)=0,"",IF(COUNT(D13,F13)=2,D13*Настройки!$B$4+F13*Настройки!$B$5,IF(D13&lt;&gt;"",D13,F13)))</f>
        <v>39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57.673328321862769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20</v>
      </c>
      <c r="F14" s="5">
        <f t="shared" si="2"/>
        <v>20</v>
      </c>
      <c r="G14" s="5">
        <f>IF(COUNT(D14,F14)=0,"",IF(COUNT(D14,F14)=2,D14*Настройки!$B$4+F14*Настройки!$B$5,IF(D14&lt;&gt;"",D14,F14)))</f>
        <v>20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8.0502339282807842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8</v>
      </c>
      <c r="F15" s="5">
        <f t="shared" si="2"/>
        <v>8</v>
      </c>
      <c r="G15" s="5">
        <f>IF(COUNT(D15,F15)=0,"",IF(COUNT(D15,F15)=2,D15*Настройки!$B$4+F15*Настройки!$B$5,IF(D15&lt;&gt;"",D15,F15)))</f>
        <v>8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48.498862137736872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8</v>
      </c>
      <c r="F16" s="5">
        <f t="shared" si="2"/>
        <v>8</v>
      </c>
      <c r="G16" s="5">
        <f>IF(COUNT(D16,F16)=0,"",IF(COUNT(D16,F16)=2,D16*Настройки!$B$4+F16*Настройки!$B$5,IF(D16&lt;&gt;"",D16,F16)))</f>
        <v>8</v>
      </c>
      <c r="H16" s="5">
        <f>IF(OR(G16="",COUNT($G$5:G16)&lt;12),"",AVERAGE(G5:G16))</f>
        <v>33.666666666666664</v>
      </c>
      <c r="I16" s="5">
        <f t="shared" si="3"/>
        <v>0.23762376237623764</v>
      </c>
      <c r="J16" s="5">
        <f>IF(OR(G16="",IFERROR(VLOOKUP(B16,Сезонность!$A$4:$D$15,4,FALSE),0)=0),"",G16/IFERROR(VLOOKUP(B16,Сезонность!$A$4:$D$15,4,FALSE),1))</f>
        <v>23.778568329667106</v>
      </c>
      <c r="K16" s="5">
        <f>IF(OR(G16="",H16="",H16=0,IFERROR(VLOOKUP(B16,Сезонность!$A$4:$D$15,4,FALSE),0)=0),"",G16/(H16*IFERROR(VLOOKUP(B16,Сезонность!$A$4:$D$15,4,FALSE),1)))</f>
        <v>0.70629410880199328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7</v>
      </c>
      <c r="F17" s="5">
        <f t="shared" si="2"/>
        <v>7.0000000000000009</v>
      </c>
      <c r="G17" s="5">
        <f>IF(COUNT(D17,F17)=0,"",IF(COUNT(D17,F17)=2,D17*Настройки!$B$4+F17*Настройки!$B$5,IF(D17&lt;&gt;"",D17,F17)))</f>
        <v>7.0000000000000009</v>
      </c>
      <c r="H17" s="5">
        <f>IF(OR(G17="",COUNT($G$5:G17)&lt;12),"",AVERAGE(G6:G17))</f>
        <v>30.916666666666668</v>
      </c>
      <c r="I17" s="5">
        <f t="shared" si="3"/>
        <v>0.22641509433962267</v>
      </c>
      <c r="J17" s="5">
        <f>IF(OR(G17="",IFERROR(VLOOKUP(B17,Сезонность!$A$4:$D$15,4,FALSE),0)=0),"",G17/IFERROR(VLOOKUP(B17,Сезонность!$A$4:$D$15,4,FALSE),1))</f>
        <v>21.836259530461625</v>
      </c>
      <c r="K17" s="5">
        <f>IF(OR(G17="",H17="",H17=0,IFERROR(VLOOKUP(B17,Сезонность!$A$4:$D$15,4,FALSE),0)=0),"",G17/(H17*IFERROR(VLOOKUP(B17,Сезонность!$A$4:$D$15,4,FALSE),1)))</f>
        <v>0.70629410880199317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53</v>
      </c>
      <c r="F18" s="5">
        <f t="shared" si="2"/>
        <v>53</v>
      </c>
      <c r="G18" s="5">
        <f>IF(COUNT(D18,F18)=0,"",IF(COUNT(D18,F18)=2,D18*Настройки!$B$4+F18*Настройки!$B$5,IF(D18&lt;&gt;"",D18,F18)))</f>
        <v>53</v>
      </c>
      <c r="H18" s="5">
        <f>IF(OR(G18="",COUNT($G$5:G18)&lt;12),"",AVERAGE(G7:G18))</f>
        <v>28.916666666666668</v>
      </c>
      <c r="I18" s="5">
        <f t="shared" si="3"/>
        <v>1.8328530259365994</v>
      </c>
      <c r="J18" s="5">
        <f>IF(OR(G18="",IFERROR(VLOOKUP(B18,Сезонность!$A$4:$D$15,4,FALSE),0)=0),"",G18/IFERROR(VLOOKUP(B18,Сезонность!$A$4:$D$15,4,FALSE),1))</f>
        <v>20.423671312857639</v>
      </c>
      <c r="K18" s="5">
        <f>IF(OR(G18="",H18="",H18=0,IFERROR(VLOOKUP(B18,Сезонность!$A$4:$D$15,4,FALSE),0)=0),"",G18/(H18*IFERROR(VLOOKUP(B18,Сезонность!$A$4:$D$15,4,FALSE),1)))</f>
        <v>0.70629410880199328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54</v>
      </c>
      <c r="F19" s="5">
        <f t="shared" si="2"/>
        <v>54</v>
      </c>
      <c r="G19" s="5">
        <f>IF(COUNT(D19,F19)=0,"",IF(COUNT(D19,F19)=2,D19*Настройки!$B$4+F19*Настройки!$B$5,IF(D19&lt;&gt;"",D19,F19)))</f>
        <v>54</v>
      </c>
      <c r="H19" s="5">
        <f>IF(OR(G19="",COUNT($G$5:G19)&lt;12),"",AVERAGE(G8:G19))</f>
        <v>31.25</v>
      </c>
      <c r="I19" s="5">
        <f t="shared" si="3"/>
        <v>1.728</v>
      </c>
      <c r="J19" s="5">
        <f>IF(OR(G19="",IFERROR(VLOOKUP(B19,Сезонность!$A$4:$D$15,4,FALSE),0)=0),"",G19/IFERROR(VLOOKUP(B19,Сезонность!$A$4:$D$15,4,FALSE),1))</f>
        <v>22.07169090006229</v>
      </c>
      <c r="K19" s="5">
        <f>IF(OR(G19="",H19="",H19=0,IFERROR(VLOOKUP(B19,Сезонность!$A$4:$D$15,4,FALSE),0)=0),"",G19/(H19*IFERROR(VLOOKUP(B19,Сезонность!$A$4:$D$15,4,FALSE),1)))</f>
        <v>0.70629410880199328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9</v>
      </c>
      <c r="F20" s="5">
        <f t="shared" si="2"/>
        <v>9</v>
      </c>
      <c r="G20" s="5">
        <f>IF(COUNT(D20,F20)=0,"",IF(COUNT(D20,F20)=2,D20*Настройки!$B$4+F20*Настройки!$B$5,IF(D20&lt;&gt;"",D20,F20)))</f>
        <v>9</v>
      </c>
      <c r="H20" s="5">
        <f>IF(OR(G20="",COUNT($G$5:G20)&lt;12),"",AVERAGE(G9:G20))</f>
        <v>23.666666666666668</v>
      </c>
      <c r="I20" s="5">
        <f t="shared" si="3"/>
        <v>0.38028169014084506</v>
      </c>
      <c r="J20" s="5">
        <f>IF(OR(G20="",IFERROR(VLOOKUP(B20,Сезонность!$A$4:$D$15,4,FALSE),0)=0),"",G20/IFERROR(VLOOKUP(B20,Сезонность!$A$4:$D$15,4,FALSE),1))</f>
        <v>16.715627241647173</v>
      </c>
      <c r="K20" s="5">
        <f>IF(OR(G20="",H20="",H20=0,IFERROR(VLOOKUP(B20,Сезонность!$A$4:$D$15,4,FALSE),0)=0),"",G20/(H20*IFERROR(VLOOKUP(B20,Сезонность!$A$4:$D$15,4,FALSE),1)))</f>
        <v>0.70629410880199317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4</v>
      </c>
      <c r="F21" s="5">
        <f t="shared" si="2"/>
        <v>4</v>
      </c>
      <c r="G21" s="5">
        <f>IF(COUNT(D21,F21)=0,"",IF(COUNT(D21,F21)=2,D21*Настройки!$B$4+F21*Настройки!$B$5,IF(D21&lt;&gt;"",D21,F21)))</f>
        <v>4</v>
      </c>
      <c r="H21" s="5">
        <f>IF(OR(G21="",COUNT($G$5:G21)&lt;12),"",AVERAGE(G10:G21))</f>
        <v>19.75</v>
      </c>
      <c r="I21" s="5">
        <f t="shared" si="3"/>
        <v>0.20253164556962025</v>
      </c>
      <c r="J21" s="5">
        <f>IF(OR(G21="",IFERROR(VLOOKUP(B21,Сезонность!$A$4:$D$15,4,FALSE),0)=0),"",G21/IFERROR(VLOOKUP(B21,Сезонность!$A$4:$D$15,4,FALSE),1))</f>
        <v>13.949308648839368</v>
      </c>
      <c r="K21" s="5">
        <f>IF(OR(G21="",H21="",H21=0,IFERROR(VLOOKUP(B21,Сезонность!$A$4:$D$15,4,FALSE),0)=0),"",G21/(H21*IFERROR(VLOOKUP(B21,Сезонность!$A$4:$D$15,4,FALSE),1)))</f>
        <v>0.70629410880199339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10</v>
      </c>
      <c r="F22" s="5">
        <f t="shared" si="2"/>
        <v>10</v>
      </c>
      <c r="G22" s="5">
        <f>IF(COUNT(D22,F22)=0,"",IF(COUNT(D22,F22)=2,D22*Настройки!$B$4+F22*Настройки!$B$5,IF(D22&lt;&gt;"",D22,F22)))</f>
        <v>10</v>
      </c>
      <c r="H22" s="5">
        <f>IF(OR(G22="",COUNT($G$5:G22)&lt;12),"",AVERAGE(G11:G22))</f>
        <v>19.833333333333332</v>
      </c>
      <c r="I22" s="5">
        <f t="shared" si="3"/>
        <v>0.50420168067226889</v>
      </c>
      <c r="J22" s="5">
        <f>IF(OR(G22="",IFERROR(VLOOKUP(B22,Сезонность!$A$4:$D$15,4,FALSE),0)=0),"",G22/IFERROR(VLOOKUP(B22,Сезонность!$A$4:$D$15,4,FALSE),1))</f>
        <v>14.008166491239534</v>
      </c>
      <c r="K22" s="5">
        <f>IF(OR(G22="",H22="",H22=0,IFERROR(VLOOKUP(B22,Сезонность!$A$4:$D$15,4,FALSE),0)=0),"",G22/(H22*IFERROR(VLOOKUP(B22,Сезонность!$A$4:$D$15,4,FALSE),1)))</f>
        <v>0.70629410880199339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13</v>
      </c>
      <c r="F23" s="5">
        <f t="shared" si="2"/>
        <v>13</v>
      </c>
      <c r="G23" s="5">
        <f>IF(COUNT(D23,F23)=0,"",IF(COUNT(D23,F23)=2,D23*Настройки!$B$4+F23*Настройки!$B$5,IF(D23&lt;&gt;"",D23,F23)))</f>
        <v>13</v>
      </c>
      <c r="H23" s="5">
        <f>IF(OR(G23="",COUNT($G$5:G23)&lt;12),"",AVERAGE(G12:G23))</f>
        <v>19.916666666666668</v>
      </c>
      <c r="I23" s="5">
        <f t="shared" si="3"/>
        <v>0.65271966527196645</v>
      </c>
      <c r="J23" s="5">
        <f>IF(OR(G23="",IFERROR(VLOOKUP(B23,Сезонность!$A$4:$D$15,4,FALSE),0)=0),"",G23/IFERROR(VLOOKUP(B23,Сезонность!$A$4:$D$15,4,FALSE),1))</f>
        <v>14.067024333639701</v>
      </c>
      <c r="K23" s="5">
        <f>IF(OR(G23="",H23="",H23=0,IFERROR(VLOOKUP(B23,Сезонность!$A$4:$D$15,4,FALSE),0)=0),"",G23/(H23*IFERROR(VLOOKUP(B23,Сезонность!$A$4:$D$15,4,FALSE),1)))</f>
        <v>0.70629410880199339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7</v>
      </c>
      <c r="F24" s="5">
        <f t="shared" si="2"/>
        <v>7.0000000000000009</v>
      </c>
      <c r="G24" s="5">
        <f>IF(COUNT(D24,F24)=0,"",IF(COUNT(D24,F24)=2,D24*Настройки!$B$4+F24*Настройки!$B$5,IF(D24&lt;&gt;"",D24,F24)))</f>
        <v>7.0000000000000009</v>
      </c>
      <c r="H24" s="5">
        <f>IF(OR(G24="",COUNT($G$5:G24)&lt;12),"",AVERAGE(G13:G24))</f>
        <v>19.333333333333332</v>
      </c>
      <c r="I24" s="5">
        <f t="shared" si="3"/>
        <v>0.36206896551724144</v>
      </c>
      <c r="J24" s="5">
        <f>IF(OR(G24="",IFERROR(VLOOKUP(B24,Сезонность!$A$4:$D$15,4,FALSE),0)=0),"",G24/IFERROR(VLOOKUP(B24,Сезонность!$A$4:$D$15,4,FALSE),1))</f>
        <v>13.655019436838538</v>
      </c>
      <c r="K24" s="5">
        <f>IF(OR(G24="",H24="",H24=0,IFERROR(VLOOKUP(B24,Сезонность!$A$4:$D$15,4,FALSE),0)=0),"",G24/(H24*IFERROR(VLOOKUP(B24,Сезонность!$A$4:$D$15,4,FALSE),1)))</f>
        <v>0.70629410880199339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8</v>
      </c>
      <c r="F25" s="5">
        <f t="shared" si="2"/>
        <v>8</v>
      </c>
      <c r="G25" s="5">
        <f>IF(COUNT(D25,F25)=0,"",IF(COUNT(D25,F25)=2,D25*Настройки!$B$4+F25*Настройки!$B$5,IF(D25&lt;&gt;"",D25,F25)))</f>
        <v>8</v>
      </c>
      <c r="H25" s="5">
        <f>IF(OR(G25="",COUNT($G$5:G25)&lt;12),"",AVERAGE(G14:G25))</f>
        <v>16.75</v>
      </c>
      <c r="I25" s="5">
        <f t="shared" si="3"/>
        <v>0.47761194029850745</v>
      </c>
      <c r="J25" s="5">
        <f>IF(OR(G25="",IFERROR(VLOOKUP(B25,Сезонность!$A$4:$D$15,4,FALSE),0)=0),"",G25/IFERROR(VLOOKUP(B25,Сезонность!$A$4:$D$15,4,FALSE),1))</f>
        <v>11.830426322433388</v>
      </c>
      <c r="K25" s="5">
        <f>IF(OR(G25="",H25="",H25=0,IFERROR(VLOOKUP(B25,Сезонность!$A$4:$D$15,4,FALSE),0)=0),"",G25/(H25*IFERROR(VLOOKUP(B25,Сезонность!$A$4:$D$15,4,FALSE),1)))</f>
        <v>0.70629410880199339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31</v>
      </c>
      <c r="F26" s="5">
        <f t="shared" si="2"/>
        <v>31</v>
      </c>
      <c r="G26" s="5">
        <f>IF(COUNT(D26,F26)=0,"",IF(COUNT(D26,F26)=2,D26*Настройки!$B$4+F26*Настройки!$B$5,IF(D26&lt;&gt;"",D26,F26)))</f>
        <v>31</v>
      </c>
      <c r="H26" s="5">
        <f>IF(OR(G26="",COUNT($G$5:G26)&lt;12),"",AVERAGE(G15:G26))</f>
        <v>17.666666666666668</v>
      </c>
      <c r="I26" s="5">
        <f t="shared" si="3"/>
        <v>1.7547169811320753</v>
      </c>
      <c r="J26" s="5">
        <f>IF(OR(G26="",IFERROR(VLOOKUP(B26,Сезонность!$A$4:$D$15,4,FALSE),0)=0),"",G26/IFERROR(VLOOKUP(B26,Сезонность!$A$4:$D$15,4,FALSE),1))</f>
        <v>12.477862588835217</v>
      </c>
      <c r="K26" s="5">
        <f>IF(OR(G26="",H26="",H26=0,IFERROR(VLOOKUP(B26,Сезонность!$A$4:$D$15,4,FALSE),0)=0),"",G26/(H26*IFERROR(VLOOKUP(B26,Сезонность!$A$4:$D$15,4,FALSE),1)))</f>
        <v>0.70629410880199339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2</v>
      </c>
      <c r="F27" s="5">
        <f t="shared" si="2"/>
        <v>2</v>
      </c>
      <c r="G27" s="5">
        <f>IF(COUNT(D27,F27)=0,"",IF(COUNT(D27,F27)=2,D27*Настройки!$B$4+F27*Настройки!$B$5,IF(D27&lt;&gt;"",D27,F27)))</f>
        <v>2</v>
      </c>
      <c r="H27" s="5">
        <f>IF(OR(G27="",COUNT($G$5:G27)&lt;12),"",AVERAGE(G16:G27))</f>
        <v>17.166666666666668</v>
      </c>
      <c r="I27" s="5">
        <f t="shared" si="3"/>
        <v>0.11650485436893203</v>
      </c>
      <c r="J27" s="5">
        <f>IF(OR(G27="",IFERROR(VLOOKUP(B27,Сезонность!$A$4:$D$15,4,FALSE),0)=0),"",G27/IFERROR(VLOOKUP(B27,Сезонность!$A$4:$D$15,4,FALSE),1))</f>
        <v>12.124715534434218</v>
      </c>
      <c r="K27" s="5">
        <f>IF(OR(G27="",H27="",H27=0,IFERROR(VLOOKUP(B27,Сезонность!$A$4:$D$15,4,FALSE),0)=0),"",G27/(H27*IFERROR(VLOOKUP(B27,Сезонность!$A$4:$D$15,4,FALSE),1)))</f>
        <v>0.70629410880199328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4</v>
      </c>
      <c r="F28" s="5">
        <f t="shared" si="2"/>
        <v>4</v>
      </c>
      <c r="G28" s="5">
        <f>IF(COUNT(D28,F28)=0,"",IF(COUNT(D28,F28)=2,D28*Настройки!$B$4+F28*Настройки!$B$5,IF(D28&lt;&gt;"",D28,F28)))</f>
        <v>4</v>
      </c>
      <c r="H28" s="5">
        <f>IF(OR(G28="",COUNT($G$5:G28)&lt;12),"",AVERAGE(G17:G28))</f>
        <v>16.833333333333332</v>
      </c>
      <c r="I28" s="5">
        <f t="shared" si="3"/>
        <v>0.23762376237623764</v>
      </c>
      <c r="J28" s="5">
        <f>IF(OR(G28="",IFERROR(VLOOKUP(B28,Сезонность!$A$4:$D$15,4,FALSE),0)=0),"",G28/IFERROR(VLOOKUP(B28,Сезонность!$A$4:$D$15,4,FALSE),1))</f>
        <v>11.889284164833553</v>
      </c>
      <c r="K28" s="5">
        <f>IF(OR(G28="",H28="",H28=0,IFERROR(VLOOKUP(B28,Сезонность!$A$4:$D$15,4,FALSE),0)=0),"",G28/(H28*IFERROR(VLOOKUP(B28,Сезонность!$A$4:$D$15,4,FALSE),1)))</f>
        <v>0.70629410880199328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3" t="s">
        <v>49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0.20253164556962025</v>
      </c>
      <c r="D4" s="5">
        <f t="shared" ref="D4:D15" si="0">IF(C4="","",C4/AVERAGE($C$4:$C$15))</f>
        <v>0.28675256248866599</v>
      </c>
      <c r="E4" s="5">
        <f t="shared" ref="E4:E15" si="1">IF(D4="","",D4-1)</f>
        <v>-0.71324743751133401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0.50420168067226889</v>
      </c>
      <c r="D5" s="5">
        <f t="shared" si="0"/>
        <v>0.71386929947283451</v>
      </c>
      <c r="E5" s="5">
        <f t="shared" si="1"/>
        <v>-0.28613070052716549</v>
      </c>
      <c r="F5" s="3" t="str">
        <f t="shared" si="2"/>
        <v>сезонный минимум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0.65271966527196645</v>
      </c>
      <c r="D6" s="5">
        <f t="shared" si="0"/>
        <v>0.92414711822968609</v>
      </c>
      <c r="E6" s="5">
        <f t="shared" si="1"/>
        <v>-7.5852881770313907E-2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0.36206896551724144</v>
      </c>
      <c r="D7" s="5">
        <f t="shared" si="0"/>
        <v>0.51263200556971655</v>
      </c>
      <c r="E7" s="5">
        <f t="shared" si="1"/>
        <v>-0.48736799443028345</v>
      </c>
      <c r="F7" s="3" t="str">
        <f t="shared" si="2"/>
        <v>сезонный минимум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0.47761194029850745</v>
      </c>
      <c r="D8" s="5">
        <f t="shared" si="0"/>
        <v>0.67622246079416759</v>
      </c>
      <c r="E8" s="5">
        <f t="shared" si="1"/>
        <v>-0.32377753920583241</v>
      </c>
      <c r="F8" s="3" t="str">
        <f t="shared" si="2"/>
        <v>сезонный минимум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1.7547169811320753</v>
      </c>
      <c r="D9" s="5">
        <f t="shared" si="0"/>
        <v>2.484399854486119</v>
      </c>
      <c r="E9" s="5">
        <f t="shared" si="1"/>
        <v>1.484399854486119</v>
      </c>
      <c r="F9" s="3" t="str">
        <f t="shared" si="2"/>
        <v>сезонный максимум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0.11650485436893203</v>
      </c>
      <c r="D10" s="5">
        <f t="shared" si="0"/>
        <v>0.16495232356750933</v>
      </c>
      <c r="E10" s="5">
        <f t="shared" si="1"/>
        <v>-0.83504767643249067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0.23762376237623764</v>
      </c>
      <c r="D11" s="5">
        <f t="shared" si="0"/>
        <v>0.33643741242482106</v>
      </c>
      <c r="E11" s="5">
        <f t="shared" si="1"/>
        <v>-0.66356258757517894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0.22641509433962267</v>
      </c>
      <c r="D12" s="5">
        <f t="shared" si="0"/>
        <v>0.32056772315949933</v>
      </c>
      <c r="E12" s="5">
        <f t="shared" si="1"/>
        <v>-0.67943227684050067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1.8328530259365994</v>
      </c>
      <c r="D13" s="5">
        <f t="shared" si="0"/>
        <v>2.5950280528963501</v>
      </c>
      <c r="E13" s="5">
        <f t="shared" si="1"/>
        <v>1.5950280528963501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1.728</v>
      </c>
      <c r="D14" s="5">
        <f t="shared" si="0"/>
        <v>2.4465728631532984</v>
      </c>
      <c r="E14" s="5">
        <f t="shared" si="1"/>
        <v>1.4465728631532984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0.38028169014084506</v>
      </c>
      <c r="D15" s="5">
        <f t="shared" si="0"/>
        <v>0.53841832375732801</v>
      </c>
      <c r="E15" s="5">
        <f t="shared" si="1"/>
        <v>-0.46158167624267199</v>
      </c>
      <c r="F15" s="3" t="str">
        <f t="shared" si="2"/>
        <v>сезонный минимум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2.5950280528963501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0.16495232356750933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2.4300757293288409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октябрь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июль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3" t="s">
        <v>70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33.666666666666664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16.833333333333332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-16.833333333333332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-0.5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-1.9556521739130435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3" t="s">
        <v>95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96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0.70629410880199328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0.70629410880199317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0.70629410880199339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40</v>
      </c>
      <c r="C14" s="5" t="str">
        <f>Расчет!H5</f>
        <v/>
      </c>
      <c r="D14" s="5">
        <f>IFERROR(VLOOKUP(Расчет!B5,Сезонность!$A$4:$D$15,4,FALSE),"")</f>
        <v>0.32056772315949933</v>
      </c>
      <c r="E14" s="5">
        <f>Расчет!J5</f>
        <v>124.77862588835212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77</v>
      </c>
      <c r="C15" s="5" t="str">
        <f>Расчет!H6</f>
        <v/>
      </c>
      <c r="D15" s="5">
        <f>IFERROR(VLOOKUP(Расчет!B6,Сезонность!$A$4:$D$15,4,FALSE),"")</f>
        <v>2.5950280528963501</v>
      </c>
      <c r="E15" s="5">
        <f>Расчет!J6</f>
        <v>29.672126246981854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26</v>
      </c>
      <c r="C16" s="5" t="str">
        <f>Расчет!H7</f>
        <v/>
      </c>
      <c r="D16" s="5">
        <f>IFERROR(VLOOKUP(Расчет!B7,Сезонность!$A$4:$D$15,4,FALSE),"")</f>
        <v>2.4465728631532984</v>
      </c>
      <c r="E16" s="5">
        <f>Расчет!J7</f>
        <v>10.627110433363326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100</v>
      </c>
      <c r="C17" s="5" t="str">
        <f>Расчет!H8</f>
        <v/>
      </c>
      <c r="D17" s="5">
        <f>IFERROR(VLOOKUP(Расчет!B8,Сезонность!$A$4:$D$15,4,FALSE),"")</f>
        <v>0.53841832375732801</v>
      </c>
      <c r="E17" s="5">
        <f>Расчет!J8</f>
        <v>185.72919157385749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51</v>
      </c>
      <c r="C18" s="5" t="str">
        <f>Расчет!H9</f>
        <v/>
      </c>
      <c r="D18" s="5">
        <f>IFERROR(VLOOKUP(Расчет!B9,Сезонность!$A$4:$D$15,4,FALSE),"")</f>
        <v>0.28675256248866599</v>
      </c>
      <c r="E18" s="5">
        <f>Расчет!J9</f>
        <v>177.85368527270197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9</v>
      </c>
      <c r="C19" s="5" t="str">
        <f>Расчет!H10</f>
        <v/>
      </c>
      <c r="D19" s="5">
        <f>IFERROR(VLOOKUP(Расчет!B10,Сезонность!$A$4:$D$15,4,FALSE),"")</f>
        <v>0.71386929947283451</v>
      </c>
      <c r="E19" s="5">
        <f>Расчет!J10</f>
        <v>12.60734984211558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12</v>
      </c>
      <c r="C20" s="5" t="str">
        <f>Расчет!H11</f>
        <v/>
      </c>
      <c r="D20" s="5">
        <f>IFERROR(VLOOKUP(Расчет!B11,Сезонность!$A$4:$D$15,4,FALSE),"")</f>
        <v>0.92414711822968609</v>
      </c>
      <c r="E20" s="5">
        <f>Расчет!J11</f>
        <v>12.98494553874434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14.000000000000002</v>
      </c>
      <c r="C21" s="5" t="str">
        <f>Расчет!H12</f>
        <v/>
      </c>
      <c r="D21" s="5">
        <f>IFERROR(VLOOKUP(Расчет!B12,Сезонность!$A$4:$D$15,4,FALSE),"")</f>
        <v>0.51263200556971655</v>
      </c>
      <c r="E21" s="5">
        <f>Расчет!J12</f>
        <v>27.310038873677076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39</v>
      </c>
      <c r="C22" s="5" t="str">
        <f>Расчет!H13</f>
        <v/>
      </c>
      <c r="D22" s="5">
        <f>IFERROR(VLOOKUP(Расчет!B13,Сезонность!$A$4:$D$15,4,FALSE),"")</f>
        <v>0.67622246079416759</v>
      </c>
      <c r="E22" s="5">
        <f>Расчет!J13</f>
        <v>57.673328321862769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20</v>
      </c>
      <c r="C23" s="5" t="str">
        <f>Расчет!H14</f>
        <v/>
      </c>
      <c r="D23" s="5">
        <f>IFERROR(VLOOKUP(Расчет!B14,Сезонность!$A$4:$D$15,4,FALSE),"")</f>
        <v>2.484399854486119</v>
      </c>
      <c r="E23" s="5">
        <f>Расчет!J14</f>
        <v>8.0502339282807842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8</v>
      </c>
      <c r="C24" s="5" t="str">
        <f>Расчет!H15</f>
        <v/>
      </c>
      <c r="D24" s="5">
        <f>IFERROR(VLOOKUP(Расчет!B15,Сезонность!$A$4:$D$15,4,FALSE),"")</f>
        <v>0.16495232356750933</v>
      </c>
      <c r="E24" s="5">
        <f>Расчет!J15</f>
        <v>48.498862137736872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8</v>
      </c>
      <c r="C25" s="5">
        <f>Расчет!H16</f>
        <v>33.666666666666664</v>
      </c>
      <c r="D25" s="5">
        <f>IFERROR(VLOOKUP(Расчет!B16,Сезонность!$A$4:$D$15,4,FALSE),"")</f>
        <v>0.33643741242482106</v>
      </c>
      <c r="E25" s="5">
        <f>Расчет!J16</f>
        <v>23.778568329667106</v>
      </c>
      <c r="F25" s="5">
        <f>Расчет!K16</f>
        <v>0.70629410880199328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7.0000000000000009</v>
      </c>
      <c r="C26" s="5">
        <f>Расчет!H17</f>
        <v>30.916666666666668</v>
      </c>
      <c r="D26" s="5">
        <f>IFERROR(VLOOKUP(Расчет!B17,Сезонность!$A$4:$D$15,4,FALSE),"")</f>
        <v>0.32056772315949933</v>
      </c>
      <c r="E26" s="5">
        <f>Расчет!J17</f>
        <v>21.836259530461625</v>
      </c>
      <c r="F26" s="5">
        <f>Расчет!K17</f>
        <v>0.70629410880199317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53</v>
      </c>
      <c r="C27" s="5">
        <f>Расчет!H18</f>
        <v>28.916666666666668</v>
      </c>
      <c r="D27" s="5">
        <f>IFERROR(VLOOKUP(Расчет!B18,Сезонность!$A$4:$D$15,4,FALSE),"")</f>
        <v>2.5950280528963501</v>
      </c>
      <c r="E27" s="5">
        <f>Расчет!J18</f>
        <v>20.423671312857639</v>
      </c>
      <c r="F27" s="5">
        <f>Расчет!K18</f>
        <v>0.70629410880199328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54</v>
      </c>
      <c r="C28" s="5">
        <f>Расчет!H19</f>
        <v>31.25</v>
      </c>
      <c r="D28" s="5">
        <f>IFERROR(VLOOKUP(Расчет!B19,Сезонность!$A$4:$D$15,4,FALSE),"")</f>
        <v>2.4465728631532984</v>
      </c>
      <c r="E28" s="5">
        <f>Расчет!J19</f>
        <v>22.07169090006229</v>
      </c>
      <c r="F28" s="5">
        <f>Расчет!K19</f>
        <v>0.70629410880199328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9</v>
      </c>
      <c r="C29" s="5">
        <f>Расчет!H20</f>
        <v>23.666666666666668</v>
      </c>
      <c r="D29" s="5">
        <f>IFERROR(VLOOKUP(Расчет!B20,Сезонность!$A$4:$D$15,4,FALSE),"")</f>
        <v>0.53841832375732801</v>
      </c>
      <c r="E29" s="5">
        <f>Расчет!J20</f>
        <v>16.715627241647173</v>
      </c>
      <c r="F29" s="5">
        <f>Расчет!K20</f>
        <v>0.70629410880199317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4</v>
      </c>
      <c r="C30" s="5">
        <f>Расчет!H21</f>
        <v>19.75</v>
      </c>
      <c r="D30" s="5">
        <f>IFERROR(VLOOKUP(Расчет!B21,Сезонность!$A$4:$D$15,4,FALSE),"")</f>
        <v>0.28675256248866599</v>
      </c>
      <c r="E30" s="5">
        <f>Расчет!J21</f>
        <v>13.949308648839368</v>
      </c>
      <c r="F30" s="5">
        <f>Расчет!K21</f>
        <v>0.70629410880199339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10</v>
      </c>
      <c r="C31" s="5">
        <f>Расчет!H22</f>
        <v>19.833333333333332</v>
      </c>
      <c r="D31" s="5">
        <f>IFERROR(VLOOKUP(Расчет!B22,Сезонность!$A$4:$D$15,4,FALSE),"")</f>
        <v>0.71386929947283451</v>
      </c>
      <c r="E31" s="5">
        <f>Расчет!J22</f>
        <v>14.008166491239534</v>
      </c>
      <c r="F31" s="5">
        <f>Расчет!K22</f>
        <v>0.70629410880199339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13</v>
      </c>
      <c r="C32" s="5">
        <f>Расчет!H23</f>
        <v>19.916666666666668</v>
      </c>
      <c r="D32" s="5">
        <f>IFERROR(VLOOKUP(Расчет!B23,Сезонность!$A$4:$D$15,4,FALSE),"")</f>
        <v>0.92414711822968609</v>
      </c>
      <c r="E32" s="5">
        <f>Расчет!J23</f>
        <v>14.067024333639701</v>
      </c>
      <c r="F32" s="5">
        <f>Расчет!K23</f>
        <v>0.70629410880199339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7.0000000000000009</v>
      </c>
      <c r="C33" s="5">
        <f>Расчет!H24</f>
        <v>19.333333333333332</v>
      </c>
      <c r="D33" s="5">
        <f>IFERROR(VLOOKUP(Расчет!B24,Сезонность!$A$4:$D$15,4,FALSE),"")</f>
        <v>0.51263200556971655</v>
      </c>
      <c r="E33" s="5">
        <f>Расчет!J24</f>
        <v>13.655019436838538</v>
      </c>
      <c r="F33" s="5">
        <f>Расчет!K24</f>
        <v>0.70629410880199339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8</v>
      </c>
      <c r="C34" s="5">
        <f>Расчет!H25</f>
        <v>16.75</v>
      </c>
      <c r="D34" s="5">
        <f>IFERROR(VLOOKUP(Расчет!B25,Сезонность!$A$4:$D$15,4,FALSE),"")</f>
        <v>0.67622246079416759</v>
      </c>
      <c r="E34" s="5">
        <f>Расчет!J25</f>
        <v>11.830426322433388</v>
      </c>
      <c r="F34" s="5">
        <f>Расчет!K25</f>
        <v>0.70629410880199339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31</v>
      </c>
      <c r="C35" s="5">
        <f>Расчет!H26</f>
        <v>17.666666666666668</v>
      </c>
      <c r="D35" s="5">
        <f>IFERROR(VLOOKUP(Расчет!B26,Сезонность!$A$4:$D$15,4,FALSE),"")</f>
        <v>2.484399854486119</v>
      </c>
      <c r="E35" s="5">
        <f>Расчет!J26</f>
        <v>12.477862588835217</v>
      </c>
      <c r="F35" s="5">
        <f>Расчет!K26</f>
        <v>0.70629410880199339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2</v>
      </c>
      <c r="C36" s="5">
        <f>Расчет!H27</f>
        <v>17.166666666666668</v>
      </c>
      <c r="D36" s="5">
        <f>IFERROR(VLOOKUP(Расчет!B27,Сезонность!$A$4:$D$15,4,FALSE),"")</f>
        <v>0.16495232356750933</v>
      </c>
      <c r="E36" s="5">
        <f>Расчет!J27</f>
        <v>12.124715534434218</v>
      </c>
      <c r="F36" s="5">
        <f>Расчет!K27</f>
        <v>0.70629410880199328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4</v>
      </c>
      <c r="C37" s="5">
        <f>Расчет!H28</f>
        <v>16.833333333333332</v>
      </c>
      <c r="D37" s="5">
        <f>IFERROR(VLOOKUP(Расчет!B28,Сезонность!$A$4:$D$15,4,FALSE),"")</f>
        <v>0.33643741242482106</v>
      </c>
      <c r="E37" s="5">
        <f>Расчет!J28</f>
        <v>11.889284164833553</v>
      </c>
      <c r="F37" s="5">
        <f>Расчет!K28</f>
        <v>0.70629410880199328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3" t="s">
        <v>104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1" t="s">
        <v>211</v>
      </c>
      <c r="B4" s="2" t="s">
        <v>113</v>
      </c>
      <c r="C4" s="2" t="s">
        <v>195</v>
      </c>
      <c r="D4" s="2" t="s">
        <v>184</v>
      </c>
      <c r="E4" s="2" t="s">
        <v>212</v>
      </c>
      <c r="F4" s="2" t="s">
        <v>183</v>
      </c>
      <c r="G4" s="2" t="s">
        <v>196</v>
      </c>
      <c r="H4" s="2" t="s">
        <v>213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1" t="s">
        <v>211</v>
      </c>
      <c r="B5" s="2" t="s">
        <v>113</v>
      </c>
      <c r="C5" s="2" t="s">
        <v>195</v>
      </c>
      <c r="D5" s="2" t="s">
        <v>184</v>
      </c>
      <c r="E5" s="2" t="s">
        <v>210</v>
      </c>
      <c r="F5" s="2" t="s">
        <v>183</v>
      </c>
      <c r="G5" s="2" t="s">
        <v>209</v>
      </c>
      <c r="H5" s="2" t="s">
        <v>214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2" t="s">
        <v>211</v>
      </c>
      <c r="B6" s="3" t="s">
        <v>113</v>
      </c>
      <c r="C6" s="3" t="s">
        <v>185</v>
      </c>
      <c r="D6" s="3" t="s">
        <v>184</v>
      </c>
      <c r="E6" s="3" t="s">
        <v>212</v>
      </c>
      <c r="F6" s="3" t="s">
        <v>183</v>
      </c>
      <c r="G6" s="3" t="s">
        <v>186</v>
      </c>
      <c r="H6" s="3" t="s">
        <v>215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2" t="s">
        <v>211</v>
      </c>
      <c r="B7" s="3" t="s">
        <v>113</v>
      </c>
      <c r="C7" s="3" t="s">
        <v>187</v>
      </c>
      <c r="D7" s="3" t="s">
        <v>184</v>
      </c>
      <c r="E7" s="3" t="s">
        <v>212</v>
      </c>
      <c r="F7" s="3" t="s">
        <v>183</v>
      </c>
      <c r="G7" s="3" t="s">
        <v>188</v>
      </c>
      <c r="H7" s="3" t="s">
        <v>216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2" t="s">
        <v>211</v>
      </c>
      <c r="B8" s="3" t="s">
        <v>113</v>
      </c>
      <c r="C8" s="3" t="s">
        <v>189</v>
      </c>
      <c r="D8" s="3" t="s">
        <v>184</v>
      </c>
      <c r="E8" s="3" t="s">
        <v>212</v>
      </c>
      <c r="F8" s="3" t="s">
        <v>183</v>
      </c>
      <c r="G8" s="3" t="s">
        <v>190</v>
      </c>
      <c r="H8" s="3" t="s">
        <v>217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2" t="s">
        <v>211</v>
      </c>
      <c r="B9" s="3" t="s">
        <v>113</v>
      </c>
      <c r="C9" s="3" t="s">
        <v>191</v>
      </c>
      <c r="D9" s="3" t="s">
        <v>184</v>
      </c>
      <c r="E9" s="3" t="s">
        <v>212</v>
      </c>
      <c r="F9" s="3" t="s">
        <v>183</v>
      </c>
      <c r="G9" s="3" t="s">
        <v>192</v>
      </c>
      <c r="H9" s="3" t="s">
        <v>218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2" t="s">
        <v>211</v>
      </c>
      <c r="B10" s="3" t="s">
        <v>113</v>
      </c>
      <c r="C10" s="3" t="s">
        <v>193</v>
      </c>
      <c r="D10" s="3" t="s">
        <v>184</v>
      </c>
      <c r="E10" s="3" t="s">
        <v>212</v>
      </c>
      <c r="F10" s="3" t="s">
        <v>183</v>
      </c>
      <c r="G10" s="3" t="s">
        <v>194</v>
      </c>
      <c r="H10" s="3" t="s">
        <v>219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2" t="s">
        <v>211</v>
      </c>
      <c r="B11" s="3" t="s">
        <v>113</v>
      </c>
      <c r="C11" s="3" t="s">
        <v>195</v>
      </c>
      <c r="D11" s="3" t="s">
        <v>184</v>
      </c>
      <c r="E11" s="3" t="s">
        <v>212</v>
      </c>
      <c r="F11" s="3" t="s">
        <v>183</v>
      </c>
      <c r="G11" s="3" t="s">
        <v>196</v>
      </c>
      <c r="H11" s="3" t="s">
        <v>213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2" t="s">
        <v>211</v>
      </c>
      <c r="B12" s="3" t="s">
        <v>113</v>
      </c>
      <c r="C12" s="3" t="s">
        <v>197</v>
      </c>
      <c r="D12" s="3" t="s">
        <v>184</v>
      </c>
      <c r="E12" s="3" t="s">
        <v>212</v>
      </c>
      <c r="F12" s="3" t="s">
        <v>183</v>
      </c>
      <c r="G12" s="3" t="s">
        <v>198</v>
      </c>
      <c r="H12" s="3" t="s">
        <v>220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2" t="s">
        <v>211</v>
      </c>
      <c r="B13" s="3" t="s">
        <v>113</v>
      </c>
      <c r="C13" s="3" t="s">
        <v>199</v>
      </c>
      <c r="D13" s="3" t="s">
        <v>184</v>
      </c>
      <c r="E13" s="3" t="s">
        <v>212</v>
      </c>
      <c r="F13" s="3" t="s">
        <v>183</v>
      </c>
      <c r="G13" s="3" t="s">
        <v>200</v>
      </c>
      <c r="H13" s="3" t="s">
        <v>221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">
      <c r="A14" s="12" t="s">
        <v>211</v>
      </c>
      <c r="B14" s="3" t="s">
        <v>113</v>
      </c>
      <c r="C14" s="3" t="s">
        <v>201</v>
      </c>
      <c r="D14" s="3" t="s">
        <v>184</v>
      </c>
      <c r="E14" s="3" t="s">
        <v>212</v>
      </c>
      <c r="F14" s="3" t="s">
        <v>183</v>
      </c>
      <c r="G14" s="3" t="s">
        <v>202</v>
      </c>
      <c r="H14" s="3" t="s">
        <v>222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2" t="s">
        <v>211</v>
      </c>
      <c r="B15" s="3" t="s">
        <v>113</v>
      </c>
      <c r="C15" s="3" t="s">
        <v>203</v>
      </c>
      <c r="D15" s="3" t="s">
        <v>204</v>
      </c>
      <c r="E15" s="3" t="s">
        <v>205</v>
      </c>
      <c r="F15" s="3" t="s">
        <v>183</v>
      </c>
      <c r="G15" s="3" t="s">
        <v>206</v>
      </c>
      <c r="H15" s="3" t="s">
        <v>223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>
      <c r="A16" s="12" t="s">
        <v>211</v>
      </c>
      <c r="B16" s="3" t="s">
        <v>113</v>
      </c>
      <c r="C16" s="3" t="s">
        <v>207</v>
      </c>
      <c r="D16" s="3" t="s">
        <v>184</v>
      </c>
      <c r="E16" s="3" t="s">
        <v>208</v>
      </c>
      <c r="F16" s="3" t="s">
        <v>183</v>
      </c>
      <c r="G16" s="3" t="s">
        <v>209</v>
      </c>
      <c r="H16" s="3" t="s">
        <v>224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3">
      <c r="A18" s="10" t="s">
        <v>111</v>
      </c>
      <c r="B18" s="3" t="s">
        <v>225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3" t="s">
        <v>114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3" t="s">
        <v>153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2026-10-04T16:53:12Z</dcterms:created>
  <dcterms:modified xsi:type="dcterms:W3CDTF">2026-10-04T16:58:23Z</dcterms:modified>
</cp:coreProperties>
</file>