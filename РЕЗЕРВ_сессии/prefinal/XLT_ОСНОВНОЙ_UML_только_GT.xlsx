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11D966C6-7B49-4FA5-A569-18892A5BC4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56" i="3" l="1"/>
  <c r="G55" i="3"/>
  <c r="G54" i="3"/>
  <c r="G53" i="3"/>
  <c r="G52" i="3"/>
  <c r="G51" i="3"/>
  <c r="G50" i="3"/>
  <c r="G49" i="3"/>
  <c r="G48" i="3"/>
  <c r="N48" i="3" s="1"/>
  <c r="G47" i="3"/>
  <c r="G46" i="3"/>
  <c r="G45" i="3"/>
  <c r="G44" i="3"/>
  <c r="E64" i="3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G59" i="3" s="1"/>
  <c r="A59" i="3"/>
  <c r="E58" i="3"/>
  <c r="F58" i="3" s="1"/>
  <c r="D58" i="3"/>
  <c r="G58" i="3" s="1"/>
  <c r="A58" i="3"/>
  <c r="E57" i="3"/>
  <c r="F57" i="3" s="1"/>
  <c r="D57" i="3"/>
  <c r="G57" i="3" s="1"/>
  <c r="A57" i="3"/>
  <c r="E56" i="3"/>
  <c r="F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G33" i="3" s="1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N64" i="3" l="1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J62" i="3" s="1"/>
  <c r="A70" i="6"/>
  <c r="B61" i="3"/>
  <c r="C61" i="3"/>
  <c r="B69" i="6"/>
  <c r="B60" i="3"/>
  <c r="J60" i="3" s="1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J56" i="3" s="1"/>
  <c r="A64" i="6"/>
  <c r="B55" i="3"/>
  <c r="C55" i="3"/>
  <c r="A63" i="6"/>
  <c r="B54" i="3"/>
  <c r="C54" i="3"/>
  <c r="B62" i="6"/>
  <c r="A62" i="6"/>
  <c r="C53" i="3"/>
  <c r="B53" i="3"/>
  <c r="J53" i="3" s="1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N26" i="3" l="1"/>
  <c r="H26" i="3"/>
  <c r="H25" i="3"/>
  <c r="N25" i="3"/>
  <c r="H28" i="3"/>
  <c r="N28" i="3"/>
  <c r="N27" i="3"/>
  <c r="H27" i="3"/>
  <c r="N23" i="3"/>
  <c r="H23" i="3"/>
  <c r="H24" i="3"/>
  <c r="N24" i="3"/>
  <c r="N21" i="3"/>
  <c r="H21" i="3"/>
  <c r="N22" i="3"/>
  <c r="H22" i="3"/>
  <c r="H16" i="3"/>
  <c r="N16" i="3"/>
  <c r="N20" i="3"/>
  <c r="H20" i="3"/>
  <c r="H17" i="3"/>
  <c r="N17" i="3"/>
  <c r="H19" i="3"/>
  <c r="N19" i="3"/>
  <c r="H18" i="3"/>
  <c r="N18" i="3"/>
  <c r="H15" i="3"/>
  <c r="N15" i="3"/>
  <c r="N14" i="3"/>
  <c r="H14" i="3"/>
  <c r="N13" i="3"/>
  <c r="H13" i="3"/>
  <c r="H12" i="3"/>
  <c r="N12" i="3"/>
  <c r="N11" i="3"/>
  <c r="H11" i="3"/>
  <c r="N10" i="3"/>
  <c r="H10" i="3"/>
  <c r="N9" i="3"/>
  <c r="H9" i="3"/>
  <c r="N8" i="3"/>
  <c r="H8" i="3"/>
  <c r="N7" i="3"/>
  <c r="H7" i="3"/>
  <c r="N6" i="3"/>
  <c r="H6" i="3"/>
  <c r="H29" i="3"/>
  <c r="N29" i="3"/>
  <c r="H5" i="3"/>
  <c r="N5" i="3"/>
  <c r="H30" i="3"/>
  <c r="K30" i="3" s="1"/>
  <c r="H33" i="3"/>
  <c r="K33" i="3" s="1"/>
  <c r="H34" i="3"/>
  <c r="K34" i="3" s="1"/>
  <c r="H35" i="3"/>
  <c r="K35" i="3" s="1"/>
  <c r="H36" i="3"/>
  <c r="K36" i="3" s="1"/>
  <c r="H37" i="3"/>
  <c r="H38" i="3"/>
  <c r="H39" i="3"/>
  <c r="H40" i="3"/>
  <c r="H41" i="3"/>
  <c r="H42" i="3"/>
  <c r="H43" i="3"/>
  <c r="H44" i="3"/>
  <c r="K44" i="3" s="1"/>
  <c r="H45" i="3"/>
  <c r="K45" i="3" s="1"/>
  <c r="H46" i="3"/>
  <c r="K46" i="3" s="1"/>
  <c r="H47" i="3"/>
  <c r="K47" i="3" s="1"/>
  <c r="H49" i="3"/>
  <c r="K49" i="3" s="1"/>
  <c r="H31" i="3"/>
  <c r="K31" i="3" s="1"/>
  <c r="H32" i="3"/>
  <c r="K32" i="3" s="1"/>
  <c r="H50" i="3"/>
  <c r="K50" i="3" s="1"/>
  <c r="H51" i="3"/>
  <c r="K51" i="3" s="1"/>
  <c r="H52" i="3"/>
  <c r="K52" i="3" s="1"/>
  <c r="H53" i="3"/>
  <c r="K53" i="3" s="1"/>
  <c r="H54" i="3"/>
  <c r="K54" i="3" s="1"/>
  <c r="H55" i="3"/>
  <c r="K55" i="3" s="1"/>
  <c r="H56" i="3"/>
  <c r="K56" i="3" s="1"/>
  <c r="H57" i="3"/>
  <c r="K57" i="3" s="1"/>
  <c r="H58" i="3"/>
  <c r="K58" i="3" s="1"/>
  <c r="H59" i="3"/>
  <c r="K59" i="3" s="1"/>
  <c r="H60" i="3"/>
  <c r="K60" i="3" s="1"/>
  <c r="H61" i="3"/>
  <c r="K61" i="3" s="1"/>
  <c r="H62" i="3"/>
  <c r="K62" i="3" s="1"/>
  <c r="H63" i="3"/>
  <c r="K63" i="3" s="1"/>
  <c r="H64" i="3"/>
  <c r="K64" i="3" s="1"/>
  <c r="H48" i="3"/>
  <c r="K48" i="3" s="1"/>
  <c r="B4" i="5"/>
  <c r="J47" i="3"/>
  <c r="E56" i="6" s="1"/>
  <c r="B35" i="6"/>
  <c r="J48" i="3"/>
  <c r="E57" i="6" s="1"/>
  <c r="J49" i="3"/>
  <c r="E58" i="6" s="1"/>
  <c r="J61" i="3"/>
  <c r="E70" i="6" s="1"/>
  <c r="J46" i="3"/>
  <c r="E55" i="6" s="1"/>
  <c r="J59" i="3"/>
  <c r="E68" i="6" s="1"/>
  <c r="J55" i="3"/>
  <c r="E64" i="6" s="1"/>
  <c r="B26" i="6"/>
  <c r="B28" i="6"/>
  <c r="B27" i="6"/>
  <c r="J57" i="3"/>
  <c r="E66" i="6" s="1"/>
  <c r="J63" i="3"/>
  <c r="E72" i="6" s="1"/>
  <c r="J54" i="3"/>
  <c r="E63" i="6" s="1"/>
  <c r="J52" i="3"/>
  <c r="E61" i="6" s="1"/>
  <c r="J43" i="3"/>
  <c r="E52" i="6" s="1"/>
  <c r="J50" i="3"/>
  <c r="E59" i="6" s="1"/>
  <c r="B20" i="6"/>
  <c r="J58" i="3"/>
  <c r="E67" i="6" s="1"/>
  <c r="B19" i="6"/>
  <c r="J41" i="3"/>
  <c r="E50" i="6" s="1"/>
  <c r="B18" i="6"/>
  <c r="B17" i="6"/>
  <c r="J45" i="3"/>
  <c r="E54" i="6" s="1"/>
  <c r="J64" i="3"/>
  <c r="E73" i="6" s="1"/>
  <c r="J51" i="3"/>
  <c r="E60" i="6" s="1"/>
  <c r="J44" i="3"/>
  <c r="E53" i="6" s="1"/>
  <c r="J29" i="3"/>
  <c r="K39" i="3"/>
  <c r="J39" i="3"/>
  <c r="K37" i="3"/>
  <c r="J37" i="3"/>
  <c r="J30" i="3"/>
  <c r="K38" i="3"/>
  <c r="J38" i="3"/>
  <c r="J36" i="3"/>
  <c r="J35" i="3"/>
  <c r="J34" i="3"/>
  <c r="J31" i="3"/>
  <c r="J40" i="3"/>
  <c r="K40" i="3"/>
  <c r="J33" i="3"/>
  <c r="J32" i="3"/>
  <c r="J42" i="3"/>
  <c r="E51" i="6" s="1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D50" i="6"/>
  <c r="B38" i="6"/>
  <c r="B48" i="6"/>
  <c r="B46" i="6"/>
  <c r="I37" i="3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K42" i="3"/>
  <c r="B22" i="6"/>
  <c r="B23" i="6"/>
  <c r="B21" i="6"/>
  <c r="D73" i="6"/>
  <c r="D72" i="6"/>
  <c r="D71" i="6"/>
  <c r="E71" i="6"/>
  <c r="D70" i="6"/>
  <c r="D69" i="6"/>
  <c r="E69" i="6"/>
  <c r="D67" i="6"/>
  <c r="D66" i="6"/>
  <c r="D65" i="6"/>
  <c r="E65" i="6"/>
  <c r="D64" i="6"/>
  <c r="D63" i="6"/>
  <c r="D62" i="6"/>
  <c r="E62" i="6"/>
  <c r="D61" i="6"/>
  <c r="D60" i="6"/>
  <c r="D59" i="6"/>
  <c r="D58" i="6"/>
  <c r="D57" i="6"/>
  <c r="D56" i="6"/>
  <c r="D55" i="6"/>
  <c r="D54" i="6"/>
  <c r="D53" i="6"/>
  <c r="D52" i="6"/>
  <c r="K43" i="3"/>
  <c r="K41" i="3"/>
  <c r="B6" i="5" l="1"/>
  <c r="B5" i="5"/>
  <c r="I29" i="3"/>
  <c r="K29" i="3"/>
  <c r="I7" i="3"/>
  <c r="C14" i="4" s="1"/>
  <c r="C14" i="6"/>
  <c r="I5" i="3"/>
  <c r="C12" i="4" s="1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C71" i="6"/>
  <c r="I61" i="3"/>
  <c r="C70" i="6"/>
  <c r="I60" i="3"/>
  <c r="C69" i="6"/>
  <c r="I59" i="3"/>
  <c r="C68" i="6"/>
  <c r="I52" i="3"/>
  <c r="C61" i="6"/>
  <c r="I18" i="3"/>
  <c r="C27" i="6"/>
  <c r="I49" i="3"/>
  <c r="C58" i="6"/>
  <c r="I46" i="3"/>
  <c r="C55" i="6"/>
  <c r="I50" i="3"/>
  <c r="C59" i="6"/>
  <c r="I53" i="3"/>
  <c r="C62" i="6"/>
  <c r="I45" i="3"/>
  <c r="C54" i="6"/>
  <c r="I48" i="3"/>
  <c r="C57" i="6"/>
  <c r="I44" i="3"/>
  <c r="C53" i="6"/>
  <c r="I43" i="3"/>
  <c r="C52" i="6"/>
  <c r="I54" i="3"/>
  <c r="C63" i="6"/>
  <c r="I41" i="3"/>
  <c r="C50" i="6"/>
  <c r="I55" i="3"/>
  <c r="C64" i="6"/>
  <c r="I19" i="3"/>
  <c r="C28" i="6"/>
  <c r="I56" i="3"/>
  <c r="C65" i="6"/>
  <c r="I26" i="3"/>
  <c r="C35" i="6"/>
  <c r="I57" i="3"/>
  <c r="C66" i="6"/>
  <c r="I58" i="3"/>
  <c r="C67" i="6"/>
  <c r="I11" i="3"/>
  <c r="C6" i="4" s="1"/>
  <c r="C20" i="6"/>
  <c r="I10" i="3"/>
  <c r="C5" i="4" s="1"/>
  <c r="C19" i="6"/>
  <c r="I17" i="3"/>
  <c r="C26" i="6"/>
  <c r="I47" i="3"/>
  <c r="C56" i="6"/>
  <c r="I9" i="3"/>
  <c r="C4" i="4" s="1"/>
  <c r="C18" i="6"/>
  <c r="I51" i="3"/>
  <c r="C60" i="6"/>
  <c r="I8" i="3"/>
  <c r="C15" i="4" s="1"/>
  <c r="C17" i="6"/>
  <c r="I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1" i="4" s="1"/>
  <c r="C16" i="6"/>
  <c r="C51" i="6"/>
  <c r="I42" i="3"/>
  <c r="C22" i="6"/>
  <c r="I13" i="3"/>
  <c r="C8" i="4" s="1"/>
  <c r="C23" i="6"/>
  <c r="I14" i="3"/>
  <c r="C9" i="4" s="1"/>
  <c r="C21" i="6"/>
  <c r="I12" i="3"/>
  <c r="C7" i="4" s="1"/>
  <c r="F73" i="6" l="1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J23" i="3" l="1"/>
  <c r="E32" i="6" s="1"/>
  <c r="J11" i="3"/>
  <c r="E20" i="6" s="1"/>
  <c r="K23" i="3"/>
  <c r="K11" i="3"/>
  <c r="K27" i="3"/>
  <c r="K15" i="3"/>
  <c r="J27" i="3"/>
  <c r="E36" i="6" s="1"/>
  <c r="J15" i="3"/>
  <c r="E24" i="6" s="1"/>
  <c r="J8" i="3"/>
  <c r="E17" i="6" s="1"/>
  <c r="K20" i="3"/>
  <c r="K8" i="3"/>
  <c r="J20" i="3"/>
  <c r="E29" i="6" s="1"/>
  <c r="J18" i="3"/>
  <c r="E27" i="6" s="1"/>
  <c r="K18" i="3"/>
  <c r="J6" i="3"/>
  <c r="E15" i="6" s="1"/>
  <c r="K6" i="3"/>
  <c r="K7" i="3"/>
  <c r="K19" i="3"/>
  <c r="J19" i="3"/>
  <c r="E28" i="6" s="1"/>
  <c r="J7" i="3"/>
  <c r="J26" i="3"/>
  <c r="E35" i="6" s="1"/>
  <c r="K14" i="3"/>
  <c r="K26" i="3"/>
  <c r="J14" i="3"/>
  <c r="E23" i="6" s="1"/>
  <c r="K22" i="3"/>
  <c r="J10" i="3"/>
  <c r="E19" i="6" s="1"/>
  <c r="K10" i="3"/>
  <c r="J22" i="3"/>
  <c r="E31" i="6" s="1"/>
  <c r="J21" i="3"/>
  <c r="E30" i="6" s="1"/>
  <c r="K21" i="3"/>
  <c r="J9" i="3"/>
  <c r="E18" i="6" s="1"/>
  <c r="K9" i="3"/>
  <c r="K25" i="3"/>
  <c r="J25" i="3"/>
  <c r="E34" i="6" s="1"/>
  <c r="K13" i="3"/>
  <c r="J13" i="3"/>
  <c r="E22" i="6" s="1"/>
  <c r="J5" i="3"/>
  <c r="E14" i="6" s="1"/>
  <c r="J17" i="3"/>
  <c r="E26" i="6" s="1"/>
  <c r="K5" i="3"/>
  <c r="K17" i="3"/>
  <c r="J28" i="3"/>
  <c r="E37" i="6" s="1"/>
  <c r="K28" i="3"/>
  <c r="K16" i="3"/>
  <c r="J16" i="3"/>
  <c r="E25" i="6" s="1"/>
  <c r="J24" i="3"/>
  <c r="E33" i="6" s="1"/>
  <c r="J12" i="3"/>
  <c r="E21" i="6" s="1"/>
  <c r="K12" i="3"/>
  <c r="K24" i="3"/>
  <c r="B11" i="5"/>
  <c r="C7" i="1"/>
  <c r="E40" i="6"/>
  <c r="E16" i="6"/>
  <c r="F6" i="4"/>
  <c r="E6" i="4"/>
  <c r="D16" i="6"/>
  <c r="D40" i="6"/>
  <c r="D28" i="6"/>
  <c r="E10" i="4"/>
  <c r="F10" i="4"/>
  <c r="D32" i="6"/>
  <c r="D44" i="6"/>
  <c r="D20" i="6"/>
  <c r="E44" i="6"/>
  <c r="F15" i="4"/>
  <c r="E15" i="4"/>
  <c r="E49" i="6"/>
  <c r="D25" i="6"/>
  <c r="D49" i="6"/>
  <c r="D37" i="6"/>
  <c r="D47" i="6"/>
  <c r="D35" i="6"/>
  <c r="D23" i="6"/>
  <c r="F13" i="4"/>
  <c r="E13" i="4"/>
  <c r="E47" i="6"/>
  <c r="E14" i="4"/>
  <c r="F14" i="4"/>
  <c r="D24" i="6"/>
  <c r="D48" i="6"/>
  <c r="D36" i="6"/>
  <c r="E48" i="6"/>
  <c r="E43" i="6"/>
  <c r="D43" i="6"/>
  <c r="D31" i="6"/>
  <c r="F9" i="4"/>
  <c r="E9" i="4"/>
  <c r="D19" i="6"/>
  <c r="D15" i="6"/>
  <c r="E5" i="4"/>
  <c r="F5" i="4"/>
  <c r="E39" i="6"/>
  <c r="D27" i="6"/>
  <c r="D39" i="6"/>
  <c r="D38" i="6"/>
  <c r="D26" i="6"/>
  <c r="D14" i="6"/>
  <c r="E4" i="4"/>
  <c r="F4" i="4"/>
  <c r="B19" i="4"/>
  <c r="B20" i="4"/>
  <c r="B24" i="4" s="1"/>
  <c r="C11" i="1" s="1"/>
  <c r="E38" i="6"/>
  <c r="E42" i="6"/>
  <c r="D18" i="6"/>
  <c r="D42" i="6"/>
  <c r="D30" i="6"/>
  <c r="F8" i="4"/>
  <c r="E8" i="4"/>
  <c r="D34" i="6"/>
  <c r="D46" i="6"/>
  <c r="D22" i="6"/>
  <c r="E12" i="4"/>
  <c r="F12" i="4"/>
  <c r="E46" i="6"/>
  <c r="D45" i="6"/>
  <c r="D33" i="6"/>
  <c r="D21" i="6"/>
  <c r="E11" i="4"/>
  <c r="F11" i="4"/>
  <c r="E45" i="6"/>
  <c r="E41" i="6"/>
  <c r="D41" i="6"/>
  <c r="D29" i="6"/>
  <c r="F7" i="4"/>
  <c r="E7" i="4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<sst xmlns="http://schemas.openxmlformats.org/spreadsheetml/2006/main" count="501" uniqueCount="285">
  <si>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</si>
  <si>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</si>
  <si>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</si>
  <si>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</si>
  <si>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</si>
  <si>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</si>
  <si>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</si>
  <si>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</si>
  <si>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</si>
  <si>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</si>
  <si>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</si>
  <si>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</si>
  <si>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</si>
  <si>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</si>
  <si>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</si>
  <si>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</si>
  <si>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</si>
  <si>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</si>
  <si>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</si>
  <si>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</si>
  <si>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</si>
  <si>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</si>
  <si>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</si>
  <si>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</si>
  <si>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</si>
  <si>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</si>
  <si>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</si>
  <si>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</si>
  <si>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</si>
  <si>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</si>
  <si>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</si>
  <si>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</si>
  <si>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</si>
  <si>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</si>
  <si>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</si>
  <si>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</si>
  <si>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</si>
  <si>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</si>
  <si>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</si>
  <si>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</si>
  <si>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</si>
  <si>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</si>
  <si>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</si>
  <si>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</si>
  <si>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</si>
  <si>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</si>
  <si>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</si>
  <si>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</si>
  <si>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</si>
  <si>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</si>
  <si>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</si>
  <si>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</si>
  <si>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</si>
  <si>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</si>
  <si>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</si>
  <si>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</si>
  <si>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</si>
  <si>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</si>
  <si>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</si>
  <si>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</si>
  <si>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</si>
  <si>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</si>
  <si>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</si>
  <si>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</si>
  <si>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</si>
  <si>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</si>
  <si>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</si>
  <si>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</si>
  <si>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</si>
  <si>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</si>
  <si>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</si>
  <si>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</si>
  <si>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</si>
  <si>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</si>
  <si>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</si>
  <si>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</si>
  <si>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</si>
  <si>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</si>
  <si>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</si>
  <si>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</si>
  <si>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</si>
  <si>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</si>
  <si>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</si>
  <si>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</si>
  <si>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</si>
  <si>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</si>
  <si>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</si>
  <si>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</si>
  <si>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</si>
  <si>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</si>
  <si>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</si>
  <si>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</si>
  <si>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</si>
  <si>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</si>
  <si>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</si>
  <si>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</si>
  <si>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</si>
  <si>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</si>
  <si>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</si>
  <si>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</si>
  <si>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</si>
  <si>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</si>
  <si>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</si>
  <si>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</si>
  <si>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</si>
  <si>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</si>
  <si>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</si>
  <si>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</si>
  <si>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</si>
  <si>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</si>
  <si>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</si>
  <si>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</si>
  <si>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</si>
  <si>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</si>
  <si>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</si>
  <si>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</si>
  <si>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</si>
  <si>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</si>
  <si>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</si>
  <si>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</si>
  <si>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</si>
  <si>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</si>
  <si>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</si>
  <si>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</si>
  <si>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</si>
  <si>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</si>
  <si>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</si>
  <si>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</si>
  <si>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</si>
  <si>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</si>
  <si>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</si>
  <si>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</si>
  <si>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</si>
  <si>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</si>
  <si>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</si>
  <si>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</si>
  <si>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</si>
  <si>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</si>
  <si>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</si>
  <si>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</si>
  <si>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</si>
  <si>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</si>
  <si>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</si>
  <si>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</si>
  <si>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</si>
  <si>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</si>
  <si>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</si>
  <si>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</si>
  <si>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</si>
  <si>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</si>
  <si>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</si>
  <si>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</si>
  <si>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</si>
  <si>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</si>
  <si>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</si>
  <si>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</si>
  <si>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</si>
  <si>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</si>
  <si>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</si>
  <si>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</si>
  <si>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</si>
  <si>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</si>
  <si>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</si>
  <si>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</si>
  <si>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</si>
  <si>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</si>
  <si>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</si>
  <si>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</si>
  <si>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</si>
  <si>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</si>
  <si>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</si>
  <si>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</si>
  <si>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</si>
  <si>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</si>
  <si>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</si>
  <si>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</si>
  <si>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</si>
  <si>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</si>
  <si>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</si>
  <si>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</si>
  <si>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</si>
  <si>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</si>
  <si>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</si>
  <si>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uml</t>
  </si>
  <si>
    <t>GT: недостаточно данных для этой недели/месяца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</si>
  <si>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</si>
  <si>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</si>
  <si>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</si>
  <si>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</si>
  <si>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</si>
  <si>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</si>
  <si>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</si>
  <si>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</si>
  <si>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</si>
  <si>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</si>
  <si>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</si>
  <si>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</si>
  <si>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</si>
  <si>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</si>
  <si>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</si>
  <si>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Беларусь (id=149)</t>
  </si>
  <si>
    <t>wordstat_uml_dinamika_RB_2024-09_2026-08.json</t>
  </si>
  <si>
    <t>bpmn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</si>
  <si>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</si>
  <si>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</si>
  <si>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</si>
  <si>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</si>
  <si>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</si>
  <si>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</si>
  <si>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</si>
  <si>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</si>
  <si>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</si>
  <si>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</si>
  <si>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</si>
  <si>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</si>
  <si>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</si>
  <si>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</si>
  <si>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</si>
  <si>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</si>
  <si>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</si>
  <si>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</si>
  <si>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</si>
  <si>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</si>
  <si>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</si>
  <si>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</si>
  <si>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</si>
  <si>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</si>
  <si>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</si>
  <si>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</si>
  <si>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</si>
  <si>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</si>
  <si>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</si>
  <si>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</si>
  <si>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</si>
  <si>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</si>
  <si>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</si>
  <si>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</si>
  <si>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</si>
  <si>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</si>
  <si>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</si>
  <si>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Вариант для сравнения: только Google Trends (колонка Вордстата на листе Ввод_данных очищена), сводный индекс G = GT. Исправлена поломка шаблона в Расчет!J5:K64: условие IFERROR(VLOOKUP(...),0)=0 заменено на N(IFERROR(VLOOKUP(...),0))=0 (при пустом сезонном индексе формулы давали #ЗНАЧ!)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</si>
  <si>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</si>
  <si>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</si>
  <si>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</si>
  <si>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</si>
  <si>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</si>
  <si>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</si>
  <si>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</si>
  <si>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</si>
  <si>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</si>
  <si>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</si>
  <si>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</si>
  <si>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</si>
  <si>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</si>
  <si>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</si>
  <si>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</si>
  <si>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</si>
  <si>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</si>
  <si>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</si>
  <si>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</si>
  <si>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</si>
  <si>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</si>
  <si>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</si>
  <si>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</si>
  <si>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</si>
  <si>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</si>
  <si>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29.09.2026</t>
  </si>
  <si>
    <t>30.09.2026</t>
  </si>
  <si>
    <t>2021-09–2026-09 (5 лет, неделя)</t>
  </si>
  <si>
    <t>Главный ряд, сопоставлен с Вордстатом. Месяцев с данными: UML – 47 из 61, BPMN – 37 из 61 (остальные – «недостаточно данных»). Сохранён помесячный свод; недельные значения не сохранены</t>
  </si>
  <si>
    <t>2025-09–2026-10 (12 мес.) + регионы + похожие</t>
  </si>
  <si>
    <t>Справочный мировой ряд Mermaid; сохранён помесячный свод. Пик мая–июня 2023 г. – омонимия (фильм «Русалочка»), вывод о росте категории «diagram as code» по ряду не делается</t>
  </si>
  <si>
    <t>2024-09–2026-08 (24 мес., по месяцам)</t>
  </si>
  <si>
    <t>3 недели с данными; регион с данными – только Минская область; похожих запросов нет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</si>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</sst>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55.2</c:v>
                </c:pt>
                <c:pt idx="1">
                  <c:v>28.75</c:v>
                </c:pt>
                <c:pt idx="2">
                  <c:v>44</c:v>
                </c:pt>
                <c:pt idx="3">
                  <c:v>28.4</c:v>
                </c:pt>
                <c:pt idx="4">
                  <c:v>10.75</c:v>
                </c:pt>
                <c:pt idx="5">
                  <c:v>15.75</c:v>
                </c:pt>
                <c:pt idx="6">
                  <c:v>24.2</c:v>
                </c:pt>
                <c:pt idx="7">
                  <c:v>0</c:v>
                </c:pt>
                <c:pt idx="8">
                  <c:v>34.25</c:v>
                </c:pt>
                <c:pt idx="9">
                  <c:v>14.6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23.5</c:v>
                </c:pt>
                <c:pt idx="14">
                  <c:v>15.4</c:v>
                </c:pt>
                <c:pt idx="15">
                  <c:v>56.5</c:v>
                </c:pt>
                <c:pt idx="16">
                  <c:v>0</c:v>
                </c:pt>
                <c:pt idx="17">
                  <c:v>23</c:v>
                </c:pt>
                <c:pt idx="18">
                  <c:v>9.8000000000000007</c:v>
                </c:pt>
                <c:pt idx="19">
                  <c:v>15.75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21.324999999999999</c:v>
                </c:pt>
                <c:pt idx="12">
                  <c:v>16.724999999999998</c:v>
                </c:pt>
                <c:pt idx="13">
                  <c:v>16.287500000000001</c:v>
                </c:pt>
                <c:pt idx="14">
                  <c:v>13.904166666666667</c:v>
                </c:pt>
                <c:pt idx="15">
                  <c:v>16.245833333333334</c:v>
                </c:pt>
                <c:pt idx="16">
                  <c:v>15.35</c:v>
                </c:pt>
                <c:pt idx="17">
                  <c:v>15.954166666666666</c:v>
                </c:pt>
                <c:pt idx="18">
                  <c:v>14.754166666666668</c:v>
                </c:pt>
                <c:pt idx="19">
                  <c:v>16.066666666666666</c:v>
                </c:pt>
                <c:pt idx="20">
                  <c:v>13.2125</c:v>
                </c:pt>
                <c:pt idx="21">
                  <c:v>11.995833333333335</c:v>
                </c:pt>
                <c:pt idx="22">
                  <c:v>11.995833333333335</c:v>
                </c:pt>
                <c:pt idx="23">
                  <c:v>11.995833333333335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</c:v>
                </c:pt>
                <c:pt idx="1">
                  <c:v>0.94902746898705048</c:v>
                </c:pt>
                <c:pt idx="2">
                  <c:v>0.43725668936266937</c:v>
                </c:pt>
                <c:pt idx="3">
                  <c:v>0.64532701510164625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0.94981386544605284</c:v>
                </c:pt>
                <c:pt idx="10">
                  <c:v>0.72912304924719962</c:v>
                </c:pt>
                <c:pt idx="11">
                  <c:v>2.2894519118553811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2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3" t="s">
        <v>1</v>
      </c>
      <c r="B3" s="13"/>
      <c r="C3" s="13"/>
      <c r="D3" s="13"/>
      <c r="E3" s="13"/>
      <c r="F3" s="13"/>
      <c r="G3" s="13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-0.43747557639703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декабрь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март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/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 t="str">
        <f>Деловые_циклы!B6</f>
        <v/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4" t="s">
        <v>26</v>
      </c>
      <c r="B16" s="14"/>
      <c r="C16" s="14"/>
      <c r="D16" s="14"/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5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декабрь, минимум – март. Текущая фаза спроса: .</v>
      </c>
      <c r="B17" s="15"/>
      <c r="C17" s="15"/>
      <c r="D17" s="15"/>
      <c r="E17" s="15"/>
      <c r="F17" s="15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5"/>
      <c r="B18" s="15"/>
      <c r="C18" s="15"/>
      <c r="D18" s="15"/>
      <c r="E18" s="15"/>
      <c r="F18" s="15"/>
      <c r="G18" s="15"/>
      <c r="H18" s="1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5"/>
      <c r="B19" s="15"/>
      <c r="C19" s="15"/>
      <c r="D19" s="15"/>
      <c r="E19" s="15"/>
      <c r="F19" s="15"/>
      <c r="G19" s="15"/>
      <c r="H19" s="1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5"/>
      <c r="B20" s="15"/>
      <c r="C20" s="15"/>
      <c r="D20" s="15"/>
      <c r="E20" s="15"/>
      <c r="F20" s="15"/>
      <c r="G20" s="15"/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2" t="s">
        <v>27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28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183</v>
      </c>
      <c r="C5" s="7">
        <v>55.2</v>
      </c>
      <c r="D5" s="7"/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183</v>
      </c>
      <c r="C6" s="7">
        <v>28.75</v>
      </c>
      <c r="D6" s="7"/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183</v>
      </c>
      <c r="C7" s="7">
        <v>44</v>
      </c>
      <c r="D7" s="7"/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183</v>
      </c>
      <c r="C8" s="7">
        <v>28.4</v>
      </c>
      <c r="D8" s="7"/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183</v>
      </c>
      <c r="C9" s="7">
        <v>10.75</v>
      </c>
      <c r="D9" s="7"/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183</v>
      </c>
      <c r="C10" s="7">
        <v>15.75</v>
      </c>
      <c r="D10" s="7"/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183</v>
      </c>
      <c r="C11" s="7">
        <v>24.2</v>
      </c>
      <c r="D11" s="7"/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183</v>
      </c>
      <c r="C12" s="7">
        <v>0</v>
      </c>
      <c r="D12" s="7"/>
      <c r="E12" s="3" t="s">
        <v>112</v>
      </c>
      <c r="F12" s="3" t="s">
        <v>184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183</v>
      </c>
      <c r="C13" s="7">
        <v>34.25</v>
      </c>
      <c r="D13" s="7"/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183</v>
      </c>
      <c r="C14" s="7">
        <v>14.6</v>
      </c>
      <c r="D14" s="7"/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183</v>
      </c>
      <c r="C15" s="7">
        <v>0</v>
      </c>
      <c r="D15" s="7"/>
      <c r="E15" s="3" t="s">
        <v>112</v>
      </c>
      <c r="F15" s="3" t="s">
        <v>184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183</v>
      </c>
      <c r="C16" s="7">
        <v>0</v>
      </c>
      <c r="D16" s="7"/>
      <c r="E16" s="3" t="s">
        <v>112</v>
      </c>
      <c r="F16" s="3" t="s">
        <v>184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183</v>
      </c>
      <c r="C17" s="7">
        <v>0</v>
      </c>
      <c r="D17" s="7"/>
      <c r="E17" s="3" t="s">
        <v>112</v>
      </c>
      <c r="F17" s="3" t="s">
        <v>184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183</v>
      </c>
      <c r="C18" s="7">
        <v>23.5</v>
      </c>
      <c r="D18" s="7"/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183</v>
      </c>
      <c r="C19" s="7">
        <v>15.4</v>
      </c>
      <c r="D19" s="7"/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183</v>
      </c>
      <c r="C20" s="7">
        <v>56.5</v>
      </c>
      <c r="D20" s="7"/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183</v>
      </c>
      <c r="C21" s="7">
        <v>0</v>
      </c>
      <c r="D21" s="7"/>
      <c r="E21" s="3" t="s">
        <v>112</v>
      </c>
      <c r="F21" s="3" t="s">
        <v>184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183</v>
      </c>
      <c r="C22" s="7">
        <v>23</v>
      </c>
      <c r="D22" s="7"/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183</v>
      </c>
      <c r="C23" s="7">
        <v>9.8000000000000007</v>
      </c>
      <c r="D23" s="7"/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183</v>
      </c>
      <c r="C24" s="7">
        <v>15.75</v>
      </c>
      <c r="D24" s="7"/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183</v>
      </c>
      <c r="C25" s="7">
        <v>0</v>
      </c>
      <c r="D25" s="7"/>
      <c r="E25" s="3" t="s">
        <v>112</v>
      </c>
      <c r="F25" s="3" t="s">
        <v>184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183</v>
      </c>
      <c r="C26" s="7">
        <v>0</v>
      </c>
      <c r="D26" s="7"/>
      <c r="E26" s="3" t="s">
        <v>112</v>
      </c>
      <c r="F26" s="3" t="s">
        <v>184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183</v>
      </c>
      <c r="C27" s="7">
        <v>0</v>
      </c>
      <c r="D27" s="7"/>
      <c r="E27" s="3" t="s">
        <v>112</v>
      </c>
      <c r="F27" s="3" t="s">
        <v>184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183</v>
      </c>
      <c r="C28" s="7">
        <v>0</v>
      </c>
      <c r="D28" s="7"/>
      <c r="E28" s="3" t="s">
        <v>112</v>
      </c>
      <c r="F28" s="3" t="s">
        <v>184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2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36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>
        <f>IF(Ввод_данных!C5="","",Ввод_данных!C5)</f>
        <v>55.2</v>
      </c>
      <c r="E5" s="5" t="str">
        <f>IF(Ввод_данных!D5="","",Ввод_данных!D5)</f>
        <v/>
      </c>
      <c r="F5" s="5" t="str">
        <f t="shared" ref="F5:F36" si="2">IF(E5="","",IF(MAX($E$5:$E$64)=0,"",E5/MAX($E$5:$E$64)*100))</f>
        <v/>
      </c>
      <c r="G5" s="5">
        <f>IF(COUNT(D5,F5)=0,"",IF(COUNT(D5,F5)=2,D5*Настройки!$B$4+F5*Настройки!$B$5,IF(D5&lt;&gt;"",D5,F5)))</f>
        <v>55.2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 t="str">
        <f>IF(OR(G5="",N(IFERROR(VLOOKUP(B5,Сезонность!$A$4:$D$15,4,FALSE),0))=0),"",G5/IFERROR(VLOOKUP(B5,Сезонность!$A$4:$D$15,4,FALSE),1))</f>
        <v/>
      </c>
      <c r="K5" s="5" t="str">
        <f>IF(OR(G5="",H5="",H5=0,N(IFERROR(VLOOKUP(B5,Сезонность!$A$4:$D$15,4,FALSE),0))=0),"",G5/(H5*IFERROR(VLOOKUP(B5,Сезонность!$A$4:$D$15,4,FALSE),1)))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>
        <f>IF(Ввод_данных!C6="","",Ввод_данных!C6)</f>
        <v>28.75</v>
      </c>
      <c r="E6" s="5" t="str">
        <f>IF(Ввод_данных!D6="","",Ввод_данных!D6)</f>
        <v/>
      </c>
      <c r="F6" s="5" t="str">
        <f t="shared" si="2"/>
        <v/>
      </c>
      <c r="G6" s="5">
        <f>IF(COUNT(D6,F6)=0,"",IF(COUNT(D6,F6)=2,D6*Настройки!$B$4+F6*Настройки!$B$5,IF(D6&lt;&gt;"",D6,F6)))</f>
        <v>28.75</v>
      </c>
      <c r="H6" s="5" t="str">
        <f>IF(OR(G6="",COUNT($G$5:G6)&lt;12),"","")</f>
        <v/>
      </c>
      <c r="I6" s="5" t="str">
        <f t="shared" si="3"/>
        <v/>
      </c>
      <c r="J6" s="5">
        <f>IF(OR(G6="",N(IFERROR(VLOOKUP(B6,Сезонность!$A$4:$D$15,4,FALSE),0))=0),"",G6/IFERROR(VLOOKUP(B6,Сезонность!$A$4:$D$15,4,FALSE),1))</f>
        <v>30.269088550837683</v>
      </c>
      <c r="K6" s="5" t="str">
        <f>IF(OR(G6="",H6="",H6=0,N(IFERROR(VLOOKUP(B6,Сезонность!$A$4:$D$15,4,FALSE),0))=0),"",G6/(H6*IFERROR(VLOOKUP(B6,Сезонность!$A$4:$D$15,4,FALSE),1)))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>
        <f>IF(Ввод_данных!C7="","",Ввод_данных!C7)</f>
        <v>44</v>
      </c>
      <c r="E7" s="5" t="str">
        <f>IF(Ввод_данных!D7="","",Ввод_данных!D7)</f>
        <v/>
      </c>
      <c r="F7" s="5" t="str">
        <f t="shared" si="2"/>
        <v/>
      </c>
      <c r="G7" s="5">
        <f>IF(COUNT(D7,F7)=0,"",IF(COUNT(D7,F7)=2,D7*Настройки!$B$4+F7*Настройки!$B$5,IF(D7&lt;&gt;"",D7,F7)))</f>
        <v>44</v>
      </c>
      <c r="H7" s="5" t="str">
        <f>IF(OR(G7="",COUNT($G$5:G7)&lt;12),"","")</f>
        <v/>
      </c>
      <c r="I7" s="5" t="str">
        <f t="shared" si="3"/>
        <v/>
      </c>
      <c r="J7" s="5">
        <f>IF(OR(G7="",N(IFERROR(VLOOKUP(B7,Сезонность!$A$4:$D$15,4,FALSE),0))=0),"",G7/IFERROR(VLOOKUP(B7,Сезонность!$A$4:$D$15,4,FALSE),1))</f>
        <v>60.346466958394529</v>
      </c>
      <c r="K7" s="5" t="str">
        <f>IF(OR(G7="",H7="",H7=0,N(IFERROR(VLOOKUP(B7,Сезонность!$A$4:$D$15,4,FALSE),0))=0),"",G7/(H7*IFERROR(VLOOKUP(B7,Сезонность!$A$4:$D$15,4,FALSE),1)))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>
        <f>IF(Ввод_данных!C8="","",Ввод_данных!C8)</f>
        <v>28.4</v>
      </c>
      <c r="E8" s="5" t="str">
        <f>IF(Ввод_данных!D8="","",Ввод_данных!D8)</f>
        <v/>
      </c>
      <c r="F8" s="5" t="str">
        <f t="shared" si="2"/>
        <v/>
      </c>
      <c r="G8" s="5">
        <f>IF(COUNT(D8,F8)=0,"",IF(COUNT(D8,F8)=2,D8*Настройки!$B$4+F8*Настройки!$B$5,IF(D8&lt;&gt;"",D8,F8)))</f>
        <v>28.4</v>
      </c>
      <c r="H8" s="5" t="str">
        <f>IF(OR(G8="",COUNT($G$5:G8)&lt;12),"","")</f>
        <v/>
      </c>
      <c r="I8" s="5" t="str">
        <f t="shared" si="3"/>
        <v/>
      </c>
      <c r="J8" s="5">
        <f>IF(OR(G8="",N(IFERROR(VLOOKUP(B8,Сезонность!$A$4:$D$15,4,FALSE),0))=0),"",G8/IFERROR(VLOOKUP(B8,Сезонность!$A$4:$D$15,4,FALSE),1))</f>
        <v>12.404715667071828</v>
      </c>
      <c r="K8" s="5" t="str">
        <f>IF(OR(G8="",H8="",H8=0,N(IFERROR(VLOOKUP(B8,Сезонность!$A$4:$D$15,4,FALSE),0))=0),"",G8/(H8*IFERROR(VLOOKUP(B8,Сезонность!$A$4:$D$15,4,FALSE),1)))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>
        <f>IF(Ввод_данных!C9="","",Ввод_данных!C9)</f>
        <v>10.75</v>
      </c>
      <c r="E9" s="5" t="str">
        <f>IF(Ввод_данных!D9="","",Ввод_данных!D9)</f>
        <v/>
      </c>
      <c r="F9" s="5" t="str">
        <f t="shared" si="2"/>
        <v/>
      </c>
      <c r="G9" s="5">
        <f>IF(COUNT(D9,F9)=0,"",IF(COUNT(D9,F9)=2,D9*Настройки!$B$4+F9*Настройки!$B$5,IF(D9&lt;&gt;"",D9,F9)))</f>
        <v>10.75</v>
      </c>
      <c r="H9" s="5" t="str">
        <f>IF(OR(G9="",COUNT($G$5:G9)&lt;12),"","")</f>
        <v/>
      </c>
      <c r="I9" s="5" t="str">
        <f t="shared" si="3"/>
        <v/>
      </c>
      <c r="J9" s="5" t="str">
        <f>IF(OR(G9="",N(IFERROR(VLOOKUP(B9,Сезонность!$A$4:$D$15,4,FALSE),0))=0),"",G9/IFERROR(VLOOKUP(B9,Сезонность!$A$4:$D$15,4,FALSE),1))</f>
        <v/>
      </c>
      <c r="K9" s="5" t="str">
        <f>IF(OR(G9="",H9="",H9=0,N(IFERROR(VLOOKUP(B9,Сезонность!$A$4:$D$15,4,FALSE),0))=0),"",G9/(H9*IFERROR(VLOOKUP(B9,Сезонность!$A$4:$D$15,4,FALSE),1)))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>
        <f>IF(Ввод_данных!C10="","",Ввод_данных!C10)</f>
        <v>15.75</v>
      </c>
      <c r="E10" s="5" t="str">
        <f>IF(Ввод_данных!D10="","",Ввод_данных!D10)</f>
        <v/>
      </c>
      <c r="F10" s="5" t="str">
        <f t="shared" si="2"/>
        <v/>
      </c>
      <c r="G10" s="5">
        <f>IF(COUNT(D10,F10)=0,"",IF(COUNT(D10,F10)=2,D10*Настройки!$B$4+F10*Настройки!$B$5,IF(D10&lt;&gt;"",D10,F10)))</f>
        <v>15.75</v>
      </c>
      <c r="H10" s="5" t="str">
        <f>IF(OR(G10="",COUNT($G$5:G10)&lt;12),"","")</f>
        <v/>
      </c>
      <c r="I10" s="5" t="str">
        <f t="shared" si="3"/>
        <v/>
      </c>
      <c r="J10" s="5">
        <f>IF(OR(G10="",N(IFERROR(VLOOKUP(B10,Сезонность!$A$4:$D$15,4,FALSE),0))=0),"",G10/IFERROR(VLOOKUP(B10,Сезонность!$A$4:$D$15,4,FALSE),1))</f>
        <v>16.5959369087713</v>
      </c>
      <c r="K10" s="5" t="str">
        <f>IF(OR(G10="",H10="",H10=0,N(IFERROR(VLOOKUP(B10,Сезонность!$A$4:$D$15,4,FALSE),0))=0),"",G10/(H10*IFERROR(VLOOKUP(B10,Сезонность!$A$4:$D$15,4,FALSE),1)))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>
        <f>IF(Ввод_данных!C11="","",Ввод_данных!C11)</f>
        <v>24.2</v>
      </c>
      <c r="E11" s="5" t="str">
        <f>IF(Ввод_данных!D11="","",Ввод_данных!D11)</f>
        <v/>
      </c>
      <c r="F11" s="5" t="str">
        <f t="shared" si="2"/>
        <v/>
      </c>
      <c r="G11" s="5">
        <f>IF(COUNT(D11,F11)=0,"",IF(COUNT(D11,F11)=2,D11*Настройки!$B$4+F11*Настройки!$B$5,IF(D11&lt;&gt;"",D11,F11)))</f>
        <v>24.2</v>
      </c>
      <c r="H11" s="5" t="str">
        <f>IF(OR(G11="",COUNT($G$5:G11)&lt;12),"","")</f>
        <v/>
      </c>
      <c r="I11" s="5" t="str">
        <f t="shared" si="3"/>
        <v/>
      </c>
      <c r="J11" s="5">
        <f>IF(OR(G11="",N(IFERROR(VLOOKUP(B11,Сезонность!$A$4:$D$15,4,FALSE),0))=0),"",G11/IFERROR(VLOOKUP(B11,Сезонность!$A$4:$D$15,4,FALSE),1))</f>
        <v>55.34506524136453</v>
      </c>
      <c r="K11" s="5" t="str">
        <f>IF(OR(G11="",H11="",H11=0,N(IFERROR(VLOOKUP(B11,Сезонность!$A$4:$D$15,4,FALSE),0))=0),"",G11/(H11*IFERROR(VLOOKUP(B11,Сезонность!$A$4:$D$15,4,FALSE),1)))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>
        <f>IF(Ввод_данных!C12="","",Ввод_данных!C12)</f>
        <v>0</v>
      </c>
      <c r="E12" s="5" t="str">
        <f>IF(Ввод_данных!D12="","",Ввод_данных!D12)</f>
        <v/>
      </c>
      <c r="F12" s="5" t="str">
        <f t="shared" si="2"/>
        <v/>
      </c>
      <c r="G12" s="5">
        <f>IF(COUNT(D12,F12)=0,"",IF(COUNT(D12,F12)=2,D12*Настройки!$B$4+F12*Настройки!$B$5,IF(D12&lt;&gt;"",D12,F12)))</f>
        <v>0</v>
      </c>
      <c r="H12" s="5" t="str">
        <f>IF(OR(G12="",COUNT($G$5:G12)&lt;12),"","")</f>
        <v/>
      </c>
      <c r="I12" s="5" t="str">
        <f t="shared" si="3"/>
        <v/>
      </c>
      <c r="J12" s="5">
        <f>IF(OR(G12="",N(IFERROR(VLOOKUP(B12,Сезонность!$A$4:$D$15,4,FALSE),0))=0),"",G12/IFERROR(VLOOKUP(B12,Сезонность!$A$4:$D$15,4,FALSE),1))</f>
        <v>0</v>
      </c>
      <c r="K12" s="5" t="str">
        <f>IF(OR(G12="",H12="",H12=0,N(IFERROR(VLOOKUP(B12,Сезонность!$A$4:$D$15,4,FALSE),0))=0),"",G12/(H12*IFERROR(VLOOKUP(B12,Сезонность!$A$4:$D$15,4,FALSE),1)))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>
        <f>IF(Ввод_данных!C13="","",Ввод_данных!C13)</f>
        <v>34.25</v>
      </c>
      <c r="E13" s="5" t="str">
        <f>IF(Ввод_данных!D13="","",Ввод_данных!D13)</f>
        <v/>
      </c>
      <c r="F13" s="5" t="str">
        <f t="shared" si="2"/>
        <v/>
      </c>
      <c r="G13" s="5">
        <f>IF(COUNT(D13,F13)=0,"",IF(COUNT(D13,F13)=2,D13*Настройки!$B$4+F13*Настройки!$B$5,IF(D13&lt;&gt;"",D13,F13)))</f>
        <v>34.25</v>
      </c>
      <c r="H13" s="5" t="str">
        <f>IF(OR(G13="",COUNT($G$5:G13)&lt;12),"","")</f>
        <v/>
      </c>
      <c r="I13" s="5" t="str">
        <f t="shared" si="3"/>
        <v/>
      </c>
      <c r="J13" s="5" t="str">
        <f>IF(OR(G13="",N(IFERROR(VLOOKUP(B13,Сезонность!$A$4:$D$15,4,FALSE),0))=0),"",G13/IFERROR(VLOOKUP(B13,Сезонность!$A$4:$D$15,4,FALSE),1))</f>
        <v/>
      </c>
      <c r="K13" s="5" t="str">
        <f>IF(OR(G13="",H13="",H13=0,N(IFERROR(VLOOKUP(B13,Сезонность!$A$4:$D$15,4,FALSE),0))=0),"",G13/(H13*IFERROR(VLOOKUP(B13,Сезонность!$A$4:$D$15,4,FALSE),1)))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>
        <f>IF(Ввод_данных!C14="","",Ввод_данных!C14)</f>
        <v>14.6</v>
      </c>
      <c r="E14" s="5" t="str">
        <f>IF(Ввод_данных!D14="","",Ввод_данных!D14)</f>
        <v/>
      </c>
      <c r="F14" s="5" t="str">
        <f t="shared" si="2"/>
        <v/>
      </c>
      <c r="G14" s="5">
        <f>IF(COUNT(D14,F14)=0,"",IF(COUNT(D14,F14)=2,D14*Настройки!$B$4+F14*Настройки!$B$5,IF(D14&lt;&gt;"",D14,F14)))</f>
        <v>14.6</v>
      </c>
      <c r="H14" s="5" t="str">
        <f>IF(OR(G14="",COUNT($G$5:G14)&lt;12),"","")</f>
        <v/>
      </c>
      <c r="I14" s="5" t="str">
        <f t="shared" si="3"/>
        <v/>
      </c>
      <c r="J14" s="5" t="str">
        <f>IF(OR(G14="",N(IFERROR(VLOOKUP(B14,Сезонность!$A$4:$D$15,4,FALSE),0))=0),"",G14/IFERROR(VLOOKUP(B14,Сезонность!$A$4:$D$15,4,FALSE),1))</f>
        <v/>
      </c>
      <c r="K14" s="5" t="str">
        <f>IF(OR(G14="",H14="",H14=0,N(IFERROR(VLOOKUP(B14,Сезонность!$A$4:$D$15,4,FALSE),0))=0),"",G14/(H14*IFERROR(VLOOKUP(B14,Сезонность!$A$4:$D$15,4,FALSE),1)))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>
        <f>IF(Ввод_данных!C15="","",Ввод_данных!C15)</f>
        <v>0</v>
      </c>
      <c r="E15" s="5" t="str">
        <f>IF(Ввод_данных!D15="","",Ввод_данных!D15)</f>
        <v/>
      </c>
      <c r="F15" s="5" t="str">
        <f t="shared" si="2"/>
        <v/>
      </c>
      <c r="G15" s="5">
        <f>IF(COUNT(D15,F15)=0,"",IF(COUNT(D15,F15)=2,D15*Настройки!$B$4+F15*Настройки!$B$5,IF(D15&lt;&gt;"",D15,F15)))</f>
        <v>0</v>
      </c>
      <c r="H15" s="5" t="str">
        <f>IF(OR(G15="",COUNT($G$5:G15)&lt;12),"","")</f>
        <v/>
      </c>
      <c r="I15" s="5" t="str">
        <f t="shared" si="3"/>
        <v/>
      </c>
      <c r="J15" s="5" t="str">
        <f>IF(OR(G15="",N(IFERROR(VLOOKUP(B15,Сезонность!$A$4:$D$15,4,FALSE),0))=0),"",G15/IFERROR(VLOOKUP(B15,Сезонность!$A$4:$D$15,4,FALSE),1))</f>
        <v/>
      </c>
      <c r="K15" s="5" t="str">
        <f>IF(OR(G15="",H15="",H15=0,N(IFERROR(VLOOKUP(B15,Сезонность!$A$4:$D$15,4,FALSE),0))=0),"",G15/(H15*IFERROR(VLOOKUP(B15,Сезонность!$A$4:$D$15,4,FALSE),1)))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>
        <f>IF(Ввод_данных!C16="","",Ввод_данных!C16)</f>
        <v>0</v>
      </c>
      <c r="E16" s="5" t="str">
        <f>IF(Ввод_данных!D16="","",Ввод_данных!D16)</f>
        <v/>
      </c>
      <c r="F16" s="5" t="str">
        <f t="shared" si="2"/>
        <v/>
      </c>
      <c r="G16" s="5">
        <f>IF(COUNT(D16,F16)=0,"",IF(COUNT(D16,F16)=2,D16*Настройки!$B$4+F16*Настройки!$B$5,IF(D16&lt;&gt;"",D16,F16)))</f>
        <v>0</v>
      </c>
      <c r="H16" s="5">
        <f>IF(OR(G16="",COUNT($G$5:G16)&lt;12),"",AVERAGE(G5:G16))</f>
        <v>21.324999999999999</v>
      </c>
      <c r="I16" s="5">
        <f t="shared" si="3"/>
        <v>0</v>
      </c>
      <c r="J16" s="5" t="str">
        <f>IF(OR(G16="",N(IFERROR(VLOOKUP(B16,Сезонность!$A$4:$D$15,4,FALSE),0))=0),"",G16/IFERROR(VLOOKUP(B16,Сезонность!$A$4:$D$15,4,FALSE),1))</f>
        <v/>
      </c>
      <c r="K16" s="5" t="str">
        <f>IF(OR(G16="",H16="",H16=0,N(IFERROR(VLOOKUP(B16,Сезонность!$A$4:$D$15,4,FALSE),0))=0),"",G16/(H16*IFERROR(VLOOKUP(B16,Сезонность!$A$4:$D$15,4,FALSE),1)))</f>
        <v/>
      </c>
      <c r="L16" s="3" t="str">
        <f>IF(K16="","",IF(K16&lt;Настройки!$B$11,"ниже тренда",IF(K16&gt;Настройки!$B$12,"выше тренда","норма")))</f>
        <v/>
      </c>
      <c r="M16" s="3" t="str">
        <f t="shared" si="4"/>
        <v/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>
        <f>IF(Ввод_данных!C17="","",Ввод_данных!C17)</f>
        <v>0</v>
      </c>
      <c r="E17" s="5" t="str">
        <f>IF(Ввод_данных!D17="","",Ввод_данных!D17)</f>
        <v/>
      </c>
      <c r="F17" s="5" t="str">
        <f t="shared" si="2"/>
        <v/>
      </c>
      <c r="G17" s="5">
        <f>IF(COUNT(D17,F17)=0,"",IF(COUNT(D17,F17)=2,D17*Настройки!$B$4+F17*Настройки!$B$5,IF(D17&lt;&gt;"",D17,F17)))</f>
        <v>0</v>
      </c>
      <c r="H17" s="5">
        <f>IF(OR(G17="",COUNT($G$5:G17)&lt;12),"",AVERAGE(G6:G17))</f>
        <v>16.724999999999998</v>
      </c>
      <c r="I17" s="5">
        <f t="shared" si="3"/>
        <v>0</v>
      </c>
      <c r="J17" s="5" t="str">
        <f>IF(OR(G17="",N(IFERROR(VLOOKUP(B17,Сезонность!$A$4:$D$15,4,FALSE),0))=0),"",G17/IFERROR(VLOOKUP(B17,Сезонность!$A$4:$D$15,4,FALSE),1))</f>
        <v/>
      </c>
      <c r="K17" s="5" t="str">
        <f>IF(OR(G17="",H17="",H17=0,N(IFERROR(VLOOKUP(B17,Сезонность!$A$4:$D$15,4,FALSE),0))=0),"",G17/(H17*IFERROR(VLOOKUP(B17,Сезонность!$A$4:$D$15,4,FALSE),1)))</f>
        <v/>
      </c>
      <c r="L17" s="3" t="str">
        <f>IF(K17="","",IF(K17&lt;Настройки!$B$11,"ниже тренда",IF(K17&gt;Настройки!$B$12,"выше тренда","норма")))</f>
        <v/>
      </c>
      <c r="M17" s="3" t="str">
        <f t="shared" si="4"/>
        <v/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>
        <f>IF(Ввод_данных!C18="","",Ввод_данных!C18)</f>
        <v>23.5</v>
      </c>
      <c r="E18" s="5" t="str">
        <f>IF(Ввод_данных!D18="","",Ввод_данных!D18)</f>
        <v/>
      </c>
      <c r="F18" s="5" t="str">
        <f t="shared" si="2"/>
        <v/>
      </c>
      <c r="G18" s="5">
        <f>IF(COUNT(D18,F18)=0,"",IF(COUNT(D18,F18)=2,D18*Настройки!$B$4+F18*Настройки!$B$5,IF(D18&lt;&gt;"",D18,F18)))</f>
        <v>23.5</v>
      </c>
      <c r="H18" s="5">
        <f>IF(OR(G18="",COUNT($G$5:G18)&lt;12),"",AVERAGE(G7:G18))</f>
        <v>16.287500000000001</v>
      </c>
      <c r="I18" s="5">
        <f t="shared" si="3"/>
        <v>1.4428242517267842</v>
      </c>
      <c r="J18" s="5">
        <f>IF(OR(G18="",N(IFERROR(VLOOKUP(B18,Сезонность!$A$4:$D$15,4,FALSE),0))=0),"",G18/IFERROR(VLOOKUP(B18,Сезонность!$A$4:$D$15,4,FALSE),1))</f>
        <v>24.741689771989062</v>
      </c>
      <c r="K18" s="5">
        <f>IF(OR(G18="",H18="",H18=0,N(IFERROR(VLOOKUP(B18,Сезонность!$A$4:$D$15,4,FALSE),0))=0),"",G18/(H18*IFERROR(VLOOKUP(B18,Сезонность!$A$4:$D$15,4,FALSE),1)))</f>
        <v>1.5190600013500575</v>
      </c>
      <c r="L18" s="3" t="str">
        <f>IF(K18="","",IF(K18&lt;Настройки!$B$11,"ниже тренда",IF(K18&gt;Настройки!$B$12,"выше тренда","норма")))</f>
        <v>выше тренда</v>
      </c>
      <c r="M18" s="3" t="str">
        <f t="shared" si="4"/>
        <v>возможная фаза повышенного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>
        <f>IF(Ввод_данных!C19="","",Ввод_данных!C19)</f>
        <v>15.4</v>
      </c>
      <c r="E19" s="5" t="str">
        <f>IF(Ввод_данных!D19="","",Ввод_данных!D19)</f>
        <v/>
      </c>
      <c r="F19" s="5" t="str">
        <f t="shared" si="2"/>
        <v/>
      </c>
      <c r="G19" s="5">
        <f>IF(COUNT(D19,F19)=0,"",IF(COUNT(D19,F19)=2,D19*Настройки!$B$4+F19*Настройки!$B$5,IF(D19&lt;&gt;"",D19,F19)))</f>
        <v>15.4</v>
      </c>
      <c r="H19" s="5">
        <f>IF(OR(G19="",COUNT($G$5:G19)&lt;12),"",AVERAGE(G8:G19))</f>
        <v>13.904166666666667</v>
      </c>
      <c r="I19" s="5">
        <f t="shared" si="3"/>
        <v>1.1075816601738089</v>
      </c>
      <c r="J19" s="5">
        <f>IF(OR(G19="",N(IFERROR(VLOOKUP(B19,Сезонность!$A$4:$D$15,4,FALSE),0))=0),"",G19/IFERROR(VLOOKUP(B19,Сезонность!$A$4:$D$15,4,FALSE),1))</f>
        <v>21.121263435438085</v>
      </c>
      <c r="K19" s="5">
        <f>IF(OR(G19="",H19="",H19=0,N(IFERROR(VLOOKUP(B19,Сезонность!$A$4:$D$15,4,FALSE),0))=0),"",G19/(H19*IFERROR(VLOOKUP(B19,Сезонность!$A$4:$D$15,4,FALSE),1)))</f>
        <v>1.5190600013500573</v>
      </c>
      <c r="L19" s="3" t="str">
        <f>IF(K19="","",IF(K19&lt;Настройки!$B$11,"ниже тренда",IF(K19&gt;Настройки!$B$12,"выше тренда","норма")))</f>
        <v>выше тренда</v>
      </c>
      <c r="M19" s="3" t="str">
        <f t="shared" si="4"/>
        <v>возможная фаза повышенного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>
        <f>IF(Ввод_данных!C20="","",Ввод_данных!C20)</f>
        <v>56.5</v>
      </c>
      <c r="E20" s="5" t="str">
        <f>IF(Ввод_данных!D20="","",Ввод_данных!D20)</f>
        <v/>
      </c>
      <c r="F20" s="5" t="str">
        <f t="shared" si="2"/>
        <v/>
      </c>
      <c r="G20" s="5">
        <f>IF(COUNT(D20,F20)=0,"",IF(COUNT(D20,F20)=2,D20*Настройки!$B$4+F20*Настройки!$B$5,IF(D20&lt;&gt;"",D20,F20)))</f>
        <v>56.5</v>
      </c>
      <c r="H20" s="5">
        <f>IF(OR(G20="",COUNT($G$5:G20)&lt;12),"",AVERAGE(G9:G20))</f>
        <v>16.245833333333334</v>
      </c>
      <c r="I20" s="5">
        <f t="shared" si="3"/>
        <v>3.4778148243139264</v>
      </c>
      <c r="J20" s="5">
        <f>IF(OR(G20="",N(IFERROR(VLOOKUP(B20,Сезонность!$A$4:$D$15,4,FALSE),0))=0),"",G20/IFERROR(VLOOKUP(B20,Сезонность!$A$4:$D$15,4,FALSE),1))</f>
        <v>24.67839560526614</v>
      </c>
      <c r="K20" s="5">
        <f>IF(OR(G20="",H20="",H20=0,N(IFERROR(VLOOKUP(B20,Сезонность!$A$4:$D$15,4,FALSE),0))=0),"",G20/(H20*IFERROR(VLOOKUP(B20,Сезонность!$A$4:$D$15,4,FALSE),1)))</f>
        <v>1.5190600013500575</v>
      </c>
      <c r="L20" s="3" t="str">
        <f>IF(K20="","",IF(K20&lt;Настройки!$B$11,"ниже тренда",IF(K20&gt;Настройки!$B$12,"выше тренда","норма")))</f>
        <v>выше тренда</v>
      </c>
      <c r="M20" s="3" t="str">
        <f t="shared" si="4"/>
        <v>возможная фаза повышенного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>
        <f>IF(Ввод_данных!C21="","",Ввод_данных!C21)</f>
        <v>0</v>
      </c>
      <c r="E21" s="5" t="str">
        <f>IF(Ввод_данных!D21="","",Ввод_данных!D21)</f>
        <v/>
      </c>
      <c r="F21" s="5" t="str">
        <f t="shared" si="2"/>
        <v/>
      </c>
      <c r="G21" s="5">
        <f>IF(COUNT(D21,F21)=0,"",IF(COUNT(D21,F21)=2,D21*Настройки!$B$4+F21*Настройки!$B$5,IF(D21&lt;&gt;"",D21,F21)))</f>
        <v>0</v>
      </c>
      <c r="H21" s="5">
        <f>IF(OR(G21="",COUNT($G$5:G21)&lt;12),"",AVERAGE(G10:G21))</f>
        <v>15.35</v>
      </c>
      <c r="I21" s="5">
        <f t="shared" si="3"/>
        <v>0</v>
      </c>
      <c r="J21" s="5" t="str">
        <f>IF(OR(G21="",N(IFERROR(VLOOKUP(B21,Сезонность!$A$4:$D$15,4,FALSE),0))=0),"",G21/IFERROR(VLOOKUP(B21,Сезонность!$A$4:$D$15,4,FALSE),1))</f>
        <v/>
      </c>
      <c r="K21" s="5" t="str">
        <f>IF(OR(G21="",H21="",H21=0,N(IFERROR(VLOOKUP(B21,Сезонность!$A$4:$D$15,4,FALSE),0))=0),"",G21/(H21*IFERROR(VLOOKUP(B21,Сезонность!$A$4:$D$15,4,FALSE),1)))</f>
        <v/>
      </c>
      <c r="L21" s="3" t="str">
        <f>IF(K21="","",IF(K21&lt;Настройки!$B$11,"ниже тренда",IF(K21&gt;Настройки!$B$12,"выше тренда","норма")))</f>
        <v/>
      </c>
      <c r="M21" s="3" t="str">
        <f t="shared" si="4"/>
        <v/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>
        <f>IF(Ввод_данных!C22="","",Ввод_данных!C22)</f>
        <v>23</v>
      </c>
      <c r="E22" s="5" t="str">
        <f>IF(Ввод_данных!D22="","",Ввод_данных!D22)</f>
        <v/>
      </c>
      <c r="F22" s="5" t="str">
        <f t="shared" si="2"/>
        <v/>
      </c>
      <c r="G22" s="5">
        <f>IF(COUNT(D22,F22)=0,"",IF(COUNT(D22,F22)=2,D22*Настройки!$B$4+F22*Настройки!$B$5,IF(D22&lt;&gt;"",D22,F22)))</f>
        <v>23</v>
      </c>
      <c r="H22" s="5">
        <f>IF(OR(G22="",COUNT($G$5:G22)&lt;12),"",AVERAGE(G11:G22))</f>
        <v>15.954166666666666</v>
      </c>
      <c r="I22" s="5">
        <f t="shared" si="3"/>
        <v>1.4416296683207104</v>
      </c>
      <c r="J22" s="5">
        <f>IF(OR(G22="",N(IFERROR(VLOOKUP(B22,Сезонность!$A$4:$D$15,4,FALSE),0))=0),"",G22/IFERROR(VLOOKUP(B22,Сезонность!$A$4:$D$15,4,FALSE),1))</f>
        <v>24.235336438205707</v>
      </c>
      <c r="K22" s="5">
        <f>IF(OR(G22="",H22="",H22=0,N(IFERROR(VLOOKUP(B22,Сезонность!$A$4:$D$15,4,FALSE),0))=0),"",G22/(H22*IFERROR(VLOOKUP(B22,Сезонность!$A$4:$D$15,4,FALSE),1)))</f>
        <v>1.5190600013500573</v>
      </c>
      <c r="L22" s="3" t="str">
        <f>IF(K22="","",IF(K22&lt;Настройки!$B$11,"ниже тренда",IF(K22&gt;Настройки!$B$12,"выше тренда","норма")))</f>
        <v>выше тренда</v>
      </c>
      <c r="M22" s="3" t="str">
        <f t="shared" si="4"/>
        <v>возможная фаза повышенного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>
        <f>IF(Ввод_данных!C23="","",Ввод_данных!C23)</f>
        <v>9.8000000000000007</v>
      </c>
      <c r="E23" s="5" t="str">
        <f>IF(Ввод_данных!D23="","",Ввод_данных!D23)</f>
        <v/>
      </c>
      <c r="F23" s="5" t="str">
        <f t="shared" si="2"/>
        <v/>
      </c>
      <c r="G23" s="5">
        <f>IF(COUNT(D23,F23)=0,"",IF(COUNT(D23,F23)=2,D23*Настройки!$B$4+F23*Настройки!$B$5,IF(D23&lt;&gt;"",D23,F23)))</f>
        <v>9.8000000000000007</v>
      </c>
      <c r="H23" s="5">
        <f>IF(OR(G23="",COUNT($G$5:G23)&lt;12),"",AVERAGE(G12:G23))</f>
        <v>14.754166666666668</v>
      </c>
      <c r="I23" s="5">
        <f t="shared" si="3"/>
        <v>0.6642191471335781</v>
      </c>
      <c r="J23" s="5">
        <f>IF(OR(G23="",N(IFERROR(VLOOKUP(B23,Сезонность!$A$4:$D$15,4,FALSE),0))=0),"",G23/IFERROR(VLOOKUP(B23,Сезонность!$A$4:$D$15,4,FALSE),1))</f>
        <v>22.412464436585637</v>
      </c>
      <c r="K23" s="5">
        <f>IF(OR(G23="",H23="",H23=0,N(IFERROR(VLOOKUP(B23,Сезонность!$A$4:$D$15,4,FALSE),0))=0),"",G23/(H23*IFERROR(VLOOKUP(B23,Сезонность!$A$4:$D$15,4,FALSE),1)))</f>
        <v>1.5190600013500573</v>
      </c>
      <c r="L23" s="3" t="str">
        <f>IF(K23="","",IF(K23&lt;Настройки!$B$11,"ниже тренда",IF(K23&gt;Настройки!$B$12,"выше тренда","норма")))</f>
        <v>выше тренда</v>
      </c>
      <c r="M23" s="3" t="str">
        <f t="shared" si="4"/>
        <v>возможная фаза повышенного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>
        <f>IF(Ввод_данных!C24="","",Ввод_данных!C24)</f>
        <v>15.75</v>
      </c>
      <c r="E24" s="5" t="str">
        <f>IF(Ввод_данных!D24="","",Ввод_данных!D24)</f>
        <v/>
      </c>
      <c r="F24" s="5" t="str">
        <f t="shared" si="2"/>
        <v/>
      </c>
      <c r="G24" s="5">
        <f>IF(COUNT(D24,F24)=0,"",IF(COUNT(D24,F24)=2,D24*Настройки!$B$4+F24*Настройки!$B$5,IF(D24&lt;&gt;"",D24,F24)))</f>
        <v>15.75</v>
      </c>
      <c r="H24" s="5">
        <f>IF(OR(G24="",COUNT($G$5:G24)&lt;12),"",AVERAGE(G13:G24))</f>
        <v>16.066666666666666</v>
      </c>
      <c r="I24" s="5">
        <f t="shared" si="3"/>
        <v>0.98029045643153523</v>
      </c>
      <c r="J24" s="5">
        <f>IF(OR(G24="",N(IFERROR(VLOOKUP(B24,Сезонность!$A$4:$D$15,4,FALSE),0))=0),"",G24/IFERROR(VLOOKUP(B24,Сезонность!$A$4:$D$15,4,FALSE),1))</f>
        <v>24.406230688357589</v>
      </c>
      <c r="K24" s="5">
        <f>IF(OR(G24="",H24="",H24=0,N(IFERROR(VLOOKUP(B24,Сезонность!$A$4:$D$15,4,FALSE),0))=0),"",G24/(H24*IFERROR(VLOOKUP(B24,Сезонность!$A$4:$D$15,4,FALSE),1)))</f>
        <v>1.5190600013500573</v>
      </c>
      <c r="L24" s="3" t="str">
        <f>IF(K24="","",IF(K24&lt;Настройки!$B$11,"ниже тренда",IF(K24&gt;Настройки!$B$12,"выше тренда","норма")))</f>
        <v>выше тренда</v>
      </c>
      <c r="M24" s="3" t="str">
        <f t="shared" si="4"/>
        <v>возможная фаза повышенного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>
        <f>IF(Ввод_данных!C25="","",Ввод_данных!C25)</f>
        <v>0</v>
      </c>
      <c r="E25" s="5" t="str">
        <f>IF(Ввод_данных!D25="","",Ввод_данных!D25)</f>
        <v/>
      </c>
      <c r="F25" s="5" t="str">
        <f t="shared" si="2"/>
        <v/>
      </c>
      <c r="G25" s="5">
        <f>IF(COUNT(D25,F25)=0,"",IF(COUNT(D25,F25)=2,D25*Настройки!$B$4+F25*Настройки!$B$5,IF(D25&lt;&gt;"",D25,F25)))</f>
        <v>0</v>
      </c>
      <c r="H25" s="5">
        <f>IF(OR(G25="",COUNT($G$5:G25)&lt;12),"",AVERAGE(G14:G25))</f>
        <v>13.2125</v>
      </c>
      <c r="I25" s="5">
        <f t="shared" si="3"/>
        <v>0</v>
      </c>
      <c r="J25" s="5" t="str">
        <f>IF(OR(G25="",N(IFERROR(VLOOKUP(B25,Сезонность!$A$4:$D$15,4,FALSE),0))=0),"",G25/IFERROR(VLOOKUP(B25,Сезонность!$A$4:$D$15,4,FALSE),1))</f>
        <v/>
      </c>
      <c r="K25" s="5" t="str">
        <f>IF(OR(G25="",H25="",H25=0,N(IFERROR(VLOOKUP(B25,Сезонность!$A$4:$D$15,4,FALSE),0))=0),"",G25/(H25*IFERROR(VLOOKUP(B25,Сезонность!$A$4:$D$15,4,FALSE),1)))</f>
        <v/>
      </c>
      <c r="L25" s="3" t="str">
        <f>IF(K25="","",IF(K25&lt;Настройки!$B$11,"ниже тренда",IF(K25&gt;Настройки!$B$12,"выше тренда","норма")))</f>
        <v/>
      </c>
      <c r="M25" s="3" t="str">
        <f t="shared" si="4"/>
        <v/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>
        <f>IF(Ввод_данных!C26="","",Ввод_данных!C26)</f>
        <v>0</v>
      </c>
      <c r="E26" s="5" t="str">
        <f>IF(Ввод_данных!D26="","",Ввод_данных!D26)</f>
        <v/>
      </c>
      <c r="F26" s="5" t="str">
        <f t="shared" si="2"/>
        <v/>
      </c>
      <c r="G26" s="5">
        <f>IF(COUNT(D26,F26)=0,"",IF(COUNT(D26,F26)=2,D26*Настройки!$B$4+F26*Настройки!$B$5,IF(D26&lt;&gt;"",D26,F26)))</f>
        <v>0</v>
      </c>
      <c r="H26" s="5">
        <f>IF(OR(G26="",COUNT($G$5:G26)&lt;12),"",AVERAGE(G15:G26))</f>
        <v>11.995833333333335</v>
      </c>
      <c r="I26" s="5">
        <f t="shared" si="3"/>
        <v>0</v>
      </c>
      <c r="J26" s="5" t="str">
        <f>IF(OR(G26="",N(IFERROR(VLOOKUP(B26,Сезонность!$A$4:$D$15,4,FALSE),0))=0),"",G26/IFERROR(VLOOKUP(B26,Сезонность!$A$4:$D$15,4,FALSE),1))</f>
        <v/>
      </c>
      <c r="K26" s="5" t="str">
        <f>IF(OR(G26="",H26="",H26=0,N(IFERROR(VLOOKUP(B26,Сезонность!$A$4:$D$15,4,FALSE),0))=0),"",G26/(H26*IFERROR(VLOOKUP(B26,Сезонность!$A$4:$D$15,4,FALSE),1)))</f>
        <v/>
      </c>
      <c r="L26" s="3" t="str">
        <f>IF(K26="","",IF(K26&lt;Настройки!$B$11,"ниже тренда",IF(K26&gt;Настройки!$B$12,"выше тренда","норма")))</f>
        <v/>
      </c>
      <c r="M26" s="3" t="str">
        <f t="shared" si="4"/>
        <v/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>
        <f>IF(Ввод_данных!C27="","",Ввод_данных!C27)</f>
        <v>0</v>
      </c>
      <c r="E27" s="5" t="str">
        <f>IF(Ввод_данных!D27="","",Ввод_данных!D27)</f>
        <v/>
      </c>
      <c r="F27" s="5" t="str">
        <f t="shared" si="2"/>
        <v/>
      </c>
      <c r="G27" s="5">
        <f>IF(COUNT(D27,F27)=0,"",IF(COUNT(D27,F27)=2,D27*Настройки!$B$4+F27*Настройки!$B$5,IF(D27&lt;&gt;"",D27,F27)))</f>
        <v>0</v>
      </c>
      <c r="H27" s="5">
        <f>IF(OR(G27="",COUNT($G$5:G27)&lt;12),"",AVERAGE(G16:G27))</f>
        <v>11.995833333333335</v>
      </c>
      <c r="I27" s="5">
        <f t="shared" si="3"/>
        <v>0</v>
      </c>
      <c r="J27" s="5" t="str">
        <f>IF(OR(G27="",N(IFERROR(VLOOKUP(B27,Сезонность!$A$4:$D$15,4,FALSE),0))=0),"",G27/IFERROR(VLOOKUP(B27,Сезонность!$A$4:$D$15,4,FALSE),1))</f>
        <v/>
      </c>
      <c r="K27" s="5" t="str">
        <f>IF(OR(G27="",H27="",H27=0,N(IFERROR(VLOOKUP(B27,Сезонность!$A$4:$D$15,4,FALSE),0))=0),"",G27/(H27*IFERROR(VLOOKUP(B27,Сезонность!$A$4:$D$15,4,FALSE),1)))</f>
        <v/>
      </c>
      <c r="L27" s="3" t="str">
        <f>IF(K27="","",IF(K27&lt;Настройки!$B$11,"ниже тренда",IF(K27&gt;Настройки!$B$12,"выше тренда","норма")))</f>
        <v/>
      </c>
      <c r="M27" s="3" t="str">
        <f t="shared" si="4"/>
        <v/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>
        <f>IF(Ввод_данных!C28="","",Ввод_данных!C28)</f>
        <v>0</v>
      </c>
      <c r="E28" s="5" t="str">
        <f>IF(Ввод_данных!D28="","",Ввод_данных!D28)</f>
        <v/>
      </c>
      <c r="F28" s="5" t="str">
        <f t="shared" si="2"/>
        <v/>
      </c>
      <c r="G28" s="5">
        <f>IF(COUNT(D28,F28)=0,"",IF(COUNT(D28,F28)=2,D28*Настройки!$B$4+F28*Настройки!$B$5,IF(D28&lt;&gt;"",D28,F28)))</f>
        <v>0</v>
      </c>
      <c r="H28" s="5">
        <f>IF(OR(G28="",COUNT($G$5:G28)&lt;12),"",AVERAGE(G17:G28))</f>
        <v>11.995833333333335</v>
      </c>
      <c r="I28" s="5">
        <f t="shared" si="3"/>
        <v>0</v>
      </c>
      <c r="J28" s="5" t="str">
        <f>IF(OR(G28="",N(IFERROR(VLOOKUP(B28,Сезонность!$A$4:$D$15,4,FALSE),0))=0),"",G28/IFERROR(VLOOKUP(B28,Сезонность!$A$4:$D$15,4,FALSE),1))</f>
        <v/>
      </c>
      <c r="K28" s="5" t="str">
        <f>IF(OR(G28="",H28="",H28=0,N(IFERROR(VLOOKUP(B28,Сезонность!$A$4:$D$15,4,FALSE),0))=0),"",G28/(H28*IFERROR(VLOOKUP(B28,Сезонность!$A$4:$D$15,4,FALSE),1)))</f>
        <v/>
      </c>
      <c r="L28" s="3" t="str">
        <f>IF(K28="","",IF(K28&lt;Настройки!$B$11,"ниже тренда",IF(K28&gt;Настройки!$B$12,"выше тренда","норма")))</f>
        <v/>
      </c>
      <c r="M28" s="3" t="str">
        <f t="shared" si="4"/>
        <v/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IF(OR(G29="",N(IFERROR(VLOOKUP(B29,Сезонность!$A$4:$D$15,4,FALSE),0))=0),"",G29/IFERROR(VLOOKUP(B29,Сезонность!$A$4:$D$15,4,FALSE),1))</f>
        <v/>
      </c>
      <c r="K29" s="5" t="str">
        <f>IF(OR(G29="",H29="",H29=0,N(IFERROR(VLOOKUP(B29,Сезонность!$A$4:$D$15,4,FALSE),0))=0),"",G29/(H29*IFERROR(VLOOKUP(B29,Сезонность!$A$4:$D$15,4,FALSE),1)))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IF(OR(G30="",N(IFERROR(VLOOKUP(B30,Сезонность!$A$4:$D$15,4,FALSE),0))=0),"",G30/IFERROR(VLOOKUP(B30,Сезонность!$A$4:$D$15,4,FALSE),1))</f>
        <v/>
      </c>
      <c r="K30" s="5" t="str">
        <f>IF(OR(G30="",H30="",H30=0,N(IFERROR(VLOOKUP(B30,Сезонность!$A$4:$D$15,4,FALSE),0))=0),"",G30/(H30*IFERROR(VLOOKUP(B30,Сезонность!$A$4:$D$15,4,FALSE),1)))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IF(OR(G31="",N(IFERROR(VLOOKUP(B31,Сезонность!$A$4:$D$15,4,FALSE),0))=0),"",G31/IFERROR(VLOOKUP(B31,Сезонность!$A$4:$D$15,4,FALSE),1))</f>
        <v/>
      </c>
      <c r="K31" s="5" t="str">
        <f>IF(OR(G31="",H31="",H31=0,N(IFERROR(VLOOKUP(B31,Сезонность!$A$4:$D$15,4,FALSE),0))=0),"",G31/(H31*IFERROR(VLOOKUP(B31,Сезонность!$A$4:$D$15,4,FALSE),1)))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IF(OR(G32="",N(IFERROR(VLOOKUP(B32,Сезонность!$A$4:$D$15,4,FALSE),0))=0),"",G32/IFERROR(VLOOKUP(B32,Сезонность!$A$4:$D$15,4,FALSE),1))</f>
        <v/>
      </c>
      <c r="K32" s="5" t="str">
        <f>IF(OR(G32="",H32="",H32=0,N(IFERROR(VLOOKUP(B32,Сезонность!$A$4:$D$15,4,FALSE),0))=0),"",G32/(H32*IFERROR(VLOOKUP(B32,Сезонность!$A$4:$D$15,4,FALSE),1)))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IF(OR(G33="",N(IFERROR(VLOOKUP(B33,Сезонность!$A$4:$D$15,4,FALSE),0))=0),"",G33/IFERROR(VLOOKUP(B33,Сезонность!$A$4:$D$15,4,FALSE),1))</f>
        <v/>
      </c>
      <c r="K33" s="5" t="str">
        <f>IF(OR(G33="",H33="",H33=0,N(IFERROR(VLOOKUP(B33,Сезонность!$A$4:$D$15,4,FALSE),0))=0),"",G33/(H33*IFERROR(VLOOKUP(B33,Сезонность!$A$4:$D$15,4,FALSE),1)))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IF(OR(G34="",N(IFERROR(VLOOKUP(B34,Сезонность!$A$4:$D$15,4,FALSE),0))=0),"",G34/IFERROR(VLOOKUP(B34,Сезонность!$A$4:$D$15,4,FALSE),1))</f>
        <v/>
      </c>
      <c r="K34" s="5" t="str">
        <f>IF(OR(G34="",H34="",H34=0,N(IFERROR(VLOOKUP(B34,Сезонность!$A$4:$D$15,4,FALSE),0))=0),"",G34/(H34*IFERROR(VLOOKUP(B34,Сезонность!$A$4:$D$15,4,FALSE),1)))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IF(OR(G35="",N(IFERROR(VLOOKUP(B35,Сезонность!$A$4:$D$15,4,FALSE),0))=0),"",G35/IFERROR(VLOOKUP(B35,Сезонность!$A$4:$D$15,4,FALSE),1))</f>
        <v/>
      </c>
      <c r="K35" s="5" t="str">
        <f>IF(OR(G35="",H35="",H35=0,N(IFERROR(VLOOKUP(B35,Сезонность!$A$4:$D$15,4,FALSE),0))=0),"",G35/(H35*IFERROR(VLOOKUP(B35,Сезонность!$A$4:$D$15,4,FALSE),1)))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IF(OR(G36="",N(IFERROR(VLOOKUP(B36,Сезонность!$A$4:$D$15,4,FALSE),0))=0),"",G36/IFERROR(VLOOKUP(B36,Сезонность!$A$4:$D$15,4,FALSE),1))</f>
        <v/>
      </c>
      <c r="K36" s="5" t="str">
        <f>IF(OR(G36="",H36="",H36=0,N(IFERROR(VLOOKUP(B36,Сезонность!$A$4:$D$15,4,FALSE),0))=0),"",G36/(H36*IFERROR(VLOOKUP(B36,Сезонность!$A$4:$D$15,4,FALSE),1)))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IF(OR(G37="",N(IFERROR(VLOOKUP(B37,Сезонность!$A$4:$D$15,4,FALSE),0))=0),"",G37/IFERROR(VLOOKUP(B37,Сезонность!$A$4:$D$15,4,FALSE),1))</f>
        <v/>
      </c>
      <c r="K37" s="5" t="str">
        <f>IF(OR(G37="",H37="",H37=0,N(IFERROR(VLOOKUP(B37,Сезонность!$A$4:$D$15,4,FALSE),0))=0),"",G37/(H37*IFERROR(VLOOKUP(B37,Сезонность!$A$4:$D$15,4,FALSE),1)))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IF(OR(G38="",N(IFERROR(VLOOKUP(B38,Сезонность!$A$4:$D$15,4,FALSE),0))=0),"",G38/IFERROR(VLOOKUP(B38,Сезонность!$A$4:$D$15,4,FALSE),1))</f>
        <v/>
      </c>
      <c r="K38" s="5" t="str">
        <f>IF(OR(G38="",H38="",H38=0,N(IFERROR(VLOOKUP(B38,Сезонность!$A$4:$D$15,4,FALSE),0))=0),"",G38/(H38*IFERROR(VLOOKUP(B38,Сезонность!$A$4:$D$15,4,FALSE),1)))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IF(OR(G39="",N(IFERROR(VLOOKUP(B39,Сезонность!$A$4:$D$15,4,FALSE),0))=0),"",G39/IFERROR(VLOOKUP(B39,Сезонность!$A$4:$D$15,4,FALSE),1))</f>
        <v/>
      </c>
      <c r="K39" s="5" t="str">
        <f>IF(OR(G39="",H39="",H39=0,N(IFERROR(VLOOKUP(B39,Сезонность!$A$4:$D$15,4,FALSE),0))=0),"",G39/(H39*IFERROR(VLOOKUP(B39,Сезонность!$A$4:$D$15,4,FALSE),1)))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IF(OR(G40="",N(IFERROR(VLOOKUP(B40,Сезонность!$A$4:$D$15,4,FALSE),0))=0),"",G40/IFERROR(VLOOKUP(B40,Сезонность!$A$4:$D$15,4,FALSE),1))</f>
        <v/>
      </c>
      <c r="K40" s="5" t="str">
        <f>IF(OR(G40="",H40="",H40=0,N(IFERROR(VLOOKUP(B40,Сезонность!$A$4:$D$15,4,FALSE),0))=0),"",G40/(H40*IFERROR(VLOOKUP(B40,Сезонность!$A$4:$D$15,4,FALSE),1)))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IF(OR(G41="",N(IFERROR(VLOOKUP(B41,Сезонность!$A$4:$D$15,4,FALSE),0))=0),"",G41/IFERROR(VLOOKUP(B41,Сезонность!$A$4:$D$15,4,FALSE),1))</f>
        <v/>
      </c>
      <c r="K41" s="5" t="str">
        <f>IF(OR(G41="",H41="",H41=0,N(IFERROR(VLOOKUP(B41,Сезонность!$A$4:$D$15,4,FALSE),0))=0),"",G41/(H41*IFERROR(VLOOKUP(B41,Сезонность!$A$4:$D$15,4,FALSE),1)))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IF(OR(G42="",N(IFERROR(VLOOKUP(B42,Сезонность!$A$4:$D$15,4,FALSE),0))=0),"",G42/IFERROR(VLOOKUP(B42,Сезонность!$A$4:$D$15,4,FALSE),1))</f>
        <v/>
      </c>
      <c r="K42" s="5" t="str">
        <f>IF(OR(G42="",H42="",H42=0,N(IFERROR(VLOOKUP(B42,Сезонность!$A$4:$D$15,4,FALSE),0))=0),"",G42/(H42*IFERROR(VLOOKUP(B42,Сезонность!$A$4:$D$15,4,FALSE),1)))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IF(OR(G43="",N(IFERROR(VLOOKUP(B43,Сезонность!$A$4:$D$15,4,FALSE),0))=0),"",G43/IFERROR(VLOOKUP(B43,Сезонность!$A$4:$D$15,4,FALSE),1))</f>
        <v/>
      </c>
      <c r="K43" s="5" t="str">
        <f>IF(OR(G43="",H43="",H43=0,N(IFERROR(VLOOKUP(B43,Сезонность!$A$4:$D$15,4,FALSE),0))=0),"",G43/(H43*IFERROR(VLOOKUP(B43,Сезонность!$A$4:$D$15,4,FALSE),1)))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IF(OR(G44="",N(IFERROR(VLOOKUP(B44,Сезонность!$A$4:$D$15,4,FALSE),0))=0),"",G44/IFERROR(VLOOKUP(B44,Сезонность!$A$4:$D$15,4,FALSE),1))</f>
        <v/>
      </c>
      <c r="K44" s="5" t="str">
        <f>IF(OR(G44="",H44="",H44=0,N(IFERROR(VLOOKUP(B44,Сезонность!$A$4:$D$15,4,FALSE),0))=0),"",G44/(H44*IFERROR(VLOOKUP(B44,Сезонность!$A$4:$D$15,4,FALSE),1)))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IF(OR(G45="",N(IFERROR(VLOOKUP(B45,Сезонность!$A$4:$D$15,4,FALSE),0))=0),"",G45/IFERROR(VLOOKUP(B45,Сезонность!$A$4:$D$15,4,FALSE),1))</f>
        <v/>
      </c>
      <c r="K45" s="5" t="str">
        <f>IF(OR(G45="",H45="",H45=0,N(IFERROR(VLOOKUP(B45,Сезонность!$A$4:$D$15,4,FALSE),0))=0),"",G45/(H45*IFERROR(VLOOKUP(B45,Сезонность!$A$4:$D$15,4,FALSE),1)))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IF(OR(G46="",N(IFERROR(VLOOKUP(B46,Сезонность!$A$4:$D$15,4,FALSE),0))=0),"",G46/IFERROR(VLOOKUP(B46,Сезонность!$A$4:$D$15,4,FALSE),1))</f>
        <v/>
      </c>
      <c r="K46" s="5" t="str">
        <f>IF(OR(G46="",H46="",H46=0,N(IFERROR(VLOOKUP(B46,Сезонность!$A$4:$D$15,4,FALSE),0))=0),"",G46/(H46*IFERROR(VLOOKUP(B46,Сезонность!$A$4:$D$15,4,FALSE),1)))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IF(OR(G47="",N(IFERROR(VLOOKUP(B47,Сезонность!$A$4:$D$15,4,FALSE),0))=0),"",G47/IFERROR(VLOOKUP(B47,Сезонность!$A$4:$D$15,4,FALSE),1))</f>
        <v/>
      </c>
      <c r="K47" s="5" t="str">
        <f>IF(OR(G47="",H47="",H47=0,N(IFERROR(VLOOKUP(B47,Сезонность!$A$4:$D$15,4,FALSE),0))=0),"",G47/(H47*IFERROR(VLOOKUP(B47,Сезонность!$A$4:$D$15,4,FALSE),1)))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IF(OR(G48="",N(IFERROR(VLOOKUP(B48,Сезонность!$A$4:$D$15,4,FALSE),0))=0),"",G48/IFERROR(VLOOKUP(B48,Сезонность!$A$4:$D$15,4,FALSE),1))</f>
        <v/>
      </c>
      <c r="K48" s="5" t="str">
        <f>IF(OR(G48="",H48="",H48=0,N(IFERROR(VLOOKUP(B48,Сезонность!$A$4:$D$15,4,FALSE),0))=0),"",G48/(H48*IFERROR(VLOOKUP(B48,Сезонность!$A$4:$D$15,4,FALSE),1)))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IF(OR(G49="",N(IFERROR(VLOOKUP(B49,Сезонность!$A$4:$D$15,4,FALSE),0))=0),"",G49/IFERROR(VLOOKUP(B49,Сезонность!$A$4:$D$15,4,FALSE),1))</f>
        <v/>
      </c>
      <c r="K49" s="5" t="str">
        <f>IF(OR(G49="",H49="",H49=0,N(IFERROR(VLOOKUP(B49,Сезонность!$A$4:$D$15,4,FALSE),0))=0),"",G49/(H49*IFERROR(VLOOKUP(B49,Сезонность!$A$4:$D$15,4,FALSE),1)))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IF(OR(G50="",N(IFERROR(VLOOKUP(B50,Сезонность!$A$4:$D$15,4,FALSE),0))=0),"",G50/IFERROR(VLOOKUP(B50,Сезонность!$A$4:$D$15,4,FALSE),1))</f>
        <v/>
      </c>
      <c r="K50" s="5" t="str">
        <f>IF(OR(G50="",H50="",H50=0,N(IFERROR(VLOOKUP(B50,Сезонность!$A$4:$D$15,4,FALSE),0))=0),"",G50/(H50*IFERROR(VLOOKUP(B50,Сезонность!$A$4:$D$15,4,FALSE),1)))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IF(OR(G51="",N(IFERROR(VLOOKUP(B51,Сезонность!$A$4:$D$15,4,FALSE),0))=0),"",G51/IFERROR(VLOOKUP(B51,Сезонность!$A$4:$D$15,4,FALSE),1))</f>
        <v/>
      </c>
      <c r="K51" s="5" t="str">
        <f>IF(OR(G51="",H51="",H51=0,N(IFERROR(VLOOKUP(B51,Сезонность!$A$4:$D$15,4,FALSE),0))=0),"",G51/(H51*IFERROR(VLOOKUP(B51,Сезонность!$A$4:$D$15,4,FALSE),1)))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IF(OR(G52="",N(IFERROR(VLOOKUP(B52,Сезонность!$A$4:$D$15,4,FALSE),0))=0),"",G52/IFERROR(VLOOKUP(B52,Сезонность!$A$4:$D$15,4,FALSE),1))</f>
        <v/>
      </c>
      <c r="K52" s="5" t="str">
        <f>IF(OR(G52="",H52="",H52=0,N(IFERROR(VLOOKUP(B52,Сезонность!$A$4:$D$15,4,FALSE),0))=0),"",G52/(H52*IFERROR(VLOOKUP(B52,Сезонность!$A$4:$D$15,4,FALSE),1)))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IF(OR(G53="",N(IFERROR(VLOOKUP(B53,Сезонность!$A$4:$D$15,4,FALSE),0))=0),"",G53/IFERROR(VLOOKUP(B53,Сезонность!$A$4:$D$15,4,FALSE),1))</f>
        <v/>
      </c>
      <c r="K53" s="5" t="str">
        <f>IF(OR(G53="",H53="",H53=0,N(IFERROR(VLOOKUP(B53,Сезонность!$A$4:$D$15,4,FALSE),0))=0),"",G53/(H53*IFERROR(VLOOKUP(B53,Сезонность!$A$4:$D$15,4,FALSE),1)))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IF(OR(G54="",N(IFERROR(VLOOKUP(B54,Сезонность!$A$4:$D$15,4,FALSE),0))=0),"",G54/IFERROR(VLOOKUP(B54,Сезонность!$A$4:$D$15,4,FALSE),1))</f>
        <v/>
      </c>
      <c r="K54" s="5" t="str">
        <f>IF(OR(G54="",H54="",H54=0,N(IFERROR(VLOOKUP(B54,Сезонность!$A$4:$D$15,4,FALSE),0))=0),"",G54/(H54*IFERROR(VLOOKUP(B54,Сезонность!$A$4:$D$15,4,FALSE),1)))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IF(OR(G55="",N(IFERROR(VLOOKUP(B55,Сезонность!$A$4:$D$15,4,FALSE),0))=0),"",G55/IFERROR(VLOOKUP(B55,Сезонность!$A$4:$D$15,4,FALSE),1))</f>
        <v/>
      </c>
      <c r="K55" s="5" t="str">
        <f>IF(OR(G55="",H55="",H55=0,N(IFERROR(VLOOKUP(B55,Сезонность!$A$4:$D$15,4,FALSE),0))=0),"",G55/(H55*IFERROR(VLOOKUP(B55,Сезонность!$A$4:$D$15,4,FALSE),1)))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IF(OR(G56="",N(IFERROR(VLOOKUP(B56,Сезонность!$A$4:$D$15,4,FALSE),0))=0),"",G56/IFERROR(VLOOKUP(B56,Сезонность!$A$4:$D$15,4,FALSE),1))</f>
        <v/>
      </c>
      <c r="K56" s="5" t="str">
        <f>IF(OR(G56="",H56="",H56=0,N(IFERROR(VLOOKUP(B56,Сезонность!$A$4:$D$15,4,FALSE),0))=0),"",G56/(H56*IFERROR(VLOOKUP(B56,Сезонность!$A$4:$D$15,4,FALSE),1)))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IF(OR(G57="",N(IFERROR(VLOOKUP(B57,Сезонность!$A$4:$D$15,4,FALSE),0))=0),"",G57/IFERROR(VLOOKUP(B57,Сезонность!$A$4:$D$15,4,FALSE),1))</f>
        <v/>
      </c>
      <c r="K57" s="5" t="str">
        <f>IF(OR(G57="",H57="",H57=0,N(IFERROR(VLOOKUP(B57,Сезонность!$A$4:$D$15,4,FALSE),0))=0),"",G57/(H57*IFERROR(VLOOKUP(B57,Сезонность!$A$4:$D$15,4,FALSE),1)))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IF(OR(G58="",N(IFERROR(VLOOKUP(B58,Сезонность!$A$4:$D$15,4,FALSE),0))=0),"",G58/IFERROR(VLOOKUP(B58,Сезонность!$A$4:$D$15,4,FALSE),1))</f>
        <v/>
      </c>
      <c r="K58" s="5" t="str">
        <f>IF(OR(G58="",H58="",H58=0,N(IFERROR(VLOOKUP(B58,Сезонность!$A$4:$D$15,4,FALSE),0))=0),"",G58/(H58*IFERROR(VLOOKUP(B58,Сезонность!$A$4:$D$15,4,FALSE),1)))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IF(OR(G59="",N(IFERROR(VLOOKUP(B59,Сезонность!$A$4:$D$15,4,FALSE),0))=0),"",G59/IFERROR(VLOOKUP(B59,Сезонность!$A$4:$D$15,4,FALSE),1))</f>
        <v/>
      </c>
      <c r="K59" s="5" t="str">
        <f>IF(OR(G59="",H59="",H59=0,N(IFERROR(VLOOKUP(B59,Сезонность!$A$4:$D$15,4,FALSE),0))=0),"",G59/(H59*IFERROR(VLOOKUP(B59,Сезонность!$A$4:$D$15,4,FALSE),1)))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IF(OR(G60="",N(IFERROR(VLOOKUP(B60,Сезонность!$A$4:$D$15,4,FALSE),0))=0),"",G60/IFERROR(VLOOKUP(B60,Сезонность!$A$4:$D$15,4,FALSE),1))</f>
        <v/>
      </c>
      <c r="K60" s="5" t="str">
        <f>IF(OR(G60="",H60="",H60=0,N(IFERROR(VLOOKUP(B60,Сезонность!$A$4:$D$15,4,FALSE),0))=0),"",G60/(H60*IFERROR(VLOOKUP(B60,Сезонность!$A$4:$D$15,4,FALSE),1)))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IF(OR(G61="",N(IFERROR(VLOOKUP(B61,Сезонность!$A$4:$D$15,4,FALSE),0))=0),"",G61/IFERROR(VLOOKUP(B61,Сезонность!$A$4:$D$15,4,FALSE),1))</f>
        <v/>
      </c>
      <c r="K61" s="5" t="str">
        <f>IF(OR(G61="",H61="",H61=0,N(IFERROR(VLOOKUP(B61,Сезонность!$A$4:$D$15,4,FALSE),0))=0),"",G61/(H61*IFERROR(VLOOKUP(B61,Сезонность!$A$4:$D$15,4,FALSE),1)))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IF(OR(G62="",N(IFERROR(VLOOKUP(B62,Сезонность!$A$4:$D$15,4,FALSE),0))=0),"",G62/IFERROR(VLOOKUP(B62,Сезонность!$A$4:$D$15,4,FALSE),1))</f>
        <v/>
      </c>
      <c r="K62" s="5" t="str">
        <f>IF(OR(G62="",H62="",H62=0,N(IFERROR(VLOOKUP(B62,Сезонность!$A$4:$D$15,4,FALSE),0))=0),"",G62/(H62*IFERROR(VLOOKUP(B62,Сезонность!$A$4:$D$15,4,FALSE),1)))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IF(OR(G63="",N(IFERROR(VLOOKUP(B63,Сезонность!$A$4:$D$15,4,FALSE),0))=0),"",G63/IFERROR(VLOOKUP(B63,Сезонность!$A$4:$D$15,4,FALSE),1))</f>
        <v/>
      </c>
      <c r="K63" s="5" t="str">
        <f>IF(OR(G63="",H63="",H63=0,N(IFERROR(VLOOKUP(B63,Сезонность!$A$4:$D$15,4,FALSE),0))=0),"",G63/(H63*IFERROR(VLOOKUP(B63,Сезонность!$A$4:$D$15,4,FALSE),1)))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IF(OR(G64="",N(IFERROR(VLOOKUP(B64,Сезонность!$A$4:$D$15,4,FALSE),0))=0),"",G64/IFERROR(VLOOKUP(B64,Сезонность!$A$4:$D$15,4,FALSE),1))</f>
        <v/>
      </c>
      <c r="K64" s="5" t="str">
        <f>IF(OR(G64="",H64="",H64=0,N(IFERROR(VLOOKUP(B64,Сезонность!$A$4:$D$15,4,FALSE),0))=0),"",G64/(H64*IFERROR(VLOOKUP(B64,Сезонность!$A$4:$D$15,4,FALSE),1)))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2" t="s">
        <v>49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 t="str">
        <f>IFERROR(SUMIFS(Расчет!$I$5:$I$64,Расчет!$B$5:$B$64,A4)/COUNTIFS(Расчет!$B$5:$B$64,A4,Расчет!$I$5:$I$64,"&gt;0"),"")</f>
        <v/>
      </c>
      <c r="D4" s="5" t="str">
        <f t="shared" ref="D4:D15" si="0">IF(C4="","",C4/AVERAGE($C$4:$C$15))</f>
        <v/>
      </c>
      <c r="E4" s="5" t="str">
        <f t="shared" ref="E4:E15" si="1">IF(D4="","",D4-1)</f>
        <v/>
      </c>
      <c r="F4" s="3" t="str">
        <f t="shared" ref="F4:F15" si="2">IF(D4="","",IF(D4&gt;1.1,"сезонный максимум",IF(D4&lt;0.9,"сезонный минимум","средний сезонный уровень")))</f>
        <v/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1.4416296683207104</v>
      </c>
      <c r="D5" s="5">
        <f t="shared" si="0"/>
        <v>0.94902746898705048</v>
      </c>
      <c r="E5" s="5">
        <f t="shared" si="1"/>
        <v>-5.0972531012949518E-2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0.6642191471335781</v>
      </c>
      <c r="D6" s="5">
        <f t="shared" si="0"/>
        <v>0.43725668936266937</v>
      </c>
      <c r="E6" s="5">
        <f t="shared" si="1"/>
        <v>-0.56274331063733063</v>
      </c>
      <c r="F6" s="3" t="str">
        <f t="shared" si="2"/>
        <v>сезонный минимум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0.98029045643153523</v>
      </c>
      <c r="D7" s="5">
        <f t="shared" si="0"/>
        <v>0.64532701510164625</v>
      </c>
      <c r="E7" s="5">
        <f t="shared" si="1"/>
        <v>-0.35467298489835375</v>
      </c>
      <c r="F7" s="3" t="str">
        <f t="shared" si="2"/>
        <v>сезонный минимум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 t="str">
        <f>IFERROR(SUMIFS(Расчет!$I$5:$I$64,Расчет!$B$5:$B$64,A8)/COUNTIFS(Расчет!$B$5:$B$64,A8,Расчет!$I$5:$I$64,"&gt;0"),"")</f>
        <v/>
      </c>
      <c r="D8" s="5" t="str">
        <f t="shared" si="0"/>
        <v/>
      </c>
      <c r="E8" s="5" t="str">
        <f t="shared" si="1"/>
        <v/>
      </c>
      <c r="F8" s="3" t="str">
        <f t="shared" si="2"/>
        <v/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 t="str">
        <f>IFERROR(SUMIFS(Расчет!$I$5:$I$64,Расчет!$B$5:$B$64,A9)/COUNTIFS(Расчет!$B$5:$B$64,A9,Расчет!$I$5:$I$64,"&gt;0"),"")</f>
        <v/>
      </c>
      <c r="D9" s="5" t="str">
        <f t="shared" si="0"/>
        <v/>
      </c>
      <c r="E9" s="5" t="str">
        <f t="shared" si="1"/>
        <v/>
      </c>
      <c r="F9" s="3" t="str">
        <f t="shared" si="2"/>
        <v/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 t="str">
        <f>IFERROR(SUMIFS(Расчет!$I$5:$I$64,Расчет!$B$5:$B$64,A10)/COUNTIFS(Расчет!$B$5:$B$64,A10,Расчет!$I$5:$I$64,"&gt;0"),"")</f>
        <v/>
      </c>
      <c r="D10" s="5" t="str">
        <f t="shared" si="0"/>
        <v/>
      </c>
      <c r="E10" s="5" t="str">
        <f t="shared" si="1"/>
        <v/>
      </c>
      <c r="F10" s="3" t="str">
        <f t="shared" si="2"/>
        <v/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 t="str">
        <f>IFERROR(SUMIFS(Расчет!$I$5:$I$64,Расчет!$B$5:$B$64,A11)/COUNTIFS(Расчет!$B$5:$B$64,A11,Расчет!$I$5:$I$64,"&gt;0"),"")</f>
        <v/>
      </c>
      <c r="D11" s="5" t="str">
        <f t="shared" si="0"/>
        <v/>
      </c>
      <c r="E11" s="5" t="str">
        <f t="shared" si="1"/>
        <v/>
      </c>
      <c r="F11" s="3" t="str">
        <f t="shared" si="2"/>
        <v/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 t="str">
        <f>IFERROR(SUMIFS(Расчет!$I$5:$I$64,Расчет!$B$5:$B$64,A12)/COUNTIFS(Расчет!$B$5:$B$64,A12,Расчет!$I$5:$I$64,"&gt;0"),"")</f>
        <v/>
      </c>
      <c r="D12" s="5" t="str">
        <f t="shared" si="0"/>
        <v/>
      </c>
      <c r="E12" s="5" t="str">
        <f t="shared" si="1"/>
        <v/>
      </c>
      <c r="F12" s="3" t="str">
        <f t="shared" si="2"/>
        <v/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1.4428242517267842</v>
      </c>
      <c r="D13" s="5">
        <f t="shared" si="0"/>
        <v>0.94981386544605284</v>
      </c>
      <c r="E13" s="5">
        <f t="shared" si="1"/>
        <v>-5.0186134553947159E-2</v>
      </c>
      <c r="F13" s="3" t="str">
        <f t="shared" si="2"/>
        <v>средний сезонный уровень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1.1075816601738089</v>
      </c>
      <c r="D14" s="5">
        <f t="shared" si="0"/>
        <v>0.72912304924719962</v>
      </c>
      <c r="E14" s="5">
        <f t="shared" si="1"/>
        <v>-0.27087695075280038</v>
      </c>
      <c r="F14" s="3" t="str">
        <f t="shared" si="2"/>
        <v>сезонный минимум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3.4778148243139264</v>
      </c>
      <c r="D15" s="5">
        <f t="shared" si="0"/>
        <v>2.2894519118553811</v>
      </c>
      <c r="E15" s="5">
        <f t="shared" si="1"/>
        <v>1.2894519118553811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2.2894519118553811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0.43725668936266937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1.8521952224927118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декабрь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март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2" t="s">
        <v>70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21.324999999999999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11.995833333333335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-9.3291666666666639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-0.43747557639703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-1.2945434782608698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2" t="s">
        <v>95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96</v>
      </c>
      <c r="B2" s="13"/>
      <c r="C2" s="13"/>
      <c r="D2" s="13"/>
      <c r="E2" s="13"/>
      <c r="F2" s="13"/>
      <c r="G2" s="13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 t="str">
        <f>IFERROR(INDEX(Расчет!$K$5:$K$64,Оценка_тренда!$B$4),"")</f>
        <v/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/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1.5190600013500573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1.5190600013500575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55.2</v>
      </c>
      <c r="C14" s="5" t="str">
        <f>Расчет!H5</f>
        <v/>
      </c>
      <c r="D14" s="5" t="str">
        <f>IFERROR(VLOOKUP(Расчет!B5,Сезонность!$A$4:$D$15,4,FALSE),"")</f>
        <v/>
      </c>
      <c r="E14" s="5" t="str">
        <f>Расчет!J5</f>
        <v/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28.75</v>
      </c>
      <c r="C15" s="5" t="str">
        <f>Расчет!H6</f>
        <v/>
      </c>
      <c r="D15" s="5">
        <f>IFERROR(VLOOKUP(Расчет!B6,Сезонность!$A$4:$D$15,4,FALSE),"")</f>
        <v>0.94981386544605284</v>
      </c>
      <c r="E15" s="5">
        <f>Расчет!J6</f>
        <v>30.269088550837683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44</v>
      </c>
      <c r="C16" s="5" t="str">
        <f>Расчет!H7</f>
        <v/>
      </c>
      <c r="D16" s="5">
        <f>IFERROR(VLOOKUP(Расчет!B7,Сезонность!$A$4:$D$15,4,FALSE),"")</f>
        <v>0.72912304924719962</v>
      </c>
      <c r="E16" s="5">
        <f>Расчет!J7</f>
        <v>60.346466958394529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28.4</v>
      </c>
      <c r="C17" s="5" t="str">
        <f>Расчет!H8</f>
        <v/>
      </c>
      <c r="D17" s="5">
        <f>IFERROR(VLOOKUP(Расчет!B8,Сезонность!$A$4:$D$15,4,FALSE),"")</f>
        <v>2.2894519118553811</v>
      </c>
      <c r="E17" s="5">
        <f>Расчет!J8</f>
        <v>12.404715667071828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10.75</v>
      </c>
      <c r="C18" s="5" t="str">
        <f>Расчет!H9</f>
        <v/>
      </c>
      <c r="D18" s="5" t="str">
        <f>IFERROR(VLOOKUP(Расчет!B9,Сезонность!$A$4:$D$15,4,FALSE),"")</f>
        <v/>
      </c>
      <c r="E18" s="5" t="str">
        <f>Расчет!J9</f>
        <v/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15.75</v>
      </c>
      <c r="C19" s="5" t="str">
        <f>Расчет!H10</f>
        <v/>
      </c>
      <c r="D19" s="5">
        <f>IFERROR(VLOOKUP(Расчет!B10,Сезонность!$A$4:$D$15,4,FALSE),"")</f>
        <v>0.94902746898705048</v>
      </c>
      <c r="E19" s="5">
        <f>Расчет!J10</f>
        <v>16.5959369087713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24.2</v>
      </c>
      <c r="C20" s="5" t="str">
        <f>Расчет!H11</f>
        <v/>
      </c>
      <c r="D20" s="5">
        <f>IFERROR(VLOOKUP(Расчет!B11,Сезонность!$A$4:$D$15,4,FALSE),"")</f>
        <v>0.43725668936266937</v>
      </c>
      <c r="E20" s="5">
        <f>Расчет!J11</f>
        <v>55.34506524136453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0</v>
      </c>
      <c r="C21" s="5" t="str">
        <f>Расчет!H12</f>
        <v/>
      </c>
      <c r="D21" s="5">
        <f>IFERROR(VLOOKUP(Расчет!B12,Сезонность!$A$4:$D$15,4,FALSE),"")</f>
        <v>0.64532701510164625</v>
      </c>
      <c r="E21" s="5">
        <f>Расчет!J12</f>
        <v>0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34.25</v>
      </c>
      <c r="C22" s="5" t="str">
        <f>Расчет!H13</f>
        <v/>
      </c>
      <c r="D22" s="5" t="str">
        <f>IFERROR(VLOOKUP(Расчет!B13,Сезонность!$A$4:$D$15,4,FALSE),"")</f>
        <v/>
      </c>
      <c r="E22" s="5" t="str">
        <f>Расчет!J13</f>
        <v/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14.6</v>
      </c>
      <c r="C23" s="5" t="str">
        <f>Расчет!H14</f>
        <v/>
      </c>
      <c r="D23" s="5" t="str">
        <f>IFERROR(VLOOKUP(Расчет!B14,Сезонность!$A$4:$D$15,4,FALSE),"")</f>
        <v/>
      </c>
      <c r="E23" s="5" t="str">
        <f>Расчет!J14</f>
        <v/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0</v>
      </c>
      <c r="C24" s="5" t="str">
        <f>Расчет!H15</f>
        <v/>
      </c>
      <c r="D24" s="5" t="str">
        <f>IFERROR(VLOOKUP(Расчет!B15,Сезонность!$A$4:$D$15,4,FALSE),"")</f>
        <v/>
      </c>
      <c r="E24" s="5" t="str">
        <f>Расчет!J15</f>
        <v/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0</v>
      </c>
      <c r="C25" s="5">
        <f>Расчет!H16</f>
        <v>21.324999999999999</v>
      </c>
      <c r="D25" s="5" t="str">
        <f>IFERROR(VLOOKUP(Расчет!B16,Сезонность!$A$4:$D$15,4,FALSE),"")</f>
        <v/>
      </c>
      <c r="E25" s="5" t="str">
        <f>Расчет!J16</f>
        <v/>
      </c>
      <c r="F25" s="5" t="str">
        <f>Расчет!K16</f>
        <v/>
      </c>
      <c r="G25" s="3" t="str">
        <f>Расчет!L16</f>
        <v/>
      </c>
      <c r="H25" s="3" t="str">
        <f t="shared" si="0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0</v>
      </c>
      <c r="C26" s="5">
        <f>Расчет!H17</f>
        <v>16.724999999999998</v>
      </c>
      <c r="D26" s="5" t="str">
        <f>IFERROR(VLOOKUP(Расчет!B17,Сезонность!$A$4:$D$15,4,FALSE),"")</f>
        <v/>
      </c>
      <c r="E26" s="5" t="str">
        <f>Расчет!J17</f>
        <v/>
      </c>
      <c r="F26" s="5" t="str">
        <f>Расчет!K17</f>
        <v/>
      </c>
      <c r="G26" s="3" t="str">
        <f>Расчет!L17</f>
        <v/>
      </c>
      <c r="H26" s="3" t="str">
        <f t="shared" si="0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23.5</v>
      </c>
      <c r="C27" s="5">
        <f>Расчет!H18</f>
        <v>16.287500000000001</v>
      </c>
      <c r="D27" s="5">
        <f>IFERROR(VLOOKUP(Расчет!B18,Сезонность!$A$4:$D$15,4,FALSE),"")</f>
        <v>0.94981386544605284</v>
      </c>
      <c r="E27" s="5">
        <f>Расчет!J18</f>
        <v>24.741689771989062</v>
      </c>
      <c r="F27" s="5">
        <f>Расчет!K18</f>
        <v>1.5190600013500575</v>
      </c>
      <c r="G27" s="3" t="str">
        <f>Расчет!L18</f>
        <v>выше тренда</v>
      </c>
      <c r="H27" s="3" t="str">
        <f t="shared" si="0"/>
        <v>период активизации продвижения и продаж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15.4</v>
      </c>
      <c r="C28" s="5">
        <f>Расчет!H19</f>
        <v>13.904166666666667</v>
      </c>
      <c r="D28" s="5">
        <f>IFERROR(VLOOKUP(Расчет!B19,Сезонность!$A$4:$D$15,4,FALSE),"")</f>
        <v>0.72912304924719962</v>
      </c>
      <c r="E28" s="5">
        <f>Расчет!J19</f>
        <v>21.121263435438085</v>
      </c>
      <c r="F28" s="5">
        <f>Расчет!K19</f>
        <v>1.5190600013500573</v>
      </c>
      <c r="G28" s="3" t="str">
        <f>Расчет!L19</f>
        <v>выше тренда</v>
      </c>
      <c r="H28" s="3" t="str">
        <f t="shared" si="0"/>
        <v>период активизации продвижения и продаж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56.5</v>
      </c>
      <c r="C29" s="5">
        <f>Расчет!H20</f>
        <v>16.245833333333334</v>
      </c>
      <c r="D29" s="5">
        <f>IFERROR(VLOOKUP(Расчет!B20,Сезонность!$A$4:$D$15,4,FALSE),"")</f>
        <v>2.2894519118553811</v>
      </c>
      <c r="E29" s="5">
        <f>Расчет!J20</f>
        <v>24.67839560526614</v>
      </c>
      <c r="F29" s="5">
        <f>Расчет!K20</f>
        <v>1.5190600013500575</v>
      </c>
      <c r="G29" s="3" t="str">
        <f>Расчет!L20</f>
        <v>выше тренда</v>
      </c>
      <c r="H29" s="3" t="str">
        <f t="shared" si="0"/>
        <v>период активизации продвижения и продаж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0</v>
      </c>
      <c r="C30" s="5">
        <f>Расчет!H21</f>
        <v>15.35</v>
      </c>
      <c r="D30" s="5" t="str">
        <f>IFERROR(VLOOKUP(Расчет!B21,Сезонность!$A$4:$D$15,4,FALSE),"")</f>
        <v/>
      </c>
      <c r="E30" s="5" t="str">
        <f>Расчет!J21</f>
        <v/>
      </c>
      <c r="F30" s="5" t="str">
        <f>Расчет!K21</f>
        <v/>
      </c>
      <c r="G30" s="3" t="str">
        <f>Расчет!L21</f>
        <v/>
      </c>
      <c r="H30" s="3" t="str">
        <f t="shared" si="0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23</v>
      </c>
      <c r="C31" s="5">
        <f>Расчет!H22</f>
        <v>15.954166666666666</v>
      </c>
      <c r="D31" s="5">
        <f>IFERROR(VLOOKUP(Расчет!B22,Сезонность!$A$4:$D$15,4,FALSE),"")</f>
        <v>0.94902746898705048</v>
      </c>
      <c r="E31" s="5">
        <f>Расчет!J22</f>
        <v>24.235336438205707</v>
      </c>
      <c r="F31" s="5">
        <f>Расчет!K22</f>
        <v>1.5190600013500573</v>
      </c>
      <c r="G31" s="3" t="str">
        <f>Расчет!L22</f>
        <v>выше тренда</v>
      </c>
      <c r="H31" s="3" t="str">
        <f t="shared" si="0"/>
        <v>период активизации продвижения и продаж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9.8000000000000007</v>
      </c>
      <c r="C32" s="5">
        <f>Расчет!H23</f>
        <v>14.754166666666668</v>
      </c>
      <c r="D32" s="5">
        <f>IFERROR(VLOOKUP(Расчет!B23,Сезонность!$A$4:$D$15,4,FALSE),"")</f>
        <v>0.43725668936266937</v>
      </c>
      <c r="E32" s="5">
        <f>Расчет!J23</f>
        <v>22.412464436585637</v>
      </c>
      <c r="F32" s="5">
        <f>Расчет!K23</f>
        <v>1.5190600013500573</v>
      </c>
      <c r="G32" s="3" t="str">
        <f>Расчет!L23</f>
        <v>выше тренда</v>
      </c>
      <c r="H32" s="3" t="str">
        <f t="shared" si="0"/>
        <v>период активизации продвижения и продаж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15.75</v>
      </c>
      <c r="C33" s="5">
        <f>Расчет!H24</f>
        <v>16.066666666666666</v>
      </c>
      <c r="D33" s="5">
        <f>IFERROR(VLOOKUP(Расчет!B24,Сезонность!$A$4:$D$15,4,FALSE),"")</f>
        <v>0.64532701510164625</v>
      </c>
      <c r="E33" s="5">
        <f>Расчет!J24</f>
        <v>24.406230688357589</v>
      </c>
      <c r="F33" s="5">
        <f>Расчет!K24</f>
        <v>1.5190600013500573</v>
      </c>
      <c r="G33" s="3" t="str">
        <f>Расчет!L24</f>
        <v>выше тренда</v>
      </c>
      <c r="H33" s="3" t="str">
        <f t="shared" si="0"/>
        <v>период активизации продвижения и продаж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0</v>
      </c>
      <c r="C34" s="5">
        <f>Расчет!H25</f>
        <v>13.2125</v>
      </c>
      <c r="D34" s="5" t="str">
        <f>IFERROR(VLOOKUP(Расчет!B25,Сезонность!$A$4:$D$15,4,FALSE),"")</f>
        <v/>
      </c>
      <c r="E34" s="5" t="str">
        <f>Расчет!J25</f>
        <v/>
      </c>
      <c r="F34" s="5" t="str">
        <f>Расчет!K25</f>
        <v/>
      </c>
      <c r="G34" s="3" t="str">
        <f>Расчет!L25</f>
        <v/>
      </c>
      <c r="H34" s="3" t="str">
        <f t="shared" si="0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0</v>
      </c>
      <c r="C35" s="5">
        <f>Расчет!H26</f>
        <v>11.995833333333335</v>
      </c>
      <c r="D35" s="5" t="str">
        <f>IFERROR(VLOOKUP(Расчет!B26,Сезонность!$A$4:$D$15,4,FALSE),"")</f>
        <v/>
      </c>
      <c r="E35" s="5" t="str">
        <f>Расчет!J26</f>
        <v/>
      </c>
      <c r="F35" s="5" t="str">
        <f>Расчет!K26</f>
        <v/>
      </c>
      <c r="G35" s="3" t="str">
        <f>Расчет!L26</f>
        <v/>
      </c>
      <c r="H35" s="3" t="str">
        <f t="shared" si="0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0</v>
      </c>
      <c r="C36" s="5">
        <f>Расчет!H27</f>
        <v>11.995833333333335</v>
      </c>
      <c r="D36" s="5" t="str">
        <f>IFERROR(VLOOKUP(Расчет!B27,Сезонность!$A$4:$D$15,4,FALSE),"")</f>
        <v/>
      </c>
      <c r="E36" s="5" t="str">
        <f>Расчет!J27</f>
        <v/>
      </c>
      <c r="F36" s="5" t="str">
        <f>Расчет!K27</f>
        <v/>
      </c>
      <c r="G36" s="3" t="str">
        <f>Расчет!L27</f>
        <v/>
      </c>
      <c r="H36" s="3" t="str">
        <f t="shared" si="0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0</v>
      </c>
      <c r="C37" s="5">
        <f>Расчет!H28</f>
        <v>11.995833333333335</v>
      </c>
      <c r="D37" s="5" t="str">
        <f>IFERROR(VLOOKUP(Расчет!B28,Сезонность!$A$4:$D$15,4,FALSE),"")</f>
        <v/>
      </c>
      <c r="E37" s="5" t="str">
        <f>Расчет!J28</f>
        <v/>
      </c>
      <c r="F37" s="5" t="str">
        <f>Расчет!K28</f>
        <v/>
      </c>
      <c r="G37" s="3" t="str">
        <f>Расчет!L28</f>
        <v/>
      </c>
      <c r="H37" s="3" t="str">
        <f t="shared" si="0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2" t="s">
        <v>104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1" t="s">
        <v>266</v>
      </c>
      <c r="B4" s="3" t="s">
        <v>39</v>
      </c>
      <c r="C4" s="3" t="s">
        <v>185</v>
      </c>
      <c r="D4" s="3" t="s">
        <v>112</v>
      </c>
      <c r="E4" s="3" t="s">
        <v>268</v>
      </c>
      <c r="F4" s="3" t="s">
        <v>186</v>
      </c>
      <c r="G4" s="3" t="s">
        <v>187</v>
      </c>
      <c r="H4" s="3" t="s">
        <v>269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1" t="s">
        <v>266</v>
      </c>
      <c r="B5" s="3" t="s">
        <v>39</v>
      </c>
      <c r="C5" s="3" t="s">
        <v>188</v>
      </c>
      <c r="D5" s="3" t="s">
        <v>112</v>
      </c>
      <c r="E5" s="3" t="s">
        <v>268</v>
      </c>
      <c r="F5" s="3" t="s">
        <v>186</v>
      </c>
      <c r="G5" s="3" t="s">
        <v>189</v>
      </c>
      <c r="H5" s="3" t="s">
        <v>222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1" t="s">
        <v>266</v>
      </c>
      <c r="B6" s="3" t="s">
        <v>39</v>
      </c>
      <c r="C6" s="3" t="s">
        <v>190</v>
      </c>
      <c r="D6" s="3" t="s">
        <v>112</v>
      </c>
      <c r="E6" s="3" t="s">
        <v>268</v>
      </c>
      <c r="F6" s="3" t="s">
        <v>186</v>
      </c>
      <c r="G6" s="3" t="s">
        <v>191</v>
      </c>
      <c r="H6" s="3" t="s">
        <v>223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1" t="s">
        <v>266</v>
      </c>
      <c r="B7" s="3" t="s">
        <v>39</v>
      </c>
      <c r="C7" s="3" t="s">
        <v>192</v>
      </c>
      <c r="D7" s="3" t="s">
        <v>112</v>
      </c>
      <c r="E7" s="3" t="s">
        <v>268</v>
      </c>
      <c r="F7" s="3" t="s">
        <v>186</v>
      </c>
      <c r="G7" s="3" t="s">
        <v>193</v>
      </c>
      <c r="H7" s="3" t="s">
        <v>224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1" t="s">
        <v>266</v>
      </c>
      <c r="B8" s="3" t="s">
        <v>39</v>
      </c>
      <c r="C8" s="3" t="s">
        <v>194</v>
      </c>
      <c r="D8" s="3" t="s">
        <v>112</v>
      </c>
      <c r="E8" s="3" t="s">
        <v>270</v>
      </c>
      <c r="F8" s="3" t="s">
        <v>186</v>
      </c>
      <c r="G8" s="3" t="s">
        <v>195</v>
      </c>
      <c r="H8" s="3" t="s">
        <v>196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1" t="s">
        <v>266</v>
      </c>
      <c r="B9" s="3" t="s">
        <v>39</v>
      </c>
      <c r="C9" s="3" t="s">
        <v>197</v>
      </c>
      <c r="D9" s="3" t="s">
        <v>198</v>
      </c>
      <c r="E9" s="3" t="s">
        <v>268</v>
      </c>
      <c r="F9" s="3" t="s">
        <v>186</v>
      </c>
      <c r="G9" s="3" t="s">
        <v>199</v>
      </c>
      <c r="H9" s="3" t="s">
        <v>271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1" t="s">
        <v>266</v>
      </c>
      <c r="B10" s="3" t="s">
        <v>113</v>
      </c>
      <c r="C10" s="3" t="s">
        <v>183</v>
      </c>
      <c r="D10" s="3" t="s">
        <v>200</v>
      </c>
      <c r="E10" s="3" t="s">
        <v>272</v>
      </c>
      <c r="F10" s="3" t="s">
        <v>186</v>
      </c>
      <c r="G10" s="3" t="s">
        <v>201</v>
      </c>
      <c r="H10" s="3" t="s">
        <v>225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1" t="s">
        <v>266</v>
      </c>
      <c r="B11" s="3" t="s">
        <v>113</v>
      </c>
      <c r="C11" s="3" t="s">
        <v>202</v>
      </c>
      <c r="D11" s="3" t="s">
        <v>200</v>
      </c>
      <c r="E11" s="3" t="s">
        <v>272</v>
      </c>
      <c r="F11" s="3" t="s">
        <v>186</v>
      </c>
      <c r="G11" s="3" t="s">
        <v>203</v>
      </c>
      <c r="H11" s="3" t="s">
        <v>225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1" t="s">
        <v>266</v>
      </c>
      <c r="B12" s="3" t="s">
        <v>113</v>
      </c>
      <c r="C12" s="3" t="s">
        <v>204</v>
      </c>
      <c r="D12" s="3" t="s">
        <v>200</v>
      </c>
      <c r="E12" s="3" t="s">
        <v>205</v>
      </c>
      <c r="F12" s="3" t="s">
        <v>206</v>
      </c>
      <c r="G12" s="3" t="s">
        <v>207</v>
      </c>
      <c r="H12" s="3" t="s">
        <v>208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1" t="s">
        <v>266</v>
      </c>
      <c r="B13" s="3" t="s">
        <v>113</v>
      </c>
      <c r="C13" s="3" t="s">
        <v>183</v>
      </c>
      <c r="D13" s="3" t="s">
        <v>209</v>
      </c>
      <c r="E13" s="3" t="s">
        <v>210</v>
      </c>
      <c r="F13" s="3" t="s">
        <v>211</v>
      </c>
      <c r="G13" s="3" t="s">
        <v>211</v>
      </c>
      <c r="H13" s="3" t="s">
        <v>212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1" t="s">
        <v>266</v>
      </c>
      <c r="B14" s="3" t="s">
        <v>213</v>
      </c>
      <c r="C14" s="3" t="s">
        <v>214</v>
      </c>
      <c r="D14" s="3" t="s">
        <v>211</v>
      </c>
      <c r="E14" s="3" t="s">
        <v>215</v>
      </c>
      <c r="F14" s="3" t="s">
        <v>216</v>
      </c>
      <c r="G14" s="3" t="s">
        <v>211</v>
      </c>
      <c r="H14" s="3" t="s">
        <v>217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1" t="s">
        <v>266</v>
      </c>
      <c r="B15" s="3" t="s">
        <v>213</v>
      </c>
      <c r="C15" s="3" t="s">
        <v>218</v>
      </c>
      <c r="D15" s="3" t="s">
        <v>211</v>
      </c>
      <c r="E15" s="3" t="s">
        <v>215</v>
      </c>
      <c r="F15" s="3" t="s">
        <v>216</v>
      </c>
      <c r="G15" s="3" t="s">
        <v>211</v>
      </c>
      <c r="H15" s="3" t="s">
        <v>219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1" t="s">
        <v>266</v>
      </c>
      <c r="B16" s="3" t="s">
        <v>213</v>
      </c>
      <c r="C16" s="3" t="s">
        <v>220</v>
      </c>
      <c r="D16" s="3" t="s">
        <v>211</v>
      </c>
      <c r="E16" s="3" t="s">
        <v>211</v>
      </c>
      <c r="F16" s="3" t="s">
        <v>216</v>
      </c>
      <c r="G16" s="3" t="s">
        <v>211</v>
      </c>
      <c r="H16" s="3" t="s">
        <v>221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1" t="s">
        <v>266</v>
      </c>
      <c r="B17" s="3" t="s">
        <v>39</v>
      </c>
      <c r="C17" s="3" t="s">
        <v>226</v>
      </c>
      <c r="D17" s="3" t="s">
        <v>112</v>
      </c>
      <c r="E17" s="3" t="s">
        <v>268</v>
      </c>
      <c r="F17" s="3" t="s">
        <v>186</v>
      </c>
      <c r="G17" s="3" t="s">
        <v>227</v>
      </c>
      <c r="H17" s="3" t="s">
        <v>228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1" t="s">
        <v>266</v>
      </c>
      <c r="B18" s="3" t="s">
        <v>39</v>
      </c>
      <c r="C18" s="3" t="s">
        <v>229</v>
      </c>
      <c r="D18" s="3" t="s">
        <v>112</v>
      </c>
      <c r="E18" s="3" t="s">
        <v>268</v>
      </c>
      <c r="F18" s="3" t="s">
        <v>186</v>
      </c>
      <c r="G18" s="3" t="s">
        <v>230</v>
      </c>
      <c r="H18" s="3" t="s">
        <v>231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1" t="s">
        <v>266</v>
      </c>
      <c r="B19" s="3" t="s">
        <v>39</v>
      </c>
      <c r="C19" s="3" t="s">
        <v>232</v>
      </c>
      <c r="D19" s="3" t="s">
        <v>112</v>
      </c>
      <c r="E19" s="3" t="s">
        <v>270</v>
      </c>
      <c r="F19" s="3" t="s">
        <v>186</v>
      </c>
      <c r="G19" s="3" t="s">
        <v>233</v>
      </c>
      <c r="H19" s="3" t="s">
        <v>273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1" t="s">
        <v>267</v>
      </c>
      <c r="B20" s="3" t="s">
        <v>39</v>
      </c>
      <c r="C20" s="3" t="s">
        <v>234</v>
      </c>
      <c r="D20" s="3" t="s">
        <v>112</v>
      </c>
      <c r="E20" s="3" t="s">
        <v>270</v>
      </c>
      <c r="F20" s="3" t="s">
        <v>186</v>
      </c>
      <c r="G20" s="3" t="s">
        <v>235</v>
      </c>
      <c r="H20" s="3" t="s">
        <v>236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1" t="s">
        <v>267</v>
      </c>
      <c r="B21" s="3" t="s">
        <v>39</v>
      </c>
      <c r="C21" s="3" t="s">
        <v>185</v>
      </c>
      <c r="D21" s="3" t="s">
        <v>112</v>
      </c>
      <c r="E21" s="3" t="s">
        <v>237</v>
      </c>
      <c r="F21" s="3" t="s">
        <v>186</v>
      </c>
      <c r="G21" s="3" t="s">
        <v>238</v>
      </c>
      <c r="H21" s="3" t="s">
        <v>239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11" t="s">
        <v>267</v>
      </c>
      <c r="B22" s="3" t="s">
        <v>113</v>
      </c>
      <c r="C22" s="3" t="s">
        <v>241</v>
      </c>
      <c r="D22" s="3" t="s">
        <v>200</v>
      </c>
      <c r="E22" s="3" t="s">
        <v>272</v>
      </c>
      <c r="F22" s="3" t="s">
        <v>186</v>
      </c>
      <c r="G22" s="3" t="s">
        <v>242</v>
      </c>
      <c r="H22" s="3" t="s">
        <v>274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>
      <c r="A23" s="11" t="s">
        <v>267</v>
      </c>
      <c r="B23" s="3" t="s">
        <v>113</v>
      </c>
      <c r="C23" s="3" t="s">
        <v>243</v>
      </c>
      <c r="D23" s="3" t="s">
        <v>200</v>
      </c>
      <c r="E23" s="3" t="s">
        <v>272</v>
      </c>
      <c r="F23" s="3" t="s">
        <v>186</v>
      </c>
      <c r="G23" s="3" t="s">
        <v>244</v>
      </c>
      <c r="H23" s="3" t="s">
        <v>275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>
      <c r="A24" s="11" t="s">
        <v>267</v>
      </c>
      <c r="B24" s="3" t="s">
        <v>113</v>
      </c>
      <c r="C24" s="3" t="s">
        <v>245</v>
      </c>
      <c r="D24" s="3" t="s">
        <v>200</v>
      </c>
      <c r="E24" s="3" t="s">
        <v>272</v>
      </c>
      <c r="F24" s="3" t="s">
        <v>186</v>
      </c>
      <c r="G24" s="3" t="s">
        <v>246</v>
      </c>
      <c r="H24" s="3" t="s">
        <v>276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>
      <c r="A25" s="11" t="s">
        <v>267</v>
      </c>
      <c r="B25" s="3" t="s">
        <v>113</v>
      </c>
      <c r="C25" s="3" t="s">
        <v>247</v>
      </c>
      <c r="D25" s="3" t="s">
        <v>200</v>
      </c>
      <c r="E25" s="3" t="s">
        <v>272</v>
      </c>
      <c r="F25" s="3" t="s">
        <v>186</v>
      </c>
      <c r="G25" s="3" t="s">
        <v>248</v>
      </c>
      <c r="H25" s="3" t="s">
        <v>277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>
      <c r="A26" s="11" t="s">
        <v>267</v>
      </c>
      <c r="B26" s="3" t="s">
        <v>113</v>
      </c>
      <c r="C26" s="3" t="s">
        <v>249</v>
      </c>
      <c r="D26" s="3" t="s">
        <v>200</v>
      </c>
      <c r="E26" s="3" t="s">
        <v>272</v>
      </c>
      <c r="F26" s="3" t="s">
        <v>186</v>
      </c>
      <c r="G26" s="3" t="s">
        <v>250</v>
      </c>
      <c r="H26" s="3" t="s">
        <v>278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>
      <c r="A27" s="11" t="s">
        <v>267</v>
      </c>
      <c r="B27" s="3" t="s">
        <v>113</v>
      </c>
      <c r="C27" s="3" t="s">
        <v>251</v>
      </c>
      <c r="D27" s="3" t="s">
        <v>200</v>
      </c>
      <c r="E27" s="3" t="s">
        <v>272</v>
      </c>
      <c r="F27" s="3" t="s">
        <v>186</v>
      </c>
      <c r="G27" s="3" t="s">
        <v>252</v>
      </c>
      <c r="H27" s="3" t="s">
        <v>279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25">
      <c r="A28" s="11" t="s">
        <v>267</v>
      </c>
      <c r="B28" s="3" t="s">
        <v>113</v>
      </c>
      <c r="C28" s="3" t="s">
        <v>253</v>
      </c>
      <c r="D28" s="3" t="s">
        <v>200</v>
      </c>
      <c r="E28" s="3" t="s">
        <v>272</v>
      </c>
      <c r="F28" s="3" t="s">
        <v>186</v>
      </c>
      <c r="G28" s="3" t="s">
        <v>254</v>
      </c>
      <c r="H28" s="3" t="s">
        <v>280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>
      <c r="A29" s="11" t="s">
        <v>267</v>
      </c>
      <c r="B29" s="3" t="s">
        <v>113</v>
      </c>
      <c r="C29" s="3" t="s">
        <v>255</v>
      </c>
      <c r="D29" s="3" t="s">
        <v>200</v>
      </c>
      <c r="E29" s="3" t="s">
        <v>272</v>
      </c>
      <c r="F29" s="3" t="s">
        <v>186</v>
      </c>
      <c r="G29" s="3" t="s">
        <v>256</v>
      </c>
      <c r="H29" s="3" t="s">
        <v>281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1">
      <c r="A30" s="11" t="s">
        <v>267</v>
      </c>
      <c r="B30" s="3" t="s">
        <v>113</v>
      </c>
      <c r="C30" s="3" t="s">
        <v>257</v>
      </c>
      <c r="D30" s="3" t="s">
        <v>200</v>
      </c>
      <c r="E30" s="3" t="s">
        <v>272</v>
      </c>
      <c r="F30" s="3" t="s">
        <v>186</v>
      </c>
      <c r="G30" s="3" t="s">
        <v>258</v>
      </c>
      <c r="H30" s="3" t="s">
        <v>282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1">
      <c r="A31" s="11" t="s">
        <v>267</v>
      </c>
      <c r="B31" s="3" t="s">
        <v>113</v>
      </c>
      <c r="C31" s="3" t="s">
        <v>259</v>
      </c>
      <c r="D31" s="3" t="s">
        <v>260</v>
      </c>
      <c r="E31" s="3" t="s">
        <v>261</v>
      </c>
      <c r="F31" s="3" t="s">
        <v>186</v>
      </c>
      <c r="G31" s="3" t="s">
        <v>262</v>
      </c>
      <c r="H31" s="3" t="s">
        <v>283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>
      <c r="A32" s="11" t="s">
        <v>267</v>
      </c>
      <c r="B32" s="3" t="s">
        <v>113</v>
      </c>
      <c r="C32" s="3" t="s">
        <v>263</v>
      </c>
      <c r="D32" s="3" t="s">
        <v>200</v>
      </c>
      <c r="E32" s="3" t="s">
        <v>264</v>
      </c>
      <c r="F32" s="3" t="s">
        <v>186</v>
      </c>
      <c r="G32" s="3" t="s">
        <v>265</v>
      </c>
      <c r="H32" s="3" t="s">
        <v>284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0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4">
      <c r="A34" s="10" t="s">
        <v>111</v>
      </c>
      <c r="B34" s="3" t="s">
        <v>240</v>
      </c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2" t="s">
        <v>114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2" t="s">
        <v>153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2026-10-04T16:53:17Z</dcterms:created>
  <dcterms:modified xsi:type="dcterms:W3CDTF">2026-10-04T16:58:30Z</dcterms:modified>
</cp:coreProperties>
</file>