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7661E271-16E4-48B7-A861-C8777E2D2C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G64" i="3" l="1"/>
  <c r="G63" i="3"/>
  <c r="G62" i="3"/>
  <c r="G61" i="3"/>
  <c r="G55" i="3"/>
  <c r="G54" i="3"/>
  <c r="G53" i="3"/>
  <c r="G52" i="3"/>
  <c r="G51" i="3"/>
  <c r="G50" i="3"/>
  <c r="G49" i="3"/>
  <c r="E64" i="3"/>
  <c r="F64" i="3" s="1"/>
  <c r="D64" i="3"/>
  <c r="A64" i="3"/>
  <c r="E63" i="3"/>
  <c r="F63" i="3" s="1"/>
  <c r="D63" i="3"/>
  <c r="A63" i="3"/>
  <c r="E62" i="3"/>
  <c r="F62" i="3" s="1"/>
  <c r="D62" i="3"/>
  <c r="A62" i="3"/>
  <c r="E61" i="3"/>
  <c r="F61" i="3" s="1"/>
  <c r="D61" i="3"/>
  <c r="A61" i="3"/>
  <c r="E60" i="3"/>
  <c r="F60" i="3" s="1"/>
  <c r="D60" i="3"/>
  <c r="G60" i="3" s="1"/>
  <c r="A60" i="3"/>
  <c r="E59" i="3"/>
  <c r="F59" i="3" s="1"/>
  <c r="D59" i="3"/>
  <c r="G59" i="3" s="1"/>
  <c r="A59" i="3"/>
  <c r="E58" i="3"/>
  <c r="F58" i="3" s="1"/>
  <c r="D58" i="3"/>
  <c r="G58" i="3" s="1"/>
  <c r="A58" i="3"/>
  <c r="E57" i="3"/>
  <c r="F57" i="3" s="1"/>
  <c r="D57" i="3"/>
  <c r="G57" i="3" s="1"/>
  <c r="A57" i="3"/>
  <c r="E56" i="3"/>
  <c r="F56" i="3" s="1"/>
  <c r="G56" i="3" s="1"/>
  <c r="D56" i="3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G48" i="3" s="1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G34" i="3" s="1"/>
  <c r="A34" i="3"/>
  <c r="E33" i="3"/>
  <c r="F33" i="3" s="1"/>
  <c r="D33" i="3"/>
  <c r="G33" i="3" s="1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N48" i="3" l="1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B62" i="6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B35" i="6" l="1"/>
  <c r="H26" i="3"/>
  <c r="N26" i="3"/>
  <c r="N25" i="3"/>
  <c r="H25" i="3"/>
  <c r="H28" i="3"/>
  <c r="N28" i="3"/>
  <c r="H27" i="3"/>
  <c r="N27" i="3"/>
  <c r="H23" i="3"/>
  <c r="N23" i="3"/>
  <c r="H24" i="3"/>
  <c r="N24" i="3"/>
  <c r="N21" i="3"/>
  <c r="H21" i="3"/>
  <c r="H22" i="3"/>
  <c r="N22" i="3"/>
  <c r="H16" i="3"/>
  <c r="N16" i="3"/>
  <c r="H20" i="3"/>
  <c r="N20" i="3"/>
  <c r="B26" i="6"/>
  <c r="N17" i="3"/>
  <c r="H17" i="3"/>
  <c r="B28" i="6"/>
  <c r="H19" i="3"/>
  <c r="N19" i="3"/>
  <c r="B27" i="6"/>
  <c r="N18" i="3"/>
  <c r="H18" i="3"/>
  <c r="N15" i="3"/>
  <c r="H15" i="3"/>
  <c r="N14" i="3"/>
  <c r="H14" i="3"/>
  <c r="N13" i="3"/>
  <c r="H13" i="3"/>
  <c r="N12" i="3"/>
  <c r="H12" i="3"/>
  <c r="B20" i="6"/>
  <c r="N11" i="3"/>
  <c r="H11" i="3"/>
  <c r="B19" i="6"/>
  <c r="N10" i="3"/>
  <c r="H10" i="3"/>
  <c r="B18" i="6"/>
  <c r="H9" i="3"/>
  <c r="N9" i="3"/>
  <c r="B17" i="6"/>
  <c r="H8" i="3"/>
  <c r="N8" i="3"/>
  <c r="H7" i="3"/>
  <c r="N7" i="3"/>
  <c r="N6" i="3"/>
  <c r="H6" i="3"/>
  <c r="N29" i="3"/>
  <c r="H29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48" i="3"/>
  <c r="H5" i="3"/>
  <c r="N5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9" i="3"/>
  <c r="H50" i="3"/>
  <c r="H51" i="3"/>
  <c r="B4" i="5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I29" i="3"/>
  <c r="B38" i="6"/>
  <c r="B48" i="6"/>
  <c r="B46" i="6"/>
  <c r="I37" i="3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I7" i="3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C12" i="4" s="1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C13" i="4" s="1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5" i="4" s="1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1" i="4" s="1"/>
  <c r="C16" i="6"/>
  <c r="C51" i="6"/>
  <c r="I42" i="3"/>
  <c r="K42" i="3"/>
  <c r="C22" i="6"/>
  <c r="I13" i="3"/>
  <c r="C8" i="4" s="1"/>
  <c r="C23" i="6"/>
  <c r="I14" i="3"/>
  <c r="C9" i="4" s="1"/>
  <c r="C21" i="6"/>
  <c r="I12" i="3"/>
  <c r="C7" i="4" s="1"/>
  <c r="F73" i="6" l="1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<sst xmlns="http://schemas.openxmlformats.org/spreadsheetml/2006/main" count="501" uniqueCount="285">
  <si>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</si>
  <si>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</si>
  <si>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</si>
  <si>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</si>
  <si>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</si>
  <si>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</si>
  <si>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</si>
  <si>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</si>
  <si>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</si>
  <si>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</si>
  <si>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</si>
  <si>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</si>
  <si>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</si>
  <si>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</si>
  <si>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</si>
  <si>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</si>
  <si>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</si>
  <si>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</si>
  <si>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</si>
  <si>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</si>
  <si>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</si>
  <si>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</si>
  <si>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</si>
  <si>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</si>
  <si>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</si>
  <si>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</si>
  <si>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</si>
  <si>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</si>
  <si>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</si>
  <si>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</si>
  <si>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</si>
  <si>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</si>
  <si>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</si>
  <si>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</si>
  <si>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</si>
  <si>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</si>
  <si>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</si>
  <si>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</si>
  <si>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</si>
  <si>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</si>
  <si>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</si>
  <si>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</si>
  <si>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</si>
  <si>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</si>
  <si>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</si>
  <si>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</si>
  <si>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</si>
  <si>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</si>
  <si>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</si>
  <si>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</si>
  <si>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</si>
  <si>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</si>
  <si>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</si>
  <si>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</si>
  <si>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</si>
  <si>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</si>
  <si>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</si>
  <si>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</si>
  <si>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</si>
  <si>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</si>
  <si>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</si>
  <si>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</si>
  <si>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</si>
  <si>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</si>
  <si>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</si>
  <si>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</si>
  <si>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</si>
  <si>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</si>
  <si>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</si>
  <si>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</si>
  <si>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</si>
  <si>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</si>
  <si>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</si>
  <si>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</si>
  <si>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</si>
  <si>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</si>
  <si>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</si>
  <si>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</si>
  <si>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</si>
  <si>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</si>
  <si>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</si>
  <si>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</si>
  <si>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</si>
  <si>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</si>
  <si>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</si>
  <si>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</si>
  <si>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</si>
  <si>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</si>
  <si>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</si>
  <si>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</si>
  <si>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</si>
  <si>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</si>
  <si>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</si>
  <si>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</si>
  <si>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</si>
  <si>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</si>
  <si>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</si>
  <si>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</si>
  <si>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</si>
  <si>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</si>
  <si>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</si>
  <si>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</si>
  <si>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</si>
  <si>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</si>
  <si>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</si>
  <si>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</si>
  <si>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</si>
  <si>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</si>
  <si>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</si>
  <si>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</si>
  <si>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</si>
  <si>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</si>
  <si>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</si>
  <si>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</si>
  <si>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</si>
  <si>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</si>
  <si>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</si>
  <si>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</si>
  <si>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</si>
  <si>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</si>
  <si>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</si>
  <si>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</si>
  <si>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</si>
  <si>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</si>
  <si>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</si>
  <si>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</si>
  <si>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</si>
  <si>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</si>
  <si>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</si>
  <si>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</si>
  <si>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</si>
  <si>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</si>
  <si>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</si>
  <si>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</si>
  <si>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</si>
  <si>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</si>
  <si>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</si>
  <si>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</si>
  <si>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</si>
  <si>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</si>
  <si>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</si>
  <si>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</si>
  <si>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</si>
  <si>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</si>
  <si>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</si>
  <si>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</si>
  <si>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</si>
  <si>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</si>
  <si>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</si>
  <si>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</si>
  <si>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</si>
  <si>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</si>
  <si>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</si>
  <si>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</si>
  <si>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</si>
  <si>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</si>
  <si>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</si>
  <si>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</si>
  <si>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</si>
  <si>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</si>
  <si>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</si>
  <si>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</si>
  <si>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</si>
  <si>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</si>
  <si>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</si>
  <si>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</si>
  <si>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</si>
  <si>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</si>
  <si>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</si>
  <si>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</si>
  <si>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</si>
  <si>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</si>
  <si>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</si>
  <si>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</si>
  <si>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</si>
  <si>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</si>
  <si>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</si>
  <si>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</si>
  <si>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</si>
  <si>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</si>
  <si>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</si>
  <si>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</si>
  <si>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</si>
  <si>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uml</t>
  </si>
  <si>
    <t>GT: недостаточно данных для этой недели/месяца</t>
  </si>
  <si>
    <t>UML; BPMN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</si>
  <si>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</si>
  <si>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</si>
  <si>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</si>
  <si>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</si>
  <si>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</si>
  <si>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</si>
  <si>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</si>
  <si>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</si>
  <si>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</si>
  <si>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</si>
  <si>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</si>
  <si>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</si>
  <si>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</si>
  <si>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</si>
  <si>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Беларусь (id=149)</t>
  </si>
  <si>
    <t>wordstat_uml_dinamika_RB_2024-09_2026-08.json</t>
  </si>
  <si>
    <t>bpmn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</si>
  <si>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</si>
  <si>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</si>
  <si>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</si>
  <si>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</si>
  <si>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</si>
  <si>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</si>
  <si>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</si>
  <si>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</si>
  <si>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</si>
  <si>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</si>
  <si>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</si>
  <si>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</si>
  <si>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</si>
  <si>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</si>
  <si>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</si>
  <si>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</si>
  <si>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</si>
  <si>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</si>
  <si>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</si>
  <si>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</si>
  <si>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</si>
  <si>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</si>
  <si>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</si>
  <si>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</si>
  <si>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</si>
  <si>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</si>
  <si>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</si>
  <si>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</si>
  <si>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</si>
  <si>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</si>
  <si>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</si>
  <si>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</si>
  <si>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</si>
  <si>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</si>
  <si>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</si>
  <si>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</si>
  <si>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</si>
  <si>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Вариант для сравнения: только Яндекс Вордстат (колонка Google Trends на листе Ввод_данных очищена), G = Вордстат норм. 0–100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</si>
  <si>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</si>
  <si>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</si>
  <si>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</si>
  <si>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</si>
  <si>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</si>
  <si>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</si>
  <si>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</si>
  <si>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</si>
  <si>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</si>
  <si>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</si>
  <si>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</si>
  <si>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</si>
  <si>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</si>
  <si>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</si>
  <si>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</si>
  <si>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</si>
  <si>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</si>
  <si>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</si>
  <si>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</si>
  <si>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</si>
  <si>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</si>
  <si>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</si>
  <si>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</si>
  <si>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</si>
  <si>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</si>
  <si>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29.09.2026</t>
  </si>
  <si>
    <t>30.09.2026</t>
  </si>
  <si>
    <t>2021-09–2026-09 (5 лет, неделя)</t>
  </si>
  <si>
    <t>Главный ряд, сопоставлен с Вордстатом. Месяцев с данными: UML – 47 из 61, BPMN – 37 из 61 (остальные – «недостаточно данных»). Сохранён помесячный свод; недельные значения не сохранены</t>
  </si>
  <si>
    <t>2025-09–2026-10 (12 мес.) + регионы + похожие</t>
  </si>
  <si>
    <t>Справочный мировой ряд Mermaid; сохранён помесячный свод. Пик мая–июня 2023 г. – омонимия (фильм «Русалочка»), вывод о росте категории «diagram as code» по ряду не делается</t>
  </si>
  <si>
    <t>2024-09–2026-08 (24 мес., по месяцам)</t>
  </si>
  <si>
    <t>3 недели с данными; регион с данными – только Минская область; похожих запросов нет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</si>
  <si>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</si>
  <si>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</si>
  <si>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</si>
  <si>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</si>
  <si>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</si>
  <si>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</si>
  <si>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wordstat_neyroset-shema_dinamika_RB_2018-01_2026-08.json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</si>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</sst>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61.122807017543856</c:v>
                </c:pt>
                <c:pt idx="1">
                  <c:v>82</c:v>
                </c:pt>
                <c:pt idx="2">
                  <c:v>90.385964912280699</c:v>
                </c:pt>
                <c:pt idx="3">
                  <c:v>100</c:v>
                </c:pt>
                <c:pt idx="4">
                  <c:v>50.210526315789473</c:v>
                </c:pt>
                <c:pt idx="5">
                  <c:v>43.473684210526315</c:v>
                </c:pt>
                <c:pt idx="6">
                  <c:v>59.859649122807014</c:v>
                </c:pt>
                <c:pt idx="7">
                  <c:v>60.140350877192986</c:v>
                </c:pt>
                <c:pt idx="8">
                  <c:v>85.333333333333343</c:v>
                </c:pt>
                <c:pt idx="9">
                  <c:v>62.877192982456144</c:v>
                </c:pt>
                <c:pt idx="10">
                  <c:v>23.614035087719298</c:v>
                </c:pt>
                <c:pt idx="11">
                  <c:v>18.280701754385966</c:v>
                </c:pt>
                <c:pt idx="12">
                  <c:v>38.10526315789474</c:v>
                </c:pt>
                <c:pt idx="13">
                  <c:v>46.280701754385966</c:v>
                </c:pt>
                <c:pt idx="14">
                  <c:v>55.754385964912281</c:v>
                </c:pt>
                <c:pt idx="15">
                  <c:v>68</c:v>
                </c:pt>
                <c:pt idx="16">
                  <c:v>21.508771929824562</c:v>
                </c:pt>
                <c:pt idx="17">
                  <c:v>20.771929824561404</c:v>
                </c:pt>
                <c:pt idx="18">
                  <c:v>36.877192982456144</c:v>
                </c:pt>
                <c:pt idx="19">
                  <c:v>36.280701754385966</c:v>
                </c:pt>
                <c:pt idx="20">
                  <c:v>49.122807017543856</c:v>
                </c:pt>
                <c:pt idx="21">
                  <c:v>34.385964912280706</c:v>
                </c:pt>
                <c:pt idx="22">
                  <c:v>7.9298245614035086</c:v>
                </c:pt>
                <c:pt idx="23">
                  <c:v>7.4736842105263159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61.441520467836256</c:v>
                </c:pt>
                <c:pt idx="12">
                  <c:v>59.523391812865498</c:v>
                </c:pt>
                <c:pt idx="13">
                  <c:v>56.546783625730995</c:v>
                </c:pt>
                <c:pt idx="14">
                  <c:v>53.66081871345029</c:v>
                </c:pt>
                <c:pt idx="15">
                  <c:v>50.994152046783626</c:v>
                </c:pt>
                <c:pt idx="16">
                  <c:v>48.602339181286546</c:v>
                </c:pt>
                <c:pt idx="17">
                  <c:v>46.71052631578948</c:v>
                </c:pt>
                <c:pt idx="18">
                  <c:v>44.795321637426902</c:v>
                </c:pt>
                <c:pt idx="19">
                  <c:v>42.807017543859651</c:v>
                </c:pt>
                <c:pt idx="20">
                  <c:v>39.789473684210527</c:v>
                </c:pt>
                <c:pt idx="21">
                  <c:v>37.415204678362578</c:v>
                </c:pt>
                <c:pt idx="22">
                  <c:v>36.108187134502927</c:v>
                </c:pt>
                <c:pt idx="23">
                  <c:v>35.207602339181285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0.58893168765139692</c:v>
                </c:pt>
                <c:pt idx="1">
                  <c:v>0.59179128554636784</c:v>
                </c:pt>
                <c:pt idx="2">
                  <c:v>1.0955486713314155</c:v>
                </c:pt>
                <c:pt idx="3">
                  <c:v>1.127891146911892</c:v>
                </c:pt>
                <c:pt idx="4">
                  <c:v>1.6429390825900949</c:v>
                </c:pt>
                <c:pt idx="5">
                  <c:v>1.2230369275648802</c:v>
                </c:pt>
                <c:pt idx="6">
                  <c:v>0.29225663142823816</c:v>
                </c:pt>
                <c:pt idx="7">
                  <c:v>0.33921920223169083</c:v>
                </c:pt>
                <c:pt idx="8">
                  <c:v>0.85192973034800989</c:v>
                </c:pt>
                <c:pt idx="9">
                  <c:v>1.0891771155375758</c:v>
                </c:pt>
                <c:pt idx="10">
                  <c:v>1.3827008263802651</c:v>
                </c:pt>
                <c:pt idx="11">
                  <c:v>1.7745776924781738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2" t="s">
        <v>0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3" t="s">
        <v>1</v>
      </c>
      <c r="B3" s="13"/>
      <c r="C3" s="13"/>
      <c r="D3" s="13"/>
      <c r="E3" s="13"/>
      <c r="F3" s="13"/>
      <c r="G3" s="13"/>
      <c r="H3" s="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-0.42697377813734355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декабрь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июль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ниже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0.62577450396701706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4" t="s">
        <v>26</v>
      </c>
      <c r="B16" s="14"/>
      <c r="C16" s="14"/>
      <c r="D16" s="14"/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5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– декабрь, минимум – июль. Текущая фаза спроса: ниже тренда.</v>
      </c>
      <c r="B17" s="15"/>
      <c r="C17" s="15"/>
      <c r="D17" s="15"/>
      <c r="E17" s="15"/>
      <c r="F17" s="15"/>
      <c r="G17" s="15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5"/>
      <c r="B18" s="15"/>
      <c r="C18" s="15"/>
      <c r="D18" s="15"/>
      <c r="E18" s="15"/>
      <c r="F18" s="15"/>
      <c r="G18" s="15"/>
      <c r="H18" s="1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5"/>
      <c r="B19" s="15"/>
      <c r="C19" s="15"/>
      <c r="D19" s="15"/>
      <c r="E19" s="15"/>
      <c r="F19" s="15"/>
      <c r="G19" s="15"/>
      <c r="H19" s="1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5"/>
      <c r="B20" s="15"/>
      <c r="C20" s="15"/>
      <c r="D20" s="15"/>
      <c r="E20" s="15"/>
      <c r="F20" s="15"/>
      <c r="G20" s="15"/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2" t="s">
        <v>27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28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183</v>
      </c>
      <c r="C5" s="7"/>
      <c r="D5" s="7">
        <v>1742</v>
      </c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183</v>
      </c>
      <c r="C6" s="7"/>
      <c r="D6" s="7">
        <v>2337</v>
      </c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183</v>
      </c>
      <c r="C7" s="7"/>
      <c r="D7" s="7">
        <v>2576</v>
      </c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183</v>
      </c>
      <c r="C8" s="7"/>
      <c r="D8" s="7">
        <v>2850</v>
      </c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183</v>
      </c>
      <c r="C9" s="7"/>
      <c r="D9" s="7">
        <v>1431</v>
      </c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183</v>
      </c>
      <c r="C10" s="7"/>
      <c r="D10" s="7">
        <v>1239</v>
      </c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183</v>
      </c>
      <c r="C11" s="7"/>
      <c r="D11" s="7">
        <v>1706</v>
      </c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183</v>
      </c>
      <c r="C12" s="7"/>
      <c r="D12" s="7">
        <v>1714</v>
      </c>
      <c r="E12" s="3" t="s">
        <v>112</v>
      </c>
      <c r="F12" s="3" t="s">
        <v>184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183</v>
      </c>
      <c r="C13" s="7"/>
      <c r="D13" s="7">
        <v>2432</v>
      </c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183</v>
      </c>
      <c r="C14" s="7"/>
      <c r="D14" s="7">
        <v>1792</v>
      </c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183</v>
      </c>
      <c r="C15" s="7"/>
      <c r="D15" s="7">
        <v>673</v>
      </c>
      <c r="E15" s="3" t="s">
        <v>112</v>
      </c>
      <c r="F15" s="3" t="s">
        <v>184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183</v>
      </c>
      <c r="C16" s="7"/>
      <c r="D16" s="7">
        <v>521</v>
      </c>
      <c r="E16" s="3" t="s">
        <v>112</v>
      </c>
      <c r="F16" s="3" t="s">
        <v>184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183</v>
      </c>
      <c r="C17" s="7"/>
      <c r="D17" s="7">
        <v>1086</v>
      </c>
      <c r="E17" s="3" t="s">
        <v>112</v>
      </c>
      <c r="F17" s="3" t="s">
        <v>184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183</v>
      </c>
      <c r="C18" s="7"/>
      <c r="D18" s="7">
        <v>1319</v>
      </c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183</v>
      </c>
      <c r="C19" s="7"/>
      <c r="D19" s="7">
        <v>1589</v>
      </c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183</v>
      </c>
      <c r="C20" s="7"/>
      <c r="D20" s="7">
        <v>1938</v>
      </c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183</v>
      </c>
      <c r="C21" s="7"/>
      <c r="D21" s="7">
        <v>613</v>
      </c>
      <c r="E21" s="3" t="s">
        <v>112</v>
      </c>
      <c r="F21" s="3" t="s">
        <v>184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183</v>
      </c>
      <c r="C22" s="7"/>
      <c r="D22" s="7">
        <v>592</v>
      </c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183</v>
      </c>
      <c r="C23" s="7"/>
      <c r="D23" s="7">
        <v>1051</v>
      </c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183</v>
      </c>
      <c r="C24" s="7"/>
      <c r="D24" s="7">
        <v>1034</v>
      </c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183</v>
      </c>
      <c r="C25" s="7"/>
      <c r="D25" s="7">
        <v>1400</v>
      </c>
      <c r="E25" s="3" t="s">
        <v>112</v>
      </c>
      <c r="F25" s="3" t="s">
        <v>184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183</v>
      </c>
      <c r="C26" s="7"/>
      <c r="D26" s="7">
        <v>980</v>
      </c>
      <c r="E26" s="3" t="s">
        <v>112</v>
      </c>
      <c r="F26" s="3" t="s">
        <v>184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183</v>
      </c>
      <c r="C27" s="7"/>
      <c r="D27" s="7">
        <v>226</v>
      </c>
      <c r="E27" s="3" t="s">
        <v>112</v>
      </c>
      <c r="F27" s="3" t="s">
        <v>184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183</v>
      </c>
      <c r="C28" s="7"/>
      <c r="D28" s="7">
        <v>213</v>
      </c>
      <c r="E28" s="3" t="s">
        <v>112</v>
      </c>
      <c r="F28" s="3" t="s">
        <v>184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2" t="s">
        <v>35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36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 t="str">
        <f>IF(Ввод_данных!C5="","",Ввод_данных!C5)</f>
        <v/>
      </c>
      <c r="E5" s="5">
        <f>IF(Ввод_данных!D5="","",Ввод_данных!D5)</f>
        <v>1742</v>
      </c>
      <c r="F5" s="5">
        <f t="shared" ref="F5:F36" si="2">IF(E5="","",IF(MAX($E$5:$E$64)=0,"",E5/MAX($E$5:$E$64)*100))</f>
        <v>61.122807017543856</v>
      </c>
      <c r="G5" s="5">
        <f>IF(COUNT(D5,F5)=0,"",IF(COUNT(D5,F5)=2,D5*Настройки!$B$4+F5*Настройки!$B$5,IF(D5&lt;&gt;"",D5,F5)))</f>
        <v>61.122807017543856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71.746301179764473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 t="str">
        <f>IF(Ввод_данных!C6="","",Ввод_данных!C6)</f>
        <v/>
      </c>
      <c r="E6" s="5">
        <f>IF(Ввод_данных!D6="","",Ввод_данных!D6)</f>
        <v>2337</v>
      </c>
      <c r="F6" s="5">
        <f t="shared" si="2"/>
        <v>82</v>
      </c>
      <c r="G6" s="5">
        <f>IF(COUNT(D6,F6)=0,"",IF(COUNT(D6,F6)=2,D6*Настройки!$B$4+F6*Настройки!$B$5,IF(D6&lt;&gt;"",D6,F6)))</f>
        <v>82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75.286194348224043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 t="str">
        <f>IF(Ввод_данных!C7="","",Ввод_данных!C7)</f>
        <v/>
      </c>
      <c r="E7" s="5">
        <f>IF(Ввод_данных!D7="","",Ввод_данных!D7)</f>
        <v>2576</v>
      </c>
      <c r="F7" s="5">
        <f t="shared" si="2"/>
        <v>90.385964912280699</v>
      </c>
      <c r="G7" s="5">
        <f>IF(COUNT(D7,F7)=0,"",IF(COUNT(D7,F7)=2,D7*Настройки!$B$4+F7*Настройки!$B$5,IF(D7&lt;&gt;"",D7,F7)))</f>
        <v>90.385964912280699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65.369140733718694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 t="str">
        <f>IF(Ввод_данных!C8="","",Ввод_данных!C8)</f>
        <v/>
      </c>
      <c r="E8" s="5">
        <f>IF(Ввод_данных!D8="","",Ввод_данных!D8)</f>
        <v>2850</v>
      </c>
      <c r="F8" s="5">
        <f t="shared" si="2"/>
        <v>100</v>
      </c>
      <c r="G8" s="5">
        <f>IF(COUNT(D8,F8)=0,"",IF(COUNT(D8,F8)=2,D8*Настройки!$B$4+F8*Настройки!$B$5,IF(D8&lt;&gt;"",D8,F8)))</f>
        <v>100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56.351435287316924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 t="str">
        <f>IF(Ввод_данных!C9="","",Ввод_данных!C9)</f>
        <v/>
      </c>
      <c r="E9" s="5">
        <f>IF(Ввод_данных!D9="","",Ввод_данных!D9)</f>
        <v>1431</v>
      </c>
      <c r="F9" s="5">
        <f t="shared" si="2"/>
        <v>50.210526315789473</v>
      </c>
      <c r="G9" s="5">
        <f>IF(COUNT(D9,F9)=0,"",IF(COUNT(D9,F9)=2,D9*Настройки!$B$4+F9*Настройки!$B$5,IF(D9&lt;&gt;"",D9,F9)))</f>
        <v>50.210526315789473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85.256961662267202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 t="str">
        <f>IF(Ввод_данных!C10="","",Ввод_данных!C10)</f>
        <v/>
      </c>
      <c r="E10" s="5">
        <f>IF(Ввод_данных!D10="","",Ввод_данных!D10)</f>
        <v>1239</v>
      </c>
      <c r="F10" s="5">
        <f t="shared" si="2"/>
        <v>43.473684210526315</v>
      </c>
      <c r="G10" s="5">
        <f>IF(COUNT(D10,F10)=0,"",IF(COUNT(D10,F10)=2,D10*Настройки!$B$4+F10*Настройки!$B$5,IF(D10&lt;&gt;"",D10,F10)))</f>
        <v>43.473684210526315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73.461176722785794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 t="str">
        <f>IF(Ввод_данных!C11="","",Ввод_данных!C11)</f>
        <v/>
      </c>
      <c r="E11" s="5">
        <f>IF(Ввод_данных!D11="","",Ввод_данных!D11)</f>
        <v>1706</v>
      </c>
      <c r="F11" s="5">
        <f t="shared" si="2"/>
        <v>59.859649122807014</v>
      </c>
      <c r="G11" s="5">
        <f>IF(COUNT(D11,F11)=0,"",IF(COUNT(D11,F11)=2,D11*Настройки!$B$4+F11*Настройки!$B$5,IF(D11&lt;&gt;"",D11,F11)))</f>
        <v>59.859649122807014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54.638968298925363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 t="str">
        <f>IF(Ввод_данных!C12="","",Ввод_данных!C12)</f>
        <v/>
      </c>
      <c r="E12" s="5">
        <f>IF(Ввод_данных!D12="","",Ввод_данных!D12)</f>
        <v>1714</v>
      </c>
      <c r="F12" s="5">
        <f t="shared" si="2"/>
        <v>60.140350877192986</v>
      </c>
      <c r="G12" s="5">
        <f>IF(COUNT(D12,F12)=0,"",IF(COUNT(D12,F12)=2,D12*Настройки!$B$4+F12*Настройки!$B$5,IF(D12&lt;&gt;"",D12,F12)))</f>
        <v>60.140350877192986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53.321059431891257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 t="str">
        <f>IF(Ввод_данных!C13="","",Ввод_данных!C13)</f>
        <v/>
      </c>
      <c r="E13" s="5">
        <f>IF(Ввод_данных!D13="","",Ввод_данных!D13)</f>
        <v>2432</v>
      </c>
      <c r="F13" s="5">
        <f t="shared" si="2"/>
        <v>85.333333333333343</v>
      </c>
      <c r="G13" s="5">
        <f>IF(COUNT(D13,F13)=0,"",IF(COUNT(D13,F13)=2,D13*Настройки!$B$4+F13*Настройки!$B$5,IF(D13&lt;&gt;"",D13,F13)))</f>
        <v>85.333333333333343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51.939438435419817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 t="str">
        <f>IF(Ввод_данных!C14="","",Ввод_данных!C14)</f>
        <v/>
      </c>
      <c r="E14" s="5">
        <f>IF(Ввод_данных!D14="","",Ввод_данных!D14)</f>
        <v>1792</v>
      </c>
      <c r="F14" s="5">
        <f t="shared" si="2"/>
        <v>62.877192982456144</v>
      </c>
      <c r="G14" s="5">
        <f>IF(COUNT(D14,F14)=0,"",IF(COUNT(D14,F14)=2,D14*Настройки!$B$4+F14*Настройки!$B$5,IF(D14&lt;&gt;"",D14,F14)))</f>
        <v>62.877192982456144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51.410706876731325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 t="str">
        <f>IF(Ввод_данных!C15="","",Ввод_данных!C15)</f>
        <v/>
      </c>
      <c r="E15" s="5">
        <f>IF(Ввод_данных!D15="","",Ввод_данных!D15)</f>
        <v>673</v>
      </c>
      <c r="F15" s="5">
        <f t="shared" si="2"/>
        <v>23.614035087719298</v>
      </c>
      <c r="G15" s="5">
        <f>IF(COUNT(D15,F15)=0,"",IF(COUNT(D15,F15)=2,D15*Настройки!$B$4+F15*Настройки!$B$5,IF(D15&lt;&gt;"",D15,F15)))</f>
        <v>23.614035087719298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80.798971001339211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 t="str">
        <f>IF(Ввод_данных!C16="","",Ввод_данных!C16)</f>
        <v/>
      </c>
      <c r="E16" s="5">
        <f>IF(Ввод_данных!D16="","",Ввод_данных!D16)</f>
        <v>521</v>
      </c>
      <c r="F16" s="5">
        <f t="shared" si="2"/>
        <v>18.280701754385966</v>
      </c>
      <c r="G16" s="5">
        <f>IF(COUNT(D16,F16)=0,"",IF(COUNT(D16,F16)=2,D16*Настройки!$B$4+F16*Настройки!$B$5,IF(D16&lt;&gt;"",D16,F16)))</f>
        <v>18.280701754385966</v>
      </c>
      <c r="H16" s="5">
        <f>IF(OR(G16="",COUNT($G$5:G16)&lt;12),"",AVERAGE(G5:G16))</f>
        <v>61.441520467836256</v>
      </c>
      <c r="I16" s="5">
        <f t="shared" si="3"/>
        <v>0.29753010041402944</v>
      </c>
      <c r="J16" s="5">
        <f>IF(OR(G16="",IFERROR(VLOOKUP(B16,Сезонность!$A$4:$D$15,4,FALSE),0)=0),"",G16/IFERROR(VLOOKUP(B16,Сезонность!$A$4:$D$15,4,FALSE),1))</f>
        <v>53.890527523556948</v>
      </c>
      <c r="K16" s="5">
        <f>IF(OR(G16="",H16="",H16=0,IFERROR(VLOOKUP(B16,Сезонность!$A$4:$D$15,4,FALSE),0)=0),"",G16/(H16*IFERROR(VLOOKUP(B16,Сезонность!$A$4:$D$15,4,FALSE),1)))</f>
        <v>0.87710276557638023</v>
      </c>
      <c r="L16" s="3" t="str">
        <f>IF(K16="","",IF(K16&lt;Настройки!$B$11,"ниже тренда",IF(K16&gt;Настройки!$B$12,"выше тренда","норма")))</f>
        <v>ниже тренда</v>
      </c>
      <c r="M16" s="3" t="str">
        <f t="shared" si="4"/>
        <v>возможное ослабление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 t="str">
        <f>IF(Ввод_данных!C17="","",Ввод_данных!C17)</f>
        <v/>
      </c>
      <c r="E17" s="5">
        <f>IF(Ввод_данных!D17="","",Ввод_данных!D17)</f>
        <v>1086</v>
      </c>
      <c r="F17" s="5">
        <f t="shared" si="2"/>
        <v>38.10526315789474</v>
      </c>
      <c r="G17" s="5">
        <f>IF(COUNT(D17,F17)=0,"",IF(COUNT(D17,F17)=2,D17*Настройки!$B$4+F17*Настройки!$B$5,IF(D17&lt;&gt;"",D17,F17)))</f>
        <v>38.10526315789474</v>
      </c>
      <c r="H17" s="5">
        <f>IF(OR(G17="",COUNT($G$5:G17)&lt;12),"",AVERAGE(G6:G17))</f>
        <v>59.523391812865498</v>
      </c>
      <c r="I17" s="5">
        <f t="shared" si="3"/>
        <v>0.64017291349412986</v>
      </c>
      <c r="J17" s="5">
        <f>IF(OR(G17="",IFERROR(VLOOKUP(B17,Сезонность!$A$4:$D$15,4,FALSE),0)=0),"",G17/IFERROR(VLOOKUP(B17,Сезонность!$A$4:$D$15,4,FALSE),1))</f>
        <v>44.72817628084055</v>
      </c>
      <c r="K17" s="5">
        <f>IF(OR(G17="",H17="",H17=0,IFERROR(VLOOKUP(B17,Сезонность!$A$4:$D$15,4,FALSE),0)=0),"",G17/(H17*IFERROR(VLOOKUP(B17,Сезонность!$A$4:$D$15,4,FALSE),1)))</f>
        <v>0.75143863477169848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 t="str">
        <f>IF(Ввод_данных!C18="","",Ввод_данных!C18)</f>
        <v/>
      </c>
      <c r="E18" s="5">
        <f>IF(Ввод_данных!D18="","",Ввод_данных!D18)</f>
        <v>1319</v>
      </c>
      <c r="F18" s="5">
        <f t="shared" si="2"/>
        <v>46.280701754385966</v>
      </c>
      <c r="G18" s="5">
        <f>IF(COUNT(D18,F18)=0,"",IF(COUNT(D18,F18)=2,D18*Настройки!$B$4+F18*Настройки!$B$5,IF(D18&lt;&gt;"",D18,F18)))</f>
        <v>46.280701754385966</v>
      </c>
      <c r="H18" s="5">
        <f>IF(OR(G18="",COUNT($G$5:G18)&lt;12),"",AVERAGE(G7:G18))</f>
        <v>56.546783625730995</v>
      </c>
      <c r="I18" s="5">
        <f t="shared" si="3"/>
        <v>0.81844976472413256</v>
      </c>
      <c r="J18" s="5">
        <f>IF(OR(G18="",IFERROR(VLOOKUP(B18,Сезонность!$A$4:$D$15,4,FALSE),0)=0),"",G18/IFERROR(VLOOKUP(B18,Сезонность!$A$4:$D$15,4,FALSE),1))</f>
        <v>42.491437888449937</v>
      </c>
      <c r="K18" s="5">
        <f>IF(OR(G18="",H18="",H18=0,IFERROR(VLOOKUP(B18,Сезонность!$A$4:$D$15,4,FALSE),0)=0),"",G18/(H18*IFERROR(VLOOKUP(B18,Сезонность!$A$4:$D$15,4,FALSE),1)))</f>
        <v>0.75143863477169859</v>
      </c>
      <c r="L18" s="3" t="str">
        <f>IF(K18="","",IF(K18&lt;Настройки!$B$11,"ниже тренда",IF(K18&gt;Настройки!$B$12,"выше тренда","норма")))</f>
        <v>ниже тренда</v>
      </c>
      <c r="M18" s="3" t="str">
        <f t="shared" si="4"/>
        <v>возможное ослабление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 t="str">
        <f>IF(Ввод_данных!C19="","",Ввод_данных!C19)</f>
        <v/>
      </c>
      <c r="E19" s="5">
        <f>IF(Ввод_данных!D19="","",Ввод_данных!D19)</f>
        <v>1589</v>
      </c>
      <c r="F19" s="5">
        <f t="shared" si="2"/>
        <v>55.754385964912281</v>
      </c>
      <c r="G19" s="5">
        <f>IF(COUNT(D19,F19)=0,"",IF(COUNT(D19,F19)=2,D19*Настройки!$B$4+F19*Настройки!$B$5,IF(D19&lt;&gt;"",D19,F19)))</f>
        <v>55.754385964912281</v>
      </c>
      <c r="H19" s="5">
        <f>IF(OR(G19="",COUNT($G$5:G19)&lt;12),"",AVERAGE(G8:G19))</f>
        <v>53.66081871345029</v>
      </c>
      <c r="I19" s="5">
        <f t="shared" si="3"/>
        <v>1.0390148212728858</v>
      </c>
      <c r="J19" s="5">
        <f>IF(OR(G19="",IFERROR(VLOOKUP(B19,Сезонность!$A$4:$D$15,4,FALSE),0)=0),"",G19/IFERROR(VLOOKUP(B19,Сезонность!$A$4:$D$15,4,FALSE),1))</f>
        <v>40.322812354766697</v>
      </c>
      <c r="K19" s="5">
        <f>IF(OR(G19="",H19="",H19=0,IFERROR(VLOOKUP(B19,Сезонность!$A$4:$D$15,4,FALSE),0)=0),"",G19/(H19*IFERROR(VLOOKUP(B19,Сезонность!$A$4:$D$15,4,FALSE),1)))</f>
        <v>0.75143863477169859</v>
      </c>
      <c r="L19" s="3" t="str">
        <f>IF(K19="","",IF(K19&lt;Настройки!$B$11,"ниже тренда",IF(K19&gt;Настройки!$B$12,"выше тренда","норма")))</f>
        <v>ниже тренда</v>
      </c>
      <c r="M19" s="3" t="str">
        <f t="shared" si="4"/>
        <v>возможное ослабление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 t="str">
        <f>IF(Ввод_данных!C20="","",Ввод_данных!C20)</f>
        <v/>
      </c>
      <c r="E20" s="5">
        <f>IF(Ввод_данных!D20="","",Ввод_данных!D20)</f>
        <v>1938</v>
      </c>
      <c r="F20" s="5">
        <f t="shared" si="2"/>
        <v>68</v>
      </c>
      <c r="G20" s="5">
        <f>IF(COUNT(D20,F20)=0,"",IF(COUNT(D20,F20)=2,D20*Настройки!$B$4+F20*Настройки!$B$5,IF(D20&lt;&gt;"",D20,F20)))</f>
        <v>68</v>
      </c>
      <c r="H20" s="5">
        <f>IF(OR(G20="",COUNT($G$5:G20)&lt;12),"",AVERAGE(G9:G20))</f>
        <v>50.994152046783626</v>
      </c>
      <c r="I20" s="5">
        <f t="shared" si="3"/>
        <v>1.33348623853211</v>
      </c>
      <c r="J20" s="5">
        <f>IF(OR(G20="",IFERROR(VLOOKUP(B20,Сезонность!$A$4:$D$15,4,FALSE),0)=0),"",G20/IFERROR(VLOOKUP(B20,Сезонность!$A$4:$D$15,4,FALSE),1))</f>
        <v>38.31897599537551</v>
      </c>
      <c r="K20" s="5">
        <f>IF(OR(G20="",H20="",H20=0,IFERROR(VLOOKUP(B20,Сезонность!$A$4:$D$15,4,FALSE),0)=0),"",G20/(H20*IFERROR(VLOOKUP(B20,Сезонность!$A$4:$D$15,4,FALSE),1)))</f>
        <v>0.75143863477169859</v>
      </c>
      <c r="L20" s="3" t="str">
        <f>IF(K20="","",IF(K20&lt;Настройки!$B$11,"ниже тренда",IF(K20&gt;Настройки!$B$12,"выше тренда","норма")))</f>
        <v>ниже тренда</v>
      </c>
      <c r="M20" s="3" t="str">
        <f t="shared" si="4"/>
        <v>возможное ослабление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 t="str">
        <f>IF(Ввод_данных!C21="","",Ввод_данных!C21)</f>
        <v/>
      </c>
      <c r="E21" s="5">
        <f>IF(Ввод_данных!D21="","",Ввод_данных!D21)</f>
        <v>613</v>
      </c>
      <c r="F21" s="5">
        <f t="shared" si="2"/>
        <v>21.508771929824562</v>
      </c>
      <c r="G21" s="5">
        <f>IF(COUNT(D21,F21)=0,"",IF(COUNT(D21,F21)=2,D21*Настройки!$B$4+F21*Настройки!$B$5,IF(D21&lt;&gt;"",D21,F21)))</f>
        <v>21.508771929824562</v>
      </c>
      <c r="H21" s="5">
        <f>IF(OR(G21="",COUNT($G$5:G21)&lt;12),"",AVERAGE(G10:G21))</f>
        <v>48.602339181286546</v>
      </c>
      <c r="I21" s="5">
        <f t="shared" si="3"/>
        <v>0.4425460233425581</v>
      </c>
      <c r="J21" s="5">
        <f>IF(OR(G21="",IFERROR(VLOOKUP(B21,Сезонность!$A$4:$D$15,4,FALSE),0)=0),"",G21/IFERROR(VLOOKUP(B21,Сезонность!$A$4:$D$15,4,FALSE),1))</f>
        <v>36.521675401096992</v>
      </c>
      <c r="K21" s="5">
        <f>IF(OR(G21="",H21="",H21=0,IFERROR(VLOOKUP(B21,Сезонность!$A$4:$D$15,4,FALSE),0)=0),"",G21/(H21*IFERROR(VLOOKUP(B21,Сезонность!$A$4:$D$15,4,FALSE),1)))</f>
        <v>0.75143863477169859</v>
      </c>
      <c r="L21" s="3" t="str">
        <f>IF(K21="","",IF(K21&lt;Настройки!$B$11,"ниже тренда",IF(K21&gt;Настройки!$B$12,"выше тренда","норма")))</f>
        <v>ниже тренда</v>
      </c>
      <c r="M21" s="3" t="str">
        <f t="shared" si="4"/>
        <v>возможное ослабление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 t="str">
        <f>IF(Ввод_данных!C22="","",Ввод_данных!C22)</f>
        <v/>
      </c>
      <c r="E22" s="5">
        <f>IF(Ввод_данных!D22="","",Ввод_данных!D22)</f>
        <v>592</v>
      </c>
      <c r="F22" s="5">
        <f t="shared" si="2"/>
        <v>20.771929824561404</v>
      </c>
      <c r="G22" s="5">
        <f>IF(COUNT(D22,F22)=0,"",IF(COUNT(D22,F22)=2,D22*Настройки!$B$4+F22*Настройки!$B$5,IF(D22&lt;&gt;"",D22,F22)))</f>
        <v>20.771929824561404</v>
      </c>
      <c r="H22" s="5">
        <f>IF(OR(G22="",COUNT($G$5:G22)&lt;12),"",AVERAGE(G11:G22))</f>
        <v>46.71052631578948</v>
      </c>
      <c r="I22" s="5">
        <f t="shared" si="3"/>
        <v>0.44469483568075113</v>
      </c>
      <c r="J22" s="5">
        <f>IF(OR(G22="",IFERROR(VLOOKUP(B22,Сезонность!$A$4:$D$15,4,FALSE),0)=0),"",G22/IFERROR(VLOOKUP(B22,Сезонность!$A$4:$D$15,4,FALSE),1))</f>
        <v>35.100094124204347</v>
      </c>
      <c r="K22" s="5">
        <f>IF(OR(G22="",H22="",H22=0,IFERROR(VLOOKUP(B22,Сезонность!$A$4:$D$15,4,FALSE),0)=0),"",G22/(H22*IFERROR(VLOOKUP(B22,Сезонность!$A$4:$D$15,4,FALSE),1)))</f>
        <v>0.7514386347716987</v>
      </c>
      <c r="L22" s="3" t="str">
        <f>IF(K22="","",IF(K22&lt;Настройки!$B$11,"ниже тренда",IF(K22&gt;Настройки!$B$12,"выше тренда","норма")))</f>
        <v>ниже тренда</v>
      </c>
      <c r="M22" s="3" t="str">
        <f t="shared" si="4"/>
        <v>возможное ослабление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 t="str">
        <f>IF(Ввод_данных!C23="","",Ввод_данных!C23)</f>
        <v/>
      </c>
      <c r="E23" s="5">
        <f>IF(Ввод_данных!D23="","",Ввод_данных!D23)</f>
        <v>1051</v>
      </c>
      <c r="F23" s="5">
        <f t="shared" si="2"/>
        <v>36.877192982456144</v>
      </c>
      <c r="G23" s="5">
        <f>IF(COUNT(D23,F23)=0,"",IF(COUNT(D23,F23)=2,D23*Настройки!$B$4+F23*Настройки!$B$5,IF(D23&lt;&gt;"",D23,F23)))</f>
        <v>36.877192982456144</v>
      </c>
      <c r="H23" s="5">
        <f>IF(OR(G23="",COUNT($G$5:G23)&lt;12),"",AVERAGE(G12:G23))</f>
        <v>44.795321637426902</v>
      </c>
      <c r="I23" s="5">
        <f t="shared" si="3"/>
        <v>0.82323759791122719</v>
      </c>
      <c r="J23" s="5">
        <f>IF(OR(G23="",IFERROR(VLOOKUP(B23,Сезонность!$A$4:$D$15,4,FALSE),0)=0),"",G23/IFERROR(VLOOKUP(B23,Сезонность!$A$4:$D$15,4,FALSE),1))</f>
        <v>33.660935335387201</v>
      </c>
      <c r="K23" s="5">
        <f>IF(OR(G23="",H23="",H23=0,IFERROR(VLOOKUP(B23,Сезонность!$A$4:$D$15,4,FALSE),0)=0),"",G23/(H23*IFERROR(VLOOKUP(B23,Сезонность!$A$4:$D$15,4,FALSE),1)))</f>
        <v>0.75143863477169859</v>
      </c>
      <c r="L23" s="3" t="str">
        <f>IF(K23="","",IF(K23&lt;Настройки!$B$11,"ниже тренда",IF(K23&gt;Настройки!$B$12,"выше тренда","норма")))</f>
        <v>ниже тренда</v>
      </c>
      <c r="M23" s="3" t="str">
        <f t="shared" si="4"/>
        <v>возможное ослабление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 t="str">
        <f>IF(Ввод_данных!C24="","",Ввод_данных!C24)</f>
        <v/>
      </c>
      <c r="E24" s="5">
        <f>IF(Ввод_данных!D24="","",Ввод_данных!D24)</f>
        <v>1034</v>
      </c>
      <c r="F24" s="5">
        <f t="shared" si="2"/>
        <v>36.280701754385966</v>
      </c>
      <c r="G24" s="5">
        <f>IF(COUNT(D24,F24)=0,"",IF(COUNT(D24,F24)=2,D24*Настройки!$B$4+F24*Настройки!$B$5,IF(D24&lt;&gt;"",D24,F24)))</f>
        <v>36.280701754385966</v>
      </c>
      <c r="H24" s="5">
        <f>IF(OR(G24="",COUNT($G$5:G24)&lt;12),"",AVERAGE(G13:G24))</f>
        <v>42.807017543859651</v>
      </c>
      <c r="I24" s="5">
        <f t="shared" si="3"/>
        <v>0.84754098360655739</v>
      </c>
      <c r="J24" s="5">
        <f>IF(OR(G24="",IFERROR(VLOOKUP(B24,Сезонность!$A$4:$D$15,4,FALSE),0)=0),"",G24/IFERROR(VLOOKUP(B24,Сезонность!$A$4:$D$15,4,FALSE),1))</f>
        <v>32.166846821806047</v>
      </c>
      <c r="K24" s="5">
        <f>IF(OR(G24="",H24="",H24=0,IFERROR(VLOOKUP(B24,Сезонность!$A$4:$D$15,4,FALSE),0)=0),"",G24/(H24*IFERROR(VLOOKUP(B24,Сезонность!$A$4:$D$15,4,FALSE),1)))</f>
        <v>0.75143863477169859</v>
      </c>
      <c r="L24" s="3" t="str">
        <f>IF(K24="","",IF(K24&lt;Настройки!$B$11,"ниже тренда",IF(K24&gt;Настройки!$B$12,"выше тренда","норма")))</f>
        <v>ниже тренда</v>
      </c>
      <c r="M24" s="3" t="str">
        <f t="shared" si="4"/>
        <v>возможное ослабление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 t="str">
        <f>IF(Ввод_данных!C25="","",Ввод_данных!C25)</f>
        <v/>
      </c>
      <c r="E25" s="5">
        <f>IF(Ввод_данных!D25="","",Ввод_данных!D25)</f>
        <v>1400</v>
      </c>
      <c r="F25" s="5">
        <f t="shared" si="2"/>
        <v>49.122807017543856</v>
      </c>
      <c r="G25" s="5">
        <f>IF(COUNT(D25,F25)=0,"",IF(COUNT(D25,F25)=2,D25*Настройки!$B$4+F25*Настройки!$B$5,IF(D25&lt;&gt;"",D25,F25)))</f>
        <v>49.122807017543856</v>
      </c>
      <c r="H25" s="5">
        <f>IF(OR(G25="",COUNT($G$5:G25)&lt;12),"",AVERAGE(G14:G25))</f>
        <v>39.789473684210527</v>
      </c>
      <c r="I25" s="5">
        <f t="shared" si="3"/>
        <v>1.2345679012345678</v>
      </c>
      <c r="J25" s="5">
        <f>IF(OR(G25="",IFERROR(VLOOKUP(B25,Сезонность!$A$4:$D$15,4,FALSE),0)=0),"",G25/IFERROR(VLOOKUP(B25,Сезонность!$A$4:$D$15,4,FALSE),1))</f>
        <v>29.899347783547583</v>
      </c>
      <c r="K25" s="5">
        <f>IF(OR(G25="",H25="",H25=0,IFERROR(VLOOKUP(B25,Сезонность!$A$4:$D$15,4,FALSE),0)=0),"",G25/(H25*IFERROR(VLOOKUP(B25,Сезонность!$A$4:$D$15,4,FALSE),1)))</f>
        <v>0.75143863477169848</v>
      </c>
      <c r="L25" s="3" t="str">
        <f>IF(K25="","",IF(K25&lt;Настройки!$B$11,"ниже тренда",IF(K25&gt;Настройки!$B$12,"выше тренда","норма")))</f>
        <v>ниже тренда</v>
      </c>
      <c r="M25" s="3" t="str">
        <f t="shared" si="4"/>
        <v>возможное ослабление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 t="str">
        <f>IF(Ввод_данных!C26="","",Ввод_данных!C26)</f>
        <v/>
      </c>
      <c r="E26" s="5">
        <f>IF(Ввод_данных!D26="","",Ввод_данных!D26)</f>
        <v>980</v>
      </c>
      <c r="F26" s="5">
        <f t="shared" si="2"/>
        <v>34.385964912280706</v>
      </c>
      <c r="G26" s="5">
        <f>IF(COUNT(D26,F26)=0,"",IF(COUNT(D26,F26)=2,D26*Настройки!$B$4+F26*Настройки!$B$5,IF(D26&lt;&gt;"",D26,F26)))</f>
        <v>34.385964912280706</v>
      </c>
      <c r="H26" s="5">
        <f>IF(OR(G26="",COUNT($G$5:G26)&lt;12),"",AVERAGE(G15:G26))</f>
        <v>37.415204678362578</v>
      </c>
      <c r="I26" s="5">
        <f t="shared" si="3"/>
        <v>0.91903719912472648</v>
      </c>
      <c r="J26" s="5">
        <f>IF(OR(G26="",IFERROR(VLOOKUP(B26,Сезонность!$A$4:$D$15,4,FALSE),0)=0),"",G26/IFERROR(VLOOKUP(B26,Сезонность!$A$4:$D$15,4,FALSE),1))</f>
        <v>28.115230323212447</v>
      </c>
      <c r="K26" s="5">
        <f>IF(OR(G26="",H26="",H26=0,IFERROR(VLOOKUP(B26,Сезонность!$A$4:$D$15,4,FALSE),0)=0),"",G26/(H26*IFERROR(VLOOKUP(B26,Сезонность!$A$4:$D$15,4,FALSE),1)))</f>
        <v>0.75143863477169859</v>
      </c>
      <c r="L26" s="3" t="str">
        <f>IF(K26="","",IF(K26&lt;Настройки!$B$11,"ниже тренда",IF(K26&gt;Настройки!$B$12,"выше тренда","норма")))</f>
        <v>ниже тренда</v>
      </c>
      <c r="M26" s="3" t="str">
        <f t="shared" si="4"/>
        <v>возможное ослабление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 t="str">
        <f>IF(Ввод_данных!C27="","",Ввод_данных!C27)</f>
        <v/>
      </c>
      <c r="E27" s="5">
        <f>IF(Ввод_данных!D27="","",Ввод_данных!D27)</f>
        <v>226</v>
      </c>
      <c r="F27" s="5">
        <f t="shared" si="2"/>
        <v>7.9298245614035086</v>
      </c>
      <c r="G27" s="5">
        <f>IF(COUNT(D27,F27)=0,"",IF(COUNT(D27,F27)=2,D27*Настройки!$B$4+F27*Настройки!$B$5,IF(D27&lt;&gt;"",D27,F27)))</f>
        <v>7.9298245614035086</v>
      </c>
      <c r="H27" s="5">
        <f>IF(OR(G27="",COUNT($G$5:G27)&lt;12),"",AVERAGE(G16:G27))</f>
        <v>36.108187134502927</v>
      </c>
      <c r="I27" s="5">
        <f t="shared" si="3"/>
        <v>0.21961292412341077</v>
      </c>
      <c r="J27" s="5">
        <f>IF(OR(G27="",IFERROR(VLOOKUP(B27,Сезонность!$A$4:$D$15,4,FALSE),0)=0),"",G27/IFERROR(VLOOKUP(B27,Сезонность!$A$4:$D$15,4,FALSE),1))</f>
        <v>27.13308684443189</v>
      </c>
      <c r="K27" s="5">
        <f>IF(OR(G27="",H27="",H27=0,IFERROR(VLOOKUP(B27,Сезонность!$A$4:$D$15,4,FALSE),0)=0),"",G27/(H27*IFERROR(VLOOKUP(B27,Сезонность!$A$4:$D$15,4,FALSE),1)))</f>
        <v>0.75143863477169859</v>
      </c>
      <c r="L27" s="3" t="str">
        <f>IF(K27="","",IF(K27&lt;Настройки!$B$11,"ниже тренда",IF(K27&gt;Настройки!$B$12,"выше тренда","норма")))</f>
        <v>ниже тренда</v>
      </c>
      <c r="M27" s="3" t="str">
        <f t="shared" si="4"/>
        <v>возможное ослабление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 t="str">
        <f>IF(Ввод_данных!C28="","",Ввод_данных!C28)</f>
        <v/>
      </c>
      <c r="E28" s="5">
        <f>IF(Ввод_данных!D28="","",Ввод_данных!D28)</f>
        <v>213</v>
      </c>
      <c r="F28" s="5">
        <f t="shared" si="2"/>
        <v>7.4736842105263159</v>
      </c>
      <c r="G28" s="5">
        <f>IF(COUNT(D28,F28)=0,"",IF(COUNT(D28,F28)=2,D28*Настройки!$B$4+F28*Настройки!$B$5,IF(D28&lt;&gt;"",D28,F28)))</f>
        <v>7.4736842105263159</v>
      </c>
      <c r="H28" s="5">
        <f>IF(OR(G28="",COUNT($G$5:G28)&lt;12),"",AVERAGE(G17:G28))</f>
        <v>35.207602339181285</v>
      </c>
      <c r="I28" s="5">
        <f t="shared" si="3"/>
        <v>0.21227472801262354</v>
      </c>
      <c r="J28" s="5">
        <f>IF(OR(G28="",IFERROR(VLOOKUP(B28,Сезонность!$A$4:$D$15,4,FALSE),0)=0),"",G28/IFERROR(VLOOKUP(B28,Сезонность!$A$4:$D$15,4,FALSE),1))</f>
        <v>22.032019889669154</v>
      </c>
      <c r="K28" s="5">
        <f>IF(OR(G28="",H28="",H28=0,IFERROR(VLOOKUP(B28,Сезонность!$A$4:$D$15,4,FALSE),0)=0),"",G28/(H28*IFERROR(VLOOKUP(B28,Сезонность!$A$4:$D$15,4,FALSE),1)))</f>
        <v>0.62577450396701706</v>
      </c>
      <c r="L28" s="3" t="str">
        <f>IF(K28="","",IF(K28&lt;Настройки!$B$11,"ниже тренда",IF(K28&gt;Настройки!$B$12,"выше тренда","норма")))</f>
        <v>ниже тренда</v>
      </c>
      <c r="M28" s="3" t="str">
        <f t="shared" si="4"/>
        <v>возможное ослабление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IF(OR(G29="",IFERROR(VLOOKUP(B29,Сезонность!$A$4:$D$15,4,FALSE),0)=0),"",G29/IFERROR(VLOOKUP(B29,Сезонность!$A$4:$D$15,4,FALSE),1))</f>
        <v/>
      </c>
      <c r="K29" s="5" t="str">
        <f>IF(OR(G29="",H29="",H29=0,IFERROR(VLOOKUP(B29,Сезонность!$A$4:$D$15,4,FALSE),0)=0),"",G29/(H29*IFERROR(VLOOKUP(B29,Сезонность!$A$4:$D$15,4,FALSE),1)))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IF(OR(G30="",IFERROR(VLOOKUP(B30,Сезонность!$A$4:$D$15,4,FALSE),0)=0),"",G30/IFERROR(VLOOKUP(B30,Сезонность!$A$4:$D$15,4,FALSE),1))</f>
        <v/>
      </c>
      <c r="K30" s="5" t="str">
        <f>IF(OR(G30="",H30="",H30=0,IFERROR(VLOOKUP(B30,Сезонность!$A$4:$D$15,4,FALSE),0)=0),"",G30/(H30*IFERROR(VLOOKUP(B30,Сезонность!$A$4:$D$15,4,FALSE),1)))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IF(OR(G31="",IFERROR(VLOOKUP(B31,Сезонность!$A$4:$D$15,4,FALSE),0)=0),"",G31/IFERROR(VLOOKUP(B31,Сезонность!$A$4:$D$15,4,FALSE),1))</f>
        <v/>
      </c>
      <c r="K31" s="5" t="str">
        <f>IF(OR(G31="",H31="",H31=0,IFERROR(VLOOKUP(B31,Сезонность!$A$4:$D$15,4,FALSE),0)=0),"",G31/(H31*IFERROR(VLOOKUP(B31,Сезонность!$A$4:$D$15,4,FALSE),1)))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IF(OR(G32="",IFERROR(VLOOKUP(B32,Сезонность!$A$4:$D$15,4,FALSE),0)=0),"",G32/IFERROR(VLOOKUP(B32,Сезонность!$A$4:$D$15,4,FALSE),1))</f>
        <v/>
      </c>
      <c r="K32" s="5" t="str">
        <f>IF(OR(G32="",H32="",H32=0,IFERROR(VLOOKUP(B32,Сезонность!$A$4:$D$15,4,FALSE),0)=0),"",G32/(H32*IFERROR(VLOOKUP(B32,Сезонность!$A$4:$D$15,4,FALSE),1)))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IF(OR(G33="",IFERROR(VLOOKUP(B33,Сезонность!$A$4:$D$15,4,FALSE),0)=0),"",G33/IFERROR(VLOOKUP(B33,Сезонность!$A$4:$D$15,4,FALSE),1))</f>
        <v/>
      </c>
      <c r="K33" s="5" t="str">
        <f>IF(OR(G33="",H33="",H33=0,IFERROR(VLOOKUP(B33,Сезонность!$A$4:$D$15,4,FALSE),0)=0),"",G33/(H33*IFERROR(VLOOKUP(B33,Сезонность!$A$4:$D$15,4,FALSE),1)))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IF(OR(G34="",IFERROR(VLOOKUP(B34,Сезонность!$A$4:$D$15,4,FALSE),0)=0),"",G34/IFERROR(VLOOKUP(B34,Сезонность!$A$4:$D$15,4,FALSE),1))</f>
        <v/>
      </c>
      <c r="K34" s="5" t="str">
        <f>IF(OR(G34="",H34="",H34=0,IFERROR(VLOOKUP(B34,Сезонность!$A$4:$D$15,4,FALSE),0)=0),"",G34/(H34*IFERROR(VLOOKUP(B34,Сезонность!$A$4:$D$15,4,FALSE),1)))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IF(OR(G35="",IFERROR(VLOOKUP(B35,Сезонность!$A$4:$D$15,4,FALSE),0)=0),"",G35/IFERROR(VLOOKUP(B35,Сезонность!$A$4:$D$15,4,FALSE),1))</f>
        <v/>
      </c>
      <c r="K35" s="5" t="str">
        <f>IF(OR(G35="",H35="",H35=0,IFERROR(VLOOKUP(B35,Сезонность!$A$4:$D$15,4,FALSE),0)=0),"",G35/(H35*IFERROR(VLOOKUP(B35,Сезонность!$A$4:$D$15,4,FALSE),1)))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IF(OR(G36="",IFERROR(VLOOKUP(B36,Сезонность!$A$4:$D$15,4,FALSE),0)=0),"",G36/IFERROR(VLOOKUP(B36,Сезонность!$A$4:$D$15,4,FALSE),1))</f>
        <v/>
      </c>
      <c r="K36" s="5" t="str">
        <f>IF(OR(G36="",H36="",H36=0,IFERROR(VLOOKUP(B36,Сезонность!$A$4:$D$15,4,FALSE),0)=0),"",G36/(H36*IFERROR(VLOOKUP(B36,Сезонность!$A$4:$D$15,4,FALSE),1)))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IF(OR(G37="",IFERROR(VLOOKUP(B37,Сезонность!$A$4:$D$15,4,FALSE),0)=0),"",G37/IFERROR(VLOOKUP(B37,Сезонность!$A$4:$D$15,4,FALSE),1))</f>
        <v/>
      </c>
      <c r="K37" s="5" t="str">
        <f>IF(OR(G37="",H37="",H37=0,IFERROR(VLOOKUP(B37,Сезонность!$A$4:$D$15,4,FALSE),0)=0),"",G37/(H37*IFERROR(VLOOKUP(B37,Сезонность!$A$4:$D$15,4,FALSE),1)))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IF(OR(G38="",IFERROR(VLOOKUP(B38,Сезонность!$A$4:$D$15,4,FALSE),0)=0),"",G38/IFERROR(VLOOKUP(B38,Сезонность!$A$4:$D$15,4,FALSE),1))</f>
        <v/>
      </c>
      <c r="K38" s="5" t="str">
        <f>IF(OR(G38="",H38="",H38=0,IFERROR(VLOOKUP(B38,Сезонность!$A$4:$D$15,4,FALSE),0)=0),"",G38/(H38*IFERROR(VLOOKUP(B38,Сезонность!$A$4:$D$15,4,FALSE),1)))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IF(OR(G39="",IFERROR(VLOOKUP(B39,Сезонность!$A$4:$D$15,4,FALSE),0)=0),"",G39/IFERROR(VLOOKUP(B39,Сезонность!$A$4:$D$15,4,FALSE),1))</f>
        <v/>
      </c>
      <c r="K39" s="5" t="str">
        <f>IF(OR(G39="",H39="",H39=0,IFERROR(VLOOKUP(B39,Сезонность!$A$4:$D$15,4,FALSE),0)=0),"",G39/(H39*IFERROR(VLOOKUP(B39,Сезонность!$A$4:$D$15,4,FALSE),1)))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IF(OR(G40="",IFERROR(VLOOKUP(B40,Сезонность!$A$4:$D$15,4,FALSE),0)=0),"",G40/IFERROR(VLOOKUP(B40,Сезонность!$A$4:$D$15,4,FALSE),1))</f>
        <v/>
      </c>
      <c r="K40" s="5" t="str">
        <f>IF(OR(G40="",H40="",H40=0,IFERROR(VLOOKUP(B40,Сезонность!$A$4:$D$15,4,FALSE),0)=0),"",G40/(H40*IFERROR(VLOOKUP(B40,Сезонность!$A$4:$D$15,4,FALSE),1)))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2" t="s">
        <v>49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0.4425460233425581</v>
      </c>
      <c r="D4" s="5">
        <f t="shared" ref="D4:D15" si="0">IF(C4="","",C4/AVERAGE($C$4:$C$15))</f>
        <v>0.58893168765139692</v>
      </c>
      <c r="E4" s="5">
        <f t="shared" ref="E4:E15" si="1">IF(D4="","",D4-1)</f>
        <v>-0.41106831234860308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0.44469483568075113</v>
      </c>
      <c r="D5" s="5">
        <f t="shared" si="0"/>
        <v>0.59179128554636784</v>
      </c>
      <c r="E5" s="5">
        <f t="shared" si="1"/>
        <v>-0.40820871445363216</v>
      </c>
      <c r="F5" s="3" t="str">
        <f t="shared" si="2"/>
        <v>сезонный минимум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0.82323759791122719</v>
      </c>
      <c r="D6" s="5">
        <f t="shared" si="0"/>
        <v>1.0955486713314155</v>
      </c>
      <c r="E6" s="5">
        <f t="shared" si="1"/>
        <v>9.5548671331415536E-2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0.84754098360655739</v>
      </c>
      <c r="D7" s="5">
        <f t="shared" si="0"/>
        <v>1.127891146911892</v>
      </c>
      <c r="E7" s="5">
        <f t="shared" si="1"/>
        <v>0.12789114691189196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1.2345679012345678</v>
      </c>
      <c r="D8" s="5">
        <f t="shared" si="0"/>
        <v>1.6429390825900949</v>
      </c>
      <c r="E8" s="5">
        <f t="shared" si="1"/>
        <v>0.64293908259009491</v>
      </c>
      <c r="F8" s="3" t="str">
        <f t="shared" si="2"/>
        <v>сезонный максимум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0.91903719912472648</v>
      </c>
      <c r="D9" s="5">
        <f t="shared" si="0"/>
        <v>1.2230369275648802</v>
      </c>
      <c r="E9" s="5">
        <f t="shared" si="1"/>
        <v>0.22303692756488025</v>
      </c>
      <c r="F9" s="3" t="str">
        <f t="shared" si="2"/>
        <v>сезонный максимум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0.21961292412341077</v>
      </c>
      <c r="D10" s="5">
        <f t="shared" si="0"/>
        <v>0.29225663142823816</v>
      </c>
      <c r="E10" s="5">
        <f t="shared" si="1"/>
        <v>-0.70774336857176179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0.25490241421332649</v>
      </c>
      <c r="D11" s="5">
        <f t="shared" si="0"/>
        <v>0.33921920223169083</v>
      </c>
      <c r="E11" s="5">
        <f t="shared" si="1"/>
        <v>-0.66078079776830911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0.64017291349412986</v>
      </c>
      <c r="D12" s="5">
        <f t="shared" si="0"/>
        <v>0.85192973034800989</v>
      </c>
      <c r="E12" s="5">
        <f t="shared" si="1"/>
        <v>-0.14807026965199011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0.81844976472413256</v>
      </c>
      <c r="D13" s="5">
        <f t="shared" si="0"/>
        <v>1.0891771155375758</v>
      </c>
      <c r="E13" s="5">
        <f t="shared" si="1"/>
        <v>8.9177115537575791E-2</v>
      </c>
      <c r="F13" s="3" t="str">
        <f t="shared" si="2"/>
        <v>средний сезонный уровень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1.0390148212728858</v>
      </c>
      <c r="D14" s="5">
        <f t="shared" si="0"/>
        <v>1.3827008263802651</v>
      </c>
      <c r="E14" s="5">
        <f t="shared" si="1"/>
        <v>0.38270082638026515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1.33348623853211</v>
      </c>
      <c r="D15" s="5">
        <f t="shared" si="0"/>
        <v>1.7745776924781738</v>
      </c>
      <c r="E15" s="5">
        <f t="shared" si="1"/>
        <v>0.77457769247817376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1.7745776924781738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0.29225663142823816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1.4823210610499356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декабрь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июль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2" t="s">
        <v>70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61.441520467836256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35.207602339181285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-26.23391812865497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-0.42697377813734355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-2.5477345537757441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2" t="s">
        <v>95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3" t="s">
        <v>96</v>
      </c>
      <c r="B2" s="13"/>
      <c r="C2" s="13"/>
      <c r="D2" s="13"/>
      <c r="E2" s="13"/>
      <c r="F2" s="13"/>
      <c r="G2" s="13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0.62577450396701706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ниже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0.62577450396701706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0.87710276557638023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0.25132826160936317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61.122807017543856</v>
      </c>
      <c r="C14" s="5" t="str">
        <f>Расчет!H5</f>
        <v/>
      </c>
      <c r="D14" s="5">
        <f>IFERROR(VLOOKUP(Расчет!B5,Сезонность!$A$4:$D$15,4,FALSE),"")</f>
        <v>0.85192973034800989</v>
      </c>
      <c r="E14" s="5">
        <f>Расчет!J5</f>
        <v>71.746301179764473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82</v>
      </c>
      <c r="C15" s="5" t="str">
        <f>Расчет!H6</f>
        <v/>
      </c>
      <c r="D15" s="5">
        <f>IFERROR(VLOOKUP(Расчет!B6,Сезонность!$A$4:$D$15,4,FALSE),"")</f>
        <v>1.0891771155375758</v>
      </c>
      <c r="E15" s="5">
        <f>Расчет!J6</f>
        <v>75.286194348224043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90.385964912280699</v>
      </c>
      <c r="C16" s="5" t="str">
        <f>Расчет!H7</f>
        <v/>
      </c>
      <c r="D16" s="5">
        <f>IFERROR(VLOOKUP(Расчет!B7,Сезонность!$A$4:$D$15,4,FALSE),"")</f>
        <v>1.3827008263802651</v>
      </c>
      <c r="E16" s="5">
        <f>Расчет!J7</f>
        <v>65.369140733718694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100</v>
      </c>
      <c r="C17" s="5" t="str">
        <f>Расчет!H8</f>
        <v/>
      </c>
      <c r="D17" s="5">
        <f>IFERROR(VLOOKUP(Расчет!B8,Сезонность!$A$4:$D$15,4,FALSE),"")</f>
        <v>1.7745776924781738</v>
      </c>
      <c r="E17" s="5">
        <f>Расчет!J8</f>
        <v>56.351435287316924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50.210526315789473</v>
      </c>
      <c r="C18" s="5" t="str">
        <f>Расчет!H9</f>
        <v/>
      </c>
      <c r="D18" s="5">
        <f>IFERROR(VLOOKUP(Расчет!B9,Сезонность!$A$4:$D$15,4,FALSE),"")</f>
        <v>0.58893168765139692</v>
      </c>
      <c r="E18" s="5">
        <f>Расчет!J9</f>
        <v>85.256961662267202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43.473684210526315</v>
      </c>
      <c r="C19" s="5" t="str">
        <f>Расчет!H10</f>
        <v/>
      </c>
      <c r="D19" s="5">
        <f>IFERROR(VLOOKUP(Расчет!B10,Сезонность!$A$4:$D$15,4,FALSE),"")</f>
        <v>0.59179128554636784</v>
      </c>
      <c r="E19" s="5">
        <f>Расчет!J10</f>
        <v>73.461176722785794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59.859649122807014</v>
      </c>
      <c r="C20" s="5" t="str">
        <f>Расчет!H11</f>
        <v/>
      </c>
      <c r="D20" s="5">
        <f>IFERROR(VLOOKUP(Расчет!B11,Сезонность!$A$4:$D$15,4,FALSE),"")</f>
        <v>1.0955486713314155</v>
      </c>
      <c r="E20" s="5">
        <f>Расчет!J11</f>
        <v>54.638968298925363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60.140350877192986</v>
      </c>
      <c r="C21" s="5" t="str">
        <f>Расчет!H12</f>
        <v/>
      </c>
      <c r="D21" s="5">
        <f>IFERROR(VLOOKUP(Расчет!B12,Сезонность!$A$4:$D$15,4,FALSE),"")</f>
        <v>1.127891146911892</v>
      </c>
      <c r="E21" s="5">
        <f>Расчет!J12</f>
        <v>53.321059431891257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85.333333333333343</v>
      </c>
      <c r="C22" s="5" t="str">
        <f>Расчет!H13</f>
        <v/>
      </c>
      <c r="D22" s="5">
        <f>IFERROR(VLOOKUP(Расчет!B13,Сезонность!$A$4:$D$15,4,FALSE),"")</f>
        <v>1.6429390825900949</v>
      </c>
      <c r="E22" s="5">
        <f>Расчет!J13</f>
        <v>51.939438435419817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62.877192982456144</v>
      </c>
      <c r="C23" s="5" t="str">
        <f>Расчет!H14</f>
        <v/>
      </c>
      <c r="D23" s="5">
        <f>IFERROR(VLOOKUP(Расчет!B14,Сезонность!$A$4:$D$15,4,FALSE),"")</f>
        <v>1.2230369275648802</v>
      </c>
      <c r="E23" s="5">
        <f>Расчет!J14</f>
        <v>51.410706876731325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23.614035087719298</v>
      </c>
      <c r="C24" s="5" t="str">
        <f>Расчет!H15</f>
        <v/>
      </c>
      <c r="D24" s="5">
        <f>IFERROR(VLOOKUP(Расчет!B15,Сезонность!$A$4:$D$15,4,FALSE),"")</f>
        <v>0.29225663142823816</v>
      </c>
      <c r="E24" s="5">
        <f>Расчет!J15</f>
        <v>80.798971001339211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18.280701754385966</v>
      </c>
      <c r="C25" s="5">
        <f>Расчет!H16</f>
        <v>61.441520467836256</v>
      </c>
      <c r="D25" s="5">
        <f>IFERROR(VLOOKUP(Расчет!B16,Сезонность!$A$4:$D$15,4,FALSE),"")</f>
        <v>0.33921920223169083</v>
      </c>
      <c r="E25" s="5">
        <f>Расчет!J16</f>
        <v>53.890527523556948</v>
      </c>
      <c r="F25" s="5">
        <f>Расчет!K16</f>
        <v>0.87710276557638023</v>
      </c>
      <c r="G25" s="3" t="str">
        <f>Расчет!L16</f>
        <v>ниже тренда</v>
      </c>
      <c r="H25" s="3" t="str">
        <f t="shared" si="0"/>
        <v>период осторожного планирования продаж и бюджета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38.10526315789474</v>
      </c>
      <c r="C26" s="5">
        <f>Расчет!H17</f>
        <v>59.523391812865498</v>
      </c>
      <c r="D26" s="5">
        <f>IFERROR(VLOOKUP(Расчет!B17,Сезонность!$A$4:$D$15,4,FALSE),"")</f>
        <v>0.85192973034800989</v>
      </c>
      <c r="E26" s="5">
        <f>Расчет!J17</f>
        <v>44.72817628084055</v>
      </c>
      <c r="F26" s="5">
        <f>Расчет!K17</f>
        <v>0.75143863477169848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46.280701754385966</v>
      </c>
      <c r="C27" s="5">
        <f>Расчет!H18</f>
        <v>56.546783625730995</v>
      </c>
      <c r="D27" s="5">
        <f>IFERROR(VLOOKUP(Расчет!B18,Сезонность!$A$4:$D$15,4,FALSE),"")</f>
        <v>1.0891771155375758</v>
      </c>
      <c r="E27" s="5">
        <f>Расчет!J18</f>
        <v>42.491437888449937</v>
      </c>
      <c r="F27" s="5">
        <f>Расчет!K18</f>
        <v>0.75143863477169859</v>
      </c>
      <c r="G27" s="3" t="str">
        <f>Расчет!L18</f>
        <v>ниже тренда</v>
      </c>
      <c r="H27" s="3" t="str">
        <f t="shared" si="0"/>
        <v>период осторожного планирования продаж и бюджета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55.754385964912281</v>
      </c>
      <c r="C28" s="5">
        <f>Расчет!H19</f>
        <v>53.66081871345029</v>
      </c>
      <c r="D28" s="5">
        <f>IFERROR(VLOOKUP(Расчет!B19,Сезонность!$A$4:$D$15,4,FALSE),"")</f>
        <v>1.3827008263802651</v>
      </c>
      <c r="E28" s="5">
        <f>Расчет!J19</f>
        <v>40.322812354766697</v>
      </c>
      <c r="F28" s="5">
        <f>Расчет!K19</f>
        <v>0.75143863477169859</v>
      </c>
      <c r="G28" s="3" t="str">
        <f>Расчет!L19</f>
        <v>ниже тренда</v>
      </c>
      <c r="H28" s="3" t="str">
        <f t="shared" si="0"/>
        <v>период осторожного планирования продаж и бюджета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68</v>
      </c>
      <c r="C29" s="5">
        <f>Расчет!H20</f>
        <v>50.994152046783626</v>
      </c>
      <c r="D29" s="5">
        <f>IFERROR(VLOOKUP(Расчет!B20,Сезонность!$A$4:$D$15,4,FALSE),"")</f>
        <v>1.7745776924781738</v>
      </c>
      <c r="E29" s="5">
        <f>Расчет!J20</f>
        <v>38.31897599537551</v>
      </c>
      <c r="F29" s="5">
        <f>Расчет!K20</f>
        <v>0.75143863477169859</v>
      </c>
      <c r="G29" s="3" t="str">
        <f>Расчет!L20</f>
        <v>ниже тренда</v>
      </c>
      <c r="H29" s="3" t="str">
        <f t="shared" si="0"/>
        <v>период осторожного планирования продаж и бюджета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21.508771929824562</v>
      </c>
      <c r="C30" s="5">
        <f>Расчет!H21</f>
        <v>48.602339181286546</v>
      </c>
      <c r="D30" s="5">
        <f>IFERROR(VLOOKUP(Расчет!B21,Сезонность!$A$4:$D$15,4,FALSE),"")</f>
        <v>0.58893168765139692</v>
      </c>
      <c r="E30" s="5">
        <f>Расчет!J21</f>
        <v>36.521675401096992</v>
      </c>
      <c r="F30" s="5">
        <f>Расчет!K21</f>
        <v>0.75143863477169859</v>
      </c>
      <c r="G30" s="3" t="str">
        <f>Расчет!L21</f>
        <v>ниже тренда</v>
      </c>
      <c r="H30" s="3" t="str">
        <f t="shared" si="0"/>
        <v>период осторожного планирования продаж и бюджета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20.771929824561404</v>
      </c>
      <c r="C31" s="5">
        <f>Расчет!H22</f>
        <v>46.71052631578948</v>
      </c>
      <c r="D31" s="5">
        <f>IFERROR(VLOOKUP(Расчет!B22,Сезонность!$A$4:$D$15,4,FALSE),"")</f>
        <v>0.59179128554636784</v>
      </c>
      <c r="E31" s="5">
        <f>Расчет!J22</f>
        <v>35.100094124204347</v>
      </c>
      <c r="F31" s="5">
        <f>Расчет!K22</f>
        <v>0.7514386347716987</v>
      </c>
      <c r="G31" s="3" t="str">
        <f>Расчет!L22</f>
        <v>ниже тренда</v>
      </c>
      <c r="H31" s="3" t="str">
        <f t="shared" si="0"/>
        <v>период осторожного планирования продаж и бюджета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36.877192982456144</v>
      </c>
      <c r="C32" s="5">
        <f>Расчет!H23</f>
        <v>44.795321637426902</v>
      </c>
      <c r="D32" s="5">
        <f>IFERROR(VLOOKUP(Расчет!B23,Сезонность!$A$4:$D$15,4,FALSE),"")</f>
        <v>1.0955486713314155</v>
      </c>
      <c r="E32" s="5">
        <f>Расчет!J23</f>
        <v>33.660935335387201</v>
      </c>
      <c r="F32" s="5">
        <f>Расчет!K23</f>
        <v>0.75143863477169859</v>
      </c>
      <c r="G32" s="3" t="str">
        <f>Расчет!L23</f>
        <v>ниже тренда</v>
      </c>
      <c r="H32" s="3" t="str">
        <f t="shared" si="0"/>
        <v>период осторожного планирования продаж и бюджета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36.280701754385966</v>
      </c>
      <c r="C33" s="5">
        <f>Расчет!H24</f>
        <v>42.807017543859651</v>
      </c>
      <c r="D33" s="5">
        <f>IFERROR(VLOOKUP(Расчет!B24,Сезонность!$A$4:$D$15,4,FALSE),"")</f>
        <v>1.127891146911892</v>
      </c>
      <c r="E33" s="5">
        <f>Расчет!J24</f>
        <v>32.166846821806047</v>
      </c>
      <c r="F33" s="5">
        <f>Расчет!K24</f>
        <v>0.75143863477169859</v>
      </c>
      <c r="G33" s="3" t="str">
        <f>Расчет!L24</f>
        <v>ниже тренда</v>
      </c>
      <c r="H33" s="3" t="str">
        <f t="shared" si="0"/>
        <v>период осторожного планирования продаж и бюджета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49.122807017543856</v>
      </c>
      <c r="C34" s="5">
        <f>Расчет!H25</f>
        <v>39.789473684210527</v>
      </c>
      <c r="D34" s="5">
        <f>IFERROR(VLOOKUP(Расчет!B25,Сезонность!$A$4:$D$15,4,FALSE),"")</f>
        <v>1.6429390825900949</v>
      </c>
      <c r="E34" s="5">
        <f>Расчет!J25</f>
        <v>29.899347783547583</v>
      </c>
      <c r="F34" s="5">
        <f>Расчет!K25</f>
        <v>0.75143863477169848</v>
      </c>
      <c r="G34" s="3" t="str">
        <f>Расчет!L25</f>
        <v>ниже тренда</v>
      </c>
      <c r="H34" s="3" t="str">
        <f t="shared" si="0"/>
        <v>период осторожного планирования продаж и бюджета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34.385964912280706</v>
      </c>
      <c r="C35" s="5">
        <f>Расчет!H26</f>
        <v>37.415204678362578</v>
      </c>
      <c r="D35" s="5">
        <f>IFERROR(VLOOKUP(Расчет!B26,Сезонность!$A$4:$D$15,4,FALSE),"")</f>
        <v>1.2230369275648802</v>
      </c>
      <c r="E35" s="5">
        <f>Расчет!J26</f>
        <v>28.115230323212447</v>
      </c>
      <c r="F35" s="5">
        <f>Расчет!K26</f>
        <v>0.75143863477169859</v>
      </c>
      <c r="G35" s="3" t="str">
        <f>Расчет!L26</f>
        <v>ниже тренда</v>
      </c>
      <c r="H35" s="3" t="str">
        <f t="shared" si="0"/>
        <v>период осторожного планирования продаж и бюджета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7.9298245614035086</v>
      </c>
      <c r="C36" s="5">
        <f>Расчет!H27</f>
        <v>36.108187134502927</v>
      </c>
      <c r="D36" s="5">
        <f>IFERROR(VLOOKUP(Расчет!B27,Сезонность!$A$4:$D$15,4,FALSE),"")</f>
        <v>0.29225663142823816</v>
      </c>
      <c r="E36" s="5">
        <f>Расчет!J27</f>
        <v>27.13308684443189</v>
      </c>
      <c r="F36" s="5">
        <f>Расчет!K27</f>
        <v>0.75143863477169859</v>
      </c>
      <c r="G36" s="3" t="str">
        <f>Расчет!L27</f>
        <v>ниже тренда</v>
      </c>
      <c r="H36" s="3" t="str">
        <f t="shared" si="0"/>
        <v>период осторожного планирования продаж и бюджета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7.4736842105263159</v>
      </c>
      <c r="C37" s="5">
        <f>Расчет!H28</f>
        <v>35.207602339181285</v>
      </c>
      <c r="D37" s="5">
        <f>IFERROR(VLOOKUP(Расчет!B28,Сезонность!$A$4:$D$15,4,FALSE),"")</f>
        <v>0.33921920223169083</v>
      </c>
      <c r="E37" s="5">
        <f>Расчет!J28</f>
        <v>22.032019889669154</v>
      </c>
      <c r="F37" s="5">
        <f>Расчет!K28</f>
        <v>0.62577450396701706</v>
      </c>
      <c r="G37" s="3" t="str">
        <f>Расчет!L28</f>
        <v>ниже тренда</v>
      </c>
      <c r="H37" s="3" t="str">
        <f t="shared" si="0"/>
        <v>период осторожного планирования продаж и бюджета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2" t="s">
        <v>104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1" t="s">
        <v>266</v>
      </c>
      <c r="B4" s="3" t="s">
        <v>39</v>
      </c>
      <c r="C4" s="3" t="s">
        <v>185</v>
      </c>
      <c r="D4" s="3" t="s">
        <v>112</v>
      </c>
      <c r="E4" s="3" t="s">
        <v>268</v>
      </c>
      <c r="F4" s="3" t="s">
        <v>186</v>
      </c>
      <c r="G4" s="3" t="s">
        <v>187</v>
      </c>
      <c r="H4" s="3" t="s">
        <v>269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1" t="s">
        <v>266</v>
      </c>
      <c r="B5" s="3" t="s">
        <v>39</v>
      </c>
      <c r="C5" s="3" t="s">
        <v>188</v>
      </c>
      <c r="D5" s="3" t="s">
        <v>112</v>
      </c>
      <c r="E5" s="3" t="s">
        <v>268</v>
      </c>
      <c r="F5" s="3" t="s">
        <v>186</v>
      </c>
      <c r="G5" s="3" t="s">
        <v>189</v>
      </c>
      <c r="H5" s="3" t="s">
        <v>222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1" t="s">
        <v>266</v>
      </c>
      <c r="B6" s="3" t="s">
        <v>39</v>
      </c>
      <c r="C6" s="3" t="s">
        <v>190</v>
      </c>
      <c r="D6" s="3" t="s">
        <v>112</v>
      </c>
      <c r="E6" s="3" t="s">
        <v>268</v>
      </c>
      <c r="F6" s="3" t="s">
        <v>186</v>
      </c>
      <c r="G6" s="3" t="s">
        <v>191</v>
      </c>
      <c r="H6" s="3" t="s">
        <v>223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1" t="s">
        <v>266</v>
      </c>
      <c r="B7" s="3" t="s">
        <v>39</v>
      </c>
      <c r="C7" s="3" t="s">
        <v>192</v>
      </c>
      <c r="D7" s="3" t="s">
        <v>112</v>
      </c>
      <c r="E7" s="3" t="s">
        <v>268</v>
      </c>
      <c r="F7" s="3" t="s">
        <v>186</v>
      </c>
      <c r="G7" s="3" t="s">
        <v>193</v>
      </c>
      <c r="H7" s="3" t="s">
        <v>224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1" t="s">
        <v>266</v>
      </c>
      <c r="B8" s="3" t="s">
        <v>39</v>
      </c>
      <c r="C8" s="3" t="s">
        <v>194</v>
      </c>
      <c r="D8" s="3" t="s">
        <v>112</v>
      </c>
      <c r="E8" s="3" t="s">
        <v>270</v>
      </c>
      <c r="F8" s="3" t="s">
        <v>186</v>
      </c>
      <c r="G8" s="3" t="s">
        <v>195</v>
      </c>
      <c r="H8" s="3" t="s">
        <v>196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1" t="s">
        <v>266</v>
      </c>
      <c r="B9" s="3" t="s">
        <v>39</v>
      </c>
      <c r="C9" s="3" t="s">
        <v>197</v>
      </c>
      <c r="D9" s="3" t="s">
        <v>198</v>
      </c>
      <c r="E9" s="3" t="s">
        <v>268</v>
      </c>
      <c r="F9" s="3" t="s">
        <v>186</v>
      </c>
      <c r="G9" s="3" t="s">
        <v>199</v>
      </c>
      <c r="H9" s="3" t="s">
        <v>271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1" t="s">
        <v>266</v>
      </c>
      <c r="B10" s="3" t="s">
        <v>113</v>
      </c>
      <c r="C10" s="3" t="s">
        <v>183</v>
      </c>
      <c r="D10" s="3" t="s">
        <v>200</v>
      </c>
      <c r="E10" s="3" t="s">
        <v>272</v>
      </c>
      <c r="F10" s="3" t="s">
        <v>186</v>
      </c>
      <c r="G10" s="3" t="s">
        <v>201</v>
      </c>
      <c r="H10" s="3" t="s">
        <v>225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1" t="s">
        <v>266</v>
      </c>
      <c r="B11" s="3" t="s">
        <v>113</v>
      </c>
      <c r="C11" s="3" t="s">
        <v>202</v>
      </c>
      <c r="D11" s="3" t="s">
        <v>200</v>
      </c>
      <c r="E11" s="3" t="s">
        <v>272</v>
      </c>
      <c r="F11" s="3" t="s">
        <v>186</v>
      </c>
      <c r="G11" s="3" t="s">
        <v>203</v>
      </c>
      <c r="H11" s="3" t="s">
        <v>225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1" t="s">
        <v>266</v>
      </c>
      <c r="B12" s="3" t="s">
        <v>113</v>
      </c>
      <c r="C12" s="3" t="s">
        <v>204</v>
      </c>
      <c r="D12" s="3" t="s">
        <v>200</v>
      </c>
      <c r="E12" s="3" t="s">
        <v>205</v>
      </c>
      <c r="F12" s="3" t="s">
        <v>206</v>
      </c>
      <c r="G12" s="3" t="s">
        <v>207</v>
      </c>
      <c r="H12" s="3" t="s">
        <v>208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1" t="s">
        <v>266</v>
      </c>
      <c r="B13" s="3" t="s">
        <v>113</v>
      </c>
      <c r="C13" s="3" t="s">
        <v>183</v>
      </c>
      <c r="D13" s="3" t="s">
        <v>209</v>
      </c>
      <c r="E13" s="3" t="s">
        <v>210</v>
      </c>
      <c r="F13" s="3" t="s">
        <v>211</v>
      </c>
      <c r="G13" s="3" t="s">
        <v>211</v>
      </c>
      <c r="H13" s="3" t="s">
        <v>212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1" t="s">
        <v>266</v>
      </c>
      <c r="B14" s="3" t="s">
        <v>213</v>
      </c>
      <c r="C14" s="3" t="s">
        <v>214</v>
      </c>
      <c r="D14" s="3" t="s">
        <v>211</v>
      </c>
      <c r="E14" s="3" t="s">
        <v>215</v>
      </c>
      <c r="F14" s="3" t="s">
        <v>216</v>
      </c>
      <c r="G14" s="3" t="s">
        <v>211</v>
      </c>
      <c r="H14" s="3" t="s">
        <v>217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1" t="s">
        <v>266</v>
      </c>
      <c r="B15" s="3" t="s">
        <v>213</v>
      </c>
      <c r="C15" s="3" t="s">
        <v>218</v>
      </c>
      <c r="D15" s="3" t="s">
        <v>211</v>
      </c>
      <c r="E15" s="3" t="s">
        <v>215</v>
      </c>
      <c r="F15" s="3" t="s">
        <v>216</v>
      </c>
      <c r="G15" s="3" t="s">
        <v>211</v>
      </c>
      <c r="H15" s="3" t="s">
        <v>219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1" t="s">
        <v>266</v>
      </c>
      <c r="B16" s="3" t="s">
        <v>213</v>
      </c>
      <c r="C16" s="3" t="s">
        <v>220</v>
      </c>
      <c r="D16" s="3" t="s">
        <v>211</v>
      </c>
      <c r="E16" s="3" t="s">
        <v>211</v>
      </c>
      <c r="F16" s="3" t="s">
        <v>216</v>
      </c>
      <c r="G16" s="3" t="s">
        <v>211</v>
      </c>
      <c r="H16" s="3" t="s">
        <v>221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1" t="s">
        <v>266</v>
      </c>
      <c r="B17" s="3" t="s">
        <v>39</v>
      </c>
      <c r="C17" s="3" t="s">
        <v>226</v>
      </c>
      <c r="D17" s="3" t="s">
        <v>112</v>
      </c>
      <c r="E17" s="3" t="s">
        <v>268</v>
      </c>
      <c r="F17" s="3" t="s">
        <v>186</v>
      </c>
      <c r="G17" s="3" t="s">
        <v>227</v>
      </c>
      <c r="H17" s="3" t="s">
        <v>228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1" t="s">
        <v>266</v>
      </c>
      <c r="B18" s="3" t="s">
        <v>39</v>
      </c>
      <c r="C18" s="3" t="s">
        <v>229</v>
      </c>
      <c r="D18" s="3" t="s">
        <v>112</v>
      </c>
      <c r="E18" s="3" t="s">
        <v>268</v>
      </c>
      <c r="F18" s="3" t="s">
        <v>186</v>
      </c>
      <c r="G18" s="3" t="s">
        <v>230</v>
      </c>
      <c r="H18" s="3" t="s">
        <v>231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1" t="s">
        <v>266</v>
      </c>
      <c r="B19" s="3" t="s">
        <v>39</v>
      </c>
      <c r="C19" s="3" t="s">
        <v>232</v>
      </c>
      <c r="D19" s="3" t="s">
        <v>112</v>
      </c>
      <c r="E19" s="3" t="s">
        <v>270</v>
      </c>
      <c r="F19" s="3" t="s">
        <v>186</v>
      </c>
      <c r="G19" s="3" t="s">
        <v>233</v>
      </c>
      <c r="H19" s="3" t="s">
        <v>273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1" t="s">
        <v>267</v>
      </c>
      <c r="B20" s="3" t="s">
        <v>39</v>
      </c>
      <c r="C20" s="3" t="s">
        <v>234</v>
      </c>
      <c r="D20" s="3" t="s">
        <v>112</v>
      </c>
      <c r="E20" s="3" t="s">
        <v>270</v>
      </c>
      <c r="F20" s="3" t="s">
        <v>186</v>
      </c>
      <c r="G20" s="3" t="s">
        <v>235</v>
      </c>
      <c r="H20" s="3" t="s">
        <v>236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1" t="s">
        <v>267</v>
      </c>
      <c r="B21" s="3" t="s">
        <v>39</v>
      </c>
      <c r="C21" s="3" t="s">
        <v>185</v>
      </c>
      <c r="D21" s="3" t="s">
        <v>112</v>
      </c>
      <c r="E21" s="3" t="s">
        <v>237</v>
      </c>
      <c r="F21" s="3" t="s">
        <v>186</v>
      </c>
      <c r="G21" s="3" t="s">
        <v>238</v>
      </c>
      <c r="H21" s="3" t="s">
        <v>239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11" t="s">
        <v>267</v>
      </c>
      <c r="B22" s="3" t="s">
        <v>113</v>
      </c>
      <c r="C22" s="3" t="s">
        <v>241</v>
      </c>
      <c r="D22" s="3" t="s">
        <v>200</v>
      </c>
      <c r="E22" s="3" t="s">
        <v>272</v>
      </c>
      <c r="F22" s="3" t="s">
        <v>186</v>
      </c>
      <c r="G22" s="3" t="s">
        <v>242</v>
      </c>
      <c r="H22" s="3" t="s">
        <v>274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>
      <c r="A23" s="11" t="s">
        <v>267</v>
      </c>
      <c r="B23" s="3" t="s">
        <v>113</v>
      </c>
      <c r="C23" s="3" t="s">
        <v>243</v>
      </c>
      <c r="D23" s="3" t="s">
        <v>200</v>
      </c>
      <c r="E23" s="3" t="s">
        <v>272</v>
      </c>
      <c r="F23" s="3" t="s">
        <v>186</v>
      </c>
      <c r="G23" s="3" t="s">
        <v>244</v>
      </c>
      <c r="H23" s="3" t="s">
        <v>275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>
      <c r="A24" s="11" t="s">
        <v>267</v>
      </c>
      <c r="B24" s="3" t="s">
        <v>113</v>
      </c>
      <c r="C24" s="3" t="s">
        <v>245</v>
      </c>
      <c r="D24" s="3" t="s">
        <v>200</v>
      </c>
      <c r="E24" s="3" t="s">
        <v>272</v>
      </c>
      <c r="F24" s="3" t="s">
        <v>186</v>
      </c>
      <c r="G24" s="3" t="s">
        <v>246</v>
      </c>
      <c r="H24" s="3" t="s">
        <v>276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>
      <c r="A25" s="11" t="s">
        <v>267</v>
      </c>
      <c r="B25" s="3" t="s">
        <v>113</v>
      </c>
      <c r="C25" s="3" t="s">
        <v>247</v>
      </c>
      <c r="D25" s="3" t="s">
        <v>200</v>
      </c>
      <c r="E25" s="3" t="s">
        <v>272</v>
      </c>
      <c r="F25" s="3" t="s">
        <v>186</v>
      </c>
      <c r="G25" s="3" t="s">
        <v>248</v>
      </c>
      <c r="H25" s="3" t="s">
        <v>277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>
      <c r="A26" s="11" t="s">
        <v>267</v>
      </c>
      <c r="B26" s="3" t="s">
        <v>113</v>
      </c>
      <c r="C26" s="3" t="s">
        <v>249</v>
      </c>
      <c r="D26" s="3" t="s">
        <v>200</v>
      </c>
      <c r="E26" s="3" t="s">
        <v>272</v>
      </c>
      <c r="F26" s="3" t="s">
        <v>186</v>
      </c>
      <c r="G26" s="3" t="s">
        <v>250</v>
      </c>
      <c r="H26" s="3" t="s">
        <v>278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>
      <c r="A27" s="11" t="s">
        <v>267</v>
      </c>
      <c r="B27" s="3" t="s">
        <v>113</v>
      </c>
      <c r="C27" s="3" t="s">
        <v>251</v>
      </c>
      <c r="D27" s="3" t="s">
        <v>200</v>
      </c>
      <c r="E27" s="3" t="s">
        <v>272</v>
      </c>
      <c r="F27" s="3" t="s">
        <v>186</v>
      </c>
      <c r="G27" s="3" t="s">
        <v>252</v>
      </c>
      <c r="H27" s="3" t="s">
        <v>279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25">
      <c r="A28" s="11" t="s">
        <v>267</v>
      </c>
      <c r="B28" s="3" t="s">
        <v>113</v>
      </c>
      <c r="C28" s="3" t="s">
        <v>253</v>
      </c>
      <c r="D28" s="3" t="s">
        <v>200</v>
      </c>
      <c r="E28" s="3" t="s">
        <v>272</v>
      </c>
      <c r="F28" s="3" t="s">
        <v>186</v>
      </c>
      <c r="G28" s="3" t="s">
        <v>254</v>
      </c>
      <c r="H28" s="3" t="s">
        <v>280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>
      <c r="A29" s="11" t="s">
        <v>267</v>
      </c>
      <c r="B29" s="3" t="s">
        <v>113</v>
      </c>
      <c r="C29" s="3" t="s">
        <v>255</v>
      </c>
      <c r="D29" s="3" t="s">
        <v>200</v>
      </c>
      <c r="E29" s="3" t="s">
        <v>272</v>
      </c>
      <c r="F29" s="3" t="s">
        <v>186</v>
      </c>
      <c r="G29" s="3" t="s">
        <v>256</v>
      </c>
      <c r="H29" s="3" t="s">
        <v>281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1">
      <c r="A30" s="11" t="s">
        <v>267</v>
      </c>
      <c r="B30" s="3" t="s">
        <v>113</v>
      </c>
      <c r="C30" s="3" t="s">
        <v>257</v>
      </c>
      <c r="D30" s="3" t="s">
        <v>200</v>
      </c>
      <c r="E30" s="3" t="s">
        <v>272</v>
      </c>
      <c r="F30" s="3" t="s">
        <v>186</v>
      </c>
      <c r="G30" s="3" t="s">
        <v>258</v>
      </c>
      <c r="H30" s="3" t="s">
        <v>282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1">
      <c r="A31" s="11" t="s">
        <v>267</v>
      </c>
      <c r="B31" s="3" t="s">
        <v>113</v>
      </c>
      <c r="C31" s="3" t="s">
        <v>259</v>
      </c>
      <c r="D31" s="3" t="s">
        <v>260</v>
      </c>
      <c r="E31" s="3" t="s">
        <v>261</v>
      </c>
      <c r="F31" s="3" t="s">
        <v>186</v>
      </c>
      <c r="G31" s="3" t="s">
        <v>262</v>
      </c>
      <c r="H31" s="3" t="s">
        <v>283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>
      <c r="A32" s="11" t="s">
        <v>267</v>
      </c>
      <c r="B32" s="3" t="s">
        <v>113</v>
      </c>
      <c r="C32" s="3" t="s">
        <v>263</v>
      </c>
      <c r="D32" s="3" t="s">
        <v>200</v>
      </c>
      <c r="E32" s="3" t="s">
        <v>264</v>
      </c>
      <c r="F32" s="3" t="s">
        <v>186</v>
      </c>
      <c r="G32" s="3" t="s">
        <v>265</v>
      </c>
      <c r="H32" s="3" t="s">
        <v>284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0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76.5">
      <c r="A34" s="10" t="s">
        <v>111</v>
      </c>
      <c r="B34" s="3" t="s">
        <v>240</v>
      </c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2" t="s">
        <v>114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2" t="s">
        <v>153</v>
      </c>
      <c r="B1" s="12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2026-10-04T16:53:18Z</dcterms:created>
  <dcterms:modified xsi:type="dcterms:W3CDTF">2026-10-04T16:58:31Z</dcterms:modified>
</cp:coreProperties>
</file>