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BC7DED94-734D-4D4F-B660-99576CCC47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9" i="3"/>
  <c r="G55" i="3"/>
  <c r="G54" i="3"/>
  <c r="G53" i="3"/>
  <c r="G52" i="3"/>
  <c r="G51" i="3"/>
  <c r="G50" i="3"/>
  <c r="G49" i="3"/>
  <c r="G48" i="3"/>
  <c r="N48" i="3" s="1"/>
  <c r="G47" i="3"/>
  <c r="G46" i="3"/>
  <c r="G45" i="3"/>
  <c r="G44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G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G38" i="3" s="1"/>
  <c r="D38" i="3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64" i="3" l="1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N26" i="3"/>
  <c r="H26" i="3"/>
  <c r="N25" i="3"/>
  <c r="H25" i="3"/>
  <c r="N28" i="3"/>
  <c r="H28" i="3"/>
  <c r="H27" i="3"/>
  <c r="N27" i="3"/>
  <c r="N23" i="3"/>
  <c r="H23" i="3"/>
  <c r="H24" i="3"/>
  <c r="N24" i="3"/>
  <c r="H21" i="3"/>
  <c r="N21" i="3"/>
  <c r="N22" i="3"/>
  <c r="H22" i="3"/>
  <c r="N16" i="3"/>
  <c r="H16" i="3"/>
  <c r="H20" i="3"/>
  <c r="N20" i="3"/>
  <c r="B26" i="6"/>
  <c r="N17" i="3"/>
  <c r="H17" i="3"/>
  <c r="B28" i="6"/>
  <c r="N19" i="3"/>
  <c r="H19" i="3"/>
  <c r="B27" i="6"/>
  <c r="N18" i="3"/>
  <c r="H18" i="3"/>
  <c r="N15" i="3"/>
  <c r="H15" i="3"/>
  <c r="H14" i="3"/>
  <c r="N14" i="3"/>
  <c r="H13" i="3"/>
  <c r="N13" i="3"/>
  <c r="N12" i="3"/>
  <c r="H12" i="3"/>
  <c r="B20" i="6"/>
  <c r="N11" i="3"/>
  <c r="H11" i="3"/>
  <c r="B19" i="6"/>
  <c r="N10" i="3"/>
  <c r="H10" i="3"/>
  <c r="B18" i="6"/>
  <c r="N9" i="3"/>
  <c r="H9" i="3"/>
  <c r="B17" i="6"/>
  <c r="N8" i="3"/>
  <c r="H8" i="3"/>
  <c r="H7" i="3"/>
  <c r="I7" i="3" s="1"/>
  <c r="N7" i="3"/>
  <c r="N6" i="3"/>
  <c r="H6" i="3"/>
  <c r="H29" i="3"/>
  <c r="N29" i="3"/>
  <c r="H40" i="3"/>
  <c r="H31" i="3"/>
  <c r="H34" i="3"/>
  <c r="H30" i="3"/>
  <c r="H32" i="3"/>
  <c r="H35" i="3"/>
  <c r="H37" i="3"/>
  <c r="H38" i="3"/>
  <c r="H39" i="3"/>
  <c r="H41" i="3"/>
  <c r="H5" i="3"/>
  <c r="N5" i="3"/>
  <c r="H33" i="3"/>
  <c r="H36" i="3"/>
  <c r="H42" i="3"/>
  <c r="H43" i="3"/>
  <c r="H44" i="3"/>
  <c r="H45" i="3"/>
  <c r="H46" i="3"/>
  <c r="H47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8" i="3"/>
  <c r="B4" i="5"/>
  <c r="B69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I29" i="3"/>
  <c r="B38" i="6"/>
  <c r="B48" i="6"/>
  <c r="B46" i="6"/>
  <c r="I37" i="3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6" i="5" l="1"/>
  <c r="B5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K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<sst xmlns="http://schemas.openxmlformats.org/spreadsheetml/2006/main" count="364" uniqueCount="226">
  <si>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</si>
  <si>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</si>
  <si>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</si>
  <si>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</si>
  <si>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</si>
  <si>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</si>
  <si>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</si>
  <si>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</si>
  <si>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</si>
  <si>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</si>
  <si>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</si>
  <si>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</si>
  <si>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</si>
  <si>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</si>
  <si>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</si>
  <si>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</si>
  <si>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</si>
  <si>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</si>
  <si>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</si>
  <si>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</si>
  <si>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</si>
  <si>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</si>
  <si>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</si>
  <si>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</si>
  <si>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</si>
  <si>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</si>
  <si>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</si>
  <si>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</si>
  <si>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</si>
  <si>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</si>
  <si>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</si>
  <si>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</si>
  <si>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</si>
  <si>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</si>
  <si>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</si>
  <si>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</si>
  <si>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</si>
  <si>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</si>
  <si>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</si>
  <si>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</si>
  <si>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</si>
  <si>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</si>
  <si>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</si>
  <si>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</si>
  <si>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</si>
  <si>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</si>
  <si>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</si>
  <si>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</si>
  <si>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</si>
  <si>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</si>
  <si>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</si>
  <si>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</si>
  <si>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</si>
  <si>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</si>
  <si>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</si>
  <si>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</si>
  <si>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</si>
  <si>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</si>
  <si>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</si>
  <si>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</si>
  <si>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</si>
  <si>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</si>
  <si>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</si>
  <si>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</si>
  <si>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</si>
  <si>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</si>
  <si>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</si>
  <si>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</si>
  <si>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</si>
  <si>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</si>
  <si>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</si>
  <si>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</si>
  <si>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</si>
  <si>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</si>
  <si>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</si>
  <si>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</si>
  <si>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</si>
  <si>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</si>
  <si>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</si>
  <si>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</si>
  <si>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</si>
  <si>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</si>
  <si>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</si>
  <si>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</si>
  <si>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</si>
  <si>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</si>
  <si>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</si>
  <si>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</si>
  <si>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</si>
  <si>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</si>
  <si>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</si>
  <si>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</si>
  <si>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</si>
  <si>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</si>
  <si>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</si>
  <si>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</si>
  <si>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</si>
  <si>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</si>
  <si>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</si>
  <si>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</si>
  <si>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</si>
  <si>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</si>
  <si>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</si>
  <si>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</si>
  <si>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</si>
  <si>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</si>
  <si>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</si>
  <si>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</si>
  <si>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</si>
  <si>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</si>
  <si>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</si>
  <si>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</si>
  <si>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</si>
  <si>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</si>
  <si>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</si>
  <si>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</si>
  <si>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</si>
  <si>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</si>
  <si>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</si>
  <si>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</si>
  <si>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</si>
  <si>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</si>
  <si>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</si>
  <si>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</si>
  <si>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</si>
  <si>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</si>
  <si>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</si>
  <si>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</si>
  <si>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</si>
  <si>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</si>
  <si>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</si>
  <si>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</si>
  <si>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</si>
  <si>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</si>
  <si>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</si>
  <si>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</si>
  <si>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</si>
  <si>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</si>
  <si>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</si>
  <si>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</si>
  <si>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</si>
  <si>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</si>
  <si>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</si>
  <si>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</si>
  <si>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</si>
  <si>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</si>
  <si>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</si>
  <si>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</si>
  <si>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</si>
  <si>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</si>
  <si>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</si>
  <si>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</si>
  <si>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</si>
  <si>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</si>
  <si>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</si>
  <si>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</si>
  <si>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</si>
  <si>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</si>
  <si>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</si>
  <si>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</si>
  <si>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</si>
  <si>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</si>
  <si>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</si>
  <si>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</si>
  <si>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</si>
  <si>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</si>
  <si>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</si>
  <si>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</si>
  <si>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</si>
  <si>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</si>
  <si>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</si>
  <si>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</si>
  <si>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</si>
  <si>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</si>
  <si>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</si>
  <si>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</si>
  <si>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</si>
  <si>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</si>
  <si>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</si>
  <si>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</si>
  <si>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</si>
  <si>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</si>
  <si>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</si>
  <si>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</si>
  <si>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</si>
  <si>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</si>
  <si>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</si>
  <si>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</si>
  <si>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</si>
  <si>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</si>
  <si>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</si>
  <si>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</si>
  <si>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</si>
  <si>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</si>
  <si>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</si>
  <si>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</si>
  <si>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</si>
  <si>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</si>
  <si>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</si>
  <si>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</si>
  <si>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</si>
  <si>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</si>
  <si>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</si>
  <si>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</si>
  <si>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</si>
  <si>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</si>
  <si>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</si>
  <si>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</si>
  <si>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</si>
  <si>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</si>
  <si>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</si>
  <si>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</si>
  <si>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</si>
  <si>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wordstat_neyroset-diagramma_dinamika_RB_2018-01_2026-08.json</t>
  </si>
  <si>
    <t>Частотность за 30 дней: 28;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</si>
  <si>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</si>
  <si>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</si>
  <si>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</si>
  <si>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</si>
  <si>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</si>
  <si>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</si>
  <si>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</si>
  <si>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</si>
  <si>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</si>
  <si>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</si>
  <si>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Вариант только Яндекс Вордстат: запрос «нейросеть диаграмма», Беларусь, 24 мес. (09.2024–08.2026);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</si>
</sst>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29.347826086956523</c:v>
                </c:pt>
                <c:pt idx="1">
                  <c:v>47.826086956521742</c:v>
                </c:pt>
                <c:pt idx="2">
                  <c:v>100</c:v>
                </c:pt>
                <c:pt idx="3">
                  <c:v>79.347826086956516</c:v>
                </c:pt>
                <c:pt idx="4">
                  <c:v>42.391304347826086</c:v>
                </c:pt>
                <c:pt idx="5">
                  <c:v>36.95652173913043</c:v>
                </c:pt>
                <c:pt idx="6">
                  <c:v>70.652173913043484</c:v>
                </c:pt>
                <c:pt idx="7">
                  <c:v>84.782608695652172</c:v>
                </c:pt>
                <c:pt idx="8">
                  <c:v>100</c:v>
                </c:pt>
                <c:pt idx="9">
                  <c:v>58.695652173913047</c:v>
                </c:pt>
                <c:pt idx="10">
                  <c:v>25</c:v>
                </c:pt>
                <c:pt idx="11">
                  <c:v>5.4347826086956523</c:v>
                </c:pt>
                <c:pt idx="12">
                  <c:v>25</c:v>
                </c:pt>
                <c:pt idx="13">
                  <c:v>44.565217391304344</c:v>
                </c:pt>
                <c:pt idx="14">
                  <c:v>35.869565217391305</c:v>
                </c:pt>
                <c:pt idx="15">
                  <c:v>66.304347826086953</c:v>
                </c:pt>
                <c:pt idx="16">
                  <c:v>30.434782608695656</c:v>
                </c:pt>
                <c:pt idx="17">
                  <c:v>42.391304347826086</c:v>
                </c:pt>
                <c:pt idx="18">
                  <c:v>68.478260869565219</c:v>
                </c:pt>
                <c:pt idx="19">
                  <c:v>82.608695652173907</c:v>
                </c:pt>
                <c:pt idx="20">
                  <c:v>72.826086956521735</c:v>
                </c:pt>
                <c:pt idx="21">
                  <c:v>36.95652173913043</c:v>
                </c:pt>
                <c:pt idx="22">
                  <c:v>14.130434782608695</c:v>
                </c:pt>
                <c:pt idx="23">
                  <c:v>6.5217391304347823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56.702898550724633</c:v>
                </c:pt>
                <c:pt idx="12">
                  <c:v>56.340579710144929</c:v>
                </c:pt>
                <c:pt idx="13">
                  <c:v>56.068840579710148</c:v>
                </c:pt>
                <c:pt idx="14">
                  <c:v>50.724637681159415</c:v>
                </c:pt>
                <c:pt idx="15">
                  <c:v>49.637681159420289</c:v>
                </c:pt>
                <c:pt idx="16">
                  <c:v>48.641304347826086</c:v>
                </c:pt>
                <c:pt idx="17">
                  <c:v>49.094202898550719</c:v>
                </c:pt>
                <c:pt idx="18">
                  <c:v>48.913043478260875</c:v>
                </c:pt>
                <c:pt idx="19">
                  <c:v>48.731884057971008</c:v>
                </c:pt>
                <c:pt idx="20">
                  <c:v>46.467391304347821</c:v>
                </c:pt>
                <c:pt idx="21">
                  <c:v>44.655797101449274</c:v>
                </c:pt>
                <c:pt idx="22">
                  <c:v>43.75</c:v>
                </c:pt>
                <c:pt idx="23">
                  <c:v>43.840579710144929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0.70132930688334683</c:v>
                </c:pt>
                <c:pt idx="1">
                  <c:v>0.96783998906549373</c:v>
                </c:pt>
                <c:pt idx="2">
                  <c:v>1.5692243241514883</c:v>
                </c:pt>
                <c:pt idx="3">
                  <c:v>1.9000698136300551</c:v>
                </c:pt>
                <c:pt idx="4">
                  <c:v>1.7566922258671633</c:v>
                </c:pt>
                <c:pt idx="5">
                  <c:v>0.92762029013881075</c:v>
                </c:pt>
                <c:pt idx="6">
                  <c:v>0.3620215832115235</c:v>
                </c:pt>
                <c:pt idx="7">
                  <c:v>0.13708686303981527</c:v>
                </c:pt>
                <c:pt idx="8">
                  <c:v>0.49736554141687045</c:v>
                </c:pt>
                <c:pt idx="9">
                  <c:v>0.89090510902669295</c:v>
                </c:pt>
                <c:pt idx="10">
                  <c:v>0.79261840862753752</c:v>
                </c:pt>
                <c:pt idx="11">
                  <c:v>1.4972265449412012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3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1</v>
      </c>
      <c r="B3" s="14"/>
      <c r="C3" s="14"/>
      <c r="D3" s="14"/>
      <c r="E3" s="14"/>
      <c r="F3" s="14"/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-0.22683706070287529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апрель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август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1.085153801610492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26</v>
      </c>
      <c r="B16" s="15"/>
      <c r="C16" s="15"/>
      <c r="D16" s="15"/>
      <c r="E16" s="15"/>
      <c r="F16" s="15"/>
      <c r="G16" s="15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апрель, минимум – август. Текущая фаза спроса: норма.</v>
      </c>
      <c r="B17" s="16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6"/>
      <c r="E18" s="16"/>
      <c r="F18" s="16"/>
      <c r="G18" s="16"/>
      <c r="H18" s="1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6"/>
      <c r="B19" s="16"/>
      <c r="C19" s="16"/>
      <c r="D19" s="16"/>
      <c r="E19" s="16"/>
      <c r="F19" s="16"/>
      <c r="G19" s="16"/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6"/>
      <c r="B20" s="16"/>
      <c r="C20" s="16"/>
      <c r="D20" s="16"/>
      <c r="E20" s="16"/>
      <c r="F20" s="16"/>
      <c r="G20" s="16"/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3" t="s">
        <v>27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28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199</v>
      </c>
      <c r="C5" s="7"/>
      <c r="D5" s="7">
        <v>27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199</v>
      </c>
      <c r="C6" s="7"/>
      <c r="D6" s="7">
        <v>44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199</v>
      </c>
      <c r="C7" s="7"/>
      <c r="D7" s="7">
        <v>92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199</v>
      </c>
      <c r="C8" s="7"/>
      <c r="D8" s="7">
        <v>73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199</v>
      </c>
      <c r="C9" s="7"/>
      <c r="D9" s="7">
        <v>39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199</v>
      </c>
      <c r="C10" s="7"/>
      <c r="D10" s="7">
        <v>34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199</v>
      </c>
      <c r="C11" s="7"/>
      <c r="D11" s="7">
        <v>65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199</v>
      </c>
      <c r="C12" s="7"/>
      <c r="D12" s="7">
        <v>78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199</v>
      </c>
      <c r="C13" s="7"/>
      <c r="D13" s="7">
        <v>92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199</v>
      </c>
      <c r="C14" s="7"/>
      <c r="D14" s="7">
        <v>54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199</v>
      </c>
      <c r="C15" s="7"/>
      <c r="D15" s="7">
        <v>23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199</v>
      </c>
      <c r="C16" s="7"/>
      <c r="D16" s="7">
        <v>5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199</v>
      </c>
      <c r="C17" s="7"/>
      <c r="D17" s="7">
        <v>23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199</v>
      </c>
      <c r="C18" s="7"/>
      <c r="D18" s="7">
        <v>41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199</v>
      </c>
      <c r="C19" s="7"/>
      <c r="D19" s="7">
        <v>33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199</v>
      </c>
      <c r="C20" s="7"/>
      <c r="D20" s="7">
        <v>61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199</v>
      </c>
      <c r="C21" s="7"/>
      <c r="D21" s="7">
        <v>28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199</v>
      </c>
      <c r="C22" s="7"/>
      <c r="D22" s="7">
        <v>39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199</v>
      </c>
      <c r="C23" s="7"/>
      <c r="D23" s="7">
        <v>63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199</v>
      </c>
      <c r="C24" s="7"/>
      <c r="D24" s="7">
        <v>76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199</v>
      </c>
      <c r="C25" s="7"/>
      <c r="D25" s="7">
        <v>67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199</v>
      </c>
      <c r="C26" s="7"/>
      <c r="D26" s="7">
        <v>34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199</v>
      </c>
      <c r="C27" s="7"/>
      <c r="D27" s="7">
        <v>13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199</v>
      </c>
      <c r="C28" s="7"/>
      <c r="D28" s="7">
        <v>6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27</v>
      </c>
      <c r="F5" s="5">
        <f t="shared" ref="F5:F36" si="2">IF(E5="","",IF(MAX($E$5:$E$64)=0,"",E5/MAX($E$5:$E$64)*100))</f>
        <v>29.347826086956523</v>
      </c>
      <c r="G5" s="5">
        <f>IF(COUNT(D5,F5)=0,"",IF(COUNT(D5,F5)=2,D5*Настройки!$B$4+F5*Настройки!$B$5,IF(D5&lt;&gt;"",D5,F5)))</f>
        <v>29.347826086956523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59.006552812950979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44</v>
      </c>
      <c r="F6" s="5">
        <f t="shared" si="2"/>
        <v>47.826086956521742</v>
      </c>
      <c r="G6" s="5">
        <f>IF(COUNT(D6,F6)=0,"",IF(COUNT(D6,F6)=2,D6*Настройки!$B$4+F6*Настройки!$B$5,IF(D6&lt;&gt;"",D6,F6)))</f>
        <v>47.826086956521742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53.682582434364278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92</v>
      </c>
      <c r="F7" s="5">
        <f t="shared" si="2"/>
        <v>100</v>
      </c>
      <c r="G7" s="5">
        <f>IF(COUNT(D7,F7)=0,"",IF(COUNT(D7,F7)=2,D7*Настройки!$B$4+F7*Настройки!$B$5,IF(D7&lt;&gt;"",D7,F7)))</f>
        <v>100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126.16411492783206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73</v>
      </c>
      <c r="F8" s="5">
        <f t="shared" si="2"/>
        <v>79.347826086956516</v>
      </c>
      <c r="G8" s="5">
        <f>IF(COUNT(D8,F8)=0,"",IF(COUNT(D8,F8)=2,D8*Настройки!$B$4+F8*Настройки!$B$5,IF(D8&lt;&gt;"",D8,F8)))</f>
        <v>79.347826086956516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52.996539738795938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39</v>
      </c>
      <c r="F9" s="5">
        <f t="shared" si="2"/>
        <v>42.391304347826086</v>
      </c>
      <c r="G9" s="5">
        <f>IF(COUNT(D9,F9)=0,"",IF(COUNT(D9,F9)=2,D9*Настройки!$B$4+F9*Настройки!$B$5,IF(D9&lt;&gt;"",D9,F9)))</f>
        <v>42.391304347826086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60.444222039158412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34</v>
      </c>
      <c r="F10" s="5">
        <f t="shared" si="2"/>
        <v>36.95652173913043</v>
      </c>
      <c r="G10" s="5">
        <f>IF(COUNT(D10,F10)=0,"",IF(COUNT(D10,F10)=2,D10*Настройки!$B$4+F10*Настройки!$B$5,IF(D10&lt;&gt;"",D10,F10)))</f>
        <v>36.95652173913043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38.184536862146103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65</v>
      </c>
      <c r="F11" s="5">
        <f t="shared" si="2"/>
        <v>70.652173913043484</v>
      </c>
      <c r="G11" s="5">
        <f>IF(COUNT(D11,F11)=0,"",IF(COUNT(D11,F11)=2,D11*Настройки!$B$4+F11*Настройки!$B$5,IF(D11&lt;&gt;"",D11,F11)))</f>
        <v>70.652173913043484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45.023629079447616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78</v>
      </c>
      <c r="F12" s="5">
        <f t="shared" si="2"/>
        <v>84.782608695652172</v>
      </c>
      <c r="G12" s="5">
        <f>IF(COUNT(D12,F12)=0,"",IF(COUNT(D12,F12)=2,D12*Настройки!$B$4+F12*Настройки!$B$5,IF(D12&lt;&gt;"",D12,F12)))</f>
        <v>84.782608695652172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44.62078608242097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92</v>
      </c>
      <c r="F13" s="5">
        <f t="shared" si="2"/>
        <v>100</v>
      </c>
      <c r="G13" s="5">
        <f>IF(COUNT(D13,F13)=0,"",IF(COUNT(D13,F13)=2,D13*Настройки!$B$4+F13*Настройки!$B$5,IF(D13&lt;&gt;"",D13,F13)))</f>
        <v>100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56.925167953445332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54</v>
      </c>
      <c r="F14" s="5">
        <f t="shared" si="2"/>
        <v>58.695652173913047</v>
      </c>
      <c r="G14" s="5">
        <f>IF(COUNT(D14,F14)=0,"",IF(COUNT(D14,F14)=2,D14*Настройки!$B$4+F14*Настройки!$B$5,IF(D14&lt;&gt;"",D14,F14)))</f>
        <v>58.695652173913047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63.275515637039078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23</v>
      </c>
      <c r="F15" s="5">
        <f t="shared" si="2"/>
        <v>25</v>
      </c>
      <c r="G15" s="5">
        <f>IF(COUNT(D15,F15)=0,"",IF(COUNT(D15,F15)=2,D15*Настройки!$B$4+F15*Настройки!$B$5,IF(D15&lt;&gt;"",D15,F15)))</f>
        <v>25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69.056656175642701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5</v>
      </c>
      <c r="F16" s="5">
        <f t="shared" si="2"/>
        <v>5.4347826086956523</v>
      </c>
      <c r="G16" s="5">
        <f>IF(COUNT(D16,F16)=0,"",IF(COUNT(D16,F16)=2,D16*Настройки!$B$4+F16*Настройки!$B$5,IF(D16&lt;&gt;"",D16,F16)))</f>
        <v>5.4347826086956523</v>
      </c>
      <c r="H16" s="5">
        <f>IF(OR(G16="",COUNT($G$5:G16)&lt;12),"",AVERAGE(G5:G16))</f>
        <v>56.702898550724633</v>
      </c>
      <c r="I16" s="5">
        <f t="shared" si="3"/>
        <v>9.584664536741215E-2</v>
      </c>
      <c r="J16" s="5">
        <f>IF(OR(G16="",IFERROR(VLOOKUP(B16,Сезонность!$A$4:$D$15,4,FALSE),0)=0),"",G16/IFERROR(VLOOKUP(B16,Сезонность!$A$4:$D$15,4,FALSE),1))</f>
        <v>39.644809781059649</v>
      </c>
      <c r="K16" s="5">
        <f>IF(OR(G16="",H16="",H16=0,IFERROR(VLOOKUP(B16,Сезонность!$A$4:$D$15,4,FALSE),0)=0),"",G16/(H16*IFERROR(VLOOKUP(B16,Сезонность!$A$4:$D$15,4,FALSE),1)))</f>
        <v>0.69916725236884747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23</v>
      </c>
      <c r="F17" s="5">
        <f t="shared" si="2"/>
        <v>25</v>
      </c>
      <c r="G17" s="5">
        <f>IF(COUNT(D17,F17)=0,"",IF(COUNT(D17,F17)=2,D17*Настройки!$B$4+F17*Настройки!$B$5,IF(D17&lt;&gt;"",D17,F17)))</f>
        <v>25</v>
      </c>
      <c r="H17" s="5">
        <f>IF(OR(G17="",COUNT($G$5:G17)&lt;12),"",AVERAGE(G6:G17))</f>
        <v>56.340579710144929</v>
      </c>
      <c r="I17" s="5">
        <f t="shared" si="3"/>
        <v>0.4437299035369775</v>
      </c>
      <c r="J17" s="5">
        <f>IF(OR(G17="",IFERROR(VLOOKUP(B17,Сезонность!$A$4:$D$15,4,FALSE),0)=0),"",G17/IFERROR(VLOOKUP(B17,Сезонность!$A$4:$D$15,4,FALSE),1))</f>
        <v>50.264841285106385</v>
      </c>
      <c r="K17" s="5">
        <f>IF(OR(G17="",H17="",H17=0,IFERROR(VLOOKUP(B17,Сезонность!$A$4:$D$15,4,FALSE),0)=0),"",G17/(H17*IFERROR(VLOOKUP(B17,Сезонность!$A$4:$D$15,4,FALSE),1)))</f>
        <v>0.89216052698966952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41</v>
      </c>
      <c r="F18" s="5">
        <f t="shared" si="2"/>
        <v>44.565217391304344</v>
      </c>
      <c r="G18" s="5">
        <f>IF(COUNT(D18,F18)=0,"",IF(COUNT(D18,F18)=2,D18*Настройки!$B$4+F18*Настройки!$B$5,IF(D18&lt;&gt;"",D18,F18)))</f>
        <v>44.565217391304344</v>
      </c>
      <c r="H18" s="5">
        <f>IF(OR(G18="",COUNT($G$5:G18)&lt;12),"",AVERAGE(G7:G18))</f>
        <v>56.068840579710148</v>
      </c>
      <c r="I18" s="5">
        <f t="shared" si="3"/>
        <v>0.7948303715670435</v>
      </c>
      <c r="J18" s="5">
        <f>IF(OR(G18="",IFERROR(VLOOKUP(B18,Сезонность!$A$4:$D$15,4,FALSE),0)=0),"",G18/IFERROR(VLOOKUP(B18,Сезонность!$A$4:$D$15,4,FALSE),1))</f>
        <v>50.022406359293981</v>
      </c>
      <c r="K18" s="5">
        <f>IF(OR(G18="",H18="",H18=0,IFERROR(VLOOKUP(B18,Сезонность!$A$4:$D$15,4,FALSE),0)=0),"",G18/(H18*IFERROR(VLOOKUP(B18,Сезонность!$A$4:$D$15,4,FALSE),1)))</f>
        <v>0.89216052698966974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33</v>
      </c>
      <c r="F19" s="5">
        <f t="shared" si="2"/>
        <v>35.869565217391305</v>
      </c>
      <c r="G19" s="5">
        <f>IF(COUNT(D19,F19)=0,"",IF(COUNT(D19,F19)=2,D19*Настройки!$B$4+F19*Настройки!$B$5,IF(D19&lt;&gt;"",D19,F19)))</f>
        <v>35.869565217391305</v>
      </c>
      <c r="H19" s="5">
        <f>IF(OR(G19="",COUNT($G$5:G19)&lt;12),"",AVERAGE(G8:G19))</f>
        <v>50.724637681159415</v>
      </c>
      <c r="I19" s="5">
        <f t="shared" si="3"/>
        <v>0.70714285714285718</v>
      </c>
      <c r="J19" s="5">
        <f>IF(OR(G19="",IFERROR(VLOOKUP(B19,Сезонность!$A$4:$D$15,4,FALSE),0)=0),"",G19/IFERROR(VLOOKUP(B19,Сезонность!$A$4:$D$15,4,FALSE),1))</f>
        <v>45.254519484983241</v>
      </c>
      <c r="K19" s="5">
        <f>IF(OR(G19="",H19="",H19=0,IFERROR(VLOOKUP(B19,Сезонность!$A$4:$D$15,4,FALSE),0)=0),"",G19/(H19*IFERROR(VLOOKUP(B19,Сезонность!$A$4:$D$15,4,FALSE),1)))</f>
        <v>0.89216052698966963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61</v>
      </c>
      <c r="F20" s="5">
        <f t="shared" si="2"/>
        <v>66.304347826086953</v>
      </c>
      <c r="G20" s="5">
        <f>IF(COUNT(D20,F20)=0,"",IF(COUNT(D20,F20)=2,D20*Настройки!$B$4+F20*Настройки!$B$5,IF(D20&lt;&gt;"",D20,F20)))</f>
        <v>66.304347826086953</v>
      </c>
      <c r="H20" s="5">
        <f>IF(OR(G20="",COUNT($G$5:G20)&lt;12),"",AVERAGE(G9:G20))</f>
        <v>49.637681159420289</v>
      </c>
      <c r="I20" s="5">
        <f t="shared" si="3"/>
        <v>1.3357664233576643</v>
      </c>
      <c r="J20" s="5">
        <f>IF(OR(G20="",IFERROR(VLOOKUP(B20,Сезонность!$A$4:$D$15,4,FALSE),0)=0),"",G20/IFERROR(VLOOKUP(B20,Сезонность!$A$4:$D$15,4,FALSE),1))</f>
        <v>44.284779781733597</v>
      </c>
      <c r="K20" s="5">
        <f>IF(OR(G20="",H20="",H20=0,IFERROR(VLOOKUP(B20,Сезонность!$A$4:$D$15,4,FALSE),0)=0),"",G20/(H20*IFERROR(VLOOKUP(B20,Сезонность!$A$4:$D$15,4,FALSE),1)))</f>
        <v>0.89216052698966963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28</v>
      </c>
      <c r="F21" s="5">
        <f t="shared" si="2"/>
        <v>30.434782608695656</v>
      </c>
      <c r="G21" s="5">
        <f>IF(COUNT(D21,F21)=0,"",IF(COUNT(D21,F21)=2,D21*Настройки!$B$4+F21*Настройки!$B$5,IF(D21&lt;&gt;"",D21,F21)))</f>
        <v>30.434782608695656</v>
      </c>
      <c r="H21" s="5">
        <f>IF(OR(G21="",COUNT($G$5:G21)&lt;12),"",AVERAGE(G10:G21))</f>
        <v>48.641304347826086</v>
      </c>
      <c r="I21" s="5">
        <f t="shared" si="3"/>
        <v>0.62569832402234649</v>
      </c>
      <c r="J21" s="5">
        <f>IF(OR(G21="",IFERROR(VLOOKUP(B21,Сезонность!$A$4:$D$15,4,FALSE),0)=0),"",G21/IFERROR(VLOOKUP(B21,Сезонность!$A$4:$D$15,4,FALSE),1))</f>
        <v>43.395851720421433</v>
      </c>
      <c r="K21" s="5">
        <f>IF(OR(G21="",H21="",H21=0,IFERROR(VLOOKUP(B21,Сезонность!$A$4:$D$15,4,FALSE),0)=0),"",G21/(H21*IFERROR(VLOOKUP(B21,Сезонность!$A$4:$D$15,4,FALSE),1)))</f>
        <v>0.89216052698966974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39</v>
      </c>
      <c r="F22" s="5">
        <f t="shared" si="2"/>
        <v>42.391304347826086</v>
      </c>
      <c r="G22" s="5">
        <f>IF(COUNT(D22,F22)=0,"",IF(COUNT(D22,F22)=2,D22*Настройки!$B$4+F22*Настройки!$B$5,IF(D22&lt;&gt;"",D22,F22)))</f>
        <v>42.391304347826086</v>
      </c>
      <c r="H22" s="5">
        <f>IF(OR(G22="",COUNT($G$5:G22)&lt;12),"",AVERAGE(G11:G22))</f>
        <v>49.094202898550719</v>
      </c>
      <c r="I22" s="5">
        <f t="shared" si="3"/>
        <v>0.86346863468634694</v>
      </c>
      <c r="J22" s="5">
        <f>IF(OR(G22="",IFERROR(VLOOKUP(B22,Сезонность!$A$4:$D$15,4,FALSE),0)=0),"",G22/IFERROR(VLOOKUP(B22,Сезонность!$A$4:$D$15,4,FALSE),1))</f>
        <v>43.799909930108775</v>
      </c>
      <c r="K22" s="5">
        <f>IF(OR(G22="",H22="",H22=0,IFERROR(VLOOKUP(B22,Сезонность!$A$4:$D$15,4,FALSE),0)=0),"",G22/(H22*IFERROR(VLOOKUP(B22,Сезонность!$A$4:$D$15,4,FALSE),1)))</f>
        <v>0.89216052698966952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63</v>
      </c>
      <c r="F23" s="5">
        <f t="shared" si="2"/>
        <v>68.478260869565219</v>
      </c>
      <c r="G23" s="5">
        <f>IF(COUNT(D23,F23)=0,"",IF(COUNT(D23,F23)=2,D23*Настройки!$B$4+F23*Настройки!$B$5,IF(D23&lt;&gt;"",D23,F23)))</f>
        <v>68.478260869565219</v>
      </c>
      <c r="H23" s="5">
        <f>IF(OR(G23="",COUNT($G$5:G23)&lt;12),"",AVERAGE(G12:G23))</f>
        <v>48.913043478260875</v>
      </c>
      <c r="I23" s="5">
        <f t="shared" si="3"/>
        <v>1.4</v>
      </c>
      <c r="J23" s="5">
        <f>IF(OR(G23="",IFERROR(VLOOKUP(B23,Сезонность!$A$4:$D$15,4,FALSE),0)=0),"",G23/IFERROR(VLOOKUP(B23,Сезонность!$A$4:$D$15,4,FALSE),1))</f>
        <v>43.638286646233844</v>
      </c>
      <c r="K23" s="5">
        <f>IF(OR(G23="",H23="",H23=0,IFERROR(VLOOKUP(B23,Сезонность!$A$4:$D$15,4,FALSE),0)=0),"",G23/(H23*IFERROR(VLOOKUP(B23,Сезонность!$A$4:$D$15,4,FALSE),1)))</f>
        <v>0.89216052698966952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76</v>
      </c>
      <c r="F24" s="5">
        <f t="shared" si="2"/>
        <v>82.608695652173907</v>
      </c>
      <c r="G24" s="5">
        <f>IF(COUNT(D24,F24)=0,"",IF(COUNT(D24,F24)=2,D24*Настройки!$B$4+F24*Настройки!$B$5,IF(D24&lt;&gt;"",D24,F24)))</f>
        <v>82.608695652173907</v>
      </c>
      <c r="H24" s="5">
        <f>IF(OR(G24="",COUNT($G$5:G24)&lt;12),"",AVERAGE(G13:G24))</f>
        <v>48.731884057971008</v>
      </c>
      <c r="I24" s="5">
        <f t="shared" si="3"/>
        <v>1.6951672862453533</v>
      </c>
      <c r="J24" s="5">
        <f>IF(OR(G24="",IFERROR(VLOOKUP(B24,Сезонность!$A$4:$D$15,4,FALSE),0)=0),"",G24/IFERROR(VLOOKUP(B24,Сезонность!$A$4:$D$15,4,FALSE),1))</f>
        <v>43.476663362358892</v>
      </c>
      <c r="K24" s="5">
        <f>IF(OR(G24="",H24="",H24=0,IFERROR(VLOOKUP(B24,Сезонность!$A$4:$D$15,4,FALSE),0)=0),"",G24/(H24*IFERROR(VLOOKUP(B24,Сезонность!$A$4:$D$15,4,FALSE),1)))</f>
        <v>0.89216052698966963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67</v>
      </c>
      <c r="F25" s="5">
        <f t="shared" si="2"/>
        <v>72.826086956521735</v>
      </c>
      <c r="G25" s="5">
        <f>IF(COUNT(D25,F25)=0,"",IF(COUNT(D25,F25)=2,D25*Настройки!$B$4+F25*Настройки!$B$5,IF(D25&lt;&gt;"",D25,F25)))</f>
        <v>72.826086956521735</v>
      </c>
      <c r="H25" s="5">
        <f>IF(OR(G25="",COUNT($G$5:G25)&lt;12),"",AVERAGE(G14:G25))</f>
        <v>46.467391304347821</v>
      </c>
      <c r="I25" s="5">
        <f t="shared" si="3"/>
        <v>1.5672514619883042</v>
      </c>
      <c r="J25" s="5">
        <f>IF(OR(G25="",IFERROR(VLOOKUP(B25,Сезонность!$A$4:$D$15,4,FALSE),0)=0),"",G25/IFERROR(VLOOKUP(B25,Сезонность!$A$4:$D$15,4,FALSE),1))</f>
        <v>41.456372313922145</v>
      </c>
      <c r="K25" s="5">
        <f>IF(OR(G25="",H25="",H25=0,IFERROR(VLOOKUP(B25,Сезонность!$A$4:$D$15,4,FALSE),0)=0),"",G25/(H25*IFERROR(VLOOKUP(B25,Сезонность!$A$4:$D$15,4,FALSE),1)))</f>
        <v>0.89216052698966974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34</v>
      </c>
      <c r="F26" s="5">
        <f t="shared" si="2"/>
        <v>36.95652173913043</v>
      </c>
      <c r="G26" s="5">
        <f>IF(COUNT(D26,F26)=0,"",IF(COUNT(D26,F26)=2,D26*Настройки!$B$4+F26*Настройки!$B$5,IF(D26&lt;&gt;"",D26,F26)))</f>
        <v>36.95652173913043</v>
      </c>
      <c r="H26" s="5">
        <f>IF(OR(G26="",COUNT($G$5:G26)&lt;12),"",AVERAGE(G15:G26))</f>
        <v>44.655797101449274</v>
      </c>
      <c r="I26" s="5">
        <f t="shared" si="3"/>
        <v>0.8275862068965516</v>
      </c>
      <c r="J26" s="5">
        <f>IF(OR(G26="",IFERROR(VLOOKUP(B26,Сезонность!$A$4:$D$15,4,FALSE),0)=0),"",G26/IFERROR(VLOOKUP(B26,Сезонность!$A$4:$D$15,4,FALSE),1))</f>
        <v>39.840139475172748</v>
      </c>
      <c r="K26" s="5">
        <f>IF(OR(G26="",H26="",H26=0,IFERROR(VLOOKUP(B26,Сезонность!$A$4:$D$15,4,FALSE),0)=0),"",G26/(H26*IFERROR(VLOOKUP(B26,Сезонность!$A$4:$D$15,4,FALSE),1)))</f>
        <v>0.89216052698966952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13</v>
      </c>
      <c r="F27" s="5">
        <f t="shared" si="2"/>
        <v>14.130434782608695</v>
      </c>
      <c r="G27" s="5">
        <f>IF(COUNT(D27,F27)=0,"",IF(COUNT(D27,F27)=2,D27*Настройки!$B$4+F27*Настройки!$B$5,IF(D27&lt;&gt;"",D27,F27)))</f>
        <v>14.130434782608695</v>
      </c>
      <c r="H27" s="5">
        <f>IF(OR(G27="",COUNT($G$5:G27)&lt;12),"",AVERAGE(G16:G27))</f>
        <v>43.75</v>
      </c>
      <c r="I27" s="5">
        <f t="shared" si="3"/>
        <v>0.32298136645962733</v>
      </c>
      <c r="J27" s="5">
        <f>IF(OR(G27="",IFERROR(VLOOKUP(B27,Сезонность!$A$4:$D$15,4,FALSE),0)=0),"",G27/IFERROR(VLOOKUP(B27,Сезонность!$A$4:$D$15,4,FALSE),1))</f>
        <v>39.032023055798042</v>
      </c>
      <c r="K27" s="5">
        <f>IF(OR(G27="",H27="",H27=0,IFERROR(VLOOKUP(B27,Сезонность!$A$4:$D$15,4,FALSE),0)=0),"",G27/(H27*IFERROR(VLOOKUP(B27,Сезонность!$A$4:$D$15,4,FALSE),1)))</f>
        <v>0.89216052698966963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6</v>
      </c>
      <c r="F28" s="5">
        <f t="shared" si="2"/>
        <v>6.5217391304347823</v>
      </c>
      <c r="G28" s="5">
        <f>IF(COUNT(D28,F28)=0,"",IF(COUNT(D28,F28)=2,D28*Настройки!$B$4+F28*Настройки!$B$5,IF(D28&lt;&gt;"",D28,F28)))</f>
        <v>6.5217391304347823</v>
      </c>
      <c r="H28" s="5">
        <f>IF(OR(G28="",COUNT($G$5:G28)&lt;12),"",AVERAGE(G17:G28))</f>
        <v>43.840579710144929</v>
      </c>
      <c r="I28" s="5">
        <f t="shared" si="3"/>
        <v>0.14876033057851237</v>
      </c>
      <c r="J28" s="5">
        <f>IF(OR(G28="",IFERROR(VLOOKUP(B28,Сезонность!$A$4:$D$15,4,FALSE),0)=0),"",G28/IFERROR(VLOOKUP(B28,Сезонность!$A$4:$D$15,4,FALSE),1))</f>
        <v>47.573771737271571</v>
      </c>
      <c r="K28" s="5">
        <f>IF(OR(G28="",H28="",H28=0,IFERROR(VLOOKUP(B28,Сезонность!$A$4:$D$15,4,FALSE),0)=0),"",G28/(H28*IFERROR(VLOOKUP(B28,Сезонность!$A$4:$D$15,4,FALSE),1)))</f>
        <v>1.085153801610492</v>
      </c>
      <c r="L28" s="3" t="str">
        <f>IF(K28="","",IF(K28&lt;Настройки!$B$11,"ниже тренда",IF(K28&gt;Настройки!$B$12,"выше тренда","норма")))</f>
        <v>норма</v>
      </c>
      <c r="M28" s="3" t="str">
        <f t="shared" si="4"/>
        <v>без выраженного отклонения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3" t="s">
        <v>49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0.62569832402234649</v>
      </c>
      <c r="D4" s="5">
        <f t="shared" ref="D4:D15" si="0">IF(C4="","",C4/AVERAGE($C$4:$C$15))</f>
        <v>0.70132930688334683</v>
      </c>
      <c r="E4" s="5">
        <f t="shared" ref="E4:E15" si="1">IF(D4="","",D4-1)</f>
        <v>-0.29867069311665317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0.86346863468634694</v>
      </c>
      <c r="D5" s="5">
        <f t="shared" si="0"/>
        <v>0.96783998906549373</v>
      </c>
      <c r="E5" s="5">
        <f t="shared" si="1"/>
        <v>-3.2160010934506267E-2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1.4</v>
      </c>
      <c r="D6" s="5">
        <f t="shared" si="0"/>
        <v>1.5692243241514883</v>
      </c>
      <c r="E6" s="5">
        <f t="shared" si="1"/>
        <v>0.56922432415148827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1.6951672862453533</v>
      </c>
      <c r="D7" s="5">
        <f t="shared" si="0"/>
        <v>1.9000698136300551</v>
      </c>
      <c r="E7" s="5">
        <f t="shared" si="1"/>
        <v>0.90006981363005512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1.5672514619883042</v>
      </c>
      <c r="D8" s="5">
        <f t="shared" si="0"/>
        <v>1.7566922258671633</v>
      </c>
      <c r="E8" s="5">
        <f t="shared" si="1"/>
        <v>0.75669222586716334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0.8275862068965516</v>
      </c>
      <c r="D9" s="5">
        <f t="shared" si="0"/>
        <v>0.92762029013881075</v>
      </c>
      <c r="E9" s="5">
        <f t="shared" si="1"/>
        <v>-7.2379709861189245E-2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0.32298136645962733</v>
      </c>
      <c r="D10" s="5">
        <f t="shared" si="0"/>
        <v>0.3620215832115235</v>
      </c>
      <c r="E10" s="5">
        <f t="shared" si="1"/>
        <v>-0.63797841678847655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0.12230348797296225</v>
      </c>
      <c r="D11" s="5">
        <f t="shared" si="0"/>
        <v>0.13708686303981527</v>
      </c>
      <c r="E11" s="5">
        <f t="shared" si="1"/>
        <v>-0.86291313696018479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0.4437299035369775</v>
      </c>
      <c r="D12" s="5">
        <f t="shared" si="0"/>
        <v>0.49736554141687045</v>
      </c>
      <c r="E12" s="5">
        <f t="shared" si="1"/>
        <v>-0.5026344585831295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0.7948303715670435</v>
      </c>
      <c r="D13" s="5">
        <f t="shared" si="0"/>
        <v>0.89090510902669295</v>
      </c>
      <c r="E13" s="5">
        <f t="shared" si="1"/>
        <v>-0.10909489097330705</v>
      </c>
      <c r="F13" s="3" t="str">
        <f t="shared" si="2"/>
        <v>сезонный минимум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0.70714285714285718</v>
      </c>
      <c r="D14" s="5">
        <f t="shared" si="0"/>
        <v>0.79261840862753752</v>
      </c>
      <c r="E14" s="5">
        <f t="shared" si="1"/>
        <v>-0.20738159137246248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1.3357664233576643</v>
      </c>
      <c r="D15" s="5">
        <f t="shared" si="0"/>
        <v>1.4972265449412012</v>
      </c>
      <c r="E15" s="5">
        <f t="shared" si="1"/>
        <v>0.49722654494120122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1.9000698136300551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0.13708686303981527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1.7629829505902399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апрель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август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3" t="s">
        <v>70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56.702898550724633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43.840579710144929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-12.862318840579704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-0.22683706070287529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-1.1304347826086956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3" t="s">
        <v>95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96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1.085153801610492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0.69916725236884747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1.085153801610492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0.38598654924164455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29.347826086956523</v>
      </c>
      <c r="C14" s="5" t="str">
        <f>Расчет!H5</f>
        <v/>
      </c>
      <c r="D14" s="5">
        <f>IFERROR(VLOOKUP(Расчет!B5,Сезонность!$A$4:$D$15,4,FALSE),"")</f>
        <v>0.49736554141687045</v>
      </c>
      <c r="E14" s="5">
        <f>Расчет!J5</f>
        <v>59.006552812950979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47.826086956521742</v>
      </c>
      <c r="C15" s="5" t="str">
        <f>Расчет!H6</f>
        <v/>
      </c>
      <c r="D15" s="5">
        <f>IFERROR(VLOOKUP(Расчет!B6,Сезонность!$A$4:$D$15,4,FALSE),"")</f>
        <v>0.89090510902669295</v>
      </c>
      <c r="E15" s="5">
        <f>Расчет!J6</f>
        <v>53.682582434364278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100</v>
      </c>
      <c r="C16" s="5" t="str">
        <f>Расчет!H7</f>
        <v/>
      </c>
      <c r="D16" s="5">
        <f>IFERROR(VLOOKUP(Расчет!B7,Сезонность!$A$4:$D$15,4,FALSE),"")</f>
        <v>0.79261840862753752</v>
      </c>
      <c r="E16" s="5">
        <f>Расчет!J7</f>
        <v>126.16411492783206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79.347826086956516</v>
      </c>
      <c r="C17" s="5" t="str">
        <f>Расчет!H8</f>
        <v/>
      </c>
      <c r="D17" s="5">
        <f>IFERROR(VLOOKUP(Расчет!B8,Сезонность!$A$4:$D$15,4,FALSE),"")</f>
        <v>1.4972265449412012</v>
      </c>
      <c r="E17" s="5">
        <f>Расчет!J8</f>
        <v>52.996539738795938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42.391304347826086</v>
      </c>
      <c r="C18" s="5" t="str">
        <f>Расчет!H9</f>
        <v/>
      </c>
      <c r="D18" s="5">
        <f>IFERROR(VLOOKUP(Расчет!B9,Сезонность!$A$4:$D$15,4,FALSE),"")</f>
        <v>0.70132930688334683</v>
      </c>
      <c r="E18" s="5">
        <f>Расчет!J9</f>
        <v>60.444222039158412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36.95652173913043</v>
      </c>
      <c r="C19" s="5" t="str">
        <f>Расчет!H10</f>
        <v/>
      </c>
      <c r="D19" s="5">
        <f>IFERROR(VLOOKUP(Расчет!B10,Сезонность!$A$4:$D$15,4,FALSE),"")</f>
        <v>0.96783998906549373</v>
      </c>
      <c r="E19" s="5">
        <f>Расчет!J10</f>
        <v>38.184536862146103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70.652173913043484</v>
      </c>
      <c r="C20" s="5" t="str">
        <f>Расчет!H11</f>
        <v/>
      </c>
      <c r="D20" s="5">
        <f>IFERROR(VLOOKUP(Расчет!B11,Сезонность!$A$4:$D$15,4,FALSE),"")</f>
        <v>1.5692243241514883</v>
      </c>
      <c r="E20" s="5">
        <f>Расчет!J11</f>
        <v>45.023629079447616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84.782608695652172</v>
      </c>
      <c r="C21" s="5" t="str">
        <f>Расчет!H12</f>
        <v/>
      </c>
      <c r="D21" s="5">
        <f>IFERROR(VLOOKUP(Расчет!B12,Сезонность!$A$4:$D$15,4,FALSE),"")</f>
        <v>1.9000698136300551</v>
      </c>
      <c r="E21" s="5">
        <f>Расчет!J12</f>
        <v>44.62078608242097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100</v>
      </c>
      <c r="C22" s="5" t="str">
        <f>Расчет!H13</f>
        <v/>
      </c>
      <c r="D22" s="5">
        <f>IFERROR(VLOOKUP(Расчет!B13,Сезонность!$A$4:$D$15,4,FALSE),"")</f>
        <v>1.7566922258671633</v>
      </c>
      <c r="E22" s="5">
        <f>Расчет!J13</f>
        <v>56.925167953445332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58.695652173913047</v>
      </c>
      <c r="C23" s="5" t="str">
        <f>Расчет!H14</f>
        <v/>
      </c>
      <c r="D23" s="5">
        <f>IFERROR(VLOOKUP(Расчет!B14,Сезонность!$A$4:$D$15,4,FALSE),"")</f>
        <v>0.92762029013881075</v>
      </c>
      <c r="E23" s="5">
        <f>Расчет!J14</f>
        <v>63.275515637039078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25</v>
      </c>
      <c r="C24" s="5" t="str">
        <f>Расчет!H15</f>
        <v/>
      </c>
      <c r="D24" s="5">
        <f>IFERROR(VLOOKUP(Расчет!B15,Сезонность!$A$4:$D$15,4,FALSE),"")</f>
        <v>0.3620215832115235</v>
      </c>
      <c r="E24" s="5">
        <f>Расчет!J15</f>
        <v>69.056656175642701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5.4347826086956523</v>
      </c>
      <c r="C25" s="5">
        <f>Расчет!H16</f>
        <v>56.702898550724633</v>
      </c>
      <c r="D25" s="5">
        <f>IFERROR(VLOOKUP(Расчет!B16,Сезонность!$A$4:$D$15,4,FALSE),"")</f>
        <v>0.13708686303981527</v>
      </c>
      <c r="E25" s="5">
        <f>Расчет!J16</f>
        <v>39.644809781059649</v>
      </c>
      <c r="F25" s="5">
        <f>Расчет!K16</f>
        <v>0.69916725236884747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25</v>
      </c>
      <c r="C26" s="5">
        <f>Расчет!H17</f>
        <v>56.340579710144929</v>
      </c>
      <c r="D26" s="5">
        <f>IFERROR(VLOOKUP(Расчет!B17,Сезонность!$A$4:$D$15,4,FALSE),"")</f>
        <v>0.49736554141687045</v>
      </c>
      <c r="E26" s="5">
        <f>Расчет!J17</f>
        <v>50.264841285106385</v>
      </c>
      <c r="F26" s="5">
        <f>Расчет!K17</f>
        <v>0.89216052698966952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44.565217391304344</v>
      </c>
      <c r="C27" s="5">
        <f>Расчет!H18</f>
        <v>56.068840579710148</v>
      </c>
      <c r="D27" s="5">
        <f>IFERROR(VLOOKUP(Расчет!B18,Сезонность!$A$4:$D$15,4,FALSE),"")</f>
        <v>0.89090510902669295</v>
      </c>
      <c r="E27" s="5">
        <f>Расчет!J18</f>
        <v>50.022406359293981</v>
      </c>
      <c r="F27" s="5">
        <f>Расчет!K18</f>
        <v>0.89216052698966974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35.869565217391305</v>
      </c>
      <c r="C28" s="5">
        <f>Расчет!H19</f>
        <v>50.724637681159415</v>
      </c>
      <c r="D28" s="5">
        <f>IFERROR(VLOOKUP(Расчет!B19,Сезонность!$A$4:$D$15,4,FALSE),"")</f>
        <v>0.79261840862753752</v>
      </c>
      <c r="E28" s="5">
        <f>Расчет!J19</f>
        <v>45.254519484983241</v>
      </c>
      <c r="F28" s="5">
        <f>Расчет!K19</f>
        <v>0.89216052698966963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66.304347826086953</v>
      </c>
      <c r="C29" s="5">
        <f>Расчет!H20</f>
        <v>49.637681159420289</v>
      </c>
      <c r="D29" s="5">
        <f>IFERROR(VLOOKUP(Расчет!B20,Сезонность!$A$4:$D$15,4,FALSE),"")</f>
        <v>1.4972265449412012</v>
      </c>
      <c r="E29" s="5">
        <f>Расчет!J20</f>
        <v>44.284779781733597</v>
      </c>
      <c r="F29" s="5">
        <f>Расчет!K20</f>
        <v>0.89216052698966963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30.434782608695656</v>
      </c>
      <c r="C30" s="5">
        <f>Расчет!H21</f>
        <v>48.641304347826086</v>
      </c>
      <c r="D30" s="5">
        <f>IFERROR(VLOOKUP(Расчет!B21,Сезонность!$A$4:$D$15,4,FALSE),"")</f>
        <v>0.70132930688334683</v>
      </c>
      <c r="E30" s="5">
        <f>Расчет!J21</f>
        <v>43.395851720421433</v>
      </c>
      <c r="F30" s="5">
        <f>Расчет!K21</f>
        <v>0.89216052698966974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42.391304347826086</v>
      </c>
      <c r="C31" s="5">
        <f>Расчет!H22</f>
        <v>49.094202898550719</v>
      </c>
      <c r="D31" s="5">
        <f>IFERROR(VLOOKUP(Расчет!B22,Сезонность!$A$4:$D$15,4,FALSE),"")</f>
        <v>0.96783998906549373</v>
      </c>
      <c r="E31" s="5">
        <f>Расчет!J22</f>
        <v>43.799909930108775</v>
      </c>
      <c r="F31" s="5">
        <f>Расчет!K22</f>
        <v>0.89216052698966952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68.478260869565219</v>
      </c>
      <c r="C32" s="5">
        <f>Расчет!H23</f>
        <v>48.913043478260875</v>
      </c>
      <c r="D32" s="5">
        <f>IFERROR(VLOOKUP(Расчет!B23,Сезонность!$A$4:$D$15,4,FALSE),"")</f>
        <v>1.5692243241514883</v>
      </c>
      <c r="E32" s="5">
        <f>Расчет!J23</f>
        <v>43.638286646233844</v>
      </c>
      <c r="F32" s="5">
        <f>Расчет!K23</f>
        <v>0.89216052698966952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82.608695652173907</v>
      </c>
      <c r="C33" s="5">
        <f>Расчет!H24</f>
        <v>48.731884057971008</v>
      </c>
      <c r="D33" s="5">
        <f>IFERROR(VLOOKUP(Расчет!B24,Сезонность!$A$4:$D$15,4,FALSE),"")</f>
        <v>1.9000698136300551</v>
      </c>
      <c r="E33" s="5">
        <f>Расчет!J24</f>
        <v>43.476663362358892</v>
      </c>
      <c r="F33" s="5">
        <f>Расчет!K24</f>
        <v>0.89216052698966963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72.826086956521735</v>
      </c>
      <c r="C34" s="5">
        <f>Расчет!H25</f>
        <v>46.467391304347821</v>
      </c>
      <c r="D34" s="5">
        <f>IFERROR(VLOOKUP(Расчет!B25,Сезонность!$A$4:$D$15,4,FALSE),"")</f>
        <v>1.7566922258671633</v>
      </c>
      <c r="E34" s="5">
        <f>Расчет!J25</f>
        <v>41.456372313922145</v>
      </c>
      <c r="F34" s="5">
        <f>Расчет!K25</f>
        <v>0.89216052698966974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36.95652173913043</v>
      </c>
      <c r="C35" s="5">
        <f>Расчет!H26</f>
        <v>44.655797101449274</v>
      </c>
      <c r="D35" s="5">
        <f>IFERROR(VLOOKUP(Расчет!B26,Сезонность!$A$4:$D$15,4,FALSE),"")</f>
        <v>0.92762029013881075</v>
      </c>
      <c r="E35" s="5">
        <f>Расчет!J26</f>
        <v>39.840139475172748</v>
      </c>
      <c r="F35" s="5">
        <f>Расчет!K26</f>
        <v>0.89216052698966952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14.130434782608695</v>
      </c>
      <c r="C36" s="5">
        <f>Расчет!H27</f>
        <v>43.75</v>
      </c>
      <c r="D36" s="5">
        <f>IFERROR(VLOOKUP(Расчет!B27,Сезонность!$A$4:$D$15,4,FALSE),"")</f>
        <v>0.3620215832115235</v>
      </c>
      <c r="E36" s="5">
        <f>Расчет!J27</f>
        <v>39.032023055798042</v>
      </c>
      <c r="F36" s="5">
        <f>Расчет!K27</f>
        <v>0.89216052698966963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6.5217391304347823</v>
      </c>
      <c r="C37" s="5">
        <f>Расчет!H28</f>
        <v>43.840579710144929</v>
      </c>
      <c r="D37" s="5">
        <f>IFERROR(VLOOKUP(Расчет!B28,Сезонность!$A$4:$D$15,4,FALSE),"")</f>
        <v>0.13708686303981527</v>
      </c>
      <c r="E37" s="5">
        <f>Расчет!J28</f>
        <v>47.573771737271571</v>
      </c>
      <c r="F37" s="5">
        <f>Расчет!K28</f>
        <v>1.085153801610492</v>
      </c>
      <c r="G37" s="3" t="str">
        <f>Расчет!L28</f>
        <v>норма</v>
      </c>
      <c r="H37" s="3" t="str">
        <f t="shared" si="0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3" t="s">
        <v>104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1" t="s">
        <v>211</v>
      </c>
      <c r="B4" s="2" t="s">
        <v>113</v>
      </c>
      <c r="C4" s="2" t="s">
        <v>199</v>
      </c>
      <c r="D4" s="2" t="s">
        <v>184</v>
      </c>
      <c r="E4" s="2" t="s">
        <v>212</v>
      </c>
      <c r="F4" s="2" t="s">
        <v>183</v>
      </c>
      <c r="G4" s="2" t="s">
        <v>200</v>
      </c>
      <c r="H4" s="2" t="s">
        <v>213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1" t="s">
        <v>211</v>
      </c>
      <c r="B5" s="2" t="s">
        <v>113</v>
      </c>
      <c r="C5" s="2" t="s">
        <v>199</v>
      </c>
      <c r="D5" s="2" t="s">
        <v>184</v>
      </c>
      <c r="E5" s="2" t="s">
        <v>210</v>
      </c>
      <c r="F5" s="2" t="s">
        <v>183</v>
      </c>
      <c r="G5" s="2" t="s">
        <v>209</v>
      </c>
      <c r="H5" s="2" t="s">
        <v>214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2" t="s">
        <v>211</v>
      </c>
      <c r="B6" s="3" t="s">
        <v>113</v>
      </c>
      <c r="C6" s="3" t="s">
        <v>185</v>
      </c>
      <c r="D6" s="3" t="s">
        <v>184</v>
      </c>
      <c r="E6" s="3" t="s">
        <v>212</v>
      </c>
      <c r="F6" s="3" t="s">
        <v>183</v>
      </c>
      <c r="G6" s="3" t="s">
        <v>186</v>
      </c>
      <c r="H6" s="3" t="s">
        <v>215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2" t="s">
        <v>211</v>
      </c>
      <c r="B7" s="3" t="s">
        <v>113</v>
      </c>
      <c r="C7" s="3" t="s">
        <v>187</v>
      </c>
      <c r="D7" s="3" t="s">
        <v>184</v>
      </c>
      <c r="E7" s="3" t="s">
        <v>212</v>
      </c>
      <c r="F7" s="3" t="s">
        <v>183</v>
      </c>
      <c r="G7" s="3" t="s">
        <v>188</v>
      </c>
      <c r="H7" s="3" t="s">
        <v>216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2" t="s">
        <v>211</v>
      </c>
      <c r="B8" s="3" t="s">
        <v>113</v>
      </c>
      <c r="C8" s="3" t="s">
        <v>189</v>
      </c>
      <c r="D8" s="3" t="s">
        <v>184</v>
      </c>
      <c r="E8" s="3" t="s">
        <v>212</v>
      </c>
      <c r="F8" s="3" t="s">
        <v>183</v>
      </c>
      <c r="G8" s="3" t="s">
        <v>190</v>
      </c>
      <c r="H8" s="3" t="s">
        <v>217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2" t="s">
        <v>211</v>
      </c>
      <c r="B9" s="3" t="s">
        <v>113</v>
      </c>
      <c r="C9" s="3" t="s">
        <v>191</v>
      </c>
      <c r="D9" s="3" t="s">
        <v>184</v>
      </c>
      <c r="E9" s="3" t="s">
        <v>212</v>
      </c>
      <c r="F9" s="3" t="s">
        <v>183</v>
      </c>
      <c r="G9" s="3" t="s">
        <v>192</v>
      </c>
      <c r="H9" s="3" t="s">
        <v>218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2" t="s">
        <v>211</v>
      </c>
      <c r="B10" s="3" t="s">
        <v>113</v>
      </c>
      <c r="C10" s="3" t="s">
        <v>193</v>
      </c>
      <c r="D10" s="3" t="s">
        <v>184</v>
      </c>
      <c r="E10" s="3" t="s">
        <v>212</v>
      </c>
      <c r="F10" s="3" t="s">
        <v>183</v>
      </c>
      <c r="G10" s="3" t="s">
        <v>194</v>
      </c>
      <c r="H10" s="3" t="s">
        <v>219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2" t="s">
        <v>211</v>
      </c>
      <c r="B11" s="3" t="s">
        <v>113</v>
      </c>
      <c r="C11" s="3" t="s">
        <v>195</v>
      </c>
      <c r="D11" s="3" t="s">
        <v>184</v>
      </c>
      <c r="E11" s="3" t="s">
        <v>212</v>
      </c>
      <c r="F11" s="3" t="s">
        <v>183</v>
      </c>
      <c r="G11" s="3" t="s">
        <v>196</v>
      </c>
      <c r="H11" s="3" t="s">
        <v>220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2" t="s">
        <v>211</v>
      </c>
      <c r="B12" s="3" t="s">
        <v>113</v>
      </c>
      <c r="C12" s="3" t="s">
        <v>197</v>
      </c>
      <c r="D12" s="3" t="s">
        <v>184</v>
      </c>
      <c r="E12" s="3" t="s">
        <v>212</v>
      </c>
      <c r="F12" s="3" t="s">
        <v>183</v>
      </c>
      <c r="G12" s="3" t="s">
        <v>198</v>
      </c>
      <c r="H12" s="3" t="s">
        <v>221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2" t="s">
        <v>211</v>
      </c>
      <c r="B13" s="3" t="s">
        <v>113</v>
      </c>
      <c r="C13" s="3" t="s">
        <v>199</v>
      </c>
      <c r="D13" s="3" t="s">
        <v>184</v>
      </c>
      <c r="E13" s="3" t="s">
        <v>212</v>
      </c>
      <c r="F13" s="3" t="s">
        <v>183</v>
      </c>
      <c r="G13" s="3" t="s">
        <v>200</v>
      </c>
      <c r="H13" s="3" t="s">
        <v>213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2" t="s">
        <v>211</v>
      </c>
      <c r="B14" s="3" t="s">
        <v>113</v>
      </c>
      <c r="C14" s="3" t="s">
        <v>201</v>
      </c>
      <c r="D14" s="3" t="s">
        <v>184</v>
      </c>
      <c r="E14" s="3" t="s">
        <v>212</v>
      </c>
      <c r="F14" s="3" t="s">
        <v>183</v>
      </c>
      <c r="G14" s="3" t="s">
        <v>202</v>
      </c>
      <c r="H14" s="3" t="s">
        <v>222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2" t="s">
        <v>211</v>
      </c>
      <c r="B15" s="3" t="s">
        <v>113</v>
      </c>
      <c r="C15" s="3" t="s">
        <v>203</v>
      </c>
      <c r="D15" s="3" t="s">
        <v>204</v>
      </c>
      <c r="E15" s="3" t="s">
        <v>205</v>
      </c>
      <c r="F15" s="3" t="s">
        <v>183</v>
      </c>
      <c r="G15" s="3" t="s">
        <v>206</v>
      </c>
      <c r="H15" s="3" t="s">
        <v>223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2" t="s">
        <v>211</v>
      </c>
      <c r="B16" s="3" t="s">
        <v>113</v>
      </c>
      <c r="C16" s="3" t="s">
        <v>207</v>
      </c>
      <c r="D16" s="3" t="s">
        <v>184</v>
      </c>
      <c r="E16" s="3" t="s">
        <v>208</v>
      </c>
      <c r="F16" s="3" t="s">
        <v>183</v>
      </c>
      <c r="G16" s="3" t="s">
        <v>209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5.75">
      <c r="A18" s="10" t="s">
        <v>111</v>
      </c>
      <c r="B18" s="3" t="s">
        <v>225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3" t="s">
        <v>114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3" t="s">
        <v>153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2026-10-04T16:53:09Z</dcterms:created>
  <dcterms:modified xsi:type="dcterms:W3CDTF">2026-10-04T16:58:20Z</dcterms:modified>
</cp:coreProperties>
</file>