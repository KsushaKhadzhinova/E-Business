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6\"/>
    </mc:Choice>
  </mc:AlternateContent>
  <xr:revisionPtr revIDLastSave="0" documentId="13_ncr:1_{B1B42D6D-A734-4990-88E0-6FCE100EBC36}" xr6:coauthVersionLast="47" xr6:coauthVersionMax="47" xr10:uidLastSave="{00000000-0000-0000-0000-000000000000}"/>
  <bookViews>
    <workbookView xWindow="28680" yWindow="-120" windowWidth="29040" windowHeight="15720" firstSheet="8" activeTab="14" xr2:uid="{00000000-000D-0000-FFFF-FFFF00000000}"/>
  </bookViews>
  <sheets>
    <sheet name="Инструкция" sheetId="1" r:id="rId1"/>
    <sheet name="Банк_выводов" sheetId="2" r:id="rId2"/>
    <sheet name="Роли_и_сегменты" sheetId="3" r:id="rId3"/>
    <sheet name="Пользовательские_сценарии" sheetId="4" r:id="rId4"/>
    <sheet name="Страницы_и_экраны" sheetId="5" r:id="rId5"/>
    <sheet name="Матрица_сценарий_интерфейс" sheetId="6" r:id="rId6"/>
    <sheet name="Навигация_и_карта" sheetId="7" r:id="rId7"/>
    <sheet name="Состояния_и_ошибки" sheetId="8" r:id="rId8"/>
    <sheet name="Контент_и_данные" sheetId="9" r:id="rId9"/>
    <sheet name="Паспорт_экрана" sheetId="10" r:id="rId10"/>
    <sheet name="Приоритизация" sheetId="11" r:id="rId11"/>
    <sheet name="Проверка_связности" sheetId="12" r:id="rId12"/>
    <sheet name="Дашборд" sheetId="13" r:id="rId13"/>
    <sheet name="Справочники" sheetId="14" r:id="rId14"/>
    <sheet name="Журнал_6_4" sheetId="15" r:id="rId15"/>
  </sheets>
  <calcPr calcId="191029" refMode="R1C1"/>
</workbook>
</file>

<file path=xl/calcChain.xml><?xml version="1.0" encoding="utf-8"?>
<calcChain xmlns="http://schemas.openxmlformats.org/spreadsheetml/2006/main">
  <c r="N10" i="10" l="1"/>
  <c r="O10" i="10" s="1"/>
  <c r="N9" i="10"/>
  <c r="O9" i="10" s="1"/>
  <c r="N8" i="10"/>
  <c r="O8" i="10" s="1"/>
  <c r="N7" i="10"/>
  <c r="O7" i="10" s="1"/>
  <c r="N6" i="10"/>
  <c r="O6" i="10" s="1"/>
  <c r="N5" i="10"/>
  <c r="K10" i="8"/>
  <c r="K9" i="8"/>
  <c r="K8" i="8"/>
  <c r="K7" i="8"/>
  <c r="K6" i="8"/>
  <c r="K5" i="8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M14" i="4"/>
  <c r="N14" i="4" s="1"/>
  <c r="M13" i="4"/>
  <c r="M12" i="4"/>
  <c r="N12" i="4" s="1"/>
  <c r="M11" i="4"/>
  <c r="N11" i="4" s="1"/>
  <c r="M10" i="4"/>
  <c r="N10" i="4" s="1"/>
  <c r="M9" i="4"/>
  <c r="N9" i="4" s="1"/>
  <c r="M8" i="4"/>
  <c r="N8" i="4" s="1"/>
  <c r="M7" i="4"/>
  <c r="N7" i="4" s="1"/>
  <c r="M6" i="4"/>
  <c r="N6" i="4" s="1"/>
  <c r="M5" i="4"/>
  <c r="N5" i="4" s="1"/>
  <c r="N13" i="4"/>
  <c r="B7" i="13"/>
  <c r="B5" i="13"/>
  <c r="D11" i="12"/>
  <c r="E11" i="12" s="1"/>
  <c r="D10" i="12"/>
  <c r="E10" i="12" s="1"/>
  <c r="D8" i="12"/>
  <c r="E8" i="12" s="1"/>
  <c r="D6" i="12"/>
  <c r="E6" i="12" s="1"/>
  <c r="I17" i="11"/>
  <c r="J17" i="11" s="1"/>
  <c r="I16" i="11"/>
  <c r="J16" i="11" s="1"/>
  <c r="I15" i="11"/>
  <c r="J15" i="11" s="1"/>
  <c r="I14" i="11"/>
  <c r="J14" i="11" s="1"/>
  <c r="I13" i="11"/>
  <c r="J13" i="11" s="1"/>
  <c r="I12" i="11"/>
  <c r="J12" i="11" s="1"/>
  <c r="I11" i="11"/>
  <c r="J11" i="11" s="1"/>
  <c r="I10" i="11"/>
  <c r="J10" i="11" s="1"/>
  <c r="I9" i="11"/>
  <c r="J9" i="11" s="1"/>
  <c r="I8" i="11"/>
  <c r="J8" i="11" s="1"/>
  <c r="I7" i="11"/>
  <c r="J7" i="11" s="1"/>
  <c r="I6" i="11"/>
  <c r="J6" i="11" s="1"/>
  <c r="I5" i="11"/>
  <c r="J5" i="11" s="1"/>
  <c r="O14" i="4"/>
  <c r="Q8" i="5" s="1"/>
  <c r="O13" i="4"/>
  <c r="Q15" i="5" s="1"/>
  <c r="O12" i="4"/>
  <c r="Q10" i="5" s="1"/>
  <c r="O11" i="4"/>
  <c r="Q14" i="5" s="1"/>
  <c r="O10" i="4"/>
  <c r="Q13" i="5" s="1"/>
  <c r="O9" i="4"/>
  <c r="Q11" i="5" s="1"/>
  <c r="O8" i="4"/>
  <c r="O7" i="4"/>
  <c r="Q9" i="5" s="1"/>
  <c r="O6" i="4"/>
  <c r="Q6" i="5" s="1"/>
  <c r="O5" i="4"/>
  <c r="Q5" i="5" s="1"/>
  <c r="B11" i="13" l="1"/>
  <c r="B6" i="13"/>
  <c r="D5" i="12"/>
  <c r="E5" i="12" s="1"/>
  <c r="Q17" i="5"/>
  <c r="Q12" i="5"/>
  <c r="D7" i="12"/>
  <c r="E7" i="12" s="1"/>
  <c r="Q7" i="5"/>
  <c r="Q16" i="5"/>
  <c r="D9" i="12"/>
  <c r="E9" i="12" s="1"/>
  <c r="B8" i="13"/>
  <c r="B16" i="13" s="1"/>
  <c r="O5" i="10"/>
  <c r="B9" i="13"/>
  <c r="B17" i="13" s="1"/>
  <c r="B10" i="13"/>
  <c r="B18" i="13" s="1"/>
  <c r="B15" i="13" l="1"/>
  <c r="B12" i="13"/>
</calcChain>
</file>

<file path=xl/sharedStrings.xml><?xml version="1.0" encoding="utf-8"?>
<sst xmlns="http://schemas.openxmlformats.org/spreadsheetml/2006/main" count="1317" uniqueCount="833">
  <si>
    <t>Шаблон перехода от бизнес-логики и пользовательских сценариев к страницам и экранам</t>
  </si>
  <si>
    <t>Шаг</t>
  </si>
  <si>
    <t>Действие</t>
  </si>
  <si>
    <t>Что сделать</t>
  </si>
  <si>
    <t>1</t>
  </si>
  <si>
    <t>Собрать исходные выводы</t>
  </si>
  <si>
    <t>2</t>
  </si>
  <si>
    <t>Зафиксировать роли</t>
  </si>
  <si>
    <t>3</t>
  </si>
  <si>
    <t>Описать сценарии</t>
  </si>
  <si>
    <t>4</t>
  </si>
  <si>
    <t>Вывести страницы и экраны</t>
  </si>
  <si>
    <t>5</t>
  </si>
  <si>
    <t>Проверить покрытие</t>
  </si>
  <si>
    <t>6</t>
  </si>
  <si>
    <t>Описать навигацию и состояния</t>
  </si>
  <si>
    <t>7</t>
  </si>
  <si>
    <t>Сформировать паспорта</t>
  </si>
  <si>
    <t>8</t>
  </si>
  <si>
    <t>Приоритизировать</t>
  </si>
  <si>
    <t>9</t>
  </si>
  <si>
    <t>Проверить готовность</t>
  </si>
  <si>
    <t>Банк исходных выводов из всех видов анализа</t>
  </si>
  <si>
    <t>ID вывода</t>
  </si>
  <si>
    <t>Вид анализа</t>
  </si>
  <si>
    <t>Объект анализа</t>
  </si>
  <si>
    <t>Вывод / факт</t>
  </si>
  <si>
    <t>Доказательство / ссылка</t>
  </si>
  <si>
    <t>Надежность 1–5</t>
  </si>
  <si>
    <t>Значимость 1–5</t>
  </si>
  <si>
    <t>Влияние на интерфейс</t>
  </si>
  <si>
    <t>Связанные роли</t>
  </si>
  <si>
    <t>Связанные сценарии</t>
  </si>
  <si>
    <t>Решение для страниц/экранов</t>
  </si>
  <si>
    <t>F-001</t>
  </si>
  <si>
    <t>Анализ отзывов</t>
  </si>
  <si>
    <t>ROLE-001</t>
  </si>
  <si>
    <t>SC-003</t>
  </si>
  <si>
    <t>F-002</t>
  </si>
  <si>
    <t>Анализ конкурентов</t>
  </si>
  <si>
    <t>ROLE-002</t>
  </si>
  <si>
    <t>SC-001</t>
  </si>
  <si>
    <t>Роли и пользовательские сегменты</t>
  </si>
  <si>
    <t>Роль_ID</t>
  </si>
  <si>
    <t>Роль / сегмент</t>
  </si>
  <si>
    <t>Цель роли</t>
  </si>
  <si>
    <t>Основная проблема</t>
  </si>
  <si>
    <t>Ожидаемая ценность</t>
  </si>
  <si>
    <t>Цифровая зрелость</t>
  </si>
  <si>
    <t>Частота использования</t>
  </si>
  <si>
    <t>Критичность задачи 1–5</t>
  </si>
  <si>
    <t>Канал входа</t>
  </si>
  <si>
    <t>Примечание</t>
  </si>
  <si>
    <t>Поиск</t>
  </si>
  <si>
    <t>Новый пользователь</t>
  </si>
  <si>
    <t>Реклама</t>
  </si>
  <si>
    <t>Пользовательские сценарии</t>
  </si>
  <si>
    <t>Сценарий_ID</t>
  </si>
  <si>
    <t>Этап пути</t>
  </si>
  <si>
    <t>Пользовательская цель</t>
  </si>
  <si>
    <t>Начальный триггер</t>
  </si>
  <si>
    <t>Основной поток</t>
  </si>
  <si>
    <t>Альтернативный поток</t>
  </si>
  <si>
    <t>Данные / контент</t>
  </si>
  <si>
    <t>Бизнес-результат</t>
  </si>
  <si>
    <t>Критичность 1–5</t>
  </si>
  <si>
    <t>Частота 1–5</t>
  </si>
  <si>
    <t>Сложность 1–5</t>
  </si>
  <si>
    <t>Кол-во страниц/экранов</t>
  </si>
  <si>
    <t>Статус покрытия</t>
  </si>
  <si>
    <t>Приоритет сценария</t>
  </si>
  <si>
    <t>Первичный интерес</t>
  </si>
  <si>
    <t>SC-002</t>
  </si>
  <si>
    <t>Регистрация</t>
  </si>
  <si>
    <t>Страницы сайта и экраны приложения</t>
  </si>
  <si>
    <t>Unit_ID</t>
  </si>
  <si>
    <t>Тип</t>
  </si>
  <si>
    <t>Название</t>
  </si>
  <si>
    <t>Назначение</t>
  </si>
  <si>
    <t>Связанный сценарий_ID</t>
  </si>
  <si>
    <t>Главная задача пользователя</t>
  </si>
  <si>
    <t>Ключевое действие</t>
  </si>
  <si>
    <t>Источник требования</t>
  </si>
  <si>
    <t>Компоненты</t>
  </si>
  <si>
    <t>Состояния</t>
  </si>
  <si>
    <t>Ошибки / исключения</t>
  </si>
  <si>
    <t>Нужна авторизация</t>
  </si>
  <si>
    <t>Монетизационная роль</t>
  </si>
  <si>
    <t>Оценка приоритета</t>
  </si>
  <si>
    <t>Статус</t>
  </si>
  <si>
    <t>Доказательность 1–5</t>
  </si>
  <si>
    <t>Полнота описания</t>
  </si>
  <si>
    <t>Решение</t>
  </si>
  <si>
    <t>U-001</t>
  </si>
  <si>
    <t>Страница сайта</t>
  </si>
  <si>
    <t>Главная страница</t>
  </si>
  <si>
    <t>Нет</t>
  </si>
  <si>
    <t>Подведение к оплате</t>
  </si>
  <si>
    <t>Требует уточнения</t>
  </si>
  <si>
    <t>Оставить</t>
  </si>
  <si>
    <t>U-002</t>
  </si>
  <si>
    <t>Экран приложения</t>
  </si>
  <si>
    <t>Удержание</t>
  </si>
  <si>
    <t>В проектировании</t>
  </si>
  <si>
    <t>Матрица связи сценариев со страницами и экранами</t>
  </si>
  <si>
    <t>Связь_ID</t>
  </si>
  <si>
    <t>Тип связи</t>
  </si>
  <si>
    <t>Обязательность</t>
  </si>
  <si>
    <t>Порядок в сценарии</t>
  </si>
  <si>
    <t>Предыдущее Unit_ID</t>
  </si>
  <si>
    <t>Следующее Unit_ID</t>
  </si>
  <si>
    <t>Комментарий</t>
  </si>
  <si>
    <t>M-001</t>
  </si>
  <si>
    <t>Основная</t>
  </si>
  <si>
    <t>Обязательно для первой версии</t>
  </si>
  <si>
    <t>Главная страница ведет к регистрации или демонстрации</t>
  </si>
  <si>
    <t>M-002</t>
  </si>
  <si>
    <t>Экран регистрации запускает пользовательскую работу с товаром</t>
  </si>
  <si>
    <t>Навигация и карта переходов</t>
  </si>
  <si>
    <t>Переход_ID</t>
  </si>
  <si>
    <t>Откуда Unit_ID</t>
  </si>
  <si>
    <t>Куда Unit_ID</t>
  </si>
  <si>
    <t>Событие / действие</t>
  </si>
  <si>
    <t>Условие</t>
  </si>
  <si>
    <t>Тип перехода</t>
  </si>
  <si>
    <t>Риск разрыва 1–5</t>
  </si>
  <si>
    <t>N-001</t>
  </si>
  <si>
    <t>Основной</t>
  </si>
  <si>
    <t>Состояния, ошибки и исключения</t>
  </si>
  <si>
    <t>State_ID</t>
  </si>
  <si>
    <t>Нормальное состояние</t>
  </si>
  <si>
    <t>Пустое состояние</t>
  </si>
  <si>
    <t>Загрузка</t>
  </si>
  <si>
    <t>Ошибка валидации</t>
  </si>
  <si>
    <t>Ошибка сети/сервера</t>
  </si>
  <si>
    <t>Нет прав</t>
  </si>
  <si>
    <t>Успешное завершение</t>
  </si>
  <si>
    <t>Сообщение пользователю</t>
  </si>
  <si>
    <t>Полнота состояний</t>
  </si>
  <si>
    <t>S-001</t>
  </si>
  <si>
    <t>Не применимо</t>
  </si>
  <si>
    <t>S-002</t>
  </si>
  <si>
    <t>Контент и данные для страниц и экранов</t>
  </si>
  <si>
    <t>Элемент контента / данных</t>
  </si>
  <si>
    <t>Источник данных</t>
  </si>
  <si>
    <t>Частота обновления</t>
  </si>
  <si>
    <t>Персонализация</t>
  </si>
  <si>
    <t>Правило отображения</t>
  </si>
  <si>
    <t>Формат</t>
  </si>
  <si>
    <t>Ответственный</t>
  </si>
  <si>
    <t>Ценностное предложение</t>
  </si>
  <si>
    <t>Форма</t>
  </si>
  <si>
    <t>Паспорт страницы или экрана</t>
  </si>
  <si>
    <t>Главная задача</t>
  </si>
  <si>
    <t>Основное действие</t>
  </si>
  <si>
    <t>Состав блоков</t>
  </si>
  <si>
    <t>Навигация</t>
  </si>
  <si>
    <t>Метрики успеха</t>
  </si>
  <si>
    <t>Риски</t>
  </si>
  <si>
    <t>Полнота паспорта</t>
  </si>
  <si>
    <t>Вердикт</t>
  </si>
  <si>
    <t>Приоритизация страниц, экранов и интерфейсных инициатив</t>
  </si>
  <si>
    <t>Ценность для пользователя 1–5</t>
  </si>
  <si>
    <t>Влияние на бизнес 1–5</t>
  </si>
  <si>
    <t>Частота использования 1–5</t>
  </si>
  <si>
    <t>Риск без реализации 1–5</t>
  </si>
  <si>
    <t>Итоговый балл</t>
  </si>
  <si>
    <t>Класс приоритета</t>
  </si>
  <si>
    <t>Основание</t>
  </si>
  <si>
    <t>Проверка связности проектной логики</t>
  </si>
  <si>
    <t>Проверка</t>
  </si>
  <si>
    <t>Описание</t>
  </si>
  <si>
    <t>Расчет / критерий</t>
  </si>
  <si>
    <t>Результат</t>
  </si>
  <si>
    <t>Что исправить</t>
  </si>
  <si>
    <t>Покрытие сценариев</t>
  </si>
  <si>
    <t>У каждого значимого сценария есть хотя бы одна страница или экран</t>
  </si>
  <si>
    <t>Сценарии с покрытием / всего сценариев</t>
  </si>
  <si>
    <t>Для сценариев без покрытия добавить интерфейсную единицу или исключить сценарий</t>
  </si>
  <si>
    <t>Интерфейсные единицы без сценария</t>
  </si>
  <si>
    <t>Не должно быть страниц и экранов без связанного сценария</t>
  </si>
  <si>
    <t>Количество строк с пустым сценарием</t>
  </si>
  <si>
    <t>Указать сценарий или удалить лишнюю единицу</t>
  </si>
  <si>
    <t>Полнота паспортов</t>
  </si>
  <si>
    <t>Паспорта ключевых страниц и экранов должны быть заполнены не менее чем на 85%</t>
  </si>
  <si>
    <t>Средняя полнота паспортов</t>
  </si>
  <si>
    <t>Заполнить назначение, задачи, действия, состояния, навигацию, метрики</t>
  </si>
  <si>
    <t>Ключевые страницы и экраны должны иметь переходы</t>
  </si>
  <si>
    <t>Количество описанных переходов</t>
  </si>
  <si>
    <t>Добавить переходы между интерфейсными единицами</t>
  </si>
  <si>
    <t>Состояния и ошибки</t>
  </si>
  <si>
    <t>Для ключевых страниц и экранов описаны состояния и исключения</t>
  </si>
  <si>
    <t>Средняя полнота состояний</t>
  </si>
  <si>
    <t>Заполнить пустые, загрузочные, ошибочные и успешные состояния</t>
  </si>
  <si>
    <t>Монетизационная связность</t>
  </si>
  <si>
    <t>Хотя бы одна интерфейсная единица должна вести к монетизации или поддерживать ее</t>
  </si>
  <si>
    <t>Количество единиц с монетизационной ролью</t>
  </si>
  <si>
    <t>Уточнить роль экранов в оплате, тарифах, удержании или снижении затрат</t>
  </si>
  <si>
    <t>Доказательность</t>
  </si>
  <si>
    <t>У интерфейсных единиц есть источник требования</t>
  </si>
  <si>
    <t>Доля строк с источником требования</t>
  </si>
  <si>
    <t>Добавить ссылки на выводы, сценарии, отзывы, конкурентов или бизнес-модель</t>
  </si>
  <si>
    <t>Дашборд готовности перехода к страницам и экранам</t>
  </si>
  <si>
    <t>Показатель</t>
  </si>
  <si>
    <t>Значение</t>
  </si>
  <si>
    <t>Интерпретация</t>
  </si>
  <si>
    <t>Всего сценариев</t>
  </si>
  <si>
    <t>Количество описанных пользовательских сценариев</t>
  </si>
  <si>
    <t>Покрытие сценариев страницами/экранами</t>
  </si>
  <si>
    <t>Доля сценариев, для которых определена интерфейсная единица</t>
  </si>
  <si>
    <t>Всего страниц и экранов</t>
  </si>
  <si>
    <t>Общее количество интерфейсных единиц</t>
  </si>
  <si>
    <t>Средняя полнота описания страниц/экранов</t>
  </si>
  <si>
    <t>Насколько заполнены назначения, данные, действия, состояния и требования</t>
  </si>
  <si>
    <t>Готовность к прототипированию и постановке задачи</t>
  </si>
  <si>
    <t>Наличие нормальных, пустых, загрузочных и ошибочных состояний</t>
  </si>
  <si>
    <t>Интерфейсные единицы P1</t>
  </si>
  <si>
    <t>Кандидаты в первую версию</t>
  </si>
  <si>
    <t>Интегральная готовность</t>
  </si>
  <si>
    <t>Средняя готовность к переходу в прототипирование</t>
  </si>
  <si>
    <t>Блок проверки</t>
  </si>
  <si>
    <t>Готовность</t>
  </si>
  <si>
    <t>Описание страниц/экранов</t>
  </si>
  <si>
    <t>Паспорта</t>
  </si>
  <si>
    <t>Справочники для выпадающих списков</t>
  </si>
  <si>
    <t>Тип интерфейсной единицы</t>
  </si>
  <si>
    <t>ДаНет</t>
  </si>
  <si>
    <t>Роль в монетизации</t>
  </si>
  <si>
    <t>Приоритет</t>
  </si>
  <si>
    <t>Анализ проблем</t>
  </si>
  <si>
    <t>Осведомление</t>
  </si>
  <si>
    <t>Не начато</t>
  </si>
  <si>
    <t>Да</t>
  </si>
  <si>
    <t>Прямое получение оплаты</t>
  </si>
  <si>
    <t>Поддерживающая</t>
  </si>
  <si>
    <t>Желательно для первой версии</t>
  </si>
  <si>
    <t>Объединить</t>
  </si>
  <si>
    <t>Возврат</t>
  </si>
  <si>
    <t>Оценка решения</t>
  </si>
  <si>
    <t>Общий модуль</t>
  </si>
  <si>
    <t>Альтернативная</t>
  </si>
  <si>
    <t>Следующий выпуск</t>
  </si>
  <si>
    <t>Частично</t>
  </si>
  <si>
    <t>Разделить</t>
  </si>
  <si>
    <t>Социальные сети</t>
  </si>
  <si>
    <t>Ветвление</t>
  </si>
  <si>
    <t>Анализ цифрового товара</t>
  </si>
  <si>
    <t>Системное состояние</t>
  </si>
  <si>
    <t>Сервисная</t>
  </si>
  <si>
    <t>Отложить</t>
  </si>
  <si>
    <t>В прототипе</t>
  </si>
  <si>
    <t>Уточнить</t>
  </si>
  <si>
    <t>Рекомендация</t>
  </si>
  <si>
    <t>Повышение ценности тарифа</t>
  </si>
  <si>
    <t>Переход после ошибки</t>
  </si>
  <si>
    <t>Не включать</t>
  </si>
  <si>
    <t>Настройка</t>
  </si>
  <si>
    <t>Монетизационная</t>
  </si>
  <si>
    <t>Исключить</t>
  </si>
  <si>
    <t>Готово к ТЗ</t>
  </si>
  <si>
    <t>Партнерский канал</t>
  </si>
  <si>
    <t>Снижение затрат</t>
  </si>
  <si>
    <t>Переход после оплаты</t>
  </si>
  <si>
    <t>Бизнес-модель Канвас</t>
  </si>
  <si>
    <t>Основное использование</t>
  </si>
  <si>
    <t>Личный кабинет</t>
  </si>
  <si>
    <t>Контрольная</t>
  </si>
  <si>
    <t>Исключено</t>
  </si>
  <si>
    <t>Перенести в следующий выпуск</t>
  </si>
  <si>
    <t>Прямой вход</t>
  </si>
  <si>
    <t>Не связана напрямую</t>
  </si>
  <si>
    <t>Внешний переход</t>
  </si>
  <si>
    <t>Бизнес-логика</t>
  </si>
  <si>
    <t>Оплата</t>
  </si>
  <si>
    <t>Платежный экран</t>
  </si>
  <si>
    <t>Уведомление</t>
  </si>
  <si>
    <t>Системный переход</t>
  </si>
  <si>
    <t>Пользовательский сценарий</t>
  </si>
  <si>
    <t>Поддержка</t>
  </si>
  <si>
    <t>Внутренний переход</t>
  </si>
  <si>
    <t>Повторное использование</t>
  </si>
  <si>
    <t>Отток/возврат</t>
  </si>
  <si>
    <t>Анализ конкурентов по сайтам</t>
  </si>
  <si>
    <t>Тарифы 5 конкурентов</t>
  </si>
  <si>
    <t>Страница тарифов с ценой за пользователя есть у 5 из 8 конкурентов</t>
  </si>
  <si>
    <t>ЛР5: лист 10_Стандарт</t>
  </si>
  <si>
    <t>Нужна страница тарифов Free и Pro</t>
  </si>
  <si>
    <t>ROLE-001, ROLE-002</t>
  </si>
  <si>
    <t>SC-002, SC-008</t>
  </si>
  <si>
    <t>Включить страницу тарифов в первую версию</t>
  </si>
  <si>
    <t>Анализ цифрового товара и стандарта</t>
  </si>
  <si>
    <t>Рыночный стандарт</t>
  </si>
  <si>
    <t>Экспорт у 8 из 8, документация у 6 из 8, вход у 5 из 8, совместная работа у 6 из 8</t>
  </si>
  <si>
    <t>ЛР5: лист 07_Стандарт_рынка</t>
  </si>
  <si>
    <t>Нужны экспорт, документация, вход</t>
  </si>
  <si>
    <t>ROLE-002, ROLE-003</t>
  </si>
  <si>
    <t>SC-003, SC-006, SC-010</t>
  </si>
  <si>
    <t>Включить в первую версию экран экспорта и вход; документацию - важная страница</t>
  </si>
  <si>
    <t>F-003</t>
  </si>
  <si>
    <t>Конкурентный пробел</t>
  </si>
  <si>
    <t>IDEF0, DFD, сети Петри не найдены у 8 конкурентов</t>
  </si>
  <si>
    <t>ЛР5: лист 04_Кано</t>
  </si>
  <si>
    <t>Нужен выбор нотации и страница возможностей с нотациями</t>
  </si>
  <si>
    <t>ROLE-003</t>
  </si>
  <si>
    <t>SC-005</t>
  </si>
  <si>
    <t>Показать нотации на странице возможностей и в выборе нотации</t>
  </si>
  <si>
    <t>F-004</t>
  </si>
  <si>
    <t>Анализ бизнес-моделей конкурентов</t>
  </si>
  <si>
    <t>Каналы</t>
  </si>
  <si>
    <t>Органический поиск 47-59 % трафика у текстовых инструментов</t>
  </si>
  <si>
    <t>Similarweb Pro (ЛР4)</t>
  </si>
  <si>
    <t>Главная и страница возможностей должны отвечать на поисковые запросы по нотациям</t>
  </si>
  <si>
    <t>Главная и страницы нотаций для поиска</t>
  </si>
  <si>
    <t>F-005</t>
  </si>
  <si>
    <t>Анализ проблем клиентов</t>
  </si>
  <si>
    <t>Проблема P-001</t>
  </si>
  <si>
    <t>Сложность синтаксиса текстовых языков</t>
  </si>
  <si>
    <t>Нужны примеры, подсказки об ошибках и ИИ-ассистент</t>
  </si>
  <si>
    <t>SC-004, SC-009</t>
  </si>
  <si>
    <t>Включить примеры в редактор; подсказки - во вторую версию</t>
  </si>
  <si>
    <t>F-006</t>
  </si>
  <si>
    <t>Анализ монетизации</t>
  </si>
  <si>
    <t>Единица монетизации</t>
  </si>
  <si>
    <t>6.1: M-001; 6.2</t>
  </si>
  <si>
    <t>Нужны экран подписки и оплата</t>
  </si>
  <si>
    <t>ROLE-004</t>
  </si>
  <si>
    <t>SC-008</t>
  </si>
  <si>
    <t>F-007</t>
  </si>
  <si>
    <t>6.3: сценарии</t>
  </si>
  <si>
    <t>Критический сценарий: оформление подписки; высокие - первая диаграмма и экспорт</t>
  </si>
  <si>
    <t>6.3: Excel/6_3_...</t>
  </si>
  <si>
    <t>Каждому сценарию нужна страница или экран</t>
  </si>
  <si>
    <t>ROLE-001 - ROLE-005</t>
  </si>
  <si>
    <t>SC-001 - SC-010</t>
  </si>
  <si>
    <t>Составить реестр единиц по сценариям</t>
  </si>
  <si>
    <t>F-008</t>
  </si>
  <si>
    <t>Отзывы и опрос</t>
  </si>
  <si>
    <t>Опрос студентов</t>
  </si>
  <si>
    <t>Коллаборация важна 26 из 27, экспорт PNG 27 из 27</t>
  </si>
  <si>
    <t>ЛР4: survey_students.csv</t>
  </si>
  <si>
    <t>Экспорт - обязательный экран; коллаборация - позже</t>
  </si>
  <si>
    <t>SC-006</t>
  </si>
  <si>
    <t>Экспорт в первую версию, коллаборация - во вторую</t>
  </si>
  <si>
    <t>Посетитель</t>
  </si>
  <si>
    <t>Найти инструмент для диаграммы нотации</t>
  </si>
  <si>
    <t>Не ясно, какой инструмент поддерживает нужную нотацию</t>
  </si>
  <si>
    <t>Быстро убедиться в наборе нотаций и цене</t>
  </si>
  <si>
    <t>Поиск Google и Яндекс</t>
  </si>
  <si>
    <t>Студент или аналитик до регистрации</t>
  </si>
  <si>
    <t>Получить первую диаграмму</t>
  </si>
  <si>
    <t>Корректная диаграмма из текста</t>
  </si>
  <si>
    <t>Сайт, регистрация</t>
  </si>
  <si>
    <t>Основной сегмент Free</t>
  </si>
  <si>
    <t>Активный пользователь</t>
  </si>
  <si>
    <t>Регулярно строить диаграммы разных нотаций</t>
  </si>
  <si>
    <t>Нужны несколько инструментов</t>
  </si>
  <si>
    <t>Все нотации в одном месте</t>
  </si>
  <si>
    <t>Студенты старших курсов и аналитики</t>
  </si>
  <si>
    <t>Платящий клиент</t>
  </si>
  <si>
    <t>Снять ограничения Free</t>
  </si>
  <si>
    <t>Ограничения бесплатного уровня</t>
  </si>
  <si>
    <t>Профессиональный результат</t>
  </si>
  <si>
    <t>Прямой заход, кабинет</t>
  </si>
  <si>
    <t>Подписка Pro</t>
  </si>
  <si>
    <t>ROLE-005</t>
  </si>
  <si>
    <t>Внутренний администратор</t>
  </si>
  <si>
    <t>Обрабатывать обращения и ошибки</t>
  </si>
  <si>
    <t>Обращения по нотациям и оплате</t>
  </si>
  <si>
    <t>Качество сервиса</t>
  </si>
  <si>
    <t>Роль команды проекта</t>
  </si>
  <si>
    <t>Вход в сценарий</t>
  </si>
  <si>
    <t>Задание по проектированию, поиск</t>
  </si>
  <si>
    <t>Запрос в поиске, переход на главную, страница возможностей</t>
  </si>
  <si>
    <t>Выбор другого инструмента</t>
  </si>
  <si>
    <t>Названия нотаций, примеры</t>
  </si>
  <si>
    <t>Рост трафика</t>
  </si>
  <si>
    <t>Проверка соответствия</t>
  </si>
  <si>
    <t>Сравнить NotaCode с другими инструментами и увидеть цену</t>
  </si>
  <si>
    <t>Сомнение в выборе</t>
  </si>
  <si>
    <t>Страница возможностей, тарифы, документация</t>
  </si>
  <si>
    <t>Уход к draw.io или PlantUML</t>
  </si>
  <si>
    <t>Тарифы, сравнение</t>
  </si>
  <si>
    <t>Конверсия в регистрацию</t>
  </si>
  <si>
    <t>Принятие решения</t>
  </si>
  <si>
    <t>Зарегистрироваться в бесплатном уровне</t>
  </si>
  <si>
    <t>Решение попробовать</t>
  </si>
  <si>
    <t>Кнопка входа, форма, подтверждение, переход в редактор</t>
  </si>
  <si>
    <t>Отказ от регистрации</t>
  </si>
  <si>
    <t>Почта, пароль</t>
  </si>
  <si>
    <t>Активация</t>
  </si>
  <si>
    <t>SC-004</t>
  </si>
  <si>
    <t>Первое получение ценности</t>
  </si>
  <si>
    <t>Построить первую диаграмму из текста</t>
  </si>
  <si>
    <t>Задание на диаграмму</t>
  </si>
  <si>
    <t>Выбор нотации, ввод текста, предпросмотр, правка</t>
  </si>
  <si>
    <t>Ошибка синтаксиса, подсказка</t>
  </si>
  <si>
    <t>Текст диаграммы</t>
  </si>
  <si>
    <t>Первое значимое действие</t>
  </si>
  <si>
    <t>Построить диаграмму IDEF0 или DFD</t>
  </si>
  <si>
    <t>Задание по стандарту моделирования</t>
  </si>
  <si>
    <t>Выбор нотации, ввод текста, предпросмотр</t>
  </si>
  <si>
    <t>Достигнут лимит проектов Free</t>
  </si>
  <si>
    <t>Отличие от конкурентов</t>
  </si>
  <si>
    <t>Экспортировать диаграмму в PNG или SVG</t>
  </si>
  <si>
    <t>Оформление работы</t>
  </si>
  <si>
    <t>Кнопка экспорта, выбор формата, скачивание</t>
  </si>
  <si>
    <t>Формат недоступен</t>
  </si>
  <si>
    <t>Диаграмма, формат</t>
  </si>
  <si>
    <t>SC-007</t>
  </si>
  <si>
    <t>Регулярное использование</t>
  </si>
  <si>
    <t>Сохранить диаграмму и вернуться к ней</t>
  </si>
  <si>
    <t>Возврат к заданию</t>
  </si>
  <si>
    <t>Вход, список диаграмм, открытие</t>
  </si>
  <si>
    <t>Потеря версии</t>
  </si>
  <si>
    <t>Продление и развитие</t>
  </si>
  <si>
    <t>Оформить подписку Pro</t>
  </si>
  <si>
    <t>Достигнут лимит Free</t>
  </si>
  <si>
    <t>Ошибка оплаты</t>
  </si>
  <si>
    <t>Выручка Pro</t>
  </si>
  <si>
    <t>SC-009</t>
  </si>
  <si>
    <t>Поддержка и ошибки</t>
  </si>
  <si>
    <t>Исправить ошибку в описании диаграммы</t>
  </si>
  <si>
    <t>Сообщение об ошибке</t>
  </si>
  <si>
    <t>Сообщение, подсказка, пример, правка</t>
  </si>
  <si>
    <t>Обращение в поддержку</t>
  </si>
  <si>
    <t>Текст диаграммы, сообщение</t>
  </si>
  <si>
    <t>Снижение оттока</t>
  </si>
  <si>
    <t>SC-010</t>
  </si>
  <si>
    <t>Найти ответ в документации</t>
  </si>
  <si>
    <t>Вопрос по нотации</t>
  </si>
  <si>
    <t>Поиск, раздел документации, пример</t>
  </si>
  <si>
    <t>Статьи документации</t>
  </si>
  <si>
    <t>Снижение нагрузки на поддержку</t>
  </si>
  <si>
    <t>Объяснить, что делает NotaCode, и привести к возможностям и регистрации</t>
  </si>
  <si>
    <t>Понять, подходит ли инструмент</t>
  </si>
  <si>
    <t>Перейти к возможностям или регистрации</t>
  </si>
  <si>
    <t>A-007; ЛР5</t>
  </si>
  <si>
    <t>Обещание, нотации, примеры</t>
  </si>
  <si>
    <t>Заголовок, список нотаций, призыв «Попробовать бесплатно»</t>
  </si>
  <si>
    <t>Обычное, загрузка</t>
  </si>
  <si>
    <t>Нет ответа сервера</t>
  </si>
  <si>
    <t>Косвенная</t>
  </si>
  <si>
    <t>Принято</t>
  </si>
  <si>
    <t>Возможности и нотации</t>
  </si>
  <si>
    <t>Показать нотации UML, BPMN, ERD, IDEF0, DFD, сети Петри и отличие</t>
  </si>
  <si>
    <t>Понимание ценности</t>
  </si>
  <si>
    <t>Убедиться в наборе нотаций</t>
  </si>
  <si>
    <t>Перейти к тарифам или регистрации</t>
  </si>
  <si>
    <t>ЛР5: конкурентный пробел</t>
  </si>
  <si>
    <t>Список нотаций, примеры диаграмм</t>
  </si>
  <si>
    <t>Блоки нотаций, примеры, сравнение</t>
  </si>
  <si>
    <t>Обычное</t>
  </si>
  <si>
    <t>U-003</t>
  </si>
  <si>
    <t>Тарифы Free и Pro</t>
  </si>
  <si>
    <t>Прозрачный выбор между Free и Pro</t>
  </si>
  <si>
    <t>Понять цену и ограничения</t>
  </si>
  <si>
    <t>Выбрать Pro и перейти к оплате</t>
  </si>
  <si>
    <t>ЛР5: тарифы у 5 из 8; M-001</t>
  </si>
  <si>
    <t>Таблица тарифов, ограничения, вопросы</t>
  </si>
  <si>
    <t>Новый пользователь, тариф выбран, активная подписка</t>
  </si>
  <si>
    <t>Ошибка загрузки цен</t>
  </si>
  <si>
    <t>U-004</t>
  </si>
  <si>
    <t>Документация и примеры</t>
  </si>
  <si>
    <t>Научиться пользоваться нотациями без поддержки</t>
  </si>
  <si>
    <t>Найти пример нотации</t>
  </si>
  <si>
    <t>Открыть пример и скопировать в редактор</t>
  </si>
  <si>
    <t>ЛР5: документация у 6 из 8</t>
  </si>
  <si>
    <t>Статьи, примеры</t>
  </si>
  <si>
    <t>Поиск, список статей, пример</t>
  </si>
  <si>
    <t>Обычное, пустой поиск</t>
  </si>
  <si>
    <t>Статья не найдена</t>
  </si>
  <si>
    <t>U-005</t>
  </si>
  <si>
    <t>Регистрация и вход</t>
  </si>
  <si>
    <t>Получить доступ к редактору Free</t>
  </si>
  <si>
    <t>Зарегистрироваться</t>
  </si>
  <si>
    <t>Отправить форму регистрации</t>
  </si>
  <si>
    <t>ЛР5: вход у 5 из 8</t>
  </si>
  <si>
    <t>Форма, согласие с условиями</t>
  </si>
  <si>
    <t>Начальное, ошибка валидации, успех</t>
  </si>
  <si>
    <t>Почта занята, ошибка сети</t>
  </si>
  <si>
    <t>U-006</t>
  </si>
  <si>
    <t>Оплата Pro</t>
  </si>
  <si>
    <t>Оформить годовую подписку Pro</t>
  </si>
  <si>
    <t>Оплатить подписку</t>
  </si>
  <si>
    <t>Подтвердить оплату</t>
  </si>
  <si>
    <t>M-001; 6.2</t>
  </si>
  <si>
    <t>Выбран тариф, оплата, успех, ошибка оплаты</t>
  </si>
  <si>
    <t>Отказ платежа, повтор</t>
  </si>
  <si>
    <t>Прямая</t>
  </si>
  <si>
    <t>U-007</t>
  </si>
  <si>
    <t>Выбор нотации и шаблона</t>
  </si>
  <si>
    <t>Выбрать нотацию и начать с примера</t>
  </si>
  <si>
    <t>Выбрать нотацию</t>
  </si>
  <si>
    <t>Выбрать нотацию или пример</t>
  </si>
  <si>
    <t>ЛР5: стандарт; 6.3: F-001</t>
  </si>
  <si>
    <t>Список нотаций, примеры</t>
  </si>
  <si>
    <t>Карточки нотаций, шаблоны</t>
  </si>
  <si>
    <t>Начальное, пустое</t>
  </si>
  <si>
    <t>Ошибка загрузки списка</t>
  </si>
  <si>
    <t>U-008</t>
  </si>
  <si>
    <t>Рабочая область редактора</t>
  </si>
  <si>
    <t>Ввести текст диаграммы и увидеть результат</t>
  </si>
  <si>
    <t>Построить диаграмму</t>
  </si>
  <si>
    <t>Ввести текст и увидеть предпросмотр</t>
  </si>
  <si>
    <t>6.3: F-001; ЛР5</t>
  </si>
  <si>
    <t>Поле ввода, предпросмотр, панель ошибок</t>
  </si>
  <si>
    <t>Нормальное, пустое, загрузка, ошибка, успех</t>
  </si>
  <si>
    <t>Ошибка синтаксиса, ошибка сети</t>
  </si>
  <si>
    <t>Прямая (ограничения Free)</t>
  </si>
  <si>
    <t>U-009</t>
  </si>
  <si>
    <t>Результат и экспорт</t>
  </si>
  <si>
    <t>Получить файл диаграммы</t>
  </si>
  <si>
    <t>Скачать диаграмму</t>
  </si>
  <si>
    <t>Выбрать формат и скачать</t>
  </si>
  <si>
    <t>ЛР5: экспорт у 8 из 8</t>
  </si>
  <si>
    <t>Выбор формата PNG, SVG, кнопка скачивания</t>
  </si>
  <si>
    <t>Нормальное, успех, формат недоступен</t>
  </si>
  <si>
    <t>Ошибка экспорта</t>
  </si>
  <si>
    <t>Прямая (форматы Pro)</t>
  </si>
  <si>
    <t>U-010</t>
  </si>
  <si>
    <t>Мои диаграммы</t>
  </si>
  <si>
    <t>Открыть диаграмму из списка</t>
  </si>
  <si>
    <t>ЛР5: история версий у 5 из 8</t>
  </si>
  <si>
    <t>Список диаграмм</t>
  </si>
  <si>
    <t>Список, поиск, действия</t>
  </si>
  <si>
    <t>Список, пустой список, загрузка</t>
  </si>
  <si>
    <t>Диаграмма не найдена</t>
  </si>
  <si>
    <t>U-011</t>
  </si>
  <si>
    <t>Подсказка об ошибке синтаксиса</t>
  </si>
  <si>
    <t>Объяснить ошибку и предложить исправление</t>
  </si>
  <si>
    <t>Исправить ошибку</t>
  </si>
  <si>
    <t>Принять подсказку или исправить вручную</t>
  </si>
  <si>
    <t>Проблема P-001 (6.1); данные о реализации - гипотеза</t>
  </si>
  <si>
    <t>Сообщение, пример исправления</t>
  </si>
  <si>
    <t>Ошибка, исправлено</t>
  </si>
  <si>
    <t>Подсказка недоступна</t>
  </si>
  <si>
    <t>Гипотеза</t>
  </si>
  <si>
    <t>U-012</t>
  </si>
  <si>
    <t>Профиль и подписка</t>
  </si>
  <si>
    <t>Управлять подпиской и настройками</t>
  </si>
  <si>
    <t>Проверить и продлить подписку</t>
  </si>
  <si>
    <t>Продлить или отменить подписку</t>
  </si>
  <si>
    <t>Статус подписки, дата продления</t>
  </si>
  <si>
    <t>Профиль, подписка, настройки</t>
  </si>
  <si>
    <t>Ошибка продления</t>
  </si>
  <si>
    <t>U-013</t>
  </si>
  <si>
    <t>ИИ-ассистент</t>
  </si>
  <si>
    <t>Описать диаграмму словами и получить текст диаграммы</t>
  </si>
  <si>
    <t>Сформулировать диаграмму словами</t>
  </si>
  <si>
    <t>Отправить запрос ассистенту</t>
  </si>
  <si>
    <t>6.3: F-011; Eraser, Mermaid Chart</t>
  </si>
  <si>
    <t>Запрос, ответ</t>
  </si>
  <si>
    <t>Поле запроса, ответ, применение к редактору</t>
  </si>
  <si>
    <t>Начальное, загрузка, ответ, лимит исчерпан</t>
  </si>
  <si>
    <t>Лимит ИИ, ошибка сервиса</t>
  </si>
  <si>
    <t>Прямая (лимиты ИИ)</t>
  </si>
  <si>
    <t>Обязательная</t>
  </si>
  <si>
    <t>Вспомогательный</t>
  </si>
  <si>
    <t>M-003</t>
  </si>
  <si>
    <t>M-004</t>
  </si>
  <si>
    <t>M-005</t>
  </si>
  <si>
    <t>M-006</t>
  </si>
  <si>
    <t>M-007</t>
  </si>
  <si>
    <t>M-008</t>
  </si>
  <si>
    <t>M-009</t>
  </si>
  <si>
    <t>Желательная</t>
  </si>
  <si>
    <t>M-010</t>
  </si>
  <si>
    <t>M-011</t>
  </si>
  <si>
    <t>M-012</t>
  </si>
  <si>
    <t>M-013</t>
  </si>
  <si>
    <t>M-014</t>
  </si>
  <si>
    <t>M-015</t>
  </si>
  <si>
    <t>M-016</t>
  </si>
  <si>
    <t>M-017</t>
  </si>
  <si>
    <t>M-018</t>
  </si>
  <si>
    <t>Открыть возможности</t>
  </si>
  <si>
    <t>Сценарный</t>
  </si>
  <si>
    <t>N-002</t>
  </si>
  <si>
    <t>Нажать «Попробовать бесплатно»</t>
  </si>
  <si>
    <t>Коммерческий</t>
  </si>
  <si>
    <t>Прямой путь в Free</t>
  </si>
  <si>
    <t>N-003</t>
  </si>
  <si>
    <t>Открыть тарифы</t>
  </si>
  <si>
    <t>Сравнение перед регистрацией</t>
  </si>
  <si>
    <t>N-004</t>
  </si>
  <si>
    <t>N-005</t>
  </si>
  <si>
    <t>Выбрать Pro</t>
  </si>
  <si>
    <t>Переход к оплате</t>
  </si>
  <si>
    <t>N-006</t>
  </si>
  <si>
    <t>Выбрать Free</t>
  </si>
  <si>
    <t>Нет аккаунта</t>
  </si>
  <si>
    <t>N-007</t>
  </si>
  <si>
    <t>Подтвердить регистрацию</t>
  </si>
  <si>
    <t>Успех</t>
  </si>
  <si>
    <t>По состоянию</t>
  </si>
  <si>
    <t>Переход к выбору нотации</t>
  </si>
  <si>
    <t>N-008</t>
  </si>
  <si>
    <t>Нотация доступна</t>
  </si>
  <si>
    <t>Открыть редактор</t>
  </si>
  <si>
    <t>N-009</t>
  </si>
  <si>
    <t>Нажать «Экспорт»</t>
  </si>
  <si>
    <t>Диаграмма построена</t>
  </si>
  <si>
    <t>Получить файл</t>
  </si>
  <si>
    <t>N-010</t>
  </si>
  <si>
    <t>Показать ошибку</t>
  </si>
  <si>
    <t>Ошибка синтаксиса</t>
  </si>
  <si>
    <t>Подсказка</t>
  </si>
  <si>
    <t>N-011</t>
  </si>
  <si>
    <t>Открыть ИИ-ассистента</t>
  </si>
  <si>
    <t>Лимит не исчерпан</t>
  </si>
  <si>
    <t>N-012</t>
  </si>
  <si>
    <t>Сохранить</t>
  </si>
  <si>
    <t>Возвратный</t>
  </si>
  <si>
    <t>Возврат к работе</t>
  </si>
  <si>
    <t>N-013</t>
  </si>
  <si>
    <t>Открыть диаграмму</t>
  </si>
  <si>
    <t>Диаграмма существует</t>
  </si>
  <si>
    <t>Редактор</t>
  </si>
  <si>
    <t>N-014</t>
  </si>
  <si>
    <t>Продлить подписку</t>
  </si>
  <si>
    <t>Тарифы</t>
  </si>
  <si>
    <t>N-015</t>
  </si>
  <si>
    <t>Открыть пример в редакторе</t>
  </si>
  <si>
    <t>Пример выбран</t>
  </si>
  <si>
    <t>Сервисный</t>
  </si>
  <si>
    <t>Из документации</t>
  </si>
  <si>
    <t>Таблица тарифов Free и Pro</t>
  </si>
  <si>
    <t>Тарифы недоступны</t>
  </si>
  <si>
    <t>Индикатор загрузки цен</t>
  </si>
  <si>
    <t>Не удалось загрузить цены; повторить</t>
  </si>
  <si>
    <t>Не требуется</t>
  </si>
  <si>
    <t>Тариф выбран, переход к оплате</t>
  </si>
  <si>
    <t>Выберите тариф, чтобы продолжить</t>
  </si>
  <si>
    <t>Форма регистрации</t>
  </si>
  <si>
    <t>Пустая форма</t>
  </si>
  <si>
    <t>Отправка формы</t>
  </si>
  <si>
    <t>Почта указана неверно</t>
  </si>
  <si>
    <t>Сервер недоступен; повторить позже</t>
  </si>
  <si>
    <t>Аккаунт создан, переход в редактор</t>
  </si>
  <si>
    <t>Проверьте почту и пароль</t>
  </si>
  <si>
    <t>S-003</t>
  </si>
  <si>
    <t>Состав заказа и форма оплаты</t>
  </si>
  <si>
    <t>Тариф не выбран</t>
  </si>
  <si>
    <t>Обработка платежа</t>
  </si>
  <si>
    <t>Неверные данные платежа</t>
  </si>
  <si>
    <t>Нужен вход</t>
  </si>
  <si>
    <t>Подписка Pro активна</t>
  </si>
  <si>
    <t>S-004</t>
  </si>
  <si>
    <t>Редактор с предпросмотром</t>
  </si>
  <si>
    <t>Пустое поле: пример нотации</t>
  </si>
  <si>
    <t>Построение диаграммы</t>
  </si>
  <si>
    <t>Ошибка синтаксиса: строка и причина</t>
  </si>
  <si>
    <t>Нотация доступна в Pro</t>
  </si>
  <si>
    <t>Найдена ошибка в строке; посмотрите пример</t>
  </si>
  <si>
    <t>S-005</t>
  </si>
  <si>
    <t>Выбор формата и скачивание</t>
  </si>
  <si>
    <t>Нет диаграммы для экспорта</t>
  </si>
  <si>
    <t>Подготовка файла</t>
  </si>
  <si>
    <t>Формат не поддерживается</t>
  </si>
  <si>
    <t>Ошибка экспорта; повторить</t>
  </si>
  <si>
    <t>Формат доступен в Pro</t>
  </si>
  <si>
    <t>Файл скачан</t>
  </si>
  <si>
    <t>Экспорт выполнен</t>
  </si>
  <si>
    <t>S-006</t>
  </si>
  <si>
    <t>Загрузка списка</t>
  </si>
  <si>
    <t>Не удалось загрузить список</t>
  </si>
  <si>
    <t>Диаграмма открыта</t>
  </si>
  <si>
    <t>Создайте первую диаграмму</t>
  </si>
  <si>
    <t>Обещание и список нотаций</t>
  </si>
  <si>
    <t>ЦП VP-001 (6.1)</t>
  </si>
  <si>
    <t>Обязательно</t>
  </si>
  <si>
    <t>По релизам</t>
  </si>
  <si>
    <t>Всегда</t>
  </si>
  <si>
    <t>Текст</t>
  </si>
  <si>
    <t>Руководитель проекта</t>
  </si>
  <si>
    <t>Примеры диаграмм нотаций</t>
  </si>
  <si>
    <t>Движок нотаций</t>
  </si>
  <si>
    <t>Изображения и текст</t>
  </si>
  <si>
    <t>Разработчик</t>
  </si>
  <si>
    <t>Единица монетизации M-001</t>
  </si>
  <si>
    <t>При смене цен</t>
  </si>
  <si>
    <t>Таблица</t>
  </si>
  <si>
    <t>Статьи по нотациям и примеры</t>
  </si>
  <si>
    <t>Документация</t>
  </si>
  <si>
    <t>Желательно</t>
  </si>
  <si>
    <t>По поиску</t>
  </si>
  <si>
    <t>Состав заказа и условия оплаты</t>
  </si>
  <si>
    <t>При смене тарифов</t>
  </si>
  <si>
    <t>После выбора Pro</t>
  </si>
  <si>
    <t>Текст диаграммы и результат</t>
  </si>
  <si>
    <t>Пользователь</t>
  </si>
  <si>
    <t>В реальном времени</t>
  </si>
  <si>
    <t>Текст и изображение</t>
  </si>
  <si>
    <t>Форматы экспорта PNG и SVG</t>
  </si>
  <si>
    <t>Требования F-005 (6.3)</t>
  </si>
  <si>
    <t>Pro: расширенные форматы</t>
  </si>
  <si>
    <t>Файл</t>
  </si>
  <si>
    <t>Сообщения об ошибках и примеры исправления</t>
  </si>
  <si>
    <t>При ошибке</t>
  </si>
  <si>
    <t>Выбрать тариф</t>
  </si>
  <si>
    <t>Новый пользователь, тариф выбран, активная подписка, ошибка загрузки</t>
  </si>
  <si>
    <t>Из главной и возможностей; в регистрацию и оплату</t>
  </si>
  <si>
    <t>Доля переходов в регистрацию и оплату</t>
  </si>
  <si>
    <t>Непонятные ограничения Free</t>
  </si>
  <si>
    <t>Получить доступ к Free</t>
  </si>
  <si>
    <t>Отправить форму</t>
  </si>
  <si>
    <t>Форма, согласие, ошибки</t>
  </si>
  <si>
    <t>Начальное, ошибка валидации, успех, ошибка сети</t>
  </si>
  <si>
    <t>Из тарифов и главной; в выбор нотации</t>
  </si>
  <si>
    <t>Оформить подписку</t>
  </si>
  <si>
    <t>Состав заказа, форма оплаты, подтверждение</t>
  </si>
  <si>
    <t>Из тарифов; в профиль</t>
  </si>
  <si>
    <t>Доля оплат от входа на страницу</t>
  </si>
  <si>
    <t>Отказ платежа, отсутствие провайдера</t>
  </si>
  <si>
    <t>Построить диаграмму из текста</t>
  </si>
  <si>
    <t>Ввести текст и получить диаграмму</t>
  </si>
  <si>
    <t>Ввести текст</t>
  </si>
  <si>
    <t>Из выбора нотации; в экспорт и сохранение</t>
  </si>
  <si>
    <t>Доля пользователей, построивших первую диаграмму</t>
  </si>
  <si>
    <t>Сложность синтаксиса</t>
  </si>
  <si>
    <t>Скачать PNG или SVG</t>
  </si>
  <si>
    <t>Выбрать формат</t>
  </si>
  <si>
    <t>Выбор формата, скачивание</t>
  </si>
  <si>
    <t>Нормальное, успех, формат недоступен, ошибка экспорта</t>
  </si>
  <si>
    <t>Из редактора</t>
  </si>
  <si>
    <t>Доля экспортов от построенных диаграмм</t>
  </si>
  <si>
    <t>Ограничения форматов Free</t>
  </si>
  <si>
    <t>Управлять подпиской</t>
  </si>
  <si>
    <t>Продлить</t>
  </si>
  <si>
    <t>Из тарифов и кабинета</t>
  </si>
  <si>
    <t>Доля продлений</t>
  </si>
  <si>
    <t>Потеря доступа при просрочке</t>
  </si>
  <si>
    <t>Вход в воронку</t>
  </si>
  <si>
    <t>Включить</t>
  </si>
  <si>
    <t>Конкурентное отличие и поиск</t>
  </si>
  <si>
    <t>Монетизация и доверие</t>
  </si>
  <si>
    <t>Снижает нагрузку поддержки</t>
  </si>
  <si>
    <t>Включить после проверки</t>
  </si>
  <si>
    <t>Включить после выбора провайдера</t>
  </si>
  <si>
    <t>Старт работы</t>
  </si>
  <si>
    <t>Ядро ценности</t>
  </si>
  <si>
    <t>Обязательный минимум</t>
  </si>
  <si>
    <t>Вторая версия</t>
  </si>
  <si>
    <t>Снижает отказы, данные слабые</t>
  </si>
  <si>
    <t>Продление</t>
  </si>
  <si>
    <t>Журнал рабочей копии: источники, единицы, ограничения</t>
  </si>
  <si>
    <t>Раздел</t>
  </si>
  <si>
    <t>Код</t>
  </si>
  <si>
    <t>Содержание</t>
  </si>
  <si>
    <t>Источники</t>
  </si>
  <si>
    <t>И-1</t>
  </si>
  <si>
    <t>Единицы</t>
  </si>
  <si>
    <t>Е-1</t>
  </si>
  <si>
    <t>П-1</t>
  </si>
  <si>
    <t>С-1</t>
  </si>
  <si>
    <t>Правило</t>
  </si>
  <si>
    <t>Р-2</t>
  </si>
  <si>
    <t>Р-1</t>
  </si>
  <si>
    <t>Ограничения</t>
  </si>
  <si>
    <t>О-1</t>
  </si>
  <si>
    <t>Подписка Pro 40 у.е. в год за пользователя; Free без оплаты</t>
  </si>
  <si>
    <t>Тарифы, выбор Pro, оплата 40 у.е. в год</t>
  </si>
  <si>
    <t>Free 0 у.е., Pro 40 у.е. в год (48 у.е. при 4 x 12)</t>
  </si>
  <si>
    <t>Цена в у.е.</t>
  </si>
  <si>
    <t>Оплатить 40 у.е. в год</t>
  </si>
  <si>
    <t>P1 – первая версия</t>
  </si>
  <si>
    <t>P2 – следующий выпуск</t>
  </si>
  <si>
    <t>P3 – можно отложить</t>
  </si>
  <si>
    <t>Рабочая книга предназначена для проектирования состава сайта или мобильного приложения на основе результатов анализа проблем, конкурентов, ценностного предложения, цифрового товара, бизнес-модели и пользовательских сценариев</t>
  </si>
  <si>
    <t>Перенесите ключевые выводы из анализа проблем, конкурентов, отзывов, бизнес-модели и пользовательских сценариев в лист «Банк_выводов»</t>
  </si>
  <si>
    <t>Опишите пользовательские роли и сегменты на листе «Роли_и_сегменты». Эти роли используются дальше для сценариев, страниц и экранов</t>
  </si>
  <si>
    <t>На листе «Пользовательские_сценарии» заполните пользовательские цели, потоки, данные, критичность, частоту и сложность</t>
  </si>
  <si>
    <t>На листе «Страницы_и_экраны» каждая интерфейсная единица должна иметь связанный сценарий, задачу пользователя, действие и источник требования</t>
  </si>
  <si>
    <t>Лист «Матрица_сценарий_интерфейс» связывает сценарии со страницами и экранами. По нему рассчитывается покрытие сценариев</t>
  </si>
  <si>
    <t>Заполните переходы, состояния, ошибки, пустые состояния и сообщения пользователю. Это снижает риск разрывов сценария</t>
  </si>
  <si>
    <t>На листе «Паспорт_экрана» оформите итоговое описание каждой страницы или экрана для передачи в проектирование прототипа и техническое задание</t>
  </si>
  <si>
    <t>Используйте лист «Приоритизация» для выбора первой версии, следующих выпусков и отложенных интерфейсных единиц</t>
  </si>
  <si>
    <t>Листы «Проверка_связности» и «Дашборд» показывают полноту и согласованность проектной логики</t>
  </si>
  <si>
    <t>Каждая строка – доказанный вывод, который может повлиять на состав страниц, экранов, навигации, контента или состояний</t>
  </si>
  <si>
    <t>Роли используются как связующее звено между бизнес-логикой, сценариями, страницами и экранами</t>
  </si>
  <si>
    <t>Сценарий должен иметь пользовательскую цель, поток действий, бизнес-результат и связку с интерфейсными единицами</t>
  </si>
  <si>
    <t>Каждая интерфейсная единица должна выводиться из сценария, проблемы, ценностного предложения или требования бизнес-модели</t>
  </si>
  <si>
    <t>Используется для проверки покрытия сценариев и исключения интерфейсных единиц без понятной задачи</t>
  </si>
  <si>
    <t>Каждый переход описывает действие, условие, направление и риск разрыва пользовательского сценария</t>
  </si>
  <si>
    <t>Для каждой ключевой страницы или экрана фиксируются нормальные, пустые, загрузочные, ошибочные и успешные состояния</t>
  </si>
  <si>
    <t>Лист нужен для перевода сценариев в состав данных, текстов, полей, правил отображения и источников информации</t>
  </si>
  <si>
    <t>Итоговая форма описания интерфейсной единицы для прототипирования, постановки задачи и проверки связности</t>
  </si>
  <si>
    <t>Итоговый балл помогает определить состав первой версии и очередность следующих выпусков</t>
  </si>
  <si>
    <t>Лист показывает, насколько интерфейсные единицы выведены из анализа и связаны со сценариями, навигацией, состояниями и бизнес-моделью</t>
  </si>
  <si>
    <t>Показывает готовность проектной логики: покрытие сценариев, полноту паспортов, состояние навигации, наличие состояний и приоритизацию</t>
  </si>
  <si>
    <t>Банк выводов из ЛР5 (стандарт страниц, тарифы), методик 6.1-6.3 и ЛР4 (опрос, Similarweb)</t>
  </si>
  <si>
    <t>Карта состояний заполнена для 6 единиц; прочерк означает, что состояние неприменимо</t>
  </si>
  <si>
    <t>По формуле шаблона P1 получают 3 единицы (выбор нотации, редактор, экспорт); тарифы, регистрация и оплата - P2 или P3, но цепочка «обнаружение ценности - выбор - оплата - первый результат» требует их включения в первый выпуск: решение принимается в методике 6.5</t>
  </si>
  <si>
    <t>Приоритет единицы - формула шаблона; оценки 1-5 экспертные. Страницы без доказательства из анализа (подсказка об ошибке, ИИ-ассистент) имеют статус «Гипотеза»</t>
  </si>
  <si>
    <t>13 единиц: 6 страниц сайта и 7 экранов приложения (PWA). Страница правовых документов и поддержки не вынесена: правовые документы и контакты размещаются в подвале и должны быть в первой версии (не собрано: перечень документов)</t>
  </si>
  <si>
    <t>Паспорта заполнены для 6 ключевых единиц (тарифы, регистрация, оплата, редактор, экспорт, профиль); для остальных - не собрано в проектировании</t>
  </si>
  <si>
    <t>6.1; опрос 27 студентов (данные пробного опроса)</t>
  </si>
  <si>
    <t>Опрос студентов пробный, по условным профилям (ЛР4); UX-тестирование и прототипы не проводились. Планируется собрать: прототип и проверка с пользователями</t>
  </si>
  <si>
    <t>Оплата Pro в первой версии, если выбран платежный провайдер</t>
  </si>
  <si>
    <t>Удовлетворенность</t>
  </si>
  <si>
    <t>Сохраненные диаграммы</t>
  </si>
  <si>
    <t>Платежные данные</t>
  </si>
  <si>
    <t>Платежные данные (у провайдера)</t>
  </si>
  <si>
    <t>Состав заказа, платежная форма, подтверждение</t>
  </si>
  <si>
    <t>Вернуться к сохраненным диаграммам</t>
  </si>
  <si>
    <t>Открыть сохраненную диаграмму</t>
  </si>
  <si>
    <t>Free, активная подписка, истекший доступ</t>
  </si>
  <si>
    <t>Главная ведет к нотациям</t>
  </si>
  <si>
    <t>Пользователь вошел</t>
  </si>
  <si>
    <t>Истек доступ</t>
  </si>
  <si>
    <t>Платеж не прошел; повторить</t>
  </si>
  <si>
    <t>Платеж не выполнен; деньги не списаны</t>
  </si>
  <si>
    <t>Нет соединения; черновик сохранен локально</t>
  </si>
  <si>
    <t>Список сохраненных диаграмм</t>
  </si>
  <si>
    <t>Нет сохраненных диаграмм</t>
  </si>
  <si>
    <t>Платежный провайдер</t>
  </si>
  <si>
    <t>Доля завершенных регистраций</t>
  </si>
  <si>
    <t>Шаг 1 сценария SC-002: Возможности и нотации; основной шаг, обязательная</t>
  </si>
  <si>
    <t>Шаг 2 сценария SC-002: Тарифы Free и Pro; вспомогательный шаг, обязательная</t>
  </si>
  <si>
    <t>Шаг 1 сценария SC-003: Регистрация и вход; основной шаг, обязательная</t>
  </si>
  <si>
    <t>Шаг 2 сценария SC-003: Выбор нотации и шаблона; вспомогательный шаг, обязательная</t>
  </si>
  <si>
    <t>Шаг 1 сценария SC-004: Выбор нотации и шаблона; основной шаг, обязательная</t>
  </si>
  <si>
    <t>Шаг 2 сценария SC-004: Рабочая область редактора; вспомогательный шаг, обязательная</t>
  </si>
  <si>
    <t>Шаг 3 сценария SC-004: ИИ-ассистент; вспомогательный шаг, желательная</t>
  </si>
  <si>
    <t>Шаг 1 сценария SC-005: Выбор нотации и шаблона; основной шаг, обязательная</t>
  </si>
  <si>
    <t>Шаг 2 сценария SC-005: Рабочая область редактора; вспомогательный шаг, обязательная</t>
  </si>
  <si>
    <t>Шаг 1 сценария SC-006: Результат и экспорт; основной шаг, обязательная</t>
  </si>
  <si>
    <t>Шаг 1 сценария SC-007: Мои диаграммы; основной шаг, обязательная</t>
  </si>
  <si>
    <t>Шаг 1 сценария SC-008: Тарифы Free и Pro; основной шаг, обязательная</t>
  </si>
  <si>
    <t>Шаг 2 сценария SC-008: Оплата Pro; вспомогательный шаг, обязательная</t>
  </si>
  <si>
    <t>Шаг 3 сценария SC-008: Профиль и подписка; вспомогательный шаг, желательная</t>
  </si>
  <si>
    <t>Шаг 1 сценария SC-009: Подсказка об ошибке синтаксиса; основной шаг, обязательная</t>
  </si>
  <si>
    <t>Шаг 1 сценария SC-010: Документация и примеры; основной шаг, обязательная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</si>
</sst>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1F4E5F"/>
      <name val="Carlito"/>
    </font>
    <font>
      <sz val="11"/>
      <color rgb="FF1F2937"/>
      <name val="Carlito"/>
    </font>
    <font>
      <b/>
      <sz val="11"/>
      <color rgb="FF1F2937"/>
      <name val="Carlito"/>
    </font>
    <font>
      <b/>
      <sz val="11"/>
      <color rgb="FFFFFFFF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7">
    <fill>
      <patternFill patternType="none"/>
    </fill>
    <fill>
      <patternFill patternType="gray125"/>
    </fill>
    <fill>
      <patternFill patternType="solid">
        <fgColor rgb="FFE7F2F5"/>
      </patternFill>
    </fill>
    <fill>
      <patternFill patternType="solid">
        <fgColor rgb="FFD9EAF0"/>
      </patternFill>
    </fill>
    <fill>
      <patternFill patternType="solid">
        <fgColor rgb="FF2F6F7E"/>
      </patternFill>
    </fill>
    <fill>
      <patternFill patternType="solid">
        <fgColor rgb="FF1F4E5F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3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4" fillId="5" borderId="0" xfId="1" applyFont="1" applyFill="1" applyAlignment="1">
      <alignment horizontal="center" vertical="top" wrapText="1"/>
    </xf>
    <xf numFmtId="9" fontId="0" fillId="0" borderId="0" xfId="1" applyNumberFormat="1" applyFont="1" applyAlignment="1">
      <alignment vertical="top" wrapText="1"/>
    </xf>
    <xf numFmtId="0" fontId="4" fillId="4" borderId="0" xfId="1" applyFont="1" applyFill="1" applyAlignment="1">
      <alignment horizontal="center" vertical="top" wrapText="1"/>
    </xf>
    <xf numFmtId="0" fontId="6" fillId="0" borderId="0" xfId="0" applyFont="1"/>
    <xf numFmtId="0" fontId="6" fillId="0" borderId="1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1" fillId="0" borderId="0" xfId="1" applyFont="1" applyAlignment="1">
      <alignment vertical="top" wrapText="1"/>
    </xf>
    <xf numFmtId="0" fontId="2" fillId="2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174"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Готовность ключевых блоков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Готовность</c:v>
          </c:tx>
          <c:invertIfNegative val="1"/>
          <c:cat>
            <c:strRef>
              <c:f>Дашборд!$A$15:$A$18</c:f>
              <c:strCache>
                <c:ptCount val="4"/>
                <c:pt idx="0">
                  <c:v>Покрытие сценариев</c:v>
                </c:pt>
                <c:pt idx="1">
                  <c:v>Описание страниц/экранов</c:v>
                </c:pt>
                <c:pt idx="2">
                  <c:v>Паспорта</c:v>
                </c:pt>
                <c:pt idx="3">
                  <c:v>Состояния</c:v>
                </c:pt>
              </c:strCache>
            </c:strRef>
          </c:cat>
          <c:val>
            <c:numRef>
              <c:f>Дашборд!$B$15:$B$18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E-46A3-AA65-EE497BC58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ctionTable" displayName="InstructionTable" ref="A4:C13" headerRowDxfId="173" dataDxfId="172" totalsRowDxfId="171">
  <tableColumns count="3">
    <tableColumn id="1" xr3:uid="{00000000-0010-0000-0000-000001000000}" name="Шаг" dataDxfId="170"/>
    <tableColumn id="2" xr3:uid="{00000000-0010-0000-0000-000002000000}" name="Действие" dataDxfId="169"/>
    <tableColumn id="3" xr3:uid="{00000000-0010-0000-0000-000003000000}" name="Что сделать" dataDxfId="16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Table" displayName="FindingsTable" ref="A4:K12" headerRowDxfId="167" dataDxfId="166" totalsRowDxfId="165">
  <tableColumns count="11">
    <tableColumn id="1" xr3:uid="{00000000-0010-0000-0100-000001000000}" name="ID вывода" dataDxfId="164"/>
    <tableColumn id="2" xr3:uid="{00000000-0010-0000-0100-000002000000}" name="Вид анализа" dataDxfId="163"/>
    <tableColumn id="3" xr3:uid="{00000000-0010-0000-0100-000003000000}" name="Объект анализа" dataDxfId="162"/>
    <tableColumn id="4" xr3:uid="{00000000-0010-0000-0100-000004000000}" name="Вывод / факт" dataDxfId="161"/>
    <tableColumn id="5" xr3:uid="{00000000-0010-0000-0100-000005000000}" name="Доказательство / ссылка" dataDxfId="160"/>
    <tableColumn id="6" xr3:uid="{00000000-0010-0000-0100-000006000000}" name="Надежность 1–5" dataDxfId="159"/>
    <tableColumn id="7" xr3:uid="{00000000-0010-0000-0100-000007000000}" name="Значимость 1–5" dataDxfId="158"/>
    <tableColumn id="8" xr3:uid="{00000000-0010-0000-0100-000008000000}" name="Влияние на интерфейс" dataDxfId="157"/>
    <tableColumn id="9" xr3:uid="{00000000-0010-0000-0100-000009000000}" name="Связанные роли" dataDxfId="156"/>
    <tableColumn id="10" xr3:uid="{00000000-0010-0000-0100-00000A000000}" name="Связанные сценарии" dataDxfId="155"/>
    <tableColumn id="11" xr3:uid="{00000000-0010-0000-0100-00000B000000}" name="Решение для страниц/экранов" dataDxfId="15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lesTable" displayName="RolesTable" ref="A4:J9" headerRowDxfId="153" dataDxfId="152" totalsRowDxfId="151">
  <tableColumns count="10">
    <tableColumn id="1" xr3:uid="{00000000-0010-0000-0200-000001000000}" name="Роль_ID" dataDxfId="150"/>
    <tableColumn id="2" xr3:uid="{00000000-0010-0000-0200-000002000000}" name="Роль / сегмент" dataDxfId="149"/>
    <tableColumn id="3" xr3:uid="{00000000-0010-0000-0200-000003000000}" name="Цель роли" dataDxfId="148"/>
    <tableColumn id="4" xr3:uid="{00000000-0010-0000-0200-000004000000}" name="Основная проблема" dataDxfId="147"/>
    <tableColumn id="5" xr3:uid="{00000000-0010-0000-0200-000005000000}" name="Ожидаемая ценность" dataDxfId="146"/>
    <tableColumn id="6" xr3:uid="{00000000-0010-0000-0200-000006000000}" name="Цифровая зрелость" dataDxfId="145"/>
    <tableColumn id="7" xr3:uid="{00000000-0010-0000-0200-000007000000}" name="Частота использования" dataDxfId="144"/>
    <tableColumn id="8" xr3:uid="{00000000-0010-0000-0200-000008000000}" name="Критичность задачи 1–5" dataDxfId="143"/>
    <tableColumn id="9" xr3:uid="{00000000-0010-0000-0200-000009000000}" name="Канал входа" dataDxfId="142"/>
    <tableColumn id="10" xr3:uid="{00000000-0010-0000-0200-00000A000000}" name="Примечание" dataDxfId="1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cenariosTable" displayName="ScenariosTable" ref="A4:O14" headerRowDxfId="140" dataDxfId="139" totalsRowDxfId="138">
  <tableColumns count="15">
    <tableColumn id="1" xr3:uid="{00000000-0010-0000-0300-000001000000}" name="Сценарий_ID" dataDxfId="137"/>
    <tableColumn id="2" xr3:uid="{00000000-0010-0000-0300-000002000000}" name="Роль_ID" dataDxfId="136"/>
    <tableColumn id="3" xr3:uid="{00000000-0010-0000-0300-000003000000}" name="Этап пути" dataDxfId="135"/>
    <tableColumn id="4" xr3:uid="{00000000-0010-0000-0300-000004000000}" name="Пользовательская цель" dataDxfId="134"/>
    <tableColumn id="5" xr3:uid="{00000000-0010-0000-0300-000005000000}" name="Начальный триггер" dataDxfId="133"/>
    <tableColumn id="6" xr3:uid="{00000000-0010-0000-0300-000006000000}" name="Основной поток" dataDxfId="132"/>
    <tableColumn id="7" xr3:uid="{00000000-0010-0000-0300-000007000000}" name="Альтернативный поток" dataDxfId="131"/>
    <tableColumn id="8" xr3:uid="{00000000-0010-0000-0300-000008000000}" name="Данные / контент" dataDxfId="130"/>
    <tableColumn id="9" xr3:uid="{00000000-0010-0000-0300-000009000000}" name="Бизнес-результат" dataDxfId="129"/>
    <tableColumn id="10" xr3:uid="{00000000-0010-0000-0300-00000A000000}" name="Критичность 1–5" dataDxfId="128"/>
    <tableColumn id="11" xr3:uid="{00000000-0010-0000-0300-00000B000000}" name="Частота 1–5" dataDxfId="127"/>
    <tableColumn id="12" xr3:uid="{00000000-0010-0000-0300-00000C000000}" name="Сложность 1–5" dataDxfId="126"/>
    <tableColumn id="13" xr3:uid="{00000000-0010-0000-0300-00000D000000}" name="Кол-во страниц/экранов" dataDxfId="125"/>
    <tableColumn id="14" xr3:uid="{00000000-0010-0000-0300-00000E000000}" name="Статус покрытия" dataDxfId="124"/>
    <tableColumn id="15" xr3:uid="{00000000-0010-0000-0300-00000F000000}" name="Приоритет сценария" dataDxfId="1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nitsTable" displayName="UnitsTable" ref="A4:U17" headerRowDxfId="122" dataDxfId="121" totalsRowDxfId="120">
  <tableColumns count="21">
    <tableColumn id="1" xr3:uid="{00000000-0010-0000-0400-000001000000}" name="Unit_ID" dataDxfId="119"/>
    <tableColumn id="2" xr3:uid="{00000000-0010-0000-0400-000002000000}" name="Тип" dataDxfId="118"/>
    <tableColumn id="3" xr3:uid="{00000000-0010-0000-0400-000003000000}" name="Название" dataDxfId="117"/>
    <tableColumn id="4" xr3:uid="{00000000-0010-0000-0400-000004000000}" name="Назначение" dataDxfId="116"/>
    <tableColumn id="5" xr3:uid="{00000000-0010-0000-0400-000005000000}" name="Связанный сценарий_ID" dataDxfId="115"/>
    <tableColumn id="6" xr3:uid="{00000000-0010-0000-0400-000006000000}" name="Роль_ID" dataDxfId="114"/>
    <tableColumn id="7" xr3:uid="{00000000-0010-0000-0400-000007000000}" name="Этап пути" dataDxfId="113"/>
    <tableColumn id="8" xr3:uid="{00000000-0010-0000-0400-000008000000}" name="Главная задача пользователя" dataDxfId="112"/>
    <tableColumn id="9" xr3:uid="{00000000-0010-0000-0400-000009000000}" name="Ключевое действие" dataDxfId="111"/>
    <tableColumn id="10" xr3:uid="{00000000-0010-0000-0400-00000A000000}" name="Источник требования" dataDxfId="110"/>
    <tableColumn id="11" xr3:uid="{00000000-0010-0000-0400-00000B000000}" name="Данные / контент" dataDxfId="109"/>
    <tableColumn id="12" xr3:uid="{00000000-0010-0000-0400-00000C000000}" name="Компоненты" dataDxfId="108"/>
    <tableColumn id="13" xr3:uid="{00000000-0010-0000-0400-00000D000000}" name="Состояния" dataDxfId="107"/>
    <tableColumn id="14" xr3:uid="{00000000-0010-0000-0400-00000E000000}" name="Ошибки / исключения" dataDxfId="106"/>
    <tableColumn id="15" xr3:uid="{00000000-0010-0000-0400-00000F000000}" name="Нужна авторизация" dataDxfId="105"/>
    <tableColumn id="16" xr3:uid="{00000000-0010-0000-0400-000010000000}" name="Монетизационная роль" dataDxfId="104"/>
    <tableColumn id="17" xr3:uid="{00000000-0010-0000-0400-000011000000}" name="Оценка приоритета" dataDxfId="103"/>
    <tableColumn id="18" xr3:uid="{00000000-0010-0000-0400-000012000000}" name="Статус" dataDxfId="102"/>
    <tableColumn id="19" xr3:uid="{00000000-0010-0000-0400-000013000000}" name="Доказательность 1–5" dataDxfId="101"/>
    <tableColumn id="20" xr3:uid="{00000000-0010-0000-0400-000014000000}" name="Полнота описания" dataDxfId="100"/>
    <tableColumn id="21" xr3:uid="{00000000-0010-0000-0400-000015000000}" name="Решение" dataDxfId="9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cenarioInterfaceMatrix" displayName="ScenarioInterfaceMatrix" ref="A4:I22" headerRowDxfId="98" dataDxfId="97" totalsRowDxfId="96">
  <tableColumns count="9">
    <tableColumn id="1" xr3:uid="{00000000-0010-0000-0500-000001000000}" name="Связь_ID" dataDxfId="95"/>
    <tableColumn id="2" xr3:uid="{00000000-0010-0000-0500-000002000000}" name="Сценарий_ID" dataDxfId="94"/>
    <tableColumn id="3" xr3:uid="{00000000-0010-0000-0500-000003000000}" name="Unit_ID" dataDxfId="93"/>
    <tableColumn id="4" xr3:uid="{00000000-0010-0000-0500-000004000000}" name="Тип связи" dataDxfId="92"/>
    <tableColumn id="5" xr3:uid="{00000000-0010-0000-0500-000005000000}" name="Обязательность" dataDxfId="91"/>
    <tableColumn id="6" xr3:uid="{00000000-0010-0000-0500-000006000000}" name="Порядок в сценарии" dataDxfId="90"/>
    <tableColumn id="7" xr3:uid="{00000000-0010-0000-0500-000007000000}" name="Предыдущее Unit_ID" dataDxfId="89"/>
    <tableColumn id="8" xr3:uid="{00000000-0010-0000-0500-000008000000}" name="Следующее Unit_ID" dataDxfId="88"/>
    <tableColumn id="9" xr3:uid="{00000000-0010-0000-0500-000009000000}" name="Комментарий" dataDxfId="8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avigationTable" displayName="NavigationTable" ref="A4:J19" headerRowDxfId="86" dataDxfId="85" totalsRowDxfId="84">
  <tableColumns count="10">
    <tableColumn id="1" xr3:uid="{00000000-0010-0000-0600-000001000000}" name="Переход_ID" dataDxfId="83"/>
    <tableColumn id="2" xr3:uid="{00000000-0010-0000-0600-000002000000}" name="Откуда Unit_ID" dataDxfId="82"/>
    <tableColumn id="3" xr3:uid="{00000000-0010-0000-0600-000003000000}" name="Куда Unit_ID" dataDxfId="81"/>
    <tableColumn id="4" xr3:uid="{00000000-0010-0000-0600-000004000000}" name="Событие / действие" dataDxfId="80"/>
    <tableColumn id="5" xr3:uid="{00000000-0010-0000-0600-000005000000}" name="Условие" dataDxfId="79"/>
    <tableColumn id="6" xr3:uid="{00000000-0010-0000-0600-000006000000}" name="Роль_ID" dataDxfId="78"/>
    <tableColumn id="7" xr3:uid="{00000000-0010-0000-0600-000007000000}" name="Этап пути" dataDxfId="77"/>
    <tableColumn id="8" xr3:uid="{00000000-0010-0000-0600-000008000000}" name="Тип перехода" dataDxfId="76"/>
    <tableColumn id="9" xr3:uid="{00000000-0010-0000-0600-000009000000}" name="Риск разрыва 1–5" dataDxfId="75"/>
    <tableColumn id="10" xr3:uid="{00000000-0010-0000-0600-00000A000000}" name="Комментарий" dataDxfId="7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tatesTable" displayName="StatesTable" ref="A4:K10" headerRowDxfId="73" dataDxfId="72" totalsRowDxfId="71">
  <tableColumns count="11">
    <tableColumn id="1" xr3:uid="{00000000-0010-0000-0700-000001000000}" name="State_ID" dataDxfId="70"/>
    <tableColumn id="2" xr3:uid="{00000000-0010-0000-0700-000002000000}" name="Unit_ID" dataDxfId="69"/>
    <tableColumn id="3" xr3:uid="{00000000-0010-0000-0700-000003000000}" name="Нормальное состояние" dataDxfId="68"/>
    <tableColumn id="4" xr3:uid="{00000000-0010-0000-0700-000004000000}" name="Пустое состояние" dataDxfId="67"/>
    <tableColumn id="5" xr3:uid="{00000000-0010-0000-0700-000005000000}" name="Загрузка" dataDxfId="66"/>
    <tableColumn id="6" xr3:uid="{00000000-0010-0000-0700-000006000000}" name="Ошибка валидации" dataDxfId="65"/>
    <tableColumn id="7" xr3:uid="{00000000-0010-0000-0700-000007000000}" name="Ошибка сети/сервера" dataDxfId="64"/>
    <tableColumn id="8" xr3:uid="{00000000-0010-0000-0700-000008000000}" name="Нет прав" dataDxfId="63"/>
    <tableColumn id="9" xr3:uid="{00000000-0010-0000-0700-000009000000}" name="Успешное завершение" dataDxfId="62"/>
    <tableColumn id="10" xr3:uid="{00000000-0010-0000-0700-00000A000000}" name="Сообщение пользователю" dataDxfId="61"/>
    <tableColumn id="11" xr3:uid="{00000000-0010-0000-0700-00000B000000}" name="Полнота состояний" dataDxfId="6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ntentTable" displayName="ContentTable" ref="A4:I12" headerRowDxfId="59" dataDxfId="58" totalsRowDxfId="57">
  <tableColumns count="9">
    <tableColumn id="1" xr3:uid="{00000000-0010-0000-0800-000001000000}" name="Unit_ID" dataDxfId="56"/>
    <tableColumn id="2" xr3:uid="{00000000-0010-0000-0800-000002000000}" name="Элемент контента / данных" dataDxfId="55"/>
    <tableColumn id="3" xr3:uid="{00000000-0010-0000-0800-000003000000}" name="Источник данных" dataDxfId="54"/>
    <tableColumn id="4" xr3:uid="{00000000-0010-0000-0800-000004000000}" name="Обязательность" dataDxfId="53"/>
    <tableColumn id="5" xr3:uid="{00000000-0010-0000-0800-000005000000}" name="Частота обновления" dataDxfId="52"/>
    <tableColumn id="6" xr3:uid="{00000000-0010-0000-0800-000006000000}" name="Персонализация" dataDxfId="51"/>
    <tableColumn id="7" xr3:uid="{00000000-0010-0000-0800-000007000000}" name="Правило отображения" dataDxfId="50"/>
    <tableColumn id="8" xr3:uid="{00000000-0010-0000-0800-000008000000}" name="Формат" dataDxfId="49"/>
    <tableColumn id="9" xr3:uid="{00000000-0010-0000-0800-000009000000}" name="Ответственный" dataDxfId="4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assportTable" displayName="PassportTable" ref="A4:O10" headerRowDxfId="47" dataDxfId="46" totalsRowDxfId="45">
  <tableColumns count="15">
    <tableColumn id="1" xr3:uid="{00000000-0010-0000-0900-000001000000}" name="Unit_ID" dataDxfId="44"/>
    <tableColumn id="2" xr3:uid="{00000000-0010-0000-0900-000002000000}" name="Название" dataDxfId="43"/>
    <tableColumn id="3" xr3:uid="{00000000-0010-0000-0900-000003000000}" name="Тип" dataDxfId="42"/>
    <tableColumn id="4" xr3:uid="{00000000-0010-0000-0900-000004000000}" name="Сценарий_ID" dataDxfId="41"/>
    <tableColumn id="5" xr3:uid="{00000000-0010-0000-0900-000005000000}" name="Роль_ID" dataDxfId="40"/>
    <tableColumn id="6" xr3:uid="{00000000-0010-0000-0900-000006000000}" name="Назначение" dataDxfId="39"/>
    <tableColumn id="7" xr3:uid="{00000000-0010-0000-0900-000007000000}" name="Главная задача" dataDxfId="38"/>
    <tableColumn id="8" xr3:uid="{00000000-0010-0000-0900-000008000000}" name="Основное действие" dataDxfId="37"/>
    <tableColumn id="9" xr3:uid="{00000000-0010-0000-0900-000009000000}" name="Состав блоков" dataDxfId="36"/>
    <tableColumn id="10" xr3:uid="{00000000-0010-0000-0900-00000A000000}" name="Состояния" dataDxfId="35"/>
    <tableColumn id="11" xr3:uid="{00000000-0010-0000-0900-00000B000000}" name="Навигация" dataDxfId="34"/>
    <tableColumn id="12" xr3:uid="{00000000-0010-0000-0900-00000C000000}" name="Метрики успеха" dataDxfId="33"/>
    <tableColumn id="13" xr3:uid="{00000000-0010-0000-0900-00000D000000}" name="Риски" dataDxfId="32"/>
    <tableColumn id="14" xr3:uid="{00000000-0010-0000-0900-00000E000000}" name="Полнота паспорта" dataDxfId="31"/>
    <tableColumn id="15" xr3:uid="{00000000-0010-0000-0900-00000F000000}" name="Вердикт" dataDxfId="3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riorityTable" displayName="PriorityTable" ref="A4:L17" headerRowDxfId="29" dataDxfId="28" totalsRowDxfId="27">
  <tableColumns count="12">
    <tableColumn id="1" xr3:uid="{00000000-0010-0000-0A00-000001000000}" name="Unit_ID" dataDxfId="26"/>
    <tableColumn id="2" xr3:uid="{00000000-0010-0000-0A00-000002000000}" name="Название" dataDxfId="25"/>
    <tableColumn id="3" xr3:uid="{00000000-0010-0000-0A00-000003000000}" name="Связанный сценарий_ID" dataDxfId="24"/>
    <tableColumn id="4" xr3:uid="{00000000-0010-0000-0A00-000004000000}" name="Ценность для пользователя 1–5" dataDxfId="23"/>
    <tableColumn id="5" xr3:uid="{00000000-0010-0000-0A00-000005000000}" name="Влияние на бизнес 1–5" dataDxfId="22"/>
    <tableColumn id="6" xr3:uid="{00000000-0010-0000-0A00-000006000000}" name="Частота использования 1–5" dataDxfId="21"/>
    <tableColumn id="7" xr3:uid="{00000000-0010-0000-0A00-000007000000}" name="Риск без реализации 1–5" dataDxfId="20"/>
    <tableColumn id="8" xr3:uid="{00000000-0010-0000-0A00-000008000000}" name="Сложность 1–5" dataDxfId="19"/>
    <tableColumn id="9" xr3:uid="{00000000-0010-0000-0A00-000009000000}" name="Итоговый балл" dataDxfId="18"/>
    <tableColumn id="10" xr3:uid="{00000000-0010-0000-0A00-00000A000000}" name="Класс приоритета" dataDxfId="17"/>
    <tableColumn id="11" xr3:uid="{00000000-0010-0000-0A00-00000B000000}" name="Основание" dataDxfId="16"/>
    <tableColumn id="12" xr3:uid="{00000000-0010-0000-0A00-00000C000000}" name="Решение" dataDxfId="1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hecksTable" displayName="ChecksTable" ref="A4:F11" headerRowDxfId="14" dataDxfId="13" totalsRowDxfId="12">
  <tableColumns count="6">
    <tableColumn id="1" xr3:uid="{00000000-0010-0000-0B00-000001000000}" name="Проверка" dataDxfId="11"/>
    <tableColumn id="2" xr3:uid="{00000000-0010-0000-0B00-000002000000}" name="Описание" dataDxfId="10"/>
    <tableColumn id="3" xr3:uid="{00000000-0010-0000-0B00-000003000000}" name="Расчет / критерий" dataDxfId="9"/>
    <tableColumn id="4" xr3:uid="{00000000-0010-0000-0B00-000004000000}" name="Результат" dataDxfId="8"/>
    <tableColumn id="5" xr3:uid="{00000000-0010-0000-0B00-000005000000}" name="Статус" dataDxfId="7"/>
    <tableColumn id="6" xr3:uid="{00000000-0010-0000-0B00-000006000000}" name="Что исправить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workbookViewId="0">
      <selection activeCell="C14" sqref="C14"/>
    </sheetView>
  </sheetViews>
  <sheetFormatPr defaultRowHeight="14.25"/>
  <cols>
    <col min="1" max="1" width="22.375" customWidth="1"/>
    <col min="2" max="2" width="31.625" customWidth="1"/>
    <col min="3" max="3" width="60.625" customWidth="1"/>
    <col min="4" max="21" width="9.625" customWidth="1"/>
  </cols>
  <sheetData>
    <row r="1" spans="1:21" ht="2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30" customHeight="1">
      <c r="A2" s="12" t="s">
        <v>768</v>
      </c>
      <c r="B2" s="12"/>
      <c r="C2" s="12"/>
      <c r="D2" s="12"/>
      <c r="E2" s="12"/>
      <c r="F2" s="12"/>
      <c r="G2" s="12"/>
      <c r="H2" s="12"/>
      <c r="I2" s="1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5">
      <c r="A4" s="1" t="s">
        <v>1</v>
      </c>
      <c r="B4" s="1" t="s">
        <v>2</v>
      </c>
      <c r="C4" s="1" t="s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42.75">
      <c r="A5" s="2" t="s">
        <v>4</v>
      </c>
      <c r="B5" s="2" t="s">
        <v>5</v>
      </c>
      <c r="C5" s="2" t="s">
        <v>769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42.75">
      <c r="A6" s="2" t="s">
        <v>6</v>
      </c>
      <c r="B6" s="2" t="s">
        <v>7</v>
      </c>
      <c r="C6" s="2" t="s">
        <v>770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42.75">
      <c r="A7" s="2" t="s">
        <v>8</v>
      </c>
      <c r="B7" s="2" t="s">
        <v>9</v>
      </c>
      <c r="C7" s="2" t="s">
        <v>771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42.75">
      <c r="A8" s="2" t="s">
        <v>10</v>
      </c>
      <c r="B8" s="2" t="s">
        <v>11</v>
      </c>
      <c r="C8" s="2" t="s">
        <v>772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42.75">
      <c r="A9" s="2" t="s">
        <v>12</v>
      </c>
      <c r="B9" s="2" t="s">
        <v>13</v>
      </c>
      <c r="C9" s="2" t="s">
        <v>773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8.5">
      <c r="A10" s="2" t="s">
        <v>14</v>
      </c>
      <c r="B10" s="2" t="s">
        <v>15</v>
      </c>
      <c r="C10" s="2" t="s">
        <v>774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42.75">
      <c r="A11" s="2" t="s">
        <v>16</v>
      </c>
      <c r="B11" s="2" t="s">
        <v>17</v>
      </c>
      <c r="C11" s="2" t="s">
        <v>775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8.5">
      <c r="A12" s="2" t="s">
        <v>18</v>
      </c>
      <c r="B12" s="2" t="s">
        <v>19</v>
      </c>
      <c r="C12" s="2" t="s">
        <v>776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8.5">
      <c r="A13" s="2" t="s">
        <v>20</v>
      </c>
      <c r="B13" s="2" t="s">
        <v>21</v>
      </c>
      <c r="C13" s="2" t="s">
        <v>777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"/>
  <sheetViews>
    <sheetView topLeftCell="F1" workbookViewId="0">
      <selection activeCell="B17" sqref="B17"/>
    </sheetView>
  </sheetViews>
  <sheetFormatPr defaultRowHeight="14.25"/>
  <cols>
    <col min="1" max="1" width="21.625" customWidth="1"/>
    <col min="2" max="2" width="37.625" customWidth="1"/>
    <col min="3" max="3" width="24" customWidth="1"/>
    <col min="4" max="4" width="55.625" customWidth="1"/>
    <col min="5" max="5" width="49.625" customWidth="1"/>
    <col min="6" max="7" width="15.625" customWidth="1"/>
    <col min="8" max="8" width="55.625" customWidth="1"/>
    <col min="9" max="9" width="22" customWidth="1"/>
    <col min="10" max="10" width="24.625" customWidth="1"/>
    <col min="11" max="11" width="55.625" customWidth="1"/>
    <col min="12" max="21" width="9.625" customWidth="1"/>
  </cols>
  <sheetData>
    <row r="1" spans="1:21" ht="20.25">
      <c r="A1" s="11" t="s">
        <v>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" customHeight="1">
      <c r="A2" s="12" t="s">
        <v>778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5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8.5">
      <c r="A5" s="2" t="s">
        <v>34</v>
      </c>
      <c r="B5" s="2" t="s">
        <v>282</v>
      </c>
      <c r="C5" s="2" t="s">
        <v>283</v>
      </c>
      <c r="D5" s="2" t="s">
        <v>284</v>
      </c>
      <c r="E5" s="2" t="s">
        <v>285</v>
      </c>
      <c r="F5" s="2">
        <v>5</v>
      </c>
      <c r="G5" s="2">
        <v>5</v>
      </c>
      <c r="H5" s="2" t="s">
        <v>286</v>
      </c>
      <c r="I5" s="2" t="s">
        <v>287</v>
      </c>
      <c r="J5" s="2" t="s">
        <v>288</v>
      </c>
      <c r="K5" s="2" t="s">
        <v>289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8.5">
      <c r="A6" s="2" t="s">
        <v>38</v>
      </c>
      <c r="B6" s="2" t="s">
        <v>290</v>
      </c>
      <c r="C6" s="2" t="s">
        <v>291</v>
      </c>
      <c r="D6" s="2" t="s">
        <v>292</v>
      </c>
      <c r="E6" s="2" t="s">
        <v>293</v>
      </c>
      <c r="F6" s="2">
        <v>5</v>
      </c>
      <c r="G6" s="2">
        <v>5</v>
      </c>
      <c r="H6" s="2" t="s">
        <v>294</v>
      </c>
      <c r="I6" s="2" t="s">
        <v>295</v>
      </c>
      <c r="J6" s="2" t="s">
        <v>296</v>
      </c>
      <c r="K6" s="2" t="s">
        <v>297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8.5">
      <c r="A7" s="2" t="s">
        <v>298</v>
      </c>
      <c r="B7" s="2" t="s">
        <v>290</v>
      </c>
      <c r="C7" s="2" t="s">
        <v>299</v>
      </c>
      <c r="D7" s="2" t="s">
        <v>300</v>
      </c>
      <c r="E7" s="2" t="s">
        <v>301</v>
      </c>
      <c r="F7" s="2">
        <v>4</v>
      </c>
      <c r="G7" s="2">
        <v>5</v>
      </c>
      <c r="H7" s="2" t="s">
        <v>302</v>
      </c>
      <c r="I7" s="2" t="s">
        <v>303</v>
      </c>
      <c r="J7" s="2" t="s">
        <v>304</v>
      </c>
      <c r="K7" s="2" t="s">
        <v>305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8.5">
      <c r="A8" s="2" t="s">
        <v>306</v>
      </c>
      <c r="B8" s="2" t="s">
        <v>307</v>
      </c>
      <c r="C8" s="2" t="s">
        <v>308</v>
      </c>
      <c r="D8" s="2" t="s">
        <v>309</v>
      </c>
      <c r="E8" s="2" t="s">
        <v>310</v>
      </c>
      <c r="F8" s="2">
        <v>4</v>
      </c>
      <c r="G8" s="2">
        <v>4</v>
      </c>
      <c r="H8" s="2" t="s">
        <v>311</v>
      </c>
      <c r="I8" s="2" t="s">
        <v>36</v>
      </c>
      <c r="J8" s="2" t="s">
        <v>41</v>
      </c>
      <c r="K8" s="2" t="s">
        <v>312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313</v>
      </c>
      <c r="B9" s="2" t="s">
        <v>314</v>
      </c>
      <c r="C9" s="2" t="s">
        <v>315</v>
      </c>
      <c r="D9" s="2" t="s">
        <v>316</v>
      </c>
      <c r="E9" s="2" t="s">
        <v>796</v>
      </c>
      <c r="F9" s="2">
        <v>3</v>
      </c>
      <c r="G9" s="2">
        <v>4</v>
      </c>
      <c r="H9" s="2" t="s">
        <v>317</v>
      </c>
      <c r="I9" s="2" t="s">
        <v>40</v>
      </c>
      <c r="J9" s="2" t="s">
        <v>318</v>
      </c>
      <c r="K9" s="2" t="s">
        <v>319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8.5">
      <c r="A10" s="2" t="s">
        <v>320</v>
      </c>
      <c r="B10" s="2" t="s">
        <v>321</v>
      </c>
      <c r="C10" s="2" t="s">
        <v>322</v>
      </c>
      <c r="D10" s="2" t="s">
        <v>760</v>
      </c>
      <c r="E10" s="2" t="s">
        <v>323</v>
      </c>
      <c r="F10" s="2">
        <v>3</v>
      </c>
      <c r="G10" s="2">
        <v>5</v>
      </c>
      <c r="H10" s="2" t="s">
        <v>324</v>
      </c>
      <c r="I10" s="2" t="s">
        <v>325</v>
      </c>
      <c r="J10" s="2" t="s">
        <v>326</v>
      </c>
      <c r="K10" s="2" t="s">
        <v>798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8.5">
      <c r="A11" s="2" t="s">
        <v>327</v>
      </c>
      <c r="B11" s="2" t="s">
        <v>56</v>
      </c>
      <c r="C11" s="2" t="s">
        <v>328</v>
      </c>
      <c r="D11" s="2" t="s">
        <v>329</v>
      </c>
      <c r="E11" s="2" t="s">
        <v>330</v>
      </c>
      <c r="F11" s="2">
        <v>4</v>
      </c>
      <c r="G11" s="2">
        <v>5</v>
      </c>
      <c r="H11" s="2" t="s">
        <v>331</v>
      </c>
      <c r="I11" s="2" t="s">
        <v>332</v>
      </c>
      <c r="J11" s="2" t="s">
        <v>333</v>
      </c>
      <c r="K11" s="2" t="s">
        <v>334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 t="s">
        <v>335</v>
      </c>
      <c r="B12" s="2" t="s">
        <v>336</v>
      </c>
      <c r="C12" s="2" t="s">
        <v>337</v>
      </c>
      <c r="D12" s="2" t="s">
        <v>338</v>
      </c>
      <c r="E12" s="2" t="s">
        <v>339</v>
      </c>
      <c r="F12" s="2">
        <v>2</v>
      </c>
      <c r="G12" s="2">
        <v>4</v>
      </c>
      <c r="H12" s="2" t="s">
        <v>340</v>
      </c>
      <c r="I12" s="2" t="s">
        <v>40</v>
      </c>
      <c r="J12" s="2" t="s">
        <v>341</v>
      </c>
      <c r="K12" s="2" t="s">
        <v>342</v>
      </c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2">
    <mergeCell ref="A1:K1"/>
    <mergeCell ref="A2:K2"/>
  </mergeCells>
  <dataValidations count="2">
    <dataValidation type="list" sqref="B5:B12" xr:uid="{00000000-0002-0000-0100-000000000000}">
      <formula1>"Анализ проблем,Анализ отзывов,Анализ конкурентов,Анализ цифрового товара,Ценностное предложение,Бизнес-модель Канвас,Бизнес-логика,Пользовательский сценарий"</formula1>
    </dataValidation>
    <dataValidation type="list" sqref="F5:G12" xr:uid="{00000000-0002-0000-01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"/>
  <sheetViews>
    <sheetView topLeftCell="G1" workbookViewId="0">
      <selection activeCell="D24" sqref="D24"/>
    </sheetView>
  </sheetViews>
  <sheetFormatPr defaultRowHeight="14.25"/>
  <cols>
    <col min="1" max="2" width="26.625" customWidth="1"/>
    <col min="3" max="3" width="45.625" customWidth="1"/>
    <col min="4" max="4" width="55.625" customWidth="1"/>
    <col min="5" max="5" width="42.625" customWidth="1"/>
    <col min="6" max="6" width="18.625" customWidth="1"/>
    <col min="7" max="7" width="23.625" customWidth="1"/>
    <col min="8" max="8" width="24.625" customWidth="1"/>
    <col min="9" max="9" width="23.625" customWidth="1"/>
    <col min="10" max="10" width="37.625" customWidth="1"/>
    <col min="11" max="21" width="9.625" customWidth="1"/>
  </cols>
  <sheetData>
    <row r="1" spans="1:21" ht="20.25">
      <c r="A1" s="11" t="s">
        <v>42</v>
      </c>
      <c r="B1" s="11"/>
      <c r="C1" s="11"/>
      <c r="D1" s="11"/>
      <c r="E1" s="11"/>
      <c r="F1" s="11"/>
      <c r="G1" s="11"/>
      <c r="H1" s="11"/>
      <c r="I1" s="11"/>
      <c r="J1" s="11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" customHeight="1">
      <c r="A2" s="12" t="s">
        <v>779</v>
      </c>
      <c r="B2" s="12"/>
      <c r="C2" s="12"/>
      <c r="D2" s="12"/>
      <c r="E2" s="12"/>
      <c r="F2" s="12"/>
      <c r="G2" s="12"/>
      <c r="H2" s="12"/>
      <c r="I2" s="12"/>
      <c r="J2" s="1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0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52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36</v>
      </c>
      <c r="B5" s="2" t="s">
        <v>343</v>
      </c>
      <c r="C5" s="2" t="s">
        <v>344</v>
      </c>
      <c r="D5" s="2" t="s">
        <v>345</v>
      </c>
      <c r="E5" s="2" t="s">
        <v>346</v>
      </c>
      <c r="F5" s="2">
        <v>4</v>
      </c>
      <c r="G5" s="2">
        <v>4</v>
      </c>
      <c r="H5" s="2">
        <v>4</v>
      </c>
      <c r="I5" s="2" t="s">
        <v>347</v>
      </c>
      <c r="J5" s="2" t="s">
        <v>348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40</v>
      </c>
      <c r="B6" s="2" t="s">
        <v>54</v>
      </c>
      <c r="C6" s="2" t="s">
        <v>349</v>
      </c>
      <c r="D6" s="2" t="s">
        <v>316</v>
      </c>
      <c r="E6" s="2" t="s">
        <v>350</v>
      </c>
      <c r="F6" s="2">
        <v>3</v>
      </c>
      <c r="G6" s="2">
        <v>4</v>
      </c>
      <c r="H6" s="2">
        <v>5</v>
      </c>
      <c r="I6" s="2" t="s">
        <v>351</v>
      </c>
      <c r="J6" s="2" t="s">
        <v>352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303</v>
      </c>
      <c r="B7" s="2" t="s">
        <v>353</v>
      </c>
      <c r="C7" s="2" t="s">
        <v>354</v>
      </c>
      <c r="D7" s="2" t="s">
        <v>355</v>
      </c>
      <c r="E7" s="2" t="s">
        <v>356</v>
      </c>
      <c r="F7" s="2">
        <v>4</v>
      </c>
      <c r="G7" s="2">
        <v>5</v>
      </c>
      <c r="H7" s="2">
        <v>4</v>
      </c>
      <c r="I7" s="2" t="s">
        <v>265</v>
      </c>
      <c r="J7" s="2" t="s">
        <v>357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325</v>
      </c>
      <c r="B8" s="2" t="s">
        <v>358</v>
      </c>
      <c r="C8" s="2" t="s">
        <v>359</v>
      </c>
      <c r="D8" s="2" t="s">
        <v>360</v>
      </c>
      <c r="E8" s="2" t="s">
        <v>361</v>
      </c>
      <c r="F8" s="2">
        <v>4</v>
      </c>
      <c r="G8" s="2">
        <v>3</v>
      </c>
      <c r="H8" s="2">
        <v>5</v>
      </c>
      <c r="I8" s="2" t="s">
        <v>362</v>
      </c>
      <c r="J8" s="2" t="s">
        <v>363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364</v>
      </c>
      <c r="B9" s="2" t="s">
        <v>365</v>
      </c>
      <c r="C9" s="2" t="s">
        <v>366</v>
      </c>
      <c r="D9" s="2" t="s">
        <v>367</v>
      </c>
      <c r="E9" s="2" t="s">
        <v>368</v>
      </c>
      <c r="F9" s="2">
        <v>5</v>
      </c>
      <c r="G9" s="2">
        <v>3</v>
      </c>
      <c r="H9" s="2">
        <v>3</v>
      </c>
      <c r="I9" s="2" t="s">
        <v>278</v>
      </c>
      <c r="J9" s="2" t="s">
        <v>369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</row>
  </sheetData>
  <mergeCells count="2">
    <mergeCell ref="A1:J1"/>
    <mergeCell ref="A2:J2"/>
  </mergeCells>
  <dataValidations count="2">
    <dataValidation type="list" sqref="H5:H9" xr:uid="{00000000-0002-0000-0200-000000000000}">
      <formula1>"1,2,3,4,5"</formula1>
    </dataValidation>
    <dataValidation type="list" sqref="I5:I9" xr:uid="{00000000-0002-0000-0200-000001000000}">
      <formula1>"Поиск,Реклама,Социальные сети,Рекомендация,Партнерский канал,Прямой вход,Уведомление,Внутренний переход"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4"/>
  <sheetViews>
    <sheetView topLeftCell="H1" workbookViewId="0">
      <selection activeCell="D22" sqref="D22"/>
    </sheetView>
  </sheetViews>
  <sheetFormatPr defaultRowHeight="14.25"/>
  <cols>
    <col min="1" max="1" width="26.5" customWidth="1"/>
    <col min="2" max="2" width="12" customWidth="1"/>
    <col min="3" max="3" width="27.625" customWidth="1"/>
    <col min="4" max="4" width="55.625" customWidth="1"/>
    <col min="5" max="5" width="36.625" customWidth="1"/>
    <col min="6" max="6" width="55.625" customWidth="1"/>
    <col min="7" max="7" width="40" customWidth="1"/>
    <col min="8" max="8" width="38" customWidth="1"/>
    <col min="9" max="9" width="32.625" customWidth="1"/>
    <col min="10" max="10" width="16.625" customWidth="1"/>
    <col min="11" max="11" width="12.625" customWidth="1"/>
    <col min="12" max="12" width="14.625" customWidth="1"/>
    <col min="13" max="13" width="24.625" customWidth="1"/>
    <col min="14" max="14" width="20" customWidth="1"/>
    <col min="15" max="15" width="19.625" customWidth="1"/>
    <col min="16" max="21" width="9.625" customWidth="1"/>
  </cols>
  <sheetData>
    <row r="1" spans="1:21" ht="20.25">
      <c r="A1" s="11" t="s">
        <v>56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2"/>
      <c r="Q1" s="2"/>
      <c r="R1" s="2"/>
      <c r="S1" s="2"/>
      <c r="T1" s="2"/>
      <c r="U1" s="2"/>
    </row>
    <row r="2" spans="1:21" ht="15" customHeight="1">
      <c r="A2" s="12" t="s">
        <v>780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0">
      <c r="A4" s="3" t="s">
        <v>57</v>
      </c>
      <c r="B4" s="3" t="s">
        <v>43</v>
      </c>
      <c r="C4" s="3" t="s">
        <v>58</v>
      </c>
      <c r="D4" s="3" t="s">
        <v>59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s="3" t="s">
        <v>66</v>
      </c>
      <c r="L4" s="3" t="s">
        <v>67</v>
      </c>
      <c r="M4" s="3" t="s">
        <v>68</v>
      </c>
      <c r="N4" s="3" t="s">
        <v>69</v>
      </c>
      <c r="O4" s="3" t="s">
        <v>70</v>
      </c>
      <c r="P4" s="2"/>
      <c r="Q4" s="2"/>
      <c r="R4" s="2"/>
      <c r="S4" s="2"/>
      <c r="T4" s="2"/>
      <c r="U4" s="2"/>
    </row>
    <row r="5" spans="1:21" ht="28.5">
      <c r="A5" s="2" t="s">
        <v>41</v>
      </c>
      <c r="B5" s="2" t="s">
        <v>36</v>
      </c>
      <c r="C5" s="2" t="s">
        <v>370</v>
      </c>
      <c r="D5" s="2" t="s">
        <v>344</v>
      </c>
      <c r="E5" s="2" t="s">
        <v>371</v>
      </c>
      <c r="F5" s="2" t="s">
        <v>372</v>
      </c>
      <c r="G5" s="2" t="s">
        <v>373</v>
      </c>
      <c r="H5" s="2" t="s">
        <v>374</v>
      </c>
      <c r="I5" s="2" t="s">
        <v>375</v>
      </c>
      <c r="J5" s="2">
        <v>4</v>
      </c>
      <c r="K5" s="2">
        <v>4</v>
      </c>
      <c r="L5" s="2">
        <v>2</v>
      </c>
      <c r="M5" s="2">
        <f>IF(A5="","",COUNTIF(Страницы_и_экраны!$E$5:$E$17,A5))</f>
        <v>1</v>
      </c>
      <c r="N5" s="2" t="str">
        <f t="shared" ref="N5:N14" si="0">IF(A5="","",IF(M5&gt;0,"Покрыт","Нет страницы/экрана"))</f>
        <v>Покрыт</v>
      </c>
      <c r="O5" s="2">
        <f t="shared" ref="O5:O14" si="1">IF(A5="","",MAX(0,MIN(100,ROUND(((J5*0.45)+(K5*0.35)-(L5*0.2))*20,0))))</f>
        <v>56</v>
      </c>
      <c r="P5" s="2"/>
      <c r="Q5" s="2"/>
      <c r="R5" s="2"/>
      <c r="S5" s="2"/>
      <c r="T5" s="2"/>
      <c r="U5" s="2"/>
    </row>
    <row r="6" spans="1:21">
      <c r="A6" s="2" t="s">
        <v>72</v>
      </c>
      <c r="B6" s="2" t="s">
        <v>36</v>
      </c>
      <c r="C6" s="2" t="s">
        <v>376</v>
      </c>
      <c r="D6" s="2" t="s">
        <v>377</v>
      </c>
      <c r="E6" s="2" t="s">
        <v>378</v>
      </c>
      <c r="F6" s="2" t="s">
        <v>379</v>
      </c>
      <c r="G6" s="2" t="s">
        <v>380</v>
      </c>
      <c r="H6" s="2" t="s">
        <v>381</v>
      </c>
      <c r="I6" s="2" t="s">
        <v>382</v>
      </c>
      <c r="J6" s="2">
        <v>4</v>
      </c>
      <c r="K6" s="2">
        <v>4</v>
      </c>
      <c r="L6" s="2">
        <v>2</v>
      </c>
      <c r="M6" s="2">
        <f>IF(A6="","",COUNTIF(Страницы_и_экраны!$E$5:$E$17,A6))</f>
        <v>2</v>
      </c>
      <c r="N6" s="2" t="str">
        <f t="shared" si="0"/>
        <v>Покрыт</v>
      </c>
      <c r="O6" s="2">
        <f t="shared" si="1"/>
        <v>56</v>
      </c>
      <c r="P6" s="2"/>
      <c r="Q6" s="2"/>
      <c r="R6" s="2"/>
      <c r="S6" s="2"/>
      <c r="T6" s="2"/>
      <c r="U6" s="2"/>
    </row>
    <row r="7" spans="1:21">
      <c r="A7" s="2" t="s">
        <v>37</v>
      </c>
      <c r="B7" s="2" t="s">
        <v>40</v>
      </c>
      <c r="C7" s="2" t="s">
        <v>383</v>
      </c>
      <c r="D7" s="2" t="s">
        <v>384</v>
      </c>
      <c r="E7" s="2" t="s">
        <v>385</v>
      </c>
      <c r="F7" s="2" t="s">
        <v>386</v>
      </c>
      <c r="G7" s="2" t="s">
        <v>387</v>
      </c>
      <c r="H7" s="2" t="s">
        <v>388</v>
      </c>
      <c r="I7" s="2" t="s">
        <v>389</v>
      </c>
      <c r="J7" s="2">
        <v>4</v>
      </c>
      <c r="K7" s="2">
        <v>4</v>
      </c>
      <c r="L7" s="2">
        <v>2</v>
      </c>
      <c r="M7" s="2">
        <f>IF(A7="","",COUNTIF(Страницы_и_экраны!$E$5:$E$17,A7))</f>
        <v>1</v>
      </c>
      <c r="N7" s="2" t="str">
        <f t="shared" si="0"/>
        <v>Покрыт</v>
      </c>
      <c r="O7" s="2">
        <f t="shared" si="1"/>
        <v>56</v>
      </c>
      <c r="P7" s="2"/>
      <c r="Q7" s="2"/>
      <c r="R7" s="2"/>
      <c r="S7" s="2"/>
      <c r="T7" s="2"/>
      <c r="U7" s="2"/>
    </row>
    <row r="8" spans="1:21">
      <c r="A8" s="2" t="s">
        <v>390</v>
      </c>
      <c r="B8" s="2" t="s">
        <v>40</v>
      </c>
      <c r="C8" s="2" t="s">
        <v>391</v>
      </c>
      <c r="D8" s="2" t="s">
        <v>392</v>
      </c>
      <c r="E8" s="2" t="s">
        <v>393</v>
      </c>
      <c r="F8" s="2" t="s">
        <v>394</v>
      </c>
      <c r="G8" s="2" t="s">
        <v>395</v>
      </c>
      <c r="H8" s="2" t="s">
        <v>396</v>
      </c>
      <c r="I8" s="2" t="s">
        <v>397</v>
      </c>
      <c r="J8" s="2">
        <v>5</v>
      </c>
      <c r="K8" s="2">
        <v>5</v>
      </c>
      <c r="L8" s="2">
        <v>4</v>
      </c>
      <c r="M8" s="2">
        <f>IF(A8="","",COUNTIF(Страницы_и_экраны!$E$5:$E$17,A8))</f>
        <v>2</v>
      </c>
      <c r="N8" s="2" t="str">
        <f t="shared" si="0"/>
        <v>Покрыт</v>
      </c>
      <c r="O8" s="2">
        <f t="shared" si="1"/>
        <v>64</v>
      </c>
      <c r="P8" s="2"/>
      <c r="Q8" s="2"/>
      <c r="R8" s="2"/>
      <c r="S8" s="2"/>
      <c r="T8" s="2"/>
      <c r="U8" s="2"/>
    </row>
    <row r="9" spans="1:21">
      <c r="A9" s="2" t="s">
        <v>304</v>
      </c>
      <c r="B9" s="2" t="s">
        <v>303</v>
      </c>
      <c r="C9" s="2" t="s">
        <v>391</v>
      </c>
      <c r="D9" s="2" t="s">
        <v>398</v>
      </c>
      <c r="E9" s="2" t="s">
        <v>399</v>
      </c>
      <c r="F9" s="2" t="s">
        <v>400</v>
      </c>
      <c r="G9" s="2" t="s">
        <v>401</v>
      </c>
      <c r="H9" s="2" t="s">
        <v>396</v>
      </c>
      <c r="I9" s="2" t="s">
        <v>402</v>
      </c>
      <c r="J9" s="2">
        <v>5</v>
      </c>
      <c r="K9" s="2">
        <v>3</v>
      </c>
      <c r="L9" s="2">
        <v>4</v>
      </c>
      <c r="M9" s="2">
        <f>IF(A9="","",COUNTIF(Страницы_и_экраны!$E$5:$E$17,A9))</f>
        <v>1</v>
      </c>
      <c r="N9" s="2" t="str">
        <f t="shared" si="0"/>
        <v>Покрыт</v>
      </c>
      <c r="O9" s="2">
        <f t="shared" si="1"/>
        <v>50</v>
      </c>
      <c r="P9" s="2"/>
      <c r="Q9" s="2"/>
      <c r="R9" s="2"/>
      <c r="S9" s="2"/>
      <c r="T9" s="2"/>
      <c r="U9" s="2"/>
    </row>
    <row r="10" spans="1:21">
      <c r="A10" s="2" t="s">
        <v>341</v>
      </c>
      <c r="B10" s="2" t="s">
        <v>40</v>
      </c>
      <c r="C10" s="2" t="s">
        <v>391</v>
      </c>
      <c r="D10" s="2" t="s">
        <v>403</v>
      </c>
      <c r="E10" s="2" t="s">
        <v>404</v>
      </c>
      <c r="F10" s="2" t="s">
        <v>405</v>
      </c>
      <c r="G10" s="2" t="s">
        <v>406</v>
      </c>
      <c r="H10" s="2" t="s">
        <v>407</v>
      </c>
      <c r="I10" s="2" t="s">
        <v>799</v>
      </c>
      <c r="J10" s="2">
        <v>5</v>
      </c>
      <c r="K10" s="2">
        <v>5</v>
      </c>
      <c r="L10" s="2">
        <v>2</v>
      </c>
      <c r="M10" s="2">
        <f>IF(A10="","",COUNTIF(Страницы_и_экраны!$E$5:$E$17,A10))</f>
        <v>1</v>
      </c>
      <c r="N10" s="2" t="str">
        <f t="shared" si="0"/>
        <v>Покрыт</v>
      </c>
      <c r="O10" s="2">
        <f t="shared" si="1"/>
        <v>72</v>
      </c>
      <c r="P10" s="2"/>
      <c r="Q10" s="2"/>
      <c r="R10" s="2"/>
      <c r="S10" s="2"/>
      <c r="T10" s="2"/>
      <c r="U10" s="2"/>
    </row>
    <row r="11" spans="1:21">
      <c r="A11" s="2" t="s">
        <v>408</v>
      </c>
      <c r="B11" s="2" t="s">
        <v>303</v>
      </c>
      <c r="C11" s="2" t="s">
        <v>409</v>
      </c>
      <c r="D11" s="2" t="s">
        <v>410</v>
      </c>
      <c r="E11" s="2" t="s">
        <v>411</v>
      </c>
      <c r="F11" s="2" t="s">
        <v>412</v>
      </c>
      <c r="G11" s="2" t="s">
        <v>413</v>
      </c>
      <c r="H11" s="2" t="s">
        <v>800</v>
      </c>
      <c r="I11" s="2" t="s">
        <v>102</v>
      </c>
      <c r="J11" s="2">
        <v>4</v>
      </c>
      <c r="K11" s="2">
        <v>4</v>
      </c>
      <c r="L11" s="2">
        <v>3</v>
      </c>
      <c r="M11" s="2">
        <f>IF(A11="","",COUNTIF(Страницы_и_экраны!$E$5:$E$17,A11))</f>
        <v>1</v>
      </c>
      <c r="N11" s="2" t="str">
        <f t="shared" si="0"/>
        <v>Покрыт</v>
      </c>
      <c r="O11" s="2">
        <f t="shared" si="1"/>
        <v>52</v>
      </c>
      <c r="P11" s="2"/>
      <c r="Q11" s="2"/>
      <c r="R11" s="2"/>
      <c r="S11" s="2"/>
      <c r="T11" s="2"/>
      <c r="U11" s="2"/>
    </row>
    <row r="12" spans="1:21">
      <c r="A12" s="2" t="s">
        <v>326</v>
      </c>
      <c r="B12" s="2" t="s">
        <v>325</v>
      </c>
      <c r="C12" s="2" t="s">
        <v>414</v>
      </c>
      <c r="D12" s="2" t="s">
        <v>415</v>
      </c>
      <c r="E12" s="2" t="s">
        <v>416</v>
      </c>
      <c r="F12" s="2" t="s">
        <v>761</v>
      </c>
      <c r="G12" s="2" t="s">
        <v>417</v>
      </c>
      <c r="H12" s="2" t="s">
        <v>801</v>
      </c>
      <c r="I12" s="2" t="s">
        <v>418</v>
      </c>
      <c r="J12" s="2">
        <v>5</v>
      </c>
      <c r="K12" s="2">
        <v>3</v>
      </c>
      <c r="L12" s="2">
        <v>3</v>
      </c>
      <c r="M12" s="2">
        <f>IF(A12="","",COUNTIF(Страницы_и_экраны!$E$5:$E$17,A12))</f>
        <v>2</v>
      </c>
      <c r="N12" s="2" t="str">
        <f t="shared" si="0"/>
        <v>Покрыт</v>
      </c>
      <c r="O12" s="2">
        <f t="shared" si="1"/>
        <v>54</v>
      </c>
      <c r="P12" s="2"/>
      <c r="Q12" s="2"/>
      <c r="R12" s="2"/>
      <c r="S12" s="2"/>
      <c r="T12" s="2"/>
      <c r="U12" s="2"/>
    </row>
    <row r="13" spans="1:21">
      <c r="A13" s="2" t="s">
        <v>419</v>
      </c>
      <c r="B13" s="2" t="s">
        <v>40</v>
      </c>
      <c r="C13" s="2" t="s">
        <v>420</v>
      </c>
      <c r="D13" s="2" t="s">
        <v>421</v>
      </c>
      <c r="E13" s="2" t="s">
        <v>422</v>
      </c>
      <c r="F13" s="2" t="s">
        <v>423</v>
      </c>
      <c r="G13" s="2" t="s">
        <v>424</v>
      </c>
      <c r="H13" s="2" t="s">
        <v>425</v>
      </c>
      <c r="I13" s="2" t="s">
        <v>426</v>
      </c>
      <c r="J13" s="2">
        <v>4</v>
      </c>
      <c r="K13" s="2">
        <v>4</v>
      </c>
      <c r="L13" s="2">
        <v>3</v>
      </c>
      <c r="M13" s="2">
        <f>IF(A13="","",COUNTIF(Страницы_и_экраны!$E$5:$E$17,A13))</f>
        <v>1</v>
      </c>
      <c r="N13" s="2" t="str">
        <f t="shared" si="0"/>
        <v>Покрыт</v>
      </c>
      <c r="O13" s="2">
        <f t="shared" si="1"/>
        <v>52</v>
      </c>
      <c r="P13" s="2"/>
      <c r="Q13" s="2"/>
      <c r="R13" s="2"/>
      <c r="S13" s="2"/>
      <c r="T13" s="2"/>
      <c r="U13" s="2"/>
    </row>
    <row r="14" spans="1:21">
      <c r="A14" s="2" t="s">
        <v>427</v>
      </c>
      <c r="B14" s="2" t="s">
        <v>303</v>
      </c>
      <c r="C14" s="2" t="s">
        <v>420</v>
      </c>
      <c r="D14" s="2" t="s">
        <v>428</v>
      </c>
      <c r="E14" s="2" t="s">
        <v>429</v>
      </c>
      <c r="F14" s="2" t="s">
        <v>430</v>
      </c>
      <c r="G14" s="2" t="s">
        <v>424</v>
      </c>
      <c r="H14" s="2" t="s">
        <v>431</v>
      </c>
      <c r="I14" s="2" t="s">
        <v>432</v>
      </c>
      <c r="J14" s="2">
        <v>3</v>
      </c>
      <c r="K14" s="2">
        <v>3</v>
      </c>
      <c r="L14" s="2">
        <v>2</v>
      </c>
      <c r="M14" s="2">
        <f>IF(A14="","",COUNTIF(Страницы_и_экраны!$E$5:$E$17,A14))</f>
        <v>1</v>
      </c>
      <c r="N14" s="2" t="str">
        <f t="shared" si="0"/>
        <v>Покрыт</v>
      </c>
      <c r="O14" s="2">
        <f t="shared" si="1"/>
        <v>40</v>
      </c>
      <c r="P14" s="2"/>
      <c r="Q14" s="2"/>
      <c r="R14" s="2"/>
      <c r="S14" s="2"/>
      <c r="T14" s="2"/>
      <c r="U14" s="2"/>
    </row>
  </sheetData>
  <mergeCells count="2">
    <mergeCell ref="A1:O1"/>
    <mergeCell ref="A2:O2"/>
  </mergeCells>
  <conditionalFormatting sqref="N5:N14">
    <cfRule type="expression" dxfId="5" priority="1">
      <formula>N5="Нет страницы/экрана"</formula>
    </cfRule>
    <cfRule type="expression" dxfId="4" priority="2">
      <formula>N5="Покрыт"</formula>
    </cfRule>
  </conditionalFormatting>
  <dataValidations count="2">
    <dataValidation type="list" sqref="C5:C14" xr:uid="{00000000-0002-0000-0300-000000000000}">
      <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formula1>
    </dataValidation>
    <dataValidation type="list" sqref="J5:L14" xr:uid="{00000000-0002-0000-03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7"/>
  <sheetViews>
    <sheetView workbookViewId="0">
      <selection activeCell="D27" sqref="D27"/>
    </sheetView>
  </sheetViews>
  <sheetFormatPr defaultRowHeight="14.25"/>
  <cols>
    <col min="1" max="1" width="17.125" customWidth="1"/>
    <col min="2" max="2" width="18" customWidth="1"/>
    <col min="3" max="3" width="32.625" customWidth="1"/>
    <col min="4" max="4" width="55.625" customWidth="1"/>
    <col min="5" max="5" width="23.625" customWidth="1"/>
    <col min="6" max="6" width="12" customWidth="1"/>
    <col min="7" max="7" width="27.625" customWidth="1"/>
    <col min="8" max="8" width="34.625" customWidth="1"/>
    <col min="9" max="9" width="41.625" customWidth="1"/>
    <col min="10" max="10" width="55.625" customWidth="1"/>
    <col min="11" max="11" width="54.625" customWidth="1"/>
    <col min="12" max="12" width="55.625" customWidth="1"/>
    <col min="13" max="13" width="54.625" customWidth="1"/>
    <col min="14" max="14" width="32.625" customWidth="1"/>
    <col min="15" max="15" width="18.625" customWidth="1"/>
    <col min="16" max="16" width="27.625" customWidth="1"/>
    <col min="17" max="17" width="18.625" customWidth="1"/>
    <col min="18" max="18" width="22" customWidth="1"/>
    <col min="19" max="19" width="20.625" customWidth="1"/>
    <col min="20" max="20" width="17.625" customWidth="1"/>
    <col min="21" max="21" width="24" customWidth="1"/>
  </cols>
  <sheetData>
    <row r="1" spans="1:21" ht="20.25">
      <c r="A1" s="11" t="s">
        <v>74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ht="15" customHeight="1">
      <c r="A2" s="12" t="s">
        <v>781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0">
      <c r="A4" s="3" t="s">
        <v>75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43</v>
      </c>
      <c r="G4" s="3" t="s">
        <v>58</v>
      </c>
      <c r="H4" s="3" t="s">
        <v>80</v>
      </c>
      <c r="I4" s="3" t="s">
        <v>81</v>
      </c>
      <c r="J4" s="3" t="s">
        <v>82</v>
      </c>
      <c r="K4" s="3" t="s">
        <v>63</v>
      </c>
      <c r="L4" s="3" t="s">
        <v>83</v>
      </c>
      <c r="M4" s="3" t="s">
        <v>84</v>
      </c>
      <c r="N4" s="3" t="s">
        <v>85</v>
      </c>
      <c r="O4" s="3" t="s">
        <v>86</v>
      </c>
      <c r="P4" s="3" t="s">
        <v>87</v>
      </c>
      <c r="Q4" s="3" t="s">
        <v>88</v>
      </c>
      <c r="R4" s="3" t="s">
        <v>89</v>
      </c>
      <c r="S4" s="3" t="s">
        <v>90</v>
      </c>
      <c r="T4" s="3" t="s">
        <v>91</v>
      </c>
      <c r="U4" s="3" t="s">
        <v>92</v>
      </c>
    </row>
    <row r="5" spans="1:21" ht="28.5">
      <c r="A5" s="2" t="s">
        <v>93</v>
      </c>
      <c r="B5" s="2" t="s">
        <v>94</v>
      </c>
      <c r="C5" s="2" t="s">
        <v>95</v>
      </c>
      <c r="D5" s="2" t="s">
        <v>433</v>
      </c>
      <c r="E5" s="2" t="s">
        <v>41</v>
      </c>
      <c r="F5" s="2" t="s">
        <v>36</v>
      </c>
      <c r="G5" s="2" t="s">
        <v>370</v>
      </c>
      <c r="H5" s="2" t="s">
        <v>434</v>
      </c>
      <c r="I5" s="2" t="s">
        <v>435</v>
      </c>
      <c r="J5" s="2" t="s">
        <v>436</v>
      </c>
      <c r="K5" s="2" t="s">
        <v>437</v>
      </c>
      <c r="L5" s="2" t="s">
        <v>438</v>
      </c>
      <c r="M5" s="2" t="s">
        <v>439</v>
      </c>
      <c r="N5" s="2" t="s">
        <v>440</v>
      </c>
      <c r="O5" s="2" t="s">
        <v>96</v>
      </c>
      <c r="P5" s="2" t="s">
        <v>441</v>
      </c>
      <c r="Q5" s="2">
        <f>IF(A5="","",IFERROR(INDEX(Пользовательские_сценарии!$O$5:$O$14,MATCH(E5,Пользовательские_сценарии!$A$5:$A$14,0)),0))</f>
        <v>56</v>
      </c>
      <c r="R5" s="2" t="s">
        <v>442</v>
      </c>
      <c r="S5" s="2">
        <v>4</v>
      </c>
      <c r="T5" s="4">
        <f t="shared" ref="T5:T17" si="0">IF(A5="","",ROUND(COUNTA(D5:P5)/13,2))</f>
        <v>1</v>
      </c>
      <c r="U5" s="2" t="s">
        <v>99</v>
      </c>
    </row>
    <row r="6" spans="1:21" ht="28.5">
      <c r="A6" s="2" t="s">
        <v>100</v>
      </c>
      <c r="B6" s="2" t="s">
        <v>94</v>
      </c>
      <c r="C6" s="2" t="s">
        <v>443</v>
      </c>
      <c r="D6" s="2" t="s">
        <v>444</v>
      </c>
      <c r="E6" s="2" t="s">
        <v>72</v>
      </c>
      <c r="F6" s="2" t="s">
        <v>36</v>
      </c>
      <c r="G6" s="2" t="s">
        <v>445</v>
      </c>
      <c r="H6" s="2" t="s">
        <v>446</v>
      </c>
      <c r="I6" s="2" t="s">
        <v>447</v>
      </c>
      <c r="J6" s="2" t="s">
        <v>448</v>
      </c>
      <c r="K6" s="2" t="s">
        <v>449</v>
      </c>
      <c r="L6" s="2" t="s">
        <v>450</v>
      </c>
      <c r="M6" s="2" t="s">
        <v>451</v>
      </c>
      <c r="N6" s="2" t="s">
        <v>440</v>
      </c>
      <c r="O6" s="2" t="s">
        <v>96</v>
      </c>
      <c r="P6" s="2" t="s">
        <v>441</v>
      </c>
      <c r="Q6" s="2">
        <f>IF(A6="","",IFERROR(INDEX(Пользовательские_сценарии!$O$5:$O$14,MATCH(E6,Пользовательские_сценарии!$A$5:$A$14,0)),0))</f>
        <v>56</v>
      </c>
      <c r="R6" s="2" t="s">
        <v>442</v>
      </c>
      <c r="S6" s="2">
        <v>4</v>
      </c>
      <c r="T6" s="4">
        <f t="shared" si="0"/>
        <v>1</v>
      </c>
      <c r="U6" s="2" t="s">
        <v>99</v>
      </c>
    </row>
    <row r="7" spans="1:21">
      <c r="A7" s="2" t="s">
        <v>452</v>
      </c>
      <c r="B7" s="2" t="s">
        <v>94</v>
      </c>
      <c r="C7" s="2" t="s">
        <v>453</v>
      </c>
      <c r="D7" s="2" t="s">
        <v>454</v>
      </c>
      <c r="E7" s="2" t="s">
        <v>72</v>
      </c>
      <c r="F7" s="2" t="s">
        <v>36</v>
      </c>
      <c r="G7" s="2" t="s">
        <v>383</v>
      </c>
      <c r="H7" s="2" t="s">
        <v>455</v>
      </c>
      <c r="I7" s="2" t="s">
        <v>456</v>
      </c>
      <c r="J7" s="2" t="s">
        <v>457</v>
      </c>
      <c r="K7" s="2" t="s">
        <v>762</v>
      </c>
      <c r="L7" s="2" t="s">
        <v>458</v>
      </c>
      <c r="M7" s="2" t="s">
        <v>459</v>
      </c>
      <c r="N7" s="2" t="s">
        <v>460</v>
      </c>
      <c r="O7" s="2" t="s">
        <v>96</v>
      </c>
      <c r="P7" s="2" t="s">
        <v>97</v>
      </c>
      <c r="Q7" s="2">
        <f>IF(A7="","",IFERROR(INDEX(Пользовательские_сценарии!$O$5:$O$14,MATCH(E7,Пользовательские_сценарии!$A$5:$A$14,0)),0))</f>
        <v>56</v>
      </c>
      <c r="R7" s="2" t="s">
        <v>442</v>
      </c>
      <c r="S7" s="2">
        <v>4</v>
      </c>
      <c r="T7" s="4">
        <f t="shared" si="0"/>
        <v>1</v>
      </c>
      <c r="U7" s="2" t="s">
        <v>99</v>
      </c>
    </row>
    <row r="8" spans="1:21">
      <c r="A8" s="2" t="s">
        <v>461</v>
      </c>
      <c r="B8" s="2" t="s">
        <v>94</v>
      </c>
      <c r="C8" s="2" t="s">
        <v>462</v>
      </c>
      <c r="D8" s="2" t="s">
        <v>463</v>
      </c>
      <c r="E8" s="2" t="s">
        <v>427</v>
      </c>
      <c r="F8" s="2" t="s">
        <v>303</v>
      </c>
      <c r="G8" s="2" t="s">
        <v>420</v>
      </c>
      <c r="H8" s="2" t="s">
        <v>464</v>
      </c>
      <c r="I8" s="2" t="s">
        <v>465</v>
      </c>
      <c r="J8" s="2" t="s">
        <v>466</v>
      </c>
      <c r="K8" s="2" t="s">
        <v>467</v>
      </c>
      <c r="L8" s="2" t="s">
        <v>468</v>
      </c>
      <c r="M8" s="2" t="s">
        <v>469</v>
      </c>
      <c r="N8" s="2" t="s">
        <v>470</v>
      </c>
      <c r="O8" s="2" t="s">
        <v>96</v>
      </c>
      <c r="P8" s="2" t="s">
        <v>441</v>
      </c>
      <c r="Q8" s="2">
        <f>IF(A8="","",IFERROR(INDEX(Пользовательские_сценарии!$O$5:$O$14,MATCH(E8,Пользовательские_сценарии!$A$5:$A$14,0)),0))</f>
        <v>40</v>
      </c>
      <c r="R8" s="2" t="s">
        <v>442</v>
      </c>
      <c r="S8" s="2">
        <v>3</v>
      </c>
      <c r="T8" s="4">
        <f t="shared" si="0"/>
        <v>1</v>
      </c>
      <c r="U8" s="2" t="s">
        <v>99</v>
      </c>
    </row>
    <row r="9" spans="1:21">
      <c r="A9" s="2" t="s">
        <v>471</v>
      </c>
      <c r="B9" s="2" t="s">
        <v>94</v>
      </c>
      <c r="C9" s="2" t="s">
        <v>472</v>
      </c>
      <c r="D9" s="2" t="s">
        <v>473</v>
      </c>
      <c r="E9" s="2" t="s">
        <v>37</v>
      </c>
      <c r="F9" s="2" t="s">
        <v>40</v>
      </c>
      <c r="G9" s="2" t="s">
        <v>383</v>
      </c>
      <c r="H9" s="2" t="s">
        <v>474</v>
      </c>
      <c r="I9" s="2" t="s">
        <v>475</v>
      </c>
      <c r="J9" s="2" t="s">
        <v>476</v>
      </c>
      <c r="K9" s="2" t="s">
        <v>388</v>
      </c>
      <c r="L9" s="2" t="s">
        <v>477</v>
      </c>
      <c r="M9" s="2" t="s">
        <v>478</v>
      </c>
      <c r="N9" s="2" t="s">
        <v>479</v>
      </c>
      <c r="O9" s="2" t="s">
        <v>96</v>
      </c>
      <c r="P9" s="2" t="s">
        <v>441</v>
      </c>
      <c r="Q9" s="2">
        <f>IF(A9="","",IFERROR(INDEX(Пользовательские_сценарии!$O$5:$O$14,MATCH(E9,Пользовательские_сценарии!$A$5:$A$14,0)),0))</f>
        <v>56</v>
      </c>
      <c r="R9" s="2" t="s">
        <v>442</v>
      </c>
      <c r="S9" s="2">
        <v>4</v>
      </c>
      <c r="T9" s="4">
        <f t="shared" si="0"/>
        <v>1</v>
      </c>
      <c r="U9" s="2" t="s">
        <v>99</v>
      </c>
    </row>
    <row r="10" spans="1:21">
      <c r="A10" s="2" t="s">
        <v>480</v>
      </c>
      <c r="B10" s="2" t="s">
        <v>94</v>
      </c>
      <c r="C10" s="2" t="s">
        <v>481</v>
      </c>
      <c r="D10" s="2" t="s">
        <v>482</v>
      </c>
      <c r="E10" s="2" t="s">
        <v>326</v>
      </c>
      <c r="F10" s="2" t="s">
        <v>325</v>
      </c>
      <c r="G10" s="2" t="s">
        <v>414</v>
      </c>
      <c r="H10" s="2" t="s">
        <v>483</v>
      </c>
      <c r="I10" s="2" t="s">
        <v>484</v>
      </c>
      <c r="J10" s="2" t="s">
        <v>485</v>
      </c>
      <c r="K10" s="2" t="s">
        <v>802</v>
      </c>
      <c r="L10" s="2" t="s">
        <v>803</v>
      </c>
      <c r="M10" s="2" t="s">
        <v>486</v>
      </c>
      <c r="N10" s="2" t="s">
        <v>487</v>
      </c>
      <c r="O10" s="2" t="s">
        <v>232</v>
      </c>
      <c r="P10" s="2" t="s">
        <v>488</v>
      </c>
      <c r="Q10" s="2">
        <f>IF(A10="","",IFERROR(INDEX(Пользовательские_сценарии!$O$5:$O$14,MATCH(E10,Пользовательские_сценарии!$A$5:$A$14,0)),0))</f>
        <v>54</v>
      </c>
      <c r="R10" s="2" t="s">
        <v>98</v>
      </c>
      <c r="S10" s="2">
        <v>3</v>
      </c>
      <c r="T10" s="4">
        <f t="shared" si="0"/>
        <v>1</v>
      </c>
      <c r="U10" s="2" t="s">
        <v>251</v>
      </c>
    </row>
    <row r="11" spans="1:21">
      <c r="A11" s="2" t="s">
        <v>489</v>
      </c>
      <c r="B11" s="2" t="s">
        <v>101</v>
      </c>
      <c r="C11" s="2" t="s">
        <v>490</v>
      </c>
      <c r="D11" s="2" t="s">
        <v>491</v>
      </c>
      <c r="E11" s="2" t="s">
        <v>304</v>
      </c>
      <c r="F11" s="2" t="s">
        <v>40</v>
      </c>
      <c r="G11" s="2" t="s">
        <v>391</v>
      </c>
      <c r="H11" s="2" t="s">
        <v>492</v>
      </c>
      <c r="I11" s="2" t="s">
        <v>493</v>
      </c>
      <c r="J11" s="2" t="s">
        <v>494</v>
      </c>
      <c r="K11" s="2" t="s">
        <v>495</v>
      </c>
      <c r="L11" s="2" t="s">
        <v>496</v>
      </c>
      <c r="M11" s="2" t="s">
        <v>497</v>
      </c>
      <c r="N11" s="2" t="s">
        <v>498</v>
      </c>
      <c r="O11" s="2" t="s">
        <v>232</v>
      </c>
      <c r="P11" s="2" t="s">
        <v>441</v>
      </c>
      <c r="Q11" s="2">
        <f>IF(A11="","",IFERROR(INDEX(Пользовательские_сценарии!$O$5:$O$14,MATCH(E11,Пользовательские_сценарии!$A$5:$A$14,0)),0))</f>
        <v>50</v>
      </c>
      <c r="R11" s="2" t="s">
        <v>442</v>
      </c>
      <c r="S11" s="2">
        <v>4</v>
      </c>
      <c r="T11" s="4">
        <f t="shared" si="0"/>
        <v>1</v>
      </c>
      <c r="U11" s="2" t="s">
        <v>99</v>
      </c>
    </row>
    <row r="12" spans="1:21">
      <c r="A12" s="2" t="s">
        <v>499</v>
      </c>
      <c r="B12" s="2" t="s">
        <v>101</v>
      </c>
      <c r="C12" s="2" t="s">
        <v>500</v>
      </c>
      <c r="D12" s="2" t="s">
        <v>501</v>
      </c>
      <c r="E12" s="2" t="s">
        <v>390</v>
      </c>
      <c r="F12" s="2" t="s">
        <v>40</v>
      </c>
      <c r="G12" s="2" t="s">
        <v>391</v>
      </c>
      <c r="H12" s="2" t="s">
        <v>502</v>
      </c>
      <c r="I12" s="2" t="s">
        <v>503</v>
      </c>
      <c r="J12" s="2" t="s">
        <v>504</v>
      </c>
      <c r="K12" s="2" t="s">
        <v>396</v>
      </c>
      <c r="L12" s="2" t="s">
        <v>505</v>
      </c>
      <c r="M12" s="2" t="s">
        <v>506</v>
      </c>
      <c r="N12" s="2" t="s">
        <v>507</v>
      </c>
      <c r="O12" s="2" t="s">
        <v>232</v>
      </c>
      <c r="P12" s="2" t="s">
        <v>508</v>
      </c>
      <c r="Q12" s="2">
        <f>IF(A12="","",IFERROR(INDEX(Пользовательские_сценарии!$O$5:$O$14,MATCH(E12,Пользовательские_сценарии!$A$5:$A$14,0)),0))</f>
        <v>64</v>
      </c>
      <c r="R12" s="2" t="s">
        <v>442</v>
      </c>
      <c r="S12" s="2">
        <v>4</v>
      </c>
      <c r="T12" s="4">
        <f t="shared" si="0"/>
        <v>1</v>
      </c>
      <c r="U12" s="2" t="s">
        <v>99</v>
      </c>
    </row>
    <row r="13" spans="1:21">
      <c r="A13" s="2" t="s">
        <v>509</v>
      </c>
      <c r="B13" s="2" t="s">
        <v>101</v>
      </c>
      <c r="C13" s="2" t="s">
        <v>510</v>
      </c>
      <c r="D13" s="2" t="s">
        <v>511</v>
      </c>
      <c r="E13" s="2" t="s">
        <v>341</v>
      </c>
      <c r="F13" s="2" t="s">
        <v>40</v>
      </c>
      <c r="G13" s="2" t="s">
        <v>391</v>
      </c>
      <c r="H13" s="2" t="s">
        <v>512</v>
      </c>
      <c r="I13" s="2" t="s">
        <v>513</v>
      </c>
      <c r="J13" s="2" t="s">
        <v>514</v>
      </c>
      <c r="K13" s="2" t="s">
        <v>407</v>
      </c>
      <c r="L13" s="2" t="s">
        <v>515</v>
      </c>
      <c r="M13" s="2" t="s">
        <v>516</v>
      </c>
      <c r="N13" s="2" t="s">
        <v>517</v>
      </c>
      <c r="O13" s="2" t="s">
        <v>232</v>
      </c>
      <c r="P13" s="2" t="s">
        <v>518</v>
      </c>
      <c r="Q13" s="2">
        <f>IF(A13="","",IFERROR(INDEX(Пользовательские_сценарии!$O$5:$O$14,MATCH(E13,Пользовательские_сценарии!$A$5:$A$14,0)),0))</f>
        <v>72</v>
      </c>
      <c r="R13" s="2" t="s">
        <v>442</v>
      </c>
      <c r="S13" s="2">
        <v>5</v>
      </c>
      <c r="T13" s="4">
        <f t="shared" si="0"/>
        <v>1</v>
      </c>
      <c r="U13" s="2" t="s">
        <v>99</v>
      </c>
    </row>
    <row r="14" spans="1:21">
      <c r="A14" s="2" t="s">
        <v>519</v>
      </c>
      <c r="B14" s="2" t="s">
        <v>101</v>
      </c>
      <c r="C14" s="2" t="s">
        <v>520</v>
      </c>
      <c r="D14" s="2" t="s">
        <v>804</v>
      </c>
      <c r="E14" s="2" t="s">
        <v>408</v>
      </c>
      <c r="F14" s="2" t="s">
        <v>303</v>
      </c>
      <c r="G14" s="2" t="s">
        <v>409</v>
      </c>
      <c r="H14" s="2" t="s">
        <v>805</v>
      </c>
      <c r="I14" s="2" t="s">
        <v>521</v>
      </c>
      <c r="J14" s="2" t="s">
        <v>522</v>
      </c>
      <c r="K14" s="2" t="s">
        <v>523</v>
      </c>
      <c r="L14" s="2" t="s">
        <v>524</v>
      </c>
      <c r="M14" s="2" t="s">
        <v>525</v>
      </c>
      <c r="N14" s="2" t="s">
        <v>526</v>
      </c>
      <c r="O14" s="2" t="s">
        <v>232</v>
      </c>
      <c r="P14" s="2" t="s">
        <v>441</v>
      </c>
      <c r="Q14" s="2">
        <f>IF(A14="","",IFERROR(INDEX(Пользовательские_сценарии!$O$5:$O$14,MATCH(E14,Пользовательские_сценарии!$A$5:$A$14,0)),0))</f>
        <v>52</v>
      </c>
      <c r="R14" s="2" t="s">
        <v>442</v>
      </c>
      <c r="S14" s="2">
        <v>3</v>
      </c>
      <c r="T14" s="4">
        <f t="shared" si="0"/>
        <v>1</v>
      </c>
      <c r="U14" s="2" t="s">
        <v>99</v>
      </c>
    </row>
    <row r="15" spans="1:21" ht="28.5">
      <c r="A15" s="2" t="s">
        <v>527</v>
      </c>
      <c r="B15" s="2" t="s">
        <v>101</v>
      </c>
      <c r="C15" s="2" t="s">
        <v>528</v>
      </c>
      <c r="D15" s="2" t="s">
        <v>529</v>
      </c>
      <c r="E15" s="2" t="s">
        <v>419</v>
      </c>
      <c r="F15" s="2" t="s">
        <v>40</v>
      </c>
      <c r="G15" s="2" t="s">
        <v>420</v>
      </c>
      <c r="H15" s="2" t="s">
        <v>530</v>
      </c>
      <c r="I15" s="2" t="s">
        <v>531</v>
      </c>
      <c r="J15" s="2" t="s">
        <v>532</v>
      </c>
      <c r="K15" s="2" t="s">
        <v>425</v>
      </c>
      <c r="L15" s="2" t="s">
        <v>533</v>
      </c>
      <c r="M15" s="2" t="s">
        <v>534</v>
      </c>
      <c r="N15" s="2" t="s">
        <v>535</v>
      </c>
      <c r="O15" s="2" t="s">
        <v>232</v>
      </c>
      <c r="P15" s="2" t="s">
        <v>441</v>
      </c>
      <c r="Q15" s="2">
        <f>IF(A15="","",IFERROR(INDEX(Пользовательские_сценарии!$O$5:$O$14,MATCH(E15,Пользовательские_сценарии!$A$5:$A$14,0)),0))</f>
        <v>52</v>
      </c>
      <c r="R15" s="2" t="s">
        <v>536</v>
      </c>
      <c r="S15" s="2">
        <v>2</v>
      </c>
      <c r="T15" s="4">
        <f t="shared" si="0"/>
        <v>1</v>
      </c>
      <c r="U15" s="2" t="s">
        <v>268</v>
      </c>
    </row>
    <row r="16" spans="1:21">
      <c r="A16" s="2" t="s">
        <v>537</v>
      </c>
      <c r="B16" s="2" t="s">
        <v>101</v>
      </c>
      <c r="C16" s="2" t="s">
        <v>538</v>
      </c>
      <c r="D16" s="2" t="s">
        <v>539</v>
      </c>
      <c r="E16" s="2" t="s">
        <v>326</v>
      </c>
      <c r="F16" s="2" t="s">
        <v>325</v>
      </c>
      <c r="G16" s="2" t="s">
        <v>414</v>
      </c>
      <c r="H16" s="2" t="s">
        <v>540</v>
      </c>
      <c r="I16" s="2" t="s">
        <v>541</v>
      </c>
      <c r="J16" s="2" t="s">
        <v>112</v>
      </c>
      <c r="K16" s="2" t="s">
        <v>542</v>
      </c>
      <c r="L16" s="2" t="s">
        <v>543</v>
      </c>
      <c r="M16" s="2" t="s">
        <v>806</v>
      </c>
      <c r="N16" s="2" t="s">
        <v>544</v>
      </c>
      <c r="O16" s="2" t="s">
        <v>232</v>
      </c>
      <c r="P16" s="2" t="s">
        <v>488</v>
      </c>
      <c r="Q16" s="2">
        <f>IF(A16="","",IFERROR(INDEX(Пользовательские_сценарии!$O$5:$O$14,MATCH(E16,Пользовательские_сценарии!$A$5:$A$14,0)),0))</f>
        <v>54</v>
      </c>
      <c r="R16" s="2" t="s">
        <v>442</v>
      </c>
      <c r="S16" s="2">
        <v>3</v>
      </c>
      <c r="T16" s="4">
        <f t="shared" si="0"/>
        <v>1</v>
      </c>
      <c r="U16" s="2" t="s">
        <v>99</v>
      </c>
    </row>
    <row r="17" spans="1:21" ht="28.5">
      <c r="A17" s="2" t="s">
        <v>545</v>
      </c>
      <c r="B17" s="2" t="s">
        <v>101</v>
      </c>
      <c r="C17" s="2" t="s">
        <v>546</v>
      </c>
      <c r="D17" s="2" t="s">
        <v>547</v>
      </c>
      <c r="E17" s="2" t="s">
        <v>390</v>
      </c>
      <c r="F17" s="2" t="s">
        <v>40</v>
      </c>
      <c r="G17" s="2" t="s">
        <v>391</v>
      </c>
      <c r="H17" s="2" t="s">
        <v>548</v>
      </c>
      <c r="I17" s="2" t="s">
        <v>549</v>
      </c>
      <c r="J17" s="2" t="s">
        <v>550</v>
      </c>
      <c r="K17" s="2" t="s">
        <v>551</v>
      </c>
      <c r="L17" s="2" t="s">
        <v>552</v>
      </c>
      <c r="M17" s="2" t="s">
        <v>553</v>
      </c>
      <c r="N17" s="2" t="s">
        <v>554</v>
      </c>
      <c r="O17" s="2" t="s">
        <v>232</v>
      </c>
      <c r="P17" s="2" t="s">
        <v>555</v>
      </c>
      <c r="Q17" s="2">
        <f>IF(A17="","",IFERROR(INDEX(Пользовательские_сценарии!$O$5:$O$14,MATCH(E17,Пользовательские_сценарии!$A$5:$A$14,0)),0))</f>
        <v>64</v>
      </c>
      <c r="R17" s="2" t="s">
        <v>536</v>
      </c>
      <c r="S17" s="2">
        <v>3</v>
      </c>
      <c r="T17" s="4">
        <f t="shared" si="0"/>
        <v>1</v>
      </c>
      <c r="U17" s="2" t="s">
        <v>268</v>
      </c>
    </row>
  </sheetData>
  <mergeCells count="2">
    <mergeCell ref="A1:U1"/>
    <mergeCell ref="A2:U2"/>
  </mergeCells>
  <conditionalFormatting sqref="Q5:Q17">
    <cfRule type="dataBar" priority="4">
      <dataBar>
        <cfvo type="min"/>
        <cfvo type="max"/>
        <color rgb="FF2F6F7E"/>
      </dataBar>
    </cfRule>
    <cfRule type="dataBar" priority="5">
      <dataBar>
        <cfvo type="min"/>
        <cfvo type="max"/>
        <color rgb="FF2F6F7E"/>
      </dataBar>
      <extLst>
        <ext xmlns:x14="http://schemas.microsoft.com/office/spreadsheetml/2009/9/main" uri="{B025F937-C7B1-47D3-B67F-A62EFF666E3E}">
          <x14:id>{21CE02E6-C0DD-F449-044B-0E47682D18CD}</x14:id>
        </ext>
      </extLst>
    </cfRule>
  </conditionalFormatting>
  <conditionalFormatting sqref="T5:T17">
    <cfRule type="colorScale" priority="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7">
    <dataValidation type="list" sqref="B5:B17" xr:uid="{00000000-0002-0000-0400-000000000000}">
      <formula1>"Страница сайта,Экран приложения,Общий модуль,Системное состояние,Форма,Личный кабинет,Платежный экран"</formula1>
    </dataValidation>
    <dataValidation type="list" sqref="G5:G17" xr:uid="{00000000-0002-0000-0400-000001000000}">
      <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formula1>
    </dataValidation>
    <dataValidation type="list" sqref="O5:O17" xr:uid="{00000000-0002-0000-0400-000002000000}">
      <formula1>"Да,Нет,Частично"</formula1>
    </dataValidation>
    <dataValidation type="list" sqref="P5:P17" xr:uid="{00000000-0002-0000-0400-000003000000}">
      <formula1>"Прямое получение оплаты,Подведение к оплате,Удержание,Повышение ценности тарифа,Снижение затрат,Не связана напрямую"</formula1>
    </dataValidation>
    <dataValidation type="list" sqref="R5:R17" xr:uid="{00000000-0002-0000-0400-000004000000}">
      <formula1>"Не начато,Требует уточнения,В проектировании,В прототипе,Готово к ТЗ,Исключено"</formula1>
    </dataValidation>
    <dataValidation type="list" sqref="S5:S17" xr:uid="{00000000-0002-0000-0400-000005000000}">
      <formula1>"1,2,3,4,5"</formula1>
    </dataValidation>
    <dataValidation type="list" sqref="U5:U17" xr:uid="{00000000-0002-0000-0400-000006000000}">
      <formula1>"Оставить,Объединить,Разделить,Уточнить,Исключить,Перенести в следующий выпуск"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CE02E6-C0DD-F449-044B-0E47682D18CD}">
            <x14:dataBar>
              <x14:cfvo type="min"/>
              <x14:cfvo type="max"/>
              <x14:negativeFillColor auto="1"/>
              <x14:axisColor auto="1"/>
            </x14:dataBar>
          </x14:cfRule>
          <xm:sqref>Q5:Q17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2"/>
  <sheetViews>
    <sheetView workbookViewId="0">
      <selection activeCell="H29" sqref="H29"/>
    </sheetView>
  </sheetViews>
  <sheetFormatPr defaultRowHeight="14.25"/>
  <cols>
    <col min="1" max="1" width="18.125" customWidth="1"/>
    <col min="2" max="2" width="14" customWidth="1"/>
    <col min="3" max="3" width="12" customWidth="1"/>
    <col min="4" max="4" width="20" customWidth="1"/>
    <col min="5" max="5" width="26" customWidth="1"/>
    <col min="6" max="7" width="19.625" customWidth="1"/>
    <col min="8" max="8" width="18.625" customWidth="1"/>
    <col min="9" max="9" width="55.625" customWidth="1"/>
    <col min="10" max="21" width="9.625" customWidth="1"/>
  </cols>
  <sheetData>
    <row r="1" spans="1:21" ht="20.25">
      <c r="A1" s="11" t="s">
        <v>104</v>
      </c>
      <c r="B1" s="11"/>
      <c r="C1" s="11"/>
      <c r="D1" s="11"/>
      <c r="E1" s="11"/>
      <c r="F1" s="11"/>
      <c r="G1" s="11"/>
      <c r="H1" s="11"/>
      <c r="I1" s="1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" customHeight="1">
      <c r="A2" s="12" t="s">
        <v>782</v>
      </c>
      <c r="B2" s="12"/>
      <c r="C2" s="12"/>
      <c r="D2" s="12"/>
      <c r="E2" s="12"/>
      <c r="F2" s="12"/>
      <c r="G2" s="12"/>
      <c r="H2" s="12"/>
      <c r="I2" s="1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0">
      <c r="A4" s="3" t="s">
        <v>105</v>
      </c>
      <c r="B4" s="3" t="s">
        <v>57</v>
      </c>
      <c r="C4" s="3" t="s">
        <v>75</v>
      </c>
      <c r="D4" s="3" t="s">
        <v>106</v>
      </c>
      <c r="E4" s="3" t="s">
        <v>107</v>
      </c>
      <c r="F4" s="3" t="s">
        <v>108</v>
      </c>
      <c r="G4" s="3" t="s">
        <v>109</v>
      </c>
      <c r="H4" s="3" t="s">
        <v>110</v>
      </c>
      <c r="I4" s="3" t="s">
        <v>111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112</v>
      </c>
      <c r="B5" s="2" t="s">
        <v>41</v>
      </c>
      <c r="C5" s="2" t="s">
        <v>93</v>
      </c>
      <c r="D5" s="2" t="s">
        <v>127</v>
      </c>
      <c r="E5" s="2" t="s">
        <v>556</v>
      </c>
      <c r="F5" s="2">
        <v>1</v>
      </c>
      <c r="G5" s="2"/>
      <c r="H5" s="2" t="s">
        <v>100</v>
      </c>
      <c r="I5" s="2" t="s">
        <v>115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8.5">
      <c r="A6" s="2" t="s">
        <v>116</v>
      </c>
      <c r="B6" s="2" t="s">
        <v>41</v>
      </c>
      <c r="C6" s="2" t="s">
        <v>100</v>
      </c>
      <c r="D6" s="2" t="s">
        <v>557</v>
      </c>
      <c r="E6" s="2" t="s">
        <v>556</v>
      </c>
      <c r="F6" s="2">
        <v>2</v>
      </c>
      <c r="G6" s="2" t="s">
        <v>93</v>
      </c>
      <c r="H6" s="2"/>
      <c r="I6" s="2" t="s">
        <v>117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8.5">
      <c r="A7" s="2" t="s">
        <v>558</v>
      </c>
      <c r="B7" s="2" t="s">
        <v>72</v>
      </c>
      <c r="C7" s="2" t="s">
        <v>100</v>
      </c>
      <c r="D7" s="2" t="s">
        <v>127</v>
      </c>
      <c r="E7" s="2" t="s">
        <v>556</v>
      </c>
      <c r="F7" s="2">
        <v>1</v>
      </c>
      <c r="G7" s="2"/>
      <c r="H7" s="2" t="s">
        <v>452</v>
      </c>
      <c r="I7" s="2" t="s">
        <v>817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8.5">
      <c r="A8" s="2" t="s">
        <v>559</v>
      </c>
      <c r="B8" s="2" t="s">
        <v>72</v>
      </c>
      <c r="C8" s="2" t="s">
        <v>452</v>
      </c>
      <c r="D8" s="2" t="s">
        <v>557</v>
      </c>
      <c r="E8" s="2" t="s">
        <v>556</v>
      </c>
      <c r="F8" s="2">
        <v>2</v>
      </c>
      <c r="G8" s="2" t="s">
        <v>100</v>
      </c>
      <c r="H8" s="2"/>
      <c r="I8" s="2" t="s">
        <v>818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8.5">
      <c r="A9" s="2" t="s">
        <v>560</v>
      </c>
      <c r="B9" s="2" t="s">
        <v>37</v>
      </c>
      <c r="C9" s="2" t="s">
        <v>471</v>
      </c>
      <c r="D9" s="2" t="s">
        <v>127</v>
      </c>
      <c r="E9" s="2" t="s">
        <v>556</v>
      </c>
      <c r="F9" s="2">
        <v>1</v>
      </c>
      <c r="G9" s="2"/>
      <c r="H9" s="2" t="s">
        <v>489</v>
      </c>
      <c r="I9" s="2" t="s">
        <v>819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8.5">
      <c r="A10" s="2" t="s">
        <v>561</v>
      </c>
      <c r="B10" s="2" t="s">
        <v>37</v>
      </c>
      <c r="C10" s="2" t="s">
        <v>489</v>
      </c>
      <c r="D10" s="2" t="s">
        <v>557</v>
      </c>
      <c r="E10" s="2" t="s">
        <v>556</v>
      </c>
      <c r="F10" s="2">
        <v>2</v>
      </c>
      <c r="G10" s="2" t="s">
        <v>471</v>
      </c>
      <c r="H10" s="2"/>
      <c r="I10" s="2" t="s">
        <v>820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8.5">
      <c r="A11" s="2" t="s">
        <v>562</v>
      </c>
      <c r="B11" s="2" t="s">
        <v>390</v>
      </c>
      <c r="C11" s="2" t="s">
        <v>489</v>
      </c>
      <c r="D11" s="2" t="s">
        <v>127</v>
      </c>
      <c r="E11" s="2" t="s">
        <v>556</v>
      </c>
      <c r="F11" s="2">
        <v>1</v>
      </c>
      <c r="G11" s="2"/>
      <c r="H11" s="2" t="s">
        <v>499</v>
      </c>
      <c r="I11" s="2" t="s">
        <v>821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8.5">
      <c r="A12" s="2" t="s">
        <v>563</v>
      </c>
      <c r="B12" s="2" t="s">
        <v>390</v>
      </c>
      <c r="C12" s="2" t="s">
        <v>499</v>
      </c>
      <c r="D12" s="2" t="s">
        <v>557</v>
      </c>
      <c r="E12" s="2" t="s">
        <v>556</v>
      </c>
      <c r="F12" s="2">
        <v>2</v>
      </c>
      <c r="G12" s="2" t="s">
        <v>489</v>
      </c>
      <c r="H12" s="2" t="s">
        <v>545</v>
      </c>
      <c r="I12" s="2" t="s">
        <v>822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8.5">
      <c r="A13" s="2" t="s">
        <v>564</v>
      </c>
      <c r="B13" s="2" t="s">
        <v>390</v>
      </c>
      <c r="C13" s="2" t="s">
        <v>545</v>
      </c>
      <c r="D13" s="2" t="s">
        <v>557</v>
      </c>
      <c r="E13" s="2" t="s">
        <v>565</v>
      </c>
      <c r="F13" s="2">
        <v>3</v>
      </c>
      <c r="G13" s="2" t="s">
        <v>499</v>
      </c>
      <c r="H13" s="2"/>
      <c r="I13" s="2" t="s">
        <v>823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28.5">
      <c r="A14" s="2" t="s">
        <v>566</v>
      </c>
      <c r="B14" s="2" t="s">
        <v>304</v>
      </c>
      <c r="C14" s="2" t="s">
        <v>489</v>
      </c>
      <c r="D14" s="2" t="s">
        <v>127</v>
      </c>
      <c r="E14" s="2" t="s">
        <v>556</v>
      </c>
      <c r="F14" s="2">
        <v>1</v>
      </c>
      <c r="G14" s="2"/>
      <c r="H14" s="2" t="s">
        <v>499</v>
      </c>
      <c r="I14" s="2" t="s">
        <v>824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8.5">
      <c r="A15" s="2" t="s">
        <v>567</v>
      </c>
      <c r="B15" s="2" t="s">
        <v>304</v>
      </c>
      <c r="C15" s="2" t="s">
        <v>499</v>
      </c>
      <c r="D15" s="2" t="s">
        <v>557</v>
      </c>
      <c r="E15" s="2" t="s">
        <v>556</v>
      </c>
      <c r="F15" s="2">
        <v>2</v>
      </c>
      <c r="G15" s="2" t="s">
        <v>489</v>
      </c>
      <c r="H15" s="2"/>
      <c r="I15" s="2" t="s">
        <v>825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8.5">
      <c r="A16" s="2" t="s">
        <v>568</v>
      </c>
      <c r="B16" s="2" t="s">
        <v>341</v>
      </c>
      <c r="C16" s="2" t="s">
        <v>509</v>
      </c>
      <c r="D16" s="2" t="s">
        <v>127</v>
      </c>
      <c r="E16" s="2" t="s">
        <v>556</v>
      </c>
      <c r="F16" s="2">
        <v>1</v>
      </c>
      <c r="G16" s="2"/>
      <c r="H16" s="2"/>
      <c r="I16" s="2" t="s">
        <v>826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8.5">
      <c r="A17" s="2" t="s">
        <v>569</v>
      </c>
      <c r="B17" s="2" t="s">
        <v>408</v>
      </c>
      <c r="C17" s="2" t="s">
        <v>519</v>
      </c>
      <c r="D17" s="2" t="s">
        <v>127</v>
      </c>
      <c r="E17" s="2" t="s">
        <v>556</v>
      </c>
      <c r="F17" s="2">
        <v>1</v>
      </c>
      <c r="G17" s="2"/>
      <c r="H17" s="2"/>
      <c r="I17" s="2" t="s">
        <v>827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8.5">
      <c r="A18" s="2" t="s">
        <v>570</v>
      </c>
      <c r="B18" s="2" t="s">
        <v>326</v>
      </c>
      <c r="C18" s="2" t="s">
        <v>452</v>
      </c>
      <c r="D18" s="2" t="s">
        <v>127</v>
      </c>
      <c r="E18" s="2" t="s">
        <v>556</v>
      </c>
      <c r="F18" s="2">
        <v>1</v>
      </c>
      <c r="G18" s="2"/>
      <c r="H18" s="2" t="s">
        <v>480</v>
      </c>
      <c r="I18" s="2" t="s">
        <v>828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28.5">
      <c r="A19" s="2" t="s">
        <v>571</v>
      </c>
      <c r="B19" s="2" t="s">
        <v>326</v>
      </c>
      <c r="C19" s="2" t="s">
        <v>480</v>
      </c>
      <c r="D19" s="2" t="s">
        <v>557</v>
      </c>
      <c r="E19" s="2" t="s">
        <v>556</v>
      </c>
      <c r="F19" s="2">
        <v>2</v>
      </c>
      <c r="G19" s="2" t="s">
        <v>452</v>
      </c>
      <c r="H19" s="2" t="s">
        <v>537</v>
      </c>
      <c r="I19" s="2" t="s">
        <v>829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8.5">
      <c r="A20" s="2" t="s">
        <v>572</v>
      </c>
      <c r="B20" s="2" t="s">
        <v>326</v>
      </c>
      <c r="C20" s="2" t="s">
        <v>537</v>
      </c>
      <c r="D20" s="2" t="s">
        <v>557</v>
      </c>
      <c r="E20" s="2" t="s">
        <v>565</v>
      </c>
      <c r="F20" s="2">
        <v>3</v>
      </c>
      <c r="G20" s="2" t="s">
        <v>480</v>
      </c>
      <c r="H20" s="2"/>
      <c r="I20" s="2" t="s">
        <v>830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8.5">
      <c r="A21" s="2" t="s">
        <v>573</v>
      </c>
      <c r="B21" s="2" t="s">
        <v>419</v>
      </c>
      <c r="C21" s="2" t="s">
        <v>527</v>
      </c>
      <c r="D21" s="2" t="s">
        <v>127</v>
      </c>
      <c r="E21" s="2" t="s">
        <v>556</v>
      </c>
      <c r="F21" s="2">
        <v>1</v>
      </c>
      <c r="G21" s="2"/>
      <c r="H21" s="2"/>
      <c r="I21" s="2" t="s">
        <v>831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28.5">
      <c r="A22" s="2" t="s">
        <v>574</v>
      </c>
      <c r="B22" s="2" t="s">
        <v>427</v>
      </c>
      <c r="C22" s="2" t="s">
        <v>461</v>
      </c>
      <c r="D22" s="2" t="s">
        <v>127</v>
      </c>
      <c r="E22" s="2" t="s">
        <v>556</v>
      </c>
      <c r="F22" s="2">
        <v>1</v>
      </c>
      <c r="G22" s="2"/>
      <c r="H22" s="2"/>
      <c r="I22" s="2" t="s">
        <v>832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</sheetData>
  <mergeCells count="2">
    <mergeCell ref="A1:I1"/>
    <mergeCell ref="A2:I2"/>
  </mergeCells>
  <dataValidations count="2">
    <dataValidation type="list" sqref="D5:D22" xr:uid="{00000000-0002-0000-0500-000000000000}">
      <formula1>"Основная,Поддерживающая,Альтернативная,Сервисная,Монетизационная,Контрольная"</formula1>
    </dataValidation>
    <dataValidation type="list" sqref="E5:E22" xr:uid="{00000000-0002-0000-0500-000001000000}">
      <formula1>"Обязательно для первой версии,Желательно для первой версии,Следующий выпуск,Отложить,Исключить"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9"/>
  <sheetViews>
    <sheetView topLeftCell="C1" workbookViewId="0">
      <selection activeCell="D23" sqref="D23"/>
    </sheetView>
  </sheetViews>
  <sheetFormatPr defaultRowHeight="14.25"/>
  <cols>
    <col min="1" max="1" width="22" customWidth="1"/>
    <col min="2" max="2" width="15.625" customWidth="1"/>
    <col min="3" max="3" width="14" customWidth="1"/>
    <col min="4" max="5" width="34" customWidth="1"/>
    <col min="6" max="6" width="12" customWidth="1"/>
    <col min="7" max="7" width="27.625" customWidth="1"/>
    <col min="8" max="8" width="20" customWidth="1"/>
    <col min="9" max="9" width="17.625" customWidth="1"/>
    <col min="10" max="10" width="42" customWidth="1"/>
    <col min="11" max="21" width="9.625" customWidth="1"/>
  </cols>
  <sheetData>
    <row r="1" spans="1:21" ht="20.25">
      <c r="A1" s="11" t="s">
        <v>118</v>
      </c>
      <c r="B1" s="11"/>
      <c r="C1" s="11"/>
      <c r="D1" s="11"/>
      <c r="E1" s="11"/>
      <c r="F1" s="11"/>
      <c r="G1" s="11"/>
      <c r="H1" s="11"/>
      <c r="I1" s="11"/>
      <c r="J1" s="11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" customHeight="1">
      <c r="A2" s="12" t="s">
        <v>783</v>
      </c>
      <c r="B2" s="12"/>
      <c r="C2" s="12"/>
      <c r="D2" s="12"/>
      <c r="E2" s="12"/>
      <c r="F2" s="12"/>
      <c r="G2" s="12"/>
      <c r="H2" s="12"/>
      <c r="I2" s="12"/>
      <c r="J2" s="1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5">
      <c r="A4" s="3" t="s">
        <v>119</v>
      </c>
      <c r="B4" s="3" t="s">
        <v>120</v>
      </c>
      <c r="C4" s="3" t="s">
        <v>121</v>
      </c>
      <c r="D4" s="3" t="s">
        <v>122</v>
      </c>
      <c r="E4" s="3" t="s">
        <v>123</v>
      </c>
      <c r="F4" s="3" t="s">
        <v>43</v>
      </c>
      <c r="G4" s="3" t="s">
        <v>58</v>
      </c>
      <c r="H4" s="3" t="s">
        <v>124</v>
      </c>
      <c r="I4" s="3" t="s">
        <v>125</v>
      </c>
      <c r="J4" s="3" t="s">
        <v>111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126</v>
      </c>
      <c r="B5" s="2" t="s">
        <v>93</v>
      </c>
      <c r="C5" s="2" t="s">
        <v>100</v>
      </c>
      <c r="D5" s="2" t="s">
        <v>575</v>
      </c>
      <c r="E5" s="2" t="s">
        <v>96</v>
      </c>
      <c r="F5" s="2" t="s">
        <v>36</v>
      </c>
      <c r="G5" s="2" t="s">
        <v>445</v>
      </c>
      <c r="H5" s="2" t="s">
        <v>576</v>
      </c>
      <c r="I5" s="2">
        <v>2</v>
      </c>
      <c r="J5" s="2" t="s">
        <v>807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577</v>
      </c>
      <c r="B6" s="2" t="s">
        <v>93</v>
      </c>
      <c r="C6" s="2" t="s">
        <v>471</v>
      </c>
      <c r="D6" s="2" t="s">
        <v>578</v>
      </c>
      <c r="E6" s="2" t="s">
        <v>96</v>
      </c>
      <c r="F6" s="2" t="s">
        <v>36</v>
      </c>
      <c r="G6" s="2" t="s">
        <v>383</v>
      </c>
      <c r="H6" s="2" t="s">
        <v>579</v>
      </c>
      <c r="I6" s="2">
        <v>2</v>
      </c>
      <c r="J6" s="2" t="s">
        <v>580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581</v>
      </c>
      <c r="B7" s="2" t="s">
        <v>100</v>
      </c>
      <c r="C7" s="2" t="s">
        <v>452</v>
      </c>
      <c r="D7" s="2" t="s">
        <v>582</v>
      </c>
      <c r="E7" s="2" t="s">
        <v>96</v>
      </c>
      <c r="F7" s="2" t="s">
        <v>36</v>
      </c>
      <c r="G7" s="2" t="s">
        <v>376</v>
      </c>
      <c r="H7" s="2" t="s">
        <v>576</v>
      </c>
      <c r="I7" s="2">
        <v>2</v>
      </c>
      <c r="J7" s="2" t="s">
        <v>583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584</v>
      </c>
      <c r="B8" s="2" t="s">
        <v>100</v>
      </c>
      <c r="C8" s="2" t="s">
        <v>471</v>
      </c>
      <c r="D8" s="2" t="s">
        <v>578</v>
      </c>
      <c r="E8" s="2" t="s">
        <v>96</v>
      </c>
      <c r="F8" s="2" t="s">
        <v>36</v>
      </c>
      <c r="G8" s="2" t="s">
        <v>383</v>
      </c>
      <c r="H8" s="2" t="s">
        <v>579</v>
      </c>
      <c r="I8" s="2">
        <v>2</v>
      </c>
      <c r="J8" s="2" t="s">
        <v>73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585</v>
      </c>
      <c r="B9" s="2" t="s">
        <v>452</v>
      </c>
      <c r="C9" s="2" t="s">
        <v>480</v>
      </c>
      <c r="D9" s="2" t="s">
        <v>586</v>
      </c>
      <c r="E9" s="2" t="s">
        <v>808</v>
      </c>
      <c r="F9" s="2" t="s">
        <v>325</v>
      </c>
      <c r="G9" s="2" t="s">
        <v>414</v>
      </c>
      <c r="H9" s="2" t="s">
        <v>579</v>
      </c>
      <c r="I9" s="2">
        <v>3</v>
      </c>
      <c r="J9" s="2" t="s">
        <v>587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588</v>
      </c>
      <c r="B10" s="2" t="s">
        <v>452</v>
      </c>
      <c r="C10" s="2" t="s">
        <v>471</v>
      </c>
      <c r="D10" s="2" t="s">
        <v>589</v>
      </c>
      <c r="E10" s="2" t="s">
        <v>590</v>
      </c>
      <c r="F10" s="2" t="s">
        <v>36</v>
      </c>
      <c r="G10" s="2" t="s">
        <v>383</v>
      </c>
      <c r="H10" s="2" t="s">
        <v>579</v>
      </c>
      <c r="I10" s="2">
        <v>2</v>
      </c>
      <c r="J10" s="2" t="s">
        <v>73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591</v>
      </c>
      <c r="B11" s="2" t="s">
        <v>471</v>
      </c>
      <c r="C11" s="2" t="s">
        <v>489</v>
      </c>
      <c r="D11" s="2" t="s">
        <v>592</v>
      </c>
      <c r="E11" s="2" t="s">
        <v>593</v>
      </c>
      <c r="F11" s="2" t="s">
        <v>40</v>
      </c>
      <c r="G11" s="2" t="s">
        <v>391</v>
      </c>
      <c r="H11" s="2" t="s">
        <v>594</v>
      </c>
      <c r="I11" s="2">
        <v>2</v>
      </c>
      <c r="J11" s="2" t="s">
        <v>595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 t="s">
        <v>596</v>
      </c>
      <c r="B12" s="2" t="s">
        <v>489</v>
      </c>
      <c r="C12" s="2" t="s">
        <v>499</v>
      </c>
      <c r="D12" s="2" t="s">
        <v>492</v>
      </c>
      <c r="E12" s="2" t="s">
        <v>597</v>
      </c>
      <c r="F12" s="2" t="s">
        <v>40</v>
      </c>
      <c r="G12" s="2" t="s">
        <v>391</v>
      </c>
      <c r="H12" s="2" t="s">
        <v>576</v>
      </c>
      <c r="I12" s="2">
        <v>2</v>
      </c>
      <c r="J12" s="2" t="s">
        <v>598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 t="s">
        <v>599</v>
      </c>
      <c r="B13" s="2" t="s">
        <v>499</v>
      </c>
      <c r="C13" s="2" t="s">
        <v>509</v>
      </c>
      <c r="D13" s="2" t="s">
        <v>600</v>
      </c>
      <c r="E13" s="2" t="s">
        <v>601</v>
      </c>
      <c r="F13" s="2" t="s">
        <v>40</v>
      </c>
      <c r="G13" s="2" t="s">
        <v>391</v>
      </c>
      <c r="H13" s="2" t="s">
        <v>576</v>
      </c>
      <c r="I13" s="2">
        <v>2</v>
      </c>
      <c r="J13" s="2" t="s">
        <v>602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 t="s">
        <v>603</v>
      </c>
      <c r="B14" s="2" t="s">
        <v>499</v>
      </c>
      <c r="C14" s="2" t="s">
        <v>527</v>
      </c>
      <c r="D14" s="2" t="s">
        <v>604</v>
      </c>
      <c r="E14" s="2" t="s">
        <v>605</v>
      </c>
      <c r="F14" s="2" t="s">
        <v>40</v>
      </c>
      <c r="G14" s="2" t="s">
        <v>420</v>
      </c>
      <c r="H14" s="2" t="s">
        <v>594</v>
      </c>
      <c r="I14" s="2">
        <v>3</v>
      </c>
      <c r="J14" s="2" t="s">
        <v>606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 t="s">
        <v>607</v>
      </c>
      <c r="B15" s="2" t="s">
        <v>499</v>
      </c>
      <c r="C15" s="2" t="s">
        <v>545</v>
      </c>
      <c r="D15" s="2" t="s">
        <v>608</v>
      </c>
      <c r="E15" s="2" t="s">
        <v>609</v>
      </c>
      <c r="F15" s="2" t="s">
        <v>40</v>
      </c>
      <c r="G15" s="2" t="s">
        <v>391</v>
      </c>
      <c r="H15" s="2" t="s">
        <v>576</v>
      </c>
      <c r="I15" s="2">
        <v>3</v>
      </c>
      <c r="J15" s="2" t="s">
        <v>536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 t="s">
        <v>610</v>
      </c>
      <c r="B16" s="2" t="s">
        <v>509</v>
      </c>
      <c r="C16" s="2" t="s">
        <v>519</v>
      </c>
      <c r="D16" s="2" t="s">
        <v>611</v>
      </c>
      <c r="E16" s="2" t="s">
        <v>808</v>
      </c>
      <c r="F16" s="2" t="s">
        <v>303</v>
      </c>
      <c r="G16" s="2" t="s">
        <v>409</v>
      </c>
      <c r="H16" s="2" t="s">
        <v>612</v>
      </c>
      <c r="I16" s="2">
        <v>2</v>
      </c>
      <c r="J16" s="2" t="s">
        <v>613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 t="s">
        <v>614</v>
      </c>
      <c r="B17" s="2" t="s">
        <v>519</v>
      </c>
      <c r="C17" s="2" t="s">
        <v>499</v>
      </c>
      <c r="D17" s="2" t="s">
        <v>615</v>
      </c>
      <c r="E17" s="2" t="s">
        <v>616</v>
      </c>
      <c r="F17" s="2" t="s">
        <v>303</v>
      </c>
      <c r="G17" s="2" t="s">
        <v>409</v>
      </c>
      <c r="H17" s="2" t="s">
        <v>612</v>
      </c>
      <c r="I17" s="2">
        <v>2</v>
      </c>
      <c r="J17" s="2" t="s">
        <v>617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 t="s">
        <v>618</v>
      </c>
      <c r="B18" s="2" t="s">
        <v>537</v>
      </c>
      <c r="C18" s="2" t="s">
        <v>452</v>
      </c>
      <c r="D18" s="2" t="s">
        <v>619</v>
      </c>
      <c r="E18" s="2" t="s">
        <v>809</v>
      </c>
      <c r="F18" s="2" t="s">
        <v>325</v>
      </c>
      <c r="G18" s="2" t="s">
        <v>414</v>
      </c>
      <c r="H18" s="2" t="s">
        <v>579</v>
      </c>
      <c r="I18" s="2">
        <v>3</v>
      </c>
      <c r="J18" s="2" t="s">
        <v>620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 t="s">
        <v>621</v>
      </c>
      <c r="B19" s="2" t="s">
        <v>461</v>
      </c>
      <c r="C19" s="2" t="s">
        <v>499</v>
      </c>
      <c r="D19" s="2" t="s">
        <v>622</v>
      </c>
      <c r="E19" s="2" t="s">
        <v>623</v>
      </c>
      <c r="F19" s="2" t="s">
        <v>303</v>
      </c>
      <c r="G19" s="2" t="s">
        <v>420</v>
      </c>
      <c r="H19" s="2" t="s">
        <v>624</v>
      </c>
      <c r="I19" s="2">
        <v>2</v>
      </c>
      <c r="J19" s="2" t="s">
        <v>625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</sheetData>
  <mergeCells count="2">
    <mergeCell ref="A1:J1"/>
    <mergeCell ref="A2:J2"/>
  </mergeCells>
  <dataValidations count="3">
    <dataValidation type="list" sqref="G5:G19" xr:uid="{00000000-0002-0000-0600-000000000000}">
      <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formula1>
    </dataValidation>
    <dataValidation type="list" sqref="H5:H19" xr:uid="{00000000-0002-0000-0600-000001000000}">
      <formula1>"Основной,Возврат,Ветвление,Переход после ошибки,Переход после оплаты,Внешний переход,Системный переход"</formula1>
    </dataValidation>
    <dataValidation type="list" sqref="I5:I19" xr:uid="{00000000-0002-0000-0600-000002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0"/>
  <sheetViews>
    <sheetView topLeftCell="G1" workbookViewId="0">
      <selection activeCell="G34" sqref="G34"/>
    </sheetView>
  </sheetViews>
  <sheetFormatPr defaultRowHeight="14.25"/>
  <cols>
    <col min="1" max="1" width="22.625" customWidth="1"/>
    <col min="2" max="2" width="12" customWidth="1"/>
    <col min="3" max="3" width="30.625" customWidth="1"/>
    <col min="4" max="4" width="29.625" customWidth="1"/>
    <col min="5" max="5" width="24.625" customWidth="1"/>
    <col min="6" max="6" width="37.625" customWidth="1"/>
    <col min="7" max="7" width="45.625" customWidth="1"/>
    <col min="8" max="8" width="24.625" customWidth="1"/>
    <col min="9" max="9" width="36.625" customWidth="1"/>
    <col min="10" max="10" width="45.625" customWidth="1"/>
    <col min="11" max="11" width="18.625" customWidth="1"/>
    <col min="12" max="21" width="9.625" customWidth="1"/>
  </cols>
  <sheetData>
    <row r="1" spans="1:21" ht="20.25">
      <c r="A1" s="11" t="s">
        <v>128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" customHeight="1">
      <c r="A2" s="12" t="s">
        <v>784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0">
      <c r="A4" s="3" t="s">
        <v>129</v>
      </c>
      <c r="B4" s="3" t="s">
        <v>75</v>
      </c>
      <c r="C4" s="3" t="s">
        <v>130</v>
      </c>
      <c r="D4" s="3" t="s">
        <v>131</v>
      </c>
      <c r="E4" s="3" t="s">
        <v>132</v>
      </c>
      <c r="F4" s="3" t="s">
        <v>133</v>
      </c>
      <c r="G4" s="3" t="s">
        <v>134</v>
      </c>
      <c r="H4" s="3" t="s">
        <v>135</v>
      </c>
      <c r="I4" s="3" t="s">
        <v>136</v>
      </c>
      <c r="J4" s="3" t="s">
        <v>137</v>
      </c>
      <c r="K4" s="3" t="s">
        <v>138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139</v>
      </c>
      <c r="B5" s="2" t="s">
        <v>452</v>
      </c>
      <c r="C5" s="2" t="s">
        <v>626</v>
      </c>
      <c r="D5" s="2" t="s">
        <v>627</v>
      </c>
      <c r="E5" s="2" t="s">
        <v>628</v>
      </c>
      <c r="F5" s="2" t="s">
        <v>140</v>
      </c>
      <c r="G5" s="2" t="s">
        <v>629</v>
      </c>
      <c r="H5" s="2" t="s">
        <v>630</v>
      </c>
      <c r="I5" s="2" t="s">
        <v>631</v>
      </c>
      <c r="J5" s="2" t="s">
        <v>632</v>
      </c>
      <c r="K5" s="4">
        <f t="shared" ref="K5:K10" si="0">IF(A5="","",ROUND(COUNTA(C5:J5)/8,2))</f>
        <v>1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141</v>
      </c>
      <c r="B6" s="2" t="s">
        <v>471</v>
      </c>
      <c r="C6" s="2" t="s">
        <v>633</v>
      </c>
      <c r="D6" s="2" t="s">
        <v>634</v>
      </c>
      <c r="E6" s="2" t="s">
        <v>635</v>
      </c>
      <c r="F6" s="2" t="s">
        <v>636</v>
      </c>
      <c r="G6" s="2" t="s">
        <v>637</v>
      </c>
      <c r="H6" s="2" t="s">
        <v>630</v>
      </c>
      <c r="I6" s="2" t="s">
        <v>638</v>
      </c>
      <c r="J6" s="2" t="s">
        <v>639</v>
      </c>
      <c r="K6" s="4">
        <f t="shared" si="0"/>
        <v>1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640</v>
      </c>
      <c r="B7" s="2" t="s">
        <v>480</v>
      </c>
      <c r="C7" s="2" t="s">
        <v>641</v>
      </c>
      <c r="D7" s="2" t="s">
        <v>642</v>
      </c>
      <c r="E7" s="2" t="s">
        <v>643</v>
      </c>
      <c r="F7" s="2" t="s">
        <v>644</v>
      </c>
      <c r="G7" s="2" t="s">
        <v>810</v>
      </c>
      <c r="H7" s="2" t="s">
        <v>645</v>
      </c>
      <c r="I7" s="2" t="s">
        <v>646</v>
      </c>
      <c r="J7" s="2" t="s">
        <v>811</v>
      </c>
      <c r="K7" s="4">
        <f t="shared" si="0"/>
        <v>1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647</v>
      </c>
      <c r="B8" s="2" t="s">
        <v>499</v>
      </c>
      <c r="C8" s="2" t="s">
        <v>648</v>
      </c>
      <c r="D8" s="2" t="s">
        <v>649</v>
      </c>
      <c r="E8" s="2" t="s">
        <v>650</v>
      </c>
      <c r="F8" s="2" t="s">
        <v>651</v>
      </c>
      <c r="G8" s="2" t="s">
        <v>812</v>
      </c>
      <c r="H8" s="2" t="s">
        <v>652</v>
      </c>
      <c r="I8" s="2" t="s">
        <v>601</v>
      </c>
      <c r="J8" s="2" t="s">
        <v>653</v>
      </c>
      <c r="K8" s="4">
        <f t="shared" si="0"/>
        <v>1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654</v>
      </c>
      <c r="B9" s="2" t="s">
        <v>509</v>
      </c>
      <c r="C9" s="2" t="s">
        <v>655</v>
      </c>
      <c r="D9" s="2" t="s">
        <v>656</v>
      </c>
      <c r="E9" s="2" t="s">
        <v>657</v>
      </c>
      <c r="F9" s="2" t="s">
        <v>658</v>
      </c>
      <c r="G9" s="2" t="s">
        <v>659</v>
      </c>
      <c r="H9" s="2" t="s">
        <v>660</v>
      </c>
      <c r="I9" s="2" t="s">
        <v>661</v>
      </c>
      <c r="J9" s="2" t="s">
        <v>662</v>
      </c>
      <c r="K9" s="4">
        <f t="shared" si="0"/>
        <v>1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663</v>
      </c>
      <c r="B10" s="2" t="s">
        <v>519</v>
      </c>
      <c r="C10" s="2" t="s">
        <v>813</v>
      </c>
      <c r="D10" s="2" t="s">
        <v>814</v>
      </c>
      <c r="E10" s="2" t="s">
        <v>664</v>
      </c>
      <c r="F10" s="2" t="s">
        <v>140</v>
      </c>
      <c r="G10" s="2" t="s">
        <v>665</v>
      </c>
      <c r="H10" s="2" t="s">
        <v>645</v>
      </c>
      <c r="I10" s="2" t="s">
        <v>666</v>
      </c>
      <c r="J10" s="2" t="s">
        <v>667</v>
      </c>
      <c r="K10" s="4">
        <f t="shared" si="0"/>
        <v>1</v>
      </c>
      <c r="L10" s="2"/>
      <c r="M10" s="2"/>
      <c r="N10" s="2"/>
      <c r="O10" s="2"/>
      <c r="P10" s="2"/>
      <c r="Q10" s="2"/>
      <c r="R10" s="2"/>
      <c r="S10" s="2"/>
      <c r="T10" s="2"/>
      <c r="U10" s="2"/>
    </row>
  </sheetData>
  <mergeCells count="2">
    <mergeCell ref="A1:K1"/>
    <mergeCell ref="A2:K2"/>
  </mergeCells>
  <conditionalFormatting sqref="K5:K10">
    <cfRule type="colorScale" priority="7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2"/>
  <sheetViews>
    <sheetView topLeftCell="D1" workbookViewId="0">
      <selection sqref="A1:I1"/>
    </sheetView>
  </sheetViews>
  <sheetFormatPr defaultRowHeight="14.25"/>
  <cols>
    <col min="1" max="1" width="18.875" customWidth="1"/>
    <col min="2" max="2" width="45.625" customWidth="1"/>
    <col min="3" max="3" width="30" customWidth="1"/>
    <col min="4" max="4" width="28" customWidth="1"/>
    <col min="5" max="5" width="22" customWidth="1"/>
    <col min="6" max="6" width="18" customWidth="1"/>
    <col min="7" max="7" width="34" customWidth="1"/>
    <col min="8" max="9" width="22" customWidth="1"/>
    <col min="10" max="21" width="9.625" customWidth="1"/>
  </cols>
  <sheetData>
    <row r="1" spans="1:21" ht="20.25">
      <c r="A1" s="11" t="s">
        <v>142</v>
      </c>
      <c r="B1" s="11"/>
      <c r="C1" s="11"/>
      <c r="D1" s="11"/>
      <c r="E1" s="11"/>
      <c r="F1" s="11"/>
      <c r="G1" s="11"/>
      <c r="H1" s="11"/>
      <c r="I1" s="1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" customHeight="1">
      <c r="A2" s="12" t="s">
        <v>785</v>
      </c>
      <c r="B2" s="12"/>
      <c r="C2" s="12"/>
      <c r="D2" s="12"/>
      <c r="E2" s="12"/>
      <c r="F2" s="12"/>
      <c r="G2" s="12"/>
      <c r="H2" s="12"/>
      <c r="I2" s="1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5">
      <c r="A4" s="3" t="s">
        <v>75</v>
      </c>
      <c r="B4" s="3" t="s">
        <v>143</v>
      </c>
      <c r="C4" s="3" t="s">
        <v>144</v>
      </c>
      <c r="D4" s="3" t="s">
        <v>107</v>
      </c>
      <c r="E4" s="3" t="s">
        <v>145</v>
      </c>
      <c r="F4" s="3" t="s">
        <v>146</v>
      </c>
      <c r="G4" s="3" t="s">
        <v>147</v>
      </c>
      <c r="H4" s="3" t="s">
        <v>148</v>
      </c>
      <c r="I4" s="3" t="s">
        <v>149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93</v>
      </c>
      <c r="B5" s="2" t="s">
        <v>668</v>
      </c>
      <c r="C5" s="2" t="s">
        <v>669</v>
      </c>
      <c r="D5" s="2" t="s">
        <v>670</v>
      </c>
      <c r="E5" s="2" t="s">
        <v>671</v>
      </c>
      <c r="F5" s="2" t="s">
        <v>96</v>
      </c>
      <c r="G5" s="2" t="s">
        <v>672</v>
      </c>
      <c r="H5" s="2" t="s">
        <v>673</v>
      </c>
      <c r="I5" s="2" t="s">
        <v>674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100</v>
      </c>
      <c r="B6" s="2" t="s">
        <v>675</v>
      </c>
      <c r="C6" s="2" t="s">
        <v>676</v>
      </c>
      <c r="D6" s="2" t="s">
        <v>670</v>
      </c>
      <c r="E6" s="2" t="s">
        <v>671</v>
      </c>
      <c r="F6" s="2" t="s">
        <v>96</v>
      </c>
      <c r="G6" s="2" t="s">
        <v>672</v>
      </c>
      <c r="H6" s="2" t="s">
        <v>677</v>
      </c>
      <c r="I6" s="2" t="s">
        <v>678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452</v>
      </c>
      <c r="B7" s="2" t="s">
        <v>626</v>
      </c>
      <c r="C7" s="2" t="s">
        <v>679</v>
      </c>
      <c r="D7" s="2" t="s">
        <v>670</v>
      </c>
      <c r="E7" s="2" t="s">
        <v>680</v>
      </c>
      <c r="F7" s="2" t="s">
        <v>96</v>
      </c>
      <c r="G7" s="2" t="s">
        <v>763</v>
      </c>
      <c r="H7" s="2" t="s">
        <v>681</v>
      </c>
      <c r="I7" s="2" t="s">
        <v>674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461</v>
      </c>
      <c r="B8" s="2" t="s">
        <v>682</v>
      </c>
      <c r="C8" s="2" t="s">
        <v>683</v>
      </c>
      <c r="D8" s="2" t="s">
        <v>684</v>
      </c>
      <c r="E8" s="2" t="s">
        <v>671</v>
      </c>
      <c r="F8" s="2" t="s">
        <v>96</v>
      </c>
      <c r="G8" s="2" t="s">
        <v>685</v>
      </c>
      <c r="H8" s="2" t="s">
        <v>673</v>
      </c>
      <c r="I8" s="2" t="s">
        <v>678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480</v>
      </c>
      <c r="B9" s="2" t="s">
        <v>686</v>
      </c>
      <c r="C9" s="2" t="s">
        <v>815</v>
      </c>
      <c r="D9" s="2" t="s">
        <v>670</v>
      </c>
      <c r="E9" s="2" t="s">
        <v>687</v>
      </c>
      <c r="F9" s="2" t="s">
        <v>232</v>
      </c>
      <c r="G9" s="2" t="s">
        <v>688</v>
      </c>
      <c r="H9" s="2" t="s">
        <v>151</v>
      </c>
      <c r="I9" s="2" t="s">
        <v>674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499</v>
      </c>
      <c r="B10" s="2" t="s">
        <v>689</v>
      </c>
      <c r="C10" s="2" t="s">
        <v>690</v>
      </c>
      <c r="D10" s="2" t="s">
        <v>670</v>
      </c>
      <c r="E10" s="2" t="s">
        <v>691</v>
      </c>
      <c r="F10" s="2" t="s">
        <v>232</v>
      </c>
      <c r="G10" s="2" t="s">
        <v>672</v>
      </c>
      <c r="H10" s="2" t="s">
        <v>692</v>
      </c>
      <c r="I10" s="2" t="s">
        <v>690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509</v>
      </c>
      <c r="B11" s="2" t="s">
        <v>693</v>
      </c>
      <c r="C11" s="2" t="s">
        <v>694</v>
      </c>
      <c r="D11" s="2" t="s">
        <v>670</v>
      </c>
      <c r="E11" s="2" t="s">
        <v>671</v>
      </c>
      <c r="F11" s="2" t="s">
        <v>96</v>
      </c>
      <c r="G11" s="2" t="s">
        <v>695</v>
      </c>
      <c r="H11" s="2" t="s">
        <v>696</v>
      </c>
      <c r="I11" s="2" t="s">
        <v>678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 t="s">
        <v>527</v>
      </c>
      <c r="B12" s="2" t="s">
        <v>697</v>
      </c>
      <c r="C12" s="2" t="s">
        <v>676</v>
      </c>
      <c r="D12" s="2" t="s">
        <v>684</v>
      </c>
      <c r="E12" s="2" t="s">
        <v>671</v>
      </c>
      <c r="F12" s="2" t="s">
        <v>232</v>
      </c>
      <c r="G12" s="2" t="s">
        <v>698</v>
      </c>
      <c r="H12" s="2" t="s">
        <v>673</v>
      </c>
      <c r="I12" s="2" t="s">
        <v>678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2">
    <mergeCell ref="A1:I1"/>
    <mergeCell ref="A2:I2"/>
  </mergeCells>
  <dataValidations count="1">
    <dataValidation type="list" sqref="D5:D12" xr:uid="{00000000-0002-0000-0800-000000000000}">
      <formula1>"Обязательно для первой версии,Желательно для первой версии,Следующий выпуск,Отложить,Исключить"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0"/>
  <sheetViews>
    <sheetView topLeftCell="K1" workbookViewId="0">
      <selection activeCell="G24" sqref="G24"/>
    </sheetView>
  </sheetViews>
  <sheetFormatPr defaultRowHeight="14.25"/>
  <cols>
    <col min="1" max="1" width="17.875" customWidth="1"/>
    <col min="2" max="2" width="27.625" customWidth="1"/>
    <col min="3" max="3" width="18" customWidth="1"/>
    <col min="4" max="4" width="15.375" customWidth="1"/>
    <col min="5" max="5" width="14.375" customWidth="1"/>
    <col min="6" max="6" width="40" customWidth="1"/>
    <col min="7" max="7" width="35.625" customWidth="1"/>
    <col min="8" max="8" width="30" customWidth="1"/>
    <col min="9" max="9" width="45.625" customWidth="1"/>
    <col min="10" max="10" width="55.625" customWidth="1"/>
    <col min="11" max="11" width="52.625" customWidth="1"/>
    <col min="12" max="12" width="51.625" customWidth="1"/>
    <col min="13" max="13" width="38.625" customWidth="1"/>
    <col min="14" max="14" width="17.625" customWidth="1"/>
    <col min="15" max="15" width="22" customWidth="1"/>
    <col min="16" max="21" width="9.625" customWidth="1"/>
  </cols>
  <sheetData>
    <row r="1" spans="1:21" ht="20.25">
      <c r="A1" s="11" t="s">
        <v>152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2"/>
      <c r="Q1" s="2"/>
      <c r="R1" s="2"/>
      <c r="S1" s="2"/>
      <c r="T1" s="2"/>
      <c r="U1" s="2"/>
    </row>
    <row r="2" spans="1:21" ht="15" customHeight="1">
      <c r="A2" s="12" t="s">
        <v>786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5">
      <c r="A4" s="3" t="s">
        <v>75</v>
      </c>
      <c r="B4" s="3" t="s">
        <v>77</v>
      </c>
      <c r="C4" s="3" t="s">
        <v>76</v>
      </c>
      <c r="D4" s="3" t="s">
        <v>57</v>
      </c>
      <c r="E4" s="3" t="s">
        <v>43</v>
      </c>
      <c r="F4" s="3" t="s">
        <v>78</v>
      </c>
      <c r="G4" s="3" t="s">
        <v>153</v>
      </c>
      <c r="H4" s="3" t="s">
        <v>154</v>
      </c>
      <c r="I4" s="3" t="s">
        <v>155</v>
      </c>
      <c r="J4" s="3" t="s">
        <v>84</v>
      </c>
      <c r="K4" s="3" t="s">
        <v>156</v>
      </c>
      <c r="L4" s="3" t="s">
        <v>157</v>
      </c>
      <c r="M4" s="3" t="s">
        <v>158</v>
      </c>
      <c r="N4" s="3" t="s">
        <v>159</v>
      </c>
      <c r="O4" s="3" t="s">
        <v>160</v>
      </c>
      <c r="P4" s="2"/>
      <c r="Q4" s="2"/>
      <c r="R4" s="2"/>
      <c r="S4" s="2"/>
      <c r="T4" s="2"/>
      <c r="U4" s="2"/>
    </row>
    <row r="5" spans="1:21" ht="28.5">
      <c r="A5" s="2" t="s">
        <v>452</v>
      </c>
      <c r="B5" s="2" t="s">
        <v>453</v>
      </c>
      <c r="C5" s="2" t="s">
        <v>94</v>
      </c>
      <c r="D5" s="2" t="s">
        <v>72</v>
      </c>
      <c r="E5" s="2" t="s">
        <v>36</v>
      </c>
      <c r="F5" s="2" t="s">
        <v>454</v>
      </c>
      <c r="G5" s="2" t="s">
        <v>455</v>
      </c>
      <c r="H5" s="2" t="s">
        <v>699</v>
      </c>
      <c r="I5" s="2" t="s">
        <v>458</v>
      </c>
      <c r="J5" s="2" t="s">
        <v>700</v>
      </c>
      <c r="K5" s="2" t="s">
        <v>701</v>
      </c>
      <c r="L5" s="2" t="s">
        <v>702</v>
      </c>
      <c r="M5" s="2" t="s">
        <v>703</v>
      </c>
      <c r="N5" s="4">
        <f t="shared" ref="N5:N10" si="0">IF(A5="","",ROUND(COUNTA(B5:M5)/12,2))</f>
        <v>1</v>
      </c>
      <c r="O5" s="2" t="str">
        <f t="shared" ref="O5:O10" si="1">IF(A5="","",IF(N5&gt;=0.85,"Готов к прототипу",IF(N5&gt;=0.6,"Требует доработки","Недостаточно данных")))</f>
        <v>Готов к прототипу</v>
      </c>
      <c r="P5" s="2"/>
      <c r="Q5" s="2"/>
      <c r="R5" s="2"/>
      <c r="S5" s="2"/>
      <c r="T5" s="2"/>
      <c r="U5" s="2"/>
    </row>
    <row r="6" spans="1:21">
      <c r="A6" s="2" t="s">
        <v>471</v>
      </c>
      <c r="B6" s="2" t="s">
        <v>472</v>
      </c>
      <c r="C6" s="2" t="s">
        <v>94</v>
      </c>
      <c r="D6" s="2" t="s">
        <v>37</v>
      </c>
      <c r="E6" s="2" t="s">
        <v>40</v>
      </c>
      <c r="F6" s="2" t="s">
        <v>704</v>
      </c>
      <c r="G6" s="2" t="s">
        <v>474</v>
      </c>
      <c r="H6" s="2" t="s">
        <v>705</v>
      </c>
      <c r="I6" s="2" t="s">
        <v>706</v>
      </c>
      <c r="J6" s="2" t="s">
        <v>707</v>
      </c>
      <c r="K6" s="2" t="s">
        <v>708</v>
      </c>
      <c r="L6" s="2" t="s">
        <v>816</v>
      </c>
      <c r="M6" s="2" t="s">
        <v>387</v>
      </c>
      <c r="N6" s="4">
        <f t="shared" si="0"/>
        <v>1</v>
      </c>
      <c r="O6" s="2" t="str">
        <f t="shared" si="1"/>
        <v>Готов к прототипу</v>
      </c>
      <c r="P6" s="2"/>
      <c r="Q6" s="2"/>
      <c r="R6" s="2"/>
      <c r="S6" s="2"/>
      <c r="T6" s="2"/>
      <c r="U6" s="2"/>
    </row>
    <row r="7" spans="1:21">
      <c r="A7" s="2" t="s">
        <v>480</v>
      </c>
      <c r="B7" s="2" t="s">
        <v>481</v>
      </c>
      <c r="C7" s="2" t="s">
        <v>94</v>
      </c>
      <c r="D7" s="2" t="s">
        <v>326</v>
      </c>
      <c r="E7" s="2" t="s">
        <v>325</v>
      </c>
      <c r="F7" s="2" t="s">
        <v>709</v>
      </c>
      <c r="G7" s="2" t="s">
        <v>764</v>
      </c>
      <c r="H7" s="2" t="s">
        <v>484</v>
      </c>
      <c r="I7" s="2" t="s">
        <v>710</v>
      </c>
      <c r="J7" s="2" t="s">
        <v>486</v>
      </c>
      <c r="K7" s="2" t="s">
        <v>711</v>
      </c>
      <c r="L7" s="2" t="s">
        <v>712</v>
      </c>
      <c r="M7" s="2" t="s">
        <v>713</v>
      </c>
      <c r="N7" s="4">
        <f t="shared" si="0"/>
        <v>1</v>
      </c>
      <c r="O7" s="2" t="str">
        <f t="shared" si="1"/>
        <v>Готов к прототипу</v>
      </c>
      <c r="P7" s="2"/>
      <c r="Q7" s="2"/>
      <c r="R7" s="2"/>
      <c r="S7" s="2"/>
      <c r="T7" s="2"/>
      <c r="U7" s="2"/>
    </row>
    <row r="8" spans="1:21">
      <c r="A8" s="2" t="s">
        <v>499</v>
      </c>
      <c r="B8" s="2" t="s">
        <v>500</v>
      </c>
      <c r="C8" s="2" t="s">
        <v>101</v>
      </c>
      <c r="D8" s="2" t="s">
        <v>390</v>
      </c>
      <c r="E8" s="2" t="s">
        <v>40</v>
      </c>
      <c r="F8" s="2" t="s">
        <v>714</v>
      </c>
      <c r="G8" s="2" t="s">
        <v>715</v>
      </c>
      <c r="H8" s="2" t="s">
        <v>716</v>
      </c>
      <c r="I8" s="2" t="s">
        <v>505</v>
      </c>
      <c r="J8" s="2" t="s">
        <v>506</v>
      </c>
      <c r="K8" s="2" t="s">
        <v>717</v>
      </c>
      <c r="L8" s="2" t="s">
        <v>718</v>
      </c>
      <c r="M8" s="2" t="s">
        <v>719</v>
      </c>
      <c r="N8" s="4">
        <f t="shared" si="0"/>
        <v>1</v>
      </c>
      <c r="O8" s="2" t="str">
        <f t="shared" si="1"/>
        <v>Готов к прототипу</v>
      </c>
      <c r="P8" s="2"/>
      <c r="Q8" s="2"/>
      <c r="R8" s="2"/>
      <c r="S8" s="2"/>
      <c r="T8" s="2"/>
      <c r="U8" s="2"/>
    </row>
    <row r="9" spans="1:21">
      <c r="A9" s="2" t="s">
        <v>509</v>
      </c>
      <c r="B9" s="2" t="s">
        <v>510</v>
      </c>
      <c r="C9" s="2" t="s">
        <v>101</v>
      </c>
      <c r="D9" s="2" t="s">
        <v>341</v>
      </c>
      <c r="E9" s="2" t="s">
        <v>40</v>
      </c>
      <c r="F9" s="2" t="s">
        <v>511</v>
      </c>
      <c r="G9" s="2" t="s">
        <v>720</v>
      </c>
      <c r="H9" s="2" t="s">
        <v>721</v>
      </c>
      <c r="I9" s="2" t="s">
        <v>722</v>
      </c>
      <c r="J9" s="2" t="s">
        <v>723</v>
      </c>
      <c r="K9" s="2" t="s">
        <v>724</v>
      </c>
      <c r="L9" s="2" t="s">
        <v>725</v>
      </c>
      <c r="M9" s="2" t="s">
        <v>726</v>
      </c>
      <c r="N9" s="4">
        <f t="shared" si="0"/>
        <v>1</v>
      </c>
      <c r="O9" s="2" t="str">
        <f t="shared" si="1"/>
        <v>Готов к прототипу</v>
      </c>
      <c r="P9" s="2"/>
      <c r="Q9" s="2"/>
      <c r="R9" s="2"/>
      <c r="S9" s="2"/>
      <c r="T9" s="2"/>
      <c r="U9" s="2"/>
    </row>
    <row r="10" spans="1:21">
      <c r="A10" s="2" t="s">
        <v>537</v>
      </c>
      <c r="B10" s="2" t="s">
        <v>538</v>
      </c>
      <c r="C10" s="2" t="s">
        <v>101</v>
      </c>
      <c r="D10" s="2" t="s">
        <v>326</v>
      </c>
      <c r="E10" s="2" t="s">
        <v>325</v>
      </c>
      <c r="F10" s="2" t="s">
        <v>727</v>
      </c>
      <c r="G10" s="2" t="s">
        <v>540</v>
      </c>
      <c r="H10" s="2" t="s">
        <v>728</v>
      </c>
      <c r="I10" s="2" t="s">
        <v>543</v>
      </c>
      <c r="J10" s="2" t="s">
        <v>806</v>
      </c>
      <c r="K10" s="2" t="s">
        <v>729</v>
      </c>
      <c r="L10" s="2" t="s">
        <v>730</v>
      </c>
      <c r="M10" s="2" t="s">
        <v>731</v>
      </c>
      <c r="N10" s="4">
        <f t="shared" si="0"/>
        <v>1</v>
      </c>
      <c r="O10" s="2" t="str">
        <f t="shared" si="1"/>
        <v>Готов к прототипу</v>
      </c>
      <c r="P10" s="2"/>
      <c r="Q10" s="2"/>
      <c r="R10" s="2"/>
      <c r="S10" s="2"/>
      <c r="T10" s="2"/>
      <c r="U10" s="2"/>
    </row>
  </sheetData>
  <mergeCells count="2">
    <mergeCell ref="A1:O1"/>
    <mergeCell ref="A2:O2"/>
  </mergeCells>
  <conditionalFormatting sqref="N5:N10">
    <cfRule type="colorScale" priority="8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7"/>
  <sheetViews>
    <sheetView topLeftCell="E1" workbookViewId="0">
      <selection activeCell="L28" sqref="L28"/>
    </sheetView>
  </sheetViews>
  <sheetFormatPr defaultRowHeight="14.25"/>
  <cols>
    <col min="1" max="1" width="20.125" customWidth="1"/>
    <col min="2" max="2" width="32.625" customWidth="1"/>
    <col min="3" max="3" width="27.5" customWidth="1"/>
    <col min="4" max="4" width="31.625" customWidth="1"/>
    <col min="5" max="5" width="23.625" customWidth="1"/>
    <col min="6" max="6" width="27.625" customWidth="1"/>
    <col min="7" max="7" width="25.625" customWidth="1"/>
    <col min="8" max="9" width="14.625" customWidth="1"/>
    <col min="10" max="10" width="26.75" customWidth="1"/>
    <col min="11" max="11" width="35.375" customWidth="1"/>
    <col min="12" max="12" width="34.625" customWidth="1"/>
    <col min="13" max="21" width="9.625" customWidth="1"/>
  </cols>
  <sheetData>
    <row r="1" spans="1:21" ht="20.25">
      <c r="A1" s="11" t="s">
        <v>161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2"/>
      <c r="N1" s="2"/>
      <c r="O1" s="2"/>
      <c r="P1" s="2"/>
      <c r="Q1" s="2"/>
      <c r="R1" s="2"/>
      <c r="S1" s="2"/>
      <c r="T1" s="2"/>
      <c r="U1" s="2"/>
    </row>
    <row r="2" spans="1:21" ht="15" customHeight="1">
      <c r="A2" s="12" t="s">
        <v>787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0">
      <c r="A4" s="3" t="s">
        <v>75</v>
      </c>
      <c r="B4" s="3" t="s">
        <v>77</v>
      </c>
      <c r="C4" s="3" t="s">
        <v>79</v>
      </c>
      <c r="D4" s="3" t="s">
        <v>162</v>
      </c>
      <c r="E4" s="3" t="s">
        <v>163</v>
      </c>
      <c r="F4" s="3" t="s">
        <v>164</v>
      </c>
      <c r="G4" s="3" t="s">
        <v>165</v>
      </c>
      <c r="H4" s="3" t="s">
        <v>67</v>
      </c>
      <c r="I4" s="3" t="s">
        <v>166</v>
      </c>
      <c r="J4" s="3" t="s">
        <v>167</v>
      </c>
      <c r="K4" s="3" t="s">
        <v>168</v>
      </c>
      <c r="L4" s="3" t="s">
        <v>92</v>
      </c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93</v>
      </c>
      <c r="B5" s="2" t="s">
        <v>95</v>
      </c>
      <c r="C5" s="2" t="s">
        <v>41</v>
      </c>
      <c r="D5" s="2">
        <v>4</v>
      </c>
      <c r="E5" s="2">
        <v>3</v>
      </c>
      <c r="F5" s="2">
        <v>5</v>
      </c>
      <c r="G5" s="2">
        <v>3</v>
      </c>
      <c r="H5" s="2">
        <v>2</v>
      </c>
      <c r="I5" s="2">
        <f t="shared" ref="I5:I17" si="0">IF(A5="","",MAX(0,MIN(100,ROUND(((D5*0.3)+(E5*0.3)+(F5*0.15)+(G5*0.15)-(H5*0.1))*20,0))))</f>
        <v>62</v>
      </c>
      <c r="J5" s="2" t="str">
        <f t="shared" ref="J5:J17" si="1">IF(A5="","",IF(I5&gt;=80,"P1 – первая версия",IF(I5&gt;=60,"P2 – следующий выпуск",IF(I5&gt;=40,"P3 – можно отложить","Не включать"))))</f>
        <v>P2 – следующий выпуск</v>
      </c>
      <c r="K5" s="2" t="s">
        <v>732</v>
      </c>
      <c r="L5" s="2" t="s">
        <v>733</v>
      </c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100</v>
      </c>
      <c r="B6" s="2" t="s">
        <v>443</v>
      </c>
      <c r="C6" s="2" t="s">
        <v>72</v>
      </c>
      <c r="D6" s="2">
        <v>5</v>
      </c>
      <c r="E6" s="2">
        <v>4</v>
      </c>
      <c r="F6" s="2">
        <v>4</v>
      </c>
      <c r="G6" s="2">
        <v>4</v>
      </c>
      <c r="H6" s="2">
        <v>2</v>
      </c>
      <c r="I6" s="2">
        <f t="shared" si="0"/>
        <v>74</v>
      </c>
      <c r="J6" s="2" t="str">
        <f t="shared" si="1"/>
        <v>P2 – следующий выпуск</v>
      </c>
      <c r="K6" s="2" t="s">
        <v>734</v>
      </c>
      <c r="L6" s="2" t="s">
        <v>733</v>
      </c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452</v>
      </c>
      <c r="B7" s="2" t="s">
        <v>453</v>
      </c>
      <c r="C7" s="2" t="s">
        <v>72</v>
      </c>
      <c r="D7" s="2">
        <v>5</v>
      </c>
      <c r="E7" s="2">
        <v>5</v>
      </c>
      <c r="F7" s="2">
        <v>4</v>
      </c>
      <c r="G7" s="2">
        <v>4</v>
      </c>
      <c r="H7" s="2">
        <v>2</v>
      </c>
      <c r="I7" s="2">
        <f t="shared" si="0"/>
        <v>80</v>
      </c>
      <c r="J7" s="2" t="str">
        <f t="shared" si="1"/>
        <v>P1 – первая версия</v>
      </c>
      <c r="K7" s="2" t="s">
        <v>735</v>
      </c>
      <c r="L7" s="2" t="s">
        <v>733</v>
      </c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461</v>
      </c>
      <c r="B8" s="2" t="s">
        <v>462</v>
      </c>
      <c r="C8" s="2" t="s">
        <v>427</v>
      </c>
      <c r="D8" s="2">
        <v>4</v>
      </c>
      <c r="E8" s="2">
        <v>3</v>
      </c>
      <c r="F8" s="2">
        <v>3</v>
      </c>
      <c r="G8" s="2">
        <v>3</v>
      </c>
      <c r="H8" s="2">
        <v>2</v>
      </c>
      <c r="I8" s="2">
        <f t="shared" si="0"/>
        <v>56</v>
      </c>
      <c r="J8" s="2" t="str">
        <f t="shared" si="1"/>
        <v>P3 – можно отложить</v>
      </c>
      <c r="K8" s="2" t="s">
        <v>736</v>
      </c>
      <c r="L8" s="2" t="s">
        <v>737</v>
      </c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471</v>
      </c>
      <c r="B9" s="2" t="s">
        <v>472</v>
      </c>
      <c r="C9" s="2" t="s">
        <v>37</v>
      </c>
      <c r="D9" s="2">
        <v>4</v>
      </c>
      <c r="E9" s="2">
        <v>4</v>
      </c>
      <c r="F9" s="2">
        <v>4</v>
      </c>
      <c r="G9" s="2">
        <v>5</v>
      </c>
      <c r="H9" s="2">
        <v>2</v>
      </c>
      <c r="I9" s="2">
        <f t="shared" si="0"/>
        <v>71</v>
      </c>
      <c r="J9" s="2" t="str">
        <f t="shared" si="1"/>
        <v>P2 – следующий выпуск</v>
      </c>
      <c r="K9" s="2" t="s">
        <v>389</v>
      </c>
      <c r="L9" s="2" t="s">
        <v>733</v>
      </c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480</v>
      </c>
      <c r="B10" s="2" t="s">
        <v>481</v>
      </c>
      <c r="C10" s="2" t="s">
        <v>326</v>
      </c>
      <c r="D10" s="2">
        <v>4</v>
      </c>
      <c r="E10" s="2">
        <v>5</v>
      </c>
      <c r="F10" s="2">
        <v>2</v>
      </c>
      <c r="G10" s="2">
        <v>5</v>
      </c>
      <c r="H10" s="2">
        <v>3</v>
      </c>
      <c r="I10" s="2">
        <f t="shared" si="0"/>
        <v>69</v>
      </c>
      <c r="J10" s="2" t="str">
        <f t="shared" si="1"/>
        <v>P2 – следующий выпуск</v>
      </c>
      <c r="K10" s="2" t="s">
        <v>418</v>
      </c>
      <c r="L10" s="2" t="s">
        <v>738</v>
      </c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489</v>
      </c>
      <c r="B11" s="2" t="s">
        <v>490</v>
      </c>
      <c r="C11" s="2" t="s">
        <v>304</v>
      </c>
      <c r="D11" s="2">
        <v>4</v>
      </c>
      <c r="E11" s="2">
        <v>3</v>
      </c>
      <c r="F11" s="2">
        <v>4</v>
      </c>
      <c r="G11" s="2">
        <v>3</v>
      </c>
      <c r="H11" s="2">
        <v>2</v>
      </c>
      <c r="I11" s="2">
        <f t="shared" si="0"/>
        <v>59</v>
      </c>
      <c r="J11" s="2" t="str">
        <f t="shared" si="1"/>
        <v>P3 – можно отложить</v>
      </c>
      <c r="K11" s="2" t="s">
        <v>739</v>
      </c>
      <c r="L11" s="2" t="s">
        <v>733</v>
      </c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 t="s">
        <v>499</v>
      </c>
      <c r="B12" s="2" t="s">
        <v>500</v>
      </c>
      <c r="C12" s="2" t="s">
        <v>390</v>
      </c>
      <c r="D12" s="2">
        <v>5</v>
      </c>
      <c r="E12" s="2">
        <v>5</v>
      </c>
      <c r="F12" s="2">
        <v>5</v>
      </c>
      <c r="G12" s="2">
        <v>5</v>
      </c>
      <c r="H12" s="2">
        <v>4</v>
      </c>
      <c r="I12" s="2">
        <f t="shared" si="0"/>
        <v>82</v>
      </c>
      <c r="J12" s="2" t="str">
        <f t="shared" si="1"/>
        <v>P1 – первая версия</v>
      </c>
      <c r="K12" s="2" t="s">
        <v>740</v>
      </c>
      <c r="L12" s="2" t="s">
        <v>733</v>
      </c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 t="s">
        <v>509</v>
      </c>
      <c r="B13" s="2" t="s">
        <v>510</v>
      </c>
      <c r="C13" s="2" t="s">
        <v>341</v>
      </c>
      <c r="D13" s="2">
        <v>5</v>
      </c>
      <c r="E13" s="2">
        <v>4</v>
      </c>
      <c r="F13" s="2">
        <v>5</v>
      </c>
      <c r="G13" s="2">
        <v>5</v>
      </c>
      <c r="H13" s="2">
        <v>2</v>
      </c>
      <c r="I13" s="2">
        <f t="shared" si="0"/>
        <v>80</v>
      </c>
      <c r="J13" s="2" t="str">
        <f t="shared" si="1"/>
        <v>P1 – первая версия</v>
      </c>
      <c r="K13" s="2" t="s">
        <v>741</v>
      </c>
      <c r="L13" s="2" t="s">
        <v>733</v>
      </c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 t="s">
        <v>519</v>
      </c>
      <c r="B14" s="2" t="s">
        <v>520</v>
      </c>
      <c r="C14" s="2" t="s">
        <v>408</v>
      </c>
      <c r="D14" s="2">
        <v>4</v>
      </c>
      <c r="E14" s="2">
        <v>3</v>
      </c>
      <c r="F14" s="2">
        <v>4</v>
      </c>
      <c r="G14" s="2">
        <v>3</v>
      </c>
      <c r="H14" s="2">
        <v>3</v>
      </c>
      <c r="I14" s="2">
        <f t="shared" si="0"/>
        <v>57</v>
      </c>
      <c r="J14" s="2" t="str">
        <f t="shared" si="1"/>
        <v>P3 – можно отложить</v>
      </c>
      <c r="K14" s="2" t="s">
        <v>102</v>
      </c>
      <c r="L14" s="2" t="s">
        <v>742</v>
      </c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 t="s">
        <v>527</v>
      </c>
      <c r="B15" s="2" t="s">
        <v>528</v>
      </c>
      <c r="C15" s="2" t="s">
        <v>419</v>
      </c>
      <c r="D15" s="2">
        <v>4</v>
      </c>
      <c r="E15" s="2">
        <v>3</v>
      </c>
      <c r="F15" s="2">
        <v>4</v>
      </c>
      <c r="G15" s="2">
        <v>3</v>
      </c>
      <c r="H15" s="2">
        <v>4</v>
      </c>
      <c r="I15" s="2">
        <f t="shared" si="0"/>
        <v>55</v>
      </c>
      <c r="J15" s="2" t="str">
        <f t="shared" si="1"/>
        <v>P3 – можно отложить</v>
      </c>
      <c r="K15" s="2" t="s">
        <v>743</v>
      </c>
      <c r="L15" s="2" t="s">
        <v>742</v>
      </c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 t="s">
        <v>537</v>
      </c>
      <c r="B16" s="2" t="s">
        <v>538</v>
      </c>
      <c r="C16" s="2" t="s">
        <v>326</v>
      </c>
      <c r="D16" s="2">
        <v>3</v>
      </c>
      <c r="E16" s="2">
        <v>4</v>
      </c>
      <c r="F16" s="2">
        <v>3</v>
      </c>
      <c r="G16" s="2">
        <v>3</v>
      </c>
      <c r="H16" s="2">
        <v>2</v>
      </c>
      <c r="I16" s="2">
        <f t="shared" si="0"/>
        <v>56</v>
      </c>
      <c r="J16" s="2" t="str">
        <f t="shared" si="1"/>
        <v>P3 – можно отложить</v>
      </c>
      <c r="K16" s="2" t="s">
        <v>744</v>
      </c>
      <c r="L16" s="2" t="s">
        <v>742</v>
      </c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 t="s">
        <v>545</v>
      </c>
      <c r="B17" s="2" t="s">
        <v>546</v>
      </c>
      <c r="C17" s="2" t="s">
        <v>390</v>
      </c>
      <c r="D17" s="2">
        <v>4</v>
      </c>
      <c r="E17" s="2">
        <v>4</v>
      </c>
      <c r="F17" s="2">
        <v>4</v>
      </c>
      <c r="G17" s="2">
        <v>2</v>
      </c>
      <c r="H17" s="2">
        <v>4</v>
      </c>
      <c r="I17" s="2">
        <f t="shared" si="0"/>
        <v>58</v>
      </c>
      <c r="J17" s="2" t="str">
        <f t="shared" si="1"/>
        <v>P3 – можно отложить</v>
      </c>
      <c r="K17" s="2" t="s">
        <v>536</v>
      </c>
      <c r="L17" s="2" t="s">
        <v>742</v>
      </c>
      <c r="M17" s="2"/>
      <c r="N17" s="2"/>
      <c r="O17" s="2"/>
      <c r="P17" s="2"/>
      <c r="Q17" s="2"/>
      <c r="R17" s="2"/>
      <c r="S17" s="2"/>
      <c r="T17" s="2"/>
      <c r="U17" s="2"/>
    </row>
  </sheetData>
  <mergeCells count="2">
    <mergeCell ref="A1:L1"/>
    <mergeCell ref="A2:L2"/>
  </mergeCells>
  <conditionalFormatting sqref="I5:I17">
    <cfRule type="dataBar" priority="9">
      <dataBar>
        <cfvo type="min"/>
        <cfvo type="max"/>
        <color rgb="FF2F6F7E"/>
      </dataBar>
    </cfRule>
    <cfRule type="dataBar" priority="10">
      <dataBar>
        <cfvo type="min"/>
        <cfvo type="max"/>
        <color rgb="FF2F6F7E"/>
      </dataBar>
      <extLst>
        <ext xmlns:x14="http://schemas.microsoft.com/office/spreadsheetml/2009/9/main" uri="{B025F937-C7B1-47D3-B67F-A62EFF666E3E}">
          <x14:id>{CBD40420-4A5B-1EDE-8A5F-A48E38ED2852}</x14:id>
        </ext>
      </extLst>
    </cfRule>
  </conditionalFormatting>
  <conditionalFormatting sqref="J5:J17">
    <cfRule type="expression" dxfId="3" priority="2">
      <formula>LEFT(J5,2)="P1"</formula>
    </cfRule>
  </conditionalFormatting>
  <dataValidations count="2">
    <dataValidation type="list" sqref="D5:H17" xr:uid="{00000000-0002-0000-0A00-000000000000}">
      <formula1>"1,2,3,4,5"</formula1>
    </dataValidation>
    <dataValidation type="list" sqref="L5:L17" xr:uid="{00000000-0002-0000-0A00-000001000000}">
      <formula1>"Оставить,Объединить,Разделить,Уточнить,Исключить,Перенести в следующий выпуск"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D40420-4A5B-1EDE-8A5F-A48E38ED2852}">
            <x14:dataBar>
              <x14:cfvo type="min"/>
              <x14:cfvo type="max"/>
              <x14:negativeFillColor auto="1"/>
              <x14:axisColor auto="1"/>
            </x14:dataBar>
          </x14:cfRule>
          <xm:sqref>I5:I17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1"/>
  <sheetViews>
    <sheetView workbookViewId="0">
      <selection activeCell="C25" sqref="C25"/>
    </sheetView>
  </sheetViews>
  <sheetFormatPr defaultRowHeight="14.25"/>
  <cols>
    <col min="1" max="1" width="44" customWidth="1"/>
    <col min="2" max="2" width="55.625" customWidth="1"/>
    <col min="3" max="3" width="44.625" customWidth="1"/>
    <col min="4" max="4" width="16" customWidth="1"/>
    <col min="5" max="5" width="18" customWidth="1"/>
    <col min="6" max="6" width="55.625" customWidth="1"/>
    <col min="7" max="21" width="9.625" customWidth="1"/>
  </cols>
  <sheetData>
    <row r="1" spans="1:21" ht="20.25">
      <c r="A1" s="11" t="s">
        <v>169</v>
      </c>
      <c r="B1" s="11"/>
      <c r="C1" s="11"/>
      <c r="D1" s="11"/>
      <c r="E1" s="11"/>
      <c r="F1" s="1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" customHeight="1">
      <c r="A2" s="12" t="s">
        <v>788</v>
      </c>
      <c r="B2" s="12"/>
      <c r="C2" s="12"/>
      <c r="D2" s="12"/>
      <c r="E2" s="12"/>
      <c r="F2" s="1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5">
      <c r="A4" s="3" t="s">
        <v>170</v>
      </c>
      <c r="B4" s="3" t="s">
        <v>171</v>
      </c>
      <c r="C4" s="3" t="s">
        <v>172</v>
      </c>
      <c r="D4" s="3" t="s">
        <v>173</v>
      </c>
      <c r="E4" s="3" t="s">
        <v>89</v>
      </c>
      <c r="F4" s="3" t="s">
        <v>174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8.5">
      <c r="A5" s="2" t="s">
        <v>175</v>
      </c>
      <c r="B5" s="2" t="s">
        <v>176</v>
      </c>
      <c r="C5" s="2" t="s">
        <v>177</v>
      </c>
      <c r="D5" s="4">
        <f>IFERROR(COUNTIF(Пользовательские_сценарии!$N$5:$N$14,"Покрыт")/SUMPRODUCT(--(Пользовательские_сценарии!$A$5:$A$14&lt;&gt;"")),0)</f>
        <v>1</v>
      </c>
      <c r="E5" s="2" t="str">
        <f>IF(D5&gt;=0.9,"Норма",IF(D5&gt;=0.7,"Требует проверки","Проблема"))</f>
        <v>Норма</v>
      </c>
      <c r="F5" s="2" t="s">
        <v>178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179</v>
      </c>
      <c r="B6" s="2" t="s">
        <v>180</v>
      </c>
      <c r="C6" s="2" t="s">
        <v>181</v>
      </c>
      <c r="D6" s="2">
        <f>SUMPRODUCT(--(Страницы_и_экраны!$A$5:$A$17&lt;&gt;""),--(Страницы_и_экраны!$E$5:$E$17=""))</f>
        <v>0</v>
      </c>
      <c r="E6" s="2" t="str">
        <f>IF(D6=0,"Норма","Проблема")</f>
        <v>Норма</v>
      </c>
      <c r="F6" s="2" t="s">
        <v>182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8.5">
      <c r="A7" s="2" t="s">
        <v>183</v>
      </c>
      <c r="B7" s="2" t="s">
        <v>184</v>
      </c>
      <c r="C7" s="2" t="s">
        <v>185</v>
      </c>
      <c r="D7" s="4">
        <f>IFERROR(AVERAGE(Паспорт_экрана!$N$5:$N$10),0)</f>
        <v>1</v>
      </c>
      <c r="E7" s="2" t="str">
        <f>IF(D7&gt;=0.85,"Норма",IF(D7&gt;=0.6,"Требует проверки","Проблема"))</f>
        <v>Норма</v>
      </c>
      <c r="F7" s="2" t="s">
        <v>186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156</v>
      </c>
      <c r="B8" s="2" t="s">
        <v>187</v>
      </c>
      <c r="C8" s="2" t="s">
        <v>188</v>
      </c>
      <c r="D8" s="2">
        <f>SUMPRODUCT(--(Навигация_и_карта!$A$5:$A$19&lt;&gt;""))</f>
        <v>15</v>
      </c>
      <c r="E8" s="2" t="str">
        <f>IF(D8&gt;=SUMPRODUCT(--(Страницы_и_экраны!$A$5:$A$17&lt;&gt;""))-1,"Норма",IF(D8&gt;0,"Требует проверки","Проблема"))</f>
        <v>Норма</v>
      </c>
      <c r="F8" s="2" t="s">
        <v>189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8.5">
      <c r="A9" s="2" t="s">
        <v>190</v>
      </c>
      <c r="B9" s="2" t="s">
        <v>191</v>
      </c>
      <c r="C9" s="2" t="s">
        <v>192</v>
      </c>
      <c r="D9" s="4">
        <f>IFERROR(AVERAGE(Состояния_и_ошибки!$K$5:$K$10),0)</f>
        <v>1</v>
      </c>
      <c r="E9" s="2" t="str">
        <f>IF(D9&gt;=0.85,"Норма",IF(D9&gt;=0.6,"Требует проверки","Проблема"))</f>
        <v>Норма</v>
      </c>
      <c r="F9" s="2" t="s">
        <v>193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8.5">
      <c r="A10" s="2" t="s">
        <v>194</v>
      </c>
      <c r="B10" s="2" t="s">
        <v>195</v>
      </c>
      <c r="C10" s="2" t="s">
        <v>196</v>
      </c>
      <c r="D10" s="2">
        <f>SUMPRODUCT(--(Страницы_и_экраны!$A$5:$A$17&lt;&gt;""),--(Страницы_и_экраны!$P$5:$P$17&lt;&gt;""),--(Страницы_и_экраны!$P$5:$P$17&lt;&gt;"Не связана напрямую"))</f>
        <v>13</v>
      </c>
      <c r="E10" s="2" t="str">
        <f>IF(D10&gt;=1,"Норма","Требует проверки")</f>
        <v>Норма</v>
      </c>
      <c r="F10" s="2" t="s">
        <v>197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8.5">
      <c r="A11" s="2" t="s">
        <v>198</v>
      </c>
      <c r="B11" s="2" t="s">
        <v>199</v>
      </c>
      <c r="C11" s="2" t="s">
        <v>200</v>
      </c>
      <c r="D11" s="4">
        <f>IFERROR(SUMPRODUCT(--(Страницы_и_экраны!$A$5:$A$17&lt;&gt;""),--(Страницы_и_экраны!$J$5:$J$17&lt;&gt;""))/SUMPRODUCT(--(Страницы_и_экраны!$A$5:$A$17&lt;&gt;"")),0)</f>
        <v>1</v>
      </c>
      <c r="E11" s="2" t="str">
        <f>IF(D11&gt;=0.8,"Норма",IF(D11&gt;=0.6,"Требует проверки","Проблема"))</f>
        <v>Норма</v>
      </c>
      <c r="F11" s="2" t="s">
        <v>201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</sheetData>
  <mergeCells count="2">
    <mergeCell ref="A1:F1"/>
    <mergeCell ref="A2:F2"/>
  </mergeCells>
  <conditionalFormatting sqref="E5:E11">
    <cfRule type="expression" dxfId="2" priority="1">
      <formula>E5="Проблема"</formula>
    </cfRule>
    <cfRule type="expression" dxfId="1" priority="2">
      <formula>E5="Требует проверки"</formula>
    </cfRule>
    <cfRule type="expression" dxfId="0" priority="3">
      <formula>E5="Норма"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18"/>
  <sheetViews>
    <sheetView workbookViewId="0">
      <selection activeCell="C25" sqref="C25"/>
    </sheetView>
  </sheetViews>
  <sheetFormatPr defaultRowHeight="14.25"/>
  <cols>
    <col min="1" max="1" width="38" customWidth="1"/>
    <col min="2" max="2" width="18" customWidth="1"/>
    <col min="3" max="3" width="58" customWidth="1"/>
  </cols>
  <sheetData>
    <row r="1" spans="1:21" ht="16.149999999999999" customHeight="1">
      <c r="A1" s="11" t="s">
        <v>202</v>
      </c>
      <c r="B1" s="11"/>
      <c r="C1" s="11"/>
      <c r="D1" s="11"/>
      <c r="E1" s="11"/>
      <c r="F1" s="11"/>
      <c r="G1" s="11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149999999999999" customHeight="1">
      <c r="A2" s="12" t="s">
        <v>789</v>
      </c>
      <c r="B2" s="12"/>
      <c r="C2" s="12"/>
      <c r="D2" s="12"/>
      <c r="E2" s="12"/>
      <c r="F2" s="12"/>
      <c r="G2" s="12"/>
      <c r="H2" s="1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149999999999999" customHeight="1">
      <c r="A4" s="3" t="s">
        <v>203</v>
      </c>
      <c r="B4" s="3" t="s">
        <v>204</v>
      </c>
      <c r="C4" s="3" t="s">
        <v>205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5">
      <c r="A5" s="1" t="s">
        <v>206</v>
      </c>
      <c r="B5" s="4">
        <f>SUMPRODUCT(--(Пользовательские_сценарии!$A$5:$A$14&lt;&gt;""))</f>
        <v>10</v>
      </c>
      <c r="C5" s="2" t="s">
        <v>207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30">
      <c r="A6" s="1" t="s">
        <v>208</v>
      </c>
      <c r="B6" s="4">
        <f>IFERROR(COUNTIF(Пользовательские_сценарии!$N$5:$N$14,"Покрыт")/SUMPRODUCT(--(Пользовательские_сценарии!$A$5:$A$14&lt;&gt;"")),0)</f>
        <v>1</v>
      </c>
      <c r="C6" s="2" t="s">
        <v>209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5">
      <c r="A7" s="1" t="s">
        <v>210</v>
      </c>
      <c r="B7" s="4">
        <f>SUMPRODUCT(--(Страницы_и_экраны!$A$5:$A$17&lt;&gt;""))</f>
        <v>13</v>
      </c>
      <c r="C7" s="2" t="s">
        <v>211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30">
      <c r="A8" s="1" t="s">
        <v>212</v>
      </c>
      <c r="B8" s="4">
        <f>IFERROR(AVERAGE(Страницы_и_экраны!$T$5:$T$17),0)</f>
        <v>1</v>
      </c>
      <c r="C8" s="2" t="s">
        <v>213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5">
      <c r="A9" s="1" t="s">
        <v>185</v>
      </c>
      <c r="B9" s="2">
        <f>IFERROR(AVERAGE(Паспорт_экрана!$N$5:$N$10),0)</f>
        <v>1</v>
      </c>
      <c r="C9" s="2" t="s">
        <v>214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8.5">
      <c r="A10" s="1" t="s">
        <v>192</v>
      </c>
      <c r="B10" s="2">
        <f>IFERROR(AVERAGE(Состояния_и_ошибки!$K$5:$K$10),0)</f>
        <v>1</v>
      </c>
      <c r="C10" s="2" t="s">
        <v>215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5">
      <c r="A11" s="1" t="s">
        <v>216</v>
      </c>
      <c r="B11" s="2">
        <f>COUNTIF(Приоритизация!$J$5:$J$17,"P1 – первая версия")</f>
        <v>3</v>
      </c>
      <c r="C11" s="2" t="s">
        <v>217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5">
      <c r="A12" s="1" t="s">
        <v>218</v>
      </c>
      <c r="B12" s="4">
        <f>ROUND(AVERAGE(B6,B8,B9,B10),2)</f>
        <v>1</v>
      </c>
      <c r="C12" s="2" t="s">
        <v>219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5">
      <c r="A14" s="3" t="s">
        <v>220</v>
      </c>
      <c r="B14" s="3" t="s">
        <v>221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 t="s">
        <v>175</v>
      </c>
      <c r="B15" s="4">
        <f>B6</f>
        <v>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 t="s">
        <v>222</v>
      </c>
      <c r="B16" s="4">
        <f>B8</f>
        <v>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 t="s">
        <v>223</v>
      </c>
      <c r="B17" s="4">
        <f>B9</f>
        <v>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 t="s">
        <v>84</v>
      </c>
      <c r="B18" s="4">
        <f>B10</f>
        <v>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13"/>
  <sheetViews>
    <sheetView workbookViewId="0">
      <selection activeCell="C31" sqref="C31"/>
    </sheetView>
  </sheetViews>
  <sheetFormatPr defaultRowHeight="14.25"/>
  <cols>
    <col min="1" max="1" width="36.625" customWidth="1"/>
    <col min="2" max="4" width="28" customWidth="1"/>
    <col min="5" max="5" width="31.625" customWidth="1"/>
    <col min="6" max="7" width="28" customWidth="1"/>
    <col min="8" max="8" width="30.625" customWidth="1"/>
    <col min="9" max="12" width="28" customWidth="1"/>
    <col min="13" max="21" width="9.625" customWidth="1"/>
  </cols>
  <sheetData>
    <row r="1" spans="1:21" ht="20.25">
      <c r="A1" s="11" t="s">
        <v>224</v>
      </c>
      <c r="B1" s="11"/>
      <c r="C1" s="11"/>
      <c r="D1" s="11"/>
      <c r="E1" s="11"/>
      <c r="F1" s="11"/>
      <c r="G1" s="11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5">
      <c r="A3" s="5" t="s">
        <v>24</v>
      </c>
      <c r="B3" s="5" t="s">
        <v>58</v>
      </c>
      <c r="C3" s="5" t="s">
        <v>225</v>
      </c>
      <c r="D3" s="5" t="s">
        <v>106</v>
      </c>
      <c r="E3" s="5" t="s">
        <v>107</v>
      </c>
      <c r="F3" s="5" t="s">
        <v>89</v>
      </c>
      <c r="G3" s="5" t="s">
        <v>226</v>
      </c>
      <c r="H3" s="5" t="s">
        <v>92</v>
      </c>
      <c r="I3" s="5" t="s">
        <v>51</v>
      </c>
      <c r="J3" s="5" t="s">
        <v>227</v>
      </c>
      <c r="K3" s="5" t="s">
        <v>124</v>
      </c>
      <c r="L3" s="5" t="s">
        <v>228</v>
      </c>
      <c r="M3" s="2"/>
      <c r="N3" s="2"/>
      <c r="O3" s="2"/>
      <c r="P3" s="2"/>
      <c r="Q3" s="2"/>
      <c r="R3" s="2"/>
      <c r="S3" s="2"/>
      <c r="T3" s="2"/>
      <c r="U3" s="2"/>
    </row>
    <row r="4" spans="1:21">
      <c r="A4" s="2" t="s">
        <v>229</v>
      </c>
      <c r="B4" s="2" t="s">
        <v>230</v>
      </c>
      <c r="C4" s="2" t="s">
        <v>94</v>
      </c>
      <c r="D4" s="2" t="s">
        <v>113</v>
      </c>
      <c r="E4" s="2" t="s">
        <v>114</v>
      </c>
      <c r="F4" s="2" t="s">
        <v>231</v>
      </c>
      <c r="G4" s="2" t="s">
        <v>232</v>
      </c>
      <c r="H4" s="2" t="s">
        <v>99</v>
      </c>
      <c r="I4" s="2" t="s">
        <v>53</v>
      </c>
      <c r="J4" s="2" t="s">
        <v>233</v>
      </c>
      <c r="K4" s="2" t="s">
        <v>127</v>
      </c>
      <c r="L4" s="2" t="s">
        <v>765</v>
      </c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35</v>
      </c>
      <c r="B5" s="2" t="s">
        <v>71</v>
      </c>
      <c r="C5" s="2" t="s">
        <v>101</v>
      </c>
      <c r="D5" s="2" t="s">
        <v>234</v>
      </c>
      <c r="E5" s="2" t="s">
        <v>235</v>
      </c>
      <c r="F5" s="2" t="s">
        <v>98</v>
      </c>
      <c r="G5" s="2" t="s">
        <v>96</v>
      </c>
      <c r="H5" s="2" t="s">
        <v>236</v>
      </c>
      <c r="I5" s="2" t="s">
        <v>55</v>
      </c>
      <c r="J5" s="2" t="s">
        <v>97</v>
      </c>
      <c r="K5" s="2" t="s">
        <v>237</v>
      </c>
      <c r="L5" s="2" t="s">
        <v>766</v>
      </c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39</v>
      </c>
      <c r="B6" s="2" t="s">
        <v>238</v>
      </c>
      <c r="C6" s="2" t="s">
        <v>239</v>
      </c>
      <c r="D6" s="2" t="s">
        <v>240</v>
      </c>
      <c r="E6" s="2" t="s">
        <v>241</v>
      </c>
      <c r="F6" s="2" t="s">
        <v>103</v>
      </c>
      <c r="G6" s="2" t="s">
        <v>242</v>
      </c>
      <c r="H6" s="2" t="s">
        <v>243</v>
      </c>
      <c r="I6" s="2" t="s">
        <v>244</v>
      </c>
      <c r="J6" s="2" t="s">
        <v>102</v>
      </c>
      <c r="K6" s="2" t="s">
        <v>245</v>
      </c>
      <c r="L6" s="2" t="s">
        <v>767</v>
      </c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246</v>
      </c>
      <c r="B7" s="2" t="s">
        <v>73</v>
      </c>
      <c r="C7" s="2" t="s">
        <v>247</v>
      </c>
      <c r="D7" s="2" t="s">
        <v>248</v>
      </c>
      <c r="E7" s="2" t="s">
        <v>249</v>
      </c>
      <c r="F7" s="2" t="s">
        <v>250</v>
      </c>
      <c r="G7" s="2"/>
      <c r="H7" s="2" t="s">
        <v>251</v>
      </c>
      <c r="I7" s="2" t="s">
        <v>252</v>
      </c>
      <c r="J7" s="2" t="s">
        <v>253</v>
      </c>
      <c r="K7" s="2" t="s">
        <v>254</v>
      </c>
      <c r="L7" s="2" t="s">
        <v>255</v>
      </c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150</v>
      </c>
      <c r="B8" s="2" t="s">
        <v>256</v>
      </c>
      <c r="C8" s="2" t="s">
        <v>151</v>
      </c>
      <c r="D8" s="2" t="s">
        <v>257</v>
      </c>
      <c r="E8" s="2" t="s">
        <v>258</v>
      </c>
      <c r="F8" s="2" t="s">
        <v>259</v>
      </c>
      <c r="G8" s="2"/>
      <c r="H8" s="2" t="s">
        <v>258</v>
      </c>
      <c r="I8" s="2" t="s">
        <v>260</v>
      </c>
      <c r="J8" s="2" t="s">
        <v>261</v>
      </c>
      <c r="K8" s="2" t="s">
        <v>262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263</v>
      </c>
      <c r="B9" s="2" t="s">
        <v>264</v>
      </c>
      <c r="C9" s="2" t="s">
        <v>265</v>
      </c>
      <c r="D9" s="2" t="s">
        <v>266</v>
      </c>
      <c r="E9" s="2"/>
      <c r="F9" s="2" t="s">
        <v>267</v>
      </c>
      <c r="G9" s="2"/>
      <c r="H9" s="2" t="s">
        <v>268</v>
      </c>
      <c r="I9" s="2" t="s">
        <v>269</v>
      </c>
      <c r="J9" s="2" t="s">
        <v>270</v>
      </c>
      <c r="K9" s="2" t="s">
        <v>271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272</v>
      </c>
      <c r="B10" s="2" t="s">
        <v>273</v>
      </c>
      <c r="C10" s="2" t="s">
        <v>274</v>
      </c>
      <c r="D10" s="2"/>
      <c r="E10" s="2"/>
      <c r="F10" s="2"/>
      <c r="G10" s="2"/>
      <c r="H10" s="2"/>
      <c r="I10" s="2" t="s">
        <v>275</v>
      </c>
      <c r="J10" s="2"/>
      <c r="K10" s="2" t="s">
        <v>276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277</v>
      </c>
      <c r="B11" s="2" t="s">
        <v>278</v>
      </c>
      <c r="C11" s="2"/>
      <c r="D11" s="2"/>
      <c r="E11" s="2"/>
      <c r="F11" s="2"/>
      <c r="G11" s="2"/>
      <c r="H11" s="2"/>
      <c r="I11" s="2" t="s">
        <v>279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 t="s">
        <v>280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 t="s">
        <v>281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E98F-8AD1-4ED6-ADB4-2F5ABACB94B3}">
  <dimension ref="A1:C10"/>
  <sheetViews>
    <sheetView tabSelected="1" workbookViewId="0">
      <selection activeCell="C23" sqref="C23"/>
    </sheetView>
  </sheetViews>
  <sheetFormatPr defaultRowHeight="12.75"/>
  <cols>
    <col min="1" max="1" width="55.625" style="6" customWidth="1"/>
    <col min="2" max="2" width="9.625" style="6" customWidth="1"/>
    <col min="3" max="3" width="60.625" style="6" customWidth="1"/>
    <col min="4" max="16384" width="9" style="6"/>
  </cols>
  <sheetData>
    <row r="1" spans="1:3" ht="31.5">
      <c r="A1" s="8" t="s">
        <v>745</v>
      </c>
      <c r="B1" s="9"/>
      <c r="C1" s="9"/>
    </row>
    <row r="2" spans="1:3">
      <c r="A2" s="9"/>
      <c r="B2" s="9"/>
      <c r="C2" s="9"/>
    </row>
    <row r="3" spans="1:3">
      <c r="A3" s="10" t="s">
        <v>746</v>
      </c>
      <c r="B3" s="10" t="s">
        <v>747</v>
      </c>
      <c r="C3" s="10" t="s">
        <v>748</v>
      </c>
    </row>
    <row r="4" spans="1:3" ht="25.5">
      <c r="A4" s="7" t="s">
        <v>749</v>
      </c>
      <c r="B4" s="7" t="s">
        <v>750</v>
      </c>
      <c r="C4" s="7" t="s">
        <v>790</v>
      </c>
    </row>
    <row r="5" spans="1:3" ht="51">
      <c r="A5" s="7" t="s">
        <v>751</v>
      </c>
      <c r="B5" s="7" t="s">
        <v>752</v>
      </c>
      <c r="C5" s="7" t="s">
        <v>794</v>
      </c>
    </row>
    <row r="6" spans="1:3" ht="25.5">
      <c r="A6" s="7" t="s">
        <v>223</v>
      </c>
      <c r="B6" s="7" t="s">
        <v>753</v>
      </c>
      <c r="C6" s="7" t="s">
        <v>795</v>
      </c>
    </row>
    <row r="7" spans="1:3" ht="25.5">
      <c r="A7" s="7" t="s">
        <v>84</v>
      </c>
      <c r="B7" s="7" t="s">
        <v>754</v>
      </c>
      <c r="C7" s="7" t="s">
        <v>791</v>
      </c>
    </row>
    <row r="8" spans="1:3" ht="51">
      <c r="A8" s="7" t="s">
        <v>755</v>
      </c>
      <c r="B8" s="7" t="s">
        <v>756</v>
      </c>
      <c r="C8" s="7" t="s">
        <v>792</v>
      </c>
    </row>
    <row r="9" spans="1:3" ht="38.25">
      <c r="A9" s="7" t="s">
        <v>755</v>
      </c>
      <c r="B9" s="7" t="s">
        <v>757</v>
      </c>
      <c r="C9" s="7" t="s">
        <v>793</v>
      </c>
    </row>
    <row r="10" spans="1:3" ht="38.25">
      <c r="A10" s="7" t="s">
        <v>758</v>
      </c>
      <c r="B10" s="7" t="s">
        <v>759</v>
      </c>
      <c r="C10" s="7" t="s">
        <v>797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Инструкция</vt:lpstr>
      <vt:lpstr>Банк_выводов</vt:lpstr>
      <vt:lpstr>Роли_и_сегменты</vt:lpstr>
      <vt:lpstr>Пользовательские_сценарии</vt:lpstr>
      <vt:lpstr>Страницы_и_экраны</vt:lpstr>
      <vt:lpstr>Матрица_сценарий_интерфейс</vt:lpstr>
      <vt:lpstr>Навигация_и_карта</vt:lpstr>
      <vt:lpstr>Состояния_и_ошибки</vt:lpstr>
      <vt:lpstr>Контент_и_данные</vt:lpstr>
      <vt:lpstr>Паспорт_экрана</vt:lpstr>
      <vt:lpstr>Приоритизация</vt:lpstr>
      <vt:lpstr>Проверка_связности</vt:lpstr>
      <vt:lpstr>Дашборд</vt:lpstr>
      <vt:lpstr>Справочники</vt:lpstr>
      <vt:lpstr>Журнал_6_4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Страницы и экраны NotaCode</dc:title>
  <dc:creator>К. А. Хаджинова</dc:creator>
  <dc:description/>
  <cp:lastModifiedBy>Aliaksandr Khajynau</cp:lastModifiedBy>
  <dcterms:created xsi:type="dcterms:W3CDTF">2026-10-04T16:53:28Z</dcterms:created>
  <dcterms:modified xsi:type="dcterms:W3CDTF">2026-10-04T19:08:19Z</dcterms:modified>
</cp:coreProperties>
</file>