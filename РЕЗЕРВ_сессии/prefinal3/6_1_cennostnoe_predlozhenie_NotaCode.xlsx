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7A1C3D46-5E8E-41EE-8873-CC5775E7E484}" xr6:coauthVersionLast="47" xr6:coauthVersionMax="47" xr10:uidLastSave="{00000000-0000-0000-0000-000000000000}"/>
  <bookViews>
    <workbookView xWindow="28680" yWindow="-120" windowWidth="29040" windowHeight="15720" firstSheet="5" activeTab="11" xr2:uid="{00000000-000D-0000-FFFF-FFFF00000000}"/>
  </bookViews>
  <sheets>
    <sheet name="Справочники" sheetId="1" r:id="rId1"/>
    <sheet name="Инструкция" sheetId="2" r:id="rId2"/>
    <sheet name="Исходные данные" sheetId="3" r:id="rId3"/>
    <sheet name="Проблемы клиентов" sheetId="4" r:id="rId4"/>
    <sheet name="Конкурентные решения" sheetId="5" r:id="rId5"/>
    <sheet name="Ценностные предложения" sheetId="6" r:id="rId6"/>
    <sheet name="Цифровой товар" sheetId="7" r:id="rId7"/>
    <sheet name="Единица монетизации" sheetId="8" r:id="rId8"/>
    <sheet name="Бизнес-модель" sheetId="9" r:id="rId9"/>
    <sheet name="Проверка связности" sheetId="10" r:id="rId10"/>
    <sheet name="Дашборд" sheetId="11" r:id="rId11"/>
    <sheet name="Журнал_6_1" sheetId="12" r:id="rId12"/>
  </sheets>
  <calcPr calcId="191029" refMode="R1C1"/>
</workbook>
</file>

<file path=xl/calcChain.xml><?xml version="1.0" encoding="utf-8"?>
<calcChain xmlns="http://schemas.openxmlformats.org/spreadsheetml/2006/main">
  <c r="B5" i="11" l="1"/>
  <c r="L5" i="9"/>
  <c r="M6" i="8"/>
  <c r="N6" i="8" s="1"/>
  <c r="M5" i="8"/>
  <c r="N5" i="8" s="1"/>
  <c r="K5" i="7"/>
  <c r="L5" i="7" s="1"/>
  <c r="B8" i="11" s="1"/>
  <c r="J16" i="5"/>
  <c r="K16" i="5" s="1"/>
  <c r="J15" i="5"/>
  <c r="K15" i="5" s="1"/>
  <c r="J14" i="5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7" i="5"/>
  <c r="K7" i="5" s="1"/>
  <c r="J6" i="5"/>
  <c r="K6" i="5" s="1"/>
  <c r="J5" i="5"/>
  <c r="K5" i="5" s="1"/>
  <c r="K10" i="4"/>
  <c r="K9" i="4"/>
  <c r="L9" i="4" s="1"/>
  <c r="K8" i="4"/>
  <c r="L8" i="4" s="1"/>
  <c r="K7" i="4"/>
  <c r="L7" i="4" s="1"/>
  <c r="K6" i="4"/>
  <c r="L6" i="4" s="1"/>
  <c r="K5" i="4"/>
  <c r="L10" i="4"/>
  <c r="H6" i="8"/>
  <c r="H5" i="8"/>
  <c r="L5" i="6"/>
  <c r="B7" i="11" s="1"/>
  <c r="B6" i="11" l="1"/>
  <c r="B10" i="11"/>
  <c r="K5" i="6"/>
  <c r="L5" i="4"/>
  <c r="G6" i="10" l="1"/>
  <c r="H6" i="10" s="1"/>
  <c r="G5" i="10"/>
  <c r="F8" i="11"/>
  <c r="F7" i="11"/>
  <c r="F6" i="11"/>
  <c r="F5" i="11"/>
  <c r="B9" i="11" l="1"/>
  <c r="H5" i="10"/>
  <c r="F13" i="11" s="1"/>
  <c r="G8" i="11"/>
  <c r="G7" i="11"/>
  <c r="G5" i="11"/>
  <c r="G6" i="11"/>
  <c r="F14" i="11" l="1"/>
  <c r="F12" i="11"/>
  <c r="G12" i="11" l="1"/>
  <c r="G13" i="11"/>
  <c r="G14" i="11"/>
</calcChain>
</file>

<file path=xl/sharedStrings.xml><?xml version="1.0" encoding="utf-8"?>
<sst xmlns="http://schemas.openxmlformats.org/spreadsheetml/2006/main" count="608" uniqueCount="434">
  <si>
    <t>Справочники для выпадающих списков и шкал</t>
  </si>
  <si>
    <t>Шкала_1_5</t>
  </si>
  <si>
    <t>Сегменты</t>
  </si>
  <si>
    <t>Тип_проблемы</t>
  </si>
  <si>
    <t>Тип_ценности</t>
  </si>
  <si>
    <t>Тип_ЦП</t>
  </si>
  <si>
    <t>Тип_цифрового_товара</t>
  </si>
  <si>
    <t>Единица_монетизации</t>
  </si>
  <si>
    <t>Периодичность</t>
  </si>
  <si>
    <t>Статус</t>
  </si>
  <si>
    <t>Да_нет</t>
  </si>
  <si>
    <t>Элемент_БМ</t>
  </si>
  <si>
    <t>Решение_проверки</t>
  </si>
  <si>
    <t>Приоритет</t>
  </si>
  <si>
    <t>B2B</t>
  </si>
  <si>
    <t>Функциональная</t>
  </si>
  <si>
    <t>Экономия времени</t>
  </si>
  <si>
    <t>Устранение боли</t>
  </si>
  <si>
    <t>Веб-сервис</t>
  </si>
  <si>
    <t>Пользователь</t>
  </si>
  <si>
    <t>Разово</t>
  </si>
  <si>
    <t>Черновик</t>
  </si>
  <si>
    <t>Да</t>
  </si>
  <si>
    <t>Клиентские сегменты</t>
  </si>
  <si>
    <t>Проходят проверку</t>
  </si>
  <si>
    <t>Критический</t>
  </si>
  <si>
    <t>B2C</t>
  </si>
  <si>
    <t>Экономическая</t>
  </si>
  <si>
    <t>Снижение затрат</t>
  </si>
  <si>
    <t>Усиление результата</t>
  </si>
  <si>
    <t>Мобильное приложение</t>
  </si>
  <si>
    <t>Рабочее место</t>
  </si>
  <si>
    <t>Ежемесячно</t>
  </si>
  <si>
    <t>Нужно дополнить</t>
  </si>
  <si>
    <t>Нет</t>
  </si>
  <si>
    <t>Ценностное предложение</t>
  </si>
  <si>
    <t>Требуется доработка</t>
  </si>
  <si>
    <t>Высокий</t>
  </si>
  <si>
    <t>B2B2C</t>
  </si>
  <si>
    <t>Организационная</t>
  </si>
  <si>
    <t>Снижение риска</t>
  </si>
  <si>
    <t>Повышение удобства</t>
  </si>
  <si>
    <t>Личный кабинет</t>
  </si>
  <si>
    <t>Транзакция</t>
  </si>
  <si>
    <t>Ежеквартально</t>
  </si>
  <si>
    <t>Готово</t>
  </si>
  <si>
    <t>Каналы</t>
  </si>
  <si>
    <t>Недостаточно данных</t>
  </si>
  <si>
    <t>Средний</t>
  </si>
  <si>
    <t>Государственный сектор</t>
  </si>
  <si>
    <t>Информационная</t>
  </si>
  <si>
    <t>Повышение точности</t>
  </si>
  <si>
    <t>Автоматизация процесса</t>
  </si>
  <si>
    <t>Платформа</t>
  </si>
  <si>
    <t>Проект</t>
  </si>
  <si>
    <t>Ежегодно</t>
  </si>
  <si>
    <t>Отклонить</t>
  </si>
  <si>
    <t>Отношения с клиентами</t>
  </si>
  <si>
    <t>Низкий</t>
  </si>
  <si>
    <t>Смешанный сегмент</t>
  </si>
  <si>
    <t>Эмоциональная</t>
  </si>
  <si>
    <t>Рост дохода</t>
  </si>
  <si>
    <t>Новая возможность</t>
  </si>
  <si>
    <t>Расширение/модуль</t>
  </si>
  <si>
    <t>Объем данных</t>
  </si>
  <si>
    <t>По использованию</t>
  </si>
  <si>
    <t>Потоки доходов</t>
  </si>
  <si>
    <t>Техническая</t>
  </si>
  <si>
    <t>Контроль и прозрачность</t>
  </si>
  <si>
    <t>Дифференциация</t>
  </si>
  <si>
    <t>Прикладной программный интерфейс</t>
  </si>
  <si>
    <t>Операция</t>
  </si>
  <si>
    <t>Подписка</t>
  </si>
  <si>
    <t>Ключевые ресурсы</t>
  </si>
  <si>
    <t>Правовая/регуляторная</t>
  </si>
  <si>
    <t>Доступность</t>
  </si>
  <si>
    <t>Снижение барьера входа</t>
  </si>
  <si>
    <t>Цифровой контент</t>
  </si>
  <si>
    <t>Пакет функций</t>
  </si>
  <si>
    <t>Комиссия</t>
  </si>
  <si>
    <t>Ключевые виды деятельности</t>
  </si>
  <si>
    <t>Персонализация</t>
  </si>
  <si>
    <t>Аналитический сервис</t>
  </si>
  <si>
    <t>Результат/отчет</t>
  </si>
  <si>
    <t>Смешанная модель</t>
  </si>
  <si>
    <t>Ключевые партнеры</t>
  </si>
  <si>
    <t>Маркетплейс</t>
  </si>
  <si>
    <t>Доступ к аудитории</t>
  </si>
  <si>
    <t>Структура затрат</t>
  </si>
  <si>
    <t>Excel-шаблон к методике формулирования ценностного предложения и цифрового товара</t>
  </si>
  <si>
    <t>Раздел</t>
  </si>
  <si>
    <t>Что заполняется</t>
  </si>
  <si>
    <t>Результат</t>
  </si>
  <si>
    <t>1. Исходные данные</t>
  </si>
  <si>
    <t>2. Проблемы клиентов</t>
  </si>
  <si>
    <t>3. Конкурентные решения</t>
  </si>
  <si>
    <t>4. Ценностные предложения</t>
  </si>
  <si>
    <t>5. Цифровой товар</t>
  </si>
  <si>
    <t>6. Единица монетизации</t>
  </si>
  <si>
    <t>7. Связь с бизнес-моделью</t>
  </si>
  <si>
    <t>8. Проверка связности</t>
  </si>
  <si>
    <t>Исходные данные анализа</t>
  </si>
  <si>
    <t>ID источника</t>
  </si>
  <si>
    <t>Дата сбора</t>
  </si>
  <si>
    <t>Тип источника</t>
  </si>
  <si>
    <t>Площадка/сайт</t>
  </si>
  <si>
    <t>Компания/товар</t>
  </si>
  <si>
    <t>Ссылка</t>
  </si>
  <si>
    <t>Фрагмент факта</t>
  </si>
  <si>
    <t>Какая проблема/решение подтверждается</t>
  </si>
  <si>
    <t>Достоверность 1–5</t>
  </si>
  <si>
    <t>Комментарий</t>
  </si>
  <si>
    <t>SRC-001</t>
  </si>
  <si>
    <t>SRC-002</t>
  </si>
  <si>
    <t>Страница тарифов</t>
  </si>
  <si>
    <t>Анализ проблем клиентов</t>
  </si>
  <si>
    <t>ID проблемы</t>
  </si>
  <si>
    <t>Сегмент</t>
  </si>
  <si>
    <t>Тип проблемы</t>
  </si>
  <si>
    <t>Формулировка проблемы клиента</t>
  </si>
  <si>
    <t>Частота 1–5</t>
  </si>
  <si>
    <t>Интенсивность 1–5</t>
  </si>
  <si>
    <t>Срочность 1–5</t>
  </si>
  <si>
    <t>Незакрытость конкурентами 1–5</t>
  </si>
  <si>
    <t>Готовность платить 1–5</t>
  </si>
  <si>
    <t>Доказательность 1–5</t>
  </si>
  <si>
    <t>Индекс проблемы</t>
  </si>
  <si>
    <t>P-001</t>
  </si>
  <si>
    <t>P-002</t>
  </si>
  <si>
    <t>Анализ конкурентных решений</t>
  </si>
  <si>
    <t>Компания</t>
  </si>
  <si>
    <t>Сайт</t>
  </si>
  <si>
    <t>Как конкурент решает проблему</t>
  </si>
  <si>
    <t>Покрытие проблемы 1–5</t>
  </si>
  <si>
    <t>Ясность обещания 1–5</t>
  </si>
  <si>
    <t>Полнота товара 1–5</t>
  </si>
  <si>
    <t>Удобство доступа 1–5</t>
  </si>
  <si>
    <t>Индекс силы решения</t>
  </si>
  <si>
    <t>Уровень решения</t>
  </si>
  <si>
    <t>Формулирование ценностного предложения</t>
  </si>
  <si>
    <t>ID ЦП</t>
  </si>
  <si>
    <t>Опорная проблема</t>
  </si>
  <si>
    <t>Конкурентный пробел</t>
  </si>
  <si>
    <t>Обещаемый результат</t>
  </si>
  <si>
    <t>Механизм создания ценности</t>
  </si>
  <si>
    <t>Формулировка ценностного предложения</t>
  </si>
  <si>
    <t>Тип ЦП</t>
  </si>
  <si>
    <t>Тип ценности</t>
  </si>
  <si>
    <t>VP-001</t>
  </si>
  <si>
    <t>Описание цифрового товара как носителя ценности</t>
  </si>
  <si>
    <t>ID товара</t>
  </si>
  <si>
    <t>Название цифрового товара</t>
  </si>
  <si>
    <t>Тип цифрового товара</t>
  </si>
  <si>
    <t>Клиентская задача</t>
  </si>
  <si>
    <t>Базовая функция</t>
  </si>
  <si>
    <t>Расширенные функции</t>
  </si>
  <si>
    <t>Данные/алгоритмы как часть ценности</t>
  </si>
  <si>
    <t>Условия доступа и использования</t>
  </si>
  <si>
    <t>Носитель ценности</t>
  </si>
  <si>
    <t>Индекс товарной оформленности</t>
  </si>
  <si>
    <t>PR-001</t>
  </si>
  <si>
    <t>Определение единицы монетизации</t>
  </si>
  <si>
    <t>ID монетизации</t>
  </si>
  <si>
    <t>Единица монетизации</t>
  </si>
  <si>
    <t>Что покупает клиент</t>
  </si>
  <si>
    <t>Базовая цена</t>
  </si>
  <si>
    <t>Кол-во единиц в месяц</t>
  </si>
  <si>
    <t>Расчетная выручка</t>
  </si>
  <si>
    <t>Обоснование готовности платить</t>
  </si>
  <si>
    <t>Связь с ценностью 1–5</t>
  </si>
  <si>
    <t>Простота тарификации 1–5</t>
  </si>
  <si>
    <t>Повторяемость 1–5</t>
  </si>
  <si>
    <t>Монетизационный потенциал</t>
  </si>
  <si>
    <t>M-001</t>
  </si>
  <si>
    <t>Связь цифрового товара с бизнес-моделью</t>
  </si>
  <si>
    <t>ID модели</t>
  </si>
  <si>
    <t>Индекс полноты бизнес-модели</t>
  </si>
  <si>
    <t>BM-001</t>
  </si>
  <si>
    <t>Проверка связности: проблема → ценность → товар → монетизация → бизнес-модель</t>
  </si>
  <si>
    <t>ID проверки</t>
  </si>
  <si>
    <t>Индекс связности</t>
  </si>
  <si>
    <t>Решение</t>
  </si>
  <si>
    <t>Главный разрыв</t>
  </si>
  <si>
    <t>Что доработать</t>
  </si>
  <si>
    <t>CHK-001</t>
  </si>
  <si>
    <t>Сводный дашборд разработки ценностного предложения и цифрового товара</t>
  </si>
  <si>
    <t>Показатель</t>
  </si>
  <si>
    <t>Значение</t>
  </si>
  <si>
    <t>Интерпретация</t>
  </si>
  <si>
    <t>Приоритет проблемы</t>
  </si>
  <si>
    <t>Количество</t>
  </si>
  <si>
    <t>Доля</t>
  </si>
  <si>
    <t>Количество выявленных проблем</t>
  </si>
  <si>
    <t>Максимальный индекс проблемы</t>
  </si>
  <si>
    <t>Готовых ценностных предложений</t>
  </si>
  <si>
    <t>Готовых цифровых товаров</t>
  </si>
  <si>
    <t>Средний индекс связности</t>
  </si>
  <si>
    <t>Расчетная выручка по заполненным единицам</t>
  </si>
  <si>
    <t>Решение проверки</t>
  </si>
  <si>
    <t>Поисковый спрос</t>
  </si>
  <si>
    <t>Яндекс Вордстат</t>
  </si>
  <si>
    <t>Запросы по нотациям, Беларусь</t>
  </si>
  <si>
    <t>https://wordstat.yandex.ru</t>
  </si>
  <si>
    <t>Частотность запросов uml, bpmn, plantuml, idef0, erd и др. за 29.08-27.09.2026 (ЛР1, ЛР4)</t>
  </si>
  <si>
    <t>Спрос на диаграммы формальных нотаций</t>
  </si>
  <si>
    <t>Данные ЛР1-ЛР5; дата - день получения</t>
  </si>
  <si>
    <t>Трафик</t>
  </si>
  <si>
    <t>Similarweb Pro</t>
  </si>
  <si>
    <t>plantuml.com, mermaid.js.org и др.</t>
  </si>
  <si>
    <t>https://pro.similarweb.com</t>
  </si>
  <si>
    <t>PlantUML 739 657 визитов в месяц, 47,25 % органический поиск (июнь - август 2026)</t>
  </si>
  <si>
    <t>Текстовые инструменты востребованы</t>
  </si>
  <si>
    <t>SRC-003</t>
  </si>
  <si>
    <t>Опрос</t>
  </si>
  <si>
    <t>Опрос студентов (ЛР4)</t>
  </si>
  <si>
    <t>27 студентов</t>
  </si>
  <si>
    <t>ЛР4_Пять_сил_Портера/Python/data/survey_students.csv</t>
  </si>
  <si>
    <t>Коллаборация важна 26 из 27, экспорт PNG 27 из 27, SVG 18 из 27; средняя сложность Mermaid 2,6 из 5</t>
  </si>
  <si>
    <t>Требования к функциям и порог сложности текстовых языков</t>
  </si>
  <si>
    <t>SRC-004</t>
  </si>
  <si>
    <t>Готовность платить</t>
  </si>
  <si>
    <t>18 из 27 готовы платить; средняя максимальная цена 728 руб. (период в данных не указан)</t>
  </si>
  <si>
    <t>SRC-005</t>
  </si>
  <si>
    <t>Оценки</t>
  </si>
  <si>
    <t>Trustpilot</t>
  </si>
  <si>
    <t>Miro, Lucidchart, Creately</t>
  </si>
  <si>
    <t>https://www.trustpilot.com</t>
  </si>
  <si>
    <t>Lucidchart 1,5 (116 отзывов), Miro 2,1 (155), Creately 1,9 (58) (ЛР4)</t>
  </si>
  <si>
    <t>SRC-006</t>
  </si>
  <si>
    <t>G2, Capterra</t>
  </si>
  <si>
    <t>Lucidchart, draw.io, Eraser</t>
  </si>
  <si>
    <t>https://www.g2.com</t>
  </si>
  <si>
    <t>Lucidchart G2 4,5 (8 988); draw.io Capterra 4,6 (773) (ЛР2-3, ЛР4)</t>
  </si>
  <si>
    <t>Рынок высоко оценивает универсальные редакторы</t>
  </si>
  <si>
    <t>SRC-007</t>
  </si>
  <si>
    <t>mermaid.ai</t>
  </si>
  <si>
    <t>Mermaid Chart</t>
  </si>
  <si>
    <t>https://mermaid.ai/pricing/</t>
  </si>
  <si>
    <t>Тарифная логика за пользователя</t>
  </si>
  <si>
    <t>SRC-008</t>
  </si>
  <si>
    <t>lucid.app</t>
  </si>
  <si>
    <t>Lucidchart</t>
  </si>
  <si>
    <t>https://lucid.app/pricing/lucidchart</t>
  </si>
  <si>
    <t>Тарифная логика, ограничения Free</t>
  </si>
  <si>
    <t>SRC-009</t>
  </si>
  <si>
    <t>eraser.io</t>
  </si>
  <si>
    <t>Eraser</t>
  </si>
  <si>
    <t>https://www.eraser.io/pricing</t>
  </si>
  <si>
    <t>Лимиты ИИ как единица тарифа</t>
  </si>
  <si>
    <t>SRC-010</t>
  </si>
  <si>
    <t>whimsical.com</t>
  </si>
  <si>
    <t>Whimsical</t>
  </si>
  <si>
    <t>https://whimsical.com/pricing</t>
  </si>
  <si>
    <t>Тарифная логика</t>
  </si>
  <si>
    <t>SRC-011</t>
  </si>
  <si>
    <t>stormbpmn.com</t>
  </si>
  <si>
    <t>Storm</t>
  </si>
  <si>
    <t>https://stormbpmn.com/pricing</t>
  </si>
  <si>
    <t>Персональный бесплатно, Команда 1 200 руб., Бизнес 4 720 руб. за пользователя в месяц, Enterprise on-prem от 990 тыс. руб. в год</t>
  </si>
  <si>
    <t>Русскоязычный рынок, тарифы в рублях</t>
  </si>
  <si>
    <t>SRC-012</t>
  </si>
  <si>
    <t>Сайт продукта</t>
  </si>
  <si>
    <t>drawio.com</t>
  </si>
  <si>
    <t>draw.io</t>
  </si>
  <si>
    <t>https://www.drawio.com/</t>
  </si>
  <si>
    <t>Бесплатное приложение с открытым кодом, без enterprise-тарифа, 100M+ пользователей</t>
  </si>
  <si>
    <t>Бесплатный стандарт рынка</t>
  </si>
  <si>
    <t>SRC-013</t>
  </si>
  <si>
    <t>plantuml.com</t>
  </si>
  <si>
    <t>PlantUML</t>
  </si>
  <si>
    <t>https://plantuml.com/running</t>
  </si>
  <si>
    <t>Широкий набор UML у бесплатного инструмента</t>
  </si>
  <si>
    <t>SRC-014</t>
  </si>
  <si>
    <t>mermaid.js.org</t>
  </si>
  <si>
    <t>Mermaid</t>
  </si>
  <si>
    <t>https://mermaid.js.org/ecosystem/integrations-community.html</t>
  </si>
  <si>
    <t>Открытое сообщество как стандарт</t>
  </si>
  <si>
    <t>SRC-015</t>
  </si>
  <si>
    <t>Анализ конкурентов</t>
  </si>
  <si>
    <t>ЛР5</t>
  </si>
  <si>
    <t>8 конкурентов</t>
  </si>
  <si>
    <t>ЛР5_Анализ_конкурентов/Excel/analiz_konkurentov_Levitt_Kano_NotaCode.xlsx</t>
  </si>
  <si>
    <t>IDEF0, DFD, сети Петри на сайтах 8 конкурентов не найдены; полный набор UML, BPMN, ERD найден только у Lucidchart</t>
  </si>
  <si>
    <t>Конкурентный пробел по нотациям</t>
  </si>
  <si>
    <t>SRC-016</t>
  </si>
  <si>
    <t>ЛР5_Анализ_конкурентов/Excel/analiz_biznes_modeli_konkurentov_NotaCode.xlsx</t>
  </si>
  <si>
    <t>Рыночный стандарт бизнес-модели: бесплатный доступ, интеграции, независимые отзывы, раздел безопасности, документация</t>
  </si>
  <si>
    <t>Стандарт рынка</t>
  </si>
  <si>
    <t>SRC-017</t>
  </si>
  <si>
    <t>Документация проекта</t>
  </si>
  <si>
    <t>NotaCode/docs</t>
  </si>
  <si>
    <t>Концепция NotaCode</t>
  </si>
  <si>
    <t>NotaCode/docs/business/01-project-concept.md</t>
  </si>
  <si>
    <t>Состав товара, лимиты Free, допущения модели</t>
  </si>
  <si>
    <t>SRC-018</t>
  </si>
  <si>
    <t>SMART-цели и KPI</t>
  </si>
  <si>
    <t>NotaCode/docs/business/03-smart-goals.md</t>
  </si>
  <si>
    <t>Пороги метрик пилота</t>
  </si>
  <si>
    <t>SRC-019</t>
  </si>
  <si>
    <t>План MVP</t>
  </si>
  <si>
    <t>NotaCode/docs/planning/agile-plan.md</t>
  </si>
  <si>
    <t>Must: нотации волны 1 (UML, ERD, IDEF0, IDEF1X, IDEF3, DFD), редактор, холст, валидация, экспорт SVG и PNG, сохранение, ИИ-заглушка; BPMN - волна 2, сети Петри - волна 3; MVP до 06.12.2026</t>
  </si>
  <si>
    <t>Состав первого релиза и сроки</t>
  </si>
  <si>
    <t>Оценка экспертная. Источники SRC-003, SRC-013, SRC-014</t>
  </si>
  <si>
    <t>Оценка экспертная. Источники SRC-015, SRC-008; ЛР5</t>
  </si>
  <si>
    <t>P-003</t>
  </si>
  <si>
    <t>Оценка экспертная. Источники SRC-004, SRC-007 - SRC-010</t>
  </si>
  <si>
    <t>P-004</t>
  </si>
  <si>
    <t>Оценка экспертная. Источник SRC-003; ЛР5 (экспорт 8 из 8, коллаборация 6 из 8)</t>
  </si>
  <si>
    <t>P-005</t>
  </si>
  <si>
    <t>Оценка экспертная. Гипотеза; доказательность низкая</t>
  </si>
  <si>
    <t>P-006</t>
  </si>
  <si>
    <t>Оценка экспертная. Источник SRC-011</t>
  </si>
  <si>
    <t>https://lucid.co/lucidchart</t>
  </si>
  <si>
    <t>Страницы просмотрены 01.10.2026 (ЛР5)</t>
  </si>
  <si>
    <t>https://plantuml.com/</t>
  </si>
  <si>
    <t>https://www.mermaidchart.com/</t>
  </si>
  <si>
    <t>https://www.eraser.io/</t>
  </si>
  <si>
    <t>NotaCode</t>
  </si>
  <si>
    <t>Подписка Pro: расширенные возможности и снятие ограничений Free</t>
  </si>
  <si>
    <t>M-002</t>
  </si>
  <si>
    <t>Бесплатный доступ с ограничениями для студентов</t>
  </si>
  <si>
    <t>CHK-002</t>
  </si>
  <si>
    <t>Журнал рабочей копии: источники, формулы, ограничения</t>
  </si>
  <si>
    <t>Код</t>
  </si>
  <si>
    <t>Содержание</t>
  </si>
  <si>
    <t>Источники</t>
  </si>
  <si>
    <t>И-1</t>
  </si>
  <si>
    <t>Ф-1</t>
  </si>
  <si>
    <t>ИКЦП</t>
  </si>
  <si>
    <t>Ф-2</t>
  </si>
  <si>
    <t>ИКСТ</t>
  </si>
  <si>
    <t>Ф-3</t>
  </si>
  <si>
    <t>Монетизация</t>
  </si>
  <si>
    <t>Ф-4</t>
  </si>
  <si>
    <t>Ограничения</t>
  </si>
  <si>
    <t>О-1</t>
  </si>
  <si>
    <t>30.09.2026</t>
  </si>
  <si>
    <t>01.10.2026</t>
  </si>
  <si>
    <t>23.09.2026</t>
  </si>
  <si>
    <t>Basic Free (до 6 диаграмм, 15 ИИ-кредитов), Plus 10 у.е., Premium 20 у.е., Enterprise</t>
  </si>
  <si>
    <t>Free (3 документа, 75 фигур), Individual 9 у.е., Team 10 у.е., Enterprise; пробный период 7 дней</t>
  </si>
  <si>
    <t>Free 0 у.е. (3 файла, 3 ИИ-диаграммы), Starter 15 у.е., Business 45 у.е., Enterprise</t>
  </si>
  <si>
    <t>Free (50 объектов в месяц), Pro 10 у.е., Business 20 у.е. за редактора</t>
  </si>
  <si>
    <t>Сегменты S-01-S-04, тарифы Free и Pro (4 у.е. в месяц, 40 у.е. в год), допущения: конверсия 3-5 %, бюджет инфраструктуры 0, около 610 ч</t>
  </si>
  <si>
    <t>KPI первого года: 1 500 пользователей, активация не менее 60 %, D7 30 %, D30 15 %, конверсия в Pro 3 %, ARPPU 4 у.е., отток не более 8 %</t>
  </si>
  <si>
    <t>Free: 3 документа, 75 фигур; Individual 9 у.е., Team 10 у.е..</t>
  </si>
  <si>
    <t>Free: до 6 диаграмм; Plus 10 у.е., Premium 20 у.е..</t>
  </si>
  <si>
    <t>Free: 50 объектов в месяц, водяной знак; Pro 10 у.е., Business 20 у.е..</t>
  </si>
  <si>
    <t>Используются на расчетных листах для унификации классификации, оценок и статусов</t>
  </si>
  <si>
    <t>Книга предназначена для перехода от анализа проблем и конкурентов к проверяемому ценностному предложению, цифровому товару и единице монетизации</t>
  </si>
  <si>
    <t>Фиксируются источники: отзывы, сайты конкурентов, страницы тарифов, описания функций, кейсы, часто задаваемые вопросы</t>
  </si>
  <si>
    <t>Контролируемая база доказательств</t>
  </si>
  <si>
    <t>Каждая проблема оценивается по частоте, интенсивности, срочности, незакрытости конкурентами, готовности платить и доказательности</t>
  </si>
  <si>
    <t>Рейтинг проблем для выбора опорной проблемы</t>
  </si>
  <si>
    <t>По каждому конкуренту фиксируется, как он закрывает проблему и насколько убедительно оформляет свое решение</t>
  </si>
  <si>
    <t>Понимание рыночного стандарта и пробелов</t>
  </si>
  <si>
    <t>Для выбранных проблем формулируется обещаемый результат, разрыв рынка и итоговая формулировка ценностного предложения</t>
  </si>
  <si>
    <t>Готовая формула ценности для клиента</t>
  </si>
  <si>
    <t>Ценностное предложение переводится в состав цифрового товара: функции, данные, сценарии использования и условия доступа</t>
  </si>
  <si>
    <t>Проверяемое описание товара как носителя ценности</t>
  </si>
  <si>
    <t>Определяется, за что именно платит клиент: пользователь, доступ, транзакция, операция, объем данных, результат, пакет функций</t>
  </si>
  <si>
    <t>Экономическая единица бизнес-модели</t>
  </si>
  <si>
    <t>Проверяется, как товар и ценность связаны с клиентами, каналами, отношениями, ресурсами, доходами и затратами</t>
  </si>
  <si>
    <t>Согласованная бизнес-модель</t>
  </si>
  <si>
    <t>Оценивается, не разорвана ли цепочка: проблема → ценность → товар → монетизация → бизнес-модель</t>
  </si>
  <si>
    <t>Итоговое решение о готовности концепции</t>
  </si>
  <si>
    <t>Единый реестр источников, на основании которых выделяются проблемы, конкурентные решения и признаки ценности</t>
  </si>
  <si>
    <t>Приоритет проблемы рассчитывается по частоте, интенсивности, срочности, незакрытости конкурентами, готовности платить и доказательности</t>
  </si>
  <si>
    <t>Студент или аналитик, которому нужна диаграмма UML, BPMN или ERD к проекту, тратит время на освоение синтаксиса текстовых языков (PlantUML, Mermaid) и теряет результат при ошибке; сложность Mermaid в опросе в среднем 2,6 из 5</t>
  </si>
  <si>
    <t>Нотации IDEF0, DFD и сети Петри не поддерживаются ни одним из 8 просмотренных конкурентов; полный набор UML, BPMN и ERD есть только у платного Lucidchart</t>
  </si>
  <si>
    <t>Платные редакторы тарифицируются за пользователя от 9 до 20 у.е. в месяц (Mermaid Chart, Lucidchart, Eraser, Whimsical); бесплатные тарифы ограничены 3-6 документами или диаграммами</t>
  </si>
  <si>
    <t>Совместная работа и экспорт - ожидаемый минимум: коллаборация важна 26 из 27 опрошенных, экспорт PNG 27 из 27, SVG 18 из 27; эти функции уже есть у большинства конкурентов</t>
  </si>
  <si>
    <t>Русскоязычная среда и оплата в рублях: на русском языке с тарифами в рублях найден только Storm (платформа процессов BPMN)</t>
  </si>
  <si>
    <t>Редактор не подсказывает ошибки правил нотации при вводе; данных о реализации у конкурентов нет (не собрано: проверка продуктов)</t>
  </si>
  <si>
    <t>Лист показывает, какие проблемы конкуренты уже закрывают, где находится рыночный стандарт и где сохраняется пространство для дифференциации</t>
  </si>
  <si>
    <t>UML-, BPMN-шаблоны и ERD markup, но платный полный набор; IDEF0 и DFD не найдены</t>
  </si>
  <si>
    <t>UML, ER и блок-схемы в бесплатном редакторе; IDEF0 и DFD на главной странице не найдены</t>
  </si>
  <si>
    <t>Классовые, ER и другие диаграммы из текста; IDEF0, DFD, BPMN-редактора нет в просмотренных разделах</t>
  </si>
  <si>
    <t>Язык описания с подробным справочником; требует изучения синтаксиса</t>
  </si>
  <si>
    <t>Облачный редактор Mermaid с ИИ-кредитами (15 в Free)</t>
  </si>
  <si>
    <t>ИИ-генерация диаграмм и diagram-as-code; Free: 3 ИИ-диаграммы</t>
  </si>
  <si>
    <t>Полностью бесплатное приложение с открытым кодом</t>
  </si>
  <si>
    <t>Совместная работа в реальном времени, экспорт SVG, PNG, PDF</t>
  </si>
  <si>
    <t>Русскоязычная платформа BPMN с тарифами в рублях; только процессная нотация</t>
  </si>
  <si>
    <t>Ценностное предложение связывает опорную проблему клиента, конкурентный пробел и обещаемый измеримый результат</t>
  </si>
  <si>
    <t>Нет единого инструмента для всех нотаций проекта: IDEF0, DFD и сети Петри не найдены у 8 конкурентов, полный набор UML, BPMN, ERD - только у платного Lucidchart</t>
  </si>
  <si>
    <t>Конкуренты закрывают UML, ERD и BPMN по отдельности; Lucidchart - платно (9-10 у.е. в месяц), draw.io и PlantUML - без IDEF0 и DFD</t>
  </si>
  <si>
    <t>Получить диаграмму в любой нотации проекта из текстового описания в одном бесплатном веб-инструменте</t>
  </si>
  <si>
    <t>Текстовый ввод, визуальный редактор, набор нотаций UML, BPMN 2.0, ERD, IDEF0, DFD, сети Петри, ИИ-ассистент, экспорт</t>
  </si>
  <si>
    <t>Для студентов технических специальностей и аналитиков ПО, которым нужны диаграммы UML, BPMN, ERD, IDEF0 и DFD к проектам и учебным работам, NotaCode - веб-IDE «диаграммы как код» - позволяет получить диаграмму в выбранной нотации по текстовому описанию в одном инструменте без установки, в отличие от текстовых языков без визуального редактора и платных редакторов с оплатой за пользователя, потому что поддерживает весь набор нотаций проекта (в том числе IDEF0, DFD и сети Петри, не найденные у 8 конкурентов) и имеет бесплатный уровень Free</t>
  </si>
  <si>
    <t>Опорная проблема: наибольший индекс проблемы (74 по шаблону); ЦП нужно проверить на реальных клиентах</t>
  </si>
  <si>
    <t>На листе ценностное предложение переводится в состав цифрового товара, функции, пользовательский сценарий и условия доступа</t>
  </si>
  <si>
    <t>Построить диаграмму в нужной нотации из текстового описания без установки программ</t>
  </si>
  <si>
    <t>Редактор диаграмм «как код» (текст и визуализация) для UML, BPMN 2.0, ERD, IDEF0/IDEF1X/IDEF3, DFD, сетей Петри</t>
  </si>
  <si>
    <t>ИИ-ассистент (в MVP - заглушка с четырьмя режимами); экспорт SVG, PNG, XML и расширения нотации, кода и проекта (Pro: BPMN XML, XMI, PNML, draw.io, PlantUML, Mermaid, D2, DOT); работа в браузере (PWA)</t>
  </si>
  <si>
    <t>Описание диаграммы на текстовом языке; библиотека нотаций (данные и алгоритм разбора)</t>
  </si>
  <si>
    <t>Free - бесплатный доступ (все нотации, до 5 проектов, до 20 файлов, 20 последних версий); Pro - подписка 40 у.е. в год (48 у.е. при цене 4 у.е. в месяц, 4 x 12); вход через личный кабинет</t>
  </si>
  <si>
    <t>Продукт до выпуска MVP; состав подтверждается разработкой</t>
  </si>
  <si>
    <t>Единица монетизации показывает, за что именно платит клиент и как цифровой товар становится источником выручки</t>
  </si>
  <si>
    <t>Базовая оценка ЛР2-3, ЛР4: около 1 634 платящих пользователей (SAM 197 988 BYN, около 65 375 у.е.); в опросе 18 из 27 готовы платить; у конкурентов 9-20 у.е. за пользователя в месяц</t>
  </si>
  <si>
    <t>Free привлекает аудиторию и совпадает с практикой 8 из 8 конкурентов (бесплатный доступ или Free-тариф)</t>
  </si>
  <si>
    <t>Лист фиксирует, как ценностное предложение, цифровой товар и монетизация превращаются в элементы бизнес-модели</t>
  </si>
  <si>
    <t>Студенты технических специальностей (Free), аналитики и разработчики ПО (Pro); Беларусь, затем Россия и СНГ</t>
  </si>
  <si>
    <t>Диаграмма любой нотации проекта из текста в одном бесплатном веб-инструменте</t>
  </si>
  <si>
    <t>Сайт и PWA, поиск (Google, Яндекс), вузовские каналы, сообщества разработчиков</t>
  </si>
  <si>
    <t>Самообслуживание, документация, бесплатный уровень Free</t>
  </si>
  <si>
    <t>Подписка Pro 40 у.е. в год (48 у.е. при 4 x 12); Free без оплаты</t>
  </si>
  <si>
    <t>Платформа (PWA), движок нотаций, ИИ-ассистент, домен и репозиторий</t>
  </si>
  <si>
    <t>Разработка и поддержка движка нотаций, документация, продвижение</t>
  </si>
  <si>
    <t>Разработка, облачная инфраструктура, ИИ-вызовы, поддержка</t>
  </si>
  <si>
    <t>Блоки 8-10 - гипотезы без подтверждения договорами</t>
  </si>
  <si>
    <t>Итоговая проверка нужна для выявления разрывов между выбранной проблемой, обещанной ценностью, цифровым товаром и экономикой бизнес-модели</t>
  </si>
  <si>
    <t>Спрос не проверен на реальных клиентах; продукт до MVP</t>
  </si>
  <si>
    <t>Проверить цену Pro и состав Free опросом потребителей</t>
  </si>
  <si>
    <t>Определить границу Free и Pro</t>
  </si>
  <si>
    <t>Расчетные показатели обновляются после заполнения рабочих листов</t>
  </si>
  <si>
    <t>Объем базы проблем для выбора опорной проблемы</t>
  </si>
  <si>
    <t>Наиболее значимая проблема по текущей оценке</t>
  </si>
  <si>
    <t>Количество формулировок, прошедших минимальную проверку полноты</t>
  </si>
  <si>
    <t>Количество описаний товара с достаточной оформленностью</t>
  </si>
  <si>
    <t>Согласованность цепочки проблема → ценность → товар → монетизация → бизнес-модель</t>
  </si>
  <si>
    <t>Сумма расчетной месячной выручки по листу монетизации</t>
  </si>
  <si>
    <t>Данные ЛР1-ЛР5 (Вордстат, Similarweb Pro, опрос 27 студентов, Trustpilot, G2, Capterra, страницы 8 конкурентов 01.10.2026); 19 источников; страниц сайтов 8 в реестре и 40 в ЛР5 (норма 10+); конкурентов 8 (норма 3+)</t>
  </si>
  <si>
    <t>Ясность 4, значимость 4, отличимость 4, доказуемость 3, ограниченность 4, монетизационная связность 4: ИКЦП = 3,83 - нужно уточнение (порог 4,0)</t>
  </si>
  <si>
    <t>Опрос студентов пробный, по условным профилям (ЛР4) и подтверждает требования, но не спрос. Оценки шкал экспертные. Планируется собрать: не менее 30 текстов отзывов (G2, Capterra) и проверка спроса и цены на реальных клиентах</t>
  </si>
  <si>
    <t>Неудовлетворенность платными универсальными редакторами</t>
  </si>
  <si>
    <t>Запуск на своем сервере, интеграции в вики, редакторы и IDE; раздел классовых и ER-диаграмм</t>
  </si>
  <si>
    <t>Экосистема интеграций; 90 489 звезд GitHub</t>
  </si>
  <si>
    <t>Вузы (канал), платежный провайдер, ИИ-провайдер, облачная инфраструктура (не собрано: договоры)</t>
  </si>
  <si>
    <t>Free не дает выручки: нужна доля перехода в Pro</t>
  </si>
  <si>
    <t>Применена формула шаблона (веса 0,18/0,22/0,18/0,20/0,14/0,08, шкала 0-100). По формуле docx ИПП (0,20/0,25/0,20/0,15/0,10/0,10, шкала 1-5) для P-002: частота 3, последствие 4, неудовлетворенность 5, платежеспособность 3, реализуемость 5, связь с ростом 4 = 3,95 («использовать после уточнения сегмента»)</t>
  </si>
  <si>
    <t>Стандарт 3 (продукт до MVP), отличие 4, доказательность 3, монетизация 4, снижение риска 3, защищенность 2: ИКСТ = 3,30 - уточнить состав и обещание</t>
  </si>
  <si>
    <t>Единица - пользователь (подписка Pro, год). Число единиц 1 634 - годовая оценка платящих по ЛР2-3; шаблон считает выручку как цена на число единиц (65 360 у.е. в год), а в дашборде называет ее месячной - в отчете читать как годовую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</si>
</sst>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0"/>
      <color rgb="FF1F2937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4" fillId="0" borderId="0" xfId="1" applyFont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5" fillId="4" borderId="5" xfId="1" applyFont="1" applyFill="1" applyBorder="1" applyAlignment="1">
      <alignment horizontal="center" vertical="top" wrapText="1"/>
    </xf>
    <xf numFmtId="3" fontId="5" fillId="4" borderId="8" xfId="1" applyNumberFormat="1" applyFont="1" applyFill="1" applyBorder="1" applyAlignment="1">
      <alignment horizontal="center" vertical="top" wrapText="1"/>
    </xf>
    <xf numFmtId="9" fontId="4" fillId="0" borderId="0" xfId="1" applyNumberFormat="1" applyFont="1" applyAlignment="1">
      <alignment vertical="top" wrapText="1"/>
    </xf>
    <xf numFmtId="0" fontId="7" fillId="0" borderId="0" xfId="0" applyFont="1"/>
    <xf numFmtId="0" fontId="7" fillId="0" borderId="1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1" applyFont="1" applyFill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5" borderId="10" xfId="0" applyFont="1" applyFill="1" applyBorder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0" xfId="1" applyFont="1" applyFill="1" applyAlignment="1">
      <alignment horizontal="left" vertical="top" wrapText="1"/>
    </xf>
    <xf numFmtId="0" fontId="4" fillId="0" borderId="0" xfId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0" fillId="0" borderId="0" xfId="0" applyAlignment="1">
      <alignment vertical="center"/>
    </xf>
    <xf numFmtId="3" fontId="4" fillId="0" borderId="0" xfId="1" applyNumberFormat="1" applyFont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12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Дашборд!$E$5:$E$8</c:f>
              <c:strCache>
                <c:ptCount val="4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</c:strCache>
            </c:strRef>
          </c:cat>
          <c:val>
            <c:numRef>
              <c:f>Дашборд!$F$5:$F$8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0-459D-9880-DA2D98019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13</xdr:row>
      <xdr:rowOff>28575</xdr:rowOff>
    </xdr:from>
    <xdr:to>
      <xdr:col>3</xdr:col>
      <xdr:colOff>200025</xdr:colOff>
      <xdr:row>28</xdr:row>
      <xdr:rowOff>28575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Table" displayName="SourceDataTable" ref="A4:J23" headerRowDxfId="121" dataDxfId="43" totalsRowDxfId="120">
  <tableColumns count="10">
    <tableColumn id="1" xr3:uid="{00000000-0010-0000-0000-000001000000}" name="ID источника" dataDxfId="53"/>
    <tableColumn id="2" xr3:uid="{00000000-0010-0000-0000-000002000000}" name="Дата сбора" dataDxfId="52"/>
    <tableColumn id="3" xr3:uid="{00000000-0010-0000-0000-000003000000}" name="Тип источника" dataDxfId="51"/>
    <tableColumn id="4" xr3:uid="{00000000-0010-0000-0000-000004000000}" name="Площадка/сайт" dataDxfId="50"/>
    <tableColumn id="5" xr3:uid="{00000000-0010-0000-0000-000005000000}" name="Компания/товар" dataDxfId="49"/>
    <tableColumn id="6" xr3:uid="{00000000-0010-0000-0000-000006000000}" name="Ссылка" dataDxfId="48"/>
    <tableColumn id="7" xr3:uid="{00000000-0010-0000-0000-000007000000}" name="Фрагмент факта" dataDxfId="47"/>
    <tableColumn id="8" xr3:uid="{00000000-0010-0000-0000-000008000000}" name="Какая проблема/решение подтверждается" dataDxfId="46"/>
    <tableColumn id="9" xr3:uid="{00000000-0010-0000-0000-000009000000}" name="Достоверность 1–5" dataDxfId="45"/>
    <tableColumn id="10" xr3:uid="{00000000-0010-0000-0000-00000A000000}" name="Комментарий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blemsTable" displayName="ProblemsTable" ref="A4:M10" headerRowDxfId="119" dataDxfId="118" totalsRowDxfId="117">
  <tableColumns count="13">
    <tableColumn id="1" xr3:uid="{00000000-0010-0000-0100-000001000000}" name="ID проблемы" dataDxfId="116"/>
    <tableColumn id="2" xr3:uid="{00000000-0010-0000-0100-000002000000}" name="Сегмент" dataDxfId="115"/>
    <tableColumn id="3" xr3:uid="{00000000-0010-0000-0100-000003000000}" name="Тип проблемы" dataDxfId="114"/>
    <tableColumn id="4" xr3:uid="{00000000-0010-0000-0100-000004000000}" name="Формулировка проблемы клиента" dataDxfId="113"/>
    <tableColumn id="5" xr3:uid="{00000000-0010-0000-0100-000005000000}" name="Частота 1–5" dataDxfId="112"/>
    <tableColumn id="6" xr3:uid="{00000000-0010-0000-0100-000006000000}" name="Интенсивность 1–5" dataDxfId="111"/>
    <tableColumn id="7" xr3:uid="{00000000-0010-0000-0100-000007000000}" name="Срочность 1–5" dataDxfId="110"/>
    <tableColumn id="8" xr3:uid="{00000000-0010-0000-0100-000008000000}" name="Незакрытость конкурентами 1–5" dataDxfId="109"/>
    <tableColumn id="9" xr3:uid="{00000000-0010-0000-0100-000009000000}" name="Готовность платить 1–5" dataDxfId="108"/>
    <tableColumn id="10" xr3:uid="{00000000-0010-0000-0100-00000A000000}" name="Доказательность 1–5" dataDxfId="107"/>
    <tableColumn id="11" xr3:uid="{00000000-0010-0000-0100-00000B000000}" name="Индекс проблемы" dataDxfId="106"/>
    <tableColumn id="12" xr3:uid="{00000000-0010-0000-0100-00000C000000}" name="Приоритет" dataDxfId="105"/>
    <tableColumn id="13" xr3:uid="{00000000-0010-0000-0100-00000D000000}" name="Комментарий" dataDxfId="1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olutionsTable" displayName="CompetitorSolutionsTable" ref="A4:L16" headerRowDxfId="103" dataDxfId="102" totalsRowDxfId="101">
  <tableColumns count="12">
    <tableColumn id="1" xr3:uid="{00000000-0010-0000-0200-000001000000}" name="Компания" dataDxfId="100"/>
    <tableColumn id="2" xr3:uid="{00000000-0010-0000-0200-000002000000}" name="Сайт" dataDxfId="99"/>
    <tableColumn id="3" xr3:uid="{00000000-0010-0000-0200-000003000000}" name="ID проблемы" dataDxfId="98"/>
    <tableColumn id="4" xr3:uid="{00000000-0010-0000-0200-000004000000}" name="Как конкурент решает проблему" dataDxfId="97"/>
    <tableColumn id="5" xr3:uid="{00000000-0010-0000-0200-000005000000}" name="Покрытие проблемы 1–5" dataDxfId="96"/>
    <tableColumn id="6" xr3:uid="{00000000-0010-0000-0200-000006000000}" name="Ясность обещания 1–5" dataDxfId="95"/>
    <tableColumn id="7" xr3:uid="{00000000-0010-0000-0200-000007000000}" name="Полнота товара 1–5" dataDxfId="94"/>
    <tableColumn id="8" xr3:uid="{00000000-0010-0000-0200-000008000000}" name="Удобство доступа 1–5" dataDxfId="93"/>
    <tableColumn id="9" xr3:uid="{00000000-0010-0000-0200-000009000000}" name="Доказательность 1–5" dataDxfId="92"/>
    <tableColumn id="10" xr3:uid="{00000000-0010-0000-0200-00000A000000}" name="Индекс силы решения" dataDxfId="91"/>
    <tableColumn id="11" xr3:uid="{00000000-0010-0000-0200-00000B000000}" name="Уровень решения" dataDxfId="90"/>
    <tableColumn id="12" xr3:uid="{00000000-0010-0000-0200-00000C000000}" name="Комментарий" dataDxfId="8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positionsTable" displayName="ValuePropositionsTable" ref="A4:M5" headerRowDxfId="88" dataDxfId="29" totalsRowDxfId="87">
  <tableColumns count="13">
    <tableColumn id="1" xr3:uid="{00000000-0010-0000-0300-000001000000}" name="ID ЦП" dataDxfId="42"/>
    <tableColumn id="2" xr3:uid="{00000000-0010-0000-0300-000002000000}" name="ID проблемы" dataDxfId="41"/>
    <tableColumn id="3" xr3:uid="{00000000-0010-0000-0300-000003000000}" name="Сегмент" dataDxfId="40"/>
    <tableColumn id="4" xr3:uid="{00000000-0010-0000-0300-000004000000}" name="Опорная проблема" dataDxfId="39"/>
    <tableColumn id="5" xr3:uid="{00000000-0010-0000-0300-000005000000}" name="Конкурентный пробел" dataDxfId="38"/>
    <tableColumn id="6" xr3:uid="{00000000-0010-0000-0300-000006000000}" name="Обещаемый результат" dataDxfId="37"/>
    <tableColumn id="7" xr3:uid="{00000000-0010-0000-0300-000007000000}" name="Механизм создания ценности" dataDxfId="36"/>
    <tableColumn id="8" xr3:uid="{00000000-0010-0000-0300-000008000000}" name="Формулировка ценностного предложения" dataDxfId="35"/>
    <tableColumn id="9" xr3:uid="{00000000-0010-0000-0300-000009000000}" name="Тип ЦП" dataDxfId="34"/>
    <tableColumn id="10" xr3:uid="{00000000-0010-0000-0300-00000A000000}" name="Тип ценности" dataDxfId="33"/>
    <tableColumn id="11" xr3:uid="{00000000-0010-0000-0300-00000B000000}" name="Индекс проблемы" dataDxfId="32"/>
    <tableColumn id="12" xr3:uid="{00000000-0010-0000-0300-00000C000000}" name="Статус" dataDxfId="31"/>
    <tableColumn id="13" xr3:uid="{00000000-0010-0000-0300-00000D000000}" name="Комментарий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gitalProductTable" displayName="DigitalProductTable" ref="A4:M5" headerRowDxfId="86" dataDxfId="15" totalsRowDxfId="85">
  <tableColumns count="13">
    <tableColumn id="1" xr3:uid="{00000000-0010-0000-0400-000001000000}" name="ID товара" dataDxfId="28"/>
    <tableColumn id="2" xr3:uid="{00000000-0010-0000-0400-000002000000}" name="ID ЦП" dataDxfId="27"/>
    <tableColumn id="3" xr3:uid="{00000000-0010-0000-0400-000003000000}" name="Название цифрового товара" dataDxfId="26"/>
    <tableColumn id="4" xr3:uid="{00000000-0010-0000-0400-000004000000}" name="Тип цифрового товара" dataDxfId="25"/>
    <tableColumn id="5" xr3:uid="{00000000-0010-0000-0400-000005000000}" name="Клиентская задача" dataDxfId="24"/>
    <tableColumn id="6" xr3:uid="{00000000-0010-0000-0400-000006000000}" name="Базовая функция" dataDxfId="23"/>
    <tableColumn id="7" xr3:uid="{00000000-0010-0000-0400-000007000000}" name="Расширенные функции" dataDxfId="22"/>
    <tableColumn id="8" xr3:uid="{00000000-0010-0000-0400-000008000000}" name="Данные/алгоритмы как часть ценности" dataDxfId="21"/>
    <tableColumn id="9" xr3:uid="{00000000-0010-0000-0400-000009000000}" name="Условия доступа и использования" dataDxfId="20"/>
    <tableColumn id="10" xr3:uid="{00000000-0010-0000-0400-00000A000000}" name="Носитель ценности" dataDxfId="19"/>
    <tableColumn id="11" xr3:uid="{00000000-0010-0000-0400-00000B000000}" name="Индекс товарной оформленности" dataDxfId="18"/>
    <tableColumn id="12" xr3:uid="{00000000-0010-0000-0400-00000C000000}" name="Статус" dataDxfId="17"/>
    <tableColumn id="13" xr3:uid="{00000000-0010-0000-0400-00000D000000}" name="Комментарий" dataDxfId="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4:N6" headerRowDxfId="84" dataDxfId="0" totalsRowDxfId="83">
  <tableColumns count="14">
    <tableColumn id="1" xr3:uid="{00000000-0010-0000-0500-000001000000}" name="ID монетизации" dataDxfId="14"/>
    <tableColumn id="2" xr3:uid="{00000000-0010-0000-0500-000002000000}" name="ID товара" dataDxfId="13"/>
    <tableColumn id="3" xr3:uid="{00000000-0010-0000-0500-000003000000}" name="Единица монетизации" dataDxfId="12"/>
    <tableColumn id="4" xr3:uid="{00000000-0010-0000-0500-000004000000}" name="Что покупает клиент" dataDxfId="11"/>
    <tableColumn id="5" xr3:uid="{00000000-0010-0000-0500-000005000000}" name="Периодичность" dataDxfId="10"/>
    <tableColumn id="6" xr3:uid="{00000000-0010-0000-0500-000006000000}" name="Базовая цена" dataDxfId="9"/>
    <tableColumn id="7" xr3:uid="{00000000-0010-0000-0500-000007000000}" name="Кол-во единиц в месяц" dataDxfId="8"/>
    <tableColumn id="8" xr3:uid="{00000000-0010-0000-0500-000008000000}" name="Расчетная выручка" dataDxfId="7"/>
    <tableColumn id="9" xr3:uid="{00000000-0010-0000-0500-000009000000}" name="Обоснование готовности платить" dataDxfId="6"/>
    <tableColumn id="10" xr3:uid="{00000000-0010-0000-0500-00000A000000}" name="Связь с ценностью 1–5" dataDxfId="5"/>
    <tableColumn id="11" xr3:uid="{00000000-0010-0000-0500-00000B000000}" name="Простота тарификации 1–5" dataDxfId="4"/>
    <tableColumn id="12" xr3:uid="{00000000-0010-0000-0500-00000C000000}" name="Повторяемость 1–5" dataDxfId="3"/>
    <tableColumn id="13" xr3:uid="{00000000-0010-0000-0500-00000D000000}" name="Монетизационный потенциал" dataDxfId="2"/>
    <tableColumn id="14" xr3:uid="{00000000-0010-0000-0500-00000E000000}" name="Статус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usinessModelTable" displayName="BusinessModelTable" ref="A4:M5" headerRowDxfId="82" dataDxfId="81" totalsRowDxfId="80">
  <tableColumns count="13">
    <tableColumn id="1" xr3:uid="{00000000-0010-0000-0600-000001000000}" name="ID модели" dataDxfId="79"/>
    <tableColumn id="2" xr3:uid="{00000000-0010-0000-0600-000002000000}" name="ID товара" dataDxfId="78"/>
    <tableColumn id="3" xr3:uid="{00000000-0010-0000-0600-000003000000}" name="Клиентские сегменты" dataDxfId="77"/>
    <tableColumn id="4" xr3:uid="{00000000-0010-0000-0600-000004000000}" name="Ценностное предложение" dataDxfId="76"/>
    <tableColumn id="5" xr3:uid="{00000000-0010-0000-0600-000005000000}" name="Каналы" dataDxfId="75"/>
    <tableColumn id="6" xr3:uid="{00000000-0010-0000-0600-000006000000}" name="Отношения с клиентами" dataDxfId="74"/>
    <tableColumn id="7" xr3:uid="{00000000-0010-0000-0600-000007000000}" name="Потоки доходов" dataDxfId="73"/>
    <tableColumn id="8" xr3:uid="{00000000-0010-0000-0600-000008000000}" name="Ключевые ресурсы" dataDxfId="72"/>
    <tableColumn id="9" xr3:uid="{00000000-0010-0000-0600-000009000000}" name="Ключевые виды деятельности" dataDxfId="71"/>
    <tableColumn id="10" xr3:uid="{00000000-0010-0000-0600-00000A000000}" name="Ключевые партнеры" dataDxfId="70"/>
    <tableColumn id="11" xr3:uid="{00000000-0010-0000-0600-00000B000000}" name="Структура затрат" dataDxfId="69"/>
    <tableColumn id="12" xr3:uid="{00000000-0010-0000-0600-00000C000000}" name="Индекс полноты бизнес-модели" dataDxfId="68"/>
    <tableColumn id="13" xr3:uid="{00000000-0010-0000-0600-00000D000000}" name="Комментарий" dataDxfId="6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herenceCheckTable" displayName="CoherenceCheckTable" ref="A4:J6" headerRowDxfId="66" dataDxfId="65" totalsRowDxfId="64">
  <tableColumns count="10">
    <tableColumn id="1" xr3:uid="{00000000-0010-0000-0700-000001000000}" name="ID проверки" dataDxfId="63"/>
    <tableColumn id="2" xr3:uid="{00000000-0010-0000-0700-000002000000}" name="ID проблемы" dataDxfId="62"/>
    <tableColumn id="3" xr3:uid="{00000000-0010-0000-0700-000003000000}" name="ID ЦП" dataDxfId="61"/>
    <tableColumn id="4" xr3:uid="{00000000-0010-0000-0700-000004000000}" name="ID товара" dataDxfId="60"/>
    <tableColumn id="5" xr3:uid="{00000000-0010-0000-0700-000005000000}" name="ID монетизации" dataDxfId="59"/>
    <tableColumn id="6" xr3:uid="{00000000-0010-0000-0700-000006000000}" name="ID модели" dataDxfId="58"/>
    <tableColumn id="7" xr3:uid="{00000000-0010-0000-0700-000007000000}" name="Индекс связности" dataDxfId="57"/>
    <tableColumn id="8" xr3:uid="{00000000-0010-0000-0700-000008000000}" name="Решение" dataDxfId="56"/>
    <tableColumn id="9" xr3:uid="{00000000-0010-0000-0700-000009000000}" name="Главный разрыв" dataDxfId="55"/>
    <tableColumn id="10" xr3:uid="{00000000-0010-0000-0700-00000A000000}" name="Что доработать" dataDxf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D31" sqref="D31"/>
    </sheetView>
  </sheetViews>
  <sheetFormatPr defaultRowHeight="14.25"/>
  <cols>
    <col min="1" max="1" width="27" customWidth="1"/>
    <col min="2" max="2" width="24.625" customWidth="1"/>
    <col min="3" max="3" width="23.625" customWidth="1"/>
    <col min="4" max="4" width="25.625" customWidth="1"/>
    <col min="5" max="5" width="24.625" customWidth="1"/>
    <col min="6" max="6" width="34.625" customWidth="1"/>
    <col min="7" max="10" width="22" customWidth="1"/>
    <col min="11" max="11" width="28.625" customWidth="1"/>
    <col min="12" max="13" width="22" customWidth="1"/>
  </cols>
  <sheetData>
    <row r="1" spans="1:13" ht="1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5" customHeight="1">
      <c r="A2" s="23" t="s">
        <v>349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30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  <c r="M3" s="14" t="s">
        <v>13</v>
      </c>
    </row>
    <row r="4" spans="1:13">
      <c r="A4" s="1">
        <v>1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</row>
    <row r="5" spans="1:13">
      <c r="A5" s="1">
        <v>2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</row>
    <row r="6" spans="1:13">
      <c r="A6" s="1">
        <v>3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  <c r="J6" s="1"/>
      <c r="K6" s="1" t="s">
        <v>46</v>
      </c>
      <c r="L6" s="1" t="s">
        <v>47</v>
      </c>
      <c r="M6" s="1" t="s">
        <v>48</v>
      </c>
    </row>
    <row r="7" spans="1:13">
      <c r="A7" s="1">
        <v>4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/>
      <c r="K7" s="1" t="s">
        <v>57</v>
      </c>
      <c r="L7" s="1"/>
      <c r="M7" s="1" t="s">
        <v>58</v>
      </c>
    </row>
    <row r="8" spans="1:13">
      <c r="A8" s="1">
        <v>5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65</v>
      </c>
      <c r="I8" s="1"/>
      <c r="J8" s="1"/>
      <c r="K8" s="1" t="s">
        <v>66</v>
      </c>
      <c r="L8" s="1"/>
      <c r="M8" s="1"/>
    </row>
    <row r="9" spans="1:13">
      <c r="A9" s="1"/>
      <c r="B9" s="1"/>
      <c r="C9" s="1" t="s">
        <v>67</v>
      </c>
      <c r="D9" s="1" t="s">
        <v>68</v>
      </c>
      <c r="E9" s="1" t="s">
        <v>69</v>
      </c>
      <c r="F9" s="1" t="s">
        <v>70</v>
      </c>
      <c r="G9" s="1" t="s">
        <v>71</v>
      </c>
      <c r="H9" s="1" t="s">
        <v>72</v>
      </c>
      <c r="I9" s="1"/>
      <c r="J9" s="1"/>
      <c r="K9" s="1" t="s">
        <v>73</v>
      </c>
      <c r="L9" s="1"/>
      <c r="M9" s="1"/>
    </row>
    <row r="10" spans="1:13">
      <c r="A10" s="1"/>
      <c r="B10" s="1"/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  <c r="I10" s="1"/>
      <c r="J10" s="1"/>
      <c r="K10" s="1" t="s">
        <v>80</v>
      </c>
      <c r="L10" s="1"/>
      <c r="M10" s="1"/>
    </row>
    <row r="11" spans="1:13">
      <c r="A11" s="1"/>
      <c r="B11" s="1"/>
      <c r="C11" s="1"/>
      <c r="D11" s="1" t="s">
        <v>81</v>
      </c>
      <c r="E11" s="1"/>
      <c r="F11" s="1" t="s">
        <v>82</v>
      </c>
      <c r="G11" s="1" t="s">
        <v>83</v>
      </c>
      <c r="H11" s="1" t="s">
        <v>84</v>
      </c>
      <c r="I11" s="1"/>
      <c r="J11" s="1"/>
      <c r="K11" s="1" t="s">
        <v>85</v>
      </c>
      <c r="L11" s="1"/>
      <c r="M11" s="1"/>
    </row>
    <row r="12" spans="1:13">
      <c r="A12" s="1"/>
      <c r="B12" s="1"/>
      <c r="C12" s="1"/>
      <c r="D12" s="1"/>
      <c r="E12" s="1"/>
      <c r="F12" s="1" t="s">
        <v>86</v>
      </c>
      <c r="G12" s="1" t="s">
        <v>87</v>
      </c>
      <c r="H12" s="1"/>
      <c r="I12" s="1"/>
      <c r="J12" s="1"/>
      <c r="K12" s="1" t="s">
        <v>88</v>
      </c>
      <c r="L12" s="1"/>
      <c r="M12" s="1"/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B26" sqref="B26"/>
    </sheetView>
  </sheetViews>
  <sheetFormatPr defaultRowHeight="14.25"/>
  <cols>
    <col min="1" max="1" width="31.625" customWidth="1"/>
    <col min="2" max="2" width="60.625" customWidth="1"/>
    <col min="3" max="3" width="53.625" customWidth="1"/>
    <col min="4" max="11" width="9.625" customWidth="1"/>
  </cols>
  <sheetData>
    <row r="1" spans="1:11" ht="15" customHeight="1">
      <c r="A1" s="21" t="s">
        <v>89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" customHeight="1">
      <c r="A2" s="23" t="s">
        <v>350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15">
      <c r="A4" s="15" t="s">
        <v>90</v>
      </c>
      <c r="B4" s="16" t="s">
        <v>91</v>
      </c>
      <c r="C4" s="17" t="s">
        <v>92</v>
      </c>
      <c r="D4" s="13"/>
      <c r="E4" s="13"/>
      <c r="F4" s="13"/>
      <c r="G4" s="13"/>
      <c r="H4" s="13"/>
      <c r="I4" s="13"/>
      <c r="J4" s="13"/>
      <c r="K4" s="13"/>
    </row>
    <row r="5" spans="1:11" ht="25.5">
      <c r="A5" s="2" t="s">
        <v>93</v>
      </c>
      <c r="B5" s="3" t="s">
        <v>351</v>
      </c>
      <c r="C5" s="4" t="s">
        <v>352</v>
      </c>
      <c r="D5" s="13"/>
      <c r="E5" s="13"/>
      <c r="F5" s="13"/>
      <c r="G5" s="13"/>
      <c r="H5" s="13"/>
      <c r="I5" s="13"/>
      <c r="J5" s="13"/>
      <c r="K5" s="13"/>
    </row>
    <row r="6" spans="1:11" ht="25.5">
      <c r="A6" s="2" t="s">
        <v>94</v>
      </c>
      <c r="B6" s="3" t="s">
        <v>353</v>
      </c>
      <c r="C6" s="4" t="s">
        <v>354</v>
      </c>
      <c r="D6" s="13"/>
      <c r="E6" s="13"/>
      <c r="F6" s="13"/>
      <c r="G6" s="13"/>
      <c r="H6" s="13"/>
      <c r="I6" s="13"/>
      <c r="J6" s="13"/>
      <c r="K6" s="13"/>
    </row>
    <row r="7" spans="1:11" ht="25.5">
      <c r="A7" s="2" t="s">
        <v>95</v>
      </c>
      <c r="B7" s="3" t="s">
        <v>355</v>
      </c>
      <c r="C7" s="4" t="s">
        <v>356</v>
      </c>
      <c r="D7" s="13"/>
      <c r="E7" s="13"/>
      <c r="F7" s="13"/>
      <c r="G7" s="13"/>
      <c r="H7" s="13"/>
      <c r="I7" s="13"/>
      <c r="J7" s="13"/>
      <c r="K7" s="13"/>
    </row>
    <row r="8" spans="1:11" ht="25.5">
      <c r="A8" s="2" t="s">
        <v>96</v>
      </c>
      <c r="B8" s="3" t="s">
        <v>357</v>
      </c>
      <c r="C8" s="4" t="s">
        <v>358</v>
      </c>
      <c r="D8" s="13"/>
      <c r="E8" s="13"/>
      <c r="F8" s="13"/>
      <c r="G8" s="13"/>
      <c r="H8" s="13"/>
      <c r="I8" s="13"/>
      <c r="J8" s="13"/>
      <c r="K8" s="13"/>
    </row>
    <row r="9" spans="1:11" ht="25.5">
      <c r="A9" s="2" t="s">
        <v>97</v>
      </c>
      <c r="B9" s="3" t="s">
        <v>359</v>
      </c>
      <c r="C9" s="4" t="s">
        <v>360</v>
      </c>
      <c r="D9" s="13"/>
      <c r="E9" s="13"/>
      <c r="F9" s="13"/>
      <c r="G9" s="13"/>
      <c r="H9" s="13"/>
      <c r="I9" s="13"/>
      <c r="J9" s="13"/>
      <c r="K9" s="13"/>
    </row>
    <row r="10" spans="1:11" ht="25.5">
      <c r="A10" s="2" t="s">
        <v>98</v>
      </c>
      <c r="B10" s="3" t="s">
        <v>361</v>
      </c>
      <c r="C10" s="4" t="s">
        <v>362</v>
      </c>
      <c r="D10" s="13"/>
      <c r="E10" s="13"/>
      <c r="F10" s="13"/>
      <c r="G10" s="13"/>
      <c r="H10" s="13"/>
      <c r="I10" s="13"/>
      <c r="J10" s="13"/>
      <c r="K10" s="13"/>
    </row>
    <row r="11" spans="1:11" ht="25.5">
      <c r="A11" s="2" t="s">
        <v>99</v>
      </c>
      <c r="B11" s="3" t="s">
        <v>363</v>
      </c>
      <c r="C11" s="4" t="s">
        <v>364</v>
      </c>
      <c r="D11" s="13"/>
      <c r="E11" s="13"/>
      <c r="F11" s="13"/>
      <c r="G11" s="13"/>
      <c r="H11" s="13"/>
      <c r="I11" s="13"/>
      <c r="J11" s="13"/>
      <c r="K11" s="13"/>
    </row>
    <row r="12" spans="1:11" ht="25.5">
      <c r="A12" s="5" t="s">
        <v>100</v>
      </c>
      <c r="B12" s="6" t="s">
        <v>365</v>
      </c>
      <c r="C12" s="7" t="s">
        <v>366</v>
      </c>
      <c r="D12" s="13"/>
      <c r="E12" s="13"/>
      <c r="F12" s="13"/>
      <c r="G12" s="13"/>
      <c r="H12" s="13"/>
      <c r="I12" s="13"/>
      <c r="J12" s="13"/>
      <c r="K12" s="13"/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opLeftCell="F1" workbookViewId="0">
      <selection activeCell="G30" sqref="G30"/>
    </sheetView>
  </sheetViews>
  <sheetFormatPr defaultRowHeight="14.25"/>
  <cols>
    <col min="1" max="1" width="23.875" customWidth="1"/>
    <col min="2" max="2" width="15.625" customWidth="1"/>
    <col min="3" max="3" width="21.625" customWidth="1"/>
    <col min="4" max="4" width="24" customWidth="1"/>
    <col min="5" max="5" width="36.625" customWidth="1"/>
    <col min="6" max="6" width="55.625" customWidth="1"/>
    <col min="7" max="7" width="67.75" customWidth="1"/>
    <col min="8" max="8" width="55.625" customWidth="1"/>
    <col min="9" max="9" width="18.625" customWidth="1"/>
    <col min="10" max="10" width="39.625" customWidth="1"/>
  </cols>
  <sheetData>
    <row r="1" spans="1:10">
      <c r="A1" s="21" t="s">
        <v>101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5" customHeight="1">
      <c r="A2" s="23" t="s">
        <v>367</v>
      </c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15">
      <c r="A4" s="14" t="s">
        <v>102</v>
      </c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108</v>
      </c>
      <c r="H4" s="14" t="s">
        <v>109</v>
      </c>
      <c r="I4" s="14" t="s">
        <v>110</v>
      </c>
      <c r="J4" s="14" t="s">
        <v>111</v>
      </c>
    </row>
    <row r="5" spans="1:10" s="26" customFormat="1" ht="25.5">
      <c r="A5" s="24" t="s">
        <v>112</v>
      </c>
      <c r="B5" s="25" t="s">
        <v>337</v>
      </c>
      <c r="C5" s="24" t="s">
        <v>199</v>
      </c>
      <c r="D5" s="24" t="s">
        <v>200</v>
      </c>
      <c r="E5" s="24" t="s">
        <v>201</v>
      </c>
      <c r="F5" s="24" t="s">
        <v>202</v>
      </c>
      <c r="G5" s="24" t="s">
        <v>203</v>
      </c>
      <c r="H5" s="24" t="s">
        <v>204</v>
      </c>
      <c r="I5" s="24">
        <v>4</v>
      </c>
      <c r="J5" s="24" t="s">
        <v>205</v>
      </c>
    </row>
    <row r="6" spans="1:10" s="26" customFormat="1">
      <c r="A6" s="24" t="s">
        <v>113</v>
      </c>
      <c r="B6" s="25" t="s">
        <v>337</v>
      </c>
      <c r="C6" s="24" t="s">
        <v>206</v>
      </c>
      <c r="D6" s="24" t="s">
        <v>207</v>
      </c>
      <c r="E6" s="24" t="s">
        <v>208</v>
      </c>
      <c r="F6" s="24" t="s">
        <v>209</v>
      </c>
      <c r="G6" s="24" t="s">
        <v>210</v>
      </c>
      <c r="H6" s="24" t="s">
        <v>211</v>
      </c>
      <c r="I6" s="24">
        <v>4</v>
      </c>
      <c r="J6" s="24" t="s">
        <v>205</v>
      </c>
    </row>
    <row r="7" spans="1:10" s="26" customFormat="1" ht="25.5">
      <c r="A7" s="24" t="s">
        <v>212</v>
      </c>
      <c r="B7" s="25" t="s">
        <v>337</v>
      </c>
      <c r="C7" s="24" t="s">
        <v>213</v>
      </c>
      <c r="D7" s="24" t="s">
        <v>214</v>
      </c>
      <c r="E7" s="24" t="s">
        <v>215</v>
      </c>
      <c r="F7" s="24" t="s">
        <v>216</v>
      </c>
      <c r="G7" s="24" t="s">
        <v>217</v>
      </c>
      <c r="H7" s="24" t="s">
        <v>218</v>
      </c>
      <c r="I7" s="24">
        <v>3</v>
      </c>
      <c r="J7" s="24" t="s">
        <v>205</v>
      </c>
    </row>
    <row r="8" spans="1:10" s="26" customFormat="1" ht="25.5">
      <c r="A8" s="24" t="s">
        <v>219</v>
      </c>
      <c r="B8" s="25" t="s">
        <v>337</v>
      </c>
      <c r="C8" s="24" t="s">
        <v>213</v>
      </c>
      <c r="D8" s="24" t="s">
        <v>214</v>
      </c>
      <c r="E8" s="24" t="s">
        <v>220</v>
      </c>
      <c r="F8" s="24" t="s">
        <v>216</v>
      </c>
      <c r="G8" s="24" t="s">
        <v>221</v>
      </c>
      <c r="H8" s="24" t="s">
        <v>220</v>
      </c>
      <c r="I8" s="24">
        <v>3</v>
      </c>
      <c r="J8" s="24" t="s">
        <v>205</v>
      </c>
    </row>
    <row r="9" spans="1:10" s="26" customFormat="1">
      <c r="A9" s="24" t="s">
        <v>222</v>
      </c>
      <c r="B9" s="25" t="s">
        <v>337</v>
      </c>
      <c r="C9" s="24" t="s">
        <v>223</v>
      </c>
      <c r="D9" s="24" t="s">
        <v>224</v>
      </c>
      <c r="E9" s="24" t="s">
        <v>225</v>
      </c>
      <c r="F9" s="24" t="s">
        <v>226</v>
      </c>
      <c r="G9" s="24" t="s">
        <v>227</v>
      </c>
      <c r="H9" s="24" t="s">
        <v>426</v>
      </c>
      <c r="I9" s="24">
        <v>3</v>
      </c>
      <c r="J9" s="24" t="s">
        <v>205</v>
      </c>
    </row>
    <row r="10" spans="1:10" s="26" customFormat="1">
      <c r="A10" s="24" t="s">
        <v>228</v>
      </c>
      <c r="B10" s="25" t="s">
        <v>337</v>
      </c>
      <c r="C10" s="24" t="s">
        <v>223</v>
      </c>
      <c r="D10" s="24" t="s">
        <v>229</v>
      </c>
      <c r="E10" s="24" t="s">
        <v>230</v>
      </c>
      <c r="F10" s="24" t="s">
        <v>231</v>
      </c>
      <c r="G10" s="24" t="s">
        <v>232</v>
      </c>
      <c r="H10" s="24" t="s">
        <v>233</v>
      </c>
      <c r="I10" s="24">
        <v>3</v>
      </c>
      <c r="J10" s="24" t="s">
        <v>205</v>
      </c>
    </row>
    <row r="11" spans="1:10" s="26" customFormat="1">
      <c r="A11" s="24" t="s">
        <v>234</v>
      </c>
      <c r="B11" s="25" t="s">
        <v>338</v>
      </c>
      <c r="C11" s="24" t="s">
        <v>114</v>
      </c>
      <c r="D11" s="24" t="s">
        <v>235</v>
      </c>
      <c r="E11" s="24" t="s">
        <v>236</v>
      </c>
      <c r="F11" s="24" t="s">
        <v>237</v>
      </c>
      <c r="G11" s="24" t="s">
        <v>340</v>
      </c>
      <c r="H11" s="24" t="s">
        <v>238</v>
      </c>
      <c r="I11" s="24">
        <v>5</v>
      </c>
      <c r="J11" s="24" t="s">
        <v>205</v>
      </c>
    </row>
    <row r="12" spans="1:10" s="26" customFormat="1" ht="25.5">
      <c r="A12" s="24" t="s">
        <v>239</v>
      </c>
      <c r="B12" s="25" t="s">
        <v>338</v>
      </c>
      <c r="C12" s="24" t="s">
        <v>114</v>
      </c>
      <c r="D12" s="24" t="s">
        <v>240</v>
      </c>
      <c r="E12" s="24" t="s">
        <v>241</v>
      </c>
      <c r="F12" s="24" t="s">
        <v>242</v>
      </c>
      <c r="G12" s="24" t="s">
        <v>341</v>
      </c>
      <c r="H12" s="24" t="s">
        <v>243</v>
      </c>
      <c r="I12" s="24">
        <v>5</v>
      </c>
      <c r="J12" s="24" t="s">
        <v>205</v>
      </c>
    </row>
    <row r="13" spans="1:10" s="26" customFormat="1">
      <c r="A13" s="24" t="s">
        <v>244</v>
      </c>
      <c r="B13" s="25" t="s">
        <v>338</v>
      </c>
      <c r="C13" s="24" t="s">
        <v>114</v>
      </c>
      <c r="D13" s="24" t="s">
        <v>245</v>
      </c>
      <c r="E13" s="24" t="s">
        <v>246</v>
      </c>
      <c r="F13" s="24" t="s">
        <v>247</v>
      </c>
      <c r="G13" s="24" t="s">
        <v>342</v>
      </c>
      <c r="H13" s="24" t="s">
        <v>248</v>
      </c>
      <c r="I13" s="24">
        <v>5</v>
      </c>
      <c r="J13" s="24" t="s">
        <v>205</v>
      </c>
    </row>
    <row r="14" spans="1:10" s="26" customFormat="1">
      <c r="A14" s="24" t="s">
        <v>249</v>
      </c>
      <c r="B14" s="25" t="s">
        <v>338</v>
      </c>
      <c r="C14" s="24" t="s">
        <v>114</v>
      </c>
      <c r="D14" s="24" t="s">
        <v>250</v>
      </c>
      <c r="E14" s="24" t="s">
        <v>251</v>
      </c>
      <c r="F14" s="24" t="s">
        <v>252</v>
      </c>
      <c r="G14" s="24" t="s">
        <v>343</v>
      </c>
      <c r="H14" s="24" t="s">
        <v>253</v>
      </c>
      <c r="I14" s="24">
        <v>5</v>
      </c>
      <c r="J14" s="24" t="s">
        <v>205</v>
      </c>
    </row>
    <row r="15" spans="1:10" s="26" customFormat="1" ht="25.5">
      <c r="A15" s="24" t="s">
        <v>254</v>
      </c>
      <c r="B15" s="25" t="s">
        <v>338</v>
      </c>
      <c r="C15" s="24" t="s">
        <v>114</v>
      </c>
      <c r="D15" s="24" t="s">
        <v>255</v>
      </c>
      <c r="E15" s="24" t="s">
        <v>256</v>
      </c>
      <c r="F15" s="24" t="s">
        <v>257</v>
      </c>
      <c r="G15" s="24" t="s">
        <v>258</v>
      </c>
      <c r="H15" s="24" t="s">
        <v>259</v>
      </c>
      <c r="I15" s="24">
        <v>5</v>
      </c>
      <c r="J15" s="24" t="s">
        <v>205</v>
      </c>
    </row>
    <row r="16" spans="1:10" s="26" customFormat="1" ht="25.5">
      <c r="A16" s="24" t="s">
        <v>260</v>
      </c>
      <c r="B16" s="25" t="s">
        <v>338</v>
      </c>
      <c r="C16" s="24" t="s">
        <v>261</v>
      </c>
      <c r="D16" s="24" t="s">
        <v>262</v>
      </c>
      <c r="E16" s="24" t="s">
        <v>263</v>
      </c>
      <c r="F16" s="24" t="s">
        <v>264</v>
      </c>
      <c r="G16" s="24" t="s">
        <v>265</v>
      </c>
      <c r="H16" s="24" t="s">
        <v>266</v>
      </c>
      <c r="I16" s="24">
        <v>4</v>
      </c>
      <c r="J16" s="24" t="s">
        <v>205</v>
      </c>
    </row>
    <row r="17" spans="1:10" s="26" customFormat="1" ht="25.5">
      <c r="A17" s="24" t="s">
        <v>267</v>
      </c>
      <c r="B17" s="25" t="s">
        <v>338</v>
      </c>
      <c r="C17" s="24" t="s">
        <v>261</v>
      </c>
      <c r="D17" s="24" t="s">
        <v>268</v>
      </c>
      <c r="E17" s="24" t="s">
        <v>269</v>
      </c>
      <c r="F17" s="24" t="s">
        <v>270</v>
      </c>
      <c r="G17" s="24" t="s">
        <v>427</v>
      </c>
      <c r="H17" s="24" t="s">
        <v>271</v>
      </c>
      <c r="I17" s="24">
        <v>4</v>
      </c>
      <c r="J17" s="24" t="s">
        <v>205</v>
      </c>
    </row>
    <row r="18" spans="1:10" s="26" customFormat="1">
      <c r="A18" s="24" t="s">
        <v>272</v>
      </c>
      <c r="B18" s="25" t="s">
        <v>338</v>
      </c>
      <c r="C18" s="24" t="s">
        <v>261</v>
      </c>
      <c r="D18" s="24" t="s">
        <v>273</v>
      </c>
      <c r="E18" s="24" t="s">
        <v>274</v>
      </c>
      <c r="F18" s="24" t="s">
        <v>275</v>
      </c>
      <c r="G18" s="24" t="s">
        <v>428</v>
      </c>
      <c r="H18" s="24" t="s">
        <v>276</v>
      </c>
      <c r="I18" s="24">
        <v>4</v>
      </c>
      <c r="J18" s="24" t="s">
        <v>205</v>
      </c>
    </row>
    <row r="19" spans="1:10" s="26" customFormat="1" ht="25.5">
      <c r="A19" s="24" t="s">
        <v>277</v>
      </c>
      <c r="B19" s="25" t="s">
        <v>338</v>
      </c>
      <c r="C19" s="24" t="s">
        <v>278</v>
      </c>
      <c r="D19" s="24" t="s">
        <v>279</v>
      </c>
      <c r="E19" s="24" t="s">
        <v>280</v>
      </c>
      <c r="F19" s="24" t="s">
        <v>281</v>
      </c>
      <c r="G19" s="24" t="s">
        <v>282</v>
      </c>
      <c r="H19" s="24" t="s">
        <v>283</v>
      </c>
      <c r="I19" s="24">
        <v>4</v>
      </c>
      <c r="J19" s="24" t="s">
        <v>205</v>
      </c>
    </row>
    <row r="20" spans="1:10" s="26" customFormat="1" ht="25.5">
      <c r="A20" s="24" t="s">
        <v>284</v>
      </c>
      <c r="B20" s="25" t="s">
        <v>338</v>
      </c>
      <c r="C20" s="24" t="s">
        <v>278</v>
      </c>
      <c r="D20" s="24" t="s">
        <v>279</v>
      </c>
      <c r="E20" s="24" t="s">
        <v>280</v>
      </c>
      <c r="F20" s="24" t="s">
        <v>285</v>
      </c>
      <c r="G20" s="24" t="s">
        <v>286</v>
      </c>
      <c r="H20" s="24" t="s">
        <v>287</v>
      </c>
      <c r="I20" s="24">
        <v>4</v>
      </c>
      <c r="J20" s="24" t="s">
        <v>205</v>
      </c>
    </row>
    <row r="21" spans="1:10" s="26" customFormat="1" ht="25.5">
      <c r="A21" s="24" t="s">
        <v>288</v>
      </c>
      <c r="B21" s="25" t="s">
        <v>339</v>
      </c>
      <c r="C21" s="24" t="s">
        <v>289</v>
      </c>
      <c r="D21" s="24" t="s">
        <v>290</v>
      </c>
      <c r="E21" s="24" t="s">
        <v>291</v>
      </c>
      <c r="F21" s="24" t="s">
        <v>292</v>
      </c>
      <c r="G21" s="24" t="s">
        <v>344</v>
      </c>
      <c r="H21" s="24" t="s">
        <v>293</v>
      </c>
      <c r="I21" s="24">
        <v>4</v>
      </c>
      <c r="J21" s="24" t="s">
        <v>205</v>
      </c>
    </row>
    <row r="22" spans="1:10" s="26" customFormat="1" ht="25.5">
      <c r="A22" s="24" t="s">
        <v>294</v>
      </c>
      <c r="B22" s="25" t="s">
        <v>339</v>
      </c>
      <c r="C22" s="24" t="s">
        <v>289</v>
      </c>
      <c r="D22" s="24" t="s">
        <v>290</v>
      </c>
      <c r="E22" s="24" t="s">
        <v>295</v>
      </c>
      <c r="F22" s="24" t="s">
        <v>296</v>
      </c>
      <c r="G22" s="24" t="s">
        <v>345</v>
      </c>
      <c r="H22" s="24" t="s">
        <v>297</v>
      </c>
      <c r="I22" s="24">
        <v>4</v>
      </c>
      <c r="J22" s="24" t="s">
        <v>205</v>
      </c>
    </row>
    <row r="23" spans="1:10" s="26" customFormat="1" ht="38.25">
      <c r="A23" s="24" t="s">
        <v>298</v>
      </c>
      <c r="B23" s="25" t="s">
        <v>339</v>
      </c>
      <c r="C23" s="24" t="s">
        <v>289</v>
      </c>
      <c r="D23" s="24" t="s">
        <v>290</v>
      </c>
      <c r="E23" s="24" t="s">
        <v>299</v>
      </c>
      <c r="F23" s="24" t="s">
        <v>300</v>
      </c>
      <c r="G23" s="24" t="s">
        <v>301</v>
      </c>
      <c r="H23" s="24" t="s">
        <v>302</v>
      </c>
      <c r="I23" s="24">
        <v>4</v>
      </c>
      <c r="J23" s="24" t="s">
        <v>205</v>
      </c>
    </row>
  </sheetData>
  <mergeCells count="2">
    <mergeCell ref="A1:J1"/>
    <mergeCell ref="A2:J2"/>
  </mergeCells>
  <dataValidations count="1">
    <dataValidation type="list" sqref="C5:C23" xr:uid="{00000000-0002-0000-0200-000001000000}">
      <formula1>"Отзывы,Сайт конкурента,Тарифы,Описание функций,Кейс,FAQ,Документация,Реклама,Сообщество"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Справочники!$A$4:$A$8</xm:f>
          </x14:formula1>
          <xm:sqref>I5:I23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topLeftCell="E1" workbookViewId="0">
      <selection activeCell="M25" sqref="M25"/>
    </sheetView>
  </sheetViews>
  <sheetFormatPr defaultRowHeight="14.25"/>
  <cols>
    <col min="1" max="1" width="18.125" customWidth="1"/>
    <col min="2" max="2" width="20" customWidth="1"/>
    <col min="3" max="3" width="22" customWidth="1"/>
    <col min="4" max="4" width="58" customWidth="1"/>
    <col min="5" max="5" width="13" customWidth="1"/>
    <col min="6" max="6" width="18.625" customWidth="1"/>
    <col min="7" max="7" width="14.625" customWidth="1"/>
    <col min="8" max="8" width="31.625" customWidth="1"/>
    <col min="9" max="9" width="24.625" customWidth="1"/>
    <col min="10" max="10" width="20.625" customWidth="1"/>
    <col min="11" max="11" width="16.625" customWidth="1"/>
    <col min="12" max="12" width="16" customWidth="1"/>
    <col min="13" max="13" width="55.625" customWidth="1"/>
  </cols>
  <sheetData>
    <row r="1" spans="1:13">
      <c r="A1" s="21" t="s">
        <v>115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5" customHeight="1">
      <c r="A2" s="23" t="s">
        <v>368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0">
      <c r="A4" s="14" t="s">
        <v>116</v>
      </c>
      <c r="B4" s="14" t="s">
        <v>117</v>
      </c>
      <c r="C4" s="14" t="s">
        <v>118</v>
      </c>
      <c r="D4" s="14" t="s">
        <v>119</v>
      </c>
      <c r="E4" s="14" t="s">
        <v>120</v>
      </c>
      <c r="F4" s="14" t="s">
        <v>121</v>
      </c>
      <c r="G4" s="14" t="s">
        <v>122</v>
      </c>
      <c r="H4" s="14" t="s">
        <v>123</v>
      </c>
      <c r="I4" s="14" t="s">
        <v>124</v>
      </c>
      <c r="J4" s="14" t="s">
        <v>125</v>
      </c>
      <c r="K4" s="14" t="s">
        <v>126</v>
      </c>
      <c r="L4" s="14" t="s">
        <v>13</v>
      </c>
      <c r="M4" s="14" t="s">
        <v>111</v>
      </c>
    </row>
    <row r="5" spans="1:13" ht="51">
      <c r="A5" s="1" t="s">
        <v>127</v>
      </c>
      <c r="B5" s="1" t="s">
        <v>26</v>
      </c>
      <c r="C5" s="1" t="s">
        <v>50</v>
      </c>
      <c r="D5" s="1" t="s">
        <v>369</v>
      </c>
      <c r="E5" s="1">
        <v>4</v>
      </c>
      <c r="F5" s="1">
        <v>3</v>
      </c>
      <c r="G5" s="1">
        <v>4</v>
      </c>
      <c r="H5" s="1">
        <v>3</v>
      </c>
      <c r="I5" s="1">
        <v>3</v>
      </c>
      <c r="J5" s="1">
        <v>3</v>
      </c>
      <c r="K5" s="1">
        <f t="shared" ref="K5:K10" si="0">IF(COUNTA(E5:J5)=0,"",ROUND(((E5*0.18)+(F5*0.22)+(G5*0.18)+(H5*0.2)+(I5*0.14)+(J5*0.08))*20,0))</f>
        <v>67</v>
      </c>
      <c r="L5" s="1" t="str">
        <f t="shared" ref="L5:L10" si="1">IF(K5="","",IF(K5&gt;=80,"Критический",IF(K5&gt;=65,"Высокий",IF(K5&gt;=45,"Средний","Низкий"))))</f>
        <v>Высокий</v>
      </c>
      <c r="M5" s="1" t="s">
        <v>303</v>
      </c>
    </row>
    <row r="6" spans="1:13" ht="38.25">
      <c r="A6" s="1" t="s">
        <v>128</v>
      </c>
      <c r="B6" s="1" t="s">
        <v>59</v>
      </c>
      <c r="C6" s="1" t="s">
        <v>15</v>
      </c>
      <c r="D6" s="1" t="s">
        <v>370</v>
      </c>
      <c r="E6" s="1">
        <v>3</v>
      </c>
      <c r="F6" s="1">
        <v>4</v>
      </c>
      <c r="G6" s="1">
        <v>3</v>
      </c>
      <c r="H6" s="1">
        <v>5</v>
      </c>
      <c r="I6" s="1">
        <v>3</v>
      </c>
      <c r="J6" s="1">
        <v>4</v>
      </c>
      <c r="K6" s="1">
        <f t="shared" si="0"/>
        <v>74</v>
      </c>
      <c r="L6" s="1" t="str">
        <f t="shared" si="1"/>
        <v>Высокий</v>
      </c>
      <c r="M6" s="1" t="s">
        <v>304</v>
      </c>
    </row>
    <row r="7" spans="1:13" ht="38.25">
      <c r="A7" s="1" t="s">
        <v>305</v>
      </c>
      <c r="B7" s="1" t="s">
        <v>26</v>
      </c>
      <c r="C7" s="1" t="s">
        <v>27</v>
      </c>
      <c r="D7" s="1" t="s">
        <v>371</v>
      </c>
      <c r="E7" s="1">
        <v>4</v>
      </c>
      <c r="F7" s="1">
        <v>4</v>
      </c>
      <c r="G7" s="1">
        <v>3</v>
      </c>
      <c r="H7" s="1">
        <v>3</v>
      </c>
      <c r="I7" s="1">
        <v>4</v>
      </c>
      <c r="J7" s="1">
        <v>4</v>
      </c>
      <c r="K7" s="1">
        <f t="shared" si="0"/>
        <v>72</v>
      </c>
      <c r="L7" s="1" t="str">
        <f t="shared" si="1"/>
        <v>Высокий</v>
      </c>
      <c r="M7" s="1" t="s">
        <v>306</v>
      </c>
    </row>
    <row r="8" spans="1:13" ht="38.25">
      <c r="A8" s="1" t="s">
        <v>307</v>
      </c>
      <c r="B8" s="1" t="s">
        <v>26</v>
      </c>
      <c r="C8" s="1" t="s">
        <v>15</v>
      </c>
      <c r="D8" s="1" t="s">
        <v>372</v>
      </c>
      <c r="E8" s="1">
        <v>5</v>
      </c>
      <c r="F8" s="1">
        <v>3</v>
      </c>
      <c r="G8" s="1">
        <v>3</v>
      </c>
      <c r="H8" s="1">
        <v>2</v>
      </c>
      <c r="I8" s="1">
        <v>2</v>
      </c>
      <c r="J8" s="1">
        <v>4</v>
      </c>
      <c r="K8" s="1">
        <f t="shared" si="0"/>
        <v>62</v>
      </c>
      <c r="L8" s="1" t="str">
        <f t="shared" si="1"/>
        <v>Средний</v>
      </c>
      <c r="M8" s="1" t="s">
        <v>308</v>
      </c>
    </row>
    <row r="9" spans="1:13" ht="25.5">
      <c r="A9" s="1" t="s">
        <v>309</v>
      </c>
      <c r="B9" s="1" t="s">
        <v>26</v>
      </c>
      <c r="C9" s="1" t="s">
        <v>67</v>
      </c>
      <c r="D9" s="1" t="s">
        <v>374</v>
      </c>
      <c r="E9" s="1">
        <v>3</v>
      </c>
      <c r="F9" s="1">
        <v>4</v>
      </c>
      <c r="G9" s="1">
        <v>3</v>
      </c>
      <c r="H9" s="1">
        <v>3</v>
      </c>
      <c r="I9" s="1">
        <v>3</v>
      </c>
      <c r="J9" s="1">
        <v>1</v>
      </c>
      <c r="K9" s="1">
        <f t="shared" si="0"/>
        <v>61</v>
      </c>
      <c r="L9" s="1" t="str">
        <f t="shared" si="1"/>
        <v>Средний</v>
      </c>
      <c r="M9" s="1" t="s">
        <v>310</v>
      </c>
    </row>
    <row r="10" spans="1:13" ht="25.5">
      <c r="A10" s="1" t="s">
        <v>311</v>
      </c>
      <c r="B10" s="1" t="s">
        <v>59</v>
      </c>
      <c r="C10" s="1" t="s">
        <v>50</v>
      </c>
      <c r="D10" s="1" t="s">
        <v>373</v>
      </c>
      <c r="E10" s="1">
        <v>3</v>
      </c>
      <c r="F10" s="1">
        <v>3</v>
      </c>
      <c r="G10" s="1">
        <v>2</v>
      </c>
      <c r="H10" s="1">
        <v>4</v>
      </c>
      <c r="I10" s="1">
        <v>3</v>
      </c>
      <c r="J10" s="1">
        <v>3</v>
      </c>
      <c r="K10" s="1">
        <f t="shared" si="0"/>
        <v>60</v>
      </c>
      <c r="L10" s="1" t="str">
        <f t="shared" si="1"/>
        <v>Средний</v>
      </c>
      <c r="M10" s="1" t="s">
        <v>312</v>
      </c>
    </row>
  </sheetData>
  <mergeCells count="2">
    <mergeCell ref="A1:M1"/>
    <mergeCell ref="A2:M2"/>
  </mergeCells>
  <conditionalFormatting sqref="K5:K10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Справочники!$A$4:$A$8</xm:f>
          </x14:formula1>
          <xm:sqref>E5:J10</xm:sqref>
        </x14:dataValidation>
        <x14:dataValidation type="list" xr:uid="{00000000-0002-0000-0300-000006000000}">
          <x14:formula1>
            <xm:f>Справочники!$B$4:$B$8</xm:f>
          </x14:formula1>
          <xm:sqref>B5:B10</xm:sqref>
        </x14:dataValidation>
        <x14:dataValidation type="list" xr:uid="{00000000-0002-0000-0300-000007000000}">
          <x14:formula1>
            <xm:f>Справочники!$C$4:$C$10</xm:f>
          </x14:formula1>
          <xm:sqref>C5:C10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topLeftCell="E1" workbookViewId="0">
      <selection activeCell="N33" sqref="N33"/>
    </sheetView>
  </sheetViews>
  <sheetFormatPr defaultRowHeight="14.25"/>
  <cols>
    <col min="1" max="1" width="27.125" customWidth="1"/>
    <col min="2" max="2" width="38.625" customWidth="1"/>
    <col min="3" max="3" width="14" customWidth="1"/>
    <col min="4" max="4" width="55.625" customWidth="1"/>
    <col min="5" max="5" width="23.625" customWidth="1"/>
    <col min="6" max="6" width="21.625" customWidth="1"/>
    <col min="7" max="7" width="19.625" customWidth="1"/>
    <col min="8" max="8" width="21.625" customWidth="1"/>
    <col min="9" max="10" width="20.625" customWidth="1"/>
    <col min="11" max="11" width="20" customWidth="1"/>
    <col min="12" max="12" width="39.625" customWidth="1"/>
  </cols>
  <sheetData>
    <row r="1" spans="1:12">
      <c r="A1" s="21" t="s">
        <v>129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>
      <c r="A2" s="23" t="s">
        <v>375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30">
      <c r="A4" s="14" t="s">
        <v>130</v>
      </c>
      <c r="B4" s="14" t="s">
        <v>131</v>
      </c>
      <c r="C4" s="14" t="s">
        <v>116</v>
      </c>
      <c r="D4" s="14" t="s">
        <v>132</v>
      </c>
      <c r="E4" s="14" t="s">
        <v>133</v>
      </c>
      <c r="F4" s="14" t="s">
        <v>134</v>
      </c>
      <c r="G4" s="14" t="s">
        <v>135</v>
      </c>
      <c r="H4" s="14" t="s">
        <v>136</v>
      </c>
      <c r="I4" s="14" t="s">
        <v>125</v>
      </c>
      <c r="J4" s="14" t="s">
        <v>137</v>
      </c>
      <c r="K4" s="14" t="s">
        <v>138</v>
      </c>
      <c r="L4" s="14" t="s">
        <v>111</v>
      </c>
    </row>
    <row r="5" spans="1:12" ht="25.5">
      <c r="A5" s="1" t="s">
        <v>241</v>
      </c>
      <c r="B5" s="1" t="s">
        <v>313</v>
      </c>
      <c r="C5" s="1" t="s">
        <v>128</v>
      </c>
      <c r="D5" s="1" t="s">
        <v>376</v>
      </c>
      <c r="E5" s="1">
        <v>3</v>
      </c>
      <c r="F5" s="1">
        <v>4</v>
      </c>
      <c r="G5" s="1">
        <v>5</v>
      </c>
      <c r="H5" s="1">
        <v>3</v>
      </c>
      <c r="I5" s="1">
        <v>5</v>
      </c>
      <c r="J5" s="1">
        <f t="shared" ref="J5:J16" si="0">IF(COUNTA(E5:I5)=0,"",ROUND(((E5*0.25)+(F5*0.2)+(G5*0.2)+(H5*0.15)+(I5*0.2))*20,0))</f>
        <v>80</v>
      </c>
      <c r="K5" s="1" t="str">
        <f t="shared" ref="K5:K16" si="1">IF(J5="","",IF(J5&gt;=80,"Сильное решение",IF(J5&gt;=60,"Рыночный стандарт",IF(J5&gt;=40,"Частичное решение","Слабое решение"))))</f>
        <v>Сильное решение</v>
      </c>
      <c r="L5" s="1" t="s">
        <v>314</v>
      </c>
    </row>
    <row r="6" spans="1:12" ht="25.5">
      <c r="A6" s="1" t="s">
        <v>263</v>
      </c>
      <c r="B6" s="1" t="s">
        <v>264</v>
      </c>
      <c r="C6" s="1" t="s">
        <v>128</v>
      </c>
      <c r="D6" s="1" t="s">
        <v>377</v>
      </c>
      <c r="E6" s="1">
        <v>3</v>
      </c>
      <c r="F6" s="1">
        <v>4</v>
      </c>
      <c r="G6" s="1">
        <v>4</v>
      </c>
      <c r="H6" s="1">
        <v>5</v>
      </c>
      <c r="I6" s="1">
        <v>4</v>
      </c>
      <c r="J6" s="1">
        <f t="shared" si="0"/>
        <v>78</v>
      </c>
      <c r="K6" s="1" t="str">
        <f t="shared" si="1"/>
        <v>Рыночный стандарт</v>
      </c>
      <c r="L6" s="1" t="s">
        <v>314</v>
      </c>
    </row>
    <row r="7" spans="1:12" ht="25.5">
      <c r="A7" s="1" t="s">
        <v>269</v>
      </c>
      <c r="B7" s="1" t="s">
        <v>315</v>
      </c>
      <c r="C7" s="1" t="s">
        <v>128</v>
      </c>
      <c r="D7" s="1" t="s">
        <v>378</v>
      </c>
      <c r="E7" s="1">
        <v>3</v>
      </c>
      <c r="F7" s="1">
        <v>4</v>
      </c>
      <c r="G7" s="1">
        <v>4</v>
      </c>
      <c r="H7" s="1">
        <v>5</v>
      </c>
      <c r="I7" s="1">
        <v>4</v>
      </c>
      <c r="J7" s="1">
        <f t="shared" si="0"/>
        <v>78</v>
      </c>
      <c r="K7" s="1" t="str">
        <f t="shared" si="1"/>
        <v>Рыночный стандарт</v>
      </c>
      <c r="L7" s="1" t="s">
        <v>314</v>
      </c>
    </row>
    <row r="8" spans="1:12" ht="25.5">
      <c r="A8" s="1" t="s">
        <v>269</v>
      </c>
      <c r="B8" s="1" t="s">
        <v>315</v>
      </c>
      <c r="C8" s="1" t="s">
        <v>127</v>
      </c>
      <c r="D8" s="1" t="s">
        <v>379</v>
      </c>
      <c r="E8" s="1">
        <v>3</v>
      </c>
      <c r="F8" s="1">
        <v>3</v>
      </c>
      <c r="G8" s="1">
        <v>4</v>
      </c>
      <c r="H8" s="1">
        <v>5</v>
      </c>
      <c r="I8" s="1">
        <v>4</v>
      </c>
      <c r="J8" s="1">
        <f t="shared" si="0"/>
        <v>74</v>
      </c>
      <c r="K8" s="1" t="str">
        <f t="shared" si="1"/>
        <v>Рыночный стандарт</v>
      </c>
      <c r="L8" s="1" t="s">
        <v>314</v>
      </c>
    </row>
    <row r="9" spans="1:12">
      <c r="A9" s="1" t="s">
        <v>236</v>
      </c>
      <c r="B9" s="1" t="s">
        <v>316</v>
      </c>
      <c r="C9" s="1" t="s">
        <v>127</v>
      </c>
      <c r="D9" s="1" t="s">
        <v>380</v>
      </c>
      <c r="E9" s="1">
        <v>4</v>
      </c>
      <c r="F9" s="1">
        <v>5</v>
      </c>
      <c r="G9" s="1">
        <v>4</v>
      </c>
      <c r="H9" s="1">
        <v>4</v>
      </c>
      <c r="I9" s="1">
        <v>5</v>
      </c>
      <c r="J9" s="1">
        <f t="shared" si="0"/>
        <v>88</v>
      </c>
      <c r="K9" s="1" t="str">
        <f t="shared" si="1"/>
        <v>Сильное решение</v>
      </c>
      <c r="L9" s="1" t="s">
        <v>314</v>
      </c>
    </row>
    <row r="10" spans="1:12">
      <c r="A10" s="1" t="s">
        <v>246</v>
      </c>
      <c r="B10" s="1" t="s">
        <v>317</v>
      </c>
      <c r="C10" s="1" t="s">
        <v>127</v>
      </c>
      <c r="D10" s="1" t="s">
        <v>381</v>
      </c>
      <c r="E10" s="1">
        <v>4</v>
      </c>
      <c r="F10" s="1">
        <v>5</v>
      </c>
      <c r="G10" s="1">
        <v>4</v>
      </c>
      <c r="H10" s="1">
        <v>4</v>
      </c>
      <c r="I10" s="1">
        <v>5</v>
      </c>
      <c r="J10" s="1">
        <f t="shared" si="0"/>
        <v>88</v>
      </c>
      <c r="K10" s="1" t="str">
        <f t="shared" si="1"/>
        <v>Сильное решение</v>
      </c>
      <c r="L10" s="1" t="s">
        <v>314</v>
      </c>
    </row>
    <row r="11" spans="1:12">
      <c r="A11" s="1" t="s">
        <v>241</v>
      </c>
      <c r="B11" s="1" t="s">
        <v>242</v>
      </c>
      <c r="C11" s="1" t="s">
        <v>305</v>
      </c>
      <c r="D11" s="1" t="s">
        <v>346</v>
      </c>
      <c r="E11" s="1">
        <v>2</v>
      </c>
      <c r="F11" s="1">
        <v>5</v>
      </c>
      <c r="G11" s="1">
        <v>5</v>
      </c>
      <c r="H11" s="1">
        <v>3</v>
      </c>
      <c r="I11" s="1">
        <v>5</v>
      </c>
      <c r="J11" s="1">
        <f t="shared" si="0"/>
        <v>79</v>
      </c>
      <c r="K11" s="1" t="str">
        <f t="shared" si="1"/>
        <v>Рыночный стандарт</v>
      </c>
      <c r="L11" s="1" t="s">
        <v>314</v>
      </c>
    </row>
    <row r="12" spans="1:12">
      <c r="A12" s="1" t="s">
        <v>236</v>
      </c>
      <c r="B12" s="1" t="s">
        <v>237</v>
      </c>
      <c r="C12" s="1" t="s">
        <v>305</v>
      </c>
      <c r="D12" s="1" t="s">
        <v>347</v>
      </c>
      <c r="E12" s="1">
        <v>3</v>
      </c>
      <c r="F12" s="1">
        <v>5</v>
      </c>
      <c r="G12" s="1">
        <v>4</v>
      </c>
      <c r="H12" s="1">
        <v>4</v>
      </c>
      <c r="I12" s="1">
        <v>5</v>
      </c>
      <c r="J12" s="1">
        <f t="shared" si="0"/>
        <v>83</v>
      </c>
      <c r="K12" s="1" t="str">
        <f t="shared" si="1"/>
        <v>Сильное решение</v>
      </c>
      <c r="L12" s="1" t="s">
        <v>314</v>
      </c>
    </row>
    <row r="13" spans="1:12" ht="25.5">
      <c r="A13" s="1" t="s">
        <v>251</v>
      </c>
      <c r="B13" s="1" t="s">
        <v>252</v>
      </c>
      <c r="C13" s="1" t="s">
        <v>305</v>
      </c>
      <c r="D13" s="1" t="s">
        <v>348</v>
      </c>
      <c r="E13" s="1">
        <v>2</v>
      </c>
      <c r="F13" s="1">
        <v>4</v>
      </c>
      <c r="G13" s="1">
        <v>3</v>
      </c>
      <c r="H13" s="1">
        <v>4</v>
      </c>
      <c r="I13" s="1">
        <v>5</v>
      </c>
      <c r="J13" s="1">
        <f t="shared" si="0"/>
        <v>70</v>
      </c>
      <c r="K13" s="1" t="str">
        <f t="shared" si="1"/>
        <v>Рыночный стандарт</v>
      </c>
      <c r="L13" s="1" t="s">
        <v>314</v>
      </c>
    </row>
    <row r="14" spans="1:12">
      <c r="A14" s="1" t="s">
        <v>263</v>
      </c>
      <c r="B14" s="1" t="s">
        <v>264</v>
      </c>
      <c r="C14" s="1" t="s">
        <v>305</v>
      </c>
      <c r="D14" s="1" t="s">
        <v>382</v>
      </c>
      <c r="E14" s="1">
        <v>5</v>
      </c>
      <c r="F14" s="1">
        <v>4</v>
      </c>
      <c r="G14" s="1">
        <v>4</v>
      </c>
      <c r="H14" s="1">
        <v>5</v>
      </c>
      <c r="I14" s="1">
        <v>4</v>
      </c>
      <c r="J14" s="1">
        <f t="shared" si="0"/>
        <v>88</v>
      </c>
      <c r="K14" s="1" t="str">
        <f t="shared" si="1"/>
        <v>Сильное решение</v>
      </c>
      <c r="L14" s="1" t="s">
        <v>314</v>
      </c>
    </row>
    <row r="15" spans="1:12">
      <c r="A15" s="1" t="s">
        <v>263</v>
      </c>
      <c r="B15" s="1" t="s">
        <v>264</v>
      </c>
      <c r="C15" s="1" t="s">
        <v>307</v>
      </c>
      <c r="D15" s="1" t="s">
        <v>383</v>
      </c>
      <c r="E15" s="1">
        <v>5</v>
      </c>
      <c r="F15" s="1">
        <v>4</v>
      </c>
      <c r="G15" s="1">
        <v>4</v>
      </c>
      <c r="H15" s="1">
        <v>5</v>
      </c>
      <c r="I15" s="1">
        <v>4</v>
      </c>
      <c r="J15" s="1">
        <f t="shared" si="0"/>
        <v>88</v>
      </c>
      <c r="K15" s="1" t="str">
        <f t="shared" si="1"/>
        <v>Сильное решение</v>
      </c>
      <c r="L15" s="1" t="s">
        <v>314</v>
      </c>
    </row>
    <row r="16" spans="1:12" ht="25.5">
      <c r="A16" s="1" t="s">
        <v>256</v>
      </c>
      <c r="B16" s="1" t="s">
        <v>257</v>
      </c>
      <c r="C16" s="1" t="s">
        <v>311</v>
      </c>
      <c r="D16" s="1" t="s">
        <v>384</v>
      </c>
      <c r="E16" s="1">
        <v>3</v>
      </c>
      <c r="F16" s="1">
        <v>5</v>
      </c>
      <c r="G16" s="1">
        <v>5</v>
      </c>
      <c r="H16" s="1">
        <v>3</v>
      </c>
      <c r="I16" s="1">
        <v>4</v>
      </c>
      <c r="J16" s="1">
        <f t="shared" si="0"/>
        <v>80</v>
      </c>
      <c r="K16" s="1" t="str">
        <f t="shared" si="1"/>
        <v>Сильное решение</v>
      </c>
      <c r="L16" s="1" t="s">
        <v>314</v>
      </c>
    </row>
  </sheetData>
  <mergeCells count="2">
    <mergeCell ref="A1:L1"/>
    <mergeCell ref="A2:L2"/>
  </mergeCells>
  <conditionalFormatting sqref="J5:J16">
    <cfRule type="dataBar" priority="4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{FDC0EADE-75BF-1EAB-B951-F21AFC751BD7}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C0EADE-75BF-1EAB-B951-F21AFC751BD7}">
            <x14:dataBar>
              <x14:cfvo type="min"/>
              <x14:cfvo type="max"/>
              <x14:negativeFillColor auto="1"/>
              <x14:axisColor auto="1"/>
            </x14:dataBar>
          </x14:cfRule>
          <xm:sqref>J5:J16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Справочники!$A$4:$A$8</xm:f>
          </x14:formula1>
          <xm:sqref>E5:I16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topLeftCell="H1" workbookViewId="0">
      <selection activeCell="L10" sqref="L10"/>
    </sheetView>
  </sheetViews>
  <sheetFormatPr defaultRowHeight="14.25"/>
  <cols>
    <col min="1" max="1" width="18.625" customWidth="1"/>
    <col min="2" max="2" width="12.625" customWidth="1"/>
    <col min="3" max="3" width="18.625" customWidth="1"/>
    <col min="4" max="7" width="55.625" customWidth="1"/>
    <col min="8" max="8" width="86.5" customWidth="1"/>
    <col min="9" max="10" width="24" customWidth="1"/>
    <col min="11" max="11" width="16.625" customWidth="1"/>
    <col min="12" max="12" width="18" customWidth="1"/>
    <col min="13" max="13" width="55.625" customWidth="1"/>
  </cols>
  <sheetData>
    <row r="1" spans="1:13">
      <c r="A1" s="21" t="s">
        <v>139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5" customHeight="1">
      <c r="A2" s="23" t="s">
        <v>385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0">
      <c r="A4" s="14" t="s">
        <v>140</v>
      </c>
      <c r="B4" s="14" t="s">
        <v>116</v>
      </c>
      <c r="C4" s="14" t="s">
        <v>117</v>
      </c>
      <c r="D4" s="14" t="s">
        <v>141</v>
      </c>
      <c r="E4" s="14" t="s">
        <v>142</v>
      </c>
      <c r="F4" s="14" t="s">
        <v>143</v>
      </c>
      <c r="G4" s="14" t="s">
        <v>144</v>
      </c>
      <c r="H4" s="14" t="s">
        <v>145</v>
      </c>
      <c r="I4" s="14" t="s">
        <v>146</v>
      </c>
      <c r="J4" s="14" t="s">
        <v>147</v>
      </c>
      <c r="K4" s="14" t="s">
        <v>126</v>
      </c>
      <c r="L4" s="14" t="s">
        <v>9</v>
      </c>
      <c r="M4" s="14" t="s">
        <v>111</v>
      </c>
    </row>
    <row r="5" spans="1:13" s="26" customFormat="1" ht="76.5">
      <c r="A5" s="24" t="s">
        <v>148</v>
      </c>
      <c r="B5" s="24" t="s">
        <v>128</v>
      </c>
      <c r="C5" s="24" t="s">
        <v>59</v>
      </c>
      <c r="D5" s="24" t="s">
        <v>386</v>
      </c>
      <c r="E5" s="24" t="s">
        <v>387</v>
      </c>
      <c r="F5" s="24" t="s">
        <v>388</v>
      </c>
      <c r="G5" s="24" t="s">
        <v>389</v>
      </c>
      <c r="H5" s="24" t="s">
        <v>390</v>
      </c>
      <c r="I5" s="24" t="s">
        <v>69</v>
      </c>
      <c r="J5" s="24" t="s">
        <v>75</v>
      </c>
      <c r="K5" s="24">
        <f>IF(B5="","",IFERROR(INDEX('Проблемы клиентов'!$K$5:$K$10,MATCH(B5,'Проблемы клиентов'!$A$5:$A$10,0)),0))</f>
        <v>74</v>
      </c>
      <c r="L5" s="24" t="str">
        <f t="shared" ref="L5" si="0">IF(A5="","",IF(AND(B5&lt;&gt;"",F5&lt;&gt;"",G5&lt;&gt;"",H5&lt;&gt;"",I5&lt;&gt;"",J5&lt;&gt;""),"Готово","Нужно дополнить"))</f>
        <v>Готово</v>
      </c>
      <c r="M5" s="24" t="s">
        <v>391</v>
      </c>
    </row>
  </sheetData>
  <mergeCells count="2">
    <mergeCell ref="A1:M1"/>
    <mergeCell ref="A2:M2"/>
  </mergeCells>
  <conditionalFormatting sqref="K5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Справочники!$B$4:$B$8</xm:f>
          </x14:formula1>
          <xm:sqref>C5</xm:sqref>
        </x14:dataValidation>
        <x14:dataValidation type="list" xr:uid="{00000000-0002-0000-0500-000001000000}">
          <x14:formula1>
            <xm:f>Справочники!$E$4:$E$9</xm:f>
          </x14:formula1>
          <xm:sqref>I5</xm:sqref>
        </x14:dataValidation>
        <x14:dataValidation type="list" xr:uid="{00000000-0002-0000-0500-000002000000}">
          <x14:formula1>
            <xm:f>Справочники!$D$4:$D$12</xm:f>
          </x14:formula1>
          <xm:sqref>J5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"/>
  <sheetViews>
    <sheetView topLeftCell="H1" workbookViewId="0">
      <selection activeCell="L17" sqref="L17"/>
    </sheetView>
  </sheetViews>
  <sheetFormatPr defaultRowHeight="14.25"/>
  <cols>
    <col min="1" max="1" width="20.75" customWidth="1"/>
    <col min="2" max="2" width="12" customWidth="1"/>
    <col min="3" max="3" width="30" customWidth="1"/>
    <col min="4" max="4" width="24" customWidth="1"/>
    <col min="5" max="9" width="55.625" customWidth="1"/>
    <col min="10" max="10" width="18.625" customWidth="1"/>
    <col min="11" max="11" width="31.625" customWidth="1"/>
    <col min="12" max="12" width="18" customWidth="1"/>
    <col min="13" max="13" width="55.625" customWidth="1"/>
  </cols>
  <sheetData>
    <row r="1" spans="1:13" ht="15" customHeight="1">
      <c r="A1" s="21" t="s">
        <v>149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5" customHeight="1">
      <c r="A2" s="23" t="s">
        <v>392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0">
      <c r="A4" s="14" t="s">
        <v>150</v>
      </c>
      <c r="B4" s="14" t="s">
        <v>140</v>
      </c>
      <c r="C4" s="14" t="s">
        <v>151</v>
      </c>
      <c r="D4" s="14" t="s">
        <v>152</v>
      </c>
      <c r="E4" s="14" t="s">
        <v>153</v>
      </c>
      <c r="F4" s="14" t="s">
        <v>154</v>
      </c>
      <c r="G4" s="14" t="s">
        <v>155</v>
      </c>
      <c r="H4" s="14" t="s">
        <v>156</v>
      </c>
      <c r="I4" s="14" t="s">
        <v>157</v>
      </c>
      <c r="J4" s="14" t="s">
        <v>158</v>
      </c>
      <c r="K4" s="14" t="s">
        <v>159</v>
      </c>
      <c r="L4" s="14" t="s">
        <v>9</v>
      </c>
      <c r="M4" s="14" t="s">
        <v>111</v>
      </c>
    </row>
    <row r="5" spans="1:13" s="26" customFormat="1" ht="51">
      <c r="A5" s="24" t="s">
        <v>160</v>
      </c>
      <c r="B5" s="24" t="s">
        <v>148</v>
      </c>
      <c r="C5" s="24" t="s">
        <v>318</v>
      </c>
      <c r="D5" s="24" t="s">
        <v>18</v>
      </c>
      <c r="E5" s="24" t="s">
        <v>393</v>
      </c>
      <c r="F5" s="24" t="s">
        <v>394</v>
      </c>
      <c r="G5" s="24" t="s">
        <v>395</v>
      </c>
      <c r="H5" s="24" t="s">
        <v>396</v>
      </c>
      <c r="I5" s="24" t="s">
        <v>397</v>
      </c>
      <c r="J5" s="24" t="s">
        <v>22</v>
      </c>
      <c r="K5" s="24">
        <f t="shared" ref="K5" si="0">IF(A5="","",ROUND((COUNTA(E5:I5)/5)*100,0))</f>
        <v>100</v>
      </c>
      <c r="L5" s="24" t="str">
        <f t="shared" ref="L5" si="1">IF(A5="","",IF(K5&gt;=80,"Готово",IF(K5&gt;=50,"Нужно дополнить","Черновик")))</f>
        <v>Готово</v>
      </c>
      <c r="M5" s="24" t="s">
        <v>398</v>
      </c>
    </row>
  </sheetData>
  <mergeCells count="2">
    <mergeCell ref="A1:M1"/>
    <mergeCell ref="A2:M2"/>
  </mergeCells>
  <conditionalFormatting sqref="K5">
    <cfRule type="dataBar" priority="7">
      <dataBar>
        <cfvo type="min"/>
        <cfvo type="max"/>
        <color rgb="FF70AD47"/>
      </dataBar>
    </cfRule>
    <cfRule type="dataBar" priority="8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{69F079BF-2A0E-0724-4F29-786D436DF1E4}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F079BF-2A0E-0724-4F29-786D436DF1E4}">
            <x14:dataBar>
              <x14:cfvo type="min"/>
              <x14:cfvo type="max"/>
              <x14:negativeFillColor auto="1"/>
              <x14:axisColor auto="1"/>
            </x14:dataBar>
          </x14:cfRule>
          <xm:sqref>K5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Справочники!$F$4:$F$12</xm:f>
          </x14:formula1>
          <xm:sqref>D5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"/>
  <sheetViews>
    <sheetView topLeftCell="G1" workbookViewId="0">
      <selection activeCell="M15" sqref="M15"/>
    </sheetView>
  </sheetViews>
  <sheetFormatPr defaultRowHeight="14.25"/>
  <cols>
    <col min="1" max="1" width="24" customWidth="1"/>
    <col min="2" max="2" width="12" customWidth="1"/>
    <col min="3" max="3" width="24" customWidth="1"/>
    <col min="4" max="4" width="55.625" customWidth="1"/>
    <col min="5" max="5" width="18" customWidth="1"/>
    <col min="6" max="6" width="14" customWidth="1"/>
    <col min="7" max="7" width="23.625" customWidth="1"/>
    <col min="8" max="8" width="18.625" customWidth="1"/>
    <col min="9" max="9" width="70" customWidth="1"/>
    <col min="10" max="10" width="23.625" customWidth="1"/>
    <col min="11" max="11" width="26.625" customWidth="1"/>
    <col min="12" max="12" width="18.625" customWidth="1"/>
    <col min="13" max="13" width="27.625" customWidth="1"/>
    <col min="14" max="14" width="18" customWidth="1"/>
  </cols>
  <sheetData>
    <row r="1" spans="1:14">
      <c r="A1" s="21" t="s">
        <v>161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" customHeight="1">
      <c r="A2" s="23" t="s">
        <v>399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30">
      <c r="A4" s="14" t="s">
        <v>162</v>
      </c>
      <c r="B4" s="14" t="s">
        <v>150</v>
      </c>
      <c r="C4" s="14" t="s">
        <v>163</v>
      </c>
      <c r="D4" s="14" t="s">
        <v>164</v>
      </c>
      <c r="E4" s="14" t="s">
        <v>8</v>
      </c>
      <c r="F4" s="14" t="s">
        <v>165</v>
      </c>
      <c r="G4" s="14" t="s">
        <v>166</v>
      </c>
      <c r="H4" s="14" t="s">
        <v>167</v>
      </c>
      <c r="I4" s="14" t="s">
        <v>168</v>
      </c>
      <c r="J4" s="14" t="s">
        <v>169</v>
      </c>
      <c r="K4" s="14" t="s">
        <v>170</v>
      </c>
      <c r="L4" s="14" t="s">
        <v>171</v>
      </c>
      <c r="M4" s="14" t="s">
        <v>172</v>
      </c>
      <c r="N4" s="14" t="s">
        <v>9</v>
      </c>
    </row>
    <row r="5" spans="1:14" s="26" customFormat="1" ht="38.25">
      <c r="A5" s="24" t="s">
        <v>173</v>
      </c>
      <c r="B5" s="24" t="s">
        <v>160</v>
      </c>
      <c r="C5" s="24" t="s">
        <v>19</v>
      </c>
      <c r="D5" s="24" t="s">
        <v>319</v>
      </c>
      <c r="E5" s="24" t="s">
        <v>55</v>
      </c>
      <c r="F5" s="27">
        <v>40</v>
      </c>
      <c r="G5" s="27">
        <v>1634</v>
      </c>
      <c r="H5" s="27">
        <f t="shared" ref="H5:H6" si="0">IF(OR(F5="",G5=""),"",F5*G5)</f>
        <v>65360</v>
      </c>
      <c r="I5" s="24" t="s">
        <v>400</v>
      </c>
      <c r="J5" s="24">
        <v>4</v>
      </c>
      <c r="K5" s="24">
        <v>5</v>
      </c>
      <c r="L5" s="24">
        <v>4</v>
      </c>
      <c r="M5" s="24">
        <f t="shared" ref="M5:M6" si="1">IF(COUNTA(J5:L5)=0,"",ROUND(((J5*0.4)+(K5*0.3)+(L5*0.3))*20,0))</f>
        <v>86</v>
      </c>
      <c r="N5" s="24" t="str">
        <f t="shared" ref="N5:N6" si="2">IF(A5="","",IF(M5&gt;=80,"Готово",IF(M5&gt;=60,"Нужно дополнить",IF(M5&gt;=40,"Черновик","Отклонить"))))</f>
        <v>Готово</v>
      </c>
    </row>
    <row r="6" spans="1:14" s="26" customFormat="1" ht="25.5">
      <c r="A6" s="24" t="s">
        <v>320</v>
      </c>
      <c r="B6" s="24" t="s">
        <v>160</v>
      </c>
      <c r="C6" s="24" t="s">
        <v>19</v>
      </c>
      <c r="D6" s="24" t="s">
        <v>321</v>
      </c>
      <c r="E6" s="24" t="s">
        <v>20</v>
      </c>
      <c r="F6" s="27">
        <v>0</v>
      </c>
      <c r="G6" s="27">
        <v>0</v>
      </c>
      <c r="H6" s="27">
        <f t="shared" si="0"/>
        <v>0</v>
      </c>
      <c r="I6" s="24" t="s">
        <v>401</v>
      </c>
      <c r="J6" s="24">
        <v>4</v>
      </c>
      <c r="K6" s="24">
        <v>5</v>
      </c>
      <c r="L6" s="24">
        <v>2</v>
      </c>
      <c r="M6" s="24">
        <f t="shared" si="1"/>
        <v>74</v>
      </c>
      <c r="N6" s="24" t="str">
        <f t="shared" si="2"/>
        <v>Нужно дополнить</v>
      </c>
    </row>
    <row r="7" spans="1:14" s="26" customFormat="1"/>
  </sheetData>
  <mergeCells count="2">
    <mergeCell ref="A1:N1"/>
    <mergeCell ref="A2:N2"/>
  </mergeCells>
  <conditionalFormatting sqref="M5:M6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Справочники!$G$4:$G$12</xm:f>
          </x14:formula1>
          <xm:sqref>C5:C6</xm:sqref>
        </x14:dataValidation>
        <x14:dataValidation type="list" xr:uid="{00000000-0002-0000-0700-000001000000}">
          <x14:formula1>
            <xm:f>Справочники!$H$4:$H$12</xm:f>
          </x14:formula1>
          <xm:sqref>E5:E6</xm:sqref>
        </x14:dataValidation>
        <x14:dataValidation type="list" xr:uid="{00000000-0002-0000-0700-000002000000}">
          <x14:formula1>
            <xm:f>Справочники!$A$4:$A$8</xm:f>
          </x14:formula1>
          <xm:sqref>J5:L6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"/>
  <sheetViews>
    <sheetView topLeftCell="J1" workbookViewId="0">
      <selection activeCell="M28" sqref="M28"/>
    </sheetView>
  </sheetViews>
  <sheetFormatPr defaultRowHeight="14.25"/>
  <cols>
    <col min="1" max="1" width="18.75" customWidth="1"/>
    <col min="2" max="2" width="12" customWidth="1"/>
    <col min="3" max="11" width="55.625" customWidth="1"/>
    <col min="12" max="12" width="30.625" customWidth="1"/>
    <col min="13" max="13" width="54.625" customWidth="1"/>
  </cols>
  <sheetData>
    <row r="1" spans="1:13">
      <c r="A1" s="21" t="s">
        <v>174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5" customHeight="1">
      <c r="A2" s="23" t="s">
        <v>402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0">
      <c r="A4" s="14" t="s">
        <v>175</v>
      </c>
      <c r="B4" s="14" t="s">
        <v>150</v>
      </c>
      <c r="C4" s="14" t="s">
        <v>23</v>
      </c>
      <c r="D4" s="14" t="s">
        <v>35</v>
      </c>
      <c r="E4" s="14" t="s">
        <v>46</v>
      </c>
      <c r="F4" s="14" t="s">
        <v>57</v>
      </c>
      <c r="G4" s="14" t="s">
        <v>66</v>
      </c>
      <c r="H4" s="14" t="s">
        <v>73</v>
      </c>
      <c r="I4" s="14" t="s">
        <v>80</v>
      </c>
      <c r="J4" s="14" t="s">
        <v>85</v>
      </c>
      <c r="K4" s="14" t="s">
        <v>88</v>
      </c>
      <c r="L4" s="14" t="s">
        <v>176</v>
      </c>
      <c r="M4" s="14" t="s">
        <v>111</v>
      </c>
    </row>
    <row r="5" spans="1:13" ht="25.5">
      <c r="A5" s="1" t="s">
        <v>177</v>
      </c>
      <c r="B5" s="1" t="s">
        <v>160</v>
      </c>
      <c r="C5" s="1" t="s">
        <v>403</v>
      </c>
      <c r="D5" s="1" t="s">
        <v>404</v>
      </c>
      <c r="E5" s="1" t="s">
        <v>405</v>
      </c>
      <c r="F5" s="1" t="s">
        <v>406</v>
      </c>
      <c r="G5" s="1" t="s">
        <v>407</v>
      </c>
      <c r="H5" s="1" t="s">
        <v>408</v>
      </c>
      <c r="I5" s="1" t="s">
        <v>409</v>
      </c>
      <c r="J5" s="1" t="s">
        <v>429</v>
      </c>
      <c r="K5" s="1" t="s">
        <v>410</v>
      </c>
      <c r="L5" s="1">
        <f t="shared" ref="L5" si="0">IF(A5="","",ROUND((COUNTA(C5:K5)/9)*100,0))</f>
        <v>100</v>
      </c>
      <c r="M5" s="1" t="s">
        <v>411</v>
      </c>
    </row>
  </sheetData>
  <mergeCells count="2">
    <mergeCell ref="A1:M1"/>
    <mergeCell ref="A2:M2"/>
  </mergeCells>
  <conditionalFormatting sqref="L5">
    <cfRule type="dataBar" priority="10">
      <dataBar>
        <cfvo type="min"/>
        <cfvo type="max"/>
        <color rgb="FF4472C4"/>
      </dataBar>
    </cfRule>
    <cfRule type="dataBar" priority="1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{49A8C370-6F2E-7FF1-DF4C-64DB7C7D2111}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A8C370-6F2E-7FF1-DF4C-64DB7C7D2111}">
            <x14:dataBar>
              <x14:cfvo type="min"/>
              <x14:cfvo type="max"/>
              <x14:negativeFillColor auto="1"/>
              <x14:axisColor auto="1"/>
            </x14:dataBar>
          </x14:cfRule>
          <xm:sqref>L5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topLeftCell="B1" workbookViewId="0">
      <selection activeCell="J27" sqref="J27"/>
    </sheetView>
  </sheetViews>
  <sheetFormatPr defaultRowHeight="14.25"/>
  <cols>
    <col min="1" max="1" width="23.25" customWidth="1"/>
    <col min="2" max="2" width="12.625" customWidth="1"/>
    <col min="3" max="4" width="12" customWidth="1"/>
    <col min="5" max="5" width="16" customWidth="1"/>
    <col min="6" max="6" width="12" customWidth="1"/>
    <col min="7" max="7" width="17.625" customWidth="1"/>
    <col min="8" max="8" width="22" customWidth="1"/>
    <col min="9" max="10" width="55.625" customWidth="1"/>
  </cols>
  <sheetData>
    <row r="1" spans="1:10" ht="15" customHeight="1">
      <c r="A1" s="21" t="s">
        <v>178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5" customHeight="1">
      <c r="A2" s="23" t="s">
        <v>412</v>
      </c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30">
      <c r="A4" s="14" t="s">
        <v>179</v>
      </c>
      <c r="B4" s="14" t="s">
        <v>116</v>
      </c>
      <c r="C4" s="14" t="s">
        <v>140</v>
      </c>
      <c r="D4" s="14" t="s">
        <v>150</v>
      </c>
      <c r="E4" s="14" t="s">
        <v>162</v>
      </c>
      <c r="F4" s="14" t="s">
        <v>175</v>
      </c>
      <c r="G4" s="14" t="s">
        <v>180</v>
      </c>
      <c r="H4" s="14" t="s">
        <v>181</v>
      </c>
      <c r="I4" s="14" t="s">
        <v>182</v>
      </c>
      <c r="J4" s="14" t="s">
        <v>183</v>
      </c>
    </row>
    <row r="5" spans="1:10">
      <c r="A5" s="1" t="s">
        <v>184</v>
      </c>
      <c r="B5" s="1" t="s">
        <v>128</v>
      </c>
      <c r="C5" s="1" t="s">
        <v>148</v>
      </c>
      <c r="D5" s="1" t="s">
        <v>160</v>
      </c>
      <c r="E5" s="1" t="s">
        <v>173</v>
      </c>
      <c r="F5" s="1" t="s">
        <v>177</v>
      </c>
      <c r="G5" s="1">
        <f>IF(A5="","",ROUND((IFERROR(INDEX('Проблемы клиентов'!$K$5:$K$10,MATCH(B5,'Проблемы клиентов'!$A$5:$A$10,0)),0)*0.3+IFERROR(INDEX('Ценностные предложения'!$K$5:$K$5,MATCH(C5,'Ценностные предложения'!$A$5:$A$5,0)),0)*0.15+IFERROR(INDEX('Цифровой товар'!$K$5:$K$5,MATCH(D5,'Цифровой товар'!$A$5:$A$5,0)),0)*0.2+IFERROR(INDEX('Единица монетизации'!$M$5:$M$6,MATCH(E5,'Единица монетизации'!$A$5:$A$6,0)),0)*0.2+IFERROR(INDEX('Бизнес-модель'!$L$5:$L$5,MATCH(F5,'Бизнес-модель'!$A$5:$A$5,0)),0)*0.15),0))</f>
        <v>86</v>
      </c>
      <c r="H5" s="1" t="str">
        <f t="shared" ref="H5:H6" si="0">IF(G5="","",IF(G5&gt;=75,"Проходят проверку",IF(G5&gt;=55,"Требуется доработка","Недостаточно данных")))</f>
        <v>Проходят проверку</v>
      </c>
      <c r="I5" s="1" t="s">
        <v>413</v>
      </c>
      <c r="J5" s="1" t="s">
        <v>414</v>
      </c>
    </row>
    <row r="6" spans="1:10">
      <c r="A6" s="1" t="s">
        <v>322</v>
      </c>
      <c r="B6" s="1" t="s">
        <v>128</v>
      </c>
      <c r="C6" s="1" t="s">
        <v>148</v>
      </c>
      <c r="D6" s="1" t="s">
        <v>160</v>
      </c>
      <c r="E6" s="1" t="s">
        <v>320</v>
      </c>
      <c r="F6" s="1" t="s">
        <v>177</v>
      </c>
      <c r="G6" s="1">
        <f>IF(A6="","",ROUND((IFERROR(INDEX('Проблемы клиентов'!$K$5:$K$10,MATCH(B6,'Проблемы клиентов'!$A$5:$A$10,0)),0)*0.3+IFERROR(INDEX('Ценностные предложения'!$K$5:$K$5,MATCH(C6,'Ценностные предложения'!$A$5:$A$5,0)),0)*0.15+IFERROR(INDEX('Цифровой товар'!$K$5:$K$5,MATCH(D6,'Цифровой товар'!$A$5:$A$5,0)),0)*0.2+IFERROR(INDEX('Единица монетизации'!$M$5:$M$6,MATCH(E6,'Единица монетизации'!$A$5:$A$6,0)),0)*0.2+IFERROR(INDEX('Бизнес-модель'!$L$5:$L$5,MATCH(F6,'Бизнес-модель'!$A$5:$A$5,0)),0)*0.15),0))</f>
        <v>83</v>
      </c>
      <c r="H6" s="1" t="str">
        <f t="shared" si="0"/>
        <v>Проходят проверку</v>
      </c>
      <c r="I6" s="1" t="s">
        <v>430</v>
      </c>
      <c r="J6" s="1" t="s">
        <v>415</v>
      </c>
    </row>
  </sheetData>
  <mergeCells count="2">
    <mergeCell ref="A1:J1"/>
    <mergeCell ref="A2:J2"/>
  </mergeCells>
  <conditionalFormatting sqref="G5:G6">
    <cfRule type="colorScale" priority="1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"/>
  <sheetViews>
    <sheetView workbookViewId="0">
      <selection activeCell="E25" sqref="E25"/>
    </sheetView>
  </sheetViews>
  <sheetFormatPr defaultRowHeight="14.25"/>
  <cols>
    <col min="1" max="1" width="38" customWidth="1"/>
    <col min="2" max="2" width="18" customWidth="1"/>
    <col min="3" max="3" width="58" customWidth="1"/>
    <col min="4" max="4" width="4" customWidth="1"/>
    <col min="5" max="5" width="28" customWidth="1"/>
    <col min="6" max="7" width="15" customWidth="1"/>
    <col min="8" max="8" width="4" customWidth="1"/>
    <col min="9" max="11" width="15" customWidth="1"/>
  </cols>
  <sheetData>
    <row r="1" spans="1:11" ht="33.75" customHeight="1">
      <c r="A1" s="21" t="s">
        <v>185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7.100000000000001" customHeight="1">
      <c r="A2" s="23" t="s">
        <v>416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17.100000000000001" customHeight="1">
      <c r="A4" s="15" t="s">
        <v>186</v>
      </c>
      <c r="B4" s="16" t="s">
        <v>187</v>
      </c>
      <c r="C4" s="17" t="s">
        <v>188</v>
      </c>
      <c r="D4" s="13"/>
      <c r="E4" s="14" t="s">
        <v>189</v>
      </c>
      <c r="F4" s="14" t="s">
        <v>190</v>
      </c>
      <c r="G4" s="14" t="s">
        <v>191</v>
      </c>
      <c r="H4" s="13"/>
      <c r="I4" s="13"/>
      <c r="J4" s="13"/>
      <c r="K4" s="13"/>
    </row>
    <row r="5" spans="1:11">
      <c r="A5" s="2" t="s">
        <v>192</v>
      </c>
      <c r="B5" s="8">
        <f>COUNTIF('Проблемы клиентов'!$A$5:$A$10,"&lt;&gt;")</f>
        <v>6</v>
      </c>
      <c r="C5" s="4" t="s">
        <v>417</v>
      </c>
      <c r="D5" s="13"/>
      <c r="E5" s="1" t="s">
        <v>25</v>
      </c>
      <c r="F5" s="1">
        <f>COUNTIF('Проблемы клиентов'!$L$5:$L$10,E5)</f>
        <v>0</v>
      </c>
      <c r="G5" s="10">
        <f>IFERROR(F5/SUM($F$5:$F$8),0)</f>
        <v>0</v>
      </c>
      <c r="H5" s="13"/>
      <c r="I5" s="13"/>
      <c r="J5" s="13"/>
      <c r="K5" s="13"/>
    </row>
    <row r="6" spans="1:11">
      <c r="A6" s="2" t="s">
        <v>193</v>
      </c>
      <c r="B6" s="8">
        <f>IFERROR(MAX('Проблемы клиентов'!$K$5:$K$10),0)</f>
        <v>74</v>
      </c>
      <c r="C6" s="4" t="s">
        <v>418</v>
      </c>
      <c r="D6" s="13"/>
      <c r="E6" s="1" t="s">
        <v>37</v>
      </c>
      <c r="F6" s="1">
        <f>COUNTIF('Проблемы клиентов'!$L$5:$L$10,E6)</f>
        <v>3</v>
      </c>
      <c r="G6" s="10">
        <f>IFERROR(F6/SUM($F$5:$F$8),0)</f>
        <v>0.5</v>
      </c>
      <c r="H6" s="13"/>
      <c r="I6" s="13"/>
      <c r="J6" s="13"/>
      <c r="K6" s="13"/>
    </row>
    <row r="7" spans="1:11">
      <c r="A7" s="2" t="s">
        <v>194</v>
      </c>
      <c r="B7" s="8">
        <f>COUNTIF('Ценностные предложения'!$L$5:$L$5,"Готово")</f>
        <v>1</v>
      </c>
      <c r="C7" s="4" t="s">
        <v>419</v>
      </c>
      <c r="D7" s="13"/>
      <c r="E7" s="1" t="s">
        <v>48</v>
      </c>
      <c r="F7" s="1">
        <f>COUNTIF('Проблемы клиентов'!$L$5:$L$10,E7)</f>
        <v>3</v>
      </c>
      <c r="G7" s="10">
        <f>IFERROR(F7/SUM($F$5:$F$8),0)</f>
        <v>0.5</v>
      </c>
      <c r="H7" s="13"/>
      <c r="I7" s="13"/>
      <c r="J7" s="13"/>
      <c r="K7" s="13"/>
    </row>
    <row r="8" spans="1:11">
      <c r="A8" s="2" t="s">
        <v>195</v>
      </c>
      <c r="B8" s="8">
        <f>COUNTIF('Цифровой товар'!$L$5:$L$5,"Готово")</f>
        <v>1</v>
      </c>
      <c r="C8" s="4" t="s">
        <v>420</v>
      </c>
      <c r="D8" s="13"/>
      <c r="E8" s="1" t="s">
        <v>58</v>
      </c>
      <c r="F8" s="1">
        <f>COUNTIF('Проблемы клиентов'!$L$5:$L$10,E8)</f>
        <v>0</v>
      </c>
      <c r="G8" s="10">
        <f>IFERROR(F8/SUM($F$5:$F$8),0)</f>
        <v>0</v>
      </c>
      <c r="H8" s="13"/>
      <c r="I8" s="13"/>
      <c r="J8" s="13"/>
      <c r="K8" s="13"/>
    </row>
    <row r="9" spans="1:11" ht="25.5">
      <c r="A9" s="2" t="s">
        <v>196</v>
      </c>
      <c r="B9" s="8">
        <f>IFERROR(ROUND(AVERAGE('Проверка связности'!$G$5:$G$6),0),0)</f>
        <v>85</v>
      </c>
      <c r="C9" s="4" t="s">
        <v>421</v>
      </c>
      <c r="D9" s="13"/>
      <c r="E9" s="13"/>
      <c r="F9" s="13"/>
      <c r="G9" s="13"/>
      <c r="H9" s="13"/>
      <c r="I9" s="13"/>
      <c r="J9" s="13"/>
      <c r="K9" s="13"/>
    </row>
    <row r="10" spans="1:11">
      <c r="A10" s="5" t="s">
        <v>197</v>
      </c>
      <c r="B10" s="9">
        <f>IFERROR(SUM('Единица монетизации'!$H$5:$H$6),0)</f>
        <v>65360</v>
      </c>
      <c r="C10" s="7" t="s">
        <v>422</v>
      </c>
      <c r="D10" s="13"/>
      <c r="E10" s="13"/>
      <c r="F10" s="13"/>
      <c r="G10" s="13"/>
      <c r="H10" s="13"/>
      <c r="I10" s="13"/>
      <c r="J10" s="13"/>
      <c r="K10" s="13"/>
    </row>
    <row r="11" spans="1:11" ht="17.100000000000001" customHeight="1">
      <c r="A11" s="13"/>
      <c r="B11" s="13"/>
      <c r="C11" s="13"/>
      <c r="D11" s="13"/>
      <c r="E11" s="14" t="s">
        <v>198</v>
      </c>
      <c r="F11" s="14" t="s">
        <v>190</v>
      </c>
      <c r="G11" s="14" t="s">
        <v>191</v>
      </c>
      <c r="H11" s="13"/>
      <c r="I11" s="13"/>
      <c r="J11" s="13"/>
      <c r="K11" s="13"/>
    </row>
    <row r="12" spans="1:11">
      <c r="A12" s="13"/>
      <c r="B12" s="13"/>
      <c r="C12" s="13"/>
      <c r="D12" s="13"/>
      <c r="E12" s="1" t="s">
        <v>24</v>
      </c>
      <c r="F12" s="1">
        <f>COUNTIF('Проверка связности'!$H$5:$H$6,E12)</f>
        <v>2</v>
      </c>
      <c r="G12" s="10">
        <f>IFERROR(F12/SUM($F$12:$F$14),0)</f>
        <v>1</v>
      </c>
      <c r="H12" s="13"/>
      <c r="I12" s="13"/>
      <c r="J12" s="13"/>
      <c r="K12" s="13"/>
    </row>
    <row r="13" spans="1:11">
      <c r="A13" s="13"/>
      <c r="B13" s="13"/>
      <c r="C13" s="13"/>
      <c r="D13" s="13"/>
      <c r="E13" s="1" t="s">
        <v>36</v>
      </c>
      <c r="F13" s="1">
        <f>COUNTIF('Проверка связности'!$H$5:$H$6,E13)</f>
        <v>0</v>
      </c>
      <c r="G13" s="10">
        <f>IFERROR(F13/SUM($F$12:$F$14),0)</f>
        <v>0</v>
      </c>
      <c r="H13" s="13"/>
      <c r="I13" s="13"/>
      <c r="J13" s="13"/>
      <c r="K13" s="13"/>
    </row>
    <row r="14" spans="1:11">
      <c r="A14" s="13"/>
      <c r="B14" s="13"/>
      <c r="C14" s="13"/>
      <c r="D14" s="13"/>
      <c r="E14" s="1" t="s">
        <v>47</v>
      </c>
      <c r="F14" s="1">
        <f>COUNTIF('Проверка связности'!$H$5:$H$6,E14)</f>
        <v>0</v>
      </c>
      <c r="G14" s="10">
        <f>IFERROR(F14/SUM($F$12:$F$14),0)</f>
        <v>0</v>
      </c>
      <c r="H14" s="13"/>
      <c r="I14" s="13"/>
      <c r="J14" s="13"/>
      <c r="K14" s="13"/>
    </row>
  </sheetData>
  <mergeCells count="2">
    <mergeCell ref="A1:K1"/>
    <mergeCell ref="A2:K2"/>
  </mergeCells>
  <conditionalFormatting sqref="F5:F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F5:F8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1BBC-6500-46C2-AEFA-B64B08BCE1EA}">
  <dimension ref="A1:C9"/>
  <sheetViews>
    <sheetView tabSelected="1" workbookViewId="0">
      <selection activeCell="C14" sqref="C14"/>
    </sheetView>
  </sheetViews>
  <sheetFormatPr defaultRowHeight="12.75"/>
  <cols>
    <col min="1" max="1" width="55.625" style="11" customWidth="1"/>
    <col min="2" max="2" width="9.625" style="11" customWidth="1"/>
    <col min="3" max="3" width="60.625" style="11" customWidth="1"/>
    <col min="4" max="16384" width="9" style="11"/>
  </cols>
  <sheetData>
    <row r="1" spans="1:3" ht="31.5">
      <c r="A1" s="18" t="s">
        <v>323</v>
      </c>
      <c r="B1" s="19"/>
      <c r="C1" s="19"/>
    </row>
    <row r="2" spans="1:3">
      <c r="A2" s="19"/>
      <c r="B2" s="19"/>
      <c r="C2" s="19"/>
    </row>
    <row r="3" spans="1:3">
      <c r="A3" s="20" t="s">
        <v>90</v>
      </c>
      <c r="B3" s="20" t="s">
        <v>324</v>
      </c>
      <c r="C3" s="20" t="s">
        <v>325</v>
      </c>
    </row>
    <row r="4" spans="1:3" ht="38.25">
      <c r="A4" s="12" t="s">
        <v>326</v>
      </c>
      <c r="B4" s="12" t="s">
        <v>327</v>
      </c>
      <c r="C4" s="12" t="s">
        <v>423</v>
      </c>
    </row>
    <row r="5" spans="1:3" ht="63.75">
      <c r="A5" s="12" t="s">
        <v>126</v>
      </c>
      <c r="B5" s="12" t="s">
        <v>328</v>
      </c>
      <c r="C5" s="12" t="s">
        <v>431</v>
      </c>
    </row>
    <row r="6" spans="1:3" ht="25.5">
      <c r="A6" s="12" t="s">
        <v>329</v>
      </c>
      <c r="B6" s="12" t="s">
        <v>330</v>
      </c>
      <c r="C6" s="12" t="s">
        <v>424</v>
      </c>
    </row>
    <row r="7" spans="1:3" ht="38.25">
      <c r="A7" s="12" t="s">
        <v>331</v>
      </c>
      <c r="B7" s="12" t="s">
        <v>332</v>
      </c>
      <c r="C7" s="12" t="s">
        <v>432</v>
      </c>
    </row>
    <row r="8" spans="1:3" ht="51">
      <c r="A8" s="12" t="s">
        <v>333</v>
      </c>
      <c r="B8" s="12" t="s">
        <v>334</v>
      </c>
      <c r="C8" s="12" t="s">
        <v>433</v>
      </c>
    </row>
    <row r="9" spans="1:3" ht="51">
      <c r="A9" s="12" t="s">
        <v>335</v>
      </c>
      <c r="B9" s="12" t="s">
        <v>336</v>
      </c>
      <c r="C9" s="12" t="s">
        <v>425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Справочники</vt:lpstr>
      <vt:lpstr>Инструкция</vt:lpstr>
      <vt:lpstr>Исходные данные</vt:lpstr>
      <vt:lpstr>Проблемы клиентов</vt:lpstr>
      <vt:lpstr>Конкурентные решения</vt:lpstr>
      <vt:lpstr>Ценностные предложения</vt:lpstr>
      <vt:lpstr>Цифровой товар</vt:lpstr>
      <vt:lpstr>Единица монетизации</vt:lpstr>
      <vt:lpstr>Бизнес-модель</vt:lpstr>
      <vt:lpstr>Проверка связности</vt:lpstr>
      <vt:lpstr>Дашборд</vt:lpstr>
      <vt:lpstr>Журнал_6_1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Ценностное предложение и цифровой товар NotaCode</dc:title>
  <dc:creator>К. А. Хаджинова</dc:creator>
  <dc:description/>
  <cp:lastModifiedBy>Aliaksandr Khajynau</cp:lastModifiedBy>
  <dcterms:created xsi:type="dcterms:W3CDTF">2026-10-04T16:53:26Z</dcterms:created>
  <dcterms:modified xsi:type="dcterms:W3CDTF">2026-10-04T18:56:05Z</dcterms:modified>
</cp:coreProperties>
</file>