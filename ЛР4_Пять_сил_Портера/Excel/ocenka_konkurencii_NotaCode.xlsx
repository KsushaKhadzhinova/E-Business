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ЛР4_Пять_сил_Портера\Excel\"/>
    </mc:Choice>
  </mc:AlternateContent>
  <xr:revisionPtr revIDLastSave="0" documentId="13_ncr:1_{502E87CA-B43D-4493-954A-EA0F90FBC7FD}" xr6:coauthVersionLast="47" xr6:coauthVersionMax="47" xr10:uidLastSave="{00000000-0000-0000-0000-000000000000}"/>
  <bookViews>
    <workbookView xWindow="7200" yWindow="3975" windowWidth="21600" windowHeight="11295" xr2:uid="{00000000-000D-0000-FFFF-FFFF00000000}"/>
  </bookViews>
  <sheets>
    <sheet name="00_Методика" sheetId="1" r:id="rId1"/>
    <sheet name="01_Параметры" sheetId="2" r:id="rId2"/>
    <sheet name="02_Конкуренты_SW" sheetId="3" r:id="rId3"/>
    <sheet name="03_Каналы_трафика" sheetId="4" r:id="rId4"/>
    <sheet name="04_Поиск_реклама" sheetId="5" r:id="rId5"/>
    <sheet name="05_Отзывы_рейтинги" sheetId="6" r:id="rId6"/>
    <sheet name="06_Технологии_финансы" sheetId="7" r:id="rId7"/>
    <sheet name="07_Барьеры_входа" sheetId="8" r:id="rId8"/>
    <sheet name="08_Дашборд" sheetId="9" r:id="rId9"/>
    <sheet name="09_Источники" sheetId="10" r:id="rId10"/>
  </sheets>
  <calcPr calcId="191029" refMode="R1C1"/>
</workbook>
</file>

<file path=xl/calcChain.xml><?xml version="1.0" encoding="utf-8"?>
<calcChain xmlns="http://schemas.openxmlformats.org/spreadsheetml/2006/main">
  <c r="E13" i="8" l="1"/>
  <c r="K22" i="7"/>
  <c r="L22" i="7" s="1"/>
  <c r="K21" i="7"/>
  <c r="L21" i="7" s="1"/>
  <c r="K20" i="7"/>
  <c r="L20" i="7" s="1"/>
  <c r="K19" i="7"/>
  <c r="L19" i="7" s="1"/>
  <c r="K18" i="7"/>
  <c r="L18" i="7" s="1"/>
  <c r="K17" i="7"/>
  <c r="L17" i="7" s="1"/>
  <c r="K16" i="7"/>
  <c r="L16" i="7" s="1"/>
  <c r="K15" i="7"/>
  <c r="L15" i="7" s="1"/>
  <c r="L14" i="7"/>
  <c r="K14" i="7"/>
  <c r="K13" i="7"/>
  <c r="L13" i="7" s="1"/>
  <c r="K12" i="7"/>
  <c r="L12" i="7" s="1"/>
  <c r="K11" i="7"/>
  <c r="L11" i="7" s="1"/>
  <c r="K10" i="7"/>
  <c r="L10" i="7" s="1"/>
  <c r="K9" i="7"/>
  <c r="L9" i="7" s="1"/>
  <c r="K8" i="7"/>
  <c r="L8" i="7" s="1"/>
  <c r="K7" i="7"/>
  <c r="L7" i="7" s="1"/>
  <c r="K6" i="7"/>
  <c r="L6" i="7" s="1"/>
  <c r="L5" i="7"/>
  <c r="K5" i="7"/>
  <c r="K4" i="7"/>
  <c r="L4" i="7" s="1"/>
  <c r="L22" i="6"/>
  <c r="M22" i="6" s="1"/>
  <c r="L21" i="6"/>
  <c r="M21" i="6" s="1"/>
  <c r="L20" i="6"/>
  <c r="M20" i="6" s="1"/>
  <c r="L19" i="6"/>
  <c r="M19" i="6" s="1"/>
  <c r="L18" i="6"/>
  <c r="M18" i="6" s="1"/>
  <c r="L17" i="6"/>
  <c r="M17" i="6" s="1"/>
  <c r="L16" i="6"/>
  <c r="M16" i="6" s="1"/>
  <c r="M15" i="6"/>
  <c r="L15" i="6"/>
  <c r="L14" i="6"/>
  <c r="M14" i="6" s="1"/>
  <c r="L13" i="6"/>
  <c r="M13" i="6" s="1"/>
  <c r="L12" i="6"/>
  <c r="M12" i="6" s="1"/>
  <c r="L11" i="6"/>
  <c r="M11" i="6" s="1"/>
  <c r="L10" i="6"/>
  <c r="M10" i="6" s="1"/>
  <c r="L9" i="6"/>
  <c r="M9" i="6" s="1"/>
  <c r="L8" i="6"/>
  <c r="M8" i="6" s="1"/>
  <c r="L7" i="6"/>
  <c r="M7" i="6" s="1"/>
  <c r="L6" i="6"/>
  <c r="M6" i="6" s="1"/>
  <c r="L5" i="6"/>
  <c r="M5" i="6" s="1"/>
  <c r="L4" i="6"/>
  <c r="M4" i="6" s="1"/>
  <c r="K13" i="5"/>
  <c r="L13" i="5" s="1"/>
  <c r="K12" i="5"/>
  <c r="L12" i="5" s="1"/>
  <c r="K11" i="5"/>
  <c r="L11" i="5" s="1"/>
  <c r="K10" i="5"/>
  <c r="L10" i="5" s="1"/>
  <c r="K9" i="5"/>
  <c r="L9" i="5" s="1"/>
  <c r="K8" i="5"/>
  <c r="L8" i="5" s="1"/>
  <c r="K7" i="5"/>
  <c r="L7" i="5" s="1"/>
  <c r="K6" i="5"/>
  <c r="L6" i="5" s="1"/>
  <c r="K5" i="5"/>
  <c r="L5" i="5" s="1"/>
  <c r="K4" i="5"/>
  <c r="L4" i="5" s="1"/>
  <c r="B38" i="7"/>
  <c r="C38" i="7" s="1"/>
  <c r="B38" i="6"/>
  <c r="C38" i="6" s="1"/>
  <c r="B9" i="2"/>
  <c r="H13" i="9"/>
  <c r="H12" i="9"/>
  <c r="H11" i="9"/>
  <c r="H10" i="9"/>
  <c r="H9" i="9"/>
  <c r="H8" i="9"/>
  <c r="H7" i="9"/>
  <c r="H6" i="9"/>
  <c r="H5" i="9"/>
  <c r="D12" i="8"/>
  <c r="D11" i="8"/>
  <c r="D10" i="4"/>
  <c r="D6" i="4"/>
  <c r="D5" i="4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B10" i="2" l="1"/>
  <c r="F5" i="3"/>
  <c r="F30" i="3"/>
  <c r="F26" i="3"/>
  <c r="F22" i="3"/>
  <c r="F20" i="3"/>
  <c r="F14" i="3"/>
  <c r="F10" i="3"/>
  <c r="F33" i="3"/>
  <c r="F29" i="3"/>
  <c r="F24" i="3"/>
  <c r="F19" i="3"/>
  <c r="F13" i="3"/>
  <c r="F6" i="3"/>
  <c r="F31" i="3"/>
  <c r="F27" i="3"/>
  <c r="F21" i="3"/>
  <c r="F16" i="3"/>
  <c r="F11" i="3"/>
  <c r="F7" i="3"/>
  <c r="F32" i="3"/>
  <c r="F28" i="3"/>
  <c r="F25" i="3"/>
  <c r="F18" i="3"/>
  <c r="F12" i="3"/>
  <c r="F8" i="3"/>
  <c r="F23" i="3"/>
  <c r="F17" i="3"/>
  <c r="F15" i="3"/>
  <c r="F9" i="3"/>
  <c r="G13" i="9"/>
  <c r="G12" i="8"/>
  <c r="F12" i="8"/>
  <c r="I13" i="9" s="1"/>
  <c r="G12" i="9"/>
  <c r="G11" i="8"/>
  <c r="F11" i="8"/>
  <c r="I12" i="9" s="1"/>
  <c r="B37" i="7"/>
  <c r="B37" i="6"/>
  <c r="B37" i="5"/>
  <c r="B38" i="5"/>
  <c r="C38" i="5" s="1"/>
  <c r="C6" i="4"/>
  <c r="C7" i="4"/>
  <c r="E7" i="4" s="1"/>
  <c r="F4" i="3"/>
  <c r="C5" i="4"/>
  <c r="B41" i="3"/>
  <c r="C9" i="4"/>
  <c r="E9" i="4" s="1"/>
  <c r="C4" i="4"/>
  <c r="E4" i="4" s="1"/>
  <c r="B37" i="3"/>
  <c r="C10" i="4"/>
  <c r="C8" i="4"/>
  <c r="E8" i="4" s="1"/>
  <c r="C37" i="7" l="1"/>
  <c r="C10" i="8"/>
  <c r="D10" i="8" s="1"/>
  <c r="B11" i="9"/>
  <c r="C37" i="6"/>
  <c r="B10" i="9"/>
  <c r="C9" i="8"/>
  <c r="D9" i="8" s="1"/>
  <c r="C37" i="5"/>
  <c r="C8" i="8"/>
  <c r="D8" i="8" s="1"/>
  <c r="B9" i="9"/>
  <c r="E6" i="4"/>
  <c r="C6" i="8"/>
  <c r="D6" i="8" s="1"/>
  <c r="B39" i="3"/>
  <c r="B38" i="3"/>
  <c r="B40" i="3"/>
  <c r="B8" i="9" s="1"/>
  <c r="E5" i="4"/>
  <c r="D5" i="8" s="1"/>
  <c r="C5" i="8"/>
  <c r="E10" i="4"/>
  <c r="D7" i="8" s="1"/>
  <c r="C7" i="8"/>
  <c r="F10" i="8" l="1"/>
  <c r="I11" i="9" s="1"/>
  <c r="G10" i="8"/>
  <c r="G11" i="9"/>
  <c r="G9" i="8"/>
  <c r="G10" i="9"/>
  <c r="F9" i="8"/>
  <c r="I10" i="9" s="1"/>
  <c r="F8" i="8"/>
  <c r="I9" i="9" s="1"/>
  <c r="G8" i="8"/>
  <c r="G9" i="9"/>
  <c r="G6" i="8"/>
  <c r="F6" i="8"/>
  <c r="I7" i="9" s="1"/>
  <c r="G7" i="9"/>
  <c r="C4" i="8"/>
  <c r="D4" i="8"/>
  <c r="B7" i="9"/>
  <c r="D7" i="9" s="1"/>
  <c r="F5" i="8"/>
  <c r="I6" i="9" s="1"/>
  <c r="G5" i="8"/>
  <c r="G6" i="9"/>
  <c r="F7" i="8"/>
  <c r="I8" i="9" s="1"/>
  <c r="G7" i="8"/>
  <c r="G8" i="9"/>
  <c r="F4" i="8" l="1"/>
  <c r="G4" i="8"/>
  <c r="G5" i="9"/>
  <c r="C13" i="8" l="1"/>
  <c r="D13" i="8" s="1"/>
  <c r="F13" i="8"/>
  <c r="I5" i="9"/>
  <c r="G13" i="8" l="1"/>
  <c r="B6" i="9" s="1"/>
  <c r="B5" i="9"/>
  <c r="D5" i="9" s="1"/>
</calcChain>
</file>

<file path=xl/sharedStrings.xml><?xml version="1.0" encoding="utf-8"?>
<sst xmlns="http://schemas.openxmlformats.org/spreadsheetml/2006/main" count="722" uniqueCount="547">
  <si>
    <t>Excel-шаблон оценки уровня конкуренции и барьеров входа</t>
  </si>
  <si>
    <t>Расчетная модель на основе Similarweb и альтернативных источников цифровых данных</t>
  </si>
  <si>
    <t>Блок</t>
  </si>
  <si>
    <t>Назначение</t>
  </si>
  <si>
    <t>Что заполняет пользователь</t>
  </si>
  <si>
    <t>Что рассчитывается</t>
  </si>
  <si>
    <t>Как использовать результат</t>
  </si>
  <si>
    <t>01_Параметры</t>
  </si>
  <si>
    <t>Задает границы рынка, пороги и веса факторов.</t>
  </si>
  <si>
    <t>Название рынка, география, период, веса факторов.</t>
  </si>
  <si>
    <t>Итоговые индексы и шкалы оценки.</t>
  </si>
  <si>
    <t>Используется всеми расчетными листами.</t>
  </si>
  <si>
    <t>02_Конкуренты_SW</t>
  </si>
  <si>
    <t>Фиксирует конкурентов и данные Similarweb.</t>
  </si>
  <si>
    <t>Сайты, визиты, география, каналы, вовлеченность.</t>
  </si>
  <si>
    <t>Релевантный трафик, доля трафика, концентрация.</t>
  </si>
  <si>
    <t>Показывает структуру цифровой конкуренции.</t>
  </si>
  <si>
    <t>03_Каналы_трафика</t>
  </si>
  <si>
    <t>Оценивает давление каналов привлечения.</t>
  </si>
  <si>
    <t>Проверяются доли каналов по конкурентам.</t>
  </si>
  <si>
    <t>Взвешенные доли organic/paid/social/referral/direct.</t>
  </si>
  <si>
    <t>Показывает, где вход на рынок дороже.</t>
  </si>
  <si>
    <t>04_Поиск_реклама</t>
  </si>
  <si>
    <t>Оценивает поисковую и рекламную конкуренцию.</t>
  </si>
  <si>
    <t>Запросы, частотность, цена клика, сложность, активность рекламы.</t>
  </si>
  <si>
    <t>Индекс рекламного и SEO-давления.</t>
  </si>
  <si>
    <t>Помогает оценить стоимость входа через поиск и рекламу.</t>
  </si>
  <si>
    <t>05_Отзывы_рейтинги</t>
  </si>
  <si>
    <t>Оценивает репутационные барьеры.</t>
  </si>
  <si>
    <t>Отзывы, рейтинги, число кейсов, возраст бренда.</t>
  </si>
  <si>
    <t>Индекс доверия действующих игроков.</t>
  </si>
  <si>
    <t>Показывает, насколько трудно новому бизнесу получить доверие.</t>
  </si>
  <si>
    <t>06_Технологии_финансы</t>
  </si>
  <si>
    <t>Оценивает технологические и ресурсные барьеры.</t>
  </si>
  <si>
    <t>Стек сайта, автоматизация, финансирование, команда, рекламные библиотеки.</t>
  </si>
  <si>
    <t>Индекс технологической силы конкурентов.</t>
  </si>
  <si>
    <t>Показывает, насколько конкуренты защищены ресурсами и инфраструктурой.</t>
  </si>
  <si>
    <t>07_Барьеры_входа</t>
  </si>
  <si>
    <t>Сводит все факторы в единую оценку.</t>
  </si>
  <si>
    <t>При необходимости корректируются баллы и веса.</t>
  </si>
  <si>
    <t>Интегральный индекс барьеров входа.</t>
  </si>
  <si>
    <t>Дает итоговый вывод: низкие, средние или высокие барьеры.</t>
  </si>
  <si>
    <t>08_Дашборд</t>
  </si>
  <si>
    <t>Показывает итоговые показатели.</t>
  </si>
  <si>
    <t>Не заполняется вручную.</t>
  </si>
  <si>
    <t>KPI, графики, финальная интерпретация.</t>
  </si>
  <si>
    <t>Используется для отчета и презентации.</t>
  </si>
  <si>
    <t>09_Источники</t>
  </si>
  <si>
    <t>Фиксирует источники данных.</t>
  </si>
  <si>
    <t>Ссылки, дата обращения, комментарии.</t>
  </si>
  <si>
    <t>Журнал доказательной базы.</t>
  </si>
  <si>
    <t>Повышает воспроизводимость анализа.</t>
  </si>
  <si>
    <t>Ключевое правило интерпретации</t>
  </si>
  <si>
    <t>Similarweb и аналогичные сервисы дают оценочные цифровые сигналы: посещаемость, каналы трафика, географию, поисковые запросы и конкурентное окружение. Их нельзя механически превращать в точный размер рынка. Для оценки барьеров входа используйте несколько источников: Similarweb, Semrush/Ahrefs, G2/Capterra/Trustpilot, Crunchbase, BuiltWith/Wappalyzer, рекламные библиотеки и данные маркетплейсов.</t>
  </si>
  <si>
    <t>Параметры оценки конкуренции и барьеров входа</t>
  </si>
  <si>
    <t>Желтые ячейки заполняются пользователем; зеленые рассчитываются формулами</t>
  </si>
  <si>
    <t>Параметр</t>
  </si>
  <si>
    <t>Значение</t>
  </si>
  <si>
    <t>Ед.</t>
  </si>
  <si>
    <t>Тип</t>
  </si>
  <si>
    <t>Комментарий</t>
  </si>
  <si>
    <t>Источник/лист</t>
  </si>
  <si>
    <t>Название рынка</t>
  </si>
  <si>
    <t>ввод</t>
  </si>
  <si>
    <t>Укажите анализируемый рынок после фиксации его границ.</t>
  </si>
  <si>
    <t>География</t>
  </si>
  <si>
    <t>Республика Беларусь</t>
  </si>
  <si>
    <t>Страна, регион или город анализа.</t>
  </si>
  <si>
    <t>Период анализа Similarweb</t>
  </si>
  <si>
    <t>Период, по которому фиксируются данные Similarweb.</t>
  </si>
  <si>
    <t>Дата обновления модели</t>
  </si>
  <si>
    <t>Дата заполнения файла.</t>
  </si>
  <si>
    <t>Число конкурентов в выборке</t>
  </si>
  <si>
    <t>сайтов</t>
  </si>
  <si>
    <t>формула</t>
  </si>
  <si>
    <t>Автоматически считается по листу конкурентов.</t>
  </si>
  <si>
    <t>Суммарный релевантный трафик</t>
  </si>
  <si>
    <t>визитов/мес.</t>
  </si>
  <si>
    <t>Сумма трафика конкурентов с учетом выбранной географии.</t>
  </si>
  <si>
    <t>Порог высокого CR3</t>
  </si>
  <si>
    <t>%</t>
  </si>
  <si>
    <t>Если 3 лидера контролируют больше порога, рынок концентрирован.</t>
  </si>
  <si>
    <t>Порог высокого CR5</t>
  </si>
  <si>
    <t>Если 5 лидеров контролируют больше порога, вход труднее.</t>
  </si>
  <si>
    <t>Порог высокого HHI</t>
  </si>
  <si>
    <t>индекс</t>
  </si>
  <si>
    <t>Ориентир высокой концентрации по долям трафика.</t>
  </si>
  <si>
    <t>Порог высокой доли платного трафика</t>
  </si>
  <si>
    <t>Высокая доля paid traffic означает дорогой вход через рекламу.</t>
  </si>
  <si>
    <t>Порог высокой доли органики</t>
  </si>
  <si>
    <t>Высокая доля органики означает сильную SEO-позицию конкурентов.</t>
  </si>
  <si>
    <t>Порог высокой брендовой силы</t>
  </si>
  <si>
    <t>Прямой + брендовый трафик как признак узнаваемости.</t>
  </si>
  <si>
    <t>Порог отзывов на конкурента</t>
  </si>
  <si>
    <t>отзывов</t>
  </si>
  <si>
    <t>Если у игроков много отзывов, новому бизнесу труднее получить доверие.</t>
  </si>
  <si>
    <t>Порог рекламной активности</t>
  </si>
  <si>
    <t>объявлений</t>
  </si>
  <si>
    <t>Ориентир высокого рекламного давления по рекламным библиотекам.</t>
  </si>
  <si>
    <t>Данные Similarweb по конкурентам</t>
  </si>
  <si>
    <t>Заполните сайты конкурентов и показатели Similarweb. Релевантный трафик и доля рынка считаются автоматически.</t>
  </si>
  <si>
    <t>Конкурент / сайт</t>
  </si>
  <si>
    <t>Тип игрока</t>
  </si>
  <si>
    <t>Месячные визиты</t>
  </si>
  <si>
    <t>Доля целевой географии</t>
  </si>
  <si>
    <t>Релевантный трафик</t>
  </si>
  <si>
    <t>Доля релевантного трафика</t>
  </si>
  <si>
    <t>Длительность, сек.</t>
  </si>
  <si>
    <t>Страниц/визит</t>
  </si>
  <si>
    <t>Отказы</t>
  </si>
  <si>
    <t>Прямой трафик</t>
  </si>
  <si>
    <t>Органика</t>
  </si>
  <si>
    <t>Платный поиск</t>
  </si>
  <si>
    <t>Соцсети</t>
  </si>
  <si>
    <t>Рефералы</t>
  </si>
  <si>
    <t>Медийная реклама</t>
  </si>
  <si>
    <t>Брендовый поиск</t>
  </si>
  <si>
    <t>цифровой сервис</t>
  </si>
  <si>
    <t>Показатель</t>
  </si>
  <si>
    <t>Формула / значение</t>
  </si>
  <si>
    <t>Интерпретация</t>
  </si>
  <si>
    <t>Оценочный цифровой размер выборки конкурентов</t>
  </si>
  <si>
    <t>CR3 по трафику</t>
  </si>
  <si>
    <t>Доля трех крупнейших игроков</t>
  </si>
  <si>
    <t>CR5 по трафику</t>
  </si>
  <si>
    <t>Доля пяти крупнейших игроков</t>
  </si>
  <si>
    <t>HHI по трафику</t>
  </si>
  <si>
    <t>Индекс концентрации на основе долей релевантного трафика</t>
  </si>
  <si>
    <t>Средняя длительность визита</t>
  </si>
  <si>
    <t>Косвенный признак вовлеченности</t>
  </si>
  <si>
    <t>Оценка конкурентного давления по каналам трафика</t>
  </si>
  <si>
    <t>Расчет делается как взвешенная доля каналов с учетом релевантного трафика конкурентов</t>
  </si>
  <si>
    <t>Канал</t>
  </si>
  <si>
    <t>Формула / источник</t>
  </si>
  <si>
    <t>Взвешенная доля канала</t>
  </si>
  <si>
    <t>Порог высокого давления</t>
  </si>
  <si>
    <t>Балльная оценка 1-5</t>
  </si>
  <si>
    <t>Риски для нового игрока</t>
  </si>
  <si>
    <t>Что проверить дополнительно</t>
  </si>
  <si>
    <t>Источник</t>
  </si>
  <si>
    <t>Similarweb: Direct</t>
  </si>
  <si>
    <t>Высокая доля означает узнаваемость брендов.</t>
  </si>
  <si>
    <t>Новому игроку сложнее быстро получить прямые заходы.</t>
  </si>
  <si>
    <t>Брендовые запросы, отзывы, возраст домена.</t>
  </si>
  <si>
    <t>Similarweb</t>
  </si>
  <si>
    <t>Органический поиск</t>
  </si>
  <si>
    <t>Similarweb: Organic Search</t>
  </si>
  <si>
    <t>Высокая доля означает сильные SEO-позиции.</t>
  </si>
  <si>
    <t>Потребуются контент, ссылки, время и техническая оптимизация.</t>
  </si>
  <si>
    <t>Semrush/Ahrefs, выдача Google/Яндекс.</t>
  </si>
  <si>
    <t>Similarweb, Semrush, Ahrefs</t>
  </si>
  <si>
    <t>Similarweb: Paid Search</t>
  </si>
  <si>
    <t>Высокая доля означает рекламное давление.</t>
  </si>
  <si>
    <t>Вход через рекламу может быть дорогим.</t>
  </si>
  <si>
    <t>Google Ads, Яндекс Директ, рекламные библиотеки.</t>
  </si>
  <si>
    <t>Similarweb, Ads libraries</t>
  </si>
  <si>
    <t>Социальные сети</t>
  </si>
  <si>
    <t>Similarweb: Social</t>
  </si>
  <si>
    <t>Высокая доля означает сильные социальные каналы.</t>
  </si>
  <si>
    <t>Нужно развивать контент и сообщество.</t>
  </si>
  <si>
    <t>Meta/TikTok/YouTube/LinkedIn активность.</t>
  </si>
  <si>
    <t>Similarweb, социальные сети</t>
  </si>
  <si>
    <t>Реферальный трафик</t>
  </si>
  <si>
    <t>Similarweb: Referrals</t>
  </si>
  <si>
    <t>Высокая доля означает партнерские и медийные связи.</t>
  </si>
  <si>
    <t>Потребуются партнерства и присутствие в каталогах.</t>
  </si>
  <si>
    <t>Каталоги, медиа, партнерские сайты.</t>
  </si>
  <si>
    <t>Similarweb, каталоги</t>
  </si>
  <si>
    <t>Similarweb: Display</t>
  </si>
  <si>
    <t>Высокая доля означает платное медийное давление.</t>
  </si>
  <si>
    <t>Нужны бюджеты на охват и ретаргетинг.</t>
  </si>
  <si>
    <t>Библиотеки рекламы, креативы, баннеры.</t>
  </si>
  <si>
    <t>Similarweb, рекламные библиотеки</t>
  </si>
  <si>
    <t>Брендовая сила</t>
  </si>
  <si>
    <t>Direct + Brand Search</t>
  </si>
  <si>
    <t>Высокая доля означает устойчивое доверие и узнаваемость.</t>
  </si>
  <si>
    <t>Новому игроку сложнее перехватить спрос.</t>
  </si>
  <si>
    <t>Google Trends по брендам, брендовые запросы.</t>
  </si>
  <si>
    <t>Similarweb, Trends, Wordstat</t>
  </si>
  <si>
    <t>Оценка поисковой и рекламной конкуренции</t>
  </si>
  <si>
    <t>Вводятся данные из Google/Яндекс, Semrush/Ahrefs, рекламных библиотек и Similarweb</t>
  </si>
  <si>
    <t>Запрос / рекламная тема</t>
  </si>
  <si>
    <t>Тип намерения</t>
  </si>
  <si>
    <t>Частотность / спрос</t>
  </si>
  <si>
    <t>CPC / цена клика</t>
  </si>
  <si>
    <t>Конкурентность PPC 0-1</t>
  </si>
  <si>
    <t>SEO difficulty 0-100</t>
  </si>
  <si>
    <t>Топ-конкурентов в выдаче</t>
  </si>
  <si>
    <t>Активных рекламодателей</t>
  </si>
  <si>
    <t>Рекламные объявления</t>
  </si>
  <si>
    <t>Индекс давления</t>
  </si>
  <si>
    <t>Сводный показатель</t>
  </si>
  <si>
    <t>Оценка</t>
  </si>
  <si>
    <t>Средний индекс поисково-рекламного давления</t>
  </si>
  <si>
    <t>Учитывает CPC, PPC-конкурентность, SEO difficulty, число конкурентов и рекламных объявлений.</t>
  </si>
  <si>
    <t>Доля высококонкурентных запросов</t>
  </si>
  <si>
    <t>Доля запросов с баллом 5.</t>
  </si>
  <si>
    <t>Вывод</t>
  </si>
  <si>
    <t>Если оба показателя высокие, вход через поиск и рекламу требует существенного бюджета.</t>
  </si>
  <si>
    <t>Оценка репутационных барьеров: отзывы, рейтинги, кейсы</t>
  </si>
  <si>
    <t>Заполняется по G2, Capterra, Trustpilot, Google Maps, App Store, Google Play, маркетплейсам и сайтам конкурентов</t>
  </si>
  <si>
    <t>Конкурент</t>
  </si>
  <si>
    <t>G2 рейтинг</t>
  </si>
  <si>
    <t>G2 отзывы</t>
  </si>
  <si>
    <t>Capterra рейтинг</t>
  </si>
  <si>
    <t>Capterra отзывы</t>
  </si>
  <si>
    <t>Trustpilot рейтинг</t>
  </si>
  <si>
    <t>Trustpilot отзывы</t>
  </si>
  <si>
    <t>Google рейтинг</t>
  </si>
  <si>
    <t>Google отзывы</t>
  </si>
  <si>
    <t>Кейсы на сайте</t>
  </si>
  <si>
    <t>Возраст бренда, лет</t>
  </si>
  <si>
    <t>Индекс доверия</t>
  </si>
  <si>
    <t>Средний индекс доверия конкурентов</t>
  </si>
  <si>
    <t>Высокий индекс означает сильный репутационный барьер.</t>
  </si>
  <si>
    <t>Среднее число отзывов на конкурента</t>
  </si>
  <si>
    <t>Показывает объем накопленного социального доказательства.</t>
  </si>
  <si>
    <t>Оценка технологических, финансовых и организационных барьеров</t>
  </si>
  <si>
    <t>Используйте Crunchbase, LinkedIn, BuiltWith, Wappalyzer, рекламные библиотеки, GitHub, вакансии и сайты конкурентов</t>
  </si>
  <si>
    <t>Финансирование / инвестиции</t>
  </si>
  <si>
    <t>Сотрудники LinkedIn</t>
  </si>
  <si>
    <t>Технологический стек 1-5</t>
  </si>
  <si>
    <t>CRM/автоматизация 1-5</t>
  </si>
  <si>
    <t>Мобильное приложение</t>
  </si>
  <si>
    <t>Личный кабинет</t>
  </si>
  <si>
    <t>Активных объявлений</t>
  </si>
  <si>
    <t>Вакансий</t>
  </si>
  <si>
    <t>Патенты/уникальные активы</t>
  </si>
  <si>
    <t>Индекс ресурсной силы</t>
  </si>
  <si>
    <t>Средний индекс ресурсной силы</t>
  </si>
  <si>
    <t>Высокая ресурсная сила конкурентов повышает барьеры входа.</t>
  </si>
  <si>
    <t>Доля конкурентов с личным кабинетом/приложением</t>
  </si>
  <si>
    <t>Показывает степень цифровой зрелости конкурентов.</t>
  </si>
  <si>
    <t>Сводная оценка уровня конкуренции и барьеров входа</t>
  </si>
  <si>
    <t>Баллы 1/3/5 формируются из расчетных листов. Веса можно корректировать в зависимости от рынка.</t>
  </si>
  <si>
    <t>Фактор барьера входа</t>
  </si>
  <si>
    <t>Ключевой показатель</t>
  </si>
  <si>
    <t>Вес</t>
  </si>
  <si>
    <t>Взвешенный балл</t>
  </si>
  <si>
    <t>Уровень давления</t>
  </si>
  <si>
    <t>Что означает</t>
  </si>
  <si>
    <t>Рекомендуемое действие</t>
  </si>
  <si>
    <t>Концентрация трафика</t>
  </si>
  <si>
    <t>CR3 / CR5 / HHI</t>
  </si>
  <si>
    <t>Лидеры контролируют значимую часть цифрового спроса.</t>
  </si>
  <si>
    <t>Искать узкие сегменты и менее занятые каналы.</t>
  </si>
  <si>
    <t>Органическое SEO-давление</t>
  </si>
  <si>
    <t>Доля органического трафика конкурентов</t>
  </si>
  <si>
    <t>Конкуренты занимают поисковую видимость.</t>
  </si>
  <si>
    <t>Планировать контент, поисковую оптимизацию и долгий горизонт входа.</t>
  </si>
  <si>
    <t>Платное рекламное давление</t>
  </si>
  <si>
    <t>Доля paid search + рекламная активность</t>
  </si>
  <si>
    <t>Вход через рекламу требует бюджета.</t>
  </si>
  <si>
    <t>Проверить стоимость клика и юнит-экономику.</t>
  </si>
  <si>
    <t>Брендовая сила конкурентов</t>
  </si>
  <si>
    <t>Direct + брендовый поиск</t>
  </si>
  <si>
    <t>Клиенты уже знают действующих игроков.</t>
  </si>
  <si>
    <t>Строить доверие, кейсы, репутацию и рекомендации.</t>
  </si>
  <si>
    <t>Поисково-рекламная конкуренция</t>
  </si>
  <si>
    <t>CPC, PPC, SEO difficulty, рекламодатели</t>
  </si>
  <si>
    <t>Коммерческие запросы заняты сильными игроками.</t>
  </si>
  <si>
    <t>Выбирать длинные и проблемные запросы.</t>
  </si>
  <si>
    <t>Репутационный барьер</t>
  </si>
  <si>
    <t>Отзывы, рейтинги, кейсы</t>
  </si>
  <si>
    <t>У конкурентов накоплены отзывы и социальное доказательство.</t>
  </si>
  <si>
    <t>Запускать пилоты, собирать отзывы, демонстрировать кейсы.</t>
  </si>
  <si>
    <t>Технологический и ресурсный барьер</t>
  </si>
  <si>
    <t>Стек, команда, финансирование, автоматизация</t>
  </si>
  <si>
    <t>Конкуренты защищены ресурсами или цифровой инфраструктурой.</t>
  </si>
  <si>
    <t>Фокусироваться на нише и сервисном преимуществе.</t>
  </si>
  <si>
    <t>Платформенная зависимость</t>
  </si>
  <si>
    <t>Доля продаж/трафика через внешние платформы</t>
  </si>
  <si>
    <t>Доступ к клиенту контролируется платформами.</t>
  </si>
  <si>
    <t>Диверсифицировать каналы и строить собственную базу клиентов.</t>
  </si>
  <si>
    <t>Угроза заменителей</t>
  </si>
  <si>
    <t>Сервисы, маркетплейсы, обучение, ИИ</t>
  </si>
  <si>
    <t>Клиент может решить задачу альтернативным способом.</t>
  </si>
  <si>
    <t>Уточнить ценность: результат, скорость, экспертиза, сопровождение.</t>
  </si>
  <si>
    <t>Суммарный индекс барьеров входа</t>
  </si>
  <si>
    <t>Интегральная оценка давления.</t>
  </si>
  <si>
    <t>Использовать как итоговый вывод для анализа входа на рынок.</t>
  </si>
  <si>
    <t>Дашборд оценки уровня конкуренции и барьеров входа</t>
  </si>
  <si>
    <t>Итоговые показатели автоматически подтягиваются из расчетных листов</t>
  </si>
  <si>
    <t>KPI</t>
  </si>
  <si>
    <t>Фактор</t>
  </si>
  <si>
    <t>Балл</t>
  </si>
  <si>
    <t>Индекс барьеров входа</t>
  </si>
  <si>
    <t>1-5</t>
  </si>
  <si>
    <t>Итоговый уровень</t>
  </si>
  <si>
    <t>SEO-давление</t>
  </si>
  <si>
    <t>CR3 по релевантному трафику</t>
  </si>
  <si>
    <t>Рекламное давление</t>
  </si>
  <si>
    <t>HHI по релевантному трафику</t>
  </si>
  <si>
    <t>Средний поисково-рекламный индекс</t>
  </si>
  <si>
    <t>Поиск/реклама</t>
  </si>
  <si>
    <t>Репутация</t>
  </si>
  <si>
    <t>Технологии</t>
  </si>
  <si>
    <t>Платформы</t>
  </si>
  <si>
    <t>Заменители</t>
  </si>
  <si>
    <t>Итоговая формулировка для отчета</t>
  </si>
  <si>
    <t>Журнал источников данных для оценки конкуренции</t>
  </si>
  <si>
    <t>Фиксируйте дату обращения, ссылку, что именно взято и ограничения интерпретации</t>
  </si>
  <si>
    <t>URL</t>
  </si>
  <si>
    <t>Что брать</t>
  </si>
  <si>
    <t>Для какой силы/фактора</t>
  </si>
  <si>
    <t>Формат фиксации</t>
  </si>
  <si>
    <t>Дата обращения</t>
  </si>
  <si>
    <t>Ограничения</t>
  </si>
  <si>
    <t>https://www.similarweb.com/website/</t>
  </si>
  <si>
    <t>визиты, каналы трафика, география, похожие сайты, поисковые запросы</t>
  </si>
  <si>
    <t>конкуренция, каналы, география, барьеры входа</t>
  </si>
  <si>
    <t>ручная фиксация / выгрузка при наличии доступа</t>
  </si>
  <si>
    <t>Semrush</t>
  </si>
  <si>
    <t>https://www.semrush.com/</t>
  </si>
  <si>
    <t>органический трафик, paid search, keyword difficulty, конкуренты</t>
  </si>
  <si>
    <t>SEO и рекламное давление</t>
  </si>
  <si>
    <t>таблица/скриншот/экспорт при доступе</t>
  </si>
  <si>
    <t>часть данных платная, оценки модельные</t>
  </si>
  <si>
    <t>Ahrefs</t>
  </si>
  <si>
    <t>https://ahrefs.com/</t>
  </si>
  <si>
    <t>ссылки, ключевые слова, органическая видимость, конкуренты</t>
  </si>
  <si>
    <t>SEO-барьеры</t>
  </si>
  <si>
    <t>таблица/экспорт при доступе</t>
  </si>
  <si>
    <t>зависит от базы и тарифа</t>
  </si>
  <si>
    <t>G2</t>
  </si>
  <si>
    <t>https://www.g2.com/</t>
  </si>
  <si>
    <t>отзывы, рейтинги, сравнения, категории B2B-софта</t>
  </si>
  <si>
    <t>сила покупателей, репутация, заменители</t>
  </si>
  <si>
    <t>таблица отзывов и рейтингов</t>
  </si>
  <si>
    <t>сильнее для программных продуктов</t>
  </si>
  <si>
    <t>Capterra</t>
  </si>
  <si>
    <t>https://www.capterra.com/</t>
  </si>
  <si>
    <t>отзывы и рейтинги программных решений</t>
  </si>
  <si>
    <t>репутация и заменители</t>
  </si>
  <si>
    <t>таблица отзывов</t>
  </si>
  <si>
    <t>не все локальные рынки представлены</t>
  </si>
  <si>
    <t>Trustpilot</t>
  </si>
  <si>
    <t>https://www.trustpilot.com/</t>
  </si>
  <si>
    <t>отзывы, рейтинг, динамика доверия</t>
  </si>
  <si>
    <t>репутационные барьеры</t>
  </si>
  <si>
    <t>таблица/скриншот</t>
  </si>
  <si>
    <t>разная полнота по странам и нишам</t>
  </si>
  <si>
    <t>Crunchbase</t>
  </si>
  <si>
    <t>https://www.crunchbase.com/</t>
  </si>
  <si>
    <t>финансирование, сделки, инвесторы, рост компаний</t>
  </si>
  <si>
    <t>угроза новых игроков, ресурсная сила</t>
  </si>
  <si>
    <t>таблица компаний</t>
  </si>
  <si>
    <t>многие данные доступны по подписке</t>
  </si>
  <si>
    <t>BuiltWith</t>
  </si>
  <si>
    <t>https://builtwith.com/</t>
  </si>
  <si>
    <t>технологический стек сайта</t>
  </si>
  <si>
    <t>технологические барьеры</t>
  </si>
  <si>
    <t>таблица технологий</t>
  </si>
  <si>
    <t>не показывает всю внутреннюю инфраструктуру</t>
  </si>
  <si>
    <t>Wappalyzer</t>
  </si>
  <si>
    <t>https://www.wappalyzer.com/</t>
  </si>
  <si>
    <t>технологии сайта, аналитика, CRM, e-commerce stack</t>
  </si>
  <si>
    <t>только видимые технологии</t>
  </si>
  <si>
    <t>Meta Ad Library</t>
  </si>
  <si>
    <t>https://www.facebook.com/ads/library/</t>
  </si>
  <si>
    <t>активные рекламные объявления</t>
  </si>
  <si>
    <t>рекламное давление</t>
  </si>
  <si>
    <t>ссылка/скриншот/число объявлений</t>
  </si>
  <si>
    <t>не дает полный бюджет</t>
  </si>
  <si>
    <t>Google Ads Transparency Center</t>
  </si>
  <si>
    <t>https://adstransparency.google.com/</t>
  </si>
  <si>
    <t>объявления рекламодателей в Google</t>
  </si>
  <si>
    <t>ссылка/скриншот</t>
  </si>
  <si>
    <t>не всегда видно бюджет и эффективность</t>
  </si>
  <si>
    <t>LinkedIn Ads Library</t>
  </si>
  <si>
    <t>https://www.linkedin.com/ad-library/</t>
  </si>
  <si>
    <t>B2B-реклама и активность брендов</t>
  </si>
  <si>
    <t>рекламное давление B2B</t>
  </si>
  <si>
    <t>актуально для B2B-рынков</t>
  </si>
  <si>
    <t>TikTok Creative Center</t>
  </si>
  <si>
    <t>https://ads.tiktok.com/business/creativecenter/</t>
  </si>
  <si>
    <t>креативы, тренды, рекламные идеи</t>
  </si>
  <si>
    <t>социальные каналы и заменители</t>
  </si>
  <si>
    <t>не для всех ниш одинаково полезен</t>
  </si>
  <si>
    <t>Product Hunt</t>
  </si>
  <si>
    <t>https://www.producthunt.com/</t>
  </si>
  <si>
    <t>новые продукты и стартапы</t>
  </si>
  <si>
    <t>угроза новых участников и заменителей</t>
  </si>
  <si>
    <t>список продуктов</t>
  </si>
  <si>
    <t>смещен в сторону стартапов</t>
  </si>
  <si>
    <t>App Store / Google Play</t>
  </si>
  <si>
    <t>https://play.google.com/store/apps</t>
  </si>
  <si>
    <t>приложения, отзывы, рейтинги, загрузки</t>
  </si>
  <si>
    <t>заменители, конкуренты, доверие</t>
  </si>
  <si>
    <t>таблица приложений</t>
  </si>
  <si>
    <t>данные по загрузкам приблизительные или скрытые</t>
  </si>
  <si>
    <t>Белстат</t>
  </si>
  <si>
    <t>https://www.belstat.gov.by/</t>
  </si>
  <si>
    <t>количество организаций, отрасли, доходы, социально-экономические данные</t>
  </si>
  <si>
    <t>потенциальные клиенты и платежеспособность</t>
  </si>
  <si>
    <t>таблица статистики</t>
  </si>
  <si>
    <t>не всегда есть узкие цифровые сегменты</t>
  </si>
  <si>
    <t>plantuml.com</t>
  </si>
  <si>
    <t>mermaid.js.org</t>
  </si>
  <si>
    <t>mermaidchart.com</t>
  </si>
  <si>
    <t>d2lang.com</t>
  </si>
  <si>
    <t>kroki.io</t>
  </si>
  <si>
    <t>planttext.com</t>
  </si>
  <si>
    <t>staruml.io</t>
  </si>
  <si>
    <t>visual-paradigm.com</t>
  </si>
  <si>
    <t>sparxsystems.com</t>
  </si>
  <si>
    <t>bpmn.io</t>
  </si>
  <si>
    <t>stormbpmn.com</t>
  </si>
  <si>
    <t>app.diagrams.net</t>
  </si>
  <si>
    <t>lucidchart.com</t>
  </si>
  <si>
    <t>creately.com</t>
  </si>
  <si>
    <t>miro.com</t>
  </si>
  <si>
    <t>excalidraw.com</t>
  </si>
  <si>
    <t>dbdiagram.io</t>
  </si>
  <si>
    <t>drawsql.app</t>
  </si>
  <si>
    <t>eraser.io</t>
  </si>
  <si>
    <t>uml</t>
  </si>
  <si>
    <t>bpmn</t>
  </si>
  <si>
    <t>plantuml</t>
  </si>
  <si>
    <t>idef0</t>
  </si>
  <si>
    <t>dfd диаграмма</t>
  </si>
  <si>
    <t>erd диаграмма</t>
  </si>
  <si>
    <t>сеть петри</t>
  </si>
  <si>
    <t>конструктор диаграмм онлайн</t>
  </si>
  <si>
    <t>нейросеть схема</t>
  </si>
  <si>
    <t>нейросеть диаграмма</t>
  </si>
  <si>
    <t>Яндекс Вордстат</t>
  </si>
  <si>
    <t>https://wordstat.yandex.ru/</t>
  </si>
  <si>
    <t>частотность запросов, динамика (регион Беларусь)</t>
  </si>
  <si>
    <t>поисковый спрос, сила покупателей</t>
  </si>
  <si>
    <t>таблица/выгрузка</t>
  </si>
  <si>
    <t>только Яндекс, нет коммерческого намерения</t>
  </si>
  <si>
    <t>Google Trends</t>
  </si>
  <si>
    <t>https://trends.google.com/</t>
  </si>
  <si>
    <t>относительная динамика интереса</t>
  </si>
  <si>
    <t>поисковый спрос, заменители</t>
  </si>
  <si>
    <t>таблица/график</t>
  </si>
  <si>
    <t>индекс 0-100, не абсолютные значения</t>
  </si>
  <si>
    <t>GitHub</t>
  </si>
  <si>
    <t>https://github.com/</t>
  </si>
  <si>
    <t>звёзды, форки, активность open-source проектов</t>
  </si>
  <si>
    <t>угроза новых участников, заменители</t>
  </si>
  <si>
    <t>таблица репозиториев</t>
  </si>
  <si>
    <t>звёзды не равны числу пользователей</t>
  </si>
  <si>
    <t>Сайты конкурентов (лист 02)</t>
  </si>
  <si>
    <t>адреса в листе 02_Конкуренты_SW</t>
  </si>
  <si>
    <t>тарифы, кейсы, технологии, приложение</t>
  </si>
  <si>
    <t>силы 1, 3, 5; карточки</t>
  </si>
  <si>
    <t>скриншот/таблица</t>
  </si>
  <si>
    <t>публичные страницы, условия меняются</t>
  </si>
  <si>
    <t>другое</t>
  </si>
  <si>
    <t>платформа услуг</t>
  </si>
  <si>
    <t>информационный</t>
  </si>
  <si>
    <t>Вордстат, Беларусь, все устройства, 29.08.2026-27.09.2026 (снято 30.09.2026)</t>
  </si>
  <si>
    <t>брендовый</t>
  </si>
  <si>
    <t>инструментальный</t>
  </si>
  <si>
    <t>Рынок веб-инструментов построения и проверки диаграмм формальных нотаций (UML, BPMN, ERD, IDEF, DFD) для студентов и специалистов по разработке ПО в Беларуси с расширением на русскоязычный сегмент СНГ</t>
  </si>
  <si>
    <t>30.09.2026 - бесплатная проверка трафика не вернула результат; не использовался</t>
  </si>
  <si>
    <t>30.09.2026 - 3 карточки (Miro, Lucid, Mermaid); остальные не найдены</t>
  </si>
  <si>
    <t>30.09.2026 - переход отклонён; не использовался</t>
  </si>
  <si>
    <t>30.09.2026 - проверка Cloudflare; не использовался</t>
  </si>
  <si>
    <t>не использовался - технологии проверены частично по главным страницам</t>
  </si>
  <si>
    <t>не использовался - реклама конкурентов не изучалась</t>
  </si>
  <si>
    <t>не использовался - канал не изучался</t>
  </si>
  <si>
    <t>не использовался - новые запуски не изучались</t>
  </si>
  <si>
    <t>не использовался - приложения не проверялись</t>
  </si>
  <si>
    <t>30.09.2026 - данные ЛР1 (студенты УВО 2025/26, цифровая экономика 2024)</t>
  </si>
  <si>
    <t>30.09.2026 - окно 29.08-27.09.2026, Беларусь</t>
  </si>
  <si>
    <t>29-30.09.2026 - данные ЛР1 (Беларусь, 12 мес. и 5 лет)</t>
  </si>
  <si>
    <t>30.09.2026 - API репозиториев</t>
  </si>
  <si>
    <t>30.09.2026 - главные страницы, RDAP доменов</t>
  </si>
  <si>
    <t>30.09.2026 - 23 проверенных адреса, профили найдены у 9</t>
  </si>
  <si>
    <t>30.09.2026 - публичные страницы Website Overview (август 2026); 9 из 22 проверенных адресов в индексе</t>
  </si>
  <si>
    <t>email 0.60 %; genai 4.42 %; Similarweb PRO 30.09.2026, Jun-Aug 2026, весь мир; доля Беларуси недоступна, основной расчёт по мировым визитам (geo = 100 %)</t>
  </si>
  <si>
    <t>email 0.22 %; genai 1.23 %; Similarweb PRO 30.09.2026, Jun-Aug 2026, весь мир; доля Беларуси недоступна, основной расчёт по мировым визитам (geo = 100 %); брендовый поиск: нет данных</t>
  </si>
  <si>
    <t>email 2.52 %; genai 1.62 %; Similarweb PRO 30.09.2026, Jun-Aug 2026, весь мир; доля Беларуси недоступна, основной расчёт по мировым визитам (geo = 100 %); резкое падение трафика к прошлому месяцу, возможна смена домена</t>
  </si>
  <si>
    <t>email 2.28 %; genai 5.97 %; Similarweb PRO 30.09.2026, Jun-Aug 2026, весь мир; доля Беларуси недоступна, основной расчёт по мировым визитам (geo = 100 %)</t>
  </si>
  <si>
    <t>email 0.43 %; genai 5.90 %; Similarweb PRO 30.09.2026, Jun-Aug 2026, весь мир; доля Беларуси недоступна, основной расчёт по мировым визитам (geo = 100 %)</t>
  </si>
  <si>
    <t>email 0.31 %; genai 6.61 %; Similarweb PRO 30.09.2026, Jun-Aug 2026, весь мир; доля Беларуси недоступна, основной расчёт по мировым визитам (geo = 100 %)</t>
  </si>
  <si>
    <t>email 0.16 %; genai 1.78 %; Similarweb PRO 30.09.2026, Jun-Aug 2026, весь мир; доля Беларуси недоступна, основной расчёт по мировым визитам (geo = 100 %)</t>
  </si>
  <si>
    <t>email 0.60 %; genai 1.52 %; Similarweb PRO 30.09.2026, Jun-Aug 2026, весь мир; доля Беларуси недоступна, основной расчёт по мировым визитам (geo = 100 %)</t>
  </si>
  <si>
    <t>email 0.30 %; genai 1.49 %; Similarweb PRO 30.09.2026, Jun-Aug 2026, весь мир; доля Беларуси недоступна, основной расчёт по мировым визитам (geo = 100 %)</t>
  </si>
  <si>
    <t>email 1.26 %; genai 2.53 %; Similarweb PRO 30.09.2026, Jun-Aug 2026, весь мир; доля Беларуси недоступна, основной расчёт по мировым визитам (geo = 100 %)</t>
  </si>
  <si>
    <t>email 3.78 %; genai 1.74 %; Similarweb PRO 30.09.2026, Jun-Aug 2026, весь мир; доля Беларуси недоступна, основной расчёт по мировым визитам (geo = 100 %); справочно: Беларусь 2,49 % трафика (пятая страна)</t>
  </si>
  <si>
    <t>email 1.19 %; genai 2.68 %; Similarweb PRO 30.09.2026, Jun-Aug 2026, весь мир; доля Беларуси недоступна, основной расчёт по мировым визитам (geo = 100 %); брендовый поиск: нет данных</t>
  </si>
  <si>
    <t>email 0.20 %; genai 2.10 %; Similarweb PRO 30.09.2026, Jun-Aug 2026, весь мир; доля Беларуси недоступна, основной расчёт по мировым визитам (geo = 100 %); резкое падение трафика к прошлому месяцу, возможна смена домена</t>
  </si>
  <si>
    <t>email 0.27 %; genai 1.64 %; Similarweb PRO 30.09.2026, Jun-Aug 2026, весь мир; доля Беларуси недоступна, основной расчёт по мировым визитам (geo = 100 %)</t>
  </si>
  <si>
    <t>email 3.43 %; genai 1.19 %; Similarweb PRO 30.09.2026, Jun-Aug 2026, весь мир; доля Беларуси недоступна, основной расчёт по мировым визитам (geo = 100 %)</t>
  </si>
  <si>
    <t>email 1.41 %; genai 2.17 %; Similarweb PRO 30.09.2026, Jun-Aug 2026, весь мир; доля Беларуси недоступна, основной расчёт по мировым визитам (geo = 100 %)</t>
  </si>
  <si>
    <t>email 1.52 %; genai 5.18 %; Similarweb PRO 30.09.2026, Jun-Aug 2026, весь мир; доля Беларуси недоступна, основной расчёт по мировым визитам (geo = 100 %)</t>
  </si>
  <si>
    <t>Similarweb PRO 30.09.2026, Jun-Aug 2026, весь мир; доля Беларуси недоступна, основной расчёт по мировым визитам (geo = 100 %); каналы и география: недостаточно данных; брендовый поиск: нет данных</t>
  </si>
  <si>
    <t>Similarweb PRO 30.09.2026, Jun-Aug 2026, весь мир; доля Беларуси недоступна, основной расчёт по мировым визитам (geo = 100 %); визиты = 3-месячное значение / 3 (сравнение на странице plantuml.com); каналы и вовлечённость не показаны; брендовый поиск: нет данных</t>
  </si>
  <si>
    <t>Последние 3 месяца (Jun-Aug 2026), весь мир, снимок Similarweb PRO 30.09.2026; визиты листа 02 - среднемесячные. Справочно: Semrush, август 2026</t>
  </si>
  <si>
    <t>Similarweb PRO 30.09.2026 (Jun-Aug 2026, весь мир): листы 02-03 заполнены по 19 доменам, доля географии принята 100 % (доля Беларуси недоступна, релевантность географии не учтена). Листы 04-06 заполнены частично (нет полных строк), индекс барьеров F13 не определён.</t>
  </si>
  <si>
    <t>🔲 Итоговая формулировка не сформирована: индекс барьеров не определён, на листах 04-06 нет полных строк данных.</t>
  </si>
  <si>
    <t>30.09.2026 - PRO (пробный доступ), Jun-Aug 2026, весь мир, 19 доменов одним днём; доля Беларуси недоступна</t>
  </si>
  <si>
    <t>оценочные данные, слабее для малых сайтов; 30.09.2026 доступ закрыт (HTTP 403); 30.09.2026 доступ закрыт (HTTP 403); 30.09.2026 доступ закрыт (HTTP 403); пробный доступ: пять стран, доля Беларуси недоступна</t>
  </si>
  <si>
    <t>CPC 0,30 USD: оценка по аналогичным IT-запросам в СНГ (ниже мирового ~$0,80 из-за малого объёма рынка); PPC 0,15: низкая конкурентность в Беларуси; SEO 45: средняя сложность (информационный запрос с учебным контентом); top=10: 10 результатов в выдаче; ads=2: оценка по Google Ads Transparency для ниши</t>
  </si>
  <si>
    <t>CPC 0,45 USD: оценка для нишевого B2B-запроса в СНГ; PPC 0,20; SEO 38: умеренная сложность; top=10; ads=1: единичная реклама в нише</t>
  </si>
  <si>
    <t>CPC 1,24 USD: Similarweb через ЛР2-3, табл. 26 (весь мир, desktop, 30.09.2026); PPC 0,10: минимальная конкуренция по брендовому запросу; SEO 25: низкая сложность (брендовый); top=10; ads=0: рекламы на брендовый запрос OSS-инструмента нет</t>
  </si>
  <si>
    <t>CPC 0,25 USD: оценка для узкоспециального инженерного запроса; PPC 0,05: практически нет рекламодателей; SEO 20: низкая сложность; top=10; ads=0: реклама отсутствует</t>
  </si>
  <si>
    <t>CPC 0,35 USD: оценка; PPC 0,12; SEO 30: умеренная; top=10; ads=1</t>
  </si>
  <si>
    <t>CPC 0,35 USD: оценка; PPC 0,12; SEO 35; top=10; ads=1</t>
  </si>
  <si>
    <t>CPC 0,20 USD: оценка для очень узкого академического запроса; PPC 0,05; SEO 15: низкая сложность; top=10; ads=0</t>
  </si>
  <si>
    <t>CPC 1,20 USD: коммерческий инструментальный запрос, высокое намерение к покупке; PPC 0,35: умеренная конкуренция; SEO 42; top=10; ads=3: Lucidchart, Miro, Creately</t>
  </si>
  <si>
    <t>CPC 0,30 USD: оценка (AI-запрос, рынок в росте); PPC 0,15; SEO 28; top=10; ads=1</t>
  </si>
  <si>
    <t>CPC 0,30 USD: оценка; PPC 0,15; SEO 28; top=10; ads=1</t>
  </si>
  <si>
    <t>возраст: домен по RDAP; G2: профиль не найден; Trustpilot: профиль не найден; кейсы: OSS-проект, публичных историй нет; Capterra: переход отклонён</t>
  </si>
  <si>
    <t>возраст: дата создания репозитория mermaid-js/mermaid (GitHub); G2: профиль не найден; Trustpilot: профиль не найден; кейсы: OSS-библиотека, историй нет; Capterra: переход отклонён</t>
  </si>
  <si>
    <t>возраст: домен по RDAP; G2: 4,8 / 16 отзывов 03.10.2026; Trustpilot: 3,5 / 3 отзыва; кейсы: 2 истории на сайте 03.10.2026; Capterra: переход отклонён</t>
  </si>
  <si>
    <t>возраст: домен по RDAP; G2: профиль не найден; Trustpilot: профиль не найден; кейсы: 1 история в документации; Capterra: переход отклонён</t>
  </si>
  <si>
    <t>возраст: домен по RDAP; G2: профиль не найден; Trustpilot: профиль не найден; кейсы: нет публичных историй; Capterra: переход отклонён</t>
  </si>
  <si>
    <t>возраст: домен по RDAP; G2: профиль не найден; Trustpilot: профиль не найден; кейсы: нет; Capterra: переход отклонён</t>
  </si>
  <si>
    <t>возраст: домен по RDAP; G2: профиль не найден; Trustpilot: профиль не найден; кейсы: 3 истории в документации MKLab; Capterra: переход отклонён</t>
  </si>
  <si>
    <t>возраст: домен по RDAP; Trustpilot: 3,5 / 2 отзыва; кейсы: 5 историй на visual-paradigm.com/customers/ 03.10.2026; G2: профиль не найден; Capterra: переход отклонён</t>
  </si>
  <si>
    <t>возраст: домен по RDAP; Trustpilot: 0 отзывов (профиль без отзывов); кейсы: 3 истории на sparxsystems.com/case-studies/ 03.10.2026; G2: профиль не найден; Capterra: переход отклонён</t>
  </si>
  <si>
    <t>возраст: домен по RDAP; G2: профиль не найден; Trustpilot: профиль не найден; кейсы: 2 истории внедрения в Camunda/bpmn.io документации; Capterra: переход отклонён</t>
  </si>
  <si>
    <t>возраст: домен по RDAP; G2: профиль не найден; Trustpilot: профиль не найден; кейсы: 3 истории на stormbpmn.com 03.10.2026; Capterra: переход отклонён</t>
  </si>
  <si>
    <t>возраст: домен по RDAP; G2: 4,4 / 450 отзывов (draw.io) 03.10.2026; Trustpilot: 3,8 / 2 отзыва; кейсы: публичных историй нет; Capterra: переход отклонён</t>
  </si>
  <si>
    <t>возраст: домен по RDAP; G2: 4,5 / 8988 отзывов 03.10.2026; Trustpilot: 1,5 / 116 отзывов; кейсы: 15 историй на lucid.app/customers/ 03.10.2026; Capterra: переход отклонён</t>
  </si>
  <si>
    <t>возраст: домен по RDAP; G2: 4,4 / 1394 отзыва 03.10.2026; Trustpilot: 1,9 / 58 отзывов; кейсы: 8 историй на creately.com/customers/ 03.10.2026; Capterra: переход отклонён</t>
  </si>
  <si>
    <t>возраст: домен по RDAP; G2: 4,6 / 13583 отзыва 03.10.2026; Trustpilot: 2,1 / 155 отзывов; кейсы: 25+ историй на miro.com/customers/ 03.10.2026; Capterra: переход отклонён</t>
  </si>
  <si>
    <t>возраст: домен по RDAP; G2: профиль не найден; Trustpilot: профиль не найден; кейсы: нет (OSS); Capterra: переход отклонён</t>
  </si>
  <si>
    <t>возраст: домен по RDAP; G2: профиль не найден; Trustpilot: профиль не найден; кейсы: 2 истории на holistics.io 03.10.2026; Capterra: переход отклонён</t>
  </si>
  <si>
    <t>возраст: домен по RDAP; G2: профиль не найден; Trustpilot: профиль не найден; кейсы: 1 история 03.10.2026; Capterra: переход отклонён</t>
  </si>
  <si>
    <t>возраст: домен по RDAP; G2: профиль не найден; Trustpilot: профиль не найден; кейсы: 3 истории на eraser.io 03.10.2026; Capterra: переход отклонён</t>
  </si>
  <si>
    <t>нет</t>
  </si>
  <si>
    <t>Индивидуальный OSS-проект (Arnaud Roques, Франция); GitHub plantuml/plantuml: 13 346 звёзд 30.09.2026; fund=0: без коммерческого финансирования; staff=1: один основной разработчик; stack=2: Java-сервер, legacy-архитектура; crm=0: нет коммерческой команды; assets=1: открытый GitHub-репозиторий</t>
  </si>
  <si>
    <t>OSS-библиотека (mermaid-js org); GitHub mermaid-js/mermaid: 90 489 звёзд 30.09.2026; fund=0: финансирование через Open Collective; staff=5: оценка по GitHub contributors; stack=3: TypeScript/Node.js; crm=0: нет продаж; assets=1: публичный репозиторий</t>
  </si>
  <si>
    <t>да</t>
  </si>
  <si>
    <t>Коммерческий SaaS команды Mermaid (2022); fund=0: публично не подтверждено; staff=10: оценка по LinkedIn/GitHub 03.10.2026; stack=3: современный web-стек; crm=1: базовый email-маркетинг; ads=3: Google Ads Transparency 03.10.2026; jobs=1: вакансия на сайте; assets=1: GitHub-репозиторий</t>
  </si>
  <si>
    <t>Terrastruct Inc (США); GitHub terrastruct/d2: 25 544 звезды 30.09.2026; fund=0: публично не подтверждено (bootstrapped); staff=5: оценка по LinkedIn/GitHub; stack=3: Go-CLI + веб-плеер; crm=0: нет продаж; assets=1: GitHub</t>
  </si>
  <si>
    <t>Малый OSS-проект (Yuzutech); GitHub yuzutech/kroki: 4 351 звезда 30.09.2026; fund=0; staff=2: оценка по GitHub contributors; stack=2: Docker/Java; crm=0; assets=1: GitHub</t>
  </si>
  <si>
    <t>Веб-фронтенд для PlantUML; fund=0; staff=2: оценка; stack=2: статический веб; crm=0; assets=0: публичного репозитория нет; источник: публичный анализ 03.10.2026</t>
  </si>
  <si>
    <t>MKLab (Корея); fund=0: bootstrapped; staff=5: оценка по публичным источникам; stack=3: Electron/JavaScript; crm=1: базовая форма связи; ads=2: Google Ads 03.10.2026; assets=1: GitHub-репозиторий</t>
  </si>
  <si>
    <t>Visual Paradigm International (Гонконг); fund=0: bootstrapped; staff=100: оценка по LinkedIn 03.10.2026 (диапазон 51-200); stack=4: зрелый enterprise Java+web; crm=3: CRM для enterprise-продаж (форма, чат, демо); app=да: VP Online Mobile (iOS/Android); cabinet=да: VPP-аккаунт; ads=5: Google Ads Transparency 03.10.2026; jobs=3</t>
  </si>
  <si>
    <t>Sparx Systems (Австралия); fund=0: bootstrapped; staff=50: оценка по LinkedIn 03.10.2026; stack=3: Windows-native + web-API; crm=2: sales@sparxsystems.com + CRM для лицензий; ads=3: Google Ads 03.10.2026; jobs=2: вакансии на сайте 03.10.2026; assets=0: проприетарное ПО</t>
  </si>
  <si>
    <t>Проект Camunda GmbH (Берлин); GitHub bpmn-io/bpmn-js: 9 675 звёзд 30.09.2026; fund=0: OSS-проект внутри Camunda; staff=10: оценка bpmn.io-команды; stack=3: JavaScript/React; crm=0: нет прямых продаж; assets=1: GitHub</t>
  </si>
  <si>
    <t>StormBPMN (Россия); fund=0: bootstrapped; staff=20: оценка по публичным источникам 03.10.2026; stack=3: современный web-стек; crm=2: онлайн-продажи + поддержка; cabinet=да; ads=3: контекстная реклама в Яндекс; jobs=1; assets=0</t>
  </si>
  <si>
    <t>JGraph Ltd (Великобритания); GitHub jgraph/drawio: 8 502 зв., jgraph/drawio-desktop: 63 351 зв. 30.09.2026; fund=0: bootstrapped JGraph; staff=10: оценка LinkedIn 03.10.2026; stack=3: JavaScript/Electron; crm=1: базовый support; ads=2: Google Ads 03.10.2026; cabinet=нет: работает без аккаунта; assets=1: GitHub</t>
  </si>
  <si>
    <t>Lucid Software (США); fund=$72M: Series A-C Crunchbase (до 2020), Series D не раскрыт; staff=700: LinkedIn 03.10.2026; stack=4: зрелый SaaS (React/Node/AWS); crm=4: Salesforce/HubSpot для enterprise; app=да: Lucid iOS/Android; cabinet=да; ads=50: Google/LinkedIn Ads Transparency 03.10.2026; jobs=20: careers.lucid.app 03.10.2026; assets=0</t>
  </si>
  <si>
    <t>Cinergix Pty Ltd (Австралия); fund=$3M: оценка по публичным источникам; staff=100: LinkedIn 03.10.2026 (51-200); stack=4: SaaS React+Node; crm=3: CRM + customer success; app=да: iOS app; cabinet=да; ads=10: Google Ads 03.10.2026; jobs=3: careers.creately.com 03.10.2026; assets=0</t>
  </si>
  <si>
    <t>Miro (RealtimeBoard Inc, США); fund=$476M: Series A-C Crunchbase (до 2022); staff=2000: LinkedIn 03.10.2026 (1001-5000); stack=5: enterprise SaaS full-stack; crm=5: Salesforce+Gainsight+Intercom; app=да: iOS+Android; cabinet=да; ads=50: Google/LinkedIn/FB Ads 03.10.2026; jobs=50: мир.com/careers/ 03.10.2026; assets=1: GitHub SDK</t>
  </si>
  <si>
    <t>OSS-проект (Excalidraw Inc, США); GitHub excalidraw/excalidraw: 133 301 звезда 30.09.2026; fund=0: OSS; staff=5: оценка по GitHub contributors; stack=3: React PWA; crm=1: Excalidraw+ email-маркетинг; cabinet=да: Excalidraw+ аккаунт; ads=0; assets=1: GitHub</t>
  </si>
  <si>
    <t>holistics.io (Сингапур); GitHub holistics/dbml: 2 880 звёзд; fund=0: bootstrapped (данные Holistics); staff=30: оценка LinkedIn 03.10.2026; stack=3: Vue.js+Ruby on Rails; crm=2: email + HubSpot (оценка); cabinet=да; ads=2: Google Ads 03.10.2026; jobs=2; assets=1: GitHub DBML</t>
  </si>
  <si>
    <t>Малый стартап; fund=0: публично не подтверждено; staff=5: оценка; stack=2: базовый web-стек; crm=1: email-форма; cabinet=да; ads=1; assets=0; источник: публичный анализ 03.10.2026</t>
  </si>
  <si>
    <t>Eraser Inc (США); fund=$4M: seed-раунд публичные источники 2023; staff=15: оценка LinkedIn 03.10.2026; stack=3: современный web-стек; crm=2: email + базовый CRM; cabinet=да; ads=5: Google Ads 03.10.2026; jobs=3: eraser.io/careers/ 03.10.2026; assets=1: GitHub eraser-io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</si>
</sst>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dd\.mm\.yyyy"/>
  </numFmts>
  <fonts count="5">
    <font>
      <sz val="11"/>
      <name val="Carlito"/>
    </font>
    <font>
      <b/>
      <sz val="14"/>
      <color rgb="FFFFFFFF"/>
      <name val="Carlito"/>
    </font>
    <font>
      <i/>
      <sz val="11"/>
      <color rgb="FF374151"/>
      <name val="Carlito"/>
    </font>
    <font>
      <b/>
      <sz val="11"/>
      <color rgb="FFFFFFFF"/>
      <name val="Carlito"/>
    </font>
    <font>
      <sz val="11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EAF4F6"/>
      </patternFill>
    </fill>
    <fill>
      <patternFill patternType="solid">
        <fgColor rgb="FF2F6F7E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30">
    <xf numFmtId="0" fontId="0" fillId="0" borderId="0" xfId="0"/>
    <xf numFmtId="0" fontId="3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0" fillId="0" borderId="0" xfId="1" applyFont="1" applyAlignment="1">
      <alignment vertical="top" wrapText="1"/>
    </xf>
    <xf numFmtId="0" fontId="0" fillId="7" borderId="0" xfId="1" applyFont="1" applyFill="1" applyAlignment="1">
      <alignment wrapText="1"/>
    </xf>
    <xf numFmtId="3" fontId="0" fillId="6" borderId="0" xfId="1" applyNumberFormat="1" applyFont="1" applyFill="1" applyAlignment="1">
      <alignment wrapText="1"/>
    </xf>
    <xf numFmtId="9" fontId="0" fillId="7" borderId="0" xfId="1" applyNumberFormat="1" applyFont="1" applyFill="1" applyAlignment="1">
      <alignment wrapText="1"/>
    </xf>
    <xf numFmtId="3" fontId="0" fillId="0" borderId="0" xfId="1" applyNumberFormat="1" applyFont="1" applyAlignment="1">
      <alignment wrapText="1"/>
    </xf>
    <xf numFmtId="164" fontId="0" fillId="0" borderId="0" xfId="1" applyNumberFormat="1" applyFont="1" applyAlignment="1">
      <alignment wrapText="1"/>
    </xf>
    <xf numFmtId="164" fontId="0" fillId="6" borderId="0" xfId="1" applyNumberFormat="1" applyFont="1" applyFill="1" applyAlignment="1">
      <alignment wrapText="1"/>
    </xf>
    <xf numFmtId="3" fontId="0" fillId="7" borderId="0" xfId="1" applyNumberFormat="1" applyFont="1" applyFill="1" applyAlignment="1">
      <alignment wrapText="1"/>
    </xf>
    <xf numFmtId="164" fontId="0" fillId="7" borderId="0" xfId="1" applyNumberFormat="1" applyFont="1" applyFill="1" applyAlignment="1">
      <alignment wrapText="1"/>
    </xf>
    <xf numFmtId="3" fontId="0" fillId="0" borderId="0" xfId="1" applyNumberFormat="1" applyFont="1"/>
    <xf numFmtId="164" fontId="0" fillId="0" borderId="0" xfId="1" applyNumberFormat="1" applyFont="1"/>
    <xf numFmtId="165" fontId="0" fillId="0" borderId="0" xfId="1" applyNumberFormat="1" applyFont="1" applyAlignment="1">
      <alignment wrapText="1"/>
    </xf>
    <xf numFmtId="1" fontId="0" fillId="6" borderId="0" xfId="1" applyNumberFormat="1" applyFont="1" applyFill="1" applyAlignment="1">
      <alignment wrapText="1"/>
    </xf>
    <xf numFmtId="2" fontId="0" fillId="7" borderId="0" xfId="1" applyNumberFormat="1" applyFont="1" applyFill="1" applyAlignment="1">
      <alignment wrapText="1"/>
    </xf>
    <xf numFmtId="1" fontId="0" fillId="7" borderId="0" xfId="1" applyNumberFormat="1" applyFont="1" applyFill="1" applyAlignment="1">
      <alignment wrapText="1"/>
    </xf>
    <xf numFmtId="0" fontId="0" fillId="6" borderId="0" xfId="1" applyFont="1" applyFill="1" applyAlignment="1">
      <alignment wrapText="1"/>
    </xf>
    <xf numFmtId="165" fontId="0" fillId="7" borderId="0" xfId="1" applyNumberFormat="1" applyFont="1" applyFill="1" applyAlignment="1">
      <alignment wrapText="1"/>
    </xf>
    <xf numFmtId="2" fontId="0" fillId="6" borderId="0" xfId="1" applyNumberFormat="1" applyFont="1" applyFill="1" applyAlignment="1">
      <alignment wrapText="1"/>
    </xf>
    <xf numFmtId="9" fontId="0" fillId="0" borderId="0" xfId="1" applyNumberFormat="1" applyFont="1" applyAlignment="1">
      <alignment wrapText="1"/>
    </xf>
    <xf numFmtId="2" fontId="0" fillId="0" borderId="0" xfId="1" applyNumberFormat="1" applyFont="1" applyAlignment="1">
      <alignment wrapText="1"/>
    </xf>
    <xf numFmtId="1" fontId="0" fillId="0" borderId="0" xfId="1" applyNumberFormat="1" applyFont="1" applyAlignment="1">
      <alignment wrapText="1"/>
    </xf>
    <xf numFmtId="166" fontId="0" fillId="6" borderId="0" xfId="1" applyNumberFormat="1" applyFont="1" applyFill="1" applyAlignment="1">
      <alignment wrapText="1"/>
    </xf>
    <xf numFmtId="0" fontId="1" fillId="2" borderId="0" xfId="1" applyFont="1" applyFill="1" applyAlignment="1">
      <alignment horizontal="center" vertical="center"/>
    </xf>
    <xf numFmtId="0" fontId="2" fillId="3" borderId="0" xfId="1" applyFont="1" applyFill="1" applyAlignment="1">
      <alignment vertical="center" wrapText="1"/>
    </xf>
    <xf numFmtId="0" fontId="3" fillId="4" borderId="0" xfId="1" applyFont="1" applyFill="1" applyAlignment="1">
      <alignment horizontal="center" vertical="center" wrapText="1"/>
    </xf>
    <xf numFmtId="0" fontId="0" fillId="5" borderId="0" xfId="1" applyFont="1" applyFill="1" applyAlignment="1">
      <alignment vertical="top" wrapText="1"/>
    </xf>
    <xf numFmtId="0" fontId="0" fillId="3" borderId="0" xfId="1" applyFont="1" applyFill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t>Баллы по факторам барьеров входа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Балл</c:v>
          </c:tx>
          <c:invertIfNegative val="1"/>
          <c:cat>
            <c:strRef>
              <c:f>'08_Дашборд'!$F$5:$F$13</c:f>
              <c:strCache>
                <c:ptCount val="9"/>
                <c:pt idx="0">
                  <c:v>Концентрация трафика</c:v>
                </c:pt>
                <c:pt idx="1">
                  <c:v>SEO-давление</c:v>
                </c:pt>
                <c:pt idx="2">
                  <c:v>Рекламное давление</c:v>
                </c:pt>
                <c:pt idx="3">
                  <c:v>Брендовая сила</c:v>
                </c:pt>
                <c:pt idx="4">
                  <c:v>Поиск/реклама</c:v>
                </c:pt>
                <c:pt idx="5">
                  <c:v>Репутация</c:v>
                </c:pt>
                <c:pt idx="6">
                  <c:v>Технологии</c:v>
                </c:pt>
                <c:pt idx="7">
                  <c:v>Платформы</c:v>
                </c:pt>
                <c:pt idx="8">
                  <c:v>Заменители</c:v>
                </c:pt>
              </c:strCache>
            </c:strRef>
          </c:cat>
          <c:val>
            <c:numRef>
              <c:f>'08_Дашборд'!$G$5:$G$13</c:f>
              <c:numCache>
                <c:formatCode>0.00</c:formatCode>
                <c:ptCount val="9"/>
                <c:pt idx="0">
                  <c:v>5</c:v>
                </c:pt>
                <c:pt idx="1">
                  <c:v>1</c:v>
                </c:pt>
                <c:pt idx="2">
                  <c:v>1</c:v>
                </c:pt>
                <c:pt idx="3">
                  <c:v>5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53-4305-AD56-DA820A5AEF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14</xdr:row>
      <xdr:rowOff>0</xdr:rowOff>
    </xdr:from>
    <xdr:to>
      <xdr:col>12</xdr:col>
      <xdr:colOff>0</xdr:colOff>
      <xdr:row>30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CompetitorsSW" displayName="tblCompetitorsSW" ref="A3:Q33">
  <tableColumns count="17">
    <tableColumn id="1" xr3:uid="{00000000-0010-0000-0000-000001000000}" name="Конкурент / сайт"/>
    <tableColumn id="2" xr3:uid="{00000000-0010-0000-0000-000002000000}" name="Тип игрока"/>
    <tableColumn id="3" xr3:uid="{00000000-0010-0000-0000-000003000000}" name="Месячные визиты"/>
    <tableColumn id="4" xr3:uid="{00000000-0010-0000-0000-000004000000}" name="Доля целевой географии"/>
    <tableColumn id="5" xr3:uid="{00000000-0010-0000-0000-000005000000}" name="Релевантный трафик"/>
    <tableColumn id="6" xr3:uid="{00000000-0010-0000-0000-000006000000}" name="Доля релевантного трафика"/>
    <tableColumn id="7" xr3:uid="{00000000-0010-0000-0000-000007000000}" name="Длительность, сек."/>
    <tableColumn id="8" xr3:uid="{00000000-0010-0000-0000-000008000000}" name="Страниц/визит"/>
    <tableColumn id="9" xr3:uid="{00000000-0010-0000-0000-000009000000}" name="Отказы"/>
    <tableColumn id="10" xr3:uid="{00000000-0010-0000-0000-00000A000000}" name="Прямой трафик"/>
    <tableColumn id="11" xr3:uid="{00000000-0010-0000-0000-00000B000000}" name="Органика"/>
    <tableColumn id="12" xr3:uid="{00000000-0010-0000-0000-00000C000000}" name="Платный поиск"/>
    <tableColumn id="13" xr3:uid="{00000000-0010-0000-0000-00000D000000}" name="Соцсети"/>
    <tableColumn id="14" xr3:uid="{00000000-0010-0000-0000-00000E000000}" name="Рефералы"/>
    <tableColumn id="15" xr3:uid="{00000000-0010-0000-0000-00000F000000}" name="Медийная реклама"/>
    <tableColumn id="16" xr3:uid="{00000000-0010-0000-0000-000010000000}" name="Брендовый поиск"/>
    <tableColumn id="17" xr3:uid="{00000000-0010-0000-0000-000011000000}" name="Комментар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Channels" displayName="tblChannels" ref="A3:I10">
  <tableColumns count="9">
    <tableColumn id="1" xr3:uid="{00000000-0010-0000-0100-000001000000}" name="Канал"/>
    <tableColumn id="2" xr3:uid="{00000000-0010-0000-0100-000002000000}" name="Формула / источник"/>
    <tableColumn id="3" xr3:uid="{00000000-0010-0000-0100-000003000000}" name="Взвешенная доля канала"/>
    <tableColumn id="4" xr3:uid="{00000000-0010-0000-0100-000004000000}" name="Порог высокого давления"/>
    <tableColumn id="5" xr3:uid="{00000000-0010-0000-0100-000005000000}" name="Балльная оценка 1-5"/>
    <tableColumn id="6" xr3:uid="{00000000-0010-0000-0100-000006000000}" name="Интерпретация"/>
    <tableColumn id="7" xr3:uid="{00000000-0010-0000-0100-000007000000}" name="Риски для нового игрока"/>
    <tableColumn id="8" xr3:uid="{00000000-0010-0000-0100-000008000000}" name="Что проверить дополнительно"/>
    <tableColumn id="9" xr3:uid="{00000000-0010-0000-0100-000009000000}" name="Источник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SearchAds" displayName="tblSearchAds" ref="A3:M33">
  <tableColumns count="13">
    <tableColumn id="1" xr3:uid="{00000000-0010-0000-0200-000001000000}" name="Запрос / рекламная тема"/>
    <tableColumn id="2" xr3:uid="{00000000-0010-0000-0200-000002000000}" name="Тип намерения"/>
    <tableColumn id="3" xr3:uid="{00000000-0010-0000-0200-000003000000}" name="Источник"/>
    <tableColumn id="4" xr3:uid="{00000000-0010-0000-0200-000004000000}" name="Частотность / спрос"/>
    <tableColumn id="5" xr3:uid="{00000000-0010-0000-0200-000005000000}" name="CPC / цена клика"/>
    <tableColumn id="6" xr3:uid="{00000000-0010-0000-0200-000006000000}" name="Конкурентность PPC 0-1"/>
    <tableColumn id="7" xr3:uid="{00000000-0010-0000-0200-000007000000}" name="SEO difficulty 0-100"/>
    <tableColumn id="8" xr3:uid="{00000000-0010-0000-0200-000008000000}" name="Топ-конкурентов в выдаче"/>
    <tableColumn id="9" xr3:uid="{00000000-0010-0000-0200-000009000000}" name="Активных рекламодателей"/>
    <tableColumn id="10" xr3:uid="{00000000-0010-0000-0200-00000A000000}" name="Рекламные объявления"/>
    <tableColumn id="11" xr3:uid="{00000000-0010-0000-0200-00000B000000}" name="Индекс давления"/>
    <tableColumn id="12" xr3:uid="{00000000-0010-0000-0200-00000C000000}" name="Балльная оценка 1-5"/>
    <tableColumn id="13" xr3:uid="{00000000-0010-0000-0200-00000D000000}" name="Комментарий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Reviews" displayName="tblReviews" ref="A3:N33">
  <tableColumns count="14">
    <tableColumn id="1" xr3:uid="{00000000-0010-0000-0300-000001000000}" name="Конкурент"/>
    <tableColumn id="2" xr3:uid="{00000000-0010-0000-0300-000002000000}" name="G2 рейтинг"/>
    <tableColumn id="3" xr3:uid="{00000000-0010-0000-0300-000003000000}" name="G2 отзывы"/>
    <tableColumn id="4" xr3:uid="{00000000-0010-0000-0300-000004000000}" name="Capterra рейтинг"/>
    <tableColumn id="5" xr3:uid="{00000000-0010-0000-0300-000005000000}" name="Capterra отзывы"/>
    <tableColumn id="6" xr3:uid="{00000000-0010-0000-0300-000006000000}" name="Trustpilot рейтинг"/>
    <tableColumn id="7" xr3:uid="{00000000-0010-0000-0300-000007000000}" name="Trustpilot отзывы"/>
    <tableColumn id="8" xr3:uid="{00000000-0010-0000-0300-000008000000}" name="Google рейтинг"/>
    <tableColumn id="9" xr3:uid="{00000000-0010-0000-0300-000009000000}" name="Google отзывы"/>
    <tableColumn id="10" xr3:uid="{00000000-0010-0000-0300-00000A000000}" name="Кейсы на сайте"/>
    <tableColumn id="11" xr3:uid="{00000000-0010-0000-0300-00000B000000}" name="Возраст бренда, лет"/>
    <tableColumn id="12" xr3:uid="{00000000-0010-0000-0300-00000C000000}" name="Индекс доверия"/>
    <tableColumn id="13" xr3:uid="{00000000-0010-0000-0300-00000D000000}" name="Балльная оценка 1-5"/>
    <tableColumn id="14" xr3:uid="{00000000-0010-0000-0300-00000E000000}" name="Комментарий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TechFinance" displayName="tblTechFinance" ref="A3:M33">
  <tableColumns count="13">
    <tableColumn id="1" xr3:uid="{00000000-0010-0000-0400-000001000000}" name="Конкурент"/>
    <tableColumn id="2" xr3:uid="{00000000-0010-0000-0400-000002000000}" name="Финансирование / инвестиции"/>
    <tableColumn id="3" xr3:uid="{00000000-0010-0000-0400-000003000000}" name="Сотрудники LinkedIn"/>
    <tableColumn id="4" xr3:uid="{00000000-0010-0000-0400-000004000000}" name="Технологический стек 1-5"/>
    <tableColumn id="5" xr3:uid="{00000000-0010-0000-0400-000005000000}" name="CRM/автоматизация 1-5"/>
    <tableColumn id="6" xr3:uid="{00000000-0010-0000-0400-000006000000}" name="Мобильное приложение"/>
    <tableColumn id="7" xr3:uid="{00000000-0010-0000-0400-000007000000}" name="Личный кабинет"/>
    <tableColumn id="8" xr3:uid="{00000000-0010-0000-0400-000008000000}" name="Активных объявлений"/>
    <tableColumn id="9" xr3:uid="{00000000-0010-0000-0400-000009000000}" name="Вакансий"/>
    <tableColumn id="10" xr3:uid="{00000000-0010-0000-0400-00000A000000}" name="Патенты/уникальные активы"/>
    <tableColumn id="11" xr3:uid="{00000000-0010-0000-0400-00000B000000}" name="Индекс ресурсной силы"/>
    <tableColumn id="12" xr3:uid="{00000000-0010-0000-0400-00000C000000}" name="Балльная оценка 1-5"/>
    <tableColumn id="13" xr3:uid="{00000000-0010-0000-0400-00000D000000}" name="Комментарий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EntryBarriers" displayName="tblEntryBarriers" ref="A3:I13">
  <tableColumns count="9">
    <tableColumn id="1" xr3:uid="{00000000-0010-0000-0500-000001000000}" name="Фактор барьера входа"/>
    <tableColumn id="2" xr3:uid="{00000000-0010-0000-0500-000002000000}" name="Ключевой показатель"/>
    <tableColumn id="3" xr3:uid="{00000000-0010-0000-0500-000003000000}" name="Значение"/>
    <tableColumn id="4" xr3:uid="{00000000-0010-0000-0500-000004000000}" name="Балльная оценка 1-5"/>
    <tableColumn id="5" xr3:uid="{00000000-0010-0000-0500-000005000000}" name="Вес"/>
    <tableColumn id="6" xr3:uid="{00000000-0010-0000-0500-000006000000}" name="Взвешенный балл"/>
    <tableColumn id="7" xr3:uid="{00000000-0010-0000-0500-000007000000}" name="Уровень давления"/>
    <tableColumn id="8" xr3:uid="{00000000-0010-0000-0500-000008000000}" name="Что означает"/>
    <tableColumn id="9" xr3:uid="{00000000-0010-0000-0500-000009000000}" name="Рекомендуемое действие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Sources" displayName="tblSources" ref="A3:G23">
  <tableColumns count="7">
    <tableColumn id="1" xr3:uid="{00000000-0010-0000-0600-000001000000}" name="Источник"/>
    <tableColumn id="2" xr3:uid="{00000000-0010-0000-0600-000002000000}" name="URL"/>
    <tableColumn id="3" xr3:uid="{00000000-0010-0000-0600-000003000000}" name="Что брать"/>
    <tableColumn id="4" xr3:uid="{00000000-0010-0000-0600-000004000000}" name="Для какой силы/фактора"/>
    <tableColumn id="5" xr3:uid="{00000000-0010-0000-0600-000005000000}" name="Формат фиксации"/>
    <tableColumn id="6" xr3:uid="{00000000-0010-0000-0600-000006000000}" name="Дата обращения"/>
    <tableColumn id="7" xr3:uid="{00000000-0010-0000-0600-000007000000}" name="Ограничени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workbookViewId="0">
      <selection sqref="A1:I1"/>
    </sheetView>
  </sheetViews>
  <sheetFormatPr defaultRowHeight="14.25"/>
  <cols>
    <col min="1" max="1" width="25" customWidth="1"/>
    <col min="2" max="4" width="38" customWidth="1"/>
    <col min="5" max="5" width="42" customWidth="1"/>
  </cols>
  <sheetData>
    <row r="1" spans="1:9" ht="30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</row>
    <row r="2" spans="1:9" ht="32.1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</row>
    <row r="4" spans="1:9" ht="33.950000000000003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9" ht="28.5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</row>
    <row r="6" spans="1:9" ht="28.5">
      <c r="A6" s="3" t="s">
        <v>12</v>
      </c>
      <c r="B6" s="3" t="s">
        <v>13</v>
      </c>
      <c r="C6" s="3" t="s">
        <v>14</v>
      </c>
      <c r="D6" s="3" t="s">
        <v>15</v>
      </c>
      <c r="E6" s="3" t="s">
        <v>16</v>
      </c>
    </row>
    <row r="7" spans="1:9" ht="28.5">
      <c r="A7" s="3" t="s">
        <v>17</v>
      </c>
      <c r="B7" s="3" t="s">
        <v>18</v>
      </c>
      <c r="C7" s="3" t="s">
        <v>19</v>
      </c>
      <c r="D7" s="3" t="s">
        <v>20</v>
      </c>
      <c r="E7" s="3" t="s">
        <v>21</v>
      </c>
    </row>
    <row r="8" spans="1:9" ht="28.5">
      <c r="A8" s="3" t="s">
        <v>22</v>
      </c>
      <c r="B8" s="3" t="s">
        <v>23</v>
      </c>
      <c r="C8" s="3" t="s">
        <v>24</v>
      </c>
      <c r="D8" s="3" t="s">
        <v>25</v>
      </c>
      <c r="E8" s="3" t="s">
        <v>26</v>
      </c>
    </row>
    <row r="9" spans="1:9" ht="28.5">
      <c r="A9" s="3" t="s">
        <v>27</v>
      </c>
      <c r="B9" s="3" t="s">
        <v>28</v>
      </c>
      <c r="C9" s="3" t="s">
        <v>29</v>
      </c>
      <c r="D9" s="3" t="s">
        <v>30</v>
      </c>
      <c r="E9" s="3" t="s">
        <v>31</v>
      </c>
    </row>
    <row r="10" spans="1:9" ht="42.75">
      <c r="A10" s="3" t="s">
        <v>32</v>
      </c>
      <c r="B10" s="3" t="s">
        <v>33</v>
      </c>
      <c r="C10" s="3" t="s">
        <v>34</v>
      </c>
      <c r="D10" s="3" t="s">
        <v>35</v>
      </c>
      <c r="E10" s="3" t="s">
        <v>36</v>
      </c>
    </row>
    <row r="11" spans="1:9" ht="28.5">
      <c r="A11" s="3" t="s">
        <v>37</v>
      </c>
      <c r="B11" s="3" t="s">
        <v>38</v>
      </c>
      <c r="C11" s="3" t="s">
        <v>39</v>
      </c>
      <c r="D11" s="3" t="s">
        <v>40</v>
      </c>
      <c r="E11" s="3" t="s">
        <v>41</v>
      </c>
    </row>
    <row r="12" spans="1:9">
      <c r="A12" s="3" t="s">
        <v>42</v>
      </c>
      <c r="B12" s="3" t="s">
        <v>43</v>
      </c>
      <c r="C12" s="3" t="s">
        <v>44</v>
      </c>
      <c r="D12" s="3" t="s">
        <v>45</v>
      </c>
      <c r="E12" s="3" t="s">
        <v>46</v>
      </c>
    </row>
    <row r="13" spans="1:9">
      <c r="A13" s="3" t="s">
        <v>47</v>
      </c>
      <c r="B13" s="3" t="s">
        <v>48</v>
      </c>
      <c r="C13" s="3" t="s">
        <v>49</v>
      </c>
      <c r="D13" s="3" t="s">
        <v>50</v>
      </c>
      <c r="E13" s="3" t="s">
        <v>51</v>
      </c>
    </row>
    <row r="16" spans="1:9" ht="27.95" customHeight="1">
      <c r="A16" s="27" t="s">
        <v>52</v>
      </c>
      <c r="B16" s="27"/>
      <c r="C16" s="27"/>
      <c r="D16" s="27"/>
      <c r="E16" s="27"/>
      <c r="F16" s="27"/>
      <c r="G16" s="27"/>
      <c r="H16" s="27"/>
      <c r="I16" s="27"/>
    </row>
    <row r="17" spans="1:9">
      <c r="A17" s="28" t="s">
        <v>53</v>
      </c>
      <c r="B17" s="28"/>
      <c r="C17" s="28"/>
      <c r="D17" s="28"/>
      <c r="E17" s="28"/>
      <c r="F17" s="28"/>
      <c r="G17" s="28"/>
      <c r="H17" s="28"/>
      <c r="I17" s="28"/>
    </row>
    <row r="18" spans="1:9">
      <c r="A18" s="28"/>
      <c r="B18" s="28"/>
      <c r="C18" s="28"/>
      <c r="D18" s="28"/>
      <c r="E18" s="28"/>
      <c r="F18" s="28"/>
      <c r="G18" s="28"/>
      <c r="H18" s="28"/>
      <c r="I18" s="28"/>
    </row>
    <row r="19" spans="1:9">
      <c r="A19" s="28"/>
      <c r="B19" s="28"/>
      <c r="C19" s="28"/>
      <c r="D19" s="28"/>
      <c r="E19" s="28"/>
      <c r="F19" s="28"/>
      <c r="G19" s="28"/>
      <c r="H19" s="28"/>
      <c r="I19" s="28"/>
    </row>
    <row r="20" spans="1:9">
      <c r="A20" s="28"/>
      <c r="B20" s="28"/>
      <c r="C20" s="28"/>
      <c r="D20" s="28"/>
      <c r="E20" s="28"/>
      <c r="F20" s="28"/>
      <c r="G20" s="28"/>
      <c r="H20" s="28"/>
      <c r="I20" s="28"/>
    </row>
  </sheetData>
  <mergeCells count="4">
    <mergeCell ref="A1:I1"/>
    <mergeCell ref="A2:I2"/>
    <mergeCell ref="A16:I16"/>
    <mergeCell ref="A17:I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workbookViewId="0"/>
  </sheetViews>
  <sheetFormatPr defaultRowHeight="14.25"/>
  <cols>
    <col min="1" max="1" width="34" customWidth="1"/>
    <col min="2" max="2" width="28" customWidth="1"/>
    <col min="3" max="4" width="14" customWidth="1"/>
    <col min="5" max="5" width="58" customWidth="1"/>
    <col min="6" max="6" width="24" customWidth="1"/>
  </cols>
  <sheetData>
    <row r="1" spans="1:6" ht="30" customHeight="1">
      <c r="A1" s="25" t="s">
        <v>54</v>
      </c>
      <c r="B1" s="25"/>
      <c r="C1" s="25"/>
      <c r="D1" s="25"/>
      <c r="E1" s="25"/>
      <c r="F1" s="25"/>
    </row>
    <row r="2" spans="1:6" ht="32.1" customHeight="1">
      <c r="A2" s="26" t="s">
        <v>55</v>
      </c>
      <c r="B2" s="26"/>
      <c r="C2" s="26"/>
      <c r="D2" s="26"/>
      <c r="E2" s="26"/>
      <c r="F2" s="26"/>
    </row>
    <row r="3" spans="1:6">
      <c r="A3" t="s">
        <v>493</v>
      </c>
    </row>
    <row r="4" spans="1:6" ht="33.950000000000003" customHeight="1">
      <c r="A4" s="1" t="s">
        <v>56</v>
      </c>
      <c r="B4" s="1" t="s">
        <v>57</v>
      </c>
      <c r="C4" s="1" t="s">
        <v>58</v>
      </c>
      <c r="D4" s="1" t="s">
        <v>59</v>
      </c>
      <c r="E4" s="1" t="s">
        <v>60</v>
      </c>
      <c r="F4" s="1" t="s">
        <v>61</v>
      </c>
    </row>
    <row r="5" spans="1:6" ht="128.25">
      <c r="A5" s="2" t="s">
        <v>62</v>
      </c>
      <c r="B5" s="4" t="s">
        <v>456</v>
      </c>
      <c r="C5" s="2"/>
      <c r="D5" s="2" t="s">
        <v>63</v>
      </c>
      <c r="E5" s="2" t="s">
        <v>64</v>
      </c>
      <c r="F5" s="2"/>
    </row>
    <row r="6" spans="1:6">
      <c r="A6" s="2" t="s">
        <v>65</v>
      </c>
      <c r="B6" s="4" t="s">
        <v>66</v>
      </c>
      <c r="C6" s="2"/>
      <c r="D6" s="2" t="s">
        <v>63</v>
      </c>
      <c r="E6" s="2" t="s">
        <v>67</v>
      </c>
      <c r="F6" s="2"/>
    </row>
    <row r="7" spans="1:6" ht="85.5">
      <c r="A7" s="2" t="s">
        <v>68</v>
      </c>
      <c r="B7" s="4" t="s">
        <v>492</v>
      </c>
      <c r="C7" s="2"/>
      <c r="D7" s="2" t="s">
        <v>63</v>
      </c>
      <c r="E7" s="2" t="s">
        <v>69</v>
      </c>
      <c r="F7" s="2"/>
    </row>
    <row r="8" spans="1:6">
      <c r="A8" s="2" t="s">
        <v>70</v>
      </c>
      <c r="B8" s="24">
        <v>46294.916666666664</v>
      </c>
      <c r="C8" s="2"/>
      <c r="D8" s="2" t="s">
        <v>63</v>
      </c>
      <c r="E8" s="2" t="s">
        <v>71</v>
      </c>
      <c r="F8" s="2"/>
    </row>
    <row r="9" spans="1:6">
      <c r="A9" s="2" t="s">
        <v>72</v>
      </c>
      <c r="B9" s="5">
        <f>COUNTA('02_Конкуренты_SW'!A4:A33)</f>
        <v>19</v>
      </c>
      <c r="C9" s="2" t="s">
        <v>73</v>
      </c>
      <c r="D9" s="2" t="s">
        <v>74</v>
      </c>
      <c r="E9" s="2" t="s">
        <v>75</v>
      </c>
      <c r="F9" s="2" t="s">
        <v>12</v>
      </c>
    </row>
    <row r="10" spans="1:6">
      <c r="A10" s="2" t="s">
        <v>76</v>
      </c>
      <c r="B10" s="7">
        <f>SUM('02_Конкуренты_SW'!E4:E33)</f>
        <v>46938035.700000003</v>
      </c>
      <c r="C10" s="2" t="s">
        <v>77</v>
      </c>
      <c r="D10" s="2" t="s">
        <v>74</v>
      </c>
      <c r="E10" s="2" t="s">
        <v>78</v>
      </c>
      <c r="F10" s="2" t="s">
        <v>12</v>
      </c>
    </row>
    <row r="11" spans="1:6" ht="28.5">
      <c r="A11" s="2" t="s">
        <v>79</v>
      </c>
      <c r="B11" s="6">
        <v>0.6</v>
      </c>
      <c r="C11" s="2" t="s">
        <v>80</v>
      </c>
      <c r="D11" s="2" t="s">
        <v>63</v>
      </c>
      <c r="E11" s="2" t="s">
        <v>81</v>
      </c>
      <c r="F11" s="2"/>
    </row>
    <row r="12" spans="1:6">
      <c r="A12" s="2" t="s">
        <v>82</v>
      </c>
      <c r="B12" s="6">
        <v>0.75</v>
      </c>
      <c r="C12" s="2" t="s">
        <v>80</v>
      </c>
      <c r="D12" s="2" t="s">
        <v>63</v>
      </c>
      <c r="E12" s="2" t="s">
        <v>83</v>
      </c>
      <c r="F12" s="2"/>
    </row>
    <row r="13" spans="1:6">
      <c r="A13" s="2" t="s">
        <v>84</v>
      </c>
      <c r="B13" s="4">
        <v>2500</v>
      </c>
      <c r="C13" s="2" t="s">
        <v>85</v>
      </c>
      <c r="D13" s="2" t="s">
        <v>63</v>
      </c>
      <c r="E13" s="2" t="s">
        <v>86</v>
      </c>
      <c r="F13" s="2"/>
    </row>
    <row r="14" spans="1:6" ht="28.5">
      <c r="A14" s="2" t="s">
        <v>87</v>
      </c>
      <c r="B14" s="6">
        <v>0.2</v>
      </c>
      <c r="C14" s="2" t="s">
        <v>80</v>
      </c>
      <c r="D14" s="2" t="s">
        <v>63</v>
      </c>
      <c r="E14" s="2" t="s">
        <v>88</v>
      </c>
      <c r="F14" s="2"/>
    </row>
    <row r="15" spans="1:6" ht="28.5">
      <c r="A15" s="2" t="s">
        <v>89</v>
      </c>
      <c r="B15" s="6">
        <v>0.45</v>
      </c>
      <c r="C15" s="2" t="s">
        <v>80</v>
      </c>
      <c r="D15" s="2" t="s">
        <v>63</v>
      </c>
      <c r="E15" s="2" t="s">
        <v>90</v>
      </c>
      <c r="F15" s="2"/>
    </row>
    <row r="16" spans="1:6">
      <c r="A16" s="2" t="s">
        <v>91</v>
      </c>
      <c r="B16" s="6">
        <v>0.5</v>
      </c>
      <c r="C16" s="2" t="s">
        <v>80</v>
      </c>
      <c r="D16" s="2" t="s">
        <v>63</v>
      </c>
      <c r="E16" s="2" t="s">
        <v>92</v>
      </c>
      <c r="F16" s="2"/>
    </row>
    <row r="17" spans="1:6" ht="28.5">
      <c r="A17" s="2" t="s">
        <v>93</v>
      </c>
      <c r="B17" s="4">
        <v>100</v>
      </c>
      <c r="C17" s="2" t="s">
        <v>94</v>
      </c>
      <c r="D17" s="2" t="s">
        <v>63</v>
      </c>
      <c r="E17" s="2" t="s">
        <v>95</v>
      </c>
      <c r="F17" s="2"/>
    </row>
    <row r="18" spans="1:6" ht="28.5">
      <c r="A18" s="2" t="s">
        <v>96</v>
      </c>
      <c r="B18" s="2">
        <v>30</v>
      </c>
      <c r="C18" s="2" t="s">
        <v>97</v>
      </c>
      <c r="D18" s="2" t="s">
        <v>63</v>
      </c>
      <c r="E18" s="2" t="s">
        <v>98</v>
      </c>
      <c r="F18" s="2"/>
    </row>
  </sheetData>
  <mergeCells count="2">
    <mergeCell ref="A1:F1"/>
    <mergeCell ref="A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1"/>
  <sheetViews>
    <sheetView workbookViewId="0"/>
  </sheetViews>
  <sheetFormatPr defaultRowHeight="14.25"/>
  <cols>
    <col min="1" max="1" width="24" customWidth="1"/>
    <col min="2" max="2" width="22" customWidth="1"/>
    <col min="3" max="3" width="16" customWidth="1"/>
    <col min="4" max="6" width="18" customWidth="1"/>
    <col min="7" max="8" width="14" customWidth="1"/>
    <col min="9" max="9" width="12" customWidth="1"/>
    <col min="10" max="10" width="14" customWidth="1"/>
    <col min="11" max="11" width="12" customWidth="1"/>
    <col min="12" max="12" width="14" customWidth="1"/>
    <col min="13" max="14" width="12" customWidth="1"/>
    <col min="15" max="16" width="16" customWidth="1"/>
    <col min="17" max="17" width="26" customWidth="1"/>
  </cols>
  <sheetData>
    <row r="1" spans="1:17" ht="30" customHeight="1">
      <c r="A1" s="25" t="s">
        <v>99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</row>
    <row r="2" spans="1:17" ht="32.1" customHeight="1">
      <c r="A2" s="26" t="s">
        <v>100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</row>
    <row r="3" spans="1:17" ht="33.950000000000003" customHeight="1">
      <c r="A3" s="1" t="s">
        <v>101</v>
      </c>
      <c r="B3" s="1" t="s">
        <v>102</v>
      </c>
      <c r="C3" s="1" t="s">
        <v>103</v>
      </c>
      <c r="D3" s="1" t="s">
        <v>104</v>
      </c>
      <c r="E3" s="1" t="s">
        <v>105</v>
      </c>
      <c r="F3" s="1" t="s">
        <v>106</v>
      </c>
      <c r="G3" s="1" t="s">
        <v>107</v>
      </c>
      <c r="H3" s="1" t="s">
        <v>108</v>
      </c>
      <c r="I3" s="1" t="s">
        <v>109</v>
      </c>
      <c r="J3" s="1" t="s">
        <v>110</v>
      </c>
      <c r="K3" s="1" t="s">
        <v>111</v>
      </c>
      <c r="L3" s="1" t="s">
        <v>112</v>
      </c>
      <c r="M3" s="1" t="s">
        <v>113</v>
      </c>
      <c r="N3" s="1" t="s">
        <v>114</v>
      </c>
      <c r="O3" s="1" t="s">
        <v>115</v>
      </c>
      <c r="P3" s="1" t="s">
        <v>116</v>
      </c>
      <c r="Q3" s="1" t="s">
        <v>60</v>
      </c>
    </row>
    <row r="4" spans="1:17" ht="99.75">
      <c r="A4" s="4" t="s">
        <v>397</v>
      </c>
      <c r="B4" s="4" t="s">
        <v>117</v>
      </c>
      <c r="C4" s="10">
        <v>739657</v>
      </c>
      <c r="D4" s="11">
        <v>1</v>
      </c>
      <c r="E4" s="5">
        <f t="shared" ref="E4:E33" si="0">IFERROR(C4*D4,0)</f>
        <v>739657</v>
      </c>
      <c r="F4" s="9">
        <f t="shared" ref="F4:F33" si="1">IFERROR(E4/SUM($E$4:$E$33),0)</f>
        <v>1.5758158367074573E-2</v>
      </c>
      <c r="G4" s="4">
        <v>240</v>
      </c>
      <c r="H4" s="4">
        <v>3.32</v>
      </c>
      <c r="I4" s="11">
        <v>0.45610000000000001</v>
      </c>
      <c r="J4" s="11">
        <v>0.38109999999999999</v>
      </c>
      <c r="K4" s="11">
        <v>0.47249999999999998</v>
      </c>
      <c r="L4" s="11"/>
      <c r="M4" s="11">
        <v>3.6299999999999999E-2</v>
      </c>
      <c r="N4" s="11">
        <v>5.91E-2</v>
      </c>
      <c r="O4" s="11">
        <v>6.9999999999999999E-4</v>
      </c>
      <c r="P4" s="11">
        <v>0.429975</v>
      </c>
      <c r="Q4" s="4" t="s">
        <v>473</v>
      </c>
    </row>
    <row r="5" spans="1:17" ht="114">
      <c r="A5" s="4" t="s">
        <v>398</v>
      </c>
      <c r="B5" s="4" t="s">
        <v>117</v>
      </c>
      <c r="C5" s="10">
        <v>442646</v>
      </c>
      <c r="D5" s="11">
        <v>1</v>
      </c>
      <c r="E5" s="5">
        <f t="shared" si="0"/>
        <v>442646</v>
      </c>
      <c r="F5" s="9">
        <f t="shared" si="1"/>
        <v>9.4304329825203991E-3</v>
      </c>
      <c r="G5" s="4">
        <v>63</v>
      </c>
      <c r="H5" s="4">
        <v>1.86</v>
      </c>
      <c r="I5" s="11">
        <v>0.68569999999999998</v>
      </c>
      <c r="J5" s="11">
        <v>0.2218</v>
      </c>
      <c r="K5" s="11">
        <v>0.58560000000000001</v>
      </c>
      <c r="L5" s="11">
        <v>1E-4</v>
      </c>
      <c r="M5" s="11">
        <v>1.2500000000000001E-2</v>
      </c>
      <c r="N5" s="11">
        <v>0.16500000000000001</v>
      </c>
      <c r="O5" s="11">
        <v>4.0000000000000002E-4</v>
      </c>
      <c r="P5" s="11"/>
      <c r="Q5" s="4" t="s">
        <v>474</v>
      </c>
    </row>
    <row r="6" spans="1:17" ht="142.5">
      <c r="A6" s="4" t="s">
        <v>399</v>
      </c>
      <c r="B6" s="4" t="s">
        <v>117</v>
      </c>
      <c r="C6" s="10">
        <v>2535</v>
      </c>
      <c r="D6" s="11">
        <v>1</v>
      </c>
      <c r="E6" s="5">
        <f t="shared" si="0"/>
        <v>2535</v>
      </c>
      <c r="F6" s="9">
        <f t="shared" si="1"/>
        <v>5.4007372958728218E-5</v>
      </c>
      <c r="G6" s="4">
        <v>2</v>
      </c>
      <c r="H6" s="4">
        <v>1.1399999999999999</v>
      </c>
      <c r="I6" s="11">
        <v>0.50680000000000003</v>
      </c>
      <c r="J6" s="11">
        <v>0.3997</v>
      </c>
      <c r="K6" s="11">
        <v>0.32540000000000002</v>
      </c>
      <c r="L6" s="11">
        <v>1.6199999999999999E-2</v>
      </c>
      <c r="M6" s="11">
        <v>6.8199999999999997E-2</v>
      </c>
      <c r="N6" s="11">
        <v>0.1032</v>
      </c>
      <c r="O6" s="11">
        <v>3.0700000000000002E-2</v>
      </c>
      <c r="P6" s="11">
        <v>0</v>
      </c>
      <c r="Q6" s="4" t="s">
        <v>475</v>
      </c>
    </row>
    <row r="7" spans="1:17" ht="99.75">
      <c r="A7" s="4" t="s">
        <v>400</v>
      </c>
      <c r="B7" s="4" t="s">
        <v>117</v>
      </c>
      <c r="C7" s="10">
        <v>61003</v>
      </c>
      <c r="D7" s="11">
        <v>1</v>
      </c>
      <c r="E7" s="5">
        <f t="shared" si="0"/>
        <v>61003</v>
      </c>
      <c r="F7" s="9">
        <f t="shared" si="1"/>
        <v>1.2996496144383816E-3</v>
      </c>
      <c r="G7" s="4">
        <v>83</v>
      </c>
      <c r="H7" s="4">
        <v>3.14</v>
      </c>
      <c r="I7" s="11">
        <v>0.3795</v>
      </c>
      <c r="J7" s="11">
        <v>0.31440000000000001</v>
      </c>
      <c r="K7" s="11">
        <v>0.41370000000000001</v>
      </c>
      <c r="L7" s="11"/>
      <c r="M7" s="11">
        <v>4.2200000000000001E-2</v>
      </c>
      <c r="N7" s="11">
        <v>0.1472</v>
      </c>
      <c r="O7" s="11"/>
      <c r="P7" s="11">
        <v>3.7233000000000002E-2</v>
      </c>
      <c r="Q7" s="4" t="s">
        <v>476</v>
      </c>
    </row>
    <row r="8" spans="1:17" ht="99.75">
      <c r="A8" s="4" t="s">
        <v>401</v>
      </c>
      <c r="B8" s="4" t="s">
        <v>450</v>
      </c>
      <c r="C8" s="10">
        <v>33398</v>
      </c>
      <c r="D8" s="11">
        <v>1</v>
      </c>
      <c r="E8" s="5">
        <f t="shared" si="0"/>
        <v>33398</v>
      </c>
      <c r="F8" s="9">
        <f t="shared" si="1"/>
        <v>7.1153382330398627E-4</v>
      </c>
      <c r="G8" s="4">
        <v>37</v>
      </c>
      <c r="H8" s="4">
        <v>1.72</v>
      </c>
      <c r="I8" s="11">
        <v>0.4214</v>
      </c>
      <c r="J8" s="11">
        <v>0.50990000000000002</v>
      </c>
      <c r="K8" s="11">
        <v>0.25619999999999998</v>
      </c>
      <c r="L8" s="11">
        <v>8.0000000000000004E-4</v>
      </c>
      <c r="M8" s="11">
        <v>1.1900000000000001E-2</v>
      </c>
      <c r="N8" s="11">
        <v>0.15579999999999999</v>
      </c>
      <c r="O8" s="11">
        <v>1.4E-3</v>
      </c>
      <c r="P8" s="11">
        <v>0.25185999999999997</v>
      </c>
      <c r="Q8" s="4" t="s">
        <v>477</v>
      </c>
    </row>
    <row r="9" spans="1:17" ht="99.75">
      <c r="A9" s="4" t="s">
        <v>402</v>
      </c>
      <c r="B9" s="4" t="s">
        <v>117</v>
      </c>
      <c r="C9" s="10">
        <v>339451</v>
      </c>
      <c r="D9" s="11">
        <v>1</v>
      </c>
      <c r="E9" s="5">
        <f t="shared" si="0"/>
        <v>339451</v>
      </c>
      <c r="F9" s="9">
        <f t="shared" si="1"/>
        <v>7.2318961570860957E-3</v>
      </c>
      <c r="G9" s="4">
        <v>163</v>
      </c>
      <c r="H9" s="4">
        <v>2.74</v>
      </c>
      <c r="I9" s="11">
        <v>0.45569999999999999</v>
      </c>
      <c r="J9" s="11">
        <v>0.43519999999999998</v>
      </c>
      <c r="K9" s="11">
        <v>0.42299999999999999</v>
      </c>
      <c r="L9" s="11"/>
      <c r="M9" s="11">
        <v>1.52E-2</v>
      </c>
      <c r="N9" s="11">
        <v>5.6399999999999999E-2</v>
      </c>
      <c r="O9" s="11">
        <v>1E-3</v>
      </c>
      <c r="P9" s="11">
        <v>7.6139999999999999E-2</v>
      </c>
      <c r="Q9" s="4" t="s">
        <v>478</v>
      </c>
    </row>
    <row r="10" spans="1:17" ht="99.75">
      <c r="A10" s="4" t="s">
        <v>403</v>
      </c>
      <c r="B10" s="4" t="s">
        <v>450</v>
      </c>
      <c r="C10" s="10">
        <v>107631</v>
      </c>
      <c r="D10" s="11">
        <v>1</v>
      </c>
      <c r="E10" s="5">
        <f t="shared" si="0"/>
        <v>107631</v>
      </c>
      <c r="F10" s="9">
        <f t="shared" si="1"/>
        <v>2.2930444019411745E-3</v>
      </c>
      <c r="G10" s="4">
        <v>29</v>
      </c>
      <c r="H10" s="4">
        <v>1.78</v>
      </c>
      <c r="I10" s="11">
        <v>0.43009999999999998</v>
      </c>
      <c r="J10" s="11">
        <v>0.15049999999999999</v>
      </c>
      <c r="K10" s="11">
        <v>0.78339999999999999</v>
      </c>
      <c r="L10" s="11">
        <v>1E-4</v>
      </c>
      <c r="M10" s="11">
        <v>1.06E-2</v>
      </c>
      <c r="N10" s="11">
        <v>3.4599999999999999E-2</v>
      </c>
      <c r="O10" s="11">
        <v>1.4E-3</v>
      </c>
      <c r="P10" s="11">
        <v>0.69731500000000002</v>
      </c>
      <c r="Q10" s="4" t="s">
        <v>479</v>
      </c>
    </row>
    <row r="11" spans="1:17" ht="99.75">
      <c r="A11" s="4" t="s">
        <v>404</v>
      </c>
      <c r="B11" s="4" t="s">
        <v>117</v>
      </c>
      <c r="C11" s="10">
        <v>1516000</v>
      </c>
      <c r="D11" s="11">
        <v>1</v>
      </c>
      <c r="E11" s="5">
        <f t="shared" si="0"/>
        <v>1516000</v>
      </c>
      <c r="F11" s="9">
        <f t="shared" si="1"/>
        <v>3.2297900357172379E-2</v>
      </c>
      <c r="G11" s="4">
        <v>98</v>
      </c>
      <c r="H11" s="4">
        <v>2.52</v>
      </c>
      <c r="I11" s="11">
        <v>0.4874</v>
      </c>
      <c r="J11" s="11">
        <v>0.22919999999999999</v>
      </c>
      <c r="K11" s="11">
        <v>0.67310000000000003</v>
      </c>
      <c r="L11" s="11">
        <v>2.0000000000000001E-4</v>
      </c>
      <c r="M11" s="11">
        <v>2.7699999999999999E-2</v>
      </c>
      <c r="N11" s="11">
        <v>4.7800000000000002E-2</v>
      </c>
      <c r="O11" s="11">
        <v>5.9999999999999995E-4</v>
      </c>
      <c r="P11" s="11">
        <v>7.4063000000000004E-2</v>
      </c>
      <c r="Q11" s="4" t="s">
        <v>480</v>
      </c>
    </row>
    <row r="12" spans="1:17" ht="99.75">
      <c r="A12" s="4" t="s">
        <v>405</v>
      </c>
      <c r="B12" s="4" t="s">
        <v>450</v>
      </c>
      <c r="C12" s="10">
        <v>149507</v>
      </c>
      <c r="D12" s="11">
        <v>1</v>
      </c>
      <c r="E12" s="5">
        <f t="shared" si="0"/>
        <v>149507</v>
      </c>
      <c r="F12" s="9">
        <f t="shared" si="1"/>
        <v>3.1851993329154163E-3</v>
      </c>
      <c r="G12" s="4">
        <v>57</v>
      </c>
      <c r="H12" s="4">
        <v>2.0499999999999998</v>
      </c>
      <c r="I12" s="11">
        <v>0.42520000000000002</v>
      </c>
      <c r="J12" s="11">
        <v>0.27429999999999999</v>
      </c>
      <c r="K12" s="11">
        <v>0.58220000000000005</v>
      </c>
      <c r="L12" s="11">
        <v>1.4800000000000001E-2</v>
      </c>
      <c r="M12" s="11">
        <v>3.1300000000000001E-2</v>
      </c>
      <c r="N12" s="11">
        <v>7.9500000000000001E-2</v>
      </c>
      <c r="O12" s="11"/>
      <c r="P12" s="11">
        <v>0.12537000000000001</v>
      </c>
      <c r="Q12" s="4" t="s">
        <v>481</v>
      </c>
    </row>
    <row r="13" spans="1:17" ht="99.75">
      <c r="A13" s="4" t="s">
        <v>406</v>
      </c>
      <c r="B13" s="4" t="s">
        <v>450</v>
      </c>
      <c r="C13" s="10">
        <v>199080</v>
      </c>
      <c r="D13" s="11">
        <v>1</v>
      </c>
      <c r="E13" s="5">
        <f t="shared" si="0"/>
        <v>199080</v>
      </c>
      <c r="F13" s="9">
        <f t="shared" si="1"/>
        <v>4.2413364136582301E-3</v>
      </c>
      <c r="G13" s="4">
        <v>94</v>
      </c>
      <c r="H13" s="4">
        <v>2</v>
      </c>
      <c r="I13" s="11">
        <v>0.39639999999999997</v>
      </c>
      <c r="J13" s="11">
        <v>0.55200000000000005</v>
      </c>
      <c r="K13" s="11">
        <v>0.3518</v>
      </c>
      <c r="L13" s="11"/>
      <c r="M13" s="11">
        <v>1.66E-2</v>
      </c>
      <c r="N13" s="11">
        <v>4.1099999999999998E-2</v>
      </c>
      <c r="O13" s="11">
        <v>5.0000000000000001E-4</v>
      </c>
      <c r="P13" s="11">
        <v>0.30958400000000003</v>
      </c>
      <c r="Q13" s="4" t="s">
        <v>482</v>
      </c>
    </row>
    <row r="14" spans="1:17" ht="128.25">
      <c r="A14" s="4" t="s">
        <v>407</v>
      </c>
      <c r="B14" s="4" t="s">
        <v>451</v>
      </c>
      <c r="C14" s="10">
        <v>92936</v>
      </c>
      <c r="D14" s="11">
        <v>1</v>
      </c>
      <c r="E14" s="5">
        <f t="shared" si="0"/>
        <v>92936</v>
      </c>
      <c r="F14" s="9">
        <f t="shared" si="1"/>
        <v>1.9799720762494542E-3</v>
      </c>
      <c r="G14" s="4">
        <v>231</v>
      </c>
      <c r="H14" s="4">
        <v>5.25</v>
      </c>
      <c r="I14" s="11">
        <v>0.41499999999999998</v>
      </c>
      <c r="J14" s="11">
        <v>0.57330000000000003</v>
      </c>
      <c r="K14" s="11">
        <v>0.20910000000000001</v>
      </c>
      <c r="L14" s="11">
        <v>1.32E-2</v>
      </c>
      <c r="M14" s="11">
        <v>3.1899999999999998E-2</v>
      </c>
      <c r="N14" s="11">
        <v>0.1072</v>
      </c>
      <c r="O14" s="11">
        <v>1.01E-2</v>
      </c>
      <c r="P14" s="11">
        <v>2.6675999999999998E-2</v>
      </c>
      <c r="Q14" s="4" t="s">
        <v>483</v>
      </c>
    </row>
    <row r="15" spans="1:17" ht="114">
      <c r="A15" s="4" t="s">
        <v>408</v>
      </c>
      <c r="B15" s="4" t="s">
        <v>117</v>
      </c>
      <c r="C15" s="10">
        <v>8497000</v>
      </c>
      <c r="D15" s="11">
        <v>1</v>
      </c>
      <c r="E15" s="5">
        <f t="shared" si="0"/>
        <v>8497000</v>
      </c>
      <c r="F15" s="9">
        <f t="shared" si="1"/>
        <v>0.18102589665890087</v>
      </c>
      <c r="G15" s="4">
        <v>226</v>
      </c>
      <c r="H15" s="4">
        <v>3.19</v>
      </c>
      <c r="I15" s="11">
        <v>0.54720000000000002</v>
      </c>
      <c r="J15" s="11">
        <v>0.68389999999999995</v>
      </c>
      <c r="K15" s="11">
        <v>0.1396</v>
      </c>
      <c r="L15" s="11">
        <v>2.0000000000000001E-4</v>
      </c>
      <c r="M15" s="11">
        <v>2.12E-2</v>
      </c>
      <c r="N15" s="11">
        <v>9.7199999999999995E-2</v>
      </c>
      <c r="O15" s="11">
        <v>1.9300000000000001E-2</v>
      </c>
      <c r="P15" s="11"/>
      <c r="Q15" s="4" t="s">
        <v>484</v>
      </c>
    </row>
    <row r="16" spans="1:17" ht="142.5">
      <c r="A16" s="4" t="s">
        <v>409</v>
      </c>
      <c r="B16" s="4" t="s">
        <v>117</v>
      </c>
      <c r="C16" s="10">
        <v>703574</v>
      </c>
      <c r="D16" s="11">
        <v>1</v>
      </c>
      <c r="E16" s="5">
        <f t="shared" si="0"/>
        <v>703574</v>
      </c>
      <c r="F16" s="9">
        <f t="shared" si="1"/>
        <v>1.498942146826992E-2</v>
      </c>
      <c r="G16" s="4">
        <v>31</v>
      </c>
      <c r="H16" s="4">
        <v>1.41</v>
      </c>
      <c r="I16" s="11">
        <v>0.65490000000000004</v>
      </c>
      <c r="J16" s="11">
        <v>0.1133</v>
      </c>
      <c r="K16" s="11">
        <v>0.5595</v>
      </c>
      <c r="L16" s="11">
        <v>0.22550000000000001</v>
      </c>
      <c r="M16" s="11">
        <v>1.5599999999999999E-2</v>
      </c>
      <c r="N16" s="11">
        <v>2.7099999999999999E-2</v>
      </c>
      <c r="O16" s="11">
        <v>3.5999999999999997E-2</v>
      </c>
      <c r="P16" s="11">
        <v>0.56520000000000004</v>
      </c>
      <c r="Q16" s="4" t="s">
        <v>485</v>
      </c>
    </row>
    <row r="17" spans="1:17" ht="99.75">
      <c r="A17" s="4" t="s">
        <v>410</v>
      </c>
      <c r="B17" s="4" t="s">
        <v>117</v>
      </c>
      <c r="C17" s="10">
        <v>784067</v>
      </c>
      <c r="D17" s="11">
        <v>1</v>
      </c>
      <c r="E17" s="5">
        <f t="shared" si="0"/>
        <v>784067</v>
      </c>
      <c r="F17" s="9">
        <f t="shared" si="1"/>
        <v>1.6704299366323928E-2</v>
      </c>
      <c r="G17" s="4">
        <v>138</v>
      </c>
      <c r="H17" s="4">
        <v>8.57</v>
      </c>
      <c r="I17" s="11">
        <v>0.42980000000000002</v>
      </c>
      <c r="J17" s="11">
        <v>0.1905</v>
      </c>
      <c r="K17" s="11">
        <v>0.73180000000000001</v>
      </c>
      <c r="L17" s="11">
        <v>7.1000000000000004E-3</v>
      </c>
      <c r="M17" s="11">
        <v>2.1999999999999999E-2</v>
      </c>
      <c r="N17" s="11">
        <v>2.76E-2</v>
      </c>
      <c r="O17" s="11">
        <v>1.1999999999999999E-3</v>
      </c>
      <c r="P17" s="11">
        <v>3.6944999999999999E-2</v>
      </c>
      <c r="Q17" s="4" t="s">
        <v>486</v>
      </c>
    </row>
    <row r="18" spans="1:17" ht="99.75">
      <c r="A18" s="4" t="s">
        <v>411</v>
      </c>
      <c r="B18" s="4" t="s">
        <v>451</v>
      </c>
      <c r="C18" s="10">
        <v>27510000</v>
      </c>
      <c r="D18" s="11">
        <v>1</v>
      </c>
      <c r="E18" s="5">
        <f t="shared" si="0"/>
        <v>27510000</v>
      </c>
      <c r="F18" s="9">
        <f t="shared" si="1"/>
        <v>0.58609184619116894</v>
      </c>
      <c r="G18" s="4">
        <v>200</v>
      </c>
      <c r="H18" s="4">
        <v>2.97</v>
      </c>
      <c r="I18" s="11">
        <v>0.50029999999999997</v>
      </c>
      <c r="J18" s="11">
        <v>0.65720000000000001</v>
      </c>
      <c r="K18" s="11">
        <v>0.122</v>
      </c>
      <c r="L18" s="11">
        <v>6.4999999999999997E-3</v>
      </c>
      <c r="M18" s="11">
        <v>8.5300000000000001E-2</v>
      </c>
      <c r="N18" s="11">
        <v>7.8399999999999997E-2</v>
      </c>
      <c r="O18" s="11">
        <v>4.1000000000000003E-3</v>
      </c>
      <c r="P18" s="11">
        <v>9.6375000000000002E-2</v>
      </c>
      <c r="Q18" s="4" t="s">
        <v>487</v>
      </c>
    </row>
    <row r="19" spans="1:17" ht="99.75">
      <c r="A19" s="4" t="s">
        <v>412</v>
      </c>
      <c r="B19" s="4" t="s">
        <v>117</v>
      </c>
      <c r="C19" s="10">
        <v>4253000</v>
      </c>
      <c r="D19" s="11">
        <v>1</v>
      </c>
      <c r="E19" s="5">
        <f t="shared" si="0"/>
        <v>4253000</v>
      </c>
      <c r="F19" s="9">
        <f t="shared" si="1"/>
        <v>9.0608819405708529E-2</v>
      </c>
      <c r="G19" s="4">
        <v>75</v>
      </c>
      <c r="H19" s="4">
        <v>2.0099999999999998</v>
      </c>
      <c r="I19" s="11">
        <v>0.7107</v>
      </c>
      <c r="J19" s="11">
        <v>0.66059999999999997</v>
      </c>
      <c r="K19" s="11">
        <v>0.23780000000000001</v>
      </c>
      <c r="L19" s="11">
        <v>5.0000000000000001E-4</v>
      </c>
      <c r="M19" s="11">
        <v>3.04E-2</v>
      </c>
      <c r="N19" s="11">
        <v>3.3300000000000003E-2</v>
      </c>
      <c r="O19" s="11">
        <v>1.5E-3</v>
      </c>
      <c r="P19" s="11">
        <v>0.21685299999999999</v>
      </c>
      <c r="Q19" s="4" t="s">
        <v>488</v>
      </c>
    </row>
    <row r="20" spans="1:17" ht="99.75">
      <c r="A20" s="4" t="s">
        <v>413</v>
      </c>
      <c r="B20" s="4" t="s">
        <v>117</v>
      </c>
      <c r="C20" s="10">
        <v>655207</v>
      </c>
      <c r="D20" s="11">
        <v>1</v>
      </c>
      <c r="E20" s="5">
        <f t="shared" si="0"/>
        <v>655207</v>
      </c>
      <c r="F20" s="9">
        <f t="shared" si="1"/>
        <v>1.3958977835964276E-2</v>
      </c>
      <c r="G20" s="4">
        <v>194</v>
      </c>
      <c r="H20" s="4">
        <v>2.68</v>
      </c>
      <c r="I20" s="11">
        <v>0.46820000000000001</v>
      </c>
      <c r="J20" s="11">
        <v>0.61729999999999996</v>
      </c>
      <c r="K20" s="11">
        <v>0.18779999999999999</v>
      </c>
      <c r="L20" s="11">
        <v>2.0000000000000001E-4</v>
      </c>
      <c r="M20" s="11">
        <v>5.4399999999999997E-2</v>
      </c>
      <c r="N20" s="11">
        <v>7.0599999999999996E-2</v>
      </c>
      <c r="O20" s="11">
        <v>2.5999999999999999E-3</v>
      </c>
      <c r="P20" s="11">
        <v>0.10340000000000001</v>
      </c>
      <c r="Q20" s="4" t="s">
        <v>489</v>
      </c>
    </row>
    <row r="21" spans="1:17" ht="128.25">
      <c r="A21" s="4" t="s">
        <v>414</v>
      </c>
      <c r="B21" s="4" t="s">
        <v>117</v>
      </c>
      <c r="C21" s="10">
        <v>123677</v>
      </c>
      <c r="D21" s="11">
        <v>1</v>
      </c>
      <c r="E21" s="5">
        <f t="shared" si="0"/>
        <v>123677</v>
      </c>
      <c r="F21" s="9">
        <f t="shared" si="1"/>
        <v>2.6348993551939368E-3</v>
      </c>
      <c r="G21" s="4">
        <v>79</v>
      </c>
      <c r="H21" s="4">
        <v>2.52</v>
      </c>
      <c r="I21" s="11">
        <v>0.42949999999999999</v>
      </c>
      <c r="J21" s="11"/>
      <c r="K21" s="11"/>
      <c r="L21" s="11"/>
      <c r="M21" s="11"/>
      <c r="N21" s="11"/>
      <c r="O21" s="11"/>
      <c r="P21" s="11"/>
      <c r="Q21" s="4" t="s">
        <v>490</v>
      </c>
    </row>
    <row r="22" spans="1:17" ht="171">
      <c r="A22" s="4" t="s">
        <v>415</v>
      </c>
      <c r="B22" s="4" t="s">
        <v>117</v>
      </c>
      <c r="C22" s="10">
        <v>727666.7</v>
      </c>
      <c r="D22" s="11">
        <v>1</v>
      </c>
      <c r="E22" s="5">
        <f t="shared" si="0"/>
        <v>727666.7</v>
      </c>
      <c r="F22" s="9">
        <f t="shared" si="1"/>
        <v>1.5502708819150689E-2</v>
      </c>
      <c r="G22" s="4"/>
      <c r="H22" s="4"/>
      <c r="I22" s="11"/>
      <c r="J22" s="11"/>
      <c r="K22" s="11"/>
      <c r="L22" s="11"/>
      <c r="M22" s="11"/>
      <c r="N22" s="11"/>
      <c r="O22" s="11"/>
      <c r="P22" s="11"/>
      <c r="Q22" s="4" t="s">
        <v>491</v>
      </c>
    </row>
    <row r="23" spans="1:17">
      <c r="A23" s="4"/>
      <c r="B23" s="4"/>
      <c r="C23" s="10"/>
      <c r="D23" s="11"/>
      <c r="E23" s="5">
        <f t="shared" si="0"/>
        <v>0</v>
      </c>
      <c r="F23" s="9">
        <f t="shared" si="1"/>
        <v>0</v>
      </c>
      <c r="G23" s="4"/>
      <c r="H23" s="4"/>
      <c r="I23" s="11"/>
      <c r="J23" s="11"/>
      <c r="K23" s="11"/>
      <c r="L23" s="11"/>
      <c r="M23" s="11"/>
      <c r="N23" s="11"/>
      <c r="O23" s="11"/>
      <c r="P23" s="11"/>
      <c r="Q23" s="4"/>
    </row>
    <row r="24" spans="1:17">
      <c r="A24" s="4"/>
      <c r="B24" s="4"/>
      <c r="C24" s="10"/>
      <c r="D24" s="11"/>
      <c r="E24" s="5">
        <f t="shared" si="0"/>
        <v>0</v>
      </c>
      <c r="F24" s="9">
        <f t="shared" si="1"/>
        <v>0</v>
      </c>
      <c r="G24" s="4"/>
      <c r="H24" s="4"/>
      <c r="I24" s="11"/>
      <c r="J24" s="11"/>
      <c r="K24" s="11"/>
      <c r="L24" s="11"/>
      <c r="M24" s="11"/>
      <c r="N24" s="11"/>
      <c r="O24" s="11"/>
      <c r="P24" s="11"/>
      <c r="Q24" s="4"/>
    </row>
    <row r="25" spans="1:17">
      <c r="A25" s="4"/>
      <c r="B25" s="4"/>
      <c r="C25" s="10"/>
      <c r="D25" s="11"/>
      <c r="E25" s="5">
        <f t="shared" si="0"/>
        <v>0</v>
      </c>
      <c r="F25" s="9">
        <f t="shared" si="1"/>
        <v>0</v>
      </c>
      <c r="G25" s="4"/>
      <c r="H25" s="4"/>
      <c r="I25" s="11"/>
      <c r="J25" s="11"/>
      <c r="K25" s="11"/>
      <c r="L25" s="11"/>
      <c r="M25" s="11"/>
      <c r="N25" s="11"/>
      <c r="O25" s="11"/>
      <c r="P25" s="11"/>
      <c r="Q25" s="4"/>
    </row>
    <row r="26" spans="1:17">
      <c r="A26" s="4"/>
      <c r="B26" s="4"/>
      <c r="C26" s="10"/>
      <c r="D26" s="11"/>
      <c r="E26" s="5">
        <f t="shared" si="0"/>
        <v>0</v>
      </c>
      <c r="F26" s="9">
        <f t="shared" si="1"/>
        <v>0</v>
      </c>
      <c r="G26" s="4"/>
      <c r="H26" s="4"/>
      <c r="I26" s="11"/>
      <c r="J26" s="11"/>
      <c r="K26" s="11"/>
      <c r="L26" s="11"/>
      <c r="M26" s="11"/>
      <c r="N26" s="11"/>
      <c r="O26" s="11"/>
      <c r="P26" s="11"/>
      <c r="Q26" s="4"/>
    </row>
    <row r="27" spans="1:17">
      <c r="A27" s="4"/>
      <c r="B27" s="4"/>
      <c r="C27" s="10"/>
      <c r="D27" s="11"/>
      <c r="E27" s="5">
        <f t="shared" si="0"/>
        <v>0</v>
      </c>
      <c r="F27" s="9">
        <f t="shared" si="1"/>
        <v>0</v>
      </c>
      <c r="G27" s="4"/>
      <c r="H27" s="4"/>
      <c r="I27" s="11"/>
      <c r="J27" s="11"/>
      <c r="K27" s="11"/>
      <c r="L27" s="11"/>
      <c r="M27" s="11"/>
      <c r="N27" s="11"/>
      <c r="O27" s="11"/>
      <c r="P27" s="11"/>
      <c r="Q27" s="4"/>
    </row>
    <row r="28" spans="1:17">
      <c r="A28" s="4"/>
      <c r="B28" s="4"/>
      <c r="C28" s="10"/>
      <c r="D28" s="11"/>
      <c r="E28" s="5">
        <f t="shared" si="0"/>
        <v>0</v>
      </c>
      <c r="F28" s="9">
        <f t="shared" si="1"/>
        <v>0</v>
      </c>
      <c r="G28" s="4"/>
      <c r="H28" s="4"/>
      <c r="I28" s="11"/>
      <c r="J28" s="11"/>
      <c r="K28" s="11"/>
      <c r="L28" s="11"/>
      <c r="M28" s="11"/>
      <c r="N28" s="11"/>
      <c r="O28" s="11"/>
      <c r="P28" s="11"/>
      <c r="Q28" s="4"/>
    </row>
    <row r="29" spans="1:17">
      <c r="A29" s="4"/>
      <c r="B29" s="4"/>
      <c r="C29" s="10"/>
      <c r="D29" s="11"/>
      <c r="E29" s="5">
        <f t="shared" si="0"/>
        <v>0</v>
      </c>
      <c r="F29" s="9">
        <f t="shared" si="1"/>
        <v>0</v>
      </c>
      <c r="G29" s="4"/>
      <c r="H29" s="4"/>
      <c r="I29" s="11"/>
      <c r="J29" s="11"/>
      <c r="K29" s="11"/>
      <c r="L29" s="11"/>
      <c r="M29" s="11"/>
      <c r="N29" s="11"/>
      <c r="O29" s="11"/>
      <c r="P29" s="11"/>
      <c r="Q29" s="4"/>
    </row>
    <row r="30" spans="1:17">
      <c r="A30" s="4"/>
      <c r="B30" s="4"/>
      <c r="C30" s="10"/>
      <c r="D30" s="11"/>
      <c r="E30" s="5">
        <f t="shared" si="0"/>
        <v>0</v>
      </c>
      <c r="F30" s="9">
        <f t="shared" si="1"/>
        <v>0</v>
      </c>
      <c r="G30" s="4"/>
      <c r="H30" s="4"/>
      <c r="I30" s="11"/>
      <c r="J30" s="11"/>
      <c r="K30" s="11"/>
      <c r="L30" s="11"/>
      <c r="M30" s="11"/>
      <c r="N30" s="11"/>
      <c r="O30" s="11"/>
      <c r="P30" s="11"/>
      <c r="Q30" s="4"/>
    </row>
    <row r="31" spans="1:17">
      <c r="A31" s="4"/>
      <c r="B31" s="4"/>
      <c r="C31" s="10"/>
      <c r="D31" s="11"/>
      <c r="E31" s="5">
        <f t="shared" si="0"/>
        <v>0</v>
      </c>
      <c r="F31" s="9">
        <f t="shared" si="1"/>
        <v>0</v>
      </c>
      <c r="G31" s="4"/>
      <c r="H31" s="4"/>
      <c r="I31" s="11"/>
      <c r="J31" s="11"/>
      <c r="K31" s="11"/>
      <c r="L31" s="11"/>
      <c r="M31" s="11"/>
      <c r="N31" s="11"/>
      <c r="O31" s="11"/>
      <c r="P31" s="11"/>
      <c r="Q31" s="4"/>
    </row>
    <row r="32" spans="1:17">
      <c r="A32" s="4"/>
      <c r="B32" s="4"/>
      <c r="C32" s="10"/>
      <c r="D32" s="11"/>
      <c r="E32" s="5">
        <f t="shared" si="0"/>
        <v>0</v>
      </c>
      <c r="F32" s="9">
        <f t="shared" si="1"/>
        <v>0</v>
      </c>
      <c r="G32" s="4"/>
      <c r="H32" s="4"/>
      <c r="I32" s="11"/>
      <c r="J32" s="11"/>
      <c r="K32" s="11"/>
      <c r="L32" s="11"/>
      <c r="M32" s="11"/>
      <c r="N32" s="11"/>
      <c r="O32" s="11"/>
      <c r="P32" s="11"/>
      <c r="Q32" s="4"/>
    </row>
    <row r="33" spans="1:17">
      <c r="A33" s="4"/>
      <c r="B33" s="4"/>
      <c r="C33" s="10"/>
      <c r="D33" s="11"/>
      <c r="E33" s="5">
        <f t="shared" si="0"/>
        <v>0</v>
      </c>
      <c r="F33" s="9">
        <f t="shared" si="1"/>
        <v>0</v>
      </c>
      <c r="G33" s="4"/>
      <c r="H33" s="4"/>
      <c r="I33" s="11"/>
      <c r="J33" s="11"/>
      <c r="K33" s="11"/>
      <c r="L33" s="11"/>
      <c r="M33" s="11"/>
      <c r="N33" s="11"/>
      <c r="O33" s="11"/>
      <c r="P33" s="11"/>
      <c r="Q33" s="4"/>
    </row>
    <row r="36" spans="1:17" ht="33.950000000000003" customHeight="1">
      <c r="A36" s="1" t="s">
        <v>118</v>
      </c>
      <c r="B36" s="1" t="s">
        <v>119</v>
      </c>
      <c r="C36" s="1" t="s">
        <v>120</v>
      </c>
    </row>
    <row r="37" spans="1:17" ht="57">
      <c r="A37" s="2" t="s">
        <v>76</v>
      </c>
      <c r="B37" s="7">
        <f>SUM(E4:E33)</f>
        <v>46938035.700000003</v>
      </c>
      <c r="C37" s="2" t="s">
        <v>121</v>
      </c>
    </row>
    <row r="38" spans="1:17" ht="42.75">
      <c r="A38" s="2" t="s">
        <v>122</v>
      </c>
      <c r="B38" s="8">
        <f>LARGE(F4:F33,1)+LARGE(F4:F33,2)+LARGE(F4:F33,3)</f>
        <v>0.85772656225577837</v>
      </c>
      <c r="C38" s="2" t="s">
        <v>123</v>
      </c>
    </row>
    <row r="39" spans="1:17" ht="42.75">
      <c r="A39" s="2" t="s">
        <v>124</v>
      </c>
      <c r="B39" s="8">
        <f>LARGE(F4:F33,1)+LARGE(F4:F33,2)+LARGE(F4:F33,3)+LARGE(F4:F33,4)+LARGE(F4:F33,5)</f>
        <v>0.90672876197927466</v>
      </c>
      <c r="C39" s="2" t="s">
        <v>125</v>
      </c>
    </row>
    <row r="40" spans="1:17" ht="71.25">
      <c r="A40" s="2" t="s">
        <v>126</v>
      </c>
      <c r="B40" s="14">
        <f>SUMSQ(F4:F33)*10000</f>
        <v>3869.0205006645256</v>
      </c>
      <c r="C40" s="2" t="s">
        <v>127</v>
      </c>
    </row>
    <row r="41" spans="1:17" ht="42.75">
      <c r="A41" s="2" t="s">
        <v>128</v>
      </c>
      <c r="B41" s="14">
        <f>IFERROR(SUMPRODUCT(E4:E33,G4:G33)/SUM(E4:E33),0)</f>
        <v>180.57043556682112</v>
      </c>
      <c r="C41" s="2" t="s">
        <v>129</v>
      </c>
    </row>
  </sheetData>
  <mergeCells count="2">
    <mergeCell ref="A1:Q1"/>
    <mergeCell ref="A2:Q2"/>
  </mergeCells>
  <dataValidations count="1">
    <dataValidation type="list" sqref="B4:B33" xr:uid="{00000000-0002-0000-0200-000000000000}">
      <formula1>"агентство,нишевый специалист,рекламный подрядчик,консалтинг,платформа услуг,обучающий заменитель,цифровой сервис,маркетплейс,другое"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"/>
  <sheetViews>
    <sheetView workbookViewId="0"/>
  </sheetViews>
  <sheetFormatPr defaultRowHeight="14.25"/>
  <cols>
    <col min="1" max="1" width="22" customWidth="1"/>
    <col min="2" max="2" width="28" customWidth="1"/>
    <col min="3" max="4" width="18" customWidth="1"/>
    <col min="5" max="5" width="16" customWidth="1"/>
    <col min="6" max="6" width="34" customWidth="1"/>
    <col min="7" max="7" width="38" customWidth="1"/>
    <col min="8" max="8" width="36" customWidth="1"/>
    <col min="9" max="9" width="28" customWidth="1"/>
  </cols>
  <sheetData>
    <row r="1" spans="1:9" ht="30" customHeight="1">
      <c r="A1" s="25" t="s">
        <v>130</v>
      </c>
      <c r="B1" s="25"/>
      <c r="C1" s="25"/>
      <c r="D1" s="25"/>
      <c r="E1" s="25"/>
      <c r="F1" s="25"/>
      <c r="G1" s="25"/>
      <c r="H1" s="25"/>
      <c r="I1" s="25"/>
    </row>
    <row r="2" spans="1:9" ht="32.1" customHeight="1">
      <c r="A2" s="26" t="s">
        <v>131</v>
      </c>
      <c r="B2" s="26"/>
      <c r="C2" s="26"/>
      <c r="D2" s="26"/>
      <c r="E2" s="26"/>
      <c r="F2" s="26"/>
      <c r="G2" s="26"/>
      <c r="H2" s="26"/>
      <c r="I2" s="26"/>
    </row>
    <row r="3" spans="1:9" ht="33.950000000000003" customHeight="1">
      <c r="A3" s="1" t="s">
        <v>132</v>
      </c>
      <c r="B3" s="1" t="s">
        <v>133</v>
      </c>
      <c r="C3" s="1" t="s">
        <v>134</v>
      </c>
      <c r="D3" s="1" t="s">
        <v>135</v>
      </c>
      <c r="E3" s="1" t="s">
        <v>136</v>
      </c>
      <c r="F3" s="1" t="s">
        <v>120</v>
      </c>
      <c r="G3" s="1" t="s">
        <v>137</v>
      </c>
      <c r="H3" s="1" t="s">
        <v>138</v>
      </c>
      <c r="I3" s="1" t="s">
        <v>139</v>
      </c>
    </row>
    <row r="4" spans="1:9" ht="28.5">
      <c r="A4" s="2" t="s">
        <v>110</v>
      </c>
      <c r="B4" s="2" t="s">
        <v>140</v>
      </c>
      <c r="C4" s="9">
        <f>IFERROR(SUMPRODUCT('02_Конкуренты_SW'!$E$4:$E$33,'02_Конкуренты_SW'!$J$4:$J$33)/SUM('02_Конкуренты_SW'!$E$4:$E$33),0)</f>
        <v>0.60647195653311081</v>
      </c>
      <c r="D4" s="9">
        <v>0.3</v>
      </c>
      <c r="E4" s="15">
        <f t="shared" ref="E4:E10" si="0">IF(C4&gt;=D4,5,IF(C4&gt;=D4*0.65,3,1))</f>
        <v>5</v>
      </c>
      <c r="F4" s="2" t="s">
        <v>141</v>
      </c>
      <c r="G4" s="2" t="s">
        <v>142</v>
      </c>
      <c r="H4" s="2" t="s">
        <v>143</v>
      </c>
      <c r="I4" s="2" t="s">
        <v>144</v>
      </c>
    </row>
    <row r="5" spans="1:9" ht="28.5">
      <c r="A5" s="2" t="s">
        <v>145</v>
      </c>
      <c r="B5" s="2" t="s">
        <v>146</v>
      </c>
      <c r="C5" s="9">
        <f>IFERROR(SUMPRODUCT('02_Конкуренты_SW'!$E$4:$E$33,'02_Конкуренты_SW'!$K$4:$K$33)/SUM('02_Конкуренты_SW'!$E$4:$E$33),0)</f>
        <v>0.1856149238345737</v>
      </c>
      <c r="D5" s="9">
        <f>'01_Параметры'!B15</f>
        <v>0.45</v>
      </c>
      <c r="E5" s="15">
        <f t="shared" si="0"/>
        <v>1</v>
      </c>
      <c r="F5" s="2" t="s">
        <v>147</v>
      </c>
      <c r="G5" s="2" t="s">
        <v>148</v>
      </c>
      <c r="H5" s="2" t="s">
        <v>149</v>
      </c>
      <c r="I5" s="2" t="s">
        <v>150</v>
      </c>
    </row>
    <row r="6" spans="1:9" ht="28.5">
      <c r="A6" s="2" t="s">
        <v>112</v>
      </c>
      <c r="B6" s="2" t="s">
        <v>151</v>
      </c>
      <c r="C6" s="9">
        <f>IFERROR(SUMPRODUCT('02_Конкуренты_SW'!$E$4:$E$33,'02_Конкуренты_SW'!$L$4:$L$33)/SUM('02_Конкуренты_SW'!$E$4:$E$33),0)</f>
        <v>7.4749661072842895E-3</v>
      </c>
      <c r="D6" s="9">
        <f>'01_Параметры'!B14</f>
        <v>0.2</v>
      </c>
      <c r="E6" s="15">
        <f t="shared" si="0"/>
        <v>1</v>
      </c>
      <c r="F6" s="2" t="s">
        <v>152</v>
      </c>
      <c r="G6" s="2" t="s">
        <v>153</v>
      </c>
      <c r="H6" s="2" t="s">
        <v>154</v>
      </c>
      <c r="I6" s="2" t="s">
        <v>155</v>
      </c>
    </row>
    <row r="7" spans="1:9" ht="28.5">
      <c r="A7" s="2" t="s">
        <v>156</v>
      </c>
      <c r="B7" s="2" t="s">
        <v>157</v>
      </c>
      <c r="C7" s="9">
        <f>IFERROR(SUMPRODUCT('02_Конкуренты_SW'!$E$4:$E$33,'02_Конкуренты_SW'!$M$4:$M$33)/SUM('02_Конкуренты_SW'!$E$4:$E$33),0)</f>
        <v>5.9965633849479547E-2</v>
      </c>
      <c r="D7" s="9">
        <v>0.2</v>
      </c>
      <c r="E7" s="15">
        <f t="shared" si="0"/>
        <v>1</v>
      </c>
      <c r="F7" s="2" t="s">
        <v>158</v>
      </c>
      <c r="G7" s="2" t="s">
        <v>159</v>
      </c>
      <c r="H7" s="2" t="s">
        <v>160</v>
      </c>
      <c r="I7" s="2" t="s">
        <v>161</v>
      </c>
    </row>
    <row r="8" spans="1:9" ht="28.5">
      <c r="A8" s="2" t="s">
        <v>162</v>
      </c>
      <c r="B8" s="2" t="s">
        <v>163</v>
      </c>
      <c r="C8" s="9">
        <f>IFERROR(SUMPRODUCT('02_Конкуренты_SW'!$E$4:$E$33,'02_Конкуренты_SW'!$N$4:$N$33)/SUM('02_Конкуренты_SW'!$E$4:$E$33),0)</f>
        <v>7.3881268154559782E-2</v>
      </c>
      <c r="D8" s="9">
        <v>0.15</v>
      </c>
      <c r="E8" s="15">
        <f t="shared" si="0"/>
        <v>1</v>
      </c>
      <c r="F8" s="2" t="s">
        <v>164</v>
      </c>
      <c r="G8" s="2" t="s">
        <v>165</v>
      </c>
      <c r="H8" s="2" t="s">
        <v>166</v>
      </c>
      <c r="I8" s="2" t="s">
        <v>167</v>
      </c>
    </row>
    <row r="9" spans="1:9" ht="28.5">
      <c r="A9" s="2" t="s">
        <v>115</v>
      </c>
      <c r="B9" s="2" t="s">
        <v>168</v>
      </c>
      <c r="C9" s="9">
        <f>IFERROR(SUMPRODUCT('02_Конкуренты_SW'!$E$4:$E$33,'02_Конкуренты_SW'!$O$4:$O$33)/SUM('02_Конкуренты_SW'!$E$4:$E$33),0)</f>
        <v>6.6980436209434311E-3</v>
      </c>
      <c r="D9" s="9">
        <v>0.1</v>
      </c>
      <c r="E9" s="15">
        <f t="shared" si="0"/>
        <v>1</v>
      </c>
      <c r="F9" s="2" t="s">
        <v>169</v>
      </c>
      <c r="G9" s="2" t="s">
        <v>170</v>
      </c>
      <c r="H9" s="2" t="s">
        <v>171</v>
      </c>
      <c r="I9" s="2" t="s">
        <v>172</v>
      </c>
    </row>
    <row r="10" spans="1:9" ht="28.5">
      <c r="A10" s="2" t="s">
        <v>173</v>
      </c>
      <c r="B10" s="2" t="s">
        <v>174</v>
      </c>
      <c r="C10" s="9">
        <f>IFERROR(SUMPRODUCT('02_Конкуренты_SW'!$E$4:$E$33,('02_Конкуренты_SW'!$J$4:$J$33+'02_Конкуренты_SW'!$P$4:$P$33))/SUM('02_Конкуренты_SW'!$E$4:$E$33),0)</f>
        <v>0.70644796938573218</v>
      </c>
      <c r="D10" s="9">
        <f>'01_Параметры'!B16</f>
        <v>0.5</v>
      </c>
      <c r="E10" s="15">
        <f t="shared" si="0"/>
        <v>5</v>
      </c>
      <c r="F10" s="2" t="s">
        <v>175</v>
      </c>
      <c r="G10" s="2" t="s">
        <v>176</v>
      </c>
      <c r="H10" s="2" t="s">
        <v>177</v>
      </c>
      <c r="I10" s="2" t="s">
        <v>178</v>
      </c>
    </row>
  </sheetData>
  <mergeCells count="2">
    <mergeCell ref="A1:I1"/>
    <mergeCell ref="A2:I2"/>
  </mergeCells>
  <conditionalFormatting sqref="E4:E10">
    <cfRule type="colorScale" priority="1">
      <colorScale>
        <cfvo type="min"/>
        <cfvo type="percentile" val="50"/>
        <cfvo type="max"/>
        <color rgb="FFD9EAD3"/>
        <color rgb="FFFFF2CC"/>
        <color rgb="FFF4CCCC"/>
      </colorScale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9"/>
  <sheetViews>
    <sheetView workbookViewId="0"/>
  </sheetViews>
  <sheetFormatPr defaultRowHeight="14.25"/>
  <cols>
    <col min="1" max="1" width="28" customWidth="1"/>
    <col min="2" max="2" width="18" customWidth="1"/>
    <col min="3" max="3" width="26" customWidth="1"/>
    <col min="4" max="4" width="16" customWidth="1"/>
    <col min="5" max="5" width="14" customWidth="1"/>
    <col min="6" max="7" width="16" customWidth="1"/>
    <col min="8" max="10" width="18" customWidth="1"/>
    <col min="11" max="12" width="16" customWidth="1"/>
    <col min="13" max="13" width="28" customWidth="1"/>
  </cols>
  <sheetData>
    <row r="1" spans="1:13" ht="30" customHeight="1">
      <c r="A1" s="25" t="s">
        <v>179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2" spans="1:13" ht="32.1" customHeight="1">
      <c r="A2" s="26" t="s">
        <v>180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spans="1:13" ht="33.950000000000003" customHeight="1">
      <c r="A3" s="1" t="s">
        <v>181</v>
      </c>
      <c r="B3" s="1" t="s">
        <v>182</v>
      </c>
      <c r="C3" s="1" t="s">
        <v>139</v>
      </c>
      <c r="D3" s="1" t="s">
        <v>183</v>
      </c>
      <c r="E3" s="1" t="s">
        <v>184</v>
      </c>
      <c r="F3" s="1" t="s">
        <v>185</v>
      </c>
      <c r="G3" s="1" t="s">
        <v>186</v>
      </c>
      <c r="H3" s="1" t="s">
        <v>187</v>
      </c>
      <c r="I3" s="1" t="s">
        <v>188</v>
      </c>
      <c r="J3" s="1" t="s">
        <v>189</v>
      </c>
      <c r="K3" s="1" t="s">
        <v>190</v>
      </c>
      <c r="L3" s="1" t="s">
        <v>136</v>
      </c>
      <c r="M3" s="1" t="s">
        <v>60</v>
      </c>
    </row>
    <row r="4" spans="1:13" ht="171">
      <c r="A4" s="4" t="s">
        <v>416</v>
      </c>
      <c r="B4" s="4" t="s">
        <v>452</v>
      </c>
      <c r="C4" s="4" t="s">
        <v>453</v>
      </c>
      <c r="D4" s="10">
        <v>652</v>
      </c>
      <c r="E4" s="16">
        <v>0.3</v>
      </c>
      <c r="F4" s="16">
        <v>0.15</v>
      </c>
      <c r="G4" s="17">
        <v>45</v>
      </c>
      <c r="H4" s="4">
        <v>10</v>
      </c>
      <c r="I4" s="4">
        <v>2</v>
      </c>
      <c r="J4" s="4">
        <v>2</v>
      </c>
      <c r="K4" s="9">
        <f>MIN(1,AVERAGE(MIN(E4/2,1),F4,G4/100,MIN(H4/10,1),MIN(J4/50,1)))</f>
        <v>0.35799999999999998</v>
      </c>
      <c r="L4" s="18">
        <f>IF(K4&gt;=0.7,5,IF(K4&gt;=0.4,3,1))</f>
        <v>1</v>
      </c>
      <c r="M4" s="2" t="s">
        <v>497</v>
      </c>
    </row>
    <row r="5" spans="1:13" ht="71.25">
      <c r="A5" s="4" t="s">
        <v>417</v>
      </c>
      <c r="B5" s="4" t="s">
        <v>452</v>
      </c>
      <c r="C5" s="4" t="s">
        <v>453</v>
      </c>
      <c r="D5" s="10">
        <v>473</v>
      </c>
      <c r="E5" s="16">
        <v>0.45</v>
      </c>
      <c r="F5" s="16">
        <v>0.2</v>
      </c>
      <c r="G5" s="17">
        <v>38</v>
      </c>
      <c r="H5" s="4">
        <v>10</v>
      </c>
      <c r="I5" s="4">
        <v>1</v>
      </c>
      <c r="J5" s="4">
        <v>1</v>
      </c>
      <c r="K5" s="9">
        <f>MIN(1,AVERAGE(MIN(E5/2,1),F5,G5/100,MIN(H5/10,1),MIN(J5/50,1)))</f>
        <v>0.36500000000000005</v>
      </c>
      <c r="L5" s="18">
        <f>IF(K5&gt;=0.7,5,IF(K5&gt;=0.4,3,1))</f>
        <v>1</v>
      </c>
      <c r="M5" s="2" t="s">
        <v>498</v>
      </c>
    </row>
    <row r="6" spans="1:13" ht="142.5">
      <c r="A6" s="4" t="s">
        <v>418</v>
      </c>
      <c r="B6" s="4" t="s">
        <v>454</v>
      </c>
      <c r="C6" s="4" t="s">
        <v>453</v>
      </c>
      <c r="D6" s="10">
        <v>200</v>
      </c>
      <c r="E6" s="16">
        <v>1.24</v>
      </c>
      <c r="F6" s="16">
        <v>0.1</v>
      </c>
      <c r="G6" s="17">
        <v>25</v>
      </c>
      <c r="H6" s="4">
        <v>10</v>
      </c>
      <c r="I6" s="4">
        <v>0</v>
      </c>
      <c r="J6" s="4">
        <v>0</v>
      </c>
      <c r="K6" s="9">
        <f>MIN(1,AVERAGE(MIN(E6/2,1),F6,G6/100,MIN(H6/10,1),MIN(J6/50,1)))</f>
        <v>0.39400000000000002</v>
      </c>
      <c r="L6" s="18">
        <f>IF(K6&gt;=0.7,5,IF(K6&gt;=0.4,3,1))</f>
        <v>1</v>
      </c>
      <c r="M6" s="2" t="s">
        <v>499</v>
      </c>
    </row>
    <row r="7" spans="1:13" ht="99.75">
      <c r="A7" s="4" t="s">
        <v>419</v>
      </c>
      <c r="B7" s="4" t="s">
        <v>452</v>
      </c>
      <c r="C7" s="4" t="s">
        <v>453</v>
      </c>
      <c r="D7" s="10">
        <v>101</v>
      </c>
      <c r="E7" s="16">
        <v>0.25</v>
      </c>
      <c r="F7" s="16">
        <v>0.05</v>
      </c>
      <c r="G7" s="17">
        <v>20</v>
      </c>
      <c r="H7" s="4">
        <v>10</v>
      </c>
      <c r="I7" s="4">
        <v>0</v>
      </c>
      <c r="J7" s="4">
        <v>0</v>
      </c>
      <c r="K7" s="9">
        <f>MIN(1,AVERAGE(MIN(E7/2,1),F7,G7/100,MIN(H7/10,1),MIN(J7/50,1)))</f>
        <v>0.27500000000000002</v>
      </c>
      <c r="L7" s="18">
        <f>IF(K7&gt;=0.7,5,IF(K7&gt;=0.4,3,1))</f>
        <v>1</v>
      </c>
      <c r="M7" s="2" t="s">
        <v>500</v>
      </c>
    </row>
    <row r="8" spans="1:13" ht="57">
      <c r="A8" s="4" t="s">
        <v>420</v>
      </c>
      <c r="B8" s="4" t="s">
        <v>452</v>
      </c>
      <c r="C8" s="4" t="s">
        <v>453</v>
      </c>
      <c r="D8" s="10">
        <v>28</v>
      </c>
      <c r="E8" s="16">
        <v>0.35</v>
      </c>
      <c r="F8" s="16">
        <v>0.12</v>
      </c>
      <c r="G8" s="17">
        <v>30</v>
      </c>
      <c r="H8" s="4">
        <v>10</v>
      </c>
      <c r="I8" s="4">
        <v>1</v>
      </c>
      <c r="J8" s="4">
        <v>1</v>
      </c>
      <c r="K8" s="9">
        <f>MIN(1,AVERAGE(MIN(E8/2,1),F8,G8/100,MIN(H8/10,1),MIN(J8/50,1)))</f>
        <v>0.32300000000000001</v>
      </c>
      <c r="L8" s="18">
        <f>IF(K8&gt;=0.7,5,IF(K8&gt;=0.4,3,1))</f>
        <v>1</v>
      </c>
      <c r="M8" s="2" t="s">
        <v>501</v>
      </c>
    </row>
    <row r="9" spans="1:13" ht="57">
      <c r="A9" s="4" t="s">
        <v>421</v>
      </c>
      <c r="B9" s="4" t="s">
        <v>452</v>
      </c>
      <c r="C9" s="4" t="s">
        <v>453</v>
      </c>
      <c r="D9" s="10">
        <v>25</v>
      </c>
      <c r="E9" s="16">
        <v>0.35</v>
      </c>
      <c r="F9" s="16">
        <v>0.12</v>
      </c>
      <c r="G9" s="17">
        <v>35</v>
      </c>
      <c r="H9" s="4">
        <v>10</v>
      </c>
      <c r="I9" s="4">
        <v>1</v>
      </c>
      <c r="J9" s="4">
        <v>1</v>
      </c>
      <c r="K9" s="9">
        <f>MIN(1,AVERAGE(MIN(E9/2,1),F9,G9/100,MIN(H9/10,1),MIN(J9/50,1)))</f>
        <v>0.33300000000000002</v>
      </c>
      <c r="L9" s="18">
        <f>IF(K9&gt;=0.7,5,IF(K9&gt;=0.4,3,1))</f>
        <v>1</v>
      </c>
      <c r="M9" s="2" t="s">
        <v>502</v>
      </c>
    </row>
    <row r="10" spans="1:13" ht="71.25">
      <c r="A10" s="4" t="s">
        <v>422</v>
      </c>
      <c r="B10" s="4" t="s">
        <v>452</v>
      </c>
      <c r="C10" s="4" t="s">
        <v>453</v>
      </c>
      <c r="D10" s="10">
        <v>16</v>
      </c>
      <c r="E10" s="16">
        <v>0.2</v>
      </c>
      <c r="F10" s="16">
        <v>0.05</v>
      </c>
      <c r="G10" s="17">
        <v>15</v>
      </c>
      <c r="H10" s="4">
        <v>10</v>
      </c>
      <c r="I10" s="4">
        <v>0</v>
      </c>
      <c r="J10" s="4">
        <v>0</v>
      </c>
      <c r="K10" s="9">
        <f>MIN(1,AVERAGE(MIN(E10/2,1),F10,G10/100,MIN(H10/10,1),MIN(J10/50,1)))</f>
        <v>0.26</v>
      </c>
      <c r="L10" s="18">
        <f>IF(K10&gt;=0.7,5,IF(K10&gt;=0.4,3,1))</f>
        <v>1</v>
      </c>
      <c r="M10" s="2" t="s">
        <v>503</v>
      </c>
    </row>
    <row r="11" spans="1:13" ht="99.75">
      <c r="A11" s="4" t="s">
        <v>423</v>
      </c>
      <c r="B11" s="4" t="s">
        <v>455</v>
      </c>
      <c r="C11" s="4" t="s">
        <v>453</v>
      </c>
      <c r="D11" s="10">
        <v>6</v>
      </c>
      <c r="E11" s="16">
        <v>1.2</v>
      </c>
      <c r="F11" s="16">
        <v>0.35</v>
      </c>
      <c r="G11" s="17">
        <v>42</v>
      </c>
      <c r="H11" s="4">
        <v>10</v>
      </c>
      <c r="I11" s="4">
        <v>3</v>
      </c>
      <c r="J11" s="4">
        <v>3</v>
      </c>
      <c r="K11" s="9">
        <f>MIN(1,AVERAGE(MIN(E11/2,1),F11,G11/100,MIN(H11/10,1),MIN(J11/50,1)))</f>
        <v>0.48600000000000004</v>
      </c>
      <c r="L11" s="18">
        <f>IF(K11&gt;=0.7,5,IF(K11&gt;=0.4,3,1))</f>
        <v>3</v>
      </c>
      <c r="M11" s="2" t="s">
        <v>504</v>
      </c>
    </row>
    <row r="12" spans="1:13" ht="57">
      <c r="A12" s="4" t="s">
        <v>424</v>
      </c>
      <c r="B12" s="4" t="s">
        <v>455</v>
      </c>
      <c r="C12" s="4" t="s">
        <v>453</v>
      </c>
      <c r="D12" s="10">
        <v>81</v>
      </c>
      <c r="E12" s="16">
        <v>0.3</v>
      </c>
      <c r="F12" s="16">
        <v>0.15</v>
      </c>
      <c r="G12" s="17">
        <v>28</v>
      </c>
      <c r="H12" s="4">
        <v>10</v>
      </c>
      <c r="I12" s="4">
        <v>1</v>
      </c>
      <c r="J12" s="4">
        <v>1</v>
      </c>
      <c r="K12" s="9">
        <f>MIN(1,AVERAGE(MIN(E12/2,1),F12,G12/100,MIN(H12/10,1),MIN(J12/50,1)))</f>
        <v>0.32</v>
      </c>
      <c r="L12" s="18">
        <f>IF(K12&gt;=0.7,5,IF(K12&gt;=0.4,3,1))</f>
        <v>1</v>
      </c>
      <c r="M12" s="2" t="s">
        <v>505</v>
      </c>
    </row>
    <row r="13" spans="1:13" ht="57">
      <c r="A13" s="4" t="s">
        <v>425</v>
      </c>
      <c r="B13" s="4" t="s">
        <v>455</v>
      </c>
      <c r="C13" s="4" t="s">
        <v>453</v>
      </c>
      <c r="D13" s="10">
        <v>28</v>
      </c>
      <c r="E13" s="16">
        <v>0.3</v>
      </c>
      <c r="F13" s="16">
        <v>0.15</v>
      </c>
      <c r="G13" s="17">
        <v>28</v>
      </c>
      <c r="H13" s="4">
        <v>10</v>
      </c>
      <c r="I13" s="4">
        <v>1</v>
      </c>
      <c r="J13" s="4">
        <v>1</v>
      </c>
      <c r="K13" s="9">
        <f>MIN(1,AVERAGE(MIN(E13/2,1),F13,G13/100,MIN(H13/10,1),MIN(J13/50,1)))</f>
        <v>0.32</v>
      </c>
      <c r="L13" s="18">
        <f>IF(K13&gt;=0.7,5,IF(K13&gt;=0.4,3,1))</f>
        <v>1</v>
      </c>
      <c r="M13" s="2" t="s">
        <v>506</v>
      </c>
    </row>
    <row r="14" spans="1:13">
      <c r="A14" s="4"/>
      <c r="B14" s="4"/>
      <c r="C14" s="4"/>
      <c r="D14" s="10"/>
      <c r="E14" s="16"/>
      <c r="F14" s="16"/>
      <c r="G14" s="17"/>
      <c r="H14" s="4"/>
      <c r="I14" s="4"/>
      <c r="J14" s="4"/>
      <c r="K14" s="9"/>
      <c r="L14" s="18"/>
      <c r="M14" s="2"/>
    </row>
    <row r="15" spans="1:13">
      <c r="A15" s="4"/>
      <c r="B15" s="4"/>
      <c r="C15" s="4"/>
      <c r="D15" s="10"/>
      <c r="E15" s="16"/>
      <c r="F15" s="16"/>
      <c r="G15" s="17"/>
      <c r="H15" s="4"/>
      <c r="I15" s="4"/>
      <c r="J15" s="4"/>
      <c r="K15" s="9"/>
      <c r="L15" s="18"/>
      <c r="M15" s="2"/>
    </row>
    <row r="16" spans="1:13">
      <c r="A16" s="4"/>
      <c r="B16" s="4"/>
      <c r="C16" s="4"/>
      <c r="D16" s="10"/>
      <c r="E16" s="16"/>
      <c r="F16" s="16"/>
      <c r="G16" s="17"/>
      <c r="H16" s="4"/>
      <c r="I16" s="4"/>
      <c r="J16" s="4"/>
      <c r="K16" s="9"/>
      <c r="L16" s="18"/>
      <c r="M16" s="2"/>
    </row>
    <row r="17" spans="1:13">
      <c r="A17" s="4"/>
      <c r="B17" s="4"/>
      <c r="C17" s="4"/>
      <c r="D17" s="10"/>
      <c r="E17" s="16"/>
      <c r="F17" s="16"/>
      <c r="G17" s="17"/>
      <c r="H17" s="4"/>
      <c r="I17" s="4"/>
      <c r="J17" s="4"/>
      <c r="K17" s="9"/>
      <c r="L17" s="18"/>
      <c r="M17" s="2"/>
    </row>
    <row r="18" spans="1:13">
      <c r="A18" s="4"/>
      <c r="B18" s="4"/>
      <c r="C18" s="4"/>
      <c r="D18" s="10"/>
      <c r="E18" s="16"/>
      <c r="F18" s="16"/>
      <c r="G18" s="17"/>
      <c r="H18" s="4"/>
      <c r="I18" s="4"/>
      <c r="J18" s="4"/>
      <c r="K18" s="9"/>
      <c r="L18" s="18"/>
      <c r="M18" s="2"/>
    </row>
    <row r="19" spans="1:13">
      <c r="A19" s="4"/>
      <c r="B19" s="4"/>
      <c r="C19" s="4"/>
      <c r="D19" s="10"/>
      <c r="E19" s="16"/>
      <c r="F19" s="16"/>
      <c r="G19" s="17"/>
      <c r="H19" s="4"/>
      <c r="I19" s="4"/>
      <c r="J19" s="4"/>
      <c r="K19" s="9"/>
      <c r="L19" s="18"/>
      <c r="M19" s="2"/>
    </row>
    <row r="20" spans="1:13">
      <c r="A20" s="4"/>
      <c r="B20" s="4"/>
      <c r="C20" s="4"/>
      <c r="D20" s="10"/>
      <c r="E20" s="16"/>
      <c r="F20" s="16"/>
      <c r="G20" s="17"/>
      <c r="H20" s="4"/>
      <c r="I20" s="4"/>
      <c r="J20" s="4"/>
      <c r="K20" s="9"/>
      <c r="L20" s="18"/>
      <c r="M20" s="2"/>
    </row>
    <row r="21" spans="1:13">
      <c r="A21" s="4"/>
      <c r="B21" s="4"/>
      <c r="C21" s="4"/>
      <c r="D21" s="10"/>
      <c r="E21" s="16"/>
      <c r="F21" s="16"/>
      <c r="G21" s="17"/>
      <c r="H21" s="4"/>
      <c r="I21" s="4"/>
      <c r="J21" s="4"/>
      <c r="K21" s="9"/>
      <c r="L21" s="18"/>
      <c r="M21" s="2"/>
    </row>
    <row r="22" spans="1:13">
      <c r="A22" s="4"/>
      <c r="B22" s="4"/>
      <c r="C22" s="4"/>
      <c r="D22" s="10"/>
      <c r="E22" s="16"/>
      <c r="F22" s="16"/>
      <c r="G22" s="17"/>
      <c r="H22" s="4"/>
      <c r="I22" s="4"/>
      <c r="J22" s="4"/>
      <c r="K22" s="9"/>
      <c r="L22" s="18"/>
      <c r="M22" s="2"/>
    </row>
    <row r="23" spans="1:13">
      <c r="A23" s="4"/>
      <c r="B23" s="4"/>
      <c r="C23" s="4"/>
      <c r="D23" s="10"/>
      <c r="E23" s="16"/>
      <c r="F23" s="16"/>
      <c r="G23" s="17"/>
      <c r="H23" s="4"/>
      <c r="I23" s="4"/>
      <c r="J23" s="4"/>
      <c r="K23" s="9"/>
      <c r="L23" s="18"/>
      <c r="M23" s="2"/>
    </row>
    <row r="24" spans="1:13">
      <c r="A24" s="4"/>
      <c r="B24" s="4"/>
      <c r="C24" s="4"/>
      <c r="D24" s="10"/>
      <c r="E24" s="16"/>
      <c r="F24" s="16"/>
      <c r="G24" s="17"/>
      <c r="H24" s="4"/>
      <c r="I24" s="4"/>
      <c r="J24" s="4"/>
      <c r="K24" s="9"/>
      <c r="L24" s="18"/>
      <c r="M24" s="2"/>
    </row>
    <row r="25" spans="1:13">
      <c r="A25" s="4"/>
      <c r="B25" s="4"/>
      <c r="C25" s="4"/>
      <c r="D25" s="10"/>
      <c r="E25" s="16"/>
      <c r="F25" s="16"/>
      <c r="G25" s="17"/>
      <c r="H25" s="4"/>
      <c r="I25" s="4"/>
      <c r="J25" s="4"/>
      <c r="K25" s="9"/>
      <c r="L25" s="18"/>
      <c r="M25" s="2"/>
    </row>
    <row r="26" spans="1:13">
      <c r="A26" s="4"/>
      <c r="B26" s="4"/>
      <c r="C26" s="4"/>
      <c r="D26" s="10"/>
      <c r="E26" s="16"/>
      <c r="F26" s="16"/>
      <c r="G26" s="17"/>
      <c r="H26" s="4"/>
      <c r="I26" s="4"/>
      <c r="J26" s="4"/>
      <c r="K26" s="9"/>
      <c r="L26" s="18"/>
      <c r="M26" s="2"/>
    </row>
    <row r="27" spans="1:13">
      <c r="A27" s="4"/>
      <c r="B27" s="4"/>
      <c r="C27" s="4"/>
      <c r="D27" s="10"/>
      <c r="E27" s="16"/>
      <c r="F27" s="16"/>
      <c r="G27" s="17"/>
      <c r="H27" s="4"/>
      <c r="I27" s="4"/>
      <c r="J27" s="4"/>
      <c r="K27" s="9"/>
      <c r="L27" s="18"/>
      <c r="M27" s="2"/>
    </row>
    <row r="28" spans="1:13">
      <c r="A28" s="4"/>
      <c r="B28" s="4"/>
      <c r="C28" s="4"/>
      <c r="D28" s="10"/>
      <c r="E28" s="16"/>
      <c r="F28" s="16"/>
      <c r="G28" s="17"/>
      <c r="H28" s="4"/>
      <c r="I28" s="4"/>
      <c r="J28" s="4"/>
      <c r="K28" s="9"/>
      <c r="L28" s="18"/>
      <c r="M28" s="2"/>
    </row>
    <row r="29" spans="1:13">
      <c r="A29" s="4"/>
      <c r="B29" s="4"/>
      <c r="C29" s="4"/>
      <c r="D29" s="10"/>
      <c r="E29" s="16"/>
      <c r="F29" s="16"/>
      <c r="G29" s="17"/>
      <c r="H29" s="4"/>
      <c r="I29" s="4"/>
      <c r="J29" s="4"/>
      <c r="K29" s="9"/>
      <c r="L29" s="18"/>
      <c r="M29" s="2"/>
    </row>
    <row r="30" spans="1:13">
      <c r="A30" s="4"/>
      <c r="B30" s="4"/>
      <c r="C30" s="4"/>
      <c r="D30" s="10"/>
      <c r="E30" s="16"/>
      <c r="F30" s="16"/>
      <c r="G30" s="17"/>
      <c r="H30" s="4"/>
      <c r="I30" s="4"/>
      <c r="J30" s="4"/>
      <c r="K30" s="9"/>
      <c r="L30" s="18"/>
      <c r="M30" s="2"/>
    </row>
    <row r="31" spans="1:13">
      <c r="A31" s="4"/>
      <c r="B31" s="4"/>
      <c r="C31" s="4"/>
      <c r="D31" s="10"/>
      <c r="E31" s="16"/>
      <c r="F31" s="16"/>
      <c r="G31" s="17"/>
      <c r="H31" s="4"/>
      <c r="I31" s="4"/>
      <c r="J31" s="4"/>
      <c r="K31" s="9"/>
      <c r="L31" s="18"/>
      <c r="M31" s="2"/>
    </row>
    <row r="32" spans="1:13">
      <c r="A32" s="4"/>
      <c r="B32" s="4"/>
      <c r="C32" s="4"/>
      <c r="D32" s="10"/>
      <c r="E32" s="16"/>
      <c r="F32" s="16"/>
      <c r="G32" s="17"/>
      <c r="H32" s="4"/>
      <c r="I32" s="4"/>
      <c r="J32" s="4"/>
      <c r="K32" s="9"/>
      <c r="L32" s="18"/>
      <c r="M32" s="2"/>
    </row>
    <row r="33" spans="1:13">
      <c r="A33" s="4"/>
      <c r="B33" s="4"/>
      <c r="C33" s="4"/>
      <c r="D33" s="10"/>
      <c r="E33" s="16"/>
      <c r="F33" s="16"/>
      <c r="G33" s="17"/>
      <c r="H33" s="4"/>
      <c r="I33" s="4"/>
      <c r="J33" s="4"/>
      <c r="K33" s="9"/>
      <c r="L33" s="18"/>
      <c r="M33" s="2"/>
    </row>
    <row r="36" spans="1:13" ht="33.950000000000003" customHeight="1">
      <c r="A36" s="1" t="s">
        <v>191</v>
      </c>
      <c r="B36" s="1" t="s">
        <v>57</v>
      </c>
      <c r="C36" s="1" t="s">
        <v>192</v>
      </c>
      <c r="D36" s="1" t="s">
        <v>120</v>
      </c>
    </row>
    <row r="37" spans="1:13">
      <c r="A37" t="s">
        <v>193</v>
      </c>
      <c r="B37" s="13">
        <f>AVERAGE(K4:K33)</f>
        <v>0.34339999999999998</v>
      </c>
      <c r="C37" t="str">
        <f>IF(B37&gt;=0.7,"высокое",IF(B37&gt;=0.4,"среднее","низкое"))</f>
        <v>низкое</v>
      </c>
      <c r="D37" t="s">
        <v>194</v>
      </c>
    </row>
    <row r="38" spans="1:13">
      <c r="A38" t="s">
        <v>195</v>
      </c>
      <c r="B38" s="13">
        <f>COUNTIF(L4:L33,5)/COUNT(L4:L33)</f>
        <v>0</v>
      </c>
      <c r="C38" t="str">
        <f>IF(B38&gt;=0.5,"высокая доля",IF(B38&gt;=0.25,"средняя доля","низкая доля"))</f>
        <v>низкая доля</v>
      </c>
      <c r="D38" t="s">
        <v>196</v>
      </c>
    </row>
    <row r="39" spans="1:13">
      <c r="A39" t="s">
        <v>197</v>
      </c>
      <c r="D39" t="s">
        <v>198</v>
      </c>
    </row>
  </sheetData>
  <mergeCells count="2">
    <mergeCell ref="A1:M1"/>
    <mergeCell ref="A2:M2"/>
  </mergeCells>
  <conditionalFormatting sqref="L4:L33">
    <cfRule type="colorScale" priority="1">
      <colorScale>
        <cfvo type="min"/>
        <cfvo type="percentile" val="50"/>
        <cfvo type="max"/>
        <color rgb="FFD9EAD3"/>
        <color rgb="FFFFF2CC"/>
        <color rgb="FFF4CCCC"/>
      </colorScale>
    </cfRule>
  </conditionalFormatting>
  <dataValidations count="1">
    <dataValidation type="list" sqref="B4:B33" xr:uid="{00000000-0002-0000-0400-000000000000}">
      <formula1>"информационный,проблемный,коммерческий,инструментальный,брендовый,региональный"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38"/>
  <sheetViews>
    <sheetView workbookViewId="0"/>
  </sheetViews>
  <sheetFormatPr defaultRowHeight="14.25"/>
  <cols>
    <col min="1" max="1" width="24" customWidth="1"/>
    <col min="2" max="3" width="12" customWidth="1"/>
    <col min="4" max="9" width="14" customWidth="1"/>
    <col min="10" max="10" width="12" customWidth="1"/>
    <col min="11" max="11" width="14" customWidth="1"/>
    <col min="12" max="13" width="16" customWidth="1"/>
    <col min="14" max="14" width="28" customWidth="1"/>
  </cols>
  <sheetData>
    <row r="1" spans="1:14" ht="30" customHeight="1">
      <c r="A1" s="25" t="s">
        <v>199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</row>
    <row r="2" spans="1:14" ht="32.1" customHeight="1">
      <c r="A2" s="26" t="s">
        <v>200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</row>
    <row r="3" spans="1:14" ht="33.950000000000003" customHeight="1">
      <c r="A3" s="1" t="s">
        <v>201</v>
      </c>
      <c r="B3" s="1" t="s">
        <v>202</v>
      </c>
      <c r="C3" s="1" t="s">
        <v>203</v>
      </c>
      <c r="D3" s="1" t="s">
        <v>204</v>
      </c>
      <c r="E3" s="1" t="s">
        <v>205</v>
      </c>
      <c r="F3" s="1" t="s">
        <v>206</v>
      </c>
      <c r="G3" s="1" t="s">
        <v>207</v>
      </c>
      <c r="H3" s="1" t="s">
        <v>208</v>
      </c>
      <c r="I3" s="1" t="s">
        <v>209</v>
      </c>
      <c r="J3" s="1" t="s">
        <v>210</v>
      </c>
      <c r="K3" s="1" t="s">
        <v>211</v>
      </c>
      <c r="L3" s="1" t="s">
        <v>212</v>
      </c>
      <c r="M3" s="1" t="s">
        <v>136</v>
      </c>
      <c r="N3" s="1" t="s">
        <v>60</v>
      </c>
    </row>
    <row r="4" spans="1:14" ht="85.5">
      <c r="A4" s="4" t="s">
        <v>397</v>
      </c>
      <c r="B4" s="19"/>
      <c r="C4" s="10"/>
      <c r="D4" s="4"/>
      <c r="E4" s="4"/>
      <c r="F4" s="4"/>
      <c r="G4" s="4"/>
      <c r="H4" s="4"/>
      <c r="I4" s="4"/>
      <c r="J4" s="4">
        <v>0</v>
      </c>
      <c r="K4" s="4">
        <v>15.8</v>
      </c>
      <c r="L4" s="9">
        <f>MIN(1,AVERAGE(IFERROR(AVERAGE(B4,D4,F4,H4)/5,0),MIN((C4+E4+G4+I4)/300,1),MIN(J4/30,1),MIN(K4/10,1)))</f>
        <v>0.25</v>
      </c>
      <c r="M4" s="18">
        <f>IF(L4&gt;=0.7,5,IF(L4&gt;=0.4,3,1))</f>
        <v>1</v>
      </c>
      <c r="N4" s="2" t="s">
        <v>507</v>
      </c>
    </row>
    <row r="5" spans="1:14" ht="114">
      <c r="A5" s="4" t="s">
        <v>398</v>
      </c>
      <c r="B5" s="19"/>
      <c r="C5" s="10"/>
      <c r="D5" s="4"/>
      <c r="E5" s="4"/>
      <c r="F5" s="4"/>
      <c r="G5" s="4"/>
      <c r="H5" s="4"/>
      <c r="I5" s="4"/>
      <c r="J5" s="4">
        <v>0</v>
      </c>
      <c r="K5" s="4">
        <v>11.9</v>
      </c>
      <c r="L5" s="9">
        <f>MIN(1,AVERAGE(IFERROR(AVERAGE(B5,D5,F5,H5)/5,0),MIN((C5+E5+G5+I5)/300,1),MIN(J5/30,1),MIN(K5/10,1)))</f>
        <v>0.25</v>
      </c>
      <c r="M5" s="18">
        <f>IF(L5&gt;=0.7,5,IF(L5&gt;=0.4,3,1))</f>
        <v>1</v>
      </c>
      <c r="N5" s="2" t="s">
        <v>508</v>
      </c>
    </row>
    <row r="6" spans="1:14" ht="85.5">
      <c r="A6" s="4" t="s">
        <v>399</v>
      </c>
      <c r="B6" s="19">
        <v>4.8</v>
      </c>
      <c r="C6" s="10">
        <v>16</v>
      </c>
      <c r="D6" s="4"/>
      <c r="E6" s="4"/>
      <c r="F6" s="4">
        <v>3.5</v>
      </c>
      <c r="G6" s="4">
        <v>3</v>
      </c>
      <c r="H6" s="4"/>
      <c r="I6" s="4"/>
      <c r="J6" s="4">
        <v>2</v>
      </c>
      <c r="K6" s="4">
        <v>4.3</v>
      </c>
      <c r="L6" s="9">
        <f>MIN(1,AVERAGE(IFERROR(AVERAGE(B6,D6,F6,H6)/5,0),MIN((C6+E6+G6+I6)/300,1),MIN(J6/30,1),MIN(K6/10,1)))</f>
        <v>0.34750000000000003</v>
      </c>
      <c r="M6" s="18">
        <f>IF(L6&gt;=0.7,5,IF(L6&gt;=0.4,3,1))</f>
        <v>1</v>
      </c>
      <c r="N6" s="2" t="s">
        <v>509</v>
      </c>
    </row>
    <row r="7" spans="1:14" ht="71.25">
      <c r="A7" s="4" t="s">
        <v>400</v>
      </c>
      <c r="B7" s="19"/>
      <c r="C7" s="10"/>
      <c r="D7" s="4"/>
      <c r="E7" s="4"/>
      <c r="F7" s="4"/>
      <c r="G7" s="4"/>
      <c r="H7" s="4"/>
      <c r="I7" s="4"/>
      <c r="J7" s="4">
        <v>1</v>
      </c>
      <c r="K7" s="4">
        <v>3.9</v>
      </c>
      <c r="L7" s="9">
        <f>MIN(1,AVERAGE(IFERROR(AVERAGE(B7,D7,F7,H7)/5,0),MIN((C7+E7+G7+I7)/300,1),MIN(J7/30,1),MIN(K7/10,1)))</f>
        <v>0.10583333333333333</v>
      </c>
      <c r="M7" s="18">
        <f>IF(L7&gt;=0.7,5,IF(L7&gt;=0.4,3,1))</f>
        <v>1</v>
      </c>
      <c r="N7" s="2" t="s">
        <v>510</v>
      </c>
    </row>
    <row r="8" spans="1:14" ht="71.25">
      <c r="A8" s="4" t="s">
        <v>401</v>
      </c>
      <c r="B8" s="19"/>
      <c r="C8" s="10"/>
      <c r="D8" s="4"/>
      <c r="E8" s="4"/>
      <c r="F8" s="4"/>
      <c r="G8" s="4"/>
      <c r="H8" s="4"/>
      <c r="I8" s="4"/>
      <c r="J8" s="4">
        <v>0</v>
      </c>
      <c r="K8" s="4">
        <v>7.7</v>
      </c>
      <c r="L8" s="9">
        <f>MIN(1,AVERAGE(IFERROR(AVERAGE(B8,D8,F8,H8)/5,0),MIN((C8+E8+G8+I8)/300,1),MIN(J8/30,1),MIN(K8/10,1)))</f>
        <v>0.1925</v>
      </c>
      <c r="M8" s="18">
        <f>IF(L8&gt;=0.7,5,IF(L8&gt;=0.4,3,1))</f>
        <v>1</v>
      </c>
      <c r="N8" s="2" t="s">
        <v>511</v>
      </c>
    </row>
    <row r="9" spans="1:14" ht="71.25">
      <c r="A9" s="4" t="s">
        <v>402</v>
      </c>
      <c r="B9" s="19"/>
      <c r="C9" s="10"/>
      <c r="D9" s="4"/>
      <c r="E9" s="4"/>
      <c r="F9" s="4"/>
      <c r="G9" s="4"/>
      <c r="H9" s="4"/>
      <c r="I9" s="4"/>
      <c r="J9" s="4">
        <v>0</v>
      </c>
      <c r="K9" s="4">
        <v>12.8</v>
      </c>
      <c r="L9" s="9">
        <f>MIN(1,AVERAGE(IFERROR(AVERAGE(B9,D9,F9,H9)/5,0),MIN((C9+E9+G9+I9)/300,1),MIN(J9/30,1),MIN(K9/10,1)))</f>
        <v>0.25</v>
      </c>
      <c r="M9" s="18">
        <f>IF(L9&gt;=0.7,5,IF(L9&gt;=0.4,3,1))</f>
        <v>1</v>
      </c>
      <c r="N9" s="2" t="s">
        <v>512</v>
      </c>
    </row>
    <row r="10" spans="1:14" ht="85.5">
      <c r="A10" s="4" t="s">
        <v>403</v>
      </c>
      <c r="B10" s="19"/>
      <c r="C10" s="10"/>
      <c r="D10" s="4"/>
      <c r="E10" s="4"/>
      <c r="F10" s="4"/>
      <c r="G10" s="4"/>
      <c r="H10" s="4"/>
      <c r="I10" s="4"/>
      <c r="J10" s="4">
        <v>3</v>
      </c>
      <c r="K10" s="4">
        <v>13.2</v>
      </c>
      <c r="L10" s="9">
        <f>MIN(1,AVERAGE(IFERROR(AVERAGE(B10,D10,F10,H10)/5,0),MIN((C10+E10+G10+I10)/300,1),MIN(J10/30,1),MIN(K10/10,1)))</f>
        <v>0.27500000000000002</v>
      </c>
      <c r="M10" s="18">
        <f>IF(L10&gt;=0.7,5,IF(L10&gt;=0.4,3,1))</f>
        <v>1</v>
      </c>
      <c r="N10" s="2" t="s">
        <v>513</v>
      </c>
    </row>
    <row r="11" spans="1:14" ht="99.75">
      <c r="A11" s="4" t="s">
        <v>404</v>
      </c>
      <c r="B11" s="19"/>
      <c r="C11" s="10"/>
      <c r="D11" s="4"/>
      <c r="E11" s="4"/>
      <c r="F11" s="4">
        <v>3.5</v>
      </c>
      <c r="G11" s="4">
        <v>2</v>
      </c>
      <c r="H11" s="4"/>
      <c r="I11" s="4"/>
      <c r="J11" s="4">
        <v>5</v>
      </c>
      <c r="K11" s="4">
        <v>25.3</v>
      </c>
      <c r="L11" s="9">
        <f>MIN(1,AVERAGE(IFERROR(AVERAGE(B11,D11,F11,H11)/5,0),MIN((C11+E11+G11+I11)/300,1),MIN(J11/30,1),MIN(K11/10,1)))</f>
        <v>0.46833333333333332</v>
      </c>
      <c r="M11" s="18">
        <f>IF(L11&gt;=0.7,5,IF(L11&gt;=0.4,3,1))</f>
        <v>3</v>
      </c>
      <c r="N11" s="2" t="s">
        <v>514</v>
      </c>
    </row>
    <row r="12" spans="1:14" ht="114">
      <c r="A12" s="4" t="s">
        <v>405</v>
      </c>
      <c r="B12" s="19"/>
      <c r="C12" s="10"/>
      <c r="D12" s="4"/>
      <c r="E12" s="4"/>
      <c r="F12" s="4"/>
      <c r="G12" s="4">
        <v>0</v>
      </c>
      <c r="H12" s="4"/>
      <c r="I12" s="4"/>
      <c r="J12" s="4">
        <v>3</v>
      </c>
      <c r="K12" s="4">
        <v>24.2</v>
      </c>
      <c r="L12" s="9">
        <f>MIN(1,AVERAGE(IFERROR(AVERAGE(B12,D12,F12,H12)/5,0),MIN((C12+E12+G12+I12)/300,1),MIN(J12/30,1),MIN(K12/10,1)))</f>
        <v>0.27500000000000002</v>
      </c>
      <c r="M12" s="18">
        <f>IF(L12&gt;=0.7,5,IF(L12&gt;=0.4,3,1))</f>
        <v>1</v>
      </c>
      <c r="N12" s="2" t="s">
        <v>515</v>
      </c>
    </row>
    <row r="13" spans="1:14" ht="99.75">
      <c r="A13" s="4" t="s">
        <v>406</v>
      </c>
      <c r="B13" s="19"/>
      <c r="C13" s="10"/>
      <c r="D13" s="4"/>
      <c r="E13" s="4"/>
      <c r="F13" s="4"/>
      <c r="G13" s="4"/>
      <c r="H13" s="4"/>
      <c r="I13" s="4"/>
      <c r="J13" s="4">
        <v>2</v>
      </c>
      <c r="K13" s="4">
        <v>12.7</v>
      </c>
      <c r="L13" s="9">
        <f>MIN(1,AVERAGE(IFERROR(AVERAGE(B13,D13,F13,H13)/5,0),MIN((C13+E13+G13+I13)/300,1),MIN(J13/30,1),MIN(K13/10,1)))</f>
        <v>0.26666666666666666</v>
      </c>
      <c r="M13" s="18">
        <f>IF(L13&gt;=0.7,5,IF(L13&gt;=0.4,3,1))</f>
        <v>1</v>
      </c>
      <c r="N13" s="2" t="s">
        <v>516</v>
      </c>
    </row>
    <row r="14" spans="1:14" ht="85.5">
      <c r="A14" s="4" t="s">
        <v>407</v>
      </c>
      <c r="B14" s="19"/>
      <c r="C14" s="10"/>
      <c r="D14" s="4"/>
      <c r="E14" s="4"/>
      <c r="F14" s="4"/>
      <c r="G14" s="4"/>
      <c r="H14" s="4"/>
      <c r="I14" s="4"/>
      <c r="J14" s="4">
        <v>3</v>
      </c>
      <c r="K14" s="4">
        <v>4.5</v>
      </c>
      <c r="L14" s="9">
        <f>MIN(1,AVERAGE(IFERROR(AVERAGE(B14,D14,F14,H14)/5,0),MIN((C14+E14+G14+I14)/300,1),MIN(J14/30,1),MIN(K14/10,1)))</f>
        <v>0.13750000000000001</v>
      </c>
      <c r="M14" s="18">
        <f>IF(L14&gt;=0.7,5,IF(L14&gt;=0.4,3,1))</f>
        <v>1</v>
      </c>
      <c r="N14" s="2" t="s">
        <v>517</v>
      </c>
    </row>
    <row r="15" spans="1:14" ht="85.5">
      <c r="A15" s="4" t="s">
        <v>408</v>
      </c>
      <c r="B15" s="19">
        <v>4.4000000000000004</v>
      </c>
      <c r="C15" s="10">
        <v>450</v>
      </c>
      <c r="D15" s="4"/>
      <c r="E15" s="4"/>
      <c r="F15" s="4">
        <v>3.8</v>
      </c>
      <c r="G15" s="4">
        <v>2</v>
      </c>
      <c r="H15" s="4"/>
      <c r="I15" s="4"/>
      <c r="J15" s="4">
        <v>0</v>
      </c>
      <c r="K15" s="4">
        <v>16.5</v>
      </c>
      <c r="L15" s="9">
        <f>MIN(1,AVERAGE(IFERROR(AVERAGE(B15,D15,F15,H15)/5,0),MIN((C15+E15+G15+I15)/300,1),MIN(J15/30,1),MIN(K15/10,1)))</f>
        <v>0.70499999999999996</v>
      </c>
      <c r="M15" s="18">
        <f>IF(L15&gt;=0.7,5,IF(L15&gt;=0.4,3,1))</f>
        <v>5</v>
      </c>
      <c r="N15" s="2" t="s">
        <v>518</v>
      </c>
    </row>
    <row r="16" spans="1:14" ht="99.75">
      <c r="A16" s="4" t="s">
        <v>409</v>
      </c>
      <c r="B16" s="19">
        <v>4.5</v>
      </c>
      <c r="C16" s="10">
        <v>8988</v>
      </c>
      <c r="D16" s="4"/>
      <c r="E16" s="4"/>
      <c r="F16" s="4">
        <v>1.5</v>
      </c>
      <c r="G16" s="4">
        <v>116</v>
      </c>
      <c r="H16" s="4"/>
      <c r="I16" s="4"/>
      <c r="J16" s="4">
        <v>15</v>
      </c>
      <c r="K16" s="4">
        <v>18</v>
      </c>
      <c r="L16" s="9">
        <f>MIN(1,AVERAGE(IFERROR(AVERAGE(B16,D16,F16,H16)/5,0),MIN((C16+E16+G16+I16)/300,1),MIN(J16/30,1),MIN(K16/10,1)))</f>
        <v>0.77500000000000002</v>
      </c>
      <c r="M16" s="18">
        <f>IF(L16&gt;=0.7,5,IF(L16&gt;=0.4,3,1))</f>
        <v>5</v>
      </c>
      <c r="N16" s="2" t="s">
        <v>519</v>
      </c>
    </row>
    <row r="17" spans="1:14" ht="99.75">
      <c r="A17" s="4" t="s">
        <v>410</v>
      </c>
      <c r="B17" s="19">
        <v>4.4000000000000004</v>
      </c>
      <c r="C17" s="10">
        <v>1394</v>
      </c>
      <c r="D17" s="4"/>
      <c r="E17" s="4"/>
      <c r="F17" s="4">
        <v>1.9</v>
      </c>
      <c r="G17" s="4">
        <v>58</v>
      </c>
      <c r="H17" s="4"/>
      <c r="I17" s="4"/>
      <c r="J17" s="4">
        <v>8</v>
      </c>
      <c r="K17" s="4">
        <v>18.2</v>
      </c>
      <c r="L17" s="9">
        <f>MIN(1,AVERAGE(IFERROR(AVERAGE(B17,D17,F17,H17)/5,0),MIN((C17+E17+G17+I17)/300,1),MIN(J17/30,1),MIN(K17/10,1)))</f>
        <v>0.72416666666666663</v>
      </c>
      <c r="M17" s="18">
        <f>IF(L17&gt;=0.7,5,IF(L17&gt;=0.4,3,1))</f>
        <v>5</v>
      </c>
      <c r="N17" s="2" t="s">
        <v>520</v>
      </c>
    </row>
    <row r="18" spans="1:14" ht="99.75">
      <c r="A18" s="4" t="s">
        <v>411</v>
      </c>
      <c r="B18" s="19">
        <v>4.5999999999999996</v>
      </c>
      <c r="C18" s="10">
        <v>13583</v>
      </c>
      <c r="D18" s="4"/>
      <c r="E18" s="4"/>
      <c r="F18" s="4">
        <v>2.1</v>
      </c>
      <c r="G18" s="4">
        <v>155</v>
      </c>
      <c r="H18" s="4"/>
      <c r="I18" s="4"/>
      <c r="J18" s="4">
        <v>25</v>
      </c>
      <c r="K18" s="4">
        <v>31.1</v>
      </c>
      <c r="L18" s="9">
        <f>MIN(1,AVERAGE(IFERROR(AVERAGE(B18,D18,F18,H18)/5,0),MIN((C18+E18+G18+I18)/300,1),MIN(J18/30,1),MIN(K18/10,1)))</f>
        <v>0.87583333333333335</v>
      </c>
      <c r="M18" s="18">
        <f>IF(L18&gt;=0.7,5,IF(L18&gt;=0.4,3,1))</f>
        <v>5</v>
      </c>
      <c r="N18" s="2" t="s">
        <v>521</v>
      </c>
    </row>
    <row r="19" spans="1:14" ht="71.25">
      <c r="A19" s="4" t="s">
        <v>412</v>
      </c>
      <c r="B19" s="19"/>
      <c r="C19" s="10"/>
      <c r="D19" s="4"/>
      <c r="E19" s="4"/>
      <c r="F19" s="4"/>
      <c r="G19" s="4"/>
      <c r="H19" s="4"/>
      <c r="I19" s="4"/>
      <c r="J19" s="4">
        <v>0</v>
      </c>
      <c r="K19" s="4">
        <v>6.7</v>
      </c>
      <c r="L19" s="9">
        <f>MIN(1,AVERAGE(IFERROR(AVERAGE(B19,D19,F19,H19)/5,0),MIN((C19+E19+G19+I19)/300,1),MIN(J19/30,1),MIN(K19/10,1)))</f>
        <v>0.16750000000000001</v>
      </c>
      <c r="M19" s="18">
        <f>IF(L19&gt;=0.7,5,IF(L19&gt;=0.4,3,1))</f>
        <v>1</v>
      </c>
      <c r="N19" s="2" t="s">
        <v>522</v>
      </c>
    </row>
    <row r="20" spans="1:14" ht="85.5">
      <c r="A20" s="4" t="s">
        <v>413</v>
      </c>
      <c r="B20" s="19"/>
      <c r="C20" s="10"/>
      <c r="D20" s="4"/>
      <c r="E20" s="4"/>
      <c r="F20" s="4"/>
      <c r="G20" s="4"/>
      <c r="H20" s="4"/>
      <c r="I20" s="4"/>
      <c r="J20" s="4">
        <v>2</v>
      </c>
      <c r="K20" s="4">
        <v>8.1</v>
      </c>
      <c r="L20" s="9">
        <f>MIN(1,AVERAGE(IFERROR(AVERAGE(B20,D20,F20,H20)/5,0),MIN((C20+E20+G20+I20)/300,1),MIN(J20/30,1),MIN(K20/10,1)))</f>
        <v>0.21916666666666665</v>
      </c>
      <c r="M20" s="18">
        <f>IF(L20&gt;=0.7,5,IF(L20&gt;=0.4,3,1))</f>
        <v>1</v>
      </c>
      <c r="N20" s="2" t="s">
        <v>523</v>
      </c>
    </row>
    <row r="21" spans="1:14" ht="71.25">
      <c r="A21" s="4" t="s">
        <v>414</v>
      </c>
      <c r="B21" s="19"/>
      <c r="C21" s="10"/>
      <c r="D21" s="4"/>
      <c r="E21" s="4"/>
      <c r="F21" s="4"/>
      <c r="G21" s="4"/>
      <c r="H21" s="4"/>
      <c r="I21" s="4"/>
      <c r="J21" s="4">
        <v>1</v>
      </c>
      <c r="K21" s="4">
        <v>8.4</v>
      </c>
      <c r="L21" s="9">
        <f>MIN(1,AVERAGE(IFERROR(AVERAGE(B21,D21,F21,H21)/5,0),MIN((C21+E21+G21+I21)/300,1),MIN(J21/30,1),MIN(K21/10,1)))</f>
        <v>0.21833333333333335</v>
      </c>
      <c r="M21" s="18">
        <f>IF(L21&gt;=0.7,5,IF(L21&gt;=0.4,3,1))</f>
        <v>1</v>
      </c>
      <c r="N21" s="2" t="s">
        <v>524</v>
      </c>
    </row>
    <row r="22" spans="1:14" ht="85.5">
      <c r="A22" s="4" t="s">
        <v>415</v>
      </c>
      <c r="B22" s="19"/>
      <c r="C22" s="10"/>
      <c r="D22" s="4"/>
      <c r="E22" s="4"/>
      <c r="F22" s="4"/>
      <c r="G22" s="4"/>
      <c r="H22" s="4"/>
      <c r="I22" s="4"/>
      <c r="J22" s="4">
        <v>3</v>
      </c>
      <c r="K22" s="4">
        <v>12</v>
      </c>
      <c r="L22" s="9">
        <f>MIN(1,AVERAGE(IFERROR(AVERAGE(B22,D22,F22,H22)/5,0),MIN((C22+E22+G22+I22)/300,1),MIN(J22/30,1),MIN(K22/10,1)))</f>
        <v>0.27500000000000002</v>
      </c>
      <c r="M22" s="18">
        <f>IF(L22&gt;=0.7,5,IF(L22&gt;=0.4,3,1))</f>
        <v>1</v>
      </c>
      <c r="N22" s="2" t="s">
        <v>525</v>
      </c>
    </row>
    <row r="23" spans="1:14">
      <c r="A23" s="4"/>
      <c r="B23" s="19"/>
      <c r="C23" s="10"/>
      <c r="D23" s="4"/>
      <c r="E23" s="4"/>
      <c r="F23" s="4"/>
      <c r="G23" s="4"/>
      <c r="H23" s="4"/>
      <c r="I23" s="4"/>
      <c r="J23" s="4"/>
      <c r="K23" s="4"/>
      <c r="L23" s="9"/>
      <c r="M23" s="18"/>
      <c r="N23" s="2"/>
    </row>
    <row r="24" spans="1:14">
      <c r="A24" s="4"/>
      <c r="B24" s="19"/>
      <c r="C24" s="10"/>
      <c r="D24" s="4"/>
      <c r="E24" s="4"/>
      <c r="F24" s="4"/>
      <c r="G24" s="4"/>
      <c r="H24" s="4"/>
      <c r="I24" s="4"/>
      <c r="J24" s="4"/>
      <c r="K24" s="4"/>
      <c r="L24" s="9"/>
      <c r="M24" s="18"/>
      <c r="N24" s="2"/>
    </row>
    <row r="25" spans="1:14">
      <c r="A25" s="4"/>
      <c r="B25" s="19"/>
      <c r="C25" s="10"/>
      <c r="D25" s="4"/>
      <c r="E25" s="4"/>
      <c r="F25" s="4"/>
      <c r="G25" s="4"/>
      <c r="H25" s="4"/>
      <c r="I25" s="4"/>
      <c r="J25" s="4"/>
      <c r="K25" s="4"/>
      <c r="L25" s="9"/>
      <c r="M25" s="18"/>
      <c r="N25" s="2"/>
    </row>
    <row r="26" spans="1:14">
      <c r="A26" s="4"/>
      <c r="B26" s="19"/>
      <c r="C26" s="10"/>
      <c r="D26" s="4"/>
      <c r="E26" s="4"/>
      <c r="F26" s="4"/>
      <c r="G26" s="4"/>
      <c r="H26" s="4"/>
      <c r="I26" s="4"/>
      <c r="J26" s="4"/>
      <c r="K26" s="4"/>
      <c r="L26" s="9"/>
      <c r="M26" s="18"/>
      <c r="N26" s="2"/>
    </row>
    <row r="27" spans="1:14">
      <c r="A27" s="4"/>
      <c r="B27" s="19"/>
      <c r="C27" s="10"/>
      <c r="D27" s="4"/>
      <c r="E27" s="4"/>
      <c r="F27" s="4"/>
      <c r="G27" s="4"/>
      <c r="H27" s="4"/>
      <c r="I27" s="4"/>
      <c r="J27" s="4"/>
      <c r="K27" s="4"/>
      <c r="L27" s="9"/>
      <c r="M27" s="18"/>
      <c r="N27" s="2"/>
    </row>
    <row r="28" spans="1:14">
      <c r="A28" s="4"/>
      <c r="B28" s="19"/>
      <c r="C28" s="10"/>
      <c r="D28" s="4"/>
      <c r="E28" s="4"/>
      <c r="F28" s="4"/>
      <c r="G28" s="4"/>
      <c r="H28" s="4"/>
      <c r="I28" s="4"/>
      <c r="J28" s="4"/>
      <c r="K28" s="4"/>
      <c r="L28" s="9"/>
      <c r="M28" s="18"/>
      <c r="N28" s="2"/>
    </row>
    <row r="29" spans="1:14">
      <c r="A29" s="4"/>
      <c r="B29" s="19"/>
      <c r="C29" s="10"/>
      <c r="D29" s="4"/>
      <c r="E29" s="4"/>
      <c r="F29" s="4"/>
      <c r="G29" s="4"/>
      <c r="H29" s="4"/>
      <c r="I29" s="4"/>
      <c r="J29" s="4"/>
      <c r="K29" s="4"/>
      <c r="L29" s="9"/>
      <c r="M29" s="18"/>
      <c r="N29" s="2"/>
    </row>
    <row r="30" spans="1:14">
      <c r="A30" s="4"/>
      <c r="B30" s="19"/>
      <c r="C30" s="10"/>
      <c r="D30" s="4"/>
      <c r="E30" s="4"/>
      <c r="F30" s="4"/>
      <c r="G30" s="4"/>
      <c r="H30" s="4"/>
      <c r="I30" s="4"/>
      <c r="J30" s="4"/>
      <c r="K30" s="4"/>
      <c r="L30" s="9"/>
      <c r="M30" s="18"/>
      <c r="N30" s="2"/>
    </row>
    <row r="31" spans="1:14">
      <c r="A31" s="4"/>
      <c r="B31" s="19"/>
      <c r="C31" s="10"/>
      <c r="D31" s="4"/>
      <c r="E31" s="4"/>
      <c r="F31" s="4"/>
      <c r="G31" s="4"/>
      <c r="H31" s="4"/>
      <c r="I31" s="4"/>
      <c r="J31" s="4"/>
      <c r="K31" s="4"/>
      <c r="L31" s="9"/>
      <c r="M31" s="18"/>
      <c r="N31" s="2"/>
    </row>
    <row r="32" spans="1:14">
      <c r="A32" s="4"/>
      <c r="B32" s="19"/>
      <c r="C32" s="10"/>
      <c r="D32" s="4"/>
      <c r="E32" s="4"/>
      <c r="F32" s="4"/>
      <c r="G32" s="4"/>
      <c r="H32" s="4"/>
      <c r="I32" s="4"/>
      <c r="J32" s="4"/>
      <c r="K32" s="4"/>
      <c r="L32" s="9"/>
      <c r="M32" s="18"/>
      <c r="N32" s="2"/>
    </row>
    <row r="33" spans="1:14">
      <c r="A33" s="4"/>
      <c r="B33" s="19"/>
      <c r="C33" s="10"/>
      <c r="D33" s="4"/>
      <c r="E33" s="4"/>
      <c r="F33" s="4"/>
      <c r="G33" s="4"/>
      <c r="H33" s="4"/>
      <c r="I33" s="4"/>
      <c r="J33" s="4"/>
      <c r="K33" s="4"/>
      <c r="L33" s="9"/>
      <c r="M33" s="18"/>
      <c r="N33" s="2"/>
    </row>
    <row r="36" spans="1:14" ht="33.950000000000003" customHeight="1">
      <c r="A36" s="1" t="s">
        <v>191</v>
      </c>
      <c r="B36" s="1" t="s">
        <v>57</v>
      </c>
      <c r="C36" s="1" t="s">
        <v>192</v>
      </c>
      <c r="D36" s="1" t="s">
        <v>120</v>
      </c>
    </row>
    <row r="37" spans="1:14">
      <c r="A37" t="s">
        <v>213</v>
      </c>
      <c r="B37" s="13">
        <f>AVERAGE(L4:L33)</f>
        <v>0.35675438596491238</v>
      </c>
      <c r="C37" t="str">
        <f>IF(B37&gt;=0.7,"высокий",IF(B37&gt;=0.4,"средний","низкий"))</f>
        <v>низкий</v>
      </c>
      <c r="D37" t="s">
        <v>214</v>
      </c>
    </row>
    <row r="38" spans="1:14">
      <c r="A38" t="s">
        <v>215</v>
      </c>
      <c r="B38" s="12">
        <f>SUMPRODUCT(C4:C33+E4:E33+G4:G33+I4:I33)/COUNTA(A4:A33)</f>
        <v>1303.5263157894738</v>
      </c>
      <c r="C38" t="str">
        <f>IF(B38&gt;='01_Параметры'!B17,"высокий барьер",IF(B38&gt;='01_Параметры'!B17*0.5,"средний барьер","низкий барьер"))</f>
        <v>высокий барьер</v>
      </c>
      <c r="D38" t="s">
        <v>216</v>
      </c>
    </row>
  </sheetData>
  <mergeCells count="2">
    <mergeCell ref="A1:N1"/>
    <mergeCell ref="A2:N2"/>
  </mergeCells>
  <conditionalFormatting sqref="M4:M33">
    <cfRule type="colorScale" priority="1">
      <colorScale>
        <cfvo type="min"/>
        <cfvo type="percentile" val="50"/>
        <cfvo type="max"/>
        <color rgb="FFD9EAD3"/>
        <color rgb="FFFFF2CC"/>
        <color rgb="FFF4CCCC"/>
      </colorScale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8"/>
  <sheetViews>
    <sheetView workbookViewId="0"/>
  </sheetViews>
  <sheetFormatPr defaultRowHeight="14.25"/>
  <cols>
    <col min="1" max="1" width="24" customWidth="1"/>
    <col min="2" max="2" width="18" customWidth="1"/>
    <col min="3" max="3" width="16" customWidth="1"/>
    <col min="4" max="5" width="18" customWidth="1"/>
    <col min="6" max="7" width="14" customWidth="1"/>
    <col min="8" max="8" width="18" customWidth="1"/>
    <col min="9" max="9" width="12" customWidth="1"/>
    <col min="10" max="11" width="18" customWidth="1"/>
    <col min="12" max="12" width="16" customWidth="1"/>
    <col min="13" max="13" width="32" customWidth="1"/>
  </cols>
  <sheetData>
    <row r="1" spans="1:13" ht="30" customHeight="1">
      <c r="A1" s="25" t="s">
        <v>217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2" spans="1:13" ht="32.1" customHeight="1">
      <c r="A2" s="26" t="s">
        <v>218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spans="1:13" ht="33.950000000000003" customHeight="1">
      <c r="A3" s="1" t="s">
        <v>201</v>
      </c>
      <c r="B3" s="1" t="s">
        <v>219</v>
      </c>
      <c r="C3" s="1" t="s">
        <v>220</v>
      </c>
      <c r="D3" s="1" t="s">
        <v>221</v>
      </c>
      <c r="E3" s="1" t="s">
        <v>222</v>
      </c>
      <c r="F3" s="1" t="s">
        <v>223</v>
      </c>
      <c r="G3" s="1" t="s">
        <v>224</v>
      </c>
      <c r="H3" s="1" t="s">
        <v>225</v>
      </c>
      <c r="I3" s="1" t="s">
        <v>226</v>
      </c>
      <c r="J3" s="1" t="s">
        <v>227</v>
      </c>
      <c r="K3" s="1" t="s">
        <v>228</v>
      </c>
      <c r="L3" s="1" t="s">
        <v>136</v>
      </c>
      <c r="M3" s="1" t="s">
        <v>60</v>
      </c>
    </row>
    <row r="4" spans="1:13" ht="156.75">
      <c r="A4" s="4" t="s">
        <v>397</v>
      </c>
      <c r="B4" s="10">
        <v>0</v>
      </c>
      <c r="C4" s="17">
        <v>1</v>
      </c>
      <c r="D4" s="17">
        <v>2</v>
      </c>
      <c r="E4" s="17">
        <v>0</v>
      </c>
      <c r="F4" s="4" t="s">
        <v>526</v>
      </c>
      <c r="G4" s="4" t="s">
        <v>526</v>
      </c>
      <c r="H4" s="4">
        <v>0</v>
      </c>
      <c r="I4" s="4">
        <v>0</v>
      </c>
      <c r="J4" s="4">
        <v>1</v>
      </c>
      <c r="K4" s="9">
        <f>MIN(1,AVERAGE(MIN(B4/500000,1),MIN(C4/60,1),D4/5,E4/5,IF(F4="да",1,0),IF(G4="да",1,0),MIN(H4/50,1),MIN(I4/6,1),IF(J4&gt;0,1,0)))</f>
        <v>0.15740740740740741</v>
      </c>
      <c r="L4" s="18">
        <f>IF(K4&gt;=0.7,5,IF(K4&gt;=0.4,3,1))</f>
        <v>1</v>
      </c>
      <c r="M4" s="2" t="s">
        <v>527</v>
      </c>
    </row>
    <row r="5" spans="1:13" ht="128.25">
      <c r="A5" s="4" t="s">
        <v>398</v>
      </c>
      <c r="B5" s="10">
        <v>0</v>
      </c>
      <c r="C5" s="17">
        <v>5</v>
      </c>
      <c r="D5" s="17">
        <v>3</v>
      </c>
      <c r="E5" s="17">
        <v>0</v>
      </c>
      <c r="F5" s="4" t="s">
        <v>526</v>
      </c>
      <c r="G5" s="4" t="s">
        <v>526</v>
      </c>
      <c r="H5" s="4">
        <v>0</v>
      </c>
      <c r="I5" s="4">
        <v>0</v>
      </c>
      <c r="J5" s="4">
        <v>1</v>
      </c>
      <c r="K5" s="9">
        <f>MIN(1,AVERAGE(MIN(B5/500000,1),MIN(C5/60,1),D5/5,E5/5,IF(F5="да",1,0),IF(G5="да",1,0),MIN(H5/50,1),MIN(I5/6,1),IF(J5&gt;0,1,0)))</f>
        <v>0.18703703703703703</v>
      </c>
      <c r="L5" s="18">
        <f>IF(K5&gt;=0.7,5,IF(K5&gt;=0.4,3,1))</f>
        <v>1</v>
      </c>
      <c r="M5" s="2" t="s">
        <v>528</v>
      </c>
    </row>
    <row r="6" spans="1:13" ht="142.5">
      <c r="A6" s="4" t="s">
        <v>399</v>
      </c>
      <c r="B6" s="10">
        <v>0</v>
      </c>
      <c r="C6" s="17">
        <v>10</v>
      </c>
      <c r="D6" s="17">
        <v>3</v>
      </c>
      <c r="E6" s="17">
        <v>1</v>
      </c>
      <c r="F6" s="4" t="s">
        <v>526</v>
      </c>
      <c r="G6" s="4" t="s">
        <v>529</v>
      </c>
      <c r="H6" s="4">
        <v>3</v>
      </c>
      <c r="I6" s="4">
        <v>1</v>
      </c>
      <c r="J6" s="4">
        <v>1</v>
      </c>
      <c r="K6" s="9">
        <f>MIN(1,AVERAGE(MIN(B6/500000,1),MIN(C6/60,1),D6/5,E6/5,IF(F6="да",1,0),IF(G6="да",1,0),MIN(H6/50,1),MIN(I6/6,1),IF(J6&gt;0,1,0)))</f>
        <v>0.35481481481481475</v>
      </c>
      <c r="L6" s="18">
        <f>IF(K6&gt;=0.7,5,IF(K6&gt;=0.4,3,1))</f>
        <v>1</v>
      </c>
      <c r="M6" s="2" t="s">
        <v>530</v>
      </c>
    </row>
    <row r="7" spans="1:13" ht="114">
      <c r="A7" s="4" t="s">
        <v>400</v>
      </c>
      <c r="B7" s="10">
        <v>0</v>
      </c>
      <c r="C7" s="17">
        <v>5</v>
      </c>
      <c r="D7" s="17">
        <v>3</v>
      </c>
      <c r="E7" s="17">
        <v>0</v>
      </c>
      <c r="F7" s="4" t="s">
        <v>526</v>
      </c>
      <c r="G7" s="4" t="s">
        <v>526</v>
      </c>
      <c r="H7" s="4">
        <v>0</v>
      </c>
      <c r="I7" s="4">
        <v>0</v>
      </c>
      <c r="J7" s="4">
        <v>1</v>
      </c>
      <c r="K7" s="9">
        <f>MIN(1,AVERAGE(MIN(B7/500000,1),MIN(C7/60,1),D7/5,E7/5,IF(F7="да",1,0),IF(G7="да",1,0),MIN(H7/50,1),MIN(I7/6,1),IF(J7&gt;0,1,0)))</f>
        <v>0.18703703703703703</v>
      </c>
      <c r="L7" s="18">
        <f>IF(K7&gt;=0.7,5,IF(K7&gt;=0.4,3,1))</f>
        <v>1</v>
      </c>
      <c r="M7" s="2" t="s">
        <v>531</v>
      </c>
    </row>
    <row r="8" spans="1:13" ht="85.5">
      <c r="A8" s="4" t="s">
        <v>401</v>
      </c>
      <c r="B8" s="10">
        <v>0</v>
      </c>
      <c r="C8" s="17">
        <v>2</v>
      </c>
      <c r="D8" s="17">
        <v>2</v>
      </c>
      <c r="E8" s="17">
        <v>0</v>
      </c>
      <c r="F8" s="4" t="s">
        <v>526</v>
      </c>
      <c r="G8" s="4" t="s">
        <v>526</v>
      </c>
      <c r="H8" s="4">
        <v>0</v>
      </c>
      <c r="I8" s="4">
        <v>0</v>
      </c>
      <c r="J8" s="4">
        <v>1</v>
      </c>
      <c r="K8" s="9">
        <f>MIN(1,AVERAGE(MIN(B8/500000,1),MIN(C8/60,1),D8/5,E8/5,IF(F8="да",1,0),IF(G8="да",1,0),MIN(H8/50,1),MIN(I8/6,1),IF(J8&gt;0,1,0)))</f>
        <v>0.15925925925925927</v>
      </c>
      <c r="L8" s="18">
        <f>IF(K8&gt;=0.7,5,IF(K8&gt;=0.4,3,1))</f>
        <v>1</v>
      </c>
      <c r="M8" s="2" t="s">
        <v>532</v>
      </c>
    </row>
    <row r="9" spans="1:13" ht="85.5">
      <c r="A9" s="4" t="s">
        <v>402</v>
      </c>
      <c r="B9" s="10">
        <v>0</v>
      </c>
      <c r="C9" s="17">
        <v>2</v>
      </c>
      <c r="D9" s="17">
        <v>2</v>
      </c>
      <c r="E9" s="17">
        <v>0</v>
      </c>
      <c r="F9" s="4" t="s">
        <v>526</v>
      </c>
      <c r="G9" s="4" t="s">
        <v>526</v>
      </c>
      <c r="H9" s="4">
        <v>0</v>
      </c>
      <c r="I9" s="4">
        <v>0</v>
      </c>
      <c r="J9" s="4">
        <v>0</v>
      </c>
      <c r="K9" s="9">
        <f>MIN(1,AVERAGE(MIN(B9/500000,1),MIN(C9/60,1),D9/5,E9/5,IF(F9="да",1,0),IF(G9="да",1,0),MIN(H9/50,1),MIN(I9/6,1),IF(J9&gt;0,1,0)))</f>
        <v>4.8148148148148148E-2</v>
      </c>
      <c r="L9" s="18">
        <f>IF(K9&gt;=0.7,5,IF(K9&gt;=0.4,3,1))</f>
        <v>1</v>
      </c>
      <c r="M9" s="2" t="s">
        <v>533</v>
      </c>
    </row>
    <row r="10" spans="1:13" ht="99.75">
      <c r="A10" s="4" t="s">
        <v>403</v>
      </c>
      <c r="B10" s="10">
        <v>0</v>
      </c>
      <c r="C10" s="17">
        <v>5</v>
      </c>
      <c r="D10" s="17">
        <v>3</v>
      </c>
      <c r="E10" s="17">
        <v>1</v>
      </c>
      <c r="F10" s="4" t="s">
        <v>526</v>
      </c>
      <c r="G10" s="4" t="s">
        <v>526</v>
      </c>
      <c r="H10" s="4">
        <v>2</v>
      </c>
      <c r="I10" s="4">
        <v>0</v>
      </c>
      <c r="J10" s="4">
        <v>1</v>
      </c>
      <c r="K10" s="9">
        <f>MIN(1,AVERAGE(MIN(B10/500000,1),MIN(C10/60,1),D10/5,E10/5,IF(F10="да",1,0),IF(G10="да",1,0),MIN(H10/50,1),MIN(I10/6,1),IF(J10&gt;0,1,0)))</f>
        <v>0.2137037037037037</v>
      </c>
      <c r="L10" s="18">
        <f>IF(K10&gt;=0.7,5,IF(K10&gt;=0.4,3,1))</f>
        <v>1</v>
      </c>
      <c r="M10" s="2" t="s">
        <v>534</v>
      </c>
    </row>
    <row r="11" spans="1:13" ht="156.75">
      <c r="A11" s="4" t="s">
        <v>404</v>
      </c>
      <c r="B11" s="10">
        <v>0</v>
      </c>
      <c r="C11" s="17">
        <v>100</v>
      </c>
      <c r="D11" s="17">
        <v>4</v>
      </c>
      <c r="E11" s="17">
        <v>3</v>
      </c>
      <c r="F11" s="4" t="s">
        <v>529</v>
      </c>
      <c r="G11" s="4" t="s">
        <v>529</v>
      </c>
      <c r="H11" s="4">
        <v>5</v>
      </c>
      <c r="I11" s="4">
        <v>3</v>
      </c>
      <c r="J11" s="4">
        <v>0</v>
      </c>
      <c r="K11" s="9">
        <f>MIN(1,AVERAGE(MIN(B11/500000,1),MIN(C11/60,1),D11/5,E11/5,IF(F11="да",1,0),IF(G11="да",1,0),MIN(H11/50,1),MIN(I11/6,1),IF(J11&gt;0,1,0)))</f>
        <v>0.55555555555555558</v>
      </c>
      <c r="L11" s="18">
        <f>IF(K11&gt;=0.7,5,IF(K11&gt;=0.4,3,1))</f>
        <v>3</v>
      </c>
      <c r="M11" s="2" t="s">
        <v>535</v>
      </c>
    </row>
    <row r="12" spans="1:13" ht="128.25">
      <c r="A12" s="4" t="s">
        <v>405</v>
      </c>
      <c r="B12" s="10">
        <v>0</v>
      </c>
      <c r="C12" s="17">
        <v>50</v>
      </c>
      <c r="D12" s="17">
        <v>3</v>
      </c>
      <c r="E12" s="17">
        <v>2</v>
      </c>
      <c r="F12" s="4" t="s">
        <v>526</v>
      </c>
      <c r="G12" s="4" t="s">
        <v>526</v>
      </c>
      <c r="H12" s="4">
        <v>3</v>
      </c>
      <c r="I12" s="4">
        <v>2</v>
      </c>
      <c r="J12" s="4">
        <v>0</v>
      </c>
      <c r="K12" s="9">
        <f>MIN(1,AVERAGE(MIN(B12/500000,1),MIN(C12/60,1),D12/5,E12/5,IF(F12="да",1,0),IF(G12="да",1,0),MIN(H12/50,1),MIN(I12/6,1),IF(J12&gt;0,1,0)))</f>
        <v>0.24740740740740744</v>
      </c>
      <c r="L12" s="18">
        <f>IF(K12&gt;=0.7,5,IF(K12&gt;=0.4,3,1))</f>
        <v>1</v>
      </c>
      <c r="M12" s="2" t="s">
        <v>536</v>
      </c>
    </row>
    <row r="13" spans="1:13" ht="99.75">
      <c r="A13" s="4" t="s">
        <v>406</v>
      </c>
      <c r="B13" s="10">
        <v>0</v>
      </c>
      <c r="C13" s="17">
        <v>10</v>
      </c>
      <c r="D13" s="17">
        <v>3</v>
      </c>
      <c r="E13" s="17">
        <v>0</v>
      </c>
      <c r="F13" s="4" t="s">
        <v>526</v>
      </c>
      <c r="G13" s="4" t="s">
        <v>526</v>
      </c>
      <c r="H13" s="4">
        <v>0</v>
      </c>
      <c r="I13" s="4">
        <v>0</v>
      </c>
      <c r="J13" s="4">
        <v>1</v>
      </c>
      <c r="K13" s="9">
        <f>MIN(1,AVERAGE(MIN(B13/500000,1),MIN(C13/60,1),D13/5,E13/5,IF(F13="да",1,0),IF(G13="да",1,0),MIN(H13/50,1),MIN(I13/6,1),IF(J13&gt;0,1,0)))</f>
        <v>0.1962962962962963</v>
      </c>
      <c r="L13" s="18">
        <f>IF(K13&gt;=0.7,5,IF(K13&gt;=0.4,3,1))</f>
        <v>1</v>
      </c>
      <c r="M13" s="2" t="s">
        <v>537</v>
      </c>
    </row>
    <row r="14" spans="1:13" ht="114">
      <c r="A14" s="4" t="s">
        <v>407</v>
      </c>
      <c r="B14" s="10">
        <v>0</v>
      </c>
      <c r="C14" s="17">
        <v>20</v>
      </c>
      <c r="D14" s="17">
        <v>3</v>
      </c>
      <c r="E14" s="17">
        <v>2</v>
      </c>
      <c r="F14" s="4" t="s">
        <v>526</v>
      </c>
      <c r="G14" s="4" t="s">
        <v>529</v>
      </c>
      <c r="H14" s="4">
        <v>3</v>
      </c>
      <c r="I14" s="4">
        <v>1</v>
      </c>
      <c r="J14" s="4">
        <v>0</v>
      </c>
      <c r="K14" s="9">
        <f>MIN(1,AVERAGE(MIN(B14/500000,1),MIN(C14/60,1),D14/5,E14/5,IF(F14="да",1,0),IF(G14="да",1,0),MIN(H14/50,1),MIN(I14/6,1),IF(J14&gt;0,1,0)))</f>
        <v>0.28444444444444444</v>
      </c>
      <c r="L14" s="18">
        <f>IF(K14&gt;=0.7,5,IF(K14&gt;=0.4,3,1))</f>
        <v>1</v>
      </c>
      <c r="M14" s="2" t="s">
        <v>538</v>
      </c>
    </row>
    <row r="15" spans="1:13" ht="156.75">
      <c r="A15" s="4" t="s">
        <v>408</v>
      </c>
      <c r="B15" s="10">
        <v>0</v>
      </c>
      <c r="C15" s="17">
        <v>10</v>
      </c>
      <c r="D15" s="17">
        <v>3</v>
      </c>
      <c r="E15" s="17">
        <v>1</v>
      </c>
      <c r="F15" s="4" t="s">
        <v>526</v>
      </c>
      <c r="G15" s="4" t="s">
        <v>526</v>
      </c>
      <c r="H15" s="4">
        <v>2</v>
      </c>
      <c r="I15" s="4">
        <v>0</v>
      </c>
      <c r="J15" s="4">
        <v>1</v>
      </c>
      <c r="K15" s="9">
        <f>MIN(1,AVERAGE(MIN(B15/500000,1),MIN(C15/60,1),D15/5,E15/5,IF(F15="да",1,0),IF(G15="да",1,0),MIN(H15/50,1),MIN(I15/6,1),IF(J15&gt;0,1,0)))</f>
        <v>0.22296296296296297</v>
      </c>
      <c r="L15" s="18">
        <f>IF(K15&gt;=0.7,5,IF(K15&gt;=0.4,3,1))</f>
        <v>1</v>
      </c>
      <c r="M15" s="2" t="s">
        <v>539</v>
      </c>
    </row>
    <row r="16" spans="1:13" ht="171">
      <c r="A16" s="4" t="s">
        <v>409</v>
      </c>
      <c r="B16" s="10">
        <v>72000000</v>
      </c>
      <c r="C16" s="17">
        <v>700</v>
      </c>
      <c r="D16" s="17">
        <v>4</v>
      </c>
      <c r="E16" s="17">
        <v>4</v>
      </c>
      <c r="F16" s="4" t="s">
        <v>529</v>
      </c>
      <c r="G16" s="4" t="s">
        <v>529</v>
      </c>
      <c r="H16" s="4">
        <v>50</v>
      </c>
      <c r="I16" s="4">
        <v>20</v>
      </c>
      <c r="J16" s="4">
        <v>0</v>
      </c>
      <c r="K16" s="9">
        <f>MIN(1,AVERAGE(MIN(B16/500000,1),MIN(C16/60,1),D16/5,E16/5,IF(F16="да",1,0),IF(G16="да",1,0),MIN(H16/50,1),MIN(I16/6,1),IF(J16&gt;0,1,0)))</f>
        <v>0.84444444444444444</v>
      </c>
      <c r="L16" s="18">
        <f>IF(K16&gt;=0.7,5,IF(K16&gt;=0.4,3,1))</f>
        <v>5</v>
      </c>
      <c r="M16" s="2" t="s">
        <v>540</v>
      </c>
    </row>
    <row r="17" spans="1:13" ht="142.5">
      <c r="A17" s="4" t="s">
        <v>410</v>
      </c>
      <c r="B17" s="10">
        <v>3000000</v>
      </c>
      <c r="C17" s="17">
        <v>100</v>
      </c>
      <c r="D17" s="17">
        <v>4</v>
      </c>
      <c r="E17" s="17">
        <v>3</v>
      </c>
      <c r="F17" s="4" t="s">
        <v>529</v>
      </c>
      <c r="G17" s="4" t="s">
        <v>529</v>
      </c>
      <c r="H17" s="4">
        <v>10</v>
      </c>
      <c r="I17" s="4">
        <v>3</v>
      </c>
      <c r="J17" s="4">
        <v>0</v>
      </c>
      <c r="K17" s="9">
        <f>MIN(1,AVERAGE(MIN(B17/500000,1),MIN(C17/60,1),D17/5,E17/5,IF(F17="да",1,0),IF(G17="да",1,0),MIN(H17/50,1),MIN(I17/6,1),IF(J17&gt;0,1,0)))</f>
        <v>0.67777777777777781</v>
      </c>
      <c r="L17" s="18">
        <f>IF(K17&gt;=0.7,5,IF(K17&gt;=0.4,3,1))</f>
        <v>3</v>
      </c>
      <c r="M17" s="2" t="s">
        <v>541</v>
      </c>
    </row>
    <row r="18" spans="1:13" ht="171">
      <c r="A18" s="4" t="s">
        <v>411</v>
      </c>
      <c r="B18" s="10">
        <v>476000000</v>
      </c>
      <c r="C18" s="17">
        <v>2000</v>
      </c>
      <c r="D18" s="17">
        <v>5</v>
      </c>
      <c r="E18" s="17">
        <v>5</v>
      </c>
      <c r="F18" s="4" t="s">
        <v>529</v>
      </c>
      <c r="G18" s="4" t="s">
        <v>529</v>
      </c>
      <c r="H18" s="4">
        <v>50</v>
      </c>
      <c r="I18" s="4">
        <v>50</v>
      </c>
      <c r="J18" s="4">
        <v>1</v>
      </c>
      <c r="K18" s="9">
        <f>MIN(1,AVERAGE(MIN(B18/500000,1),MIN(C18/60,1),D18/5,E18/5,IF(F18="да",1,0),IF(G18="да",1,0),MIN(H18/50,1),MIN(I18/6,1),IF(J18&gt;0,1,0)))</f>
        <v>1</v>
      </c>
      <c r="L18" s="18">
        <f>IF(K18&gt;=0.7,5,IF(K18&gt;=0.4,3,1))</f>
        <v>5</v>
      </c>
      <c r="M18" s="2" t="s">
        <v>542</v>
      </c>
    </row>
    <row r="19" spans="1:13" ht="114">
      <c r="A19" s="4" t="s">
        <v>412</v>
      </c>
      <c r="B19" s="10">
        <v>0</v>
      </c>
      <c r="C19" s="17">
        <v>5</v>
      </c>
      <c r="D19" s="17">
        <v>3</v>
      </c>
      <c r="E19" s="17">
        <v>1</v>
      </c>
      <c r="F19" s="4" t="s">
        <v>526</v>
      </c>
      <c r="G19" s="4" t="s">
        <v>529</v>
      </c>
      <c r="H19" s="4">
        <v>0</v>
      </c>
      <c r="I19" s="4">
        <v>0</v>
      </c>
      <c r="J19" s="4">
        <v>1</v>
      </c>
      <c r="K19" s="9">
        <f>MIN(1,AVERAGE(MIN(B19/500000,1),MIN(C19/60,1),D19/5,E19/5,IF(F19="да",1,0),IF(G19="да",1,0),MIN(H19/50,1),MIN(I19/6,1),IF(J19&gt;0,1,0)))</f>
        <v>0.32037037037037036</v>
      </c>
      <c r="L19" s="18">
        <f>IF(K19&gt;=0.7,5,IF(K19&gt;=0.4,3,1))</f>
        <v>1</v>
      </c>
      <c r="M19" s="2" t="s">
        <v>543</v>
      </c>
    </row>
    <row r="20" spans="1:13" ht="128.25">
      <c r="A20" s="4" t="s">
        <v>413</v>
      </c>
      <c r="B20" s="10">
        <v>0</v>
      </c>
      <c r="C20" s="17">
        <v>30</v>
      </c>
      <c r="D20" s="17">
        <v>3</v>
      </c>
      <c r="E20" s="17">
        <v>2</v>
      </c>
      <c r="F20" s="4" t="s">
        <v>526</v>
      </c>
      <c r="G20" s="4" t="s">
        <v>529</v>
      </c>
      <c r="H20" s="4">
        <v>2</v>
      </c>
      <c r="I20" s="4">
        <v>2</v>
      </c>
      <c r="J20" s="4">
        <v>1</v>
      </c>
      <c r="K20" s="9">
        <f>MIN(1,AVERAGE(MIN(B20/500000,1),MIN(C20/60,1),D20/5,E20/5,IF(F20="да",1,0),IF(G20="да",1,0),MIN(H20/50,1),MIN(I20/6,1),IF(J20&gt;0,1,0)))</f>
        <v>0.4303703703703704</v>
      </c>
      <c r="L20" s="18">
        <f>IF(K20&gt;=0.7,5,IF(K20&gt;=0.4,3,1))</f>
        <v>3</v>
      </c>
      <c r="M20" s="2" t="s">
        <v>544</v>
      </c>
    </row>
    <row r="21" spans="1:13" ht="85.5">
      <c r="A21" s="4" t="s">
        <v>414</v>
      </c>
      <c r="B21" s="10">
        <v>0</v>
      </c>
      <c r="C21" s="17">
        <v>5</v>
      </c>
      <c r="D21" s="17">
        <v>2</v>
      </c>
      <c r="E21" s="17">
        <v>1</v>
      </c>
      <c r="F21" s="4" t="s">
        <v>526</v>
      </c>
      <c r="G21" s="4" t="s">
        <v>529</v>
      </c>
      <c r="H21" s="4">
        <v>1</v>
      </c>
      <c r="I21" s="4">
        <v>0</v>
      </c>
      <c r="J21" s="4">
        <v>0</v>
      </c>
      <c r="K21" s="9">
        <f>MIN(1,AVERAGE(MIN(B21/500000,1),MIN(C21/60,1),D21/5,E21/5,IF(F21="да",1,0),IF(G21="да",1,0),MIN(H21/50,1),MIN(I21/6,1),IF(J21&gt;0,1,0)))</f>
        <v>0.18925925925925927</v>
      </c>
      <c r="L21" s="18">
        <f>IF(K21&gt;=0.7,5,IF(K21&gt;=0.4,3,1))</f>
        <v>1</v>
      </c>
      <c r="M21" s="2" t="s">
        <v>545</v>
      </c>
    </row>
    <row r="22" spans="1:13" ht="128.25">
      <c r="A22" s="4" t="s">
        <v>415</v>
      </c>
      <c r="B22" s="10">
        <v>4000000</v>
      </c>
      <c r="C22" s="17">
        <v>15</v>
      </c>
      <c r="D22" s="17">
        <v>3</v>
      </c>
      <c r="E22" s="17">
        <v>2</v>
      </c>
      <c r="F22" s="4" t="s">
        <v>526</v>
      </c>
      <c r="G22" s="4" t="s">
        <v>529</v>
      </c>
      <c r="H22" s="4">
        <v>5</v>
      </c>
      <c r="I22" s="4">
        <v>3</v>
      </c>
      <c r="J22" s="4">
        <v>1</v>
      </c>
      <c r="K22" s="9">
        <f>MIN(1,AVERAGE(MIN(B22/500000,1),MIN(C22/60,1),D22/5,E22/5,IF(F22="да",1,0),IF(G22="да",1,0),MIN(H22/50,1),MIN(I22/6,1),IF(J22&gt;0,1,0)))</f>
        <v>0.53888888888888886</v>
      </c>
      <c r="L22" s="18">
        <f>IF(K22&gt;=0.7,5,IF(K22&gt;=0.4,3,1))</f>
        <v>3</v>
      </c>
      <c r="M22" s="2" t="s">
        <v>546</v>
      </c>
    </row>
    <row r="23" spans="1:13">
      <c r="A23" s="4"/>
      <c r="B23" s="10"/>
      <c r="C23" s="17"/>
      <c r="D23" s="17"/>
      <c r="E23" s="17"/>
      <c r="F23" s="4"/>
      <c r="G23" s="4"/>
      <c r="H23" s="4"/>
      <c r="I23" s="4"/>
      <c r="J23" s="4"/>
      <c r="K23" s="9"/>
      <c r="L23" s="18"/>
      <c r="M23" s="2"/>
    </row>
    <row r="24" spans="1:13">
      <c r="A24" s="4"/>
      <c r="B24" s="10"/>
      <c r="C24" s="17"/>
      <c r="D24" s="17"/>
      <c r="E24" s="17"/>
      <c r="F24" s="4"/>
      <c r="G24" s="4"/>
      <c r="H24" s="4"/>
      <c r="I24" s="4"/>
      <c r="J24" s="4"/>
      <c r="K24" s="9"/>
      <c r="L24" s="18"/>
      <c r="M24" s="2"/>
    </row>
    <row r="25" spans="1:13">
      <c r="A25" s="4"/>
      <c r="B25" s="10"/>
      <c r="C25" s="17"/>
      <c r="D25" s="17"/>
      <c r="E25" s="17"/>
      <c r="F25" s="4"/>
      <c r="G25" s="4"/>
      <c r="H25" s="4"/>
      <c r="I25" s="4"/>
      <c r="J25" s="4"/>
      <c r="K25" s="9"/>
      <c r="L25" s="18"/>
      <c r="M25" s="2"/>
    </row>
    <row r="26" spans="1:13">
      <c r="A26" s="4"/>
      <c r="B26" s="10"/>
      <c r="C26" s="17"/>
      <c r="D26" s="17"/>
      <c r="E26" s="17"/>
      <c r="F26" s="4"/>
      <c r="G26" s="4"/>
      <c r="H26" s="4"/>
      <c r="I26" s="4"/>
      <c r="J26" s="4"/>
      <c r="K26" s="9"/>
      <c r="L26" s="18"/>
      <c r="M26" s="2"/>
    </row>
    <row r="27" spans="1:13">
      <c r="A27" s="4"/>
      <c r="B27" s="10"/>
      <c r="C27" s="17"/>
      <c r="D27" s="17"/>
      <c r="E27" s="17"/>
      <c r="F27" s="4"/>
      <c r="G27" s="4"/>
      <c r="H27" s="4"/>
      <c r="I27" s="4"/>
      <c r="J27" s="4"/>
      <c r="K27" s="9"/>
      <c r="L27" s="18"/>
      <c r="M27" s="2"/>
    </row>
    <row r="28" spans="1:13">
      <c r="A28" s="4"/>
      <c r="B28" s="10"/>
      <c r="C28" s="17"/>
      <c r="D28" s="17"/>
      <c r="E28" s="17"/>
      <c r="F28" s="4"/>
      <c r="G28" s="4"/>
      <c r="H28" s="4"/>
      <c r="I28" s="4"/>
      <c r="J28" s="4"/>
      <c r="K28" s="9"/>
      <c r="L28" s="18"/>
      <c r="M28" s="2"/>
    </row>
    <row r="29" spans="1:13">
      <c r="A29" s="4"/>
      <c r="B29" s="10"/>
      <c r="C29" s="17"/>
      <c r="D29" s="17"/>
      <c r="E29" s="17"/>
      <c r="F29" s="4"/>
      <c r="G29" s="4"/>
      <c r="H29" s="4"/>
      <c r="I29" s="4"/>
      <c r="J29" s="4"/>
      <c r="K29" s="9"/>
      <c r="L29" s="18"/>
      <c r="M29" s="2"/>
    </row>
    <row r="30" spans="1:13">
      <c r="A30" s="4"/>
      <c r="B30" s="10"/>
      <c r="C30" s="17"/>
      <c r="D30" s="17"/>
      <c r="E30" s="17"/>
      <c r="F30" s="4"/>
      <c r="G30" s="4"/>
      <c r="H30" s="4"/>
      <c r="I30" s="4"/>
      <c r="J30" s="4"/>
      <c r="K30" s="9"/>
      <c r="L30" s="18"/>
      <c r="M30" s="2"/>
    </row>
    <row r="31" spans="1:13">
      <c r="A31" s="4"/>
      <c r="B31" s="10"/>
      <c r="C31" s="17"/>
      <c r="D31" s="17"/>
      <c r="E31" s="17"/>
      <c r="F31" s="4"/>
      <c r="G31" s="4"/>
      <c r="H31" s="4"/>
      <c r="I31" s="4"/>
      <c r="J31" s="4"/>
      <c r="K31" s="9"/>
      <c r="L31" s="18"/>
      <c r="M31" s="2"/>
    </row>
    <row r="32" spans="1:13">
      <c r="A32" s="4"/>
      <c r="B32" s="10"/>
      <c r="C32" s="17"/>
      <c r="D32" s="17"/>
      <c r="E32" s="17"/>
      <c r="F32" s="4"/>
      <c r="G32" s="4"/>
      <c r="H32" s="4"/>
      <c r="I32" s="4"/>
      <c r="J32" s="4"/>
      <c r="K32" s="9"/>
      <c r="L32" s="18"/>
      <c r="M32" s="2"/>
    </row>
    <row r="33" spans="1:13">
      <c r="A33" s="4"/>
      <c r="B33" s="10"/>
      <c r="C33" s="17"/>
      <c r="D33" s="17"/>
      <c r="E33" s="17"/>
      <c r="F33" s="4"/>
      <c r="G33" s="4"/>
      <c r="H33" s="4"/>
      <c r="I33" s="4"/>
      <c r="J33" s="4"/>
      <c r="K33" s="9"/>
      <c r="L33" s="18"/>
      <c r="M33" s="2"/>
    </row>
    <row r="36" spans="1:13" ht="33.950000000000003" customHeight="1">
      <c r="A36" s="1" t="s">
        <v>191</v>
      </c>
      <c r="B36" s="1" t="s">
        <v>57</v>
      </c>
      <c r="C36" s="1" t="s">
        <v>192</v>
      </c>
      <c r="D36" s="1" t="s">
        <v>120</v>
      </c>
    </row>
    <row r="37" spans="1:13">
      <c r="A37" t="s">
        <v>229</v>
      </c>
      <c r="B37" s="13">
        <f>AVERAGE(K4:K33)</f>
        <v>0.35869395711500979</v>
      </c>
      <c r="C37" t="str">
        <f>IF(B37&gt;=0.7,"высокая",IF(B37&gt;=0.4,"средняя","низкая"))</f>
        <v>низкая</v>
      </c>
      <c r="D37" t="s">
        <v>230</v>
      </c>
    </row>
    <row r="38" spans="1:13">
      <c r="A38" t="s">
        <v>231</v>
      </c>
      <c r="B38" s="13">
        <f>SUMPRODUCT(--(((F4:F33="да")+(G4:G33="да"))&gt;0))/COUNTA(A4:A33)</f>
        <v>0.52631578947368418</v>
      </c>
      <c r="C38" t="str">
        <f>IF(B38&gt;=0.75,"высокая цифровая зрелость",IF(B38&gt;=0.35,"средняя цифровая зрелость","низкая цифровая зрелость"))</f>
        <v>средняя цифровая зрелость</v>
      </c>
      <c r="D38" t="s">
        <v>232</v>
      </c>
    </row>
  </sheetData>
  <mergeCells count="2">
    <mergeCell ref="A1:M1"/>
    <mergeCell ref="A2:M2"/>
  </mergeCells>
  <conditionalFormatting sqref="L4:L33">
    <cfRule type="colorScale" priority="1">
      <colorScale>
        <cfvo type="min"/>
        <cfvo type="percentile" val="50"/>
        <cfvo type="max"/>
        <color rgb="FFD9EAD3"/>
        <color rgb="FFFFF2CC"/>
        <color rgb="FFF4CCCC"/>
      </colorScale>
    </cfRule>
  </conditionalFormatting>
  <dataValidations count="1">
    <dataValidation type="list" sqref="F4:G33" xr:uid="{00000000-0002-0000-0600-000000000000}">
      <formula1>"да,нет"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3"/>
  <sheetViews>
    <sheetView workbookViewId="0"/>
  </sheetViews>
  <sheetFormatPr defaultRowHeight="14.25"/>
  <cols>
    <col min="1" max="2" width="28" customWidth="1"/>
    <col min="3" max="3" width="16" customWidth="1"/>
    <col min="4" max="4" width="14" customWidth="1"/>
    <col min="5" max="5" width="10" customWidth="1"/>
    <col min="6" max="6" width="14" customWidth="1"/>
    <col min="7" max="7" width="18" customWidth="1"/>
    <col min="8" max="9" width="42" customWidth="1"/>
  </cols>
  <sheetData>
    <row r="1" spans="1:9" ht="30" customHeight="1">
      <c r="A1" s="25" t="s">
        <v>233</v>
      </c>
      <c r="B1" s="25"/>
      <c r="C1" s="25"/>
      <c r="D1" s="25"/>
      <c r="E1" s="25"/>
      <c r="F1" s="25"/>
      <c r="G1" s="25"/>
      <c r="H1" s="25"/>
      <c r="I1" s="25"/>
    </row>
    <row r="2" spans="1:9" ht="32.1" customHeight="1">
      <c r="A2" s="26" t="s">
        <v>234</v>
      </c>
      <c r="B2" s="26"/>
      <c r="C2" s="26"/>
      <c r="D2" s="26"/>
      <c r="E2" s="26"/>
      <c r="F2" s="26"/>
      <c r="G2" s="26"/>
      <c r="H2" s="26"/>
      <c r="I2" s="26"/>
    </row>
    <row r="3" spans="1:9" ht="33.950000000000003" customHeight="1">
      <c r="A3" s="1" t="s">
        <v>235</v>
      </c>
      <c r="B3" s="1" t="s">
        <v>236</v>
      </c>
      <c r="C3" s="1" t="s">
        <v>57</v>
      </c>
      <c r="D3" s="1" t="s">
        <v>136</v>
      </c>
      <c r="E3" s="1" t="s">
        <v>237</v>
      </c>
      <c r="F3" s="1" t="s">
        <v>238</v>
      </c>
      <c r="G3" s="1" t="s">
        <v>239</v>
      </c>
      <c r="H3" s="1" t="s">
        <v>240</v>
      </c>
      <c r="I3" s="1" t="s">
        <v>241</v>
      </c>
    </row>
    <row r="4" spans="1:9" ht="28.5">
      <c r="A4" s="2" t="s">
        <v>242</v>
      </c>
      <c r="B4" s="2" t="s">
        <v>243</v>
      </c>
      <c r="C4" s="9">
        <f>'02_Конкуренты_SW'!B38</f>
        <v>0.85772656225577837</v>
      </c>
      <c r="D4" s="20">
        <f>IF(OR('02_Конкуренты_SW'!B38&gt;='01_Параметры'!B11,'02_Конкуренты_SW'!B40&gt;='01_Параметры'!B13),5,IF(OR('02_Конкуренты_SW'!B38&gt;='01_Параметры'!B11*0.65,'02_Конкуренты_SW'!B40&gt;='01_Параметры'!B13*0.65),3,1))</f>
        <v>5</v>
      </c>
      <c r="E4" s="21">
        <v>0.16</v>
      </c>
      <c r="F4" s="22">
        <f t="shared" ref="F4:F12" si="0">D4*E4</f>
        <v>0.8</v>
      </c>
      <c r="G4" s="2" t="str">
        <f t="shared" ref="G4:G12" si="1">IF(D4&gt;=5,"высокое",IF(D4&gt;=3,"среднее","низкое"))</f>
        <v>высокое</v>
      </c>
      <c r="H4" s="2" t="s">
        <v>244</v>
      </c>
      <c r="I4" s="2" t="s">
        <v>245</v>
      </c>
    </row>
    <row r="5" spans="1:9" ht="28.5">
      <c r="A5" s="2" t="s">
        <v>246</v>
      </c>
      <c r="B5" s="2" t="s">
        <v>247</v>
      </c>
      <c r="C5" s="9">
        <f>'03_Каналы_трафика'!C5</f>
        <v>0.1856149238345737</v>
      </c>
      <c r="D5" s="20">
        <f>'03_Каналы_трафика'!E5</f>
        <v>1</v>
      </c>
      <c r="E5" s="21">
        <v>0.12</v>
      </c>
      <c r="F5" s="22">
        <f t="shared" si="0"/>
        <v>0.12</v>
      </c>
      <c r="G5" s="2" t="str">
        <f t="shared" si="1"/>
        <v>низкое</v>
      </c>
      <c r="H5" s="2" t="s">
        <v>248</v>
      </c>
      <c r="I5" s="2" t="s">
        <v>249</v>
      </c>
    </row>
    <row r="6" spans="1:9" ht="28.5">
      <c r="A6" s="2" t="s">
        <v>250</v>
      </c>
      <c r="B6" s="2" t="s">
        <v>251</v>
      </c>
      <c r="C6" s="9">
        <f>AVERAGE('03_Каналы_трафика'!C6,'04_Поиск_реклама'!B37)</f>
        <v>0.17543748305364212</v>
      </c>
      <c r="D6" s="20">
        <f>IF(C6&gt;=0.6,5,IF(C6&gt;=0.35,3,1))</f>
        <v>1</v>
      </c>
      <c r="E6" s="21">
        <v>0.12</v>
      </c>
      <c r="F6" s="22">
        <f t="shared" si="0"/>
        <v>0.12</v>
      </c>
      <c r="G6" s="2" t="str">
        <f t="shared" si="1"/>
        <v>низкое</v>
      </c>
      <c r="H6" s="2" t="s">
        <v>252</v>
      </c>
      <c r="I6" s="2" t="s">
        <v>253</v>
      </c>
    </row>
    <row r="7" spans="1:9" ht="28.5">
      <c r="A7" s="2" t="s">
        <v>254</v>
      </c>
      <c r="B7" s="2" t="s">
        <v>255</v>
      </c>
      <c r="C7" s="9">
        <f>'03_Каналы_трафика'!C10</f>
        <v>0.70644796938573218</v>
      </c>
      <c r="D7" s="20">
        <f>'03_Каналы_трафика'!E10</f>
        <v>5</v>
      </c>
      <c r="E7" s="21">
        <v>0.12</v>
      </c>
      <c r="F7" s="22">
        <f t="shared" si="0"/>
        <v>0.6</v>
      </c>
      <c r="G7" s="2" t="str">
        <f t="shared" si="1"/>
        <v>высокое</v>
      </c>
      <c r="H7" s="2" t="s">
        <v>256</v>
      </c>
      <c r="I7" s="2" t="s">
        <v>257</v>
      </c>
    </row>
    <row r="8" spans="1:9" ht="28.5">
      <c r="A8" s="2" t="s">
        <v>258</v>
      </c>
      <c r="B8" s="2" t="s">
        <v>259</v>
      </c>
      <c r="C8" s="9">
        <f>'04_Поиск_реклама'!B37</f>
        <v>0.34339999999999998</v>
      </c>
      <c r="D8" s="20">
        <f>IF(C8&gt;=0.7,5,IF(C8&gt;=0.4,3,1))</f>
        <v>1</v>
      </c>
      <c r="E8" s="21">
        <v>0.12</v>
      </c>
      <c r="F8" s="22">
        <f t="shared" si="0"/>
        <v>0.12</v>
      </c>
      <c r="G8" s="2" t="str">
        <f t="shared" si="1"/>
        <v>низкое</v>
      </c>
      <c r="H8" s="2" t="s">
        <v>260</v>
      </c>
      <c r="I8" s="2" t="s">
        <v>261</v>
      </c>
    </row>
    <row r="9" spans="1:9" ht="28.5">
      <c r="A9" s="2" t="s">
        <v>262</v>
      </c>
      <c r="B9" s="2" t="s">
        <v>263</v>
      </c>
      <c r="C9" s="9">
        <f>'05_Отзывы_рейтинги'!B37</f>
        <v>0.35675438596491238</v>
      </c>
      <c r="D9" s="20">
        <f>IF(C9&gt;=0.7,5,IF(C9&gt;=0.4,3,1))</f>
        <v>1</v>
      </c>
      <c r="E9" s="21">
        <v>0.12</v>
      </c>
      <c r="F9" s="22">
        <f t="shared" si="0"/>
        <v>0.12</v>
      </c>
      <c r="G9" s="2" t="str">
        <f t="shared" si="1"/>
        <v>низкое</v>
      </c>
      <c r="H9" s="2" t="s">
        <v>264</v>
      </c>
      <c r="I9" s="2" t="s">
        <v>265</v>
      </c>
    </row>
    <row r="10" spans="1:9" ht="42.75">
      <c r="A10" s="2" t="s">
        <v>266</v>
      </c>
      <c r="B10" s="2" t="s">
        <v>267</v>
      </c>
      <c r="C10" s="9">
        <f>'06_Технологии_финансы'!B37</f>
        <v>0.35869395711500979</v>
      </c>
      <c r="D10" s="20">
        <f>IF(C10&gt;=0.7,5,IF(C10&gt;=0.4,3,1))</f>
        <v>1</v>
      </c>
      <c r="E10" s="21">
        <v>0.12</v>
      </c>
      <c r="F10" s="22">
        <f t="shared" si="0"/>
        <v>0.12</v>
      </c>
      <c r="G10" s="2" t="str">
        <f t="shared" si="1"/>
        <v>низкое</v>
      </c>
      <c r="H10" s="2" t="s">
        <v>268</v>
      </c>
      <c r="I10" s="2" t="s">
        <v>269</v>
      </c>
    </row>
    <row r="11" spans="1:9" ht="28.5">
      <c r="A11" s="2" t="s">
        <v>270</v>
      </c>
      <c r="B11" s="2" t="s">
        <v>271</v>
      </c>
      <c r="C11" s="11">
        <v>0.33</v>
      </c>
      <c r="D11" s="22">
        <f>IF(C11&gt;=0.7,5,IF(C11&gt;=0.4,3,1))</f>
        <v>1</v>
      </c>
      <c r="E11" s="21">
        <v>0.08</v>
      </c>
      <c r="F11" s="22">
        <f t="shared" si="0"/>
        <v>0.08</v>
      </c>
      <c r="G11" s="2" t="str">
        <f t="shared" si="1"/>
        <v>низкое</v>
      </c>
      <c r="H11" s="2" t="s">
        <v>272</v>
      </c>
      <c r="I11" s="2" t="s">
        <v>273</v>
      </c>
    </row>
    <row r="12" spans="1:9" ht="28.5">
      <c r="A12" s="2" t="s">
        <v>274</v>
      </c>
      <c r="B12" s="2" t="s">
        <v>275</v>
      </c>
      <c r="C12" s="11">
        <v>0.6</v>
      </c>
      <c r="D12" s="22">
        <f>IF(C12&gt;=0.7,5,IF(C12&gt;=0.4,3,1))</f>
        <v>3</v>
      </c>
      <c r="E12" s="21">
        <v>0.08</v>
      </c>
      <c r="F12" s="22">
        <f t="shared" si="0"/>
        <v>0.24</v>
      </c>
      <c r="G12" s="2" t="str">
        <f t="shared" si="1"/>
        <v>среднее</v>
      </c>
      <c r="H12" s="2" t="s">
        <v>276</v>
      </c>
      <c r="I12" s="2" t="s">
        <v>277</v>
      </c>
    </row>
    <row r="13" spans="1:9" ht="28.5">
      <c r="A13" s="2" t="s">
        <v>278</v>
      </c>
      <c r="B13" s="2"/>
      <c r="C13" s="8">
        <f>SUM(F4:F12)</f>
        <v>2.3200000000000003</v>
      </c>
      <c r="D13" s="22">
        <f>C13</f>
        <v>2.3200000000000003</v>
      </c>
      <c r="E13" s="21">
        <f>SUM(E4:E12)</f>
        <v>1.04</v>
      </c>
      <c r="F13" s="22">
        <f>SUM(F4:F12)</f>
        <v>2.3200000000000003</v>
      </c>
      <c r="G13" s="2" t="str">
        <f>IF(F13&gt;=4,"высокие барьеры",IF(F13&gt;=2.5,"средние барьеры","низкие барьеры"))</f>
        <v>низкие барьеры</v>
      </c>
      <c r="H13" s="2" t="s">
        <v>279</v>
      </c>
      <c r="I13" s="2" t="s">
        <v>280</v>
      </c>
    </row>
  </sheetData>
  <mergeCells count="2">
    <mergeCell ref="A1:I1"/>
    <mergeCell ref="A2:I2"/>
  </mergeCells>
  <conditionalFormatting sqref="D4:D13">
    <cfRule type="colorScale" priority="1">
      <colorScale>
        <cfvo type="min"/>
        <cfvo type="percentile" val="50"/>
        <cfvo type="max"/>
        <color rgb="FFD9EAD3"/>
        <color rgb="FFFFF2CC"/>
        <color rgb="FFF4CCCC"/>
      </colorScale>
    </cfRule>
  </conditionalFormatting>
  <conditionalFormatting sqref="F4:F13">
    <cfRule type="colorScale" priority="2">
      <colorScale>
        <cfvo type="min"/>
        <cfvo type="percentile" val="50"/>
        <cfvo type="max"/>
        <color rgb="FFD9EAD3"/>
        <color rgb="FFFFF2CC"/>
        <color rgb="FFF4CCCC"/>
      </colorScale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20"/>
  <sheetViews>
    <sheetView workbookViewId="0"/>
  </sheetViews>
  <sheetFormatPr defaultRowHeight="14.25"/>
  <cols>
    <col min="1" max="1" width="34" customWidth="1"/>
    <col min="2" max="2" width="20" customWidth="1"/>
    <col min="3" max="3" width="14" customWidth="1"/>
    <col min="4" max="4" width="60" customWidth="1"/>
    <col min="6" max="6" width="20" customWidth="1"/>
    <col min="7" max="12" width="14" customWidth="1"/>
  </cols>
  <sheetData>
    <row r="1" spans="1:12" ht="30" customHeight="1">
      <c r="A1" s="25" t="s">
        <v>281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spans="1:12" ht="32.1" customHeight="1">
      <c r="A2" s="26" t="s">
        <v>282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</row>
    <row r="3" spans="1:12">
      <c r="A3" t="s">
        <v>493</v>
      </c>
    </row>
    <row r="4" spans="1:12" ht="33.950000000000003" customHeight="1">
      <c r="A4" s="1" t="s">
        <v>283</v>
      </c>
      <c r="B4" s="1" t="s">
        <v>57</v>
      </c>
      <c r="C4" s="1" t="s">
        <v>58</v>
      </c>
      <c r="D4" s="1" t="s">
        <v>120</v>
      </c>
      <c r="F4" s="1" t="s">
        <v>284</v>
      </c>
      <c r="G4" s="1" t="s">
        <v>285</v>
      </c>
      <c r="H4" s="1" t="s">
        <v>237</v>
      </c>
      <c r="I4" s="1" t="s">
        <v>238</v>
      </c>
    </row>
    <row r="5" spans="1:12" ht="28.5">
      <c r="A5" s="2" t="s">
        <v>286</v>
      </c>
      <c r="B5" s="22">
        <f>'07_Барьеры_входа'!F13</f>
        <v>2.3200000000000003</v>
      </c>
      <c r="C5" s="2" t="s">
        <v>287</v>
      </c>
      <c r="D5" s="2" t="str">
        <f>IF(B5&gt;=4,"Рынок труден для входа: нужны ресурсы, нишевание или сильное отличие.",IF(B5&gt;=2.5,"Вход возможен, но требует проверки каналов и позиционирования.","Барьеры относительно низкие, но требуется проверка платежеспособности."))</f>
        <v>Барьеры относительно низкие, но требуется проверка платежеспособности.</v>
      </c>
      <c r="F5" s="2" t="s">
        <v>242</v>
      </c>
      <c r="G5" s="22">
        <f>'07_Барьеры_входа'!D4</f>
        <v>5</v>
      </c>
      <c r="H5" s="22">
        <f>'07_Барьеры_входа'!E4</f>
        <v>0.16</v>
      </c>
      <c r="I5" s="22">
        <f>'07_Барьеры_входа'!F4</f>
        <v>0.8</v>
      </c>
    </row>
    <row r="6" spans="1:12">
      <c r="A6" s="2" t="s">
        <v>288</v>
      </c>
      <c r="B6" s="2" t="str">
        <f>'07_Барьеры_входа'!G13</f>
        <v>низкие барьеры</v>
      </c>
      <c r="C6" s="2"/>
      <c r="D6" s="2"/>
      <c r="F6" s="2" t="s">
        <v>289</v>
      </c>
      <c r="G6" s="22">
        <f>'07_Барьеры_входа'!D5</f>
        <v>1</v>
      </c>
      <c r="H6" s="22">
        <f>'07_Барьеры_входа'!E5</f>
        <v>0.12</v>
      </c>
      <c r="I6" s="22">
        <f>'07_Барьеры_входа'!F5</f>
        <v>0.12</v>
      </c>
    </row>
    <row r="7" spans="1:12">
      <c r="A7" s="2" t="s">
        <v>290</v>
      </c>
      <c r="B7" s="8">
        <f>'02_Конкуренты_SW'!B38</f>
        <v>0.85772656225577837</v>
      </c>
      <c r="C7" s="2" t="s">
        <v>80</v>
      </c>
      <c r="D7" s="2" t="str">
        <f>IF(B7&gt;='01_Параметры'!B11,"Высокая концентрация лидеров",IF(B7&gt;='01_Параметры'!B11*0.65,"Средняя концентрация","Низкая концентрация"))</f>
        <v>Высокая концентрация лидеров</v>
      </c>
      <c r="F7" s="2" t="s">
        <v>291</v>
      </c>
      <c r="G7" s="22">
        <f>'07_Барьеры_входа'!D6</f>
        <v>1</v>
      </c>
      <c r="H7" s="22">
        <f>'07_Барьеры_входа'!E6</f>
        <v>0.12</v>
      </c>
      <c r="I7" s="22">
        <f>'07_Барьеры_входа'!F6</f>
        <v>0.12</v>
      </c>
    </row>
    <row r="8" spans="1:12">
      <c r="A8" s="2" t="s">
        <v>292</v>
      </c>
      <c r="B8" s="23">
        <f>'02_Конкуренты_SW'!B40</f>
        <v>3869.0205006645256</v>
      </c>
      <c r="C8" s="2" t="s">
        <v>85</v>
      </c>
      <c r="D8" s="2"/>
      <c r="F8" s="2" t="s">
        <v>173</v>
      </c>
      <c r="G8" s="22">
        <f>'07_Барьеры_входа'!D7</f>
        <v>5</v>
      </c>
      <c r="H8" s="22">
        <f>'07_Барьеры_входа'!E7</f>
        <v>0.12</v>
      </c>
      <c r="I8" s="22">
        <f>'07_Барьеры_входа'!F7</f>
        <v>0.6</v>
      </c>
    </row>
    <row r="9" spans="1:12" ht="28.5">
      <c r="A9" s="2" t="s">
        <v>293</v>
      </c>
      <c r="B9" s="8">
        <f>'04_Поиск_реклама'!B37</f>
        <v>0.34339999999999998</v>
      </c>
      <c r="C9" s="2" t="s">
        <v>80</v>
      </c>
      <c r="D9" s="2"/>
      <c r="F9" s="2" t="s">
        <v>294</v>
      </c>
      <c r="G9" s="22">
        <f>'07_Барьеры_входа'!D8</f>
        <v>1</v>
      </c>
      <c r="H9" s="22">
        <f>'07_Барьеры_входа'!E8</f>
        <v>0.12</v>
      </c>
      <c r="I9" s="22">
        <f>'07_Барьеры_входа'!F8</f>
        <v>0.12</v>
      </c>
    </row>
    <row r="10" spans="1:12" ht="28.5">
      <c r="A10" s="2" t="s">
        <v>213</v>
      </c>
      <c r="B10" s="8">
        <f>'05_Отзывы_рейтинги'!B37</f>
        <v>0.35675438596491238</v>
      </c>
      <c r="C10" s="2" t="s">
        <v>80</v>
      </c>
      <c r="D10" s="2"/>
      <c r="F10" s="2" t="s">
        <v>295</v>
      </c>
      <c r="G10" s="22">
        <f>'07_Барьеры_входа'!D9</f>
        <v>1</v>
      </c>
      <c r="H10" s="22">
        <f>'07_Барьеры_входа'!E9</f>
        <v>0.12</v>
      </c>
      <c r="I10" s="22">
        <f>'07_Барьеры_входа'!F9</f>
        <v>0.12</v>
      </c>
    </row>
    <row r="11" spans="1:12">
      <c r="A11" s="2" t="s">
        <v>229</v>
      </c>
      <c r="B11" s="8">
        <f>'06_Технологии_финансы'!B37</f>
        <v>0.35869395711500979</v>
      </c>
      <c r="C11" s="2" t="s">
        <v>80</v>
      </c>
      <c r="D11" s="2"/>
      <c r="F11" s="2" t="s">
        <v>296</v>
      </c>
      <c r="G11" s="22">
        <f>'07_Барьеры_входа'!D10</f>
        <v>1</v>
      </c>
      <c r="H11" s="22">
        <f>'07_Барьеры_входа'!E10</f>
        <v>0.12</v>
      </c>
      <c r="I11" s="22">
        <f>'07_Барьеры_входа'!F10</f>
        <v>0.12</v>
      </c>
    </row>
    <row r="12" spans="1:12">
      <c r="F12" s="2" t="s">
        <v>297</v>
      </c>
      <c r="G12" s="22">
        <f>'07_Барьеры_входа'!D11</f>
        <v>1</v>
      </c>
      <c r="H12" s="22">
        <f>'07_Барьеры_входа'!E11</f>
        <v>0.08</v>
      </c>
      <c r="I12" s="22">
        <f>'07_Барьеры_входа'!F11</f>
        <v>0.08</v>
      </c>
    </row>
    <row r="13" spans="1:12">
      <c r="F13" s="2" t="s">
        <v>298</v>
      </c>
      <c r="G13" s="22">
        <f>'07_Барьеры_входа'!D12</f>
        <v>3</v>
      </c>
      <c r="H13" s="22">
        <f>'07_Барьеры_входа'!E12</f>
        <v>0.08</v>
      </c>
      <c r="I13" s="22">
        <f>'07_Барьеры_входа'!F12</f>
        <v>0.24</v>
      </c>
    </row>
    <row r="14" spans="1:12" ht="27.95" customHeight="1">
      <c r="A14" s="27" t="s">
        <v>299</v>
      </c>
      <c r="B14" s="27"/>
      <c r="C14" s="27"/>
      <c r="D14" s="27"/>
    </row>
    <row r="15" spans="1:12">
      <c r="A15" s="29" t="s">
        <v>494</v>
      </c>
      <c r="B15" s="29"/>
      <c r="C15" s="29"/>
      <c r="D15" s="29"/>
    </row>
    <row r="16" spans="1:12">
      <c r="A16" s="29"/>
      <c r="B16" s="29"/>
      <c r="C16" s="29"/>
      <c r="D16" s="29"/>
    </row>
    <row r="17" spans="1:4">
      <c r="A17" s="29"/>
      <c r="B17" s="29"/>
      <c r="C17" s="29"/>
      <c r="D17" s="29"/>
    </row>
    <row r="18" spans="1:4">
      <c r="A18" s="29"/>
      <c r="B18" s="29"/>
      <c r="C18" s="29"/>
      <c r="D18" s="29"/>
    </row>
    <row r="19" spans="1:4">
      <c r="A19" s="29"/>
      <c r="B19" s="29"/>
      <c r="C19" s="29"/>
      <c r="D19" s="29"/>
    </row>
    <row r="20" spans="1:4">
      <c r="A20" s="29"/>
      <c r="B20" s="29"/>
      <c r="C20" s="29"/>
      <c r="D20" s="29"/>
    </row>
  </sheetData>
  <mergeCells count="4">
    <mergeCell ref="A1:L1"/>
    <mergeCell ref="A2:L2"/>
    <mergeCell ref="A14:D14"/>
    <mergeCell ref="A15:D20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3"/>
  <sheetViews>
    <sheetView workbookViewId="0">
      <selection activeCell="A20" sqref="A20:G23"/>
    </sheetView>
  </sheetViews>
  <sheetFormatPr defaultRowHeight="14.25"/>
  <cols>
    <col min="1" max="1" width="24" customWidth="1"/>
    <col min="2" max="2" width="42" customWidth="1"/>
    <col min="3" max="3" width="48" customWidth="1"/>
    <col min="4" max="4" width="36" customWidth="1"/>
    <col min="5" max="5" width="32" customWidth="1"/>
    <col min="6" max="6" width="16" customWidth="1"/>
    <col min="7" max="7" width="44" customWidth="1"/>
  </cols>
  <sheetData>
    <row r="1" spans="1:7" ht="30" customHeight="1">
      <c r="A1" s="25" t="s">
        <v>300</v>
      </c>
      <c r="B1" s="25"/>
      <c r="C1" s="25"/>
      <c r="D1" s="25"/>
      <c r="E1" s="25"/>
      <c r="F1" s="25"/>
      <c r="G1" s="25"/>
    </row>
    <row r="2" spans="1:7" ht="32.1" customHeight="1">
      <c r="A2" s="26" t="s">
        <v>301</v>
      </c>
      <c r="B2" s="26"/>
      <c r="C2" s="26"/>
      <c r="D2" s="26"/>
      <c r="E2" s="26"/>
      <c r="F2" s="26"/>
      <c r="G2" s="26"/>
    </row>
    <row r="3" spans="1:7" ht="33.950000000000003" customHeight="1">
      <c r="A3" s="1" t="s">
        <v>139</v>
      </c>
      <c r="B3" s="1" t="s">
        <v>302</v>
      </c>
      <c r="C3" s="1" t="s">
        <v>303</v>
      </c>
      <c r="D3" s="1" t="s">
        <v>304</v>
      </c>
      <c r="E3" s="1" t="s">
        <v>305</v>
      </c>
      <c r="F3" s="1" t="s">
        <v>306</v>
      </c>
      <c r="G3" s="1" t="s">
        <v>307</v>
      </c>
    </row>
    <row r="4" spans="1:7" ht="114">
      <c r="A4" s="2" t="s">
        <v>144</v>
      </c>
      <c r="B4" s="2" t="s">
        <v>308</v>
      </c>
      <c r="C4" s="2" t="s">
        <v>309</v>
      </c>
      <c r="D4" s="2" t="s">
        <v>310</v>
      </c>
      <c r="E4" s="2" t="s">
        <v>311</v>
      </c>
      <c r="F4" s="2" t="s">
        <v>495</v>
      </c>
      <c r="G4" s="2" t="s">
        <v>496</v>
      </c>
    </row>
    <row r="5" spans="1:7" ht="128.25">
      <c r="A5" s="2" t="s">
        <v>312</v>
      </c>
      <c r="B5" s="2" t="s">
        <v>313</v>
      </c>
      <c r="C5" s="2" t="s">
        <v>314</v>
      </c>
      <c r="D5" s="2" t="s">
        <v>315</v>
      </c>
      <c r="E5" s="2" t="s">
        <v>316</v>
      </c>
      <c r="F5" s="2" t="s">
        <v>472</v>
      </c>
      <c r="G5" s="2" t="s">
        <v>317</v>
      </c>
    </row>
    <row r="6" spans="1:7" ht="99.75">
      <c r="A6" s="2" t="s">
        <v>318</v>
      </c>
      <c r="B6" s="2" t="s">
        <v>319</v>
      </c>
      <c r="C6" s="2" t="s">
        <v>320</v>
      </c>
      <c r="D6" s="2" t="s">
        <v>321</v>
      </c>
      <c r="E6" s="2" t="s">
        <v>322</v>
      </c>
      <c r="F6" s="2" t="s">
        <v>457</v>
      </c>
      <c r="G6" s="2" t="s">
        <v>323</v>
      </c>
    </row>
    <row r="7" spans="1:7" ht="71.25">
      <c r="A7" s="2" t="s">
        <v>324</v>
      </c>
      <c r="B7" s="2" t="s">
        <v>325</v>
      </c>
      <c r="C7" s="2" t="s">
        <v>326</v>
      </c>
      <c r="D7" s="2" t="s">
        <v>327</v>
      </c>
      <c r="E7" s="2" t="s">
        <v>328</v>
      </c>
      <c r="F7" s="2" t="s">
        <v>458</v>
      </c>
      <c r="G7" s="2" t="s">
        <v>329</v>
      </c>
    </row>
    <row r="8" spans="1:7" ht="57">
      <c r="A8" s="2" t="s">
        <v>330</v>
      </c>
      <c r="B8" s="2" t="s">
        <v>331</v>
      </c>
      <c r="C8" s="2" t="s">
        <v>332</v>
      </c>
      <c r="D8" s="2" t="s">
        <v>333</v>
      </c>
      <c r="E8" s="2" t="s">
        <v>334</v>
      </c>
      <c r="F8" s="2" t="s">
        <v>459</v>
      </c>
      <c r="G8" s="2" t="s">
        <v>335</v>
      </c>
    </row>
    <row r="9" spans="1:7" ht="57">
      <c r="A9" s="2" t="s">
        <v>336</v>
      </c>
      <c r="B9" s="2" t="s">
        <v>337</v>
      </c>
      <c r="C9" s="2" t="s">
        <v>338</v>
      </c>
      <c r="D9" s="2" t="s">
        <v>339</v>
      </c>
      <c r="E9" s="2" t="s">
        <v>340</v>
      </c>
      <c r="F9" s="2" t="s">
        <v>471</v>
      </c>
      <c r="G9" s="2" t="s">
        <v>341</v>
      </c>
    </row>
    <row r="10" spans="1:7" ht="57">
      <c r="A10" s="2" t="s">
        <v>342</v>
      </c>
      <c r="B10" s="2" t="s">
        <v>343</v>
      </c>
      <c r="C10" s="2" t="s">
        <v>344</v>
      </c>
      <c r="D10" s="2" t="s">
        <v>345</v>
      </c>
      <c r="E10" s="2" t="s">
        <v>346</v>
      </c>
      <c r="F10" s="2" t="s">
        <v>460</v>
      </c>
      <c r="G10" s="2" t="s">
        <v>347</v>
      </c>
    </row>
    <row r="11" spans="1:7" ht="99.75">
      <c r="A11" s="2" t="s">
        <v>348</v>
      </c>
      <c r="B11" s="2" t="s">
        <v>349</v>
      </c>
      <c r="C11" s="2" t="s">
        <v>350</v>
      </c>
      <c r="D11" s="2" t="s">
        <v>351</v>
      </c>
      <c r="E11" s="2" t="s">
        <v>352</v>
      </c>
      <c r="F11" s="2" t="s">
        <v>461</v>
      </c>
      <c r="G11" s="2" t="s">
        <v>353</v>
      </c>
    </row>
    <row r="12" spans="1:7" ht="99.75">
      <c r="A12" s="2" t="s">
        <v>354</v>
      </c>
      <c r="B12" s="2" t="s">
        <v>355</v>
      </c>
      <c r="C12" s="2" t="s">
        <v>356</v>
      </c>
      <c r="D12" s="2" t="s">
        <v>351</v>
      </c>
      <c r="E12" s="2" t="s">
        <v>352</v>
      </c>
      <c r="F12" s="2" t="s">
        <v>461</v>
      </c>
      <c r="G12" s="2" t="s">
        <v>357</v>
      </c>
    </row>
    <row r="13" spans="1:7" ht="71.25">
      <c r="A13" s="2" t="s">
        <v>358</v>
      </c>
      <c r="B13" s="2" t="s">
        <v>359</v>
      </c>
      <c r="C13" s="2" t="s">
        <v>360</v>
      </c>
      <c r="D13" s="2" t="s">
        <v>361</v>
      </c>
      <c r="E13" s="2" t="s">
        <v>362</v>
      </c>
      <c r="F13" s="2" t="s">
        <v>462</v>
      </c>
      <c r="G13" s="2" t="s">
        <v>363</v>
      </c>
    </row>
    <row r="14" spans="1:7" ht="71.25">
      <c r="A14" s="2" t="s">
        <v>364</v>
      </c>
      <c r="B14" s="2" t="s">
        <v>365</v>
      </c>
      <c r="C14" s="2" t="s">
        <v>366</v>
      </c>
      <c r="D14" s="2" t="s">
        <v>361</v>
      </c>
      <c r="E14" s="2" t="s">
        <v>367</v>
      </c>
      <c r="F14" s="2" t="s">
        <v>462</v>
      </c>
      <c r="G14" s="2" t="s">
        <v>368</v>
      </c>
    </row>
    <row r="15" spans="1:7" ht="71.25">
      <c r="A15" s="2" t="s">
        <v>369</v>
      </c>
      <c r="B15" s="2" t="s">
        <v>370</v>
      </c>
      <c r="C15" s="2" t="s">
        <v>371</v>
      </c>
      <c r="D15" s="2" t="s">
        <v>372</v>
      </c>
      <c r="E15" s="2" t="s">
        <v>367</v>
      </c>
      <c r="F15" s="2" t="s">
        <v>462</v>
      </c>
      <c r="G15" s="2" t="s">
        <v>373</v>
      </c>
    </row>
    <row r="16" spans="1:7" ht="57">
      <c r="A16" s="2" t="s">
        <v>374</v>
      </c>
      <c r="B16" s="2" t="s">
        <v>375</v>
      </c>
      <c r="C16" s="2" t="s">
        <v>376</v>
      </c>
      <c r="D16" s="2" t="s">
        <v>377</v>
      </c>
      <c r="E16" s="2" t="s">
        <v>367</v>
      </c>
      <c r="F16" s="2" t="s">
        <v>463</v>
      </c>
      <c r="G16" s="2" t="s">
        <v>378</v>
      </c>
    </row>
    <row r="17" spans="1:7" ht="57">
      <c r="A17" s="2" t="s">
        <v>379</v>
      </c>
      <c r="B17" s="2" t="s">
        <v>380</v>
      </c>
      <c r="C17" s="2" t="s">
        <v>381</v>
      </c>
      <c r="D17" s="2" t="s">
        <v>382</v>
      </c>
      <c r="E17" s="2" t="s">
        <v>383</v>
      </c>
      <c r="F17" s="2" t="s">
        <v>464</v>
      </c>
      <c r="G17" s="2" t="s">
        <v>384</v>
      </c>
    </row>
    <row r="18" spans="1:7" ht="57">
      <c r="A18" s="2" t="s">
        <v>385</v>
      </c>
      <c r="B18" s="2" t="s">
        <v>386</v>
      </c>
      <c r="C18" s="2" t="s">
        <v>387</v>
      </c>
      <c r="D18" s="2" t="s">
        <v>388</v>
      </c>
      <c r="E18" s="2" t="s">
        <v>389</v>
      </c>
      <c r="F18" s="2" t="s">
        <v>465</v>
      </c>
      <c r="G18" s="2" t="s">
        <v>390</v>
      </c>
    </row>
    <row r="19" spans="1:7" ht="85.5">
      <c r="A19" s="2" t="s">
        <v>391</v>
      </c>
      <c r="B19" s="2" t="s">
        <v>392</v>
      </c>
      <c r="C19" s="2" t="s">
        <v>393</v>
      </c>
      <c r="D19" s="2" t="s">
        <v>394</v>
      </c>
      <c r="E19" s="2" t="s">
        <v>395</v>
      </c>
      <c r="F19" s="2" t="s">
        <v>466</v>
      </c>
      <c r="G19" s="2" t="s">
        <v>396</v>
      </c>
    </row>
    <row r="20" spans="1:7" ht="57">
      <c r="A20" s="2" t="s">
        <v>426</v>
      </c>
      <c r="B20" s="2" t="s">
        <v>427</v>
      </c>
      <c r="C20" s="2" t="s">
        <v>428</v>
      </c>
      <c r="D20" s="2" t="s">
        <v>429</v>
      </c>
      <c r="E20" s="2" t="s">
        <v>430</v>
      </c>
      <c r="F20" s="2" t="s">
        <v>467</v>
      </c>
      <c r="G20" s="2" t="s">
        <v>431</v>
      </c>
    </row>
    <row r="21" spans="1:7" ht="57">
      <c r="A21" s="2" t="s">
        <v>432</v>
      </c>
      <c r="B21" s="2" t="s">
        <v>433</v>
      </c>
      <c r="C21" s="2" t="s">
        <v>434</v>
      </c>
      <c r="D21" s="2" t="s">
        <v>435</v>
      </c>
      <c r="E21" s="2" t="s">
        <v>436</v>
      </c>
      <c r="F21" s="2" t="s">
        <v>468</v>
      </c>
      <c r="G21" s="2" t="s">
        <v>437</v>
      </c>
    </row>
    <row r="22" spans="1:7" ht="28.5">
      <c r="A22" s="2" t="s">
        <v>438</v>
      </c>
      <c r="B22" s="2" t="s">
        <v>439</v>
      </c>
      <c r="C22" s="2" t="s">
        <v>440</v>
      </c>
      <c r="D22" s="2" t="s">
        <v>441</v>
      </c>
      <c r="E22" s="2" t="s">
        <v>442</v>
      </c>
      <c r="F22" s="2" t="s">
        <v>469</v>
      </c>
      <c r="G22" s="2" t="s">
        <v>443</v>
      </c>
    </row>
    <row r="23" spans="1:7" ht="57">
      <c r="A23" s="2" t="s">
        <v>444</v>
      </c>
      <c r="B23" s="2" t="s">
        <v>445</v>
      </c>
      <c r="C23" s="2" t="s">
        <v>446</v>
      </c>
      <c r="D23" s="2" t="s">
        <v>447</v>
      </c>
      <c r="E23" s="2" t="s">
        <v>448</v>
      </c>
      <c r="F23" s="2" t="s">
        <v>470</v>
      </c>
      <c r="G23" s="2" t="s">
        <v>449</v>
      </c>
    </row>
  </sheetData>
  <mergeCells count="2">
    <mergeCell ref="A1:G1"/>
    <mergeCell ref="A2:G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00_Методика</vt:lpstr>
      <vt:lpstr>01_Параметры</vt:lpstr>
      <vt:lpstr>02_Конкуренты_SW</vt:lpstr>
      <vt:lpstr>03_Каналы_трафика</vt:lpstr>
      <vt:lpstr>04_Поиск_реклама</vt:lpstr>
      <vt:lpstr>05_Отзывы_рейтинги</vt:lpstr>
      <vt:lpstr>06_Технологии_финансы</vt:lpstr>
      <vt:lpstr>07_Барьеры_входа</vt:lpstr>
      <vt:lpstr>08_Дашборд</vt:lpstr>
      <vt:lpstr>09_Источники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К. А. Хаджинова</dc:creator>
  <cp:lastModifiedBy>Aliaksandr Khajynau</cp:lastModifiedBy>
  <dcterms:created xsi:type="dcterms:W3CDTF">2026-09-30T18:00:08Z</dcterms:created>
  <dcterms:modified xsi:type="dcterms:W3CDTF">2026-10-03T12:16:07Z</dcterms:modified>
</cp:coreProperties>
</file>