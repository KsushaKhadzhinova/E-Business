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_Данные_и_расчёт" state="visible" r:id="rId4"/>
    <sheet sheetId="2" name="02_Сезонность_по_месяцам" state="visible" r:id="rId5"/>
    <sheet sheetId="3" name="03_Декабрьский_спад" state="visible" r:id="rId6"/>
  </sheets>
  <calcPr calcId="171027"/>
</workbook>
</file>

<file path=xl/sharedStrings.xml><?xml version="1.0" encoding="utf-8"?>
<sst xmlns="http://schemas.openxmlformats.org/spreadsheetml/2006/main" count="75" uniqueCount="75">
  <si>
    <t>Google Trends: PlantUML vs text to diagram — реальные данные, снято 2026-09-17 (Worldwide, месячная выборка по первой доступной неделе месяца)</t>
  </si>
  <si>
    <t>Месяц</t>
  </si>
  <si>
    <t>PlantUML</t>
  </si>
  <si>
    <t>text to diagram</t>
  </si>
  <si>
    <t>Скользящее среднее PlantUML (3 мес.)</t>
  </si>
  <si>
    <t>Сезонное отклонение PlantUML (факт - скольз.средн.)</t>
  </si>
  <si>
    <t>YoY то же PlantUML к этому же месяцу год назад, %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</si>
  <si>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</si>
  <si>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</si>
  <si>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</si>
  <si>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</si>
  <si>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</si>
  <si>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</si>
  <si>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</si>
  <si>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</si>
  <si>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</si>
  <si>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</si>
  <si>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</si>
  <si>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</si>
  <si>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</si>
  <si>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</si>
  <si>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</si>
  <si>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</si>
  <si>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</si>
  <si>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</si>
  <si>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</si>
  <si>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</si>
  <si>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</si>
  <si>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</si>
  <si>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</si>
  <si>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</si>
  <si>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</si>
  <si>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</si>
  <si>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</si>
  <si>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</si>
  <si>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</si>
  <si>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</si>
  <si>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</si>
  <si>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</si>
  <si>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</si>
  <si>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</si>
  <si>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</si>
  <si>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</si>
  <si>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</si>
  <si>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</si>
  <si>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</si>
  <si>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</si>
  <si>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Точный рост PlantUML за весь период</t>
  </si>
  <si>
    <t>%, расчёт (2024-12 / 2021-09 - 1)*100</t>
  </si>
  <si>
    <t>Календарный месяц</t>
  </si>
  <si>
    <t>Среднее PlantUML по этому месяцу (2021-2024)</t>
  </si>
  <si>
    <t>Индекс сезонности (среднее месяца / среднее по году)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</si>
  <si>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</si>
  <si>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</si>
  <si>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</si>
  <si>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</si>
  <si>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</si>
  <si>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</si>
  <si>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</si>
  <si>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</si>
  <si>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</si>
  <si>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</si>
  <si>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</si>
  <si>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</si>
  <si>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Среднее по всем месяцам</t>
  </si>
  <si>
    <t/>
  </si>
  <si>
    <t>Ограничение: этот лист выбирает первую доступную неделю каждого месяца — реальный сезонный спад происходит именно в ПОСЛЕДНЮЮ неделю декабря (см. лист 03), поэтому усреднённый по месяцу индекс декабря здесь не показывает провала — это не ошибка расчёта, а следствие месячной выборки; точный эффект — на листе 03.</t>
  </si>
  <si>
    <t>Год</t>
  </si>
  <si>
    <t>PlantUML, последняя неделя декабря</t>
  </si>
  <si>
    <t>Среднее PlantUML за тот же квартал (Окт-Дек)</t>
  </si>
  <si>
    <t>Спад, %</t>
  </si>
  <si>
    <t>2021</t>
  </si>
  <si>
    <t>2022</t>
  </si>
  <si>
    <t>2023</t>
  </si>
  <si>
    <t>Источник: Google Trends, тот же замер PlantUML vs text to diagram, снято 2026-09-17. Спад повторяется 3 года подряд одного порядка (38-53%) — устойчивая сезонность, а не совпадение.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</si>
</sst>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F6F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164" fontId="0" fillId="0" borderId="0" xfId="0" applyNumberFormat="1"/>
    <xf numFmtId="164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FormatPr defaultRowHeight="15" outlineLevelRow="0" outlineLevelCol="0" x14ac:dyDescent="55"/>
  <cols>
    <col min="1" max="2" width="10" customWidth="1"/>
    <col min="3" max="3" width="14" customWidth="1"/>
    <col min="4" max="4" width="26" customWidth="1"/>
    <col min="5" max="6" width="3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3" x14ac:dyDescent="0.25">
      <c r="A3" t="s">
        <v>7</v>
      </c>
      <c r="B3">
        <v>16</v>
      </c>
      <c r="C3">
        <v>9</v>
      </c>
    </row>
    <row r="4" spans="1:3" x14ac:dyDescent="0.25">
      <c r="A4" t="s">
        <v>8</v>
      </c>
      <c r="B4">
        <v>20</v>
      </c>
      <c r="C4">
        <v>7</v>
      </c>
    </row>
    <row r="5" spans="1:5" x14ac:dyDescent="0.25">
      <c r="A5" t="s">
        <v>9</v>
      </c>
      <c r="B5">
        <v>21</v>
      </c>
      <c r="C5">
        <v>10</v>
      </c>
      <c r="D5" s="3">
        <f>AVERAGE(B3:B5)</f>
      </c>
      <c r="E5" s="3">
        <f>B5-D5</f>
      </c>
    </row>
    <row r="6" spans="1:5" x14ac:dyDescent="0.25">
      <c r="A6" t="s">
        <v>10</v>
      </c>
      <c r="B6">
        <v>20</v>
      </c>
      <c r="C6">
        <v>8</v>
      </c>
      <c r="D6" s="3">
        <f>AVERAGE(B4:B6)</f>
      </c>
      <c r="E6" s="3">
        <f>B6-D6</f>
      </c>
    </row>
    <row r="7" spans="1:5" x14ac:dyDescent="0.25">
      <c r="A7" t="s">
        <v>11</v>
      </c>
      <c r="B7">
        <v>22</v>
      </c>
      <c r="C7">
        <v>11</v>
      </c>
      <c r="D7" s="3">
        <f>AVERAGE(B5:B7)</f>
      </c>
      <c r="E7" s="3">
        <f>B7-D7</f>
      </c>
    </row>
    <row r="8" spans="1:5" x14ac:dyDescent="0.25">
      <c r="A8" t="s">
        <v>12</v>
      </c>
      <c r="B8">
        <v>28</v>
      </c>
      <c r="C8">
        <v>15</v>
      </c>
      <c r="D8" s="3">
        <f>AVERAGE(B6:B8)</f>
      </c>
      <c r="E8" s="3">
        <f>B8-D8</f>
      </c>
    </row>
    <row r="9" spans="1:5" x14ac:dyDescent="0.25">
      <c r="A9" t="s">
        <v>13</v>
      </c>
      <c r="B9">
        <v>25</v>
      </c>
      <c r="C9">
        <v>12</v>
      </c>
      <c r="D9" s="3">
        <f>AVERAGE(B7:B9)</f>
      </c>
      <c r="E9" s="3">
        <f>B9-D9</f>
      </c>
    </row>
    <row r="10" spans="1:5" x14ac:dyDescent="0.25">
      <c r="A10" t="s">
        <v>14</v>
      </c>
      <c r="B10">
        <v>25</v>
      </c>
      <c r="C10">
        <v>9</v>
      </c>
      <c r="D10" s="3">
        <f>AVERAGE(B8:B10)</f>
      </c>
      <c r="E10" s="3">
        <f>B10-D10</f>
      </c>
    </row>
    <row r="11" spans="1:5" x14ac:dyDescent="0.25">
      <c r="A11" t="s">
        <v>15</v>
      </c>
      <c r="B11">
        <v>27</v>
      </c>
      <c r="C11">
        <v>9</v>
      </c>
      <c r="D11" s="3">
        <f>AVERAGE(B9:B11)</f>
      </c>
      <c r="E11" s="3">
        <f>B11-D11</f>
      </c>
    </row>
    <row r="12" spans="1:5" x14ac:dyDescent="0.25">
      <c r="A12" t="s">
        <v>16</v>
      </c>
      <c r="B12">
        <v>22</v>
      </c>
      <c r="C12">
        <v>8</v>
      </c>
      <c r="D12" s="3">
        <f>AVERAGE(B10:B12)</f>
      </c>
      <c r="E12" s="3">
        <f>B12-D12</f>
      </c>
    </row>
    <row r="13" spans="1:5" x14ac:dyDescent="0.25">
      <c r="A13" t="s">
        <v>17</v>
      </c>
      <c r="B13">
        <v>26</v>
      </c>
      <c r="C13">
        <v>4</v>
      </c>
      <c r="D13" s="3">
        <f>AVERAGE(B11:B13)</f>
      </c>
      <c r="E13" s="3">
        <f>B13-D13</f>
      </c>
    </row>
    <row r="14" spans="1:5" x14ac:dyDescent="0.25">
      <c r="A14" t="s">
        <v>18</v>
      </c>
      <c r="B14">
        <v>22</v>
      </c>
      <c r="C14">
        <v>3</v>
      </c>
      <c r="D14" s="3">
        <f>AVERAGE(B12:B14)</f>
      </c>
      <c r="E14" s="3">
        <f>B14-D14</f>
      </c>
    </row>
    <row r="15" spans="1:6" x14ac:dyDescent="0.25">
      <c r="A15" t="s">
        <v>19</v>
      </c>
      <c r="B15">
        <v>24</v>
      </c>
      <c r="C15">
        <v>9</v>
      </c>
      <c r="D15" s="3">
        <f>AVERAGE(B13:B15)</f>
      </c>
      <c r="E15" s="3">
        <f>B15-D15</f>
      </c>
      <c r="F15" s="3">
        <f>(B15/B3-1)*100</f>
      </c>
    </row>
    <row r="16" spans="1:6" x14ac:dyDescent="0.25">
      <c r="A16" t="s">
        <v>20</v>
      </c>
      <c r="B16">
        <v>25</v>
      </c>
      <c r="C16">
        <v>7</v>
      </c>
      <c r="D16" s="3">
        <f>AVERAGE(B14:B16)</f>
      </c>
      <c r="E16" s="3">
        <f>B16-D16</f>
      </c>
      <c r="F16" s="3">
        <f>(B16/B4-1)*100</f>
      </c>
    </row>
    <row r="17" spans="1:6" x14ac:dyDescent="0.25">
      <c r="A17" t="s">
        <v>21</v>
      </c>
      <c r="B17">
        <v>28</v>
      </c>
      <c r="C17">
        <v>7</v>
      </c>
      <c r="D17" s="3">
        <f>AVERAGE(B15:B17)</f>
      </c>
      <c r="E17" s="3">
        <f>B17-D17</f>
      </c>
      <c r="F17" s="3">
        <f>(B17/B5-1)*100</f>
      </c>
    </row>
    <row r="18" spans="1:6" x14ac:dyDescent="0.25">
      <c r="A18" t="s">
        <v>22</v>
      </c>
      <c r="B18">
        <v>26</v>
      </c>
      <c r="C18">
        <v>7</v>
      </c>
      <c r="D18" s="3">
        <f>AVERAGE(B16:B18)</f>
      </c>
      <c r="E18" s="3">
        <f>B18-D18</f>
      </c>
      <c r="F18" s="3">
        <f>(B18/B6-1)*100</f>
      </c>
    </row>
    <row r="19" spans="1:6" x14ac:dyDescent="0.25">
      <c r="A19" t="s">
        <v>23</v>
      </c>
      <c r="B19">
        <v>25</v>
      </c>
      <c r="C19">
        <v>7</v>
      </c>
      <c r="D19" s="3">
        <f>AVERAGE(B17:B19)</f>
      </c>
      <c r="E19" s="3">
        <f>B19-D19</f>
      </c>
      <c r="F19" s="3">
        <f>(B19/B7-1)*100</f>
      </c>
    </row>
    <row r="20" spans="1:6" x14ac:dyDescent="0.25">
      <c r="A20" t="s">
        <v>24</v>
      </c>
      <c r="B20">
        <v>33</v>
      </c>
      <c r="C20">
        <v>8</v>
      </c>
      <c r="D20" s="3">
        <f>AVERAGE(B18:B20)</f>
      </c>
      <c r="E20" s="3">
        <f>B20-D20</f>
      </c>
      <c r="F20" s="3">
        <f>(B20/B8-1)*100</f>
      </c>
    </row>
    <row r="21" spans="1:6" x14ac:dyDescent="0.25">
      <c r="A21" t="s">
        <v>25</v>
      </c>
      <c r="B21">
        <v>31</v>
      </c>
      <c r="C21">
        <v>7</v>
      </c>
      <c r="D21" s="3">
        <f>AVERAGE(B19:B21)</f>
      </c>
      <c r="E21" s="3">
        <f>B21-D21</f>
      </c>
      <c r="F21" s="3">
        <f>(B21/B9-1)*100</f>
      </c>
    </row>
    <row r="22" spans="1:6" x14ac:dyDescent="0.25">
      <c r="A22" t="s">
        <v>26</v>
      </c>
      <c r="B22">
        <v>30</v>
      </c>
      <c r="C22">
        <v>9</v>
      </c>
      <c r="D22" s="3">
        <f>AVERAGE(B20:B22)</f>
      </c>
      <c r="E22" s="3">
        <f>B22-D22</f>
      </c>
      <c r="F22" s="3">
        <f>(B22/B10-1)*100</f>
      </c>
    </row>
    <row r="23" spans="1:6" x14ac:dyDescent="0.25">
      <c r="A23" t="s">
        <v>27</v>
      </c>
      <c r="B23">
        <v>31</v>
      </c>
      <c r="C23">
        <v>8</v>
      </c>
      <c r="D23" s="3">
        <f>AVERAGE(B21:B23)</f>
      </c>
      <c r="E23" s="3">
        <f>B23-D23</f>
      </c>
      <c r="F23" s="3">
        <f>(B23/B11-1)*100</f>
      </c>
    </row>
    <row r="24" spans="1:6" x14ac:dyDescent="0.25">
      <c r="A24" t="s">
        <v>28</v>
      </c>
      <c r="B24">
        <v>30</v>
      </c>
      <c r="C24">
        <v>7</v>
      </c>
      <c r="D24" s="3">
        <f>AVERAGE(B22:B24)</f>
      </c>
      <c r="E24" s="3">
        <f>B24-D24</f>
      </c>
      <c r="F24" s="3">
        <f>(B24/B12-1)*100</f>
      </c>
    </row>
    <row r="25" spans="1:6" x14ac:dyDescent="0.25">
      <c r="A25" t="s">
        <v>29</v>
      </c>
      <c r="B25">
        <v>33</v>
      </c>
      <c r="C25">
        <v>5</v>
      </c>
      <c r="D25" s="3">
        <f>AVERAGE(B23:B25)</f>
      </c>
      <c r="E25" s="3">
        <f>B25-D25</f>
      </c>
      <c r="F25" s="3">
        <f>(B25/B13-1)*100</f>
      </c>
    </row>
    <row r="26" spans="1:6" x14ac:dyDescent="0.25">
      <c r="A26" t="s">
        <v>30</v>
      </c>
      <c r="B26">
        <v>26</v>
      </c>
      <c r="C26">
        <v>5</v>
      </c>
      <c r="D26" s="3">
        <f>AVERAGE(B24:B26)</f>
      </c>
      <c r="E26" s="3">
        <f>B26-D26</f>
      </c>
      <c r="F26" s="3">
        <f>(B26/B14-1)*100</f>
      </c>
    </row>
    <row r="27" spans="1:6" x14ac:dyDescent="0.25">
      <c r="A27" t="s">
        <v>31</v>
      </c>
      <c r="B27">
        <v>30</v>
      </c>
      <c r="C27">
        <v>8</v>
      </c>
      <c r="D27" s="3">
        <f>AVERAGE(B25:B27)</f>
      </c>
      <c r="E27" s="3">
        <f>B27-D27</f>
      </c>
      <c r="F27" s="3">
        <f>(B27/B15-1)*100</f>
      </c>
    </row>
    <row r="28" spans="1:6" x14ac:dyDescent="0.25">
      <c r="A28" t="s">
        <v>32</v>
      </c>
      <c r="B28">
        <v>34</v>
      </c>
      <c r="C28">
        <v>8</v>
      </c>
      <c r="D28" s="3">
        <f>AVERAGE(B26:B28)</f>
      </c>
      <c r="E28" s="3">
        <f>B28-D28</f>
      </c>
      <c r="F28" s="3">
        <f>(B28/B16-1)*100</f>
      </c>
    </row>
    <row r="29" spans="1:6" x14ac:dyDescent="0.25">
      <c r="A29" t="s">
        <v>33</v>
      </c>
      <c r="B29">
        <v>38</v>
      </c>
      <c r="C29">
        <v>8</v>
      </c>
      <c r="D29" s="3">
        <f>AVERAGE(B27:B29)</f>
      </c>
      <c r="E29" s="3">
        <f>B29-D29</f>
      </c>
      <c r="F29" s="3">
        <f>(B29/B17-1)*100</f>
      </c>
    </row>
    <row r="30" spans="1:6" x14ac:dyDescent="0.25">
      <c r="A30" t="s">
        <v>34</v>
      </c>
      <c r="B30">
        <v>34</v>
      </c>
      <c r="C30">
        <v>9</v>
      </c>
      <c r="D30" s="3">
        <f>AVERAGE(B28:B30)</f>
      </c>
      <c r="E30" s="3">
        <f>B30-D30</f>
      </c>
      <c r="F30" s="3">
        <f>(B30/B18-1)*100</f>
      </c>
    </row>
    <row r="31" spans="1:6" x14ac:dyDescent="0.25">
      <c r="A31" t="s">
        <v>35</v>
      </c>
      <c r="B31">
        <v>37</v>
      </c>
      <c r="C31">
        <v>7</v>
      </c>
      <c r="D31" s="3">
        <f>AVERAGE(B29:B31)</f>
      </c>
      <c r="E31" s="3">
        <f>B31-D31</f>
      </c>
      <c r="F31" s="3">
        <f>(B31/B19-1)*100</f>
      </c>
    </row>
    <row r="32" spans="1:6" x14ac:dyDescent="0.25">
      <c r="A32" t="s">
        <v>36</v>
      </c>
      <c r="B32">
        <v>35</v>
      </c>
      <c r="C32">
        <v>9</v>
      </c>
      <c r="D32" s="3">
        <f>AVERAGE(B30:B32)</f>
      </c>
      <c r="E32" s="3">
        <f>B32-D32</f>
      </c>
      <c r="F32" s="3">
        <f>(B32/B20-1)*100</f>
      </c>
    </row>
    <row r="33" spans="1:6" x14ac:dyDescent="0.25">
      <c r="A33" t="s">
        <v>37</v>
      </c>
      <c r="B33">
        <v>46</v>
      </c>
      <c r="C33">
        <v>9</v>
      </c>
      <c r="D33" s="3">
        <f>AVERAGE(B31:B33)</f>
      </c>
      <c r="E33" s="3">
        <f>B33-D33</f>
      </c>
      <c r="F33" s="3">
        <f>(B33/B21-1)*100</f>
      </c>
    </row>
    <row r="34" spans="1:6" x14ac:dyDescent="0.25">
      <c r="A34" t="s">
        <v>38</v>
      </c>
      <c r="B34">
        <v>48</v>
      </c>
      <c r="C34">
        <v>11</v>
      </c>
      <c r="D34" s="3">
        <f>AVERAGE(B32:B34)</f>
      </c>
      <c r="E34" s="3">
        <f>B34-D34</f>
      </c>
      <c r="F34" s="3">
        <f>(B34/B22-1)*100</f>
      </c>
    </row>
    <row r="35" spans="1:6" x14ac:dyDescent="0.25">
      <c r="A35" t="s">
        <v>39</v>
      </c>
      <c r="B35">
        <v>47</v>
      </c>
      <c r="C35">
        <v>10</v>
      </c>
      <c r="D35" s="3">
        <f>AVERAGE(B33:B35)</f>
      </c>
      <c r="E35" s="3">
        <f>B35-D35</f>
      </c>
      <c r="F35" s="3">
        <f>(B35/B23-1)*100</f>
      </c>
    </row>
    <row r="36" spans="1:6" x14ac:dyDescent="0.25">
      <c r="A36" t="s">
        <v>40</v>
      </c>
      <c r="B36">
        <v>49</v>
      </c>
      <c r="C36">
        <v>6</v>
      </c>
      <c r="D36" s="3">
        <f>AVERAGE(B34:B36)</f>
      </c>
      <c r="E36" s="3">
        <f>B36-D36</f>
      </c>
      <c r="F36" s="3">
        <f>(B36/B24-1)*100</f>
      </c>
    </row>
    <row r="37" spans="1:6" x14ac:dyDescent="0.25">
      <c r="A37" t="s">
        <v>41</v>
      </c>
      <c r="B37">
        <v>40</v>
      </c>
      <c r="C37">
        <v>5</v>
      </c>
      <c r="D37" s="3">
        <f>AVERAGE(B35:B37)</f>
      </c>
      <c r="E37" s="3">
        <f>B37-D37</f>
      </c>
      <c r="F37" s="3">
        <f>(B37/B25-1)*100</f>
      </c>
    </row>
    <row r="38" spans="1:6" x14ac:dyDescent="0.25">
      <c r="A38" t="s">
        <v>42</v>
      </c>
      <c r="B38">
        <v>37</v>
      </c>
      <c r="C38">
        <v>6</v>
      </c>
      <c r="D38" s="3">
        <f>AVERAGE(B36:B38)</f>
      </c>
      <c r="E38" s="3">
        <f>B38-D38</f>
      </c>
      <c r="F38" s="3">
        <f>(B38/B26-1)*100</f>
      </c>
    </row>
    <row r="39" spans="1:6" x14ac:dyDescent="0.25">
      <c r="A39" t="s">
        <v>43</v>
      </c>
      <c r="B39">
        <v>39</v>
      </c>
      <c r="C39">
        <v>8</v>
      </c>
      <c r="D39" s="3">
        <f>AVERAGE(B37:B39)</f>
      </c>
      <c r="E39" s="3">
        <f>B39-D39</f>
      </c>
      <c r="F39" s="3">
        <f>(B39/B27-1)*100</f>
      </c>
    </row>
    <row r="40" spans="1:6" x14ac:dyDescent="0.25">
      <c r="A40" t="s">
        <v>44</v>
      </c>
      <c r="B40">
        <v>50</v>
      </c>
      <c r="C40">
        <v>10</v>
      </c>
      <c r="D40" s="3">
        <f>AVERAGE(B38:B40)</f>
      </c>
      <c r="E40" s="3">
        <f>B40-D40</f>
      </c>
      <c r="F40" s="3">
        <f>(B40/B28-1)*100</f>
      </c>
    </row>
    <row r="41" spans="1:6" x14ac:dyDescent="0.25">
      <c r="A41" t="s">
        <v>45</v>
      </c>
      <c r="B41">
        <v>51</v>
      </c>
      <c r="C41">
        <v>11</v>
      </c>
      <c r="D41" s="3">
        <f>AVERAGE(B39:B41)</f>
      </c>
      <c r="E41" s="3">
        <f>B41-D41</f>
      </c>
      <c r="F41" s="3">
        <f>(B41/B29-1)*100</f>
      </c>
    </row>
    <row r="42" spans="1:6" x14ac:dyDescent="0.25">
      <c r="A42" t="s">
        <v>46</v>
      </c>
      <c r="B42">
        <v>53</v>
      </c>
      <c r="C42">
        <v>12</v>
      </c>
      <c r="D42" s="3">
        <f>AVERAGE(B40:B42)</f>
      </c>
      <c r="E42" s="3">
        <f>B42-D42</f>
      </c>
      <c r="F42" s="3">
        <f>(B42/B30-1)*100</f>
      </c>
    </row>
    <row r="44" spans="1:3" s="1" customFormat="1" x14ac:dyDescent="0.25">
      <c r="A44" s="1" t="s">
        <v>47</v>
      </c>
      <c r="B44" s="4">
        <f>(B42/B3-1)*100</f>
      </c>
      <c r="C44" s="1" t="s">
        <v>48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20" customWidth="1"/>
    <col min="2" max="2" width="34" customWidth="1"/>
    <col min="3" max="3" width="30" customWidth="1"/>
  </cols>
  <sheetData>
    <row r="1" ht="22" customHeight="1" spans="1:3" x14ac:dyDescent="0.25">
      <c r="A1" s="2" t="s">
        <v>49</v>
      </c>
      <c r="B1" s="2" t="s">
        <v>50</v>
      </c>
      <c r="C1" s="2" t="s">
        <v>51</v>
      </c>
    </row>
    <row r="2" spans="1:3" x14ac:dyDescent="0.25">
      <c r="A2" t="s">
        <v>52</v>
      </c>
      <c r="B2" s="3">
        <f>AVERAGEIF('01_Данные_и_расчёт'!A3:A42,"*-01",'01_Данные_и_расчёт'!B3:B42)</f>
      </c>
      <c r="C2" s="5">
        <f>B2/B14</f>
      </c>
    </row>
    <row r="3" spans="1:3" x14ac:dyDescent="0.25">
      <c r="A3" t="s">
        <v>53</v>
      </c>
      <c r="B3" s="3">
        <f>AVERAGEIF('01_Данные_и_расчёт'!A3:A42,"*-02",'01_Данные_и_расчёт'!B3:B42)</f>
      </c>
      <c r="C3" s="5">
        <f>B3/B14</f>
      </c>
    </row>
    <row r="4" spans="1:3" x14ac:dyDescent="0.25">
      <c r="A4" t="s">
        <v>54</v>
      </c>
      <c r="B4" s="3">
        <f>AVERAGEIF('01_Данные_и_расчёт'!A3:A42,"*-03",'01_Данные_и_расчёт'!B3:B42)</f>
      </c>
      <c r="C4" s="5">
        <f>B4/B14</f>
      </c>
    </row>
    <row r="5" spans="1:3" x14ac:dyDescent="0.25">
      <c r="A5" t="s">
        <v>55</v>
      </c>
      <c r="B5" s="3">
        <f>AVERAGEIF('01_Данные_и_расчёт'!A3:A42,"*-04",'01_Данные_и_расчёт'!B3:B42)</f>
      </c>
      <c r="C5" s="5">
        <f>B5/B14</f>
      </c>
    </row>
    <row r="6" spans="1:3" x14ac:dyDescent="0.25">
      <c r="A6" t="s">
        <v>56</v>
      </c>
      <c r="B6" s="3">
        <f>AVERAGEIF('01_Данные_и_расчёт'!A3:A42,"*-05",'01_Данные_и_расчёт'!B3:B42)</f>
      </c>
      <c r="C6" s="5">
        <f>B6/B14</f>
      </c>
    </row>
    <row r="7" spans="1:3" x14ac:dyDescent="0.25">
      <c r="A7" t="s">
        <v>57</v>
      </c>
      <c r="B7" s="3">
        <f>AVERAGEIF('01_Данные_и_расчёт'!A3:A42,"*-06",'01_Данные_и_расчёт'!B3:B42)</f>
      </c>
      <c r="C7" s="5">
        <f>B7/B14</f>
      </c>
    </row>
    <row r="8" spans="1:3" x14ac:dyDescent="0.25">
      <c r="A8" t="s">
        <v>58</v>
      </c>
      <c r="B8" s="3">
        <f>AVERAGEIF('01_Данные_и_расчёт'!A3:A42,"*-07",'01_Данные_и_расчёт'!B3:B42)</f>
      </c>
      <c r="C8" s="5">
        <f>B8/B14</f>
      </c>
    </row>
    <row r="9" spans="1:3" x14ac:dyDescent="0.25">
      <c r="A9" t="s">
        <v>59</v>
      </c>
      <c r="B9" s="3">
        <f>AVERAGEIF('01_Данные_и_расчёт'!A3:A42,"*-08",'01_Данные_и_расчёт'!B3:B42)</f>
      </c>
      <c r="C9" s="5">
        <f>B9/B14</f>
      </c>
    </row>
    <row r="10" spans="1:3" x14ac:dyDescent="0.25">
      <c r="A10" t="s">
        <v>60</v>
      </c>
      <c r="B10" s="3">
        <f>AVERAGEIF('01_Данные_и_расчёт'!A3:A42,"*-09",'01_Данные_и_расчёт'!B3:B42)</f>
      </c>
      <c r="C10" s="5">
        <f>B10/B14</f>
      </c>
    </row>
    <row r="11" spans="1:3" x14ac:dyDescent="0.25">
      <c r="A11" t="s">
        <v>61</v>
      </c>
      <c r="B11" s="3">
        <f>AVERAGEIF('01_Данные_и_расчёт'!A3:A42,"*-10",'01_Данные_и_расчёт'!B3:B42)</f>
      </c>
      <c r="C11" s="5">
        <f>B11/B14</f>
      </c>
    </row>
    <row r="12" spans="1:3" x14ac:dyDescent="0.25">
      <c r="A12" t="s">
        <v>62</v>
      </c>
      <c r="B12" s="3">
        <f>AVERAGEIF('01_Данные_и_расчёт'!A3:A42,"*-11",'01_Данные_и_расчёт'!B3:B42)</f>
      </c>
      <c r="C12" s="5">
        <f>B12/B14</f>
      </c>
    </row>
    <row r="13" spans="1:3" x14ac:dyDescent="0.25">
      <c r="A13" t="s">
        <v>63</v>
      </c>
      <c r="B13" s="3">
        <f>AVERAGEIF('01_Данные_и_расчёт'!A3:A42,"*-12",'01_Данные_и_расчёт'!B3:B42)</f>
      </c>
      <c r="C13" s="5">
        <f>B13/B14</f>
      </c>
    </row>
    <row r="14" spans="1:3" s="1" customFormat="1" x14ac:dyDescent="0.25">
      <c r="A14" s="1" t="s">
        <v>64</v>
      </c>
      <c r="B14" s="1">
        <f>AVERAGE('01_Данные_и_расчёт'!B3:B42)</f>
      </c>
      <c r="C14" s="1" t="s">
        <v>65</v>
      </c>
    </row>
    <row r="16" spans="1:1" x14ac:dyDescent="0.25">
      <c r="A16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0" customWidth="1"/>
    <col min="2" max="2" width="30" customWidth="1"/>
    <col min="3" max="3" width="34" customWidth="1"/>
    <col min="4" max="4" width="12" customWidth="1"/>
  </cols>
  <sheetData>
    <row r="1" ht="22" customHeight="1" spans="1:4" x14ac:dyDescent="0.25">
      <c r="A1" s="2" t="s">
        <v>67</v>
      </c>
      <c r="B1" s="2" t="s">
        <v>68</v>
      </c>
      <c r="C1" s="2" t="s">
        <v>69</v>
      </c>
      <c r="D1" s="2" t="s">
        <v>70</v>
      </c>
    </row>
    <row r="2" spans="1:4" x14ac:dyDescent="0.25">
      <c r="A2" t="s">
        <v>71</v>
      </c>
      <c r="B2">
        <v>9</v>
      </c>
      <c r="C2">
        <v>19</v>
      </c>
      <c r="D2" s="3">
        <f>(1-B2/C2)*100</f>
      </c>
    </row>
    <row r="3" spans="1:4" x14ac:dyDescent="0.25">
      <c r="A3" t="s">
        <v>72</v>
      </c>
      <c r="B3">
        <v>15</v>
      </c>
      <c r="C3">
        <v>24</v>
      </c>
      <c r="D3" s="3">
        <f>(1-B3/C3)*100</f>
      </c>
    </row>
    <row r="4" spans="1:4" x14ac:dyDescent="0.25">
      <c r="A4" t="s">
        <v>73</v>
      </c>
      <c r="B4">
        <v>20</v>
      </c>
      <c r="C4">
        <v>34</v>
      </c>
      <c r="D4" s="3">
        <f>(1-B4/C4)*100</f>
      </c>
    </row>
    <row r="6" spans="1:1" x14ac:dyDescent="0.25">
      <c r="A6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01_Данные_и_расчёт</vt:lpstr>
      <vt:lpstr>02_Сезонность_по_месяцам</vt:lpstr>
      <vt:lpstr>03_Декабрьский_спад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2026-09-22T13:14:26Z</dcterms:created>
  <dcterms:modified xsi:type="dcterms:W3CDTF">2026-09-22T13:14:26Z</dcterms:modified>
</cp:coreProperties>
</file>