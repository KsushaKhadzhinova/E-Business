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Инструкция" state="visible" r:id="rId4"/>
    <sheet sheetId="2" name="01_Классификация" state="visible" r:id="rId5"/>
    <sheet sheetId="3" name="02_Левитт" state="visible" r:id="rId6"/>
    <sheet sheetId="4" name="03_Кано" state="visible" r:id="rId7"/>
    <sheet sheetId="5" name="04_Дашборд" state="visible" r:id="rId8"/>
  </sheets>
  <calcPr calcId="171027"/>
</workbook>
</file>

<file path=xl/sharedStrings.xml><?xml version="1.0" encoding="utf-8"?>
<sst xmlns="http://schemas.openxmlformats.org/spreadsheetml/2006/main" count="98" uniqueCount="91">
  <si>
    <t>ЛР5 — Классификация конкурентов + модели Левитта и Кано</t>
  </si>
  <si>
    <t>Объект анализа: DiagramCode. Данные собраны с сайтов конкурентов и SimilarWeb (ЛР2-3), снято 2026-09-17.</t>
  </si>
  <si>
    <t>Листы:</t>
  </si>
  <si>
    <t>01_Классификация — взвешенная формула методики (8 критериев, шкала 0-4, пороги 80-100/65-79/50-64/35-49/20-34/0-19)</t>
  </si>
  <si>
    <t>02_Левитт — 5 уровней товара для ключевых конкурентов и DiagramCode</t>
  </si>
  <si>
    <t>03_Кано — классификация функций по 6 категориям</t>
  </si>
  <si>
    <t>04_Дашборд — сводные итоги</t>
  </si>
  <si>
    <t>Конкурент</t>
  </si>
  <si>
    <t>Задача</t>
  </si>
  <si>
    <t>Сегмент</t>
  </si>
  <si>
    <t>Продукт</t>
  </si>
  <si>
    <t>Заменяемость</t>
  </si>
  <si>
    <t>Каналы</t>
  </si>
  <si>
    <t>Цена</t>
  </si>
  <si>
    <t>Результат</t>
  </si>
  <si>
    <t>Видимость</t>
  </si>
  <si>
    <t>Индекс</t>
  </si>
  <si>
    <t>Уровень</t>
  </si>
  <si>
    <t>Вес</t>
  </si>
  <si>
    <t/>
  </si>
  <si>
    <t>PlantUML</t>
  </si>
  <si>
    <t>Mermaid (open-source ядро)</t>
  </si>
  <si>
    <t>MermaidChart (коммерческий)</t>
  </si>
  <si>
    <t>Eraser.io</t>
  </si>
  <si>
    <t>D2 (d2lang.com)</t>
  </si>
  <si>
    <t>draw.io (app.diagrams.net)</t>
  </si>
  <si>
    <t>Lucidchart</t>
  </si>
  <si>
    <t>Microsoft Visio</t>
  </si>
  <si>
    <t>AI-ассистенты общего назначения (ручное использование)</t>
  </si>
  <si>
    <t>Формула: Индекс = СУММПРОИЗВ(оценки по 8 критериям; веса) / 4 × 100. Пороги: 80-100 Прямой / 65-79 Близкий / 50-64 Косвенный / 35-49 Заменитель / 20-34 Потенциальный / 0-19 Исключить.</t>
  </si>
  <si>
    <t>Компании для наблюдения за практиками (не оцениваются формулой): Structurizr (C4-model, эталон по практике decomposition-диаграмм).</t>
  </si>
  <si>
    <t>Исключённые из формальной оценки: ручное рисование/Figma/отказ от диаграмм, MS Word/PowerPoint — поведенческие альтернативы, не компании-продукты.</t>
  </si>
  <si>
    <t>DiagramCode (наш продукт)</t>
  </si>
  <si>
    <t>Базовая выгода</t>
  </si>
  <si>
    <t>Получить диаграмму из текста</t>
  </si>
  <si>
    <t>Получить диаграмму по описанию (AI)</t>
  </si>
  <si>
    <t>Получить и версионировать инженерную диаграмму без потери истории</t>
  </si>
  <si>
    <t>Родовой товар</t>
  </si>
  <si>
    <t>DSL-рендерер (текст → SVG/PNG)</t>
  </si>
  <si>
    <t>DSL + AI-генератор с канвасом</t>
  </si>
  <si>
    <t>DSL + рендер + git-подобное версионирование</t>
  </si>
  <si>
    <t>Ожидаемый товар</t>
  </si>
  <si>
    <t>Браузер+локально, встроен в IDE, бесплатно</t>
  </si>
  <si>
    <t>Интеграции (GitHub/Notion/Confluence/VS Code), история версий</t>
  </si>
  <si>
    <t>AI-генерация, IDE-оболочка, аутентификация</t>
  </si>
  <si>
    <t>Расширенный товар</t>
  </si>
  <si>
    <t>Browser extension для GitHub, community</t>
  </si>
  <si>
    <t>SSO, кастомные иконки, API, командные тарифы</t>
  </si>
  <si>
    <t>Полный охват нотаций (UML+ERD+IDEF+BPMN+Petri) — нет ни у кого из конкурентов</t>
  </si>
  <si>
    <t>Потенциальный товар</t>
  </si>
  <si>
    <t>Не заявлен — open-source roadmap</t>
  </si>
  <si>
    <t>Enterprise deployment, usage reporting</t>
  </si>
  <si>
    <t>Маркетплейс шаблонов, экспорт в форматы конкурентов, AI на истории пользователя</t>
  </si>
  <si>
    <t>Функция</t>
  </si>
  <si>
    <t>Категория Кано</t>
  </si>
  <si>
    <t>Обоснование</t>
  </si>
  <si>
    <t>Текстовый DSL-редактор с подсветкой</t>
  </si>
  <si>
    <t>Обязательная (must-be)</t>
  </si>
  <si>
    <t>Отсутствие — блокер для dev-инструмента</t>
  </si>
  <si>
    <t>Рендер без установки в браузере</t>
  </si>
  <si>
    <t>Рыночный стандарт (PlantUML/Mermaid)</t>
  </si>
  <si>
    <t>Интеграция с GitHub</t>
  </si>
  <si>
    <t>Стандарт у всех прямых конкурентов</t>
  </si>
  <si>
    <t>История версий / откат</t>
  </si>
  <si>
    <t>Линейная (performance)</t>
  </si>
  <si>
    <t>Чем глубже история — тем выше ценность (Eraser.io: 90 дней → безлимит по тарифу)</t>
  </si>
  <si>
    <t>Совместное редактирование</t>
  </si>
  <si>
    <t>Качество реализации напрямую влияет на удовлетворённость</t>
  </si>
  <si>
    <t>AI-генерация по тексту</t>
  </si>
  <si>
    <t>Привлекательная → смещается к линейной</t>
  </si>
  <si>
    <t>Спрос растёт структурно (ЛР1) — то, что восхищало, станет ожидаемым</t>
  </si>
  <si>
    <t>Полный охват нотаций (UML+ERD+IDEF+BPMN+Petri)</t>
  </si>
  <si>
    <t>Привлекательная (excitement)</t>
  </si>
  <si>
    <t>Ни у одного конкурента нет — источник дифференциации DiagramCode</t>
  </si>
  <si>
    <t>Экспорт в форматы конкурентов</t>
  </si>
  <si>
    <t>Привлекательная для мигрирующих / безразличная для новых</t>
  </si>
  <si>
    <t>Сегмент-зависимая ценность</t>
  </si>
  <si>
    <t>Кастомные иконки/темы</t>
  </si>
  <si>
    <t>Безразличная</t>
  </si>
  <si>
    <t>Косметика, низкая дифференцирующая ценность</t>
  </si>
  <si>
    <t>SSO / enterprise-функции</t>
  </si>
  <si>
    <t>Безразличная для малых команд / обязательная для enterprise</t>
  </si>
  <si>
    <t>Сегмент-зависимая — исключено из первого релиза (ЛР6)</t>
  </si>
  <si>
    <t>Сводный дашборд ЛР5</t>
  </si>
  <si>
    <t>Прямых конкурентов:</t>
  </si>
  <si>
    <t>Близких конкурентов:</t>
  </si>
  <si>
    <t>Косвенных конкурентов:</t>
  </si>
  <si>
    <t>Заменителей:</t>
  </si>
  <si>
    <t>Потенциальных конкурентов:</t>
  </si>
  <si>
    <t>Главный вывод (ЛР5, ЛР7):</t>
  </si>
  <si>
    <t>Ни один прямой конкурент не закрывает полный набор инженерных нотаций (UML+ERD+IDEF+BPMN+сети Петри) в одном продукте — конкурентный пробел для DiagramCode.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</si>
</sst>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i/>
    </font>
  </fonts>
  <fills count="3">
    <fill>
      <patternFill patternType="none"/>
    </fill>
    <fill>
      <patternFill patternType="gray125"/>
    </fill>
    <fill>
      <patternFill patternType="solid">
        <fgColor rgb="FF2F6F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  <xf numFmtId="2" fontId="3" fillId="0" borderId="0" xfId="0" applyNumberFormat="1" applyFont="1"/>
    <xf numFmtId="164" fontId="0" fillId="0" borderId="0" xfId="0" applyNumberFormat="1"/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FormatPr defaultRowHeight="15" outlineLevelRow="0" outlineLevelCol="0" x14ac:dyDescent="55"/>
  <cols>
    <col min="1" max="1" width="42" customWidth="1"/>
    <col min="2" max="4" width="8" customWidth="1"/>
    <col min="5" max="5" width="10" customWidth="1"/>
    <col min="6" max="6" width="8" customWidth="1"/>
    <col min="7" max="7" width="7" customWidth="1"/>
    <col min="11" max="11" width="12" customWidth="1"/>
  </cols>
  <sheetData>
    <row r="1" ht="32" customHeight="1" spans="1:11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</row>
    <row r="2" spans="1:11" s="3" customFormat="1" x14ac:dyDescent="0.25">
      <c r="A2" s="4" t="s">
        <v>18</v>
      </c>
      <c r="B2" s="4">
        <v>0.22</v>
      </c>
      <c r="C2" s="4">
        <v>0.18</v>
      </c>
      <c r="D2" s="4">
        <v>0.18</v>
      </c>
      <c r="E2" s="4">
        <v>0.18</v>
      </c>
      <c r="F2" s="4">
        <v>0.1</v>
      </c>
      <c r="G2" s="4">
        <v>0.08</v>
      </c>
      <c r="H2" s="4">
        <v>0.04</v>
      </c>
      <c r="I2" s="4">
        <v>0.02</v>
      </c>
      <c r="J2" s="4" t="s">
        <v>19</v>
      </c>
      <c r="K2" s="4" t="s">
        <v>19</v>
      </c>
    </row>
    <row r="3" spans="1:11" x14ac:dyDescent="0.25">
      <c r="A3" t="s">
        <v>20</v>
      </c>
      <c r="B3">
        <v>4</v>
      </c>
      <c r="C3">
        <v>4</v>
      </c>
      <c r="D3">
        <v>2</v>
      </c>
      <c r="E3">
        <v>4</v>
      </c>
      <c r="F3">
        <v>4</v>
      </c>
      <c r="G3">
        <v>4</v>
      </c>
      <c r="H3">
        <v>3</v>
      </c>
      <c r="I3">
        <v>4</v>
      </c>
      <c r="J3" s="5">
        <f>SUMPRODUCT(B3:I3,$B2:$I2)/4*100</f>
      </c>
      <c r="K3">
        <f>IF(J3&gt;=80,"Прямой",IF(J3&gt;=65,"Близкий",IF(J3&gt;=50,"Косвенный",IF(J3&gt;=35,"Заменитель",IF(J3&gt;=20,"Потенциальный","Исключить")))))</f>
      </c>
    </row>
    <row r="4" spans="1:11" x14ac:dyDescent="0.25">
      <c r="A4" t="s">
        <v>21</v>
      </c>
      <c r="B4">
        <v>4</v>
      </c>
      <c r="C4">
        <v>4</v>
      </c>
      <c r="D4">
        <v>2</v>
      </c>
      <c r="E4">
        <v>4</v>
      </c>
      <c r="F4">
        <v>4</v>
      </c>
      <c r="G4">
        <v>4</v>
      </c>
      <c r="H4">
        <v>3</v>
      </c>
      <c r="I4">
        <v>4</v>
      </c>
      <c r="J4" s="5">
        <f>SUMPRODUCT(B4:I4,$B2:$I2)/4*100</f>
      </c>
      <c r="K4">
        <f>IF(J4&gt;=80,"Прямой",IF(J4&gt;=65,"Близкий",IF(J4&gt;=50,"Косвенный",IF(J4&gt;=35,"Заменитель",IF(J4&gt;=20,"Потенциальный","Исключить")))))</f>
      </c>
    </row>
    <row r="5" spans="1:11" x14ac:dyDescent="0.25">
      <c r="A5" t="s">
        <v>22</v>
      </c>
      <c r="B5">
        <v>4</v>
      </c>
      <c r="C5">
        <v>4</v>
      </c>
      <c r="D5">
        <v>3</v>
      </c>
      <c r="E5">
        <v>3</v>
      </c>
      <c r="F5">
        <v>3</v>
      </c>
      <c r="G5">
        <v>2</v>
      </c>
      <c r="H5">
        <v>4</v>
      </c>
      <c r="I5">
        <v>2</v>
      </c>
      <c r="J5" s="5">
        <f>SUMPRODUCT(B5:I5,$B2:$I2)/4*100</f>
      </c>
      <c r="K5">
        <f>IF(J5&gt;=80,"Прямой",IF(J5&gt;=65,"Близкий",IF(J5&gt;=50,"Косвенный",IF(J5&gt;=35,"Заменитель",IF(J5&gt;=20,"Потенциальный","Исключить")))))</f>
      </c>
    </row>
    <row r="6" spans="1:11" x14ac:dyDescent="0.25">
      <c r="A6" t="s">
        <v>23</v>
      </c>
      <c r="B6">
        <v>4</v>
      </c>
      <c r="C6">
        <v>4</v>
      </c>
      <c r="D6">
        <v>4</v>
      </c>
      <c r="E6">
        <v>4</v>
      </c>
      <c r="F6">
        <v>3</v>
      </c>
      <c r="G6">
        <v>2</v>
      </c>
      <c r="H6">
        <v>4</v>
      </c>
      <c r="I6">
        <v>3</v>
      </c>
      <c r="J6" s="5">
        <f>SUMPRODUCT(B6:I6,$B2:$I2)/4*100</f>
      </c>
      <c r="K6">
        <f>IF(J6&gt;=80,"Прямой",IF(J6&gt;=65,"Близкий",IF(J6&gt;=50,"Косвенный",IF(J6&gt;=35,"Заменитель",IF(J6&gt;=20,"Потенциальный","Исключить")))))</f>
      </c>
    </row>
    <row r="7" spans="1:11" x14ac:dyDescent="0.25">
      <c r="A7" t="s">
        <v>24</v>
      </c>
      <c r="B7">
        <v>4</v>
      </c>
      <c r="C7">
        <v>4</v>
      </c>
      <c r="D7">
        <v>2</v>
      </c>
      <c r="E7">
        <v>3</v>
      </c>
      <c r="F7">
        <v>2</v>
      </c>
      <c r="G7">
        <v>4</v>
      </c>
      <c r="H7">
        <v>3</v>
      </c>
      <c r="I7">
        <v>2</v>
      </c>
      <c r="J7" s="5">
        <f>SUMPRODUCT(B7:I7,$B2:$I2)/4*100</f>
      </c>
      <c r="K7">
        <f>IF(J7&gt;=80,"Прямой",IF(J7&gt;=65,"Близкий",IF(J7&gt;=50,"Косвенный",IF(J7&gt;=35,"Заменитель",IF(J7&gt;=20,"Потенциальный","Исключить")))))</f>
      </c>
    </row>
    <row r="8" spans="1:11" x14ac:dyDescent="0.25">
      <c r="A8" t="s">
        <v>25</v>
      </c>
      <c r="B8">
        <v>2</v>
      </c>
      <c r="C8">
        <v>3</v>
      </c>
      <c r="D8">
        <v>1</v>
      </c>
      <c r="E8">
        <v>4</v>
      </c>
      <c r="F8">
        <v>3</v>
      </c>
      <c r="G8">
        <v>4</v>
      </c>
      <c r="H8">
        <v>3</v>
      </c>
      <c r="I8">
        <v>4</v>
      </c>
      <c r="J8" s="5">
        <f>SUMPRODUCT(B8:I8,$B2:$I2)/4*100</f>
      </c>
      <c r="K8">
        <f>IF(J8&gt;=80,"Прямой",IF(J8&gt;=65,"Близкий",IF(J8&gt;=50,"Косвенный",IF(J8&gt;=35,"Заменитель",IF(J8&gt;=20,"Потенциальный","Исключить")))))</f>
      </c>
    </row>
    <row r="9" spans="1:11" x14ac:dyDescent="0.25">
      <c r="A9" t="s">
        <v>26</v>
      </c>
      <c r="B9">
        <v>2</v>
      </c>
      <c r="C9">
        <v>3</v>
      </c>
      <c r="D9">
        <v>1</v>
      </c>
      <c r="E9">
        <v>4</v>
      </c>
      <c r="F9">
        <v>3</v>
      </c>
      <c r="G9">
        <v>2</v>
      </c>
      <c r="H9">
        <v>3</v>
      </c>
      <c r="I9">
        <v>4</v>
      </c>
      <c r="J9" s="5">
        <f>SUMPRODUCT(B9:I9,$B2:$I2)/4*100</f>
      </c>
      <c r="K9">
        <f>IF(J9&gt;=80,"Прямой",IF(J9&gt;=65,"Близкий",IF(J9&gt;=50,"Косвенный",IF(J9&gt;=35,"Заменитель",IF(J9&gt;=20,"Потенциальный","Исключить")))))</f>
      </c>
    </row>
    <row r="10" spans="1:11" x14ac:dyDescent="0.25">
      <c r="A10" t="s">
        <v>27</v>
      </c>
      <c r="B10">
        <v>2</v>
      </c>
      <c r="C10">
        <v>2</v>
      </c>
      <c r="D10">
        <v>1</v>
      </c>
      <c r="E10">
        <v>3</v>
      </c>
      <c r="F10">
        <v>2</v>
      </c>
      <c r="G10">
        <v>1</v>
      </c>
      <c r="H10">
        <v>3</v>
      </c>
      <c r="I10">
        <v>3</v>
      </c>
      <c r="J10" s="5">
        <f>SUMPRODUCT(B10:I10,$B2:$I2)/4*100</f>
      </c>
      <c r="K10">
        <f>IF(J10&gt;=80,"Прямой",IF(J10&gt;=65,"Близкий",IF(J10&gt;=50,"Косвенный",IF(J10&gt;=35,"Заменитель",IF(J10&gt;=20,"Потенциальный","Исключить")))))</f>
      </c>
    </row>
    <row r="11" spans="1:11" x14ac:dyDescent="0.25">
      <c r="A11" t="s">
        <v>28</v>
      </c>
      <c r="B11">
        <v>1</v>
      </c>
      <c r="C11">
        <v>2</v>
      </c>
      <c r="D11">
        <v>0</v>
      </c>
      <c r="E11">
        <v>1</v>
      </c>
      <c r="F11">
        <v>1</v>
      </c>
      <c r="G11">
        <v>2</v>
      </c>
      <c r="H11">
        <v>0</v>
      </c>
      <c r="I11">
        <v>2</v>
      </c>
      <c r="J11" s="5">
        <f>SUMPRODUCT(B11:I11,$B2:$I2)/4*100</f>
      </c>
      <c r="K11">
        <f>IF(J11&gt;=80,"Прямой",IF(J11&gt;=65,"Близкий",IF(J11&gt;=50,"Косвенный",IF(J11&gt;=35,"Заменитель",IF(J11&gt;=20,"Потенциальный","Исключить")))))</f>
      </c>
    </row>
    <row r="13" spans="1:1" x14ac:dyDescent="0.25">
      <c r="A13" t="s">
        <v>29</v>
      </c>
    </row>
    <row r="14" spans="1:1" x14ac:dyDescent="0.25">
      <c r="A14" t="s">
        <v>30</v>
      </c>
    </row>
    <row r="15" spans="1:1" x14ac:dyDescent="0.25">
      <c r="A15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0" customWidth="1"/>
    <col min="2" max="2" width="38" customWidth="1"/>
    <col min="3" max="3" width="42" customWidth="1"/>
    <col min="4" max="4" width="48" customWidth="1"/>
  </cols>
  <sheetData>
    <row r="1" ht="32" customHeight="1" spans="1:4" s="6" customFormat="1" x14ac:dyDescent="0.25">
      <c r="A1" s="7" t="s">
        <v>17</v>
      </c>
      <c r="B1" s="7" t="s">
        <v>20</v>
      </c>
      <c r="C1" s="7" t="s">
        <v>23</v>
      </c>
      <c r="D1" s="7" t="s">
        <v>32</v>
      </c>
    </row>
    <row r="2" spans="1:4" s="6" customFormat="1" x14ac:dyDescent="0.25">
      <c r="A2" s="6" t="s">
        <v>33</v>
      </c>
      <c r="B2" s="6" t="s">
        <v>34</v>
      </c>
      <c r="C2" s="6" t="s">
        <v>35</v>
      </c>
      <c r="D2" s="6" t="s">
        <v>36</v>
      </c>
    </row>
    <row r="3" spans="1:4" s="6" customFormat="1" x14ac:dyDescent="0.25">
      <c r="A3" s="6" t="s">
        <v>37</v>
      </c>
      <c r="B3" s="6" t="s">
        <v>38</v>
      </c>
      <c r="C3" s="6" t="s">
        <v>39</v>
      </c>
      <c r="D3" s="6" t="s">
        <v>40</v>
      </c>
    </row>
    <row r="4" spans="1:4" s="6" customFormat="1" x14ac:dyDescent="0.25">
      <c r="A4" s="6" t="s">
        <v>41</v>
      </c>
      <c r="B4" s="6" t="s">
        <v>42</v>
      </c>
      <c r="C4" s="6" t="s">
        <v>43</v>
      </c>
      <c r="D4" s="6" t="s">
        <v>44</v>
      </c>
    </row>
    <row r="5" spans="1:4" s="6" customFormat="1" x14ac:dyDescent="0.25">
      <c r="A5" s="6" t="s">
        <v>45</v>
      </c>
      <c r="B5" s="6" t="s">
        <v>46</v>
      </c>
      <c r="C5" s="6" t="s">
        <v>47</v>
      </c>
      <c r="D5" s="6" t="s">
        <v>48</v>
      </c>
    </row>
    <row r="6" spans="1:4" s="6" customFormat="1" x14ac:dyDescent="0.25">
      <c r="A6" s="6" t="s">
        <v>49</v>
      </c>
      <c r="B6" s="6" t="s">
        <v>50</v>
      </c>
      <c r="C6" s="6" t="s">
        <v>51</v>
      </c>
      <c r="D6" s="6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44" customWidth="1"/>
    <col min="2" max="2" width="32" customWidth="1"/>
    <col min="3" max="3" width="55" customWidth="1"/>
  </cols>
  <sheetData>
    <row r="1" ht="32" customHeight="1" spans="1:3" s="6" customFormat="1" x14ac:dyDescent="0.25">
      <c r="A1" s="7" t="s">
        <v>53</v>
      </c>
      <c r="B1" s="7" t="s">
        <v>54</v>
      </c>
      <c r="C1" s="7" t="s">
        <v>55</v>
      </c>
    </row>
    <row r="2" spans="1:3" s="6" customFormat="1" x14ac:dyDescent="0.25">
      <c r="A2" s="6" t="s">
        <v>56</v>
      </c>
      <c r="B2" s="6" t="s">
        <v>57</v>
      </c>
      <c r="C2" s="6" t="s">
        <v>58</v>
      </c>
    </row>
    <row r="3" spans="1:3" s="6" customFormat="1" x14ac:dyDescent="0.25">
      <c r="A3" s="6" t="s">
        <v>59</v>
      </c>
      <c r="B3" s="6" t="s">
        <v>57</v>
      </c>
      <c r="C3" s="6" t="s">
        <v>60</v>
      </c>
    </row>
    <row r="4" spans="1:3" s="6" customFormat="1" x14ac:dyDescent="0.25">
      <c r="A4" s="6" t="s">
        <v>61</v>
      </c>
      <c r="B4" s="6" t="s">
        <v>57</v>
      </c>
      <c r="C4" s="6" t="s">
        <v>62</v>
      </c>
    </row>
    <row r="5" spans="1:3" s="6" customFormat="1" x14ac:dyDescent="0.25">
      <c r="A5" s="6" t="s">
        <v>63</v>
      </c>
      <c r="B5" s="6" t="s">
        <v>64</v>
      </c>
      <c r="C5" s="6" t="s">
        <v>65</v>
      </c>
    </row>
    <row r="6" spans="1:3" s="6" customFormat="1" x14ac:dyDescent="0.25">
      <c r="A6" s="6" t="s">
        <v>66</v>
      </c>
      <c r="B6" s="6" t="s">
        <v>64</v>
      </c>
      <c r="C6" s="6" t="s">
        <v>67</v>
      </c>
    </row>
    <row r="7" spans="1:3" s="6" customFormat="1" x14ac:dyDescent="0.25">
      <c r="A7" s="6" t="s">
        <v>68</v>
      </c>
      <c r="B7" s="6" t="s">
        <v>69</v>
      </c>
      <c r="C7" s="6" t="s">
        <v>70</v>
      </c>
    </row>
    <row r="8" spans="1:3" s="6" customFormat="1" x14ac:dyDescent="0.25">
      <c r="A8" s="6" t="s">
        <v>71</v>
      </c>
      <c r="B8" s="6" t="s">
        <v>72</v>
      </c>
      <c r="C8" s="6" t="s">
        <v>73</v>
      </c>
    </row>
    <row r="9" spans="1:3" s="6" customFormat="1" x14ac:dyDescent="0.25">
      <c r="A9" s="6" t="s">
        <v>74</v>
      </c>
      <c r="B9" s="6" t="s">
        <v>75</v>
      </c>
      <c r="C9" s="6" t="s">
        <v>76</v>
      </c>
    </row>
    <row r="10" spans="1:3" s="6" customFormat="1" x14ac:dyDescent="0.25">
      <c r="A10" s="6" t="s">
        <v>77</v>
      </c>
      <c r="B10" s="6" t="s">
        <v>78</v>
      </c>
      <c r="C10" s="6" t="s">
        <v>79</v>
      </c>
    </row>
    <row r="11" spans="1:3" s="6" customFormat="1" x14ac:dyDescent="0.25">
      <c r="A11" s="6" t="s">
        <v>80</v>
      </c>
      <c r="B11" s="6" t="s">
        <v>81</v>
      </c>
      <c r="C11" s="6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28" customWidth="1"/>
    <col min="2" max="2" width="12" customWidth="1"/>
  </cols>
  <sheetData>
    <row r="1" spans="1:1" x14ac:dyDescent="0.25">
      <c r="A1" s="1" t="s">
        <v>83</v>
      </c>
    </row>
    <row r="3" spans="1:2" x14ac:dyDescent="0.25">
      <c r="A3" t="s">
        <v>84</v>
      </c>
      <c r="B3">
        <f>COUNTIF('01_Классификация'!K3:K11,"Прямой")</f>
      </c>
    </row>
    <row r="4" spans="1:2" x14ac:dyDescent="0.25">
      <c r="A4" t="s">
        <v>85</v>
      </c>
      <c r="B4">
        <f>COUNTIF('01_Классификация'!K3:K11,"Близкий")</f>
      </c>
    </row>
    <row r="5" spans="1:2" x14ac:dyDescent="0.25">
      <c r="A5" t="s">
        <v>86</v>
      </c>
      <c r="B5">
        <f>COUNTIF('01_Классификация'!K3:K11,"Косвенный")</f>
      </c>
    </row>
    <row r="6" spans="1:2" x14ac:dyDescent="0.25">
      <c r="A6" t="s">
        <v>87</v>
      </c>
      <c r="B6">
        <f>COUNTIF('01_Классификация'!K3:K11,"Заменитель")</f>
      </c>
    </row>
    <row r="7" spans="1:2" x14ac:dyDescent="0.25">
      <c r="A7" t="s">
        <v>88</v>
      </c>
      <c r="B7">
        <f>COUNTIF('01_Классификация'!K3:K11,"Потенциальный")</f>
      </c>
    </row>
    <row r="9" spans="1:1" x14ac:dyDescent="0.25">
      <c r="A9" t="s">
        <v>89</v>
      </c>
    </row>
    <row r="10" ht="40" customHeight="1" spans="1:4" x14ac:dyDescent="0.25">
      <c r="A10" s="8" t="s">
        <v>90</v>
      </c>
      <c r="B10" s="8"/>
      <c r="C10" s="8"/>
      <c r="D10" s="8"/>
    </row>
  </sheetData>
  <mergeCells count="1">
    <mergeCell ref="A10:D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00_Инструкция</vt:lpstr>
      <vt:lpstr>01_Классификация</vt:lpstr>
      <vt:lpstr>02_Левитт</vt:lpstr>
      <vt:lpstr>03_Кано</vt:lpstr>
      <vt:lpstr>04_Дашборд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Ксения Хаджинова</dc:creator>
  <dc:title/>
  <dc:subject/>
  <dc:description/>
  <cp:keywords/>
  <cp:category/>
  <cp:lastModifiedBy>Unknown</cp:lastModifiedBy>
  <dcterms:created xsi:type="dcterms:W3CDTF">2026-09-22T13:11:43Z</dcterms:created>
  <dcterms:modified xsi:type="dcterms:W3CDTF">2026-09-22T13:11:43Z</dcterms:modified>
</cp:coreProperties>
</file>