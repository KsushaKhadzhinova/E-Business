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6_ЦП_Канвас_сценарии_релизы\Excel_заполненные\"/>
    </mc:Choice>
  </mc:AlternateContent>
  <xr:revisionPtr revIDLastSave="0" documentId="13_ncr:1_{F5927F57-380F-49FB-AC01-336C3714D3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струкция" sheetId="1" r:id="rId1"/>
    <sheet name="Банк_анализа" sheetId="2" r:id="rId2"/>
    <sheet name="Реестр_единиц" sheetId="3" r:id="rId3"/>
    <sheet name="Оценка_релизов" sheetId="4" r:id="rId4"/>
    <sheet name="Первый_релиз" sheetId="5" r:id="rId5"/>
    <sheet name="Следующие_релизы" sheetId="6" r:id="rId6"/>
    <sheet name="Дорожная_карта" sheetId="7" r:id="rId7"/>
    <sheet name="Проверка_ценности" sheetId="8" r:id="rId8"/>
    <sheet name="Риски_зависимости" sheetId="9" r:id="rId9"/>
    <sheet name="Дашборд" sheetId="10" r:id="rId10"/>
    <sheet name="Справочники" sheetId="11" r:id="rId11"/>
  </sheets>
  <calcPr calcId="191029" refMode="R1C1"/>
</workbook>
</file>

<file path=xl/calcChain.xml><?xml version="1.0" encoding="utf-8"?>
<calcChain xmlns="http://schemas.openxmlformats.org/spreadsheetml/2006/main">
  <c r="R101" i="3" l="1"/>
  <c r="Q101" i="3"/>
  <c r="R100" i="3"/>
  <c r="Q100" i="3"/>
  <c r="R99" i="3"/>
  <c r="Q99" i="3"/>
  <c r="R98" i="3"/>
  <c r="Q98" i="3"/>
  <c r="R97" i="3"/>
  <c r="Q97" i="3"/>
  <c r="R96" i="3"/>
  <c r="Q96" i="3"/>
  <c r="R95" i="3"/>
  <c r="Q95" i="3"/>
  <c r="R94" i="3"/>
  <c r="Q94" i="3"/>
  <c r="R93" i="3"/>
  <c r="Q93" i="3"/>
  <c r="R92" i="3"/>
  <c r="Q92" i="3"/>
  <c r="R91" i="3"/>
  <c r="Q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R81" i="3"/>
  <c r="Q81" i="3"/>
  <c r="R80" i="3"/>
  <c r="Q80" i="3"/>
  <c r="R79" i="3"/>
  <c r="Q79" i="3"/>
  <c r="R78" i="3"/>
  <c r="Q78" i="3"/>
  <c r="R77" i="3"/>
  <c r="Q77" i="3"/>
  <c r="R76" i="3"/>
  <c r="Q76" i="3"/>
  <c r="R75" i="3"/>
  <c r="Q75" i="3"/>
  <c r="R74" i="3"/>
  <c r="Q74" i="3"/>
  <c r="R73" i="3"/>
  <c r="Q73" i="3"/>
  <c r="R72" i="3"/>
  <c r="Q72" i="3"/>
  <c r="R71" i="3"/>
  <c r="Q71" i="3"/>
  <c r="R70" i="3"/>
  <c r="Q70" i="3"/>
  <c r="R69" i="3"/>
  <c r="Q69" i="3"/>
  <c r="R68" i="3"/>
  <c r="Q68" i="3"/>
  <c r="R67" i="3"/>
  <c r="Q67" i="3"/>
  <c r="R66" i="3"/>
  <c r="Q66" i="3"/>
  <c r="R65" i="3"/>
  <c r="Q65" i="3"/>
  <c r="R64" i="3"/>
  <c r="Q64" i="3"/>
  <c r="R63" i="3"/>
  <c r="Q63" i="3"/>
  <c r="R62" i="3"/>
  <c r="Q62" i="3"/>
  <c r="R61" i="3"/>
  <c r="Q61" i="3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R48" i="3"/>
  <c r="Q48" i="3"/>
  <c r="R47" i="3"/>
  <c r="Q47" i="3"/>
  <c r="R46" i="3"/>
  <c r="Q46" i="3"/>
  <c r="R45" i="3"/>
  <c r="Q45" i="3"/>
  <c r="R44" i="3"/>
  <c r="Q44" i="3"/>
  <c r="R43" i="3"/>
  <c r="Q43" i="3"/>
  <c r="R42" i="3"/>
  <c r="Q42" i="3"/>
  <c r="R41" i="3"/>
  <c r="Q41" i="3"/>
  <c r="R40" i="3"/>
  <c r="Q40" i="3"/>
  <c r="R39" i="3"/>
  <c r="Q39" i="3"/>
  <c r="R38" i="3"/>
  <c r="Q38" i="3"/>
  <c r="R37" i="3"/>
  <c r="Q37" i="3"/>
  <c r="S37" i="3" s="1"/>
  <c r="T37" i="3" s="1"/>
  <c r="R36" i="3"/>
  <c r="Q36" i="3"/>
  <c r="R35" i="3"/>
  <c r="Q35" i="3"/>
  <c r="R34" i="3"/>
  <c r="Q34" i="3"/>
  <c r="R33" i="3"/>
  <c r="Q33" i="3"/>
  <c r="S33" i="3" s="1"/>
  <c r="T33" i="3" s="1"/>
  <c r="R32" i="3"/>
  <c r="S32" i="3" s="1"/>
  <c r="T32" i="3" s="1"/>
  <c r="Q32" i="3"/>
  <c r="R31" i="3"/>
  <c r="Q31" i="3"/>
  <c r="R30" i="3"/>
  <c r="Q30" i="3"/>
  <c r="R29" i="3"/>
  <c r="Q29" i="3"/>
  <c r="R28" i="3"/>
  <c r="Q28" i="3"/>
  <c r="R27" i="3"/>
  <c r="S27" i="3" s="1"/>
  <c r="T27" i="3" s="1"/>
  <c r="Q27" i="3"/>
  <c r="R26" i="3"/>
  <c r="Q26" i="3"/>
  <c r="R25" i="3"/>
  <c r="Q25" i="3"/>
  <c r="R24" i="3"/>
  <c r="Q24" i="3"/>
  <c r="R23" i="3"/>
  <c r="Q23" i="3"/>
  <c r="R22" i="3"/>
  <c r="Q22" i="3"/>
  <c r="S22" i="3" s="1"/>
  <c r="T22" i="3" s="1"/>
  <c r="R21" i="3"/>
  <c r="Q21" i="3"/>
  <c r="R20" i="3"/>
  <c r="Q20" i="3"/>
  <c r="S20" i="3" s="1"/>
  <c r="T20" i="3" s="1"/>
  <c r="R19" i="3"/>
  <c r="Q19" i="3"/>
  <c r="R18" i="3"/>
  <c r="Q18" i="3"/>
  <c r="S18" i="3" s="1"/>
  <c r="T18" i="3" s="1"/>
  <c r="R17" i="3"/>
  <c r="Q17" i="3"/>
  <c r="R16" i="3"/>
  <c r="Q16" i="3"/>
  <c r="R15" i="3"/>
  <c r="Q15" i="3"/>
  <c r="R14" i="3"/>
  <c r="Q14" i="3"/>
  <c r="R13" i="3"/>
  <c r="Q13" i="3"/>
  <c r="S13" i="3" s="1"/>
  <c r="T13" i="3" s="1"/>
  <c r="R12" i="3"/>
  <c r="Q12" i="3"/>
  <c r="R11" i="3"/>
  <c r="Q11" i="3"/>
  <c r="S11" i="3" s="1"/>
  <c r="T11" i="3" s="1"/>
  <c r="R10" i="3"/>
  <c r="Q10" i="3"/>
  <c r="S10" i="3" s="1"/>
  <c r="T10" i="3" s="1"/>
  <c r="R9" i="3"/>
  <c r="Q9" i="3"/>
  <c r="S9" i="3" s="1"/>
  <c r="T9" i="3" s="1"/>
  <c r="R8" i="3"/>
  <c r="Q8" i="3"/>
  <c r="S8" i="3" s="1"/>
  <c r="T8" i="3" s="1"/>
  <c r="R7" i="3"/>
  <c r="Q7" i="3"/>
  <c r="S7" i="3" s="1"/>
  <c r="T7" i="3" s="1"/>
  <c r="R6" i="3"/>
  <c r="Q6" i="3"/>
  <c r="S6" i="3" s="1"/>
  <c r="T6" i="3" s="1"/>
  <c r="R5" i="3"/>
  <c r="Q5" i="3"/>
  <c r="S5" i="3" s="1"/>
  <c r="T5" i="3" s="1"/>
  <c r="R4" i="3"/>
  <c r="Q4" i="3"/>
  <c r="R3" i="3"/>
  <c r="Q3" i="3"/>
  <c r="R2" i="3"/>
  <c r="Q2" i="3"/>
  <c r="B9" i="10"/>
  <c r="B4" i="10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T101" i="3"/>
  <c r="S101" i="3"/>
  <c r="T100" i="3"/>
  <c r="S100" i="3"/>
  <c r="T99" i="3"/>
  <c r="S99" i="3"/>
  <c r="T98" i="3"/>
  <c r="S98" i="3"/>
  <c r="T97" i="3"/>
  <c r="S97" i="3"/>
  <c r="T96" i="3"/>
  <c r="S96" i="3"/>
  <c r="T95" i="3"/>
  <c r="S95" i="3"/>
  <c r="T94" i="3"/>
  <c r="S94" i="3"/>
  <c r="T93" i="3"/>
  <c r="S93" i="3"/>
  <c r="T92" i="3"/>
  <c r="S92" i="3"/>
  <c r="T91" i="3"/>
  <c r="S91" i="3"/>
  <c r="T90" i="3"/>
  <c r="S90" i="3"/>
  <c r="T89" i="3"/>
  <c r="S89" i="3"/>
  <c r="T88" i="3"/>
  <c r="S88" i="3"/>
  <c r="T87" i="3"/>
  <c r="S87" i="3"/>
  <c r="T86" i="3"/>
  <c r="S86" i="3"/>
  <c r="T85" i="3"/>
  <c r="S85" i="3"/>
  <c r="T84" i="3"/>
  <c r="S84" i="3"/>
  <c r="T83" i="3"/>
  <c r="S83" i="3"/>
  <c r="T82" i="3"/>
  <c r="S82" i="3"/>
  <c r="T81" i="3"/>
  <c r="S81" i="3"/>
  <c r="T80" i="3"/>
  <c r="S80" i="3"/>
  <c r="T79" i="3"/>
  <c r="S79" i="3"/>
  <c r="T78" i="3"/>
  <c r="S78" i="3"/>
  <c r="T77" i="3"/>
  <c r="S77" i="3"/>
  <c r="T76" i="3"/>
  <c r="S76" i="3"/>
  <c r="T75" i="3"/>
  <c r="S75" i="3"/>
  <c r="T74" i="3"/>
  <c r="S74" i="3"/>
  <c r="T73" i="3"/>
  <c r="S73" i="3"/>
  <c r="T72" i="3"/>
  <c r="S72" i="3"/>
  <c r="T71" i="3"/>
  <c r="S71" i="3"/>
  <c r="T70" i="3"/>
  <c r="S70" i="3"/>
  <c r="T69" i="3"/>
  <c r="S69" i="3"/>
  <c r="T68" i="3"/>
  <c r="S68" i="3"/>
  <c r="T67" i="3"/>
  <c r="S67" i="3"/>
  <c r="T66" i="3"/>
  <c r="S66" i="3"/>
  <c r="T65" i="3"/>
  <c r="S65" i="3"/>
  <c r="T64" i="3"/>
  <c r="S64" i="3"/>
  <c r="T63" i="3"/>
  <c r="S63" i="3"/>
  <c r="T62" i="3"/>
  <c r="S62" i="3"/>
  <c r="T61" i="3"/>
  <c r="S61" i="3"/>
  <c r="T60" i="3"/>
  <c r="S60" i="3"/>
  <c r="T59" i="3"/>
  <c r="S59" i="3"/>
  <c r="T58" i="3"/>
  <c r="S58" i="3"/>
  <c r="T57" i="3"/>
  <c r="S57" i="3"/>
  <c r="T56" i="3"/>
  <c r="S56" i="3"/>
  <c r="T55" i="3"/>
  <c r="S55" i="3"/>
  <c r="T54" i="3"/>
  <c r="S54" i="3"/>
  <c r="T53" i="3"/>
  <c r="S53" i="3"/>
  <c r="T52" i="3"/>
  <c r="S52" i="3"/>
  <c r="T51" i="3"/>
  <c r="S51" i="3"/>
  <c r="T50" i="3"/>
  <c r="S50" i="3"/>
  <c r="T49" i="3"/>
  <c r="S49" i="3"/>
  <c r="T48" i="3"/>
  <c r="S48" i="3"/>
  <c r="T47" i="3"/>
  <c r="S47" i="3"/>
  <c r="T46" i="3"/>
  <c r="S46" i="3"/>
  <c r="T45" i="3"/>
  <c r="S45" i="3"/>
  <c r="T44" i="3"/>
  <c r="S44" i="3"/>
  <c r="T43" i="3"/>
  <c r="S43" i="3"/>
  <c r="T42" i="3"/>
  <c r="S42" i="3"/>
  <c r="T41" i="3"/>
  <c r="S41" i="3"/>
  <c r="T40" i="3"/>
  <c r="S40" i="3"/>
  <c r="S19" i="3"/>
  <c r="T19" i="3" s="1"/>
  <c r="S17" i="3"/>
  <c r="T17" i="3" s="1"/>
  <c r="S16" i="3"/>
  <c r="T16" i="3" s="1"/>
  <c r="S14" i="3"/>
  <c r="T14" i="3" s="1"/>
  <c r="S12" i="3"/>
  <c r="T12" i="3" s="1"/>
  <c r="S4" i="3"/>
  <c r="T4" i="3" s="1"/>
  <c r="S3" i="3"/>
  <c r="T3" i="3" s="1"/>
  <c r="S2" i="3"/>
  <c r="S36" i="3" l="1"/>
  <c r="T36" i="3" s="1"/>
  <c r="S15" i="3"/>
  <c r="T15" i="3" s="1"/>
  <c r="S39" i="3"/>
  <c r="T39" i="3" s="1"/>
  <c r="S38" i="3"/>
  <c r="S35" i="3"/>
  <c r="T35" i="3" s="1"/>
  <c r="S34" i="3"/>
  <c r="S31" i="3"/>
  <c r="T31" i="3" s="1"/>
  <c r="S30" i="3"/>
  <c r="T30" i="3" s="1"/>
  <c r="S29" i="3"/>
  <c r="T29" i="3" s="1"/>
  <c r="S28" i="3"/>
  <c r="T28" i="3" s="1"/>
  <c r="S26" i="3"/>
  <c r="T26" i="3" s="1"/>
  <c r="S25" i="3"/>
  <c r="T25" i="3" s="1"/>
  <c r="S24" i="3"/>
  <c r="T24" i="3" s="1"/>
  <c r="S23" i="3"/>
  <c r="T23" i="3" s="1"/>
  <c r="S21" i="3"/>
  <c r="T21" i="3" s="1"/>
  <c r="T2" i="3"/>
  <c r="B6" i="10"/>
  <c r="F6" i="10"/>
  <c r="B17" i="10"/>
  <c r="B18" i="10"/>
  <c r="B19" i="10"/>
  <c r="T38" i="3" l="1"/>
  <c r="F4" i="4"/>
  <c r="C4" i="4"/>
  <c r="B5" i="4"/>
  <c r="D6" i="4"/>
  <c r="B5" i="10"/>
  <c r="B15" i="10"/>
  <c r="E4" i="4"/>
  <c r="D5" i="4"/>
  <c r="B4" i="4"/>
  <c r="H4" i="4"/>
  <c r="I4" i="4"/>
  <c r="E5" i="4"/>
  <c r="E6" i="4"/>
  <c r="B7" i="10"/>
  <c r="G4" i="4"/>
  <c r="C5" i="4"/>
  <c r="F5" i="4"/>
  <c r="G5" i="4"/>
  <c r="H5" i="4"/>
  <c r="C6" i="4"/>
  <c r="F6" i="4"/>
  <c r="B14" i="10"/>
  <c r="G6" i="4"/>
  <c r="H6" i="4"/>
  <c r="I6" i="4"/>
  <c r="F4" i="10"/>
  <c r="F5" i="10"/>
  <c r="B16" i="10"/>
  <c r="T34" i="3"/>
  <c r="D4" i="4"/>
  <c r="I5" i="4"/>
  <c r="B6" i="4"/>
  <c r="B8" i="10"/>
  <c r="B13" i="10"/>
  <c r="J5" i="4" l="1"/>
  <c r="J4" i="4"/>
  <c r="J6" i="4"/>
</calcChain>
</file>

<file path=xl/sharedStrings.xml><?xml version="1.0" encoding="utf-8"?>
<sst xmlns="http://schemas.openxmlformats.org/spreadsheetml/2006/main" count="818" uniqueCount="578">
  <si>
    <t>Шаблон деления разработки сайта или мобильного приложения на первый и последующие релизы</t>
  </si>
  <si>
    <t>Назначение файла</t>
  </si>
  <si>
    <t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аудитории.</t>
  </si>
  <si>
    <t>Логика работы</t>
  </si>
  <si>
    <t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монетизации.</t>
  </si>
  <si>
    <t>Принцип первого релиза</t>
  </si>
  <si>
    <t>Первый релиз должен содержать минимальный набор, который позволяет пользователю получить заявленную ценность, бизнесу — проверить спрос и монетизацию, а продукту — собрать данные для следующего роста.</t>
  </si>
  <si>
    <t>Что нельзя переносить из первого релиза</t>
  </si>
  <si>
    <t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сценарий.</t>
  </si>
  <si>
    <t>Как читать расчет</t>
  </si>
  <si>
    <t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переносе.</t>
  </si>
  <si>
    <t>Редактируемые поля</t>
  </si>
  <si>
    <t>Желтые поля предназначены для ввода. Зеленые поля являются расчетными. Справочники и выпадающие списки находятся на листе «Справочники».</t>
  </si>
  <si>
    <t>Шаг</t>
  </si>
  <si>
    <t>Действие</t>
  </si>
  <si>
    <t>Результат</t>
  </si>
  <si>
    <t>Собрать выводы из анализа проблем, отзывов, конкурентов, ценностного предложения, цифрового товара, Канвас, сценариев и страниц/экранов.</t>
  </si>
  <si>
    <t>Единый банк доказанных оснований для решений по релизам.</t>
  </si>
  <si>
    <t>Разложить будущий сайт или приложение на интерфейсные и функциональные единицы.</t>
  </si>
  <si>
    <t>Перечень кандидатов на включение в релизы.</t>
  </si>
  <si>
    <t>Оценить каждую единицу по шкалам 1–5.</t>
  </si>
  <si>
    <t>Сравнимые баллы для быстрого и обоснованного выбора состава первого релиза.</t>
  </si>
  <si>
    <t>Проверить, не нарушается ли ценностное предложение, монетизация, удержание и рост при переносе части функций.</t>
  </si>
  <si>
    <t>Сбалансированный первый релиз без избыточной разработки.</t>
  </si>
  <si>
    <t>Сформировать дорожную карту последующих релизов.</t>
  </si>
  <si>
    <t>Последовательность развития продукта после выхода на рынок.</t>
  </si>
  <si>
    <t>ID вывода</t>
  </si>
  <si>
    <t>Вид анализа</t>
  </si>
  <si>
    <t>Объект анализа</t>
  </si>
  <si>
    <t>Ключевой вывод</t>
  </si>
  <si>
    <t>Проблема / потребность</t>
  </si>
  <si>
    <t>Пользовательский сегмент</t>
  </si>
  <si>
    <t>Доказательство</t>
  </si>
  <si>
    <t>Источник / ссылка</t>
  </si>
  <si>
    <t>Достоверность 1–5</t>
  </si>
  <si>
    <t>Значимость 1–5</t>
  </si>
  <si>
    <t>Вывод для релизов</t>
  </si>
  <si>
    <t>Связанная единица разработки</t>
  </si>
  <si>
    <t>A-001</t>
  </si>
  <si>
    <t>Анализ отзывов</t>
  </si>
  <si>
    <t>Новый пользователь</t>
  </si>
  <si>
    <t>A-002</t>
  </si>
  <si>
    <t>Анализ конкурентов по сайтам</t>
  </si>
  <si>
    <t>Сайты конкурентов</t>
  </si>
  <si>
    <t>A-003</t>
  </si>
  <si>
    <t>Ценностное предложение</t>
  </si>
  <si>
    <t>A-004</t>
  </si>
  <si>
    <t>Канвас</t>
  </si>
  <si>
    <t>Проверить готовность платить</t>
  </si>
  <si>
    <t>A-005</t>
  </si>
  <si>
    <t>Пользовательские сценарии</t>
  </si>
  <si>
    <t>ID</t>
  </si>
  <si>
    <t>Тип единицы</t>
  </si>
  <si>
    <t>Название единицы разработки</t>
  </si>
  <si>
    <t>Роль / сегмент</t>
  </si>
  <si>
    <t>Связанный сценарий</t>
  </si>
  <si>
    <t>Блок Канвас</t>
  </si>
  <si>
    <t>Связь с ценностным предложением 1–5</t>
  </si>
  <si>
    <t>Критичность для первого дохода 1–5</t>
  </si>
  <si>
    <t>Потенциал удержания 1–5</t>
  </si>
  <si>
    <t>Потенциал роста аудитории 1–5</t>
  </si>
  <si>
    <t>Доказательность 1–5</t>
  </si>
  <si>
    <t>Рыночный стандарт 1–5</t>
  </si>
  <si>
    <t>Быстрота реализации 1–5</t>
  </si>
  <si>
    <t>Дешевизна реализации 1–5</t>
  </si>
  <si>
    <t>Технический риск 1–5</t>
  </si>
  <si>
    <t>Риск потери ценности при переносе 1–5</t>
  </si>
  <si>
    <t>Балл первого релиза</t>
  </si>
  <si>
    <t>Балл следующих релизов</t>
  </si>
  <si>
    <t>Рекомендованный релиз</t>
  </si>
  <si>
    <t>Решение</t>
  </si>
  <si>
    <t>Обоснование</t>
  </si>
  <si>
    <t>Экран приложения</t>
  </si>
  <si>
    <t>Страница сайта</t>
  </si>
  <si>
    <t>Потоки доходов</t>
  </si>
  <si>
    <t>Функция</t>
  </si>
  <si>
    <t>Форма</t>
  </si>
  <si>
    <t>Интеграция</t>
  </si>
  <si>
    <t>Ключевые партнеры</t>
  </si>
  <si>
    <t>Аналитика</t>
  </si>
  <si>
    <t>Ключевые ресурсы</t>
  </si>
  <si>
    <t>Контентный блок</t>
  </si>
  <si>
    <t>Административная функция</t>
  </si>
  <si>
    <t>Ключевые виды деятельности</t>
  </si>
  <si>
    <t>Отношения с клиентами</t>
  </si>
  <si>
    <t>Каналы</t>
  </si>
  <si>
    <t>Сводная оценка состава релизов</t>
  </si>
  <si>
    <t>Релиз</t>
  </si>
  <si>
    <t>Количество единиц</t>
  </si>
  <si>
    <t>Средний балл первого релиза</t>
  </si>
  <si>
    <t>Средняя доказательность</t>
  </si>
  <si>
    <t>Средняя связь с ценностью</t>
  </si>
  <si>
    <t>Средняя критичность дохода</t>
  </si>
  <si>
    <t>Среднее удержание</t>
  </si>
  <si>
    <t>Средний рост</t>
  </si>
  <si>
    <t>Средний технический риск</t>
  </si>
  <si>
    <t>Интерпретация</t>
  </si>
  <si>
    <t>Первый релиз</t>
  </si>
  <si>
    <t>Следующий релиз</t>
  </si>
  <si>
    <t>Не включать / проверить</t>
  </si>
  <si>
    <t>План первого релиза: быстрый и экономный выход на рынок без разрушения ценности</t>
  </si>
  <si>
    <t>Единица первого релиза</t>
  </si>
  <si>
    <t>Зачем нужна в первом релизе</t>
  </si>
  <si>
    <t>Проверяемая гипотеза</t>
  </si>
  <si>
    <t>Минимальная реализация</t>
  </si>
  <si>
    <t>Критерий готовности</t>
  </si>
  <si>
    <t>Метрика после запуска</t>
  </si>
  <si>
    <t>Ответственный</t>
  </si>
  <si>
    <t>FR-001</t>
  </si>
  <si>
    <t>FR-002</t>
  </si>
  <si>
    <t>FR-003</t>
  </si>
  <si>
    <t>План последующих релизов: развитие удержания, роста и операционной эффективности</t>
  </si>
  <si>
    <t>Единица развития</t>
  </si>
  <si>
    <t>Основание переноса</t>
  </si>
  <si>
    <t>Условие включения</t>
  </si>
  <si>
    <t>Ожидаемый эффект</t>
  </si>
  <si>
    <t>Связанная метрика</t>
  </si>
  <si>
    <t>Зависимости</t>
  </si>
  <si>
    <t>Комментарий</t>
  </si>
  <si>
    <t>NR-001</t>
  </si>
  <si>
    <t>Релиз 2</t>
  </si>
  <si>
    <t>NR-002</t>
  </si>
  <si>
    <t>NR-003</t>
  </si>
  <si>
    <t>Релиз 3</t>
  </si>
  <si>
    <t>Дорожная карта релизов</t>
  </si>
  <si>
    <t>Цель релиза</t>
  </si>
  <si>
    <t>Состав</t>
  </si>
  <si>
    <t>Ключевая гипотеза</t>
  </si>
  <si>
    <t>Что измеряем</t>
  </si>
  <si>
    <t>Критерий перехода к следующему релизу</t>
  </si>
  <si>
    <t>Ограничение бюджета / срока</t>
  </si>
  <si>
    <t>Риски</t>
  </si>
  <si>
    <t>Решение по запуску</t>
  </si>
  <si>
    <t>Дата начала</t>
  </si>
  <si>
    <t>Дата окончания</t>
  </si>
  <si>
    <t>Контрольный лист: первый релиз сохраняет ценностное предложение, монетизацию, удержание и рост</t>
  </si>
  <si>
    <t>Блок проверки</t>
  </si>
  <si>
    <t>Контрольный вопрос</t>
  </si>
  <si>
    <t>Оценка 1–5</t>
  </si>
  <si>
    <t>Риск при низкой оценке</t>
  </si>
  <si>
    <t>Что добавить / изменить</t>
  </si>
  <si>
    <t>Статус</t>
  </si>
  <si>
    <t>Ценность</t>
  </si>
  <si>
    <t>Оставить в первом релизе</t>
  </si>
  <si>
    <t>Готово</t>
  </si>
  <si>
    <t>Проблема</t>
  </si>
  <si>
    <t>В работе</t>
  </si>
  <si>
    <t>Монетизация</t>
  </si>
  <si>
    <t>Нельзя проверить бизнес-модель</t>
  </si>
  <si>
    <t>Удержание</t>
  </si>
  <si>
    <t>Рост</t>
  </si>
  <si>
    <t>Включить минимальную аналитику</t>
  </si>
  <si>
    <t>Экономичность</t>
  </si>
  <si>
    <t>Перерасход до проверки спроса</t>
  </si>
  <si>
    <t>Риски, зависимости и условия переноса функций между релизами</t>
  </si>
  <si>
    <t>Единица / решение</t>
  </si>
  <si>
    <t>Риск</t>
  </si>
  <si>
    <t>Тип риска</t>
  </si>
  <si>
    <t>Вероятность 1–5</t>
  </si>
  <si>
    <t>Влияние 1–5</t>
  </si>
  <si>
    <t>Индекс риска</t>
  </si>
  <si>
    <t>Митигирующее действие</t>
  </si>
  <si>
    <t>Связанный релиз</t>
  </si>
  <si>
    <t>R-001</t>
  </si>
  <si>
    <t>R-002</t>
  </si>
  <si>
    <t>Данные</t>
  </si>
  <si>
    <t>R-003</t>
  </si>
  <si>
    <t>Стоимость</t>
  </si>
  <si>
    <t>Дашборд готовности релизного плана</t>
  </si>
  <si>
    <t>Показатель</t>
  </si>
  <si>
    <t>Значение</t>
  </si>
  <si>
    <t>Количество</t>
  </si>
  <si>
    <t>Всего единиц разработки</t>
  </si>
  <si>
    <t>Количество страниц, экранов, функций, интеграций и контентных блоков в реестре</t>
  </si>
  <si>
    <t>Единиц в первом релизе</t>
  </si>
  <si>
    <t>Объем минимального рыночного выпуска</t>
  </si>
  <si>
    <t>Насколько первый релиз сочетает ценность, скорость и экономичность</t>
  </si>
  <si>
    <t>Средняя связь с ценностным предложением в первом релизе</t>
  </si>
  <si>
    <t>Должна быть высокой, иначе первый релиз теряет смысл</t>
  </si>
  <si>
    <t>Средний риск первого релиза</t>
  </si>
  <si>
    <t>Чем ниже, тем проще старт</t>
  </si>
  <si>
    <t>Средняя оценка контрольного листа ценности</t>
  </si>
  <si>
    <t>Показывает, насколько сохранены ценность, монетизация, удержание и рост</t>
  </si>
  <si>
    <t>Критерий</t>
  </si>
  <si>
    <t>Средняя оценка первого релиза</t>
  </si>
  <si>
    <t>Доход</t>
  </si>
  <si>
    <t>Доказательность</t>
  </si>
  <si>
    <t>Быстрота</t>
  </si>
  <si>
    <t>Дешевизна</t>
  </si>
  <si>
    <t>Справочники для выпадающих списков и шкал оценки</t>
  </si>
  <si>
    <t>Шкала</t>
  </si>
  <si>
    <t>Тип метрики</t>
  </si>
  <si>
    <t>Анализ проблем</t>
  </si>
  <si>
    <t>Не начато</t>
  </si>
  <si>
    <t>Потребительские сегменты</t>
  </si>
  <si>
    <t>1 — очень низко</t>
  </si>
  <si>
    <t>Активация</t>
  </si>
  <si>
    <t>2 — низко</t>
  </si>
  <si>
    <t>Конверсия</t>
  </si>
  <si>
    <t>3 — средне</t>
  </si>
  <si>
    <t>Классификация конкурентов</t>
  </si>
  <si>
    <t>Требует решения</t>
  </si>
  <si>
    <t>4 — высоко</t>
  </si>
  <si>
    <t>Срок</t>
  </si>
  <si>
    <t>Повторное использование</t>
  </si>
  <si>
    <t>5 — очень высоко</t>
  </si>
  <si>
    <t>Технология</t>
  </si>
  <si>
    <t>Рост аудитории</t>
  </si>
  <si>
    <t>Цифровой товар</t>
  </si>
  <si>
    <t>Выручка</t>
  </si>
  <si>
    <t>Обращения в поддержку</t>
  </si>
  <si>
    <t>Стоимость привлечения</t>
  </si>
  <si>
    <t>Страницы и экраны</t>
  </si>
  <si>
    <t>Структура затрат</t>
  </si>
  <si>
    <t>Срок реализации</t>
  </si>
  <si>
    <t>Карта проблем 6.1</t>
  </si>
  <si>
    <t>Опорная P-001 (ИПП 4,35)</t>
  </si>
  <si>
    <t>Корректная диаграмма до сдачи</t>
  </si>
  <si>
    <t>S-01 студенты</t>
  </si>
  <si>
    <t>8 проблем, индекс шаблона 90</t>
  </si>
  <si>
    <t>ЛР6 6.1</t>
  </si>
  <si>
    <t>Ядро R1 — редактор + валидация</t>
  </si>
  <si>
    <t>RU-001…RU-006</t>
  </si>
  <si>
    <t>Прямые конкуренты</t>
  </si>
  <si>
    <t>Стандарт: DSL, браузерный рендер, GitHub, экспорт, шаблоны, Free</t>
  </si>
  <si>
    <t>Не отстать от стандарта</t>
  </si>
  <si>
    <t>Все</t>
  </si>
  <si>
    <t>ЛР5, 4 прямых</t>
  </si>
  <si>
    <t>Стандарт — в R1</t>
  </si>
  <si>
    <t>RU-007, RU-013, RU-015</t>
  </si>
  <si>
    <t>Уровни конкуренции</t>
  </si>
  <si>
    <t>Eraser.io 93,0 — эталон AI + история</t>
  </si>
  <si>
    <t>Отличие без AI-гонки</t>
  </si>
  <si>
    <t>S-02/S-03</t>
  </si>
  <si>
    <t>ЛР5 разд. 1</t>
  </si>
  <si>
    <t>ЛР5</t>
  </si>
  <si>
    <t>AI в R1 — заглушка, серверный AI — R4</t>
  </si>
  <si>
    <t>RU-009, RU-034</t>
  </si>
  <si>
    <t>VP-001</t>
  </si>
  <si>
    <t>Ценность — проверка правил с номером строки</t>
  </si>
  <si>
    <t>Сдать без замечаний</t>
  </si>
  <si>
    <t>S-01</t>
  </si>
  <si>
    <t>ИКЦП 3,83</t>
  </si>
  <si>
    <t>Problems и подсветка — в R1</t>
  </si>
  <si>
    <t>RU-005, RU-006</t>
  </si>
  <si>
    <t>Самый слабый блок (42 %)</t>
  </si>
  <si>
    <t>Индекс доказательности</t>
  </si>
  <si>
    <t>ЛР6 6.2</t>
  </si>
  <si>
    <t>Тарифы + заявка в R1; оплата — R2</t>
  </si>
  <si>
    <t>RU-018, RU-025</t>
  </si>
  <si>
    <t>A-006</t>
  </si>
  <si>
    <t>S-004, S-007</t>
  </si>
  <si>
    <t>Ключевой сценарий: шаблон → DSL → Run → Problems → OK → Save/Export</t>
  </si>
  <si>
    <t>Результат без помощи</t>
  </si>
  <si>
    <t>Паспорта сценариев</t>
  </si>
  <si>
    <t>ЛР6 6.3</t>
  </si>
  <si>
    <t>Все шаги сценария — в R1</t>
  </si>
  <si>
    <t>RU-001…RU-015</t>
  </si>
  <si>
    <t>A-007</t>
  </si>
  <si>
    <t>P1-состав</t>
  </si>
  <si>
    <t>P1: лендинг, тарифы, IDE, Problems, сохранение, экспорт, документация</t>
  </si>
  <si>
    <t>Цепочка ценность → оплата → поддержка</t>
  </si>
  <si>
    <t>Приоритизация 6.4</t>
  </si>
  <si>
    <t>ЛР6 6.4</t>
  </si>
  <si>
    <t>Экраны P1 — в R1</t>
  </si>
  <si>
    <t>RU-017, RU-018</t>
  </si>
  <si>
    <t>A-008</t>
  </si>
  <si>
    <t>Отзывы</t>
  </si>
  <si>
    <t>🔲 ДОСНЯТЬ</t>
  </si>
  <si>
    <t>—</t>
  </si>
  <si>
    <t>🔲</t>
  </si>
  <si>
    <t>Проверить приоритет onboarding после R1</t>
  </si>
  <si>
    <t>RU-021</t>
  </si>
  <si>
    <t>A-009</t>
  </si>
  <si>
    <t>Лимиты Free</t>
  </si>
  <si>
    <t>5 проектов, 20 версий, SVG/PNG</t>
  </si>
  <si>
    <t>Граница бесплатного</t>
  </si>
  <si>
    <t>Концепция §6</t>
  </si>
  <si>
    <t>01-project-concept.md</t>
  </si>
  <si>
    <t>Лимиты реализуются в R1</t>
  </si>
  <si>
    <t>RU-011, RU-016</t>
  </si>
  <si>
    <t>A-010</t>
  </si>
  <si>
    <t>Партнёры</t>
  </si>
  <si>
    <t>Платёжный провайдер РБ не выбран (R-24)</t>
  </si>
  <si>
    <t>Приём оплаты</t>
  </si>
  <si>
    <t>Риск R-24</t>
  </si>
  <si>
    <t>Концепция</t>
  </si>
  <si>
    <t>Оплата — R2</t>
  </si>
  <si>
    <t>RU-025</t>
  </si>
  <si>
    <t>RU-001</t>
  </si>
  <si>
    <t>Редактор DSL (Monaco, подсветка, подсказки)</t>
  </si>
  <si>
    <t>Активный пользователь</t>
  </si>
  <si>
    <t>S-004</t>
  </si>
  <si>
    <t>Ядро товара</t>
  </si>
  <si>
    <t>RU-002</t>
  </si>
  <si>
    <t>Разбор DSL и диагностика (Language Service)</t>
  </si>
  <si>
    <t>Ядро; упростить: восстановление после ошибок — базовое</t>
  </si>
  <si>
    <t>RU-003</t>
  </si>
  <si>
    <t>Профили нотаций волны 1 с валидацией правил</t>
  </si>
  <si>
    <t>Отличие D-01/D-02; упростить: по одной нотации за спринт S4–S7</t>
  </si>
  <si>
    <t>RU-004</t>
  </si>
  <si>
    <t>Холст SVG + elkjs, pan/zoom, сетка</t>
  </si>
  <si>
    <t>S-003</t>
  </si>
  <si>
    <t>Без холста нет результата</t>
  </si>
  <si>
    <t>RU-005</t>
  </si>
  <si>
    <t>Кросс-подсветка строка ↔ элемент</t>
  </si>
  <si>
    <t>S-008</t>
  </si>
  <si>
    <t>Шаблон: «Не включать / проверить» (балл R1 3,48 &lt; 3,7) → R2; в agile-plan Must — пересмотр PO</t>
  </si>
  <si>
    <t>RU-006</t>
  </si>
  <si>
    <t>Terminal/Problems + тосты Error/Warning/OK</t>
  </si>
  <si>
    <t>Носитель ценности «проверка правил»</t>
  </si>
  <si>
    <t>RU-007</t>
  </si>
  <si>
    <t>Шаблоны нотаций (просмотр, копирование)</t>
  </si>
  <si>
    <t>Первая ценность без обучения</t>
  </si>
  <si>
    <t>RU-008</t>
  </si>
  <si>
    <t>Вкладка документации (синтаксис + теория)</t>
  </si>
  <si>
    <t>S-009</t>
  </si>
  <si>
    <t>Самообслуживание</t>
  </si>
  <si>
    <t>RU-009</t>
  </si>
  <si>
    <t>AI-ассистент: заглушка + BYOK, 4 режима</t>
  </si>
  <si>
    <t>S-010</t>
  </si>
  <si>
    <t>Шаблон: «Не включать / проверить» → R2; в agile-plan Must (заглушка) — пересмотр PO</t>
  </si>
  <si>
    <t>RU-010</t>
  </si>
  <si>
    <t>Вход и регистрация (JWT, OAuth)</t>
  </si>
  <si>
    <t>S-005</t>
  </si>
  <si>
    <t>Нужен для сохранения в БД (Must) и лимитов Free</t>
  </si>
  <si>
    <t>RU-011</t>
  </si>
  <si>
    <t>Сохранение в БД аккаунта (лимит Free 5 проектов)</t>
  </si>
  <si>
    <t>Удержание + тарифный ограничитель</t>
  </si>
  <si>
    <t>RU-012</t>
  </si>
  <si>
    <t>Сохранение на устройство</t>
  </si>
  <si>
    <t>Работа гостя без аккаунта</t>
  </si>
  <si>
    <t>RU-013</t>
  </si>
  <si>
    <t>GitHub: ручной push DSL и экспорта</t>
  </si>
  <si>
    <t>S-013</t>
  </si>
  <si>
    <t>Рыночный стандарт (3/4 прямых)</t>
  </si>
  <si>
    <t>RU-014</t>
  </si>
  <si>
    <t>Google Drive: загрузка файлов</t>
  </si>
  <si>
    <t>ИРП 1,85 → рекомендация PO перенести из Must в R2</t>
  </si>
  <si>
    <t>RU-015</t>
  </si>
  <si>
    <t>Экспорт SVG/PNG/XML</t>
  </si>
  <si>
    <t>Результат для отчёта</t>
  </si>
  <si>
    <t>RU-016</t>
  </si>
  <si>
    <t>История версий, diff, откат (Free — 20 версий)</t>
  </si>
  <si>
    <t>S-006</t>
  </si>
  <si>
    <t>По плану S8–S9 входит в MVP; основа Pro</t>
  </si>
  <si>
    <t>RU-017</t>
  </si>
  <si>
    <t>Лендинг (главная)</t>
  </si>
  <si>
    <t>Посетитель</t>
  </si>
  <si>
    <t>S-001</t>
  </si>
  <si>
    <t>Разрыв плана: нет в agile-plan — добавить в бэклог</t>
  </si>
  <si>
    <t>RU-018</t>
  </si>
  <si>
    <t>Страница тарифов + заявка «Хочу Pro» + модалка лимита</t>
  </si>
  <si>
    <t>Потенциальный клиент</t>
  </si>
  <si>
    <t>S-007</t>
  </si>
  <si>
    <t>Нельзя удалять монетизацию: целевое действие вместо оплаты</t>
  </si>
  <si>
    <t>RU-019</t>
  </si>
  <si>
    <t>События аналитики + форма обратной связи</t>
  </si>
  <si>
    <t>Внутренний администратор</t>
  </si>
  <si>
    <t>Аналитика включается обязательно (методика 6.5)</t>
  </si>
  <si>
    <t>RU-020</t>
  </si>
  <si>
    <t>Правовые документы (политика, условия)</t>
  </si>
  <si>
    <t>Шаблон: «Не включать»; включено по шагу 4 шаблона и методике 6.5: законодательные требования не переносятся</t>
  </si>
  <si>
    <t>Onboarding-тур первого запуска</t>
  </si>
  <si>
    <t>В R1 заменён начальным состоянием + шаблонами</t>
  </si>
  <si>
    <t>RU-022</t>
  </si>
  <si>
    <t>Автоисправление quick fix</t>
  </si>
  <si>
    <t>Should; после данных об ошибках R1</t>
  </si>
  <si>
    <t>RU-023</t>
  </si>
  <si>
    <t>Undo/redo документа</t>
  </si>
  <si>
    <t>В R1 — встроенный undo Monaco</t>
  </si>
  <si>
    <t>RU-024</t>
  </si>
  <si>
    <t>Центр уведомлений (MongoDB) + статусы Socket.IO</t>
  </si>
  <si>
    <t>Технически делается в ЛР6–7 ч.2; в продукт — после проверки</t>
  </si>
  <si>
    <t>Оплата Pro через платёжного провайдера РБ</t>
  </si>
  <si>
    <t>Платящий клиент</t>
  </si>
  <si>
    <t>После выбора провайдера (R-24) и данных заявок R1</t>
  </si>
  <si>
    <t>RU-026</t>
  </si>
  <si>
    <t>Импорт PlantUML/Mermaid/draw.io</t>
  </si>
  <si>
    <t>Снижает барьер миграции S-02/S-03</t>
  </si>
  <si>
    <t>RU-027</t>
  </si>
  <si>
    <t>PWA: офлайн-черновики</t>
  </si>
  <si>
    <t>Could</t>
  </si>
  <si>
    <t>RU-028</t>
  </si>
  <si>
    <t>Интерфейс RU/EN</t>
  </si>
  <si>
    <t>Рост за пределы русскоязычного рынка</t>
  </si>
  <si>
    <t>RU-029</t>
  </si>
  <si>
    <t>Публичные ссылки и галерея примеров (SEO)</t>
  </si>
  <si>
    <t>Партнер</t>
  </si>
  <si>
    <t>S-012</t>
  </si>
  <si>
    <t>Механизм роста</t>
  </si>
  <si>
    <t>RU-030</t>
  </si>
  <si>
    <t>Кабинет преподавателя: наборы заданий</t>
  </si>
  <si>
    <t>Канал через кафедры; гипотеза PR-003</t>
  </si>
  <si>
    <t>RU-031</t>
  </si>
  <si>
    <t>Нотации волны 2 (BPMN, остальные UML, ERD Chen)</t>
  </si>
  <si>
    <t>Сегмент S-02 (BPMN)</t>
  </si>
  <si>
    <t>RU-032</t>
  </si>
  <si>
    <t>Экспорт всех форматов (BPMN XML, XMI, PNML, draw.io, PlantUML, Mermaid, D2, DOT, SQL DDL) — Pro</t>
  </si>
  <si>
    <t>Ценность Pro-тарифа</t>
  </si>
  <si>
    <t>RU-033</t>
  </si>
  <si>
    <t>Реферальная механика «пригласи одногруппника»</t>
  </si>
  <si>
    <t>Рост после подтверждения удержания</t>
  </si>
  <si>
    <t>RU-034</t>
  </si>
  <si>
    <t>AI на серверных ключах с квотой (Pro)</t>
  </si>
  <si>
    <t>Переменные затраты LLM — после понимания экономики</t>
  </si>
  <si>
    <t>RU-035</t>
  </si>
  <si>
    <t>Нотации волны 3 (сети Петри, BPMN choreography/conversation)</t>
  </si>
  <si>
    <t>Гипотеза; условие — спрос S-02</t>
  </si>
  <si>
    <t>RU-036</t>
  </si>
  <si>
    <t>Kroki и альтернативные движки, «Открыть в draw.io»</t>
  </si>
  <si>
    <t>Гипотеза</t>
  </si>
  <si>
    <t>RU-037</t>
  </si>
  <si>
    <t>Изображение → DSL (VLM)</t>
  </si>
  <si>
    <t>Won't в MVP; после R3 как эксперимент</t>
  </si>
  <si>
    <t>RU-038</t>
  </si>
  <si>
    <t>Совместное редактирование в реальном времени</t>
  </si>
  <si>
    <t>Won't; вне ближайшего цикла</t>
  </si>
  <si>
    <t>Ядро: редактор + разбор + профили волны 1 + холст + Problems (RU-001…004, RU-006)</t>
  </si>
  <si>
    <t>Даёт ключевой результат — корректную диаграмму</t>
  </si>
  <si>
    <t>Студент проходит S-004 до OK без помощи</t>
  </si>
  <si>
    <t>7 нотаций волны 1, по одной за спринт; автоисправлений нет</t>
  </si>
  <si>
    <t>Сценарий S-004 проходит e2e на каждой нотации</t>
  </si>
  <si>
    <t>Доля Run OK ≤ 3 итераций</t>
  </si>
  <si>
    <t>Хаджинова К. (PO/разработчик)</t>
  </si>
  <si>
    <t>Шаблоны + документация (RU-007, RU-008)</t>
  </si>
  <si>
    <t>Снижает отказ до первой ценности</t>
  </si>
  <si>
    <t>Шаблон ускоряет первый Run</t>
  </si>
  <si>
    <t>Один шаблон на тип диаграммы, статьи из каталога</t>
  </si>
  <si>
    <t>Шаблоны проходят валидатор в CI</t>
  </si>
  <si>
    <t>Активация ≤ 10 мин</t>
  </si>
  <si>
    <t>Хаджинова К.</t>
  </si>
  <si>
    <t>Сохранение БД/устройство, GitHub push, экспорт SVG/PNG/XML, история 20 версий (RU-010…016)</t>
  </si>
  <si>
    <t>Результат наружу и повод вернуться</t>
  </si>
  <si>
    <t>Пользователи возвращаются к проекту</t>
  </si>
  <si>
    <t>Ручной push; Drive — R2</t>
  </si>
  <si>
    <t>Сохранение и экспорт без потери данных</t>
  </si>
  <si>
    <t>Возврат D7, экспортов на пользователя</t>
  </si>
  <si>
    <t>FR-004</t>
  </si>
  <si>
    <t>Лендинг + тарифы + заявка «Хочу Pro» + модалка лимита (RU-017, RU-018)</t>
  </si>
  <si>
    <t>Проверка монетизации без провайдера оплаты</t>
  </si>
  <si>
    <t>≥ 3 % Free оставят заявку (H-02)</t>
  </si>
  <si>
    <t>Статичная страница + форма заявки</t>
  </si>
  <si>
    <t>Лимит → тарифы → заявка работает</t>
  </si>
  <si>
    <t>Заявки ÷ упоры в лимит</t>
  </si>
  <si>
    <t>FR-005</t>
  </si>
  <si>
    <t>Аналитика + обратная связь + правовые документы (RU-019, RU-020)</t>
  </si>
  <si>
    <t>Измерение поведения и законность</t>
  </si>
  <si>
    <t>События дают решение о R2</t>
  </si>
  <si>
    <t>События Run/экспорт/лимит/заявка; форма в статус-баре</t>
  </si>
  <si>
    <t>События видны в отчёте</t>
  </si>
  <si>
    <t>Покрытие событиями ключевых шагов 100 %</t>
  </si>
  <si>
    <t>Оплата Pro (RU-025)</t>
  </si>
  <si>
    <t>Нет провайдера РБ; нужны данные заявок R1</t>
  </si>
  <si>
    <t>Заявки ≥ 3 % Free; провайдер выбран</t>
  </si>
  <si>
    <t>Поток доходов</t>
  </si>
  <si>
    <t>Выручка, конверсия</t>
  </si>
  <si>
    <t>RU-018, R-24</t>
  </si>
  <si>
    <t>Кросс-подсветка, AI-заглушка/BYOK, onboarding, quick fix, undo/redo (RU-005, RU-009, RU-021…023)</t>
  </si>
  <si>
    <t>Нужны данные об ошибках R1</t>
  </si>
  <si>
    <t>Топ-10 ошибок R1 известны</t>
  </si>
  <si>
    <t>Снижение отказов</t>
  </si>
  <si>
    <t>Активация, D7</t>
  </si>
  <si>
    <t>Google Drive, центр уведомлений, PWA, импорт (RU-014, RU-024, RU-026, RU-027)</t>
  </si>
  <si>
    <t>ИРП 1,3–1,85; не обязательны для ядра</t>
  </si>
  <si>
    <t>Запросы пользователей</t>
  </si>
  <si>
    <t>NR-004</t>
  </si>
  <si>
    <t>Публичные ссылки, кабинет преподавателя, RU/EN, реферал (RU-028…030, RU-033)</t>
  </si>
  <si>
    <t>Рост без удержания теряет аудиторию</t>
  </si>
  <si>
    <t>D7 ≥ 25 %</t>
  </si>
  <si>
    <t>Новые пользователи по ссылкам</t>
  </si>
  <si>
    <t>R2</t>
  </si>
  <si>
    <t>NR-005</t>
  </si>
  <si>
    <t>Волна 2 нотаций и Pro-форматы экспорта (RU-031, RU-032)</t>
  </si>
  <si>
    <t>Высокая сложность; для S-02/S-03</t>
  </si>
  <si>
    <t>Оплаты Pro идут</t>
  </si>
  <si>
    <t>Глубина ценности Pro</t>
  </si>
  <si>
    <t>ARPPU, доля Pro</t>
  </si>
  <si>
    <t>Каталог нотаций</t>
  </si>
  <si>
    <t>NR-006</t>
  </si>
  <si>
    <t>Релиз 4</t>
  </si>
  <si>
    <t>Серверный AI, волна 3, Kroki, изображение → DSL (RU-034…037)</t>
  </si>
  <si>
    <t>Переменные затраты и сложность</t>
  </si>
  <si>
    <t>Понятна юнит-экономика</t>
  </si>
  <si>
    <t>Расширение продукта</t>
  </si>
  <si>
    <t>Маржа на Pro</t>
  </si>
  <si>
    <t>R3</t>
  </si>
  <si>
    <t>Релиз 0 (подготовительный)</t>
  </si>
  <si>
    <t>Данные, прототип, правила, аналитика</t>
  </si>
  <si>
    <t>Требования, архитектура, ADR, мокапы, карта сценариев, walking skeleton, CI, план событий, тексты тарифов и правовых документов</t>
  </si>
  <si>
    <t>Прототип подтверждает сценарий S-004</t>
  </si>
  <si>
    <t>Готовность skeleton, покрытие 100 %</t>
  </si>
  <si>
    <t>Skeleton web → gateway → language работает</t>
  </si>
  <si>
    <t>S0; бюджет 0</t>
  </si>
  <si>
    <t>Объём распределённой системы</t>
  </si>
  <si>
    <t>Выполнен частично (S0)</t>
  </si>
  <si>
    <t>Первый релиз (R1, MVP)</t>
  </si>
  <si>
    <t>Проверить ЦП и готовность к целевому действию</t>
  </si>
  <si>
    <t>RU-001…RU-004, RU-006…RU-008, RU-010…RU-013, RU-015…RU-020 (17 единиц: 16 по расчёту шаблона + RU-020)</t>
  </si>
  <si>
    <t>Студенты получают корректную диаграмму и возвращаются; ≥ 3 % Free оставляют заявку Pro</t>
  </si>
  <si>
    <t>Активация, Run OK, D7, экспорт, заявки Pro</t>
  </si>
  <si>
    <t>Контрольный лист R1 пройден; H-02 и H-05 измерены</t>
  </si>
  <si>
    <t>S1–S10, MVP к 06.12.2026; бюджет 0</t>
  </si>
  <si>
    <t>Не успеть волну 1 → упростить по нотациям</t>
  </si>
  <si>
    <t>Запуск при прохождении контрольного листа</t>
  </si>
  <si>
    <t>Удержание, качество, запуск оплаты Pro</t>
  </si>
  <si>
    <t>RU-005, RU-009, RU-014, RU-021…RU-027</t>
  </si>
  <si>
    <t>Подсветка, AI-заглушка, onboarding и quick fix снижают отказы; оплата подтверждает цену</t>
  </si>
  <si>
    <t>D7, D30, конверсия в оплату</t>
  </si>
  <si>
    <t>D7 ≥ 25 %, есть оплаты Pro</t>
  </si>
  <si>
    <t>Январь–февраль 2027 (допущение)</t>
  </si>
  <si>
    <t>Провайдер оплаты РБ</t>
  </si>
  <si>
    <t>После данных R1</t>
  </si>
  <si>
    <t>RU-028…RU-033</t>
  </si>
  <si>
    <t>Преподаватели и ссылки приводят студентов</t>
  </si>
  <si>
    <t>Новые пользователи по каналам, доля Pro</t>
  </si>
  <si>
    <t>Подтверждён масштабируемый канал</t>
  </si>
  <si>
    <t>Март–май 2027 (допущение)</t>
  </si>
  <si>
    <t>Рост без удержания</t>
  </si>
  <si>
    <t>После подтверждения удержания</t>
  </si>
  <si>
    <t>RU-034…RU-037</t>
  </si>
  <si>
    <t>Серверный AI и волна 3 повышают ARPPU</t>
  </si>
  <si>
    <t>ARPPU, маржа, затраты LLM</t>
  </si>
  <si>
    <t>Юнит-экономика положительна</t>
  </si>
  <si>
    <t>Июнь–сентябрь 2027 (допущение)</t>
  </si>
  <si>
    <t>Затраты LLM</t>
  </si>
  <si>
    <t>После понимания экономики</t>
  </si>
  <si>
    <t>Может ли пользователь получить обещанный результат в R1?</t>
  </si>
  <si>
    <t>RU-001…006: сценарий S-004 целиком</t>
  </si>
  <si>
    <t>R1 не подтвердит ЦП</t>
  </si>
  <si>
    <t>Закрывает ли R1 опорную проблему P-001?</t>
  </si>
  <si>
    <t>Валидация волны 1; отзывы — 🔲</t>
  </si>
  <si>
    <t>Проверка второстепенной гипотезы</t>
  </si>
  <si>
    <t>Подтвердить отзывами и опросом</t>
  </si>
  <si>
    <t>Опрос H-01</t>
  </si>
  <si>
    <t>Есть ли единица монетизации или целевое действие?</t>
  </si>
  <si>
    <t>Тарифы + заявка «Хочу Pro» + лимиты Free</t>
  </si>
  <si>
    <t>Включить заявку; оплата — R2</t>
  </si>
  <si>
    <t>Есть ли механизм возврата?</t>
  </si>
  <si>
    <t>Сохранение в аккаунт, история 20 версий, GitHub</t>
  </si>
  <si>
    <t>Привлечёт, но не удержит</t>
  </si>
  <si>
    <t>Оставить</t>
  </si>
  <si>
    <t>Напоминание о проекте — R2</t>
  </si>
  <si>
    <t>Собираются ли данные для решений?</t>
  </si>
  <si>
    <t>События аналитики + обратная связь</t>
  </si>
  <si>
    <t>R2 без фактов</t>
  </si>
  <si>
    <t>Не включены ли дорогие функции?</t>
  </si>
  <si>
    <t>Серверный AI, волны 2–3, Drive, оплата — перенесены</t>
  </si>
  <si>
    <t>Перенести тяжёлые функции</t>
  </si>
  <si>
    <t>Профили нотаций волны 1</t>
  </si>
  <si>
    <t>Не успеть все 7 нотаций к S10</t>
  </si>
  <si>
    <t>Упростить: приоритет UML class, ERD, IDEF0; остальное — по готовности</t>
  </si>
  <si>
    <t>Заявка вместо оплаты</t>
  </si>
  <si>
    <t>Заявка не отражает реальную готовность платить</t>
  </si>
  <si>
    <t>Спросить сумму и способ оплаты в форме; оплата в R2</t>
  </si>
  <si>
    <t>Платёжный провайдер РБ</t>
  </si>
  <si>
    <t>Нет провайдера для приёма USD/BYN</t>
  </si>
  <si>
    <t>Выбрать провайдера до R2 (R-24)</t>
  </si>
  <si>
    <t>R-004</t>
  </si>
  <si>
    <t>Перенос Google Drive</t>
  </si>
  <si>
    <t>Часть S-01 хранит работы в Drive</t>
  </si>
  <si>
    <t>Экспорт на устройство + ручная загрузка; Drive в R2</t>
  </si>
  <si>
    <t>R-005</t>
  </si>
  <si>
    <t>Сбор событий нарушит приватность</t>
  </si>
  <si>
    <t>Анонимные события, политика конфиденциальности (RU-020)</t>
  </si>
  <si>
    <t>R-006</t>
  </si>
  <si>
    <t>AI-заглушка</t>
  </si>
  <si>
    <t>Пользователь разочаруется заглушкой</t>
  </si>
  <si>
    <t>Честная подпись «демо», BYOK</t>
  </si>
  <si>
    <t>R-007</t>
  </si>
  <si>
    <t>Серверный AI</t>
  </si>
  <si>
    <t>Затраты LLM растут быстрее выручки</t>
  </si>
  <si>
    <t>Квоты Redis token bucket; только Pro; R4</t>
  </si>
  <si>
    <t>Бэклог</t>
  </si>
  <si>
    <t>R-008</t>
  </si>
  <si>
    <t>Лабы съедают время продукта</t>
  </si>
  <si>
    <t>Срыв спринтов продукта</t>
  </si>
  <si>
    <t>Лаба = часть продукта; дорожка Expedite (agile-plan §12)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</si>
</sst>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3" fillId="4" borderId="0" xfId="1" applyNumberFormat="1" applyFont="1" applyFill="1" applyAlignment="1">
      <alignment vertical="top" wrapText="1"/>
    </xf>
    <xf numFmtId="0" fontId="3" fillId="6" borderId="0" xfId="1" applyFont="1" applyFill="1" applyAlignment="1">
      <alignment vertical="top" wrapText="1"/>
    </xf>
    <xf numFmtId="2" fontId="3" fillId="6" borderId="0" xfId="1" applyNumberFormat="1" applyFont="1" applyFill="1" applyAlignment="1">
      <alignment vertical="top" wrapText="1"/>
    </xf>
    <xf numFmtId="164" fontId="3" fillId="4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Дашборд!$E$4:$E$6</c:f>
              <c:strCache>
                <c:ptCount val="3"/>
                <c:pt idx="0">
                  <c:v>Первый релиз</c:v>
                </c:pt>
                <c:pt idx="1">
                  <c:v>Следующий релиз</c:v>
                </c:pt>
                <c:pt idx="2">
                  <c:v>Не включать / проверить</c:v>
                </c:pt>
              </c:strCache>
            </c:strRef>
          </c:cat>
          <c:val>
            <c:numRef>
              <c:f>Дашборд!$F$4:$F$6</c:f>
              <c:numCache>
                <c:formatCode>General</c:formatCode>
                <c:ptCount val="3"/>
                <c:pt idx="0">
                  <c:v>16</c:v>
                </c:pt>
                <c:pt idx="1">
                  <c:v>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4-4488-8ED7-AB00314A9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Оценка</c:v>
          </c:tx>
          <c:invertIfNegative val="1"/>
          <c:cat>
            <c:strRef>
              <c:f>Дашборд!$A$13:$A$19</c:f>
              <c:strCache>
                <c:ptCount val="7"/>
                <c:pt idx="0">
                  <c:v>Ценность</c:v>
                </c:pt>
                <c:pt idx="1">
                  <c:v>Доход</c:v>
                </c:pt>
                <c:pt idx="2">
                  <c:v>Удержание</c:v>
                </c:pt>
                <c:pt idx="3">
                  <c:v>Рост</c:v>
                </c:pt>
                <c:pt idx="4">
                  <c:v>Доказательность</c:v>
                </c:pt>
                <c:pt idx="5">
                  <c:v>Быстрота</c:v>
                </c:pt>
                <c:pt idx="6">
                  <c:v>Дешевизна</c:v>
                </c:pt>
              </c:strCache>
            </c:strRef>
          </c:cat>
          <c:val>
            <c:numRef>
              <c:f>Дашборд!$B$13:$B$19</c:f>
              <c:numCache>
                <c:formatCode>0.00</c:formatCode>
                <c:ptCount val="7"/>
                <c:pt idx="0">
                  <c:v>4.25</c:v>
                </c:pt>
                <c:pt idx="1">
                  <c:v>3.5</c:v>
                </c:pt>
                <c:pt idx="2">
                  <c:v>3.6875</c:v>
                </c:pt>
                <c:pt idx="3">
                  <c:v>3</c:v>
                </c:pt>
                <c:pt idx="4">
                  <c:v>4.375</c:v>
                </c:pt>
                <c:pt idx="5">
                  <c:v>3.4375</c:v>
                </c:pt>
                <c:pt idx="6">
                  <c:v>3.4375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3-446B-A1D4-9A1AF10F9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AnalysisTable" displayName="BankAnalysisTable" ref="A1:L101">
  <tableColumns count="12">
    <tableColumn id="1" xr3:uid="{00000000-0010-0000-0000-000001000000}" name="ID вывода"/>
    <tableColumn id="2" xr3:uid="{00000000-0010-0000-0000-000002000000}" name="Вид анализа"/>
    <tableColumn id="3" xr3:uid="{00000000-0010-0000-0000-000003000000}" name="Объект анализа"/>
    <tableColumn id="4" xr3:uid="{00000000-0010-0000-0000-000004000000}" name="Ключевой вывод"/>
    <tableColumn id="5" xr3:uid="{00000000-0010-0000-0000-000005000000}" name="Проблема / потребность"/>
    <tableColumn id="6" xr3:uid="{00000000-0010-0000-0000-000006000000}" name="Пользовательский сегмент"/>
    <tableColumn id="7" xr3:uid="{00000000-0010-0000-0000-000007000000}" name="Доказательство"/>
    <tableColumn id="8" xr3:uid="{00000000-0010-0000-0000-000008000000}" name="Источник / ссылка"/>
    <tableColumn id="9" xr3:uid="{00000000-0010-0000-0000-000009000000}" name="Достоверность 1–5"/>
    <tableColumn id="10" xr3:uid="{00000000-0010-0000-0000-00000A000000}" name="Значимость 1–5"/>
    <tableColumn id="11" xr3:uid="{00000000-0010-0000-0000-00000B000000}" name="Вывод для релизов"/>
    <tableColumn id="12" xr3:uid="{00000000-0010-0000-0000-00000C000000}" name="Связанная единица разработ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RegistryTable" displayName="ReleaseRegistryTable" ref="A1:U101">
  <tableColumns count="21">
    <tableColumn id="1" xr3:uid="{00000000-0010-0000-0100-000001000000}" name="ID"/>
    <tableColumn id="2" xr3:uid="{00000000-0010-0000-0100-000002000000}" name="Тип единицы"/>
    <tableColumn id="3" xr3:uid="{00000000-0010-0000-0100-000003000000}" name="Название единицы разработки"/>
    <tableColumn id="4" xr3:uid="{00000000-0010-0000-0100-000004000000}" name="Роль / сегмент"/>
    <tableColumn id="5" xr3:uid="{00000000-0010-0000-0100-000005000000}" name="Связанный сценарий"/>
    <tableColumn id="6" xr3:uid="{00000000-0010-0000-0100-000006000000}" name="Блок Канвас"/>
    <tableColumn id="7" xr3:uid="{00000000-0010-0000-0100-000007000000}" name="Связь с ценностным предложением 1–5"/>
    <tableColumn id="8" xr3:uid="{00000000-0010-0000-0100-000008000000}" name="Критичность для первого дохода 1–5"/>
    <tableColumn id="9" xr3:uid="{00000000-0010-0000-0100-000009000000}" name="Потенциал удержания 1–5"/>
    <tableColumn id="10" xr3:uid="{00000000-0010-0000-0100-00000A000000}" name="Потенциал роста аудитории 1–5"/>
    <tableColumn id="11" xr3:uid="{00000000-0010-0000-0100-00000B000000}" name="Доказательность 1–5"/>
    <tableColumn id="12" xr3:uid="{00000000-0010-0000-0100-00000C000000}" name="Рыночный стандарт 1–5"/>
    <tableColumn id="13" xr3:uid="{00000000-0010-0000-0100-00000D000000}" name="Быстрота реализации 1–5"/>
    <tableColumn id="14" xr3:uid="{00000000-0010-0000-0100-00000E000000}" name="Дешевизна реализации 1–5"/>
    <tableColumn id="15" xr3:uid="{00000000-0010-0000-0100-00000F000000}" name="Технический риск 1–5"/>
    <tableColumn id="16" xr3:uid="{00000000-0010-0000-0100-000010000000}" name="Риск потери ценности при переносе 1–5"/>
    <tableColumn id="17" xr3:uid="{00000000-0010-0000-0100-000011000000}" name="Балл первого релиза"/>
    <tableColumn id="18" xr3:uid="{00000000-0010-0000-0100-000012000000}" name="Балл следующих релизов"/>
    <tableColumn id="19" xr3:uid="{00000000-0010-0000-0100-000013000000}" name="Рекомендованный релиз"/>
    <tableColumn id="20" xr3:uid="{00000000-0010-0000-0100-000014000000}" name="Решение"/>
    <tableColumn id="21" xr3:uid="{00000000-0010-0000-0100-000015000000}" name="Обоснов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rstReleasePlanTable" displayName="FirstReleasePlanTable" ref="A3:H50">
  <tableColumns count="8">
    <tableColumn id="1" xr3:uid="{00000000-0010-0000-0200-000001000000}" name="ID"/>
    <tableColumn id="2" xr3:uid="{00000000-0010-0000-0200-000002000000}" name="Единица первого релиза"/>
    <tableColumn id="3" xr3:uid="{00000000-0010-0000-0200-000003000000}" name="Зачем нужна в первом релизе"/>
    <tableColumn id="4" xr3:uid="{00000000-0010-0000-0200-000004000000}" name="Проверяемая гипотеза"/>
    <tableColumn id="5" xr3:uid="{00000000-0010-0000-0200-000005000000}" name="Минимальная реализация"/>
    <tableColumn id="6" xr3:uid="{00000000-0010-0000-0200-000006000000}" name="Критерий готовности"/>
    <tableColumn id="7" xr3:uid="{00000000-0010-0000-0200-000007000000}" name="Метрика после запуска"/>
    <tableColumn id="8" xr3:uid="{00000000-0010-0000-0200-000008000000}" name="Ответственны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xtReleasePlanTable" displayName="NextReleasePlanTable" ref="A3:I60">
  <tableColumns count="9">
    <tableColumn id="1" xr3:uid="{00000000-0010-0000-0300-000001000000}" name="ID"/>
    <tableColumn id="2" xr3:uid="{00000000-0010-0000-0300-000002000000}" name="Релиз"/>
    <tableColumn id="3" xr3:uid="{00000000-0010-0000-0300-000003000000}" name="Единица развития"/>
    <tableColumn id="4" xr3:uid="{00000000-0010-0000-0300-000004000000}" name="Основание переноса"/>
    <tableColumn id="5" xr3:uid="{00000000-0010-0000-0300-000005000000}" name="Условие включения"/>
    <tableColumn id="6" xr3:uid="{00000000-0010-0000-0300-000006000000}" name="Ожидаемый эффект"/>
    <tableColumn id="7" xr3:uid="{00000000-0010-0000-0300-000007000000}" name="Связанная метрика"/>
    <tableColumn id="8" xr3:uid="{00000000-0010-0000-0300-000008000000}" name="Зависимости"/>
    <tableColumn id="9" xr3:uid="{00000000-0010-0000-0300-000009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admapTable" displayName="RoadmapTable" ref="A3:K30">
  <tableColumns count="11">
    <tableColumn id="1" xr3:uid="{00000000-0010-0000-0400-000001000000}" name="Релиз"/>
    <tableColumn id="2" xr3:uid="{00000000-0010-0000-0400-000002000000}" name="Цель релиза"/>
    <tableColumn id="3" xr3:uid="{00000000-0010-0000-0400-000003000000}" name="Состав"/>
    <tableColumn id="4" xr3:uid="{00000000-0010-0000-0400-000004000000}" name="Ключевая гипотеза"/>
    <tableColumn id="5" xr3:uid="{00000000-0010-0000-0400-000005000000}" name="Что измеряем"/>
    <tableColumn id="6" xr3:uid="{00000000-0010-0000-0400-000006000000}" name="Критерий перехода к следующему релизу"/>
    <tableColumn id="7" xr3:uid="{00000000-0010-0000-0400-000007000000}" name="Ограничение бюджета / срока"/>
    <tableColumn id="8" xr3:uid="{00000000-0010-0000-0400-000008000000}" name="Риски"/>
    <tableColumn id="9" xr3:uid="{00000000-0010-0000-0400-000009000000}" name="Решение по запуску"/>
    <tableColumn id="10" xr3:uid="{00000000-0010-0000-0400-00000A000000}" name="Дата начала"/>
    <tableColumn id="11" xr3:uid="{00000000-0010-0000-0400-00000B000000}" name="Дата окончани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ueCheckTable" displayName="ValueCheckTable" ref="A3:I80">
  <tableColumns count="9">
    <tableColumn id="1" xr3:uid="{00000000-0010-0000-0500-000001000000}" name="Блок проверки"/>
    <tableColumn id="2" xr3:uid="{00000000-0010-0000-0500-000002000000}" name="Контрольный вопрос"/>
    <tableColumn id="3" xr3:uid="{00000000-0010-0000-0500-000003000000}" name="Оценка 1–5"/>
    <tableColumn id="4" xr3:uid="{00000000-0010-0000-0500-000004000000}" name="Доказательство"/>
    <tableColumn id="5" xr3:uid="{00000000-0010-0000-0500-000005000000}" name="Риск при низкой оценке"/>
    <tableColumn id="6" xr3:uid="{00000000-0010-0000-0500-000006000000}" name="Решение"/>
    <tableColumn id="7" xr3:uid="{00000000-0010-0000-0500-000007000000}" name="Что добавить / изменить"/>
    <tableColumn id="8" xr3:uid="{00000000-0010-0000-0500-000008000000}" name="Ответственный"/>
    <tableColumn id="9" xr3:uid="{00000000-0010-0000-0500-000009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sTable" displayName="RisksTable" ref="A3:J100">
  <tableColumns count="10">
    <tableColumn id="1" xr3:uid="{00000000-0010-0000-0600-000001000000}" name="ID"/>
    <tableColumn id="2" xr3:uid="{00000000-0010-0000-0600-000002000000}" name="Единица / решение"/>
    <tableColumn id="3" xr3:uid="{00000000-0010-0000-0600-000003000000}" name="Риск"/>
    <tableColumn id="4" xr3:uid="{00000000-0010-0000-0600-000004000000}" name="Тип риска"/>
    <tableColumn id="5" xr3:uid="{00000000-0010-0000-0600-000005000000}" name="Вероятность 1–5"/>
    <tableColumn id="6" xr3:uid="{00000000-0010-0000-0600-000006000000}" name="Влияние 1–5"/>
    <tableColumn id="7" xr3:uid="{00000000-0010-0000-0600-000007000000}" name="Индекс риска"/>
    <tableColumn id="8" xr3:uid="{00000000-0010-0000-0600-000008000000}" name="Митигирующее действие"/>
    <tableColumn id="9" xr3:uid="{00000000-0010-0000-0600-000009000000}" name="Связанный релиз"/>
    <tableColumn id="10" xr3:uid="{00000000-0010-0000-0600-00000A000000}" name="Ответственн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H1"/>
    </sheetView>
  </sheetViews>
  <sheetFormatPr defaultRowHeight="14.25"/>
  <cols>
    <col min="1" max="1" width="10" customWidth="1"/>
    <col min="2" max="2" width="80" customWidth="1"/>
    <col min="3" max="3" width="62" customWidth="1"/>
  </cols>
  <sheetData>
    <row r="1" spans="1:8" ht="32.1" customHeight="1">
      <c r="A1" s="9" t="s">
        <v>0</v>
      </c>
      <c r="B1" s="9"/>
      <c r="C1" s="9"/>
      <c r="D1" s="9"/>
      <c r="E1" s="9"/>
      <c r="F1" s="9"/>
      <c r="G1" s="9"/>
      <c r="H1" s="9"/>
    </row>
    <row r="3" spans="1:8" ht="36" customHeight="1">
      <c r="A3" s="1" t="s">
        <v>1</v>
      </c>
      <c r="B3" s="2" t="s">
        <v>2</v>
      </c>
    </row>
    <row r="4" spans="1:8" ht="54" customHeight="1">
      <c r="A4" s="1" t="s">
        <v>3</v>
      </c>
      <c r="B4" s="2" t="s">
        <v>4</v>
      </c>
    </row>
    <row r="5" spans="1:8" ht="54" customHeight="1">
      <c r="A5" s="1" t="s">
        <v>5</v>
      </c>
      <c r="B5" s="2" t="s">
        <v>6</v>
      </c>
    </row>
    <row r="6" spans="1:8" ht="54" customHeight="1">
      <c r="A6" s="1" t="s">
        <v>7</v>
      </c>
      <c r="B6" s="2" t="s">
        <v>8</v>
      </c>
    </row>
    <row r="7" spans="1:8" ht="54" customHeight="1">
      <c r="A7" s="1" t="s">
        <v>9</v>
      </c>
      <c r="B7" s="2" t="s">
        <v>10</v>
      </c>
    </row>
    <row r="8" spans="1:8" ht="54" customHeight="1">
      <c r="A8" s="1" t="s">
        <v>11</v>
      </c>
      <c r="B8" s="2" t="s">
        <v>12</v>
      </c>
    </row>
    <row r="10" spans="1:8" ht="38.1" customHeight="1">
      <c r="A10" s="3" t="s">
        <v>13</v>
      </c>
      <c r="B10" s="3" t="s">
        <v>14</v>
      </c>
      <c r="C10" s="3" t="s">
        <v>15</v>
      </c>
    </row>
    <row r="11" spans="1:8" ht="38.1" customHeight="1">
      <c r="A11" s="4">
        <v>1</v>
      </c>
      <c r="B11" s="4" t="s">
        <v>16</v>
      </c>
      <c r="C11" s="4" t="s">
        <v>17</v>
      </c>
    </row>
    <row r="12" spans="1:8" ht="38.1" customHeight="1">
      <c r="A12" s="4">
        <v>2</v>
      </c>
      <c r="B12" s="4" t="s">
        <v>18</v>
      </c>
      <c r="C12" s="4" t="s">
        <v>19</v>
      </c>
    </row>
    <row r="13" spans="1:8" ht="38.1" customHeight="1">
      <c r="A13" s="4">
        <v>3</v>
      </c>
      <c r="B13" s="4" t="s">
        <v>20</v>
      </c>
      <c r="C13" s="4" t="s">
        <v>21</v>
      </c>
    </row>
    <row r="14" spans="1:8" ht="38.1" customHeight="1">
      <c r="A14" s="4">
        <v>4</v>
      </c>
      <c r="B14" s="4" t="s">
        <v>22</v>
      </c>
      <c r="C14" s="4" t="s">
        <v>23</v>
      </c>
    </row>
    <row r="15" spans="1:8" ht="38.1" customHeight="1">
      <c r="A15" s="4">
        <v>5</v>
      </c>
      <c r="B15" s="4" t="s">
        <v>24</v>
      </c>
      <c r="C15" s="4" t="s">
        <v>25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/>
  </sheetViews>
  <sheetFormatPr defaultRowHeight="14.25"/>
  <cols>
    <col min="1" max="1" width="14" customWidth="1"/>
    <col min="2" max="3" width="28" customWidth="1"/>
    <col min="4" max="4" width="42" customWidth="1"/>
    <col min="5" max="5" width="38" customWidth="1"/>
    <col min="6" max="6" width="28" customWidth="1"/>
    <col min="7" max="7" width="42" customWidth="1"/>
    <col min="8" max="8" width="32" customWidth="1"/>
    <col min="9" max="10" width="15" customWidth="1"/>
    <col min="11" max="11" width="45" customWidth="1"/>
    <col min="12" max="12" width="32" customWidth="1"/>
  </cols>
  <sheetData>
    <row r="1" spans="1:12" ht="32.1" customHeight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</row>
    <row r="2" spans="1:12">
      <c r="A2" s="2" t="s">
        <v>38</v>
      </c>
      <c r="B2" s="2" t="s">
        <v>192</v>
      </c>
      <c r="C2" s="2" t="s">
        <v>215</v>
      </c>
      <c r="D2" s="2" t="s">
        <v>216</v>
      </c>
      <c r="E2" s="2" t="s">
        <v>217</v>
      </c>
      <c r="F2" s="2" t="s">
        <v>218</v>
      </c>
      <c r="G2" s="2" t="s">
        <v>219</v>
      </c>
      <c r="H2" s="2" t="s">
        <v>220</v>
      </c>
      <c r="I2" s="5">
        <v>3</v>
      </c>
      <c r="J2" s="5">
        <v>5</v>
      </c>
      <c r="K2" s="2" t="s">
        <v>221</v>
      </c>
      <c r="L2" s="2" t="s">
        <v>222</v>
      </c>
    </row>
    <row r="3" spans="1:12" ht="36" customHeight="1">
      <c r="A3" s="2" t="s">
        <v>41</v>
      </c>
      <c r="B3" s="2" t="s">
        <v>42</v>
      </c>
      <c r="C3" s="2" t="s">
        <v>223</v>
      </c>
      <c r="D3" s="2" t="s">
        <v>224</v>
      </c>
      <c r="E3" s="2" t="s">
        <v>225</v>
      </c>
      <c r="F3" s="2" t="s">
        <v>226</v>
      </c>
      <c r="G3" s="2" t="s">
        <v>227</v>
      </c>
      <c r="H3" s="2" t="s">
        <v>43</v>
      </c>
      <c r="I3" s="5">
        <v>5</v>
      </c>
      <c r="J3" s="5">
        <v>5</v>
      </c>
      <c r="K3" s="2" t="s">
        <v>228</v>
      </c>
      <c r="L3" s="2" t="s">
        <v>229</v>
      </c>
    </row>
    <row r="4" spans="1:12">
      <c r="A4" s="2" t="s">
        <v>44</v>
      </c>
      <c r="B4" s="2" t="s">
        <v>200</v>
      </c>
      <c r="C4" s="2" t="s">
        <v>230</v>
      </c>
      <c r="D4" s="2" t="s">
        <v>231</v>
      </c>
      <c r="E4" s="2" t="s">
        <v>232</v>
      </c>
      <c r="F4" s="2" t="s">
        <v>233</v>
      </c>
      <c r="G4" s="2" t="s">
        <v>234</v>
      </c>
      <c r="H4" s="2" t="s">
        <v>235</v>
      </c>
      <c r="I4" s="5">
        <v>4</v>
      </c>
      <c r="J4" s="5">
        <v>4</v>
      </c>
      <c r="K4" s="2" t="s">
        <v>236</v>
      </c>
      <c r="L4" s="2" t="s">
        <v>237</v>
      </c>
    </row>
    <row r="5" spans="1:12" ht="28.5">
      <c r="A5" s="2" t="s">
        <v>46</v>
      </c>
      <c r="B5" s="2" t="s">
        <v>45</v>
      </c>
      <c r="C5" s="2" t="s">
        <v>238</v>
      </c>
      <c r="D5" s="2" t="s">
        <v>239</v>
      </c>
      <c r="E5" s="2" t="s">
        <v>240</v>
      </c>
      <c r="F5" s="2" t="s">
        <v>241</v>
      </c>
      <c r="G5" s="2" t="s">
        <v>242</v>
      </c>
      <c r="H5" s="2" t="s">
        <v>220</v>
      </c>
      <c r="I5" s="5">
        <v>4</v>
      </c>
      <c r="J5" s="5">
        <v>5</v>
      </c>
      <c r="K5" s="2" t="s">
        <v>243</v>
      </c>
      <c r="L5" s="2" t="s">
        <v>244</v>
      </c>
    </row>
    <row r="6" spans="1:12">
      <c r="A6" s="2" t="s">
        <v>49</v>
      </c>
      <c r="B6" s="2" t="s">
        <v>47</v>
      </c>
      <c r="C6" s="2" t="s">
        <v>74</v>
      </c>
      <c r="D6" s="2" t="s">
        <v>245</v>
      </c>
      <c r="E6" s="2" t="s">
        <v>48</v>
      </c>
      <c r="F6" s="2" t="s">
        <v>233</v>
      </c>
      <c r="G6" s="2" t="s">
        <v>246</v>
      </c>
      <c r="H6" s="2" t="s">
        <v>247</v>
      </c>
      <c r="I6" s="5">
        <v>4</v>
      </c>
      <c r="J6" s="5">
        <v>5</v>
      </c>
      <c r="K6" s="2" t="s">
        <v>248</v>
      </c>
      <c r="L6" s="2" t="s">
        <v>249</v>
      </c>
    </row>
    <row r="7" spans="1:12" ht="28.5">
      <c r="A7" s="2" t="s">
        <v>250</v>
      </c>
      <c r="B7" s="2" t="s">
        <v>50</v>
      </c>
      <c r="C7" s="2" t="s">
        <v>251</v>
      </c>
      <c r="D7" s="2" t="s">
        <v>252</v>
      </c>
      <c r="E7" s="2" t="s">
        <v>253</v>
      </c>
      <c r="F7" s="2" t="s">
        <v>241</v>
      </c>
      <c r="G7" s="2" t="s">
        <v>254</v>
      </c>
      <c r="H7" s="2" t="s">
        <v>255</v>
      </c>
      <c r="I7" s="5">
        <v>5</v>
      </c>
      <c r="J7" s="5">
        <v>5</v>
      </c>
      <c r="K7" s="2" t="s">
        <v>256</v>
      </c>
      <c r="L7" s="2" t="s">
        <v>257</v>
      </c>
    </row>
    <row r="8" spans="1:12" ht="28.5">
      <c r="A8" s="2" t="s">
        <v>258</v>
      </c>
      <c r="B8" s="2" t="s">
        <v>212</v>
      </c>
      <c r="C8" s="2" t="s">
        <v>259</v>
      </c>
      <c r="D8" s="2" t="s">
        <v>260</v>
      </c>
      <c r="E8" s="2" t="s">
        <v>261</v>
      </c>
      <c r="F8" s="2" t="s">
        <v>226</v>
      </c>
      <c r="G8" s="2" t="s">
        <v>262</v>
      </c>
      <c r="H8" s="2" t="s">
        <v>263</v>
      </c>
      <c r="I8" s="5">
        <v>4</v>
      </c>
      <c r="J8" s="5">
        <v>5</v>
      </c>
      <c r="K8" s="2" t="s">
        <v>264</v>
      </c>
      <c r="L8" s="2" t="s">
        <v>265</v>
      </c>
    </row>
    <row r="9" spans="1:12">
      <c r="A9" s="2" t="s">
        <v>266</v>
      </c>
      <c r="B9" s="2" t="s">
        <v>39</v>
      </c>
      <c r="C9" s="2" t="s">
        <v>267</v>
      </c>
      <c r="D9" s="2" t="s">
        <v>268</v>
      </c>
      <c r="E9" s="2" t="s">
        <v>269</v>
      </c>
      <c r="F9" s="2" t="s">
        <v>241</v>
      </c>
      <c r="G9" s="2" t="s">
        <v>269</v>
      </c>
      <c r="H9" s="2" t="s">
        <v>270</v>
      </c>
      <c r="I9" s="5">
        <v>1</v>
      </c>
      <c r="J9" s="5">
        <v>4</v>
      </c>
      <c r="K9" s="2" t="s">
        <v>271</v>
      </c>
      <c r="L9" s="2" t="s">
        <v>272</v>
      </c>
    </row>
    <row r="10" spans="1:12">
      <c r="A10" s="2" t="s">
        <v>273</v>
      </c>
      <c r="B10" s="2" t="s">
        <v>208</v>
      </c>
      <c r="C10" s="2" t="s">
        <v>274</v>
      </c>
      <c r="D10" s="2" t="s">
        <v>275</v>
      </c>
      <c r="E10" s="2" t="s">
        <v>276</v>
      </c>
      <c r="F10" s="2" t="s">
        <v>241</v>
      </c>
      <c r="G10" s="2" t="s">
        <v>277</v>
      </c>
      <c r="H10" s="2" t="s">
        <v>278</v>
      </c>
      <c r="I10" s="5">
        <v>3</v>
      </c>
      <c r="J10" s="5">
        <v>5</v>
      </c>
      <c r="K10" s="2" t="s">
        <v>279</v>
      </c>
      <c r="L10" s="2" t="s">
        <v>280</v>
      </c>
    </row>
    <row r="11" spans="1:12">
      <c r="A11" s="2" t="s">
        <v>281</v>
      </c>
      <c r="B11" s="2" t="s">
        <v>47</v>
      </c>
      <c r="C11" s="2" t="s">
        <v>282</v>
      </c>
      <c r="D11" s="2" t="s">
        <v>283</v>
      </c>
      <c r="E11" s="2" t="s">
        <v>284</v>
      </c>
      <c r="F11" s="2" t="s">
        <v>233</v>
      </c>
      <c r="G11" s="2" t="s">
        <v>285</v>
      </c>
      <c r="H11" s="2" t="s">
        <v>286</v>
      </c>
      <c r="I11" s="5">
        <v>4</v>
      </c>
      <c r="J11" s="5">
        <v>5</v>
      </c>
      <c r="K11" s="2" t="s">
        <v>287</v>
      </c>
      <c r="L11" s="2" t="s">
        <v>288</v>
      </c>
    </row>
    <row r="12" spans="1:12">
      <c r="A12" s="2"/>
      <c r="B12" s="2"/>
      <c r="C12" s="2"/>
      <c r="D12" s="2"/>
      <c r="E12" s="2"/>
      <c r="F12" s="2"/>
      <c r="G12" s="2"/>
      <c r="H12" s="2"/>
      <c r="I12" s="5"/>
      <c r="J12" s="5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5"/>
      <c r="J13" s="5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5"/>
      <c r="J14" s="5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5"/>
      <c r="J15" s="5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5"/>
      <c r="J16" s="5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5"/>
      <c r="J17" s="5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5"/>
      <c r="J18" s="5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5"/>
      <c r="J19" s="5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5"/>
      <c r="J20" s="5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5"/>
      <c r="J21" s="5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5"/>
      <c r="J22" s="5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5"/>
      <c r="J23" s="5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5"/>
      <c r="J24" s="5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5"/>
      <c r="J25" s="5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5"/>
      <c r="J26" s="5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5"/>
      <c r="J27" s="5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5"/>
      <c r="J28" s="5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5"/>
      <c r="J29" s="5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5"/>
      <c r="J30" s="5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5"/>
      <c r="J31" s="5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5"/>
      <c r="J32" s="5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5"/>
      <c r="J33" s="5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5"/>
      <c r="J34" s="5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5"/>
      <c r="J35" s="5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5"/>
      <c r="J36" s="5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5"/>
      <c r="J37" s="5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5"/>
      <c r="J38" s="5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5"/>
      <c r="J39" s="5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5"/>
      <c r="J40" s="5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5"/>
      <c r="J41" s="5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5"/>
      <c r="J42" s="5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5"/>
      <c r="J43" s="5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5"/>
      <c r="J44" s="5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5"/>
      <c r="J45" s="5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5"/>
      <c r="J46" s="5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5"/>
      <c r="J47" s="5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5"/>
      <c r="J48" s="5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5"/>
      <c r="J49" s="5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5"/>
      <c r="J50" s="5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5"/>
      <c r="J51" s="5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5"/>
      <c r="J52" s="5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5"/>
      <c r="J53" s="5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5"/>
      <c r="J54" s="5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5"/>
      <c r="J55" s="5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5"/>
      <c r="J56" s="5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5"/>
      <c r="J57" s="5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5"/>
      <c r="J58" s="5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5"/>
      <c r="J59" s="5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5"/>
      <c r="J60" s="5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5"/>
      <c r="J61" s="5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5"/>
      <c r="J62" s="5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5"/>
      <c r="J63" s="5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5"/>
      <c r="J64" s="5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5"/>
      <c r="J65" s="5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5"/>
      <c r="J66" s="5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5"/>
      <c r="J67" s="5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5"/>
      <c r="J68" s="5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5"/>
      <c r="J69" s="5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5"/>
      <c r="J70" s="5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5"/>
      <c r="J71" s="5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5"/>
      <c r="J72" s="5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5"/>
      <c r="J73" s="5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5"/>
      <c r="J74" s="5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5"/>
      <c r="J75" s="5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5"/>
      <c r="J76" s="5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5"/>
      <c r="J77" s="5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5"/>
      <c r="J78" s="5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5"/>
      <c r="J79" s="5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5"/>
      <c r="J80" s="5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5"/>
      <c r="J81" s="5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5"/>
      <c r="J82" s="5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5"/>
      <c r="J83" s="5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5"/>
      <c r="J84" s="5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5"/>
      <c r="J85" s="5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5"/>
      <c r="J86" s="5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5"/>
      <c r="J87" s="5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5"/>
      <c r="J88" s="5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5"/>
      <c r="J89" s="5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5"/>
      <c r="J90" s="5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5"/>
      <c r="J91" s="5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5"/>
      <c r="J92" s="5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5"/>
      <c r="J93" s="5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5"/>
      <c r="J94" s="5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5"/>
      <c r="J95" s="5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5"/>
      <c r="J96" s="5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5"/>
      <c r="J97" s="5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5"/>
      <c r="J98" s="5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5"/>
      <c r="J99" s="5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5"/>
      <c r="J100" s="5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5"/>
      <c r="J101" s="5"/>
      <c r="K101" s="2"/>
      <c r="L101" s="2"/>
    </row>
  </sheetData>
  <dataValidations count="1">
    <dataValidation type="whole" sqref="I2:J101" xr:uid="{00000000-0002-0000-01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Справочники!$A$2:$A$10</xm:f>
          </x14:formula1>
          <xm:sqref>B2:B101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workbookViewId="0"/>
  </sheetViews>
  <sheetFormatPr defaultRowHeight="14.25"/>
  <cols>
    <col min="1" max="1" width="10" customWidth="1"/>
    <col min="2" max="2" width="20" customWidth="1"/>
    <col min="3" max="3" width="32" customWidth="1"/>
    <col min="4" max="4" width="22" customWidth="1"/>
    <col min="5" max="5" width="28" customWidth="1"/>
    <col min="6" max="6" width="24" customWidth="1"/>
    <col min="7" max="10" width="18" customWidth="1"/>
    <col min="11" max="12" width="15" customWidth="1"/>
    <col min="13" max="14" width="17" customWidth="1"/>
    <col min="15" max="15" width="15" customWidth="1"/>
    <col min="16" max="16" width="20" customWidth="1"/>
    <col min="17" max="17" width="15" customWidth="1"/>
    <col min="18" max="18" width="17" customWidth="1"/>
    <col min="19" max="19" width="22" customWidth="1"/>
    <col min="20" max="20" width="34" customWidth="1"/>
    <col min="21" max="21" width="55" customWidth="1"/>
  </cols>
  <sheetData>
    <row r="1" spans="1:21" ht="32.1" customHeight="1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3" t="s">
        <v>68</v>
      </c>
      <c r="S1" s="3" t="s">
        <v>69</v>
      </c>
      <c r="T1" s="3" t="s">
        <v>70</v>
      </c>
      <c r="U1" s="3" t="s">
        <v>71</v>
      </c>
    </row>
    <row r="2" spans="1:21" ht="28.5">
      <c r="A2" s="2" t="s">
        <v>289</v>
      </c>
      <c r="B2" s="2" t="s">
        <v>75</v>
      </c>
      <c r="C2" s="2" t="s">
        <v>290</v>
      </c>
      <c r="D2" s="2" t="s">
        <v>291</v>
      </c>
      <c r="E2" s="2" t="s">
        <v>292</v>
      </c>
      <c r="F2" s="2" t="s">
        <v>45</v>
      </c>
      <c r="G2" s="2">
        <v>5</v>
      </c>
      <c r="H2" s="2">
        <v>4</v>
      </c>
      <c r="I2" s="2">
        <v>4</v>
      </c>
      <c r="J2" s="2">
        <v>3</v>
      </c>
      <c r="K2" s="2">
        <v>4</v>
      </c>
      <c r="L2" s="2">
        <v>5</v>
      </c>
      <c r="M2" s="2">
        <v>3</v>
      </c>
      <c r="N2" s="2">
        <v>3</v>
      </c>
      <c r="O2" s="2">
        <v>2</v>
      </c>
      <c r="P2" s="2">
        <v>5</v>
      </c>
      <c r="Q2" s="6">
        <f>IF(A2="","",ROUND((G2*0.18)+(H2*0.15)+(I2*0.12)+(J2*0.08)+(K2*0.13)+(L2*0.1)+(M2*0.12)+(N2*0.12)-(O2*0.07)+(P2*0.1),2))</f>
        <v>4.32</v>
      </c>
      <c r="R2" s="6">
        <f>IF(A2="","",ROUND((I2*0.16)+(J2*0.2)+(K2*0.12)+(L2*0.1)+((6-M2)*0.08)+((6-N2)*0.08)+(O2*0.06)+(P2*0.14)+(G2*0.06),2))</f>
        <v>3.82</v>
      </c>
      <c r="S2" s="6" t="str">
        <f t="shared" ref="S2:S33" si="0">IF(A2="","",IF(AND(G2&gt;=4,H2&gt;=4,K2&gt;=3,P2&gt;=4),"Первый релиз",IF(Q2&gt;=3.7,"Первый релиз",IF(R2&gt;=3.6,"Следующий релиз","Не включать / проверить"))))</f>
        <v>Первый релиз</v>
      </c>
      <c r="T2" s="6" t="str">
        <f t="shared" ref="T2:T33" si="1"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f>
        <v>Включить в минимальный рыночный выпуск</v>
      </c>
      <c r="U2" s="2" t="s">
        <v>293</v>
      </c>
    </row>
    <row r="3" spans="1:21" ht="36" customHeight="1">
      <c r="A3" s="2" t="s">
        <v>294</v>
      </c>
      <c r="B3" s="2" t="s">
        <v>75</v>
      </c>
      <c r="C3" s="2" t="s">
        <v>295</v>
      </c>
      <c r="D3" s="2" t="s">
        <v>291</v>
      </c>
      <c r="E3" s="2" t="s">
        <v>292</v>
      </c>
      <c r="F3" s="2" t="s">
        <v>80</v>
      </c>
      <c r="G3" s="2">
        <v>5</v>
      </c>
      <c r="H3" s="2">
        <v>4</v>
      </c>
      <c r="I3" s="2">
        <v>4</v>
      </c>
      <c r="J3" s="2">
        <v>3</v>
      </c>
      <c r="K3" s="2">
        <v>4</v>
      </c>
      <c r="L3" s="2">
        <v>5</v>
      </c>
      <c r="M3" s="2">
        <v>1</v>
      </c>
      <c r="N3" s="2">
        <v>1</v>
      </c>
      <c r="O3" s="2">
        <v>3</v>
      </c>
      <c r="P3" s="2">
        <v>5</v>
      </c>
      <c r="Q3" s="6">
        <f>IF(A3="","",ROUND((G3*0.18)+(H3*0.15)+(I3*0.12)+(J3*0.08)+(K3*0.13)+(L3*0.1)+(M3*0.12)+(N3*0.12)-(O3*0.07)+(P3*0.1),2))</f>
        <v>3.77</v>
      </c>
      <c r="R3" s="6">
        <f>IF(A3="","",ROUND((I3*0.16)+(J3*0.2)+(K3*0.12)+(L3*0.1)+((6-M3)*0.08)+((6-N3)*0.08)+(O3*0.06)+(P3*0.14)+(G3*0.06),2))</f>
        <v>4.2</v>
      </c>
      <c r="S3" s="6" t="str">
        <f t="shared" si="0"/>
        <v>Первый релиз</v>
      </c>
      <c r="T3" s="6" t="str">
        <f t="shared" si="1"/>
        <v>Включить в минимальный рыночный выпуск</v>
      </c>
      <c r="U3" s="2" t="s">
        <v>296</v>
      </c>
    </row>
    <row r="4" spans="1:21" ht="28.5">
      <c r="A4" s="2" t="s">
        <v>297</v>
      </c>
      <c r="B4" s="2" t="s">
        <v>75</v>
      </c>
      <c r="C4" s="2" t="s">
        <v>298</v>
      </c>
      <c r="D4" s="2" t="s">
        <v>291</v>
      </c>
      <c r="E4" s="2" t="s">
        <v>292</v>
      </c>
      <c r="F4" s="2" t="s">
        <v>45</v>
      </c>
      <c r="G4" s="2">
        <v>5</v>
      </c>
      <c r="H4" s="2">
        <v>4</v>
      </c>
      <c r="I4" s="2">
        <v>4</v>
      </c>
      <c r="J4" s="2">
        <v>4</v>
      </c>
      <c r="K4" s="2">
        <v>4</v>
      </c>
      <c r="L4" s="2">
        <v>2</v>
      </c>
      <c r="M4" s="2">
        <v>1</v>
      </c>
      <c r="N4" s="2">
        <v>1</v>
      </c>
      <c r="O4" s="2">
        <v>4</v>
      </c>
      <c r="P4" s="2">
        <v>5</v>
      </c>
      <c r="Q4" s="6">
        <f>IF(A4="","",ROUND((G4*0.18)+(H4*0.15)+(I4*0.12)+(J4*0.08)+(K4*0.13)+(L4*0.1)+(M4*0.12)+(N4*0.12)-(O4*0.07)+(P4*0.1),2))</f>
        <v>3.48</v>
      </c>
      <c r="R4" s="6">
        <f>IF(A4="","",ROUND((I4*0.16)+(J4*0.2)+(K4*0.12)+(L4*0.1)+((6-M4)*0.08)+((6-N4)*0.08)+(O4*0.06)+(P4*0.14)+(G4*0.06),2))</f>
        <v>4.16</v>
      </c>
      <c r="S4" s="6" t="str">
        <f t="shared" si="0"/>
        <v>Первый релиз</v>
      </c>
      <c r="T4" s="6" t="str">
        <f t="shared" si="1"/>
        <v>Включить в минимальный рыночный выпуск</v>
      </c>
      <c r="U4" s="2" t="s">
        <v>299</v>
      </c>
    </row>
    <row r="5" spans="1:21" ht="28.5">
      <c r="A5" s="2" t="s">
        <v>300</v>
      </c>
      <c r="B5" s="2" t="s">
        <v>75</v>
      </c>
      <c r="C5" s="2" t="s">
        <v>301</v>
      </c>
      <c r="D5" s="2" t="s">
        <v>40</v>
      </c>
      <c r="E5" s="2" t="s">
        <v>302</v>
      </c>
      <c r="F5" s="2" t="s">
        <v>45</v>
      </c>
      <c r="G5" s="2">
        <v>5</v>
      </c>
      <c r="H5" s="2">
        <v>3</v>
      </c>
      <c r="I5" s="2">
        <v>4</v>
      </c>
      <c r="J5" s="2">
        <v>3</v>
      </c>
      <c r="K5" s="2">
        <v>4</v>
      </c>
      <c r="L5" s="2">
        <v>5</v>
      </c>
      <c r="M5" s="2">
        <v>2</v>
      </c>
      <c r="N5" s="2">
        <v>2</v>
      </c>
      <c r="O5" s="2">
        <v>3</v>
      </c>
      <c r="P5" s="2">
        <v>5</v>
      </c>
      <c r="Q5" s="6">
        <f>IF(A5="","",ROUND((G5*0.18)+(H5*0.15)+(I5*0.12)+(J5*0.08)+(K5*0.13)+(L5*0.1)+(M5*0.12)+(N5*0.12)-(O5*0.07)+(P5*0.1),2))</f>
        <v>3.86</v>
      </c>
      <c r="R5" s="6">
        <f>IF(A5="","",ROUND((I5*0.16)+(J5*0.2)+(K5*0.12)+(L5*0.1)+((6-M5)*0.08)+((6-N5)*0.08)+(O5*0.06)+(P5*0.14)+(G5*0.06),2))</f>
        <v>4.04</v>
      </c>
      <c r="S5" s="6" t="str">
        <f t="shared" si="0"/>
        <v>Первый релиз</v>
      </c>
      <c r="T5" s="6" t="str">
        <f t="shared" si="1"/>
        <v>Включить в минимальный рыночный выпуск</v>
      </c>
      <c r="U5" s="2" t="s">
        <v>303</v>
      </c>
    </row>
    <row r="6" spans="1:21" ht="28.5">
      <c r="A6" s="2" t="s">
        <v>304</v>
      </c>
      <c r="B6" s="2" t="s">
        <v>75</v>
      </c>
      <c r="C6" s="2" t="s">
        <v>305</v>
      </c>
      <c r="D6" s="2" t="s">
        <v>291</v>
      </c>
      <c r="E6" s="2" t="s">
        <v>306</v>
      </c>
      <c r="F6" s="2" t="s">
        <v>45</v>
      </c>
      <c r="G6" s="2">
        <v>4</v>
      </c>
      <c r="H6" s="2">
        <v>2</v>
      </c>
      <c r="I6" s="2">
        <v>3</v>
      </c>
      <c r="J6" s="2">
        <v>3</v>
      </c>
      <c r="K6" s="2">
        <v>4</v>
      </c>
      <c r="L6" s="2">
        <v>2</v>
      </c>
      <c r="M6" s="2">
        <v>3</v>
      </c>
      <c r="N6" s="2">
        <v>3</v>
      </c>
      <c r="O6" s="2">
        <v>2</v>
      </c>
      <c r="P6" s="2">
        <v>4</v>
      </c>
      <c r="Q6" s="6">
        <f>IF(A6="","",ROUND((G6*0.18)+(H6*0.15)+(I6*0.12)+(J6*0.08)+(K6*0.13)+(L6*0.1)+(M6*0.12)+(N6*0.12)-(O6*0.07)+(P6*0.1),2))</f>
        <v>3.32</v>
      </c>
      <c r="R6" s="6">
        <f>IF(A6="","",ROUND((I6*0.16)+(J6*0.2)+(K6*0.12)+(L6*0.1)+((6-M6)*0.08)+((6-N6)*0.08)+(O6*0.06)+(P6*0.14)+(G6*0.06),2))</f>
        <v>3.16</v>
      </c>
      <c r="S6" s="6" t="str">
        <f t="shared" si="0"/>
        <v>Не включать / проверить</v>
      </c>
      <c r="T6" s="6" t="str">
        <f t="shared" si="1"/>
        <v>Оставить как гипотезу / проверить позже</v>
      </c>
      <c r="U6" s="2" t="s">
        <v>307</v>
      </c>
    </row>
    <row r="7" spans="1:21" ht="28.5">
      <c r="A7" s="2" t="s">
        <v>308</v>
      </c>
      <c r="B7" s="2" t="s">
        <v>72</v>
      </c>
      <c r="C7" s="2" t="s">
        <v>309</v>
      </c>
      <c r="D7" s="2" t="s">
        <v>291</v>
      </c>
      <c r="E7" s="2" t="s">
        <v>306</v>
      </c>
      <c r="F7" s="2" t="s">
        <v>84</v>
      </c>
      <c r="G7" s="2">
        <v>5</v>
      </c>
      <c r="H7" s="2">
        <v>3</v>
      </c>
      <c r="I7" s="2">
        <v>4</v>
      </c>
      <c r="J7" s="2">
        <v>2</v>
      </c>
      <c r="K7" s="2">
        <v>4</v>
      </c>
      <c r="L7" s="2">
        <v>4</v>
      </c>
      <c r="M7" s="2">
        <v>4</v>
      </c>
      <c r="N7" s="2">
        <v>4</v>
      </c>
      <c r="O7" s="2">
        <v>1</v>
      </c>
      <c r="P7" s="2">
        <v>5</v>
      </c>
      <c r="Q7" s="6">
        <f>IF(A7="","",ROUND((G7*0.18)+(H7*0.15)+(I7*0.12)+(J7*0.08)+(K7*0.13)+(L7*0.1)+(M7*0.12)+(N7*0.12)-(O7*0.07)+(P7*0.1),2))</f>
        <v>4.3</v>
      </c>
      <c r="R7" s="6">
        <f>IF(A7="","",ROUND((I7*0.16)+(J7*0.2)+(K7*0.12)+(L7*0.1)+((6-M7)*0.08)+((6-N7)*0.08)+(O7*0.06)+(P7*0.14)+(G7*0.06),2))</f>
        <v>3.3</v>
      </c>
      <c r="S7" s="6" t="str">
        <f t="shared" si="0"/>
        <v>Первый релиз</v>
      </c>
      <c r="T7" s="6" t="str">
        <f t="shared" si="1"/>
        <v>Включить в минимальный рыночный выпуск</v>
      </c>
      <c r="U7" s="2" t="s">
        <v>310</v>
      </c>
    </row>
    <row r="8" spans="1:21" ht="28.5">
      <c r="A8" s="2" t="s">
        <v>311</v>
      </c>
      <c r="B8" s="2" t="s">
        <v>81</v>
      </c>
      <c r="C8" s="2" t="s">
        <v>312</v>
      </c>
      <c r="D8" s="2" t="s">
        <v>40</v>
      </c>
      <c r="E8" s="2" t="s">
        <v>302</v>
      </c>
      <c r="F8" s="2" t="s">
        <v>84</v>
      </c>
      <c r="G8" s="2">
        <v>4</v>
      </c>
      <c r="H8" s="2">
        <v>3</v>
      </c>
      <c r="I8" s="2">
        <v>4</v>
      </c>
      <c r="J8" s="2">
        <v>4</v>
      </c>
      <c r="K8" s="2">
        <v>5</v>
      </c>
      <c r="L8" s="2">
        <v>5</v>
      </c>
      <c r="M8" s="2">
        <v>5</v>
      </c>
      <c r="N8" s="2">
        <v>5</v>
      </c>
      <c r="O8" s="2">
        <v>1</v>
      </c>
      <c r="P8" s="2">
        <v>4</v>
      </c>
      <c r="Q8" s="6">
        <f>IF(A8="","",ROUND((G8*0.18)+(H8*0.15)+(I8*0.12)+(J8*0.08)+(K8*0.13)+(L8*0.1)+(M8*0.12)+(N8*0.12)-(O8*0.07)+(P8*0.1),2))</f>
        <v>4.6500000000000004</v>
      </c>
      <c r="R8" s="6">
        <f>IF(A8="","",ROUND((I8*0.16)+(J8*0.2)+(K8*0.12)+(L8*0.1)+((6-M8)*0.08)+((6-N8)*0.08)+(O8*0.06)+(P8*0.14)+(G8*0.06),2))</f>
        <v>3.56</v>
      </c>
      <c r="S8" s="6" t="str">
        <f t="shared" si="0"/>
        <v>Первый релиз</v>
      </c>
      <c r="T8" s="6" t="str">
        <f t="shared" si="1"/>
        <v>Включить в минимальный рыночный выпуск</v>
      </c>
      <c r="U8" s="2" t="s">
        <v>313</v>
      </c>
    </row>
    <row r="9" spans="1:21" ht="28.5">
      <c r="A9" s="2" t="s">
        <v>314</v>
      </c>
      <c r="B9" s="2" t="s">
        <v>81</v>
      </c>
      <c r="C9" s="2" t="s">
        <v>315</v>
      </c>
      <c r="D9" s="2" t="s">
        <v>40</v>
      </c>
      <c r="E9" s="2" t="s">
        <v>316</v>
      </c>
      <c r="F9" s="2" t="s">
        <v>84</v>
      </c>
      <c r="G9" s="2">
        <v>4</v>
      </c>
      <c r="H9" s="2">
        <v>2</v>
      </c>
      <c r="I9" s="2">
        <v>4</v>
      </c>
      <c r="J9" s="2">
        <v>3</v>
      </c>
      <c r="K9" s="2">
        <v>4</v>
      </c>
      <c r="L9" s="2">
        <v>5</v>
      </c>
      <c r="M9" s="2">
        <v>4</v>
      </c>
      <c r="N9" s="2">
        <v>4</v>
      </c>
      <c r="O9" s="2">
        <v>1</v>
      </c>
      <c r="P9" s="2">
        <v>4</v>
      </c>
      <c r="Q9" s="6">
        <f>IF(A9="","",ROUND((G9*0.18)+(H9*0.15)+(I9*0.12)+(J9*0.08)+(K9*0.13)+(L9*0.1)+(M9*0.12)+(N9*0.12)-(O9*0.07)+(P9*0.1),2))</f>
        <v>4.05</v>
      </c>
      <c r="R9" s="6">
        <f>IF(A9="","",ROUND((I9*0.16)+(J9*0.2)+(K9*0.12)+(L9*0.1)+((6-M9)*0.08)+((6-N9)*0.08)+(O9*0.06)+(P9*0.14)+(G9*0.06),2))</f>
        <v>3.4</v>
      </c>
      <c r="S9" s="6" t="str">
        <f t="shared" si="0"/>
        <v>Первый релиз</v>
      </c>
      <c r="T9" s="6" t="str">
        <f t="shared" si="1"/>
        <v>Включить в минимальный рыночный выпуск</v>
      </c>
      <c r="U9" s="2" t="s">
        <v>317</v>
      </c>
    </row>
    <row r="10" spans="1:21" ht="28.5">
      <c r="A10" s="2" t="s">
        <v>318</v>
      </c>
      <c r="B10" s="2" t="s">
        <v>75</v>
      </c>
      <c r="C10" s="2" t="s">
        <v>319</v>
      </c>
      <c r="D10" s="2" t="s">
        <v>291</v>
      </c>
      <c r="E10" s="2" t="s">
        <v>320</v>
      </c>
      <c r="F10" s="2" t="s">
        <v>78</v>
      </c>
      <c r="G10" s="2">
        <v>4</v>
      </c>
      <c r="H10" s="2">
        <v>2</v>
      </c>
      <c r="I10" s="2">
        <v>3</v>
      </c>
      <c r="J10" s="2">
        <v>4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2</v>
      </c>
      <c r="Q10" s="6">
        <f>IF(A10="","",ROUND((G10*0.18)+(H10*0.15)+(I10*0.12)+(J10*0.08)+(K10*0.13)+(L10*0.1)+(M10*0.12)+(N10*0.12)-(O10*0.07)+(P10*0.1),2))</f>
        <v>3.1</v>
      </c>
      <c r="R10" s="6">
        <f>IF(A10="","",ROUND((I10*0.16)+(J10*0.2)+(K10*0.12)+(L10*0.1)+((6-M10)*0.08)+((6-N10)*0.08)+(O10*0.06)+(P10*0.14)+(G10*0.06),2))</f>
        <v>3.12</v>
      </c>
      <c r="S10" s="6" t="str">
        <f t="shared" si="0"/>
        <v>Не включать / проверить</v>
      </c>
      <c r="T10" s="6" t="str">
        <f t="shared" si="1"/>
        <v>Оставить как гипотезу / проверить позже</v>
      </c>
      <c r="U10" s="2" t="s">
        <v>321</v>
      </c>
    </row>
    <row r="11" spans="1:21" ht="28.5">
      <c r="A11" s="2" t="s">
        <v>322</v>
      </c>
      <c r="B11" s="2" t="s">
        <v>76</v>
      </c>
      <c r="C11" s="2" t="s">
        <v>323</v>
      </c>
      <c r="D11" s="2" t="s">
        <v>40</v>
      </c>
      <c r="E11" s="2" t="s">
        <v>324</v>
      </c>
      <c r="F11" s="2" t="s">
        <v>84</v>
      </c>
      <c r="G11" s="2">
        <v>3</v>
      </c>
      <c r="H11" s="2">
        <v>4</v>
      </c>
      <c r="I11" s="2">
        <v>4</v>
      </c>
      <c r="J11" s="2">
        <v>2</v>
      </c>
      <c r="K11" s="2">
        <v>5</v>
      </c>
      <c r="L11" s="2">
        <v>5</v>
      </c>
      <c r="M11" s="2">
        <v>4</v>
      </c>
      <c r="N11" s="2">
        <v>4</v>
      </c>
      <c r="O11" s="2">
        <v>2</v>
      </c>
      <c r="P11" s="2">
        <v>4</v>
      </c>
      <c r="Q11" s="6">
        <f>IF(A11="","",ROUND((G11*0.18)+(H11*0.15)+(I11*0.12)+(J11*0.08)+(K11*0.13)+(L11*0.1)+(M11*0.12)+(N11*0.12)-(O11*0.07)+(P11*0.1),2))</f>
        <v>4.1500000000000004</v>
      </c>
      <c r="R11" s="6">
        <f>IF(A11="","",ROUND((I11*0.16)+(J11*0.2)+(K11*0.12)+(L11*0.1)+((6-M11)*0.08)+((6-N11)*0.08)+(O11*0.06)+(P11*0.14)+(G11*0.06),2))</f>
        <v>3.32</v>
      </c>
      <c r="S11" s="6" t="str">
        <f t="shared" si="0"/>
        <v>Первый релиз</v>
      </c>
      <c r="T11" s="6" t="str">
        <f t="shared" si="1"/>
        <v>Включить в минимальный рыночный выпуск</v>
      </c>
      <c r="U11" s="2" t="s">
        <v>325</v>
      </c>
    </row>
    <row r="12" spans="1:21" ht="28.5">
      <c r="A12" s="2" t="s">
        <v>326</v>
      </c>
      <c r="B12" s="2" t="s">
        <v>75</v>
      </c>
      <c r="C12" s="2" t="s">
        <v>327</v>
      </c>
      <c r="D12" s="2" t="s">
        <v>291</v>
      </c>
      <c r="E12" s="2" t="s">
        <v>324</v>
      </c>
      <c r="F12" s="2" t="s">
        <v>74</v>
      </c>
      <c r="G12" s="2">
        <v>4</v>
      </c>
      <c r="H12" s="2">
        <v>5</v>
      </c>
      <c r="I12" s="2">
        <v>5</v>
      </c>
      <c r="J12" s="2">
        <v>2</v>
      </c>
      <c r="K12" s="2">
        <v>4</v>
      </c>
      <c r="L12" s="2">
        <v>4</v>
      </c>
      <c r="M12" s="2">
        <v>3</v>
      </c>
      <c r="N12" s="2">
        <v>3</v>
      </c>
      <c r="O12" s="2">
        <v>2</v>
      </c>
      <c r="P12" s="2">
        <v>5</v>
      </c>
      <c r="Q12" s="6">
        <f>IF(A12="","",ROUND((G12*0.18)+(H12*0.15)+(I12*0.12)+(J12*0.08)+(K12*0.13)+(L12*0.1)+(M12*0.12)+(N12*0.12)-(O12*0.07)+(P12*0.1),2))</f>
        <v>4.2300000000000004</v>
      </c>
      <c r="R12" s="6">
        <f>IF(A12="","",ROUND((I12*0.16)+(J12*0.2)+(K12*0.12)+(L12*0.1)+((6-M12)*0.08)+((6-N12)*0.08)+(O12*0.06)+(P12*0.14)+(G12*0.06),2))</f>
        <v>3.62</v>
      </c>
      <c r="S12" s="6" t="str">
        <f t="shared" si="0"/>
        <v>Первый релиз</v>
      </c>
      <c r="T12" s="6" t="str">
        <f t="shared" si="1"/>
        <v>Включить в минимальный рыночный выпуск</v>
      </c>
      <c r="U12" s="2" t="s">
        <v>328</v>
      </c>
    </row>
    <row r="13" spans="1:21" ht="28.5">
      <c r="A13" s="2" t="s">
        <v>329</v>
      </c>
      <c r="B13" s="2" t="s">
        <v>75</v>
      </c>
      <c r="C13" s="2" t="s">
        <v>330</v>
      </c>
      <c r="D13" s="2" t="s">
        <v>291</v>
      </c>
      <c r="E13" s="2" t="s">
        <v>324</v>
      </c>
      <c r="F13" s="2" t="s">
        <v>45</v>
      </c>
      <c r="G13" s="2">
        <v>4</v>
      </c>
      <c r="H13" s="2">
        <v>2</v>
      </c>
      <c r="I13" s="2">
        <v>3</v>
      </c>
      <c r="J13" s="2">
        <v>1</v>
      </c>
      <c r="K13" s="2">
        <v>5</v>
      </c>
      <c r="L13" s="2">
        <v>5</v>
      </c>
      <c r="M13" s="2">
        <v>5</v>
      </c>
      <c r="N13" s="2">
        <v>5</v>
      </c>
      <c r="O13" s="2">
        <v>1</v>
      </c>
      <c r="P13" s="2">
        <v>4</v>
      </c>
      <c r="Q13" s="6">
        <f>IF(A13="","",ROUND((G13*0.18)+(H13*0.15)+(I13*0.12)+(J13*0.08)+(K13*0.13)+(L13*0.1)+(M13*0.12)+(N13*0.12)-(O13*0.07)+(P13*0.1),2))</f>
        <v>4.1399999999999997</v>
      </c>
      <c r="R13" s="6">
        <f>IF(A13="","",ROUND((I13*0.16)+(J13*0.2)+(K13*0.12)+(L13*0.1)+((6-M13)*0.08)+((6-N13)*0.08)+(O13*0.06)+(P13*0.14)+(G13*0.06),2))</f>
        <v>2.8</v>
      </c>
      <c r="S13" s="6" t="str">
        <f t="shared" si="0"/>
        <v>Первый релиз</v>
      </c>
      <c r="T13" s="6" t="str">
        <f t="shared" si="1"/>
        <v>Включить в минимальный рыночный выпуск</v>
      </c>
      <c r="U13" s="2" t="s">
        <v>331</v>
      </c>
    </row>
    <row r="14" spans="1:21" ht="28.5">
      <c r="A14" s="2" t="s">
        <v>332</v>
      </c>
      <c r="B14" s="2" t="s">
        <v>77</v>
      </c>
      <c r="C14" s="2" t="s">
        <v>333</v>
      </c>
      <c r="D14" s="2" t="s">
        <v>291</v>
      </c>
      <c r="E14" s="2" t="s">
        <v>334</v>
      </c>
      <c r="F14" s="2" t="s">
        <v>78</v>
      </c>
      <c r="G14" s="2">
        <v>4</v>
      </c>
      <c r="H14" s="2">
        <v>3</v>
      </c>
      <c r="I14" s="2">
        <v>4</v>
      </c>
      <c r="J14" s="2">
        <v>3</v>
      </c>
      <c r="K14" s="2">
        <v>5</v>
      </c>
      <c r="L14" s="2">
        <v>5</v>
      </c>
      <c r="M14" s="2">
        <v>3</v>
      </c>
      <c r="N14" s="2">
        <v>3</v>
      </c>
      <c r="O14" s="2">
        <v>3</v>
      </c>
      <c r="P14" s="2">
        <v>3</v>
      </c>
      <c r="Q14" s="6">
        <f>IF(A14="","",ROUND((G14*0.18)+(H14*0.15)+(I14*0.12)+(J14*0.08)+(K14*0.13)+(L14*0.1)+(M14*0.12)+(N14*0.12)-(O14*0.07)+(P14*0.1),2))</f>
        <v>3.85</v>
      </c>
      <c r="R14" s="6">
        <f>IF(A14="","",ROUND((I14*0.16)+(J14*0.2)+(K14*0.12)+(L14*0.1)+((6-M14)*0.08)+((6-N14)*0.08)+(O14*0.06)+(P14*0.14)+(G14*0.06),2))</f>
        <v>3.66</v>
      </c>
      <c r="S14" s="6" t="str">
        <f t="shared" si="0"/>
        <v>Первый релиз</v>
      </c>
      <c r="T14" s="6" t="str">
        <f t="shared" si="1"/>
        <v>Включить в минимальный рыночный выпуск</v>
      </c>
      <c r="U14" s="2" t="s">
        <v>335</v>
      </c>
    </row>
    <row r="15" spans="1:21" ht="28.5">
      <c r="A15" s="2" t="s">
        <v>336</v>
      </c>
      <c r="B15" s="2" t="s">
        <v>77</v>
      </c>
      <c r="C15" s="2" t="s">
        <v>337</v>
      </c>
      <c r="D15" s="2" t="s">
        <v>291</v>
      </c>
      <c r="E15" s="2" t="s">
        <v>324</v>
      </c>
      <c r="F15" s="2" t="s">
        <v>78</v>
      </c>
      <c r="G15" s="2">
        <v>3</v>
      </c>
      <c r="H15" s="2">
        <v>2</v>
      </c>
      <c r="I15" s="2">
        <v>3</v>
      </c>
      <c r="J15" s="2">
        <v>2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2</v>
      </c>
      <c r="Q15" s="6">
        <f>IF(A15="","",ROUND((G15*0.18)+(H15*0.15)+(I15*0.12)+(J15*0.08)+(K15*0.13)+(L15*0.1)+(M15*0.12)+(N15*0.12)-(O15*0.07)+(P15*0.1),2))</f>
        <v>2.76</v>
      </c>
      <c r="R15" s="6">
        <f>IF(A15="","",ROUND((I15*0.16)+(J15*0.2)+(K15*0.12)+(L15*0.1)+((6-M15)*0.08)+((6-N15)*0.08)+(O15*0.06)+(P15*0.14)+(G15*0.06),2))</f>
        <v>2.66</v>
      </c>
      <c r="S15" s="6" t="str">
        <f t="shared" si="0"/>
        <v>Не включать / проверить</v>
      </c>
      <c r="T15" s="6" t="str">
        <f t="shared" si="1"/>
        <v>Оставить как гипотезу / проверить позже</v>
      </c>
      <c r="U15" s="2" t="s">
        <v>338</v>
      </c>
    </row>
    <row r="16" spans="1:21" ht="28.5">
      <c r="A16" s="2" t="s">
        <v>339</v>
      </c>
      <c r="B16" s="2" t="s">
        <v>75</v>
      </c>
      <c r="C16" s="2" t="s">
        <v>340</v>
      </c>
      <c r="D16" s="2" t="s">
        <v>291</v>
      </c>
      <c r="E16" s="2" t="s">
        <v>324</v>
      </c>
      <c r="F16" s="2" t="s">
        <v>45</v>
      </c>
      <c r="G16" s="2">
        <v>4</v>
      </c>
      <c r="H16" s="2">
        <v>4</v>
      </c>
      <c r="I16" s="2">
        <v>3</v>
      </c>
      <c r="J16" s="2">
        <v>4</v>
      </c>
      <c r="K16" s="2">
        <v>5</v>
      </c>
      <c r="L16" s="2">
        <v>5</v>
      </c>
      <c r="M16" s="2">
        <v>4</v>
      </c>
      <c r="N16" s="2">
        <v>4</v>
      </c>
      <c r="O16" s="2">
        <v>1</v>
      </c>
      <c r="P16" s="2">
        <v>5</v>
      </c>
      <c r="Q16" s="6">
        <f>IF(A16="","",ROUND((G16*0.18)+(H16*0.15)+(I16*0.12)+(J16*0.08)+(K16*0.13)+(L16*0.1)+(M16*0.12)+(N16*0.12)-(O16*0.07)+(P16*0.1),2))</f>
        <v>4.54</v>
      </c>
      <c r="R16" s="6">
        <f>IF(A16="","",ROUND((I16*0.16)+(J16*0.2)+(K16*0.12)+(L16*0.1)+((6-M16)*0.08)+((6-N16)*0.08)+(O16*0.06)+(P16*0.14)+(G16*0.06),2))</f>
        <v>3.7</v>
      </c>
      <c r="S16" s="6" t="str">
        <f t="shared" si="0"/>
        <v>Первый релиз</v>
      </c>
      <c r="T16" s="6" t="str">
        <f t="shared" si="1"/>
        <v>Включить в минимальный рыночный выпуск</v>
      </c>
      <c r="U16" s="2" t="s">
        <v>341</v>
      </c>
    </row>
    <row r="17" spans="1:21" ht="28.5">
      <c r="A17" s="2" t="s">
        <v>342</v>
      </c>
      <c r="B17" s="2" t="s">
        <v>75</v>
      </c>
      <c r="C17" s="2" t="s">
        <v>343</v>
      </c>
      <c r="D17" s="2" t="s">
        <v>291</v>
      </c>
      <c r="E17" s="2" t="s">
        <v>344</v>
      </c>
      <c r="F17" s="2" t="s">
        <v>74</v>
      </c>
      <c r="G17" s="2">
        <v>4</v>
      </c>
      <c r="H17" s="2">
        <v>4</v>
      </c>
      <c r="I17" s="2">
        <v>5</v>
      </c>
      <c r="J17" s="2">
        <v>2</v>
      </c>
      <c r="K17" s="2">
        <v>4</v>
      </c>
      <c r="L17" s="2">
        <v>3</v>
      </c>
      <c r="M17" s="2">
        <v>2</v>
      </c>
      <c r="N17" s="2">
        <v>2</v>
      </c>
      <c r="O17" s="2">
        <v>3</v>
      </c>
      <c r="P17" s="2">
        <v>4</v>
      </c>
      <c r="Q17" s="6">
        <f>IF(A17="","",ROUND((G17*0.18)+(H17*0.15)+(I17*0.12)+(J17*0.08)+(K17*0.13)+(L17*0.1)+(M17*0.12)+(N17*0.12)-(O17*0.07)+(P17*0.1),2))</f>
        <v>3.57</v>
      </c>
      <c r="R17" s="6">
        <f>IF(A17="","",ROUND((I17*0.16)+(J17*0.2)+(K17*0.12)+(L17*0.1)+((6-M17)*0.08)+((6-N17)*0.08)+(O17*0.06)+(P17*0.14)+(G17*0.06),2))</f>
        <v>3.6</v>
      </c>
      <c r="S17" s="6" t="str">
        <f t="shared" si="0"/>
        <v>Первый релиз</v>
      </c>
      <c r="T17" s="6" t="str">
        <f t="shared" si="1"/>
        <v>Включить в минимальный рыночный выпуск</v>
      </c>
      <c r="U17" s="2" t="s">
        <v>345</v>
      </c>
    </row>
    <row r="18" spans="1:21" ht="28.5">
      <c r="A18" s="2" t="s">
        <v>346</v>
      </c>
      <c r="B18" s="2" t="s">
        <v>73</v>
      </c>
      <c r="C18" s="2" t="s">
        <v>347</v>
      </c>
      <c r="D18" s="2" t="s">
        <v>348</v>
      </c>
      <c r="E18" s="2" t="s">
        <v>349</v>
      </c>
      <c r="F18" s="2" t="s">
        <v>85</v>
      </c>
      <c r="G18" s="2">
        <v>5</v>
      </c>
      <c r="H18" s="2">
        <v>3</v>
      </c>
      <c r="I18" s="2">
        <v>1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1</v>
      </c>
      <c r="P18" s="2">
        <v>4</v>
      </c>
      <c r="Q18" s="6">
        <f>IF(A18="","",ROUND((G18*0.18)+(H18*0.15)+(I18*0.12)+(J18*0.08)+(K18*0.13)+(L18*0.1)+(M18*0.12)+(N18*0.12)-(O18*0.07)+(P18*0.1),2))</f>
        <v>4.55</v>
      </c>
      <c r="R18" s="6">
        <f>IF(A18="","",ROUND((I18*0.16)+(J18*0.2)+(K18*0.12)+(L18*0.1)+((6-M18)*0.08)+((6-N18)*0.08)+(O18*0.06)+(P18*0.14)+(G18*0.06),2))</f>
        <v>3.34</v>
      </c>
      <c r="S18" s="6" t="str">
        <f t="shared" si="0"/>
        <v>Первый релиз</v>
      </c>
      <c r="T18" s="6" t="str">
        <f t="shared" si="1"/>
        <v>Включить в минимальный рыночный выпуск</v>
      </c>
      <c r="U18" s="2" t="s">
        <v>350</v>
      </c>
    </row>
    <row r="19" spans="1:21" ht="28.5">
      <c r="A19" s="2" t="s">
        <v>351</v>
      </c>
      <c r="B19" s="2" t="s">
        <v>76</v>
      </c>
      <c r="C19" s="2" t="s">
        <v>352</v>
      </c>
      <c r="D19" s="2" t="s">
        <v>353</v>
      </c>
      <c r="E19" s="2" t="s">
        <v>354</v>
      </c>
      <c r="F19" s="2" t="s">
        <v>74</v>
      </c>
      <c r="G19" s="2">
        <v>4</v>
      </c>
      <c r="H19" s="2">
        <v>5</v>
      </c>
      <c r="I19" s="2">
        <v>2</v>
      </c>
      <c r="J19" s="2">
        <v>3</v>
      </c>
      <c r="K19" s="2">
        <v>4</v>
      </c>
      <c r="L19" s="2">
        <v>5</v>
      </c>
      <c r="M19" s="2">
        <v>5</v>
      </c>
      <c r="N19" s="2">
        <v>5</v>
      </c>
      <c r="O19" s="2">
        <v>2</v>
      </c>
      <c r="P19" s="2">
        <v>5</v>
      </c>
      <c r="Q19" s="6">
        <f>IF(A19="","",ROUND((G19*0.18)+(H19*0.15)+(I19*0.12)+(J19*0.08)+(K19*0.13)+(L19*0.1)+(M19*0.12)+(N19*0.12)-(O19*0.07)+(P19*0.1),2))</f>
        <v>4.53</v>
      </c>
      <c r="R19" s="6">
        <f>IF(A19="","",ROUND((I19*0.16)+(J19*0.2)+(K19*0.12)+(L19*0.1)+((6-M19)*0.08)+((6-N19)*0.08)+(O19*0.06)+(P19*0.14)+(G19*0.06),2))</f>
        <v>3.12</v>
      </c>
      <c r="S19" s="6" t="str">
        <f t="shared" si="0"/>
        <v>Первый релиз</v>
      </c>
      <c r="T19" s="6" t="str">
        <f t="shared" si="1"/>
        <v>Включить в минимальный рыночный выпуск</v>
      </c>
      <c r="U19" s="2" t="s">
        <v>355</v>
      </c>
    </row>
    <row r="20" spans="1:21" ht="28.5">
      <c r="A20" s="2" t="s">
        <v>356</v>
      </c>
      <c r="B20" s="2" t="s">
        <v>79</v>
      </c>
      <c r="C20" s="2" t="s">
        <v>357</v>
      </c>
      <c r="D20" s="2" t="s">
        <v>358</v>
      </c>
      <c r="E20" s="2" t="s">
        <v>302</v>
      </c>
      <c r="F20" s="2" t="s">
        <v>80</v>
      </c>
      <c r="G20" s="2">
        <v>3</v>
      </c>
      <c r="H20" s="2">
        <v>3</v>
      </c>
      <c r="I20" s="2">
        <v>4</v>
      </c>
      <c r="J20" s="2">
        <v>4</v>
      </c>
      <c r="K20" s="2">
        <v>4</v>
      </c>
      <c r="L20" s="2">
        <v>3</v>
      </c>
      <c r="M20" s="2">
        <v>4</v>
      </c>
      <c r="N20" s="2">
        <v>4</v>
      </c>
      <c r="O20" s="2">
        <v>1</v>
      </c>
      <c r="P20" s="2">
        <v>5</v>
      </c>
      <c r="Q20" s="6">
        <f>IF(A20="","",ROUND((G20*0.18)+(H20*0.15)+(I20*0.12)+(J20*0.08)+(K20*0.13)+(L20*0.1)+(M20*0.12)+(N20*0.12)-(O20*0.07)+(P20*0.1),2))</f>
        <v>4</v>
      </c>
      <c r="R20" s="6">
        <f>IF(A20="","",ROUND((I20*0.16)+(J20*0.2)+(K20*0.12)+(L20*0.1)+((6-M20)*0.08)+((6-N20)*0.08)+(O20*0.06)+(P20*0.14)+(G20*0.06),2))</f>
        <v>3.48</v>
      </c>
      <c r="S20" s="6" t="str">
        <f t="shared" si="0"/>
        <v>Первый релиз</v>
      </c>
      <c r="T20" s="6" t="str">
        <f t="shared" si="1"/>
        <v>Включить в минимальный рыночный выпуск</v>
      </c>
      <c r="U20" s="2" t="s">
        <v>359</v>
      </c>
    </row>
    <row r="21" spans="1:21" ht="28.5">
      <c r="A21" s="2" t="s">
        <v>360</v>
      </c>
      <c r="B21" s="2" t="s">
        <v>81</v>
      </c>
      <c r="C21" s="2" t="s">
        <v>361</v>
      </c>
      <c r="D21" s="2" t="s">
        <v>348</v>
      </c>
      <c r="E21" s="2" t="s">
        <v>354</v>
      </c>
      <c r="F21" s="2" t="s">
        <v>83</v>
      </c>
      <c r="G21" s="2">
        <v>1</v>
      </c>
      <c r="H21" s="2">
        <v>3</v>
      </c>
      <c r="I21" s="2">
        <v>1</v>
      </c>
      <c r="J21" s="2">
        <v>1</v>
      </c>
      <c r="K21" s="2">
        <v>5</v>
      </c>
      <c r="L21" s="2">
        <v>5</v>
      </c>
      <c r="M21" s="2">
        <v>5</v>
      </c>
      <c r="N21" s="2">
        <v>5</v>
      </c>
      <c r="O21" s="2">
        <v>1</v>
      </c>
      <c r="P21" s="2">
        <v>5</v>
      </c>
      <c r="Q21" s="6">
        <f>IF(A21="","",ROUND((G21*0.18)+(H21*0.15)+(I21*0.12)+(J21*0.08)+(K21*0.13)+(L21*0.1)+(M21*0.12)+(N21*0.12)-(O21*0.07)+(P21*0.1),2))</f>
        <v>3.61</v>
      </c>
      <c r="R21" s="6">
        <f>IF(A21="","",ROUND((I21*0.16)+(J21*0.2)+(K21*0.12)+(L21*0.1)+((6-M21)*0.08)+((6-N21)*0.08)+(O21*0.06)+(P21*0.14)+(G21*0.06),2))</f>
        <v>2.44</v>
      </c>
      <c r="S21" s="6" t="str">
        <f t="shared" si="0"/>
        <v>Не включать / проверить</v>
      </c>
      <c r="T21" s="6" t="str">
        <f t="shared" si="1"/>
        <v>Оставить как гипотезу / проверить позже</v>
      </c>
      <c r="U21" s="2" t="s">
        <v>362</v>
      </c>
    </row>
    <row r="22" spans="1:21" ht="28.5">
      <c r="A22" s="2" t="s">
        <v>272</v>
      </c>
      <c r="B22" s="2" t="s">
        <v>72</v>
      </c>
      <c r="C22" s="2" t="s">
        <v>363</v>
      </c>
      <c r="D22" s="2" t="s">
        <v>40</v>
      </c>
      <c r="E22" s="2" t="s">
        <v>302</v>
      </c>
      <c r="F22" s="2" t="s">
        <v>84</v>
      </c>
      <c r="G22" s="2">
        <v>4</v>
      </c>
      <c r="H22" s="2">
        <v>2</v>
      </c>
      <c r="I22" s="2">
        <v>4</v>
      </c>
      <c r="J22" s="2">
        <v>3</v>
      </c>
      <c r="K22" s="2">
        <v>3</v>
      </c>
      <c r="L22" s="2">
        <v>3</v>
      </c>
      <c r="M22" s="2">
        <v>4</v>
      </c>
      <c r="N22" s="2">
        <v>4</v>
      </c>
      <c r="O22" s="2">
        <v>1</v>
      </c>
      <c r="P22" s="2">
        <v>3</v>
      </c>
      <c r="Q22" s="6">
        <f>IF(A22="","",ROUND((G22*0.18)+(H22*0.15)+(I22*0.12)+(J22*0.08)+(K22*0.13)+(L22*0.1)+(M22*0.12)+(N22*0.12)-(O22*0.07)+(P22*0.1),2))</f>
        <v>3.62</v>
      </c>
      <c r="R22" s="6">
        <f>IF(A22="","",ROUND((I22*0.16)+(J22*0.2)+(K22*0.12)+(L22*0.1)+((6-M22)*0.08)+((6-N22)*0.08)+(O22*0.06)+(P22*0.14)+(G22*0.06),2))</f>
        <v>2.94</v>
      </c>
      <c r="S22" s="6" t="str">
        <f t="shared" si="0"/>
        <v>Не включать / проверить</v>
      </c>
      <c r="T22" s="6" t="str">
        <f t="shared" si="1"/>
        <v>Оставить как гипотезу / проверить позже</v>
      </c>
      <c r="U22" s="2" t="s">
        <v>364</v>
      </c>
    </row>
    <row r="23" spans="1:21" ht="28.5">
      <c r="A23" s="2" t="s">
        <v>365</v>
      </c>
      <c r="B23" s="2" t="s">
        <v>75</v>
      </c>
      <c r="C23" s="2" t="s">
        <v>366</v>
      </c>
      <c r="D23" s="2" t="s">
        <v>291</v>
      </c>
      <c r="E23" s="2" t="s">
        <v>306</v>
      </c>
      <c r="F23" s="2" t="s">
        <v>45</v>
      </c>
      <c r="G23" s="2">
        <v>4</v>
      </c>
      <c r="H23" s="2">
        <v>2</v>
      </c>
      <c r="I23" s="2">
        <v>4</v>
      </c>
      <c r="J23" s="2">
        <v>3</v>
      </c>
      <c r="K23" s="2">
        <v>3</v>
      </c>
      <c r="L23" s="2">
        <v>2</v>
      </c>
      <c r="M23" s="2">
        <v>2</v>
      </c>
      <c r="N23" s="2">
        <v>2</v>
      </c>
      <c r="O23" s="2">
        <v>3</v>
      </c>
      <c r="P23" s="2">
        <v>3</v>
      </c>
      <c r="Q23" s="6">
        <f>IF(A23="","",ROUND((G23*0.18)+(H23*0.15)+(I23*0.12)+(J23*0.08)+(K23*0.13)+(L23*0.1)+(M23*0.12)+(N23*0.12)-(O23*0.07)+(P23*0.1),2))</f>
        <v>2.9</v>
      </c>
      <c r="R23" s="6">
        <f>IF(A23="","",ROUND((I23*0.16)+(J23*0.2)+(K23*0.12)+(L23*0.1)+((6-M23)*0.08)+((6-N23)*0.08)+(O23*0.06)+(P23*0.14)+(G23*0.06),2))</f>
        <v>3.28</v>
      </c>
      <c r="S23" s="6" t="str">
        <f t="shared" si="0"/>
        <v>Не включать / проверить</v>
      </c>
      <c r="T23" s="6" t="str">
        <f t="shared" si="1"/>
        <v>Оставить как гипотезу / проверить позже</v>
      </c>
      <c r="U23" s="2" t="s">
        <v>367</v>
      </c>
    </row>
    <row r="24" spans="1:21" ht="28.5">
      <c r="A24" s="2" t="s">
        <v>368</v>
      </c>
      <c r="B24" s="2" t="s">
        <v>75</v>
      </c>
      <c r="C24" s="2" t="s">
        <v>369</v>
      </c>
      <c r="D24" s="2" t="s">
        <v>291</v>
      </c>
      <c r="E24" s="2" t="s">
        <v>292</v>
      </c>
      <c r="F24" s="2" t="s">
        <v>45</v>
      </c>
      <c r="G24" s="2">
        <v>3</v>
      </c>
      <c r="H24" s="2">
        <v>1</v>
      </c>
      <c r="I24" s="2">
        <v>3</v>
      </c>
      <c r="J24" s="2">
        <v>1</v>
      </c>
      <c r="K24" s="2">
        <v>4</v>
      </c>
      <c r="L24" s="2">
        <v>4</v>
      </c>
      <c r="M24" s="2">
        <v>4</v>
      </c>
      <c r="N24" s="2">
        <v>4</v>
      </c>
      <c r="O24" s="2">
        <v>1</v>
      </c>
      <c r="P24" s="2">
        <v>2</v>
      </c>
      <c r="Q24" s="6">
        <f>IF(A24="","",ROUND((G24*0.18)+(H24*0.15)+(I24*0.12)+(J24*0.08)+(K24*0.13)+(L24*0.1)+(M24*0.12)+(N24*0.12)-(O24*0.07)+(P24*0.1),2))</f>
        <v>3.14</v>
      </c>
      <c r="R24" s="6">
        <f>IF(A24="","",ROUND((I24*0.16)+(J24*0.2)+(K24*0.12)+(L24*0.1)+((6-M24)*0.08)+((6-N24)*0.08)+(O24*0.06)+(P24*0.14)+(G24*0.06),2))</f>
        <v>2.4</v>
      </c>
      <c r="S24" s="6" t="str">
        <f t="shared" si="0"/>
        <v>Не включать / проверить</v>
      </c>
      <c r="T24" s="6" t="str">
        <f t="shared" si="1"/>
        <v>Оставить как гипотезу / проверить позже</v>
      </c>
      <c r="U24" s="2" t="s">
        <v>370</v>
      </c>
    </row>
    <row r="25" spans="1:21" ht="28.5">
      <c r="A25" s="2" t="s">
        <v>371</v>
      </c>
      <c r="B25" s="2" t="s">
        <v>75</v>
      </c>
      <c r="C25" s="2" t="s">
        <v>372</v>
      </c>
      <c r="D25" s="2" t="s">
        <v>291</v>
      </c>
      <c r="E25" s="2" t="s">
        <v>334</v>
      </c>
      <c r="F25" s="2" t="s">
        <v>84</v>
      </c>
      <c r="G25" s="2">
        <v>2</v>
      </c>
      <c r="H25" s="2">
        <v>1</v>
      </c>
      <c r="I25" s="2">
        <v>4</v>
      </c>
      <c r="J25" s="2">
        <v>1</v>
      </c>
      <c r="K25" s="2">
        <v>3</v>
      </c>
      <c r="L25" s="2">
        <v>2</v>
      </c>
      <c r="M25" s="2">
        <v>3</v>
      </c>
      <c r="N25" s="2">
        <v>3</v>
      </c>
      <c r="O25" s="2">
        <v>2</v>
      </c>
      <c r="P25" s="2">
        <v>2</v>
      </c>
      <c r="Q25" s="6">
        <f>IF(A25="","",ROUND((G25*0.18)+(H25*0.15)+(I25*0.12)+(J25*0.08)+(K25*0.13)+(L25*0.1)+(M25*0.12)+(N25*0.12)-(O25*0.07)+(P25*0.1),2))</f>
        <v>2.44</v>
      </c>
      <c r="R25" s="6">
        <f>IF(A25="","",ROUND((I25*0.16)+(J25*0.2)+(K25*0.12)+(L25*0.1)+((6-M25)*0.08)+((6-N25)*0.08)+(O25*0.06)+(P25*0.14)+(G25*0.06),2))</f>
        <v>2.4</v>
      </c>
      <c r="S25" s="6" t="str">
        <f t="shared" si="0"/>
        <v>Не включать / проверить</v>
      </c>
      <c r="T25" s="6" t="str">
        <f t="shared" si="1"/>
        <v>Оставить как гипотезу / проверить позже</v>
      </c>
      <c r="U25" s="2" t="s">
        <v>373</v>
      </c>
    </row>
    <row r="26" spans="1:21" ht="28.5">
      <c r="A26" s="2" t="s">
        <v>288</v>
      </c>
      <c r="B26" s="2" t="s">
        <v>76</v>
      </c>
      <c r="C26" s="2" t="s">
        <v>374</v>
      </c>
      <c r="D26" s="2" t="s">
        <v>375</v>
      </c>
      <c r="E26" s="2" t="s">
        <v>354</v>
      </c>
      <c r="F26" s="2" t="s">
        <v>74</v>
      </c>
      <c r="G26" s="2">
        <v>3</v>
      </c>
      <c r="H26" s="2">
        <v>5</v>
      </c>
      <c r="I26" s="2">
        <v>3</v>
      </c>
      <c r="J26" s="2">
        <v>1</v>
      </c>
      <c r="K26" s="2">
        <v>3</v>
      </c>
      <c r="L26" s="2">
        <v>4</v>
      </c>
      <c r="M26" s="2">
        <v>2</v>
      </c>
      <c r="N26" s="2">
        <v>2</v>
      </c>
      <c r="O26" s="2">
        <v>4</v>
      </c>
      <c r="P26" s="2">
        <v>3</v>
      </c>
      <c r="Q26" s="6">
        <f>IF(A26="","",ROUND((G26*0.18)+(H26*0.15)+(I26*0.12)+(J26*0.08)+(K26*0.13)+(L26*0.1)+(M26*0.12)+(N26*0.12)-(O26*0.07)+(P26*0.1),2))</f>
        <v>3.02</v>
      </c>
      <c r="R26" s="6">
        <f>IF(A26="","",ROUND((I26*0.16)+(J26*0.2)+(K26*0.12)+(L26*0.1)+((6-M26)*0.08)+((6-N26)*0.08)+(O26*0.06)+(P26*0.14)+(G26*0.06),2))</f>
        <v>2.92</v>
      </c>
      <c r="S26" s="6" t="str">
        <f t="shared" si="0"/>
        <v>Не включать / проверить</v>
      </c>
      <c r="T26" s="6" t="str">
        <f t="shared" si="1"/>
        <v>Оставить как гипотезу / проверить позже</v>
      </c>
      <c r="U26" s="2" t="s">
        <v>376</v>
      </c>
    </row>
    <row r="27" spans="1:21" ht="28.5">
      <c r="A27" s="2" t="s">
        <v>377</v>
      </c>
      <c r="B27" s="2" t="s">
        <v>77</v>
      </c>
      <c r="C27" s="2" t="s">
        <v>378</v>
      </c>
      <c r="D27" s="2" t="s">
        <v>375</v>
      </c>
      <c r="E27" s="2" t="s">
        <v>324</v>
      </c>
      <c r="F27" s="2" t="s">
        <v>45</v>
      </c>
      <c r="G27" s="2">
        <v>3</v>
      </c>
      <c r="H27" s="2">
        <v>2</v>
      </c>
      <c r="I27" s="2">
        <v>2</v>
      </c>
      <c r="J27" s="2">
        <v>4</v>
      </c>
      <c r="K27" s="2">
        <v>3</v>
      </c>
      <c r="L27" s="2">
        <v>2</v>
      </c>
      <c r="M27" s="2">
        <v>2</v>
      </c>
      <c r="N27" s="2">
        <v>2</v>
      </c>
      <c r="O27" s="2">
        <v>3</v>
      </c>
      <c r="P27" s="2">
        <v>2</v>
      </c>
      <c r="Q27" s="6">
        <f>IF(A27="","",ROUND((G27*0.18)+(H27*0.15)+(I27*0.12)+(J27*0.08)+(K27*0.13)+(L27*0.1)+(M27*0.12)+(N27*0.12)-(O27*0.07)+(P27*0.1),2))</f>
        <v>2.46</v>
      </c>
      <c r="R27" s="6">
        <f>IF(A27="","",ROUND((I27*0.16)+(J27*0.2)+(K27*0.12)+(L27*0.1)+((6-M27)*0.08)+((6-N27)*0.08)+(O27*0.06)+(P27*0.14)+(G27*0.06),2))</f>
        <v>2.96</v>
      </c>
      <c r="S27" s="6" t="str">
        <f t="shared" si="0"/>
        <v>Не включать / проверить</v>
      </c>
      <c r="T27" s="6" t="str">
        <f t="shared" si="1"/>
        <v>Оставить как гипотезу / проверить позже</v>
      </c>
      <c r="U27" s="2" t="s">
        <v>379</v>
      </c>
    </row>
    <row r="28" spans="1:21" ht="28.5">
      <c r="A28" s="2" t="s">
        <v>380</v>
      </c>
      <c r="B28" s="2" t="s">
        <v>75</v>
      </c>
      <c r="C28" s="2" t="s">
        <v>381</v>
      </c>
      <c r="D28" s="2" t="s">
        <v>291</v>
      </c>
      <c r="E28" s="2" t="s">
        <v>292</v>
      </c>
      <c r="F28" s="2" t="s">
        <v>80</v>
      </c>
      <c r="G28" s="2">
        <v>3</v>
      </c>
      <c r="H28" s="2">
        <v>1</v>
      </c>
      <c r="I28" s="2">
        <v>4</v>
      </c>
      <c r="J28" s="2">
        <v>2</v>
      </c>
      <c r="K28" s="2">
        <v>3</v>
      </c>
      <c r="L28" s="2">
        <v>2</v>
      </c>
      <c r="M28" s="2">
        <v>2</v>
      </c>
      <c r="N28" s="2">
        <v>2</v>
      </c>
      <c r="O28" s="2">
        <v>3</v>
      </c>
      <c r="P28" s="2">
        <v>2</v>
      </c>
      <c r="Q28" s="6">
        <f>IF(A28="","",ROUND((G28*0.18)+(H28*0.15)+(I28*0.12)+(J28*0.08)+(K28*0.13)+(L28*0.1)+(M28*0.12)+(N28*0.12)-(O28*0.07)+(P28*0.1),2))</f>
        <v>2.39</v>
      </c>
      <c r="R28" s="6">
        <f>IF(A28="","",ROUND((I28*0.16)+(J28*0.2)+(K28*0.12)+(L28*0.1)+((6-M28)*0.08)+((6-N28)*0.08)+(O28*0.06)+(P28*0.14)+(G28*0.06),2))</f>
        <v>2.88</v>
      </c>
      <c r="S28" s="6" t="str">
        <f t="shared" si="0"/>
        <v>Не включать / проверить</v>
      </c>
      <c r="T28" s="6" t="str">
        <f t="shared" si="1"/>
        <v>Оставить как гипотезу / проверить позже</v>
      </c>
      <c r="U28" s="2" t="s">
        <v>382</v>
      </c>
    </row>
    <row r="29" spans="1:21" ht="28.5">
      <c r="A29" s="2" t="s">
        <v>383</v>
      </c>
      <c r="B29" s="2" t="s">
        <v>75</v>
      </c>
      <c r="C29" s="2" t="s">
        <v>384</v>
      </c>
      <c r="D29" s="2" t="s">
        <v>348</v>
      </c>
      <c r="E29" s="2" t="s">
        <v>349</v>
      </c>
      <c r="F29" s="2" t="s">
        <v>85</v>
      </c>
      <c r="G29" s="2">
        <v>2</v>
      </c>
      <c r="H29" s="2">
        <v>1</v>
      </c>
      <c r="I29" s="2">
        <v>2</v>
      </c>
      <c r="J29" s="2">
        <v>4</v>
      </c>
      <c r="K29" s="2">
        <v>3</v>
      </c>
      <c r="L29" s="2">
        <v>3</v>
      </c>
      <c r="M29" s="2">
        <v>4</v>
      </c>
      <c r="N29" s="2">
        <v>4</v>
      </c>
      <c r="O29" s="2">
        <v>1</v>
      </c>
      <c r="P29" s="2">
        <v>2</v>
      </c>
      <c r="Q29" s="6">
        <f>IF(A29="","",ROUND((G29*0.18)+(H29*0.15)+(I29*0.12)+(J29*0.08)+(K29*0.13)+(L29*0.1)+(M29*0.12)+(N29*0.12)-(O29*0.07)+(P29*0.1),2))</f>
        <v>2.85</v>
      </c>
      <c r="R29" s="6">
        <f>IF(A29="","",ROUND((I29*0.16)+(J29*0.2)+(K29*0.12)+(L29*0.1)+((6-M29)*0.08)+((6-N29)*0.08)+(O29*0.06)+(P29*0.14)+(G29*0.06),2))</f>
        <v>2.56</v>
      </c>
      <c r="S29" s="6" t="str">
        <f t="shared" si="0"/>
        <v>Не включать / проверить</v>
      </c>
      <c r="T29" s="6" t="str">
        <f t="shared" si="1"/>
        <v>Оставить как гипотезу / проверить позже</v>
      </c>
      <c r="U29" s="2" t="s">
        <v>385</v>
      </c>
    </row>
    <row r="30" spans="1:21" ht="28.5">
      <c r="A30" s="2" t="s">
        <v>386</v>
      </c>
      <c r="B30" s="2" t="s">
        <v>73</v>
      </c>
      <c r="C30" s="2" t="s">
        <v>387</v>
      </c>
      <c r="D30" s="2" t="s">
        <v>388</v>
      </c>
      <c r="E30" s="2" t="s">
        <v>389</v>
      </c>
      <c r="F30" s="2" t="s">
        <v>85</v>
      </c>
      <c r="G30" s="2">
        <v>3</v>
      </c>
      <c r="H30" s="2">
        <v>2</v>
      </c>
      <c r="I30" s="2">
        <v>3</v>
      </c>
      <c r="J30" s="2">
        <v>5</v>
      </c>
      <c r="K30" s="2">
        <v>3</v>
      </c>
      <c r="L30" s="2">
        <v>3</v>
      </c>
      <c r="M30" s="2">
        <v>3</v>
      </c>
      <c r="N30" s="2">
        <v>3</v>
      </c>
      <c r="O30" s="2">
        <v>2</v>
      </c>
      <c r="P30" s="2">
        <v>2</v>
      </c>
      <c r="Q30" s="6">
        <f>IF(A30="","",ROUND((G30*0.18)+(H30*0.15)+(I30*0.12)+(J30*0.08)+(K30*0.13)+(L30*0.1)+(M30*0.12)+(N30*0.12)-(O30*0.07)+(P30*0.1),2))</f>
        <v>3.07</v>
      </c>
      <c r="R30" s="6">
        <f>IF(A30="","",ROUND((I30*0.16)+(J30*0.2)+(K30*0.12)+(L30*0.1)+((6-M30)*0.08)+((6-N30)*0.08)+(O30*0.06)+(P30*0.14)+(G30*0.06),2))</f>
        <v>3.2</v>
      </c>
      <c r="S30" s="6" t="str">
        <f t="shared" si="0"/>
        <v>Не включать / проверить</v>
      </c>
      <c r="T30" s="6" t="str">
        <f t="shared" si="1"/>
        <v>Оставить как гипотезу / проверить позже</v>
      </c>
      <c r="U30" s="2" t="s">
        <v>390</v>
      </c>
    </row>
    <row r="31" spans="1:21" ht="28.5">
      <c r="A31" s="2" t="s">
        <v>391</v>
      </c>
      <c r="B31" s="2" t="s">
        <v>82</v>
      </c>
      <c r="C31" s="2" t="s">
        <v>392</v>
      </c>
      <c r="D31" s="2" t="s">
        <v>388</v>
      </c>
      <c r="E31" s="2" t="s">
        <v>389</v>
      </c>
      <c r="F31" s="2" t="s">
        <v>78</v>
      </c>
      <c r="G31" s="2">
        <v>3</v>
      </c>
      <c r="H31" s="2">
        <v>2</v>
      </c>
      <c r="I31" s="2">
        <v>3</v>
      </c>
      <c r="J31" s="2">
        <v>5</v>
      </c>
      <c r="K31" s="2">
        <v>2</v>
      </c>
      <c r="L31" s="2">
        <v>1</v>
      </c>
      <c r="M31" s="2">
        <v>2</v>
      </c>
      <c r="N31" s="2">
        <v>2</v>
      </c>
      <c r="O31" s="2">
        <v>3</v>
      </c>
      <c r="P31" s="2">
        <v>2</v>
      </c>
      <c r="Q31" s="6">
        <f>IF(A31="","",ROUND((G31*0.18)+(H31*0.15)+(I31*0.12)+(J31*0.08)+(K31*0.13)+(L31*0.1)+(M31*0.12)+(N31*0.12)-(O31*0.07)+(P31*0.1),2))</f>
        <v>2.4300000000000002</v>
      </c>
      <c r="R31" s="6">
        <f>IF(A31="","",ROUND((I31*0.16)+(J31*0.2)+(K31*0.12)+(L31*0.1)+((6-M31)*0.08)+((6-N31)*0.08)+(O31*0.06)+(P31*0.14)+(G31*0.06),2))</f>
        <v>3.1</v>
      </c>
      <c r="S31" s="6" t="str">
        <f t="shared" si="0"/>
        <v>Не включать / проверить</v>
      </c>
      <c r="T31" s="6" t="str">
        <f t="shared" si="1"/>
        <v>Оставить как гипотезу / проверить позже</v>
      </c>
      <c r="U31" s="2" t="s">
        <v>393</v>
      </c>
    </row>
    <row r="32" spans="1:21" ht="28.5">
      <c r="A32" s="2" t="s">
        <v>394</v>
      </c>
      <c r="B32" s="2" t="s">
        <v>75</v>
      </c>
      <c r="C32" s="2" t="s">
        <v>395</v>
      </c>
      <c r="D32" s="2" t="s">
        <v>375</v>
      </c>
      <c r="E32" s="2" t="s">
        <v>292</v>
      </c>
      <c r="F32" s="2" t="s">
        <v>45</v>
      </c>
      <c r="G32" s="2">
        <v>4</v>
      </c>
      <c r="H32" s="2">
        <v>3</v>
      </c>
      <c r="I32" s="2">
        <v>3</v>
      </c>
      <c r="J32" s="2">
        <v>4</v>
      </c>
      <c r="K32" s="2">
        <v>3</v>
      </c>
      <c r="L32" s="2">
        <v>3</v>
      </c>
      <c r="M32" s="2">
        <v>1</v>
      </c>
      <c r="N32" s="2">
        <v>1</v>
      </c>
      <c r="O32" s="2">
        <v>4</v>
      </c>
      <c r="P32" s="2">
        <v>3</v>
      </c>
      <c r="Q32" s="6">
        <f>IF(A32="","",ROUND((G32*0.18)+(H32*0.15)+(I32*0.12)+(J32*0.08)+(K32*0.13)+(L32*0.1)+(M32*0.12)+(N32*0.12)-(O32*0.07)+(P32*0.1),2))</f>
        <v>2.8</v>
      </c>
      <c r="R32" s="6">
        <f>IF(A32="","",ROUND((I32*0.16)+(J32*0.2)+(K32*0.12)+(L32*0.1)+((6-M32)*0.08)+((6-N32)*0.08)+(O32*0.06)+(P32*0.14)+(G32*0.06),2))</f>
        <v>3.64</v>
      </c>
      <c r="S32" s="6" t="str">
        <f t="shared" si="0"/>
        <v>Следующий релиз</v>
      </c>
      <c r="T32" s="6" t="str">
        <f t="shared" si="1"/>
        <v>Запланировать после проверки первого релиза</v>
      </c>
      <c r="U32" s="2" t="s">
        <v>396</v>
      </c>
    </row>
    <row r="33" spans="1:21" ht="57">
      <c r="A33" s="2" t="s">
        <v>397</v>
      </c>
      <c r="B33" s="2" t="s">
        <v>75</v>
      </c>
      <c r="C33" s="2" t="s">
        <v>398</v>
      </c>
      <c r="D33" s="2" t="s">
        <v>375</v>
      </c>
      <c r="E33" s="2" t="s">
        <v>324</v>
      </c>
      <c r="F33" s="2" t="s">
        <v>74</v>
      </c>
      <c r="G33" s="2">
        <v>4</v>
      </c>
      <c r="H33" s="2">
        <v>4</v>
      </c>
      <c r="I33" s="2">
        <v>3</v>
      </c>
      <c r="J33" s="2">
        <v>3</v>
      </c>
      <c r="K33" s="2">
        <v>3</v>
      </c>
      <c r="L33" s="2">
        <v>3</v>
      </c>
      <c r="M33" s="2">
        <v>2</v>
      </c>
      <c r="N33" s="2">
        <v>2</v>
      </c>
      <c r="O33" s="2">
        <v>3</v>
      </c>
      <c r="P33" s="2">
        <v>3</v>
      </c>
      <c r="Q33" s="6">
        <f>IF(A33="","",ROUND((G33*0.18)+(H33*0.15)+(I33*0.12)+(J33*0.08)+(K33*0.13)+(L33*0.1)+(M33*0.12)+(N33*0.12)-(O33*0.07)+(P33*0.1),2))</f>
        <v>3.18</v>
      </c>
      <c r="R33" s="6">
        <f>IF(A33="","",ROUND((I33*0.16)+(J33*0.2)+(K33*0.12)+(L33*0.1)+((6-M33)*0.08)+((6-N33)*0.08)+(O33*0.06)+(P33*0.14)+(G33*0.06),2))</f>
        <v>3.22</v>
      </c>
      <c r="S33" s="6" t="str">
        <f t="shared" si="0"/>
        <v>Не включать / проверить</v>
      </c>
      <c r="T33" s="6" t="str">
        <f t="shared" si="1"/>
        <v>Оставить как гипотезу / проверить позже</v>
      </c>
      <c r="U33" s="2" t="s">
        <v>399</v>
      </c>
    </row>
    <row r="34" spans="1:21" ht="28.5">
      <c r="A34" s="2" t="s">
        <v>400</v>
      </c>
      <c r="B34" s="2" t="s">
        <v>75</v>
      </c>
      <c r="C34" s="2" t="s">
        <v>401</v>
      </c>
      <c r="D34" s="2" t="s">
        <v>291</v>
      </c>
      <c r="E34" s="2" t="s">
        <v>389</v>
      </c>
      <c r="F34" s="2" t="s">
        <v>85</v>
      </c>
      <c r="G34" s="2">
        <v>2</v>
      </c>
      <c r="H34" s="2">
        <v>1</v>
      </c>
      <c r="I34" s="2">
        <v>2</v>
      </c>
      <c r="J34" s="2">
        <v>5</v>
      </c>
      <c r="K34" s="2">
        <v>2</v>
      </c>
      <c r="L34" s="2">
        <v>1</v>
      </c>
      <c r="M34" s="2">
        <v>4</v>
      </c>
      <c r="N34" s="2">
        <v>4</v>
      </c>
      <c r="O34" s="2">
        <v>2</v>
      </c>
      <c r="P34" s="2">
        <v>1</v>
      </c>
      <c r="Q34" s="6">
        <f>IF(A34="","",ROUND((G34*0.18)+(H34*0.15)+(I34*0.12)+(J34*0.08)+(K34*0.13)+(L34*0.1)+(M34*0.12)+(N34*0.12)-(O34*0.07)+(P34*0.1),2))</f>
        <v>2.4300000000000002</v>
      </c>
      <c r="R34" s="6">
        <f>IF(A34="","",ROUND((I34*0.16)+(J34*0.2)+(K34*0.12)+(L34*0.1)+((6-M34)*0.08)+((6-N34)*0.08)+(O34*0.06)+(P34*0.14)+(G34*0.06),2))</f>
        <v>2.36</v>
      </c>
      <c r="S34" s="6" t="str">
        <f t="shared" ref="S34:S65" si="2">IF(A34="","",IF(AND(G34&gt;=4,H34&gt;=4,K34&gt;=3,P34&gt;=4),"Первый релиз",IF(Q34&gt;=3.7,"Первый релиз",IF(R34&gt;=3.6,"Следующий релиз","Не включать / проверить"))))</f>
        <v>Не включать / проверить</v>
      </c>
      <c r="T34" s="6" t="str">
        <f t="shared" ref="T34:T65" si="3"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f>
        <v>Оставить как гипотезу / проверить позже</v>
      </c>
      <c r="U34" s="2" t="s">
        <v>402</v>
      </c>
    </row>
    <row r="35" spans="1:21" ht="28.5">
      <c r="A35" s="2" t="s">
        <v>403</v>
      </c>
      <c r="B35" s="2" t="s">
        <v>75</v>
      </c>
      <c r="C35" s="2" t="s">
        <v>404</v>
      </c>
      <c r="D35" s="2" t="s">
        <v>375</v>
      </c>
      <c r="E35" s="2" t="s">
        <v>320</v>
      </c>
      <c r="F35" s="2" t="s">
        <v>74</v>
      </c>
      <c r="G35" s="2">
        <v>4</v>
      </c>
      <c r="H35" s="2">
        <v>3</v>
      </c>
      <c r="I35" s="2">
        <v>3</v>
      </c>
      <c r="J35" s="2">
        <v>3</v>
      </c>
      <c r="K35" s="2">
        <v>2</v>
      </c>
      <c r="L35" s="2">
        <v>3</v>
      </c>
      <c r="M35" s="2">
        <v>3</v>
      </c>
      <c r="N35" s="2">
        <v>3</v>
      </c>
      <c r="O35" s="2">
        <v>4</v>
      </c>
      <c r="P35" s="2">
        <v>2</v>
      </c>
      <c r="Q35" s="6">
        <f>IF(A35="","",ROUND((G35*0.18)+(H35*0.15)+(I35*0.12)+(J35*0.08)+(K35*0.13)+(L35*0.1)+(M35*0.12)+(N35*0.12)-(O35*0.07)+(P35*0.1),2))</f>
        <v>2.97</v>
      </c>
      <c r="R35" s="6">
        <f>IF(A35="","",ROUND((I35*0.16)+(J35*0.2)+(K35*0.12)+(L35*0.1)+((6-M35)*0.08)+((6-N35)*0.08)+(O35*0.06)+(P35*0.14)+(G35*0.06),2))</f>
        <v>2.86</v>
      </c>
      <c r="S35" s="6" t="str">
        <f t="shared" si="2"/>
        <v>Не включать / проверить</v>
      </c>
      <c r="T35" s="6" t="str">
        <f t="shared" si="3"/>
        <v>Оставить как гипотезу / проверить позже</v>
      </c>
      <c r="U35" s="2" t="s">
        <v>405</v>
      </c>
    </row>
    <row r="36" spans="1:21" ht="28.5">
      <c r="A36" s="2" t="s">
        <v>406</v>
      </c>
      <c r="B36" s="2" t="s">
        <v>75</v>
      </c>
      <c r="C36" s="2" t="s">
        <v>407</v>
      </c>
      <c r="D36" s="2" t="s">
        <v>375</v>
      </c>
      <c r="E36" s="2" t="s">
        <v>292</v>
      </c>
      <c r="F36" s="2" t="s">
        <v>45</v>
      </c>
      <c r="G36" s="2">
        <v>3</v>
      </c>
      <c r="H36" s="2">
        <v>2</v>
      </c>
      <c r="I36" s="2">
        <v>2</v>
      </c>
      <c r="J36" s="2">
        <v>3</v>
      </c>
      <c r="K36" s="2">
        <v>2</v>
      </c>
      <c r="L36" s="2">
        <v>1</v>
      </c>
      <c r="M36" s="2">
        <v>1</v>
      </c>
      <c r="N36" s="2">
        <v>1</v>
      </c>
      <c r="O36" s="2">
        <v>4</v>
      </c>
      <c r="P36" s="2">
        <v>2</v>
      </c>
      <c r="Q36" s="6">
        <f>IF(A36="","",ROUND((G36*0.18)+(H36*0.15)+(I36*0.12)+(J36*0.08)+(K36*0.13)+(L36*0.1)+(M36*0.12)+(N36*0.12)-(O36*0.07)+(P36*0.1),2))</f>
        <v>1.84</v>
      </c>
      <c r="R36" s="6">
        <f>IF(A36="","",ROUND((I36*0.16)+(J36*0.2)+(K36*0.12)+(L36*0.1)+((6-M36)*0.08)+((6-N36)*0.08)+(O36*0.06)+(P36*0.14)+(G36*0.06),2))</f>
        <v>2.76</v>
      </c>
      <c r="S36" s="6" t="str">
        <f t="shared" si="2"/>
        <v>Не включать / проверить</v>
      </c>
      <c r="T36" s="6" t="str">
        <f t="shared" si="3"/>
        <v>Оставить как гипотезу / проверить позже</v>
      </c>
      <c r="U36" s="2" t="s">
        <v>408</v>
      </c>
    </row>
    <row r="37" spans="1:21" ht="28.5">
      <c r="A37" s="2" t="s">
        <v>409</v>
      </c>
      <c r="B37" s="2" t="s">
        <v>77</v>
      </c>
      <c r="C37" s="2" t="s">
        <v>410</v>
      </c>
      <c r="D37" s="2" t="s">
        <v>375</v>
      </c>
      <c r="E37" s="2" t="s">
        <v>324</v>
      </c>
      <c r="F37" s="2" t="s">
        <v>78</v>
      </c>
      <c r="G37" s="2">
        <v>2</v>
      </c>
      <c r="H37" s="2">
        <v>2</v>
      </c>
      <c r="I37" s="2">
        <v>2</v>
      </c>
      <c r="J37" s="2">
        <v>2</v>
      </c>
      <c r="K37" s="2">
        <v>3</v>
      </c>
      <c r="L37" s="2">
        <v>2</v>
      </c>
      <c r="M37" s="2">
        <v>3</v>
      </c>
      <c r="N37" s="2">
        <v>3</v>
      </c>
      <c r="O37" s="2">
        <v>3</v>
      </c>
      <c r="P37" s="2">
        <v>1</v>
      </c>
      <c r="Q37" s="6">
        <f>IF(A37="","",ROUND((G37*0.18)+(H37*0.15)+(I37*0.12)+(J37*0.08)+(K37*0.13)+(L37*0.1)+(M37*0.12)+(N37*0.12)-(O37*0.07)+(P37*0.1),2))</f>
        <v>2.2599999999999998</v>
      </c>
      <c r="R37" s="6">
        <f>IF(A37="","",ROUND((I37*0.16)+(J37*0.2)+(K37*0.12)+(L37*0.1)+((6-M37)*0.08)+((6-N37)*0.08)+(O37*0.06)+(P37*0.14)+(G37*0.06),2))</f>
        <v>2.2000000000000002</v>
      </c>
      <c r="S37" s="6" t="str">
        <f t="shared" si="2"/>
        <v>Не включать / проверить</v>
      </c>
      <c r="T37" s="6" t="str">
        <f t="shared" si="3"/>
        <v>Оставить как гипотезу / проверить позже</v>
      </c>
      <c r="U37" s="2" t="s">
        <v>411</v>
      </c>
    </row>
    <row r="38" spans="1:21" ht="28.5">
      <c r="A38" s="2" t="s">
        <v>412</v>
      </c>
      <c r="B38" s="2" t="s">
        <v>75</v>
      </c>
      <c r="C38" s="2" t="s">
        <v>413</v>
      </c>
      <c r="D38" s="2" t="s">
        <v>291</v>
      </c>
      <c r="E38" s="2" t="s">
        <v>320</v>
      </c>
      <c r="F38" s="2" t="s">
        <v>45</v>
      </c>
      <c r="G38" s="2">
        <v>3</v>
      </c>
      <c r="H38" s="2">
        <v>3</v>
      </c>
      <c r="I38" s="2">
        <v>2</v>
      </c>
      <c r="J38" s="2">
        <v>4</v>
      </c>
      <c r="K38" s="2">
        <v>2</v>
      </c>
      <c r="L38" s="2">
        <v>1</v>
      </c>
      <c r="M38" s="2">
        <v>1</v>
      </c>
      <c r="N38" s="2">
        <v>1</v>
      </c>
      <c r="O38" s="2">
        <v>5</v>
      </c>
      <c r="P38" s="2">
        <v>1</v>
      </c>
      <c r="Q38" s="6">
        <f>IF(A38="","",ROUND((G38*0.18)+(H38*0.15)+(I38*0.12)+(J38*0.08)+(K38*0.13)+(L38*0.1)+(M38*0.12)+(N38*0.12)-(O38*0.07)+(P38*0.1),2))</f>
        <v>1.9</v>
      </c>
      <c r="R38" s="6">
        <f>IF(A38="","",ROUND((I38*0.16)+(J38*0.2)+(K38*0.12)+(L38*0.1)+((6-M38)*0.08)+((6-N38)*0.08)+(O38*0.06)+(P38*0.14)+(G38*0.06),2))</f>
        <v>2.88</v>
      </c>
      <c r="S38" s="6" t="str">
        <f t="shared" si="2"/>
        <v>Не включать / проверить</v>
      </c>
      <c r="T38" s="6" t="str">
        <f t="shared" si="3"/>
        <v>Оставить как гипотезу / проверить позже</v>
      </c>
      <c r="U38" s="2" t="s">
        <v>414</v>
      </c>
    </row>
    <row r="39" spans="1:21" ht="28.5">
      <c r="A39" s="2" t="s">
        <v>415</v>
      </c>
      <c r="B39" s="2" t="s">
        <v>75</v>
      </c>
      <c r="C39" s="2" t="s">
        <v>416</v>
      </c>
      <c r="D39" s="2" t="s">
        <v>375</v>
      </c>
      <c r="E39" s="2" t="s">
        <v>292</v>
      </c>
      <c r="F39" s="2" t="s">
        <v>45</v>
      </c>
      <c r="G39" s="2">
        <v>2</v>
      </c>
      <c r="H39" s="2">
        <v>2</v>
      </c>
      <c r="I39" s="2">
        <v>3</v>
      </c>
      <c r="J39" s="2">
        <v>3</v>
      </c>
      <c r="K39" s="2">
        <v>2</v>
      </c>
      <c r="L39" s="2">
        <v>2</v>
      </c>
      <c r="M39" s="2">
        <v>1</v>
      </c>
      <c r="N39" s="2">
        <v>1</v>
      </c>
      <c r="O39" s="2">
        <v>5</v>
      </c>
      <c r="P39" s="2">
        <v>1</v>
      </c>
      <c r="Q39" s="6">
        <f>IF(A39="","",ROUND((G39*0.18)+(H39*0.15)+(I39*0.12)+(J39*0.08)+(K39*0.13)+(L39*0.1)+(M39*0.12)+(N39*0.12)-(O39*0.07)+(P39*0.1),2))</f>
        <v>1.71</v>
      </c>
      <c r="R39" s="6">
        <f>IF(A39="","",ROUND((I39*0.16)+(J39*0.2)+(K39*0.12)+(L39*0.1)+((6-M39)*0.08)+((6-N39)*0.08)+(O39*0.06)+(P39*0.14)+(G39*0.06),2))</f>
        <v>2.88</v>
      </c>
      <c r="S39" s="6" t="str">
        <f t="shared" si="2"/>
        <v>Не включать / проверить</v>
      </c>
      <c r="T39" s="6" t="str">
        <f t="shared" si="3"/>
        <v>Оставить как гипотезу / проверить позже</v>
      </c>
      <c r="U39" s="2" t="s">
        <v>417</v>
      </c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6" t="str">
        <f>IF(A40="","",ROUND((G40*0.18)+(H40*0.15)+(I40*0.12)+(J40*0.08)+(K40*0.13)+(L40*0.1)+(M40*0.12)+(N40*0.12)-(O40*0.07)+(P40*0.1),2))</f>
        <v/>
      </c>
      <c r="R40" s="6" t="str">
        <f>IF(A40="","",ROUND((I40*0.16)+(J40*0.2)+(K40*0.12)+(L40*0.1)+((6-M40)*0.08)+((6-N40)*0.08)+(O40*0.06)+(P40*0.14)+(G40*0.06),2))</f>
        <v/>
      </c>
      <c r="S40" s="6" t="str">
        <f t="shared" si="2"/>
        <v/>
      </c>
      <c r="T40" s="6" t="str">
        <f t="shared" si="3"/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6" t="str">
        <f>IF(A41="","",ROUND((G41*0.18)+(H41*0.15)+(I41*0.12)+(J41*0.08)+(K41*0.13)+(L41*0.1)+(M41*0.12)+(N41*0.12)-(O41*0.07)+(P41*0.1),2))</f>
        <v/>
      </c>
      <c r="R41" s="6" t="str">
        <f>IF(A41="","",ROUND((I41*0.16)+(J41*0.2)+(K41*0.12)+(L41*0.1)+((6-M41)*0.08)+((6-N41)*0.08)+(O41*0.06)+(P41*0.14)+(G41*0.06),2))</f>
        <v/>
      </c>
      <c r="S41" s="6" t="str">
        <f t="shared" si="2"/>
        <v/>
      </c>
      <c r="T41" s="6" t="str">
        <f t="shared" si="3"/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6" t="str">
        <f>IF(A42="","",ROUND((G42*0.18)+(H42*0.15)+(I42*0.12)+(J42*0.08)+(K42*0.13)+(L42*0.1)+(M42*0.12)+(N42*0.12)-(O42*0.07)+(P42*0.1),2))</f>
        <v/>
      </c>
      <c r="R42" s="6" t="str">
        <f>IF(A42="","",ROUND((I42*0.16)+(J42*0.2)+(K42*0.12)+(L42*0.1)+((6-M42)*0.08)+((6-N42)*0.08)+(O42*0.06)+(P42*0.14)+(G42*0.06),2))</f>
        <v/>
      </c>
      <c r="S42" s="6" t="str">
        <f t="shared" si="2"/>
        <v/>
      </c>
      <c r="T42" s="6" t="str">
        <f t="shared" si="3"/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6" t="str">
        <f>IF(A43="","",ROUND((G43*0.18)+(H43*0.15)+(I43*0.12)+(J43*0.08)+(K43*0.13)+(L43*0.1)+(M43*0.12)+(N43*0.12)-(O43*0.07)+(P43*0.1),2))</f>
        <v/>
      </c>
      <c r="R43" s="6" t="str">
        <f>IF(A43="","",ROUND((I43*0.16)+(J43*0.2)+(K43*0.12)+(L43*0.1)+((6-M43)*0.08)+((6-N43)*0.08)+(O43*0.06)+(P43*0.14)+(G43*0.06),2))</f>
        <v/>
      </c>
      <c r="S43" s="6" t="str">
        <f t="shared" si="2"/>
        <v/>
      </c>
      <c r="T43" s="6" t="str">
        <f t="shared" si="3"/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6" t="str">
        <f>IF(A44="","",ROUND((G44*0.18)+(H44*0.15)+(I44*0.12)+(J44*0.08)+(K44*0.13)+(L44*0.1)+(M44*0.12)+(N44*0.12)-(O44*0.07)+(P44*0.1),2))</f>
        <v/>
      </c>
      <c r="R44" s="6" t="str">
        <f>IF(A44="","",ROUND((I44*0.16)+(J44*0.2)+(K44*0.12)+(L44*0.1)+((6-M44)*0.08)+((6-N44)*0.08)+(O44*0.06)+(P44*0.14)+(G44*0.06),2))</f>
        <v/>
      </c>
      <c r="S44" s="6" t="str">
        <f t="shared" si="2"/>
        <v/>
      </c>
      <c r="T44" s="6" t="str">
        <f t="shared" si="3"/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6" t="str">
        <f>IF(A45="","",ROUND((G45*0.18)+(H45*0.15)+(I45*0.12)+(J45*0.08)+(K45*0.13)+(L45*0.1)+(M45*0.12)+(N45*0.12)-(O45*0.07)+(P45*0.1),2))</f>
        <v/>
      </c>
      <c r="R45" s="6" t="str">
        <f>IF(A45="","",ROUND((I45*0.16)+(J45*0.2)+(K45*0.12)+(L45*0.1)+((6-M45)*0.08)+((6-N45)*0.08)+(O45*0.06)+(P45*0.14)+(G45*0.06),2))</f>
        <v/>
      </c>
      <c r="S45" s="6" t="str">
        <f t="shared" si="2"/>
        <v/>
      </c>
      <c r="T45" s="6" t="str">
        <f t="shared" si="3"/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6" t="str">
        <f>IF(A46="","",ROUND((G46*0.18)+(H46*0.15)+(I46*0.12)+(J46*0.08)+(K46*0.13)+(L46*0.1)+(M46*0.12)+(N46*0.12)-(O46*0.07)+(P46*0.1),2))</f>
        <v/>
      </c>
      <c r="R46" s="6" t="str">
        <f>IF(A46="","",ROUND((I46*0.16)+(J46*0.2)+(K46*0.12)+(L46*0.1)+((6-M46)*0.08)+((6-N46)*0.08)+(O46*0.06)+(P46*0.14)+(G46*0.06),2))</f>
        <v/>
      </c>
      <c r="S46" s="6" t="str">
        <f t="shared" si="2"/>
        <v/>
      </c>
      <c r="T46" s="6" t="str">
        <f t="shared" si="3"/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6" t="str">
        <f>IF(A47="","",ROUND((G47*0.18)+(H47*0.15)+(I47*0.12)+(J47*0.08)+(K47*0.13)+(L47*0.1)+(M47*0.12)+(N47*0.12)-(O47*0.07)+(P47*0.1),2))</f>
        <v/>
      </c>
      <c r="R47" s="6" t="str">
        <f>IF(A47="","",ROUND((I47*0.16)+(J47*0.2)+(K47*0.12)+(L47*0.1)+((6-M47)*0.08)+((6-N47)*0.08)+(O47*0.06)+(P47*0.14)+(G47*0.06),2))</f>
        <v/>
      </c>
      <c r="S47" s="6" t="str">
        <f t="shared" si="2"/>
        <v/>
      </c>
      <c r="T47" s="6" t="str">
        <f t="shared" si="3"/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6" t="str">
        <f>IF(A48="","",ROUND((G48*0.18)+(H48*0.15)+(I48*0.12)+(J48*0.08)+(K48*0.13)+(L48*0.1)+(M48*0.12)+(N48*0.12)-(O48*0.07)+(P48*0.1),2))</f>
        <v/>
      </c>
      <c r="R48" s="6" t="str">
        <f>IF(A48="","",ROUND((I48*0.16)+(J48*0.2)+(K48*0.12)+(L48*0.1)+((6-M48)*0.08)+((6-N48)*0.08)+(O48*0.06)+(P48*0.14)+(G48*0.06),2))</f>
        <v/>
      </c>
      <c r="S48" s="6" t="str">
        <f t="shared" si="2"/>
        <v/>
      </c>
      <c r="T48" s="6" t="str">
        <f t="shared" si="3"/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6" t="str">
        <f>IF(A49="","",ROUND((G49*0.18)+(H49*0.15)+(I49*0.12)+(J49*0.08)+(K49*0.13)+(L49*0.1)+(M49*0.12)+(N49*0.12)-(O49*0.07)+(P49*0.1),2))</f>
        <v/>
      </c>
      <c r="R49" s="6" t="str">
        <f>IF(A49="","",ROUND((I49*0.16)+(J49*0.2)+(K49*0.12)+(L49*0.1)+((6-M49)*0.08)+((6-N49)*0.08)+(O49*0.06)+(P49*0.14)+(G49*0.06),2))</f>
        <v/>
      </c>
      <c r="S49" s="6" t="str">
        <f t="shared" si="2"/>
        <v/>
      </c>
      <c r="T49" s="6" t="str">
        <f t="shared" si="3"/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6" t="str">
        <f>IF(A50="","",ROUND((G50*0.18)+(H50*0.15)+(I50*0.12)+(J50*0.08)+(K50*0.13)+(L50*0.1)+(M50*0.12)+(N50*0.12)-(O50*0.07)+(P50*0.1),2))</f>
        <v/>
      </c>
      <c r="R50" s="6" t="str">
        <f>IF(A50="","",ROUND((I50*0.16)+(J50*0.2)+(K50*0.12)+(L50*0.1)+((6-M50)*0.08)+((6-N50)*0.08)+(O50*0.06)+(P50*0.14)+(G50*0.06),2))</f>
        <v/>
      </c>
      <c r="S50" s="6" t="str">
        <f t="shared" si="2"/>
        <v/>
      </c>
      <c r="T50" s="6" t="str">
        <f t="shared" si="3"/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6" t="str">
        <f>IF(A51="","",ROUND((G51*0.18)+(H51*0.15)+(I51*0.12)+(J51*0.08)+(K51*0.13)+(L51*0.1)+(M51*0.12)+(N51*0.12)-(O51*0.07)+(P51*0.1),2))</f>
        <v/>
      </c>
      <c r="R51" s="6" t="str">
        <f>IF(A51="","",ROUND((I51*0.16)+(J51*0.2)+(K51*0.12)+(L51*0.1)+((6-M51)*0.08)+((6-N51)*0.08)+(O51*0.06)+(P51*0.14)+(G51*0.06),2))</f>
        <v/>
      </c>
      <c r="S51" s="6" t="str">
        <f t="shared" si="2"/>
        <v/>
      </c>
      <c r="T51" s="6" t="str">
        <f t="shared" si="3"/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6" t="str">
        <f>IF(A52="","",ROUND((G52*0.18)+(H52*0.15)+(I52*0.12)+(J52*0.08)+(K52*0.13)+(L52*0.1)+(M52*0.12)+(N52*0.12)-(O52*0.07)+(P52*0.1),2))</f>
        <v/>
      </c>
      <c r="R52" s="6" t="str">
        <f>IF(A52="","",ROUND((I52*0.16)+(J52*0.2)+(K52*0.12)+(L52*0.1)+((6-M52)*0.08)+((6-N52)*0.08)+(O52*0.06)+(P52*0.14)+(G52*0.06),2))</f>
        <v/>
      </c>
      <c r="S52" s="6" t="str">
        <f t="shared" si="2"/>
        <v/>
      </c>
      <c r="T52" s="6" t="str">
        <f t="shared" si="3"/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 t="str">
        <f>IF(A53="","",ROUND((G53*0.18)+(H53*0.15)+(I53*0.12)+(J53*0.08)+(K53*0.13)+(L53*0.1)+(M53*0.12)+(N53*0.12)-(O53*0.07)+(P53*0.1),2))</f>
        <v/>
      </c>
      <c r="R53" s="6" t="str">
        <f>IF(A53="","",ROUND((I53*0.16)+(J53*0.2)+(K53*0.12)+(L53*0.1)+((6-M53)*0.08)+((6-N53)*0.08)+(O53*0.06)+(P53*0.14)+(G53*0.06),2))</f>
        <v/>
      </c>
      <c r="S53" s="6" t="str">
        <f t="shared" si="2"/>
        <v/>
      </c>
      <c r="T53" s="6" t="str">
        <f t="shared" si="3"/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6" t="str">
        <f>IF(A54="","",ROUND((G54*0.18)+(H54*0.15)+(I54*0.12)+(J54*0.08)+(K54*0.13)+(L54*0.1)+(M54*0.12)+(N54*0.12)-(O54*0.07)+(P54*0.1),2))</f>
        <v/>
      </c>
      <c r="R54" s="6" t="str">
        <f>IF(A54="","",ROUND((I54*0.16)+(J54*0.2)+(K54*0.12)+(L54*0.1)+((6-M54)*0.08)+((6-N54)*0.08)+(O54*0.06)+(P54*0.14)+(G54*0.06),2))</f>
        <v/>
      </c>
      <c r="S54" s="6" t="str">
        <f t="shared" si="2"/>
        <v/>
      </c>
      <c r="T54" s="6" t="str">
        <f t="shared" si="3"/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6" t="str">
        <f>IF(A55="","",ROUND((G55*0.18)+(H55*0.15)+(I55*0.12)+(J55*0.08)+(K55*0.13)+(L55*0.1)+(M55*0.12)+(N55*0.12)-(O55*0.07)+(P55*0.1),2))</f>
        <v/>
      </c>
      <c r="R55" s="6" t="str">
        <f>IF(A55="","",ROUND((I55*0.16)+(J55*0.2)+(K55*0.12)+(L55*0.1)+((6-M55)*0.08)+((6-N55)*0.08)+(O55*0.06)+(P55*0.14)+(G55*0.06),2))</f>
        <v/>
      </c>
      <c r="S55" s="6" t="str">
        <f t="shared" si="2"/>
        <v/>
      </c>
      <c r="T55" s="6" t="str">
        <f t="shared" si="3"/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6" t="str">
        <f>IF(A56="","",ROUND((G56*0.18)+(H56*0.15)+(I56*0.12)+(J56*0.08)+(K56*0.13)+(L56*0.1)+(M56*0.12)+(N56*0.12)-(O56*0.07)+(P56*0.1),2))</f>
        <v/>
      </c>
      <c r="R56" s="6" t="str">
        <f>IF(A56="","",ROUND((I56*0.16)+(J56*0.2)+(K56*0.12)+(L56*0.1)+((6-M56)*0.08)+((6-N56)*0.08)+(O56*0.06)+(P56*0.14)+(G56*0.06),2))</f>
        <v/>
      </c>
      <c r="S56" s="6" t="str">
        <f t="shared" si="2"/>
        <v/>
      </c>
      <c r="T56" s="6" t="str">
        <f t="shared" si="3"/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6" t="str">
        <f>IF(A57="","",ROUND((G57*0.18)+(H57*0.15)+(I57*0.12)+(J57*0.08)+(K57*0.13)+(L57*0.1)+(M57*0.12)+(N57*0.12)-(O57*0.07)+(P57*0.1),2))</f>
        <v/>
      </c>
      <c r="R57" s="6" t="str">
        <f>IF(A57="","",ROUND((I57*0.16)+(J57*0.2)+(K57*0.12)+(L57*0.1)+((6-M57)*0.08)+((6-N57)*0.08)+(O57*0.06)+(P57*0.14)+(G57*0.06),2))</f>
        <v/>
      </c>
      <c r="S57" s="6" t="str">
        <f t="shared" si="2"/>
        <v/>
      </c>
      <c r="T57" s="6" t="str">
        <f t="shared" si="3"/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6" t="str">
        <f>IF(A58="","",ROUND((G58*0.18)+(H58*0.15)+(I58*0.12)+(J58*0.08)+(K58*0.13)+(L58*0.1)+(M58*0.12)+(N58*0.12)-(O58*0.07)+(P58*0.1),2))</f>
        <v/>
      </c>
      <c r="R58" s="6" t="str">
        <f>IF(A58="","",ROUND((I58*0.16)+(J58*0.2)+(K58*0.12)+(L58*0.1)+((6-M58)*0.08)+((6-N58)*0.08)+(O58*0.06)+(P58*0.14)+(G58*0.06),2))</f>
        <v/>
      </c>
      <c r="S58" s="6" t="str">
        <f t="shared" si="2"/>
        <v/>
      </c>
      <c r="T58" s="6" t="str">
        <f t="shared" si="3"/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6" t="str">
        <f>IF(A59="","",ROUND((G59*0.18)+(H59*0.15)+(I59*0.12)+(J59*0.08)+(K59*0.13)+(L59*0.1)+(M59*0.12)+(N59*0.12)-(O59*0.07)+(P59*0.1),2))</f>
        <v/>
      </c>
      <c r="R59" s="6" t="str">
        <f>IF(A59="","",ROUND((I59*0.16)+(J59*0.2)+(K59*0.12)+(L59*0.1)+((6-M59)*0.08)+((6-N59)*0.08)+(O59*0.06)+(P59*0.14)+(G59*0.06),2))</f>
        <v/>
      </c>
      <c r="S59" s="6" t="str">
        <f t="shared" si="2"/>
        <v/>
      </c>
      <c r="T59" s="6" t="str">
        <f t="shared" si="3"/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6" t="str">
        <f>IF(A60="","",ROUND((G60*0.18)+(H60*0.15)+(I60*0.12)+(J60*0.08)+(K60*0.13)+(L60*0.1)+(M60*0.12)+(N60*0.12)-(O60*0.07)+(P60*0.1),2))</f>
        <v/>
      </c>
      <c r="R60" s="6" t="str">
        <f>IF(A60="","",ROUND((I60*0.16)+(J60*0.2)+(K60*0.12)+(L60*0.1)+((6-M60)*0.08)+((6-N60)*0.08)+(O60*0.06)+(P60*0.14)+(G60*0.06),2))</f>
        <v/>
      </c>
      <c r="S60" s="6" t="str">
        <f t="shared" si="2"/>
        <v/>
      </c>
      <c r="T60" s="6" t="str">
        <f t="shared" si="3"/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6" t="str">
        <f>IF(A61="","",ROUND((G61*0.18)+(H61*0.15)+(I61*0.12)+(J61*0.08)+(K61*0.13)+(L61*0.1)+(M61*0.12)+(N61*0.12)-(O61*0.07)+(P61*0.1),2))</f>
        <v/>
      </c>
      <c r="R61" s="6" t="str">
        <f>IF(A61="","",ROUND((I61*0.16)+(J61*0.2)+(K61*0.12)+(L61*0.1)+((6-M61)*0.08)+((6-N61)*0.08)+(O61*0.06)+(P61*0.14)+(G61*0.06),2))</f>
        <v/>
      </c>
      <c r="S61" s="6" t="str">
        <f t="shared" si="2"/>
        <v/>
      </c>
      <c r="T61" s="6" t="str">
        <f t="shared" si="3"/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6" t="str">
        <f>IF(A62="","",ROUND((G62*0.18)+(H62*0.15)+(I62*0.12)+(J62*0.08)+(K62*0.13)+(L62*0.1)+(M62*0.12)+(N62*0.12)-(O62*0.07)+(P62*0.1),2))</f>
        <v/>
      </c>
      <c r="R62" s="6" t="str">
        <f>IF(A62="","",ROUND((I62*0.16)+(J62*0.2)+(K62*0.12)+(L62*0.1)+((6-M62)*0.08)+((6-N62)*0.08)+(O62*0.06)+(P62*0.14)+(G62*0.06),2))</f>
        <v/>
      </c>
      <c r="S62" s="6" t="str">
        <f t="shared" si="2"/>
        <v/>
      </c>
      <c r="T62" s="6" t="str">
        <f t="shared" si="3"/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6" t="str">
        <f>IF(A63="","",ROUND((G63*0.18)+(H63*0.15)+(I63*0.12)+(J63*0.08)+(K63*0.13)+(L63*0.1)+(M63*0.12)+(N63*0.12)-(O63*0.07)+(P63*0.1),2))</f>
        <v/>
      </c>
      <c r="R63" s="6" t="str">
        <f>IF(A63="","",ROUND((I63*0.16)+(J63*0.2)+(K63*0.12)+(L63*0.1)+((6-M63)*0.08)+((6-N63)*0.08)+(O63*0.06)+(P63*0.14)+(G63*0.06),2))</f>
        <v/>
      </c>
      <c r="S63" s="6" t="str">
        <f t="shared" si="2"/>
        <v/>
      </c>
      <c r="T63" s="6" t="str">
        <f t="shared" si="3"/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6" t="str">
        <f>IF(A64="","",ROUND((G64*0.18)+(H64*0.15)+(I64*0.12)+(J64*0.08)+(K64*0.13)+(L64*0.1)+(M64*0.12)+(N64*0.12)-(O64*0.07)+(P64*0.1),2))</f>
        <v/>
      </c>
      <c r="R64" s="6" t="str">
        <f>IF(A64="","",ROUND((I64*0.16)+(J64*0.2)+(K64*0.12)+(L64*0.1)+((6-M64)*0.08)+((6-N64)*0.08)+(O64*0.06)+(P64*0.14)+(G64*0.06),2))</f>
        <v/>
      </c>
      <c r="S64" s="6" t="str">
        <f t="shared" si="2"/>
        <v/>
      </c>
      <c r="T64" s="6" t="str">
        <f t="shared" si="3"/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6" t="str">
        <f>IF(A65="","",ROUND((G65*0.18)+(H65*0.15)+(I65*0.12)+(J65*0.08)+(K65*0.13)+(L65*0.1)+(M65*0.12)+(N65*0.12)-(O65*0.07)+(P65*0.1),2))</f>
        <v/>
      </c>
      <c r="R65" s="6" t="str">
        <f>IF(A65="","",ROUND((I65*0.16)+(J65*0.2)+(K65*0.12)+(L65*0.1)+((6-M65)*0.08)+((6-N65)*0.08)+(O65*0.06)+(P65*0.14)+(G65*0.06),2))</f>
        <v/>
      </c>
      <c r="S65" s="6" t="str">
        <f t="shared" si="2"/>
        <v/>
      </c>
      <c r="T65" s="6" t="str">
        <f t="shared" si="3"/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6" t="str">
        <f>IF(A66="","",ROUND((G66*0.18)+(H66*0.15)+(I66*0.12)+(J66*0.08)+(K66*0.13)+(L66*0.1)+(M66*0.12)+(N66*0.12)-(O66*0.07)+(P66*0.1),2))</f>
        <v/>
      </c>
      <c r="R66" s="6" t="str">
        <f>IF(A66="","",ROUND((I66*0.16)+(J66*0.2)+(K66*0.12)+(L66*0.1)+((6-M66)*0.08)+((6-N66)*0.08)+(O66*0.06)+(P66*0.14)+(G66*0.06),2))</f>
        <v/>
      </c>
      <c r="S66" s="6" t="str">
        <f t="shared" ref="S66:S97" si="4">IF(A66="","",IF(AND(G66&gt;=4,H66&gt;=4,K66&gt;=3,P66&gt;=4),"Первый релиз",IF(Q66&gt;=3.7,"Первый релиз",IF(R66&gt;=3.6,"Следующий релиз","Не включать / проверить"))))</f>
        <v/>
      </c>
      <c r="T66" s="6" t="str">
        <f t="shared" ref="T66:T97" si="5"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f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6" t="str">
        <f>IF(A67="","",ROUND((G67*0.18)+(H67*0.15)+(I67*0.12)+(J67*0.08)+(K67*0.13)+(L67*0.1)+(M67*0.12)+(N67*0.12)-(O67*0.07)+(P67*0.1),2))</f>
        <v/>
      </c>
      <c r="R67" s="6" t="str">
        <f>IF(A67="","",ROUND((I67*0.16)+(J67*0.2)+(K67*0.12)+(L67*0.1)+((6-M67)*0.08)+((6-N67)*0.08)+(O67*0.06)+(P67*0.14)+(G67*0.06),2))</f>
        <v/>
      </c>
      <c r="S67" s="6" t="str">
        <f t="shared" si="4"/>
        <v/>
      </c>
      <c r="T67" s="6" t="str">
        <f t="shared" si="5"/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6" t="str">
        <f>IF(A68="","",ROUND((G68*0.18)+(H68*0.15)+(I68*0.12)+(J68*0.08)+(K68*0.13)+(L68*0.1)+(M68*0.12)+(N68*0.12)-(O68*0.07)+(P68*0.1),2))</f>
        <v/>
      </c>
      <c r="R68" s="6" t="str">
        <f>IF(A68="","",ROUND((I68*0.16)+(J68*0.2)+(K68*0.12)+(L68*0.1)+((6-M68)*0.08)+((6-N68)*0.08)+(O68*0.06)+(P68*0.14)+(G68*0.06),2))</f>
        <v/>
      </c>
      <c r="S68" s="6" t="str">
        <f t="shared" si="4"/>
        <v/>
      </c>
      <c r="T68" s="6" t="str">
        <f t="shared" si="5"/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6" t="str">
        <f>IF(A69="","",ROUND((G69*0.18)+(H69*0.15)+(I69*0.12)+(J69*0.08)+(K69*0.13)+(L69*0.1)+(M69*0.12)+(N69*0.12)-(O69*0.07)+(P69*0.1),2))</f>
        <v/>
      </c>
      <c r="R69" s="6" t="str">
        <f>IF(A69="","",ROUND((I69*0.16)+(J69*0.2)+(K69*0.12)+(L69*0.1)+((6-M69)*0.08)+((6-N69)*0.08)+(O69*0.06)+(P69*0.14)+(G69*0.06),2))</f>
        <v/>
      </c>
      <c r="S69" s="6" t="str">
        <f t="shared" si="4"/>
        <v/>
      </c>
      <c r="T69" s="6" t="str">
        <f t="shared" si="5"/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6" t="str">
        <f>IF(A70="","",ROUND((G70*0.18)+(H70*0.15)+(I70*0.12)+(J70*0.08)+(K70*0.13)+(L70*0.1)+(M70*0.12)+(N70*0.12)-(O70*0.07)+(P70*0.1),2))</f>
        <v/>
      </c>
      <c r="R70" s="6" t="str">
        <f>IF(A70="","",ROUND((I70*0.16)+(J70*0.2)+(K70*0.12)+(L70*0.1)+((6-M70)*0.08)+((6-N70)*0.08)+(O70*0.06)+(P70*0.14)+(G70*0.06),2))</f>
        <v/>
      </c>
      <c r="S70" s="6" t="str">
        <f t="shared" si="4"/>
        <v/>
      </c>
      <c r="T70" s="6" t="str">
        <f t="shared" si="5"/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6" t="str">
        <f>IF(A71="","",ROUND((G71*0.18)+(H71*0.15)+(I71*0.12)+(J71*0.08)+(K71*0.13)+(L71*0.1)+(M71*0.12)+(N71*0.12)-(O71*0.07)+(P71*0.1),2))</f>
        <v/>
      </c>
      <c r="R71" s="6" t="str">
        <f>IF(A71="","",ROUND((I71*0.16)+(J71*0.2)+(K71*0.12)+(L71*0.1)+((6-M71)*0.08)+((6-N71)*0.08)+(O71*0.06)+(P71*0.14)+(G71*0.06),2))</f>
        <v/>
      </c>
      <c r="S71" s="6" t="str">
        <f t="shared" si="4"/>
        <v/>
      </c>
      <c r="T71" s="6" t="str">
        <f t="shared" si="5"/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6" t="str">
        <f>IF(A72="","",ROUND((G72*0.18)+(H72*0.15)+(I72*0.12)+(J72*0.08)+(K72*0.13)+(L72*0.1)+(M72*0.12)+(N72*0.12)-(O72*0.07)+(P72*0.1),2))</f>
        <v/>
      </c>
      <c r="R72" s="6" t="str">
        <f>IF(A72="","",ROUND((I72*0.16)+(J72*0.2)+(K72*0.12)+(L72*0.1)+((6-M72)*0.08)+((6-N72)*0.08)+(O72*0.06)+(P72*0.14)+(G72*0.06),2))</f>
        <v/>
      </c>
      <c r="S72" s="6" t="str">
        <f t="shared" si="4"/>
        <v/>
      </c>
      <c r="T72" s="6" t="str">
        <f t="shared" si="5"/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6" t="str">
        <f>IF(A73="","",ROUND((G73*0.18)+(H73*0.15)+(I73*0.12)+(J73*0.08)+(K73*0.13)+(L73*0.1)+(M73*0.12)+(N73*0.12)-(O73*0.07)+(P73*0.1),2))</f>
        <v/>
      </c>
      <c r="R73" s="6" t="str">
        <f>IF(A73="","",ROUND((I73*0.16)+(J73*0.2)+(K73*0.12)+(L73*0.1)+((6-M73)*0.08)+((6-N73)*0.08)+(O73*0.06)+(P73*0.14)+(G73*0.06),2))</f>
        <v/>
      </c>
      <c r="S73" s="6" t="str">
        <f t="shared" si="4"/>
        <v/>
      </c>
      <c r="T73" s="6" t="str">
        <f t="shared" si="5"/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6" t="str">
        <f>IF(A74="","",ROUND((G74*0.18)+(H74*0.15)+(I74*0.12)+(J74*0.08)+(K74*0.13)+(L74*0.1)+(M74*0.12)+(N74*0.12)-(O74*0.07)+(P74*0.1),2))</f>
        <v/>
      </c>
      <c r="R74" s="6" t="str">
        <f>IF(A74="","",ROUND((I74*0.16)+(J74*0.2)+(K74*0.12)+(L74*0.1)+((6-M74)*0.08)+((6-N74)*0.08)+(O74*0.06)+(P74*0.14)+(G74*0.06),2))</f>
        <v/>
      </c>
      <c r="S74" s="6" t="str">
        <f t="shared" si="4"/>
        <v/>
      </c>
      <c r="T74" s="6" t="str">
        <f t="shared" si="5"/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6" t="str">
        <f>IF(A75="","",ROUND((G75*0.18)+(H75*0.15)+(I75*0.12)+(J75*0.08)+(K75*0.13)+(L75*0.1)+(M75*0.12)+(N75*0.12)-(O75*0.07)+(P75*0.1),2))</f>
        <v/>
      </c>
      <c r="R75" s="6" t="str">
        <f>IF(A75="","",ROUND((I75*0.16)+(J75*0.2)+(K75*0.12)+(L75*0.1)+((6-M75)*0.08)+((6-N75)*0.08)+(O75*0.06)+(P75*0.14)+(G75*0.06),2))</f>
        <v/>
      </c>
      <c r="S75" s="6" t="str">
        <f t="shared" si="4"/>
        <v/>
      </c>
      <c r="T75" s="6" t="str">
        <f t="shared" si="5"/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6" t="str">
        <f>IF(A76="","",ROUND((G76*0.18)+(H76*0.15)+(I76*0.12)+(J76*0.08)+(K76*0.13)+(L76*0.1)+(M76*0.12)+(N76*0.12)-(O76*0.07)+(P76*0.1),2))</f>
        <v/>
      </c>
      <c r="R76" s="6" t="str">
        <f>IF(A76="","",ROUND((I76*0.16)+(J76*0.2)+(K76*0.12)+(L76*0.1)+((6-M76)*0.08)+((6-N76)*0.08)+(O76*0.06)+(P76*0.14)+(G76*0.06),2))</f>
        <v/>
      </c>
      <c r="S76" s="6" t="str">
        <f t="shared" si="4"/>
        <v/>
      </c>
      <c r="T76" s="6" t="str">
        <f t="shared" si="5"/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6" t="str">
        <f>IF(A77="","",ROUND((G77*0.18)+(H77*0.15)+(I77*0.12)+(J77*0.08)+(K77*0.13)+(L77*0.1)+(M77*0.12)+(N77*0.12)-(O77*0.07)+(P77*0.1),2))</f>
        <v/>
      </c>
      <c r="R77" s="6" t="str">
        <f>IF(A77="","",ROUND((I77*0.16)+(J77*0.2)+(K77*0.12)+(L77*0.1)+((6-M77)*0.08)+((6-N77)*0.08)+(O77*0.06)+(P77*0.14)+(G77*0.06),2))</f>
        <v/>
      </c>
      <c r="S77" s="6" t="str">
        <f t="shared" si="4"/>
        <v/>
      </c>
      <c r="T77" s="6" t="str">
        <f t="shared" si="5"/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6" t="str">
        <f>IF(A78="","",ROUND((G78*0.18)+(H78*0.15)+(I78*0.12)+(J78*0.08)+(K78*0.13)+(L78*0.1)+(M78*0.12)+(N78*0.12)-(O78*0.07)+(P78*0.1),2))</f>
        <v/>
      </c>
      <c r="R78" s="6" t="str">
        <f>IF(A78="","",ROUND((I78*0.16)+(J78*0.2)+(K78*0.12)+(L78*0.1)+((6-M78)*0.08)+((6-N78)*0.08)+(O78*0.06)+(P78*0.14)+(G78*0.06),2))</f>
        <v/>
      </c>
      <c r="S78" s="6" t="str">
        <f t="shared" si="4"/>
        <v/>
      </c>
      <c r="T78" s="6" t="str">
        <f t="shared" si="5"/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6" t="str">
        <f>IF(A79="","",ROUND((G79*0.18)+(H79*0.15)+(I79*0.12)+(J79*0.08)+(K79*0.13)+(L79*0.1)+(M79*0.12)+(N79*0.12)-(O79*0.07)+(P79*0.1),2))</f>
        <v/>
      </c>
      <c r="R79" s="6" t="str">
        <f>IF(A79="","",ROUND((I79*0.16)+(J79*0.2)+(K79*0.12)+(L79*0.1)+((6-M79)*0.08)+((6-N79)*0.08)+(O79*0.06)+(P79*0.14)+(G79*0.06),2))</f>
        <v/>
      </c>
      <c r="S79" s="6" t="str">
        <f t="shared" si="4"/>
        <v/>
      </c>
      <c r="T79" s="6" t="str">
        <f t="shared" si="5"/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6" t="str">
        <f>IF(A80="","",ROUND((G80*0.18)+(H80*0.15)+(I80*0.12)+(J80*0.08)+(K80*0.13)+(L80*0.1)+(M80*0.12)+(N80*0.12)-(O80*0.07)+(P80*0.1),2))</f>
        <v/>
      </c>
      <c r="R80" s="6" t="str">
        <f>IF(A80="","",ROUND((I80*0.16)+(J80*0.2)+(K80*0.12)+(L80*0.1)+((6-M80)*0.08)+((6-N80)*0.08)+(O80*0.06)+(P80*0.14)+(G80*0.06),2))</f>
        <v/>
      </c>
      <c r="S80" s="6" t="str">
        <f t="shared" si="4"/>
        <v/>
      </c>
      <c r="T80" s="6" t="str">
        <f t="shared" si="5"/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6" t="str">
        <f>IF(A81="","",ROUND((G81*0.18)+(H81*0.15)+(I81*0.12)+(J81*0.08)+(K81*0.13)+(L81*0.1)+(M81*0.12)+(N81*0.12)-(O81*0.07)+(P81*0.1),2))</f>
        <v/>
      </c>
      <c r="R81" s="6" t="str">
        <f>IF(A81="","",ROUND((I81*0.16)+(J81*0.2)+(K81*0.12)+(L81*0.1)+((6-M81)*0.08)+((6-N81)*0.08)+(O81*0.06)+(P81*0.14)+(G81*0.06),2))</f>
        <v/>
      </c>
      <c r="S81" s="6" t="str">
        <f t="shared" si="4"/>
        <v/>
      </c>
      <c r="T81" s="6" t="str">
        <f t="shared" si="5"/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6" t="str">
        <f>IF(A82="","",ROUND((G82*0.18)+(H82*0.15)+(I82*0.12)+(J82*0.08)+(K82*0.13)+(L82*0.1)+(M82*0.12)+(N82*0.12)-(O82*0.07)+(P82*0.1),2))</f>
        <v/>
      </c>
      <c r="R82" s="6" t="str">
        <f>IF(A82="","",ROUND((I82*0.16)+(J82*0.2)+(K82*0.12)+(L82*0.1)+((6-M82)*0.08)+((6-N82)*0.08)+(O82*0.06)+(P82*0.14)+(G82*0.06),2))</f>
        <v/>
      </c>
      <c r="S82" s="6" t="str">
        <f t="shared" si="4"/>
        <v/>
      </c>
      <c r="T82" s="6" t="str">
        <f t="shared" si="5"/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6" t="str">
        <f>IF(A83="","",ROUND((G83*0.18)+(H83*0.15)+(I83*0.12)+(J83*0.08)+(K83*0.13)+(L83*0.1)+(M83*0.12)+(N83*0.12)-(O83*0.07)+(P83*0.1),2))</f>
        <v/>
      </c>
      <c r="R83" s="6" t="str">
        <f>IF(A83="","",ROUND((I83*0.16)+(J83*0.2)+(K83*0.12)+(L83*0.1)+((6-M83)*0.08)+((6-N83)*0.08)+(O83*0.06)+(P83*0.14)+(G83*0.06),2))</f>
        <v/>
      </c>
      <c r="S83" s="6" t="str">
        <f t="shared" si="4"/>
        <v/>
      </c>
      <c r="T83" s="6" t="str">
        <f t="shared" si="5"/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6" t="str">
        <f>IF(A84="","",ROUND((G84*0.18)+(H84*0.15)+(I84*0.12)+(J84*0.08)+(K84*0.13)+(L84*0.1)+(M84*0.12)+(N84*0.12)-(O84*0.07)+(P84*0.1),2))</f>
        <v/>
      </c>
      <c r="R84" s="6" t="str">
        <f>IF(A84="","",ROUND((I84*0.16)+(J84*0.2)+(K84*0.12)+(L84*0.1)+((6-M84)*0.08)+((6-N84)*0.08)+(O84*0.06)+(P84*0.14)+(G84*0.06),2))</f>
        <v/>
      </c>
      <c r="S84" s="6" t="str">
        <f t="shared" si="4"/>
        <v/>
      </c>
      <c r="T84" s="6" t="str">
        <f t="shared" si="5"/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6" t="str">
        <f>IF(A85="","",ROUND((G85*0.18)+(H85*0.15)+(I85*0.12)+(J85*0.08)+(K85*0.13)+(L85*0.1)+(M85*0.12)+(N85*0.12)-(O85*0.07)+(P85*0.1),2))</f>
        <v/>
      </c>
      <c r="R85" s="6" t="str">
        <f>IF(A85="","",ROUND((I85*0.16)+(J85*0.2)+(K85*0.12)+(L85*0.1)+((6-M85)*0.08)+((6-N85)*0.08)+(O85*0.06)+(P85*0.14)+(G85*0.06),2))</f>
        <v/>
      </c>
      <c r="S85" s="6" t="str">
        <f t="shared" si="4"/>
        <v/>
      </c>
      <c r="T85" s="6" t="str">
        <f t="shared" si="5"/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6" t="str">
        <f>IF(A86="","",ROUND((G86*0.18)+(H86*0.15)+(I86*0.12)+(J86*0.08)+(K86*0.13)+(L86*0.1)+(M86*0.12)+(N86*0.12)-(O86*0.07)+(P86*0.1),2))</f>
        <v/>
      </c>
      <c r="R86" s="6" t="str">
        <f>IF(A86="","",ROUND((I86*0.16)+(J86*0.2)+(K86*0.12)+(L86*0.1)+((6-M86)*0.08)+((6-N86)*0.08)+(O86*0.06)+(P86*0.14)+(G86*0.06),2))</f>
        <v/>
      </c>
      <c r="S86" s="6" t="str">
        <f t="shared" si="4"/>
        <v/>
      </c>
      <c r="T86" s="6" t="str">
        <f t="shared" si="5"/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6" t="str">
        <f>IF(A87="","",ROUND((G87*0.18)+(H87*0.15)+(I87*0.12)+(J87*0.08)+(K87*0.13)+(L87*0.1)+(M87*0.12)+(N87*0.12)-(O87*0.07)+(P87*0.1),2))</f>
        <v/>
      </c>
      <c r="R87" s="6" t="str">
        <f>IF(A87="","",ROUND((I87*0.16)+(J87*0.2)+(K87*0.12)+(L87*0.1)+((6-M87)*0.08)+((6-N87)*0.08)+(O87*0.06)+(P87*0.14)+(G87*0.06),2))</f>
        <v/>
      </c>
      <c r="S87" s="6" t="str">
        <f t="shared" si="4"/>
        <v/>
      </c>
      <c r="T87" s="6" t="str">
        <f t="shared" si="5"/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6" t="str">
        <f>IF(A88="","",ROUND((G88*0.18)+(H88*0.15)+(I88*0.12)+(J88*0.08)+(K88*0.13)+(L88*0.1)+(M88*0.12)+(N88*0.12)-(O88*0.07)+(P88*0.1),2))</f>
        <v/>
      </c>
      <c r="R88" s="6" t="str">
        <f>IF(A88="","",ROUND((I88*0.16)+(J88*0.2)+(K88*0.12)+(L88*0.1)+((6-M88)*0.08)+((6-N88)*0.08)+(O88*0.06)+(P88*0.14)+(G88*0.06),2))</f>
        <v/>
      </c>
      <c r="S88" s="6" t="str">
        <f t="shared" si="4"/>
        <v/>
      </c>
      <c r="T88" s="6" t="str">
        <f t="shared" si="5"/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6" t="str">
        <f>IF(A89="","",ROUND((G89*0.18)+(H89*0.15)+(I89*0.12)+(J89*0.08)+(K89*0.13)+(L89*0.1)+(M89*0.12)+(N89*0.12)-(O89*0.07)+(P89*0.1),2))</f>
        <v/>
      </c>
      <c r="R89" s="6" t="str">
        <f>IF(A89="","",ROUND((I89*0.16)+(J89*0.2)+(K89*0.12)+(L89*0.1)+((6-M89)*0.08)+((6-N89)*0.08)+(O89*0.06)+(P89*0.14)+(G89*0.06),2))</f>
        <v/>
      </c>
      <c r="S89" s="6" t="str">
        <f t="shared" si="4"/>
        <v/>
      </c>
      <c r="T89" s="6" t="str">
        <f t="shared" si="5"/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6" t="str">
        <f>IF(A90="","",ROUND((G90*0.18)+(H90*0.15)+(I90*0.12)+(J90*0.08)+(K90*0.13)+(L90*0.1)+(M90*0.12)+(N90*0.12)-(O90*0.07)+(P90*0.1),2))</f>
        <v/>
      </c>
      <c r="R90" s="6" t="str">
        <f>IF(A90="","",ROUND((I90*0.16)+(J90*0.2)+(K90*0.12)+(L90*0.1)+((6-M90)*0.08)+((6-N90)*0.08)+(O90*0.06)+(P90*0.14)+(G90*0.06),2))</f>
        <v/>
      </c>
      <c r="S90" s="6" t="str">
        <f t="shared" si="4"/>
        <v/>
      </c>
      <c r="T90" s="6" t="str">
        <f t="shared" si="5"/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6" t="str">
        <f>IF(A91="","",ROUND((G91*0.18)+(H91*0.15)+(I91*0.12)+(J91*0.08)+(K91*0.13)+(L91*0.1)+(M91*0.12)+(N91*0.12)-(O91*0.07)+(P91*0.1),2))</f>
        <v/>
      </c>
      <c r="R91" s="6" t="str">
        <f>IF(A91="","",ROUND((I91*0.16)+(J91*0.2)+(K91*0.12)+(L91*0.1)+((6-M91)*0.08)+((6-N91)*0.08)+(O91*0.06)+(P91*0.14)+(G91*0.06),2))</f>
        <v/>
      </c>
      <c r="S91" s="6" t="str">
        <f t="shared" si="4"/>
        <v/>
      </c>
      <c r="T91" s="6" t="str">
        <f t="shared" si="5"/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6" t="str">
        <f>IF(A92="","",ROUND((G92*0.18)+(H92*0.15)+(I92*0.12)+(J92*0.08)+(K92*0.13)+(L92*0.1)+(M92*0.12)+(N92*0.12)-(O92*0.07)+(P92*0.1),2))</f>
        <v/>
      </c>
      <c r="R92" s="6" t="str">
        <f>IF(A92="","",ROUND((I92*0.16)+(J92*0.2)+(K92*0.12)+(L92*0.1)+((6-M92)*0.08)+((6-N92)*0.08)+(O92*0.06)+(P92*0.14)+(G92*0.06),2))</f>
        <v/>
      </c>
      <c r="S92" s="6" t="str">
        <f t="shared" si="4"/>
        <v/>
      </c>
      <c r="T92" s="6" t="str">
        <f t="shared" si="5"/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6" t="str">
        <f>IF(A93="","",ROUND((G93*0.18)+(H93*0.15)+(I93*0.12)+(J93*0.08)+(K93*0.13)+(L93*0.1)+(M93*0.12)+(N93*0.12)-(O93*0.07)+(P93*0.1),2))</f>
        <v/>
      </c>
      <c r="R93" s="6" t="str">
        <f>IF(A93="","",ROUND((I93*0.16)+(J93*0.2)+(K93*0.12)+(L93*0.1)+((6-M93)*0.08)+((6-N93)*0.08)+(O93*0.06)+(P93*0.14)+(G93*0.06),2))</f>
        <v/>
      </c>
      <c r="S93" s="6" t="str">
        <f t="shared" si="4"/>
        <v/>
      </c>
      <c r="T93" s="6" t="str">
        <f t="shared" si="5"/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6" t="str">
        <f>IF(A94="","",ROUND((G94*0.18)+(H94*0.15)+(I94*0.12)+(J94*0.08)+(K94*0.13)+(L94*0.1)+(M94*0.12)+(N94*0.12)-(O94*0.07)+(P94*0.1),2))</f>
        <v/>
      </c>
      <c r="R94" s="6" t="str">
        <f>IF(A94="","",ROUND((I94*0.16)+(J94*0.2)+(K94*0.12)+(L94*0.1)+((6-M94)*0.08)+((6-N94)*0.08)+(O94*0.06)+(P94*0.14)+(G94*0.06),2))</f>
        <v/>
      </c>
      <c r="S94" s="6" t="str">
        <f t="shared" si="4"/>
        <v/>
      </c>
      <c r="T94" s="6" t="str">
        <f t="shared" si="5"/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6" t="str">
        <f>IF(A95="","",ROUND((G95*0.18)+(H95*0.15)+(I95*0.12)+(J95*0.08)+(K95*0.13)+(L95*0.1)+(M95*0.12)+(N95*0.12)-(O95*0.07)+(P95*0.1),2))</f>
        <v/>
      </c>
      <c r="R95" s="6" t="str">
        <f>IF(A95="","",ROUND((I95*0.16)+(J95*0.2)+(K95*0.12)+(L95*0.1)+((6-M95)*0.08)+((6-N95)*0.08)+(O95*0.06)+(P95*0.14)+(G95*0.06),2))</f>
        <v/>
      </c>
      <c r="S95" s="6" t="str">
        <f t="shared" si="4"/>
        <v/>
      </c>
      <c r="T95" s="6" t="str">
        <f t="shared" si="5"/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6" t="str">
        <f>IF(A96="","",ROUND((G96*0.18)+(H96*0.15)+(I96*0.12)+(J96*0.08)+(K96*0.13)+(L96*0.1)+(M96*0.12)+(N96*0.12)-(O96*0.07)+(P96*0.1),2))</f>
        <v/>
      </c>
      <c r="R96" s="6" t="str">
        <f>IF(A96="","",ROUND((I96*0.16)+(J96*0.2)+(K96*0.12)+(L96*0.1)+((6-M96)*0.08)+((6-N96)*0.08)+(O96*0.06)+(P96*0.14)+(G96*0.06),2))</f>
        <v/>
      </c>
      <c r="S96" s="6" t="str">
        <f t="shared" si="4"/>
        <v/>
      </c>
      <c r="T96" s="6" t="str">
        <f t="shared" si="5"/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6" t="str">
        <f>IF(A97="","",ROUND((G97*0.18)+(H97*0.15)+(I97*0.12)+(J97*0.08)+(K97*0.13)+(L97*0.1)+(M97*0.12)+(N97*0.12)-(O97*0.07)+(P97*0.1),2))</f>
        <v/>
      </c>
      <c r="R97" s="6" t="str">
        <f>IF(A97="","",ROUND((I97*0.16)+(J97*0.2)+(K97*0.12)+(L97*0.1)+((6-M97)*0.08)+((6-N97)*0.08)+(O97*0.06)+(P97*0.14)+(G97*0.06),2))</f>
        <v/>
      </c>
      <c r="S97" s="6" t="str">
        <f t="shared" si="4"/>
        <v/>
      </c>
      <c r="T97" s="6" t="str">
        <f t="shared" si="5"/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6" t="str">
        <f>IF(A98="","",ROUND((G98*0.18)+(H98*0.15)+(I98*0.12)+(J98*0.08)+(K98*0.13)+(L98*0.1)+(M98*0.12)+(N98*0.12)-(O98*0.07)+(P98*0.1),2))</f>
        <v/>
      </c>
      <c r="R98" s="6" t="str">
        <f>IF(A98="","",ROUND((I98*0.16)+(J98*0.2)+(K98*0.12)+(L98*0.1)+((6-M98)*0.08)+((6-N98)*0.08)+(O98*0.06)+(P98*0.14)+(G98*0.06),2))</f>
        <v/>
      </c>
      <c r="S98" s="6" t="str">
        <f t="shared" ref="S98:S129" si="6">IF(A98="","",IF(AND(G98&gt;=4,H98&gt;=4,K98&gt;=3,P98&gt;=4),"Первый релиз",IF(Q98&gt;=3.7,"Первый релиз",IF(R98&gt;=3.6,"Следующий релиз","Не включать / проверить"))))</f>
        <v/>
      </c>
      <c r="T98" s="6" t="str">
        <f t="shared" ref="T98:T129" si="7"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f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6" t="str">
        <f>IF(A99="","",ROUND((G99*0.18)+(H99*0.15)+(I99*0.12)+(J99*0.08)+(K99*0.13)+(L99*0.1)+(M99*0.12)+(N99*0.12)-(O99*0.07)+(P99*0.1),2))</f>
        <v/>
      </c>
      <c r="R99" s="6" t="str">
        <f>IF(A99="","",ROUND((I99*0.16)+(J99*0.2)+(K99*0.12)+(L99*0.1)+((6-M99)*0.08)+((6-N99)*0.08)+(O99*0.06)+(P99*0.14)+(G99*0.06),2))</f>
        <v/>
      </c>
      <c r="S99" s="6" t="str">
        <f t="shared" si="6"/>
        <v/>
      </c>
      <c r="T99" s="6" t="str">
        <f t="shared" si="7"/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6" t="str">
        <f>IF(A100="","",ROUND((G100*0.18)+(H100*0.15)+(I100*0.12)+(J100*0.08)+(K100*0.13)+(L100*0.1)+(M100*0.12)+(N100*0.12)-(O100*0.07)+(P100*0.1),2))</f>
        <v/>
      </c>
      <c r="R100" s="6" t="str">
        <f>IF(A100="","",ROUND((I100*0.16)+(J100*0.2)+(K100*0.12)+(L100*0.1)+((6-M100)*0.08)+((6-N100)*0.08)+(O100*0.06)+(P100*0.14)+(G100*0.06),2))</f>
        <v/>
      </c>
      <c r="S100" s="6" t="str">
        <f t="shared" si="6"/>
        <v/>
      </c>
      <c r="T100" s="6" t="str">
        <f t="shared" si="7"/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6" t="str">
        <f>IF(A101="","",ROUND((G101*0.18)+(H101*0.15)+(I101*0.12)+(J101*0.08)+(K101*0.13)+(L101*0.1)+(M101*0.12)+(N101*0.12)-(O101*0.07)+(P101*0.1),2))</f>
        <v/>
      </c>
      <c r="R101" s="6" t="str">
        <f>IF(A101="","",ROUND((I101*0.16)+(J101*0.2)+(K101*0.12)+(L101*0.1)+((6-M101)*0.08)+((6-N101)*0.08)+(O101*0.06)+(P101*0.14)+(G101*0.06),2))</f>
        <v/>
      </c>
      <c r="S101" s="6" t="str">
        <f t="shared" si="6"/>
        <v/>
      </c>
      <c r="T101" s="6" t="str">
        <f t="shared" si="7"/>
        <v/>
      </c>
      <c r="U101" s="2"/>
    </row>
  </sheetData>
  <conditionalFormatting sqref="Q2:Q1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1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whole" sqref="G2:P101" xr:uid="{00000000-0002-0000-02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1000000}">
          <x14:formula1>
            <xm:f>Справочники!$C$2:$C$9</xm:f>
          </x14:formula1>
          <xm:sqref>B2:B101</xm:sqref>
        </x14:dataValidation>
        <x14:dataValidation type="list" xr:uid="{00000000-0002-0000-0200-000002000000}">
          <x14:formula1>
            <xm:f>Справочники!$D$2:$D$10</xm:f>
          </x14:formula1>
          <xm:sqref>F2:F101</xm:sqref>
        </x14:dataValidation>
        <x14:dataValidation type="list" xr:uid="{00000000-0002-0000-0200-000003000000}">
          <x14:formula1>
            <xm:f>Справочники!$E$2:$E$4</xm:f>
          </x14:formula1>
          <xm:sqref>S2:S101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4.25"/>
  <cols>
    <col min="1" max="1" width="24" customWidth="1"/>
    <col min="2" max="2" width="18" customWidth="1"/>
    <col min="3" max="4" width="22" customWidth="1"/>
    <col min="5" max="6" width="24" customWidth="1"/>
    <col min="7" max="7" width="20" customWidth="1"/>
    <col min="8" max="8" width="18" customWidth="1"/>
    <col min="9" max="9" width="22" customWidth="1"/>
    <col min="10" max="10" width="42" customWidth="1"/>
  </cols>
  <sheetData>
    <row r="1" spans="1:10" ht="32.1" customHeight="1">
      <c r="A1" s="9" t="s">
        <v>86</v>
      </c>
      <c r="B1" s="9"/>
      <c r="C1" s="9"/>
      <c r="D1" s="9"/>
      <c r="E1" s="9"/>
      <c r="F1" s="9"/>
      <c r="G1" s="9"/>
      <c r="H1" s="9"/>
      <c r="I1" s="9"/>
      <c r="J1" s="9"/>
    </row>
    <row r="3" spans="1:10" ht="36" customHeight="1">
      <c r="A3" s="3" t="s">
        <v>87</v>
      </c>
      <c r="B3" s="3" t="s">
        <v>88</v>
      </c>
      <c r="C3" s="3" t="s">
        <v>89</v>
      </c>
      <c r="D3" s="3" t="s">
        <v>90</v>
      </c>
      <c r="E3" s="3" t="s">
        <v>91</v>
      </c>
      <c r="F3" s="3" t="s">
        <v>92</v>
      </c>
      <c r="G3" s="3" t="s">
        <v>93</v>
      </c>
      <c r="H3" s="3" t="s">
        <v>94</v>
      </c>
      <c r="I3" s="3" t="s">
        <v>95</v>
      </c>
      <c r="J3" s="3" t="s">
        <v>96</v>
      </c>
    </row>
    <row r="4" spans="1:10" ht="15">
      <c r="A4" s="1" t="s">
        <v>97</v>
      </c>
      <c r="B4" s="7">
        <f>COUNTIF(Реестр_единиц!$S$2:$S$101,A4)</f>
        <v>16</v>
      </c>
      <c r="C4" s="7">
        <f>IFERROR(AVERAGEIF(Реестр_единиц!$S$2:$S$101,A4,Реестр_единиц!$Q$2:$Q$101),0)</f>
        <v>4.1243750000000006</v>
      </c>
      <c r="D4" s="7">
        <f>IFERROR(AVERAGEIF(Реестр_единиц!$S$2:$S$101,A4,Реестр_единиц!$K$2:$K$101),0)</f>
        <v>4.375</v>
      </c>
      <c r="E4" s="7">
        <f>IFERROR(AVERAGEIF(Реестр_единиц!$S$2:$S$101,A4,Реестр_единиц!$G$2:$G$101),0)</f>
        <v>4.25</v>
      </c>
      <c r="F4" s="7">
        <f>IFERROR(AVERAGEIF(Реестр_единиц!$S$2:$S$101,A4,Реестр_единиц!$H$2:$H$101),0)</f>
        <v>3.5</v>
      </c>
      <c r="G4" s="7">
        <f>IFERROR(AVERAGEIF(Реестр_единиц!$S$2:$S$101,A4,Реестр_единиц!$I$2:$I$101),0)</f>
        <v>3.6875</v>
      </c>
      <c r="H4" s="7">
        <f>IFERROR(AVERAGEIF(Реестр_единиц!$S$2:$S$101,A4,Реестр_единиц!$J$2:$J$101),0)</f>
        <v>3</v>
      </c>
      <c r="I4" s="7">
        <f>IFERROR(AVERAGEIF(Реестр_единиц!$S$2:$S$101,A4,Реестр_единиц!$O$2:$O$101),0)</f>
        <v>1.9375</v>
      </c>
      <c r="J4" s="6" t="str">
        <f>IF(B4=0,"Нет выбранных единиц",IF(AND(E4&gt;=4,D4&gt;=3.5),"Состав достаточно обоснован","Требуется дополнительная проверка"))</f>
        <v>Состав достаточно обоснован</v>
      </c>
    </row>
    <row r="5" spans="1:10" ht="15">
      <c r="A5" s="1" t="s">
        <v>98</v>
      </c>
      <c r="B5" s="7">
        <f>COUNTIF(Реестр_единиц!$S$2:$S$101,A5)</f>
        <v>1</v>
      </c>
      <c r="C5" s="7">
        <f>IFERROR(AVERAGEIF(Реестр_единиц!$S$2:$S$101,A5,Реестр_единиц!$Q$2:$Q$101),0)</f>
        <v>2.8</v>
      </c>
      <c r="D5" s="7">
        <f>IFERROR(AVERAGEIF(Реестр_единиц!$S$2:$S$101,A5,Реестр_единиц!$K$2:$K$101),0)</f>
        <v>3</v>
      </c>
      <c r="E5" s="7">
        <f>IFERROR(AVERAGEIF(Реестр_единиц!$S$2:$S$101,A5,Реестр_единиц!$G$2:$G$101),0)</f>
        <v>4</v>
      </c>
      <c r="F5" s="7">
        <f>IFERROR(AVERAGEIF(Реестр_единиц!$S$2:$S$101,A5,Реестр_единиц!$H$2:$H$101),0)</f>
        <v>3</v>
      </c>
      <c r="G5" s="7">
        <f>IFERROR(AVERAGEIF(Реестр_единиц!$S$2:$S$101,A5,Реестр_единиц!$I$2:$I$101),0)</f>
        <v>3</v>
      </c>
      <c r="H5" s="7">
        <f>IFERROR(AVERAGEIF(Реестр_единиц!$S$2:$S$101,A5,Реестр_единиц!$J$2:$J$101),0)</f>
        <v>4</v>
      </c>
      <c r="I5" s="7">
        <f>IFERROR(AVERAGEIF(Реестр_единиц!$S$2:$S$101,A5,Реестр_единиц!$O$2:$O$101),0)</f>
        <v>4</v>
      </c>
      <c r="J5" s="6" t="str">
        <f>IF(B5=0,"Нет выбранных единиц",IF(AND(E5&gt;=4,D5&gt;=3.5),"Состав достаточно обоснован","Требуется дополнительная проверка"))</f>
        <v>Требуется дополнительная проверка</v>
      </c>
    </row>
    <row r="6" spans="1:10" ht="30">
      <c r="A6" s="1" t="s">
        <v>99</v>
      </c>
      <c r="B6" s="7">
        <f>COUNTIF(Реестр_единиц!$S$2:$S$101,A6)</f>
        <v>21</v>
      </c>
      <c r="C6" s="7">
        <f>IFERROR(AVERAGEIF(Реестр_единиц!$S$2:$S$101,A6,Реестр_единиц!$Q$2:$Q$101),0)</f>
        <v>2.7333333333333334</v>
      </c>
      <c r="D6" s="7">
        <f>IFERROR(AVERAGEIF(Реестр_единиц!$S$2:$S$101,A6,Реестр_единиц!$K$2:$K$101),0)</f>
        <v>2.9047619047619047</v>
      </c>
      <c r="E6" s="7">
        <f>IFERROR(AVERAGEIF(Реестр_единиц!$S$2:$S$101,A6,Реестр_единиц!$G$2:$G$101),0)</f>
        <v>2.9523809523809526</v>
      </c>
      <c r="F6" s="7">
        <f>IFERROR(AVERAGEIF(Реестр_единиц!$S$2:$S$101,A6,Реестр_единиц!$H$2:$H$101),0)</f>
        <v>2.1428571428571428</v>
      </c>
      <c r="G6" s="7">
        <f>IFERROR(AVERAGEIF(Реестр_единиц!$S$2:$S$101,A6,Реестр_единиц!$I$2:$I$101),0)</f>
        <v>2.8095238095238093</v>
      </c>
      <c r="H6" s="7">
        <f>IFERROR(AVERAGEIF(Реестр_единиц!$S$2:$S$101,A6,Реестр_единиц!$J$2:$J$101),0)</f>
        <v>2.9523809523809526</v>
      </c>
      <c r="I6" s="7">
        <f>IFERROR(AVERAGEIF(Реестр_единиц!$S$2:$S$101,A6,Реестр_единиц!$O$2:$O$101),0)</f>
        <v>2.7619047619047619</v>
      </c>
      <c r="J6" s="6" t="str">
        <f>IF(B6=0,"Нет выбранных единиц",IF(AND(E6&gt;=4,D6&gt;=3.5),"Состав достаточно обоснован","Требуется дополнительная проверка"))</f>
        <v>Требуется дополнительная проверка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RowHeight="14.25"/>
  <cols>
    <col min="1" max="1" width="12" customWidth="1"/>
    <col min="2" max="2" width="32" customWidth="1"/>
    <col min="3" max="3" width="48" customWidth="1"/>
    <col min="4" max="6" width="42" customWidth="1"/>
    <col min="7" max="7" width="30" customWidth="1"/>
    <col min="8" max="8" width="20" customWidth="1"/>
  </cols>
  <sheetData>
    <row r="1" spans="1:8" ht="32.1" customHeight="1">
      <c r="A1" s="9" t="s">
        <v>100</v>
      </c>
      <c r="B1" s="9"/>
      <c r="C1" s="9"/>
      <c r="D1" s="9"/>
      <c r="E1" s="9"/>
      <c r="F1" s="9"/>
      <c r="G1" s="9"/>
      <c r="H1" s="9"/>
    </row>
    <row r="3" spans="1:8" ht="36" customHeight="1">
      <c r="A3" s="3" t="s">
        <v>51</v>
      </c>
      <c r="B3" s="3" t="s">
        <v>101</v>
      </c>
      <c r="C3" s="3" t="s">
        <v>102</v>
      </c>
      <c r="D3" s="3" t="s">
        <v>103</v>
      </c>
      <c r="E3" s="3" t="s">
        <v>104</v>
      </c>
      <c r="F3" s="3" t="s">
        <v>105</v>
      </c>
      <c r="G3" s="3" t="s">
        <v>106</v>
      </c>
      <c r="H3" s="3" t="s">
        <v>107</v>
      </c>
    </row>
    <row r="4" spans="1:8" ht="42.75">
      <c r="A4" s="2" t="s">
        <v>108</v>
      </c>
      <c r="B4" s="2" t="s">
        <v>418</v>
      </c>
      <c r="C4" s="2" t="s">
        <v>419</v>
      </c>
      <c r="D4" s="2" t="s">
        <v>420</v>
      </c>
      <c r="E4" s="2" t="s">
        <v>421</v>
      </c>
      <c r="F4" s="2" t="s">
        <v>422</v>
      </c>
      <c r="G4" s="2" t="s">
        <v>423</v>
      </c>
      <c r="H4" s="2" t="s">
        <v>424</v>
      </c>
    </row>
    <row r="5" spans="1:8" ht="28.5">
      <c r="A5" s="2" t="s">
        <v>109</v>
      </c>
      <c r="B5" s="2" t="s">
        <v>425</v>
      </c>
      <c r="C5" s="2" t="s">
        <v>426</v>
      </c>
      <c r="D5" s="2" t="s">
        <v>427</v>
      </c>
      <c r="E5" s="2" t="s">
        <v>428</v>
      </c>
      <c r="F5" s="2" t="s">
        <v>429</v>
      </c>
      <c r="G5" s="2" t="s">
        <v>430</v>
      </c>
      <c r="H5" s="2" t="s">
        <v>431</v>
      </c>
    </row>
    <row r="6" spans="1:8" ht="42.75">
      <c r="A6" s="2" t="s">
        <v>110</v>
      </c>
      <c r="B6" s="2" t="s">
        <v>432</v>
      </c>
      <c r="C6" s="2" t="s">
        <v>433</v>
      </c>
      <c r="D6" s="2" t="s">
        <v>434</v>
      </c>
      <c r="E6" s="2" t="s">
        <v>435</v>
      </c>
      <c r="F6" s="2" t="s">
        <v>436</v>
      </c>
      <c r="G6" s="2" t="s">
        <v>437</v>
      </c>
      <c r="H6" s="2" t="s">
        <v>431</v>
      </c>
    </row>
    <row r="7" spans="1:8" ht="42.75">
      <c r="A7" s="2" t="s">
        <v>438</v>
      </c>
      <c r="B7" s="2" t="s">
        <v>439</v>
      </c>
      <c r="C7" s="2" t="s">
        <v>440</v>
      </c>
      <c r="D7" s="2" t="s">
        <v>441</v>
      </c>
      <c r="E7" s="2" t="s">
        <v>442</v>
      </c>
      <c r="F7" s="2" t="s">
        <v>443</v>
      </c>
      <c r="G7" s="2" t="s">
        <v>444</v>
      </c>
      <c r="H7" s="2" t="s">
        <v>431</v>
      </c>
    </row>
    <row r="8" spans="1:8" ht="42.75">
      <c r="A8" s="2" t="s">
        <v>445</v>
      </c>
      <c r="B8" s="2" t="s">
        <v>446</v>
      </c>
      <c r="C8" s="2" t="s">
        <v>447</v>
      </c>
      <c r="D8" s="2" t="s">
        <v>448</v>
      </c>
      <c r="E8" s="2" t="s">
        <v>449</v>
      </c>
      <c r="F8" s="2" t="s">
        <v>450</v>
      </c>
      <c r="G8" s="2" t="s">
        <v>451</v>
      </c>
      <c r="H8" s="2" t="s">
        <v>431</v>
      </c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"/>
  <sheetViews>
    <sheetView workbookViewId="0"/>
  </sheetViews>
  <sheetFormatPr defaultRowHeight="14.25"/>
  <cols>
    <col min="1" max="1" width="12" customWidth="1"/>
    <col min="2" max="2" width="15" customWidth="1"/>
    <col min="3" max="3" width="30" customWidth="1"/>
    <col min="4" max="4" width="42" customWidth="1"/>
    <col min="5" max="6" width="40" customWidth="1"/>
    <col min="7" max="7" width="28" customWidth="1"/>
    <col min="8" max="8" width="32" customWidth="1"/>
    <col min="9" max="9" width="38" customWidth="1"/>
  </cols>
  <sheetData>
    <row r="1" spans="1:9" ht="32.1" customHeight="1">
      <c r="A1" s="9" t="s">
        <v>111</v>
      </c>
      <c r="B1" s="9"/>
      <c r="C1" s="9"/>
      <c r="D1" s="9"/>
      <c r="E1" s="9"/>
      <c r="F1" s="9"/>
      <c r="G1" s="9"/>
      <c r="H1" s="9"/>
      <c r="I1" s="9"/>
    </row>
    <row r="3" spans="1:9" ht="36" customHeight="1">
      <c r="A3" s="3" t="s">
        <v>51</v>
      </c>
      <c r="B3" s="3" t="s">
        <v>87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116</v>
      </c>
      <c r="H3" s="3" t="s">
        <v>117</v>
      </c>
      <c r="I3" s="3" t="s">
        <v>118</v>
      </c>
    </row>
    <row r="4" spans="1:9">
      <c r="A4" s="2" t="s">
        <v>119</v>
      </c>
      <c r="B4" s="2" t="s">
        <v>120</v>
      </c>
      <c r="C4" s="2" t="s">
        <v>452</v>
      </c>
      <c r="D4" s="2" t="s">
        <v>453</v>
      </c>
      <c r="E4" s="2" t="s">
        <v>454</v>
      </c>
      <c r="F4" s="2" t="s">
        <v>455</v>
      </c>
      <c r="G4" s="2" t="s">
        <v>456</v>
      </c>
      <c r="H4" s="2" t="s">
        <v>457</v>
      </c>
      <c r="I4" s="2"/>
    </row>
    <row r="5" spans="1:9" ht="57">
      <c r="A5" s="2" t="s">
        <v>121</v>
      </c>
      <c r="B5" s="2" t="s">
        <v>120</v>
      </c>
      <c r="C5" s="2" t="s">
        <v>458</v>
      </c>
      <c r="D5" s="2" t="s">
        <v>459</v>
      </c>
      <c r="E5" s="2" t="s">
        <v>460</v>
      </c>
      <c r="F5" s="2" t="s">
        <v>461</v>
      </c>
      <c r="G5" s="2" t="s">
        <v>462</v>
      </c>
      <c r="H5" s="2" t="s">
        <v>308</v>
      </c>
      <c r="I5" s="2"/>
    </row>
    <row r="6" spans="1:9" ht="42.75">
      <c r="A6" s="2" t="s">
        <v>122</v>
      </c>
      <c r="B6" s="2" t="s">
        <v>120</v>
      </c>
      <c r="C6" s="2" t="s">
        <v>463</v>
      </c>
      <c r="D6" s="2" t="s">
        <v>464</v>
      </c>
      <c r="E6" s="2" t="s">
        <v>465</v>
      </c>
      <c r="F6" s="2" t="s">
        <v>149</v>
      </c>
      <c r="G6" s="2" t="s">
        <v>204</v>
      </c>
      <c r="H6" s="2" t="s">
        <v>332</v>
      </c>
      <c r="I6" s="2"/>
    </row>
    <row r="7" spans="1:9" ht="42.75">
      <c r="A7" s="2" t="s">
        <v>466</v>
      </c>
      <c r="B7" s="2" t="s">
        <v>123</v>
      </c>
      <c r="C7" s="2" t="s">
        <v>467</v>
      </c>
      <c r="D7" s="2" t="s">
        <v>468</v>
      </c>
      <c r="E7" s="2" t="s">
        <v>469</v>
      </c>
      <c r="F7" s="2" t="s">
        <v>207</v>
      </c>
      <c r="G7" s="2" t="s">
        <v>470</v>
      </c>
      <c r="H7" s="2" t="s">
        <v>471</v>
      </c>
      <c r="I7" s="2"/>
    </row>
    <row r="8" spans="1:9" ht="28.5">
      <c r="A8" s="2" t="s">
        <v>472</v>
      </c>
      <c r="B8" s="2" t="s">
        <v>123</v>
      </c>
      <c r="C8" s="2" t="s">
        <v>473</v>
      </c>
      <c r="D8" s="2" t="s">
        <v>474</v>
      </c>
      <c r="E8" s="2" t="s">
        <v>475</v>
      </c>
      <c r="F8" s="2" t="s">
        <v>476</v>
      </c>
      <c r="G8" s="2" t="s">
        <v>477</v>
      </c>
      <c r="H8" s="2" t="s">
        <v>478</v>
      </c>
      <c r="I8" s="2"/>
    </row>
    <row r="9" spans="1:9" ht="42.75">
      <c r="A9" s="2" t="s">
        <v>479</v>
      </c>
      <c r="B9" s="2" t="s">
        <v>480</v>
      </c>
      <c r="C9" s="2" t="s">
        <v>481</v>
      </c>
      <c r="D9" s="2" t="s">
        <v>482</v>
      </c>
      <c r="E9" s="2" t="s">
        <v>483</v>
      </c>
      <c r="F9" s="2" t="s">
        <v>484</v>
      </c>
      <c r="G9" s="2" t="s">
        <v>485</v>
      </c>
      <c r="H9" s="2" t="s">
        <v>486</v>
      </c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</sheetData>
  <mergeCells count="1">
    <mergeCell ref="A1:I1"/>
  </mergeCells>
  <dataValidations count="1">
    <dataValidation type="list" sqref="B4:B60" xr:uid="{00000000-0002-0000-0500-000000000000}">
      <formula1>"Релиз 2,Релиз 3,Релиз 4,Бэклог"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workbookViewId="0"/>
  </sheetViews>
  <sheetFormatPr defaultRowHeight="14.25"/>
  <cols>
    <col min="1" max="1" width="18" customWidth="1"/>
    <col min="2" max="2" width="42" customWidth="1"/>
    <col min="3" max="3" width="48" customWidth="1"/>
    <col min="4" max="4" width="44" customWidth="1"/>
    <col min="5" max="5" width="32" customWidth="1"/>
    <col min="6" max="6" width="48" customWidth="1"/>
    <col min="7" max="8" width="32" customWidth="1"/>
    <col min="9" max="9" width="34" customWidth="1"/>
    <col min="10" max="11" width="15" customWidth="1"/>
  </cols>
  <sheetData>
    <row r="1" spans="1:11" ht="32.1" customHeight="1">
      <c r="A1" s="9" t="s">
        <v>124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36" customHeight="1">
      <c r="A3" s="3" t="s">
        <v>87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  <c r="I3" s="3" t="s">
        <v>132</v>
      </c>
      <c r="J3" s="3" t="s">
        <v>133</v>
      </c>
      <c r="K3" s="3" t="s">
        <v>134</v>
      </c>
    </row>
    <row r="4" spans="1:11" ht="42.75">
      <c r="A4" s="2" t="s">
        <v>487</v>
      </c>
      <c r="B4" s="2" t="s">
        <v>488</v>
      </c>
      <c r="C4" s="2" t="s">
        <v>489</v>
      </c>
      <c r="D4" s="2" t="s">
        <v>490</v>
      </c>
      <c r="E4" s="2" t="s">
        <v>491</v>
      </c>
      <c r="F4" s="2" t="s">
        <v>492</v>
      </c>
      <c r="G4" s="2" t="s">
        <v>493</v>
      </c>
      <c r="H4" s="2" t="s">
        <v>494</v>
      </c>
      <c r="I4" s="2" t="s">
        <v>495</v>
      </c>
      <c r="J4" s="8">
        <v>46286</v>
      </c>
      <c r="K4" s="8">
        <v>46299</v>
      </c>
    </row>
    <row r="5" spans="1:11" ht="42.75">
      <c r="A5" s="2" t="s">
        <v>496</v>
      </c>
      <c r="B5" s="2" t="s">
        <v>497</v>
      </c>
      <c r="C5" s="2" t="s">
        <v>498</v>
      </c>
      <c r="D5" s="2" t="s">
        <v>499</v>
      </c>
      <c r="E5" s="2" t="s">
        <v>500</v>
      </c>
      <c r="F5" s="2" t="s">
        <v>501</v>
      </c>
      <c r="G5" s="2" t="s">
        <v>502</v>
      </c>
      <c r="H5" s="2" t="s">
        <v>503</v>
      </c>
      <c r="I5" s="2" t="s">
        <v>504</v>
      </c>
      <c r="J5" s="8">
        <v>46293</v>
      </c>
      <c r="K5" s="8">
        <v>46362</v>
      </c>
    </row>
    <row r="6" spans="1:11" ht="28.5">
      <c r="A6" s="2" t="s">
        <v>120</v>
      </c>
      <c r="B6" s="2" t="s">
        <v>505</v>
      </c>
      <c r="C6" s="2" t="s">
        <v>506</v>
      </c>
      <c r="D6" s="2" t="s">
        <v>507</v>
      </c>
      <c r="E6" s="2" t="s">
        <v>508</v>
      </c>
      <c r="F6" s="2" t="s">
        <v>509</v>
      </c>
      <c r="G6" s="2" t="s">
        <v>510</v>
      </c>
      <c r="H6" s="2" t="s">
        <v>511</v>
      </c>
      <c r="I6" s="2" t="s">
        <v>512</v>
      </c>
      <c r="J6" s="8">
        <v>46398</v>
      </c>
      <c r="K6" s="8">
        <v>46446</v>
      </c>
    </row>
    <row r="7" spans="1:11" ht="28.5">
      <c r="A7" s="2" t="s">
        <v>123</v>
      </c>
      <c r="B7" s="2" t="s">
        <v>207</v>
      </c>
      <c r="C7" s="2" t="s">
        <v>513</v>
      </c>
      <c r="D7" s="2" t="s">
        <v>514</v>
      </c>
      <c r="E7" s="2" t="s">
        <v>515</v>
      </c>
      <c r="F7" s="2" t="s">
        <v>516</v>
      </c>
      <c r="G7" s="2" t="s">
        <v>517</v>
      </c>
      <c r="H7" s="2" t="s">
        <v>518</v>
      </c>
      <c r="I7" s="2" t="s">
        <v>519</v>
      </c>
      <c r="J7" s="8">
        <v>46447</v>
      </c>
      <c r="K7" s="8">
        <v>46538</v>
      </c>
    </row>
    <row r="8" spans="1:11">
      <c r="A8" s="2" t="s">
        <v>480</v>
      </c>
      <c r="B8" s="2" t="s">
        <v>484</v>
      </c>
      <c r="C8" s="2" t="s">
        <v>520</v>
      </c>
      <c r="D8" s="2" t="s">
        <v>521</v>
      </c>
      <c r="E8" s="2" t="s">
        <v>522</v>
      </c>
      <c r="F8" s="2" t="s">
        <v>523</v>
      </c>
      <c r="G8" s="2" t="s">
        <v>524</v>
      </c>
      <c r="H8" s="2" t="s">
        <v>525</v>
      </c>
      <c r="I8" s="2" t="s">
        <v>526</v>
      </c>
      <c r="J8" s="8">
        <v>46539</v>
      </c>
      <c r="K8" s="8">
        <v>46660</v>
      </c>
    </row>
    <row r="9" spans="1:11">
      <c r="A9" s="2"/>
      <c r="B9" s="2"/>
      <c r="C9" s="2"/>
      <c r="D9" s="2"/>
      <c r="E9" s="2"/>
      <c r="F9" s="2"/>
      <c r="G9" s="2"/>
      <c r="H9" s="2"/>
      <c r="I9" s="2"/>
      <c r="J9" s="8"/>
      <c r="K9" s="8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8"/>
      <c r="K10" s="8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8"/>
      <c r="K11" s="8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8"/>
      <c r="K12" s="8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8"/>
      <c r="K13" s="8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8"/>
      <c r="K14" s="8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8"/>
      <c r="K15" s="8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8"/>
      <c r="K16" s="8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8"/>
      <c r="K17" s="8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8"/>
      <c r="K18" s="8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8"/>
      <c r="K19" s="8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8"/>
      <c r="K20" s="8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8"/>
      <c r="K21" s="8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8"/>
      <c r="K22" s="8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8"/>
      <c r="K23" s="8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8"/>
      <c r="K24" s="8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8"/>
      <c r="K25" s="8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8"/>
      <c r="K26" s="8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8"/>
      <c r="K27" s="8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8"/>
      <c r="K28" s="8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8"/>
      <c r="K29" s="8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8"/>
      <c r="K30" s="8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0"/>
  <sheetViews>
    <sheetView workbookViewId="0"/>
  </sheetViews>
  <sheetFormatPr defaultRowHeight="14.25"/>
  <cols>
    <col min="1" max="1" width="18" customWidth="1"/>
    <col min="2" max="2" width="54" customWidth="1"/>
    <col min="3" max="3" width="14" customWidth="1"/>
    <col min="4" max="4" width="36" customWidth="1"/>
    <col min="5" max="5" width="42" customWidth="1"/>
    <col min="6" max="6" width="34" customWidth="1"/>
    <col min="7" max="7" width="38" customWidth="1"/>
    <col min="8" max="8" width="22" customWidth="1"/>
    <col min="9" max="9" width="18" customWidth="1"/>
  </cols>
  <sheetData>
    <row r="1" spans="1:9" ht="32.1" customHeight="1">
      <c r="A1" s="9" t="s">
        <v>135</v>
      </c>
      <c r="B1" s="9"/>
      <c r="C1" s="9"/>
      <c r="D1" s="9"/>
      <c r="E1" s="9"/>
      <c r="F1" s="9"/>
      <c r="G1" s="9"/>
      <c r="H1" s="9"/>
      <c r="I1" s="9"/>
    </row>
    <row r="3" spans="1:9" ht="36" customHeight="1">
      <c r="A3" s="3" t="s">
        <v>136</v>
      </c>
      <c r="B3" s="3" t="s">
        <v>137</v>
      </c>
      <c r="C3" s="3" t="s">
        <v>138</v>
      </c>
      <c r="D3" s="3" t="s">
        <v>32</v>
      </c>
      <c r="E3" s="3" t="s">
        <v>139</v>
      </c>
      <c r="F3" s="3" t="s">
        <v>70</v>
      </c>
      <c r="G3" s="3" t="s">
        <v>140</v>
      </c>
      <c r="H3" s="3" t="s">
        <v>107</v>
      </c>
      <c r="I3" s="3" t="s">
        <v>141</v>
      </c>
    </row>
    <row r="4" spans="1:9" ht="28.5">
      <c r="A4" s="2" t="s">
        <v>142</v>
      </c>
      <c r="B4" s="2" t="s">
        <v>527</v>
      </c>
      <c r="C4" s="2">
        <v>5</v>
      </c>
      <c r="D4" s="2" t="s">
        <v>528</v>
      </c>
      <c r="E4" s="2" t="s">
        <v>529</v>
      </c>
      <c r="F4" s="2" t="s">
        <v>143</v>
      </c>
      <c r="G4" s="2"/>
      <c r="H4" s="2" t="s">
        <v>431</v>
      </c>
      <c r="I4" s="2" t="s">
        <v>144</v>
      </c>
    </row>
    <row r="5" spans="1:9">
      <c r="A5" s="2" t="s">
        <v>145</v>
      </c>
      <c r="B5" s="2" t="s">
        <v>530</v>
      </c>
      <c r="C5" s="2">
        <v>4</v>
      </c>
      <c r="D5" s="2" t="s">
        <v>531</v>
      </c>
      <c r="E5" s="2" t="s">
        <v>532</v>
      </c>
      <c r="F5" s="2" t="s">
        <v>533</v>
      </c>
      <c r="G5" s="2" t="s">
        <v>534</v>
      </c>
      <c r="H5" s="2" t="s">
        <v>431</v>
      </c>
      <c r="I5" s="2" t="s">
        <v>146</v>
      </c>
    </row>
    <row r="6" spans="1:9" ht="28.5">
      <c r="A6" s="2" t="s">
        <v>147</v>
      </c>
      <c r="B6" s="2" t="s">
        <v>535</v>
      </c>
      <c r="C6" s="2">
        <v>4</v>
      </c>
      <c r="D6" s="2" t="s">
        <v>536</v>
      </c>
      <c r="E6" s="2" t="s">
        <v>148</v>
      </c>
      <c r="F6" s="2" t="s">
        <v>537</v>
      </c>
      <c r="G6" s="2"/>
      <c r="H6" s="2" t="s">
        <v>431</v>
      </c>
      <c r="I6" s="2" t="s">
        <v>144</v>
      </c>
    </row>
    <row r="7" spans="1:9" ht="28.5">
      <c r="A7" s="2" t="s">
        <v>149</v>
      </c>
      <c r="B7" s="2" t="s">
        <v>538</v>
      </c>
      <c r="C7" s="2">
        <v>4</v>
      </c>
      <c r="D7" s="2" t="s">
        <v>539</v>
      </c>
      <c r="E7" s="2" t="s">
        <v>540</v>
      </c>
      <c r="F7" s="2" t="s">
        <v>541</v>
      </c>
      <c r="G7" s="2" t="s">
        <v>542</v>
      </c>
      <c r="H7" s="2" t="s">
        <v>431</v>
      </c>
      <c r="I7" s="2" t="s">
        <v>144</v>
      </c>
    </row>
    <row r="8" spans="1:9">
      <c r="A8" s="2" t="s">
        <v>150</v>
      </c>
      <c r="B8" s="2" t="s">
        <v>543</v>
      </c>
      <c r="C8" s="2">
        <v>4</v>
      </c>
      <c r="D8" s="2" t="s">
        <v>544</v>
      </c>
      <c r="E8" s="2" t="s">
        <v>545</v>
      </c>
      <c r="F8" s="2" t="s">
        <v>151</v>
      </c>
      <c r="G8" s="2"/>
      <c r="H8" s="2" t="s">
        <v>431</v>
      </c>
      <c r="I8" s="2" t="s">
        <v>144</v>
      </c>
    </row>
    <row r="9" spans="1:9" ht="28.5">
      <c r="A9" s="2" t="s">
        <v>152</v>
      </c>
      <c r="B9" s="2" t="s">
        <v>546</v>
      </c>
      <c r="C9" s="2">
        <v>4</v>
      </c>
      <c r="D9" s="2" t="s">
        <v>547</v>
      </c>
      <c r="E9" s="2" t="s">
        <v>153</v>
      </c>
      <c r="F9" s="2" t="s">
        <v>548</v>
      </c>
      <c r="G9" s="2"/>
      <c r="H9" s="2" t="s">
        <v>431</v>
      </c>
      <c r="I9" s="2" t="s">
        <v>144</v>
      </c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</sheetData>
  <mergeCells count="1">
    <mergeCell ref="A1:I1"/>
  </mergeCells>
  <conditionalFormatting sqref="C4:C8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whole" sqref="C4:C80" xr:uid="{00000000-0002-0000-0700-000000000000}">
      <formula1>1</formula1>
      <formula2>5</formula2>
    </dataValidation>
    <dataValidation type="list" sqref="I4:I80" xr:uid="{00000000-0002-0000-0700-000001000000}">
      <formula1>"Не начато,В работе,Готово,Требует решения"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"/>
  <sheetViews>
    <sheetView workbookViewId="0"/>
  </sheetViews>
  <sheetFormatPr defaultRowHeight="14.25"/>
  <cols>
    <col min="1" max="1" width="10" customWidth="1"/>
    <col min="2" max="2" width="32" customWidth="1"/>
    <col min="3" max="3" width="44" customWidth="1"/>
    <col min="4" max="4" width="18" customWidth="1"/>
    <col min="5" max="5" width="14" customWidth="1"/>
    <col min="6" max="6" width="12" customWidth="1"/>
    <col min="7" max="7" width="14" customWidth="1"/>
    <col min="8" max="8" width="42" customWidth="1"/>
    <col min="9" max="9" width="18" customWidth="1"/>
    <col min="10" max="10" width="22" customWidth="1"/>
  </cols>
  <sheetData>
    <row r="1" spans="1:10" ht="32.1" customHeight="1">
      <c r="A1" s="9" t="s">
        <v>154</v>
      </c>
      <c r="B1" s="9"/>
      <c r="C1" s="9"/>
      <c r="D1" s="9"/>
      <c r="E1" s="9"/>
      <c r="F1" s="9"/>
      <c r="G1" s="9"/>
      <c r="H1" s="9"/>
      <c r="I1" s="9"/>
      <c r="J1" s="9"/>
    </row>
    <row r="3" spans="1:10" ht="36" customHeight="1">
      <c r="A3" s="3" t="s">
        <v>51</v>
      </c>
      <c r="B3" s="3" t="s">
        <v>155</v>
      </c>
      <c r="C3" s="3" t="s">
        <v>156</v>
      </c>
      <c r="D3" s="3" t="s">
        <v>157</v>
      </c>
      <c r="E3" s="3" t="s">
        <v>158</v>
      </c>
      <c r="F3" s="3" t="s">
        <v>159</v>
      </c>
      <c r="G3" s="3" t="s">
        <v>160</v>
      </c>
      <c r="H3" s="3" t="s">
        <v>161</v>
      </c>
      <c r="I3" s="3" t="s">
        <v>162</v>
      </c>
      <c r="J3" s="3" t="s">
        <v>107</v>
      </c>
    </row>
    <row r="4" spans="1:10" ht="28.5">
      <c r="A4" s="2" t="s">
        <v>163</v>
      </c>
      <c r="B4" s="2" t="s">
        <v>549</v>
      </c>
      <c r="C4" s="2" t="s">
        <v>550</v>
      </c>
      <c r="D4" s="2" t="s">
        <v>203</v>
      </c>
      <c r="E4" s="2">
        <v>3</v>
      </c>
      <c r="F4" s="2">
        <v>5</v>
      </c>
      <c r="G4" s="6">
        <f t="shared" ref="G4:G35" si="0">IF(A4="","",E4*F4)</f>
        <v>15</v>
      </c>
      <c r="H4" s="2" t="s">
        <v>551</v>
      </c>
      <c r="I4" s="2" t="s">
        <v>97</v>
      </c>
      <c r="J4" s="2" t="s">
        <v>431</v>
      </c>
    </row>
    <row r="5" spans="1:10" ht="28.5">
      <c r="A5" s="2" t="s">
        <v>164</v>
      </c>
      <c r="B5" s="2" t="s">
        <v>552</v>
      </c>
      <c r="C5" s="2" t="s">
        <v>553</v>
      </c>
      <c r="D5" s="2" t="s">
        <v>147</v>
      </c>
      <c r="E5" s="2">
        <v>4</v>
      </c>
      <c r="F5" s="2">
        <v>3</v>
      </c>
      <c r="G5" s="6">
        <f t="shared" si="0"/>
        <v>12</v>
      </c>
      <c r="H5" s="2" t="s">
        <v>554</v>
      </c>
      <c r="I5" s="2" t="s">
        <v>97</v>
      </c>
      <c r="J5" s="2" t="s">
        <v>431</v>
      </c>
    </row>
    <row r="6" spans="1:10">
      <c r="A6" s="2" t="s">
        <v>166</v>
      </c>
      <c r="B6" s="2" t="s">
        <v>555</v>
      </c>
      <c r="C6" s="2" t="s">
        <v>556</v>
      </c>
      <c r="D6" s="2" t="s">
        <v>147</v>
      </c>
      <c r="E6" s="2">
        <v>3</v>
      </c>
      <c r="F6" s="2">
        <v>4</v>
      </c>
      <c r="G6" s="6">
        <f t="shared" si="0"/>
        <v>12</v>
      </c>
      <c r="H6" s="2" t="s">
        <v>557</v>
      </c>
      <c r="I6" s="2" t="s">
        <v>98</v>
      </c>
      <c r="J6" s="2" t="s">
        <v>431</v>
      </c>
    </row>
    <row r="7" spans="1:10" ht="28.5">
      <c r="A7" s="2" t="s">
        <v>558</v>
      </c>
      <c r="B7" s="2" t="s">
        <v>559</v>
      </c>
      <c r="C7" s="2" t="s">
        <v>560</v>
      </c>
      <c r="D7" s="2" t="s">
        <v>149</v>
      </c>
      <c r="E7" s="2">
        <v>2</v>
      </c>
      <c r="F7" s="2">
        <v>2</v>
      </c>
      <c r="G7" s="6">
        <f t="shared" si="0"/>
        <v>4</v>
      </c>
      <c r="H7" s="2" t="s">
        <v>561</v>
      </c>
      <c r="I7" s="2" t="s">
        <v>98</v>
      </c>
      <c r="J7" s="2" t="s">
        <v>431</v>
      </c>
    </row>
    <row r="8" spans="1:10" ht="28.5">
      <c r="A8" s="2" t="s">
        <v>562</v>
      </c>
      <c r="B8" s="2" t="s">
        <v>79</v>
      </c>
      <c r="C8" s="2" t="s">
        <v>563</v>
      </c>
      <c r="D8" s="2" t="s">
        <v>165</v>
      </c>
      <c r="E8" s="2">
        <v>2</v>
      </c>
      <c r="F8" s="2">
        <v>4</v>
      </c>
      <c r="G8" s="6">
        <f t="shared" si="0"/>
        <v>8</v>
      </c>
      <c r="H8" s="2" t="s">
        <v>564</v>
      </c>
      <c r="I8" s="2" t="s">
        <v>97</v>
      </c>
      <c r="J8" s="2" t="s">
        <v>431</v>
      </c>
    </row>
    <row r="9" spans="1:10">
      <c r="A9" s="2" t="s">
        <v>565</v>
      </c>
      <c r="B9" s="2" t="s">
        <v>566</v>
      </c>
      <c r="C9" s="2" t="s">
        <v>567</v>
      </c>
      <c r="D9" s="2" t="s">
        <v>142</v>
      </c>
      <c r="E9" s="2">
        <v>3</v>
      </c>
      <c r="F9" s="2">
        <v>2</v>
      </c>
      <c r="G9" s="6">
        <f t="shared" si="0"/>
        <v>6</v>
      </c>
      <c r="H9" s="2" t="s">
        <v>568</v>
      </c>
      <c r="I9" s="2" t="s">
        <v>97</v>
      </c>
      <c r="J9" s="2" t="s">
        <v>431</v>
      </c>
    </row>
    <row r="10" spans="1:10">
      <c r="A10" s="2" t="s">
        <v>569</v>
      </c>
      <c r="B10" s="2" t="s">
        <v>570</v>
      </c>
      <c r="C10" s="2" t="s">
        <v>571</v>
      </c>
      <c r="D10" s="2" t="s">
        <v>167</v>
      </c>
      <c r="E10" s="2">
        <v>3</v>
      </c>
      <c r="F10" s="2">
        <v>4</v>
      </c>
      <c r="G10" s="6">
        <f t="shared" si="0"/>
        <v>12</v>
      </c>
      <c r="H10" s="2" t="s">
        <v>572</v>
      </c>
      <c r="I10" s="2" t="s">
        <v>573</v>
      </c>
      <c r="J10" s="2" t="s">
        <v>431</v>
      </c>
    </row>
    <row r="11" spans="1:10" ht="28.5">
      <c r="A11" s="2" t="s">
        <v>574</v>
      </c>
      <c r="B11" s="2" t="s">
        <v>575</v>
      </c>
      <c r="C11" s="2" t="s">
        <v>576</v>
      </c>
      <c r="D11" s="2" t="s">
        <v>203</v>
      </c>
      <c r="E11" s="2">
        <v>4</v>
      </c>
      <c r="F11" s="2">
        <v>4</v>
      </c>
      <c r="G11" s="6">
        <f t="shared" si="0"/>
        <v>16</v>
      </c>
      <c r="H11" s="2" t="s">
        <v>577</v>
      </c>
      <c r="I11" s="2" t="s">
        <v>97</v>
      </c>
      <c r="J11" s="2" t="s">
        <v>431</v>
      </c>
    </row>
    <row r="12" spans="1:10">
      <c r="A12" s="2"/>
      <c r="B12" s="2"/>
      <c r="C12" s="2"/>
      <c r="D12" s="2"/>
      <c r="E12" s="2"/>
      <c r="F12" s="2"/>
      <c r="G12" s="6" t="str">
        <f t="shared" si="0"/>
        <v/>
      </c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6" t="str">
        <f t="shared" si="0"/>
        <v/>
      </c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6" t="str">
        <f t="shared" si="0"/>
        <v/>
      </c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6" t="str">
        <f t="shared" si="0"/>
        <v/>
      </c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6" t="str">
        <f t="shared" si="0"/>
        <v/>
      </c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6" t="str">
        <f t="shared" si="0"/>
        <v/>
      </c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6" t="str">
        <f t="shared" si="0"/>
        <v/>
      </c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6" t="str">
        <f t="shared" si="0"/>
        <v/>
      </c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6" t="str">
        <f t="shared" si="0"/>
        <v/>
      </c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6" t="str">
        <f t="shared" si="0"/>
        <v/>
      </c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6" t="str">
        <f t="shared" si="0"/>
        <v/>
      </c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6" t="str">
        <f t="shared" si="0"/>
        <v/>
      </c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6" t="str">
        <f t="shared" si="0"/>
        <v/>
      </c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6" t="str">
        <f t="shared" si="0"/>
        <v/>
      </c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6" t="str">
        <f t="shared" si="0"/>
        <v/>
      </c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6" t="str">
        <f t="shared" si="0"/>
        <v/>
      </c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6" t="str">
        <f t="shared" si="0"/>
        <v/>
      </c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6" t="str">
        <f t="shared" si="0"/>
        <v/>
      </c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6" t="str">
        <f t="shared" si="0"/>
        <v/>
      </c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6" t="str">
        <f t="shared" si="0"/>
        <v/>
      </c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6" t="str">
        <f t="shared" si="0"/>
        <v/>
      </c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6" t="str">
        <f t="shared" si="0"/>
        <v/>
      </c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6" t="str">
        <f t="shared" si="0"/>
        <v/>
      </c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6" t="str">
        <f t="shared" si="0"/>
        <v/>
      </c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6" t="str">
        <f t="shared" ref="G36:G67" si="1">IF(A36="","",E36*F36)</f>
        <v/>
      </c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6" t="str">
        <f t="shared" si="1"/>
        <v/>
      </c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6" t="str">
        <f t="shared" si="1"/>
        <v/>
      </c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6" t="str">
        <f t="shared" si="1"/>
        <v/>
      </c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6" t="str">
        <f t="shared" si="1"/>
        <v/>
      </c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6" t="str">
        <f t="shared" si="1"/>
        <v/>
      </c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6" t="str">
        <f t="shared" si="1"/>
        <v/>
      </c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6" t="str">
        <f t="shared" si="1"/>
        <v/>
      </c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6" t="str">
        <f t="shared" si="1"/>
        <v/>
      </c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6" t="str">
        <f t="shared" si="1"/>
        <v/>
      </c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6" t="str">
        <f t="shared" si="1"/>
        <v/>
      </c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6" t="str">
        <f t="shared" si="1"/>
        <v/>
      </c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6" t="str">
        <f t="shared" si="1"/>
        <v/>
      </c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6" t="str">
        <f t="shared" si="1"/>
        <v/>
      </c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6" t="str">
        <f t="shared" si="1"/>
        <v/>
      </c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6" t="str">
        <f t="shared" si="1"/>
        <v/>
      </c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6" t="str">
        <f t="shared" si="1"/>
        <v/>
      </c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6" t="str">
        <f t="shared" si="1"/>
        <v/>
      </c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6" t="str">
        <f t="shared" si="1"/>
        <v/>
      </c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6" t="str">
        <f t="shared" si="1"/>
        <v/>
      </c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6" t="str">
        <f t="shared" si="1"/>
        <v/>
      </c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6" t="str">
        <f t="shared" si="1"/>
        <v/>
      </c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6" t="str">
        <f t="shared" si="1"/>
        <v/>
      </c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6" t="str">
        <f t="shared" si="1"/>
        <v/>
      </c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6" t="str">
        <f t="shared" si="1"/>
        <v/>
      </c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6" t="str">
        <f t="shared" si="1"/>
        <v/>
      </c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6" t="str">
        <f t="shared" si="1"/>
        <v/>
      </c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6" t="str">
        <f t="shared" si="1"/>
        <v/>
      </c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6" t="str">
        <f t="shared" si="1"/>
        <v/>
      </c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6" t="str">
        <f t="shared" si="1"/>
        <v/>
      </c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6" t="str">
        <f t="shared" si="1"/>
        <v/>
      </c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6" t="str">
        <f t="shared" si="1"/>
        <v/>
      </c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6" t="str">
        <f t="shared" ref="G68:G99" si="2">IF(A68="","",E68*F68)</f>
        <v/>
      </c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6" t="str">
        <f t="shared" si="2"/>
        <v/>
      </c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6" t="str">
        <f t="shared" si="2"/>
        <v/>
      </c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6" t="str">
        <f t="shared" si="2"/>
        <v/>
      </c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6" t="str">
        <f t="shared" si="2"/>
        <v/>
      </c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6" t="str">
        <f t="shared" si="2"/>
        <v/>
      </c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6" t="str">
        <f t="shared" si="2"/>
        <v/>
      </c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6" t="str">
        <f t="shared" si="2"/>
        <v/>
      </c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6" t="str">
        <f t="shared" si="2"/>
        <v/>
      </c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6" t="str">
        <f t="shared" si="2"/>
        <v/>
      </c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6" t="str">
        <f t="shared" si="2"/>
        <v/>
      </c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6" t="str">
        <f t="shared" si="2"/>
        <v/>
      </c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6" t="str">
        <f t="shared" si="2"/>
        <v/>
      </c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6" t="str">
        <f t="shared" si="2"/>
        <v/>
      </c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6" t="str">
        <f t="shared" si="2"/>
        <v/>
      </c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6" t="str">
        <f t="shared" si="2"/>
        <v/>
      </c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6" t="str">
        <f t="shared" si="2"/>
        <v/>
      </c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6" t="str">
        <f t="shared" si="2"/>
        <v/>
      </c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6" t="str">
        <f t="shared" si="2"/>
        <v/>
      </c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6" t="str">
        <f t="shared" si="2"/>
        <v/>
      </c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6" t="str">
        <f t="shared" si="2"/>
        <v/>
      </c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6" t="str">
        <f t="shared" si="2"/>
        <v/>
      </c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6" t="str">
        <f t="shared" si="2"/>
        <v/>
      </c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6" t="str">
        <f t="shared" si="2"/>
        <v/>
      </c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6" t="str">
        <f t="shared" si="2"/>
        <v/>
      </c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6" t="str">
        <f t="shared" si="2"/>
        <v/>
      </c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6" t="str">
        <f t="shared" si="2"/>
        <v/>
      </c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6" t="str">
        <f t="shared" si="2"/>
        <v/>
      </c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6" t="str">
        <f t="shared" si="2"/>
        <v/>
      </c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6" t="str">
        <f t="shared" si="2"/>
        <v/>
      </c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6" t="str">
        <f t="shared" si="2"/>
        <v/>
      </c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6" t="str">
        <f t="shared" si="2"/>
        <v/>
      </c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6" t="str">
        <f t="shared" ref="G100:G131" si="3">IF(A100="","",E100*F100)</f>
        <v/>
      </c>
      <c r="H100" s="2"/>
      <c r="I100" s="2"/>
      <c r="J100" s="2"/>
    </row>
  </sheetData>
  <mergeCells count="1">
    <mergeCell ref="A1:J1"/>
  </mergeCells>
  <conditionalFormatting sqref="G4:G10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3">
    <dataValidation type="whole" sqref="E4:F100" xr:uid="{00000000-0002-0000-0800-000000000000}">
      <formula1>1</formula1>
      <formula2>5</formula2>
    </dataValidation>
    <dataValidation type="list" sqref="D4:D100" xr:uid="{00000000-0002-0000-0800-000001000000}">
      <formula1>"Ценность,Данные,Стоимость,Срок,Технология,Монетизация,Удержание,Рост"</formula1>
    </dataValidation>
    <dataValidation type="list" sqref="I4:I100" xr:uid="{00000000-0002-0000-0800-000002000000}">
      <formula1>"Первый релиз,Следующий релиз,Бэклог"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/>
  </sheetViews>
  <sheetFormatPr defaultRowHeight="14.25"/>
  <cols>
    <col min="1" max="1" width="52" customWidth="1"/>
    <col min="2" max="2" width="18" customWidth="1"/>
    <col min="3" max="3" width="26" customWidth="1"/>
    <col min="4" max="4" width="24" customWidth="1"/>
    <col min="5" max="5" width="28" customWidth="1"/>
    <col min="6" max="6" width="16" customWidth="1"/>
  </cols>
  <sheetData>
    <row r="1" spans="1:11" ht="32.1" customHeight="1">
      <c r="A1" s="9" t="s">
        <v>168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36" customHeight="1">
      <c r="A3" s="3" t="s">
        <v>169</v>
      </c>
      <c r="B3" s="3" t="s">
        <v>170</v>
      </c>
      <c r="C3" s="3" t="s">
        <v>96</v>
      </c>
      <c r="D3" s="4"/>
      <c r="E3" s="3" t="s">
        <v>87</v>
      </c>
      <c r="F3" s="3" t="s">
        <v>171</v>
      </c>
    </row>
    <row r="4" spans="1:11" ht="57">
      <c r="A4" s="1" t="s">
        <v>172</v>
      </c>
      <c r="B4" s="6">
        <f>COUNTA(Реестр_единиц!$A$2:$A$101)</f>
        <v>38</v>
      </c>
      <c r="C4" s="2" t="s">
        <v>173</v>
      </c>
      <c r="D4" s="4"/>
      <c r="E4" s="1" t="s">
        <v>97</v>
      </c>
      <c r="F4" s="6">
        <f>COUNTIF(Реестр_единиц!$S$2:$S$101,E4)</f>
        <v>16</v>
      </c>
    </row>
    <row r="5" spans="1:11" ht="28.5">
      <c r="A5" s="1" t="s">
        <v>174</v>
      </c>
      <c r="B5" s="6">
        <f>COUNTIF(Реестр_единиц!$S$2:$S$101,"Первый релиз")</f>
        <v>16</v>
      </c>
      <c r="C5" s="2" t="s">
        <v>175</v>
      </c>
      <c r="D5" s="4"/>
      <c r="E5" s="1" t="s">
        <v>98</v>
      </c>
      <c r="F5" s="6">
        <f>COUNTIF(Реестр_единиц!$S$2:$S$101,E5)</f>
        <v>1</v>
      </c>
    </row>
    <row r="6" spans="1:11" ht="42.75">
      <c r="A6" s="1" t="s">
        <v>89</v>
      </c>
      <c r="B6" s="7">
        <f>IFERROR(AVERAGEIF(Реестр_единиц!$S$2:$S$101,"Первый релиз",Реестр_единиц!$Q$2:$Q$101),0)</f>
        <v>4.1243750000000006</v>
      </c>
      <c r="C6" s="2" t="s">
        <v>176</v>
      </c>
      <c r="D6" s="4"/>
      <c r="E6" s="1" t="s">
        <v>99</v>
      </c>
      <c r="F6" s="6">
        <f>COUNTIF(Реестр_единиц!$S$2:$S$101,E6)</f>
        <v>21</v>
      </c>
    </row>
    <row r="7" spans="1:11" ht="42.75">
      <c r="A7" s="1" t="s">
        <v>177</v>
      </c>
      <c r="B7" s="7">
        <f>IFERROR(AVERAGEIF(Реестр_единиц!$S$2:$S$101,"Первый релиз",Реестр_единиц!$G$2:$G$101),0)</f>
        <v>4.25</v>
      </c>
      <c r="C7" s="2" t="s">
        <v>178</v>
      </c>
      <c r="D7" s="4"/>
      <c r="E7" s="4"/>
      <c r="F7" s="4"/>
    </row>
    <row r="8" spans="1:11" ht="15">
      <c r="A8" s="1" t="s">
        <v>179</v>
      </c>
      <c r="B8" s="7">
        <f>IFERROR(AVERAGEIF(Реестр_единиц!$S$2:$S$101,"Первый релиз",Реестр_единиц!$O$2:$O$101),0)</f>
        <v>1.9375</v>
      </c>
      <c r="C8" s="2" t="s">
        <v>180</v>
      </c>
      <c r="D8" s="4"/>
      <c r="E8" s="4"/>
      <c r="F8" s="4"/>
    </row>
    <row r="9" spans="1:11" ht="57">
      <c r="A9" s="1" t="s">
        <v>181</v>
      </c>
      <c r="B9" s="7">
        <f>IFERROR(AVERAGE(Проверка_ценности!$C$4:$C$80),0)</f>
        <v>4.166666666666667</v>
      </c>
      <c r="C9" s="2" t="s">
        <v>182</v>
      </c>
      <c r="D9" s="4"/>
      <c r="E9" s="4"/>
      <c r="F9" s="4"/>
    </row>
    <row r="10" spans="1:11">
      <c r="A10" s="4"/>
      <c r="B10" s="4"/>
      <c r="C10" s="4"/>
      <c r="D10" s="4"/>
      <c r="E10" s="4"/>
      <c r="F10" s="4"/>
    </row>
    <row r="11" spans="1:11">
      <c r="A11" s="4"/>
      <c r="B11" s="4"/>
      <c r="C11" s="4"/>
      <c r="D11" s="4"/>
      <c r="E11" s="4"/>
      <c r="F11" s="4"/>
    </row>
    <row r="12" spans="1:11" ht="30">
      <c r="A12" s="3" t="s">
        <v>183</v>
      </c>
      <c r="B12" s="3" t="s">
        <v>184</v>
      </c>
      <c r="C12" s="4"/>
      <c r="D12" s="4"/>
      <c r="E12" s="4"/>
      <c r="F12" s="4"/>
    </row>
    <row r="13" spans="1:11" ht="15">
      <c r="A13" s="1" t="s">
        <v>142</v>
      </c>
      <c r="B13" s="7">
        <f>IFERROR(AVERAGEIF(Реестр_единиц!$S$2:$S$101,"Первый релиз",Реестр_единиц!$G$2:$G$101),0)</f>
        <v>4.25</v>
      </c>
      <c r="C13" s="4"/>
      <c r="D13" s="4"/>
      <c r="E13" s="4"/>
      <c r="F13" s="4"/>
    </row>
    <row r="14" spans="1:11" ht="15">
      <c r="A14" s="1" t="s">
        <v>185</v>
      </c>
      <c r="B14" s="7">
        <f>IFERROR(AVERAGEIF(Реестр_единиц!$S$2:$S$101,"Первый релиз",Реестр_единиц!$H$2:$H$101),0)</f>
        <v>3.5</v>
      </c>
      <c r="C14" s="4"/>
      <c r="D14" s="4"/>
      <c r="E14" s="4"/>
      <c r="F14" s="4"/>
    </row>
    <row r="15" spans="1:11" ht="15">
      <c r="A15" s="1" t="s">
        <v>149</v>
      </c>
      <c r="B15" s="7">
        <f>IFERROR(AVERAGEIF(Реестр_единиц!$S$2:$S$101,"Первый релиз",Реестр_единиц!$I$2:$I$101),0)</f>
        <v>3.6875</v>
      </c>
      <c r="C15" s="4"/>
      <c r="D15" s="4"/>
      <c r="E15" s="4"/>
      <c r="F15" s="4"/>
    </row>
    <row r="16" spans="1:11" ht="15">
      <c r="A16" s="1" t="s">
        <v>150</v>
      </c>
      <c r="B16" s="7">
        <f>IFERROR(AVERAGEIF(Реестр_единиц!$S$2:$S$101,"Первый релиз",Реестр_единиц!$J$2:$J$101),0)</f>
        <v>3</v>
      </c>
      <c r="C16" s="4"/>
      <c r="D16" s="4"/>
      <c r="E16" s="4"/>
      <c r="F16" s="4"/>
    </row>
    <row r="17" spans="1:6" ht="15">
      <c r="A17" s="1" t="s">
        <v>186</v>
      </c>
      <c r="B17" s="7">
        <f>IFERROR(AVERAGEIF(Реестр_единиц!$S$2:$S$101,"Первый релиз",Реестр_единиц!$K$2:$K$101),0)</f>
        <v>4.375</v>
      </c>
      <c r="C17" s="4"/>
      <c r="D17" s="4"/>
      <c r="E17" s="4"/>
      <c r="F17" s="4"/>
    </row>
    <row r="18" spans="1:6" ht="15">
      <c r="A18" s="1" t="s">
        <v>187</v>
      </c>
      <c r="B18" s="7">
        <f>IFERROR(AVERAGEIF(Реестр_единиц!$S$2:$S$101,"Первый релиз",Реестр_единиц!$M$2:$M$101),0)</f>
        <v>3.4375</v>
      </c>
      <c r="C18" s="4"/>
      <c r="D18" s="4"/>
      <c r="E18" s="4"/>
      <c r="F18" s="4"/>
    </row>
    <row r="19" spans="1:6" ht="15">
      <c r="A19" s="1" t="s">
        <v>188</v>
      </c>
      <c r="B19" s="7">
        <f>IFERROR(AVERAGEIF(Реестр_единиц!$S$2:$S$101,"Первый релиз",Реестр_единиц!$N$2:$N$101),0)</f>
        <v>3.4375</v>
      </c>
      <c r="C19" s="4"/>
      <c r="D19" s="4"/>
      <c r="E19" s="4"/>
      <c r="F19" s="4"/>
    </row>
  </sheetData>
  <mergeCells count="1">
    <mergeCell ref="A1:K1"/>
  </mergeCells>
  <conditionalFormatting sqref="B13:B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B13:B19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workbookViewId="0"/>
  </sheetViews>
  <sheetFormatPr defaultRowHeight="14.25"/>
  <cols>
    <col min="1" max="1" width="30" customWidth="1"/>
    <col min="2" max="2" width="20" customWidth="1"/>
    <col min="3" max="3" width="26" customWidth="1"/>
    <col min="4" max="5" width="28" customWidth="1"/>
    <col min="6" max="6" width="22" customWidth="1"/>
    <col min="7" max="7" width="18" customWidth="1"/>
    <col min="8" max="8" width="25" customWidth="1"/>
  </cols>
  <sheetData>
    <row r="1" spans="1:8" ht="32.1" customHeight="1">
      <c r="A1" s="9" t="s">
        <v>189</v>
      </c>
      <c r="B1" s="9"/>
      <c r="C1" s="9"/>
      <c r="D1" s="9"/>
      <c r="E1" s="9"/>
      <c r="F1" s="9"/>
      <c r="G1" s="9"/>
      <c r="H1" s="9"/>
    </row>
    <row r="3" spans="1:8" ht="36" customHeight="1">
      <c r="A3" s="3" t="s">
        <v>27</v>
      </c>
      <c r="B3" s="3" t="s">
        <v>141</v>
      </c>
      <c r="C3" s="3" t="s">
        <v>52</v>
      </c>
      <c r="D3" s="3" t="s">
        <v>56</v>
      </c>
      <c r="E3" s="3" t="s">
        <v>69</v>
      </c>
      <c r="F3" s="3" t="s">
        <v>190</v>
      </c>
      <c r="G3" s="3" t="s">
        <v>157</v>
      </c>
      <c r="H3" s="3" t="s">
        <v>191</v>
      </c>
    </row>
    <row r="4" spans="1:8">
      <c r="A4" s="4" t="s">
        <v>192</v>
      </c>
      <c r="B4" s="4" t="s">
        <v>193</v>
      </c>
      <c r="C4" s="4" t="s">
        <v>73</v>
      </c>
      <c r="D4" s="4" t="s">
        <v>194</v>
      </c>
      <c r="E4" s="4" t="s">
        <v>97</v>
      </c>
      <c r="F4" s="4" t="s">
        <v>195</v>
      </c>
      <c r="G4" s="4" t="s">
        <v>142</v>
      </c>
      <c r="H4" s="4" t="s">
        <v>196</v>
      </c>
    </row>
    <row r="5" spans="1:8">
      <c r="A5" s="4" t="s">
        <v>39</v>
      </c>
      <c r="B5" s="4" t="s">
        <v>146</v>
      </c>
      <c r="C5" s="4" t="s">
        <v>72</v>
      </c>
      <c r="D5" s="4" t="s">
        <v>45</v>
      </c>
      <c r="E5" s="4" t="s">
        <v>98</v>
      </c>
      <c r="F5" s="4" t="s">
        <v>197</v>
      </c>
      <c r="G5" s="4" t="s">
        <v>165</v>
      </c>
      <c r="H5" s="4" t="s">
        <v>198</v>
      </c>
    </row>
    <row r="6" spans="1:8">
      <c r="A6" s="4" t="s">
        <v>42</v>
      </c>
      <c r="B6" s="4" t="s">
        <v>144</v>
      </c>
      <c r="C6" s="4" t="s">
        <v>75</v>
      </c>
      <c r="D6" s="4" t="s">
        <v>85</v>
      </c>
      <c r="E6" s="4" t="s">
        <v>99</v>
      </c>
      <c r="F6" s="4" t="s">
        <v>199</v>
      </c>
      <c r="G6" s="4" t="s">
        <v>167</v>
      </c>
      <c r="H6" s="4" t="s">
        <v>149</v>
      </c>
    </row>
    <row r="7" spans="1:8">
      <c r="A7" s="4" t="s">
        <v>200</v>
      </c>
      <c r="B7" s="4" t="s">
        <v>201</v>
      </c>
      <c r="C7" s="4" t="s">
        <v>77</v>
      </c>
      <c r="D7" s="4" t="s">
        <v>84</v>
      </c>
      <c r="E7" s="4"/>
      <c r="F7" s="4" t="s">
        <v>202</v>
      </c>
      <c r="G7" s="4" t="s">
        <v>203</v>
      </c>
      <c r="H7" s="4" t="s">
        <v>204</v>
      </c>
    </row>
    <row r="8" spans="1:8">
      <c r="A8" s="4" t="s">
        <v>45</v>
      </c>
      <c r="B8" s="4"/>
      <c r="C8" s="4" t="s">
        <v>81</v>
      </c>
      <c r="D8" s="4" t="s">
        <v>74</v>
      </c>
      <c r="E8" s="4"/>
      <c r="F8" s="4" t="s">
        <v>205</v>
      </c>
      <c r="G8" s="4" t="s">
        <v>206</v>
      </c>
      <c r="H8" s="4" t="s">
        <v>207</v>
      </c>
    </row>
    <row r="9" spans="1:8">
      <c r="A9" s="4" t="s">
        <v>208</v>
      </c>
      <c r="B9" s="4"/>
      <c r="C9" s="4" t="s">
        <v>76</v>
      </c>
      <c r="D9" s="4" t="s">
        <v>80</v>
      </c>
      <c r="E9" s="4"/>
      <c r="F9" s="4"/>
      <c r="G9" s="4" t="s">
        <v>147</v>
      </c>
      <c r="H9" s="4" t="s">
        <v>209</v>
      </c>
    </row>
    <row r="10" spans="1:8">
      <c r="A10" s="4" t="s">
        <v>47</v>
      </c>
      <c r="B10" s="4"/>
      <c r="C10" s="4" t="s">
        <v>82</v>
      </c>
      <c r="D10" s="4" t="s">
        <v>83</v>
      </c>
      <c r="E10" s="4"/>
      <c r="F10" s="4"/>
      <c r="G10" s="4" t="s">
        <v>149</v>
      </c>
      <c r="H10" s="4" t="s">
        <v>210</v>
      </c>
    </row>
    <row r="11" spans="1:8">
      <c r="A11" s="4" t="s">
        <v>50</v>
      </c>
      <c r="B11" s="4"/>
      <c r="C11" s="4" t="s">
        <v>79</v>
      </c>
      <c r="D11" s="4" t="s">
        <v>78</v>
      </c>
      <c r="E11" s="4"/>
      <c r="F11" s="4"/>
      <c r="G11" s="4" t="s">
        <v>150</v>
      </c>
      <c r="H11" s="4" t="s">
        <v>211</v>
      </c>
    </row>
    <row r="12" spans="1:8">
      <c r="A12" s="4" t="s">
        <v>212</v>
      </c>
      <c r="B12" s="4"/>
      <c r="C12" s="4"/>
      <c r="D12" s="4" t="s">
        <v>213</v>
      </c>
      <c r="E12" s="4"/>
      <c r="F12" s="4"/>
      <c r="G12" s="4"/>
      <c r="H12" s="4" t="s">
        <v>214</v>
      </c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Инструкция</vt:lpstr>
      <vt:lpstr>Банк_анализа</vt:lpstr>
      <vt:lpstr>Реестр_единиц</vt:lpstr>
      <vt:lpstr>Оценка_релизов</vt:lpstr>
      <vt:lpstr>Первый_релиз</vt:lpstr>
      <vt:lpstr>Следующие_релизы</vt:lpstr>
      <vt:lpstr>Дорожная_карта</vt:lpstr>
      <vt:lpstr>Проверка_ценности</vt:lpstr>
      <vt:lpstr>Риски_зависимости</vt:lpstr>
      <vt:lpstr>Дашборд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Aliaksandr Khajynau</cp:lastModifiedBy>
  <dcterms:modified xsi:type="dcterms:W3CDTF">2026-09-26T13:33:00Z</dcterms:modified>
</cp:coreProperties>
</file>