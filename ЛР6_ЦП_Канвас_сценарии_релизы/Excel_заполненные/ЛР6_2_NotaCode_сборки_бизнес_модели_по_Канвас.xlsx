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ЛР6_ЦП_Канвас_сценарии_релизы\Excel_заполненные\"/>
    </mc:Choice>
  </mc:AlternateContent>
  <xr:revisionPtr revIDLastSave="0" documentId="13_ncr:1_{82686921-44D9-4F83-AF28-7D062CA99B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0_Инструкция" sheetId="1" r:id="rId1"/>
    <sheet name="01_Данные_анализа" sheetId="2" r:id="rId2"/>
    <sheet name="02_Канвас" sheetId="3" r:id="rId3"/>
    <sheet name="03_Сегменты" sheetId="4" r:id="rId4"/>
    <sheet name="04_Ценность_товар" sheetId="5" r:id="rId5"/>
    <sheet name="05_Каналы_отношения" sheetId="6" r:id="rId6"/>
    <sheet name="06_Монетизация" sheetId="7" r:id="rId7"/>
    <sheet name="07_Операционная_основа" sheetId="8" r:id="rId8"/>
    <sheet name="08_Затраты" sheetId="9" r:id="rId9"/>
    <sheet name="09_Проверка_связности" sheetId="10" r:id="rId10"/>
    <sheet name="10_Паспорт" sheetId="11" r:id="rId11"/>
    <sheet name="11_Дашборд" sheetId="12" r:id="rId12"/>
    <sheet name="12_Справочники" sheetId="13" r:id="rId13"/>
  </sheets>
  <calcPr calcId="191029" refMode="R1C1"/>
</workbook>
</file>

<file path=xl/calcChain.xml><?xml version="1.0" encoding="utf-8"?>
<calcChain xmlns="http://schemas.openxmlformats.org/spreadsheetml/2006/main">
  <c r="D20" i="12" l="1"/>
  <c r="C20" i="12"/>
  <c r="B20" i="12"/>
  <c r="A20" i="12"/>
  <c r="D19" i="12"/>
  <c r="C19" i="12"/>
  <c r="B19" i="12"/>
  <c r="A19" i="12"/>
  <c r="D18" i="12"/>
  <c r="C18" i="12"/>
  <c r="B18" i="12"/>
  <c r="A18" i="12"/>
  <c r="D17" i="12"/>
  <c r="C17" i="12"/>
  <c r="B17" i="12"/>
  <c r="A17" i="12"/>
  <c r="D16" i="12"/>
  <c r="C16" i="12"/>
  <c r="B16" i="12"/>
  <c r="A16" i="12"/>
  <c r="D15" i="12"/>
  <c r="C15" i="12"/>
  <c r="B15" i="12"/>
  <c r="A15" i="12"/>
  <c r="D14" i="12"/>
  <c r="C14" i="12"/>
  <c r="B14" i="12"/>
  <c r="A14" i="12"/>
  <c r="D13" i="12"/>
  <c r="C13" i="12"/>
  <c r="B13" i="12"/>
  <c r="A13" i="12"/>
  <c r="D12" i="12"/>
  <c r="C12" i="12"/>
  <c r="B12" i="12"/>
  <c r="A12" i="12"/>
  <c r="B8" i="12"/>
  <c r="B6" i="12"/>
  <c r="B5" i="12"/>
  <c r="B4" i="12"/>
  <c r="E16" i="11"/>
  <c r="E15" i="11"/>
  <c r="B14" i="11"/>
  <c r="E14" i="11" s="1"/>
  <c r="B13" i="11"/>
  <c r="E13" i="11" s="1"/>
  <c r="B12" i="11"/>
  <c r="E12" i="11" s="1"/>
  <c r="B11" i="11"/>
  <c r="E11" i="11" s="1"/>
  <c r="B10" i="11"/>
  <c r="E10" i="11" s="1"/>
  <c r="B9" i="11"/>
  <c r="E9" i="11" s="1"/>
  <c r="B8" i="11"/>
  <c r="E8" i="11" s="1"/>
  <c r="E7" i="11"/>
  <c r="E6" i="11"/>
  <c r="B5" i="11"/>
  <c r="E5" i="11" s="1"/>
  <c r="E4" i="11"/>
  <c r="B3" i="11"/>
  <c r="E3" i="11" s="1"/>
  <c r="F14" i="10"/>
  <c r="F13" i="10"/>
  <c r="F12" i="10"/>
  <c r="F11" i="10"/>
  <c r="F10" i="10"/>
  <c r="F9" i="10"/>
  <c r="F8" i="10"/>
  <c r="F7" i="10"/>
  <c r="F6" i="10"/>
  <c r="F5" i="10"/>
  <c r="F4" i="10"/>
  <c r="F3" i="10"/>
  <c r="B9" i="12" s="1"/>
  <c r="K102" i="9"/>
  <c r="K101" i="9"/>
  <c r="K100" i="9"/>
  <c r="K99" i="9"/>
  <c r="K98" i="9"/>
  <c r="K97" i="9"/>
  <c r="K96" i="9"/>
  <c r="K95" i="9"/>
  <c r="K94" i="9"/>
  <c r="K93" i="9"/>
  <c r="K92" i="9"/>
  <c r="K91" i="9"/>
  <c r="K90" i="9"/>
  <c r="K89" i="9"/>
  <c r="K88" i="9"/>
  <c r="K87" i="9"/>
  <c r="K86" i="9"/>
  <c r="K85" i="9"/>
  <c r="K84" i="9"/>
  <c r="K83" i="9"/>
  <c r="K82" i="9"/>
  <c r="K81" i="9"/>
  <c r="K80" i="9"/>
  <c r="K79" i="9"/>
  <c r="K78" i="9"/>
  <c r="K77" i="9"/>
  <c r="K76" i="9"/>
  <c r="K75" i="9"/>
  <c r="K74" i="9"/>
  <c r="K73" i="9"/>
  <c r="K72" i="9"/>
  <c r="K71" i="9"/>
  <c r="K70" i="9"/>
  <c r="K69" i="9"/>
  <c r="K68" i="9"/>
  <c r="K67" i="9"/>
  <c r="K66" i="9"/>
  <c r="K65" i="9"/>
  <c r="K64" i="9"/>
  <c r="K63" i="9"/>
  <c r="K62" i="9"/>
  <c r="K61" i="9"/>
  <c r="K60" i="9"/>
  <c r="K59" i="9"/>
  <c r="K58" i="9"/>
  <c r="K57" i="9"/>
  <c r="K56" i="9"/>
  <c r="K55" i="9"/>
  <c r="K54" i="9"/>
  <c r="K53" i="9"/>
  <c r="K52" i="9"/>
  <c r="K51" i="9"/>
  <c r="K50" i="9"/>
  <c r="K49" i="9"/>
  <c r="K48" i="9"/>
  <c r="K47" i="9"/>
  <c r="K46" i="9"/>
  <c r="K45" i="9"/>
  <c r="K44" i="9"/>
  <c r="K43" i="9"/>
  <c r="K42" i="9"/>
  <c r="K41" i="9"/>
  <c r="K40" i="9"/>
  <c r="K39" i="9"/>
  <c r="K38" i="9"/>
  <c r="K37" i="9"/>
  <c r="K36" i="9"/>
  <c r="K35" i="9"/>
  <c r="K34" i="9"/>
  <c r="K33" i="9"/>
  <c r="K32" i="9"/>
  <c r="K31" i="9"/>
  <c r="K30" i="9"/>
  <c r="K29" i="9"/>
  <c r="K28" i="9"/>
  <c r="K27" i="9"/>
  <c r="K26" i="9"/>
  <c r="K25" i="9"/>
  <c r="K24" i="9"/>
  <c r="K23" i="9"/>
  <c r="K22" i="9"/>
  <c r="K21" i="9"/>
  <c r="K20" i="9"/>
  <c r="K19" i="9"/>
  <c r="K18" i="9"/>
  <c r="K17" i="9"/>
  <c r="K16" i="9"/>
  <c r="K15" i="9"/>
  <c r="K14" i="9"/>
  <c r="K13" i="9"/>
  <c r="K12" i="9"/>
  <c r="K11" i="9"/>
  <c r="K10" i="9"/>
  <c r="K9" i="9"/>
  <c r="K8" i="9"/>
  <c r="K7" i="9"/>
  <c r="K6" i="9"/>
  <c r="K5" i="9"/>
  <c r="K4" i="9"/>
  <c r="K3" i="9"/>
  <c r="K122" i="8"/>
  <c r="K121" i="8"/>
  <c r="K120" i="8"/>
  <c r="K119" i="8"/>
  <c r="K118" i="8"/>
  <c r="K117" i="8"/>
  <c r="K116" i="8"/>
  <c r="K115" i="8"/>
  <c r="K114" i="8"/>
  <c r="K113" i="8"/>
  <c r="K112" i="8"/>
  <c r="K111" i="8"/>
  <c r="K110" i="8"/>
  <c r="K109" i="8"/>
  <c r="K108" i="8"/>
  <c r="K107" i="8"/>
  <c r="K106" i="8"/>
  <c r="K105" i="8"/>
  <c r="K104" i="8"/>
  <c r="K103" i="8"/>
  <c r="K102" i="8"/>
  <c r="K101" i="8"/>
  <c r="K100" i="8"/>
  <c r="K99" i="8"/>
  <c r="K98" i="8"/>
  <c r="K97" i="8"/>
  <c r="K96" i="8"/>
  <c r="K95" i="8"/>
  <c r="K94" i="8"/>
  <c r="K93" i="8"/>
  <c r="K92" i="8"/>
  <c r="K91" i="8"/>
  <c r="K90" i="8"/>
  <c r="K89" i="8"/>
  <c r="K88" i="8"/>
  <c r="K87" i="8"/>
  <c r="K86" i="8"/>
  <c r="K85" i="8"/>
  <c r="K84" i="8"/>
  <c r="K83" i="8"/>
  <c r="K82" i="8"/>
  <c r="K81" i="8"/>
  <c r="K80" i="8"/>
  <c r="K79" i="8"/>
  <c r="K78" i="8"/>
  <c r="K77" i="8"/>
  <c r="K76" i="8"/>
  <c r="K75" i="8"/>
  <c r="K74" i="8"/>
  <c r="K73" i="8"/>
  <c r="K72" i="8"/>
  <c r="K71" i="8"/>
  <c r="K70" i="8"/>
  <c r="K69" i="8"/>
  <c r="K68" i="8"/>
  <c r="K67" i="8"/>
  <c r="K66" i="8"/>
  <c r="K65" i="8"/>
  <c r="K64" i="8"/>
  <c r="K63" i="8"/>
  <c r="K62" i="8"/>
  <c r="K61" i="8"/>
  <c r="K60" i="8"/>
  <c r="K59" i="8"/>
  <c r="K58" i="8"/>
  <c r="K57" i="8"/>
  <c r="K56" i="8"/>
  <c r="K55" i="8"/>
  <c r="K54" i="8"/>
  <c r="K53" i="8"/>
  <c r="K52" i="8"/>
  <c r="K51" i="8"/>
  <c r="K50" i="8"/>
  <c r="K49" i="8"/>
  <c r="K48" i="8"/>
  <c r="K47" i="8"/>
  <c r="K46" i="8"/>
  <c r="K45" i="8"/>
  <c r="K44" i="8"/>
  <c r="K43" i="8"/>
  <c r="K42" i="8"/>
  <c r="K41" i="8"/>
  <c r="K40" i="8"/>
  <c r="K39" i="8"/>
  <c r="K38" i="8"/>
  <c r="K37" i="8"/>
  <c r="K36" i="8"/>
  <c r="K35" i="8"/>
  <c r="K34" i="8"/>
  <c r="K33" i="8"/>
  <c r="K32" i="8"/>
  <c r="K31" i="8"/>
  <c r="K30" i="8"/>
  <c r="K29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K6" i="8"/>
  <c r="K5" i="8"/>
  <c r="K4" i="8"/>
  <c r="K3" i="8"/>
  <c r="M102" i="7"/>
  <c r="N102" i="7" s="1"/>
  <c r="M101" i="7"/>
  <c r="N101" i="7" s="1"/>
  <c r="M100" i="7"/>
  <c r="N100" i="7" s="1"/>
  <c r="M99" i="7"/>
  <c r="N99" i="7" s="1"/>
  <c r="M98" i="7"/>
  <c r="N98" i="7" s="1"/>
  <c r="M97" i="7"/>
  <c r="N97" i="7" s="1"/>
  <c r="M96" i="7"/>
  <c r="N96" i="7" s="1"/>
  <c r="M95" i="7"/>
  <c r="N95" i="7" s="1"/>
  <c r="M94" i="7"/>
  <c r="N94" i="7" s="1"/>
  <c r="M93" i="7"/>
  <c r="N93" i="7" s="1"/>
  <c r="M92" i="7"/>
  <c r="N92" i="7" s="1"/>
  <c r="M91" i="7"/>
  <c r="N91" i="7" s="1"/>
  <c r="M90" i="7"/>
  <c r="N90" i="7" s="1"/>
  <c r="M89" i="7"/>
  <c r="N89" i="7" s="1"/>
  <c r="M88" i="7"/>
  <c r="N88" i="7" s="1"/>
  <c r="M87" i="7"/>
  <c r="N87" i="7" s="1"/>
  <c r="M86" i="7"/>
  <c r="N86" i="7" s="1"/>
  <c r="M85" i="7"/>
  <c r="N85" i="7" s="1"/>
  <c r="M84" i="7"/>
  <c r="N84" i="7" s="1"/>
  <c r="M83" i="7"/>
  <c r="N83" i="7" s="1"/>
  <c r="M82" i="7"/>
  <c r="N82" i="7" s="1"/>
  <c r="M81" i="7"/>
  <c r="N81" i="7" s="1"/>
  <c r="M80" i="7"/>
  <c r="N80" i="7" s="1"/>
  <c r="M79" i="7"/>
  <c r="N79" i="7" s="1"/>
  <c r="M78" i="7"/>
  <c r="N78" i="7" s="1"/>
  <c r="M77" i="7"/>
  <c r="N77" i="7" s="1"/>
  <c r="M76" i="7"/>
  <c r="N76" i="7" s="1"/>
  <c r="M75" i="7"/>
  <c r="N75" i="7" s="1"/>
  <c r="M74" i="7"/>
  <c r="N74" i="7" s="1"/>
  <c r="M73" i="7"/>
  <c r="N73" i="7" s="1"/>
  <c r="M72" i="7"/>
  <c r="N72" i="7" s="1"/>
  <c r="M71" i="7"/>
  <c r="N71" i="7" s="1"/>
  <c r="M70" i="7"/>
  <c r="N70" i="7" s="1"/>
  <c r="M69" i="7"/>
  <c r="N69" i="7" s="1"/>
  <c r="M68" i="7"/>
  <c r="N68" i="7" s="1"/>
  <c r="M67" i="7"/>
  <c r="N67" i="7" s="1"/>
  <c r="M66" i="7"/>
  <c r="N66" i="7" s="1"/>
  <c r="M65" i="7"/>
  <c r="N65" i="7" s="1"/>
  <c r="M64" i="7"/>
  <c r="N64" i="7" s="1"/>
  <c r="M63" i="7"/>
  <c r="N63" i="7" s="1"/>
  <c r="M62" i="7"/>
  <c r="N62" i="7" s="1"/>
  <c r="M61" i="7"/>
  <c r="N61" i="7" s="1"/>
  <c r="M60" i="7"/>
  <c r="N60" i="7" s="1"/>
  <c r="M59" i="7"/>
  <c r="N59" i="7" s="1"/>
  <c r="M58" i="7"/>
  <c r="N58" i="7" s="1"/>
  <c r="M57" i="7"/>
  <c r="N57" i="7" s="1"/>
  <c r="M56" i="7"/>
  <c r="N56" i="7" s="1"/>
  <c r="M55" i="7"/>
  <c r="N55" i="7" s="1"/>
  <c r="M54" i="7"/>
  <c r="N54" i="7" s="1"/>
  <c r="M53" i="7"/>
  <c r="N53" i="7" s="1"/>
  <c r="M52" i="7"/>
  <c r="N52" i="7" s="1"/>
  <c r="M51" i="7"/>
  <c r="N51" i="7" s="1"/>
  <c r="M50" i="7"/>
  <c r="N50" i="7" s="1"/>
  <c r="M49" i="7"/>
  <c r="N49" i="7" s="1"/>
  <c r="M48" i="7"/>
  <c r="N48" i="7" s="1"/>
  <c r="M47" i="7"/>
  <c r="N47" i="7" s="1"/>
  <c r="M46" i="7"/>
  <c r="N46" i="7" s="1"/>
  <c r="M45" i="7"/>
  <c r="N45" i="7" s="1"/>
  <c r="M44" i="7"/>
  <c r="N44" i="7" s="1"/>
  <c r="M43" i="7"/>
  <c r="N43" i="7" s="1"/>
  <c r="M42" i="7"/>
  <c r="N42" i="7" s="1"/>
  <c r="M41" i="7"/>
  <c r="N41" i="7" s="1"/>
  <c r="M40" i="7"/>
  <c r="N40" i="7" s="1"/>
  <c r="M39" i="7"/>
  <c r="N39" i="7" s="1"/>
  <c r="M38" i="7"/>
  <c r="N38" i="7" s="1"/>
  <c r="M37" i="7"/>
  <c r="N37" i="7" s="1"/>
  <c r="M36" i="7"/>
  <c r="N36" i="7" s="1"/>
  <c r="M35" i="7"/>
  <c r="N35" i="7" s="1"/>
  <c r="M34" i="7"/>
  <c r="N34" i="7" s="1"/>
  <c r="M33" i="7"/>
  <c r="N33" i="7" s="1"/>
  <c r="M32" i="7"/>
  <c r="N32" i="7" s="1"/>
  <c r="M31" i="7"/>
  <c r="N31" i="7" s="1"/>
  <c r="M30" i="7"/>
  <c r="N30" i="7" s="1"/>
  <c r="M29" i="7"/>
  <c r="N29" i="7" s="1"/>
  <c r="M28" i="7"/>
  <c r="N28" i="7" s="1"/>
  <c r="M27" i="7"/>
  <c r="N27" i="7" s="1"/>
  <c r="M26" i="7"/>
  <c r="N26" i="7" s="1"/>
  <c r="M25" i="7"/>
  <c r="N25" i="7" s="1"/>
  <c r="M24" i="7"/>
  <c r="N24" i="7" s="1"/>
  <c r="M23" i="7"/>
  <c r="N23" i="7" s="1"/>
  <c r="M22" i="7"/>
  <c r="N22" i="7" s="1"/>
  <c r="M21" i="7"/>
  <c r="N21" i="7" s="1"/>
  <c r="M20" i="7"/>
  <c r="N20" i="7" s="1"/>
  <c r="M19" i="7"/>
  <c r="N19" i="7" s="1"/>
  <c r="M18" i="7"/>
  <c r="N18" i="7" s="1"/>
  <c r="M17" i="7"/>
  <c r="N17" i="7" s="1"/>
  <c r="M16" i="7"/>
  <c r="N16" i="7" s="1"/>
  <c r="M15" i="7"/>
  <c r="N15" i="7" s="1"/>
  <c r="M14" i="7"/>
  <c r="N14" i="7" s="1"/>
  <c r="M13" i="7"/>
  <c r="N13" i="7" s="1"/>
  <c r="M12" i="7"/>
  <c r="N12" i="7" s="1"/>
  <c r="M11" i="7"/>
  <c r="N11" i="7" s="1"/>
  <c r="M10" i="7"/>
  <c r="N10" i="7" s="1"/>
  <c r="M9" i="7"/>
  <c r="N9" i="7" s="1"/>
  <c r="M8" i="7"/>
  <c r="N8" i="7" s="1"/>
  <c r="M7" i="7"/>
  <c r="N7" i="7" s="1"/>
  <c r="M6" i="7"/>
  <c r="N6" i="7" s="1"/>
  <c r="M5" i="7"/>
  <c r="N5" i="7" s="1"/>
  <c r="M4" i="7"/>
  <c r="N4" i="7" s="1"/>
  <c r="M3" i="7"/>
  <c r="N3" i="7" s="1"/>
  <c r="J102" i="6"/>
  <c r="K102" i="6" s="1"/>
  <c r="J101" i="6"/>
  <c r="K101" i="6" s="1"/>
  <c r="J100" i="6"/>
  <c r="K100" i="6" s="1"/>
  <c r="J99" i="6"/>
  <c r="K99" i="6" s="1"/>
  <c r="J98" i="6"/>
  <c r="K98" i="6" s="1"/>
  <c r="J97" i="6"/>
  <c r="K97" i="6" s="1"/>
  <c r="J96" i="6"/>
  <c r="K96" i="6" s="1"/>
  <c r="J95" i="6"/>
  <c r="K95" i="6" s="1"/>
  <c r="J94" i="6"/>
  <c r="K94" i="6" s="1"/>
  <c r="J93" i="6"/>
  <c r="K93" i="6" s="1"/>
  <c r="J92" i="6"/>
  <c r="K92" i="6" s="1"/>
  <c r="J91" i="6"/>
  <c r="K91" i="6" s="1"/>
  <c r="J90" i="6"/>
  <c r="K90" i="6" s="1"/>
  <c r="J89" i="6"/>
  <c r="K89" i="6" s="1"/>
  <c r="J88" i="6"/>
  <c r="K88" i="6" s="1"/>
  <c r="J87" i="6"/>
  <c r="K87" i="6" s="1"/>
  <c r="J86" i="6"/>
  <c r="K86" i="6" s="1"/>
  <c r="J85" i="6"/>
  <c r="K85" i="6" s="1"/>
  <c r="J84" i="6"/>
  <c r="K84" i="6" s="1"/>
  <c r="J83" i="6"/>
  <c r="K83" i="6" s="1"/>
  <c r="J82" i="6"/>
  <c r="K82" i="6" s="1"/>
  <c r="J81" i="6"/>
  <c r="K81" i="6" s="1"/>
  <c r="J80" i="6"/>
  <c r="K80" i="6" s="1"/>
  <c r="J79" i="6"/>
  <c r="K79" i="6" s="1"/>
  <c r="J78" i="6"/>
  <c r="K78" i="6" s="1"/>
  <c r="J77" i="6"/>
  <c r="K77" i="6" s="1"/>
  <c r="J76" i="6"/>
  <c r="K76" i="6" s="1"/>
  <c r="J75" i="6"/>
  <c r="K75" i="6" s="1"/>
  <c r="J74" i="6"/>
  <c r="K74" i="6" s="1"/>
  <c r="J73" i="6"/>
  <c r="K73" i="6" s="1"/>
  <c r="J72" i="6"/>
  <c r="K72" i="6" s="1"/>
  <c r="J71" i="6"/>
  <c r="K71" i="6" s="1"/>
  <c r="J70" i="6"/>
  <c r="K70" i="6" s="1"/>
  <c r="J69" i="6"/>
  <c r="K69" i="6" s="1"/>
  <c r="J68" i="6"/>
  <c r="K68" i="6" s="1"/>
  <c r="J67" i="6"/>
  <c r="K67" i="6" s="1"/>
  <c r="J66" i="6"/>
  <c r="K66" i="6" s="1"/>
  <c r="J65" i="6"/>
  <c r="K65" i="6" s="1"/>
  <c r="J64" i="6"/>
  <c r="K64" i="6" s="1"/>
  <c r="J63" i="6"/>
  <c r="K63" i="6" s="1"/>
  <c r="J62" i="6"/>
  <c r="K62" i="6" s="1"/>
  <c r="J61" i="6"/>
  <c r="K61" i="6" s="1"/>
  <c r="J60" i="6"/>
  <c r="K60" i="6" s="1"/>
  <c r="J59" i="6"/>
  <c r="K59" i="6" s="1"/>
  <c r="J58" i="6"/>
  <c r="K58" i="6" s="1"/>
  <c r="J57" i="6"/>
  <c r="K57" i="6" s="1"/>
  <c r="J56" i="6"/>
  <c r="K56" i="6" s="1"/>
  <c r="J55" i="6"/>
  <c r="K55" i="6" s="1"/>
  <c r="J54" i="6"/>
  <c r="K54" i="6" s="1"/>
  <c r="J53" i="6"/>
  <c r="K53" i="6" s="1"/>
  <c r="J52" i="6"/>
  <c r="K52" i="6" s="1"/>
  <c r="J51" i="6"/>
  <c r="K51" i="6" s="1"/>
  <c r="J50" i="6"/>
  <c r="K50" i="6" s="1"/>
  <c r="J49" i="6"/>
  <c r="K49" i="6" s="1"/>
  <c r="J48" i="6"/>
  <c r="K48" i="6" s="1"/>
  <c r="J47" i="6"/>
  <c r="K47" i="6" s="1"/>
  <c r="J46" i="6"/>
  <c r="K46" i="6" s="1"/>
  <c r="J45" i="6"/>
  <c r="K45" i="6" s="1"/>
  <c r="J44" i="6"/>
  <c r="K44" i="6" s="1"/>
  <c r="J43" i="6"/>
  <c r="K43" i="6" s="1"/>
  <c r="J42" i="6"/>
  <c r="K42" i="6" s="1"/>
  <c r="J41" i="6"/>
  <c r="K41" i="6" s="1"/>
  <c r="J40" i="6"/>
  <c r="K40" i="6" s="1"/>
  <c r="J39" i="6"/>
  <c r="K39" i="6" s="1"/>
  <c r="J38" i="6"/>
  <c r="K38" i="6" s="1"/>
  <c r="J37" i="6"/>
  <c r="K37" i="6" s="1"/>
  <c r="J36" i="6"/>
  <c r="K36" i="6" s="1"/>
  <c r="J35" i="6"/>
  <c r="K35" i="6" s="1"/>
  <c r="J34" i="6"/>
  <c r="K34" i="6" s="1"/>
  <c r="J33" i="6"/>
  <c r="K33" i="6" s="1"/>
  <c r="J32" i="6"/>
  <c r="K32" i="6" s="1"/>
  <c r="J31" i="6"/>
  <c r="K31" i="6" s="1"/>
  <c r="J30" i="6"/>
  <c r="K30" i="6" s="1"/>
  <c r="J29" i="6"/>
  <c r="K29" i="6" s="1"/>
  <c r="J28" i="6"/>
  <c r="K28" i="6" s="1"/>
  <c r="J27" i="6"/>
  <c r="K27" i="6" s="1"/>
  <c r="J26" i="6"/>
  <c r="K26" i="6" s="1"/>
  <c r="J25" i="6"/>
  <c r="K25" i="6" s="1"/>
  <c r="J24" i="6"/>
  <c r="K24" i="6" s="1"/>
  <c r="J23" i="6"/>
  <c r="K23" i="6" s="1"/>
  <c r="J22" i="6"/>
  <c r="K22" i="6" s="1"/>
  <c r="J21" i="6"/>
  <c r="K21" i="6" s="1"/>
  <c r="J20" i="6"/>
  <c r="K20" i="6" s="1"/>
  <c r="J19" i="6"/>
  <c r="K19" i="6" s="1"/>
  <c r="J18" i="6"/>
  <c r="K18" i="6" s="1"/>
  <c r="J17" i="6"/>
  <c r="K17" i="6" s="1"/>
  <c r="J16" i="6"/>
  <c r="K16" i="6" s="1"/>
  <c r="J15" i="6"/>
  <c r="K15" i="6" s="1"/>
  <c r="J14" i="6"/>
  <c r="K14" i="6" s="1"/>
  <c r="J13" i="6"/>
  <c r="K13" i="6" s="1"/>
  <c r="J12" i="6"/>
  <c r="K12" i="6" s="1"/>
  <c r="J11" i="6"/>
  <c r="K11" i="6" s="1"/>
  <c r="J10" i="6"/>
  <c r="K10" i="6" s="1"/>
  <c r="J9" i="6"/>
  <c r="K9" i="6" s="1"/>
  <c r="J8" i="6"/>
  <c r="K8" i="6" s="1"/>
  <c r="J7" i="6"/>
  <c r="K7" i="6" s="1"/>
  <c r="J6" i="6"/>
  <c r="K6" i="6" s="1"/>
  <c r="J5" i="6"/>
  <c r="K5" i="6" s="1"/>
  <c r="J4" i="6"/>
  <c r="K4" i="6" s="1"/>
  <c r="J3" i="6"/>
  <c r="K3" i="6" s="1"/>
  <c r="P102" i="5"/>
  <c r="Q102" i="5" s="1"/>
  <c r="P101" i="5"/>
  <c r="Q101" i="5" s="1"/>
  <c r="P100" i="5"/>
  <c r="Q100" i="5" s="1"/>
  <c r="P99" i="5"/>
  <c r="Q99" i="5" s="1"/>
  <c r="P98" i="5"/>
  <c r="Q98" i="5" s="1"/>
  <c r="P97" i="5"/>
  <c r="Q97" i="5" s="1"/>
  <c r="P96" i="5"/>
  <c r="Q96" i="5" s="1"/>
  <c r="P95" i="5"/>
  <c r="Q95" i="5" s="1"/>
  <c r="P94" i="5"/>
  <c r="Q94" i="5" s="1"/>
  <c r="P93" i="5"/>
  <c r="Q93" i="5" s="1"/>
  <c r="P92" i="5"/>
  <c r="Q92" i="5" s="1"/>
  <c r="P91" i="5"/>
  <c r="Q91" i="5" s="1"/>
  <c r="P90" i="5"/>
  <c r="Q90" i="5" s="1"/>
  <c r="P89" i="5"/>
  <c r="Q89" i="5" s="1"/>
  <c r="P88" i="5"/>
  <c r="Q88" i="5" s="1"/>
  <c r="P87" i="5"/>
  <c r="Q87" i="5" s="1"/>
  <c r="P86" i="5"/>
  <c r="Q86" i="5" s="1"/>
  <c r="P85" i="5"/>
  <c r="Q85" i="5" s="1"/>
  <c r="P84" i="5"/>
  <c r="Q84" i="5" s="1"/>
  <c r="P83" i="5"/>
  <c r="Q83" i="5" s="1"/>
  <c r="P82" i="5"/>
  <c r="Q82" i="5" s="1"/>
  <c r="P81" i="5"/>
  <c r="Q81" i="5" s="1"/>
  <c r="P80" i="5"/>
  <c r="Q80" i="5" s="1"/>
  <c r="P79" i="5"/>
  <c r="Q79" i="5" s="1"/>
  <c r="P78" i="5"/>
  <c r="Q78" i="5" s="1"/>
  <c r="P77" i="5"/>
  <c r="Q77" i="5" s="1"/>
  <c r="P76" i="5"/>
  <c r="Q76" i="5" s="1"/>
  <c r="P75" i="5"/>
  <c r="Q75" i="5" s="1"/>
  <c r="P74" i="5"/>
  <c r="Q74" i="5" s="1"/>
  <c r="P73" i="5"/>
  <c r="Q73" i="5" s="1"/>
  <c r="P72" i="5"/>
  <c r="Q72" i="5" s="1"/>
  <c r="P71" i="5"/>
  <c r="Q71" i="5" s="1"/>
  <c r="P70" i="5"/>
  <c r="Q70" i="5" s="1"/>
  <c r="P69" i="5"/>
  <c r="Q69" i="5" s="1"/>
  <c r="P68" i="5"/>
  <c r="Q68" i="5" s="1"/>
  <c r="P67" i="5"/>
  <c r="Q67" i="5" s="1"/>
  <c r="P66" i="5"/>
  <c r="Q66" i="5" s="1"/>
  <c r="P65" i="5"/>
  <c r="Q65" i="5" s="1"/>
  <c r="P64" i="5"/>
  <c r="Q64" i="5" s="1"/>
  <c r="P63" i="5"/>
  <c r="Q63" i="5" s="1"/>
  <c r="P62" i="5"/>
  <c r="Q62" i="5" s="1"/>
  <c r="P61" i="5"/>
  <c r="Q61" i="5" s="1"/>
  <c r="P60" i="5"/>
  <c r="Q60" i="5" s="1"/>
  <c r="P59" i="5"/>
  <c r="Q59" i="5" s="1"/>
  <c r="P58" i="5"/>
  <c r="Q58" i="5" s="1"/>
  <c r="P57" i="5"/>
  <c r="Q57" i="5" s="1"/>
  <c r="P56" i="5"/>
  <c r="Q56" i="5" s="1"/>
  <c r="P55" i="5"/>
  <c r="Q55" i="5" s="1"/>
  <c r="P54" i="5"/>
  <c r="Q54" i="5" s="1"/>
  <c r="P53" i="5"/>
  <c r="Q53" i="5" s="1"/>
  <c r="P52" i="5"/>
  <c r="Q52" i="5" s="1"/>
  <c r="P51" i="5"/>
  <c r="Q51" i="5" s="1"/>
  <c r="P50" i="5"/>
  <c r="Q50" i="5" s="1"/>
  <c r="P49" i="5"/>
  <c r="Q49" i="5" s="1"/>
  <c r="P48" i="5"/>
  <c r="Q48" i="5" s="1"/>
  <c r="P47" i="5"/>
  <c r="Q47" i="5" s="1"/>
  <c r="P46" i="5"/>
  <c r="Q46" i="5" s="1"/>
  <c r="P45" i="5"/>
  <c r="Q45" i="5" s="1"/>
  <c r="P44" i="5"/>
  <c r="Q44" i="5" s="1"/>
  <c r="P43" i="5"/>
  <c r="Q43" i="5" s="1"/>
  <c r="P42" i="5"/>
  <c r="Q42" i="5" s="1"/>
  <c r="P41" i="5"/>
  <c r="Q41" i="5" s="1"/>
  <c r="P40" i="5"/>
  <c r="Q40" i="5" s="1"/>
  <c r="P39" i="5"/>
  <c r="Q39" i="5" s="1"/>
  <c r="P38" i="5"/>
  <c r="Q38" i="5" s="1"/>
  <c r="P37" i="5"/>
  <c r="Q37" i="5" s="1"/>
  <c r="P36" i="5"/>
  <c r="Q36" i="5" s="1"/>
  <c r="P35" i="5"/>
  <c r="Q35" i="5" s="1"/>
  <c r="P34" i="5"/>
  <c r="Q34" i="5" s="1"/>
  <c r="P33" i="5"/>
  <c r="Q33" i="5" s="1"/>
  <c r="P32" i="5"/>
  <c r="Q32" i="5" s="1"/>
  <c r="P31" i="5"/>
  <c r="Q31" i="5" s="1"/>
  <c r="P30" i="5"/>
  <c r="Q30" i="5" s="1"/>
  <c r="P29" i="5"/>
  <c r="Q29" i="5" s="1"/>
  <c r="P28" i="5"/>
  <c r="Q28" i="5" s="1"/>
  <c r="P27" i="5"/>
  <c r="Q27" i="5" s="1"/>
  <c r="P26" i="5"/>
  <c r="Q26" i="5" s="1"/>
  <c r="P25" i="5"/>
  <c r="Q25" i="5" s="1"/>
  <c r="P24" i="5"/>
  <c r="Q24" i="5" s="1"/>
  <c r="P23" i="5"/>
  <c r="Q23" i="5" s="1"/>
  <c r="P22" i="5"/>
  <c r="Q22" i="5" s="1"/>
  <c r="P21" i="5"/>
  <c r="Q21" i="5" s="1"/>
  <c r="P20" i="5"/>
  <c r="Q20" i="5" s="1"/>
  <c r="P19" i="5"/>
  <c r="Q19" i="5" s="1"/>
  <c r="P18" i="5"/>
  <c r="Q18" i="5" s="1"/>
  <c r="P17" i="5"/>
  <c r="Q17" i="5" s="1"/>
  <c r="P16" i="5"/>
  <c r="Q16" i="5" s="1"/>
  <c r="P15" i="5"/>
  <c r="Q15" i="5" s="1"/>
  <c r="P14" i="5"/>
  <c r="Q14" i="5" s="1"/>
  <c r="P13" i="5"/>
  <c r="Q13" i="5" s="1"/>
  <c r="P12" i="5"/>
  <c r="Q12" i="5" s="1"/>
  <c r="P11" i="5"/>
  <c r="Q11" i="5" s="1"/>
  <c r="P10" i="5"/>
  <c r="Q10" i="5" s="1"/>
  <c r="P9" i="5"/>
  <c r="Q9" i="5" s="1"/>
  <c r="P8" i="5"/>
  <c r="Q8" i="5" s="1"/>
  <c r="P7" i="5"/>
  <c r="Q7" i="5" s="1"/>
  <c r="P6" i="5"/>
  <c r="Q6" i="5" s="1"/>
  <c r="P5" i="5"/>
  <c r="Q5" i="5" s="1"/>
  <c r="P4" i="5"/>
  <c r="Q4" i="5" s="1"/>
  <c r="P3" i="5"/>
  <c r="Q3" i="5" s="1"/>
  <c r="J102" i="4"/>
  <c r="K102" i="4" s="1"/>
  <c r="J101" i="4"/>
  <c r="K101" i="4" s="1"/>
  <c r="J100" i="4"/>
  <c r="K100" i="4" s="1"/>
  <c r="J99" i="4"/>
  <c r="K99" i="4" s="1"/>
  <c r="J98" i="4"/>
  <c r="K98" i="4" s="1"/>
  <c r="J97" i="4"/>
  <c r="K97" i="4" s="1"/>
  <c r="J96" i="4"/>
  <c r="K96" i="4" s="1"/>
  <c r="J95" i="4"/>
  <c r="K95" i="4" s="1"/>
  <c r="J94" i="4"/>
  <c r="K94" i="4" s="1"/>
  <c r="J93" i="4"/>
  <c r="K93" i="4" s="1"/>
  <c r="J92" i="4"/>
  <c r="K92" i="4" s="1"/>
  <c r="J91" i="4"/>
  <c r="K91" i="4" s="1"/>
  <c r="J90" i="4"/>
  <c r="K90" i="4" s="1"/>
  <c r="J89" i="4"/>
  <c r="K89" i="4" s="1"/>
  <c r="J88" i="4"/>
  <c r="K88" i="4" s="1"/>
  <c r="J87" i="4"/>
  <c r="K87" i="4" s="1"/>
  <c r="J86" i="4"/>
  <c r="K86" i="4" s="1"/>
  <c r="J85" i="4"/>
  <c r="K85" i="4" s="1"/>
  <c r="J84" i="4"/>
  <c r="K84" i="4" s="1"/>
  <c r="J83" i="4"/>
  <c r="K83" i="4" s="1"/>
  <c r="J82" i="4"/>
  <c r="K82" i="4" s="1"/>
  <c r="J81" i="4"/>
  <c r="K81" i="4" s="1"/>
  <c r="J80" i="4"/>
  <c r="K80" i="4" s="1"/>
  <c r="J79" i="4"/>
  <c r="K79" i="4" s="1"/>
  <c r="J78" i="4"/>
  <c r="K78" i="4" s="1"/>
  <c r="J77" i="4"/>
  <c r="K77" i="4" s="1"/>
  <c r="J76" i="4"/>
  <c r="K76" i="4" s="1"/>
  <c r="J75" i="4"/>
  <c r="K75" i="4" s="1"/>
  <c r="J74" i="4"/>
  <c r="K74" i="4" s="1"/>
  <c r="J73" i="4"/>
  <c r="K73" i="4" s="1"/>
  <c r="J72" i="4"/>
  <c r="K72" i="4" s="1"/>
  <c r="J71" i="4"/>
  <c r="K71" i="4" s="1"/>
  <c r="J70" i="4"/>
  <c r="K70" i="4" s="1"/>
  <c r="J69" i="4"/>
  <c r="K69" i="4" s="1"/>
  <c r="J68" i="4"/>
  <c r="K68" i="4" s="1"/>
  <c r="J67" i="4"/>
  <c r="K67" i="4" s="1"/>
  <c r="J66" i="4"/>
  <c r="K66" i="4" s="1"/>
  <c r="J65" i="4"/>
  <c r="K65" i="4" s="1"/>
  <c r="J64" i="4"/>
  <c r="K64" i="4" s="1"/>
  <c r="J63" i="4"/>
  <c r="K63" i="4" s="1"/>
  <c r="J62" i="4"/>
  <c r="K62" i="4" s="1"/>
  <c r="J61" i="4"/>
  <c r="K61" i="4" s="1"/>
  <c r="J60" i="4"/>
  <c r="K60" i="4" s="1"/>
  <c r="J59" i="4"/>
  <c r="K59" i="4" s="1"/>
  <c r="J58" i="4"/>
  <c r="K58" i="4" s="1"/>
  <c r="J57" i="4"/>
  <c r="K57" i="4" s="1"/>
  <c r="J56" i="4"/>
  <c r="K56" i="4" s="1"/>
  <c r="J55" i="4"/>
  <c r="K55" i="4" s="1"/>
  <c r="J54" i="4"/>
  <c r="K54" i="4" s="1"/>
  <c r="J53" i="4"/>
  <c r="K53" i="4" s="1"/>
  <c r="J52" i="4"/>
  <c r="K52" i="4" s="1"/>
  <c r="J51" i="4"/>
  <c r="K51" i="4" s="1"/>
  <c r="J50" i="4"/>
  <c r="K50" i="4" s="1"/>
  <c r="J49" i="4"/>
  <c r="K49" i="4" s="1"/>
  <c r="J48" i="4"/>
  <c r="K48" i="4" s="1"/>
  <c r="J47" i="4"/>
  <c r="K47" i="4" s="1"/>
  <c r="J46" i="4"/>
  <c r="K46" i="4" s="1"/>
  <c r="J45" i="4"/>
  <c r="K45" i="4" s="1"/>
  <c r="J44" i="4"/>
  <c r="K44" i="4" s="1"/>
  <c r="J43" i="4"/>
  <c r="K43" i="4" s="1"/>
  <c r="J42" i="4"/>
  <c r="K42" i="4" s="1"/>
  <c r="J41" i="4"/>
  <c r="K41" i="4" s="1"/>
  <c r="J40" i="4"/>
  <c r="K40" i="4" s="1"/>
  <c r="J39" i="4"/>
  <c r="K39" i="4" s="1"/>
  <c r="J38" i="4"/>
  <c r="K38" i="4" s="1"/>
  <c r="J37" i="4"/>
  <c r="K37" i="4" s="1"/>
  <c r="J36" i="4"/>
  <c r="K36" i="4" s="1"/>
  <c r="J35" i="4"/>
  <c r="K35" i="4" s="1"/>
  <c r="J34" i="4"/>
  <c r="K34" i="4" s="1"/>
  <c r="J33" i="4"/>
  <c r="K33" i="4" s="1"/>
  <c r="J32" i="4"/>
  <c r="K32" i="4" s="1"/>
  <c r="J31" i="4"/>
  <c r="K31" i="4" s="1"/>
  <c r="J30" i="4"/>
  <c r="K30" i="4" s="1"/>
  <c r="J29" i="4"/>
  <c r="K29" i="4" s="1"/>
  <c r="J28" i="4"/>
  <c r="K28" i="4" s="1"/>
  <c r="J27" i="4"/>
  <c r="K27" i="4" s="1"/>
  <c r="J26" i="4"/>
  <c r="K26" i="4" s="1"/>
  <c r="J25" i="4"/>
  <c r="K25" i="4" s="1"/>
  <c r="J24" i="4"/>
  <c r="K24" i="4" s="1"/>
  <c r="J23" i="4"/>
  <c r="K23" i="4" s="1"/>
  <c r="J22" i="4"/>
  <c r="K22" i="4" s="1"/>
  <c r="J21" i="4"/>
  <c r="K21" i="4" s="1"/>
  <c r="J20" i="4"/>
  <c r="K20" i="4" s="1"/>
  <c r="J19" i="4"/>
  <c r="K19" i="4" s="1"/>
  <c r="J18" i="4"/>
  <c r="K18" i="4" s="1"/>
  <c r="J17" i="4"/>
  <c r="K17" i="4" s="1"/>
  <c r="J16" i="4"/>
  <c r="K16" i="4" s="1"/>
  <c r="J15" i="4"/>
  <c r="K15" i="4" s="1"/>
  <c r="J14" i="4"/>
  <c r="K14" i="4" s="1"/>
  <c r="J13" i="4"/>
  <c r="K13" i="4" s="1"/>
  <c r="J12" i="4"/>
  <c r="K12" i="4" s="1"/>
  <c r="J11" i="4"/>
  <c r="K11" i="4" s="1"/>
  <c r="J10" i="4"/>
  <c r="K10" i="4" s="1"/>
  <c r="J9" i="4"/>
  <c r="K9" i="4" s="1"/>
  <c r="J8" i="4"/>
  <c r="K8" i="4" s="1"/>
  <c r="J7" i="4"/>
  <c r="K7" i="4" s="1"/>
  <c r="J6" i="4"/>
  <c r="K6" i="4" s="1"/>
  <c r="J5" i="4"/>
  <c r="K5" i="4" s="1"/>
  <c r="J4" i="4"/>
  <c r="K4" i="4" s="1"/>
  <c r="J3" i="4"/>
  <c r="K3" i="4" s="1"/>
  <c r="J11" i="3"/>
  <c r="E20" i="12" s="1"/>
  <c r="J10" i="3"/>
  <c r="E19" i="12" s="1"/>
  <c r="J9" i="3"/>
  <c r="E18" i="12" s="1"/>
  <c r="J8" i="3"/>
  <c r="E17" i="12" s="1"/>
  <c r="J7" i="3"/>
  <c r="E16" i="12" s="1"/>
  <c r="J6" i="3"/>
  <c r="E15" i="12" s="1"/>
  <c r="J5" i="3"/>
  <c r="E14" i="12" s="1"/>
  <c r="J4" i="3"/>
  <c r="E13" i="12" s="1"/>
  <c r="J3" i="3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E12" i="12" l="1"/>
  <c r="B7" i="12"/>
  <c r="C26" i="12"/>
  <c r="C25" i="12" l="1"/>
  <c r="C24" i="12"/>
  <c r="C27" i="12" l="1"/>
</calcChain>
</file>

<file path=xl/sharedStrings.xml><?xml version="1.0" encoding="utf-8"?>
<sst xmlns="http://schemas.openxmlformats.org/spreadsheetml/2006/main" count="791" uniqueCount="610">
  <si>
    <t>Методика сборки бизнес-модели по Канвас: рабочий Excel-шаблон</t>
  </si>
  <si>
    <t>Назначение файла</t>
  </si>
  <si>
    <t>Книга предназначена для перевода результатов анализа конкурентов, отзывов, уровней конкуренции, цифрового товара, ценностного предложения и монетизации в связанную бизнес-модель по шаблону Канвас. Заполняются желтые поля; зеленые поля рассчитываются автоматически.</t>
  </si>
  <si>
    <t>Этап</t>
  </si>
  <si>
    <t>Что заполнить</t>
  </si>
  <si>
    <t>Где заполнять</t>
  </si>
  <si>
    <t>Что получится</t>
  </si>
  <si>
    <t>Контроль качества</t>
  </si>
  <si>
    <t>Внести выводы из всех предыдущих видов анализа</t>
  </si>
  <si>
    <t>01_Данные_анализа</t>
  </si>
  <si>
    <t>Единый банк фактов и доказательств</t>
  </si>
  <si>
    <t>Каждый вывод должен иметь источник, блок Канвас и оценку достоверности</t>
  </si>
  <si>
    <t>Заполнить 9 блоков Канвас</t>
  </si>
  <si>
    <t>02_Канвас</t>
  </si>
  <si>
    <t>Черновик бизнес-модели</t>
  </si>
  <si>
    <t>По каждому блоку должны быть формулировка, доказательства, оценка полноты и риска</t>
  </si>
  <si>
    <t>Детализировать сегменты, проблемы и ценность</t>
  </si>
  <si>
    <t>03_Сегменты; 04_Ценность_товар</t>
  </si>
  <si>
    <t>Связка «клиент — проблема — ценность — цифровой товар»</t>
  </si>
  <si>
    <t>Не должно быть ценности без подтвержденной проблемы</t>
  </si>
  <si>
    <t>Описать каналы, отношения и монетизацию</t>
  </si>
  <si>
    <t>05_Каналы_отношения; 06_Монетизация</t>
  </si>
  <si>
    <t>Механизм привлечения, продажи, удержания и получения дохода</t>
  </si>
  <si>
    <t>Единица монетизации должна быть связана с воспринимаемой ценностью</t>
  </si>
  <si>
    <t>Собрать операционную и затратную часть</t>
  </si>
  <si>
    <t>07_Операционная_основа; 08_Затраты</t>
  </si>
  <si>
    <t>Основания выполнения обещания ценности</t>
  </si>
  <si>
    <t>Ключевые ресурсы и действия должны поддерживать ценностное предложение</t>
  </si>
  <si>
    <t>Проверить связность бизнес-модели</t>
  </si>
  <si>
    <t>09_Проверка_связности</t>
  </si>
  <si>
    <t>Карта слабых мест бизнес-модели</t>
  </si>
  <si>
    <t>Разрывы переводятся в задачи проверки или доработки</t>
  </si>
  <si>
    <t>Сформировать итоговый паспорт</t>
  </si>
  <si>
    <t>10_Паспорт; 11_Дашборд</t>
  </si>
  <si>
    <t>Итоговое описание бизнес-модели и сводные показатели</t>
  </si>
  <si>
    <t>Паспорт используется для презентации и управленческого обсуждения</t>
  </si>
  <si>
    <t>Единый банк выводов из всех видов анализа</t>
  </si>
  <si>
    <t>ID</t>
  </si>
  <si>
    <t>Источник анализа</t>
  </si>
  <si>
    <t>Объект анализа</t>
  </si>
  <si>
    <t>Компания / товар</t>
  </si>
  <si>
    <t>Ссылка или место фиксации</t>
  </si>
  <si>
    <t>Факт / наблюдение</t>
  </si>
  <si>
    <t>Вывод для бизнес-модели</t>
  </si>
  <si>
    <t>Блок Канвас</t>
  </si>
  <si>
    <t>Достоверность 1-5</t>
  </si>
  <si>
    <t>Актуальность 1-5</t>
  </si>
  <si>
    <t>Приоритет 1-5</t>
  </si>
  <si>
    <t>Индекс доказательности</t>
  </si>
  <si>
    <t>Статус использования</t>
  </si>
  <si>
    <t>Комментарий</t>
  </si>
  <si>
    <t>Шаблон Канвас: вопросы, источники ответов и рабочие формулировки</t>
  </si>
  <si>
    <t>Ключевые вопросы</t>
  </si>
  <si>
    <t>Источники ответов из анализа</t>
  </si>
  <si>
    <t>Рабочая формулировка</t>
  </si>
  <si>
    <t>Доказательства</t>
  </si>
  <si>
    <t>Полнота 1-5</t>
  </si>
  <si>
    <t>Риск ошибки 1-5</t>
  </si>
  <si>
    <t>Что проверить</t>
  </si>
  <si>
    <t>Итоговый статус</t>
  </si>
  <si>
    <t>Клиентские сегменты</t>
  </si>
  <si>
    <t>Кто является целевым пользователем и покупателем? Какие сегменты имеют подтвержденную проблему и платежеспособность?</t>
  </si>
  <si>
    <t>Анализ отзывов; классификация уровней конкуренции; анализ сайтов конкурентов; сегментные сигналы из 03_Сегменты</t>
  </si>
  <si>
    <t>Ценностное предложение</t>
  </si>
  <si>
    <t>Какую проблему решает продукт? В чем измеримая польза? Почему это лучше или точнее существующих решений?</t>
  </si>
  <si>
    <t>Анализ проблем и отзывов; конкурентные преимущества; модель Левитта; Кано; 04_Ценность_товар</t>
  </si>
  <si>
    <t>Каналы</t>
  </si>
  <si>
    <t>Где клиент узнает о продукте, оценивает его, покупает, подключается и получает поддержку?</t>
  </si>
  <si>
    <t>Сайты конкурентов; воронки; страницы тарифов; страницы продукта; рекламные посадочные страницы; 05_Каналы_отношения</t>
  </si>
  <si>
    <t>Отношения с клиентами</t>
  </si>
  <si>
    <t>Как компания привлекает, обучает, сопровождает, удерживает и возвращает клиента?</t>
  </si>
  <si>
    <t>Сайт конкурента; справочные центры; демо; база знаний; поддержка; отзывы; 05_Каналы_отношения</t>
  </si>
  <si>
    <t>Потоки доходов</t>
  </si>
  <si>
    <t>За что именно платит клиент? Какова единица монетизации? Как цена связана с ценностью?</t>
  </si>
  <si>
    <t>Страницы тарифов; условия подписки; анализ монетизации; 06_Монетизация</t>
  </si>
  <si>
    <t>Ключевые ресурсы</t>
  </si>
  <si>
    <t>Какие активы необходимы для создания, доставки и защиты ценности?</t>
  </si>
  <si>
    <t>Анализ цифрового товара; технологические требования; вакансии; документация; 07_Операционная_основа</t>
  </si>
  <si>
    <t>Ключевые виды деятельности</t>
  </si>
  <si>
    <t>Какие процессы должны выполняться регулярно, чтобы ценностное предложение было реализовано?</t>
  </si>
  <si>
    <t>Функциональность продукта; пользовательский сценарий; операционные процессы; 07_Операционная_основа</t>
  </si>
  <si>
    <t>Ключевые партнеры</t>
  </si>
  <si>
    <t>Какие внешние участники нужны для технологии, продаж, данных, платежей, интеграций или доверия?</t>
  </si>
  <si>
    <t>Интеграции на сайтах; партнерские страницы; платежные цепочки; технологические поставщики; 07_Операционная_основа</t>
  </si>
  <si>
    <t>Структура затрат</t>
  </si>
  <si>
    <t>Какие затраты прямо связаны с созданием цифрового товара, привлечением клиента и поддержанием сервиса?</t>
  </si>
  <si>
    <t>Операционная основа; монетизация; инфраструктура; маркетинг; разработка; 08_Затраты</t>
  </si>
  <si>
    <t>Клиентские сегменты и подтвержденные проблемы</t>
  </si>
  <si>
    <t>ID сегмента</t>
  </si>
  <si>
    <t>Сегмент</t>
  </si>
  <si>
    <t>Задача клиента</t>
  </si>
  <si>
    <t>Ключевая проблема</t>
  </si>
  <si>
    <t>Сила боли 1-5</t>
  </si>
  <si>
    <t>Рыночный сигнал 1-5</t>
  </si>
  <si>
    <t>Платежеспособность 1-5</t>
  </si>
  <si>
    <t>Доступность канала 1-5</t>
  </si>
  <si>
    <t>Индекс приоритета</t>
  </si>
  <si>
    <t>Статус</t>
  </si>
  <si>
    <t>Ценностное предложение и цифровой товар как носитель ценности</t>
  </si>
  <si>
    <t>ID проблемы / сегмента</t>
  </si>
  <si>
    <t>Формулировка проблемы</t>
  </si>
  <si>
    <t>Текущая альтернатива клиента</t>
  </si>
  <si>
    <t>Желаемый результат</t>
  </si>
  <si>
    <t>Формулировка ценностного предложения</t>
  </si>
  <si>
    <t>Цифровой товар</t>
  </si>
  <si>
    <t>Тип цифрового товара</t>
  </si>
  <si>
    <t>Ядро товара</t>
  </si>
  <si>
    <t>Реальный товар</t>
  </si>
  <si>
    <t>Расширенный товар</t>
  </si>
  <si>
    <t>Класс требования по Кано</t>
  </si>
  <si>
    <t>Дифференциация 1-5</t>
  </si>
  <si>
    <t>Доказательность 1-5</t>
  </si>
  <si>
    <t>Связь с монетизацией 1-5</t>
  </si>
  <si>
    <t>Индекс готовности</t>
  </si>
  <si>
    <t>Каналы, сценарий продаж и отношения с клиентами</t>
  </si>
  <si>
    <t>Этап канала</t>
  </si>
  <si>
    <t>Канал / точка контакта</t>
  </si>
  <si>
    <t>Роль в воронке</t>
  </si>
  <si>
    <t>Конкурентный стандарт</t>
  </si>
  <si>
    <t>Пригодность 1-5</t>
  </si>
  <si>
    <t>Затратность/риск 1-5</t>
  </si>
  <si>
    <t>Решение</t>
  </si>
  <si>
    <t>Единица монетизации и потоки доходов</t>
  </si>
  <si>
    <t>Единица монетизации</t>
  </si>
  <si>
    <t>Событие оплаты</t>
  </si>
  <si>
    <t>Метрика учета</t>
  </si>
  <si>
    <t>Логика цены</t>
  </si>
  <si>
    <t>Тип потока доходов</t>
  </si>
  <si>
    <t>Сигналы конкурентов</t>
  </si>
  <si>
    <t>Связь с ценностью</t>
  </si>
  <si>
    <t>Готовность платить 1-5</t>
  </si>
  <si>
    <t>Измеримость 1-5</t>
  </si>
  <si>
    <t>Повторяемость дохода 1-5</t>
  </si>
  <si>
    <t>Индекс монетизации</t>
  </si>
  <si>
    <t>Ключевые ресурсы, виды деятельности и партнеры</t>
  </si>
  <si>
    <t>Блок</t>
  </si>
  <si>
    <t>Элемент</t>
  </si>
  <si>
    <t>Описание</t>
  </si>
  <si>
    <t>Как поддерживает ценность / товар</t>
  </si>
  <si>
    <t>Источник</t>
  </si>
  <si>
    <t>Критичность 1-5</t>
  </si>
  <si>
    <t>Доступность 1-5</t>
  </si>
  <si>
    <t>Затратное влияние 1-5</t>
  </si>
  <si>
    <t>Подход к обеспечению</t>
  </si>
  <si>
    <t>Операционный приоритет</t>
  </si>
  <si>
    <t>Структура затрат и драйверы затрат</t>
  </si>
  <si>
    <t>Статья затрат</t>
  </si>
  <si>
    <t>Связанный ресурс / деятельность</t>
  </si>
  <si>
    <t>Тип затрат</t>
  </si>
  <si>
    <t>Драйвер затрат</t>
  </si>
  <si>
    <t>Этап развития</t>
  </si>
  <si>
    <t>Доказательство / основание</t>
  </si>
  <si>
    <t>Влияние на экономику 1-5</t>
  </si>
  <si>
    <t>Уверенность 1-5</t>
  </si>
  <si>
    <t>Управляемость 1-5</t>
  </si>
  <si>
    <t>Приоритет контроля</t>
  </si>
  <si>
    <t>Проверка связности бизнес-модели</t>
  </si>
  <si>
    <t>№</t>
  </si>
  <si>
    <t>Контрольный вопрос</t>
  </si>
  <si>
    <t>Где искать ответ</t>
  </si>
  <si>
    <t>Доказательство / ссылка на вывод</t>
  </si>
  <si>
    <t>Оценка 1-5</t>
  </si>
  <si>
    <t>Результат</t>
  </si>
  <si>
    <t>Что доработать</t>
  </si>
  <si>
    <t>Есть ли у выбранного сегмента подтвержденная проблема?</t>
  </si>
  <si>
    <t>03_Сегменты; 01_Данные_анализа</t>
  </si>
  <si>
    <t>Связано ли ценностное предложение с наиболее приоритетной проблемой?</t>
  </si>
  <si>
    <t>04_Ценность_товар; 02_Канвас</t>
  </si>
  <si>
    <t>Описан ли цифровой товар как конкретная единица ценности, а не как общая идея?</t>
  </si>
  <si>
    <t>04_Ценность_товар</t>
  </si>
  <si>
    <t>Понятно ли, за какую единицу клиент платит?</t>
  </si>
  <si>
    <t>06_Монетизация</t>
  </si>
  <si>
    <t>Каналы соответствуют сегменту и этапам принятия решения?</t>
  </si>
  <si>
    <t>05_Каналы_отношения</t>
  </si>
  <si>
    <t>Механика отношений с клиентом поддерживает удержание и повторное использование?</t>
  </si>
  <si>
    <t>05_Каналы_отношения; 02_Канвас</t>
  </si>
  <si>
    <t>Ключевые ресурсы достаточны для выполнения обещания ценности?</t>
  </si>
  <si>
    <t>07_Операционная_основа</t>
  </si>
  <si>
    <t>Ключевые виды деятельности прямо связаны с созданием и доставкой цифрового товара?</t>
  </si>
  <si>
    <t>Партнеры закрывают реальные технологические, рыночные или операционные ограничения?</t>
  </si>
  <si>
    <t>Структура затрат соответствует выбранной модели монетизации?</t>
  </si>
  <si>
    <t>08_Затраты; 06_Монетизация</t>
  </si>
  <si>
    <t>Есть ли отличие от прямых конкурентов, которое можно проверить через факты?</t>
  </si>
  <si>
    <t>01_Данные_анализа; 04_Ценность_товар</t>
  </si>
  <si>
    <t>Не противоречат ли блоки Канвас друг другу?</t>
  </si>
  <si>
    <t>02_Канвас; 10_Паспорт</t>
  </si>
  <si>
    <t>Итоговый паспорт бизнес-модели</t>
  </si>
  <si>
    <t>Раздел паспорта</t>
  </si>
  <si>
    <t>Итоговая формулировка</t>
  </si>
  <si>
    <t>Основной источник</t>
  </si>
  <si>
    <t>Целевой клиентский сегмент</t>
  </si>
  <si>
    <t>02_Канвас / 03_Сегменты</t>
  </si>
  <si>
    <t>Кому именно создается ценность?</t>
  </si>
  <si>
    <t>Проблема клиента</t>
  </si>
  <si>
    <t>03_Сегменты / 04_Ценность_товар</t>
  </si>
  <si>
    <t>Какая проблема подтверждена отзывами, сайтами и конкурентным анализом?</t>
  </si>
  <si>
    <t>02_Канвас / 04_Ценность_товар</t>
  </si>
  <si>
    <t>Какой результат получает клиент и почему это важно?</t>
  </si>
  <si>
    <t>Что именно продается или предоставляется клиенту?</t>
  </si>
  <si>
    <t>За какую единицу ценности платит клиент?</t>
  </si>
  <si>
    <t>02_Канвас / 05_Каналы_отношения</t>
  </si>
  <si>
    <t>Как клиент узнает, оценивает, покупает и использует продукт?</t>
  </si>
  <si>
    <t>Как обеспечивается сопровождение, удержание и повторное использование?</t>
  </si>
  <si>
    <t>02_Канвас / 06_Монетизация</t>
  </si>
  <si>
    <t>Какие денежные потоки образует продукт?</t>
  </si>
  <si>
    <t>02_Канвас / 07_Операционная_основа</t>
  </si>
  <si>
    <t>Какие ресурсы критичны для выполнения обещания ценности?</t>
  </si>
  <si>
    <t>Какие процессы создают и доставляют ценность?</t>
  </si>
  <si>
    <t>Какие внешние участники нужны для модели?</t>
  </si>
  <si>
    <t>02_Канвас / 08_Затраты</t>
  </si>
  <si>
    <t>Какие затраты определяют экономику модели?</t>
  </si>
  <si>
    <t>Главное конкурентное отличие</t>
  </si>
  <si>
    <t>01_Данные_анализа / 04_Ценность_товар</t>
  </si>
  <si>
    <t>Чем модель отличается от прямых и близких конкурентов?</t>
  </si>
  <si>
    <t>Ключевая гипотеза для проверки</t>
  </si>
  <si>
    <t>Какая гипотеза создает наибольший риск ошибки?</t>
  </si>
  <si>
    <t>Сводный дашборд готовности бизнес-модели</t>
  </si>
  <si>
    <t>Показатель</t>
  </si>
  <si>
    <t>Значение</t>
  </si>
  <si>
    <t>Полнота заполнения Канвас</t>
  </si>
  <si>
    <t>Средняя доказательность Канвас</t>
  </si>
  <si>
    <t>Контроль риска Канвас</t>
  </si>
  <si>
    <t>Доля готовых блоков Канвас</t>
  </si>
  <si>
    <t>Количество зафиксированных выводов анализа</t>
  </si>
  <si>
    <t>Доля подтвержденных проверок связности</t>
  </si>
  <si>
    <t>Достоверность</t>
  </si>
  <si>
    <t>Полнота</t>
  </si>
  <si>
    <t>Риск</t>
  </si>
  <si>
    <t>Итоговая интерпретация</t>
  </si>
  <si>
    <t>Правило</t>
  </si>
  <si>
    <t>Высокая готовность</t>
  </si>
  <si>
    <t>Все KPI не ниже 80%</t>
  </si>
  <si>
    <t>Средняя готовность</t>
  </si>
  <si>
    <t>Большинство KPI не ниже 60%</t>
  </si>
  <si>
    <t>Низкая готовность</t>
  </si>
  <si>
    <t>Есть критичные пробелы в Канвас или связности</t>
  </si>
  <si>
    <t>Рекомендуемое действие</t>
  </si>
  <si>
    <t>Сначала закрыть блоки со статусом «Требует доработки»</t>
  </si>
  <si>
    <t>Справочники для выпадающих списков и шкал оценки</t>
  </si>
  <si>
    <t>Тип источника анализа</t>
  </si>
  <si>
    <t>Уровень конкуренции</t>
  </si>
  <si>
    <t>Анализ сайтов конкурентов</t>
  </si>
  <si>
    <t>Не заполнено</t>
  </si>
  <si>
    <t>Программный сервис</t>
  </si>
  <si>
    <t>Обязательное</t>
  </si>
  <si>
    <t>Подписка</t>
  </si>
  <si>
    <t>Постоянные</t>
  </si>
  <si>
    <t>Осведомленность</t>
  </si>
  <si>
    <t>Создать внутри</t>
  </si>
  <si>
    <t>Прямой конкурент</t>
  </si>
  <si>
    <t>Анализ бизнес-моделей конкурентов</t>
  </si>
  <si>
    <t>Проверить</t>
  </si>
  <si>
    <t>Мобильное приложение</t>
  </si>
  <si>
    <t>Линейное</t>
  </si>
  <si>
    <t>Разовая продажа доступа</t>
  </si>
  <si>
    <t>Переменные</t>
  </si>
  <si>
    <t>Оценка</t>
  </si>
  <si>
    <t>Купить готовое решение</t>
  </si>
  <si>
    <t>Близкий конкурент</t>
  </si>
  <si>
    <t>Анализ цифрового товара по Левитту</t>
  </si>
  <si>
    <t>Готово</t>
  </si>
  <si>
    <t>Веб-платформа</t>
  </si>
  <si>
    <t>Восхищающее</t>
  </si>
  <si>
    <t>Комиссия за транзакцию</t>
  </si>
  <si>
    <t>Полупеременные</t>
  </si>
  <si>
    <t>Покупка</t>
  </si>
  <si>
    <t>Арендовать сервис</t>
  </si>
  <si>
    <t>Косвенный конкурент</t>
  </si>
  <si>
    <t>Классификация требований по Кано</t>
  </si>
  <si>
    <t>Требует доработки</t>
  </si>
  <si>
    <t>Цифровой контент</t>
  </si>
  <si>
    <t>Безразличное</t>
  </si>
  <si>
    <t>Плата за пользователя</t>
  </si>
  <si>
    <t>Инфраструктурные</t>
  </si>
  <si>
    <t>Подключение</t>
  </si>
  <si>
    <t>Получить через партнера</t>
  </si>
  <si>
    <t>Заменитель</t>
  </si>
  <si>
    <t>Анализ отзывов</t>
  </si>
  <si>
    <t>Исключить</t>
  </si>
  <si>
    <t>Доступ к данным</t>
  </si>
  <si>
    <t>Обратное</t>
  </si>
  <si>
    <t>Плата за объем использования</t>
  </si>
  <si>
    <t>Маркетинговые</t>
  </si>
  <si>
    <t>Использование</t>
  </si>
  <si>
    <t>Передать на подряд</t>
  </si>
  <si>
    <t>Смежный игрок</t>
  </si>
  <si>
    <t>Классификация уровней конкуренции</t>
  </si>
  <si>
    <t>Гипотеза</t>
  </si>
  <si>
    <t>Автоматизированная услуга</t>
  </si>
  <si>
    <t>Сомнительное</t>
  </si>
  <si>
    <t>Фримиум</t>
  </si>
  <si>
    <t>Разработческие</t>
  </si>
  <si>
    <t>Удержание</t>
  </si>
  <si>
    <t>Источник лучшей практики</t>
  </si>
  <si>
    <t>Анализ ценностного предложения</t>
  </si>
  <si>
    <t>Подписка на функциональность</t>
  </si>
  <si>
    <t>Лицензия</t>
  </si>
  <si>
    <t>Операционные</t>
  </si>
  <si>
    <t>Поддержка</t>
  </si>
  <si>
    <t>Анализ монетизации</t>
  </si>
  <si>
    <t>Расширение или модуль</t>
  </si>
  <si>
    <t>Платное сопровождение</t>
  </si>
  <si>
    <t>Партнерские</t>
  </si>
  <si>
    <t>Повторная покупка</t>
  </si>
  <si>
    <t>Экспертная оценка</t>
  </si>
  <si>
    <t>Реклама</t>
  </si>
  <si>
    <t>Финансовая гипотеза</t>
  </si>
  <si>
    <t>Партнерская комиссия</t>
  </si>
  <si>
    <t>Индексы 8 критериев</t>
  </si>
  <si>
    <t>PlantUML, Mermaid, MermaidChart, Eraser.io</t>
  </si>
  <si>
    <t>ЛР5, разд. 1</t>
  </si>
  <si>
    <t>Прямые конкуренты: PlantUML 90,0; Mermaid 90,0; MermaidChart 83,5; Eraser.io 93,0</t>
  </si>
  <si>
    <t>Основной контур сравнения — DaC-инструменты</t>
  </si>
  <si>
    <t>Список поддерживаемых нотаций</t>
  </si>
  <si>
    <t>PlantUML, Mermaid, D2, Eraser.io</t>
  </si>
  <si>
    <t>plantuml.com; mermaid.js.org; d2lang.com; eraser.io</t>
  </si>
  <si>
    <t>Ни один прямой конкурент не поддерживает IDEF0/IDEF3/DFD</t>
  </si>
  <si>
    <t>Незакрытая зона — структурные нотации</t>
  </si>
  <si>
    <t>Снято 2026-09-17/23</t>
  </si>
  <si>
    <t>Функции редактора</t>
  </si>
  <si>
    <t>draw.io</t>
  </si>
  <si>
    <t>drawio.com</t>
  </si>
  <si>
    <t>GUI-ввод, шаблоны фигур; проверка правил нотаций не заявлена</t>
  </si>
  <si>
    <t>Графические редакторы не контролируют правила</t>
  </si>
  <si>
    <t>Косвенный вывод</t>
  </si>
  <si>
    <t>Тарифы</t>
  </si>
  <si>
    <t>Eraser.io</t>
  </si>
  <si>
    <t>eraser.io/pricing</t>
  </si>
  <si>
    <t>Free $0 → Starter $15–20 → Business $45–60; AI-кредиты 3→40→250</t>
  </si>
  <si>
    <t>Рыночная модель — freemium с подпиской за место</t>
  </si>
  <si>
    <t>Модель доходов</t>
  </si>
  <si>
    <t>PlantUML, D2, draw.io, Mermaid</t>
  </si>
  <si>
    <t>ЛР5, разд. 2</t>
  </si>
  <si>
    <t>Open-source без монетизации / донаты (GitHub Sponsors, Hack Club)</t>
  </si>
  <si>
    <t>Сильный бесплатный стандарт → Free-тариф обязателен</t>
  </si>
  <si>
    <t>Функции</t>
  </si>
  <si>
    <t>Рынок DaC</t>
  </si>
  <si>
    <t>ЛР5, разд. 4</t>
  </si>
  <si>
    <t>Обязательные: DSL, браузерный рендер, GitHub; линейные: история, совместная работа; восхищающие: AI, полный охват нотаций</t>
  </si>
  <si>
    <t>Отделить стандарт от отличий</t>
  </si>
  <si>
    <t>5 уровней товара</t>
  </si>
  <si>
    <t>PlantUML, Eraser.io</t>
  </si>
  <si>
    <t>ЛР5, разд. 3</t>
  </si>
  <si>
    <t>Расширенный товар конкурентов — экосистема интеграций, а не охват нотаций</t>
  </si>
  <si>
    <t>NotaCode занимает расширенный уровень через нотации и валидацию</t>
  </si>
  <si>
    <t>Трафик</t>
  </si>
  <si>
    <t>plantuml.com</t>
  </si>
  <si>
    <t>SimilarWeb, 2026-09-17</t>
  </si>
  <si>
    <t>~507 тыс. визитов; Россия 9,07 % — 1-е место</t>
  </si>
  <si>
    <t>Русскоязычная аудитория DaC существует</t>
  </si>
  <si>
    <t>eraser.io, app.diagrams.net</t>
  </si>
  <si>
    <t>SimilarWeb, 2026-09-23</t>
  </si>
  <si>
    <t>678,5 тыс. и 7,8 млн визитов</t>
  </si>
  <si>
    <t>Спрос на диаграммные инструменты массовый; GUI доминирует</t>
  </si>
  <si>
    <t>Поисковый спрос</t>
  </si>
  <si>
    <t>PlantUML</t>
  </si>
  <si>
    <t>Google Trends (ЛР1)</t>
  </si>
  <si>
    <t>Индекс 16 → 53 за 3 г. 3 мес. (+231 %); «text to diagram ai» — Breakout</t>
  </si>
  <si>
    <t>Органический поиск — основной канал привлечения</t>
  </si>
  <si>
    <t>Тип «Экспертная оценка» — нет отдельного значения для ЛР1 в справочнике</t>
  </si>
  <si>
    <t>Каналы дистрибуции</t>
  </si>
  <si>
    <t>PlantUML, Mermaid, D2</t>
  </si>
  <si>
    <t>Дистрибуция через GitHub, IDE-плагины, нативный рендер в Markdown</t>
  </si>
  <si>
    <t>GitHub и сообщества — повторяющийся канал</t>
  </si>
  <si>
    <t>Отзывы о draw.io/Lucidchart/Ramus</t>
  </si>
  <si>
    <t>Рынок</t>
  </si>
  <si>
    <t>🔲 ДОСНЯТЬ</t>
  </si>
  <si>
    <t>🔲 ДОСНЯТЬ: 30 отзывов (G2, Capterra, Reddit, Habr)</t>
  </si>
  <si>
    <t>Подтвердить боль ручной раскладки и проверки правил</t>
  </si>
  <si>
    <t>Обязательный вход методики</t>
  </si>
  <si>
    <t>Проблемы P-01…P-06</t>
  </si>
  <si>
    <t>NotaCode</t>
  </si>
  <si>
    <t>docs/business/01-project-concept.md</t>
  </si>
  <si>
    <t>6 проблем, опорная — ручное построение + отсутствие проверки правил</t>
  </si>
  <si>
    <t>Опорная проблема P-001 (ИПП 4,35)</t>
  </si>
  <si>
    <t>Внутренний источник</t>
  </si>
  <si>
    <t>Концепция: сегменты</t>
  </si>
  <si>
    <t>01-project-concept.md §4</t>
  </si>
  <si>
    <t>S-01 студенты (первичный, Free); S-02, S-03 (Pro); S-04 преподаватели</t>
  </si>
  <si>
    <t>Пользователь и плательщик — разные сегменты</t>
  </si>
  <si>
    <t>Тарифная логика</t>
  </si>
  <si>
    <t>01-project-concept.md §6</t>
  </si>
  <si>
    <t>Free: 5 проектов, 20 версий, SVG/PNG; Pro: 4 USD/мес или 40 USD/год</t>
  </si>
  <si>
    <t>Тарифный ограничитель — объём (проекты, версии) и форматы</t>
  </si>
  <si>
    <t>Цена — допущение</t>
  </si>
  <si>
    <t>Конверсия</t>
  </si>
  <si>
    <t>Конверсия Free → Pro 3–5 %</t>
  </si>
  <si>
    <t>Выручка зависит от объёма Free-аудитории</t>
  </si>
  <si>
    <t>Проверить в R1–R2</t>
  </si>
  <si>
    <t>Платёжный провайдер РБ</t>
  </si>
  <si>
    <t>Риск R-24 (концепция §6)</t>
  </si>
  <si>
    <t>Провайдер приёма платежей для РБ не выбран</t>
  </si>
  <si>
    <t>Оплата Pro — после выбора провайдера (R2)</t>
  </si>
  <si>
    <t>Архитектура</t>
  </si>
  <si>
    <t>docs/architecture/README.md</t>
  </si>
  <si>
    <t>6 сервисов; Language Service stateless; каталог нотаций как плагины (OCP)</t>
  </si>
  <si>
    <t>Ключевой ресурс — каталог нотаций и грамматика</t>
  </si>
  <si>
    <t>План работ</t>
  </si>
  <si>
    <t>docs/planning/agile-plan.md</t>
  </si>
  <si>
    <t>Эпики E0–E13, спринты S0–S12, MVP к S10 (06.12.2026)</t>
  </si>
  <si>
    <t>Ключевая деятельность — разработка профилей нотаций волнами</t>
  </si>
  <si>
    <t>Бюджет</t>
  </si>
  <si>
    <t>01-project-concept.md C-03, A-01</t>
  </si>
  <si>
    <t>Инфраструктура MVP — 0 (бесплатные тарифы); трудоёмкость ≈610 ч</t>
  </si>
  <si>
    <t>Затраты — в основном время разработки</t>
  </si>
  <si>
    <t>Сила поставщиков</t>
  </si>
  <si>
    <t>LLM-провайдеры</t>
  </si>
  <si>
    <t>ЛР4, 5 сил Портера</t>
  </si>
  <si>
    <t>Затраты на LLM API растут с базой пользователей</t>
  </si>
  <si>
    <t>AI — переменные затраты; в MVP заглушка/BYOK</t>
  </si>
  <si>
    <t>Интеграции</t>
  </si>
  <si>
    <t>GitHub, Google Drive</t>
  </si>
  <si>
    <t>docs/architecture/README.md §5.2</t>
  </si>
  <si>
    <t>OAuth + push/upload через Integration Service с повторами и DLQ</t>
  </si>
  <si>
    <t>Партнёры-платформы — хранение и канал</t>
  </si>
  <si>
    <t>Сегмент: студенты технических специальностей вузов РБ (+РФ/СНГ), которые выполняют лабораторные и курсовые с IDEF0/IDEF3/DFD/ERD/UML и выбирают инструмент по скорости и проверке правил; платящие — аналитики S-02 и архитекторы S-03</t>
  </si>
  <si>
    <t>ЛР5 (уровни конкуренции); SimilarWeb: RU 9,07 % трафика plantuml.com; концепция §4</t>
  </si>
  <si>
    <t>Опрос 20+ студентов (H-01); интервью 5 аналитиков</t>
  </si>
  <si>
    <t>Для студентов, которые тратят часы на диаграммы строгих нотаций и получают замечания за нарушения правил, NotaCode строит диаграмму из текста и до сдачи показывает нарушения с номером строки, в отличие от draw.io (правила не проверяет) и PlantUML/Mermaid (IDEF/DFD нет)</t>
  </si>
  <si>
    <t>Сайты plantuml.com, mermaid.js.org, d2lang.com, drawio.com (2026-09-17/23); ЛР5 Кано</t>
  </si>
  <si>
    <t>Сравнительный тест с draw.io (H-06)</t>
  </si>
  <si>
    <t>Основной канал: органический поиск (IDEF0, DFD, «diagram as code») для осведомления; вспомогательный: GitHub и рекомендации преподавателей; доказательство: Google Trends +231 %, дистрибуция конкурентов через GitHub</t>
  </si>
  <si>
    <t>ЛР1 Google Trends; ЛР5 каналы конкурентов</t>
  </si>
  <si>
    <t>UTM и события аналитики R1 (H-04)</t>
  </si>
  <si>
    <t>Тип отношений: самообслуживание (шаблоны, документация, AI-режим «Спросить по документации») на этапах активации и использования; сообщество — после R1, потому что DSL требует обучения</t>
  </si>
  <si>
    <t>Все прямые конкуренты — самообслуживание + документация (ЛР5)</t>
  </si>
  <si>
    <t>Доля пользователей, открывших документацию</t>
  </si>
  <si>
    <t>Основной поток доходов: подписка Pro за пользователя (4 USD/мес, 40 USD/год); дополнительные: кафедральный тариф (гипотеза); тарифный ограничитель: объём (проекты, версии) и форматы экспорта</t>
  </si>
  <si>
    <t>Eraser.io pricing; концепция §6 (цена — допущение)</t>
  </si>
  <si>
    <t>Заявки «Хочу Pro» в R1 (H-02); выбор платёжного провайдера РБ</t>
  </si>
  <si>
    <t>Ключевой ресурс: грамматика DSL и каталог профилей нотаций с правилами — нужен для создания и защиты ценности; Web IDE и модель версий — для доставки</t>
  </si>
  <si>
    <t>docs/architecture/README.md §7; agile-plan E2, E3</t>
  </si>
  <si>
    <t>Покрытие правил нотаций тестами</t>
  </si>
  <si>
    <t>Ключевой процесс: разработка профилей нотаций волнами и поддержка шаблонов/документации — обеспечивает корректность диаграмм, связан с ресурсом «каталог нотаций», влияет на ЦП</t>
  </si>
  <si>
    <t>agile-plan §7–9 (E2–E9, S0–S10)</t>
  </si>
  <si>
    <t>Выполнение спринтов S4–S7 (нотации волны 1)</t>
  </si>
  <si>
    <t>Партнёры: LLM-провайдеры (бесплатные квоты — скорость), GitHub и Google Drive API (интеграция), хостинг Netlify/Render/Neon (экономия), платёжный провайдер РБ (доступ к оплате — не выбран)</t>
  </si>
  <si>
    <t>Архитектура §3, §10; концепция A-03, A-04, R-24</t>
  </si>
  <si>
    <t>Выбор платёжного провайдера; лимиты бесплатных квот</t>
  </si>
  <si>
    <t>Ключевая статья затрат: время разработки ≈610 ч (постоянная, разработческая); инфраструктура MVP — 0; переменные — LLM API после MVP; связь с ценностью: затраты на нотации = затраты на отличие</t>
  </si>
  <si>
    <t>Концепция A-01, C-03; ЛР4 (сила поставщиков LLM)</t>
  </si>
  <si>
    <t>Расчёт стоимости инфраструктуры при 1 000 пользователей</t>
  </si>
  <si>
    <t>S-01 Студенты технических специальностей</t>
  </si>
  <si>
    <t>Сдать лабораторные/курсовые с диаграммами IDEF0/IDEF3/DFD/ERD/UML</t>
  </si>
  <si>
    <t>Ручное построение и замечания за нарушения правил</t>
  </si>
  <si>
    <t>Концепция P-01, P-03; ЛР5</t>
  </si>
  <si>
    <t>S-02 Бизнес- и системные аналитики</t>
  </si>
  <si>
    <t>Моделировать процессы и данные рядом с требованиями</t>
  </si>
  <si>
    <t>Рассинхронизация модели и документации, нет diff</t>
  </si>
  <si>
    <t>Концепция P-06; Eraser.io Git-синхронизация (рыночный сигнал)</t>
  </si>
  <si>
    <t>S-03 Архитекторы ПО</t>
  </si>
  <si>
    <t>UML, ERD физического уровня, экспорт в DDL</t>
  </si>
  <si>
    <t>Разные инструменты для разных нотаций</t>
  </si>
  <si>
    <t>Концепция §3; ЛР5 (PlantUML/Mermaid прямые)</t>
  </si>
  <si>
    <t>S-04 Преподаватели</t>
  </si>
  <si>
    <t>Готовить примеры и проверять работы</t>
  </si>
  <si>
    <t>Проверка правил вручную</t>
  </si>
  <si>
    <t>Концепция §3 (единичное наблюдение)</t>
  </si>
  <si>
    <t>P-001 / S-01</t>
  </si>
  <si>
    <t>Ручное построение и нарушения правил строгих нотаций</t>
  </si>
  <si>
    <t>draw.io, Visio, Ramus, бумага</t>
  </si>
  <si>
    <t>Корректная диаграмма до сдачи</t>
  </si>
  <si>
    <t>Диаграмма из текста + проверка правил с номером строки</t>
  </si>
  <si>
    <t>NotaCode Free (Web-IDE)</t>
  </si>
  <si>
    <t>Корректная диаграмма строгой нотации</t>
  </si>
  <si>
    <t>DSL-редактор, Run, холст, валидация, шаблоны, экспорт SVG/PNG</t>
  </si>
  <si>
    <t>История версий, AI-помощник, GitHub, документация</t>
  </si>
  <si>
    <t>P-002 / S-02</t>
  </si>
  <si>
    <t>Модели вне Git, нет diff</t>
  </si>
  <si>
    <t>draw.io + Confluence, Eraser.io</t>
  </si>
  <si>
    <t>Модель как текст с историей</t>
  </si>
  <si>
    <t>Текстовая модель с diff/откатом и push в GitHub</t>
  </si>
  <si>
    <t>NotaCode Pro</t>
  </si>
  <si>
    <t>Модель, синхронная с требованиями</t>
  </si>
  <si>
    <t>Полная история, diff, откат, все форматы экспорта</t>
  </si>
  <si>
    <t>Автосинхронизация GitHub/Drive, Kroki</t>
  </si>
  <si>
    <t>P-007 / S-03</t>
  </si>
  <si>
    <t>Разные инструменты и форматы</t>
  </si>
  <si>
    <t>PlantUML + draw.io + ручной перенос</t>
  </si>
  <si>
    <t>Один язык и конвертация</t>
  </si>
  <si>
    <t>Экспорт в PlantUML/Mermaid/XMI/SQL DDL</t>
  </si>
  <si>
    <t>NotaCode Pro (конвертеры)</t>
  </si>
  <si>
    <t>Один язык для всех нотаций</t>
  </si>
  <si>
    <t>Каталог нотаций, конвертеры</t>
  </si>
  <si>
    <t>Импорт форматов аналогов (R2–R3)</t>
  </si>
  <si>
    <t>S-01</t>
  </si>
  <si>
    <t>Органический поиск (IDEF0, DFD, «diagram as code»)</t>
  </si>
  <si>
    <t>Привлечение</t>
  </si>
  <si>
    <t>PlantUML, Mermaid — органика</t>
  </si>
  <si>
    <t>Рекомендация преподавателя / кафедры</t>
  </si>
  <si>
    <t>Не наблюдается у конкурентов (Ramus — вузовская практика)</t>
  </si>
  <si>
    <t>S-01, S-02</t>
  </si>
  <si>
    <t>Лендинг + галерея примеров + гостевой режим без регистрации</t>
  </si>
  <si>
    <t>Доверие</t>
  </si>
  <si>
    <t>draw.io «No account required»</t>
  </si>
  <si>
    <t>Шаблоны нотаций и документация в IDE</t>
  </si>
  <si>
    <t>Активация</t>
  </si>
  <si>
    <t>Документация у всех прямых конкурентов</t>
  </si>
  <si>
    <t>S-02, S-03</t>
  </si>
  <si>
    <t>Страница тарифов + заявка «Хочу Pro» (R1), оплата (R2)</t>
  </si>
  <si>
    <t>Монетизация</t>
  </si>
  <si>
    <t>Eraser.io публичные тарифы</t>
  </si>
  <si>
    <t>GitHub (push диаграмм и экспорта)</t>
  </si>
  <si>
    <t>Удержание и распространение</t>
  </si>
  <si>
    <t>PlantUML/Mermaid — GitHub</t>
  </si>
  <si>
    <t>Все</t>
  </si>
  <si>
    <t>Форма обратной связи + Telegram-чат</t>
  </si>
  <si>
    <t>Discord D2, community PlantUML</t>
  </si>
  <si>
    <t>Pro-подписка на 1 месяц за пользователя</t>
  </si>
  <si>
    <t>Упор в лимит Free (6-й проект, 21-я версия, экспорт XMI/BPMN XML)</t>
  </si>
  <si>
    <t>Число активных Pro-подписок</t>
  </si>
  <si>
    <t>4 USD/мес (допущение)</t>
  </si>
  <si>
    <t>Eraser.io $15–20/место</t>
  </si>
  <si>
    <t>Платят за объём работы и переносимость результата</t>
  </si>
  <si>
    <t>Pro-подписка на 12 месяцев</t>
  </si>
  <si>
    <t>Продление после семестра / перед дипломом</t>
  </si>
  <si>
    <t>Годовые подписки</t>
  </si>
  <si>
    <t>40 USD/год (≈17 % скидка)</t>
  </si>
  <si>
    <t>Годовые скидки у Eraser.io</t>
  </si>
  <si>
    <t>Длинный цикл учебного года</t>
  </si>
  <si>
    <t>Free-тариф</t>
  </si>
  <si>
    <t>Регистрация</t>
  </si>
  <si>
    <t>Активные Free-пользователи</t>
  </si>
  <si>
    <t>0 — вход в воронку</t>
  </si>
  <si>
    <t>PlantUML, Mermaid, draw.io бесплатны</t>
  </si>
  <si>
    <t>Бесплатный стандарт рынка</t>
  </si>
  <si>
    <t>Кафедральный тариф (гипотеза)</t>
  </si>
  <si>
    <t>Договор с вузом</t>
  </si>
  <si>
    <t>Число групп</t>
  </si>
  <si>
    <t>🔲 не определена</t>
  </si>
  <si>
    <t>Не наблюдается</t>
  </si>
  <si>
    <t>Платит влияющее лицо S-04</t>
  </si>
  <si>
    <t>Грамматика DSL (Lark) и модель диаграммы</t>
  </si>
  <si>
    <t>Создание ценности</t>
  </si>
  <si>
    <t>Архитектура §7</t>
  </si>
  <si>
    <t>Каталог профилей нотаций с правилами</t>
  </si>
  <si>
    <t>Проверка правил IDEF0/DFD/ERD/UML</t>
  </si>
  <si>
    <t>Отличие D-01, D-02</t>
  </si>
  <si>
    <t>Архитектура §7; BR-02–BR-05</t>
  </si>
  <si>
    <t>Web IDE (Monaco, elkjs, SVG-рендер)</t>
  </si>
  <si>
    <t>Доставка ценности</t>
  </si>
  <si>
    <t>Интерфейс VS Code + draw.io</t>
  </si>
  <si>
    <t>Архитектура §8</t>
  </si>
  <si>
    <t>Разработка профилей нотаций волнами</t>
  </si>
  <si>
    <t>Расширение охвата</t>
  </si>
  <si>
    <t>Волны 1–3</t>
  </si>
  <si>
    <t>agile-plan §8</t>
  </si>
  <si>
    <t>Поддержка шаблонов и документации</t>
  </si>
  <si>
    <t>Снижение порога входа</t>
  </si>
  <si>
    <t>P-005</t>
  </si>
  <si>
    <t>BR-10, BR-11</t>
  </si>
  <si>
    <t>Контроль качества (CI, 100 % покрытие, e2e)</t>
  </si>
  <si>
    <t>Надёжность результата</t>
  </si>
  <si>
    <t>DoD</t>
  </si>
  <si>
    <t>agile-plan §6</t>
  </si>
  <si>
    <t>LLM-провайдеры (Gemini, Groq, OpenRouter, Mistral)</t>
  </si>
  <si>
    <t>AI-режимы</t>
  </si>
  <si>
    <t>BR-15</t>
  </si>
  <si>
    <t>Концепция A-04</t>
  </si>
  <si>
    <t>GitHub, Google Drive API</t>
  </si>
  <si>
    <t>Хранение и канал</t>
  </si>
  <si>
    <t>BR-12</t>
  </si>
  <si>
    <t>Архитектура §5.2</t>
  </si>
  <si>
    <t>Приём оплаты Pro</t>
  </si>
  <si>
    <t>Риск R-24</t>
  </si>
  <si>
    <t>Разработка (≈610 ч)</t>
  </si>
  <si>
    <t>Все ресурсы</t>
  </si>
  <si>
    <t>Число эпиков и нотаций</t>
  </si>
  <si>
    <t>S0–S10</t>
  </si>
  <si>
    <t>Концепция A-01</t>
  </si>
  <si>
    <t>Хостинг и БД (Netlify, Render, Neon, CloudAMQP, Upstash)</t>
  </si>
  <si>
    <t>Web IDE, сервисы</t>
  </si>
  <si>
    <t>Число пользователей</t>
  </si>
  <si>
    <t>R1 — 0 USD</t>
  </si>
  <si>
    <t>Концепция C-03, A-03</t>
  </si>
  <si>
    <t>LLM API</t>
  </si>
  <si>
    <t>AI-сервис</t>
  </si>
  <si>
    <t>Число AI-запросов</t>
  </si>
  <si>
    <t>R4 (серверные ключи)</t>
  </si>
  <si>
    <t>ЛР4, сила поставщиков</t>
  </si>
  <si>
    <t>Комиссия платёжного провайдера</t>
  </si>
  <si>
    <t>Оплата Pro</t>
  </si>
  <si>
    <t>Выручка</t>
  </si>
  <si>
    <t>R2</t>
  </si>
  <si>
    <t>🔲 тарифы провайдера</t>
  </si>
  <si>
    <t>Продвижение (контент, статьи, конференции)</t>
  </si>
  <si>
    <t>Число каналов</t>
  </si>
  <si>
    <t>R3</t>
  </si>
  <si>
    <t>P-001 подтверждена сайтами конкурентов, отзывы — 🔲</t>
  </si>
  <si>
    <t>Собрать 30 отзывов и опрос</t>
  </si>
  <si>
    <t>VP-001 выведено из P-001 (максимальный ИПП)</t>
  </si>
  <si>
    <t>PR-001: состав, слои, лимиты Free</t>
  </si>
  <si>
    <t>Pro 4 USD — за объём и форматы</t>
  </si>
  <si>
    <t>Проверить цену (H-02)</t>
  </si>
  <si>
    <t>Поиск + преподаватели соответствуют поведению студентов</t>
  </si>
  <si>
    <t>Самообслуживание соответствует DSL-товару с документацией</t>
  </si>
  <si>
    <t>Каталог нотаций и грамматика покрывают волну 1</t>
  </si>
  <si>
    <t>Разработка нотаций волнами = создание ценности</t>
  </si>
  <si>
    <t>LLM и платёжный провайдер закрывают реальные ограничения; провайдер не выбран</t>
  </si>
  <si>
    <t>Выбрать провайдера до R2</t>
  </si>
  <si>
    <t>Затраты ≈0 на инфраструктуру, доход — гипотеза</t>
  </si>
  <si>
    <t>Модель юнит-экономики при 1 000 MAU</t>
  </si>
  <si>
    <t>IDEF/DFD + валидация — проверяемое отличие (сайты)</t>
  </si>
  <si>
    <t>Противоречие: платит не опорный сегмент</t>
  </si>
  <si>
    <t>Уточнить путь S-01 → Pro</t>
  </si>
  <si>
    <t>Ручное построение диаграмм строгих нотаций и отсутствие проверки правил (P-001, ИПП 4,35), подтверждено сайтами PlantUML, Mermaid, D2, draw.io; отзывы — 🔲</t>
  </si>
  <si>
    <t>Веб-платформа NotaCode: DSL-редактор, Run, холст, валидация волны 1, шаблоны, история версий, экспорт; Free и Pro</t>
  </si>
  <si>
    <t>Подписка Pro за пользователя: 4 USD/мес или 40 USD/год (допущение); ограничитель — проекты, версии, форматы</t>
  </si>
  <si>
    <t>Профили IDEF0/IDEF1X/IDEF3/DFD в режиме diagram-as-code и валидация правил нотации с кодом правила и строкой</t>
  </si>
  <si>
    <t>Студенты S-01 выбирают NotaCode из-за проверки правил (H-03), а ≥3 % Free оставляют заявку на Pro (H-02)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</si>
</sst>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color rgb="FF12355B"/>
      <name val="Carlito"/>
    </font>
    <font>
      <i/>
      <sz val="11"/>
      <color rgb="FF4B5563"/>
      <name val="Carlito"/>
    </font>
    <font>
      <sz val="1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2355B"/>
      </patternFill>
    </fill>
    <fill>
      <patternFill patternType="solid">
        <fgColor rgb="FF1F4E79"/>
      </patternFill>
    </fill>
    <fill>
      <patternFill patternType="solid">
        <fgColor rgb="FFEAF2F8"/>
      </patternFill>
    </fill>
    <fill>
      <patternFill patternType="solid">
        <fgColor rgb="FFF6F8FA"/>
      </patternFill>
    </fill>
    <fill>
      <patternFill patternType="solid">
        <fgColor rgb="FFFFF8E1"/>
      </patternFill>
    </fill>
    <fill>
      <patternFill patternType="solid">
        <fgColor rgb="FFE8F5E9"/>
      </patternFill>
    </fill>
    <fill>
      <patternFill patternType="solid">
        <fgColor rgb="FFDCEB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2">
    <xf numFmtId="0" fontId="0" fillId="0" borderId="0" xfId="0"/>
    <xf numFmtId="0" fontId="2" fillId="3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2" fillId="3" borderId="0" xfId="1" applyFont="1" applyFill="1" applyAlignment="1">
      <alignment horizontal="center" vertical="top" wrapText="1"/>
    </xf>
    <xf numFmtId="0" fontId="0" fillId="0" borderId="0" xfId="1" applyFont="1" applyAlignment="1">
      <alignment vertical="top" wrapText="1"/>
    </xf>
    <xf numFmtId="0" fontId="0" fillId="6" borderId="0" xfId="1" applyFont="1" applyFill="1" applyAlignment="1">
      <alignment vertical="top" wrapText="1"/>
    </xf>
    <xf numFmtId="0" fontId="0" fillId="7" borderId="0" xfId="1" applyFont="1" applyFill="1" applyAlignment="1">
      <alignment vertical="top" wrapText="1"/>
    </xf>
    <xf numFmtId="0" fontId="3" fillId="8" borderId="0" xfId="1" applyFont="1" applyFill="1" applyAlignment="1">
      <alignment horizontal="center" wrapText="1"/>
    </xf>
    <xf numFmtId="9" fontId="0" fillId="0" borderId="0" xfId="1" applyNumberFormat="1" applyFont="1" applyAlignment="1">
      <alignment wrapText="1"/>
    </xf>
    <xf numFmtId="0" fontId="1" fillId="2" borderId="0" xfId="1" applyFont="1" applyFill="1" applyAlignment="1">
      <alignment horizontal="center" vertical="center" wrapText="1"/>
    </xf>
    <xf numFmtId="0" fontId="3" fillId="4" borderId="0" xfId="1" applyFont="1" applyFill="1" applyAlignment="1">
      <alignment wrapText="1"/>
    </xf>
    <xf numFmtId="0" fontId="4" fillId="5" borderId="0" xfId="1" applyFont="1" applyFill="1" applyAlignment="1">
      <alignment wrapText="1"/>
    </xf>
  </cellXfs>
  <cellStyles count="2">
    <cellStyle name="Normal" xfId="1" xr:uid="{00000000-0005-0000-0000-000000000000}"/>
    <cellStyle name="Обычный" xfId="0" builtinId="0"/>
  </cellStyles>
  <dxfs count="2">
    <dxf>
      <fill>
        <patternFill patternType="solid">
          <bgColor rgb="FFFECACA"/>
        </patternFill>
      </fill>
    </dxf>
    <dxf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Достоверность</c:v>
          </c:tx>
          <c:invertIfNegative val="1"/>
          <c:cat>
            <c:strRef>
              <c:f>'11_Дашборд'!$A$12:$A$20</c:f>
              <c:strCache>
                <c:ptCount val="9"/>
                <c:pt idx="0">
                  <c:v>Клиентские сегменты</c:v>
                </c:pt>
                <c:pt idx="1">
                  <c:v>Ценностное предложение</c:v>
                </c:pt>
                <c:pt idx="2">
                  <c:v>Каналы</c:v>
                </c:pt>
                <c:pt idx="3">
                  <c:v>Отношения с клиентами</c:v>
                </c:pt>
                <c:pt idx="4">
                  <c:v>Потоки доходов</c:v>
                </c:pt>
                <c:pt idx="5">
                  <c:v>Ключевые ресурсы</c:v>
                </c:pt>
                <c:pt idx="6">
                  <c:v>Ключевые виды деятельности</c:v>
                </c:pt>
                <c:pt idx="7">
                  <c:v>Ключевые партнеры</c:v>
                </c:pt>
                <c:pt idx="8">
                  <c:v>Структура затрат</c:v>
                </c:pt>
              </c:strCache>
            </c:strRef>
          </c:cat>
          <c:val>
            <c:numRef>
              <c:f>'11_Дашборд'!$B$12:$B$20</c:f>
              <c:numCache>
                <c:formatCode>General</c:formatCode>
                <c:ptCount val="9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5</c:v>
                </c:pt>
                <c:pt idx="6">
                  <c:v>5</c:v>
                </c:pt>
                <c:pt idx="7">
                  <c:v>3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F5-4302-8A3E-6F3B68E65954}"/>
            </c:ext>
          </c:extLst>
        </c:ser>
        <c:ser>
          <c:idx val="1"/>
          <c:order val="1"/>
          <c:tx>
            <c:v>Полнота</c:v>
          </c:tx>
          <c:invertIfNegative val="1"/>
          <c:cat>
            <c:strRef>
              <c:f>'11_Дашборд'!$A$12:$A$20</c:f>
              <c:strCache>
                <c:ptCount val="9"/>
                <c:pt idx="0">
                  <c:v>Клиентские сегменты</c:v>
                </c:pt>
                <c:pt idx="1">
                  <c:v>Ценностное предложение</c:v>
                </c:pt>
                <c:pt idx="2">
                  <c:v>Каналы</c:v>
                </c:pt>
                <c:pt idx="3">
                  <c:v>Отношения с клиентами</c:v>
                </c:pt>
                <c:pt idx="4">
                  <c:v>Потоки доходов</c:v>
                </c:pt>
                <c:pt idx="5">
                  <c:v>Ключевые ресурсы</c:v>
                </c:pt>
                <c:pt idx="6">
                  <c:v>Ключевые виды деятельности</c:v>
                </c:pt>
                <c:pt idx="7">
                  <c:v>Ключевые партнеры</c:v>
                </c:pt>
                <c:pt idx="8">
                  <c:v>Структура затрат</c:v>
                </c:pt>
              </c:strCache>
            </c:strRef>
          </c:cat>
          <c:val>
            <c:numRef>
              <c:f>'11_Дашборд'!$C$12:$C$20</c:f>
              <c:numCache>
                <c:formatCode>General</c:formatCode>
                <c:ptCount val="9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F5-4302-8A3E-6F3B68E65954}"/>
            </c:ext>
          </c:extLst>
        </c:ser>
        <c:ser>
          <c:idx val="2"/>
          <c:order val="2"/>
          <c:tx>
            <c:v>Риск</c:v>
          </c:tx>
          <c:invertIfNegative val="1"/>
          <c:cat>
            <c:strRef>
              <c:f>'11_Дашборд'!$A$12:$A$20</c:f>
              <c:strCache>
                <c:ptCount val="9"/>
                <c:pt idx="0">
                  <c:v>Клиентские сегменты</c:v>
                </c:pt>
                <c:pt idx="1">
                  <c:v>Ценностное предложение</c:v>
                </c:pt>
                <c:pt idx="2">
                  <c:v>Каналы</c:v>
                </c:pt>
                <c:pt idx="3">
                  <c:v>Отношения с клиентами</c:v>
                </c:pt>
                <c:pt idx="4">
                  <c:v>Потоки доходов</c:v>
                </c:pt>
                <c:pt idx="5">
                  <c:v>Ключевые ресурсы</c:v>
                </c:pt>
                <c:pt idx="6">
                  <c:v>Ключевые виды деятельности</c:v>
                </c:pt>
                <c:pt idx="7">
                  <c:v>Ключевые партнеры</c:v>
                </c:pt>
                <c:pt idx="8">
                  <c:v>Структура затрат</c:v>
                </c:pt>
              </c:strCache>
            </c:strRef>
          </c:cat>
          <c:val>
            <c:numRef>
              <c:f>'11_Дашборд'!$D$12:$D$20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F5-4302-8A3E-6F3B68E65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putAnalysisTable" displayName="InputAnalysisTable" ref="A2:N202">
  <tableColumns count="14">
    <tableColumn id="1" xr3:uid="{00000000-0010-0000-0000-000001000000}" name="ID"/>
    <tableColumn id="2" xr3:uid="{00000000-0010-0000-0000-000002000000}" name="Источник анализа"/>
    <tableColumn id="3" xr3:uid="{00000000-0010-0000-0000-000003000000}" name="Объект анализа"/>
    <tableColumn id="4" xr3:uid="{00000000-0010-0000-0000-000004000000}" name="Компания / товар"/>
    <tableColumn id="5" xr3:uid="{00000000-0010-0000-0000-000005000000}" name="Ссылка или место фиксации"/>
    <tableColumn id="6" xr3:uid="{00000000-0010-0000-0000-000006000000}" name="Факт / наблюдение"/>
    <tableColumn id="7" xr3:uid="{00000000-0010-0000-0000-000007000000}" name="Вывод для бизнес-модели"/>
    <tableColumn id="8" xr3:uid="{00000000-0010-0000-0000-000008000000}" name="Блок Канвас"/>
    <tableColumn id="9" xr3:uid="{00000000-0010-0000-0000-000009000000}" name="Достоверность 1-5"/>
    <tableColumn id="10" xr3:uid="{00000000-0010-0000-0000-00000A000000}" name="Актуальность 1-5"/>
    <tableColumn id="11" xr3:uid="{00000000-0010-0000-0000-00000B000000}" name="Приоритет 1-5"/>
    <tableColumn id="12" xr3:uid="{00000000-0010-0000-0000-00000C000000}" name="Индекс доказательности"/>
    <tableColumn id="13" xr3:uid="{00000000-0010-0000-0000-00000D000000}" name="Статус использования"/>
    <tableColumn id="14" xr3:uid="{00000000-0010-0000-0000-00000E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nvasTable" displayName="CanvasTable" ref="A2:J11">
  <tableColumns count="10">
    <tableColumn id="1" xr3:uid="{00000000-0010-0000-0100-000001000000}" name="Блок Канвас"/>
    <tableColumn id="2" xr3:uid="{00000000-0010-0000-0100-000002000000}" name="Ключевые вопросы"/>
    <tableColumn id="3" xr3:uid="{00000000-0010-0000-0100-000003000000}" name="Источники ответов из анализа"/>
    <tableColumn id="4" xr3:uid="{00000000-0010-0000-0100-000004000000}" name="Рабочая формулировка"/>
    <tableColumn id="5" xr3:uid="{00000000-0010-0000-0100-000005000000}" name="Доказательства"/>
    <tableColumn id="6" xr3:uid="{00000000-0010-0000-0100-000006000000}" name="Достоверность 1-5"/>
    <tableColumn id="7" xr3:uid="{00000000-0010-0000-0100-000007000000}" name="Полнота 1-5"/>
    <tableColumn id="8" xr3:uid="{00000000-0010-0000-0100-000008000000}" name="Риск ошибки 1-5"/>
    <tableColumn id="9" xr3:uid="{00000000-0010-0000-0100-000009000000}" name="Что проверить"/>
    <tableColumn id="10" xr3:uid="{00000000-0010-0000-0100-00000A000000}" name="Итоговый статус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egmentsTable" displayName="SegmentsTable" ref="A2:K102">
  <tableColumns count="11">
    <tableColumn id="1" xr3:uid="{00000000-0010-0000-0200-000001000000}" name="ID сегмента"/>
    <tableColumn id="2" xr3:uid="{00000000-0010-0000-0200-000002000000}" name="Сегмент"/>
    <tableColumn id="3" xr3:uid="{00000000-0010-0000-0200-000003000000}" name="Задача клиента"/>
    <tableColumn id="4" xr3:uid="{00000000-0010-0000-0200-000004000000}" name="Ключевая проблема"/>
    <tableColumn id="5" xr3:uid="{00000000-0010-0000-0200-000005000000}" name="Доказательства"/>
    <tableColumn id="6" xr3:uid="{00000000-0010-0000-0200-000006000000}" name="Сила боли 1-5"/>
    <tableColumn id="7" xr3:uid="{00000000-0010-0000-0200-000007000000}" name="Рыночный сигнал 1-5"/>
    <tableColumn id="8" xr3:uid="{00000000-0010-0000-0200-000008000000}" name="Платежеспособность 1-5"/>
    <tableColumn id="9" xr3:uid="{00000000-0010-0000-0200-000009000000}" name="Доступность канала 1-5"/>
    <tableColumn id="10" xr3:uid="{00000000-0010-0000-0200-00000A000000}" name="Индекс приоритета"/>
    <tableColumn id="11" xr3:uid="{00000000-0010-0000-0200-00000B000000}" name="Статус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ValueProductTable" displayName="ValueProductTable" ref="A2:Q102">
  <tableColumns count="17">
    <tableColumn id="1" xr3:uid="{00000000-0010-0000-0300-000001000000}" name="ID"/>
    <tableColumn id="2" xr3:uid="{00000000-0010-0000-0300-000002000000}" name="ID проблемы / сегмента"/>
    <tableColumn id="3" xr3:uid="{00000000-0010-0000-0300-000003000000}" name="Формулировка проблемы"/>
    <tableColumn id="4" xr3:uid="{00000000-0010-0000-0300-000004000000}" name="Текущая альтернатива клиента"/>
    <tableColumn id="5" xr3:uid="{00000000-0010-0000-0300-000005000000}" name="Желаемый результат"/>
    <tableColumn id="6" xr3:uid="{00000000-0010-0000-0300-000006000000}" name="Формулировка ценностного предложения"/>
    <tableColumn id="7" xr3:uid="{00000000-0010-0000-0300-000007000000}" name="Цифровой товар"/>
    <tableColumn id="8" xr3:uid="{00000000-0010-0000-0300-000008000000}" name="Тип цифрового товара"/>
    <tableColumn id="9" xr3:uid="{00000000-0010-0000-0300-000009000000}" name="Ядро товара"/>
    <tableColumn id="10" xr3:uid="{00000000-0010-0000-0300-00000A000000}" name="Реальный товар"/>
    <tableColumn id="11" xr3:uid="{00000000-0010-0000-0300-00000B000000}" name="Расширенный товар"/>
    <tableColumn id="12" xr3:uid="{00000000-0010-0000-0300-00000C000000}" name="Класс требования по Кано"/>
    <tableColumn id="13" xr3:uid="{00000000-0010-0000-0300-00000D000000}" name="Дифференциация 1-5"/>
    <tableColumn id="14" xr3:uid="{00000000-0010-0000-0300-00000E000000}" name="Доказательность 1-5"/>
    <tableColumn id="15" xr3:uid="{00000000-0010-0000-0300-00000F000000}" name="Связь с монетизацией 1-5"/>
    <tableColumn id="16" xr3:uid="{00000000-0010-0000-0300-000010000000}" name="Индекс готовности"/>
    <tableColumn id="17" xr3:uid="{00000000-0010-0000-0300-000011000000}" name="Статус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hannelsTable" displayName="ChannelsTable" ref="A2:K102">
  <tableColumns count="11">
    <tableColumn id="1" xr3:uid="{00000000-0010-0000-0400-000001000000}" name="ID"/>
    <tableColumn id="2" xr3:uid="{00000000-0010-0000-0400-000002000000}" name="Этап канала"/>
    <tableColumn id="3" xr3:uid="{00000000-0010-0000-0400-000003000000}" name="Сегмент"/>
    <tableColumn id="4" xr3:uid="{00000000-0010-0000-0400-000004000000}" name="Канал / точка контакта"/>
    <tableColumn id="5" xr3:uid="{00000000-0010-0000-0400-000005000000}" name="Роль в воронке"/>
    <tableColumn id="6" xr3:uid="{00000000-0010-0000-0400-000006000000}" name="Конкурентный стандарт"/>
    <tableColumn id="7" xr3:uid="{00000000-0010-0000-0400-000007000000}" name="Пригодность 1-5"/>
    <tableColumn id="8" xr3:uid="{00000000-0010-0000-0400-000008000000}" name="Затратность/риск 1-5"/>
    <tableColumn id="9" xr3:uid="{00000000-0010-0000-0400-000009000000}" name="Доказательность 1-5"/>
    <tableColumn id="10" xr3:uid="{00000000-0010-0000-0400-00000A000000}" name="Индекс приоритета"/>
    <tableColumn id="11" xr3:uid="{00000000-0010-0000-0400-00000B000000}" name="Решени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onetizationTable" displayName="MonetizationTable" ref="A2:N102">
  <tableColumns count="14">
    <tableColumn id="1" xr3:uid="{00000000-0010-0000-0500-000001000000}" name="ID"/>
    <tableColumn id="2" xr3:uid="{00000000-0010-0000-0500-000002000000}" name="Единица монетизации"/>
    <tableColumn id="3" xr3:uid="{00000000-0010-0000-0500-000003000000}" name="Событие оплаты"/>
    <tableColumn id="4" xr3:uid="{00000000-0010-0000-0500-000004000000}" name="Метрика учета"/>
    <tableColumn id="5" xr3:uid="{00000000-0010-0000-0500-000005000000}" name="Логика цены"/>
    <tableColumn id="6" xr3:uid="{00000000-0010-0000-0500-000006000000}" name="Тип потока доходов"/>
    <tableColumn id="7" xr3:uid="{00000000-0010-0000-0500-000007000000}" name="Сигналы конкурентов"/>
    <tableColumn id="8" xr3:uid="{00000000-0010-0000-0500-000008000000}" name="Связь с ценностью"/>
    <tableColumn id="9" xr3:uid="{00000000-0010-0000-0500-000009000000}" name="Готовность платить 1-5"/>
    <tableColumn id="10" xr3:uid="{00000000-0010-0000-0500-00000A000000}" name="Измеримость 1-5"/>
    <tableColumn id="11" xr3:uid="{00000000-0010-0000-0500-00000B000000}" name="Повторяемость дохода 1-5"/>
    <tableColumn id="12" xr3:uid="{00000000-0010-0000-0500-00000C000000}" name="Доказательность 1-5"/>
    <tableColumn id="13" xr3:uid="{00000000-0010-0000-0500-00000D000000}" name="Индекс монетизации"/>
    <tableColumn id="14" xr3:uid="{00000000-0010-0000-0500-00000E000000}" name="Статус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OperationsTable" displayName="OperationsTable" ref="A2:K122">
  <tableColumns count="11">
    <tableColumn id="1" xr3:uid="{00000000-0010-0000-0600-000001000000}" name="ID"/>
    <tableColumn id="2" xr3:uid="{00000000-0010-0000-0600-000002000000}" name="Блок"/>
    <tableColumn id="3" xr3:uid="{00000000-0010-0000-0600-000003000000}" name="Элемент"/>
    <tableColumn id="4" xr3:uid="{00000000-0010-0000-0600-000004000000}" name="Описание"/>
    <tableColumn id="5" xr3:uid="{00000000-0010-0000-0600-000005000000}" name="Как поддерживает ценность / товар"/>
    <tableColumn id="6" xr3:uid="{00000000-0010-0000-0600-000006000000}" name="Источник"/>
    <tableColumn id="7" xr3:uid="{00000000-0010-0000-0600-000007000000}" name="Критичность 1-5"/>
    <tableColumn id="8" xr3:uid="{00000000-0010-0000-0600-000008000000}" name="Доступность 1-5"/>
    <tableColumn id="9" xr3:uid="{00000000-0010-0000-0600-000009000000}" name="Затратное влияние 1-5"/>
    <tableColumn id="10" xr3:uid="{00000000-0010-0000-0600-00000A000000}" name="Подход к обеспечению"/>
    <tableColumn id="11" xr3:uid="{00000000-0010-0000-0600-00000B000000}" name="Операционный приоритет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CostsTable" displayName="CostsTable" ref="A2:K102">
  <tableColumns count="11">
    <tableColumn id="1" xr3:uid="{00000000-0010-0000-0700-000001000000}" name="ID"/>
    <tableColumn id="2" xr3:uid="{00000000-0010-0000-0700-000002000000}" name="Статья затрат"/>
    <tableColumn id="3" xr3:uid="{00000000-0010-0000-0700-000003000000}" name="Связанный ресурс / деятельность"/>
    <tableColumn id="4" xr3:uid="{00000000-0010-0000-0700-000004000000}" name="Тип затрат"/>
    <tableColumn id="5" xr3:uid="{00000000-0010-0000-0700-000005000000}" name="Драйвер затрат"/>
    <tableColumn id="6" xr3:uid="{00000000-0010-0000-0700-000006000000}" name="Этап развития"/>
    <tableColumn id="7" xr3:uid="{00000000-0010-0000-0700-000007000000}" name="Доказательство / основание"/>
    <tableColumn id="8" xr3:uid="{00000000-0010-0000-0700-000008000000}" name="Влияние на экономику 1-5"/>
    <tableColumn id="9" xr3:uid="{00000000-0010-0000-0700-000009000000}" name="Уверенность 1-5"/>
    <tableColumn id="10" xr3:uid="{00000000-0010-0000-0700-00000A000000}" name="Управляемость 1-5"/>
    <tableColumn id="11" xr3:uid="{00000000-0010-0000-0700-00000B000000}" name="Приоритет контроля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CoherenceCheckTable" displayName="CoherenceCheckTable" ref="A2:G14">
  <tableColumns count="7">
    <tableColumn id="1" xr3:uid="{00000000-0010-0000-0800-000001000000}" name="№"/>
    <tableColumn id="2" xr3:uid="{00000000-0010-0000-0800-000002000000}" name="Контрольный вопрос"/>
    <tableColumn id="3" xr3:uid="{00000000-0010-0000-0800-000003000000}" name="Где искать ответ"/>
    <tableColumn id="4" xr3:uid="{00000000-0010-0000-0800-000004000000}" name="Доказательство / ссылка на вывод"/>
    <tableColumn id="5" xr3:uid="{00000000-0010-0000-0800-000005000000}" name="Оценка 1-5"/>
    <tableColumn id="6" xr3:uid="{00000000-0010-0000-0800-000006000000}" name="Результат"/>
    <tableColumn id="7" xr3:uid="{00000000-0010-0000-0800-000007000000}" name="Что доработать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BusinessModelPassportTable" displayName="BusinessModelPassportTable" ref="A2:E16">
  <tableColumns count="5">
    <tableColumn id="1" xr3:uid="{00000000-0010-0000-0900-000001000000}" name="Раздел паспорта"/>
    <tableColumn id="2" xr3:uid="{00000000-0010-0000-0900-000002000000}" name="Итоговая формулировка"/>
    <tableColumn id="3" xr3:uid="{00000000-0010-0000-0900-000003000000}" name="Основной источник"/>
    <tableColumn id="4" xr3:uid="{00000000-0010-0000-0900-000004000000}" name="Контрольный вопрос"/>
    <tableColumn id="5" xr3:uid="{00000000-0010-0000-0900-000005000000}" name="Стату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sqref="A1:H1"/>
    </sheetView>
  </sheetViews>
  <sheetFormatPr defaultRowHeight="14.25"/>
  <cols>
    <col min="1" max="1" width="10" customWidth="1"/>
    <col min="2" max="5" width="30" customWidth="1"/>
  </cols>
  <sheetData>
    <row r="1" spans="1:8" ht="32.1" customHeight="1">
      <c r="A1" s="9" t="s">
        <v>0</v>
      </c>
      <c r="B1" s="9"/>
      <c r="C1" s="9"/>
      <c r="D1" s="9"/>
      <c r="E1" s="9"/>
      <c r="F1" s="9"/>
      <c r="G1" s="9"/>
      <c r="H1" s="9"/>
    </row>
    <row r="3" spans="1:8" ht="15">
      <c r="A3" s="10" t="s">
        <v>1</v>
      </c>
      <c r="B3" s="10"/>
      <c r="C3" s="10"/>
      <c r="D3" s="10"/>
      <c r="E3" s="10"/>
      <c r="F3" s="10"/>
      <c r="G3" s="10"/>
      <c r="H3" s="10"/>
    </row>
    <row r="4" spans="1:8">
      <c r="A4" s="11" t="s">
        <v>2</v>
      </c>
      <c r="B4" s="11"/>
      <c r="C4" s="11"/>
      <c r="D4" s="11"/>
      <c r="E4" s="11"/>
      <c r="F4" s="11"/>
      <c r="G4" s="11"/>
      <c r="H4" s="11"/>
    </row>
    <row r="5" spans="1:8">
      <c r="A5" s="11"/>
      <c r="B5" s="11"/>
      <c r="C5" s="11"/>
      <c r="D5" s="11"/>
      <c r="E5" s="11"/>
      <c r="F5" s="11"/>
      <c r="G5" s="11"/>
      <c r="H5" s="11"/>
    </row>
    <row r="7" spans="1:8" ht="32.1" customHeight="1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</row>
    <row r="8" spans="1:8" ht="42.75">
      <c r="A8" s="2">
        <v>1</v>
      </c>
      <c r="B8" s="2" t="s">
        <v>8</v>
      </c>
      <c r="C8" s="2" t="s">
        <v>9</v>
      </c>
      <c r="D8" s="2" t="s">
        <v>10</v>
      </c>
      <c r="E8" s="2" t="s">
        <v>11</v>
      </c>
    </row>
    <row r="9" spans="1:8" ht="42.75">
      <c r="A9" s="2">
        <v>2</v>
      </c>
      <c r="B9" s="2" t="s">
        <v>12</v>
      </c>
      <c r="C9" s="2" t="s">
        <v>13</v>
      </c>
      <c r="D9" s="2" t="s">
        <v>14</v>
      </c>
      <c r="E9" s="2" t="s">
        <v>15</v>
      </c>
    </row>
    <row r="10" spans="1:8" ht="28.5">
      <c r="A10" s="2">
        <v>3</v>
      </c>
      <c r="B10" s="2" t="s">
        <v>16</v>
      </c>
      <c r="C10" s="2" t="s">
        <v>17</v>
      </c>
      <c r="D10" s="2" t="s">
        <v>18</v>
      </c>
      <c r="E10" s="2" t="s">
        <v>19</v>
      </c>
    </row>
    <row r="11" spans="1:8" ht="42.75">
      <c r="A11" s="2">
        <v>4</v>
      </c>
      <c r="B11" s="2" t="s">
        <v>20</v>
      </c>
      <c r="C11" s="2" t="s">
        <v>21</v>
      </c>
      <c r="D11" s="2" t="s">
        <v>22</v>
      </c>
      <c r="E11" s="2" t="s">
        <v>23</v>
      </c>
    </row>
    <row r="12" spans="1:8" ht="42.75">
      <c r="A12" s="2">
        <v>5</v>
      </c>
      <c r="B12" s="2" t="s">
        <v>24</v>
      </c>
      <c r="C12" s="2" t="s">
        <v>25</v>
      </c>
      <c r="D12" s="2" t="s">
        <v>26</v>
      </c>
      <c r="E12" s="2" t="s">
        <v>27</v>
      </c>
    </row>
    <row r="13" spans="1:8" ht="28.5">
      <c r="A13" s="2">
        <v>6</v>
      </c>
      <c r="B13" s="2" t="s">
        <v>28</v>
      </c>
      <c r="C13" s="2" t="s">
        <v>29</v>
      </c>
      <c r="D13" s="2" t="s">
        <v>30</v>
      </c>
      <c r="E13" s="2" t="s">
        <v>31</v>
      </c>
    </row>
    <row r="14" spans="1:8" ht="42.75">
      <c r="A14" s="2">
        <v>7</v>
      </c>
      <c r="B14" s="2" t="s">
        <v>32</v>
      </c>
      <c r="C14" s="2" t="s">
        <v>33</v>
      </c>
      <c r="D14" s="2" t="s">
        <v>34</v>
      </c>
      <c r="E14" s="2" t="s">
        <v>35</v>
      </c>
    </row>
  </sheetData>
  <mergeCells count="3">
    <mergeCell ref="A1:H1"/>
    <mergeCell ref="A3:H3"/>
    <mergeCell ref="A4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2"/>
  <sheetViews>
    <sheetView workbookViewId="0"/>
  </sheetViews>
  <sheetFormatPr defaultRowHeight="14.25"/>
  <cols>
    <col min="1" max="1" width="7" customWidth="1"/>
    <col min="2" max="2" width="26" customWidth="1"/>
    <col min="3" max="4" width="24" customWidth="1"/>
    <col min="5" max="5" width="32" customWidth="1"/>
    <col min="6" max="7" width="38" customWidth="1"/>
    <col min="8" max="8" width="24" customWidth="1"/>
    <col min="9" max="11" width="16" customWidth="1"/>
    <col min="12" max="12" width="18" customWidth="1"/>
    <col min="13" max="13" width="22" customWidth="1"/>
    <col min="14" max="14" width="28" customWidth="1"/>
  </cols>
  <sheetData>
    <row r="1" spans="1:14" ht="32.1" customHeight="1">
      <c r="A1" s="9" t="s">
        <v>36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32.1" customHeight="1">
      <c r="A2" s="3" t="s">
        <v>37</v>
      </c>
      <c r="B2" s="3" t="s">
        <v>38</v>
      </c>
      <c r="C2" s="3" t="s">
        <v>39</v>
      </c>
      <c r="D2" s="3" t="s">
        <v>40</v>
      </c>
      <c r="E2" s="3" t="s">
        <v>41</v>
      </c>
      <c r="F2" s="3" t="s">
        <v>42</v>
      </c>
      <c r="G2" s="3" t="s">
        <v>43</v>
      </c>
      <c r="H2" s="3" t="s">
        <v>44</v>
      </c>
      <c r="I2" s="3" t="s">
        <v>45</v>
      </c>
      <c r="J2" s="3" t="s">
        <v>46</v>
      </c>
      <c r="K2" s="3" t="s">
        <v>47</v>
      </c>
      <c r="L2" s="3" t="s">
        <v>48</v>
      </c>
      <c r="M2" s="3" t="s">
        <v>49</v>
      </c>
      <c r="N2" s="3" t="s">
        <v>50</v>
      </c>
    </row>
    <row r="3" spans="1:14" ht="42.75">
      <c r="A3" s="4">
        <v>1</v>
      </c>
      <c r="B3" s="5" t="s">
        <v>286</v>
      </c>
      <c r="C3" s="5" t="s">
        <v>308</v>
      </c>
      <c r="D3" s="5" t="s">
        <v>309</v>
      </c>
      <c r="E3" s="5" t="s">
        <v>310</v>
      </c>
      <c r="F3" s="5" t="s">
        <v>311</v>
      </c>
      <c r="G3" s="5" t="s">
        <v>312</v>
      </c>
      <c r="H3" s="5" t="s">
        <v>63</v>
      </c>
      <c r="I3" s="5">
        <v>5</v>
      </c>
      <c r="J3" s="5">
        <v>5</v>
      </c>
      <c r="K3" s="5">
        <v>5</v>
      </c>
      <c r="L3" s="6">
        <f t="shared" ref="L3:L34" si="0">IF(COUNTA(B3:K3)=0,"",ROUND(AVERAGE(I3:K3),2))</f>
        <v>5</v>
      </c>
      <c r="M3" s="5" t="s">
        <v>260</v>
      </c>
      <c r="N3" s="5"/>
    </row>
    <row r="4" spans="1:14" ht="28.5">
      <c r="A4" s="4">
        <v>2</v>
      </c>
      <c r="B4" s="5" t="s">
        <v>241</v>
      </c>
      <c r="C4" s="5" t="s">
        <v>313</v>
      </c>
      <c r="D4" s="5" t="s">
        <v>314</v>
      </c>
      <c r="E4" s="5" t="s">
        <v>315</v>
      </c>
      <c r="F4" s="5" t="s">
        <v>316</v>
      </c>
      <c r="G4" s="5" t="s">
        <v>317</v>
      </c>
      <c r="H4" s="5" t="s">
        <v>63</v>
      </c>
      <c r="I4" s="5">
        <v>5</v>
      </c>
      <c r="J4" s="5">
        <v>5</v>
      </c>
      <c r="K4" s="5">
        <v>5</v>
      </c>
      <c r="L4" s="6">
        <f t="shared" si="0"/>
        <v>5</v>
      </c>
      <c r="M4" s="5" t="s">
        <v>260</v>
      </c>
      <c r="N4" s="5" t="s">
        <v>318</v>
      </c>
    </row>
    <row r="5" spans="1:14" ht="28.5">
      <c r="A5" s="4">
        <v>3</v>
      </c>
      <c r="B5" s="5" t="s">
        <v>241</v>
      </c>
      <c r="C5" s="5" t="s">
        <v>319</v>
      </c>
      <c r="D5" s="5" t="s">
        <v>320</v>
      </c>
      <c r="E5" s="5" t="s">
        <v>321</v>
      </c>
      <c r="F5" s="5" t="s">
        <v>322</v>
      </c>
      <c r="G5" s="5" t="s">
        <v>323</v>
      </c>
      <c r="H5" s="5" t="s">
        <v>63</v>
      </c>
      <c r="I5" s="5">
        <v>4</v>
      </c>
      <c r="J5" s="5">
        <v>5</v>
      </c>
      <c r="K5" s="5">
        <v>5</v>
      </c>
      <c r="L5" s="6">
        <f t="shared" si="0"/>
        <v>4.67</v>
      </c>
      <c r="M5" s="5" t="s">
        <v>260</v>
      </c>
      <c r="N5" s="5" t="s">
        <v>324</v>
      </c>
    </row>
    <row r="6" spans="1:14" ht="28.5">
      <c r="A6" s="4">
        <v>4</v>
      </c>
      <c r="B6" s="5" t="s">
        <v>250</v>
      </c>
      <c r="C6" s="5" t="s">
        <v>325</v>
      </c>
      <c r="D6" s="5" t="s">
        <v>326</v>
      </c>
      <c r="E6" s="5" t="s">
        <v>327</v>
      </c>
      <c r="F6" s="5" t="s">
        <v>328</v>
      </c>
      <c r="G6" s="5" t="s">
        <v>329</v>
      </c>
      <c r="H6" s="5" t="s">
        <v>72</v>
      </c>
      <c r="I6" s="5">
        <v>5</v>
      </c>
      <c r="J6" s="5">
        <v>4</v>
      </c>
      <c r="K6" s="5">
        <v>5</v>
      </c>
      <c r="L6" s="6">
        <f t="shared" si="0"/>
        <v>4.67</v>
      </c>
      <c r="M6" s="5" t="s">
        <v>260</v>
      </c>
      <c r="N6" s="5"/>
    </row>
    <row r="7" spans="1:14" ht="28.5">
      <c r="A7" s="4">
        <v>5</v>
      </c>
      <c r="B7" s="5" t="s">
        <v>250</v>
      </c>
      <c r="C7" s="5" t="s">
        <v>330</v>
      </c>
      <c r="D7" s="5" t="s">
        <v>331</v>
      </c>
      <c r="E7" s="5" t="s">
        <v>332</v>
      </c>
      <c r="F7" s="5" t="s">
        <v>333</v>
      </c>
      <c r="G7" s="5" t="s">
        <v>334</v>
      </c>
      <c r="H7" s="5" t="s">
        <v>72</v>
      </c>
      <c r="I7" s="5">
        <v>5</v>
      </c>
      <c r="J7" s="5">
        <v>4</v>
      </c>
      <c r="K7" s="5">
        <v>5</v>
      </c>
      <c r="L7" s="6">
        <f t="shared" si="0"/>
        <v>4.67</v>
      </c>
      <c r="M7" s="5" t="s">
        <v>260</v>
      </c>
      <c r="N7" s="5"/>
    </row>
    <row r="8" spans="1:14" ht="57">
      <c r="A8" s="4">
        <v>6</v>
      </c>
      <c r="B8" s="5" t="s">
        <v>268</v>
      </c>
      <c r="C8" s="5" t="s">
        <v>335</v>
      </c>
      <c r="D8" s="5" t="s">
        <v>336</v>
      </c>
      <c r="E8" s="5" t="s">
        <v>337</v>
      </c>
      <c r="F8" s="5" t="s">
        <v>338</v>
      </c>
      <c r="G8" s="5" t="s">
        <v>339</v>
      </c>
      <c r="H8" s="5" t="s">
        <v>63</v>
      </c>
      <c r="I8" s="5">
        <v>4</v>
      </c>
      <c r="J8" s="5">
        <v>5</v>
      </c>
      <c r="K8" s="5">
        <v>5</v>
      </c>
      <c r="L8" s="6">
        <f t="shared" si="0"/>
        <v>4.67</v>
      </c>
      <c r="M8" s="5" t="s">
        <v>260</v>
      </c>
      <c r="N8" s="5"/>
    </row>
    <row r="9" spans="1:14" ht="42.75">
      <c r="A9" s="4">
        <v>7</v>
      </c>
      <c r="B9" s="5" t="s">
        <v>259</v>
      </c>
      <c r="C9" s="5" t="s">
        <v>340</v>
      </c>
      <c r="D9" s="5" t="s">
        <v>341</v>
      </c>
      <c r="E9" s="5" t="s">
        <v>342</v>
      </c>
      <c r="F9" s="5" t="s">
        <v>343</v>
      </c>
      <c r="G9" s="5" t="s">
        <v>344</v>
      </c>
      <c r="H9" s="5" t="s">
        <v>75</v>
      </c>
      <c r="I9" s="5">
        <v>4</v>
      </c>
      <c r="J9" s="5">
        <v>5</v>
      </c>
      <c r="K9" s="5">
        <v>4</v>
      </c>
      <c r="L9" s="6">
        <f t="shared" si="0"/>
        <v>4.33</v>
      </c>
      <c r="M9" s="5" t="s">
        <v>260</v>
      </c>
      <c r="N9" s="5"/>
    </row>
    <row r="10" spans="1:14" ht="28.5">
      <c r="A10" s="4">
        <v>8</v>
      </c>
      <c r="B10" s="5" t="s">
        <v>241</v>
      </c>
      <c r="C10" s="5" t="s">
        <v>345</v>
      </c>
      <c r="D10" s="5" t="s">
        <v>346</v>
      </c>
      <c r="E10" s="5" t="s">
        <v>347</v>
      </c>
      <c r="F10" s="5" t="s">
        <v>348</v>
      </c>
      <c r="G10" s="5" t="s">
        <v>349</v>
      </c>
      <c r="H10" s="5" t="s">
        <v>60</v>
      </c>
      <c r="I10" s="5">
        <v>4</v>
      </c>
      <c r="J10" s="5">
        <v>4</v>
      </c>
      <c r="K10" s="5">
        <v>4</v>
      </c>
      <c r="L10" s="6">
        <f t="shared" si="0"/>
        <v>4</v>
      </c>
      <c r="M10" s="5" t="s">
        <v>260</v>
      </c>
      <c r="N10" s="5"/>
    </row>
    <row r="11" spans="1:14" ht="28.5">
      <c r="A11" s="4">
        <v>9</v>
      </c>
      <c r="B11" s="5" t="s">
        <v>241</v>
      </c>
      <c r="C11" s="5" t="s">
        <v>345</v>
      </c>
      <c r="D11" s="5" t="s">
        <v>350</v>
      </c>
      <c r="E11" s="5" t="s">
        <v>351</v>
      </c>
      <c r="F11" s="5" t="s">
        <v>352</v>
      </c>
      <c r="G11" s="5" t="s">
        <v>353</v>
      </c>
      <c r="H11" s="5" t="s">
        <v>66</v>
      </c>
      <c r="I11" s="5">
        <v>4</v>
      </c>
      <c r="J11" s="5">
        <v>4</v>
      </c>
      <c r="K11" s="5">
        <v>3</v>
      </c>
      <c r="L11" s="6">
        <f t="shared" si="0"/>
        <v>3.67</v>
      </c>
      <c r="M11" s="5" t="s">
        <v>260</v>
      </c>
      <c r="N11" s="5"/>
    </row>
    <row r="12" spans="1:14" ht="42.75">
      <c r="A12" s="4">
        <v>10</v>
      </c>
      <c r="B12" s="5" t="s">
        <v>304</v>
      </c>
      <c r="C12" s="5" t="s">
        <v>354</v>
      </c>
      <c r="D12" s="5" t="s">
        <v>355</v>
      </c>
      <c r="E12" s="5" t="s">
        <v>356</v>
      </c>
      <c r="F12" s="5" t="s">
        <v>357</v>
      </c>
      <c r="G12" s="5" t="s">
        <v>358</v>
      </c>
      <c r="H12" s="5" t="s">
        <v>66</v>
      </c>
      <c r="I12" s="5">
        <v>4</v>
      </c>
      <c r="J12" s="5">
        <v>4</v>
      </c>
      <c r="K12" s="5">
        <v>4</v>
      </c>
      <c r="L12" s="6">
        <f t="shared" si="0"/>
        <v>4</v>
      </c>
      <c r="M12" s="5" t="s">
        <v>260</v>
      </c>
      <c r="N12" s="5" t="s">
        <v>359</v>
      </c>
    </row>
    <row r="13" spans="1:14" ht="28.5">
      <c r="A13" s="4">
        <v>11</v>
      </c>
      <c r="B13" s="5" t="s">
        <v>241</v>
      </c>
      <c r="C13" s="5" t="s">
        <v>360</v>
      </c>
      <c r="D13" s="5" t="s">
        <v>361</v>
      </c>
      <c r="E13" s="5" t="s">
        <v>332</v>
      </c>
      <c r="F13" s="5" t="s">
        <v>362</v>
      </c>
      <c r="G13" s="5" t="s">
        <v>363</v>
      </c>
      <c r="H13" s="5" t="s">
        <v>66</v>
      </c>
      <c r="I13" s="5">
        <v>4</v>
      </c>
      <c r="J13" s="5">
        <v>4</v>
      </c>
      <c r="K13" s="5">
        <v>4</v>
      </c>
      <c r="L13" s="6">
        <f t="shared" si="0"/>
        <v>4</v>
      </c>
      <c r="M13" s="5" t="s">
        <v>260</v>
      </c>
      <c r="N13" s="5"/>
    </row>
    <row r="14" spans="1:14" ht="28.5">
      <c r="A14" s="4">
        <v>12</v>
      </c>
      <c r="B14" s="5" t="s">
        <v>277</v>
      </c>
      <c r="C14" s="5" t="s">
        <v>364</v>
      </c>
      <c r="D14" s="5" t="s">
        <v>365</v>
      </c>
      <c r="E14" s="5" t="s">
        <v>366</v>
      </c>
      <c r="F14" s="5" t="s">
        <v>367</v>
      </c>
      <c r="G14" s="5" t="s">
        <v>368</v>
      </c>
      <c r="H14" s="5" t="s">
        <v>60</v>
      </c>
      <c r="I14" s="5">
        <v>1</v>
      </c>
      <c r="J14" s="5">
        <v>5</v>
      </c>
      <c r="K14" s="5">
        <v>5</v>
      </c>
      <c r="L14" s="6">
        <f t="shared" si="0"/>
        <v>3.67</v>
      </c>
      <c r="M14" s="5" t="s">
        <v>287</v>
      </c>
      <c r="N14" s="5" t="s">
        <v>369</v>
      </c>
    </row>
    <row r="15" spans="1:14" ht="42.75">
      <c r="A15" s="4">
        <v>13</v>
      </c>
      <c r="B15" s="5" t="s">
        <v>294</v>
      </c>
      <c r="C15" s="5" t="s">
        <v>370</v>
      </c>
      <c r="D15" s="5" t="s">
        <v>371</v>
      </c>
      <c r="E15" s="5" t="s">
        <v>372</v>
      </c>
      <c r="F15" s="5" t="s">
        <v>373</v>
      </c>
      <c r="G15" s="5" t="s">
        <v>374</v>
      </c>
      <c r="H15" s="5" t="s">
        <v>60</v>
      </c>
      <c r="I15" s="5">
        <v>3</v>
      </c>
      <c r="J15" s="5">
        <v>5</v>
      </c>
      <c r="K15" s="5">
        <v>5</v>
      </c>
      <c r="L15" s="6">
        <f t="shared" si="0"/>
        <v>4.33</v>
      </c>
      <c r="M15" s="5" t="s">
        <v>251</v>
      </c>
      <c r="N15" s="5" t="s">
        <v>375</v>
      </c>
    </row>
    <row r="16" spans="1:14" ht="28.5">
      <c r="A16" s="4">
        <v>14</v>
      </c>
      <c r="B16" s="5" t="s">
        <v>294</v>
      </c>
      <c r="C16" s="5" t="s">
        <v>376</v>
      </c>
      <c r="D16" s="5" t="s">
        <v>371</v>
      </c>
      <c r="E16" s="5" t="s">
        <v>377</v>
      </c>
      <c r="F16" s="5" t="s">
        <v>378</v>
      </c>
      <c r="G16" s="5" t="s">
        <v>379</v>
      </c>
      <c r="H16" s="5" t="s">
        <v>60</v>
      </c>
      <c r="I16" s="5">
        <v>3</v>
      </c>
      <c r="J16" s="5">
        <v>5</v>
      </c>
      <c r="K16" s="5">
        <v>5</v>
      </c>
      <c r="L16" s="6">
        <f t="shared" si="0"/>
        <v>4.33</v>
      </c>
      <c r="M16" s="5" t="s">
        <v>251</v>
      </c>
      <c r="N16" s="5"/>
    </row>
    <row r="17" spans="1:14" ht="28.5">
      <c r="A17" s="4">
        <v>15</v>
      </c>
      <c r="B17" s="5" t="s">
        <v>299</v>
      </c>
      <c r="C17" s="5" t="s">
        <v>380</v>
      </c>
      <c r="D17" s="5" t="s">
        <v>371</v>
      </c>
      <c r="E17" s="5" t="s">
        <v>381</v>
      </c>
      <c r="F17" s="5" t="s">
        <v>382</v>
      </c>
      <c r="G17" s="5" t="s">
        <v>383</v>
      </c>
      <c r="H17" s="5" t="s">
        <v>72</v>
      </c>
      <c r="I17" s="5">
        <v>2</v>
      </c>
      <c r="J17" s="5">
        <v>5</v>
      </c>
      <c r="K17" s="5">
        <v>5</v>
      </c>
      <c r="L17" s="6">
        <f t="shared" si="0"/>
        <v>4</v>
      </c>
      <c r="M17" s="5" t="s">
        <v>287</v>
      </c>
      <c r="N17" s="5" t="s">
        <v>384</v>
      </c>
    </row>
    <row r="18" spans="1:14" ht="28.5">
      <c r="A18" s="4">
        <v>16</v>
      </c>
      <c r="B18" s="5" t="s">
        <v>306</v>
      </c>
      <c r="C18" s="5" t="s">
        <v>385</v>
      </c>
      <c r="D18" s="5" t="s">
        <v>371</v>
      </c>
      <c r="E18" s="5" t="s">
        <v>381</v>
      </c>
      <c r="F18" s="5" t="s">
        <v>386</v>
      </c>
      <c r="G18" s="5" t="s">
        <v>387</v>
      </c>
      <c r="H18" s="5" t="s">
        <v>72</v>
      </c>
      <c r="I18" s="5">
        <v>1</v>
      </c>
      <c r="J18" s="5">
        <v>4</v>
      </c>
      <c r="K18" s="5">
        <v>4</v>
      </c>
      <c r="L18" s="6">
        <f t="shared" si="0"/>
        <v>3</v>
      </c>
      <c r="M18" s="5" t="s">
        <v>287</v>
      </c>
      <c r="N18" s="5" t="s">
        <v>388</v>
      </c>
    </row>
    <row r="19" spans="1:14" ht="28.5">
      <c r="A19" s="4">
        <v>17</v>
      </c>
      <c r="B19" s="5" t="s">
        <v>304</v>
      </c>
      <c r="C19" s="5" t="s">
        <v>389</v>
      </c>
      <c r="D19" s="5" t="s">
        <v>371</v>
      </c>
      <c r="E19" s="5" t="s">
        <v>390</v>
      </c>
      <c r="F19" s="5" t="s">
        <v>391</v>
      </c>
      <c r="G19" s="5" t="s">
        <v>392</v>
      </c>
      <c r="H19" s="5" t="s">
        <v>81</v>
      </c>
      <c r="I19" s="5">
        <v>1</v>
      </c>
      <c r="J19" s="5">
        <v>5</v>
      </c>
      <c r="K19" s="5">
        <v>5</v>
      </c>
      <c r="L19" s="6">
        <f t="shared" si="0"/>
        <v>3.67</v>
      </c>
      <c r="M19" s="5" t="s">
        <v>287</v>
      </c>
      <c r="N19" s="5"/>
    </row>
    <row r="20" spans="1:14" ht="28.5">
      <c r="A20" s="4">
        <v>18</v>
      </c>
      <c r="B20" s="5" t="s">
        <v>259</v>
      </c>
      <c r="C20" s="5" t="s">
        <v>393</v>
      </c>
      <c r="D20" s="5" t="s">
        <v>371</v>
      </c>
      <c r="E20" s="5" t="s">
        <v>394</v>
      </c>
      <c r="F20" s="5" t="s">
        <v>395</v>
      </c>
      <c r="G20" s="5" t="s">
        <v>396</v>
      </c>
      <c r="H20" s="5" t="s">
        <v>75</v>
      </c>
      <c r="I20" s="5">
        <v>4</v>
      </c>
      <c r="J20" s="5">
        <v>5</v>
      </c>
      <c r="K20" s="5">
        <v>5</v>
      </c>
      <c r="L20" s="6">
        <f t="shared" si="0"/>
        <v>4.67</v>
      </c>
      <c r="M20" s="5" t="s">
        <v>260</v>
      </c>
      <c r="N20" s="5"/>
    </row>
    <row r="21" spans="1:14" ht="28.5">
      <c r="A21" s="4">
        <v>19</v>
      </c>
      <c r="B21" s="5" t="s">
        <v>304</v>
      </c>
      <c r="C21" s="5" t="s">
        <v>397</v>
      </c>
      <c r="D21" s="5" t="s">
        <v>371</v>
      </c>
      <c r="E21" s="5" t="s">
        <v>398</v>
      </c>
      <c r="F21" s="5" t="s">
        <v>399</v>
      </c>
      <c r="G21" s="5" t="s">
        <v>400</v>
      </c>
      <c r="H21" s="5" t="s">
        <v>78</v>
      </c>
      <c r="I21" s="5">
        <v>4</v>
      </c>
      <c r="J21" s="5">
        <v>5</v>
      </c>
      <c r="K21" s="5">
        <v>5</v>
      </c>
      <c r="L21" s="6">
        <f t="shared" si="0"/>
        <v>4.67</v>
      </c>
      <c r="M21" s="5" t="s">
        <v>260</v>
      </c>
      <c r="N21" s="5"/>
    </row>
    <row r="22" spans="1:14" ht="28.5">
      <c r="A22" s="4">
        <v>20</v>
      </c>
      <c r="B22" s="5" t="s">
        <v>304</v>
      </c>
      <c r="C22" s="5" t="s">
        <v>401</v>
      </c>
      <c r="D22" s="5" t="s">
        <v>371</v>
      </c>
      <c r="E22" s="5" t="s">
        <v>402</v>
      </c>
      <c r="F22" s="5" t="s">
        <v>403</v>
      </c>
      <c r="G22" s="5" t="s">
        <v>404</v>
      </c>
      <c r="H22" s="5" t="s">
        <v>84</v>
      </c>
      <c r="I22" s="5">
        <v>4</v>
      </c>
      <c r="J22" s="5">
        <v>5</v>
      </c>
      <c r="K22" s="5">
        <v>4</v>
      </c>
      <c r="L22" s="6">
        <f t="shared" si="0"/>
        <v>4.33</v>
      </c>
      <c r="M22" s="5" t="s">
        <v>260</v>
      </c>
      <c r="N22" s="5"/>
    </row>
    <row r="23" spans="1:14" ht="28.5">
      <c r="A23" s="4">
        <v>21</v>
      </c>
      <c r="B23" s="5" t="s">
        <v>250</v>
      </c>
      <c r="C23" s="5" t="s">
        <v>405</v>
      </c>
      <c r="D23" s="5" t="s">
        <v>406</v>
      </c>
      <c r="E23" s="5" t="s">
        <v>407</v>
      </c>
      <c r="F23" s="5" t="s">
        <v>408</v>
      </c>
      <c r="G23" s="5" t="s">
        <v>409</v>
      </c>
      <c r="H23" s="5" t="s">
        <v>84</v>
      </c>
      <c r="I23" s="5">
        <v>4</v>
      </c>
      <c r="J23" s="5">
        <v>4</v>
      </c>
      <c r="K23" s="5">
        <v>4</v>
      </c>
      <c r="L23" s="6">
        <f t="shared" si="0"/>
        <v>4</v>
      </c>
      <c r="M23" s="5" t="s">
        <v>260</v>
      </c>
      <c r="N23" s="5"/>
    </row>
    <row r="24" spans="1:14" ht="28.5">
      <c r="A24" s="4">
        <v>22</v>
      </c>
      <c r="B24" s="5" t="s">
        <v>304</v>
      </c>
      <c r="C24" s="5" t="s">
        <v>410</v>
      </c>
      <c r="D24" s="5" t="s">
        <v>411</v>
      </c>
      <c r="E24" s="5" t="s">
        <v>412</v>
      </c>
      <c r="F24" s="5" t="s">
        <v>413</v>
      </c>
      <c r="G24" s="5" t="s">
        <v>414</v>
      </c>
      <c r="H24" s="5" t="s">
        <v>81</v>
      </c>
      <c r="I24" s="5">
        <v>4</v>
      </c>
      <c r="J24" s="5">
        <v>5</v>
      </c>
      <c r="K24" s="5">
        <v>4</v>
      </c>
      <c r="L24" s="6">
        <f t="shared" si="0"/>
        <v>4.33</v>
      </c>
      <c r="M24" s="5" t="s">
        <v>260</v>
      </c>
      <c r="N24" s="5"/>
    </row>
    <row r="25" spans="1:14">
      <c r="A25" s="4">
        <v>23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6" t="str">
        <f t="shared" si="0"/>
        <v/>
      </c>
      <c r="M25" s="5"/>
      <c r="N25" s="5"/>
    </row>
    <row r="26" spans="1:14">
      <c r="A26" s="4">
        <v>24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6" t="str">
        <f t="shared" si="0"/>
        <v/>
      </c>
      <c r="M26" s="5"/>
      <c r="N26" s="5"/>
    </row>
    <row r="27" spans="1:14">
      <c r="A27" s="4">
        <v>25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6" t="str">
        <f t="shared" si="0"/>
        <v/>
      </c>
      <c r="M27" s="5"/>
      <c r="N27" s="5"/>
    </row>
    <row r="28" spans="1:14">
      <c r="A28" s="4">
        <v>26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6" t="str">
        <f t="shared" si="0"/>
        <v/>
      </c>
      <c r="M28" s="5"/>
      <c r="N28" s="5"/>
    </row>
    <row r="29" spans="1:14">
      <c r="A29" s="4">
        <v>27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6" t="str">
        <f t="shared" si="0"/>
        <v/>
      </c>
      <c r="M29" s="5"/>
      <c r="N29" s="5"/>
    </row>
    <row r="30" spans="1:14">
      <c r="A30" s="4">
        <v>28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6" t="str">
        <f t="shared" si="0"/>
        <v/>
      </c>
      <c r="M30" s="5"/>
      <c r="N30" s="5"/>
    </row>
    <row r="31" spans="1:14">
      <c r="A31" s="4">
        <v>29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6" t="str">
        <f t="shared" si="0"/>
        <v/>
      </c>
      <c r="M31" s="5"/>
      <c r="N31" s="5"/>
    </row>
    <row r="32" spans="1:14">
      <c r="A32" s="4">
        <v>30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6" t="str">
        <f t="shared" si="0"/>
        <v/>
      </c>
      <c r="M32" s="5"/>
      <c r="N32" s="5"/>
    </row>
    <row r="33" spans="1:14">
      <c r="A33" s="4">
        <v>31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6" t="str">
        <f t="shared" si="0"/>
        <v/>
      </c>
      <c r="M33" s="5"/>
      <c r="N33" s="5"/>
    </row>
    <row r="34" spans="1:14">
      <c r="A34" s="4">
        <v>32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6" t="str">
        <f t="shared" si="0"/>
        <v/>
      </c>
      <c r="M34" s="5"/>
      <c r="N34" s="5"/>
    </row>
    <row r="35" spans="1:14">
      <c r="A35" s="4">
        <v>33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6" t="str">
        <f t="shared" ref="L35:L66" si="1">IF(COUNTA(B35:K35)=0,"",ROUND(AVERAGE(I35:K35),2))</f>
        <v/>
      </c>
      <c r="M35" s="5"/>
      <c r="N35" s="5"/>
    </row>
    <row r="36" spans="1:14">
      <c r="A36" s="4">
        <v>34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6" t="str">
        <f t="shared" si="1"/>
        <v/>
      </c>
      <c r="M36" s="5"/>
      <c r="N36" s="5"/>
    </row>
    <row r="37" spans="1:14">
      <c r="A37" s="4">
        <v>35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6" t="str">
        <f t="shared" si="1"/>
        <v/>
      </c>
      <c r="M37" s="5"/>
      <c r="N37" s="5"/>
    </row>
    <row r="38" spans="1:14">
      <c r="A38" s="4">
        <v>36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6" t="str">
        <f t="shared" si="1"/>
        <v/>
      </c>
      <c r="M38" s="5"/>
      <c r="N38" s="5"/>
    </row>
    <row r="39" spans="1:14">
      <c r="A39" s="4">
        <v>37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6" t="str">
        <f t="shared" si="1"/>
        <v/>
      </c>
      <c r="M39" s="5"/>
      <c r="N39" s="5"/>
    </row>
    <row r="40" spans="1:14">
      <c r="A40" s="4">
        <v>38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6" t="str">
        <f t="shared" si="1"/>
        <v/>
      </c>
      <c r="M40" s="5"/>
      <c r="N40" s="5"/>
    </row>
    <row r="41" spans="1:14">
      <c r="A41" s="4">
        <v>39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6" t="str">
        <f t="shared" si="1"/>
        <v/>
      </c>
      <c r="M41" s="5"/>
      <c r="N41" s="5"/>
    </row>
    <row r="42" spans="1:14">
      <c r="A42" s="4">
        <v>40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6" t="str">
        <f t="shared" si="1"/>
        <v/>
      </c>
      <c r="M42" s="5"/>
      <c r="N42" s="5"/>
    </row>
    <row r="43" spans="1:14">
      <c r="A43" s="4">
        <v>41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6" t="str">
        <f t="shared" si="1"/>
        <v/>
      </c>
      <c r="M43" s="5"/>
      <c r="N43" s="5"/>
    </row>
    <row r="44" spans="1:14">
      <c r="A44" s="4">
        <v>42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6" t="str">
        <f t="shared" si="1"/>
        <v/>
      </c>
      <c r="M44" s="5"/>
      <c r="N44" s="5"/>
    </row>
    <row r="45" spans="1:14">
      <c r="A45" s="4">
        <v>43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6" t="str">
        <f t="shared" si="1"/>
        <v/>
      </c>
      <c r="M45" s="5"/>
      <c r="N45" s="5"/>
    </row>
    <row r="46" spans="1:14">
      <c r="A46" s="4">
        <v>44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6" t="str">
        <f t="shared" si="1"/>
        <v/>
      </c>
      <c r="M46" s="5"/>
      <c r="N46" s="5"/>
    </row>
    <row r="47" spans="1:14">
      <c r="A47" s="4">
        <v>45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6" t="str">
        <f t="shared" si="1"/>
        <v/>
      </c>
      <c r="M47" s="5"/>
      <c r="N47" s="5"/>
    </row>
    <row r="48" spans="1:14">
      <c r="A48" s="4">
        <v>46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6" t="str">
        <f t="shared" si="1"/>
        <v/>
      </c>
      <c r="M48" s="5"/>
      <c r="N48" s="5"/>
    </row>
    <row r="49" spans="1:14">
      <c r="A49" s="4">
        <v>47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6" t="str">
        <f t="shared" si="1"/>
        <v/>
      </c>
      <c r="M49" s="5"/>
      <c r="N49" s="5"/>
    </row>
    <row r="50" spans="1:14">
      <c r="A50" s="4">
        <v>48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6" t="str">
        <f t="shared" si="1"/>
        <v/>
      </c>
      <c r="M50" s="5"/>
      <c r="N50" s="5"/>
    </row>
    <row r="51" spans="1:14">
      <c r="A51" s="4">
        <v>49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6" t="str">
        <f t="shared" si="1"/>
        <v/>
      </c>
      <c r="M51" s="5"/>
      <c r="N51" s="5"/>
    </row>
    <row r="52" spans="1:14">
      <c r="A52" s="4">
        <v>50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6" t="str">
        <f t="shared" si="1"/>
        <v/>
      </c>
      <c r="M52" s="5"/>
      <c r="N52" s="5"/>
    </row>
    <row r="53" spans="1:14">
      <c r="A53" s="4">
        <v>51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6" t="str">
        <f t="shared" si="1"/>
        <v/>
      </c>
      <c r="M53" s="5"/>
      <c r="N53" s="5"/>
    </row>
    <row r="54" spans="1:14">
      <c r="A54" s="4">
        <v>52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6" t="str">
        <f t="shared" si="1"/>
        <v/>
      </c>
      <c r="M54" s="5"/>
      <c r="N54" s="5"/>
    </row>
    <row r="55" spans="1:14">
      <c r="A55" s="4">
        <v>53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6" t="str">
        <f t="shared" si="1"/>
        <v/>
      </c>
      <c r="M55" s="5"/>
      <c r="N55" s="5"/>
    </row>
    <row r="56" spans="1:14">
      <c r="A56" s="4">
        <v>54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6" t="str">
        <f t="shared" si="1"/>
        <v/>
      </c>
      <c r="M56" s="5"/>
      <c r="N56" s="5"/>
    </row>
    <row r="57" spans="1:14">
      <c r="A57" s="4">
        <v>55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6" t="str">
        <f t="shared" si="1"/>
        <v/>
      </c>
      <c r="M57" s="5"/>
      <c r="N57" s="5"/>
    </row>
    <row r="58" spans="1:14">
      <c r="A58" s="4">
        <v>56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6" t="str">
        <f t="shared" si="1"/>
        <v/>
      </c>
      <c r="M58" s="5"/>
      <c r="N58" s="5"/>
    </row>
    <row r="59" spans="1:14">
      <c r="A59" s="4">
        <v>57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6" t="str">
        <f t="shared" si="1"/>
        <v/>
      </c>
      <c r="M59" s="5"/>
      <c r="N59" s="5"/>
    </row>
    <row r="60" spans="1:14">
      <c r="A60" s="4">
        <v>58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6" t="str">
        <f t="shared" si="1"/>
        <v/>
      </c>
      <c r="M60" s="5"/>
      <c r="N60" s="5"/>
    </row>
    <row r="61" spans="1:14">
      <c r="A61" s="4">
        <v>59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6" t="str">
        <f t="shared" si="1"/>
        <v/>
      </c>
      <c r="M61" s="5"/>
      <c r="N61" s="5"/>
    </row>
    <row r="62" spans="1:14">
      <c r="A62" s="4">
        <v>60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6" t="str">
        <f t="shared" si="1"/>
        <v/>
      </c>
      <c r="M62" s="5"/>
      <c r="N62" s="5"/>
    </row>
    <row r="63" spans="1:14">
      <c r="A63" s="4">
        <v>61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6" t="str">
        <f t="shared" si="1"/>
        <v/>
      </c>
      <c r="M63" s="5"/>
      <c r="N63" s="5"/>
    </row>
    <row r="64" spans="1:14">
      <c r="A64" s="4">
        <v>62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6" t="str">
        <f t="shared" si="1"/>
        <v/>
      </c>
      <c r="M64" s="5"/>
      <c r="N64" s="5"/>
    </row>
    <row r="65" spans="1:14">
      <c r="A65" s="4">
        <v>63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6" t="str">
        <f t="shared" si="1"/>
        <v/>
      </c>
      <c r="M65" s="5"/>
      <c r="N65" s="5"/>
    </row>
    <row r="66" spans="1:14">
      <c r="A66" s="4">
        <v>64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6" t="str">
        <f t="shared" si="1"/>
        <v/>
      </c>
      <c r="M66" s="5"/>
      <c r="N66" s="5"/>
    </row>
    <row r="67" spans="1:14">
      <c r="A67" s="4">
        <v>65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6" t="str">
        <f t="shared" ref="L67:L98" si="2">IF(COUNTA(B67:K67)=0,"",ROUND(AVERAGE(I67:K67),2))</f>
        <v/>
      </c>
      <c r="M67" s="5"/>
      <c r="N67" s="5"/>
    </row>
    <row r="68" spans="1:14">
      <c r="A68" s="4">
        <v>66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6" t="str">
        <f t="shared" si="2"/>
        <v/>
      </c>
      <c r="M68" s="5"/>
      <c r="N68" s="5"/>
    </row>
    <row r="69" spans="1:14">
      <c r="A69" s="4">
        <v>67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6" t="str">
        <f t="shared" si="2"/>
        <v/>
      </c>
      <c r="M69" s="5"/>
      <c r="N69" s="5"/>
    </row>
    <row r="70" spans="1:14">
      <c r="A70" s="4">
        <v>68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6" t="str">
        <f t="shared" si="2"/>
        <v/>
      </c>
      <c r="M70" s="5"/>
      <c r="N70" s="5"/>
    </row>
    <row r="71" spans="1:14">
      <c r="A71" s="4">
        <v>69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6" t="str">
        <f t="shared" si="2"/>
        <v/>
      </c>
      <c r="M71" s="5"/>
      <c r="N71" s="5"/>
    </row>
    <row r="72" spans="1:14">
      <c r="A72" s="4">
        <v>70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6" t="str">
        <f t="shared" si="2"/>
        <v/>
      </c>
      <c r="M72" s="5"/>
      <c r="N72" s="5"/>
    </row>
    <row r="73" spans="1:14">
      <c r="A73" s="4">
        <v>71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6" t="str">
        <f t="shared" si="2"/>
        <v/>
      </c>
      <c r="M73" s="5"/>
      <c r="N73" s="5"/>
    </row>
    <row r="74" spans="1:14">
      <c r="A74" s="4">
        <v>72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6" t="str">
        <f t="shared" si="2"/>
        <v/>
      </c>
      <c r="M74" s="5"/>
      <c r="N74" s="5"/>
    </row>
    <row r="75" spans="1:14">
      <c r="A75" s="4">
        <v>73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6" t="str">
        <f t="shared" si="2"/>
        <v/>
      </c>
      <c r="M75" s="5"/>
      <c r="N75" s="5"/>
    </row>
    <row r="76" spans="1:14">
      <c r="A76" s="4">
        <v>74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6" t="str">
        <f t="shared" si="2"/>
        <v/>
      </c>
      <c r="M76" s="5"/>
      <c r="N76" s="5"/>
    </row>
    <row r="77" spans="1:14">
      <c r="A77" s="4">
        <v>75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6" t="str">
        <f t="shared" si="2"/>
        <v/>
      </c>
      <c r="M77" s="5"/>
      <c r="N77" s="5"/>
    </row>
    <row r="78" spans="1:14">
      <c r="A78" s="4">
        <v>76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6" t="str">
        <f t="shared" si="2"/>
        <v/>
      </c>
      <c r="M78" s="5"/>
      <c r="N78" s="5"/>
    </row>
    <row r="79" spans="1:14">
      <c r="A79" s="4">
        <v>77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6" t="str">
        <f t="shared" si="2"/>
        <v/>
      </c>
      <c r="M79" s="5"/>
      <c r="N79" s="5"/>
    </row>
    <row r="80" spans="1:14">
      <c r="A80" s="4">
        <v>78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6" t="str">
        <f t="shared" si="2"/>
        <v/>
      </c>
      <c r="M80" s="5"/>
      <c r="N80" s="5"/>
    </row>
    <row r="81" spans="1:14">
      <c r="A81" s="4">
        <v>79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6" t="str">
        <f t="shared" si="2"/>
        <v/>
      </c>
      <c r="M81" s="5"/>
      <c r="N81" s="5"/>
    </row>
    <row r="82" spans="1:14">
      <c r="A82" s="4">
        <v>80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6" t="str">
        <f t="shared" si="2"/>
        <v/>
      </c>
      <c r="M82" s="5"/>
      <c r="N82" s="5"/>
    </row>
    <row r="83" spans="1:14">
      <c r="A83" s="4">
        <v>81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6" t="str">
        <f t="shared" si="2"/>
        <v/>
      </c>
      <c r="M83" s="5"/>
      <c r="N83" s="5"/>
    </row>
    <row r="84" spans="1:14">
      <c r="A84" s="4">
        <v>82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6" t="str">
        <f t="shared" si="2"/>
        <v/>
      </c>
      <c r="M84" s="5"/>
      <c r="N84" s="5"/>
    </row>
    <row r="85" spans="1:14">
      <c r="A85" s="4">
        <v>83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6" t="str">
        <f t="shared" si="2"/>
        <v/>
      </c>
      <c r="M85" s="5"/>
      <c r="N85" s="5"/>
    </row>
    <row r="86" spans="1:14">
      <c r="A86" s="4">
        <v>84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6" t="str">
        <f t="shared" si="2"/>
        <v/>
      </c>
      <c r="M86" s="5"/>
      <c r="N86" s="5"/>
    </row>
    <row r="87" spans="1:14">
      <c r="A87" s="4">
        <v>85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6" t="str">
        <f t="shared" si="2"/>
        <v/>
      </c>
      <c r="M87" s="5"/>
      <c r="N87" s="5"/>
    </row>
    <row r="88" spans="1:14">
      <c r="A88" s="4">
        <v>86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6" t="str">
        <f t="shared" si="2"/>
        <v/>
      </c>
      <c r="M88" s="5"/>
      <c r="N88" s="5"/>
    </row>
    <row r="89" spans="1:14">
      <c r="A89" s="4">
        <v>87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6" t="str">
        <f t="shared" si="2"/>
        <v/>
      </c>
      <c r="M89" s="5"/>
      <c r="N89" s="5"/>
    </row>
    <row r="90" spans="1:14">
      <c r="A90" s="4">
        <v>88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6" t="str">
        <f t="shared" si="2"/>
        <v/>
      </c>
      <c r="M90" s="5"/>
      <c r="N90" s="5"/>
    </row>
    <row r="91" spans="1:14">
      <c r="A91" s="4">
        <v>89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6" t="str">
        <f t="shared" si="2"/>
        <v/>
      </c>
      <c r="M91" s="5"/>
      <c r="N91" s="5"/>
    </row>
    <row r="92" spans="1:14">
      <c r="A92" s="4">
        <v>90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6" t="str">
        <f t="shared" si="2"/>
        <v/>
      </c>
      <c r="M92" s="5"/>
      <c r="N92" s="5"/>
    </row>
    <row r="93" spans="1:14">
      <c r="A93" s="4">
        <v>91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6" t="str">
        <f t="shared" si="2"/>
        <v/>
      </c>
      <c r="M93" s="5"/>
      <c r="N93" s="5"/>
    </row>
    <row r="94" spans="1:14">
      <c r="A94" s="4">
        <v>92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6" t="str">
        <f t="shared" si="2"/>
        <v/>
      </c>
      <c r="M94" s="5"/>
      <c r="N94" s="5"/>
    </row>
    <row r="95" spans="1:14">
      <c r="A95" s="4">
        <v>93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6" t="str">
        <f t="shared" si="2"/>
        <v/>
      </c>
      <c r="M95" s="5"/>
      <c r="N95" s="5"/>
    </row>
    <row r="96" spans="1:14">
      <c r="A96" s="4">
        <v>94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6" t="str">
        <f t="shared" si="2"/>
        <v/>
      </c>
      <c r="M96" s="5"/>
      <c r="N96" s="5"/>
    </row>
    <row r="97" spans="1:14">
      <c r="A97" s="4">
        <v>95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6" t="str">
        <f t="shared" si="2"/>
        <v/>
      </c>
      <c r="M97" s="5"/>
      <c r="N97" s="5"/>
    </row>
    <row r="98" spans="1:14">
      <c r="A98" s="4">
        <v>96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6" t="str">
        <f t="shared" si="2"/>
        <v/>
      </c>
      <c r="M98" s="5"/>
      <c r="N98" s="5"/>
    </row>
    <row r="99" spans="1:14">
      <c r="A99" s="4">
        <v>97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6" t="str">
        <f t="shared" ref="L99:L130" si="3">IF(COUNTA(B99:K99)=0,"",ROUND(AVERAGE(I99:K99),2))</f>
        <v/>
      </c>
      <c r="M99" s="5"/>
      <c r="N99" s="5"/>
    </row>
    <row r="100" spans="1:14">
      <c r="A100" s="4">
        <v>98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6" t="str">
        <f t="shared" si="3"/>
        <v/>
      </c>
      <c r="M100" s="5"/>
      <c r="N100" s="5"/>
    </row>
    <row r="101" spans="1:14">
      <c r="A101" s="4">
        <v>99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6" t="str">
        <f t="shared" si="3"/>
        <v/>
      </c>
      <c r="M101" s="5"/>
      <c r="N101" s="5"/>
    </row>
    <row r="102" spans="1:14">
      <c r="A102" s="4">
        <v>100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6" t="str">
        <f t="shared" si="3"/>
        <v/>
      </c>
      <c r="M102" s="5"/>
      <c r="N102" s="5"/>
    </row>
    <row r="103" spans="1:14">
      <c r="A103" s="4">
        <v>101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6" t="str">
        <f t="shared" si="3"/>
        <v/>
      </c>
      <c r="M103" s="5"/>
      <c r="N103" s="5"/>
    </row>
    <row r="104" spans="1:14">
      <c r="A104" s="4">
        <v>102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6" t="str">
        <f t="shared" si="3"/>
        <v/>
      </c>
      <c r="M104" s="5"/>
      <c r="N104" s="5"/>
    </row>
    <row r="105" spans="1:14">
      <c r="A105" s="4">
        <v>103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6" t="str">
        <f t="shared" si="3"/>
        <v/>
      </c>
      <c r="M105" s="5"/>
      <c r="N105" s="5"/>
    </row>
    <row r="106" spans="1:14">
      <c r="A106" s="4">
        <v>104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6" t="str">
        <f t="shared" si="3"/>
        <v/>
      </c>
      <c r="M106" s="5"/>
      <c r="N106" s="5"/>
    </row>
    <row r="107" spans="1:14">
      <c r="A107" s="4">
        <v>105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6" t="str">
        <f t="shared" si="3"/>
        <v/>
      </c>
      <c r="M107" s="5"/>
      <c r="N107" s="5"/>
    </row>
    <row r="108" spans="1:14">
      <c r="A108" s="4">
        <v>106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6" t="str">
        <f t="shared" si="3"/>
        <v/>
      </c>
      <c r="M108" s="5"/>
      <c r="N108" s="5"/>
    </row>
    <row r="109" spans="1:14">
      <c r="A109" s="4">
        <v>107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6" t="str">
        <f t="shared" si="3"/>
        <v/>
      </c>
      <c r="M109" s="5"/>
      <c r="N109" s="5"/>
    </row>
    <row r="110" spans="1:14">
      <c r="A110" s="4">
        <v>108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6" t="str">
        <f t="shared" si="3"/>
        <v/>
      </c>
      <c r="M110" s="5"/>
      <c r="N110" s="5"/>
    </row>
    <row r="111" spans="1:14">
      <c r="A111" s="4">
        <v>109</v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6" t="str">
        <f t="shared" si="3"/>
        <v/>
      </c>
      <c r="M111" s="5"/>
      <c r="N111" s="5"/>
    </row>
    <row r="112" spans="1:14">
      <c r="A112" s="4">
        <v>110</v>
      </c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6" t="str">
        <f t="shared" si="3"/>
        <v/>
      </c>
      <c r="M112" s="5"/>
      <c r="N112" s="5"/>
    </row>
    <row r="113" spans="1:14">
      <c r="A113" s="4">
        <v>111</v>
      </c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6" t="str">
        <f t="shared" si="3"/>
        <v/>
      </c>
      <c r="M113" s="5"/>
      <c r="N113" s="5"/>
    </row>
    <row r="114" spans="1:14">
      <c r="A114" s="4">
        <v>112</v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6" t="str">
        <f t="shared" si="3"/>
        <v/>
      </c>
      <c r="M114" s="5"/>
      <c r="N114" s="5"/>
    </row>
    <row r="115" spans="1:14">
      <c r="A115" s="4">
        <v>113</v>
      </c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6" t="str">
        <f t="shared" si="3"/>
        <v/>
      </c>
      <c r="M115" s="5"/>
      <c r="N115" s="5"/>
    </row>
    <row r="116" spans="1:14">
      <c r="A116" s="4">
        <v>114</v>
      </c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6" t="str">
        <f t="shared" si="3"/>
        <v/>
      </c>
      <c r="M116" s="5"/>
      <c r="N116" s="5"/>
    </row>
    <row r="117" spans="1:14">
      <c r="A117" s="4">
        <v>115</v>
      </c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6" t="str">
        <f t="shared" si="3"/>
        <v/>
      </c>
      <c r="M117" s="5"/>
      <c r="N117" s="5"/>
    </row>
    <row r="118" spans="1:14">
      <c r="A118" s="4">
        <v>116</v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6" t="str">
        <f t="shared" si="3"/>
        <v/>
      </c>
      <c r="M118" s="5"/>
      <c r="N118" s="5"/>
    </row>
    <row r="119" spans="1:14">
      <c r="A119" s="4">
        <v>117</v>
      </c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6" t="str">
        <f t="shared" si="3"/>
        <v/>
      </c>
      <c r="M119" s="5"/>
      <c r="N119" s="5"/>
    </row>
    <row r="120" spans="1:14">
      <c r="A120" s="4">
        <v>118</v>
      </c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6" t="str">
        <f t="shared" si="3"/>
        <v/>
      </c>
      <c r="M120" s="5"/>
      <c r="N120" s="5"/>
    </row>
    <row r="121" spans="1:14">
      <c r="A121" s="4">
        <v>119</v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6" t="str">
        <f t="shared" si="3"/>
        <v/>
      </c>
      <c r="M121" s="5"/>
      <c r="N121" s="5"/>
    </row>
    <row r="122" spans="1:14">
      <c r="A122" s="4">
        <v>120</v>
      </c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6" t="str">
        <f t="shared" si="3"/>
        <v/>
      </c>
      <c r="M122" s="5"/>
      <c r="N122" s="5"/>
    </row>
    <row r="123" spans="1:14">
      <c r="A123" s="4">
        <v>121</v>
      </c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6" t="str">
        <f t="shared" si="3"/>
        <v/>
      </c>
      <c r="M123" s="5"/>
      <c r="N123" s="5"/>
    </row>
    <row r="124" spans="1:14">
      <c r="A124" s="4">
        <v>122</v>
      </c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6" t="str">
        <f t="shared" si="3"/>
        <v/>
      </c>
      <c r="M124" s="5"/>
      <c r="N124" s="5"/>
    </row>
    <row r="125" spans="1:14">
      <c r="A125" s="4">
        <v>123</v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6" t="str">
        <f t="shared" si="3"/>
        <v/>
      </c>
      <c r="M125" s="5"/>
      <c r="N125" s="5"/>
    </row>
    <row r="126" spans="1:14">
      <c r="A126" s="4">
        <v>124</v>
      </c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6" t="str">
        <f t="shared" si="3"/>
        <v/>
      </c>
      <c r="M126" s="5"/>
      <c r="N126" s="5"/>
    </row>
    <row r="127" spans="1:14">
      <c r="A127" s="4">
        <v>125</v>
      </c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6" t="str">
        <f t="shared" si="3"/>
        <v/>
      </c>
      <c r="M127" s="5"/>
      <c r="N127" s="5"/>
    </row>
    <row r="128" spans="1:14">
      <c r="A128" s="4">
        <v>126</v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6" t="str">
        <f t="shared" si="3"/>
        <v/>
      </c>
      <c r="M128" s="5"/>
      <c r="N128" s="5"/>
    </row>
    <row r="129" spans="1:14">
      <c r="A129" s="4">
        <v>127</v>
      </c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6" t="str">
        <f t="shared" si="3"/>
        <v/>
      </c>
      <c r="M129" s="5"/>
      <c r="N129" s="5"/>
    </row>
    <row r="130" spans="1:14">
      <c r="A130" s="4">
        <v>128</v>
      </c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6" t="str">
        <f t="shared" si="3"/>
        <v/>
      </c>
      <c r="M130" s="5"/>
      <c r="N130" s="5"/>
    </row>
    <row r="131" spans="1:14">
      <c r="A131" s="4">
        <v>129</v>
      </c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6" t="str">
        <f t="shared" ref="L131:L162" si="4">IF(COUNTA(B131:K131)=0,"",ROUND(AVERAGE(I131:K131),2))</f>
        <v/>
      </c>
      <c r="M131" s="5"/>
      <c r="N131" s="5"/>
    </row>
    <row r="132" spans="1:14">
      <c r="A132" s="4">
        <v>130</v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6" t="str">
        <f t="shared" si="4"/>
        <v/>
      </c>
      <c r="M132" s="5"/>
      <c r="N132" s="5"/>
    </row>
    <row r="133" spans="1:14">
      <c r="A133" s="4">
        <v>131</v>
      </c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6" t="str">
        <f t="shared" si="4"/>
        <v/>
      </c>
      <c r="M133" s="5"/>
      <c r="N133" s="5"/>
    </row>
    <row r="134" spans="1:14">
      <c r="A134" s="4">
        <v>132</v>
      </c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6" t="str">
        <f t="shared" si="4"/>
        <v/>
      </c>
      <c r="M134" s="5"/>
      <c r="N134" s="5"/>
    </row>
    <row r="135" spans="1:14">
      <c r="A135" s="4">
        <v>133</v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6" t="str">
        <f t="shared" si="4"/>
        <v/>
      </c>
      <c r="M135" s="5"/>
      <c r="N135" s="5"/>
    </row>
    <row r="136" spans="1:14">
      <c r="A136" s="4">
        <v>134</v>
      </c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6" t="str">
        <f t="shared" si="4"/>
        <v/>
      </c>
      <c r="M136" s="5"/>
      <c r="N136" s="5"/>
    </row>
    <row r="137" spans="1:14">
      <c r="A137" s="4">
        <v>135</v>
      </c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6" t="str">
        <f t="shared" si="4"/>
        <v/>
      </c>
      <c r="M137" s="5"/>
      <c r="N137" s="5"/>
    </row>
    <row r="138" spans="1:14">
      <c r="A138" s="4">
        <v>136</v>
      </c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6" t="str">
        <f t="shared" si="4"/>
        <v/>
      </c>
      <c r="M138" s="5"/>
      <c r="N138" s="5"/>
    </row>
    <row r="139" spans="1:14">
      <c r="A139" s="4">
        <v>137</v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6" t="str">
        <f t="shared" si="4"/>
        <v/>
      </c>
      <c r="M139" s="5"/>
      <c r="N139" s="5"/>
    </row>
    <row r="140" spans="1:14">
      <c r="A140" s="4">
        <v>138</v>
      </c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6" t="str">
        <f t="shared" si="4"/>
        <v/>
      </c>
      <c r="M140" s="5"/>
      <c r="N140" s="5"/>
    </row>
    <row r="141" spans="1:14">
      <c r="A141" s="4">
        <v>139</v>
      </c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6" t="str">
        <f t="shared" si="4"/>
        <v/>
      </c>
      <c r="M141" s="5"/>
      <c r="N141" s="5"/>
    </row>
    <row r="142" spans="1:14">
      <c r="A142" s="4">
        <v>140</v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6" t="str">
        <f t="shared" si="4"/>
        <v/>
      </c>
      <c r="M142" s="5"/>
      <c r="N142" s="5"/>
    </row>
    <row r="143" spans="1:14">
      <c r="A143" s="4">
        <v>141</v>
      </c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6" t="str">
        <f t="shared" si="4"/>
        <v/>
      </c>
      <c r="M143" s="5"/>
      <c r="N143" s="5"/>
    </row>
    <row r="144" spans="1:14">
      <c r="A144" s="4">
        <v>142</v>
      </c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6" t="str">
        <f t="shared" si="4"/>
        <v/>
      </c>
      <c r="M144" s="5"/>
      <c r="N144" s="5"/>
    </row>
    <row r="145" spans="1:14">
      <c r="A145" s="4">
        <v>143</v>
      </c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6" t="str">
        <f t="shared" si="4"/>
        <v/>
      </c>
      <c r="M145" s="5"/>
      <c r="N145" s="5"/>
    </row>
    <row r="146" spans="1:14">
      <c r="A146" s="4">
        <v>144</v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6" t="str">
        <f t="shared" si="4"/>
        <v/>
      </c>
      <c r="M146" s="5"/>
      <c r="N146" s="5"/>
    </row>
    <row r="147" spans="1:14">
      <c r="A147" s="4">
        <v>145</v>
      </c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6" t="str">
        <f t="shared" si="4"/>
        <v/>
      </c>
      <c r="M147" s="5"/>
      <c r="N147" s="5"/>
    </row>
    <row r="148" spans="1:14">
      <c r="A148" s="4">
        <v>146</v>
      </c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6" t="str">
        <f t="shared" si="4"/>
        <v/>
      </c>
      <c r="M148" s="5"/>
      <c r="N148" s="5"/>
    </row>
    <row r="149" spans="1:14">
      <c r="A149" s="4">
        <v>147</v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6" t="str">
        <f t="shared" si="4"/>
        <v/>
      </c>
      <c r="M149" s="5"/>
      <c r="N149" s="5"/>
    </row>
    <row r="150" spans="1:14">
      <c r="A150" s="4">
        <v>148</v>
      </c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6" t="str">
        <f t="shared" si="4"/>
        <v/>
      </c>
      <c r="M150" s="5"/>
      <c r="N150" s="5"/>
    </row>
    <row r="151" spans="1:14">
      <c r="A151" s="4">
        <v>149</v>
      </c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6" t="str">
        <f t="shared" si="4"/>
        <v/>
      </c>
      <c r="M151" s="5"/>
      <c r="N151" s="5"/>
    </row>
    <row r="152" spans="1:14">
      <c r="A152" s="4">
        <v>150</v>
      </c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6" t="str">
        <f t="shared" si="4"/>
        <v/>
      </c>
      <c r="M152" s="5"/>
      <c r="N152" s="5"/>
    </row>
    <row r="153" spans="1:14">
      <c r="A153" s="4">
        <v>151</v>
      </c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6" t="str">
        <f t="shared" si="4"/>
        <v/>
      </c>
      <c r="M153" s="5"/>
      <c r="N153" s="5"/>
    </row>
    <row r="154" spans="1:14">
      <c r="A154" s="4">
        <v>152</v>
      </c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6" t="str">
        <f t="shared" si="4"/>
        <v/>
      </c>
      <c r="M154" s="5"/>
      <c r="N154" s="5"/>
    </row>
    <row r="155" spans="1:14">
      <c r="A155" s="4">
        <v>153</v>
      </c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6" t="str">
        <f t="shared" si="4"/>
        <v/>
      </c>
      <c r="M155" s="5"/>
      <c r="N155" s="5"/>
    </row>
    <row r="156" spans="1:14">
      <c r="A156" s="4">
        <v>154</v>
      </c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6" t="str">
        <f t="shared" si="4"/>
        <v/>
      </c>
      <c r="M156" s="5"/>
      <c r="N156" s="5"/>
    </row>
    <row r="157" spans="1:14">
      <c r="A157" s="4">
        <v>155</v>
      </c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6" t="str">
        <f t="shared" si="4"/>
        <v/>
      </c>
      <c r="M157" s="5"/>
      <c r="N157" s="5"/>
    </row>
    <row r="158" spans="1:14">
      <c r="A158" s="4">
        <v>156</v>
      </c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6" t="str">
        <f t="shared" si="4"/>
        <v/>
      </c>
      <c r="M158" s="5"/>
      <c r="N158" s="5"/>
    </row>
    <row r="159" spans="1:14">
      <c r="A159" s="4">
        <v>157</v>
      </c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6" t="str">
        <f t="shared" si="4"/>
        <v/>
      </c>
      <c r="M159" s="5"/>
      <c r="N159" s="5"/>
    </row>
    <row r="160" spans="1:14">
      <c r="A160" s="4">
        <v>158</v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6" t="str">
        <f t="shared" si="4"/>
        <v/>
      </c>
      <c r="M160" s="5"/>
      <c r="N160" s="5"/>
    </row>
    <row r="161" spans="1:14">
      <c r="A161" s="4">
        <v>159</v>
      </c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6" t="str">
        <f t="shared" si="4"/>
        <v/>
      </c>
      <c r="M161" s="5"/>
      <c r="N161" s="5"/>
    </row>
    <row r="162" spans="1:14">
      <c r="A162" s="4">
        <v>160</v>
      </c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6" t="str">
        <f t="shared" si="4"/>
        <v/>
      </c>
      <c r="M162" s="5"/>
      <c r="N162" s="5"/>
    </row>
    <row r="163" spans="1:14">
      <c r="A163" s="4">
        <v>161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6" t="str">
        <f t="shared" ref="L163:L194" si="5">IF(COUNTA(B163:K163)=0,"",ROUND(AVERAGE(I163:K163),2))</f>
        <v/>
      </c>
      <c r="M163" s="5"/>
      <c r="N163" s="5"/>
    </row>
    <row r="164" spans="1:14">
      <c r="A164" s="4">
        <v>162</v>
      </c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6" t="str">
        <f t="shared" si="5"/>
        <v/>
      </c>
      <c r="M164" s="5"/>
      <c r="N164" s="5"/>
    </row>
    <row r="165" spans="1:14">
      <c r="A165" s="4">
        <v>163</v>
      </c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6" t="str">
        <f t="shared" si="5"/>
        <v/>
      </c>
      <c r="M165" s="5"/>
      <c r="N165" s="5"/>
    </row>
    <row r="166" spans="1:14">
      <c r="A166" s="4">
        <v>164</v>
      </c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6" t="str">
        <f t="shared" si="5"/>
        <v/>
      </c>
      <c r="M166" s="5"/>
      <c r="N166" s="5"/>
    </row>
    <row r="167" spans="1:14">
      <c r="A167" s="4">
        <v>165</v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6" t="str">
        <f t="shared" si="5"/>
        <v/>
      </c>
      <c r="M167" s="5"/>
      <c r="N167" s="5"/>
    </row>
    <row r="168" spans="1:14">
      <c r="A168" s="4">
        <v>166</v>
      </c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6" t="str">
        <f t="shared" si="5"/>
        <v/>
      </c>
      <c r="M168" s="5"/>
      <c r="N168" s="5"/>
    </row>
    <row r="169" spans="1:14">
      <c r="A169" s="4">
        <v>167</v>
      </c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6" t="str">
        <f t="shared" si="5"/>
        <v/>
      </c>
      <c r="M169" s="5"/>
      <c r="N169" s="5"/>
    </row>
    <row r="170" spans="1:14">
      <c r="A170" s="4">
        <v>168</v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6" t="str">
        <f t="shared" si="5"/>
        <v/>
      </c>
      <c r="M170" s="5"/>
      <c r="N170" s="5"/>
    </row>
    <row r="171" spans="1:14">
      <c r="A171" s="4">
        <v>169</v>
      </c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6" t="str">
        <f t="shared" si="5"/>
        <v/>
      </c>
      <c r="M171" s="5"/>
      <c r="N171" s="5"/>
    </row>
    <row r="172" spans="1:14">
      <c r="A172" s="4">
        <v>170</v>
      </c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6" t="str">
        <f t="shared" si="5"/>
        <v/>
      </c>
      <c r="M172" s="5"/>
      <c r="N172" s="5"/>
    </row>
    <row r="173" spans="1:14">
      <c r="A173" s="4">
        <v>171</v>
      </c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6" t="str">
        <f t="shared" si="5"/>
        <v/>
      </c>
      <c r="M173" s="5"/>
      <c r="N173" s="5"/>
    </row>
    <row r="174" spans="1:14">
      <c r="A174" s="4">
        <v>172</v>
      </c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6" t="str">
        <f t="shared" si="5"/>
        <v/>
      </c>
      <c r="M174" s="5"/>
      <c r="N174" s="5"/>
    </row>
    <row r="175" spans="1:14">
      <c r="A175" s="4">
        <v>173</v>
      </c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6" t="str">
        <f t="shared" si="5"/>
        <v/>
      </c>
      <c r="M175" s="5"/>
      <c r="N175" s="5"/>
    </row>
    <row r="176" spans="1:14">
      <c r="A176" s="4">
        <v>174</v>
      </c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6" t="str">
        <f t="shared" si="5"/>
        <v/>
      </c>
      <c r="M176" s="5"/>
      <c r="N176" s="5"/>
    </row>
    <row r="177" spans="1:14">
      <c r="A177" s="4">
        <v>175</v>
      </c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6" t="str">
        <f t="shared" si="5"/>
        <v/>
      </c>
      <c r="M177" s="5"/>
      <c r="N177" s="5"/>
    </row>
    <row r="178" spans="1:14">
      <c r="A178" s="4">
        <v>176</v>
      </c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6" t="str">
        <f t="shared" si="5"/>
        <v/>
      </c>
      <c r="M178" s="5"/>
      <c r="N178" s="5"/>
    </row>
    <row r="179" spans="1:14">
      <c r="A179" s="4">
        <v>177</v>
      </c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6" t="str">
        <f t="shared" si="5"/>
        <v/>
      </c>
      <c r="M179" s="5"/>
      <c r="N179" s="5"/>
    </row>
    <row r="180" spans="1:14">
      <c r="A180" s="4">
        <v>178</v>
      </c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6" t="str">
        <f t="shared" si="5"/>
        <v/>
      </c>
      <c r="M180" s="5"/>
      <c r="N180" s="5"/>
    </row>
    <row r="181" spans="1:14">
      <c r="A181" s="4">
        <v>179</v>
      </c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6" t="str">
        <f t="shared" si="5"/>
        <v/>
      </c>
      <c r="M181" s="5"/>
      <c r="N181" s="5"/>
    </row>
    <row r="182" spans="1:14">
      <c r="A182" s="4">
        <v>180</v>
      </c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6" t="str">
        <f t="shared" si="5"/>
        <v/>
      </c>
      <c r="M182" s="5"/>
      <c r="N182" s="5"/>
    </row>
    <row r="183" spans="1:14">
      <c r="A183" s="4">
        <v>181</v>
      </c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6" t="str">
        <f t="shared" si="5"/>
        <v/>
      </c>
      <c r="M183" s="5"/>
      <c r="N183" s="5"/>
    </row>
    <row r="184" spans="1:14">
      <c r="A184" s="4">
        <v>182</v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6" t="str">
        <f t="shared" si="5"/>
        <v/>
      </c>
      <c r="M184" s="5"/>
      <c r="N184" s="5"/>
    </row>
    <row r="185" spans="1:14">
      <c r="A185" s="4">
        <v>183</v>
      </c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6" t="str">
        <f t="shared" si="5"/>
        <v/>
      </c>
      <c r="M185" s="5"/>
      <c r="N185" s="5"/>
    </row>
    <row r="186" spans="1:14">
      <c r="A186" s="4">
        <v>184</v>
      </c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6" t="str">
        <f t="shared" si="5"/>
        <v/>
      </c>
      <c r="M186" s="5"/>
      <c r="N186" s="5"/>
    </row>
    <row r="187" spans="1:14">
      <c r="A187" s="4">
        <v>185</v>
      </c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6" t="str">
        <f t="shared" si="5"/>
        <v/>
      </c>
      <c r="M187" s="5"/>
      <c r="N187" s="5"/>
    </row>
    <row r="188" spans="1:14">
      <c r="A188" s="4">
        <v>186</v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6" t="str">
        <f t="shared" si="5"/>
        <v/>
      </c>
      <c r="M188" s="5"/>
      <c r="N188" s="5"/>
    </row>
    <row r="189" spans="1:14">
      <c r="A189" s="4">
        <v>187</v>
      </c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6" t="str">
        <f t="shared" si="5"/>
        <v/>
      </c>
      <c r="M189" s="5"/>
      <c r="N189" s="5"/>
    </row>
    <row r="190" spans="1:14">
      <c r="A190" s="4">
        <v>188</v>
      </c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6" t="str">
        <f t="shared" si="5"/>
        <v/>
      </c>
      <c r="M190" s="5"/>
      <c r="N190" s="5"/>
    </row>
    <row r="191" spans="1:14">
      <c r="A191" s="4">
        <v>189</v>
      </c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6" t="str">
        <f t="shared" si="5"/>
        <v/>
      </c>
      <c r="M191" s="5"/>
      <c r="N191" s="5"/>
    </row>
    <row r="192" spans="1:14">
      <c r="A192" s="4">
        <v>190</v>
      </c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6" t="str">
        <f t="shared" si="5"/>
        <v/>
      </c>
      <c r="M192" s="5"/>
      <c r="N192" s="5"/>
    </row>
    <row r="193" spans="1:14">
      <c r="A193" s="4">
        <v>191</v>
      </c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6" t="str">
        <f t="shared" si="5"/>
        <v/>
      </c>
      <c r="M193" s="5"/>
      <c r="N193" s="5"/>
    </row>
    <row r="194" spans="1:14">
      <c r="A194" s="4">
        <v>192</v>
      </c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6" t="str">
        <f t="shared" si="5"/>
        <v/>
      </c>
      <c r="M194" s="5"/>
      <c r="N194" s="5"/>
    </row>
    <row r="195" spans="1:14">
      <c r="A195" s="4">
        <v>193</v>
      </c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6" t="str">
        <f t="shared" ref="L195:L226" si="6">IF(COUNTA(B195:K195)=0,"",ROUND(AVERAGE(I195:K195),2))</f>
        <v/>
      </c>
      <c r="M195" s="5"/>
      <c r="N195" s="5"/>
    </row>
    <row r="196" spans="1:14">
      <c r="A196" s="4">
        <v>194</v>
      </c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6" t="str">
        <f t="shared" si="6"/>
        <v/>
      </c>
      <c r="M196" s="5"/>
      <c r="N196" s="5"/>
    </row>
    <row r="197" spans="1:14">
      <c r="A197" s="4">
        <v>195</v>
      </c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6" t="str">
        <f t="shared" si="6"/>
        <v/>
      </c>
      <c r="M197" s="5"/>
      <c r="N197" s="5"/>
    </row>
    <row r="198" spans="1:14">
      <c r="A198" s="4">
        <v>196</v>
      </c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6" t="str">
        <f t="shared" si="6"/>
        <v/>
      </c>
      <c r="M198" s="5"/>
      <c r="N198" s="5"/>
    </row>
    <row r="199" spans="1:14">
      <c r="A199" s="4">
        <v>197</v>
      </c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6" t="str">
        <f t="shared" si="6"/>
        <v/>
      </c>
      <c r="M199" s="5"/>
      <c r="N199" s="5"/>
    </row>
    <row r="200" spans="1:14">
      <c r="A200" s="4">
        <v>198</v>
      </c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6" t="str">
        <f t="shared" si="6"/>
        <v/>
      </c>
      <c r="M200" s="5"/>
      <c r="N200" s="5"/>
    </row>
    <row r="201" spans="1:14">
      <c r="A201" s="4">
        <v>199</v>
      </c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6" t="str">
        <f t="shared" si="6"/>
        <v/>
      </c>
      <c r="M201" s="5"/>
      <c r="N201" s="5"/>
    </row>
    <row r="202" spans="1:14">
      <c r="A202" s="4">
        <v>200</v>
      </c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6" t="str">
        <f t="shared" si="6"/>
        <v/>
      </c>
      <c r="M202" s="5"/>
      <c r="N202" s="5"/>
    </row>
  </sheetData>
  <mergeCells count="1">
    <mergeCell ref="A1:N1"/>
  </mergeCells>
  <conditionalFormatting sqref="L3:L202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100-000000000000}">
          <x14:formula1>
            <xm:f>'12_Справочники'!$A$3:$A$12</xm:f>
          </x14:formula1>
          <xm:sqref>B3:B202</xm:sqref>
        </x14:dataValidation>
        <x14:dataValidation type="list" xr:uid="{00000000-0002-0000-0100-000001000000}">
          <x14:formula1>
            <xm:f>'12_Справочники'!$B$3:$B$11</xm:f>
          </x14:formula1>
          <xm:sqref>H3:H202</xm:sqref>
        </x14:dataValidation>
        <x14:dataValidation type="list" xr:uid="{00000000-0002-0000-0100-000002000000}">
          <x14:formula1>
            <xm:f>'12_Справочники'!$C$3:$C$7</xm:f>
          </x14:formula1>
          <xm:sqref>I3:K202</xm:sqref>
        </x14:dataValidation>
        <x14:dataValidation type="list" xr:uid="{00000000-0002-0000-0100-000003000000}">
          <x14:formula1>
            <xm:f>'12_Справочники'!$D$3:$D$8</xm:f>
          </x14:formula1>
          <xm:sqref>M3:M202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workbookViewId="0"/>
  </sheetViews>
  <sheetFormatPr defaultRowHeight="14.25"/>
  <cols>
    <col min="1" max="1" width="25" customWidth="1"/>
    <col min="2" max="3" width="42" customWidth="1"/>
    <col min="4" max="5" width="38" customWidth="1"/>
    <col min="6" max="8" width="14" customWidth="1"/>
    <col min="9" max="9" width="30" customWidth="1"/>
    <col min="10" max="10" width="20" customWidth="1"/>
  </cols>
  <sheetData>
    <row r="1" spans="1:10" ht="32.1" customHeight="1">
      <c r="A1" s="9" t="s">
        <v>51</v>
      </c>
      <c r="B1" s="9"/>
      <c r="C1" s="9"/>
      <c r="D1" s="9"/>
      <c r="E1" s="9"/>
      <c r="F1" s="9"/>
      <c r="G1" s="9"/>
      <c r="H1" s="9"/>
      <c r="I1" s="9"/>
      <c r="J1" s="9"/>
    </row>
    <row r="2" spans="1:10" ht="32.1" customHeight="1">
      <c r="A2" s="3" t="s">
        <v>44</v>
      </c>
      <c r="B2" s="3" t="s">
        <v>52</v>
      </c>
      <c r="C2" s="3" t="s">
        <v>53</v>
      </c>
      <c r="D2" s="3" t="s">
        <v>54</v>
      </c>
      <c r="E2" s="3" t="s">
        <v>55</v>
      </c>
      <c r="F2" s="3" t="s">
        <v>45</v>
      </c>
      <c r="G2" s="3" t="s">
        <v>56</v>
      </c>
      <c r="H2" s="3" t="s">
        <v>57</v>
      </c>
      <c r="I2" s="3" t="s">
        <v>58</v>
      </c>
      <c r="J2" s="3" t="s">
        <v>59</v>
      </c>
    </row>
    <row r="3" spans="1:10" ht="99.75">
      <c r="A3" s="4" t="s">
        <v>60</v>
      </c>
      <c r="B3" s="4" t="s">
        <v>61</v>
      </c>
      <c r="C3" s="4" t="s">
        <v>62</v>
      </c>
      <c r="D3" s="5" t="s">
        <v>415</v>
      </c>
      <c r="E3" s="5" t="s">
        <v>416</v>
      </c>
      <c r="F3" s="5">
        <v>4</v>
      </c>
      <c r="G3" s="5">
        <v>4</v>
      </c>
      <c r="H3" s="5">
        <v>2</v>
      </c>
      <c r="I3" s="5" t="s">
        <v>417</v>
      </c>
      <c r="J3" s="6" t="str">
        <f t="shared" ref="J3:J11" si="0">IF(COUNTA(D3:E3)=0,"Не заполнено",IF(AND(F3&gt;=4,G3&gt;=4,H3&lt;=2),"Готово",IF(OR(F3&lt;3,G3&lt;3,H3&gt;=4),"Требует доработки","Проверить")))</f>
        <v>Готово</v>
      </c>
    </row>
    <row r="4" spans="1:10" ht="114">
      <c r="A4" s="4" t="s">
        <v>63</v>
      </c>
      <c r="B4" s="4" t="s">
        <v>64</v>
      </c>
      <c r="C4" s="4" t="s">
        <v>65</v>
      </c>
      <c r="D4" s="5" t="s">
        <v>418</v>
      </c>
      <c r="E4" s="5" t="s">
        <v>419</v>
      </c>
      <c r="F4" s="5">
        <v>4</v>
      </c>
      <c r="G4" s="5">
        <v>4</v>
      </c>
      <c r="H4" s="5">
        <v>2</v>
      </c>
      <c r="I4" s="5" t="s">
        <v>420</v>
      </c>
      <c r="J4" s="6" t="str">
        <f t="shared" si="0"/>
        <v>Готово</v>
      </c>
    </row>
    <row r="5" spans="1:10" ht="85.5">
      <c r="A5" s="4" t="s">
        <v>66</v>
      </c>
      <c r="B5" s="4" t="s">
        <v>67</v>
      </c>
      <c r="C5" s="4" t="s">
        <v>68</v>
      </c>
      <c r="D5" s="5" t="s">
        <v>421</v>
      </c>
      <c r="E5" s="5" t="s">
        <v>422</v>
      </c>
      <c r="F5" s="5">
        <v>4</v>
      </c>
      <c r="G5" s="5">
        <v>3</v>
      </c>
      <c r="H5" s="5">
        <v>3</v>
      </c>
      <c r="I5" s="5" t="s">
        <v>423</v>
      </c>
      <c r="J5" s="6" t="str">
        <f t="shared" si="0"/>
        <v>Проверить</v>
      </c>
    </row>
    <row r="6" spans="1:10" ht="85.5">
      <c r="A6" s="4" t="s">
        <v>69</v>
      </c>
      <c r="B6" s="4" t="s">
        <v>70</v>
      </c>
      <c r="C6" s="4" t="s">
        <v>71</v>
      </c>
      <c r="D6" s="5" t="s">
        <v>424</v>
      </c>
      <c r="E6" s="5" t="s">
        <v>425</v>
      </c>
      <c r="F6" s="5">
        <v>3</v>
      </c>
      <c r="G6" s="5">
        <v>3</v>
      </c>
      <c r="H6" s="5">
        <v>3</v>
      </c>
      <c r="I6" s="5" t="s">
        <v>426</v>
      </c>
      <c r="J6" s="6" t="str">
        <f t="shared" si="0"/>
        <v>Проверить</v>
      </c>
    </row>
    <row r="7" spans="1:10" ht="85.5">
      <c r="A7" s="4" t="s">
        <v>72</v>
      </c>
      <c r="B7" s="4" t="s">
        <v>73</v>
      </c>
      <c r="C7" s="4" t="s">
        <v>74</v>
      </c>
      <c r="D7" s="5" t="s">
        <v>427</v>
      </c>
      <c r="E7" s="5" t="s">
        <v>428</v>
      </c>
      <c r="F7" s="5">
        <v>2</v>
      </c>
      <c r="G7" s="5">
        <v>3</v>
      </c>
      <c r="H7" s="5">
        <v>4</v>
      </c>
      <c r="I7" s="5" t="s">
        <v>429</v>
      </c>
      <c r="J7" s="6" t="str">
        <f t="shared" si="0"/>
        <v>Требует доработки</v>
      </c>
    </row>
    <row r="8" spans="1:10" ht="71.25">
      <c r="A8" s="4" t="s">
        <v>75</v>
      </c>
      <c r="B8" s="4" t="s">
        <v>76</v>
      </c>
      <c r="C8" s="4" t="s">
        <v>77</v>
      </c>
      <c r="D8" s="5" t="s">
        <v>430</v>
      </c>
      <c r="E8" s="5" t="s">
        <v>431</v>
      </c>
      <c r="F8" s="5">
        <v>5</v>
      </c>
      <c r="G8" s="5">
        <v>4</v>
      </c>
      <c r="H8" s="5">
        <v>2</v>
      </c>
      <c r="I8" s="5" t="s">
        <v>432</v>
      </c>
      <c r="J8" s="6" t="str">
        <f t="shared" si="0"/>
        <v>Готово</v>
      </c>
    </row>
    <row r="9" spans="1:10" ht="85.5">
      <c r="A9" s="4" t="s">
        <v>78</v>
      </c>
      <c r="B9" s="4" t="s">
        <v>79</v>
      </c>
      <c r="C9" s="4" t="s">
        <v>80</v>
      </c>
      <c r="D9" s="5" t="s">
        <v>433</v>
      </c>
      <c r="E9" s="5" t="s">
        <v>434</v>
      </c>
      <c r="F9" s="5">
        <v>5</v>
      </c>
      <c r="G9" s="5">
        <v>4</v>
      </c>
      <c r="H9" s="5">
        <v>2</v>
      </c>
      <c r="I9" s="5" t="s">
        <v>435</v>
      </c>
      <c r="J9" s="6" t="str">
        <f t="shared" si="0"/>
        <v>Готово</v>
      </c>
    </row>
    <row r="10" spans="1:10" ht="85.5">
      <c r="A10" s="4" t="s">
        <v>81</v>
      </c>
      <c r="B10" s="4" t="s">
        <v>82</v>
      </c>
      <c r="C10" s="4" t="s">
        <v>83</v>
      </c>
      <c r="D10" s="5" t="s">
        <v>436</v>
      </c>
      <c r="E10" s="5" t="s">
        <v>437</v>
      </c>
      <c r="F10" s="5">
        <v>3</v>
      </c>
      <c r="G10" s="5">
        <v>3</v>
      </c>
      <c r="H10" s="5">
        <v>4</v>
      </c>
      <c r="I10" s="5" t="s">
        <v>438</v>
      </c>
      <c r="J10" s="6" t="str">
        <f t="shared" si="0"/>
        <v>Требует доработки</v>
      </c>
    </row>
    <row r="11" spans="1:10" ht="85.5">
      <c r="A11" s="4" t="s">
        <v>84</v>
      </c>
      <c r="B11" s="4" t="s">
        <v>85</v>
      </c>
      <c r="C11" s="4" t="s">
        <v>86</v>
      </c>
      <c r="D11" s="5" t="s">
        <v>439</v>
      </c>
      <c r="E11" s="5" t="s">
        <v>440</v>
      </c>
      <c r="F11" s="5">
        <v>4</v>
      </c>
      <c r="G11" s="5">
        <v>4</v>
      </c>
      <c r="H11" s="5">
        <v>3</v>
      </c>
      <c r="I11" s="5" t="s">
        <v>441</v>
      </c>
      <c r="J11" s="6" t="str">
        <f t="shared" si="0"/>
        <v>Проверить</v>
      </c>
    </row>
  </sheetData>
  <mergeCells count="1">
    <mergeCell ref="A1:J1"/>
  </mergeCells>
  <conditionalFormatting sqref="F3:G11">
    <cfRule type="dataBar" priority="1">
      <dataBar>
        <cfvo type="min"/>
        <cfvo type="max"/>
        <color rgb="FF3B82F6"/>
      </dataBar>
    </cfRule>
    <cfRule type="dataBar" priority="3">
      <dataBar>
        <cfvo type="min"/>
        <cfvo type="max"/>
        <color rgb="FF3B82F6"/>
      </dataBar>
      <extLst>
        <ext xmlns:x14="http://schemas.microsoft.com/office/spreadsheetml/2009/9/main" uri="{B025F937-C7B1-47D3-B67F-A62EFF666E3E}">
          <x14:id>{0DE743BD-6496-9224-63ED-4BB979AF368D}</x14:id>
        </ext>
      </extLst>
    </cfRule>
  </conditionalFormatting>
  <conditionalFormatting sqref="H3:H11">
    <cfRule type="colorScale" priority="2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E743BD-6496-9224-63ED-4BB979AF368D}">
            <x14:dataBar>
              <x14:cfvo type="min"/>
              <x14:cfvo type="max"/>
              <x14:negativeFillColor auto="1"/>
              <x14:axisColor auto="1"/>
            </x14:dataBar>
          </x14:cfRule>
          <xm:sqref>F3:G11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0000000}">
          <x14:formula1>
            <xm:f>'12_Справочники'!$C$3:$C$7</xm:f>
          </x14:formula1>
          <xm:sqref>F3:H11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2"/>
  <sheetViews>
    <sheetView workbookViewId="0"/>
  </sheetViews>
  <sheetFormatPr defaultRowHeight="14.25"/>
  <cols>
    <col min="1" max="1" width="12" customWidth="1"/>
    <col min="2" max="5" width="32" customWidth="1"/>
    <col min="6" max="9" width="16" customWidth="1"/>
    <col min="10" max="11" width="18" customWidth="1"/>
  </cols>
  <sheetData>
    <row r="1" spans="1:11" ht="32.1" customHeight="1">
      <c r="A1" s="9" t="s">
        <v>87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32.1" customHeight="1">
      <c r="A2" s="3" t="s">
        <v>88</v>
      </c>
      <c r="B2" s="3" t="s">
        <v>89</v>
      </c>
      <c r="C2" s="3" t="s">
        <v>90</v>
      </c>
      <c r="D2" s="3" t="s">
        <v>91</v>
      </c>
      <c r="E2" s="3" t="s">
        <v>55</v>
      </c>
      <c r="F2" s="3" t="s">
        <v>92</v>
      </c>
      <c r="G2" s="3" t="s">
        <v>93</v>
      </c>
      <c r="H2" s="3" t="s">
        <v>94</v>
      </c>
      <c r="I2" s="3" t="s">
        <v>95</v>
      </c>
      <c r="J2" s="3" t="s">
        <v>96</v>
      </c>
      <c r="K2" s="3" t="s">
        <v>97</v>
      </c>
    </row>
    <row r="3" spans="1:11" ht="42.75">
      <c r="A3" s="4">
        <v>1</v>
      </c>
      <c r="B3" s="5" t="s">
        <v>442</v>
      </c>
      <c r="C3" s="5" t="s">
        <v>443</v>
      </c>
      <c r="D3" s="5" t="s">
        <v>444</v>
      </c>
      <c r="E3" s="5" t="s">
        <v>445</v>
      </c>
      <c r="F3" s="5">
        <v>5</v>
      </c>
      <c r="G3" s="5">
        <v>4</v>
      </c>
      <c r="H3" s="5">
        <v>2</v>
      </c>
      <c r="I3" s="5">
        <v>5</v>
      </c>
      <c r="J3" s="6">
        <f t="shared" ref="J3:J34" si="0">IF(COUNTA(B3:I3)=0,"",ROUND(AVERAGE(F3:I3),2))</f>
        <v>4</v>
      </c>
      <c r="K3" s="6" t="str">
        <f t="shared" ref="K3:K34" si="1">IF(J3="","",IF(J3&gt;=4,"Приоритетный",IF(J3&gt;=3,"Перспективный","Низкий приоритет")))</f>
        <v>Приоритетный</v>
      </c>
    </row>
    <row r="4" spans="1:11" ht="28.5">
      <c r="A4" s="4">
        <v>2</v>
      </c>
      <c r="B4" s="5" t="s">
        <v>446</v>
      </c>
      <c r="C4" s="5" t="s">
        <v>447</v>
      </c>
      <c r="D4" s="5" t="s">
        <v>448</v>
      </c>
      <c r="E4" s="5" t="s">
        <v>449</v>
      </c>
      <c r="F4" s="5">
        <v>4</v>
      </c>
      <c r="G4" s="5">
        <v>3</v>
      </c>
      <c r="H4" s="5">
        <v>4</v>
      </c>
      <c r="I4" s="5">
        <v>3</v>
      </c>
      <c r="J4" s="6">
        <f t="shared" si="0"/>
        <v>3.5</v>
      </c>
      <c r="K4" s="6" t="str">
        <f t="shared" si="1"/>
        <v>Перспективный</v>
      </c>
    </row>
    <row r="5" spans="1:11" ht="28.5">
      <c r="A5" s="4">
        <v>3</v>
      </c>
      <c r="B5" s="5" t="s">
        <v>450</v>
      </c>
      <c r="C5" s="5" t="s">
        <v>451</v>
      </c>
      <c r="D5" s="5" t="s">
        <v>452</v>
      </c>
      <c r="E5" s="5" t="s">
        <v>453</v>
      </c>
      <c r="F5" s="5">
        <v>3</v>
      </c>
      <c r="G5" s="5">
        <v>4</v>
      </c>
      <c r="H5" s="5">
        <v>4</v>
      </c>
      <c r="I5" s="5">
        <v>3</v>
      </c>
      <c r="J5" s="6">
        <f t="shared" si="0"/>
        <v>3.5</v>
      </c>
      <c r="K5" s="6" t="str">
        <f t="shared" si="1"/>
        <v>Перспективный</v>
      </c>
    </row>
    <row r="6" spans="1:11" ht="28.5">
      <c r="A6" s="4">
        <v>4</v>
      </c>
      <c r="B6" s="5" t="s">
        <v>454</v>
      </c>
      <c r="C6" s="5" t="s">
        <v>455</v>
      </c>
      <c r="D6" s="5" t="s">
        <v>456</v>
      </c>
      <c r="E6" s="5" t="s">
        <v>457</v>
      </c>
      <c r="F6" s="5">
        <v>3</v>
      </c>
      <c r="G6" s="5">
        <v>2</v>
      </c>
      <c r="H6" s="5">
        <v>2</v>
      </c>
      <c r="I6" s="5">
        <v>4</v>
      </c>
      <c r="J6" s="6">
        <f t="shared" si="0"/>
        <v>2.75</v>
      </c>
      <c r="K6" s="6" t="str">
        <f t="shared" si="1"/>
        <v>Низкий приоритет</v>
      </c>
    </row>
    <row r="7" spans="1:11">
      <c r="A7" s="4">
        <v>5</v>
      </c>
      <c r="B7" s="5"/>
      <c r="C7" s="5"/>
      <c r="D7" s="5"/>
      <c r="E7" s="5"/>
      <c r="F7" s="5"/>
      <c r="G7" s="5"/>
      <c r="H7" s="5"/>
      <c r="I7" s="5"/>
      <c r="J7" s="6" t="str">
        <f t="shared" si="0"/>
        <v/>
      </c>
      <c r="K7" s="6" t="str">
        <f t="shared" si="1"/>
        <v/>
      </c>
    </row>
    <row r="8" spans="1:11">
      <c r="A8" s="4">
        <v>6</v>
      </c>
      <c r="B8" s="5"/>
      <c r="C8" s="5"/>
      <c r="D8" s="5"/>
      <c r="E8" s="5"/>
      <c r="F8" s="5"/>
      <c r="G8" s="5"/>
      <c r="H8" s="5"/>
      <c r="I8" s="5"/>
      <c r="J8" s="6" t="str">
        <f t="shared" si="0"/>
        <v/>
      </c>
      <c r="K8" s="6" t="str">
        <f t="shared" si="1"/>
        <v/>
      </c>
    </row>
    <row r="9" spans="1:11">
      <c r="A9" s="4">
        <v>7</v>
      </c>
      <c r="B9" s="5"/>
      <c r="C9" s="5"/>
      <c r="D9" s="5"/>
      <c r="E9" s="5"/>
      <c r="F9" s="5"/>
      <c r="G9" s="5"/>
      <c r="H9" s="5"/>
      <c r="I9" s="5"/>
      <c r="J9" s="6" t="str">
        <f t="shared" si="0"/>
        <v/>
      </c>
      <c r="K9" s="6" t="str">
        <f t="shared" si="1"/>
        <v/>
      </c>
    </row>
    <row r="10" spans="1:11">
      <c r="A10" s="4">
        <v>8</v>
      </c>
      <c r="B10" s="5"/>
      <c r="C10" s="5"/>
      <c r="D10" s="5"/>
      <c r="E10" s="5"/>
      <c r="F10" s="5"/>
      <c r="G10" s="5"/>
      <c r="H10" s="5"/>
      <c r="I10" s="5"/>
      <c r="J10" s="6" t="str">
        <f t="shared" si="0"/>
        <v/>
      </c>
      <c r="K10" s="6" t="str">
        <f t="shared" si="1"/>
        <v/>
      </c>
    </row>
    <row r="11" spans="1:11">
      <c r="A11" s="4">
        <v>9</v>
      </c>
      <c r="B11" s="5"/>
      <c r="C11" s="5"/>
      <c r="D11" s="5"/>
      <c r="E11" s="5"/>
      <c r="F11" s="5"/>
      <c r="G11" s="5"/>
      <c r="H11" s="5"/>
      <c r="I11" s="5"/>
      <c r="J11" s="6" t="str">
        <f t="shared" si="0"/>
        <v/>
      </c>
      <c r="K11" s="6" t="str">
        <f t="shared" si="1"/>
        <v/>
      </c>
    </row>
    <row r="12" spans="1:11">
      <c r="A12" s="4">
        <v>10</v>
      </c>
      <c r="B12" s="5"/>
      <c r="C12" s="5"/>
      <c r="D12" s="5"/>
      <c r="E12" s="5"/>
      <c r="F12" s="5"/>
      <c r="G12" s="5"/>
      <c r="H12" s="5"/>
      <c r="I12" s="5"/>
      <c r="J12" s="6" t="str">
        <f t="shared" si="0"/>
        <v/>
      </c>
      <c r="K12" s="6" t="str">
        <f t="shared" si="1"/>
        <v/>
      </c>
    </row>
    <row r="13" spans="1:11">
      <c r="A13" s="4">
        <v>11</v>
      </c>
      <c r="B13" s="5"/>
      <c r="C13" s="5"/>
      <c r="D13" s="5"/>
      <c r="E13" s="5"/>
      <c r="F13" s="5"/>
      <c r="G13" s="5"/>
      <c r="H13" s="5"/>
      <c r="I13" s="5"/>
      <c r="J13" s="6" t="str">
        <f t="shared" si="0"/>
        <v/>
      </c>
      <c r="K13" s="6" t="str">
        <f t="shared" si="1"/>
        <v/>
      </c>
    </row>
    <row r="14" spans="1:11">
      <c r="A14" s="4">
        <v>12</v>
      </c>
      <c r="B14" s="5"/>
      <c r="C14" s="5"/>
      <c r="D14" s="5"/>
      <c r="E14" s="5"/>
      <c r="F14" s="5"/>
      <c r="G14" s="5"/>
      <c r="H14" s="5"/>
      <c r="I14" s="5"/>
      <c r="J14" s="6" t="str">
        <f t="shared" si="0"/>
        <v/>
      </c>
      <c r="K14" s="6" t="str">
        <f t="shared" si="1"/>
        <v/>
      </c>
    </row>
    <row r="15" spans="1:11">
      <c r="A15" s="4">
        <v>13</v>
      </c>
      <c r="B15" s="5"/>
      <c r="C15" s="5"/>
      <c r="D15" s="5"/>
      <c r="E15" s="5"/>
      <c r="F15" s="5"/>
      <c r="G15" s="5"/>
      <c r="H15" s="5"/>
      <c r="I15" s="5"/>
      <c r="J15" s="6" t="str">
        <f t="shared" si="0"/>
        <v/>
      </c>
      <c r="K15" s="6" t="str">
        <f t="shared" si="1"/>
        <v/>
      </c>
    </row>
    <row r="16" spans="1:11">
      <c r="A16" s="4">
        <v>14</v>
      </c>
      <c r="B16" s="5"/>
      <c r="C16" s="5"/>
      <c r="D16" s="5"/>
      <c r="E16" s="5"/>
      <c r="F16" s="5"/>
      <c r="G16" s="5"/>
      <c r="H16" s="5"/>
      <c r="I16" s="5"/>
      <c r="J16" s="6" t="str">
        <f t="shared" si="0"/>
        <v/>
      </c>
      <c r="K16" s="6" t="str">
        <f t="shared" si="1"/>
        <v/>
      </c>
    </row>
    <row r="17" spans="1:11">
      <c r="A17" s="4">
        <v>15</v>
      </c>
      <c r="B17" s="5"/>
      <c r="C17" s="5"/>
      <c r="D17" s="5"/>
      <c r="E17" s="5"/>
      <c r="F17" s="5"/>
      <c r="G17" s="5"/>
      <c r="H17" s="5"/>
      <c r="I17" s="5"/>
      <c r="J17" s="6" t="str">
        <f t="shared" si="0"/>
        <v/>
      </c>
      <c r="K17" s="6" t="str">
        <f t="shared" si="1"/>
        <v/>
      </c>
    </row>
    <row r="18" spans="1:11">
      <c r="A18" s="4">
        <v>16</v>
      </c>
      <c r="B18" s="5"/>
      <c r="C18" s="5"/>
      <c r="D18" s="5"/>
      <c r="E18" s="5"/>
      <c r="F18" s="5"/>
      <c r="G18" s="5"/>
      <c r="H18" s="5"/>
      <c r="I18" s="5"/>
      <c r="J18" s="6" t="str">
        <f t="shared" si="0"/>
        <v/>
      </c>
      <c r="K18" s="6" t="str">
        <f t="shared" si="1"/>
        <v/>
      </c>
    </row>
    <row r="19" spans="1:11">
      <c r="A19" s="4">
        <v>17</v>
      </c>
      <c r="B19" s="5"/>
      <c r="C19" s="5"/>
      <c r="D19" s="5"/>
      <c r="E19" s="5"/>
      <c r="F19" s="5"/>
      <c r="G19" s="5"/>
      <c r="H19" s="5"/>
      <c r="I19" s="5"/>
      <c r="J19" s="6" t="str">
        <f t="shared" si="0"/>
        <v/>
      </c>
      <c r="K19" s="6" t="str">
        <f t="shared" si="1"/>
        <v/>
      </c>
    </row>
    <row r="20" spans="1:11">
      <c r="A20" s="4">
        <v>18</v>
      </c>
      <c r="B20" s="5"/>
      <c r="C20" s="5"/>
      <c r="D20" s="5"/>
      <c r="E20" s="5"/>
      <c r="F20" s="5"/>
      <c r="G20" s="5"/>
      <c r="H20" s="5"/>
      <c r="I20" s="5"/>
      <c r="J20" s="6" t="str">
        <f t="shared" si="0"/>
        <v/>
      </c>
      <c r="K20" s="6" t="str">
        <f t="shared" si="1"/>
        <v/>
      </c>
    </row>
    <row r="21" spans="1:11">
      <c r="A21" s="4">
        <v>19</v>
      </c>
      <c r="B21" s="5"/>
      <c r="C21" s="5"/>
      <c r="D21" s="5"/>
      <c r="E21" s="5"/>
      <c r="F21" s="5"/>
      <c r="G21" s="5"/>
      <c r="H21" s="5"/>
      <c r="I21" s="5"/>
      <c r="J21" s="6" t="str">
        <f t="shared" si="0"/>
        <v/>
      </c>
      <c r="K21" s="6" t="str">
        <f t="shared" si="1"/>
        <v/>
      </c>
    </row>
    <row r="22" spans="1:11">
      <c r="A22" s="4">
        <v>20</v>
      </c>
      <c r="B22" s="5"/>
      <c r="C22" s="5"/>
      <c r="D22" s="5"/>
      <c r="E22" s="5"/>
      <c r="F22" s="5"/>
      <c r="G22" s="5"/>
      <c r="H22" s="5"/>
      <c r="I22" s="5"/>
      <c r="J22" s="6" t="str">
        <f t="shared" si="0"/>
        <v/>
      </c>
      <c r="K22" s="6" t="str">
        <f t="shared" si="1"/>
        <v/>
      </c>
    </row>
    <row r="23" spans="1:11">
      <c r="A23" s="4">
        <v>21</v>
      </c>
      <c r="B23" s="5"/>
      <c r="C23" s="5"/>
      <c r="D23" s="5"/>
      <c r="E23" s="5"/>
      <c r="F23" s="5"/>
      <c r="G23" s="5"/>
      <c r="H23" s="5"/>
      <c r="I23" s="5"/>
      <c r="J23" s="6" t="str">
        <f t="shared" si="0"/>
        <v/>
      </c>
      <c r="K23" s="6" t="str">
        <f t="shared" si="1"/>
        <v/>
      </c>
    </row>
    <row r="24" spans="1:11">
      <c r="A24" s="4">
        <v>22</v>
      </c>
      <c r="B24" s="5"/>
      <c r="C24" s="5"/>
      <c r="D24" s="5"/>
      <c r="E24" s="5"/>
      <c r="F24" s="5"/>
      <c r="G24" s="5"/>
      <c r="H24" s="5"/>
      <c r="I24" s="5"/>
      <c r="J24" s="6" t="str">
        <f t="shared" si="0"/>
        <v/>
      </c>
      <c r="K24" s="6" t="str">
        <f t="shared" si="1"/>
        <v/>
      </c>
    </row>
    <row r="25" spans="1:11">
      <c r="A25" s="4">
        <v>23</v>
      </c>
      <c r="B25" s="5"/>
      <c r="C25" s="5"/>
      <c r="D25" s="5"/>
      <c r="E25" s="5"/>
      <c r="F25" s="5"/>
      <c r="G25" s="5"/>
      <c r="H25" s="5"/>
      <c r="I25" s="5"/>
      <c r="J25" s="6" t="str">
        <f t="shared" si="0"/>
        <v/>
      </c>
      <c r="K25" s="6" t="str">
        <f t="shared" si="1"/>
        <v/>
      </c>
    </row>
    <row r="26" spans="1:11">
      <c r="A26" s="4">
        <v>24</v>
      </c>
      <c r="B26" s="5"/>
      <c r="C26" s="5"/>
      <c r="D26" s="5"/>
      <c r="E26" s="5"/>
      <c r="F26" s="5"/>
      <c r="G26" s="5"/>
      <c r="H26" s="5"/>
      <c r="I26" s="5"/>
      <c r="J26" s="6" t="str">
        <f t="shared" si="0"/>
        <v/>
      </c>
      <c r="K26" s="6" t="str">
        <f t="shared" si="1"/>
        <v/>
      </c>
    </row>
    <row r="27" spans="1:11">
      <c r="A27" s="4">
        <v>25</v>
      </c>
      <c r="B27" s="5"/>
      <c r="C27" s="5"/>
      <c r="D27" s="5"/>
      <c r="E27" s="5"/>
      <c r="F27" s="5"/>
      <c r="G27" s="5"/>
      <c r="H27" s="5"/>
      <c r="I27" s="5"/>
      <c r="J27" s="6" t="str">
        <f t="shared" si="0"/>
        <v/>
      </c>
      <c r="K27" s="6" t="str">
        <f t="shared" si="1"/>
        <v/>
      </c>
    </row>
    <row r="28" spans="1:11">
      <c r="A28" s="4">
        <v>26</v>
      </c>
      <c r="B28" s="5"/>
      <c r="C28" s="5"/>
      <c r="D28" s="5"/>
      <c r="E28" s="5"/>
      <c r="F28" s="5"/>
      <c r="G28" s="5"/>
      <c r="H28" s="5"/>
      <c r="I28" s="5"/>
      <c r="J28" s="6" t="str">
        <f t="shared" si="0"/>
        <v/>
      </c>
      <c r="K28" s="6" t="str">
        <f t="shared" si="1"/>
        <v/>
      </c>
    </row>
    <row r="29" spans="1:11">
      <c r="A29" s="4">
        <v>27</v>
      </c>
      <c r="B29" s="5"/>
      <c r="C29" s="5"/>
      <c r="D29" s="5"/>
      <c r="E29" s="5"/>
      <c r="F29" s="5"/>
      <c r="G29" s="5"/>
      <c r="H29" s="5"/>
      <c r="I29" s="5"/>
      <c r="J29" s="6" t="str">
        <f t="shared" si="0"/>
        <v/>
      </c>
      <c r="K29" s="6" t="str">
        <f t="shared" si="1"/>
        <v/>
      </c>
    </row>
    <row r="30" spans="1:11">
      <c r="A30" s="4">
        <v>28</v>
      </c>
      <c r="B30" s="5"/>
      <c r="C30" s="5"/>
      <c r="D30" s="5"/>
      <c r="E30" s="5"/>
      <c r="F30" s="5"/>
      <c r="G30" s="5"/>
      <c r="H30" s="5"/>
      <c r="I30" s="5"/>
      <c r="J30" s="6" t="str">
        <f t="shared" si="0"/>
        <v/>
      </c>
      <c r="K30" s="6" t="str">
        <f t="shared" si="1"/>
        <v/>
      </c>
    </row>
    <row r="31" spans="1:11">
      <c r="A31" s="4">
        <v>29</v>
      </c>
      <c r="B31" s="5"/>
      <c r="C31" s="5"/>
      <c r="D31" s="5"/>
      <c r="E31" s="5"/>
      <c r="F31" s="5"/>
      <c r="G31" s="5"/>
      <c r="H31" s="5"/>
      <c r="I31" s="5"/>
      <c r="J31" s="6" t="str">
        <f t="shared" si="0"/>
        <v/>
      </c>
      <c r="K31" s="6" t="str">
        <f t="shared" si="1"/>
        <v/>
      </c>
    </row>
    <row r="32" spans="1:11">
      <c r="A32" s="4">
        <v>30</v>
      </c>
      <c r="B32" s="5"/>
      <c r="C32" s="5"/>
      <c r="D32" s="5"/>
      <c r="E32" s="5"/>
      <c r="F32" s="5"/>
      <c r="G32" s="5"/>
      <c r="H32" s="5"/>
      <c r="I32" s="5"/>
      <c r="J32" s="6" t="str">
        <f t="shared" si="0"/>
        <v/>
      </c>
      <c r="K32" s="6" t="str">
        <f t="shared" si="1"/>
        <v/>
      </c>
    </row>
    <row r="33" spans="1:11">
      <c r="A33" s="4">
        <v>31</v>
      </c>
      <c r="B33" s="5"/>
      <c r="C33" s="5"/>
      <c r="D33" s="5"/>
      <c r="E33" s="5"/>
      <c r="F33" s="5"/>
      <c r="G33" s="5"/>
      <c r="H33" s="5"/>
      <c r="I33" s="5"/>
      <c r="J33" s="6" t="str">
        <f t="shared" si="0"/>
        <v/>
      </c>
      <c r="K33" s="6" t="str">
        <f t="shared" si="1"/>
        <v/>
      </c>
    </row>
    <row r="34" spans="1:11">
      <c r="A34" s="4">
        <v>32</v>
      </c>
      <c r="B34" s="5"/>
      <c r="C34" s="5"/>
      <c r="D34" s="5"/>
      <c r="E34" s="5"/>
      <c r="F34" s="5"/>
      <c r="G34" s="5"/>
      <c r="H34" s="5"/>
      <c r="I34" s="5"/>
      <c r="J34" s="6" t="str">
        <f t="shared" si="0"/>
        <v/>
      </c>
      <c r="K34" s="6" t="str">
        <f t="shared" si="1"/>
        <v/>
      </c>
    </row>
    <row r="35" spans="1:11">
      <c r="A35" s="4">
        <v>33</v>
      </c>
      <c r="B35" s="5"/>
      <c r="C35" s="5"/>
      <c r="D35" s="5"/>
      <c r="E35" s="5"/>
      <c r="F35" s="5"/>
      <c r="G35" s="5"/>
      <c r="H35" s="5"/>
      <c r="I35" s="5"/>
      <c r="J35" s="6" t="str">
        <f t="shared" ref="J35:J66" si="2">IF(COUNTA(B35:I35)=0,"",ROUND(AVERAGE(F35:I35),2))</f>
        <v/>
      </c>
      <c r="K35" s="6" t="str">
        <f t="shared" ref="K35:K66" si="3">IF(J35="","",IF(J35&gt;=4,"Приоритетный",IF(J35&gt;=3,"Перспективный","Низкий приоритет")))</f>
        <v/>
      </c>
    </row>
    <row r="36" spans="1:11">
      <c r="A36" s="4">
        <v>34</v>
      </c>
      <c r="B36" s="5"/>
      <c r="C36" s="5"/>
      <c r="D36" s="5"/>
      <c r="E36" s="5"/>
      <c r="F36" s="5"/>
      <c r="G36" s="5"/>
      <c r="H36" s="5"/>
      <c r="I36" s="5"/>
      <c r="J36" s="6" t="str">
        <f t="shared" si="2"/>
        <v/>
      </c>
      <c r="K36" s="6" t="str">
        <f t="shared" si="3"/>
        <v/>
      </c>
    </row>
    <row r="37" spans="1:11">
      <c r="A37" s="4">
        <v>35</v>
      </c>
      <c r="B37" s="5"/>
      <c r="C37" s="5"/>
      <c r="D37" s="5"/>
      <c r="E37" s="5"/>
      <c r="F37" s="5"/>
      <c r="G37" s="5"/>
      <c r="H37" s="5"/>
      <c r="I37" s="5"/>
      <c r="J37" s="6" t="str">
        <f t="shared" si="2"/>
        <v/>
      </c>
      <c r="K37" s="6" t="str">
        <f t="shared" si="3"/>
        <v/>
      </c>
    </row>
    <row r="38" spans="1:11">
      <c r="A38" s="4">
        <v>36</v>
      </c>
      <c r="B38" s="5"/>
      <c r="C38" s="5"/>
      <c r="D38" s="5"/>
      <c r="E38" s="5"/>
      <c r="F38" s="5"/>
      <c r="G38" s="5"/>
      <c r="H38" s="5"/>
      <c r="I38" s="5"/>
      <c r="J38" s="6" t="str">
        <f t="shared" si="2"/>
        <v/>
      </c>
      <c r="K38" s="6" t="str">
        <f t="shared" si="3"/>
        <v/>
      </c>
    </row>
    <row r="39" spans="1:11">
      <c r="A39" s="4">
        <v>37</v>
      </c>
      <c r="B39" s="5"/>
      <c r="C39" s="5"/>
      <c r="D39" s="5"/>
      <c r="E39" s="5"/>
      <c r="F39" s="5"/>
      <c r="G39" s="5"/>
      <c r="H39" s="5"/>
      <c r="I39" s="5"/>
      <c r="J39" s="6" t="str">
        <f t="shared" si="2"/>
        <v/>
      </c>
      <c r="K39" s="6" t="str">
        <f t="shared" si="3"/>
        <v/>
      </c>
    </row>
    <row r="40" spans="1:11">
      <c r="A40" s="4">
        <v>38</v>
      </c>
      <c r="B40" s="5"/>
      <c r="C40" s="5"/>
      <c r="D40" s="5"/>
      <c r="E40" s="5"/>
      <c r="F40" s="5"/>
      <c r="G40" s="5"/>
      <c r="H40" s="5"/>
      <c r="I40" s="5"/>
      <c r="J40" s="6" t="str">
        <f t="shared" si="2"/>
        <v/>
      </c>
      <c r="K40" s="6" t="str">
        <f t="shared" si="3"/>
        <v/>
      </c>
    </row>
    <row r="41" spans="1:11">
      <c r="A41" s="4">
        <v>39</v>
      </c>
      <c r="B41" s="5"/>
      <c r="C41" s="5"/>
      <c r="D41" s="5"/>
      <c r="E41" s="5"/>
      <c r="F41" s="5"/>
      <c r="G41" s="5"/>
      <c r="H41" s="5"/>
      <c r="I41" s="5"/>
      <c r="J41" s="6" t="str">
        <f t="shared" si="2"/>
        <v/>
      </c>
      <c r="K41" s="6" t="str">
        <f t="shared" si="3"/>
        <v/>
      </c>
    </row>
    <row r="42" spans="1:11">
      <c r="A42" s="4">
        <v>40</v>
      </c>
      <c r="B42" s="5"/>
      <c r="C42" s="5"/>
      <c r="D42" s="5"/>
      <c r="E42" s="5"/>
      <c r="F42" s="5"/>
      <c r="G42" s="5"/>
      <c r="H42" s="5"/>
      <c r="I42" s="5"/>
      <c r="J42" s="6" t="str">
        <f t="shared" si="2"/>
        <v/>
      </c>
      <c r="K42" s="6" t="str">
        <f t="shared" si="3"/>
        <v/>
      </c>
    </row>
    <row r="43" spans="1:11">
      <c r="A43" s="4">
        <v>41</v>
      </c>
      <c r="B43" s="5"/>
      <c r="C43" s="5"/>
      <c r="D43" s="5"/>
      <c r="E43" s="5"/>
      <c r="F43" s="5"/>
      <c r="G43" s="5"/>
      <c r="H43" s="5"/>
      <c r="I43" s="5"/>
      <c r="J43" s="6" t="str">
        <f t="shared" si="2"/>
        <v/>
      </c>
      <c r="K43" s="6" t="str">
        <f t="shared" si="3"/>
        <v/>
      </c>
    </row>
    <row r="44" spans="1:11">
      <c r="A44" s="4">
        <v>42</v>
      </c>
      <c r="B44" s="5"/>
      <c r="C44" s="5"/>
      <c r="D44" s="5"/>
      <c r="E44" s="5"/>
      <c r="F44" s="5"/>
      <c r="G44" s="5"/>
      <c r="H44" s="5"/>
      <c r="I44" s="5"/>
      <c r="J44" s="6" t="str">
        <f t="shared" si="2"/>
        <v/>
      </c>
      <c r="K44" s="6" t="str">
        <f t="shared" si="3"/>
        <v/>
      </c>
    </row>
    <row r="45" spans="1:11">
      <c r="A45" s="4">
        <v>43</v>
      </c>
      <c r="B45" s="5"/>
      <c r="C45" s="5"/>
      <c r="D45" s="5"/>
      <c r="E45" s="5"/>
      <c r="F45" s="5"/>
      <c r="G45" s="5"/>
      <c r="H45" s="5"/>
      <c r="I45" s="5"/>
      <c r="J45" s="6" t="str">
        <f t="shared" si="2"/>
        <v/>
      </c>
      <c r="K45" s="6" t="str">
        <f t="shared" si="3"/>
        <v/>
      </c>
    </row>
    <row r="46" spans="1:11">
      <c r="A46" s="4">
        <v>44</v>
      </c>
      <c r="B46" s="5"/>
      <c r="C46" s="5"/>
      <c r="D46" s="5"/>
      <c r="E46" s="5"/>
      <c r="F46" s="5"/>
      <c r="G46" s="5"/>
      <c r="H46" s="5"/>
      <c r="I46" s="5"/>
      <c r="J46" s="6" t="str">
        <f t="shared" si="2"/>
        <v/>
      </c>
      <c r="K46" s="6" t="str">
        <f t="shared" si="3"/>
        <v/>
      </c>
    </row>
    <row r="47" spans="1:11">
      <c r="A47" s="4">
        <v>45</v>
      </c>
      <c r="B47" s="5"/>
      <c r="C47" s="5"/>
      <c r="D47" s="5"/>
      <c r="E47" s="5"/>
      <c r="F47" s="5"/>
      <c r="G47" s="5"/>
      <c r="H47" s="5"/>
      <c r="I47" s="5"/>
      <c r="J47" s="6" t="str">
        <f t="shared" si="2"/>
        <v/>
      </c>
      <c r="K47" s="6" t="str">
        <f t="shared" si="3"/>
        <v/>
      </c>
    </row>
    <row r="48" spans="1:11">
      <c r="A48" s="4">
        <v>46</v>
      </c>
      <c r="B48" s="5"/>
      <c r="C48" s="5"/>
      <c r="D48" s="5"/>
      <c r="E48" s="5"/>
      <c r="F48" s="5"/>
      <c r="G48" s="5"/>
      <c r="H48" s="5"/>
      <c r="I48" s="5"/>
      <c r="J48" s="6" t="str">
        <f t="shared" si="2"/>
        <v/>
      </c>
      <c r="K48" s="6" t="str">
        <f t="shared" si="3"/>
        <v/>
      </c>
    </row>
    <row r="49" spans="1:11">
      <c r="A49" s="4">
        <v>47</v>
      </c>
      <c r="B49" s="5"/>
      <c r="C49" s="5"/>
      <c r="D49" s="5"/>
      <c r="E49" s="5"/>
      <c r="F49" s="5"/>
      <c r="G49" s="5"/>
      <c r="H49" s="5"/>
      <c r="I49" s="5"/>
      <c r="J49" s="6" t="str">
        <f t="shared" si="2"/>
        <v/>
      </c>
      <c r="K49" s="6" t="str">
        <f t="shared" si="3"/>
        <v/>
      </c>
    </row>
    <row r="50" spans="1:11">
      <c r="A50" s="4">
        <v>48</v>
      </c>
      <c r="B50" s="5"/>
      <c r="C50" s="5"/>
      <c r="D50" s="5"/>
      <c r="E50" s="5"/>
      <c r="F50" s="5"/>
      <c r="G50" s="5"/>
      <c r="H50" s="5"/>
      <c r="I50" s="5"/>
      <c r="J50" s="6" t="str">
        <f t="shared" si="2"/>
        <v/>
      </c>
      <c r="K50" s="6" t="str">
        <f t="shared" si="3"/>
        <v/>
      </c>
    </row>
    <row r="51" spans="1:11">
      <c r="A51" s="4">
        <v>49</v>
      </c>
      <c r="B51" s="5"/>
      <c r="C51" s="5"/>
      <c r="D51" s="5"/>
      <c r="E51" s="5"/>
      <c r="F51" s="5"/>
      <c r="G51" s="5"/>
      <c r="H51" s="5"/>
      <c r="I51" s="5"/>
      <c r="J51" s="6" t="str">
        <f t="shared" si="2"/>
        <v/>
      </c>
      <c r="K51" s="6" t="str">
        <f t="shared" si="3"/>
        <v/>
      </c>
    </row>
    <row r="52" spans="1:11">
      <c r="A52" s="4">
        <v>50</v>
      </c>
      <c r="B52" s="5"/>
      <c r="C52" s="5"/>
      <c r="D52" s="5"/>
      <c r="E52" s="5"/>
      <c r="F52" s="5"/>
      <c r="G52" s="5"/>
      <c r="H52" s="5"/>
      <c r="I52" s="5"/>
      <c r="J52" s="6" t="str">
        <f t="shared" si="2"/>
        <v/>
      </c>
      <c r="K52" s="6" t="str">
        <f t="shared" si="3"/>
        <v/>
      </c>
    </row>
    <row r="53" spans="1:11">
      <c r="A53" s="4">
        <v>51</v>
      </c>
      <c r="B53" s="5"/>
      <c r="C53" s="5"/>
      <c r="D53" s="5"/>
      <c r="E53" s="5"/>
      <c r="F53" s="5"/>
      <c r="G53" s="5"/>
      <c r="H53" s="5"/>
      <c r="I53" s="5"/>
      <c r="J53" s="6" t="str">
        <f t="shared" si="2"/>
        <v/>
      </c>
      <c r="K53" s="6" t="str">
        <f t="shared" si="3"/>
        <v/>
      </c>
    </row>
    <row r="54" spans="1:11">
      <c r="A54" s="4">
        <v>52</v>
      </c>
      <c r="B54" s="5"/>
      <c r="C54" s="5"/>
      <c r="D54" s="5"/>
      <c r="E54" s="5"/>
      <c r="F54" s="5"/>
      <c r="G54" s="5"/>
      <c r="H54" s="5"/>
      <c r="I54" s="5"/>
      <c r="J54" s="6" t="str">
        <f t="shared" si="2"/>
        <v/>
      </c>
      <c r="K54" s="6" t="str">
        <f t="shared" si="3"/>
        <v/>
      </c>
    </row>
    <row r="55" spans="1:11">
      <c r="A55" s="4">
        <v>53</v>
      </c>
      <c r="B55" s="5"/>
      <c r="C55" s="5"/>
      <c r="D55" s="5"/>
      <c r="E55" s="5"/>
      <c r="F55" s="5"/>
      <c r="G55" s="5"/>
      <c r="H55" s="5"/>
      <c r="I55" s="5"/>
      <c r="J55" s="6" t="str">
        <f t="shared" si="2"/>
        <v/>
      </c>
      <c r="K55" s="6" t="str">
        <f t="shared" si="3"/>
        <v/>
      </c>
    </row>
    <row r="56" spans="1:11">
      <c r="A56" s="4">
        <v>54</v>
      </c>
      <c r="B56" s="5"/>
      <c r="C56" s="5"/>
      <c r="D56" s="5"/>
      <c r="E56" s="5"/>
      <c r="F56" s="5"/>
      <c r="G56" s="5"/>
      <c r="H56" s="5"/>
      <c r="I56" s="5"/>
      <c r="J56" s="6" t="str">
        <f t="shared" si="2"/>
        <v/>
      </c>
      <c r="K56" s="6" t="str">
        <f t="shared" si="3"/>
        <v/>
      </c>
    </row>
    <row r="57" spans="1:11">
      <c r="A57" s="4">
        <v>55</v>
      </c>
      <c r="B57" s="5"/>
      <c r="C57" s="5"/>
      <c r="D57" s="5"/>
      <c r="E57" s="5"/>
      <c r="F57" s="5"/>
      <c r="G57" s="5"/>
      <c r="H57" s="5"/>
      <c r="I57" s="5"/>
      <c r="J57" s="6" t="str">
        <f t="shared" si="2"/>
        <v/>
      </c>
      <c r="K57" s="6" t="str">
        <f t="shared" si="3"/>
        <v/>
      </c>
    </row>
    <row r="58" spans="1:11">
      <c r="A58" s="4">
        <v>56</v>
      </c>
      <c r="B58" s="5"/>
      <c r="C58" s="5"/>
      <c r="D58" s="5"/>
      <c r="E58" s="5"/>
      <c r="F58" s="5"/>
      <c r="G58" s="5"/>
      <c r="H58" s="5"/>
      <c r="I58" s="5"/>
      <c r="J58" s="6" t="str">
        <f t="shared" si="2"/>
        <v/>
      </c>
      <c r="K58" s="6" t="str">
        <f t="shared" si="3"/>
        <v/>
      </c>
    </row>
    <row r="59" spans="1:11">
      <c r="A59" s="4">
        <v>57</v>
      </c>
      <c r="B59" s="5"/>
      <c r="C59" s="5"/>
      <c r="D59" s="5"/>
      <c r="E59" s="5"/>
      <c r="F59" s="5"/>
      <c r="G59" s="5"/>
      <c r="H59" s="5"/>
      <c r="I59" s="5"/>
      <c r="J59" s="6" t="str">
        <f t="shared" si="2"/>
        <v/>
      </c>
      <c r="K59" s="6" t="str">
        <f t="shared" si="3"/>
        <v/>
      </c>
    </row>
    <row r="60" spans="1:11">
      <c r="A60" s="4">
        <v>58</v>
      </c>
      <c r="B60" s="5"/>
      <c r="C60" s="5"/>
      <c r="D60" s="5"/>
      <c r="E60" s="5"/>
      <c r="F60" s="5"/>
      <c r="G60" s="5"/>
      <c r="H60" s="5"/>
      <c r="I60" s="5"/>
      <c r="J60" s="6" t="str">
        <f t="shared" si="2"/>
        <v/>
      </c>
      <c r="K60" s="6" t="str">
        <f t="shared" si="3"/>
        <v/>
      </c>
    </row>
    <row r="61" spans="1:11">
      <c r="A61" s="4">
        <v>59</v>
      </c>
      <c r="B61" s="5"/>
      <c r="C61" s="5"/>
      <c r="D61" s="5"/>
      <c r="E61" s="5"/>
      <c r="F61" s="5"/>
      <c r="G61" s="5"/>
      <c r="H61" s="5"/>
      <c r="I61" s="5"/>
      <c r="J61" s="6" t="str">
        <f t="shared" si="2"/>
        <v/>
      </c>
      <c r="K61" s="6" t="str">
        <f t="shared" si="3"/>
        <v/>
      </c>
    </row>
    <row r="62" spans="1:11">
      <c r="A62" s="4">
        <v>60</v>
      </c>
      <c r="B62" s="5"/>
      <c r="C62" s="5"/>
      <c r="D62" s="5"/>
      <c r="E62" s="5"/>
      <c r="F62" s="5"/>
      <c r="G62" s="5"/>
      <c r="H62" s="5"/>
      <c r="I62" s="5"/>
      <c r="J62" s="6" t="str">
        <f t="shared" si="2"/>
        <v/>
      </c>
      <c r="K62" s="6" t="str">
        <f t="shared" si="3"/>
        <v/>
      </c>
    </row>
    <row r="63" spans="1:11">
      <c r="A63" s="4">
        <v>61</v>
      </c>
      <c r="B63" s="5"/>
      <c r="C63" s="5"/>
      <c r="D63" s="5"/>
      <c r="E63" s="5"/>
      <c r="F63" s="5"/>
      <c r="G63" s="5"/>
      <c r="H63" s="5"/>
      <c r="I63" s="5"/>
      <c r="J63" s="6" t="str">
        <f t="shared" si="2"/>
        <v/>
      </c>
      <c r="K63" s="6" t="str">
        <f t="shared" si="3"/>
        <v/>
      </c>
    </row>
    <row r="64" spans="1:11">
      <c r="A64" s="4">
        <v>62</v>
      </c>
      <c r="B64" s="5"/>
      <c r="C64" s="5"/>
      <c r="D64" s="5"/>
      <c r="E64" s="5"/>
      <c r="F64" s="5"/>
      <c r="G64" s="5"/>
      <c r="H64" s="5"/>
      <c r="I64" s="5"/>
      <c r="J64" s="6" t="str">
        <f t="shared" si="2"/>
        <v/>
      </c>
      <c r="K64" s="6" t="str">
        <f t="shared" si="3"/>
        <v/>
      </c>
    </row>
    <row r="65" spans="1:11">
      <c r="A65" s="4">
        <v>63</v>
      </c>
      <c r="B65" s="5"/>
      <c r="C65" s="5"/>
      <c r="D65" s="5"/>
      <c r="E65" s="5"/>
      <c r="F65" s="5"/>
      <c r="G65" s="5"/>
      <c r="H65" s="5"/>
      <c r="I65" s="5"/>
      <c r="J65" s="6" t="str">
        <f t="shared" si="2"/>
        <v/>
      </c>
      <c r="K65" s="6" t="str">
        <f t="shared" si="3"/>
        <v/>
      </c>
    </row>
    <row r="66" spans="1:11">
      <c r="A66" s="4">
        <v>64</v>
      </c>
      <c r="B66" s="5"/>
      <c r="C66" s="5"/>
      <c r="D66" s="5"/>
      <c r="E66" s="5"/>
      <c r="F66" s="5"/>
      <c r="G66" s="5"/>
      <c r="H66" s="5"/>
      <c r="I66" s="5"/>
      <c r="J66" s="6" t="str">
        <f t="shared" si="2"/>
        <v/>
      </c>
      <c r="K66" s="6" t="str">
        <f t="shared" si="3"/>
        <v/>
      </c>
    </row>
    <row r="67" spans="1:11">
      <c r="A67" s="4">
        <v>65</v>
      </c>
      <c r="B67" s="5"/>
      <c r="C67" s="5"/>
      <c r="D67" s="5"/>
      <c r="E67" s="5"/>
      <c r="F67" s="5"/>
      <c r="G67" s="5"/>
      <c r="H67" s="5"/>
      <c r="I67" s="5"/>
      <c r="J67" s="6" t="str">
        <f t="shared" ref="J67:J98" si="4">IF(COUNTA(B67:I67)=0,"",ROUND(AVERAGE(F67:I67),2))</f>
        <v/>
      </c>
      <c r="K67" s="6" t="str">
        <f t="shared" ref="K67:K98" si="5">IF(J67="","",IF(J67&gt;=4,"Приоритетный",IF(J67&gt;=3,"Перспективный","Низкий приоритет")))</f>
        <v/>
      </c>
    </row>
    <row r="68" spans="1:11">
      <c r="A68" s="4">
        <v>66</v>
      </c>
      <c r="B68" s="5"/>
      <c r="C68" s="5"/>
      <c r="D68" s="5"/>
      <c r="E68" s="5"/>
      <c r="F68" s="5"/>
      <c r="G68" s="5"/>
      <c r="H68" s="5"/>
      <c r="I68" s="5"/>
      <c r="J68" s="6" t="str">
        <f t="shared" si="4"/>
        <v/>
      </c>
      <c r="K68" s="6" t="str">
        <f t="shared" si="5"/>
        <v/>
      </c>
    </row>
    <row r="69" spans="1:11">
      <c r="A69" s="4">
        <v>67</v>
      </c>
      <c r="B69" s="5"/>
      <c r="C69" s="5"/>
      <c r="D69" s="5"/>
      <c r="E69" s="5"/>
      <c r="F69" s="5"/>
      <c r="G69" s="5"/>
      <c r="H69" s="5"/>
      <c r="I69" s="5"/>
      <c r="J69" s="6" t="str">
        <f t="shared" si="4"/>
        <v/>
      </c>
      <c r="K69" s="6" t="str">
        <f t="shared" si="5"/>
        <v/>
      </c>
    </row>
    <row r="70" spans="1:11">
      <c r="A70" s="4">
        <v>68</v>
      </c>
      <c r="B70" s="5"/>
      <c r="C70" s="5"/>
      <c r="D70" s="5"/>
      <c r="E70" s="5"/>
      <c r="F70" s="5"/>
      <c r="G70" s="5"/>
      <c r="H70" s="5"/>
      <c r="I70" s="5"/>
      <c r="J70" s="6" t="str">
        <f t="shared" si="4"/>
        <v/>
      </c>
      <c r="K70" s="6" t="str">
        <f t="shared" si="5"/>
        <v/>
      </c>
    </row>
    <row r="71" spans="1:11">
      <c r="A71" s="4">
        <v>69</v>
      </c>
      <c r="B71" s="5"/>
      <c r="C71" s="5"/>
      <c r="D71" s="5"/>
      <c r="E71" s="5"/>
      <c r="F71" s="5"/>
      <c r="G71" s="5"/>
      <c r="H71" s="5"/>
      <c r="I71" s="5"/>
      <c r="J71" s="6" t="str">
        <f t="shared" si="4"/>
        <v/>
      </c>
      <c r="K71" s="6" t="str">
        <f t="shared" si="5"/>
        <v/>
      </c>
    </row>
    <row r="72" spans="1:11">
      <c r="A72" s="4">
        <v>70</v>
      </c>
      <c r="B72" s="5"/>
      <c r="C72" s="5"/>
      <c r="D72" s="5"/>
      <c r="E72" s="5"/>
      <c r="F72" s="5"/>
      <c r="G72" s="5"/>
      <c r="H72" s="5"/>
      <c r="I72" s="5"/>
      <c r="J72" s="6" t="str">
        <f t="shared" si="4"/>
        <v/>
      </c>
      <c r="K72" s="6" t="str">
        <f t="shared" si="5"/>
        <v/>
      </c>
    </row>
    <row r="73" spans="1:11">
      <c r="A73" s="4">
        <v>71</v>
      </c>
      <c r="B73" s="5"/>
      <c r="C73" s="5"/>
      <c r="D73" s="5"/>
      <c r="E73" s="5"/>
      <c r="F73" s="5"/>
      <c r="G73" s="5"/>
      <c r="H73" s="5"/>
      <c r="I73" s="5"/>
      <c r="J73" s="6" t="str">
        <f t="shared" si="4"/>
        <v/>
      </c>
      <c r="K73" s="6" t="str">
        <f t="shared" si="5"/>
        <v/>
      </c>
    </row>
    <row r="74" spans="1:11">
      <c r="A74" s="4">
        <v>72</v>
      </c>
      <c r="B74" s="5"/>
      <c r="C74" s="5"/>
      <c r="D74" s="5"/>
      <c r="E74" s="5"/>
      <c r="F74" s="5"/>
      <c r="G74" s="5"/>
      <c r="H74" s="5"/>
      <c r="I74" s="5"/>
      <c r="J74" s="6" t="str">
        <f t="shared" si="4"/>
        <v/>
      </c>
      <c r="K74" s="6" t="str">
        <f t="shared" si="5"/>
        <v/>
      </c>
    </row>
    <row r="75" spans="1:11">
      <c r="A75" s="4">
        <v>73</v>
      </c>
      <c r="B75" s="5"/>
      <c r="C75" s="5"/>
      <c r="D75" s="5"/>
      <c r="E75" s="5"/>
      <c r="F75" s="5"/>
      <c r="G75" s="5"/>
      <c r="H75" s="5"/>
      <c r="I75" s="5"/>
      <c r="J75" s="6" t="str">
        <f t="shared" si="4"/>
        <v/>
      </c>
      <c r="K75" s="6" t="str">
        <f t="shared" si="5"/>
        <v/>
      </c>
    </row>
    <row r="76" spans="1:11">
      <c r="A76" s="4">
        <v>74</v>
      </c>
      <c r="B76" s="5"/>
      <c r="C76" s="5"/>
      <c r="D76" s="5"/>
      <c r="E76" s="5"/>
      <c r="F76" s="5"/>
      <c r="G76" s="5"/>
      <c r="H76" s="5"/>
      <c r="I76" s="5"/>
      <c r="J76" s="6" t="str">
        <f t="shared" si="4"/>
        <v/>
      </c>
      <c r="K76" s="6" t="str">
        <f t="shared" si="5"/>
        <v/>
      </c>
    </row>
    <row r="77" spans="1:11">
      <c r="A77" s="4">
        <v>75</v>
      </c>
      <c r="B77" s="5"/>
      <c r="C77" s="5"/>
      <c r="D77" s="5"/>
      <c r="E77" s="5"/>
      <c r="F77" s="5"/>
      <c r="G77" s="5"/>
      <c r="H77" s="5"/>
      <c r="I77" s="5"/>
      <c r="J77" s="6" t="str">
        <f t="shared" si="4"/>
        <v/>
      </c>
      <c r="K77" s="6" t="str">
        <f t="shared" si="5"/>
        <v/>
      </c>
    </row>
    <row r="78" spans="1:11">
      <c r="A78" s="4">
        <v>76</v>
      </c>
      <c r="B78" s="5"/>
      <c r="C78" s="5"/>
      <c r="D78" s="5"/>
      <c r="E78" s="5"/>
      <c r="F78" s="5"/>
      <c r="G78" s="5"/>
      <c r="H78" s="5"/>
      <c r="I78" s="5"/>
      <c r="J78" s="6" t="str">
        <f t="shared" si="4"/>
        <v/>
      </c>
      <c r="K78" s="6" t="str">
        <f t="shared" si="5"/>
        <v/>
      </c>
    </row>
    <row r="79" spans="1:11">
      <c r="A79" s="4">
        <v>77</v>
      </c>
      <c r="B79" s="5"/>
      <c r="C79" s="5"/>
      <c r="D79" s="5"/>
      <c r="E79" s="5"/>
      <c r="F79" s="5"/>
      <c r="G79" s="5"/>
      <c r="H79" s="5"/>
      <c r="I79" s="5"/>
      <c r="J79" s="6" t="str">
        <f t="shared" si="4"/>
        <v/>
      </c>
      <c r="K79" s="6" t="str">
        <f t="shared" si="5"/>
        <v/>
      </c>
    </row>
    <row r="80" spans="1:11">
      <c r="A80" s="4">
        <v>78</v>
      </c>
      <c r="B80" s="5"/>
      <c r="C80" s="5"/>
      <c r="D80" s="5"/>
      <c r="E80" s="5"/>
      <c r="F80" s="5"/>
      <c r="G80" s="5"/>
      <c r="H80" s="5"/>
      <c r="I80" s="5"/>
      <c r="J80" s="6" t="str">
        <f t="shared" si="4"/>
        <v/>
      </c>
      <c r="K80" s="6" t="str">
        <f t="shared" si="5"/>
        <v/>
      </c>
    </row>
    <row r="81" spans="1:11">
      <c r="A81" s="4">
        <v>79</v>
      </c>
      <c r="B81" s="5"/>
      <c r="C81" s="5"/>
      <c r="D81" s="5"/>
      <c r="E81" s="5"/>
      <c r="F81" s="5"/>
      <c r="G81" s="5"/>
      <c r="H81" s="5"/>
      <c r="I81" s="5"/>
      <c r="J81" s="6" t="str">
        <f t="shared" si="4"/>
        <v/>
      </c>
      <c r="K81" s="6" t="str">
        <f t="shared" si="5"/>
        <v/>
      </c>
    </row>
    <row r="82" spans="1:11">
      <c r="A82" s="4">
        <v>80</v>
      </c>
      <c r="B82" s="5"/>
      <c r="C82" s="5"/>
      <c r="D82" s="5"/>
      <c r="E82" s="5"/>
      <c r="F82" s="5"/>
      <c r="G82" s="5"/>
      <c r="H82" s="5"/>
      <c r="I82" s="5"/>
      <c r="J82" s="6" t="str">
        <f t="shared" si="4"/>
        <v/>
      </c>
      <c r="K82" s="6" t="str">
        <f t="shared" si="5"/>
        <v/>
      </c>
    </row>
    <row r="83" spans="1:11">
      <c r="A83" s="4">
        <v>81</v>
      </c>
      <c r="B83" s="5"/>
      <c r="C83" s="5"/>
      <c r="D83" s="5"/>
      <c r="E83" s="5"/>
      <c r="F83" s="5"/>
      <c r="G83" s="5"/>
      <c r="H83" s="5"/>
      <c r="I83" s="5"/>
      <c r="J83" s="6" t="str">
        <f t="shared" si="4"/>
        <v/>
      </c>
      <c r="K83" s="6" t="str">
        <f t="shared" si="5"/>
        <v/>
      </c>
    </row>
    <row r="84" spans="1:11">
      <c r="A84" s="4">
        <v>82</v>
      </c>
      <c r="B84" s="5"/>
      <c r="C84" s="5"/>
      <c r="D84" s="5"/>
      <c r="E84" s="5"/>
      <c r="F84" s="5"/>
      <c r="G84" s="5"/>
      <c r="H84" s="5"/>
      <c r="I84" s="5"/>
      <c r="J84" s="6" t="str">
        <f t="shared" si="4"/>
        <v/>
      </c>
      <c r="K84" s="6" t="str">
        <f t="shared" si="5"/>
        <v/>
      </c>
    </row>
    <row r="85" spans="1:11">
      <c r="A85" s="4">
        <v>83</v>
      </c>
      <c r="B85" s="5"/>
      <c r="C85" s="5"/>
      <c r="D85" s="5"/>
      <c r="E85" s="5"/>
      <c r="F85" s="5"/>
      <c r="G85" s="5"/>
      <c r="H85" s="5"/>
      <c r="I85" s="5"/>
      <c r="J85" s="6" t="str">
        <f t="shared" si="4"/>
        <v/>
      </c>
      <c r="K85" s="6" t="str">
        <f t="shared" si="5"/>
        <v/>
      </c>
    </row>
    <row r="86" spans="1:11">
      <c r="A86" s="4">
        <v>84</v>
      </c>
      <c r="B86" s="5"/>
      <c r="C86" s="5"/>
      <c r="D86" s="5"/>
      <c r="E86" s="5"/>
      <c r="F86" s="5"/>
      <c r="G86" s="5"/>
      <c r="H86" s="5"/>
      <c r="I86" s="5"/>
      <c r="J86" s="6" t="str">
        <f t="shared" si="4"/>
        <v/>
      </c>
      <c r="K86" s="6" t="str">
        <f t="shared" si="5"/>
        <v/>
      </c>
    </row>
    <row r="87" spans="1:11">
      <c r="A87" s="4">
        <v>85</v>
      </c>
      <c r="B87" s="5"/>
      <c r="C87" s="5"/>
      <c r="D87" s="5"/>
      <c r="E87" s="5"/>
      <c r="F87" s="5"/>
      <c r="G87" s="5"/>
      <c r="H87" s="5"/>
      <c r="I87" s="5"/>
      <c r="J87" s="6" t="str">
        <f t="shared" si="4"/>
        <v/>
      </c>
      <c r="K87" s="6" t="str">
        <f t="shared" si="5"/>
        <v/>
      </c>
    </row>
    <row r="88" spans="1:11">
      <c r="A88" s="4">
        <v>86</v>
      </c>
      <c r="B88" s="5"/>
      <c r="C88" s="5"/>
      <c r="D88" s="5"/>
      <c r="E88" s="5"/>
      <c r="F88" s="5"/>
      <c r="G88" s="5"/>
      <c r="H88" s="5"/>
      <c r="I88" s="5"/>
      <c r="J88" s="6" t="str">
        <f t="shared" si="4"/>
        <v/>
      </c>
      <c r="K88" s="6" t="str">
        <f t="shared" si="5"/>
        <v/>
      </c>
    </row>
    <row r="89" spans="1:11">
      <c r="A89" s="4">
        <v>87</v>
      </c>
      <c r="B89" s="5"/>
      <c r="C89" s="5"/>
      <c r="D89" s="5"/>
      <c r="E89" s="5"/>
      <c r="F89" s="5"/>
      <c r="G89" s="5"/>
      <c r="H89" s="5"/>
      <c r="I89" s="5"/>
      <c r="J89" s="6" t="str">
        <f t="shared" si="4"/>
        <v/>
      </c>
      <c r="K89" s="6" t="str">
        <f t="shared" si="5"/>
        <v/>
      </c>
    </row>
    <row r="90" spans="1:11">
      <c r="A90" s="4">
        <v>88</v>
      </c>
      <c r="B90" s="5"/>
      <c r="C90" s="5"/>
      <c r="D90" s="5"/>
      <c r="E90" s="5"/>
      <c r="F90" s="5"/>
      <c r="G90" s="5"/>
      <c r="H90" s="5"/>
      <c r="I90" s="5"/>
      <c r="J90" s="6" t="str">
        <f t="shared" si="4"/>
        <v/>
      </c>
      <c r="K90" s="6" t="str">
        <f t="shared" si="5"/>
        <v/>
      </c>
    </row>
    <row r="91" spans="1:11">
      <c r="A91" s="4">
        <v>89</v>
      </c>
      <c r="B91" s="5"/>
      <c r="C91" s="5"/>
      <c r="D91" s="5"/>
      <c r="E91" s="5"/>
      <c r="F91" s="5"/>
      <c r="G91" s="5"/>
      <c r="H91" s="5"/>
      <c r="I91" s="5"/>
      <c r="J91" s="6" t="str">
        <f t="shared" si="4"/>
        <v/>
      </c>
      <c r="K91" s="6" t="str">
        <f t="shared" si="5"/>
        <v/>
      </c>
    </row>
    <row r="92" spans="1:11">
      <c r="A92" s="4">
        <v>90</v>
      </c>
      <c r="B92" s="5"/>
      <c r="C92" s="5"/>
      <c r="D92" s="5"/>
      <c r="E92" s="5"/>
      <c r="F92" s="5"/>
      <c r="G92" s="5"/>
      <c r="H92" s="5"/>
      <c r="I92" s="5"/>
      <c r="J92" s="6" t="str">
        <f t="shared" si="4"/>
        <v/>
      </c>
      <c r="K92" s="6" t="str">
        <f t="shared" si="5"/>
        <v/>
      </c>
    </row>
    <row r="93" spans="1:11">
      <c r="A93" s="4">
        <v>91</v>
      </c>
      <c r="B93" s="5"/>
      <c r="C93" s="5"/>
      <c r="D93" s="5"/>
      <c r="E93" s="5"/>
      <c r="F93" s="5"/>
      <c r="G93" s="5"/>
      <c r="H93" s="5"/>
      <c r="I93" s="5"/>
      <c r="J93" s="6" t="str">
        <f t="shared" si="4"/>
        <v/>
      </c>
      <c r="K93" s="6" t="str">
        <f t="shared" si="5"/>
        <v/>
      </c>
    </row>
    <row r="94" spans="1:11">
      <c r="A94" s="4">
        <v>92</v>
      </c>
      <c r="B94" s="5"/>
      <c r="C94" s="5"/>
      <c r="D94" s="5"/>
      <c r="E94" s="5"/>
      <c r="F94" s="5"/>
      <c r="G94" s="5"/>
      <c r="H94" s="5"/>
      <c r="I94" s="5"/>
      <c r="J94" s="6" t="str">
        <f t="shared" si="4"/>
        <v/>
      </c>
      <c r="K94" s="6" t="str">
        <f t="shared" si="5"/>
        <v/>
      </c>
    </row>
    <row r="95" spans="1:11">
      <c r="A95" s="4">
        <v>93</v>
      </c>
      <c r="B95" s="5"/>
      <c r="C95" s="5"/>
      <c r="D95" s="5"/>
      <c r="E95" s="5"/>
      <c r="F95" s="5"/>
      <c r="G95" s="5"/>
      <c r="H95" s="5"/>
      <c r="I95" s="5"/>
      <c r="J95" s="6" t="str">
        <f t="shared" si="4"/>
        <v/>
      </c>
      <c r="K95" s="6" t="str">
        <f t="shared" si="5"/>
        <v/>
      </c>
    </row>
    <row r="96" spans="1:11">
      <c r="A96" s="4">
        <v>94</v>
      </c>
      <c r="B96" s="5"/>
      <c r="C96" s="5"/>
      <c r="D96" s="5"/>
      <c r="E96" s="5"/>
      <c r="F96" s="5"/>
      <c r="G96" s="5"/>
      <c r="H96" s="5"/>
      <c r="I96" s="5"/>
      <c r="J96" s="6" t="str">
        <f t="shared" si="4"/>
        <v/>
      </c>
      <c r="K96" s="6" t="str">
        <f t="shared" si="5"/>
        <v/>
      </c>
    </row>
    <row r="97" spans="1:11">
      <c r="A97" s="4">
        <v>95</v>
      </c>
      <c r="B97" s="5"/>
      <c r="C97" s="5"/>
      <c r="D97" s="5"/>
      <c r="E97" s="5"/>
      <c r="F97" s="5"/>
      <c r="G97" s="5"/>
      <c r="H97" s="5"/>
      <c r="I97" s="5"/>
      <c r="J97" s="6" t="str">
        <f t="shared" si="4"/>
        <v/>
      </c>
      <c r="K97" s="6" t="str">
        <f t="shared" si="5"/>
        <v/>
      </c>
    </row>
    <row r="98" spans="1:11">
      <c r="A98" s="4">
        <v>96</v>
      </c>
      <c r="B98" s="5"/>
      <c r="C98" s="5"/>
      <c r="D98" s="5"/>
      <c r="E98" s="5"/>
      <c r="F98" s="5"/>
      <c r="G98" s="5"/>
      <c r="H98" s="5"/>
      <c r="I98" s="5"/>
      <c r="J98" s="6" t="str">
        <f t="shared" si="4"/>
        <v/>
      </c>
      <c r="K98" s="6" t="str">
        <f t="shared" si="5"/>
        <v/>
      </c>
    </row>
    <row r="99" spans="1:11">
      <c r="A99" s="4">
        <v>97</v>
      </c>
      <c r="B99" s="5"/>
      <c r="C99" s="5"/>
      <c r="D99" s="5"/>
      <c r="E99" s="5"/>
      <c r="F99" s="5"/>
      <c r="G99" s="5"/>
      <c r="H99" s="5"/>
      <c r="I99" s="5"/>
      <c r="J99" s="6" t="str">
        <f t="shared" ref="J99:J130" si="6">IF(COUNTA(B99:I99)=0,"",ROUND(AVERAGE(F99:I99),2))</f>
        <v/>
      </c>
      <c r="K99" s="6" t="str">
        <f t="shared" ref="K99:K130" si="7">IF(J99="","",IF(J99&gt;=4,"Приоритетный",IF(J99&gt;=3,"Перспективный","Низкий приоритет")))</f>
        <v/>
      </c>
    </row>
    <row r="100" spans="1:11">
      <c r="A100" s="4">
        <v>98</v>
      </c>
      <c r="B100" s="5"/>
      <c r="C100" s="5"/>
      <c r="D100" s="5"/>
      <c r="E100" s="5"/>
      <c r="F100" s="5"/>
      <c r="G100" s="5"/>
      <c r="H100" s="5"/>
      <c r="I100" s="5"/>
      <c r="J100" s="6" t="str">
        <f t="shared" si="6"/>
        <v/>
      </c>
      <c r="K100" s="6" t="str">
        <f t="shared" si="7"/>
        <v/>
      </c>
    </row>
    <row r="101" spans="1:11">
      <c r="A101" s="4">
        <v>99</v>
      </c>
      <c r="B101" s="5"/>
      <c r="C101" s="5"/>
      <c r="D101" s="5"/>
      <c r="E101" s="5"/>
      <c r="F101" s="5"/>
      <c r="G101" s="5"/>
      <c r="H101" s="5"/>
      <c r="I101" s="5"/>
      <c r="J101" s="6" t="str">
        <f t="shared" si="6"/>
        <v/>
      </c>
      <c r="K101" s="6" t="str">
        <f t="shared" si="7"/>
        <v/>
      </c>
    </row>
    <row r="102" spans="1:11">
      <c r="A102" s="4">
        <v>100</v>
      </c>
      <c r="B102" s="5"/>
      <c r="C102" s="5"/>
      <c r="D102" s="5"/>
      <c r="E102" s="5"/>
      <c r="F102" s="5"/>
      <c r="G102" s="5"/>
      <c r="H102" s="5"/>
      <c r="I102" s="5"/>
      <c r="J102" s="6" t="str">
        <f t="shared" si="6"/>
        <v/>
      </c>
      <c r="K102" s="6" t="str">
        <f t="shared" si="7"/>
        <v/>
      </c>
    </row>
  </sheetData>
  <mergeCells count="1">
    <mergeCell ref="A1:K1"/>
  </mergeCells>
  <conditionalFormatting sqref="J3:J102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'12_Справочники'!$C$3:$C$7</xm:f>
          </x14:formula1>
          <xm:sqref>F3:I102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02"/>
  <sheetViews>
    <sheetView workbookViewId="0"/>
  </sheetViews>
  <sheetFormatPr defaultRowHeight="14.25"/>
  <cols>
    <col min="1" max="1" width="7" customWidth="1"/>
    <col min="2" max="2" width="18" customWidth="1"/>
    <col min="3" max="7" width="32" customWidth="1"/>
    <col min="8" max="8" width="24" customWidth="1"/>
    <col min="9" max="11" width="28" customWidth="1"/>
    <col min="12" max="12" width="22" customWidth="1"/>
    <col min="13" max="15" width="16" customWidth="1"/>
    <col min="16" max="17" width="18" customWidth="1"/>
  </cols>
  <sheetData>
    <row r="1" spans="1:17" ht="32.1" customHeight="1">
      <c r="A1" s="9" t="s">
        <v>98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ht="32.1" customHeight="1">
      <c r="A2" s="3" t="s">
        <v>37</v>
      </c>
      <c r="B2" s="3" t="s">
        <v>99</v>
      </c>
      <c r="C2" s="3" t="s">
        <v>100</v>
      </c>
      <c r="D2" s="3" t="s">
        <v>101</v>
      </c>
      <c r="E2" s="3" t="s">
        <v>102</v>
      </c>
      <c r="F2" s="3" t="s">
        <v>103</v>
      </c>
      <c r="G2" s="3" t="s">
        <v>104</v>
      </c>
      <c r="H2" s="3" t="s">
        <v>105</v>
      </c>
      <c r="I2" s="3" t="s">
        <v>106</v>
      </c>
      <c r="J2" s="3" t="s">
        <v>107</v>
      </c>
      <c r="K2" s="3" t="s">
        <v>108</v>
      </c>
      <c r="L2" s="3" t="s">
        <v>109</v>
      </c>
      <c r="M2" s="3" t="s">
        <v>110</v>
      </c>
      <c r="N2" s="3" t="s">
        <v>111</v>
      </c>
      <c r="O2" s="3" t="s">
        <v>112</v>
      </c>
      <c r="P2" s="3" t="s">
        <v>113</v>
      </c>
      <c r="Q2" s="3" t="s">
        <v>97</v>
      </c>
    </row>
    <row r="3" spans="1:17" ht="42.75">
      <c r="A3" s="4">
        <v>1</v>
      </c>
      <c r="B3" s="5" t="s">
        <v>458</v>
      </c>
      <c r="C3" s="5" t="s">
        <v>459</v>
      </c>
      <c r="D3" s="5" t="s">
        <v>460</v>
      </c>
      <c r="E3" s="5" t="s">
        <v>461</v>
      </c>
      <c r="F3" s="5" t="s">
        <v>462</v>
      </c>
      <c r="G3" s="5" t="s">
        <v>463</v>
      </c>
      <c r="H3" s="5" t="s">
        <v>261</v>
      </c>
      <c r="I3" s="5" t="s">
        <v>464</v>
      </c>
      <c r="J3" s="5" t="s">
        <v>465</v>
      </c>
      <c r="K3" s="5" t="s">
        <v>466</v>
      </c>
      <c r="L3" s="5" t="s">
        <v>262</v>
      </c>
      <c r="M3" s="5">
        <v>5</v>
      </c>
      <c r="N3" s="5">
        <v>3</v>
      </c>
      <c r="O3" s="5">
        <v>2</v>
      </c>
      <c r="P3" s="6">
        <f t="shared" ref="P3:P34" si="0">IF(COUNTA(B3:O3)=0,"",ROUND(AVERAGE(M3:O3),2))</f>
        <v>3.33</v>
      </c>
      <c r="Q3" s="6" t="str">
        <f t="shared" ref="Q3:Q34" si="1">IF(P3="","",IF(P3&gt;=4,"Готово",IF(P3&gt;=3,"Проверить","Доработать")))</f>
        <v>Проверить</v>
      </c>
    </row>
    <row r="4" spans="1:17" ht="28.5">
      <c r="A4" s="4">
        <v>2</v>
      </c>
      <c r="B4" s="5" t="s">
        <v>467</v>
      </c>
      <c r="C4" s="5" t="s">
        <v>468</v>
      </c>
      <c r="D4" s="5" t="s">
        <v>469</v>
      </c>
      <c r="E4" s="5" t="s">
        <v>470</v>
      </c>
      <c r="F4" s="5" t="s">
        <v>471</v>
      </c>
      <c r="G4" s="5" t="s">
        <v>472</v>
      </c>
      <c r="H4" s="5" t="s">
        <v>295</v>
      </c>
      <c r="I4" s="5" t="s">
        <v>473</v>
      </c>
      <c r="J4" s="5" t="s">
        <v>474</v>
      </c>
      <c r="K4" s="5" t="s">
        <v>475</v>
      </c>
      <c r="L4" s="5" t="s">
        <v>253</v>
      </c>
      <c r="M4" s="5">
        <v>3</v>
      </c>
      <c r="N4" s="5">
        <v>3</v>
      </c>
      <c r="O4" s="5">
        <v>4</v>
      </c>
      <c r="P4" s="6">
        <f t="shared" si="0"/>
        <v>3.33</v>
      </c>
      <c r="Q4" s="6" t="str">
        <f t="shared" si="1"/>
        <v>Проверить</v>
      </c>
    </row>
    <row r="5" spans="1:17" ht="28.5">
      <c r="A5" s="4">
        <v>3</v>
      </c>
      <c r="B5" s="5" t="s">
        <v>476</v>
      </c>
      <c r="C5" s="5" t="s">
        <v>477</v>
      </c>
      <c r="D5" s="5" t="s">
        <v>478</v>
      </c>
      <c r="E5" s="5" t="s">
        <v>479</v>
      </c>
      <c r="F5" s="5" t="s">
        <v>480</v>
      </c>
      <c r="G5" s="5" t="s">
        <v>481</v>
      </c>
      <c r="H5" s="5" t="s">
        <v>295</v>
      </c>
      <c r="I5" s="5" t="s">
        <v>482</v>
      </c>
      <c r="J5" s="5" t="s">
        <v>483</v>
      </c>
      <c r="K5" s="5" t="s">
        <v>484</v>
      </c>
      <c r="L5" s="5" t="s">
        <v>253</v>
      </c>
      <c r="M5" s="5">
        <v>4</v>
      </c>
      <c r="N5" s="5">
        <v>3</v>
      </c>
      <c r="O5" s="5">
        <v>4</v>
      </c>
      <c r="P5" s="6">
        <f t="shared" si="0"/>
        <v>3.67</v>
      </c>
      <c r="Q5" s="6" t="str">
        <f t="shared" si="1"/>
        <v>Проверить</v>
      </c>
    </row>
    <row r="6" spans="1:17">
      <c r="A6" s="4">
        <v>4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6" t="str">
        <f t="shared" si="0"/>
        <v/>
      </c>
      <c r="Q6" s="6" t="str">
        <f t="shared" si="1"/>
        <v/>
      </c>
    </row>
    <row r="7" spans="1:17">
      <c r="A7" s="4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6" t="str">
        <f t="shared" si="0"/>
        <v/>
      </c>
      <c r="Q7" s="6" t="str">
        <f t="shared" si="1"/>
        <v/>
      </c>
    </row>
    <row r="8" spans="1:17">
      <c r="A8" s="4">
        <v>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6" t="str">
        <f t="shared" si="0"/>
        <v/>
      </c>
      <c r="Q8" s="6" t="str">
        <f t="shared" si="1"/>
        <v/>
      </c>
    </row>
    <row r="9" spans="1:17">
      <c r="A9" s="4">
        <v>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6" t="str">
        <f t="shared" si="0"/>
        <v/>
      </c>
      <c r="Q9" s="6" t="str">
        <f t="shared" si="1"/>
        <v/>
      </c>
    </row>
    <row r="10" spans="1:17">
      <c r="A10" s="4">
        <v>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6" t="str">
        <f t="shared" si="0"/>
        <v/>
      </c>
      <c r="Q10" s="6" t="str">
        <f t="shared" si="1"/>
        <v/>
      </c>
    </row>
    <row r="11" spans="1:17">
      <c r="A11" s="4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6" t="str">
        <f t="shared" si="0"/>
        <v/>
      </c>
      <c r="Q11" s="6" t="str">
        <f t="shared" si="1"/>
        <v/>
      </c>
    </row>
    <row r="12" spans="1:17">
      <c r="A12" s="4">
        <v>10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6" t="str">
        <f t="shared" si="0"/>
        <v/>
      </c>
      <c r="Q12" s="6" t="str">
        <f t="shared" si="1"/>
        <v/>
      </c>
    </row>
    <row r="13" spans="1:17">
      <c r="A13" s="4">
        <v>11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6" t="str">
        <f t="shared" si="0"/>
        <v/>
      </c>
      <c r="Q13" s="6" t="str">
        <f t="shared" si="1"/>
        <v/>
      </c>
    </row>
    <row r="14" spans="1:17">
      <c r="A14" s="4">
        <v>12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6" t="str">
        <f t="shared" si="0"/>
        <v/>
      </c>
      <c r="Q14" s="6" t="str">
        <f t="shared" si="1"/>
        <v/>
      </c>
    </row>
    <row r="15" spans="1:17">
      <c r="A15" s="4">
        <v>13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6" t="str">
        <f t="shared" si="0"/>
        <v/>
      </c>
      <c r="Q15" s="6" t="str">
        <f t="shared" si="1"/>
        <v/>
      </c>
    </row>
    <row r="16" spans="1:17">
      <c r="A16" s="4">
        <v>14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6" t="str">
        <f t="shared" si="0"/>
        <v/>
      </c>
      <c r="Q16" s="6" t="str">
        <f t="shared" si="1"/>
        <v/>
      </c>
    </row>
    <row r="17" spans="1:17">
      <c r="A17" s="4">
        <v>15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6" t="str">
        <f t="shared" si="0"/>
        <v/>
      </c>
      <c r="Q17" s="6" t="str">
        <f t="shared" si="1"/>
        <v/>
      </c>
    </row>
    <row r="18" spans="1:17">
      <c r="A18" s="4">
        <v>16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6" t="str">
        <f t="shared" si="0"/>
        <v/>
      </c>
      <c r="Q18" s="6" t="str">
        <f t="shared" si="1"/>
        <v/>
      </c>
    </row>
    <row r="19" spans="1:17">
      <c r="A19" s="4">
        <v>17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6" t="str">
        <f t="shared" si="0"/>
        <v/>
      </c>
      <c r="Q19" s="6" t="str">
        <f t="shared" si="1"/>
        <v/>
      </c>
    </row>
    <row r="20" spans="1:17">
      <c r="A20" s="4">
        <v>18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6" t="str">
        <f t="shared" si="0"/>
        <v/>
      </c>
      <c r="Q20" s="6" t="str">
        <f t="shared" si="1"/>
        <v/>
      </c>
    </row>
    <row r="21" spans="1:17">
      <c r="A21" s="4">
        <v>19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6" t="str">
        <f t="shared" si="0"/>
        <v/>
      </c>
      <c r="Q21" s="6" t="str">
        <f t="shared" si="1"/>
        <v/>
      </c>
    </row>
    <row r="22" spans="1:17">
      <c r="A22" s="4">
        <v>20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6" t="str">
        <f t="shared" si="0"/>
        <v/>
      </c>
      <c r="Q22" s="6" t="str">
        <f t="shared" si="1"/>
        <v/>
      </c>
    </row>
    <row r="23" spans="1:17">
      <c r="A23" s="4">
        <v>21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6" t="str">
        <f t="shared" si="0"/>
        <v/>
      </c>
      <c r="Q23" s="6" t="str">
        <f t="shared" si="1"/>
        <v/>
      </c>
    </row>
    <row r="24" spans="1:17">
      <c r="A24" s="4">
        <v>22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6" t="str">
        <f t="shared" si="0"/>
        <v/>
      </c>
      <c r="Q24" s="6" t="str">
        <f t="shared" si="1"/>
        <v/>
      </c>
    </row>
    <row r="25" spans="1:17">
      <c r="A25" s="4">
        <v>23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6" t="str">
        <f t="shared" si="0"/>
        <v/>
      </c>
      <c r="Q25" s="6" t="str">
        <f t="shared" si="1"/>
        <v/>
      </c>
    </row>
    <row r="26" spans="1:17">
      <c r="A26" s="4">
        <v>24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6" t="str">
        <f t="shared" si="0"/>
        <v/>
      </c>
      <c r="Q26" s="6" t="str">
        <f t="shared" si="1"/>
        <v/>
      </c>
    </row>
    <row r="27" spans="1:17">
      <c r="A27" s="4">
        <v>25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6" t="str">
        <f t="shared" si="0"/>
        <v/>
      </c>
      <c r="Q27" s="6" t="str">
        <f t="shared" si="1"/>
        <v/>
      </c>
    </row>
    <row r="28" spans="1:17">
      <c r="A28" s="4">
        <v>26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6" t="str">
        <f t="shared" si="0"/>
        <v/>
      </c>
      <c r="Q28" s="6" t="str">
        <f t="shared" si="1"/>
        <v/>
      </c>
    </row>
    <row r="29" spans="1:17">
      <c r="A29" s="4">
        <v>27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6" t="str">
        <f t="shared" si="0"/>
        <v/>
      </c>
      <c r="Q29" s="6" t="str">
        <f t="shared" si="1"/>
        <v/>
      </c>
    </row>
    <row r="30" spans="1:17">
      <c r="A30" s="4">
        <v>28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6" t="str">
        <f t="shared" si="0"/>
        <v/>
      </c>
      <c r="Q30" s="6" t="str">
        <f t="shared" si="1"/>
        <v/>
      </c>
    </row>
    <row r="31" spans="1:17">
      <c r="A31" s="4">
        <v>29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6" t="str">
        <f t="shared" si="0"/>
        <v/>
      </c>
      <c r="Q31" s="6" t="str">
        <f t="shared" si="1"/>
        <v/>
      </c>
    </row>
    <row r="32" spans="1:17">
      <c r="A32" s="4">
        <v>30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6" t="str">
        <f t="shared" si="0"/>
        <v/>
      </c>
      <c r="Q32" s="6" t="str">
        <f t="shared" si="1"/>
        <v/>
      </c>
    </row>
    <row r="33" spans="1:17">
      <c r="A33" s="4">
        <v>31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6" t="str">
        <f t="shared" si="0"/>
        <v/>
      </c>
      <c r="Q33" s="6" t="str">
        <f t="shared" si="1"/>
        <v/>
      </c>
    </row>
    <row r="34" spans="1:17">
      <c r="A34" s="4">
        <v>32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6" t="str">
        <f t="shared" si="0"/>
        <v/>
      </c>
      <c r="Q34" s="6" t="str">
        <f t="shared" si="1"/>
        <v/>
      </c>
    </row>
    <row r="35" spans="1:17">
      <c r="A35" s="4">
        <v>33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6" t="str">
        <f t="shared" ref="P35:P66" si="2">IF(COUNTA(B35:O35)=0,"",ROUND(AVERAGE(M35:O35),2))</f>
        <v/>
      </c>
      <c r="Q35" s="6" t="str">
        <f t="shared" ref="Q35:Q66" si="3">IF(P35="","",IF(P35&gt;=4,"Готово",IF(P35&gt;=3,"Проверить","Доработать")))</f>
        <v/>
      </c>
    </row>
    <row r="36" spans="1:17">
      <c r="A36" s="4">
        <v>34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6" t="str">
        <f t="shared" si="2"/>
        <v/>
      </c>
      <c r="Q36" s="6" t="str">
        <f t="shared" si="3"/>
        <v/>
      </c>
    </row>
    <row r="37" spans="1:17">
      <c r="A37" s="4">
        <v>35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6" t="str">
        <f t="shared" si="2"/>
        <v/>
      </c>
      <c r="Q37" s="6" t="str">
        <f t="shared" si="3"/>
        <v/>
      </c>
    </row>
    <row r="38" spans="1:17">
      <c r="A38" s="4">
        <v>36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6" t="str">
        <f t="shared" si="2"/>
        <v/>
      </c>
      <c r="Q38" s="6" t="str">
        <f t="shared" si="3"/>
        <v/>
      </c>
    </row>
    <row r="39" spans="1:17">
      <c r="A39" s="4">
        <v>37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6" t="str">
        <f t="shared" si="2"/>
        <v/>
      </c>
      <c r="Q39" s="6" t="str">
        <f t="shared" si="3"/>
        <v/>
      </c>
    </row>
    <row r="40" spans="1:17">
      <c r="A40" s="4">
        <v>38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6" t="str">
        <f t="shared" si="2"/>
        <v/>
      </c>
      <c r="Q40" s="6" t="str">
        <f t="shared" si="3"/>
        <v/>
      </c>
    </row>
    <row r="41" spans="1:17">
      <c r="A41" s="4">
        <v>39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6" t="str">
        <f t="shared" si="2"/>
        <v/>
      </c>
      <c r="Q41" s="6" t="str">
        <f t="shared" si="3"/>
        <v/>
      </c>
    </row>
    <row r="42" spans="1:17">
      <c r="A42" s="4">
        <v>40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6" t="str">
        <f t="shared" si="2"/>
        <v/>
      </c>
      <c r="Q42" s="6" t="str">
        <f t="shared" si="3"/>
        <v/>
      </c>
    </row>
    <row r="43" spans="1:17">
      <c r="A43" s="4">
        <v>41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6" t="str">
        <f t="shared" si="2"/>
        <v/>
      </c>
      <c r="Q43" s="6" t="str">
        <f t="shared" si="3"/>
        <v/>
      </c>
    </row>
    <row r="44" spans="1:17">
      <c r="A44" s="4">
        <v>42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6" t="str">
        <f t="shared" si="2"/>
        <v/>
      </c>
      <c r="Q44" s="6" t="str">
        <f t="shared" si="3"/>
        <v/>
      </c>
    </row>
    <row r="45" spans="1:17">
      <c r="A45" s="4">
        <v>43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6" t="str">
        <f t="shared" si="2"/>
        <v/>
      </c>
      <c r="Q45" s="6" t="str">
        <f t="shared" si="3"/>
        <v/>
      </c>
    </row>
    <row r="46" spans="1:17">
      <c r="A46" s="4">
        <v>44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6" t="str">
        <f t="shared" si="2"/>
        <v/>
      </c>
      <c r="Q46" s="6" t="str">
        <f t="shared" si="3"/>
        <v/>
      </c>
    </row>
    <row r="47" spans="1:17">
      <c r="A47" s="4">
        <v>45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6" t="str">
        <f t="shared" si="2"/>
        <v/>
      </c>
      <c r="Q47" s="6" t="str">
        <f t="shared" si="3"/>
        <v/>
      </c>
    </row>
    <row r="48" spans="1:17">
      <c r="A48" s="4">
        <v>46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6" t="str">
        <f t="shared" si="2"/>
        <v/>
      </c>
      <c r="Q48" s="6" t="str">
        <f t="shared" si="3"/>
        <v/>
      </c>
    </row>
    <row r="49" spans="1:17">
      <c r="A49" s="4">
        <v>47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6" t="str">
        <f t="shared" si="2"/>
        <v/>
      </c>
      <c r="Q49" s="6" t="str">
        <f t="shared" si="3"/>
        <v/>
      </c>
    </row>
    <row r="50" spans="1:17">
      <c r="A50" s="4">
        <v>48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6" t="str">
        <f t="shared" si="2"/>
        <v/>
      </c>
      <c r="Q50" s="6" t="str">
        <f t="shared" si="3"/>
        <v/>
      </c>
    </row>
    <row r="51" spans="1:17">
      <c r="A51" s="4">
        <v>49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6" t="str">
        <f t="shared" si="2"/>
        <v/>
      </c>
      <c r="Q51" s="6" t="str">
        <f t="shared" si="3"/>
        <v/>
      </c>
    </row>
    <row r="52" spans="1:17">
      <c r="A52" s="4">
        <v>50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6" t="str">
        <f t="shared" si="2"/>
        <v/>
      </c>
      <c r="Q52" s="6" t="str">
        <f t="shared" si="3"/>
        <v/>
      </c>
    </row>
    <row r="53" spans="1:17">
      <c r="A53" s="4">
        <v>51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6" t="str">
        <f t="shared" si="2"/>
        <v/>
      </c>
      <c r="Q53" s="6" t="str">
        <f t="shared" si="3"/>
        <v/>
      </c>
    </row>
    <row r="54" spans="1:17">
      <c r="A54" s="4">
        <v>52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6" t="str">
        <f t="shared" si="2"/>
        <v/>
      </c>
      <c r="Q54" s="6" t="str">
        <f t="shared" si="3"/>
        <v/>
      </c>
    </row>
    <row r="55" spans="1:17">
      <c r="A55" s="4">
        <v>53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6" t="str">
        <f t="shared" si="2"/>
        <v/>
      </c>
      <c r="Q55" s="6" t="str">
        <f t="shared" si="3"/>
        <v/>
      </c>
    </row>
    <row r="56" spans="1:17">
      <c r="A56" s="4">
        <v>54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6" t="str">
        <f t="shared" si="2"/>
        <v/>
      </c>
      <c r="Q56" s="6" t="str">
        <f t="shared" si="3"/>
        <v/>
      </c>
    </row>
    <row r="57" spans="1:17">
      <c r="A57" s="4">
        <v>55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6" t="str">
        <f t="shared" si="2"/>
        <v/>
      </c>
      <c r="Q57" s="6" t="str">
        <f t="shared" si="3"/>
        <v/>
      </c>
    </row>
    <row r="58" spans="1:17">
      <c r="A58" s="4">
        <v>56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6" t="str">
        <f t="shared" si="2"/>
        <v/>
      </c>
      <c r="Q58" s="6" t="str">
        <f t="shared" si="3"/>
        <v/>
      </c>
    </row>
    <row r="59" spans="1:17">
      <c r="A59" s="4">
        <v>57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6" t="str">
        <f t="shared" si="2"/>
        <v/>
      </c>
      <c r="Q59" s="6" t="str">
        <f t="shared" si="3"/>
        <v/>
      </c>
    </row>
    <row r="60" spans="1:17">
      <c r="A60" s="4">
        <v>58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6" t="str">
        <f t="shared" si="2"/>
        <v/>
      </c>
      <c r="Q60" s="6" t="str">
        <f t="shared" si="3"/>
        <v/>
      </c>
    </row>
    <row r="61" spans="1:17">
      <c r="A61" s="4">
        <v>59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6" t="str">
        <f t="shared" si="2"/>
        <v/>
      </c>
      <c r="Q61" s="6" t="str">
        <f t="shared" si="3"/>
        <v/>
      </c>
    </row>
    <row r="62" spans="1:17">
      <c r="A62" s="4">
        <v>60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6" t="str">
        <f t="shared" si="2"/>
        <v/>
      </c>
      <c r="Q62" s="6" t="str">
        <f t="shared" si="3"/>
        <v/>
      </c>
    </row>
    <row r="63" spans="1:17">
      <c r="A63" s="4">
        <v>61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6" t="str">
        <f t="shared" si="2"/>
        <v/>
      </c>
      <c r="Q63" s="6" t="str">
        <f t="shared" si="3"/>
        <v/>
      </c>
    </row>
    <row r="64" spans="1:17">
      <c r="A64" s="4">
        <v>62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6" t="str">
        <f t="shared" si="2"/>
        <v/>
      </c>
      <c r="Q64" s="6" t="str">
        <f t="shared" si="3"/>
        <v/>
      </c>
    </row>
    <row r="65" spans="1:17">
      <c r="A65" s="4">
        <v>63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6" t="str">
        <f t="shared" si="2"/>
        <v/>
      </c>
      <c r="Q65" s="6" t="str">
        <f t="shared" si="3"/>
        <v/>
      </c>
    </row>
    <row r="66" spans="1:17">
      <c r="A66" s="4">
        <v>64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6" t="str">
        <f t="shared" si="2"/>
        <v/>
      </c>
      <c r="Q66" s="6" t="str">
        <f t="shared" si="3"/>
        <v/>
      </c>
    </row>
    <row r="67" spans="1:17">
      <c r="A67" s="4">
        <v>65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6" t="str">
        <f t="shared" ref="P67:P98" si="4">IF(COUNTA(B67:O67)=0,"",ROUND(AVERAGE(M67:O67),2))</f>
        <v/>
      </c>
      <c r="Q67" s="6" t="str">
        <f t="shared" ref="Q67:Q98" si="5">IF(P67="","",IF(P67&gt;=4,"Готово",IF(P67&gt;=3,"Проверить","Доработать")))</f>
        <v/>
      </c>
    </row>
    <row r="68" spans="1:17">
      <c r="A68" s="4">
        <v>66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6" t="str">
        <f t="shared" si="4"/>
        <v/>
      </c>
      <c r="Q68" s="6" t="str">
        <f t="shared" si="5"/>
        <v/>
      </c>
    </row>
    <row r="69" spans="1:17">
      <c r="A69" s="4">
        <v>67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6" t="str">
        <f t="shared" si="4"/>
        <v/>
      </c>
      <c r="Q69" s="6" t="str">
        <f t="shared" si="5"/>
        <v/>
      </c>
    </row>
    <row r="70" spans="1:17">
      <c r="A70" s="4">
        <v>68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6" t="str">
        <f t="shared" si="4"/>
        <v/>
      </c>
      <c r="Q70" s="6" t="str">
        <f t="shared" si="5"/>
        <v/>
      </c>
    </row>
    <row r="71" spans="1:17">
      <c r="A71" s="4">
        <v>69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6" t="str">
        <f t="shared" si="4"/>
        <v/>
      </c>
      <c r="Q71" s="6" t="str">
        <f t="shared" si="5"/>
        <v/>
      </c>
    </row>
    <row r="72" spans="1:17">
      <c r="A72" s="4">
        <v>70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6" t="str">
        <f t="shared" si="4"/>
        <v/>
      </c>
      <c r="Q72" s="6" t="str">
        <f t="shared" si="5"/>
        <v/>
      </c>
    </row>
    <row r="73" spans="1:17">
      <c r="A73" s="4">
        <v>71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6" t="str">
        <f t="shared" si="4"/>
        <v/>
      </c>
      <c r="Q73" s="6" t="str">
        <f t="shared" si="5"/>
        <v/>
      </c>
    </row>
    <row r="74" spans="1:17">
      <c r="A74" s="4">
        <v>72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6" t="str">
        <f t="shared" si="4"/>
        <v/>
      </c>
      <c r="Q74" s="6" t="str">
        <f t="shared" si="5"/>
        <v/>
      </c>
    </row>
    <row r="75" spans="1:17">
      <c r="A75" s="4">
        <v>73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6" t="str">
        <f t="shared" si="4"/>
        <v/>
      </c>
      <c r="Q75" s="6" t="str">
        <f t="shared" si="5"/>
        <v/>
      </c>
    </row>
    <row r="76" spans="1:17">
      <c r="A76" s="4">
        <v>74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6" t="str">
        <f t="shared" si="4"/>
        <v/>
      </c>
      <c r="Q76" s="6" t="str">
        <f t="shared" si="5"/>
        <v/>
      </c>
    </row>
    <row r="77" spans="1:17">
      <c r="A77" s="4">
        <v>75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6" t="str">
        <f t="shared" si="4"/>
        <v/>
      </c>
      <c r="Q77" s="6" t="str">
        <f t="shared" si="5"/>
        <v/>
      </c>
    </row>
    <row r="78" spans="1:17">
      <c r="A78" s="4">
        <v>76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6" t="str">
        <f t="shared" si="4"/>
        <v/>
      </c>
      <c r="Q78" s="6" t="str">
        <f t="shared" si="5"/>
        <v/>
      </c>
    </row>
    <row r="79" spans="1:17">
      <c r="A79" s="4">
        <v>77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6" t="str">
        <f t="shared" si="4"/>
        <v/>
      </c>
      <c r="Q79" s="6" t="str">
        <f t="shared" si="5"/>
        <v/>
      </c>
    </row>
    <row r="80" spans="1:17">
      <c r="A80" s="4">
        <v>78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6" t="str">
        <f t="shared" si="4"/>
        <v/>
      </c>
      <c r="Q80" s="6" t="str">
        <f t="shared" si="5"/>
        <v/>
      </c>
    </row>
    <row r="81" spans="1:17">
      <c r="A81" s="4">
        <v>79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6" t="str">
        <f t="shared" si="4"/>
        <v/>
      </c>
      <c r="Q81" s="6" t="str">
        <f t="shared" si="5"/>
        <v/>
      </c>
    </row>
    <row r="82" spans="1:17">
      <c r="A82" s="4">
        <v>80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6" t="str">
        <f t="shared" si="4"/>
        <v/>
      </c>
      <c r="Q82" s="6" t="str">
        <f t="shared" si="5"/>
        <v/>
      </c>
    </row>
    <row r="83" spans="1:17">
      <c r="A83" s="4">
        <v>81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6" t="str">
        <f t="shared" si="4"/>
        <v/>
      </c>
      <c r="Q83" s="6" t="str">
        <f t="shared" si="5"/>
        <v/>
      </c>
    </row>
    <row r="84" spans="1:17">
      <c r="A84" s="4">
        <v>82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6" t="str">
        <f t="shared" si="4"/>
        <v/>
      </c>
      <c r="Q84" s="6" t="str">
        <f t="shared" si="5"/>
        <v/>
      </c>
    </row>
    <row r="85" spans="1:17">
      <c r="A85" s="4">
        <v>83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6" t="str">
        <f t="shared" si="4"/>
        <v/>
      </c>
      <c r="Q85" s="6" t="str">
        <f t="shared" si="5"/>
        <v/>
      </c>
    </row>
    <row r="86" spans="1:17">
      <c r="A86" s="4">
        <v>84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6" t="str">
        <f t="shared" si="4"/>
        <v/>
      </c>
      <c r="Q86" s="6" t="str">
        <f t="shared" si="5"/>
        <v/>
      </c>
    </row>
    <row r="87" spans="1:17">
      <c r="A87" s="4">
        <v>85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6" t="str">
        <f t="shared" si="4"/>
        <v/>
      </c>
      <c r="Q87" s="6" t="str">
        <f t="shared" si="5"/>
        <v/>
      </c>
    </row>
    <row r="88" spans="1:17">
      <c r="A88" s="4">
        <v>86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6" t="str">
        <f t="shared" si="4"/>
        <v/>
      </c>
      <c r="Q88" s="6" t="str">
        <f t="shared" si="5"/>
        <v/>
      </c>
    </row>
    <row r="89" spans="1:17">
      <c r="A89" s="4">
        <v>87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6" t="str">
        <f t="shared" si="4"/>
        <v/>
      </c>
      <c r="Q89" s="6" t="str">
        <f t="shared" si="5"/>
        <v/>
      </c>
    </row>
    <row r="90" spans="1:17">
      <c r="A90" s="4">
        <v>88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6" t="str">
        <f t="shared" si="4"/>
        <v/>
      </c>
      <c r="Q90" s="6" t="str">
        <f t="shared" si="5"/>
        <v/>
      </c>
    </row>
    <row r="91" spans="1:17">
      <c r="A91" s="4">
        <v>89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6" t="str">
        <f t="shared" si="4"/>
        <v/>
      </c>
      <c r="Q91" s="6" t="str">
        <f t="shared" si="5"/>
        <v/>
      </c>
    </row>
    <row r="92" spans="1:17">
      <c r="A92" s="4">
        <v>90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6" t="str">
        <f t="shared" si="4"/>
        <v/>
      </c>
      <c r="Q92" s="6" t="str">
        <f t="shared" si="5"/>
        <v/>
      </c>
    </row>
    <row r="93" spans="1:17">
      <c r="A93" s="4">
        <v>91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6" t="str">
        <f t="shared" si="4"/>
        <v/>
      </c>
      <c r="Q93" s="6" t="str">
        <f t="shared" si="5"/>
        <v/>
      </c>
    </row>
    <row r="94" spans="1:17">
      <c r="A94" s="4">
        <v>92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6" t="str">
        <f t="shared" si="4"/>
        <v/>
      </c>
      <c r="Q94" s="6" t="str">
        <f t="shared" si="5"/>
        <v/>
      </c>
    </row>
    <row r="95" spans="1:17">
      <c r="A95" s="4">
        <v>93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6" t="str">
        <f t="shared" si="4"/>
        <v/>
      </c>
      <c r="Q95" s="6" t="str">
        <f t="shared" si="5"/>
        <v/>
      </c>
    </row>
    <row r="96" spans="1:17">
      <c r="A96" s="4">
        <v>94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6" t="str">
        <f t="shared" si="4"/>
        <v/>
      </c>
      <c r="Q96" s="6" t="str">
        <f t="shared" si="5"/>
        <v/>
      </c>
    </row>
    <row r="97" spans="1:17">
      <c r="A97" s="4">
        <v>95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6" t="str">
        <f t="shared" si="4"/>
        <v/>
      </c>
      <c r="Q97" s="6" t="str">
        <f t="shared" si="5"/>
        <v/>
      </c>
    </row>
    <row r="98" spans="1:17">
      <c r="A98" s="4">
        <v>96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6" t="str">
        <f t="shared" si="4"/>
        <v/>
      </c>
      <c r="Q98" s="6" t="str">
        <f t="shared" si="5"/>
        <v/>
      </c>
    </row>
    <row r="99" spans="1:17">
      <c r="A99" s="4">
        <v>97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6" t="str">
        <f t="shared" ref="P99:P130" si="6">IF(COUNTA(B99:O99)=0,"",ROUND(AVERAGE(M99:O99),2))</f>
        <v/>
      </c>
      <c r="Q99" s="6" t="str">
        <f t="shared" ref="Q99:Q130" si="7">IF(P99="","",IF(P99&gt;=4,"Готово",IF(P99&gt;=3,"Проверить","Доработать")))</f>
        <v/>
      </c>
    </row>
    <row r="100" spans="1:17">
      <c r="A100" s="4">
        <v>98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6" t="str">
        <f t="shared" si="6"/>
        <v/>
      </c>
      <c r="Q100" s="6" t="str">
        <f t="shared" si="7"/>
        <v/>
      </c>
    </row>
    <row r="101" spans="1:17">
      <c r="A101" s="4">
        <v>99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6" t="str">
        <f t="shared" si="6"/>
        <v/>
      </c>
      <c r="Q101" s="6" t="str">
        <f t="shared" si="7"/>
        <v/>
      </c>
    </row>
    <row r="102" spans="1:17">
      <c r="A102" s="4">
        <v>100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6" t="str">
        <f t="shared" si="6"/>
        <v/>
      </c>
      <c r="Q102" s="6" t="str">
        <f t="shared" si="7"/>
        <v/>
      </c>
    </row>
  </sheetData>
  <mergeCells count="1">
    <mergeCell ref="A1:Q1"/>
  </mergeCells>
  <conditionalFormatting sqref="P3:P102">
    <cfRule type="dataBar" priority="1">
      <dataBar>
        <cfvo type="min"/>
        <cfvo type="max"/>
        <color rgb="FF22C55E"/>
      </dataBar>
    </cfRule>
    <cfRule type="dataBar" priority="2">
      <dataBar>
        <cfvo type="min"/>
        <cfvo type="max"/>
        <color rgb="FF22C55E"/>
      </dataBar>
      <extLst>
        <ext xmlns:x14="http://schemas.microsoft.com/office/spreadsheetml/2009/9/main" uri="{B025F937-C7B1-47D3-B67F-A62EFF666E3E}">
          <x14:id>{72CD6197-F982-2686-54CD-549EF0E2D5B0}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2CD6197-F982-2686-54CD-549EF0E2D5B0}">
            <x14:dataBar>
              <x14:cfvo type="min"/>
              <x14:cfvo type="max"/>
              <x14:negativeFillColor auto="1"/>
              <x14:axisColor auto="1"/>
            </x14:dataBar>
          </x14:cfRule>
          <xm:sqref>P3:P102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400-000000000000}">
          <x14:formula1>
            <xm:f>'12_Справочники'!$E$3:$E$10</xm:f>
          </x14:formula1>
          <xm:sqref>H3:H102</xm:sqref>
        </x14:dataValidation>
        <x14:dataValidation type="list" xr:uid="{00000000-0002-0000-0400-000001000000}">
          <x14:formula1>
            <xm:f>'12_Справочники'!$F$3:$F$8</xm:f>
          </x14:formula1>
          <xm:sqref>L3:L102</xm:sqref>
        </x14:dataValidation>
        <x14:dataValidation type="list" xr:uid="{00000000-0002-0000-0400-000002000000}">
          <x14:formula1>
            <xm:f>'12_Справочники'!$C$3:$C$7</xm:f>
          </x14:formula1>
          <xm:sqref>M3:O102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2"/>
  <sheetViews>
    <sheetView workbookViewId="0"/>
  </sheetViews>
  <sheetFormatPr defaultRowHeight="14.25"/>
  <cols>
    <col min="1" max="1" width="7" customWidth="1"/>
    <col min="2" max="2" width="20" customWidth="1"/>
    <col min="3" max="3" width="24" customWidth="1"/>
    <col min="4" max="6" width="32" customWidth="1"/>
    <col min="7" max="9" width="16" customWidth="1"/>
    <col min="10" max="11" width="18" customWidth="1"/>
  </cols>
  <sheetData>
    <row r="1" spans="1:11" ht="32.1" customHeight="1">
      <c r="A1" s="9" t="s">
        <v>114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32.1" customHeight="1">
      <c r="A2" s="3" t="s">
        <v>37</v>
      </c>
      <c r="B2" s="3" t="s">
        <v>115</v>
      </c>
      <c r="C2" s="3" t="s">
        <v>89</v>
      </c>
      <c r="D2" s="3" t="s">
        <v>116</v>
      </c>
      <c r="E2" s="3" t="s">
        <v>117</v>
      </c>
      <c r="F2" s="3" t="s">
        <v>118</v>
      </c>
      <c r="G2" s="3" t="s">
        <v>119</v>
      </c>
      <c r="H2" s="3" t="s">
        <v>120</v>
      </c>
      <c r="I2" s="3" t="s">
        <v>111</v>
      </c>
      <c r="J2" s="3" t="s">
        <v>96</v>
      </c>
      <c r="K2" s="3" t="s">
        <v>121</v>
      </c>
    </row>
    <row r="3" spans="1:11" ht="28.5">
      <c r="A3" s="4">
        <v>1</v>
      </c>
      <c r="B3" s="5" t="s">
        <v>247</v>
      </c>
      <c r="C3" s="5" t="s">
        <v>485</v>
      </c>
      <c r="D3" s="5" t="s">
        <v>486</v>
      </c>
      <c r="E3" s="5" t="s">
        <v>487</v>
      </c>
      <c r="F3" s="5" t="s">
        <v>488</v>
      </c>
      <c r="G3" s="5">
        <v>5</v>
      </c>
      <c r="H3" s="5">
        <v>2</v>
      </c>
      <c r="I3" s="5">
        <v>4</v>
      </c>
      <c r="J3" s="6">
        <f t="shared" ref="J3:J34" si="0">IF(COUNTA(B3:I3)=0,"",ROUND(AVERAGE(G3,6-H3,I3),2))</f>
        <v>4.33</v>
      </c>
      <c r="K3" s="6" t="str">
        <f t="shared" ref="K3:K34" si="1">IF(J3="","",IF(J3&gt;=4,"Включить",IF(J3&gt;=3,"Проверить","Не основной")))</f>
        <v>Включить</v>
      </c>
    </row>
    <row r="4" spans="1:11" ht="28.5">
      <c r="A4" s="4">
        <v>2</v>
      </c>
      <c r="B4" s="5" t="s">
        <v>247</v>
      </c>
      <c r="C4" s="5" t="s">
        <v>485</v>
      </c>
      <c r="D4" s="5" t="s">
        <v>489</v>
      </c>
      <c r="E4" s="5" t="s">
        <v>487</v>
      </c>
      <c r="F4" s="5" t="s">
        <v>490</v>
      </c>
      <c r="G4" s="5">
        <v>4</v>
      </c>
      <c r="H4" s="5">
        <v>2</v>
      </c>
      <c r="I4" s="5">
        <v>2</v>
      </c>
      <c r="J4" s="6">
        <f t="shared" si="0"/>
        <v>3.33</v>
      </c>
      <c r="K4" s="6" t="str">
        <f t="shared" si="1"/>
        <v>Проверить</v>
      </c>
    </row>
    <row r="5" spans="1:11" ht="28.5">
      <c r="A5" s="4">
        <v>3</v>
      </c>
      <c r="B5" s="5" t="s">
        <v>256</v>
      </c>
      <c r="C5" s="5" t="s">
        <v>491</v>
      </c>
      <c r="D5" s="5" t="s">
        <v>492</v>
      </c>
      <c r="E5" s="5" t="s">
        <v>493</v>
      </c>
      <c r="F5" s="5" t="s">
        <v>494</v>
      </c>
      <c r="G5" s="5">
        <v>5</v>
      </c>
      <c r="H5" s="5">
        <v>2</v>
      </c>
      <c r="I5" s="5">
        <v>4</v>
      </c>
      <c r="J5" s="6">
        <f t="shared" si="0"/>
        <v>4.33</v>
      </c>
      <c r="K5" s="6" t="str">
        <f t="shared" si="1"/>
        <v>Включить</v>
      </c>
    </row>
    <row r="6" spans="1:11" ht="28.5">
      <c r="A6" s="4">
        <v>4</v>
      </c>
      <c r="B6" s="5" t="s">
        <v>274</v>
      </c>
      <c r="C6" s="5" t="s">
        <v>485</v>
      </c>
      <c r="D6" s="5" t="s">
        <v>495</v>
      </c>
      <c r="E6" s="5" t="s">
        <v>496</v>
      </c>
      <c r="F6" s="5" t="s">
        <v>497</v>
      </c>
      <c r="G6" s="5">
        <v>5</v>
      </c>
      <c r="H6" s="5">
        <v>1</v>
      </c>
      <c r="I6" s="5">
        <v>4</v>
      </c>
      <c r="J6" s="6">
        <f t="shared" si="0"/>
        <v>4.67</v>
      </c>
      <c r="K6" s="6" t="str">
        <f t="shared" si="1"/>
        <v>Включить</v>
      </c>
    </row>
    <row r="7" spans="1:11" ht="28.5">
      <c r="A7" s="4">
        <v>5</v>
      </c>
      <c r="B7" s="5" t="s">
        <v>265</v>
      </c>
      <c r="C7" s="5" t="s">
        <v>498</v>
      </c>
      <c r="D7" s="5" t="s">
        <v>499</v>
      </c>
      <c r="E7" s="5" t="s">
        <v>500</v>
      </c>
      <c r="F7" s="5" t="s">
        <v>501</v>
      </c>
      <c r="G7" s="5">
        <v>4</v>
      </c>
      <c r="H7" s="5">
        <v>3</v>
      </c>
      <c r="I7" s="5">
        <v>3</v>
      </c>
      <c r="J7" s="6">
        <f t="shared" si="0"/>
        <v>3.33</v>
      </c>
      <c r="K7" s="6" t="str">
        <f t="shared" si="1"/>
        <v>Проверить</v>
      </c>
    </row>
    <row r="8" spans="1:11">
      <c r="A8" s="4">
        <v>6</v>
      </c>
      <c r="B8" s="5" t="s">
        <v>283</v>
      </c>
      <c r="C8" s="5" t="s">
        <v>498</v>
      </c>
      <c r="D8" s="5" t="s">
        <v>502</v>
      </c>
      <c r="E8" s="5" t="s">
        <v>503</v>
      </c>
      <c r="F8" s="5" t="s">
        <v>504</v>
      </c>
      <c r="G8" s="5">
        <v>4</v>
      </c>
      <c r="H8" s="5">
        <v>3</v>
      </c>
      <c r="I8" s="5">
        <v>4</v>
      </c>
      <c r="J8" s="6">
        <f t="shared" si="0"/>
        <v>3.67</v>
      </c>
      <c r="K8" s="6" t="str">
        <f t="shared" si="1"/>
        <v>Проверить</v>
      </c>
    </row>
    <row r="9" spans="1:11" ht="28.5">
      <c r="A9" s="4">
        <v>7</v>
      </c>
      <c r="B9" s="5" t="s">
        <v>298</v>
      </c>
      <c r="C9" s="5" t="s">
        <v>505</v>
      </c>
      <c r="D9" s="5" t="s">
        <v>506</v>
      </c>
      <c r="E9" s="5" t="s">
        <v>298</v>
      </c>
      <c r="F9" s="5" t="s">
        <v>507</v>
      </c>
      <c r="G9" s="5">
        <v>3</v>
      </c>
      <c r="H9" s="5">
        <v>2</v>
      </c>
      <c r="I9" s="5">
        <v>3</v>
      </c>
      <c r="J9" s="6">
        <f t="shared" si="0"/>
        <v>3.33</v>
      </c>
      <c r="K9" s="6" t="str">
        <f t="shared" si="1"/>
        <v>Проверить</v>
      </c>
    </row>
    <row r="10" spans="1:11">
      <c r="A10" s="4">
        <v>8</v>
      </c>
      <c r="B10" s="5"/>
      <c r="C10" s="5"/>
      <c r="D10" s="5"/>
      <c r="E10" s="5"/>
      <c r="F10" s="5"/>
      <c r="G10" s="5"/>
      <c r="H10" s="5"/>
      <c r="I10" s="5"/>
      <c r="J10" s="6" t="str">
        <f t="shared" si="0"/>
        <v/>
      </c>
      <c r="K10" s="6" t="str">
        <f t="shared" si="1"/>
        <v/>
      </c>
    </row>
    <row r="11" spans="1:11">
      <c r="A11" s="4">
        <v>9</v>
      </c>
      <c r="B11" s="5"/>
      <c r="C11" s="5"/>
      <c r="D11" s="5"/>
      <c r="E11" s="5"/>
      <c r="F11" s="5"/>
      <c r="G11" s="5"/>
      <c r="H11" s="5"/>
      <c r="I11" s="5"/>
      <c r="J11" s="6" t="str">
        <f t="shared" si="0"/>
        <v/>
      </c>
      <c r="K11" s="6" t="str">
        <f t="shared" si="1"/>
        <v/>
      </c>
    </row>
    <row r="12" spans="1:11">
      <c r="A12" s="4">
        <v>10</v>
      </c>
      <c r="B12" s="5"/>
      <c r="C12" s="5"/>
      <c r="D12" s="5"/>
      <c r="E12" s="5"/>
      <c r="F12" s="5"/>
      <c r="G12" s="5"/>
      <c r="H12" s="5"/>
      <c r="I12" s="5"/>
      <c r="J12" s="6" t="str">
        <f t="shared" si="0"/>
        <v/>
      </c>
      <c r="K12" s="6" t="str">
        <f t="shared" si="1"/>
        <v/>
      </c>
    </row>
    <row r="13" spans="1:11">
      <c r="A13" s="4">
        <v>11</v>
      </c>
      <c r="B13" s="5"/>
      <c r="C13" s="5"/>
      <c r="D13" s="5"/>
      <c r="E13" s="5"/>
      <c r="F13" s="5"/>
      <c r="G13" s="5"/>
      <c r="H13" s="5"/>
      <c r="I13" s="5"/>
      <c r="J13" s="6" t="str">
        <f t="shared" si="0"/>
        <v/>
      </c>
      <c r="K13" s="6" t="str">
        <f t="shared" si="1"/>
        <v/>
      </c>
    </row>
    <row r="14" spans="1:11">
      <c r="A14" s="4">
        <v>12</v>
      </c>
      <c r="B14" s="5"/>
      <c r="C14" s="5"/>
      <c r="D14" s="5"/>
      <c r="E14" s="5"/>
      <c r="F14" s="5"/>
      <c r="G14" s="5"/>
      <c r="H14" s="5"/>
      <c r="I14" s="5"/>
      <c r="J14" s="6" t="str">
        <f t="shared" si="0"/>
        <v/>
      </c>
      <c r="K14" s="6" t="str">
        <f t="shared" si="1"/>
        <v/>
      </c>
    </row>
    <row r="15" spans="1:11">
      <c r="A15" s="4">
        <v>13</v>
      </c>
      <c r="B15" s="5"/>
      <c r="C15" s="5"/>
      <c r="D15" s="5"/>
      <c r="E15" s="5"/>
      <c r="F15" s="5"/>
      <c r="G15" s="5"/>
      <c r="H15" s="5"/>
      <c r="I15" s="5"/>
      <c r="J15" s="6" t="str">
        <f t="shared" si="0"/>
        <v/>
      </c>
      <c r="K15" s="6" t="str">
        <f t="shared" si="1"/>
        <v/>
      </c>
    </row>
    <row r="16" spans="1:11">
      <c r="A16" s="4">
        <v>14</v>
      </c>
      <c r="B16" s="5"/>
      <c r="C16" s="5"/>
      <c r="D16" s="5"/>
      <c r="E16" s="5"/>
      <c r="F16" s="5"/>
      <c r="G16" s="5"/>
      <c r="H16" s="5"/>
      <c r="I16" s="5"/>
      <c r="J16" s="6" t="str">
        <f t="shared" si="0"/>
        <v/>
      </c>
      <c r="K16" s="6" t="str">
        <f t="shared" si="1"/>
        <v/>
      </c>
    </row>
    <row r="17" spans="1:11">
      <c r="A17" s="4">
        <v>15</v>
      </c>
      <c r="B17" s="5"/>
      <c r="C17" s="5"/>
      <c r="D17" s="5"/>
      <c r="E17" s="5"/>
      <c r="F17" s="5"/>
      <c r="G17" s="5"/>
      <c r="H17" s="5"/>
      <c r="I17" s="5"/>
      <c r="J17" s="6" t="str">
        <f t="shared" si="0"/>
        <v/>
      </c>
      <c r="K17" s="6" t="str">
        <f t="shared" si="1"/>
        <v/>
      </c>
    </row>
    <row r="18" spans="1:11">
      <c r="A18" s="4">
        <v>16</v>
      </c>
      <c r="B18" s="5"/>
      <c r="C18" s="5"/>
      <c r="D18" s="5"/>
      <c r="E18" s="5"/>
      <c r="F18" s="5"/>
      <c r="G18" s="5"/>
      <c r="H18" s="5"/>
      <c r="I18" s="5"/>
      <c r="J18" s="6" t="str">
        <f t="shared" si="0"/>
        <v/>
      </c>
      <c r="K18" s="6" t="str">
        <f t="shared" si="1"/>
        <v/>
      </c>
    </row>
    <row r="19" spans="1:11">
      <c r="A19" s="4">
        <v>17</v>
      </c>
      <c r="B19" s="5"/>
      <c r="C19" s="5"/>
      <c r="D19" s="5"/>
      <c r="E19" s="5"/>
      <c r="F19" s="5"/>
      <c r="G19" s="5"/>
      <c r="H19" s="5"/>
      <c r="I19" s="5"/>
      <c r="J19" s="6" t="str">
        <f t="shared" si="0"/>
        <v/>
      </c>
      <c r="K19" s="6" t="str">
        <f t="shared" si="1"/>
        <v/>
      </c>
    </row>
    <row r="20" spans="1:11">
      <c r="A20" s="4">
        <v>18</v>
      </c>
      <c r="B20" s="5"/>
      <c r="C20" s="5"/>
      <c r="D20" s="5"/>
      <c r="E20" s="5"/>
      <c r="F20" s="5"/>
      <c r="G20" s="5"/>
      <c r="H20" s="5"/>
      <c r="I20" s="5"/>
      <c r="J20" s="6" t="str">
        <f t="shared" si="0"/>
        <v/>
      </c>
      <c r="K20" s="6" t="str">
        <f t="shared" si="1"/>
        <v/>
      </c>
    </row>
    <row r="21" spans="1:11">
      <c r="A21" s="4">
        <v>19</v>
      </c>
      <c r="B21" s="5"/>
      <c r="C21" s="5"/>
      <c r="D21" s="5"/>
      <c r="E21" s="5"/>
      <c r="F21" s="5"/>
      <c r="G21" s="5"/>
      <c r="H21" s="5"/>
      <c r="I21" s="5"/>
      <c r="J21" s="6" t="str">
        <f t="shared" si="0"/>
        <v/>
      </c>
      <c r="K21" s="6" t="str">
        <f t="shared" si="1"/>
        <v/>
      </c>
    </row>
    <row r="22" spans="1:11">
      <c r="A22" s="4">
        <v>20</v>
      </c>
      <c r="B22" s="5"/>
      <c r="C22" s="5"/>
      <c r="D22" s="5"/>
      <c r="E22" s="5"/>
      <c r="F22" s="5"/>
      <c r="G22" s="5"/>
      <c r="H22" s="5"/>
      <c r="I22" s="5"/>
      <c r="J22" s="6" t="str">
        <f t="shared" si="0"/>
        <v/>
      </c>
      <c r="K22" s="6" t="str">
        <f t="shared" si="1"/>
        <v/>
      </c>
    </row>
    <row r="23" spans="1:11">
      <c r="A23" s="4">
        <v>21</v>
      </c>
      <c r="B23" s="5"/>
      <c r="C23" s="5"/>
      <c r="D23" s="5"/>
      <c r="E23" s="5"/>
      <c r="F23" s="5"/>
      <c r="G23" s="5"/>
      <c r="H23" s="5"/>
      <c r="I23" s="5"/>
      <c r="J23" s="6" t="str">
        <f t="shared" si="0"/>
        <v/>
      </c>
      <c r="K23" s="6" t="str">
        <f t="shared" si="1"/>
        <v/>
      </c>
    </row>
    <row r="24" spans="1:11">
      <c r="A24" s="4">
        <v>22</v>
      </c>
      <c r="B24" s="5"/>
      <c r="C24" s="5"/>
      <c r="D24" s="5"/>
      <c r="E24" s="5"/>
      <c r="F24" s="5"/>
      <c r="G24" s="5"/>
      <c r="H24" s="5"/>
      <c r="I24" s="5"/>
      <c r="J24" s="6" t="str">
        <f t="shared" si="0"/>
        <v/>
      </c>
      <c r="K24" s="6" t="str">
        <f t="shared" si="1"/>
        <v/>
      </c>
    </row>
    <row r="25" spans="1:11">
      <c r="A25" s="4">
        <v>23</v>
      </c>
      <c r="B25" s="5"/>
      <c r="C25" s="5"/>
      <c r="D25" s="5"/>
      <c r="E25" s="5"/>
      <c r="F25" s="5"/>
      <c r="G25" s="5"/>
      <c r="H25" s="5"/>
      <c r="I25" s="5"/>
      <c r="J25" s="6" t="str">
        <f t="shared" si="0"/>
        <v/>
      </c>
      <c r="K25" s="6" t="str">
        <f t="shared" si="1"/>
        <v/>
      </c>
    </row>
    <row r="26" spans="1:11">
      <c r="A26" s="4">
        <v>24</v>
      </c>
      <c r="B26" s="5"/>
      <c r="C26" s="5"/>
      <c r="D26" s="5"/>
      <c r="E26" s="5"/>
      <c r="F26" s="5"/>
      <c r="G26" s="5"/>
      <c r="H26" s="5"/>
      <c r="I26" s="5"/>
      <c r="J26" s="6" t="str">
        <f t="shared" si="0"/>
        <v/>
      </c>
      <c r="K26" s="6" t="str">
        <f t="shared" si="1"/>
        <v/>
      </c>
    </row>
    <row r="27" spans="1:11">
      <c r="A27" s="4">
        <v>25</v>
      </c>
      <c r="B27" s="5"/>
      <c r="C27" s="5"/>
      <c r="D27" s="5"/>
      <c r="E27" s="5"/>
      <c r="F27" s="5"/>
      <c r="G27" s="5"/>
      <c r="H27" s="5"/>
      <c r="I27" s="5"/>
      <c r="J27" s="6" t="str">
        <f t="shared" si="0"/>
        <v/>
      </c>
      <c r="K27" s="6" t="str">
        <f t="shared" si="1"/>
        <v/>
      </c>
    </row>
    <row r="28" spans="1:11">
      <c r="A28" s="4">
        <v>26</v>
      </c>
      <c r="B28" s="5"/>
      <c r="C28" s="5"/>
      <c r="D28" s="5"/>
      <c r="E28" s="5"/>
      <c r="F28" s="5"/>
      <c r="G28" s="5"/>
      <c r="H28" s="5"/>
      <c r="I28" s="5"/>
      <c r="J28" s="6" t="str">
        <f t="shared" si="0"/>
        <v/>
      </c>
      <c r="K28" s="6" t="str">
        <f t="shared" si="1"/>
        <v/>
      </c>
    </row>
    <row r="29" spans="1:11">
      <c r="A29" s="4">
        <v>27</v>
      </c>
      <c r="B29" s="5"/>
      <c r="C29" s="5"/>
      <c r="D29" s="5"/>
      <c r="E29" s="5"/>
      <c r="F29" s="5"/>
      <c r="G29" s="5"/>
      <c r="H29" s="5"/>
      <c r="I29" s="5"/>
      <c r="J29" s="6" t="str">
        <f t="shared" si="0"/>
        <v/>
      </c>
      <c r="K29" s="6" t="str">
        <f t="shared" si="1"/>
        <v/>
      </c>
    </row>
    <row r="30" spans="1:11">
      <c r="A30" s="4">
        <v>28</v>
      </c>
      <c r="B30" s="5"/>
      <c r="C30" s="5"/>
      <c r="D30" s="5"/>
      <c r="E30" s="5"/>
      <c r="F30" s="5"/>
      <c r="G30" s="5"/>
      <c r="H30" s="5"/>
      <c r="I30" s="5"/>
      <c r="J30" s="6" t="str">
        <f t="shared" si="0"/>
        <v/>
      </c>
      <c r="K30" s="6" t="str">
        <f t="shared" si="1"/>
        <v/>
      </c>
    </row>
    <row r="31" spans="1:11">
      <c r="A31" s="4">
        <v>29</v>
      </c>
      <c r="B31" s="5"/>
      <c r="C31" s="5"/>
      <c r="D31" s="5"/>
      <c r="E31" s="5"/>
      <c r="F31" s="5"/>
      <c r="G31" s="5"/>
      <c r="H31" s="5"/>
      <c r="I31" s="5"/>
      <c r="J31" s="6" t="str">
        <f t="shared" si="0"/>
        <v/>
      </c>
      <c r="K31" s="6" t="str">
        <f t="shared" si="1"/>
        <v/>
      </c>
    </row>
    <row r="32" spans="1:11">
      <c r="A32" s="4">
        <v>30</v>
      </c>
      <c r="B32" s="5"/>
      <c r="C32" s="5"/>
      <c r="D32" s="5"/>
      <c r="E32" s="5"/>
      <c r="F32" s="5"/>
      <c r="G32" s="5"/>
      <c r="H32" s="5"/>
      <c r="I32" s="5"/>
      <c r="J32" s="6" t="str">
        <f t="shared" si="0"/>
        <v/>
      </c>
      <c r="K32" s="6" t="str">
        <f t="shared" si="1"/>
        <v/>
      </c>
    </row>
    <row r="33" spans="1:11">
      <c r="A33" s="4">
        <v>31</v>
      </c>
      <c r="B33" s="5"/>
      <c r="C33" s="5"/>
      <c r="D33" s="5"/>
      <c r="E33" s="5"/>
      <c r="F33" s="5"/>
      <c r="G33" s="5"/>
      <c r="H33" s="5"/>
      <c r="I33" s="5"/>
      <c r="J33" s="6" t="str">
        <f t="shared" si="0"/>
        <v/>
      </c>
      <c r="K33" s="6" t="str">
        <f t="shared" si="1"/>
        <v/>
      </c>
    </row>
    <row r="34" spans="1:11">
      <c r="A34" s="4">
        <v>32</v>
      </c>
      <c r="B34" s="5"/>
      <c r="C34" s="5"/>
      <c r="D34" s="5"/>
      <c r="E34" s="5"/>
      <c r="F34" s="5"/>
      <c r="G34" s="5"/>
      <c r="H34" s="5"/>
      <c r="I34" s="5"/>
      <c r="J34" s="6" t="str">
        <f t="shared" si="0"/>
        <v/>
      </c>
      <c r="K34" s="6" t="str">
        <f t="shared" si="1"/>
        <v/>
      </c>
    </row>
    <row r="35" spans="1:11">
      <c r="A35" s="4">
        <v>33</v>
      </c>
      <c r="B35" s="5"/>
      <c r="C35" s="5"/>
      <c r="D35" s="5"/>
      <c r="E35" s="5"/>
      <c r="F35" s="5"/>
      <c r="G35" s="5"/>
      <c r="H35" s="5"/>
      <c r="I35" s="5"/>
      <c r="J35" s="6" t="str">
        <f t="shared" ref="J35:J66" si="2">IF(COUNTA(B35:I35)=0,"",ROUND(AVERAGE(G35,6-H35,I35),2))</f>
        <v/>
      </c>
      <c r="K35" s="6" t="str">
        <f t="shared" ref="K35:K66" si="3">IF(J35="","",IF(J35&gt;=4,"Включить",IF(J35&gt;=3,"Проверить","Не основной")))</f>
        <v/>
      </c>
    </row>
    <row r="36" spans="1:11">
      <c r="A36" s="4">
        <v>34</v>
      </c>
      <c r="B36" s="5"/>
      <c r="C36" s="5"/>
      <c r="D36" s="5"/>
      <c r="E36" s="5"/>
      <c r="F36" s="5"/>
      <c r="G36" s="5"/>
      <c r="H36" s="5"/>
      <c r="I36" s="5"/>
      <c r="J36" s="6" t="str">
        <f t="shared" si="2"/>
        <v/>
      </c>
      <c r="K36" s="6" t="str">
        <f t="shared" si="3"/>
        <v/>
      </c>
    </row>
    <row r="37" spans="1:11">
      <c r="A37" s="4">
        <v>35</v>
      </c>
      <c r="B37" s="5"/>
      <c r="C37" s="5"/>
      <c r="D37" s="5"/>
      <c r="E37" s="5"/>
      <c r="F37" s="5"/>
      <c r="G37" s="5"/>
      <c r="H37" s="5"/>
      <c r="I37" s="5"/>
      <c r="J37" s="6" t="str">
        <f t="shared" si="2"/>
        <v/>
      </c>
      <c r="K37" s="6" t="str">
        <f t="shared" si="3"/>
        <v/>
      </c>
    </row>
    <row r="38" spans="1:11">
      <c r="A38" s="4">
        <v>36</v>
      </c>
      <c r="B38" s="5"/>
      <c r="C38" s="5"/>
      <c r="D38" s="5"/>
      <c r="E38" s="5"/>
      <c r="F38" s="5"/>
      <c r="G38" s="5"/>
      <c r="H38" s="5"/>
      <c r="I38" s="5"/>
      <c r="J38" s="6" t="str">
        <f t="shared" si="2"/>
        <v/>
      </c>
      <c r="K38" s="6" t="str">
        <f t="shared" si="3"/>
        <v/>
      </c>
    </row>
    <row r="39" spans="1:11">
      <c r="A39" s="4">
        <v>37</v>
      </c>
      <c r="B39" s="5"/>
      <c r="C39" s="5"/>
      <c r="D39" s="5"/>
      <c r="E39" s="5"/>
      <c r="F39" s="5"/>
      <c r="G39" s="5"/>
      <c r="H39" s="5"/>
      <c r="I39" s="5"/>
      <c r="J39" s="6" t="str">
        <f t="shared" si="2"/>
        <v/>
      </c>
      <c r="K39" s="6" t="str">
        <f t="shared" si="3"/>
        <v/>
      </c>
    </row>
    <row r="40" spans="1:11">
      <c r="A40" s="4">
        <v>38</v>
      </c>
      <c r="B40" s="5"/>
      <c r="C40" s="5"/>
      <c r="D40" s="5"/>
      <c r="E40" s="5"/>
      <c r="F40" s="5"/>
      <c r="G40" s="5"/>
      <c r="H40" s="5"/>
      <c r="I40" s="5"/>
      <c r="J40" s="6" t="str">
        <f t="shared" si="2"/>
        <v/>
      </c>
      <c r="K40" s="6" t="str">
        <f t="shared" si="3"/>
        <v/>
      </c>
    </row>
    <row r="41" spans="1:11">
      <c r="A41" s="4">
        <v>39</v>
      </c>
      <c r="B41" s="5"/>
      <c r="C41" s="5"/>
      <c r="D41" s="5"/>
      <c r="E41" s="5"/>
      <c r="F41" s="5"/>
      <c r="G41" s="5"/>
      <c r="H41" s="5"/>
      <c r="I41" s="5"/>
      <c r="J41" s="6" t="str">
        <f t="shared" si="2"/>
        <v/>
      </c>
      <c r="K41" s="6" t="str">
        <f t="shared" si="3"/>
        <v/>
      </c>
    </row>
    <row r="42" spans="1:11">
      <c r="A42" s="4">
        <v>40</v>
      </c>
      <c r="B42" s="5"/>
      <c r="C42" s="5"/>
      <c r="D42" s="5"/>
      <c r="E42" s="5"/>
      <c r="F42" s="5"/>
      <c r="G42" s="5"/>
      <c r="H42" s="5"/>
      <c r="I42" s="5"/>
      <c r="J42" s="6" t="str">
        <f t="shared" si="2"/>
        <v/>
      </c>
      <c r="K42" s="6" t="str">
        <f t="shared" si="3"/>
        <v/>
      </c>
    </row>
    <row r="43" spans="1:11">
      <c r="A43" s="4">
        <v>41</v>
      </c>
      <c r="B43" s="5"/>
      <c r="C43" s="5"/>
      <c r="D43" s="5"/>
      <c r="E43" s="5"/>
      <c r="F43" s="5"/>
      <c r="G43" s="5"/>
      <c r="H43" s="5"/>
      <c r="I43" s="5"/>
      <c r="J43" s="6" t="str">
        <f t="shared" si="2"/>
        <v/>
      </c>
      <c r="K43" s="6" t="str">
        <f t="shared" si="3"/>
        <v/>
      </c>
    </row>
    <row r="44" spans="1:11">
      <c r="A44" s="4">
        <v>42</v>
      </c>
      <c r="B44" s="5"/>
      <c r="C44" s="5"/>
      <c r="D44" s="5"/>
      <c r="E44" s="5"/>
      <c r="F44" s="5"/>
      <c r="G44" s="5"/>
      <c r="H44" s="5"/>
      <c r="I44" s="5"/>
      <c r="J44" s="6" t="str">
        <f t="shared" si="2"/>
        <v/>
      </c>
      <c r="K44" s="6" t="str">
        <f t="shared" si="3"/>
        <v/>
      </c>
    </row>
    <row r="45" spans="1:11">
      <c r="A45" s="4">
        <v>43</v>
      </c>
      <c r="B45" s="5"/>
      <c r="C45" s="5"/>
      <c r="D45" s="5"/>
      <c r="E45" s="5"/>
      <c r="F45" s="5"/>
      <c r="G45" s="5"/>
      <c r="H45" s="5"/>
      <c r="I45" s="5"/>
      <c r="J45" s="6" t="str">
        <f t="shared" si="2"/>
        <v/>
      </c>
      <c r="K45" s="6" t="str">
        <f t="shared" si="3"/>
        <v/>
      </c>
    </row>
    <row r="46" spans="1:11">
      <c r="A46" s="4">
        <v>44</v>
      </c>
      <c r="B46" s="5"/>
      <c r="C46" s="5"/>
      <c r="D46" s="5"/>
      <c r="E46" s="5"/>
      <c r="F46" s="5"/>
      <c r="G46" s="5"/>
      <c r="H46" s="5"/>
      <c r="I46" s="5"/>
      <c r="J46" s="6" t="str">
        <f t="shared" si="2"/>
        <v/>
      </c>
      <c r="K46" s="6" t="str">
        <f t="shared" si="3"/>
        <v/>
      </c>
    </row>
    <row r="47" spans="1:11">
      <c r="A47" s="4">
        <v>45</v>
      </c>
      <c r="B47" s="5"/>
      <c r="C47" s="5"/>
      <c r="D47" s="5"/>
      <c r="E47" s="5"/>
      <c r="F47" s="5"/>
      <c r="G47" s="5"/>
      <c r="H47" s="5"/>
      <c r="I47" s="5"/>
      <c r="J47" s="6" t="str">
        <f t="shared" si="2"/>
        <v/>
      </c>
      <c r="K47" s="6" t="str">
        <f t="shared" si="3"/>
        <v/>
      </c>
    </row>
    <row r="48" spans="1:11">
      <c r="A48" s="4">
        <v>46</v>
      </c>
      <c r="B48" s="5"/>
      <c r="C48" s="5"/>
      <c r="D48" s="5"/>
      <c r="E48" s="5"/>
      <c r="F48" s="5"/>
      <c r="G48" s="5"/>
      <c r="H48" s="5"/>
      <c r="I48" s="5"/>
      <c r="J48" s="6" t="str">
        <f t="shared" si="2"/>
        <v/>
      </c>
      <c r="K48" s="6" t="str">
        <f t="shared" si="3"/>
        <v/>
      </c>
    </row>
    <row r="49" spans="1:11">
      <c r="A49" s="4">
        <v>47</v>
      </c>
      <c r="B49" s="5"/>
      <c r="C49" s="5"/>
      <c r="D49" s="5"/>
      <c r="E49" s="5"/>
      <c r="F49" s="5"/>
      <c r="G49" s="5"/>
      <c r="H49" s="5"/>
      <c r="I49" s="5"/>
      <c r="J49" s="6" t="str">
        <f t="shared" si="2"/>
        <v/>
      </c>
      <c r="K49" s="6" t="str">
        <f t="shared" si="3"/>
        <v/>
      </c>
    </row>
    <row r="50" spans="1:11">
      <c r="A50" s="4">
        <v>48</v>
      </c>
      <c r="B50" s="5"/>
      <c r="C50" s="5"/>
      <c r="D50" s="5"/>
      <c r="E50" s="5"/>
      <c r="F50" s="5"/>
      <c r="G50" s="5"/>
      <c r="H50" s="5"/>
      <c r="I50" s="5"/>
      <c r="J50" s="6" t="str">
        <f t="shared" si="2"/>
        <v/>
      </c>
      <c r="K50" s="6" t="str">
        <f t="shared" si="3"/>
        <v/>
      </c>
    </row>
    <row r="51" spans="1:11">
      <c r="A51" s="4">
        <v>49</v>
      </c>
      <c r="B51" s="5"/>
      <c r="C51" s="5"/>
      <c r="D51" s="5"/>
      <c r="E51" s="5"/>
      <c r="F51" s="5"/>
      <c r="G51" s="5"/>
      <c r="H51" s="5"/>
      <c r="I51" s="5"/>
      <c r="J51" s="6" t="str">
        <f t="shared" si="2"/>
        <v/>
      </c>
      <c r="K51" s="6" t="str">
        <f t="shared" si="3"/>
        <v/>
      </c>
    </row>
    <row r="52" spans="1:11">
      <c r="A52" s="4">
        <v>50</v>
      </c>
      <c r="B52" s="5"/>
      <c r="C52" s="5"/>
      <c r="D52" s="5"/>
      <c r="E52" s="5"/>
      <c r="F52" s="5"/>
      <c r="G52" s="5"/>
      <c r="H52" s="5"/>
      <c r="I52" s="5"/>
      <c r="J52" s="6" t="str">
        <f t="shared" si="2"/>
        <v/>
      </c>
      <c r="K52" s="6" t="str">
        <f t="shared" si="3"/>
        <v/>
      </c>
    </row>
    <row r="53" spans="1:11">
      <c r="A53" s="4">
        <v>51</v>
      </c>
      <c r="B53" s="5"/>
      <c r="C53" s="5"/>
      <c r="D53" s="5"/>
      <c r="E53" s="5"/>
      <c r="F53" s="5"/>
      <c r="G53" s="5"/>
      <c r="H53" s="5"/>
      <c r="I53" s="5"/>
      <c r="J53" s="6" t="str">
        <f t="shared" si="2"/>
        <v/>
      </c>
      <c r="K53" s="6" t="str">
        <f t="shared" si="3"/>
        <v/>
      </c>
    </row>
    <row r="54" spans="1:11">
      <c r="A54" s="4">
        <v>52</v>
      </c>
      <c r="B54" s="5"/>
      <c r="C54" s="5"/>
      <c r="D54" s="5"/>
      <c r="E54" s="5"/>
      <c r="F54" s="5"/>
      <c r="G54" s="5"/>
      <c r="H54" s="5"/>
      <c r="I54" s="5"/>
      <c r="J54" s="6" t="str">
        <f t="shared" si="2"/>
        <v/>
      </c>
      <c r="K54" s="6" t="str">
        <f t="shared" si="3"/>
        <v/>
      </c>
    </row>
    <row r="55" spans="1:11">
      <c r="A55" s="4">
        <v>53</v>
      </c>
      <c r="B55" s="5"/>
      <c r="C55" s="5"/>
      <c r="D55" s="5"/>
      <c r="E55" s="5"/>
      <c r="F55" s="5"/>
      <c r="G55" s="5"/>
      <c r="H55" s="5"/>
      <c r="I55" s="5"/>
      <c r="J55" s="6" t="str">
        <f t="shared" si="2"/>
        <v/>
      </c>
      <c r="K55" s="6" t="str">
        <f t="shared" si="3"/>
        <v/>
      </c>
    </row>
    <row r="56" spans="1:11">
      <c r="A56" s="4">
        <v>54</v>
      </c>
      <c r="B56" s="5"/>
      <c r="C56" s="5"/>
      <c r="D56" s="5"/>
      <c r="E56" s="5"/>
      <c r="F56" s="5"/>
      <c r="G56" s="5"/>
      <c r="H56" s="5"/>
      <c r="I56" s="5"/>
      <c r="J56" s="6" t="str">
        <f t="shared" si="2"/>
        <v/>
      </c>
      <c r="K56" s="6" t="str">
        <f t="shared" si="3"/>
        <v/>
      </c>
    </row>
    <row r="57" spans="1:11">
      <c r="A57" s="4">
        <v>55</v>
      </c>
      <c r="B57" s="5"/>
      <c r="C57" s="5"/>
      <c r="D57" s="5"/>
      <c r="E57" s="5"/>
      <c r="F57" s="5"/>
      <c r="G57" s="5"/>
      <c r="H57" s="5"/>
      <c r="I57" s="5"/>
      <c r="J57" s="6" t="str">
        <f t="shared" si="2"/>
        <v/>
      </c>
      <c r="K57" s="6" t="str">
        <f t="shared" si="3"/>
        <v/>
      </c>
    </row>
    <row r="58" spans="1:11">
      <c r="A58" s="4">
        <v>56</v>
      </c>
      <c r="B58" s="5"/>
      <c r="C58" s="5"/>
      <c r="D58" s="5"/>
      <c r="E58" s="5"/>
      <c r="F58" s="5"/>
      <c r="G58" s="5"/>
      <c r="H58" s="5"/>
      <c r="I58" s="5"/>
      <c r="J58" s="6" t="str">
        <f t="shared" si="2"/>
        <v/>
      </c>
      <c r="K58" s="6" t="str">
        <f t="shared" si="3"/>
        <v/>
      </c>
    </row>
    <row r="59" spans="1:11">
      <c r="A59" s="4">
        <v>57</v>
      </c>
      <c r="B59" s="5"/>
      <c r="C59" s="5"/>
      <c r="D59" s="5"/>
      <c r="E59" s="5"/>
      <c r="F59" s="5"/>
      <c r="G59" s="5"/>
      <c r="H59" s="5"/>
      <c r="I59" s="5"/>
      <c r="J59" s="6" t="str">
        <f t="shared" si="2"/>
        <v/>
      </c>
      <c r="K59" s="6" t="str">
        <f t="shared" si="3"/>
        <v/>
      </c>
    </row>
    <row r="60" spans="1:11">
      <c r="A60" s="4">
        <v>58</v>
      </c>
      <c r="B60" s="5"/>
      <c r="C60" s="5"/>
      <c r="D60" s="5"/>
      <c r="E60" s="5"/>
      <c r="F60" s="5"/>
      <c r="G60" s="5"/>
      <c r="H60" s="5"/>
      <c r="I60" s="5"/>
      <c r="J60" s="6" t="str">
        <f t="shared" si="2"/>
        <v/>
      </c>
      <c r="K60" s="6" t="str">
        <f t="shared" si="3"/>
        <v/>
      </c>
    </row>
    <row r="61" spans="1:11">
      <c r="A61" s="4">
        <v>59</v>
      </c>
      <c r="B61" s="5"/>
      <c r="C61" s="5"/>
      <c r="D61" s="5"/>
      <c r="E61" s="5"/>
      <c r="F61" s="5"/>
      <c r="G61" s="5"/>
      <c r="H61" s="5"/>
      <c r="I61" s="5"/>
      <c r="J61" s="6" t="str">
        <f t="shared" si="2"/>
        <v/>
      </c>
      <c r="K61" s="6" t="str">
        <f t="shared" si="3"/>
        <v/>
      </c>
    </row>
    <row r="62" spans="1:11">
      <c r="A62" s="4">
        <v>60</v>
      </c>
      <c r="B62" s="5"/>
      <c r="C62" s="5"/>
      <c r="D62" s="5"/>
      <c r="E62" s="5"/>
      <c r="F62" s="5"/>
      <c r="G62" s="5"/>
      <c r="H62" s="5"/>
      <c r="I62" s="5"/>
      <c r="J62" s="6" t="str">
        <f t="shared" si="2"/>
        <v/>
      </c>
      <c r="K62" s="6" t="str">
        <f t="shared" si="3"/>
        <v/>
      </c>
    </row>
    <row r="63" spans="1:11">
      <c r="A63" s="4">
        <v>61</v>
      </c>
      <c r="B63" s="5"/>
      <c r="C63" s="5"/>
      <c r="D63" s="5"/>
      <c r="E63" s="5"/>
      <c r="F63" s="5"/>
      <c r="G63" s="5"/>
      <c r="H63" s="5"/>
      <c r="I63" s="5"/>
      <c r="J63" s="6" t="str">
        <f t="shared" si="2"/>
        <v/>
      </c>
      <c r="K63" s="6" t="str">
        <f t="shared" si="3"/>
        <v/>
      </c>
    </row>
    <row r="64" spans="1:11">
      <c r="A64" s="4">
        <v>62</v>
      </c>
      <c r="B64" s="5"/>
      <c r="C64" s="5"/>
      <c r="D64" s="5"/>
      <c r="E64" s="5"/>
      <c r="F64" s="5"/>
      <c r="G64" s="5"/>
      <c r="H64" s="5"/>
      <c r="I64" s="5"/>
      <c r="J64" s="6" t="str">
        <f t="shared" si="2"/>
        <v/>
      </c>
      <c r="K64" s="6" t="str">
        <f t="shared" si="3"/>
        <v/>
      </c>
    </row>
    <row r="65" spans="1:11">
      <c r="A65" s="4">
        <v>63</v>
      </c>
      <c r="B65" s="5"/>
      <c r="C65" s="5"/>
      <c r="D65" s="5"/>
      <c r="E65" s="5"/>
      <c r="F65" s="5"/>
      <c r="G65" s="5"/>
      <c r="H65" s="5"/>
      <c r="I65" s="5"/>
      <c r="J65" s="6" t="str">
        <f t="shared" si="2"/>
        <v/>
      </c>
      <c r="K65" s="6" t="str">
        <f t="shared" si="3"/>
        <v/>
      </c>
    </row>
    <row r="66" spans="1:11">
      <c r="A66" s="4">
        <v>64</v>
      </c>
      <c r="B66" s="5"/>
      <c r="C66" s="5"/>
      <c r="D66" s="5"/>
      <c r="E66" s="5"/>
      <c r="F66" s="5"/>
      <c r="G66" s="5"/>
      <c r="H66" s="5"/>
      <c r="I66" s="5"/>
      <c r="J66" s="6" t="str">
        <f t="shared" si="2"/>
        <v/>
      </c>
      <c r="K66" s="6" t="str">
        <f t="shared" si="3"/>
        <v/>
      </c>
    </row>
    <row r="67" spans="1:11">
      <c r="A67" s="4">
        <v>65</v>
      </c>
      <c r="B67" s="5"/>
      <c r="C67" s="5"/>
      <c r="D67" s="5"/>
      <c r="E67" s="5"/>
      <c r="F67" s="5"/>
      <c r="G67" s="5"/>
      <c r="H67" s="5"/>
      <c r="I67" s="5"/>
      <c r="J67" s="6" t="str">
        <f t="shared" ref="J67:J98" si="4">IF(COUNTA(B67:I67)=0,"",ROUND(AVERAGE(G67,6-H67,I67),2))</f>
        <v/>
      </c>
      <c r="K67" s="6" t="str">
        <f t="shared" ref="K67:K98" si="5">IF(J67="","",IF(J67&gt;=4,"Включить",IF(J67&gt;=3,"Проверить","Не основной")))</f>
        <v/>
      </c>
    </row>
    <row r="68" spans="1:11">
      <c r="A68" s="4">
        <v>66</v>
      </c>
      <c r="B68" s="5"/>
      <c r="C68" s="5"/>
      <c r="D68" s="5"/>
      <c r="E68" s="5"/>
      <c r="F68" s="5"/>
      <c r="G68" s="5"/>
      <c r="H68" s="5"/>
      <c r="I68" s="5"/>
      <c r="J68" s="6" t="str">
        <f t="shared" si="4"/>
        <v/>
      </c>
      <c r="K68" s="6" t="str">
        <f t="shared" si="5"/>
        <v/>
      </c>
    </row>
    <row r="69" spans="1:11">
      <c r="A69" s="4">
        <v>67</v>
      </c>
      <c r="B69" s="5"/>
      <c r="C69" s="5"/>
      <c r="D69" s="5"/>
      <c r="E69" s="5"/>
      <c r="F69" s="5"/>
      <c r="G69" s="5"/>
      <c r="H69" s="5"/>
      <c r="I69" s="5"/>
      <c r="J69" s="6" t="str">
        <f t="shared" si="4"/>
        <v/>
      </c>
      <c r="K69" s="6" t="str">
        <f t="shared" si="5"/>
        <v/>
      </c>
    </row>
    <row r="70" spans="1:11">
      <c r="A70" s="4">
        <v>68</v>
      </c>
      <c r="B70" s="5"/>
      <c r="C70" s="5"/>
      <c r="D70" s="5"/>
      <c r="E70" s="5"/>
      <c r="F70" s="5"/>
      <c r="G70" s="5"/>
      <c r="H70" s="5"/>
      <c r="I70" s="5"/>
      <c r="J70" s="6" t="str">
        <f t="shared" si="4"/>
        <v/>
      </c>
      <c r="K70" s="6" t="str">
        <f t="shared" si="5"/>
        <v/>
      </c>
    </row>
    <row r="71" spans="1:11">
      <c r="A71" s="4">
        <v>69</v>
      </c>
      <c r="B71" s="5"/>
      <c r="C71" s="5"/>
      <c r="D71" s="5"/>
      <c r="E71" s="5"/>
      <c r="F71" s="5"/>
      <c r="G71" s="5"/>
      <c r="H71" s="5"/>
      <c r="I71" s="5"/>
      <c r="J71" s="6" t="str">
        <f t="shared" si="4"/>
        <v/>
      </c>
      <c r="K71" s="6" t="str">
        <f t="shared" si="5"/>
        <v/>
      </c>
    </row>
    <row r="72" spans="1:11">
      <c r="A72" s="4">
        <v>70</v>
      </c>
      <c r="B72" s="5"/>
      <c r="C72" s="5"/>
      <c r="D72" s="5"/>
      <c r="E72" s="5"/>
      <c r="F72" s="5"/>
      <c r="G72" s="5"/>
      <c r="H72" s="5"/>
      <c r="I72" s="5"/>
      <c r="J72" s="6" t="str">
        <f t="shared" si="4"/>
        <v/>
      </c>
      <c r="K72" s="6" t="str">
        <f t="shared" si="5"/>
        <v/>
      </c>
    </row>
    <row r="73" spans="1:11">
      <c r="A73" s="4">
        <v>71</v>
      </c>
      <c r="B73" s="5"/>
      <c r="C73" s="5"/>
      <c r="D73" s="5"/>
      <c r="E73" s="5"/>
      <c r="F73" s="5"/>
      <c r="G73" s="5"/>
      <c r="H73" s="5"/>
      <c r="I73" s="5"/>
      <c r="J73" s="6" t="str">
        <f t="shared" si="4"/>
        <v/>
      </c>
      <c r="K73" s="6" t="str">
        <f t="shared" si="5"/>
        <v/>
      </c>
    </row>
    <row r="74" spans="1:11">
      <c r="A74" s="4">
        <v>72</v>
      </c>
      <c r="B74" s="5"/>
      <c r="C74" s="5"/>
      <c r="D74" s="5"/>
      <c r="E74" s="5"/>
      <c r="F74" s="5"/>
      <c r="G74" s="5"/>
      <c r="H74" s="5"/>
      <c r="I74" s="5"/>
      <c r="J74" s="6" t="str">
        <f t="shared" si="4"/>
        <v/>
      </c>
      <c r="K74" s="6" t="str">
        <f t="shared" si="5"/>
        <v/>
      </c>
    </row>
    <row r="75" spans="1:11">
      <c r="A75" s="4">
        <v>73</v>
      </c>
      <c r="B75" s="5"/>
      <c r="C75" s="5"/>
      <c r="D75" s="5"/>
      <c r="E75" s="5"/>
      <c r="F75" s="5"/>
      <c r="G75" s="5"/>
      <c r="H75" s="5"/>
      <c r="I75" s="5"/>
      <c r="J75" s="6" t="str">
        <f t="shared" si="4"/>
        <v/>
      </c>
      <c r="K75" s="6" t="str">
        <f t="shared" si="5"/>
        <v/>
      </c>
    </row>
    <row r="76" spans="1:11">
      <c r="A76" s="4">
        <v>74</v>
      </c>
      <c r="B76" s="5"/>
      <c r="C76" s="5"/>
      <c r="D76" s="5"/>
      <c r="E76" s="5"/>
      <c r="F76" s="5"/>
      <c r="G76" s="5"/>
      <c r="H76" s="5"/>
      <c r="I76" s="5"/>
      <c r="J76" s="6" t="str">
        <f t="shared" si="4"/>
        <v/>
      </c>
      <c r="K76" s="6" t="str">
        <f t="shared" si="5"/>
        <v/>
      </c>
    </row>
    <row r="77" spans="1:11">
      <c r="A77" s="4">
        <v>75</v>
      </c>
      <c r="B77" s="5"/>
      <c r="C77" s="5"/>
      <c r="D77" s="5"/>
      <c r="E77" s="5"/>
      <c r="F77" s="5"/>
      <c r="G77" s="5"/>
      <c r="H77" s="5"/>
      <c r="I77" s="5"/>
      <c r="J77" s="6" t="str">
        <f t="shared" si="4"/>
        <v/>
      </c>
      <c r="K77" s="6" t="str">
        <f t="shared" si="5"/>
        <v/>
      </c>
    </row>
    <row r="78" spans="1:11">
      <c r="A78" s="4">
        <v>76</v>
      </c>
      <c r="B78" s="5"/>
      <c r="C78" s="5"/>
      <c r="D78" s="5"/>
      <c r="E78" s="5"/>
      <c r="F78" s="5"/>
      <c r="G78" s="5"/>
      <c r="H78" s="5"/>
      <c r="I78" s="5"/>
      <c r="J78" s="6" t="str">
        <f t="shared" si="4"/>
        <v/>
      </c>
      <c r="K78" s="6" t="str">
        <f t="shared" si="5"/>
        <v/>
      </c>
    </row>
    <row r="79" spans="1:11">
      <c r="A79" s="4">
        <v>77</v>
      </c>
      <c r="B79" s="5"/>
      <c r="C79" s="5"/>
      <c r="D79" s="5"/>
      <c r="E79" s="5"/>
      <c r="F79" s="5"/>
      <c r="G79" s="5"/>
      <c r="H79" s="5"/>
      <c r="I79" s="5"/>
      <c r="J79" s="6" t="str">
        <f t="shared" si="4"/>
        <v/>
      </c>
      <c r="K79" s="6" t="str">
        <f t="shared" si="5"/>
        <v/>
      </c>
    </row>
    <row r="80" spans="1:11">
      <c r="A80" s="4">
        <v>78</v>
      </c>
      <c r="B80" s="5"/>
      <c r="C80" s="5"/>
      <c r="D80" s="5"/>
      <c r="E80" s="5"/>
      <c r="F80" s="5"/>
      <c r="G80" s="5"/>
      <c r="H80" s="5"/>
      <c r="I80" s="5"/>
      <c r="J80" s="6" t="str">
        <f t="shared" si="4"/>
        <v/>
      </c>
      <c r="K80" s="6" t="str">
        <f t="shared" si="5"/>
        <v/>
      </c>
    </row>
    <row r="81" spans="1:11">
      <c r="A81" s="4">
        <v>79</v>
      </c>
      <c r="B81" s="5"/>
      <c r="C81" s="5"/>
      <c r="D81" s="5"/>
      <c r="E81" s="5"/>
      <c r="F81" s="5"/>
      <c r="G81" s="5"/>
      <c r="H81" s="5"/>
      <c r="I81" s="5"/>
      <c r="J81" s="6" t="str">
        <f t="shared" si="4"/>
        <v/>
      </c>
      <c r="K81" s="6" t="str">
        <f t="shared" si="5"/>
        <v/>
      </c>
    </row>
    <row r="82" spans="1:11">
      <c r="A82" s="4">
        <v>80</v>
      </c>
      <c r="B82" s="5"/>
      <c r="C82" s="5"/>
      <c r="D82" s="5"/>
      <c r="E82" s="5"/>
      <c r="F82" s="5"/>
      <c r="G82" s="5"/>
      <c r="H82" s="5"/>
      <c r="I82" s="5"/>
      <c r="J82" s="6" t="str">
        <f t="shared" si="4"/>
        <v/>
      </c>
      <c r="K82" s="6" t="str">
        <f t="shared" si="5"/>
        <v/>
      </c>
    </row>
    <row r="83" spans="1:11">
      <c r="A83" s="4">
        <v>81</v>
      </c>
      <c r="B83" s="5"/>
      <c r="C83" s="5"/>
      <c r="D83" s="5"/>
      <c r="E83" s="5"/>
      <c r="F83" s="5"/>
      <c r="G83" s="5"/>
      <c r="H83" s="5"/>
      <c r="I83" s="5"/>
      <c r="J83" s="6" t="str">
        <f t="shared" si="4"/>
        <v/>
      </c>
      <c r="K83" s="6" t="str">
        <f t="shared" si="5"/>
        <v/>
      </c>
    </row>
    <row r="84" spans="1:11">
      <c r="A84" s="4">
        <v>82</v>
      </c>
      <c r="B84" s="5"/>
      <c r="C84" s="5"/>
      <c r="D84" s="5"/>
      <c r="E84" s="5"/>
      <c r="F84" s="5"/>
      <c r="G84" s="5"/>
      <c r="H84" s="5"/>
      <c r="I84" s="5"/>
      <c r="J84" s="6" t="str">
        <f t="shared" si="4"/>
        <v/>
      </c>
      <c r="K84" s="6" t="str">
        <f t="shared" si="5"/>
        <v/>
      </c>
    </row>
    <row r="85" spans="1:11">
      <c r="A85" s="4">
        <v>83</v>
      </c>
      <c r="B85" s="5"/>
      <c r="C85" s="5"/>
      <c r="D85" s="5"/>
      <c r="E85" s="5"/>
      <c r="F85" s="5"/>
      <c r="G85" s="5"/>
      <c r="H85" s="5"/>
      <c r="I85" s="5"/>
      <c r="J85" s="6" t="str">
        <f t="shared" si="4"/>
        <v/>
      </c>
      <c r="K85" s="6" t="str">
        <f t="shared" si="5"/>
        <v/>
      </c>
    </row>
    <row r="86" spans="1:11">
      <c r="A86" s="4">
        <v>84</v>
      </c>
      <c r="B86" s="5"/>
      <c r="C86" s="5"/>
      <c r="D86" s="5"/>
      <c r="E86" s="5"/>
      <c r="F86" s="5"/>
      <c r="G86" s="5"/>
      <c r="H86" s="5"/>
      <c r="I86" s="5"/>
      <c r="J86" s="6" t="str">
        <f t="shared" si="4"/>
        <v/>
      </c>
      <c r="K86" s="6" t="str">
        <f t="shared" si="5"/>
        <v/>
      </c>
    </row>
    <row r="87" spans="1:11">
      <c r="A87" s="4">
        <v>85</v>
      </c>
      <c r="B87" s="5"/>
      <c r="C87" s="5"/>
      <c r="D87" s="5"/>
      <c r="E87" s="5"/>
      <c r="F87" s="5"/>
      <c r="G87" s="5"/>
      <c r="H87" s="5"/>
      <c r="I87" s="5"/>
      <c r="J87" s="6" t="str">
        <f t="shared" si="4"/>
        <v/>
      </c>
      <c r="K87" s="6" t="str">
        <f t="shared" si="5"/>
        <v/>
      </c>
    </row>
    <row r="88" spans="1:11">
      <c r="A88" s="4">
        <v>86</v>
      </c>
      <c r="B88" s="5"/>
      <c r="C88" s="5"/>
      <c r="D88" s="5"/>
      <c r="E88" s="5"/>
      <c r="F88" s="5"/>
      <c r="G88" s="5"/>
      <c r="H88" s="5"/>
      <c r="I88" s="5"/>
      <c r="J88" s="6" t="str">
        <f t="shared" si="4"/>
        <v/>
      </c>
      <c r="K88" s="6" t="str">
        <f t="shared" si="5"/>
        <v/>
      </c>
    </row>
    <row r="89" spans="1:11">
      <c r="A89" s="4">
        <v>87</v>
      </c>
      <c r="B89" s="5"/>
      <c r="C89" s="5"/>
      <c r="D89" s="5"/>
      <c r="E89" s="5"/>
      <c r="F89" s="5"/>
      <c r="G89" s="5"/>
      <c r="H89" s="5"/>
      <c r="I89" s="5"/>
      <c r="J89" s="6" t="str">
        <f t="shared" si="4"/>
        <v/>
      </c>
      <c r="K89" s="6" t="str">
        <f t="shared" si="5"/>
        <v/>
      </c>
    </row>
    <row r="90" spans="1:11">
      <c r="A90" s="4">
        <v>88</v>
      </c>
      <c r="B90" s="5"/>
      <c r="C90" s="5"/>
      <c r="D90" s="5"/>
      <c r="E90" s="5"/>
      <c r="F90" s="5"/>
      <c r="G90" s="5"/>
      <c r="H90" s="5"/>
      <c r="I90" s="5"/>
      <c r="J90" s="6" t="str">
        <f t="shared" si="4"/>
        <v/>
      </c>
      <c r="K90" s="6" t="str">
        <f t="shared" si="5"/>
        <v/>
      </c>
    </row>
    <row r="91" spans="1:11">
      <c r="A91" s="4">
        <v>89</v>
      </c>
      <c r="B91" s="5"/>
      <c r="C91" s="5"/>
      <c r="D91" s="5"/>
      <c r="E91" s="5"/>
      <c r="F91" s="5"/>
      <c r="G91" s="5"/>
      <c r="H91" s="5"/>
      <c r="I91" s="5"/>
      <c r="J91" s="6" t="str">
        <f t="shared" si="4"/>
        <v/>
      </c>
      <c r="K91" s="6" t="str">
        <f t="shared" si="5"/>
        <v/>
      </c>
    </row>
    <row r="92" spans="1:11">
      <c r="A92" s="4">
        <v>90</v>
      </c>
      <c r="B92" s="5"/>
      <c r="C92" s="5"/>
      <c r="D92" s="5"/>
      <c r="E92" s="5"/>
      <c r="F92" s="5"/>
      <c r="G92" s="5"/>
      <c r="H92" s="5"/>
      <c r="I92" s="5"/>
      <c r="J92" s="6" t="str">
        <f t="shared" si="4"/>
        <v/>
      </c>
      <c r="K92" s="6" t="str">
        <f t="shared" si="5"/>
        <v/>
      </c>
    </row>
    <row r="93" spans="1:11">
      <c r="A93" s="4">
        <v>91</v>
      </c>
      <c r="B93" s="5"/>
      <c r="C93" s="5"/>
      <c r="D93" s="5"/>
      <c r="E93" s="5"/>
      <c r="F93" s="5"/>
      <c r="G93" s="5"/>
      <c r="H93" s="5"/>
      <c r="I93" s="5"/>
      <c r="J93" s="6" t="str">
        <f t="shared" si="4"/>
        <v/>
      </c>
      <c r="K93" s="6" t="str">
        <f t="shared" si="5"/>
        <v/>
      </c>
    </row>
    <row r="94" spans="1:11">
      <c r="A94" s="4">
        <v>92</v>
      </c>
      <c r="B94" s="5"/>
      <c r="C94" s="5"/>
      <c r="D94" s="5"/>
      <c r="E94" s="5"/>
      <c r="F94" s="5"/>
      <c r="G94" s="5"/>
      <c r="H94" s="5"/>
      <c r="I94" s="5"/>
      <c r="J94" s="6" t="str">
        <f t="shared" si="4"/>
        <v/>
      </c>
      <c r="K94" s="6" t="str">
        <f t="shared" si="5"/>
        <v/>
      </c>
    </row>
    <row r="95" spans="1:11">
      <c r="A95" s="4">
        <v>93</v>
      </c>
      <c r="B95" s="5"/>
      <c r="C95" s="5"/>
      <c r="D95" s="5"/>
      <c r="E95" s="5"/>
      <c r="F95" s="5"/>
      <c r="G95" s="5"/>
      <c r="H95" s="5"/>
      <c r="I95" s="5"/>
      <c r="J95" s="6" t="str">
        <f t="shared" si="4"/>
        <v/>
      </c>
      <c r="K95" s="6" t="str">
        <f t="shared" si="5"/>
        <v/>
      </c>
    </row>
    <row r="96" spans="1:11">
      <c r="A96" s="4">
        <v>94</v>
      </c>
      <c r="B96" s="5"/>
      <c r="C96" s="5"/>
      <c r="D96" s="5"/>
      <c r="E96" s="5"/>
      <c r="F96" s="5"/>
      <c r="G96" s="5"/>
      <c r="H96" s="5"/>
      <c r="I96" s="5"/>
      <c r="J96" s="6" t="str">
        <f t="shared" si="4"/>
        <v/>
      </c>
      <c r="K96" s="6" t="str">
        <f t="shared" si="5"/>
        <v/>
      </c>
    </row>
    <row r="97" spans="1:11">
      <c r="A97" s="4">
        <v>95</v>
      </c>
      <c r="B97" s="5"/>
      <c r="C97" s="5"/>
      <c r="D97" s="5"/>
      <c r="E97" s="5"/>
      <c r="F97" s="5"/>
      <c r="G97" s="5"/>
      <c r="H97" s="5"/>
      <c r="I97" s="5"/>
      <c r="J97" s="6" t="str">
        <f t="shared" si="4"/>
        <v/>
      </c>
      <c r="K97" s="6" t="str">
        <f t="shared" si="5"/>
        <v/>
      </c>
    </row>
    <row r="98" spans="1:11">
      <c r="A98" s="4">
        <v>96</v>
      </c>
      <c r="B98" s="5"/>
      <c r="C98" s="5"/>
      <c r="D98" s="5"/>
      <c r="E98" s="5"/>
      <c r="F98" s="5"/>
      <c r="G98" s="5"/>
      <c r="H98" s="5"/>
      <c r="I98" s="5"/>
      <c r="J98" s="6" t="str">
        <f t="shared" si="4"/>
        <v/>
      </c>
      <c r="K98" s="6" t="str">
        <f t="shared" si="5"/>
        <v/>
      </c>
    </row>
    <row r="99" spans="1:11">
      <c r="A99" s="4">
        <v>97</v>
      </c>
      <c r="B99" s="5"/>
      <c r="C99" s="5"/>
      <c r="D99" s="5"/>
      <c r="E99" s="5"/>
      <c r="F99" s="5"/>
      <c r="G99" s="5"/>
      <c r="H99" s="5"/>
      <c r="I99" s="5"/>
      <c r="J99" s="6" t="str">
        <f t="shared" ref="J99:J130" si="6">IF(COUNTA(B99:I99)=0,"",ROUND(AVERAGE(G99,6-H99,I99),2))</f>
        <v/>
      </c>
      <c r="K99" s="6" t="str">
        <f t="shared" ref="K99:K130" si="7">IF(J99="","",IF(J99&gt;=4,"Включить",IF(J99&gt;=3,"Проверить","Не основной")))</f>
        <v/>
      </c>
    </row>
    <row r="100" spans="1:11">
      <c r="A100" s="4">
        <v>98</v>
      </c>
      <c r="B100" s="5"/>
      <c r="C100" s="5"/>
      <c r="D100" s="5"/>
      <c r="E100" s="5"/>
      <c r="F100" s="5"/>
      <c r="G100" s="5"/>
      <c r="H100" s="5"/>
      <c r="I100" s="5"/>
      <c r="J100" s="6" t="str">
        <f t="shared" si="6"/>
        <v/>
      </c>
      <c r="K100" s="6" t="str">
        <f t="shared" si="7"/>
        <v/>
      </c>
    </row>
    <row r="101" spans="1:11">
      <c r="A101" s="4">
        <v>99</v>
      </c>
      <c r="B101" s="5"/>
      <c r="C101" s="5"/>
      <c r="D101" s="5"/>
      <c r="E101" s="5"/>
      <c r="F101" s="5"/>
      <c r="G101" s="5"/>
      <c r="H101" s="5"/>
      <c r="I101" s="5"/>
      <c r="J101" s="6" t="str">
        <f t="shared" si="6"/>
        <v/>
      </c>
      <c r="K101" s="6" t="str">
        <f t="shared" si="7"/>
        <v/>
      </c>
    </row>
    <row r="102" spans="1:11">
      <c r="A102" s="4">
        <v>100</v>
      </c>
      <c r="B102" s="5"/>
      <c r="C102" s="5"/>
      <c r="D102" s="5"/>
      <c r="E102" s="5"/>
      <c r="F102" s="5"/>
      <c r="G102" s="5"/>
      <c r="H102" s="5"/>
      <c r="I102" s="5"/>
      <c r="J102" s="6" t="str">
        <f t="shared" si="6"/>
        <v/>
      </c>
      <c r="K102" s="6" t="str">
        <f t="shared" si="7"/>
        <v/>
      </c>
    </row>
  </sheetData>
  <mergeCells count="1">
    <mergeCell ref="A1:K1"/>
  </mergeCells>
  <conditionalFormatting sqref="J3:J102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500-000000000000}">
          <x14:formula1>
            <xm:f>'12_Справочники'!$I$3:$I$10</xm:f>
          </x14:formula1>
          <xm:sqref>B3:B102</xm:sqref>
        </x14:dataValidation>
        <x14:dataValidation type="list" xr:uid="{00000000-0002-0000-0500-000001000000}">
          <x14:formula1>
            <xm:f>'12_Справочники'!$C$3:$C$7</xm:f>
          </x14:formula1>
          <xm:sqref>G3:I102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02"/>
  <sheetViews>
    <sheetView workbookViewId="0"/>
  </sheetViews>
  <sheetFormatPr defaultRowHeight="14.25"/>
  <cols>
    <col min="1" max="1" width="7" customWidth="1"/>
    <col min="2" max="8" width="28" customWidth="1"/>
    <col min="9" max="12" width="16" customWidth="1"/>
    <col min="13" max="14" width="20" customWidth="1"/>
  </cols>
  <sheetData>
    <row r="1" spans="1:14" ht="32.1" customHeight="1">
      <c r="A1" s="9" t="s">
        <v>122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32.1" customHeight="1">
      <c r="A2" s="3" t="s">
        <v>37</v>
      </c>
      <c r="B2" s="3" t="s">
        <v>123</v>
      </c>
      <c r="C2" s="3" t="s">
        <v>124</v>
      </c>
      <c r="D2" s="3" t="s">
        <v>125</v>
      </c>
      <c r="E2" s="3" t="s">
        <v>126</v>
      </c>
      <c r="F2" s="3" t="s">
        <v>127</v>
      </c>
      <c r="G2" s="3" t="s">
        <v>128</v>
      </c>
      <c r="H2" s="3" t="s">
        <v>129</v>
      </c>
      <c r="I2" s="3" t="s">
        <v>130</v>
      </c>
      <c r="J2" s="3" t="s">
        <v>131</v>
      </c>
      <c r="K2" s="3" t="s">
        <v>132</v>
      </c>
      <c r="L2" s="3" t="s">
        <v>111</v>
      </c>
      <c r="M2" s="3" t="s">
        <v>133</v>
      </c>
      <c r="N2" s="3" t="s">
        <v>97</v>
      </c>
    </row>
    <row r="3" spans="1:14" ht="42.75">
      <c r="A3" s="4">
        <v>1</v>
      </c>
      <c r="B3" s="5" t="s">
        <v>508</v>
      </c>
      <c r="C3" s="5" t="s">
        <v>509</v>
      </c>
      <c r="D3" s="5" t="s">
        <v>510</v>
      </c>
      <c r="E3" s="5" t="s">
        <v>511</v>
      </c>
      <c r="F3" s="5" t="s">
        <v>245</v>
      </c>
      <c r="G3" s="5" t="s">
        <v>512</v>
      </c>
      <c r="H3" s="5" t="s">
        <v>513</v>
      </c>
      <c r="I3" s="5">
        <v>3</v>
      </c>
      <c r="J3" s="5">
        <v>5</v>
      </c>
      <c r="K3" s="5">
        <v>4</v>
      </c>
      <c r="L3" s="5">
        <v>3</v>
      </c>
      <c r="M3" s="6">
        <f t="shared" ref="M3:M34" si="0">IF(COUNTA(B3:L3)=0,"",ROUND(AVERAGE(I3:L3),2))</f>
        <v>3.75</v>
      </c>
      <c r="N3" s="6" t="str">
        <f t="shared" ref="N3:N34" si="1">IF(M3="","",IF(M3&gt;=4,"Основная гипотеза",IF(M3&gt;=3,"Требует проверки","Слабая гипотеза")))</f>
        <v>Требует проверки</v>
      </c>
    </row>
    <row r="4" spans="1:14" ht="28.5">
      <c r="A4" s="4">
        <v>2</v>
      </c>
      <c r="B4" s="5" t="s">
        <v>514</v>
      </c>
      <c r="C4" s="5" t="s">
        <v>515</v>
      </c>
      <c r="D4" s="5" t="s">
        <v>516</v>
      </c>
      <c r="E4" s="5" t="s">
        <v>517</v>
      </c>
      <c r="F4" s="5" t="s">
        <v>245</v>
      </c>
      <c r="G4" s="5" t="s">
        <v>518</v>
      </c>
      <c r="H4" s="5" t="s">
        <v>519</v>
      </c>
      <c r="I4" s="5">
        <v>3</v>
      </c>
      <c r="J4" s="5">
        <v>5</v>
      </c>
      <c r="K4" s="5">
        <v>3</v>
      </c>
      <c r="L4" s="5">
        <v>2</v>
      </c>
      <c r="M4" s="6">
        <f t="shared" si="0"/>
        <v>3.25</v>
      </c>
      <c r="N4" s="6" t="str">
        <f t="shared" si="1"/>
        <v>Требует проверки</v>
      </c>
    </row>
    <row r="5" spans="1:14" ht="28.5">
      <c r="A5" s="4">
        <v>3</v>
      </c>
      <c r="B5" s="5" t="s">
        <v>520</v>
      </c>
      <c r="C5" s="5" t="s">
        <v>521</v>
      </c>
      <c r="D5" s="5" t="s">
        <v>522</v>
      </c>
      <c r="E5" s="5" t="s">
        <v>523</v>
      </c>
      <c r="F5" s="5" t="s">
        <v>290</v>
      </c>
      <c r="G5" s="5" t="s">
        <v>524</v>
      </c>
      <c r="H5" s="5" t="s">
        <v>525</v>
      </c>
      <c r="I5" s="5">
        <v>5</v>
      </c>
      <c r="J5" s="5">
        <v>5</v>
      </c>
      <c r="K5" s="5">
        <v>3</v>
      </c>
      <c r="L5" s="5">
        <v>5</v>
      </c>
      <c r="M5" s="6">
        <f t="shared" si="0"/>
        <v>4.5</v>
      </c>
      <c r="N5" s="6" t="str">
        <f t="shared" si="1"/>
        <v>Основная гипотеза</v>
      </c>
    </row>
    <row r="6" spans="1:14" ht="28.5">
      <c r="A6" s="4">
        <v>4</v>
      </c>
      <c r="B6" s="5" t="s">
        <v>526</v>
      </c>
      <c r="C6" s="5" t="s">
        <v>527</v>
      </c>
      <c r="D6" s="5" t="s">
        <v>528</v>
      </c>
      <c r="E6" s="5" t="s">
        <v>529</v>
      </c>
      <c r="F6" s="5" t="s">
        <v>296</v>
      </c>
      <c r="G6" s="5" t="s">
        <v>530</v>
      </c>
      <c r="H6" s="5" t="s">
        <v>531</v>
      </c>
      <c r="I6" s="5">
        <v>2</v>
      </c>
      <c r="J6" s="5">
        <v>3</v>
      </c>
      <c r="K6" s="5">
        <v>4</v>
      </c>
      <c r="L6" s="5">
        <v>1</v>
      </c>
      <c r="M6" s="6">
        <f t="shared" si="0"/>
        <v>2.5</v>
      </c>
      <c r="N6" s="6" t="str">
        <f t="shared" si="1"/>
        <v>Слабая гипотеза</v>
      </c>
    </row>
    <row r="7" spans="1:14">
      <c r="A7" s="4">
        <v>5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6" t="str">
        <f t="shared" si="0"/>
        <v/>
      </c>
      <c r="N7" s="6" t="str">
        <f t="shared" si="1"/>
        <v/>
      </c>
    </row>
    <row r="8" spans="1:14">
      <c r="A8" s="4">
        <v>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6" t="str">
        <f t="shared" si="0"/>
        <v/>
      </c>
      <c r="N8" s="6" t="str">
        <f t="shared" si="1"/>
        <v/>
      </c>
    </row>
    <row r="9" spans="1:14">
      <c r="A9" s="4">
        <v>7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6" t="str">
        <f t="shared" si="0"/>
        <v/>
      </c>
      <c r="N9" s="6" t="str">
        <f t="shared" si="1"/>
        <v/>
      </c>
    </row>
    <row r="10" spans="1:14">
      <c r="A10" s="4">
        <v>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6" t="str">
        <f t="shared" si="0"/>
        <v/>
      </c>
      <c r="N10" s="6" t="str">
        <f t="shared" si="1"/>
        <v/>
      </c>
    </row>
    <row r="11" spans="1:14">
      <c r="A11" s="4">
        <v>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6" t="str">
        <f t="shared" si="0"/>
        <v/>
      </c>
      <c r="N11" s="6" t="str">
        <f t="shared" si="1"/>
        <v/>
      </c>
    </row>
    <row r="12" spans="1:14">
      <c r="A12" s="4">
        <v>10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6" t="str">
        <f t="shared" si="0"/>
        <v/>
      </c>
      <c r="N12" s="6" t="str">
        <f t="shared" si="1"/>
        <v/>
      </c>
    </row>
    <row r="13" spans="1:14">
      <c r="A13" s="4">
        <v>11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6" t="str">
        <f t="shared" si="0"/>
        <v/>
      </c>
      <c r="N13" s="6" t="str">
        <f t="shared" si="1"/>
        <v/>
      </c>
    </row>
    <row r="14" spans="1:14">
      <c r="A14" s="4">
        <v>12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6" t="str">
        <f t="shared" si="0"/>
        <v/>
      </c>
      <c r="N14" s="6" t="str">
        <f t="shared" si="1"/>
        <v/>
      </c>
    </row>
    <row r="15" spans="1:14">
      <c r="A15" s="4">
        <v>13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6" t="str">
        <f t="shared" si="0"/>
        <v/>
      </c>
      <c r="N15" s="6" t="str">
        <f t="shared" si="1"/>
        <v/>
      </c>
    </row>
    <row r="16" spans="1:14">
      <c r="A16" s="4">
        <v>14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6" t="str">
        <f t="shared" si="0"/>
        <v/>
      </c>
      <c r="N16" s="6" t="str">
        <f t="shared" si="1"/>
        <v/>
      </c>
    </row>
    <row r="17" spans="1:14">
      <c r="A17" s="4">
        <v>15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6" t="str">
        <f t="shared" si="0"/>
        <v/>
      </c>
      <c r="N17" s="6" t="str">
        <f t="shared" si="1"/>
        <v/>
      </c>
    </row>
    <row r="18" spans="1:14">
      <c r="A18" s="4">
        <v>16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6" t="str">
        <f t="shared" si="0"/>
        <v/>
      </c>
      <c r="N18" s="6" t="str">
        <f t="shared" si="1"/>
        <v/>
      </c>
    </row>
    <row r="19" spans="1:14">
      <c r="A19" s="4">
        <v>17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6" t="str">
        <f t="shared" si="0"/>
        <v/>
      </c>
      <c r="N19" s="6" t="str">
        <f t="shared" si="1"/>
        <v/>
      </c>
    </row>
    <row r="20" spans="1:14">
      <c r="A20" s="4">
        <v>18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6" t="str">
        <f t="shared" si="0"/>
        <v/>
      </c>
      <c r="N20" s="6" t="str">
        <f t="shared" si="1"/>
        <v/>
      </c>
    </row>
    <row r="21" spans="1:14">
      <c r="A21" s="4">
        <v>19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6" t="str">
        <f t="shared" si="0"/>
        <v/>
      </c>
      <c r="N21" s="6" t="str">
        <f t="shared" si="1"/>
        <v/>
      </c>
    </row>
    <row r="22" spans="1:14">
      <c r="A22" s="4">
        <v>20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6" t="str">
        <f t="shared" si="0"/>
        <v/>
      </c>
      <c r="N22" s="6" t="str">
        <f t="shared" si="1"/>
        <v/>
      </c>
    </row>
    <row r="23" spans="1:14">
      <c r="A23" s="4">
        <v>21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6" t="str">
        <f t="shared" si="0"/>
        <v/>
      </c>
      <c r="N23" s="6" t="str">
        <f t="shared" si="1"/>
        <v/>
      </c>
    </row>
    <row r="24" spans="1:14">
      <c r="A24" s="4">
        <v>22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6" t="str">
        <f t="shared" si="0"/>
        <v/>
      </c>
      <c r="N24" s="6" t="str">
        <f t="shared" si="1"/>
        <v/>
      </c>
    </row>
    <row r="25" spans="1:14">
      <c r="A25" s="4">
        <v>23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6" t="str">
        <f t="shared" si="0"/>
        <v/>
      </c>
      <c r="N25" s="6" t="str">
        <f t="shared" si="1"/>
        <v/>
      </c>
    </row>
    <row r="26" spans="1:14">
      <c r="A26" s="4">
        <v>24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6" t="str">
        <f t="shared" si="0"/>
        <v/>
      </c>
      <c r="N26" s="6" t="str">
        <f t="shared" si="1"/>
        <v/>
      </c>
    </row>
    <row r="27" spans="1:14">
      <c r="A27" s="4">
        <v>25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6" t="str">
        <f t="shared" si="0"/>
        <v/>
      </c>
      <c r="N27" s="6" t="str">
        <f t="shared" si="1"/>
        <v/>
      </c>
    </row>
    <row r="28" spans="1:14">
      <c r="A28" s="4">
        <v>26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6" t="str">
        <f t="shared" si="0"/>
        <v/>
      </c>
      <c r="N28" s="6" t="str">
        <f t="shared" si="1"/>
        <v/>
      </c>
    </row>
    <row r="29" spans="1:14">
      <c r="A29" s="4">
        <v>27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6" t="str">
        <f t="shared" si="0"/>
        <v/>
      </c>
      <c r="N29" s="6" t="str">
        <f t="shared" si="1"/>
        <v/>
      </c>
    </row>
    <row r="30" spans="1:14">
      <c r="A30" s="4">
        <v>28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6" t="str">
        <f t="shared" si="0"/>
        <v/>
      </c>
      <c r="N30" s="6" t="str">
        <f t="shared" si="1"/>
        <v/>
      </c>
    </row>
    <row r="31" spans="1:14">
      <c r="A31" s="4">
        <v>29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6" t="str">
        <f t="shared" si="0"/>
        <v/>
      </c>
      <c r="N31" s="6" t="str">
        <f t="shared" si="1"/>
        <v/>
      </c>
    </row>
    <row r="32" spans="1:14">
      <c r="A32" s="4">
        <v>30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6" t="str">
        <f t="shared" si="0"/>
        <v/>
      </c>
      <c r="N32" s="6" t="str">
        <f t="shared" si="1"/>
        <v/>
      </c>
    </row>
    <row r="33" spans="1:14">
      <c r="A33" s="4">
        <v>31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6" t="str">
        <f t="shared" si="0"/>
        <v/>
      </c>
      <c r="N33" s="6" t="str">
        <f t="shared" si="1"/>
        <v/>
      </c>
    </row>
    <row r="34" spans="1:14">
      <c r="A34" s="4">
        <v>32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6" t="str">
        <f t="shared" si="0"/>
        <v/>
      </c>
      <c r="N34" s="6" t="str">
        <f t="shared" si="1"/>
        <v/>
      </c>
    </row>
    <row r="35" spans="1:14">
      <c r="A35" s="4">
        <v>33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6" t="str">
        <f t="shared" ref="M35:M66" si="2">IF(COUNTA(B35:L35)=0,"",ROUND(AVERAGE(I35:L35),2))</f>
        <v/>
      </c>
      <c r="N35" s="6" t="str">
        <f t="shared" ref="N35:N66" si="3">IF(M35="","",IF(M35&gt;=4,"Основная гипотеза",IF(M35&gt;=3,"Требует проверки","Слабая гипотеза")))</f>
        <v/>
      </c>
    </row>
    <row r="36" spans="1:14">
      <c r="A36" s="4">
        <v>34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6" t="str">
        <f t="shared" si="2"/>
        <v/>
      </c>
      <c r="N36" s="6" t="str">
        <f t="shared" si="3"/>
        <v/>
      </c>
    </row>
    <row r="37" spans="1:14">
      <c r="A37" s="4">
        <v>35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6" t="str">
        <f t="shared" si="2"/>
        <v/>
      </c>
      <c r="N37" s="6" t="str">
        <f t="shared" si="3"/>
        <v/>
      </c>
    </row>
    <row r="38" spans="1:14">
      <c r="A38" s="4">
        <v>36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6" t="str">
        <f t="shared" si="2"/>
        <v/>
      </c>
      <c r="N38" s="6" t="str">
        <f t="shared" si="3"/>
        <v/>
      </c>
    </row>
    <row r="39" spans="1:14">
      <c r="A39" s="4">
        <v>37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6" t="str">
        <f t="shared" si="2"/>
        <v/>
      </c>
      <c r="N39" s="6" t="str">
        <f t="shared" si="3"/>
        <v/>
      </c>
    </row>
    <row r="40" spans="1:14">
      <c r="A40" s="4">
        <v>38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6" t="str">
        <f t="shared" si="2"/>
        <v/>
      </c>
      <c r="N40" s="6" t="str">
        <f t="shared" si="3"/>
        <v/>
      </c>
    </row>
    <row r="41" spans="1:14">
      <c r="A41" s="4">
        <v>39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6" t="str">
        <f t="shared" si="2"/>
        <v/>
      </c>
      <c r="N41" s="6" t="str">
        <f t="shared" si="3"/>
        <v/>
      </c>
    </row>
    <row r="42" spans="1:14">
      <c r="A42" s="4">
        <v>40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6" t="str">
        <f t="shared" si="2"/>
        <v/>
      </c>
      <c r="N42" s="6" t="str">
        <f t="shared" si="3"/>
        <v/>
      </c>
    </row>
    <row r="43" spans="1:14">
      <c r="A43" s="4">
        <v>41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6" t="str">
        <f t="shared" si="2"/>
        <v/>
      </c>
      <c r="N43" s="6" t="str">
        <f t="shared" si="3"/>
        <v/>
      </c>
    </row>
    <row r="44" spans="1:14">
      <c r="A44" s="4">
        <v>42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6" t="str">
        <f t="shared" si="2"/>
        <v/>
      </c>
      <c r="N44" s="6" t="str">
        <f t="shared" si="3"/>
        <v/>
      </c>
    </row>
    <row r="45" spans="1:14">
      <c r="A45" s="4">
        <v>43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6" t="str">
        <f t="shared" si="2"/>
        <v/>
      </c>
      <c r="N45" s="6" t="str">
        <f t="shared" si="3"/>
        <v/>
      </c>
    </row>
    <row r="46" spans="1:14">
      <c r="A46" s="4">
        <v>44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6" t="str">
        <f t="shared" si="2"/>
        <v/>
      </c>
      <c r="N46" s="6" t="str">
        <f t="shared" si="3"/>
        <v/>
      </c>
    </row>
    <row r="47" spans="1:14">
      <c r="A47" s="4">
        <v>45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6" t="str">
        <f t="shared" si="2"/>
        <v/>
      </c>
      <c r="N47" s="6" t="str">
        <f t="shared" si="3"/>
        <v/>
      </c>
    </row>
    <row r="48" spans="1:14">
      <c r="A48" s="4">
        <v>46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6" t="str">
        <f t="shared" si="2"/>
        <v/>
      </c>
      <c r="N48" s="6" t="str">
        <f t="shared" si="3"/>
        <v/>
      </c>
    </row>
    <row r="49" spans="1:14">
      <c r="A49" s="4">
        <v>47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6" t="str">
        <f t="shared" si="2"/>
        <v/>
      </c>
      <c r="N49" s="6" t="str">
        <f t="shared" si="3"/>
        <v/>
      </c>
    </row>
    <row r="50" spans="1:14">
      <c r="A50" s="4">
        <v>48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6" t="str">
        <f t="shared" si="2"/>
        <v/>
      </c>
      <c r="N50" s="6" t="str">
        <f t="shared" si="3"/>
        <v/>
      </c>
    </row>
    <row r="51" spans="1:14">
      <c r="A51" s="4">
        <v>49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6" t="str">
        <f t="shared" si="2"/>
        <v/>
      </c>
      <c r="N51" s="6" t="str">
        <f t="shared" si="3"/>
        <v/>
      </c>
    </row>
    <row r="52" spans="1:14">
      <c r="A52" s="4">
        <v>50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6" t="str">
        <f t="shared" si="2"/>
        <v/>
      </c>
      <c r="N52" s="6" t="str">
        <f t="shared" si="3"/>
        <v/>
      </c>
    </row>
    <row r="53" spans="1:14">
      <c r="A53" s="4">
        <v>51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6" t="str">
        <f t="shared" si="2"/>
        <v/>
      </c>
      <c r="N53" s="6" t="str">
        <f t="shared" si="3"/>
        <v/>
      </c>
    </row>
    <row r="54" spans="1:14">
      <c r="A54" s="4">
        <v>52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6" t="str">
        <f t="shared" si="2"/>
        <v/>
      </c>
      <c r="N54" s="6" t="str">
        <f t="shared" si="3"/>
        <v/>
      </c>
    </row>
    <row r="55" spans="1:14">
      <c r="A55" s="4">
        <v>53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6" t="str">
        <f t="shared" si="2"/>
        <v/>
      </c>
      <c r="N55" s="6" t="str">
        <f t="shared" si="3"/>
        <v/>
      </c>
    </row>
    <row r="56" spans="1:14">
      <c r="A56" s="4">
        <v>54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6" t="str">
        <f t="shared" si="2"/>
        <v/>
      </c>
      <c r="N56" s="6" t="str">
        <f t="shared" si="3"/>
        <v/>
      </c>
    </row>
    <row r="57" spans="1:14">
      <c r="A57" s="4">
        <v>55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6" t="str">
        <f t="shared" si="2"/>
        <v/>
      </c>
      <c r="N57" s="6" t="str">
        <f t="shared" si="3"/>
        <v/>
      </c>
    </row>
    <row r="58" spans="1:14">
      <c r="A58" s="4">
        <v>56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6" t="str">
        <f t="shared" si="2"/>
        <v/>
      </c>
      <c r="N58" s="6" t="str">
        <f t="shared" si="3"/>
        <v/>
      </c>
    </row>
    <row r="59" spans="1:14">
      <c r="A59" s="4">
        <v>57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6" t="str">
        <f t="shared" si="2"/>
        <v/>
      </c>
      <c r="N59" s="6" t="str">
        <f t="shared" si="3"/>
        <v/>
      </c>
    </row>
    <row r="60" spans="1:14">
      <c r="A60" s="4">
        <v>58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6" t="str">
        <f t="shared" si="2"/>
        <v/>
      </c>
      <c r="N60" s="6" t="str">
        <f t="shared" si="3"/>
        <v/>
      </c>
    </row>
    <row r="61" spans="1:14">
      <c r="A61" s="4">
        <v>59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6" t="str">
        <f t="shared" si="2"/>
        <v/>
      </c>
      <c r="N61" s="6" t="str">
        <f t="shared" si="3"/>
        <v/>
      </c>
    </row>
    <row r="62" spans="1:14">
      <c r="A62" s="4">
        <v>60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6" t="str">
        <f t="shared" si="2"/>
        <v/>
      </c>
      <c r="N62" s="6" t="str">
        <f t="shared" si="3"/>
        <v/>
      </c>
    </row>
    <row r="63" spans="1:14">
      <c r="A63" s="4">
        <v>61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6" t="str">
        <f t="shared" si="2"/>
        <v/>
      </c>
      <c r="N63" s="6" t="str">
        <f t="shared" si="3"/>
        <v/>
      </c>
    </row>
    <row r="64" spans="1:14">
      <c r="A64" s="4">
        <v>62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6" t="str">
        <f t="shared" si="2"/>
        <v/>
      </c>
      <c r="N64" s="6" t="str">
        <f t="shared" si="3"/>
        <v/>
      </c>
    </row>
    <row r="65" spans="1:14">
      <c r="A65" s="4">
        <v>63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6" t="str">
        <f t="shared" si="2"/>
        <v/>
      </c>
      <c r="N65" s="6" t="str">
        <f t="shared" si="3"/>
        <v/>
      </c>
    </row>
    <row r="66" spans="1:14">
      <c r="A66" s="4">
        <v>64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6" t="str">
        <f t="shared" si="2"/>
        <v/>
      </c>
      <c r="N66" s="6" t="str">
        <f t="shared" si="3"/>
        <v/>
      </c>
    </row>
    <row r="67" spans="1:14">
      <c r="A67" s="4">
        <v>65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6" t="str">
        <f t="shared" ref="M67:M98" si="4">IF(COUNTA(B67:L67)=0,"",ROUND(AVERAGE(I67:L67),2))</f>
        <v/>
      </c>
      <c r="N67" s="6" t="str">
        <f t="shared" ref="N67:N98" si="5">IF(M67="","",IF(M67&gt;=4,"Основная гипотеза",IF(M67&gt;=3,"Требует проверки","Слабая гипотеза")))</f>
        <v/>
      </c>
    </row>
    <row r="68" spans="1:14">
      <c r="A68" s="4">
        <v>66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6" t="str">
        <f t="shared" si="4"/>
        <v/>
      </c>
      <c r="N68" s="6" t="str">
        <f t="shared" si="5"/>
        <v/>
      </c>
    </row>
    <row r="69" spans="1:14">
      <c r="A69" s="4">
        <v>67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6" t="str">
        <f t="shared" si="4"/>
        <v/>
      </c>
      <c r="N69" s="6" t="str">
        <f t="shared" si="5"/>
        <v/>
      </c>
    </row>
    <row r="70" spans="1:14">
      <c r="A70" s="4">
        <v>68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6" t="str">
        <f t="shared" si="4"/>
        <v/>
      </c>
      <c r="N70" s="6" t="str">
        <f t="shared" si="5"/>
        <v/>
      </c>
    </row>
    <row r="71" spans="1:14">
      <c r="A71" s="4">
        <v>69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6" t="str">
        <f t="shared" si="4"/>
        <v/>
      </c>
      <c r="N71" s="6" t="str">
        <f t="shared" si="5"/>
        <v/>
      </c>
    </row>
    <row r="72" spans="1:14">
      <c r="A72" s="4">
        <v>70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6" t="str">
        <f t="shared" si="4"/>
        <v/>
      </c>
      <c r="N72" s="6" t="str">
        <f t="shared" si="5"/>
        <v/>
      </c>
    </row>
    <row r="73" spans="1:14">
      <c r="A73" s="4">
        <v>71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6" t="str">
        <f t="shared" si="4"/>
        <v/>
      </c>
      <c r="N73" s="6" t="str">
        <f t="shared" si="5"/>
        <v/>
      </c>
    </row>
    <row r="74" spans="1:14">
      <c r="A74" s="4">
        <v>72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6" t="str">
        <f t="shared" si="4"/>
        <v/>
      </c>
      <c r="N74" s="6" t="str">
        <f t="shared" si="5"/>
        <v/>
      </c>
    </row>
    <row r="75" spans="1:14">
      <c r="A75" s="4">
        <v>73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6" t="str">
        <f t="shared" si="4"/>
        <v/>
      </c>
      <c r="N75" s="6" t="str">
        <f t="shared" si="5"/>
        <v/>
      </c>
    </row>
    <row r="76" spans="1:14">
      <c r="A76" s="4">
        <v>74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6" t="str">
        <f t="shared" si="4"/>
        <v/>
      </c>
      <c r="N76" s="6" t="str">
        <f t="shared" si="5"/>
        <v/>
      </c>
    </row>
    <row r="77" spans="1:14">
      <c r="A77" s="4">
        <v>75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6" t="str">
        <f t="shared" si="4"/>
        <v/>
      </c>
      <c r="N77" s="6" t="str">
        <f t="shared" si="5"/>
        <v/>
      </c>
    </row>
    <row r="78" spans="1:14">
      <c r="A78" s="4">
        <v>76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6" t="str">
        <f t="shared" si="4"/>
        <v/>
      </c>
      <c r="N78" s="6" t="str">
        <f t="shared" si="5"/>
        <v/>
      </c>
    </row>
    <row r="79" spans="1:14">
      <c r="A79" s="4">
        <v>77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6" t="str">
        <f t="shared" si="4"/>
        <v/>
      </c>
      <c r="N79" s="6" t="str">
        <f t="shared" si="5"/>
        <v/>
      </c>
    </row>
    <row r="80" spans="1:14">
      <c r="A80" s="4">
        <v>78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6" t="str">
        <f t="shared" si="4"/>
        <v/>
      </c>
      <c r="N80" s="6" t="str">
        <f t="shared" si="5"/>
        <v/>
      </c>
    </row>
    <row r="81" spans="1:14">
      <c r="A81" s="4">
        <v>79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6" t="str">
        <f t="shared" si="4"/>
        <v/>
      </c>
      <c r="N81" s="6" t="str">
        <f t="shared" si="5"/>
        <v/>
      </c>
    </row>
    <row r="82" spans="1:14">
      <c r="A82" s="4">
        <v>80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6" t="str">
        <f t="shared" si="4"/>
        <v/>
      </c>
      <c r="N82" s="6" t="str">
        <f t="shared" si="5"/>
        <v/>
      </c>
    </row>
    <row r="83" spans="1:14">
      <c r="A83" s="4">
        <v>81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6" t="str">
        <f t="shared" si="4"/>
        <v/>
      </c>
      <c r="N83" s="6" t="str">
        <f t="shared" si="5"/>
        <v/>
      </c>
    </row>
    <row r="84" spans="1:14">
      <c r="A84" s="4">
        <v>82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6" t="str">
        <f t="shared" si="4"/>
        <v/>
      </c>
      <c r="N84" s="6" t="str">
        <f t="shared" si="5"/>
        <v/>
      </c>
    </row>
    <row r="85" spans="1:14">
      <c r="A85" s="4">
        <v>83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6" t="str">
        <f t="shared" si="4"/>
        <v/>
      </c>
      <c r="N85" s="6" t="str">
        <f t="shared" si="5"/>
        <v/>
      </c>
    </row>
    <row r="86" spans="1:14">
      <c r="A86" s="4">
        <v>84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6" t="str">
        <f t="shared" si="4"/>
        <v/>
      </c>
      <c r="N86" s="6" t="str">
        <f t="shared" si="5"/>
        <v/>
      </c>
    </row>
    <row r="87" spans="1:14">
      <c r="A87" s="4">
        <v>85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6" t="str">
        <f t="shared" si="4"/>
        <v/>
      </c>
      <c r="N87" s="6" t="str">
        <f t="shared" si="5"/>
        <v/>
      </c>
    </row>
    <row r="88" spans="1:14">
      <c r="A88" s="4">
        <v>86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6" t="str">
        <f t="shared" si="4"/>
        <v/>
      </c>
      <c r="N88" s="6" t="str">
        <f t="shared" si="5"/>
        <v/>
      </c>
    </row>
    <row r="89" spans="1:14">
      <c r="A89" s="4">
        <v>87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6" t="str">
        <f t="shared" si="4"/>
        <v/>
      </c>
      <c r="N89" s="6" t="str">
        <f t="shared" si="5"/>
        <v/>
      </c>
    </row>
    <row r="90" spans="1:14">
      <c r="A90" s="4">
        <v>88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6" t="str">
        <f t="shared" si="4"/>
        <v/>
      </c>
      <c r="N90" s="6" t="str">
        <f t="shared" si="5"/>
        <v/>
      </c>
    </row>
    <row r="91" spans="1:14">
      <c r="A91" s="4">
        <v>89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6" t="str">
        <f t="shared" si="4"/>
        <v/>
      </c>
      <c r="N91" s="6" t="str">
        <f t="shared" si="5"/>
        <v/>
      </c>
    </row>
    <row r="92" spans="1:14">
      <c r="A92" s="4">
        <v>90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6" t="str">
        <f t="shared" si="4"/>
        <v/>
      </c>
      <c r="N92" s="6" t="str">
        <f t="shared" si="5"/>
        <v/>
      </c>
    </row>
    <row r="93" spans="1:14">
      <c r="A93" s="4">
        <v>91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6" t="str">
        <f t="shared" si="4"/>
        <v/>
      </c>
      <c r="N93" s="6" t="str">
        <f t="shared" si="5"/>
        <v/>
      </c>
    </row>
    <row r="94" spans="1:14">
      <c r="A94" s="4">
        <v>92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6" t="str">
        <f t="shared" si="4"/>
        <v/>
      </c>
      <c r="N94" s="6" t="str">
        <f t="shared" si="5"/>
        <v/>
      </c>
    </row>
    <row r="95" spans="1:14">
      <c r="A95" s="4">
        <v>93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6" t="str">
        <f t="shared" si="4"/>
        <v/>
      </c>
      <c r="N95" s="6" t="str">
        <f t="shared" si="5"/>
        <v/>
      </c>
    </row>
    <row r="96" spans="1:14">
      <c r="A96" s="4">
        <v>94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6" t="str">
        <f t="shared" si="4"/>
        <v/>
      </c>
      <c r="N96" s="6" t="str">
        <f t="shared" si="5"/>
        <v/>
      </c>
    </row>
    <row r="97" spans="1:14">
      <c r="A97" s="4">
        <v>95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6" t="str">
        <f t="shared" si="4"/>
        <v/>
      </c>
      <c r="N97" s="6" t="str">
        <f t="shared" si="5"/>
        <v/>
      </c>
    </row>
    <row r="98" spans="1:14">
      <c r="A98" s="4">
        <v>96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6" t="str">
        <f t="shared" si="4"/>
        <v/>
      </c>
      <c r="N98" s="6" t="str">
        <f t="shared" si="5"/>
        <v/>
      </c>
    </row>
    <row r="99" spans="1:14">
      <c r="A99" s="4">
        <v>97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6" t="str">
        <f t="shared" ref="M99:M130" si="6">IF(COUNTA(B99:L99)=0,"",ROUND(AVERAGE(I99:L99),2))</f>
        <v/>
      </c>
      <c r="N99" s="6" t="str">
        <f t="shared" ref="N99:N130" si="7">IF(M99="","",IF(M99&gt;=4,"Основная гипотеза",IF(M99&gt;=3,"Требует проверки","Слабая гипотеза")))</f>
        <v/>
      </c>
    </row>
    <row r="100" spans="1:14">
      <c r="A100" s="4">
        <v>98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6" t="str">
        <f t="shared" si="6"/>
        <v/>
      </c>
      <c r="N100" s="6" t="str">
        <f t="shared" si="7"/>
        <v/>
      </c>
    </row>
    <row r="101" spans="1:14">
      <c r="A101" s="4">
        <v>99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6" t="str">
        <f t="shared" si="6"/>
        <v/>
      </c>
      <c r="N101" s="6" t="str">
        <f t="shared" si="7"/>
        <v/>
      </c>
    </row>
    <row r="102" spans="1:14">
      <c r="A102" s="4">
        <v>100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6" t="str">
        <f t="shared" si="6"/>
        <v/>
      </c>
      <c r="N102" s="6" t="str">
        <f t="shared" si="7"/>
        <v/>
      </c>
    </row>
  </sheetData>
  <mergeCells count="1">
    <mergeCell ref="A1:N1"/>
  </mergeCells>
  <conditionalFormatting sqref="M3:M102">
    <cfRule type="dataBar" priority="1">
      <dataBar>
        <cfvo type="min"/>
        <cfvo type="max"/>
        <color rgb="FF0EA5E9"/>
      </dataBar>
    </cfRule>
    <cfRule type="dataBar" priority="2">
      <dataBar>
        <cfvo type="min"/>
        <cfvo type="max"/>
        <color rgb="FF0EA5E9"/>
      </dataBar>
      <extLst>
        <ext xmlns:x14="http://schemas.microsoft.com/office/spreadsheetml/2009/9/main" uri="{B025F937-C7B1-47D3-B67F-A62EFF666E3E}">
          <x14:id>{0E344F17-D911-0C8F-3324-219546375859}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E344F17-D911-0C8F-3324-219546375859}">
            <x14:dataBar>
              <x14:cfvo type="min"/>
              <x14:cfvo type="max"/>
              <x14:negativeFillColor auto="1"/>
              <x14:axisColor auto="1"/>
            </x14:dataBar>
          </x14:cfRule>
          <xm:sqref>M3:M102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600-000000000000}">
          <x14:formula1>
            <xm:f>'12_Справочники'!$G$3:$G$12</xm:f>
          </x14:formula1>
          <xm:sqref>F3:F102</xm:sqref>
        </x14:dataValidation>
        <x14:dataValidation type="list" xr:uid="{00000000-0002-0000-0600-000001000000}">
          <x14:formula1>
            <xm:f>'12_Справочники'!$C$3:$C$7</xm:f>
          </x14:formula1>
          <xm:sqref>I3:L102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22"/>
  <sheetViews>
    <sheetView workbookViewId="0"/>
  </sheetViews>
  <sheetFormatPr defaultRowHeight="14.25"/>
  <cols>
    <col min="1" max="1" width="7" customWidth="1"/>
    <col min="2" max="2" width="25" customWidth="1"/>
    <col min="3" max="6" width="30" customWidth="1"/>
    <col min="7" max="9" width="16" customWidth="1"/>
    <col min="10" max="10" width="24" customWidth="1"/>
    <col min="11" max="11" width="20" customWidth="1"/>
  </cols>
  <sheetData>
    <row r="1" spans="1:11" ht="32.1" customHeight="1">
      <c r="A1" s="9" t="s">
        <v>134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32.1" customHeight="1">
      <c r="A2" s="3" t="s">
        <v>37</v>
      </c>
      <c r="B2" s="3" t="s">
        <v>135</v>
      </c>
      <c r="C2" s="3" t="s">
        <v>136</v>
      </c>
      <c r="D2" s="3" t="s">
        <v>137</v>
      </c>
      <c r="E2" s="3" t="s">
        <v>138</v>
      </c>
      <c r="F2" s="3" t="s">
        <v>139</v>
      </c>
      <c r="G2" s="3" t="s">
        <v>140</v>
      </c>
      <c r="H2" s="3" t="s">
        <v>141</v>
      </c>
      <c r="I2" s="3" t="s">
        <v>142</v>
      </c>
      <c r="J2" s="3" t="s">
        <v>143</v>
      </c>
      <c r="K2" s="3" t="s">
        <v>144</v>
      </c>
    </row>
    <row r="3" spans="1:11" ht="28.5">
      <c r="A3" s="4">
        <v>1</v>
      </c>
      <c r="B3" s="5" t="s">
        <v>75</v>
      </c>
      <c r="C3" s="5" t="s">
        <v>532</v>
      </c>
      <c r="D3" s="5" t="s">
        <v>482</v>
      </c>
      <c r="E3" s="5" t="s">
        <v>533</v>
      </c>
      <c r="F3" s="5" t="s">
        <v>534</v>
      </c>
      <c r="G3" s="5">
        <v>5</v>
      </c>
      <c r="H3" s="5">
        <v>4</v>
      </c>
      <c r="I3" s="5">
        <v>3</v>
      </c>
      <c r="J3" s="5" t="s">
        <v>248</v>
      </c>
      <c r="K3" s="6">
        <f t="shared" ref="K3:K34" si="0">IF(COUNTA(B3:J3)=0,"",ROUND(AVERAGE(G3,6-H3,I3),2))</f>
        <v>3.33</v>
      </c>
    </row>
    <row r="4" spans="1:11" ht="28.5">
      <c r="A4" s="4">
        <v>2</v>
      </c>
      <c r="B4" s="5" t="s">
        <v>75</v>
      </c>
      <c r="C4" s="5" t="s">
        <v>535</v>
      </c>
      <c r="D4" s="5" t="s">
        <v>536</v>
      </c>
      <c r="E4" s="5" t="s">
        <v>537</v>
      </c>
      <c r="F4" s="5" t="s">
        <v>538</v>
      </c>
      <c r="G4" s="5">
        <v>5</v>
      </c>
      <c r="H4" s="5">
        <v>2</v>
      </c>
      <c r="I4" s="5">
        <v>4</v>
      </c>
      <c r="J4" s="5" t="s">
        <v>248</v>
      </c>
      <c r="K4" s="6">
        <f t="shared" si="0"/>
        <v>4.33</v>
      </c>
    </row>
    <row r="5" spans="1:11" ht="28.5">
      <c r="A5" s="4">
        <v>3</v>
      </c>
      <c r="B5" s="5" t="s">
        <v>75</v>
      </c>
      <c r="C5" s="5" t="s">
        <v>539</v>
      </c>
      <c r="D5" s="5" t="s">
        <v>540</v>
      </c>
      <c r="E5" s="5" t="s">
        <v>541</v>
      </c>
      <c r="F5" s="5" t="s">
        <v>542</v>
      </c>
      <c r="G5" s="5">
        <v>4</v>
      </c>
      <c r="H5" s="5">
        <v>4</v>
      </c>
      <c r="I5" s="5">
        <v>3</v>
      </c>
      <c r="J5" s="5" t="s">
        <v>257</v>
      </c>
      <c r="K5" s="6">
        <f t="shared" si="0"/>
        <v>3</v>
      </c>
    </row>
    <row r="6" spans="1:11" ht="28.5">
      <c r="A6" s="4">
        <v>4</v>
      </c>
      <c r="B6" s="5" t="s">
        <v>78</v>
      </c>
      <c r="C6" s="5" t="s">
        <v>543</v>
      </c>
      <c r="D6" s="5" t="s">
        <v>544</v>
      </c>
      <c r="E6" s="5" t="s">
        <v>545</v>
      </c>
      <c r="F6" s="5" t="s">
        <v>546</v>
      </c>
      <c r="G6" s="5">
        <v>5</v>
      </c>
      <c r="H6" s="5">
        <v>3</v>
      </c>
      <c r="I6" s="5">
        <v>4</v>
      </c>
      <c r="J6" s="5" t="s">
        <v>248</v>
      </c>
      <c r="K6" s="6">
        <f t="shared" si="0"/>
        <v>4</v>
      </c>
    </row>
    <row r="7" spans="1:11" ht="28.5">
      <c r="A7" s="4">
        <v>5</v>
      </c>
      <c r="B7" s="5" t="s">
        <v>78</v>
      </c>
      <c r="C7" s="5" t="s">
        <v>547</v>
      </c>
      <c r="D7" s="5" t="s">
        <v>548</v>
      </c>
      <c r="E7" s="5" t="s">
        <v>549</v>
      </c>
      <c r="F7" s="5" t="s">
        <v>550</v>
      </c>
      <c r="G7" s="5">
        <v>4</v>
      </c>
      <c r="H7" s="5">
        <v>4</v>
      </c>
      <c r="I7" s="5">
        <v>2</v>
      </c>
      <c r="J7" s="5" t="s">
        <v>248</v>
      </c>
      <c r="K7" s="6">
        <f t="shared" si="0"/>
        <v>2.67</v>
      </c>
    </row>
    <row r="8" spans="1:11" ht="28.5">
      <c r="A8" s="4">
        <v>6</v>
      </c>
      <c r="B8" s="5" t="s">
        <v>78</v>
      </c>
      <c r="C8" s="5" t="s">
        <v>551</v>
      </c>
      <c r="D8" s="5" t="s">
        <v>552</v>
      </c>
      <c r="E8" s="5" t="s">
        <v>553</v>
      </c>
      <c r="F8" s="5" t="s">
        <v>554</v>
      </c>
      <c r="G8" s="5">
        <v>4</v>
      </c>
      <c r="H8" s="5">
        <v>4</v>
      </c>
      <c r="I8" s="5">
        <v>3</v>
      </c>
      <c r="J8" s="5" t="s">
        <v>248</v>
      </c>
      <c r="K8" s="6">
        <f t="shared" si="0"/>
        <v>3</v>
      </c>
    </row>
    <row r="9" spans="1:11" ht="28.5">
      <c r="A9" s="4">
        <v>7</v>
      </c>
      <c r="B9" s="5" t="s">
        <v>81</v>
      </c>
      <c r="C9" s="5" t="s">
        <v>555</v>
      </c>
      <c r="D9" s="5" t="s">
        <v>556</v>
      </c>
      <c r="E9" s="5" t="s">
        <v>557</v>
      </c>
      <c r="F9" s="5" t="s">
        <v>558</v>
      </c>
      <c r="G9" s="5">
        <v>3</v>
      </c>
      <c r="H9" s="5">
        <v>4</v>
      </c>
      <c r="I9" s="5">
        <v>3</v>
      </c>
      <c r="J9" s="5" t="s">
        <v>266</v>
      </c>
      <c r="K9" s="6">
        <f t="shared" si="0"/>
        <v>2.67</v>
      </c>
    </row>
    <row r="10" spans="1:11">
      <c r="A10" s="4">
        <v>8</v>
      </c>
      <c r="B10" s="5" t="s">
        <v>81</v>
      </c>
      <c r="C10" s="5" t="s">
        <v>559</v>
      </c>
      <c r="D10" s="5" t="s">
        <v>560</v>
      </c>
      <c r="E10" s="5" t="s">
        <v>561</v>
      </c>
      <c r="F10" s="5" t="s">
        <v>562</v>
      </c>
      <c r="G10" s="5">
        <v>4</v>
      </c>
      <c r="H10" s="5">
        <v>5</v>
      </c>
      <c r="I10" s="5">
        <v>1</v>
      </c>
      <c r="J10" s="5" t="s">
        <v>275</v>
      </c>
      <c r="K10" s="6">
        <f t="shared" si="0"/>
        <v>2</v>
      </c>
    </row>
    <row r="11" spans="1:11">
      <c r="A11" s="4">
        <v>9</v>
      </c>
      <c r="B11" s="5" t="s">
        <v>81</v>
      </c>
      <c r="C11" s="5" t="s">
        <v>389</v>
      </c>
      <c r="D11" s="5" t="s">
        <v>563</v>
      </c>
      <c r="E11" s="5" t="s">
        <v>500</v>
      </c>
      <c r="F11" s="5" t="s">
        <v>564</v>
      </c>
      <c r="G11" s="5">
        <v>4</v>
      </c>
      <c r="H11" s="5">
        <v>2</v>
      </c>
      <c r="I11" s="5">
        <v>3</v>
      </c>
      <c r="J11" s="5" t="s">
        <v>275</v>
      </c>
      <c r="K11" s="6">
        <f t="shared" si="0"/>
        <v>3.67</v>
      </c>
    </row>
    <row r="12" spans="1:11">
      <c r="A12" s="4">
        <v>10</v>
      </c>
      <c r="B12" s="5"/>
      <c r="C12" s="5"/>
      <c r="D12" s="5"/>
      <c r="E12" s="5"/>
      <c r="F12" s="5"/>
      <c r="G12" s="5"/>
      <c r="H12" s="5"/>
      <c r="I12" s="5"/>
      <c r="J12" s="5"/>
      <c r="K12" s="6" t="str">
        <f t="shared" si="0"/>
        <v/>
      </c>
    </row>
    <row r="13" spans="1:11">
      <c r="A13" s="4">
        <v>11</v>
      </c>
      <c r="B13" s="5"/>
      <c r="C13" s="5"/>
      <c r="D13" s="5"/>
      <c r="E13" s="5"/>
      <c r="F13" s="5"/>
      <c r="G13" s="5"/>
      <c r="H13" s="5"/>
      <c r="I13" s="5"/>
      <c r="J13" s="5"/>
      <c r="K13" s="6" t="str">
        <f t="shared" si="0"/>
        <v/>
      </c>
    </row>
    <row r="14" spans="1:11">
      <c r="A14" s="4">
        <v>12</v>
      </c>
      <c r="B14" s="5"/>
      <c r="C14" s="5"/>
      <c r="D14" s="5"/>
      <c r="E14" s="5"/>
      <c r="F14" s="5"/>
      <c r="G14" s="5"/>
      <c r="H14" s="5"/>
      <c r="I14" s="5"/>
      <c r="J14" s="5"/>
      <c r="K14" s="6" t="str">
        <f t="shared" si="0"/>
        <v/>
      </c>
    </row>
    <row r="15" spans="1:11">
      <c r="A15" s="4">
        <v>13</v>
      </c>
      <c r="B15" s="5"/>
      <c r="C15" s="5"/>
      <c r="D15" s="5"/>
      <c r="E15" s="5"/>
      <c r="F15" s="5"/>
      <c r="G15" s="5"/>
      <c r="H15" s="5"/>
      <c r="I15" s="5"/>
      <c r="J15" s="5"/>
      <c r="K15" s="6" t="str">
        <f t="shared" si="0"/>
        <v/>
      </c>
    </row>
    <row r="16" spans="1:11">
      <c r="A16" s="4">
        <v>14</v>
      </c>
      <c r="B16" s="5"/>
      <c r="C16" s="5"/>
      <c r="D16" s="5"/>
      <c r="E16" s="5"/>
      <c r="F16" s="5"/>
      <c r="G16" s="5"/>
      <c r="H16" s="5"/>
      <c r="I16" s="5"/>
      <c r="J16" s="5"/>
      <c r="K16" s="6" t="str">
        <f t="shared" si="0"/>
        <v/>
      </c>
    </row>
    <row r="17" spans="1:11">
      <c r="A17" s="4">
        <v>15</v>
      </c>
      <c r="B17" s="5"/>
      <c r="C17" s="5"/>
      <c r="D17" s="5"/>
      <c r="E17" s="5"/>
      <c r="F17" s="5"/>
      <c r="G17" s="5"/>
      <c r="H17" s="5"/>
      <c r="I17" s="5"/>
      <c r="J17" s="5"/>
      <c r="K17" s="6" t="str">
        <f t="shared" si="0"/>
        <v/>
      </c>
    </row>
    <row r="18" spans="1:11">
      <c r="A18" s="4">
        <v>16</v>
      </c>
      <c r="B18" s="5"/>
      <c r="C18" s="5"/>
      <c r="D18" s="5"/>
      <c r="E18" s="5"/>
      <c r="F18" s="5"/>
      <c r="G18" s="5"/>
      <c r="H18" s="5"/>
      <c r="I18" s="5"/>
      <c r="J18" s="5"/>
      <c r="K18" s="6" t="str">
        <f t="shared" si="0"/>
        <v/>
      </c>
    </row>
    <row r="19" spans="1:11">
      <c r="A19" s="4">
        <v>17</v>
      </c>
      <c r="B19" s="5"/>
      <c r="C19" s="5"/>
      <c r="D19" s="5"/>
      <c r="E19" s="5"/>
      <c r="F19" s="5"/>
      <c r="G19" s="5"/>
      <c r="H19" s="5"/>
      <c r="I19" s="5"/>
      <c r="J19" s="5"/>
      <c r="K19" s="6" t="str">
        <f t="shared" si="0"/>
        <v/>
      </c>
    </row>
    <row r="20" spans="1:11">
      <c r="A20" s="4">
        <v>18</v>
      </c>
      <c r="B20" s="5"/>
      <c r="C20" s="5"/>
      <c r="D20" s="5"/>
      <c r="E20" s="5"/>
      <c r="F20" s="5"/>
      <c r="G20" s="5"/>
      <c r="H20" s="5"/>
      <c r="I20" s="5"/>
      <c r="J20" s="5"/>
      <c r="K20" s="6" t="str">
        <f t="shared" si="0"/>
        <v/>
      </c>
    </row>
    <row r="21" spans="1:11">
      <c r="A21" s="4">
        <v>19</v>
      </c>
      <c r="B21" s="5"/>
      <c r="C21" s="5"/>
      <c r="D21" s="5"/>
      <c r="E21" s="5"/>
      <c r="F21" s="5"/>
      <c r="G21" s="5"/>
      <c r="H21" s="5"/>
      <c r="I21" s="5"/>
      <c r="J21" s="5"/>
      <c r="K21" s="6" t="str">
        <f t="shared" si="0"/>
        <v/>
      </c>
    </row>
    <row r="22" spans="1:11">
      <c r="A22" s="4">
        <v>20</v>
      </c>
      <c r="B22" s="5"/>
      <c r="C22" s="5"/>
      <c r="D22" s="5"/>
      <c r="E22" s="5"/>
      <c r="F22" s="5"/>
      <c r="G22" s="5"/>
      <c r="H22" s="5"/>
      <c r="I22" s="5"/>
      <c r="J22" s="5"/>
      <c r="K22" s="6" t="str">
        <f t="shared" si="0"/>
        <v/>
      </c>
    </row>
    <row r="23" spans="1:11">
      <c r="A23" s="4">
        <v>21</v>
      </c>
      <c r="B23" s="5"/>
      <c r="C23" s="5"/>
      <c r="D23" s="5"/>
      <c r="E23" s="5"/>
      <c r="F23" s="5"/>
      <c r="G23" s="5"/>
      <c r="H23" s="5"/>
      <c r="I23" s="5"/>
      <c r="J23" s="5"/>
      <c r="K23" s="6" t="str">
        <f t="shared" si="0"/>
        <v/>
      </c>
    </row>
    <row r="24" spans="1:11">
      <c r="A24" s="4">
        <v>22</v>
      </c>
      <c r="B24" s="5"/>
      <c r="C24" s="5"/>
      <c r="D24" s="5"/>
      <c r="E24" s="5"/>
      <c r="F24" s="5"/>
      <c r="G24" s="5"/>
      <c r="H24" s="5"/>
      <c r="I24" s="5"/>
      <c r="J24" s="5"/>
      <c r="K24" s="6" t="str">
        <f t="shared" si="0"/>
        <v/>
      </c>
    </row>
    <row r="25" spans="1:11">
      <c r="A25" s="4">
        <v>23</v>
      </c>
      <c r="B25" s="5"/>
      <c r="C25" s="5"/>
      <c r="D25" s="5"/>
      <c r="E25" s="5"/>
      <c r="F25" s="5"/>
      <c r="G25" s="5"/>
      <c r="H25" s="5"/>
      <c r="I25" s="5"/>
      <c r="J25" s="5"/>
      <c r="K25" s="6" t="str">
        <f t="shared" si="0"/>
        <v/>
      </c>
    </row>
    <row r="26" spans="1:11">
      <c r="A26" s="4">
        <v>24</v>
      </c>
      <c r="B26" s="5"/>
      <c r="C26" s="5"/>
      <c r="D26" s="5"/>
      <c r="E26" s="5"/>
      <c r="F26" s="5"/>
      <c r="G26" s="5"/>
      <c r="H26" s="5"/>
      <c r="I26" s="5"/>
      <c r="J26" s="5"/>
      <c r="K26" s="6" t="str">
        <f t="shared" si="0"/>
        <v/>
      </c>
    </row>
    <row r="27" spans="1:11">
      <c r="A27" s="4">
        <v>25</v>
      </c>
      <c r="B27" s="5"/>
      <c r="C27" s="5"/>
      <c r="D27" s="5"/>
      <c r="E27" s="5"/>
      <c r="F27" s="5"/>
      <c r="G27" s="5"/>
      <c r="H27" s="5"/>
      <c r="I27" s="5"/>
      <c r="J27" s="5"/>
      <c r="K27" s="6" t="str">
        <f t="shared" si="0"/>
        <v/>
      </c>
    </row>
    <row r="28" spans="1:11">
      <c r="A28" s="4">
        <v>26</v>
      </c>
      <c r="B28" s="5"/>
      <c r="C28" s="5"/>
      <c r="D28" s="5"/>
      <c r="E28" s="5"/>
      <c r="F28" s="5"/>
      <c r="G28" s="5"/>
      <c r="H28" s="5"/>
      <c r="I28" s="5"/>
      <c r="J28" s="5"/>
      <c r="K28" s="6" t="str">
        <f t="shared" si="0"/>
        <v/>
      </c>
    </row>
    <row r="29" spans="1:11">
      <c r="A29" s="4">
        <v>27</v>
      </c>
      <c r="B29" s="5"/>
      <c r="C29" s="5"/>
      <c r="D29" s="5"/>
      <c r="E29" s="5"/>
      <c r="F29" s="5"/>
      <c r="G29" s="5"/>
      <c r="H29" s="5"/>
      <c r="I29" s="5"/>
      <c r="J29" s="5"/>
      <c r="K29" s="6" t="str">
        <f t="shared" si="0"/>
        <v/>
      </c>
    </row>
    <row r="30" spans="1:11">
      <c r="A30" s="4">
        <v>28</v>
      </c>
      <c r="B30" s="5"/>
      <c r="C30" s="5"/>
      <c r="D30" s="5"/>
      <c r="E30" s="5"/>
      <c r="F30" s="5"/>
      <c r="G30" s="5"/>
      <c r="H30" s="5"/>
      <c r="I30" s="5"/>
      <c r="J30" s="5"/>
      <c r="K30" s="6" t="str">
        <f t="shared" si="0"/>
        <v/>
      </c>
    </row>
    <row r="31" spans="1:11">
      <c r="A31" s="4">
        <v>29</v>
      </c>
      <c r="B31" s="5"/>
      <c r="C31" s="5"/>
      <c r="D31" s="5"/>
      <c r="E31" s="5"/>
      <c r="F31" s="5"/>
      <c r="G31" s="5"/>
      <c r="H31" s="5"/>
      <c r="I31" s="5"/>
      <c r="J31" s="5"/>
      <c r="K31" s="6" t="str">
        <f t="shared" si="0"/>
        <v/>
      </c>
    </row>
    <row r="32" spans="1:11">
      <c r="A32" s="4">
        <v>30</v>
      </c>
      <c r="B32" s="5"/>
      <c r="C32" s="5"/>
      <c r="D32" s="5"/>
      <c r="E32" s="5"/>
      <c r="F32" s="5"/>
      <c r="G32" s="5"/>
      <c r="H32" s="5"/>
      <c r="I32" s="5"/>
      <c r="J32" s="5"/>
      <c r="K32" s="6" t="str">
        <f t="shared" si="0"/>
        <v/>
      </c>
    </row>
    <row r="33" spans="1:11">
      <c r="A33" s="4">
        <v>31</v>
      </c>
      <c r="B33" s="5"/>
      <c r="C33" s="5"/>
      <c r="D33" s="5"/>
      <c r="E33" s="5"/>
      <c r="F33" s="5"/>
      <c r="G33" s="5"/>
      <c r="H33" s="5"/>
      <c r="I33" s="5"/>
      <c r="J33" s="5"/>
      <c r="K33" s="6" t="str">
        <f t="shared" si="0"/>
        <v/>
      </c>
    </row>
    <row r="34" spans="1:11">
      <c r="A34" s="4">
        <v>32</v>
      </c>
      <c r="B34" s="5"/>
      <c r="C34" s="5"/>
      <c r="D34" s="5"/>
      <c r="E34" s="5"/>
      <c r="F34" s="5"/>
      <c r="G34" s="5"/>
      <c r="H34" s="5"/>
      <c r="I34" s="5"/>
      <c r="J34" s="5"/>
      <c r="K34" s="6" t="str">
        <f t="shared" si="0"/>
        <v/>
      </c>
    </row>
    <row r="35" spans="1:11">
      <c r="A35" s="4">
        <v>33</v>
      </c>
      <c r="B35" s="5"/>
      <c r="C35" s="5"/>
      <c r="D35" s="5"/>
      <c r="E35" s="5"/>
      <c r="F35" s="5"/>
      <c r="G35" s="5"/>
      <c r="H35" s="5"/>
      <c r="I35" s="5"/>
      <c r="J35" s="5"/>
      <c r="K35" s="6" t="str">
        <f t="shared" ref="K35:K66" si="1">IF(COUNTA(B35:J35)=0,"",ROUND(AVERAGE(G35,6-H35,I35),2))</f>
        <v/>
      </c>
    </row>
    <row r="36" spans="1:11">
      <c r="A36" s="4">
        <v>34</v>
      </c>
      <c r="B36" s="5"/>
      <c r="C36" s="5"/>
      <c r="D36" s="5"/>
      <c r="E36" s="5"/>
      <c r="F36" s="5"/>
      <c r="G36" s="5"/>
      <c r="H36" s="5"/>
      <c r="I36" s="5"/>
      <c r="J36" s="5"/>
      <c r="K36" s="6" t="str">
        <f t="shared" si="1"/>
        <v/>
      </c>
    </row>
    <row r="37" spans="1:11">
      <c r="A37" s="4">
        <v>35</v>
      </c>
      <c r="B37" s="5"/>
      <c r="C37" s="5"/>
      <c r="D37" s="5"/>
      <c r="E37" s="5"/>
      <c r="F37" s="5"/>
      <c r="G37" s="5"/>
      <c r="H37" s="5"/>
      <c r="I37" s="5"/>
      <c r="J37" s="5"/>
      <c r="K37" s="6" t="str">
        <f t="shared" si="1"/>
        <v/>
      </c>
    </row>
    <row r="38" spans="1:11">
      <c r="A38" s="4">
        <v>36</v>
      </c>
      <c r="B38" s="5"/>
      <c r="C38" s="5"/>
      <c r="D38" s="5"/>
      <c r="E38" s="5"/>
      <c r="F38" s="5"/>
      <c r="G38" s="5"/>
      <c r="H38" s="5"/>
      <c r="I38" s="5"/>
      <c r="J38" s="5"/>
      <c r="K38" s="6" t="str">
        <f t="shared" si="1"/>
        <v/>
      </c>
    </row>
    <row r="39" spans="1:11">
      <c r="A39" s="4">
        <v>37</v>
      </c>
      <c r="B39" s="5"/>
      <c r="C39" s="5"/>
      <c r="D39" s="5"/>
      <c r="E39" s="5"/>
      <c r="F39" s="5"/>
      <c r="G39" s="5"/>
      <c r="H39" s="5"/>
      <c r="I39" s="5"/>
      <c r="J39" s="5"/>
      <c r="K39" s="6" t="str">
        <f t="shared" si="1"/>
        <v/>
      </c>
    </row>
    <row r="40" spans="1:11">
      <c r="A40" s="4">
        <v>38</v>
      </c>
      <c r="B40" s="5"/>
      <c r="C40" s="5"/>
      <c r="D40" s="5"/>
      <c r="E40" s="5"/>
      <c r="F40" s="5"/>
      <c r="G40" s="5"/>
      <c r="H40" s="5"/>
      <c r="I40" s="5"/>
      <c r="J40" s="5"/>
      <c r="K40" s="6" t="str">
        <f t="shared" si="1"/>
        <v/>
      </c>
    </row>
    <row r="41" spans="1:11">
      <c r="A41" s="4">
        <v>39</v>
      </c>
      <c r="B41" s="5"/>
      <c r="C41" s="5"/>
      <c r="D41" s="5"/>
      <c r="E41" s="5"/>
      <c r="F41" s="5"/>
      <c r="G41" s="5"/>
      <c r="H41" s="5"/>
      <c r="I41" s="5"/>
      <c r="J41" s="5"/>
      <c r="K41" s="6" t="str">
        <f t="shared" si="1"/>
        <v/>
      </c>
    </row>
    <row r="42" spans="1:11">
      <c r="A42" s="4">
        <v>40</v>
      </c>
      <c r="B42" s="5"/>
      <c r="C42" s="5"/>
      <c r="D42" s="5"/>
      <c r="E42" s="5"/>
      <c r="F42" s="5"/>
      <c r="G42" s="5"/>
      <c r="H42" s="5"/>
      <c r="I42" s="5"/>
      <c r="J42" s="5"/>
      <c r="K42" s="6" t="str">
        <f t="shared" si="1"/>
        <v/>
      </c>
    </row>
    <row r="43" spans="1:11">
      <c r="A43" s="4">
        <v>41</v>
      </c>
      <c r="B43" s="5"/>
      <c r="C43" s="5"/>
      <c r="D43" s="5"/>
      <c r="E43" s="5"/>
      <c r="F43" s="5"/>
      <c r="G43" s="5"/>
      <c r="H43" s="5"/>
      <c r="I43" s="5"/>
      <c r="J43" s="5"/>
      <c r="K43" s="6" t="str">
        <f t="shared" si="1"/>
        <v/>
      </c>
    </row>
    <row r="44" spans="1:11">
      <c r="A44" s="4">
        <v>42</v>
      </c>
      <c r="B44" s="5"/>
      <c r="C44" s="5"/>
      <c r="D44" s="5"/>
      <c r="E44" s="5"/>
      <c r="F44" s="5"/>
      <c r="G44" s="5"/>
      <c r="H44" s="5"/>
      <c r="I44" s="5"/>
      <c r="J44" s="5"/>
      <c r="K44" s="6" t="str">
        <f t="shared" si="1"/>
        <v/>
      </c>
    </row>
    <row r="45" spans="1:11">
      <c r="A45" s="4">
        <v>43</v>
      </c>
      <c r="B45" s="5"/>
      <c r="C45" s="5"/>
      <c r="D45" s="5"/>
      <c r="E45" s="5"/>
      <c r="F45" s="5"/>
      <c r="G45" s="5"/>
      <c r="H45" s="5"/>
      <c r="I45" s="5"/>
      <c r="J45" s="5"/>
      <c r="K45" s="6" t="str">
        <f t="shared" si="1"/>
        <v/>
      </c>
    </row>
    <row r="46" spans="1:11">
      <c r="A46" s="4">
        <v>44</v>
      </c>
      <c r="B46" s="5"/>
      <c r="C46" s="5"/>
      <c r="D46" s="5"/>
      <c r="E46" s="5"/>
      <c r="F46" s="5"/>
      <c r="G46" s="5"/>
      <c r="H46" s="5"/>
      <c r="I46" s="5"/>
      <c r="J46" s="5"/>
      <c r="K46" s="6" t="str">
        <f t="shared" si="1"/>
        <v/>
      </c>
    </row>
    <row r="47" spans="1:11">
      <c r="A47" s="4">
        <v>45</v>
      </c>
      <c r="B47" s="5"/>
      <c r="C47" s="5"/>
      <c r="D47" s="5"/>
      <c r="E47" s="5"/>
      <c r="F47" s="5"/>
      <c r="G47" s="5"/>
      <c r="H47" s="5"/>
      <c r="I47" s="5"/>
      <c r="J47" s="5"/>
      <c r="K47" s="6" t="str">
        <f t="shared" si="1"/>
        <v/>
      </c>
    </row>
    <row r="48" spans="1:11">
      <c r="A48" s="4">
        <v>46</v>
      </c>
      <c r="B48" s="5"/>
      <c r="C48" s="5"/>
      <c r="D48" s="5"/>
      <c r="E48" s="5"/>
      <c r="F48" s="5"/>
      <c r="G48" s="5"/>
      <c r="H48" s="5"/>
      <c r="I48" s="5"/>
      <c r="J48" s="5"/>
      <c r="K48" s="6" t="str">
        <f t="shared" si="1"/>
        <v/>
      </c>
    </row>
    <row r="49" spans="1:11">
      <c r="A49" s="4">
        <v>47</v>
      </c>
      <c r="B49" s="5"/>
      <c r="C49" s="5"/>
      <c r="D49" s="5"/>
      <c r="E49" s="5"/>
      <c r="F49" s="5"/>
      <c r="G49" s="5"/>
      <c r="H49" s="5"/>
      <c r="I49" s="5"/>
      <c r="J49" s="5"/>
      <c r="K49" s="6" t="str">
        <f t="shared" si="1"/>
        <v/>
      </c>
    </row>
    <row r="50" spans="1:11">
      <c r="A50" s="4">
        <v>48</v>
      </c>
      <c r="B50" s="5"/>
      <c r="C50" s="5"/>
      <c r="D50" s="5"/>
      <c r="E50" s="5"/>
      <c r="F50" s="5"/>
      <c r="G50" s="5"/>
      <c r="H50" s="5"/>
      <c r="I50" s="5"/>
      <c r="J50" s="5"/>
      <c r="K50" s="6" t="str">
        <f t="shared" si="1"/>
        <v/>
      </c>
    </row>
    <row r="51" spans="1:11">
      <c r="A51" s="4">
        <v>49</v>
      </c>
      <c r="B51" s="5"/>
      <c r="C51" s="5"/>
      <c r="D51" s="5"/>
      <c r="E51" s="5"/>
      <c r="F51" s="5"/>
      <c r="G51" s="5"/>
      <c r="H51" s="5"/>
      <c r="I51" s="5"/>
      <c r="J51" s="5"/>
      <c r="K51" s="6" t="str">
        <f t="shared" si="1"/>
        <v/>
      </c>
    </row>
    <row r="52" spans="1:11">
      <c r="A52" s="4">
        <v>50</v>
      </c>
      <c r="B52" s="5"/>
      <c r="C52" s="5"/>
      <c r="D52" s="5"/>
      <c r="E52" s="5"/>
      <c r="F52" s="5"/>
      <c r="G52" s="5"/>
      <c r="H52" s="5"/>
      <c r="I52" s="5"/>
      <c r="J52" s="5"/>
      <c r="K52" s="6" t="str">
        <f t="shared" si="1"/>
        <v/>
      </c>
    </row>
    <row r="53" spans="1:11">
      <c r="A53" s="4">
        <v>51</v>
      </c>
      <c r="B53" s="5"/>
      <c r="C53" s="5"/>
      <c r="D53" s="5"/>
      <c r="E53" s="5"/>
      <c r="F53" s="5"/>
      <c r="G53" s="5"/>
      <c r="H53" s="5"/>
      <c r="I53" s="5"/>
      <c r="J53" s="5"/>
      <c r="K53" s="6" t="str">
        <f t="shared" si="1"/>
        <v/>
      </c>
    </row>
    <row r="54" spans="1:11">
      <c r="A54" s="4">
        <v>52</v>
      </c>
      <c r="B54" s="5"/>
      <c r="C54" s="5"/>
      <c r="D54" s="5"/>
      <c r="E54" s="5"/>
      <c r="F54" s="5"/>
      <c r="G54" s="5"/>
      <c r="H54" s="5"/>
      <c r="I54" s="5"/>
      <c r="J54" s="5"/>
      <c r="K54" s="6" t="str">
        <f t="shared" si="1"/>
        <v/>
      </c>
    </row>
    <row r="55" spans="1:11">
      <c r="A55" s="4">
        <v>53</v>
      </c>
      <c r="B55" s="5"/>
      <c r="C55" s="5"/>
      <c r="D55" s="5"/>
      <c r="E55" s="5"/>
      <c r="F55" s="5"/>
      <c r="G55" s="5"/>
      <c r="H55" s="5"/>
      <c r="I55" s="5"/>
      <c r="J55" s="5"/>
      <c r="K55" s="6" t="str">
        <f t="shared" si="1"/>
        <v/>
      </c>
    </row>
    <row r="56" spans="1:11">
      <c r="A56" s="4">
        <v>54</v>
      </c>
      <c r="B56" s="5"/>
      <c r="C56" s="5"/>
      <c r="D56" s="5"/>
      <c r="E56" s="5"/>
      <c r="F56" s="5"/>
      <c r="G56" s="5"/>
      <c r="H56" s="5"/>
      <c r="I56" s="5"/>
      <c r="J56" s="5"/>
      <c r="K56" s="6" t="str">
        <f t="shared" si="1"/>
        <v/>
      </c>
    </row>
    <row r="57" spans="1:11">
      <c r="A57" s="4">
        <v>55</v>
      </c>
      <c r="B57" s="5"/>
      <c r="C57" s="5"/>
      <c r="D57" s="5"/>
      <c r="E57" s="5"/>
      <c r="F57" s="5"/>
      <c r="G57" s="5"/>
      <c r="H57" s="5"/>
      <c r="I57" s="5"/>
      <c r="J57" s="5"/>
      <c r="K57" s="6" t="str">
        <f t="shared" si="1"/>
        <v/>
      </c>
    </row>
    <row r="58" spans="1:11">
      <c r="A58" s="4">
        <v>56</v>
      </c>
      <c r="B58" s="5"/>
      <c r="C58" s="5"/>
      <c r="D58" s="5"/>
      <c r="E58" s="5"/>
      <c r="F58" s="5"/>
      <c r="G58" s="5"/>
      <c r="H58" s="5"/>
      <c r="I58" s="5"/>
      <c r="J58" s="5"/>
      <c r="K58" s="6" t="str">
        <f t="shared" si="1"/>
        <v/>
      </c>
    </row>
    <row r="59" spans="1:11">
      <c r="A59" s="4">
        <v>57</v>
      </c>
      <c r="B59" s="5"/>
      <c r="C59" s="5"/>
      <c r="D59" s="5"/>
      <c r="E59" s="5"/>
      <c r="F59" s="5"/>
      <c r="G59" s="5"/>
      <c r="H59" s="5"/>
      <c r="I59" s="5"/>
      <c r="J59" s="5"/>
      <c r="K59" s="6" t="str">
        <f t="shared" si="1"/>
        <v/>
      </c>
    </row>
    <row r="60" spans="1:11">
      <c r="A60" s="4">
        <v>58</v>
      </c>
      <c r="B60" s="5"/>
      <c r="C60" s="5"/>
      <c r="D60" s="5"/>
      <c r="E60" s="5"/>
      <c r="F60" s="5"/>
      <c r="G60" s="5"/>
      <c r="H60" s="5"/>
      <c r="I60" s="5"/>
      <c r="J60" s="5"/>
      <c r="K60" s="6" t="str">
        <f t="shared" si="1"/>
        <v/>
      </c>
    </row>
    <row r="61" spans="1:11">
      <c r="A61" s="4">
        <v>59</v>
      </c>
      <c r="B61" s="5"/>
      <c r="C61" s="5"/>
      <c r="D61" s="5"/>
      <c r="E61" s="5"/>
      <c r="F61" s="5"/>
      <c r="G61" s="5"/>
      <c r="H61" s="5"/>
      <c r="I61" s="5"/>
      <c r="J61" s="5"/>
      <c r="K61" s="6" t="str">
        <f t="shared" si="1"/>
        <v/>
      </c>
    </row>
    <row r="62" spans="1:11">
      <c r="A62" s="4">
        <v>60</v>
      </c>
      <c r="B62" s="5"/>
      <c r="C62" s="5"/>
      <c r="D62" s="5"/>
      <c r="E62" s="5"/>
      <c r="F62" s="5"/>
      <c r="G62" s="5"/>
      <c r="H62" s="5"/>
      <c r="I62" s="5"/>
      <c r="J62" s="5"/>
      <c r="K62" s="6" t="str">
        <f t="shared" si="1"/>
        <v/>
      </c>
    </row>
    <row r="63" spans="1:11">
      <c r="A63" s="4">
        <v>61</v>
      </c>
      <c r="B63" s="5"/>
      <c r="C63" s="5"/>
      <c r="D63" s="5"/>
      <c r="E63" s="5"/>
      <c r="F63" s="5"/>
      <c r="G63" s="5"/>
      <c r="H63" s="5"/>
      <c r="I63" s="5"/>
      <c r="J63" s="5"/>
      <c r="K63" s="6" t="str">
        <f t="shared" si="1"/>
        <v/>
      </c>
    </row>
    <row r="64" spans="1:11">
      <c r="A64" s="4">
        <v>62</v>
      </c>
      <c r="B64" s="5"/>
      <c r="C64" s="5"/>
      <c r="D64" s="5"/>
      <c r="E64" s="5"/>
      <c r="F64" s="5"/>
      <c r="G64" s="5"/>
      <c r="H64" s="5"/>
      <c r="I64" s="5"/>
      <c r="J64" s="5"/>
      <c r="K64" s="6" t="str">
        <f t="shared" si="1"/>
        <v/>
      </c>
    </row>
    <row r="65" spans="1:11">
      <c r="A65" s="4">
        <v>63</v>
      </c>
      <c r="B65" s="5"/>
      <c r="C65" s="5"/>
      <c r="D65" s="5"/>
      <c r="E65" s="5"/>
      <c r="F65" s="5"/>
      <c r="G65" s="5"/>
      <c r="H65" s="5"/>
      <c r="I65" s="5"/>
      <c r="J65" s="5"/>
      <c r="K65" s="6" t="str">
        <f t="shared" si="1"/>
        <v/>
      </c>
    </row>
    <row r="66" spans="1:11">
      <c r="A66" s="4">
        <v>64</v>
      </c>
      <c r="B66" s="5"/>
      <c r="C66" s="5"/>
      <c r="D66" s="5"/>
      <c r="E66" s="5"/>
      <c r="F66" s="5"/>
      <c r="G66" s="5"/>
      <c r="H66" s="5"/>
      <c r="I66" s="5"/>
      <c r="J66" s="5"/>
      <c r="K66" s="6" t="str">
        <f t="shared" si="1"/>
        <v/>
      </c>
    </row>
    <row r="67" spans="1:11">
      <c r="A67" s="4">
        <v>65</v>
      </c>
      <c r="B67" s="5"/>
      <c r="C67" s="5"/>
      <c r="D67" s="5"/>
      <c r="E67" s="5"/>
      <c r="F67" s="5"/>
      <c r="G67" s="5"/>
      <c r="H67" s="5"/>
      <c r="I67" s="5"/>
      <c r="J67" s="5"/>
      <c r="K67" s="6" t="str">
        <f t="shared" ref="K67:K98" si="2">IF(COUNTA(B67:J67)=0,"",ROUND(AVERAGE(G67,6-H67,I67),2))</f>
        <v/>
      </c>
    </row>
    <row r="68" spans="1:11">
      <c r="A68" s="4">
        <v>66</v>
      </c>
      <c r="B68" s="5"/>
      <c r="C68" s="5"/>
      <c r="D68" s="5"/>
      <c r="E68" s="5"/>
      <c r="F68" s="5"/>
      <c r="G68" s="5"/>
      <c r="H68" s="5"/>
      <c r="I68" s="5"/>
      <c r="J68" s="5"/>
      <c r="K68" s="6" t="str">
        <f t="shared" si="2"/>
        <v/>
      </c>
    </row>
    <row r="69" spans="1:11">
      <c r="A69" s="4">
        <v>67</v>
      </c>
      <c r="B69" s="5"/>
      <c r="C69" s="5"/>
      <c r="D69" s="5"/>
      <c r="E69" s="5"/>
      <c r="F69" s="5"/>
      <c r="G69" s="5"/>
      <c r="H69" s="5"/>
      <c r="I69" s="5"/>
      <c r="J69" s="5"/>
      <c r="K69" s="6" t="str">
        <f t="shared" si="2"/>
        <v/>
      </c>
    </row>
    <row r="70" spans="1:11">
      <c r="A70" s="4">
        <v>68</v>
      </c>
      <c r="B70" s="5"/>
      <c r="C70" s="5"/>
      <c r="D70" s="5"/>
      <c r="E70" s="5"/>
      <c r="F70" s="5"/>
      <c r="G70" s="5"/>
      <c r="H70" s="5"/>
      <c r="I70" s="5"/>
      <c r="J70" s="5"/>
      <c r="K70" s="6" t="str">
        <f t="shared" si="2"/>
        <v/>
      </c>
    </row>
    <row r="71" spans="1:11">
      <c r="A71" s="4">
        <v>69</v>
      </c>
      <c r="B71" s="5"/>
      <c r="C71" s="5"/>
      <c r="D71" s="5"/>
      <c r="E71" s="5"/>
      <c r="F71" s="5"/>
      <c r="G71" s="5"/>
      <c r="H71" s="5"/>
      <c r="I71" s="5"/>
      <c r="J71" s="5"/>
      <c r="K71" s="6" t="str">
        <f t="shared" si="2"/>
        <v/>
      </c>
    </row>
    <row r="72" spans="1:11">
      <c r="A72" s="4">
        <v>70</v>
      </c>
      <c r="B72" s="5"/>
      <c r="C72" s="5"/>
      <c r="D72" s="5"/>
      <c r="E72" s="5"/>
      <c r="F72" s="5"/>
      <c r="G72" s="5"/>
      <c r="H72" s="5"/>
      <c r="I72" s="5"/>
      <c r="J72" s="5"/>
      <c r="K72" s="6" t="str">
        <f t="shared" si="2"/>
        <v/>
      </c>
    </row>
    <row r="73" spans="1:11">
      <c r="A73" s="4">
        <v>71</v>
      </c>
      <c r="B73" s="5"/>
      <c r="C73" s="5"/>
      <c r="D73" s="5"/>
      <c r="E73" s="5"/>
      <c r="F73" s="5"/>
      <c r="G73" s="5"/>
      <c r="H73" s="5"/>
      <c r="I73" s="5"/>
      <c r="J73" s="5"/>
      <c r="K73" s="6" t="str">
        <f t="shared" si="2"/>
        <v/>
      </c>
    </row>
    <row r="74" spans="1:11">
      <c r="A74" s="4">
        <v>72</v>
      </c>
      <c r="B74" s="5"/>
      <c r="C74" s="5"/>
      <c r="D74" s="5"/>
      <c r="E74" s="5"/>
      <c r="F74" s="5"/>
      <c r="G74" s="5"/>
      <c r="H74" s="5"/>
      <c r="I74" s="5"/>
      <c r="J74" s="5"/>
      <c r="K74" s="6" t="str">
        <f t="shared" si="2"/>
        <v/>
      </c>
    </row>
    <row r="75" spans="1:11">
      <c r="A75" s="4">
        <v>73</v>
      </c>
      <c r="B75" s="5"/>
      <c r="C75" s="5"/>
      <c r="D75" s="5"/>
      <c r="E75" s="5"/>
      <c r="F75" s="5"/>
      <c r="G75" s="5"/>
      <c r="H75" s="5"/>
      <c r="I75" s="5"/>
      <c r="J75" s="5"/>
      <c r="K75" s="6" t="str">
        <f t="shared" si="2"/>
        <v/>
      </c>
    </row>
    <row r="76" spans="1:11">
      <c r="A76" s="4">
        <v>74</v>
      </c>
      <c r="B76" s="5"/>
      <c r="C76" s="5"/>
      <c r="D76" s="5"/>
      <c r="E76" s="5"/>
      <c r="F76" s="5"/>
      <c r="G76" s="5"/>
      <c r="H76" s="5"/>
      <c r="I76" s="5"/>
      <c r="J76" s="5"/>
      <c r="K76" s="6" t="str">
        <f t="shared" si="2"/>
        <v/>
      </c>
    </row>
    <row r="77" spans="1:11">
      <c r="A77" s="4">
        <v>75</v>
      </c>
      <c r="B77" s="5"/>
      <c r="C77" s="5"/>
      <c r="D77" s="5"/>
      <c r="E77" s="5"/>
      <c r="F77" s="5"/>
      <c r="G77" s="5"/>
      <c r="H77" s="5"/>
      <c r="I77" s="5"/>
      <c r="J77" s="5"/>
      <c r="K77" s="6" t="str">
        <f t="shared" si="2"/>
        <v/>
      </c>
    </row>
    <row r="78" spans="1:11">
      <c r="A78" s="4">
        <v>76</v>
      </c>
      <c r="B78" s="5"/>
      <c r="C78" s="5"/>
      <c r="D78" s="5"/>
      <c r="E78" s="5"/>
      <c r="F78" s="5"/>
      <c r="G78" s="5"/>
      <c r="H78" s="5"/>
      <c r="I78" s="5"/>
      <c r="J78" s="5"/>
      <c r="K78" s="6" t="str">
        <f t="shared" si="2"/>
        <v/>
      </c>
    </row>
    <row r="79" spans="1:11">
      <c r="A79" s="4">
        <v>77</v>
      </c>
      <c r="B79" s="5"/>
      <c r="C79" s="5"/>
      <c r="D79" s="5"/>
      <c r="E79" s="5"/>
      <c r="F79" s="5"/>
      <c r="G79" s="5"/>
      <c r="H79" s="5"/>
      <c r="I79" s="5"/>
      <c r="J79" s="5"/>
      <c r="K79" s="6" t="str">
        <f t="shared" si="2"/>
        <v/>
      </c>
    </row>
    <row r="80" spans="1:11">
      <c r="A80" s="4">
        <v>78</v>
      </c>
      <c r="B80" s="5"/>
      <c r="C80" s="5"/>
      <c r="D80" s="5"/>
      <c r="E80" s="5"/>
      <c r="F80" s="5"/>
      <c r="G80" s="5"/>
      <c r="H80" s="5"/>
      <c r="I80" s="5"/>
      <c r="J80" s="5"/>
      <c r="K80" s="6" t="str">
        <f t="shared" si="2"/>
        <v/>
      </c>
    </row>
    <row r="81" spans="1:11">
      <c r="A81" s="4">
        <v>79</v>
      </c>
      <c r="B81" s="5"/>
      <c r="C81" s="5"/>
      <c r="D81" s="5"/>
      <c r="E81" s="5"/>
      <c r="F81" s="5"/>
      <c r="G81" s="5"/>
      <c r="H81" s="5"/>
      <c r="I81" s="5"/>
      <c r="J81" s="5"/>
      <c r="K81" s="6" t="str">
        <f t="shared" si="2"/>
        <v/>
      </c>
    </row>
    <row r="82" spans="1:11">
      <c r="A82" s="4">
        <v>80</v>
      </c>
      <c r="B82" s="5"/>
      <c r="C82" s="5"/>
      <c r="D82" s="5"/>
      <c r="E82" s="5"/>
      <c r="F82" s="5"/>
      <c r="G82" s="5"/>
      <c r="H82" s="5"/>
      <c r="I82" s="5"/>
      <c r="J82" s="5"/>
      <c r="K82" s="6" t="str">
        <f t="shared" si="2"/>
        <v/>
      </c>
    </row>
    <row r="83" spans="1:11">
      <c r="A83" s="4">
        <v>81</v>
      </c>
      <c r="B83" s="5"/>
      <c r="C83" s="5"/>
      <c r="D83" s="5"/>
      <c r="E83" s="5"/>
      <c r="F83" s="5"/>
      <c r="G83" s="5"/>
      <c r="H83" s="5"/>
      <c r="I83" s="5"/>
      <c r="J83" s="5"/>
      <c r="K83" s="6" t="str">
        <f t="shared" si="2"/>
        <v/>
      </c>
    </row>
    <row r="84" spans="1:11">
      <c r="A84" s="4">
        <v>82</v>
      </c>
      <c r="B84" s="5"/>
      <c r="C84" s="5"/>
      <c r="D84" s="5"/>
      <c r="E84" s="5"/>
      <c r="F84" s="5"/>
      <c r="G84" s="5"/>
      <c r="H84" s="5"/>
      <c r="I84" s="5"/>
      <c r="J84" s="5"/>
      <c r="K84" s="6" t="str">
        <f t="shared" si="2"/>
        <v/>
      </c>
    </row>
    <row r="85" spans="1:11">
      <c r="A85" s="4">
        <v>83</v>
      </c>
      <c r="B85" s="5"/>
      <c r="C85" s="5"/>
      <c r="D85" s="5"/>
      <c r="E85" s="5"/>
      <c r="F85" s="5"/>
      <c r="G85" s="5"/>
      <c r="H85" s="5"/>
      <c r="I85" s="5"/>
      <c r="J85" s="5"/>
      <c r="K85" s="6" t="str">
        <f t="shared" si="2"/>
        <v/>
      </c>
    </row>
    <row r="86" spans="1:11">
      <c r="A86" s="4">
        <v>84</v>
      </c>
      <c r="B86" s="5"/>
      <c r="C86" s="5"/>
      <c r="D86" s="5"/>
      <c r="E86" s="5"/>
      <c r="F86" s="5"/>
      <c r="G86" s="5"/>
      <c r="H86" s="5"/>
      <c r="I86" s="5"/>
      <c r="J86" s="5"/>
      <c r="K86" s="6" t="str">
        <f t="shared" si="2"/>
        <v/>
      </c>
    </row>
    <row r="87" spans="1:11">
      <c r="A87" s="4">
        <v>85</v>
      </c>
      <c r="B87" s="5"/>
      <c r="C87" s="5"/>
      <c r="D87" s="5"/>
      <c r="E87" s="5"/>
      <c r="F87" s="5"/>
      <c r="G87" s="5"/>
      <c r="H87" s="5"/>
      <c r="I87" s="5"/>
      <c r="J87" s="5"/>
      <c r="K87" s="6" t="str">
        <f t="shared" si="2"/>
        <v/>
      </c>
    </row>
    <row r="88" spans="1:11">
      <c r="A88" s="4">
        <v>86</v>
      </c>
      <c r="B88" s="5"/>
      <c r="C88" s="5"/>
      <c r="D88" s="5"/>
      <c r="E88" s="5"/>
      <c r="F88" s="5"/>
      <c r="G88" s="5"/>
      <c r="H88" s="5"/>
      <c r="I88" s="5"/>
      <c r="J88" s="5"/>
      <c r="K88" s="6" t="str">
        <f t="shared" si="2"/>
        <v/>
      </c>
    </row>
    <row r="89" spans="1:11">
      <c r="A89" s="4">
        <v>87</v>
      </c>
      <c r="B89" s="5"/>
      <c r="C89" s="5"/>
      <c r="D89" s="5"/>
      <c r="E89" s="5"/>
      <c r="F89" s="5"/>
      <c r="G89" s="5"/>
      <c r="H89" s="5"/>
      <c r="I89" s="5"/>
      <c r="J89" s="5"/>
      <c r="K89" s="6" t="str">
        <f t="shared" si="2"/>
        <v/>
      </c>
    </row>
    <row r="90" spans="1:11">
      <c r="A90" s="4">
        <v>88</v>
      </c>
      <c r="B90" s="5"/>
      <c r="C90" s="5"/>
      <c r="D90" s="5"/>
      <c r="E90" s="5"/>
      <c r="F90" s="5"/>
      <c r="G90" s="5"/>
      <c r="H90" s="5"/>
      <c r="I90" s="5"/>
      <c r="J90" s="5"/>
      <c r="K90" s="6" t="str">
        <f t="shared" si="2"/>
        <v/>
      </c>
    </row>
    <row r="91" spans="1:11">
      <c r="A91" s="4">
        <v>89</v>
      </c>
      <c r="B91" s="5"/>
      <c r="C91" s="5"/>
      <c r="D91" s="5"/>
      <c r="E91" s="5"/>
      <c r="F91" s="5"/>
      <c r="G91" s="5"/>
      <c r="H91" s="5"/>
      <c r="I91" s="5"/>
      <c r="J91" s="5"/>
      <c r="K91" s="6" t="str">
        <f t="shared" si="2"/>
        <v/>
      </c>
    </row>
    <row r="92" spans="1:11">
      <c r="A92" s="4">
        <v>90</v>
      </c>
      <c r="B92" s="5"/>
      <c r="C92" s="5"/>
      <c r="D92" s="5"/>
      <c r="E92" s="5"/>
      <c r="F92" s="5"/>
      <c r="G92" s="5"/>
      <c r="H92" s="5"/>
      <c r="I92" s="5"/>
      <c r="J92" s="5"/>
      <c r="K92" s="6" t="str">
        <f t="shared" si="2"/>
        <v/>
      </c>
    </row>
    <row r="93" spans="1:11">
      <c r="A93" s="4">
        <v>91</v>
      </c>
      <c r="B93" s="5"/>
      <c r="C93" s="5"/>
      <c r="D93" s="5"/>
      <c r="E93" s="5"/>
      <c r="F93" s="5"/>
      <c r="G93" s="5"/>
      <c r="H93" s="5"/>
      <c r="I93" s="5"/>
      <c r="J93" s="5"/>
      <c r="K93" s="6" t="str">
        <f t="shared" si="2"/>
        <v/>
      </c>
    </row>
    <row r="94" spans="1:11">
      <c r="A94" s="4">
        <v>92</v>
      </c>
      <c r="B94" s="5"/>
      <c r="C94" s="5"/>
      <c r="D94" s="5"/>
      <c r="E94" s="5"/>
      <c r="F94" s="5"/>
      <c r="G94" s="5"/>
      <c r="H94" s="5"/>
      <c r="I94" s="5"/>
      <c r="J94" s="5"/>
      <c r="K94" s="6" t="str">
        <f t="shared" si="2"/>
        <v/>
      </c>
    </row>
    <row r="95" spans="1:11">
      <c r="A95" s="4">
        <v>93</v>
      </c>
      <c r="B95" s="5"/>
      <c r="C95" s="5"/>
      <c r="D95" s="5"/>
      <c r="E95" s="5"/>
      <c r="F95" s="5"/>
      <c r="G95" s="5"/>
      <c r="H95" s="5"/>
      <c r="I95" s="5"/>
      <c r="J95" s="5"/>
      <c r="K95" s="6" t="str">
        <f t="shared" si="2"/>
        <v/>
      </c>
    </row>
    <row r="96" spans="1:11">
      <c r="A96" s="4">
        <v>94</v>
      </c>
      <c r="B96" s="5"/>
      <c r="C96" s="5"/>
      <c r="D96" s="5"/>
      <c r="E96" s="5"/>
      <c r="F96" s="5"/>
      <c r="G96" s="5"/>
      <c r="H96" s="5"/>
      <c r="I96" s="5"/>
      <c r="J96" s="5"/>
      <c r="K96" s="6" t="str">
        <f t="shared" si="2"/>
        <v/>
      </c>
    </row>
    <row r="97" spans="1:11">
      <c r="A97" s="4">
        <v>95</v>
      </c>
      <c r="B97" s="5"/>
      <c r="C97" s="5"/>
      <c r="D97" s="5"/>
      <c r="E97" s="5"/>
      <c r="F97" s="5"/>
      <c r="G97" s="5"/>
      <c r="H97" s="5"/>
      <c r="I97" s="5"/>
      <c r="J97" s="5"/>
      <c r="K97" s="6" t="str">
        <f t="shared" si="2"/>
        <v/>
      </c>
    </row>
    <row r="98" spans="1:11">
      <c r="A98" s="4">
        <v>96</v>
      </c>
      <c r="B98" s="5"/>
      <c r="C98" s="5"/>
      <c r="D98" s="5"/>
      <c r="E98" s="5"/>
      <c r="F98" s="5"/>
      <c r="G98" s="5"/>
      <c r="H98" s="5"/>
      <c r="I98" s="5"/>
      <c r="J98" s="5"/>
      <c r="K98" s="6" t="str">
        <f t="shared" si="2"/>
        <v/>
      </c>
    </row>
    <row r="99" spans="1:11">
      <c r="A99" s="4">
        <v>97</v>
      </c>
      <c r="B99" s="5"/>
      <c r="C99" s="5"/>
      <c r="D99" s="5"/>
      <c r="E99" s="5"/>
      <c r="F99" s="5"/>
      <c r="G99" s="5"/>
      <c r="H99" s="5"/>
      <c r="I99" s="5"/>
      <c r="J99" s="5"/>
      <c r="K99" s="6" t="str">
        <f t="shared" ref="K99:K130" si="3">IF(COUNTA(B99:J99)=0,"",ROUND(AVERAGE(G99,6-H99,I99),2))</f>
        <v/>
      </c>
    </row>
    <row r="100" spans="1:11">
      <c r="A100" s="4">
        <v>98</v>
      </c>
      <c r="B100" s="5"/>
      <c r="C100" s="5"/>
      <c r="D100" s="5"/>
      <c r="E100" s="5"/>
      <c r="F100" s="5"/>
      <c r="G100" s="5"/>
      <c r="H100" s="5"/>
      <c r="I100" s="5"/>
      <c r="J100" s="5"/>
      <c r="K100" s="6" t="str">
        <f t="shared" si="3"/>
        <v/>
      </c>
    </row>
    <row r="101" spans="1:11">
      <c r="A101" s="4">
        <v>99</v>
      </c>
      <c r="B101" s="5"/>
      <c r="C101" s="5"/>
      <c r="D101" s="5"/>
      <c r="E101" s="5"/>
      <c r="F101" s="5"/>
      <c r="G101" s="5"/>
      <c r="H101" s="5"/>
      <c r="I101" s="5"/>
      <c r="J101" s="5"/>
      <c r="K101" s="6" t="str">
        <f t="shared" si="3"/>
        <v/>
      </c>
    </row>
    <row r="102" spans="1:11">
      <c r="A102" s="4">
        <v>100</v>
      </c>
      <c r="B102" s="5"/>
      <c r="C102" s="5"/>
      <c r="D102" s="5"/>
      <c r="E102" s="5"/>
      <c r="F102" s="5"/>
      <c r="G102" s="5"/>
      <c r="H102" s="5"/>
      <c r="I102" s="5"/>
      <c r="J102" s="5"/>
      <c r="K102" s="6" t="str">
        <f t="shared" si="3"/>
        <v/>
      </c>
    </row>
    <row r="103" spans="1:11">
      <c r="A103" s="4">
        <v>101</v>
      </c>
      <c r="B103" s="5"/>
      <c r="C103" s="5"/>
      <c r="D103" s="5"/>
      <c r="E103" s="5"/>
      <c r="F103" s="5"/>
      <c r="G103" s="5"/>
      <c r="H103" s="5"/>
      <c r="I103" s="5"/>
      <c r="J103" s="5"/>
      <c r="K103" s="6" t="str">
        <f t="shared" si="3"/>
        <v/>
      </c>
    </row>
    <row r="104" spans="1:11">
      <c r="A104" s="4">
        <v>102</v>
      </c>
      <c r="B104" s="5"/>
      <c r="C104" s="5"/>
      <c r="D104" s="5"/>
      <c r="E104" s="5"/>
      <c r="F104" s="5"/>
      <c r="G104" s="5"/>
      <c r="H104" s="5"/>
      <c r="I104" s="5"/>
      <c r="J104" s="5"/>
      <c r="K104" s="6" t="str">
        <f t="shared" si="3"/>
        <v/>
      </c>
    </row>
    <row r="105" spans="1:11">
      <c r="A105" s="4">
        <v>103</v>
      </c>
      <c r="B105" s="5"/>
      <c r="C105" s="5"/>
      <c r="D105" s="5"/>
      <c r="E105" s="5"/>
      <c r="F105" s="5"/>
      <c r="G105" s="5"/>
      <c r="H105" s="5"/>
      <c r="I105" s="5"/>
      <c r="J105" s="5"/>
      <c r="K105" s="6" t="str">
        <f t="shared" si="3"/>
        <v/>
      </c>
    </row>
    <row r="106" spans="1:11">
      <c r="A106" s="4">
        <v>104</v>
      </c>
      <c r="B106" s="5"/>
      <c r="C106" s="5"/>
      <c r="D106" s="5"/>
      <c r="E106" s="5"/>
      <c r="F106" s="5"/>
      <c r="G106" s="5"/>
      <c r="H106" s="5"/>
      <c r="I106" s="5"/>
      <c r="J106" s="5"/>
      <c r="K106" s="6" t="str">
        <f t="shared" si="3"/>
        <v/>
      </c>
    </row>
    <row r="107" spans="1:11">
      <c r="A107" s="4">
        <v>105</v>
      </c>
      <c r="B107" s="5"/>
      <c r="C107" s="5"/>
      <c r="D107" s="5"/>
      <c r="E107" s="5"/>
      <c r="F107" s="5"/>
      <c r="G107" s="5"/>
      <c r="H107" s="5"/>
      <c r="I107" s="5"/>
      <c r="J107" s="5"/>
      <c r="K107" s="6" t="str">
        <f t="shared" si="3"/>
        <v/>
      </c>
    </row>
    <row r="108" spans="1:11">
      <c r="A108" s="4">
        <v>106</v>
      </c>
      <c r="B108" s="5"/>
      <c r="C108" s="5"/>
      <c r="D108" s="5"/>
      <c r="E108" s="5"/>
      <c r="F108" s="5"/>
      <c r="G108" s="5"/>
      <c r="H108" s="5"/>
      <c r="I108" s="5"/>
      <c r="J108" s="5"/>
      <c r="K108" s="6" t="str">
        <f t="shared" si="3"/>
        <v/>
      </c>
    </row>
    <row r="109" spans="1:11">
      <c r="A109" s="4">
        <v>107</v>
      </c>
      <c r="B109" s="5"/>
      <c r="C109" s="5"/>
      <c r="D109" s="5"/>
      <c r="E109" s="5"/>
      <c r="F109" s="5"/>
      <c r="G109" s="5"/>
      <c r="H109" s="5"/>
      <c r="I109" s="5"/>
      <c r="J109" s="5"/>
      <c r="K109" s="6" t="str">
        <f t="shared" si="3"/>
        <v/>
      </c>
    </row>
    <row r="110" spans="1:11">
      <c r="A110" s="4">
        <v>108</v>
      </c>
      <c r="B110" s="5"/>
      <c r="C110" s="5"/>
      <c r="D110" s="5"/>
      <c r="E110" s="5"/>
      <c r="F110" s="5"/>
      <c r="G110" s="5"/>
      <c r="H110" s="5"/>
      <c r="I110" s="5"/>
      <c r="J110" s="5"/>
      <c r="K110" s="6" t="str">
        <f t="shared" si="3"/>
        <v/>
      </c>
    </row>
    <row r="111" spans="1:11">
      <c r="A111" s="4">
        <v>109</v>
      </c>
      <c r="B111" s="5"/>
      <c r="C111" s="5"/>
      <c r="D111" s="5"/>
      <c r="E111" s="5"/>
      <c r="F111" s="5"/>
      <c r="G111" s="5"/>
      <c r="H111" s="5"/>
      <c r="I111" s="5"/>
      <c r="J111" s="5"/>
      <c r="K111" s="6" t="str">
        <f t="shared" si="3"/>
        <v/>
      </c>
    </row>
    <row r="112" spans="1:11">
      <c r="A112" s="4">
        <v>110</v>
      </c>
      <c r="B112" s="5"/>
      <c r="C112" s="5"/>
      <c r="D112" s="5"/>
      <c r="E112" s="5"/>
      <c r="F112" s="5"/>
      <c r="G112" s="5"/>
      <c r="H112" s="5"/>
      <c r="I112" s="5"/>
      <c r="J112" s="5"/>
      <c r="K112" s="6" t="str">
        <f t="shared" si="3"/>
        <v/>
      </c>
    </row>
    <row r="113" spans="1:11">
      <c r="A113" s="4">
        <v>111</v>
      </c>
      <c r="B113" s="5"/>
      <c r="C113" s="5"/>
      <c r="D113" s="5"/>
      <c r="E113" s="5"/>
      <c r="F113" s="5"/>
      <c r="G113" s="5"/>
      <c r="H113" s="5"/>
      <c r="I113" s="5"/>
      <c r="J113" s="5"/>
      <c r="K113" s="6" t="str">
        <f t="shared" si="3"/>
        <v/>
      </c>
    </row>
    <row r="114" spans="1:11">
      <c r="A114" s="4">
        <v>112</v>
      </c>
      <c r="B114" s="5"/>
      <c r="C114" s="5"/>
      <c r="D114" s="5"/>
      <c r="E114" s="5"/>
      <c r="F114" s="5"/>
      <c r="G114" s="5"/>
      <c r="H114" s="5"/>
      <c r="I114" s="5"/>
      <c r="J114" s="5"/>
      <c r="K114" s="6" t="str">
        <f t="shared" si="3"/>
        <v/>
      </c>
    </row>
    <row r="115" spans="1:11">
      <c r="A115" s="4">
        <v>113</v>
      </c>
      <c r="B115" s="5"/>
      <c r="C115" s="5"/>
      <c r="D115" s="5"/>
      <c r="E115" s="5"/>
      <c r="F115" s="5"/>
      <c r="G115" s="5"/>
      <c r="H115" s="5"/>
      <c r="I115" s="5"/>
      <c r="J115" s="5"/>
      <c r="K115" s="6" t="str">
        <f t="shared" si="3"/>
        <v/>
      </c>
    </row>
    <row r="116" spans="1:11">
      <c r="A116" s="4">
        <v>114</v>
      </c>
      <c r="B116" s="5"/>
      <c r="C116" s="5"/>
      <c r="D116" s="5"/>
      <c r="E116" s="5"/>
      <c r="F116" s="5"/>
      <c r="G116" s="5"/>
      <c r="H116" s="5"/>
      <c r="I116" s="5"/>
      <c r="J116" s="5"/>
      <c r="K116" s="6" t="str">
        <f t="shared" si="3"/>
        <v/>
      </c>
    </row>
    <row r="117" spans="1:11">
      <c r="A117" s="4">
        <v>115</v>
      </c>
      <c r="B117" s="5"/>
      <c r="C117" s="5"/>
      <c r="D117" s="5"/>
      <c r="E117" s="5"/>
      <c r="F117" s="5"/>
      <c r="G117" s="5"/>
      <c r="H117" s="5"/>
      <c r="I117" s="5"/>
      <c r="J117" s="5"/>
      <c r="K117" s="6" t="str">
        <f t="shared" si="3"/>
        <v/>
      </c>
    </row>
    <row r="118" spans="1:11">
      <c r="A118" s="4">
        <v>116</v>
      </c>
      <c r="B118" s="5"/>
      <c r="C118" s="5"/>
      <c r="D118" s="5"/>
      <c r="E118" s="5"/>
      <c r="F118" s="5"/>
      <c r="G118" s="5"/>
      <c r="H118" s="5"/>
      <c r="I118" s="5"/>
      <c r="J118" s="5"/>
      <c r="K118" s="6" t="str">
        <f t="shared" si="3"/>
        <v/>
      </c>
    </row>
    <row r="119" spans="1:11">
      <c r="A119" s="4">
        <v>117</v>
      </c>
      <c r="B119" s="5"/>
      <c r="C119" s="5"/>
      <c r="D119" s="5"/>
      <c r="E119" s="5"/>
      <c r="F119" s="5"/>
      <c r="G119" s="5"/>
      <c r="H119" s="5"/>
      <c r="I119" s="5"/>
      <c r="J119" s="5"/>
      <c r="K119" s="6" t="str">
        <f t="shared" si="3"/>
        <v/>
      </c>
    </row>
    <row r="120" spans="1:11">
      <c r="A120" s="4">
        <v>118</v>
      </c>
      <c r="B120" s="5"/>
      <c r="C120" s="5"/>
      <c r="D120" s="5"/>
      <c r="E120" s="5"/>
      <c r="F120" s="5"/>
      <c r="G120" s="5"/>
      <c r="H120" s="5"/>
      <c r="I120" s="5"/>
      <c r="J120" s="5"/>
      <c r="K120" s="6" t="str">
        <f t="shared" si="3"/>
        <v/>
      </c>
    </row>
    <row r="121" spans="1:11">
      <c r="A121" s="4">
        <v>119</v>
      </c>
      <c r="B121" s="5"/>
      <c r="C121" s="5"/>
      <c r="D121" s="5"/>
      <c r="E121" s="5"/>
      <c r="F121" s="5"/>
      <c r="G121" s="5"/>
      <c r="H121" s="5"/>
      <c r="I121" s="5"/>
      <c r="J121" s="5"/>
      <c r="K121" s="6" t="str">
        <f t="shared" si="3"/>
        <v/>
      </c>
    </row>
    <row r="122" spans="1:11">
      <c r="A122" s="4">
        <v>120</v>
      </c>
      <c r="B122" s="5"/>
      <c r="C122" s="5"/>
      <c r="D122" s="5"/>
      <c r="E122" s="5"/>
      <c r="F122" s="5"/>
      <c r="G122" s="5"/>
      <c r="H122" s="5"/>
      <c r="I122" s="5"/>
      <c r="J122" s="5"/>
      <c r="K122" s="6" t="str">
        <f t="shared" si="3"/>
        <v/>
      </c>
    </row>
  </sheetData>
  <mergeCells count="1">
    <mergeCell ref="A1:K1"/>
  </mergeCells>
  <conditionalFormatting sqref="K3:K122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dataValidations count="1">
    <dataValidation type="list" sqref="B3:B122" xr:uid="{00000000-0002-0000-0700-000000000000}">
      <formula1>"Ключевые ресурсы,Ключевые виды деятельности,Ключевые партнеры"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700-000001000000}">
          <x14:formula1>
            <xm:f>'12_Справочники'!$C$3:$C$7</xm:f>
          </x14:formula1>
          <xm:sqref>G3:I122</xm:sqref>
        </x14:dataValidation>
        <x14:dataValidation type="list" xr:uid="{00000000-0002-0000-0700-000002000000}">
          <x14:formula1>
            <xm:f>'12_Справочники'!$J$3:$J$7</xm:f>
          </x14:formula1>
          <xm:sqref>J3:J122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02"/>
  <sheetViews>
    <sheetView workbookViewId="0"/>
  </sheetViews>
  <sheetFormatPr defaultRowHeight="14.25"/>
  <cols>
    <col min="1" max="1" width="7" customWidth="1"/>
    <col min="2" max="7" width="30" customWidth="1"/>
    <col min="8" max="10" width="16" customWidth="1"/>
    <col min="11" max="11" width="18" customWidth="1"/>
  </cols>
  <sheetData>
    <row r="1" spans="1:11" ht="32.1" customHeight="1">
      <c r="A1" s="9" t="s">
        <v>145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32.1" customHeight="1">
      <c r="A2" s="3" t="s">
        <v>37</v>
      </c>
      <c r="B2" s="3" t="s">
        <v>146</v>
      </c>
      <c r="C2" s="3" t="s">
        <v>147</v>
      </c>
      <c r="D2" s="3" t="s">
        <v>148</v>
      </c>
      <c r="E2" s="3" t="s">
        <v>149</v>
      </c>
      <c r="F2" s="3" t="s">
        <v>150</v>
      </c>
      <c r="G2" s="3" t="s">
        <v>151</v>
      </c>
      <c r="H2" s="3" t="s">
        <v>152</v>
      </c>
      <c r="I2" s="3" t="s">
        <v>153</v>
      </c>
      <c r="J2" s="3" t="s">
        <v>154</v>
      </c>
      <c r="K2" s="3" t="s">
        <v>155</v>
      </c>
    </row>
    <row r="3" spans="1:11">
      <c r="A3" s="4">
        <v>1</v>
      </c>
      <c r="B3" s="5" t="s">
        <v>565</v>
      </c>
      <c r="C3" s="5" t="s">
        <v>566</v>
      </c>
      <c r="D3" s="5" t="s">
        <v>291</v>
      </c>
      <c r="E3" s="5" t="s">
        <v>567</v>
      </c>
      <c r="F3" s="5" t="s">
        <v>568</v>
      </c>
      <c r="G3" s="5" t="s">
        <v>569</v>
      </c>
      <c r="H3" s="5">
        <v>5</v>
      </c>
      <c r="I3" s="5">
        <v>4</v>
      </c>
      <c r="J3" s="5">
        <v>3</v>
      </c>
      <c r="K3" s="6">
        <f t="shared" ref="K3:K34" si="0">IF(COUNTA(B3:J3)=0,"",ROUND(AVERAGE(H3,I3,6-J3),2))</f>
        <v>4</v>
      </c>
    </row>
    <row r="4" spans="1:11" ht="28.5">
      <c r="A4" s="4">
        <v>2</v>
      </c>
      <c r="B4" s="5" t="s">
        <v>570</v>
      </c>
      <c r="C4" s="5" t="s">
        <v>571</v>
      </c>
      <c r="D4" s="5" t="s">
        <v>273</v>
      </c>
      <c r="E4" s="5" t="s">
        <v>572</v>
      </c>
      <c r="F4" s="5" t="s">
        <v>573</v>
      </c>
      <c r="G4" s="5" t="s">
        <v>574</v>
      </c>
      <c r="H4" s="5">
        <v>2</v>
      </c>
      <c r="I4" s="5">
        <v>4</v>
      </c>
      <c r="J4" s="5">
        <v>4</v>
      </c>
      <c r="K4" s="6">
        <f t="shared" si="0"/>
        <v>2.67</v>
      </c>
    </row>
    <row r="5" spans="1:11">
      <c r="A5" s="4">
        <v>3</v>
      </c>
      <c r="B5" s="5" t="s">
        <v>575</v>
      </c>
      <c r="C5" s="5" t="s">
        <v>576</v>
      </c>
      <c r="D5" s="5" t="s">
        <v>255</v>
      </c>
      <c r="E5" s="5" t="s">
        <v>577</v>
      </c>
      <c r="F5" s="5" t="s">
        <v>578</v>
      </c>
      <c r="G5" s="5" t="s">
        <v>579</v>
      </c>
      <c r="H5" s="5">
        <v>4</v>
      </c>
      <c r="I5" s="5">
        <v>3</v>
      </c>
      <c r="J5" s="5">
        <v>4</v>
      </c>
      <c r="K5" s="6">
        <f t="shared" si="0"/>
        <v>3</v>
      </c>
    </row>
    <row r="6" spans="1:11" ht="28.5">
      <c r="A6" s="4">
        <v>4</v>
      </c>
      <c r="B6" s="5" t="s">
        <v>580</v>
      </c>
      <c r="C6" s="5" t="s">
        <v>581</v>
      </c>
      <c r="D6" s="5" t="s">
        <v>255</v>
      </c>
      <c r="E6" s="5" t="s">
        <v>582</v>
      </c>
      <c r="F6" s="5" t="s">
        <v>583</v>
      </c>
      <c r="G6" s="5" t="s">
        <v>584</v>
      </c>
      <c r="H6" s="5">
        <v>2</v>
      </c>
      <c r="I6" s="5">
        <v>2</v>
      </c>
      <c r="J6" s="5">
        <v>2</v>
      </c>
      <c r="K6" s="6">
        <f t="shared" si="0"/>
        <v>2.67</v>
      </c>
    </row>
    <row r="7" spans="1:11" ht="28.5">
      <c r="A7" s="4">
        <v>5</v>
      </c>
      <c r="B7" s="5" t="s">
        <v>585</v>
      </c>
      <c r="C7" s="5" t="s">
        <v>66</v>
      </c>
      <c r="D7" s="5" t="s">
        <v>282</v>
      </c>
      <c r="E7" s="5" t="s">
        <v>586</v>
      </c>
      <c r="F7" s="5" t="s">
        <v>587</v>
      </c>
      <c r="G7" s="5" t="s">
        <v>304</v>
      </c>
      <c r="H7" s="5">
        <v>3</v>
      </c>
      <c r="I7" s="5">
        <v>3</v>
      </c>
      <c r="J7" s="5">
        <v>4</v>
      </c>
      <c r="K7" s="6">
        <f t="shared" si="0"/>
        <v>2.67</v>
      </c>
    </row>
    <row r="8" spans="1:11">
      <c r="A8" s="4">
        <v>6</v>
      </c>
      <c r="B8" s="5"/>
      <c r="C8" s="5"/>
      <c r="D8" s="5"/>
      <c r="E8" s="5"/>
      <c r="F8" s="5"/>
      <c r="G8" s="5"/>
      <c r="H8" s="5"/>
      <c r="I8" s="5"/>
      <c r="J8" s="5"/>
      <c r="K8" s="6" t="str">
        <f t="shared" si="0"/>
        <v/>
      </c>
    </row>
    <row r="9" spans="1:11">
      <c r="A9" s="4">
        <v>7</v>
      </c>
      <c r="B9" s="5"/>
      <c r="C9" s="5"/>
      <c r="D9" s="5"/>
      <c r="E9" s="5"/>
      <c r="F9" s="5"/>
      <c r="G9" s="5"/>
      <c r="H9" s="5"/>
      <c r="I9" s="5"/>
      <c r="J9" s="5"/>
      <c r="K9" s="6" t="str">
        <f t="shared" si="0"/>
        <v/>
      </c>
    </row>
    <row r="10" spans="1:11">
      <c r="A10" s="4">
        <v>8</v>
      </c>
      <c r="B10" s="5"/>
      <c r="C10" s="5"/>
      <c r="D10" s="5"/>
      <c r="E10" s="5"/>
      <c r="F10" s="5"/>
      <c r="G10" s="5"/>
      <c r="H10" s="5"/>
      <c r="I10" s="5"/>
      <c r="J10" s="5"/>
      <c r="K10" s="6" t="str">
        <f t="shared" si="0"/>
        <v/>
      </c>
    </row>
    <row r="11" spans="1:11">
      <c r="A11" s="4">
        <v>9</v>
      </c>
      <c r="B11" s="5"/>
      <c r="C11" s="5"/>
      <c r="D11" s="5"/>
      <c r="E11" s="5"/>
      <c r="F11" s="5"/>
      <c r="G11" s="5"/>
      <c r="H11" s="5"/>
      <c r="I11" s="5"/>
      <c r="J11" s="5"/>
      <c r="K11" s="6" t="str">
        <f t="shared" si="0"/>
        <v/>
      </c>
    </row>
    <row r="12" spans="1:11">
      <c r="A12" s="4">
        <v>10</v>
      </c>
      <c r="B12" s="5"/>
      <c r="C12" s="5"/>
      <c r="D12" s="5"/>
      <c r="E12" s="5"/>
      <c r="F12" s="5"/>
      <c r="G12" s="5"/>
      <c r="H12" s="5"/>
      <c r="I12" s="5"/>
      <c r="J12" s="5"/>
      <c r="K12" s="6" t="str">
        <f t="shared" si="0"/>
        <v/>
      </c>
    </row>
    <row r="13" spans="1:11">
      <c r="A13" s="4">
        <v>11</v>
      </c>
      <c r="B13" s="5"/>
      <c r="C13" s="5"/>
      <c r="D13" s="5"/>
      <c r="E13" s="5"/>
      <c r="F13" s="5"/>
      <c r="G13" s="5"/>
      <c r="H13" s="5"/>
      <c r="I13" s="5"/>
      <c r="J13" s="5"/>
      <c r="K13" s="6" t="str">
        <f t="shared" si="0"/>
        <v/>
      </c>
    </row>
    <row r="14" spans="1:11">
      <c r="A14" s="4">
        <v>12</v>
      </c>
      <c r="B14" s="5"/>
      <c r="C14" s="5"/>
      <c r="D14" s="5"/>
      <c r="E14" s="5"/>
      <c r="F14" s="5"/>
      <c r="G14" s="5"/>
      <c r="H14" s="5"/>
      <c r="I14" s="5"/>
      <c r="J14" s="5"/>
      <c r="K14" s="6" t="str">
        <f t="shared" si="0"/>
        <v/>
      </c>
    </row>
    <row r="15" spans="1:11">
      <c r="A15" s="4">
        <v>13</v>
      </c>
      <c r="B15" s="5"/>
      <c r="C15" s="5"/>
      <c r="D15" s="5"/>
      <c r="E15" s="5"/>
      <c r="F15" s="5"/>
      <c r="G15" s="5"/>
      <c r="H15" s="5"/>
      <c r="I15" s="5"/>
      <c r="J15" s="5"/>
      <c r="K15" s="6" t="str">
        <f t="shared" si="0"/>
        <v/>
      </c>
    </row>
    <row r="16" spans="1:11">
      <c r="A16" s="4">
        <v>14</v>
      </c>
      <c r="B16" s="5"/>
      <c r="C16" s="5"/>
      <c r="D16" s="5"/>
      <c r="E16" s="5"/>
      <c r="F16" s="5"/>
      <c r="G16" s="5"/>
      <c r="H16" s="5"/>
      <c r="I16" s="5"/>
      <c r="J16" s="5"/>
      <c r="K16" s="6" t="str">
        <f t="shared" si="0"/>
        <v/>
      </c>
    </row>
    <row r="17" spans="1:11">
      <c r="A17" s="4">
        <v>15</v>
      </c>
      <c r="B17" s="5"/>
      <c r="C17" s="5"/>
      <c r="D17" s="5"/>
      <c r="E17" s="5"/>
      <c r="F17" s="5"/>
      <c r="G17" s="5"/>
      <c r="H17" s="5"/>
      <c r="I17" s="5"/>
      <c r="J17" s="5"/>
      <c r="K17" s="6" t="str">
        <f t="shared" si="0"/>
        <v/>
      </c>
    </row>
    <row r="18" spans="1:11">
      <c r="A18" s="4">
        <v>16</v>
      </c>
      <c r="B18" s="5"/>
      <c r="C18" s="5"/>
      <c r="D18" s="5"/>
      <c r="E18" s="5"/>
      <c r="F18" s="5"/>
      <c r="G18" s="5"/>
      <c r="H18" s="5"/>
      <c r="I18" s="5"/>
      <c r="J18" s="5"/>
      <c r="K18" s="6" t="str">
        <f t="shared" si="0"/>
        <v/>
      </c>
    </row>
    <row r="19" spans="1:11">
      <c r="A19" s="4">
        <v>17</v>
      </c>
      <c r="B19" s="5"/>
      <c r="C19" s="5"/>
      <c r="D19" s="5"/>
      <c r="E19" s="5"/>
      <c r="F19" s="5"/>
      <c r="G19" s="5"/>
      <c r="H19" s="5"/>
      <c r="I19" s="5"/>
      <c r="J19" s="5"/>
      <c r="K19" s="6" t="str">
        <f t="shared" si="0"/>
        <v/>
      </c>
    </row>
    <row r="20" spans="1:11">
      <c r="A20" s="4">
        <v>18</v>
      </c>
      <c r="B20" s="5"/>
      <c r="C20" s="5"/>
      <c r="D20" s="5"/>
      <c r="E20" s="5"/>
      <c r="F20" s="5"/>
      <c r="G20" s="5"/>
      <c r="H20" s="5"/>
      <c r="I20" s="5"/>
      <c r="J20" s="5"/>
      <c r="K20" s="6" t="str">
        <f t="shared" si="0"/>
        <v/>
      </c>
    </row>
    <row r="21" spans="1:11">
      <c r="A21" s="4">
        <v>19</v>
      </c>
      <c r="B21" s="5"/>
      <c r="C21" s="5"/>
      <c r="D21" s="5"/>
      <c r="E21" s="5"/>
      <c r="F21" s="5"/>
      <c r="G21" s="5"/>
      <c r="H21" s="5"/>
      <c r="I21" s="5"/>
      <c r="J21" s="5"/>
      <c r="K21" s="6" t="str">
        <f t="shared" si="0"/>
        <v/>
      </c>
    </row>
    <row r="22" spans="1:11">
      <c r="A22" s="4">
        <v>20</v>
      </c>
      <c r="B22" s="5"/>
      <c r="C22" s="5"/>
      <c r="D22" s="5"/>
      <c r="E22" s="5"/>
      <c r="F22" s="5"/>
      <c r="G22" s="5"/>
      <c r="H22" s="5"/>
      <c r="I22" s="5"/>
      <c r="J22" s="5"/>
      <c r="K22" s="6" t="str">
        <f t="shared" si="0"/>
        <v/>
      </c>
    </row>
    <row r="23" spans="1:11">
      <c r="A23" s="4">
        <v>21</v>
      </c>
      <c r="B23" s="5"/>
      <c r="C23" s="5"/>
      <c r="D23" s="5"/>
      <c r="E23" s="5"/>
      <c r="F23" s="5"/>
      <c r="G23" s="5"/>
      <c r="H23" s="5"/>
      <c r="I23" s="5"/>
      <c r="J23" s="5"/>
      <c r="K23" s="6" t="str">
        <f t="shared" si="0"/>
        <v/>
      </c>
    </row>
    <row r="24" spans="1:11">
      <c r="A24" s="4">
        <v>22</v>
      </c>
      <c r="B24" s="5"/>
      <c r="C24" s="5"/>
      <c r="D24" s="5"/>
      <c r="E24" s="5"/>
      <c r="F24" s="5"/>
      <c r="G24" s="5"/>
      <c r="H24" s="5"/>
      <c r="I24" s="5"/>
      <c r="J24" s="5"/>
      <c r="K24" s="6" t="str">
        <f t="shared" si="0"/>
        <v/>
      </c>
    </row>
    <row r="25" spans="1:11">
      <c r="A25" s="4">
        <v>23</v>
      </c>
      <c r="B25" s="5"/>
      <c r="C25" s="5"/>
      <c r="D25" s="5"/>
      <c r="E25" s="5"/>
      <c r="F25" s="5"/>
      <c r="G25" s="5"/>
      <c r="H25" s="5"/>
      <c r="I25" s="5"/>
      <c r="J25" s="5"/>
      <c r="K25" s="6" t="str">
        <f t="shared" si="0"/>
        <v/>
      </c>
    </row>
    <row r="26" spans="1:11">
      <c r="A26" s="4">
        <v>24</v>
      </c>
      <c r="B26" s="5"/>
      <c r="C26" s="5"/>
      <c r="D26" s="5"/>
      <c r="E26" s="5"/>
      <c r="F26" s="5"/>
      <c r="G26" s="5"/>
      <c r="H26" s="5"/>
      <c r="I26" s="5"/>
      <c r="J26" s="5"/>
      <c r="K26" s="6" t="str">
        <f t="shared" si="0"/>
        <v/>
      </c>
    </row>
    <row r="27" spans="1:11">
      <c r="A27" s="4">
        <v>25</v>
      </c>
      <c r="B27" s="5"/>
      <c r="C27" s="5"/>
      <c r="D27" s="5"/>
      <c r="E27" s="5"/>
      <c r="F27" s="5"/>
      <c r="G27" s="5"/>
      <c r="H27" s="5"/>
      <c r="I27" s="5"/>
      <c r="J27" s="5"/>
      <c r="K27" s="6" t="str">
        <f t="shared" si="0"/>
        <v/>
      </c>
    </row>
    <row r="28" spans="1:11">
      <c r="A28" s="4">
        <v>26</v>
      </c>
      <c r="B28" s="5"/>
      <c r="C28" s="5"/>
      <c r="D28" s="5"/>
      <c r="E28" s="5"/>
      <c r="F28" s="5"/>
      <c r="G28" s="5"/>
      <c r="H28" s="5"/>
      <c r="I28" s="5"/>
      <c r="J28" s="5"/>
      <c r="K28" s="6" t="str">
        <f t="shared" si="0"/>
        <v/>
      </c>
    </row>
    <row r="29" spans="1:11">
      <c r="A29" s="4">
        <v>27</v>
      </c>
      <c r="B29" s="5"/>
      <c r="C29" s="5"/>
      <c r="D29" s="5"/>
      <c r="E29" s="5"/>
      <c r="F29" s="5"/>
      <c r="G29" s="5"/>
      <c r="H29" s="5"/>
      <c r="I29" s="5"/>
      <c r="J29" s="5"/>
      <c r="K29" s="6" t="str">
        <f t="shared" si="0"/>
        <v/>
      </c>
    </row>
    <row r="30" spans="1:11">
      <c r="A30" s="4">
        <v>28</v>
      </c>
      <c r="B30" s="5"/>
      <c r="C30" s="5"/>
      <c r="D30" s="5"/>
      <c r="E30" s="5"/>
      <c r="F30" s="5"/>
      <c r="G30" s="5"/>
      <c r="H30" s="5"/>
      <c r="I30" s="5"/>
      <c r="J30" s="5"/>
      <c r="K30" s="6" t="str">
        <f t="shared" si="0"/>
        <v/>
      </c>
    </row>
    <row r="31" spans="1:11">
      <c r="A31" s="4">
        <v>29</v>
      </c>
      <c r="B31" s="5"/>
      <c r="C31" s="5"/>
      <c r="D31" s="5"/>
      <c r="E31" s="5"/>
      <c r="F31" s="5"/>
      <c r="G31" s="5"/>
      <c r="H31" s="5"/>
      <c r="I31" s="5"/>
      <c r="J31" s="5"/>
      <c r="K31" s="6" t="str">
        <f t="shared" si="0"/>
        <v/>
      </c>
    </row>
    <row r="32" spans="1:11">
      <c r="A32" s="4">
        <v>30</v>
      </c>
      <c r="B32" s="5"/>
      <c r="C32" s="5"/>
      <c r="D32" s="5"/>
      <c r="E32" s="5"/>
      <c r="F32" s="5"/>
      <c r="G32" s="5"/>
      <c r="H32" s="5"/>
      <c r="I32" s="5"/>
      <c r="J32" s="5"/>
      <c r="K32" s="6" t="str">
        <f t="shared" si="0"/>
        <v/>
      </c>
    </row>
    <row r="33" spans="1:11">
      <c r="A33" s="4">
        <v>31</v>
      </c>
      <c r="B33" s="5"/>
      <c r="C33" s="5"/>
      <c r="D33" s="5"/>
      <c r="E33" s="5"/>
      <c r="F33" s="5"/>
      <c r="G33" s="5"/>
      <c r="H33" s="5"/>
      <c r="I33" s="5"/>
      <c r="J33" s="5"/>
      <c r="K33" s="6" t="str">
        <f t="shared" si="0"/>
        <v/>
      </c>
    </row>
    <row r="34" spans="1:11">
      <c r="A34" s="4">
        <v>32</v>
      </c>
      <c r="B34" s="5"/>
      <c r="C34" s="5"/>
      <c r="D34" s="5"/>
      <c r="E34" s="5"/>
      <c r="F34" s="5"/>
      <c r="G34" s="5"/>
      <c r="H34" s="5"/>
      <c r="I34" s="5"/>
      <c r="J34" s="5"/>
      <c r="K34" s="6" t="str">
        <f t="shared" si="0"/>
        <v/>
      </c>
    </row>
    <row r="35" spans="1:11">
      <c r="A35" s="4">
        <v>33</v>
      </c>
      <c r="B35" s="5"/>
      <c r="C35" s="5"/>
      <c r="D35" s="5"/>
      <c r="E35" s="5"/>
      <c r="F35" s="5"/>
      <c r="G35" s="5"/>
      <c r="H35" s="5"/>
      <c r="I35" s="5"/>
      <c r="J35" s="5"/>
      <c r="K35" s="6" t="str">
        <f t="shared" ref="K35:K66" si="1">IF(COUNTA(B35:J35)=0,"",ROUND(AVERAGE(H35,I35,6-J35),2))</f>
        <v/>
      </c>
    </row>
    <row r="36" spans="1:11">
      <c r="A36" s="4">
        <v>34</v>
      </c>
      <c r="B36" s="5"/>
      <c r="C36" s="5"/>
      <c r="D36" s="5"/>
      <c r="E36" s="5"/>
      <c r="F36" s="5"/>
      <c r="G36" s="5"/>
      <c r="H36" s="5"/>
      <c r="I36" s="5"/>
      <c r="J36" s="5"/>
      <c r="K36" s="6" t="str">
        <f t="shared" si="1"/>
        <v/>
      </c>
    </row>
    <row r="37" spans="1:11">
      <c r="A37" s="4">
        <v>35</v>
      </c>
      <c r="B37" s="5"/>
      <c r="C37" s="5"/>
      <c r="D37" s="5"/>
      <c r="E37" s="5"/>
      <c r="F37" s="5"/>
      <c r="G37" s="5"/>
      <c r="H37" s="5"/>
      <c r="I37" s="5"/>
      <c r="J37" s="5"/>
      <c r="K37" s="6" t="str">
        <f t="shared" si="1"/>
        <v/>
      </c>
    </row>
    <row r="38" spans="1:11">
      <c r="A38" s="4">
        <v>36</v>
      </c>
      <c r="B38" s="5"/>
      <c r="C38" s="5"/>
      <c r="D38" s="5"/>
      <c r="E38" s="5"/>
      <c r="F38" s="5"/>
      <c r="G38" s="5"/>
      <c r="H38" s="5"/>
      <c r="I38" s="5"/>
      <c r="J38" s="5"/>
      <c r="K38" s="6" t="str">
        <f t="shared" si="1"/>
        <v/>
      </c>
    </row>
    <row r="39" spans="1:11">
      <c r="A39" s="4">
        <v>37</v>
      </c>
      <c r="B39" s="5"/>
      <c r="C39" s="5"/>
      <c r="D39" s="5"/>
      <c r="E39" s="5"/>
      <c r="F39" s="5"/>
      <c r="G39" s="5"/>
      <c r="H39" s="5"/>
      <c r="I39" s="5"/>
      <c r="J39" s="5"/>
      <c r="K39" s="6" t="str">
        <f t="shared" si="1"/>
        <v/>
      </c>
    </row>
    <row r="40" spans="1:11">
      <c r="A40" s="4">
        <v>38</v>
      </c>
      <c r="B40" s="5"/>
      <c r="C40" s="5"/>
      <c r="D40" s="5"/>
      <c r="E40" s="5"/>
      <c r="F40" s="5"/>
      <c r="G40" s="5"/>
      <c r="H40" s="5"/>
      <c r="I40" s="5"/>
      <c r="J40" s="5"/>
      <c r="K40" s="6" t="str">
        <f t="shared" si="1"/>
        <v/>
      </c>
    </row>
    <row r="41" spans="1:11">
      <c r="A41" s="4">
        <v>39</v>
      </c>
      <c r="B41" s="5"/>
      <c r="C41" s="5"/>
      <c r="D41" s="5"/>
      <c r="E41" s="5"/>
      <c r="F41" s="5"/>
      <c r="G41" s="5"/>
      <c r="H41" s="5"/>
      <c r="I41" s="5"/>
      <c r="J41" s="5"/>
      <c r="K41" s="6" t="str">
        <f t="shared" si="1"/>
        <v/>
      </c>
    </row>
    <row r="42" spans="1:11">
      <c r="A42" s="4">
        <v>40</v>
      </c>
      <c r="B42" s="5"/>
      <c r="C42" s="5"/>
      <c r="D42" s="5"/>
      <c r="E42" s="5"/>
      <c r="F42" s="5"/>
      <c r="G42" s="5"/>
      <c r="H42" s="5"/>
      <c r="I42" s="5"/>
      <c r="J42" s="5"/>
      <c r="K42" s="6" t="str">
        <f t="shared" si="1"/>
        <v/>
      </c>
    </row>
    <row r="43" spans="1:11">
      <c r="A43" s="4">
        <v>41</v>
      </c>
      <c r="B43" s="5"/>
      <c r="C43" s="5"/>
      <c r="D43" s="5"/>
      <c r="E43" s="5"/>
      <c r="F43" s="5"/>
      <c r="G43" s="5"/>
      <c r="H43" s="5"/>
      <c r="I43" s="5"/>
      <c r="J43" s="5"/>
      <c r="K43" s="6" t="str">
        <f t="shared" si="1"/>
        <v/>
      </c>
    </row>
    <row r="44" spans="1:11">
      <c r="A44" s="4">
        <v>42</v>
      </c>
      <c r="B44" s="5"/>
      <c r="C44" s="5"/>
      <c r="D44" s="5"/>
      <c r="E44" s="5"/>
      <c r="F44" s="5"/>
      <c r="G44" s="5"/>
      <c r="H44" s="5"/>
      <c r="I44" s="5"/>
      <c r="J44" s="5"/>
      <c r="K44" s="6" t="str">
        <f t="shared" si="1"/>
        <v/>
      </c>
    </row>
    <row r="45" spans="1:11">
      <c r="A45" s="4">
        <v>43</v>
      </c>
      <c r="B45" s="5"/>
      <c r="C45" s="5"/>
      <c r="D45" s="5"/>
      <c r="E45" s="5"/>
      <c r="F45" s="5"/>
      <c r="G45" s="5"/>
      <c r="H45" s="5"/>
      <c r="I45" s="5"/>
      <c r="J45" s="5"/>
      <c r="K45" s="6" t="str">
        <f t="shared" si="1"/>
        <v/>
      </c>
    </row>
    <row r="46" spans="1:11">
      <c r="A46" s="4">
        <v>44</v>
      </c>
      <c r="B46" s="5"/>
      <c r="C46" s="5"/>
      <c r="D46" s="5"/>
      <c r="E46" s="5"/>
      <c r="F46" s="5"/>
      <c r="G46" s="5"/>
      <c r="H46" s="5"/>
      <c r="I46" s="5"/>
      <c r="J46" s="5"/>
      <c r="K46" s="6" t="str">
        <f t="shared" si="1"/>
        <v/>
      </c>
    </row>
    <row r="47" spans="1:11">
      <c r="A47" s="4">
        <v>45</v>
      </c>
      <c r="B47" s="5"/>
      <c r="C47" s="5"/>
      <c r="D47" s="5"/>
      <c r="E47" s="5"/>
      <c r="F47" s="5"/>
      <c r="G47" s="5"/>
      <c r="H47" s="5"/>
      <c r="I47" s="5"/>
      <c r="J47" s="5"/>
      <c r="K47" s="6" t="str">
        <f t="shared" si="1"/>
        <v/>
      </c>
    </row>
    <row r="48" spans="1:11">
      <c r="A48" s="4">
        <v>46</v>
      </c>
      <c r="B48" s="5"/>
      <c r="C48" s="5"/>
      <c r="D48" s="5"/>
      <c r="E48" s="5"/>
      <c r="F48" s="5"/>
      <c r="G48" s="5"/>
      <c r="H48" s="5"/>
      <c r="I48" s="5"/>
      <c r="J48" s="5"/>
      <c r="K48" s="6" t="str">
        <f t="shared" si="1"/>
        <v/>
      </c>
    </row>
    <row r="49" spans="1:11">
      <c r="A49" s="4">
        <v>47</v>
      </c>
      <c r="B49" s="5"/>
      <c r="C49" s="5"/>
      <c r="D49" s="5"/>
      <c r="E49" s="5"/>
      <c r="F49" s="5"/>
      <c r="G49" s="5"/>
      <c r="H49" s="5"/>
      <c r="I49" s="5"/>
      <c r="J49" s="5"/>
      <c r="K49" s="6" t="str">
        <f t="shared" si="1"/>
        <v/>
      </c>
    </row>
    <row r="50" spans="1:11">
      <c r="A50" s="4">
        <v>48</v>
      </c>
      <c r="B50" s="5"/>
      <c r="C50" s="5"/>
      <c r="D50" s="5"/>
      <c r="E50" s="5"/>
      <c r="F50" s="5"/>
      <c r="G50" s="5"/>
      <c r="H50" s="5"/>
      <c r="I50" s="5"/>
      <c r="J50" s="5"/>
      <c r="K50" s="6" t="str">
        <f t="shared" si="1"/>
        <v/>
      </c>
    </row>
    <row r="51" spans="1:11">
      <c r="A51" s="4">
        <v>49</v>
      </c>
      <c r="B51" s="5"/>
      <c r="C51" s="5"/>
      <c r="D51" s="5"/>
      <c r="E51" s="5"/>
      <c r="F51" s="5"/>
      <c r="G51" s="5"/>
      <c r="H51" s="5"/>
      <c r="I51" s="5"/>
      <c r="J51" s="5"/>
      <c r="K51" s="6" t="str">
        <f t="shared" si="1"/>
        <v/>
      </c>
    </row>
    <row r="52" spans="1:11">
      <c r="A52" s="4">
        <v>50</v>
      </c>
      <c r="B52" s="5"/>
      <c r="C52" s="5"/>
      <c r="D52" s="5"/>
      <c r="E52" s="5"/>
      <c r="F52" s="5"/>
      <c r="G52" s="5"/>
      <c r="H52" s="5"/>
      <c r="I52" s="5"/>
      <c r="J52" s="5"/>
      <c r="K52" s="6" t="str">
        <f t="shared" si="1"/>
        <v/>
      </c>
    </row>
    <row r="53" spans="1:11">
      <c r="A53" s="4">
        <v>51</v>
      </c>
      <c r="B53" s="5"/>
      <c r="C53" s="5"/>
      <c r="D53" s="5"/>
      <c r="E53" s="5"/>
      <c r="F53" s="5"/>
      <c r="G53" s="5"/>
      <c r="H53" s="5"/>
      <c r="I53" s="5"/>
      <c r="J53" s="5"/>
      <c r="K53" s="6" t="str">
        <f t="shared" si="1"/>
        <v/>
      </c>
    </row>
    <row r="54" spans="1:11">
      <c r="A54" s="4">
        <v>52</v>
      </c>
      <c r="B54" s="5"/>
      <c r="C54" s="5"/>
      <c r="D54" s="5"/>
      <c r="E54" s="5"/>
      <c r="F54" s="5"/>
      <c r="G54" s="5"/>
      <c r="H54" s="5"/>
      <c r="I54" s="5"/>
      <c r="J54" s="5"/>
      <c r="K54" s="6" t="str">
        <f t="shared" si="1"/>
        <v/>
      </c>
    </row>
    <row r="55" spans="1:11">
      <c r="A55" s="4">
        <v>53</v>
      </c>
      <c r="B55" s="5"/>
      <c r="C55" s="5"/>
      <c r="D55" s="5"/>
      <c r="E55" s="5"/>
      <c r="F55" s="5"/>
      <c r="G55" s="5"/>
      <c r="H55" s="5"/>
      <c r="I55" s="5"/>
      <c r="J55" s="5"/>
      <c r="K55" s="6" t="str">
        <f t="shared" si="1"/>
        <v/>
      </c>
    </row>
    <row r="56" spans="1:11">
      <c r="A56" s="4">
        <v>54</v>
      </c>
      <c r="B56" s="5"/>
      <c r="C56" s="5"/>
      <c r="D56" s="5"/>
      <c r="E56" s="5"/>
      <c r="F56" s="5"/>
      <c r="G56" s="5"/>
      <c r="H56" s="5"/>
      <c r="I56" s="5"/>
      <c r="J56" s="5"/>
      <c r="K56" s="6" t="str">
        <f t="shared" si="1"/>
        <v/>
      </c>
    </row>
    <row r="57" spans="1:11">
      <c r="A57" s="4">
        <v>55</v>
      </c>
      <c r="B57" s="5"/>
      <c r="C57" s="5"/>
      <c r="D57" s="5"/>
      <c r="E57" s="5"/>
      <c r="F57" s="5"/>
      <c r="G57" s="5"/>
      <c r="H57" s="5"/>
      <c r="I57" s="5"/>
      <c r="J57" s="5"/>
      <c r="K57" s="6" t="str">
        <f t="shared" si="1"/>
        <v/>
      </c>
    </row>
    <row r="58" spans="1:11">
      <c r="A58" s="4">
        <v>56</v>
      </c>
      <c r="B58" s="5"/>
      <c r="C58" s="5"/>
      <c r="D58" s="5"/>
      <c r="E58" s="5"/>
      <c r="F58" s="5"/>
      <c r="G58" s="5"/>
      <c r="H58" s="5"/>
      <c r="I58" s="5"/>
      <c r="J58" s="5"/>
      <c r="K58" s="6" t="str">
        <f t="shared" si="1"/>
        <v/>
      </c>
    </row>
    <row r="59" spans="1:11">
      <c r="A59" s="4">
        <v>57</v>
      </c>
      <c r="B59" s="5"/>
      <c r="C59" s="5"/>
      <c r="D59" s="5"/>
      <c r="E59" s="5"/>
      <c r="F59" s="5"/>
      <c r="G59" s="5"/>
      <c r="H59" s="5"/>
      <c r="I59" s="5"/>
      <c r="J59" s="5"/>
      <c r="K59" s="6" t="str">
        <f t="shared" si="1"/>
        <v/>
      </c>
    </row>
    <row r="60" spans="1:11">
      <c r="A60" s="4">
        <v>58</v>
      </c>
      <c r="B60" s="5"/>
      <c r="C60" s="5"/>
      <c r="D60" s="5"/>
      <c r="E60" s="5"/>
      <c r="F60" s="5"/>
      <c r="G60" s="5"/>
      <c r="H60" s="5"/>
      <c r="I60" s="5"/>
      <c r="J60" s="5"/>
      <c r="K60" s="6" t="str">
        <f t="shared" si="1"/>
        <v/>
      </c>
    </row>
    <row r="61" spans="1:11">
      <c r="A61" s="4">
        <v>59</v>
      </c>
      <c r="B61" s="5"/>
      <c r="C61" s="5"/>
      <c r="D61" s="5"/>
      <c r="E61" s="5"/>
      <c r="F61" s="5"/>
      <c r="G61" s="5"/>
      <c r="H61" s="5"/>
      <c r="I61" s="5"/>
      <c r="J61" s="5"/>
      <c r="K61" s="6" t="str">
        <f t="shared" si="1"/>
        <v/>
      </c>
    </row>
    <row r="62" spans="1:11">
      <c r="A62" s="4">
        <v>60</v>
      </c>
      <c r="B62" s="5"/>
      <c r="C62" s="5"/>
      <c r="D62" s="5"/>
      <c r="E62" s="5"/>
      <c r="F62" s="5"/>
      <c r="G62" s="5"/>
      <c r="H62" s="5"/>
      <c r="I62" s="5"/>
      <c r="J62" s="5"/>
      <c r="K62" s="6" t="str">
        <f t="shared" si="1"/>
        <v/>
      </c>
    </row>
    <row r="63" spans="1:11">
      <c r="A63" s="4">
        <v>61</v>
      </c>
      <c r="B63" s="5"/>
      <c r="C63" s="5"/>
      <c r="D63" s="5"/>
      <c r="E63" s="5"/>
      <c r="F63" s="5"/>
      <c r="G63" s="5"/>
      <c r="H63" s="5"/>
      <c r="I63" s="5"/>
      <c r="J63" s="5"/>
      <c r="K63" s="6" t="str">
        <f t="shared" si="1"/>
        <v/>
      </c>
    </row>
    <row r="64" spans="1:11">
      <c r="A64" s="4">
        <v>62</v>
      </c>
      <c r="B64" s="5"/>
      <c r="C64" s="5"/>
      <c r="D64" s="5"/>
      <c r="E64" s="5"/>
      <c r="F64" s="5"/>
      <c r="G64" s="5"/>
      <c r="H64" s="5"/>
      <c r="I64" s="5"/>
      <c r="J64" s="5"/>
      <c r="K64" s="6" t="str">
        <f t="shared" si="1"/>
        <v/>
      </c>
    </row>
    <row r="65" spans="1:11">
      <c r="A65" s="4">
        <v>63</v>
      </c>
      <c r="B65" s="5"/>
      <c r="C65" s="5"/>
      <c r="D65" s="5"/>
      <c r="E65" s="5"/>
      <c r="F65" s="5"/>
      <c r="G65" s="5"/>
      <c r="H65" s="5"/>
      <c r="I65" s="5"/>
      <c r="J65" s="5"/>
      <c r="K65" s="6" t="str">
        <f t="shared" si="1"/>
        <v/>
      </c>
    </row>
    <row r="66" spans="1:11">
      <c r="A66" s="4">
        <v>64</v>
      </c>
      <c r="B66" s="5"/>
      <c r="C66" s="5"/>
      <c r="D66" s="5"/>
      <c r="E66" s="5"/>
      <c r="F66" s="5"/>
      <c r="G66" s="5"/>
      <c r="H66" s="5"/>
      <c r="I66" s="5"/>
      <c r="J66" s="5"/>
      <c r="K66" s="6" t="str">
        <f t="shared" si="1"/>
        <v/>
      </c>
    </row>
    <row r="67" spans="1:11">
      <c r="A67" s="4">
        <v>65</v>
      </c>
      <c r="B67" s="5"/>
      <c r="C67" s="5"/>
      <c r="D67" s="5"/>
      <c r="E67" s="5"/>
      <c r="F67" s="5"/>
      <c r="G67" s="5"/>
      <c r="H67" s="5"/>
      <c r="I67" s="5"/>
      <c r="J67" s="5"/>
      <c r="K67" s="6" t="str">
        <f t="shared" ref="K67:K98" si="2">IF(COUNTA(B67:J67)=0,"",ROUND(AVERAGE(H67,I67,6-J67),2))</f>
        <v/>
      </c>
    </row>
    <row r="68" spans="1:11">
      <c r="A68" s="4">
        <v>66</v>
      </c>
      <c r="B68" s="5"/>
      <c r="C68" s="5"/>
      <c r="D68" s="5"/>
      <c r="E68" s="5"/>
      <c r="F68" s="5"/>
      <c r="G68" s="5"/>
      <c r="H68" s="5"/>
      <c r="I68" s="5"/>
      <c r="J68" s="5"/>
      <c r="K68" s="6" t="str">
        <f t="shared" si="2"/>
        <v/>
      </c>
    </row>
    <row r="69" spans="1:11">
      <c r="A69" s="4">
        <v>67</v>
      </c>
      <c r="B69" s="5"/>
      <c r="C69" s="5"/>
      <c r="D69" s="5"/>
      <c r="E69" s="5"/>
      <c r="F69" s="5"/>
      <c r="G69" s="5"/>
      <c r="H69" s="5"/>
      <c r="I69" s="5"/>
      <c r="J69" s="5"/>
      <c r="K69" s="6" t="str">
        <f t="shared" si="2"/>
        <v/>
      </c>
    </row>
    <row r="70" spans="1:11">
      <c r="A70" s="4">
        <v>68</v>
      </c>
      <c r="B70" s="5"/>
      <c r="C70" s="5"/>
      <c r="D70" s="5"/>
      <c r="E70" s="5"/>
      <c r="F70" s="5"/>
      <c r="G70" s="5"/>
      <c r="H70" s="5"/>
      <c r="I70" s="5"/>
      <c r="J70" s="5"/>
      <c r="K70" s="6" t="str">
        <f t="shared" si="2"/>
        <v/>
      </c>
    </row>
    <row r="71" spans="1:11">
      <c r="A71" s="4">
        <v>69</v>
      </c>
      <c r="B71" s="5"/>
      <c r="C71" s="5"/>
      <c r="D71" s="5"/>
      <c r="E71" s="5"/>
      <c r="F71" s="5"/>
      <c r="G71" s="5"/>
      <c r="H71" s="5"/>
      <c r="I71" s="5"/>
      <c r="J71" s="5"/>
      <c r="K71" s="6" t="str">
        <f t="shared" si="2"/>
        <v/>
      </c>
    </row>
    <row r="72" spans="1:11">
      <c r="A72" s="4">
        <v>70</v>
      </c>
      <c r="B72" s="5"/>
      <c r="C72" s="5"/>
      <c r="D72" s="5"/>
      <c r="E72" s="5"/>
      <c r="F72" s="5"/>
      <c r="G72" s="5"/>
      <c r="H72" s="5"/>
      <c r="I72" s="5"/>
      <c r="J72" s="5"/>
      <c r="K72" s="6" t="str">
        <f t="shared" si="2"/>
        <v/>
      </c>
    </row>
    <row r="73" spans="1:11">
      <c r="A73" s="4">
        <v>71</v>
      </c>
      <c r="B73" s="5"/>
      <c r="C73" s="5"/>
      <c r="D73" s="5"/>
      <c r="E73" s="5"/>
      <c r="F73" s="5"/>
      <c r="G73" s="5"/>
      <c r="H73" s="5"/>
      <c r="I73" s="5"/>
      <c r="J73" s="5"/>
      <c r="K73" s="6" t="str">
        <f t="shared" si="2"/>
        <v/>
      </c>
    </row>
    <row r="74" spans="1:11">
      <c r="A74" s="4">
        <v>72</v>
      </c>
      <c r="B74" s="5"/>
      <c r="C74" s="5"/>
      <c r="D74" s="5"/>
      <c r="E74" s="5"/>
      <c r="F74" s="5"/>
      <c r="G74" s="5"/>
      <c r="H74" s="5"/>
      <c r="I74" s="5"/>
      <c r="J74" s="5"/>
      <c r="K74" s="6" t="str">
        <f t="shared" si="2"/>
        <v/>
      </c>
    </row>
    <row r="75" spans="1:11">
      <c r="A75" s="4">
        <v>73</v>
      </c>
      <c r="B75" s="5"/>
      <c r="C75" s="5"/>
      <c r="D75" s="5"/>
      <c r="E75" s="5"/>
      <c r="F75" s="5"/>
      <c r="G75" s="5"/>
      <c r="H75" s="5"/>
      <c r="I75" s="5"/>
      <c r="J75" s="5"/>
      <c r="K75" s="6" t="str">
        <f t="shared" si="2"/>
        <v/>
      </c>
    </row>
    <row r="76" spans="1:11">
      <c r="A76" s="4">
        <v>74</v>
      </c>
      <c r="B76" s="5"/>
      <c r="C76" s="5"/>
      <c r="D76" s="5"/>
      <c r="E76" s="5"/>
      <c r="F76" s="5"/>
      <c r="G76" s="5"/>
      <c r="H76" s="5"/>
      <c r="I76" s="5"/>
      <c r="J76" s="5"/>
      <c r="K76" s="6" t="str">
        <f t="shared" si="2"/>
        <v/>
      </c>
    </row>
    <row r="77" spans="1:11">
      <c r="A77" s="4">
        <v>75</v>
      </c>
      <c r="B77" s="5"/>
      <c r="C77" s="5"/>
      <c r="D77" s="5"/>
      <c r="E77" s="5"/>
      <c r="F77" s="5"/>
      <c r="G77" s="5"/>
      <c r="H77" s="5"/>
      <c r="I77" s="5"/>
      <c r="J77" s="5"/>
      <c r="K77" s="6" t="str">
        <f t="shared" si="2"/>
        <v/>
      </c>
    </row>
    <row r="78" spans="1:11">
      <c r="A78" s="4">
        <v>76</v>
      </c>
      <c r="B78" s="5"/>
      <c r="C78" s="5"/>
      <c r="D78" s="5"/>
      <c r="E78" s="5"/>
      <c r="F78" s="5"/>
      <c r="G78" s="5"/>
      <c r="H78" s="5"/>
      <c r="I78" s="5"/>
      <c r="J78" s="5"/>
      <c r="K78" s="6" t="str">
        <f t="shared" si="2"/>
        <v/>
      </c>
    </row>
    <row r="79" spans="1:11">
      <c r="A79" s="4">
        <v>77</v>
      </c>
      <c r="B79" s="5"/>
      <c r="C79" s="5"/>
      <c r="D79" s="5"/>
      <c r="E79" s="5"/>
      <c r="F79" s="5"/>
      <c r="G79" s="5"/>
      <c r="H79" s="5"/>
      <c r="I79" s="5"/>
      <c r="J79" s="5"/>
      <c r="K79" s="6" t="str">
        <f t="shared" si="2"/>
        <v/>
      </c>
    </row>
    <row r="80" spans="1:11">
      <c r="A80" s="4">
        <v>78</v>
      </c>
      <c r="B80" s="5"/>
      <c r="C80" s="5"/>
      <c r="D80" s="5"/>
      <c r="E80" s="5"/>
      <c r="F80" s="5"/>
      <c r="G80" s="5"/>
      <c r="H80" s="5"/>
      <c r="I80" s="5"/>
      <c r="J80" s="5"/>
      <c r="K80" s="6" t="str">
        <f t="shared" si="2"/>
        <v/>
      </c>
    </row>
    <row r="81" spans="1:11">
      <c r="A81" s="4">
        <v>79</v>
      </c>
      <c r="B81" s="5"/>
      <c r="C81" s="5"/>
      <c r="D81" s="5"/>
      <c r="E81" s="5"/>
      <c r="F81" s="5"/>
      <c r="G81" s="5"/>
      <c r="H81" s="5"/>
      <c r="I81" s="5"/>
      <c r="J81" s="5"/>
      <c r="K81" s="6" t="str">
        <f t="shared" si="2"/>
        <v/>
      </c>
    </row>
    <row r="82" spans="1:11">
      <c r="A82" s="4">
        <v>80</v>
      </c>
      <c r="B82" s="5"/>
      <c r="C82" s="5"/>
      <c r="D82" s="5"/>
      <c r="E82" s="5"/>
      <c r="F82" s="5"/>
      <c r="G82" s="5"/>
      <c r="H82" s="5"/>
      <c r="I82" s="5"/>
      <c r="J82" s="5"/>
      <c r="K82" s="6" t="str">
        <f t="shared" si="2"/>
        <v/>
      </c>
    </row>
    <row r="83" spans="1:11">
      <c r="A83" s="4">
        <v>81</v>
      </c>
      <c r="B83" s="5"/>
      <c r="C83" s="5"/>
      <c r="D83" s="5"/>
      <c r="E83" s="5"/>
      <c r="F83" s="5"/>
      <c r="G83" s="5"/>
      <c r="H83" s="5"/>
      <c r="I83" s="5"/>
      <c r="J83" s="5"/>
      <c r="K83" s="6" t="str">
        <f t="shared" si="2"/>
        <v/>
      </c>
    </row>
    <row r="84" spans="1:11">
      <c r="A84" s="4">
        <v>82</v>
      </c>
      <c r="B84" s="5"/>
      <c r="C84" s="5"/>
      <c r="D84" s="5"/>
      <c r="E84" s="5"/>
      <c r="F84" s="5"/>
      <c r="G84" s="5"/>
      <c r="H84" s="5"/>
      <c r="I84" s="5"/>
      <c r="J84" s="5"/>
      <c r="K84" s="6" t="str">
        <f t="shared" si="2"/>
        <v/>
      </c>
    </row>
    <row r="85" spans="1:11">
      <c r="A85" s="4">
        <v>83</v>
      </c>
      <c r="B85" s="5"/>
      <c r="C85" s="5"/>
      <c r="D85" s="5"/>
      <c r="E85" s="5"/>
      <c r="F85" s="5"/>
      <c r="G85" s="5"/>
      <c r="H85" s="5"/>
      <c r="I85" s="5"/>
      <c r="J85" s="5"/>
      <c r="K85" s="6" t="str">
        <f t="shared" si="2"/>
        <v/>
      </c>
    </row>
    <row r="86" spans="1:11">
      <c r="A86" s="4">
        <v>84</v>
      </c>
      <c r="B86" s="5"/>
      <c r="C86" s="5"/>
      <c r="D86" s="5"/>
      <c r="E86" s="5"/>
      <c r="F86" s="5"/>
      <c r="G86" s="5"/>
      <c r="H86" s="5"/>
      <c r="I86" s="5"/>
      <c r="J86" s="5"/>
      <c r="K86" s="6" t="str">
        <f t="shared" si="2"/>
        <v/>
      </c>
    </row>
    <row r="87" spans="1:11">
      <c r="A87" s="4">
        <v>85</v>
      </c>
      <c r="B87" s="5"/>
      <c r="C87" s="5"/>
      <c r="D87" s="5"/>
      <c r="E87" s="5"/>
      <c r="F87" s="5"/>
      <c r="G87" s="5"/>
      <c r="H87" s="5"/>
      <c r="I87" s="5"/>
      <c r="J87" s="5"/>
      <c r="K87" s="6" t="str">
        <f t="shared" si="2"/>
        <v/>
      </c>
    </row>
    <row r="88" spans="1:11">
      <c r="A88" s="4">
        <v>86</v>
      </c>
      <c r="B88" s="5"/>
      <c r="C88" s="5"/>
      <c r="D88" s="5"/>
      <c r="E88" s="5"/>
      <c r="F88" s="5"/>
      <c r="G88" s="5"/>
      <c r="H88" s="5"/>
      <c r="I88" s="5"/>
      <c r="J88" s="5"/>
      <c r="K88" s="6" t="str">
        <f t="shared" si="2"/>
        <v/>
      </c>
    </row>
    <row r="89" spans="1:11">
      <c r="A89" s="4">
        <v>87</v>
      </c>
      <c r="B89" s="5"/>
      <c r="C89" s="5"/>
      <c r="D89" s="5"/>
      <c r="E89" s="5"/>
      <c r="F89" s="5"/>
      <c r="G89" s="5"/>
      <c r="H89" s="5"/>
      <c r="I89" s="5"/>
      <c r="J89" s="5"/>
      <c r="K89" s="6" t="str">
        <f t="shared" si="2"/>
        <v/>
      </c>
    </row>
    <row r="90" spans="1:11">
      <c r="A90" s="4">
        <v>88</v>
      </c>
      <c r="B90" s="5"/>
      <c r="C90" s="5"/>
      <c r="D90" s="5"/>
      <c r="E90" s="5"/>
      <c r="F90" s="5"/>
      <c r="G90" s="5"/>
      <c r="H90" s="5"/>
      <c r="I90" s="5"/>
      <c r="J90" s="5"/>
      <c r="K90" s="6" t="str">
        <f t="shared" si="2"/>
        <v/>
      </c>
    </row>
    <row r="91" spans="1:11">
      <c r="A91" s="4">
        <v>89</v>
      </c>
      <c r="B91" s="5"/>
      <c r="C91" s="5"/>
      <c r="D91" s="5"/>
      <c r="E91" s="5"/>
      <c r="F91" s="5"/>
      <c r="G91" s="5"/>
      <c r="H91" s="5"/>
      <c r="I91" s="5"/>
      <c r="J91" s="5"/>
      <c r="K91" s="6" t="str">
        <f t="shared" si="2"/>
        <v/>
      </c>
    </row>
    <row r="92" spans="1:11">
      <c r="A92" s="4">
        <v>90</v>
      </c>
      <c r="B92" s="5"/>
      <c r="C92" s="5"/>
      <c r="D92" s="5"/>
      <c r="E92" s="5"/>
      <c r="F92" s="5"/>
      <c r="G92" s="5"/>
      <c r="H92" s="5"/>
      <c r="I92" s="5"/>
      <c r="J92" s="5"/>
      <c r="K92" s="6" t="str">
        <f t="shared" si="2"/>
        <v/>
      </c>
    </row>
    <row r="93" spans="1:11">
      <c r="A93" s="4">
        <v>91</v>
      </c>
      <c r="B93" s="5"/>
      <c r="C93" s="5"/>
      <c r="D93" s="5"/>
      <c r="E93" s="5"/>
      <c r="F93" s="5"/>
      <c r="G93" s="5"/>
      <c r="H93" s="5"/>
      <c r="I93" s="5"/>
      <c r="J93" s="5"/>
      <c r="K93" s="6" t="str">
        <f t="shared" si="2"/>
        <v/>
      </c>
    </row>
    <row r="94" spans="1:11">
      <c r="A94" s="4">
        <v>92</v>
      </c>
      <c r="B94" s="5"/>
      <c r="C94" s="5"/>
      <c r="D94" s="5"/>
      <c r="E94" s="5"/>
      <c r="F94" s="5"/>
      <c r="G94" s="5"/>
      <c r="H94" s="5"/>
      <c r="I94" s="5"/>
      <c r="J94" s="5"/>
      <c r="K94" s="6" t="str">
        <f t="shared" si="2"/>
        <v/>
      </c>
    </row>
    <row r="95" spans="1:11">
      <c r="A95" s="4">
        <v>93</v>
      </c>
      <c r="B95" s="5"/>
      <c r="C95" s="5"/>
      <c r="D95" s="5"/>
      <c r="E95" s="5"/>
      <c r="F95" s="5"/>
      <c r="G95" s="5"/>
      <c r="H95" s="5"/>
      <c r="I95" s="5"/>
      <c r="J95" s="5"/>
      <c r="K95" s="6" t="str">
        <f t="shared" si="2"/>
        <v/>
      </c>
    </row>
    <row r="96" spans="1:11">
      <c r="A96" s="4">
        <v>94</v>
      </c>
      <c r="B96" s="5"/>
      <c r="C96" s="5"/>
      <c r="D96" s="5"/>
      <c r="E96" s="5"/>
      <c r="F96" s="5"/>
      <c r="G96" s="5"/>
      <c r="H96" s="5"/>
      <c r="I96" s="5"/>
      <c r="J96" s="5"/>
      <c r="K96" s="6" t="str">
        <f t="shared" si="2"/>
        <v/>
      </c>
    </row>
    <row r="97" spans="1:11">
      <c r="A97" s="4">
        <v>95</v>
      </c>
      <c r="B97" s="5"/>
      <c r="C97" s="5"/>
      <c r="D97" s="5"/>
      <c r="E97" s="5"/>
      <c r="F97" s="5"/>
      <c r="G97" s="5"/>
      <c r="H97" s="5"/>
      <c r="I97" s="5"/>
      <c r="J97" s="5"/>
      <c r="K97" s="6" t="str">
        <f t="shared" si="2"/>
        <v/>
      </c>
    </row>
    <row r="98" spans="1:11">
      <c r="A98" s="4">
        <v>96</v>
      </c>
      <c r="B98" s="5"/>
      <c r="C98" s="5"/>
      <c r="D98" s="5"/>
      <c r="E98" s="5"/>
      <c r="F98" s="5"/>
      <c r="G98" s="5"/>
      <c r="H98" s="5"/>
      <c r="I98" s="5"/>
      <c r="J98" s="5"/>
      <c r="K98" s="6" t="str">
        <f t="shared" si="2"/>
        <v/>
      </c>
    </row>
    <row r="99" spans="1:11">
      <c r="A99" s="4">
        <v>97</v>
      </c>
      <c r="B99" s="5"/>
      <c r="C99" s="5"/>
      <c r="D99" s="5"/>
      <c r="E99" s="5"/>
      <c r="F99" s="5"/>
      <c r="G99" s="5"/>
      <c r="H99" s="5"/>
      <c r="I99" s="5"/>
      <c r="J99" s="5"/>
      <c r="K99" s="6" t="str">
        <f t="shared" ref="K99:K130" si="3">IF(COUNTA(B99:J99)=0,"",ROUND(AVERAGE(H99,I99,6-J99),2))</f>
        <v/>
      </c>
    </row>
    <row r="100" spans="1:11">
      <c r="A100" s="4">
        <v>98</v>
      </c>
      <c r="B100" s="5"/>
      <c r="C100" s="5"/>
      <c r="D100" s="5"/>
      <c r="E100" s="5"/>
      <c r="F100" s="5"/>
      <c r="G100" s="5"/>
      <c r="H100" s="5"/>
      <c r="I100" s="5"/>
      <c r="J100" s="5"/>
      <c r="K100" s="6" t="str">
        <f t="shared" si="3"/>
        <v/>
      </c>
    </row>
    <row r="101" spans="1:11">
      <c r="A101" s="4">
        <v>99</v>
      </c>
      <c r="B101" s="5"/>
      <c r="C101" s="5"/>
      <c r="D101" s="5"/>
      <c r="E101" s="5"/>
      <c r="F101" s="5"/>
      <c r="G101" s="5"/>
      <c r="H101" s="5"/>
      <c r="I101" s="5"/>
      <c r="J101" s="5"/>
      <c r="K101" s="6" t="str">
        <f t="shared" si="3"/>
        <v/>
      </c>
    </row>
    <row r="102" spans="1:11">
      <c r="A102" s="4">
        <v>100</v>
      </c>
      <c r="B102" s="5"/>
      <c r="C102" s="5"/>
      <c r="D102" s="5"/>
      <c r="E102" s="5"/>
      <c r="F102" s="5"/>
      <c r="G102" s="5"/>
      <c r="H102" s="5"/>
      <c r="I102" s="5"/>
      <c r="J102" s="5"/>
      <c r="K102" s="6" t="str">
        <f t="shared" si="3"/>
        <v/>
      </c>
    </row>
  </sheetData>
  <mergeCells count="1">
    <mergeCell ref="A1:K1"/>
  </mergeCells>
  <conditionalFormatting sqref="K3:K102">
    <cfRule type="colorScale" priority="1">
      <colorScale>
        <cfvo type="min"/>
        <cfvo type="percentile" val="50"/>
        <cfvo type="max"/>
        <color rgb="FFDCFCE7"/>
        <color rgb="FFFEF3C7"/>
        <color rgb="FFFECACA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800-000000000000}">
          <x14:formula1>
            <xm:f>'12_Справочники'!$H$3:$H$10</xm:f>
          </x14:formula1>
          <xm:sqref>D3:D102</xm:sqref>
        </x14:dataValidation>
        <x14:dataValidation type="list" xr:uid="{00000000-0002-0000-0800-000001000000}">
          <x14:formula1>
            <xm:f>'12_Справочники'!$C$3:$C$7</xm:f>
          </x14:formula1>
          <xm:sqref>H3:J102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4"/>
  <sheetViews>
    <sheetView workbookViewId="0"/>
  </sheetViews>
  <sheetFormatPr defaultRowHeight="14.25"/>
  <cols>
    <col min="1" max="1" width="7" customWidth="1"/>
    <col min="2" max="2" width="46" customWidth="1"/>
    <col min="3" max="4" width="34" customWidth="1"/>
    <col min="5" max="5" width="14" customWidth="1"/>
    <col min="6" max="6" width="20" customWidth="1"/>
    <col min="7" max="7" width="36" customWidth="1"/>
  </cols>
  <sheetData>
    <row r="1" spans="1:7" ht="32.1" customHeight="1">
      <c r="A1" s="9" t="s">
        <v>156</v>
      </c>
      <c r="B1" s="9"/>
      <c r="C1" s="9"/>
      <c r="D1" s="9"/>
      <c r="E1" s="9"/>
      <c r="F1" s="9"/>
      <c r="G1" s="9"/>
    </row>
    <row r="2" spans="1:7" ht="32.1" customHeight="1">
      <c r="A2" s="3" t="s">
        <v>157</v>
      </c>
      <c r="B2" s="3" t="s">
        <v>158</v>
      </c>
      <c r="C2" s="3" t="s">
        <v>159</v>
      </c>
      <c r="D2" s="3" t="s">
        <v>160</v>
      </c>
      <c r="E2" s="3" t="s">
        <v>161</v>
      </c>
      <c r="F2" s="3" t="s">
        <v>162</v>
      </c>
      <c r="G2" s="3" t="s">
        <v>163</v>
      </c>
    </row>
    <row r="3" spans="1:7" ht="28.5">
      <c r="A3" s="4">
        <v>1</v>
      </c>
      <c r="B3" s="4" t="s">
        <v>164</v>
      </c>
      <c r="C3" s="4" t="s">
        <v>165</v>
      </c>
      <c r="D3" s="5" t="s">
        <v>588</v>
      </c>
      <c r="E3" s="5">
        <v>3</v>
      </c>
      <c r="F3" s="6" t="str">
        <f t="shared" ref="F3:F14" si="0">IF(E3="","Не оценено",IF(E3&gt;=4,"Подтверждено",IF(E3&gt;=3,"Нужна проверка","Риск разрыва")))</f>
        <v>Нужна проверка</v>
      </c>
      <c r="G3" s="5" t="s">
        <v>589</v>
      </c>
    </row>
    <row r="4" spans="1:7" ht="28.5">
      <c r="A4" s="4">
        <v>2</v>
      </c>
      <c r="B4" s="4" t="s">
        <v>166</v>
      </c>
      <c r="C4" s="4" t="s">
        <v>167</v>
      </c>
      <c r="D4" s="5" t="s">
        <v>590</v>
      </c>
      <c r="E4" s="5">
        <v>5</v>
      </c>
      <c r="F4" s="6" t="str">
        <f t="shared" si="0"/>
        <v>Подтверждено</v>
      </c>
      <c r="G4" s="5"/>
    </row>
    <row r="5" spans="1:7" ht="28.5">
      <c r="A5" s="4">
        <v>3</v>
      </c>
      <c r="B5" s="4" t="s">
        <v>168</v>
      </c>
      <c r="C5" s="4" t="s">
        <v>169</v>
      </c>
      <c r="D5" s="5" t="s">
        <v>591</v>
      </c>
      <c r="E5" s="5">
        <v>5</v>
      </c>
      <c r="F5" s="6" t="str">
        <f t="shared" si="0"/>
        <v>Подтверждено</v>
      </c>
      <c r="G5" s="5"/>
    </row>
    <row r="6" spans="1:7">
      <c r="A6" s="4">
        <v>4</v>
      </c>
      <c r="B6" s="4" t="s">
        <v>170</v>
      </c>
      <c r="C6" s="4" t="s">
        <v>171</v>
      </c>
      <c r="D6" s="5" t="s">
        <v>592</v>
      </c>
      <c r="E6" s="5">
        <v>4</v>
      </c>
      <c r="F6" s="6" t="str">
        <f t="shared" si="0"/>
        <v>Подтверждено</v>
      </c>
      <c r="G6" s="5" t="s">
        <v>593</v>
      </c>
    </row>
    <row r="7" spans="1:7" ht="28.5">
      <c r="A7" s="4">
        <v>5</v>
      </c>
      <c r="B7" s="4" t="s">
        <v>172</v>
      </c>
      <c r="C7" s="4" t="s">
        <v>173</v>
      </c>
      <c r="D7" s="5" t="s">
        <v>594</v>
      </c>
      <c r="E7" s="5">
        <v>4</v>
      </c>
      <c r="F7" s="6" t="str">
        <f t="shared" si="0"/>
        <v>Подтверждено</v>
      </c>
      <c r="G7" s="5"/>
    </row>
    <row r="8" spans="1:7" ht="28.5">
      <c r="A8" s="4">
        <v>6</v>
      </c>
      <c r="B8" s="4" t="s">
        <v>174</v>
      </c>
      <c r="C8" s="4" t="s">
        <v>175</v>
      </c>
      <c r="D8" s="5" t="s">
        <v>595</v>
      </c>
      <c r="E8" s="5">
        <v>4</v>
      </c>
      <c r="F8" s="6" t="str">
        <f t="shared" si="0"/>
        <v>Подтверждено</v>
      </c>
      <c r="G8" s="5"/>
    </row>
    <row r="9" spans="1:7" ht="28.5">
      <c r="A9" s="4">
        <v>7</v>
      </c>
      <c r="B9" s="4" t="s">
        <v>176</v>
      </c>
      <c r="C9" s="4" t="s">
        <v>177</v>
      </c>
      <c r="D9" s="5" t="s">
        <v>596</v>
      </c>
      <c r="E9" s="5">
        <v>4</v>
      </c>
      <c r="F9" s="6" t="str">
        <f t="shared" si="0"/>
        <v>Подтверждено</v>
      </c>
      <c r="G9" s="5"/>
    </row>
    <row r="10" spans="1:7" ht="28.5">
      <c r="A10" s="4">
        <v>8</v>
      </c>
      <c r="B10" s="4" t="s">
        <v>178</v>
      </c>
      <c r="C10" s="4" t="s">
        <v>177</v>
      </c>
      <c r="D10" s="5" t="s">
        <v>597</v>
      </c>
      <c r="E10" s="5">
        <v>5</v>
      </c>
      <c r="F10" s="6" t="str">
        <f t="shared" si="0"/>
        <v>Подтверждено</v>
      </c>
      <c r="G10" s="5"/>
    </row>
    <row r="11" spans="1:7" ht="42.75">
      <c r="A11" s="4">
        <v>9</v>
      </c>
      <c r="B11" s="4" t="s">
        <v>179</v>
      </c>
      <c r="C11" s="4" t="s">
        <v>177</v>
      </c>
      <c r="D11" s="5" t="s">
        <v>598</v>
      </c>
      <c r="E11" s="5">
        <v>3</v>
      </c>
      <c r="F11" s="6" t="str">
        <f t="shared" si="0"/>
        <v>Нужна проверка</v>
      </c>
      <c r="G11" s="5" t="s">
        <v>599</v>
      </c>
    </row>
    <row r="12" spans="1:7" ht="28.5">
      <c r="A12" s="4">
        <v>10</v>
      </c>
      <c r="B12" s="4" t="s">
        <v>180</v>
      </c>
      <c r="C12" s="4" t="s">
        <v>181</v>
      </c>
      <c r="D12" s="5" t="s">
        <v>600</v>
      </c>
      <c r="E12" s="5">
        <v>3</v>
      </c>
      <c r="F12" s="6" t="str">
        <f t="shared" si="0"/>
        <v>Нужна проверка</v>
      </c>
      <c r="G12" s="5" t="s">
        <v>601</v>
      </c>
    </row>
    <row r="13" spans="1:7" ht="28.5">
      <c r="A13" s="4">
        <v>11</v>
      </c>
      <c r="B13" s="4" t="s">
        <v>182</v>
      </c>
      <c r="C13" s="4" t="s">
        <v>183</v>
      </c>
      <c r="D13" s="5" t="s">
        <v>602</v>
      </c>
      <c r="E13" s="5">
        <v>5</v>
      </c>
      <c r="F13" s="6" t="str">
        <f t="shared" si="0"/>
        <v>Подтверждено</v>
      </c>
      <c r="G13" s="5"/>
    </row>
    <row r="14" spans="1:7" ht="28.5">
      <c r="A14" s="4">
        <v>12</v>
      </c>
      <c r="B14" s="4" t="s">
        <v>184</v>
      </c>
      <c r="C14" s="4" t="s">
        <v>185</v>
      </c>
      <c r="D14" s="5" t="s">
        <v>603</v>
      </c>
      <c r="E14" s="5">
        <v>3</v>
      </c>
      <c r="F14" s="6" t="str">
        <f t="shared" si="0"/>
        <v>Нужна проверка</v>
      </c>
      <c r="G14" s="5" t="s">
        <v>604</v>
      </c>
    </row>
  </sheetData>
  <mergeCells count="1">
    <mergeCell ref="A1:G1"/>
  </mergeCells>
  <conditionalFormatting sqref="E3:E14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900-000000000000}">
          <x14:formula1>
            <xm:f>'12_Справочники'!$C$3:$C$7</xm:f>
          </x14:formula1>
          <xm:sqref>E3:E14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6"/>
  <sheetViews>
    <sheetView workbookViewId="0"/>
  </sheetViews>
  <sheetFormatPr defaultRowHeight="14.25"/>
  <cols>
    <col min="1" max="1" width="28" customWidth="1"/>
    <col min="2" max="2" width="48" customWidth="1"/>
    <col min="3" max="4" width="34" customWidth="1"/>
    <col min="5" max="5" width="18" customWidth="1"/>
  </cols>
  <sheetData>
    <row r="1" spans="1:5" ht="32.1" customHeight="1">
      <c r="A1" s="9" t="s">
        <v>186</v>
      </c>
      <c r="B1" s="9"/>
      <c r="C1" s="9"/>
      <c r="D1" s="9"/>
      <c r="E1" s="9"/>
    </row>
    <row r="2" spans="1:5" ht="32.1" customHeight="1">
      <c r="A2" s="3" t="s">
        <v>187</v>
      </c>
      <c r="B2" s="3" t="s">
        <v>188</v>
      </c>
      <c r="C2" s="3" t="s">
        <v>189</v>
      </c>
      <c r="D2" s="3" t="s">
        <v>158</v>
      </c>
      <c r="E2" s="3" t="s">
        <v>97</v>
      </c>
    </row>
    <row r="3" spans="1:5">
      <c r="A3" s="4" t="s">
        <v>190</v>
      </c>
      <c r="B3" s="5" t="str">
        <f>IFERROR(INDEX('02_Канвас'!$D$3:$D$11,MATCH("Клиентские сегменты",'02_Канвас'!$A$3:$A$11,0)),"")</f>
        <v>Сегмент: студенты технических специальностей вузов РБ (+РФ/СНГ), которые выполняют лабораторные и курсовые с IDEF0/IDEF3/DFD/ERD/UML и выбирают инструмент по скорости и проверке правил; платящие — аналитики S-02 и архитекторы S-03</v>
      </c>
      <c r="C3" s="4" t="s">
        <v>191</v>
      </c>
      <c r="D3" s="4" t="s">
        <v>192</v>
      </c>
      <c r="E3" s="6" t="str">
        <f t="shared" ref="E3:E16" si="0">IF(B3="","Не заполнено","Заполнено")</f>
        <v>Заполнено</v>
      </c>
    </row>
    <row r="4" spans="1:5" ht="57">
      <c r="A4" s="4" t="s">
        <v>193</v>
      </c>
      <c r="B4" s="5" t="s">
        <v>605</v>
      </c>
      <c r="C4" s="4" t="s">
        <v>194</v>
      </c>
      <c r="D4" s="4" t="s">
        <v>195</v>
      </c>
      <c r="E4" s="6" t="str">
        <f t="shared" si="0"/>
        <v>Заполнено</v>
      </c>
    </row>
    <row r="5" spans="1:5" ht="28.5">
      <c r="A5" s="4" t="s">
        <v>63</v>
      </c>
      <c r="B5" s="5" t="str">
        <f>IFERROR(INDEX('02_Канвас'!$D$3:$D$11,MATCH("Ценностное предложение",'02_Канвас'!$A$3:$A$11,0)),"")</f>
        <v>Для студентов, которые тратят часы на диаграммы строгих нотаций и получают замечания за нарушения правил, NotaCode строит диаграмму из текста и до сдачи показывает нарушения с номером строки, в отличие от draw.io (правила не проверяет) и PlantUML/Mermaid (IDEF/DFD нет)</v>
      </c>
      <c r="C5" s="4" t="s">
        <v>196</v>
      </c>
      <c r="D5" s="4" t="s">
        <v>197</v>
      </c>
      <c r="E5" s="6" t="str">
        <f t="shared" si="0"/>
        <v>Заполнено</v>
      </c>
    </row>
    <row r="6" spans="1:5" ht="42.75">
      <c r="A6" s="4" t="s">
        <v>104</v>
      </c>
      <c r="B6" s="5" t="s">
        <v>606</v>
      </c>
      <c r="C6" s="4" t="s">
        <v>169</v>
      </c>
      <c r="D6" s="4" t="s">
        <v>198</v>
      </c>
      <c r="E6" s="6" t="str">
        <f t="shared" si="0"/>
        <v>Заполнено</v>
      </c>
    </row>
    <row r="7" spans="1:5" ht="42.75">
      <c r="A7" s="4" t="s">
        <v>123</v>
      </c>
      <c r="B7" s="5" t="s">
        <v>607</v>
      </c>
      <c r="C7" s="4" t="s">
        <v>171</v>
      </c>
      <c r="D7" s="4" t="s">
        <v>199</v>
      </c>
      <c r="E7" s="6" t="str">
        <f t="shared" si="0"/>
        <v>Заполнено</v>
      </c>
    </row>
    <row r="8" spans="1:5" ht="28.5">
      <c r="A8" s="4" t="s">
        <v>66</v>
      </c>
      <c r="B8" s="5" t="str">
        <f>IFERROR(INDEX('02_Канвас'!$D$3:$D$11,MATCH("Каналы",'02_Канвас'!$A$3:$A$11,0)),"")</f>
        <v>Основной канал: органический поиск (IDEF0, DFD, «diagram as code») для осведомления; вспомогательный: GitHub и рекомендации преподавателей; доказательство: Google Trends +231 %, дистрибуция конкурентов через GitHub</v>
      </c>
      <c r="C8" s="4" t="s">
        <v>200</v>
      </c>
      <c r="D8" s="4" t="s">
        <v>201</v>
      </c>
      <c r="E8" s="6" t="str">
        <f t="shared" si="0"/>
        <v>Заполнено</v>
      </c>
    </row>
    <row r="9" spans="1:5" ht="42.75">
      <c r="A9" s="4" t="s">
        <v>69</v>
      </c>
      <c r="B9" s="5" t="str">
        <f>IFERROR(INDEX('02_Канвас'!$D$3:$D$11,MATCH("Отношения с клиентами",'02_Канвас'!$A$3:$A$11,0)),"")</f>
        <v>Тип отношений: самообслуживание (шаблоны, документация, AI-режим «Спросить по документации») на этапах активации и использования; сообщество — после R1, потому что DSL требует обучения</v>
      </c>
      <c r="C9" s="4" t="s">
        <v>200</v>
      </c>
      <c r="D9" s="4" t="s">
        <v>202</v>
      </c>
      <c r="E9" s="6" t="str">
        <f t="shared" si="0"/>
        <v>Заполнено</v>
      </c>
    </row>
    <row r="10" spans="1:5" ht="28.5">
      <c r="A10" s="4" t="s">
        <v>72</v>
      </c>
      <c r="B10" s="5" t="str">
        <f>IFERROR(INDEX('02_Канвас'!$D$3:$D$11,MATCH("Потоки доходов",'02_Канвас'!$A$3:$A$11,0)),"")</f>
        <v>Основной поток доходов: подписка Pro за пользователя (4 USD/мес, 40 USD/год); дополнительные: кафедральный тариф (гипотеза); тарифный ограничитель: объём (проекты, версии) и форматы экспорта</v>
      </c>
      <c r="C10" s="4" t="s">
        <v>203</v>
      </c>
      <c r="D10" s="4" t="s">
        <v>204</v>
      </c>
      <c r="E10" s="6" t="str">
        <f t="shared" si="0"/>
        <v>Заполнено</v>
      </c>
    </row>
    <row r="11" spans="1:5" ht="28.5">
      <c r="A11" s="4" t="s">
        <v>75</v>
      </c>
      <c r="B11" s="5" t="str">
        <f>IFERROR(INDEX('02_Канвас'!$D$3:$D$11,MATCH("Ключевые ресурсы",'02_Канвас'!$A$3:$A$11,0)),"")</f>
        <v>Ключевой ресурс: грамматика DSL и каталог профилей нотаций с правилами — нужен для создания и защиты ценности; Web IDE и модель версий — для доставки</v>
      </c>
      <c r="C11" s="4" t="s">
        <v>205</v>
      </c>
      <c r="D11" s="4" t="s">
        <v>206</v>
      </c>
      <c r="E11" s="6" t="str">
        <f t="shared" si="0"/>
        <v>Заполнено</v>
      </c>
    </row>
    <row r="12" spans="1:5" ht="28.5">
      <c r="A12" s="4" t="s">
        <v>78</v>
      </c>
      <c r="B12" s="5" t="str">
        <f>IFERROR(INDEX('02_Канвас'!$D$3:$D$11,MATCH("Ключевые виды деятельности",'02_Канвас'!$A$3:$A$11,0)),"")</f>
        <v>Ключевой процесс: разработка профилей нотаций волнами и поддержка шаблонов/документации — обеспечивает корректность диаграмм, связан с ресурсом «каталог нотаций», влияет на ЦП</v>
      </c>
      <c r="C12" s="4" t="s">
        <v>205</v>
      </c>
      <c r="D12" s="4" t="s">
        <v>207</v>
      </c>
      <c r="E12" s="6" t="str">
        <f t="shared" si="0"/>
        <v>Заполнено</v>
      </c>
    </row>
    <row r="13" spans="1:5" ht="28.5">
      <c r="A13" s="4" t="s">
        <v>81</v>
      </c>
      <c r="B13" s="5" t="str">
        <f>IFERROR(INDEX('02_Канвас'!$D$3:$D$11,MATCH("Ключевые партнеры",'02_Канвас'!$A$3:$A$11,0)),"")</f>
        <v>Партнёры: LLM-провайдеры (бесплатные квоты — скорость), GitHub и Google Drive API (интеграция), хостинг Netlify/Render/Neon (экономия), платёжный провайдер РБ (доступ к оплате — не выбран)</v>
      </c>
      <c r="C13" s="4" t="s">
        <v>205</v>
      </c>
      <c r="D13" s="4" t="s">
        <v>208</v>
      </c>
      <c r="E13" s="6" t="str">
        <f t="shared" si="0"/>
        <v>Заполнено</v>
      </c>
    </row>
    <row r="14" spans="1:5" ht="28.5">
      <c r="A14" s="4" t="s">
        <v>84</v>
      </c>
      <c r="B14" s="5" t="str">
        <f>IFERROR(INDEX('02_Канвас'!$D$3:$D$11,MATCH("Структура затрат",'02_Канвас'!$A$3:$A$11,0)),"")</f>
        <v>Ключевая статья затрат: время разработки ≈610 ч (постоянная, разработческая); инфраструктура MVP — 0; переменные — LLM API после MVP; связь с ценностью: затраты на нотации = затраты на отличие</v>
      </c>
      <c r="C14" s="4" t="s">
        <v>209</v>
      </c>
      <c r="D14" s="4" t="s">
        <v>210</v>
      </c>
      <c r="E14" s="6" t="str">
        <f t="shared" si="0"/>
        <v>Заполнено</v>
      </c>
    </row>
    <row r="15" spans="1:5" ht="42.75">
      <c r="A15" s="4" t="s">
        <v>211</v>
      </c>
      <c r="B15" s="5" t="s">
        <v>608</v>
      </c>
      <c r="C15" s="4" t="s">
        <v>212</v>
      </c>
      <c r="D15" s="4" t="s">
        <v>213</v>
      </c>
      <c r="E15" s="6" t="str">
        <f t="shared" si="0"/>
        <v>Заполнено</v>
      </c>
    </row>
    <row r="16" spans="1:5" ht="42.75">
      <c r="A16" s="4" t="s">
        <v>214</v>
      </c>
      <c r="B16" s="5" t="s">
        <v>609</v>
      </c>
      <c r="C16" s="4" t="s">
        <v>29</v>
      </c>
      <c r="D16" s="4" t="s">
        <v>215</v>
      </c>
      <c r="E16" s="6" t="str">
        <f t="shared" si="0"/>
        <v>Заполнено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7"/>
  <sheetViews>
    <sheetView workbookViewId="0"/>
  </sheetViews>
  <sheetFormatPr defaultRowHeight="14.25"/>
  <cols>
    <col min="1" max="1" width="32" customWidth="1"/>
    <col min="2" max="4" width="18" customWidth="1"/>
    <col min="5" max="5" width="22" customWidth="1"/>
  </cols>
  <sheetData>
    <row r="1" spans="1:8" ht="32.1" customHeight="1">
      <c r="A1" s="9" t="s">
        <v>216</v>
      </c>
      <c r="B1" s="9"/>
      <c r="C1" s="9"/>
      <c r="D1" s="9"/>
      <c r="E1" s="9"/>
      <c r="F1" s="9"/>
      <c r="G1" s="9"/>
      <c r="H1" s="9"/>
    </row>
    <row r="3" spans="1:8" ht="32.1" customHeight="1">
      <c r="A3" s="1" t="s">
        <v>217</v>
      </c>
      <c r="B3" s="1" t="s">
        <v>218</v>
      </c>
    </row>
    <row r="4" spans="1:8" ht="15">
      <c r="A4" s="7" t="s">
        <v>219</v>
      </c>
      <c r="B4" s="8">
        <f>IFERROR(AVERAGE('02_Канвас'!G3:G11)/5,0)</f>
        <v>0.71111111111111103</v>
      </c>
      <c r="C4" s="2"/>
      <c r="D4" s="2"/>
      <c r="E4" s="2"/>
    </row>
    <row r="5" spans="1:8" ht="30">
      <c r="A5" s="7" t="s">
        <v>220</v>
      </c>
      <c r="B5" s="8">
        <f>IFERROR(AVERAGE('02_Канвас'!F3:F11)/5,0)</f>
        <v>0.75555555555555554</v>
      </c>
      <c r="C5" s="2"/>
      <c r="D5" s="2"/>
      <c r="E5" s="2"/>
    </row>
    <row r="6" spans="1:8" ht="15">
      <c r="A6" s="7" t="s">
        <v>221</v>
      </c>
      <c r="B6" s="8">
        <f>IFERROR(1-AVERAGE('02_Канвас'!H3:H11)/5,0)</f>
        <v>0.44444444444444442</v>
      </c>
      <c r="C6" s="2"/>
      <c r="D6" s="2"/>
      <c r="E6" s="2"/>
    </row>
    <row r="7" spans="1:8" ht="15">
      <c r="A7" s="7" t="s">
        <v>222</v>
      </c>
      <c r="B7" s="8">
        <f>IFERROR(COUNTIF('02_Канвас'!J3:J11,"Готово")/9,0)</f>
        <v>0.44444444444444442</v>
      </c>
      <c r="C7" s="2"/>
      <c r="D7" s="2"/>
      <c r="E7" s="2"/>
    </row>
    <row r="8" spans="1:8" ht="30">
      <c r="A8" s="7" t="s">
        <v>223</v>
      </c>
      <c r="B8" s="2">
        <f>COUNTA('01_Данные_анализа'!F3:F202)</f>
        <v>22</v>
      </c>
      <c r="C8" s="2"/>
      <c r="D8" s="2"/>
      <c r="E8" s="2"/>
    </row>
    <row r="9" spans="1:8" ht="30">
      <c r="A9" s="7" t="s">
        <v>224</v>
      </c>
      <c r="B9" s="8">
        <f>IFERROR(COUNTIF('09_Проверка_связности'!F3:F14,"Подтверждено")/COUNTA('09_Проверка_связности'!A3:A14),0)</f>
        <v>0.66666666666666663</v>
      </c>
      <c r="C9" s="2"/>
      <c r="D9" s="2"/>
      <c r="E9" s="2"/>
    </row>
    <row r="10" spans="1:8">
      <c r="A10" s="2"/>
      <c r="B10" s="2"/>
      <c r="C10" s="2"/>
      <c r="D10" s="2"/>
      <c r="E10" s="2"/>
    </row>
    <row r="11" spans="1:8" ht="32.1" customHeight="1">
      <c r="A11" s="1" t="s">
        <v>44</v>
      </c>
      <c r="B11" s="1" t="s">
        <v>225</v>
      </c>
      <c r="C11" s="1" t="s">
        <v>226</v>
      </c>
      <c r="D11" s="1" t="s">
        <v>227</v>
      </c>
      <c r="E11" s="1" t="s">
        <v>97</v>
      </c>
    </row>
    <row r="12" spans="1:8">
      <c r="A12" s="2" t="str">
        <f>'02_Канвас'!A3</f>
        <v>Клиентские сегменты</v>
      </c>
      <c r="B12" s="2">
        <f>'02_Канвас'!F3</f>
        <v>4</v>
      </c>
      <c r="C12" s="2">
        <f>'02_Канвас'!G3</f>
        <v>4</v>
      </c>
      <c r="D12" s="2">
        <f>'02_Канвас'!H3</f>
        <v>2</v>
      </c>
      <c r="E12" s="2" t="str">
        <f>'02_Канвас'!J3</f>
        <v>Готово</v>
      </c>
    </row>
    <row r="13" spans="1:8">
      <c r="A13" s="2" t="str">
        <f>'02_Канвас'!A4</f>
        <v>Ценностное предложение</v>
      </c>
      <c r="B13" s="2">
        <f>'02_Канвас'!F4</f>
        <v>4</v>
      </c>
      <c r="C13" s="2">
        <f>'02_Канвас'!G4</f>
        <v>4</v>
      </c>
      <c r="D13" s="2">
        <f>'02_Канвас'!H4</f>
        <v>2</v>
      </c>
      <c r="E13" s="2" t="str">
        <f>'02_Канвас'!J4</f>
        <v>Готово</v>
      </c>
    </row>
    <row r="14" spans="1:8">
      <c r="A14" s="2" t="str">
        <f>'02_Канвас'!A5</f>
        <v>Каналы</v>
      </c>
      <c r="B14" s="2">
        <f>'02_Канвас'!F5</f>
        <v>4</v>
      </c>
      <c r="C14" s="2">
        <f>'02_Канвас'!G5</f>
        <v>3</v>
      </c>
      <c r="D14" s="2">
        <f>'02_Канвас'!H5</f>
        <v>3</v>
      </c>
      <c r="E14" s="2" t="str">
        <f>'02_Канвас'!J5</f>
        <v>Проверить</v>
      </c>
    </row>
    <row r="15" spans="1:8">
      <c r="A15" s="2" t="str">
        <f>'02_Канвас'!A6</f>
        <v>Отношения с клиентами</v>
      </c>
      <c r="B15" s="2">
        <f>'02_Канвас'!F6</f>
        <v>3</v>
      </c>
      <c r="C15" s="2">
        <f>'02_Канвас'!G6</f>
        <v>3</v>
      </c>
      <c r="D15" s="2">
        <f>'02_Канвас'!H6</f>
        <v>3</v>
      </c>
      <c r="E15" s="2" t="str">
        <f>'02_Канвас'!J6</f>
        <v>Проверить</v>
      </c>
    </row>
    <row r="16" spans="1:8">
      <c r="A16" s="2" t="str">
        <f>'02_Канвас'!A7</f>
        <v>Потоки доходов</v>
      </c>
      <c r="B16" s="2">
        <f>'02_Канвас'!F7</f>
        <v>2</v>
      </c>
      <c r="C16" s="2">
        <f>'02_Канвас'!G7</f>
        <v>3</v>
      </c>
      <c r="D16" s="2">
        <f>'02_Канвас'!H7</f>
        <v>4</v>
      </c>
      <c r="E16" s="2" t="str">
        <f>'02_Канвас'!J7</f>
        <v>Требует доработки</v>
      </c>
    </row>
    <row r="17" spans="1:5">
      <c r="A17" s="2" t="str">
        <f>'02_Канвас'!A8</f>
        <v>Ключевые ресурсы</v>
      </c>
      <c r="B17" s="2">
        <f>'02_Канвас'!F8</f>
        <v>5</v>
      </c>
      <c r="C17" s="2">
        <f>'02_Канвас'!G8</f>
        <v>4</v>
      </c>
      <c r="D17" s="2">
        <f>'02_Канвас'!H8</f>
        <v>2</v>
      </c>
      <c r="E17" s="2" t="str">
        <f>'02_Канвас'!J8</f>
        <v>Готово</v>
      </c>
    </row>
    <row r="18" spans="1:5">
      <c r="A18" s="2" t="str">
        <f>'02_Канвас'!A9</f>
        <v>Ключевые виды деятельности</v>
      </c>
      <c r="B18" s="2">
        <f>'02_Канвас'!F9</f>
        <v>5</v>
      </c>
      <c r="C18" s="2">
        <f>'02_Канвас'!G9</f>
        <v>4</v>
      </c>
      <c r="D18" s="2">
        <f>'02_Канвас'!H9</f>
        <v>2</v>
      </c>
      <c r="E18" s="2" t="str">
        <f>'02_Канвас'!J9</f>
        <v>Готово</v>
      </c>
    </row>
    <row r="19" spans="1:5">
      <c r="A19" s="2" t="str">
        <f>'02_Канвас'!A10</f>
        <v>Ключевые партнеры</v>
      </c>
      <c r="B19" s="2">
        <f>'02_Канвас'!F10</f>
        <v>3</v>
      </c>
      <c r="C19" s="2">
        <f>'02_Канвас'!G10</f>
        <v>3</v>
      </c>
      <c r="D19" s="2">
        <f>'02_Канвас'!H10</f>
        <v>4</v>
      </c>
      <c r="E19" s="2" t="str">
        <f>'02_Канвас'!J10</f>
        <v>Требует доработки</v>
      </c>
    </row>
    <row r="20" spans="1:5">
      <c r="A20" s="2" t="str">
        <f>'02_Канвас'!A11</f>
        <v>Структура затрат</v>
      </c>
      <c r="B20" s="2">
        <f>'02_Канвас'!F11</f>
        <v>4</v>
      </c>
      <c r="C20" s="2">
        <f>'02_Канвас'!G11</f>
        <v>4</v>
      </c>
      <c r="D20" s="2">
        <f>'02_Канвас'!H11</f>
        <v>3</v>
      </c>
      <c r="E20" s="2" t="str">
        <f>'02_Канвас'!J11</f>
        <v>Проверить</v>
      </c>
    </row>
    <row r="21" spans="1:5">
      <c r="A21" s="2"/>
      <c r="B21" s="2"/>
      <c r="C21" s="2"/>
      <c r="D21" s="2"/>
      <c r="E21" s="2"/>
    </row>
    <row r="22" spans="1:5">
      <c r="A22" s="2"/>
      <c r="B22" s="2"/>
      <c r="C22" s="2"/>
      <c r="D22" s="2"/>
      <c r="E22" s="2"/>
    </row>
    <row r="23" spans="1:5" ht="32.1" customHeight="1">
      <c r="A23" s="1" t="s">
        <v>228</v>
      </c>
      <c r="B23" s="1" t="s">
        <v>229</v>
      </c>
      <c r="C23" s="1" t="s">
        <v>162</v>
      </c>
      <c r="D23" s="2"/>
      <c r="E23" s="2"/>
    </row>
    <row r="24" spans="1:5" ht="28.5">
      <c r="A24" s="2" t="s">
        <v>230</v>
      </c>
      <c r="B24" s="2" t="s">
        <v>231</v>
      </c>
      <c r="C24" s="2" t="str">
        <f>IF(AND(B4&gt;=0.8,B5&gt;=0.8,B6&gt;=0.8,B7&gt;=0.8,B9&gt;=0.8),"Да","Нет")</f>
        <v>Нет</v>
      </c>
      <c r="D24" s="2"/>
      <c r="E24" s="2"/>
    </row>
    <row r="25" spans="1:5" ht="28.5">
      <c r="A25" s="2" t="s">
        <v>232</v>
      </c>
      <c r="B25" s="2" t="s">
        <v>233</v>
      </c>
      <c r="C25" s="2" t="str">
        <f>IF(AND(B4&gt;=0.6,B5&gt;=0.6,B6&gt;=0.6,B7&gt;=0.6,B9&gt;=0.6),"Да","Нет")</f>
        <v>Нет</v>
      </c>
      <c r="D25" s="2"/>
      <c r="E25" s="2"/>
    </row>
    <row r="26" spans="1:5" ht="42.75">
      <c r="A26" s="2" t="s">
        <v>234</v>
      </c>
      <c r="B26" s="2" t="s">
        <v>235</v>
      </c>
      <c r="C26" s="2" t="str">
        <f>IF(OR(B4&lt;0.6,B5&lt;0.6,B6&lt;0.6,B9&lt;0.6),"Да","Нет")</f>
        <v>Да</v>
      </c>
      <c r="D26" s="2"/>
      <c r="E26" s="2"/>
    </row>
    <row r="27" spans="1:5" ht="57">
      <c r="A27" s="2" t="s">
        <v>236</v>
      </c>
      <c r="B27" s="2" t="s">
        <v>237</v>
      </c>
      <c r="C27" s="2" t="str">
        <f>IF(C24="Да","Можно оформлять итоговую бизнес-модель",IF(C25="Да","Нужна точечная проверка гипотез","Нужна доработка исходных данных и связности"))</f>
        <v>Нужна доработка исходных данных и связности</v>
      </c>
      <c r="D27" s="2"/>
      <c r="E27" s="2"/>
    </row>
  </sheetData>
  <mergeCells count="1">
    <mergeCell ref="A1:H1"/>
  </mergeCells>
  <conditionalFormatting sqref="A11:E20">
    <cfRule type="expression" dxfId="1" priority="1">
      <formula>$E12="Готово"</formula>
    </cfRule>
    <cfRule type="expression" dxfId="0" priority="2">
      <formula>$E12="Требует доработки"</formula>
    </cfRule>
  </conditionalFormatting>
  <conditionalFormatting sqref="B12:D20">
    <cfRule type="dataBar" priority="3">
      <dataBar>
        <cfvo type="min"/>
        <cfvo type="max"/>
        <color rgb="FF60A5FA"/>
      </dataBar>
    </cfRule>
    <cfRule type="dataBar" priority="4">
      <dataBar>
        <cfvo type="min"/>
        <cfvo type="max"/>
        <color rgb="FF60A5FA"/>
      </dataBar>
      <extLst>
        <ext xmlns:x14="http://schemas.microsoft.com/office/spreadsheetml/2009/9/main" uri="{B025F937-C7B1-47D3-B67F-A62EFF666E3E}">
          <x14:id>{35B126B1-F5B6-0ECF-CCD2-B123A6D800D5}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5B126B1-F5B6-0ECF-CCD2-B123A6D800D5}">
            <x14:dataBar>
              <x14:cfvo type="min"/>
              <x14:cfvo type="max"/>
              <x14:negativeFillColor auto="1"/>
              <x14:axisColor auto="1"/>
            </x14:dataBar>
          </x14:cfRule>
          <xm:sqref>B12:D20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2"/>
  <sheetViews>
    <sheetView workbookViewId="0"/>
  </sheetViews>
  <sheetFormatPr defaultRowHeight="14.25"/>
  <cols>
    <col min="1" max="11" width="24" customWidth="1"/>
  </cols>
  <sheetData>
    <row r="1" spans="1:11" ht="32.1" customHeight="1">
      <c r="A1" s="9" t="s">
        <v>238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32.1" customHeight="1">
      <c r="A2" s="1" t="s">
        <v>239</v>
      </c>
      <c r="B2" s="1" t="s">
        <v>44</v>
      </c>
      <c r="C2" s="1" t="s">
        <v>161</v>
      </c>
      <c r="D2" s="1" t="s">
        <v>97</v>
      </c>
      <c r="E2" s="1" t="s">
        <v>105</v>
      </c>
      <c r="F2" s="1" t="s">
        <v>109</v>
      </c>
      <c r="G2" s="1" t="s">
        <v>127</v>
      </c>
      <c r="H2" s="1" t="s">
        <v>148</v>
      </c>
      <c r="I2" s="1" t="s">
        <v>115</v>
      </c>
      <c r="J2" s="1" t="s">
        <v>143</v>
      </c>
      <c r="K2" s="1" t="s">
        <v>240</v>
      </c>
    </row>
    <row r="3" spans="1:11" ht="28.5">
      <c r="A3" s="2" t="s">
        <v>241</v>
      </c>
      <c r="B3" s="2" t="s">
        <v>60</v>
      </c>
      <c r="C3" s="2">
        <v>1</v>
      </c>
      <c r="D3" s="2" t="s">
        <v>242</v>
      </c>
      <c r="E3" s="2" t="s">
        <v>243</v>
      </c>
      <c r="F3" s="2" t="s">
        <v>244</v>
      </c>
      <c r="G3" s="2" t="s">
        <v>245</v>
      </c>
      <c r="H3" s="2" t="s">
        <v>246</v>
      </c>
      <c r="I3" s="2" t="s">
        <v>247</v>
      </c>
      <c r="J3" s="2" t="s">
        <v>248</v>
      </c>
      <c r="K3" s="2" t="s">
        <v>249</v>
      </c>
    </row>
    <row r="4" spans="1:11" ht="28.5">
      <c r="A4" s="2" t="s">
        <v>250</v>
      </c>
      <c r="B4" s="2" t="s">
        <v>63</v>
      </c>
      <c r="C4" s="2">
        <v>2</v>
      </c>
      <c r="D4" s="2" t="s">
        <v>251</v>
      </c>
      <c r="E4" s="2" t="s">
        <v>252</v>
      </c>
      <c r="F4" s="2" t="s">
        <v>253</v>
      </c>
      <c r="G4" s="2" t="s">
        <v>254</v>
      </c>
      <c r="H4" s="2" t="s">
        <v>255</v>
      </c>
      <c r="I4" s="2" t="s">
        <v>256</v>
      </c>
      <c r="J4" s="2" t="s">
        <v>257</v>
      </c>
      <c r="K4" s="2" t="s">
        <v>258</v>
      </c>
    </row>
    <row r="5" spans="1:11" ht="28.5">
      <c r="A5" s="2" t="s">
        <v>259</v>
      </c>
      <c r="B5" s="2" t="s">
        <v>66</v>
      </c>
      <c r="C5" s="2">
        <v>3</v>
      </c>
      <c r="D5" s="2" t="s">
        <v>260</v>
      </c>
      <c r="E5" s="2" t="s">
        <v>261</v>
      </c>
      <c r="F5" s="2" t="s">
        <v>262</v>
      </c>
      <c r="G5" s="2" t="s">
        <v>263</v>
      </c>
      <c r="H5" s="2" t="s">
        <v>264</v>
      </c>
      <c r="I5" s="2" t="s">
        <v>265</v>
      </c>
      <c r="J5" s="2" t="s">
        <v>266</v>
      </c>
      <c r="K5" s="2" t="s">
        <v>267</v>
      </c>
    </row>
    <row r="6" spans="1:11" ht="28.5">
      <c r="A6" s="2" t="s">
        <v>268</v>
      </c>
      <c r="B6" s="2" t="s">
        <v>69</v>
      </c>
      <c r="C6" s="2">
        <v>4</v>
      </c>
      <c r="D6" s="2" t="s">
        <v>269</v>
      </c>
      <c r="E6" s="2" t="s">
        <v>270</v>
      </c>
      <c r="F6" s="2" t="s">
        <v>271</v>
      </c>
      <c r="G6" s="2" t="s">
        <v>272</v>
      </c>
      <c r="H6" s="2" t="s">
        <v>273</v>
      </c>
      <c r="I6" s="2" t="s">
        <v>274</v>
      </c>
      <c r="J6" s="2" t="s">
        <v>275</v>
      </c>
      <c r="K6" s="2" t="s">
        <v>276</v>
      </c>
    </row>
    <row r="7" spans="1:11" ht="28.5">
      <c r="A7" s="2" t="s">
        <v>277</v>
      </c>
      <c r="B7" s="2" t="s">
        <v>72</v>
      </c>
      <c r="C7" s="2">
        <v>5</v>
      </c>
      <c r="D7" s="2" t="s">
        <v>278</v>
      </c>
      <c r="E7" s="2" t="s">
        <v>279</v>
      </c>
      <c r="F7" s="2" t="s">
        <v>280</v>
      </c>
      <c r="G7" s="2" t="s">
        <v>281</v>
      </c>
      <c r="H7" s="2" t="s">
        <v>282</v>
      </c>
      <c r="I7" s="2" t="s">
        <v>283</v>
      </c>
      <c r="J7" s="2" t="s">
        <v>284</v>
      </c>
      <c r="K7" s="2" t="s">
        <v>285</v>
      </c>
    </row>
    <row r="8" spans="1:11" ht="28.5">
      <c r="A8" s="2" t="s">
        <v>286</v>
      </c>
      <c r="B8" s="2" t="s">
        <v>75</v>
      </c>
      <c r="C8" s="2"/>
      <c r="D8" s="2" t="s">
        <v>287</v>
      </c>
      <c r="E8" s="2" t="s">
        <v>288</v>
      </c>
      <c r="F8" s="2" t="s">
        <v>289</v>
      </c>
      <c r="G8" s="2" t="s">
        <v>290</v>
      </c>
      <c r="H8" s="2" t="s">
        <v>291</v>
      </c>
      <c r="I8" s="2" t="s">
        <v>292</v>
      </c>
      <c r="J8" s="2"/>
      <c r="K8" s="2" t="s">
        <v>293</v>
      </c>
    </row>
    <row r="9" spans="1:11" ht="28.5">
      <c r="A9" s="2" t="s">
        <v>294</v>
      </c>
      <c r="B9" s="2" t="s">
        <v>78</v>
      </c>
      <c r="C9" s="2"/>
      <c r="D9" s="2"/>
      <c r="E9" s="2" t="s">
        <v>295</v>
      </c>
      <c r="F9" s="2"/>
      <c r="G9" s="2" t="s">
        <v>296</v>
      </c>
      <c r="H9" s="2" t="s">
        <v>297</v>
      </c>
      <c r="I9" s="2" t="s">
        <v>298</v>
      </c>
      <c r="J9" s="2"/>
      <c r="K9" s="2"/>
    </row>
    <row r="10" spans="1:11">
      <c r="A10" s="2" t="s">
        <v>299</v>
      </c>
      <c r="B10" s="2" t="s">
        <v>81</v>
      </c>
      <c r="C10" s="2"/>
      <c r="D10" s="2"/>
      <c r="E10" s="2" t="s">
        <v>300</v>
      </c>
      <c r="F10" s="2"/>
      <c r="G10" s="2" t="s">
        <v>301</v>
      </c>
      <c r="H10" s="2" t="s">
        <v>302</v>
      </c>
      <c r="I10" s="2" t="s">
        <v>303</v>
      </c>
      <c r="J10" s="2"/>
      <c r="K10" s="2"/>
    </row>
    <row r="11" spans="1:11">
      <c r="A11" s="2" t="s">
        <v>304</v>
      </c>
      <c r="B11" s="2" t="s">
        <v>84</v>
      </c>
      <c r="C11" s="2"/>
      <c r="D11" s="2"/>
      <c r="E11" s="2"/>
      <c r="F11" s="2"/>
      <c r="G11" s="2" t="s">
        <v>305</v>
      </c>
      <c r="H11" s="2"/>
      <c r="I11" s="2"/>
      <c r="J11" s="2"/>
      <c r="K11" s="2"/>
    </row>
    <row r="12" spans="1:11">
      <c r="A12" s="2" t="s">
        <v>306</v>
      </c>
      <c r="B12" s="2"/>
      <c r="C12" s="2"/>
      <c r="D12" s="2"/>
      <c r="E12" s="2"/>
      <c r="F12" s="2"/>
      <c r="G12" s="2" t="s">
        <v>307</v>
      </c>
      <c r="H12" s="2"/>
      <c r="I12" s="2"/>
      <c r="J12" s="2"/>
      <c r="K12" s="2"/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00_Инструкция</vt:lpstr>
      <vt:lpstr>01_Данные_анализа</vt:lpstr>
      <vt:lpstr>02_Канвас</vt:lpstr>
      <vt:lpstr>03_Сегменты</vt:lpstr>
      <vt:lpstr>04_Ценность_товар</vt:lpstr>
      <vt:lpstr>05_Каналы_отношения</vt:lpstr>
      <vt:lpstr>06_Монетизация</vt:lpstr>
      <vt:lpstr>07_Операционная_основа</vt:lpstr>
      <vt:lpstr>08_Затраты</vt:lpstr>
      <vt:lpstr>09_Проверка_связности</vt:lpstr>
      <vt:lpstr>10_Паспорт</vt:lpstr>
      <vt:lpstr>11_Дашборд</vt:lpstr>
      <vt:lpstr>12_Справочники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Aliaksandr Khajynau</cp:lastModifiedBy>
  <dcterms:modified xsi:type="dcterms:W3CDTF">2026-09-26T13:31:56Z</dcterms:modified>
</cp:coreProperties>
</file>