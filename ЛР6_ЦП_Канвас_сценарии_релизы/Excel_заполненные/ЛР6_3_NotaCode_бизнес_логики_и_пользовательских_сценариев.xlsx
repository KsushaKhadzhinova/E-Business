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6_ЦП_Канвас_сценарии_релизы\Excel_заполненные\"/>
    </mc:Choice>
  </mc:AlternateContent>
  <xr:revisionPtr revIDLastSave="0" documentId="13_ncr:1_{AF78A777-72B2-47DC-B6B1-F9E274D82F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Инструкция" sheetId="1" r:id="rId1"/>
    <sheet name="Банк анализа" sheetId="2" r:id="rId2"/>
    <sheet name="Бизнес-логика" sheetId="3" r:id="rId3"/>
    <sheet name="Роли и сегменты" sheetId="4" r:id="rId4"/>
    <sheet name="Пользовательские сценарии" sheetId="5" r:id="rId5"/>
    <sheet name="Карта сценариев" sheetId="6" r:id="rId6"/>
    <sheet name="Функциональные требования" sheetId="7" r:id="rId7"/>
    <sheet name="Приоритизация" sheetId="8" r:id="rId8"/>
    <sheet name="Связность" sheetId="9" r:id="rId9"/>
    <sheet name="Дашборд" sheetId="10" r:id="rId10"/>
    <sheet name="Справочники" sheetId="11" r:id="rId11"/>
  </sheets>
  <calcPr calcId="191029" refMode="R1C1"/>
</workbook>
</file>

<file path=xl/calcChain.xml><?xml version="1.0" encoding="utf-8"?>
<calcChain xmlns="http://schemas.openxmlformats.org/spreadsheetml/2006/main">
  <c r="H23" i="10" l="1"/>
  <c r="F23" i="10"/>
  <c r="H22" i="10"/>
  <c r="F22" i="10"/>
  <c r="H21" i="10"/>
  <c r="F21" i="10"/>
  <c r="H20" i="10"/>
  <c r="F20" i="10"/>
  <c r="H19" i="10"/>
  <c r="F19" i="10"/>
  <c r="H18" i="10"/>
  <c r="F18" i="10"/>
  <c r="H17" i="10"/>
  <c r="F17" i="10"/>
  <c r="H16" i="10"/>
  <c r="F16" i="10"/>
  <c r="H15" i="10"/>
  <c r="F15" i="10"/>
  <c r="H14" i="10"/>
  <c r="F14" i="10"/>
  <c r="B12" i="10"/>
  <c r="B10" i="10"/>
  <c r="B9" i="10"/>
  <c r="B7" i="10"/>
  <c r="B6" i="10"/>
  <c r="B5" i="10"/>
  <c r="F12" i="9"/>
  <c r="F10" i="9"/>
  <c r="F9" i="9"/>
  <c r="F8" i="9"/>
  <c r="F7" i="9"/>
  <c r="F6" i="9"/>
  <c r="F5" i="9"/>
  <c r="F4" i="9"/>
  <c r="K203" i="8"/>
  <c r="L203" i="8" s="1"/>
  <c r="K202" i="8"/>
  <c r="L202" i="8" s="1"/>
  <c r="K201" i="8"/>
  <c r="L201" i="8" s="1"/>
  <c r="K200" i="8"/>
  <c r="L200" i="8" s="1"/>
  <c r="K199" i="8"/>
  <c r="L199" i="8" s="1"/>
  <c r="K198" i="8"/>
  <c r="L198" i="8" s="1"/>
  <c r="K197" i="8"/>
  <c r="L197" i="8" s="1"/>
  <c r="K196" i="8"/>
  <c r="L196" i="8" s="1"/>
  <c r="K195" i="8"/>
  <c r="L195" i="8" s="1"/>
  <c r="K194" i="8"/>
  <c r="L194" i="8" s="1"/>
  <c r="K193" i="8"/>
  <c r="L193" i="8" s="1"/>
  <c r="K192" i="8"/>
  <c r="L192" i="8" s="1"/>
  <c r="K191" i="8"/>
  <c r="L191" i="8" s="1"/>
  <c r="K190" i="8"/>
  <c r="L190" i="8" s="1"/>
  <c r="K189" i="8"/>
  <c r="L189" i="8" s="1"/>
  <c r="K188" i="8"/>
  <c r="L188" i="8" s="1"/>
  <c r="K187" i="8"/>
  <c r="L187" i="8" s="1"/>
  <c r="K186" i="8"/>
  <c r="L186" i="8" s="1"/>
  <c r="K185" i="8"/>
  <c r="L185" i="8" s="1"/>
  <c r="K184" i="8"/>
  <c r="L184" i="8" s="1"/>
  <c r="K183" i="8"/>
  <c r="L183" i="8" s="1"/>
  <c r="K182" i="8"/>
  <c r="L182" i="8" s="1"/>
  <c r="K181" i="8"/>
  <c r="L181" i="8" s="1"/>
  <c r="K180" i="8"/>
  <c r="L180" i="8" s="1"/>
  <c r="K179" i="8"/>
  <c r="L179" i="8" s="1"/>
  <c r="K178" i="8"/>
  <c r="L178" i="8" s="1"/>
  <c r="K177" i="8"/>
  <c r="L177" i="8" s="1"/>
  <c r="K176" i="8"/>
  <c r="L176" i="8" s="1"/>
  <c r="K175" i="8"/>
  <c r="L175" i="8" s="1"/>
  <c r="K174" i="8"/>
  <c r="L174" i="8" s="1"/>
  <c r="K173" i="8"/>
  <c r="L173" i="8" s="1"/>
  <c r="K172" i="8"/>
  <c r="L172" i="8" s="1"/>
  <c r="K171" i="8"/>
  <c r="L171" i="8" s="1"/>
  <c r="K170" i="8"/>
  <c r="L170" i="8" s="1"/>
  <c r="K169" i="8"/>
  <c r="L169" i="8" s="1"/>
  <c r="K168" i="8"/>
  <c r="L168" i="8" s="1"/>
  <c r="K167" i="8"/>
  <c r="L167" i="8" s="1"/>
  <c r="K166" i="8"/>
  <c r="L166" i="8" s="1"/>
  <c r="K165" i="8"/>
  <c r="L165" i="8" s="1"/>
  <c r="K164" i="8"/>
  <c r="L164" i="8" s="1"/>
  <c r="K163" i="8"/>
  <c r="L163" i="8" s="1"/>
  <c r="K162" i="8"/>
  <c r="L162" i="8" s="1"/>
  <c r="K161" i="8"/>
  <c r="L161" i="8" s="1"/>
  <c r="K160" i="8"/>
  <c r="L160" i="8" s="1"/>
  <c r="K159" i="8"/>
  <c r="L159" i="8" s="1"/>
  <c r="K158" i="8"/>
  <c r="L158" i="8" s="1"/>
  <c r="K157" i="8"/>
  <c r="L157" i="8" s="1"/>
  <c r="K156" i="8"/>
  <c r="L156" i="8" s="1"/>
  <c r="K155" i="8"/>
  <c r="L155" i="8" s="1"/>
  <c r="K154" i="8"/>
  <c r="L154" i="8" s="1"/>
  <c r="K153" i="8"/>
  <c r="L153" i="8" s="1"/>
  <c r="K152" i="8"/>
  <c r="L152" i="8" s="1"/>
  <c r="K151" i="8"/>
  <c r="L151" i="8" s="1"/>
  <c r="K150" i="8"/>
  <c r="L150" i="8" s="1"/>
  <c r="K149" i="8"/>
  <c r="L149" i="8" s="1"/>
  <c r="K148" i="8"/>
  <c r="L148" i="8" s="1"/>
  <c r="K147" i="8"/>
  <c r="L147" i="8" s="1"/>
  <c r="K146" i="8"/>
  <c r="L146" i="8" s="1"/>
  <c r="K145" i="8"/>
  <c r="L145" i="8" s="1"/>
  <c r="K144" i="8"/>
  <c r="L144" i="8" s="1"/>
  <c r="K143" i="8"/>
  <c r="L143" i="8" s="1"/>
  <c r="K142" i="8"/>
  <c r="L142" i="8" s="1"/>
  <c r="K141" i="8"/>
  <c r="L141" i="8" s="1"/>
  <c r="K140" i="8"/>
  <c r="L140" i="8" s="1"/>
  <c r="K139" i="8"/>
  <c r="L139" i="8" s="1"/>
  <c r="K138" i="8"/>
  <c r="L138" i="8" s="1"/>
  <c r="K137" i="8"/>
  <c r="L137" i="8" s="1"/>
  <c r="K136" i="8"/>
  <c r="L136" i="8" s="1"/>
  <c r="K135" i="8"/>
  <c r="L135" i="8" s="1"/>
  <c r="K134" i="8"/>
  <c r="L134" i="8" s="1"/>
  <c r="K133" i="8"/>
  <c r="L133" i="8" s="1"/>
  <c r="K132" i="8"/>
  <c r="L132" i="8" s="1"/>
  <c r="K131" i="8"/>
  <c r="L131" i="8" s="1"/>
  <c r="K130" i="8"/>
  <c r="L130" i="8" s="1"/>
  <c r="K129" i="8"/>
  <c r="L129" i="8" s="1"/>
  <c r="K128" i="8"/>
  <c r="L128" i="8" s="1"/>
  <c r="K127" i="8"/>
  <c r="L127" i="8" s="1"/>
  <c r="K126" i="8"/>
  <c r="L126" i="8" s="1"/>
  <c r="K125" i="8"/>
  <c r="L125" i="8" s="1"/>
  <c r="K124" i="8"/>
  <c r="L124" i="8" s="1"/>
  <c r="K123" i="8"/>
  <c r="L123" i="8" s="1"/>
  <c r="K122" i="8"/>
  <c r="L122" i="8" s="1"/>
  <c r="K121" i="8"/>
  <c r="L121" i="8" s="1"/>
  <c r="K120" i="8"/>
  <c r="L120" i="8" s="1"/>
  <c r="K119" i="8"/>
  <c r="L119" i="8" s="1"/>
  <c r="K118" i="8"/>
  <c r="L118" i="8" s="1"/>
  <c r="K117" i="8"/>
  <c r="L117" i="8" s="1"/>
  <c r="K116" i="8"/>
  <c r="L116" i="8" s="1"/>
  <c r="K115" i="8"/>
  <c r="L115" i="8" s="1"/>
  <c r="K114" i="8"/>
  <c r="L114" i="8" s="1"/>
  <c r="K113" i="8"/>
  <c r="L113" i="8" s="1"/>
  <c r="K112" i="8"/>
  <c r="L112" i="8" s="1"/>
  <c r="K111" i="8"/>
  <c r="L111" i="8" s="1"/>
  <c r="K110" i="8"/>
  <c r="L110" i="8" s="1"/>
  <c r="K109" i="8"/>
  <c r="L109" i="8" s="1"/>
  <c r="K108" i="8"/>
  <c r="L108" i="8" s="1"/>
  <c r="K107" i="8"/>
  <c r="L107" i="8" s="1"/>
  <c r="K106" i="8"/>
  <c r="L106" i="8" s="1"/>
  <c r="K105" i="8"/>
  <c r="L105" i="8" s="1"/>
  <c r="K104" i="8"/>
  <c r="L104" i="8" s="1"/>
  <c r="K103" i="8"/>
  <c r="L103" i="8" s="1"/>
  <c r="K102" i="8"/>
  <c r="L102" i="8" s="1"/>
  <c r="K101" i="8"/>
  <c r="L101" i="8" s="1"/>
  <c r="K100" i="8"/>
  <c r="L100" i="8" s="1"/>
  <c r="K99" i="8"/>
  <c r="L99" i="8" s="1"/>
  <c r="K98" i="8"/>
  <c r="L98" i="8" s="1"/>
  <c r="K97" i="8"/>
  <c r="L97" i="8" s="1"/>
  <c r="K96" i="8"/>
  <c r="L96" i="8" s="1"/>
  <c r="K95" i="8"/>
  <c r="L95" i="8" s="1"/>
  <c r="K94" i="8"/>
  <c r="L94" i="8" s="1"/>
  <c r="K93" i="8"/>
  <c r="L93" i="8" s="1"/>
  <c r="K92" i="8"/>
  <c r="L92" i="8" s="1"/>
  <c r="K91" i="8"/>
  <c r="L91" i="8" s="1"/>
  <c r="K90" i="8"/>
  <c r="L90" i="8" s="1"/>
  <c r="K89" i="8"/>
  <c r="L89" i="8" s="1"/>
  <c r="K88" i="8"/>
  <c r="L88" i="8" s="1"/>
  <c r="K87" i="8"/>
  <c r="L87" i="8" s="1"/>
  <c r="K86" i="8"/>
  <c r="L86" i="8" s="1"/>
  <c r="K85" i="8"/>
  <c r="L85" i="8" s="1"/>
  <c r="K84" i="8"/>
  <c r="L84" i="8" s="1"/>
  <c r="K83" i="8"/>
  <c r="L83" i="8" s="1"/>
  <c r="K82" i="8"/>
  <c r="L82" i="8" s="1"/>
  <c r="K81" i="8"/>
  <c r="L81" i="8" s="1"/>
  <c r="K80" i="8"/>
  <c r="L80" i="8" s="1"/>
  <c r="K79" i="8"/>
  <c r="L79" i="8" s="1"/>
  <c r="K78" i="8"/>
  <c r="L78" i="8" s="1"/>
  <c r="K77" i="8"/>
  <c r="L77" i="8" s="1"/>
  <c r="K76" i="8"/>
  <c r="L76" i="8" s="1"/>
  <c r="K75" i="8"/>
  <c r="L75" i="8" s="1"/>
  <c r="K74" i="8"/>
  <c r="L74" i="8" s="1"/>
  <c r="K73" i="8"/>
  <c r="L73" i="8" s="1"/>
  <c r="K72" i="8"/>
  <c r="L72" i="8" s="1"/>
  <c r="K71" i="8"/>
  <c r="L71" i="8" s="1"/>
  <c r="K70" i="8"/>
  <c r="L70" i="8" s="1"/>
  <c r="K69" i="8"/>
  <c r="L69" i="8" s="1"/>
  <c r="K68" i="8"/>
  <c r="L68" i="8" s="1"/>
  <c r="K67" i="8"/>
  <c r="L67" i="8" s="1"/>
  <c r="K66" i="8"/>
  <c r="L66" i="8" s="1"/>
  <c r="K65" i="8"/>
  <c r="L65" i="8" s="1"/>
  <c r="K64" i="8"/>
  <c r="L64" i="8" s="1"/>
  <c r="K63" i="8"/>
  <c r="L63" i="8" s="1"/>
  <c r="K62" i="8"/>
  <c r="L62" i="8" s="1"/>
  <c r="K61" i="8"/>
  <c r="L61" i="8" s="1"/>
  <c r="K60" i="8"/>
  <c r="L60" i="8" s="1"/>
  <c r="K59" i="8"/>
  <c r="L59" i="8" s="1"/>
  <c r="K58" i="8"/>
  <c r="L58" i="8" s="1"/>
  <c r="K57" i="8"/>
  <c r="L57" i="8" s="1"/>
  <c r="K56" i="8"/>
  <c r="L56" i="8" s="1"/>
  <c r="K55" i="8"/>
  <c r="L55" i="8" s="1"/>
  <c r="K54" i="8"/>
  <c r="L54" i="8" s="1"/>
  <c r="K53" i="8"/>
  <c r="L53" i="8" s="1"/>
  <c r="K52" i="8"/>
  <c r="L52" i="8" s="1"/>
  <c r="K51" i="8"/>
  <c r="L51" i="8" s="1"/>
  <c r="K50" i="8"/>
  <c r="L50" i="8" s="1"/>
  <c r="K49" i="8"/>
  <c r="L49" i="8" s="1"/>
  <c r="K48" i="8"/>
  <c r="L48" i="8" s="1"/>
  <c r="K47" i="8"/>
  <c r="L47" i="8" s="1"/>
  <c r="K46" i="8"/>
  <c r="L46" i="8" s="1"/>
  <c r="K45" i="8"/>
  <c r="L45" i="8" s="1"/>
  <c r="K44" i="8"/>
  <c r="L44" i="8" s="1"/>
  <c r="K43" i="8"/>
  <c r="L43" i="8" s="1"/>
  <c r="K42" i="8"/>
  <c r="L42" i="8" s="1"/>
  <c r="K41" i="8"/>
  <c r="L41" i="8" s="1"/>
  <c r="K40" i="8"/>
  <c r="L40" i="8" s="1"/>
  <c r="K39" i="8"/>
  <c r="L39" i="8" s="1"/>
  <c r="K38" i="8"/>
  <c r="L38" i="8" s="1"/>
  <c r="K37" i="8"/>
  <c r="L37" i="8" s="1"/>
  <c r="K36" i="8"/>
  <c r="L36" i="8" s="1"/>
  <c r="K35" i="8"/>
  <c r="L35" i="8" s="1"/>
  <c r="K34" i="8"/>
  <c r="L34" i="8" s="1"/>
  <c r="K33" i="8"/>
  <c r="L33" i="8" s="1"/>
  <c r="K32" i="8"/>
  <c r="L32" i="8" s="1"/>
  <c r="K31" i="8"/>
  <c r="L31" i="8" s="1"/>
  <c r="K30" i="8"/>
  <c r="L30" i="8" s="1"/>
  <c r="K29" i="8"/>
  <c r="L29" i="8" s="1"/>
  <c r="K28" i="8"/>
  <c r="L28" i="8" s="1"/>
  <c r="K27" i="8"/>
  <c r="L27" i="8" s="1"/>
  <c r="K26" i="8"/>
  <c r="L26" i="8" s="1"/>
  <c r="K25" i="8"/>
  <c r="L25" i="8" s="1"/>
  <c r="K24" i="8"/>
  <c r="L24" i="8" s="1"/>
  <c r="K23" i="8"/>
  <c r="L23" i="8" s="1"/>
  <c r="K22" i="8"/>
  <c r="L22" i="8" s="1"/>
  <c r="K21" i="8"/>
  <c r="L21" i="8" s="1"/>
  <c r="K20" i="8"/>
  <c r="L20" i="8" s="1"/>
  <c r="K19" i="8"/>
  <c r="L19" i="8" s="1"/>
  <c r="K18" i="8"/>
  <c r="L18" i="8" s="1"/>
  <c r="K17" i="8"/>
  <c r="L17" i="8" s="1"/>
  <c r="K16" i="8"/>
  <c r="L16" i="8" s="1"/>
  <c r="K15" i="8"/>
  <c r="L15" i="8" s="1"/>
  <c r="K14" i="8"/>
  <c r="L14" i="8" s="1"/>
  <c r="K13" i="8"/>
  <c r="L13" i="8" s="1"/>
  <c r="K12" i="8"/>
  <c r="L12" i="8" s="1"/>
  <c r="K11" i="8"/>
  <c r="L11" i="8" s="1"/>
  <c r="K10" i="8"/>
  <c r="L10" i="8" s="1"/>
  <c r="K9" i="8"/>
  <c r="L9" i="8" s="1"/>
  <c r="K8" i="8"/>
  <c r="L8" i="8" s="1"/>
  <c r="K7" i="8"/>
  <c r="L7" i="8" s="1"/>
  <c r="K6" i="8"/>
  <c r="L6" i="8" s="1"/>
  <c r="K5" i="8"/>
  <c r="L5" i="8" s="1"/>
  <c r="K4" i="8"/>
  <c r="L4" i="8" s="1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R203" i="5"/>
  <c r="S203" i="5" s="1"/>
  <c r="R202" i="5"/>
  <c r="S202" i="5" s="1"/>
  <c r="R201" i="5"/>
  <c r="S201" i="5" s="1"/>
  <c r="R200" i="5"/>
  <c r="S200" i="5" s="1"/>
  <c r="R199" i="5"/>
  <c r="S199" i="5" s="1"/>
  <c r="R198" i="5"/>
  <c r="S198" i="5" s="1"/>
  <c r="R197" i="5"/>
  <c r="S197" i="5" s="1"/>
  <c r="R196" i="5"/>
  <c r="S196" i="5" s="1"/>
  <c r="R195" i="5"/>
  <c r="S195" i="5" s="1"/>
  <c r="R194" i="5"/>
  <c r="S194" i="5" s="1"/>
  <c r="R193" i="5"/>
  <c r="S193" i="5" s="1"/>
  <c r="R192" i="5"/>
  <c r="S192" i="5" s="1"/>
  <c r="R191" i="5"/>
  <c r="S191" i="5" s="1"/>
  <c r="R190" i="5"/>
  <c r="S190" i="5" s="1"/>
  <c r="R189" i="5"/>
  <c r="S189" i="5" s="1"/>
  <c r="R188" i="5"/>
  <c r="S188" i="5" s="1"/>
  <c r="R187" i="5"/>
  <c r="S187" i="5" s="1"/>
  <c r="R186" i="5"/>
  <c r="S186" i="5" s="1"/>
  <c r="R185" i="5"/>
  <c r="S185" i="5" s="1"/>
  <c r="R184" i="5"/>
  <c r="S184" i="5" s="1"/>
  <c r="R183" i="5"/>
  <c r="S183" i="5" s="1"/>
  <c r="R182" i="5"/>
  <c r="S182" i="5" s="1"/>
  <c r="R181" i="5"/>
  <c r="S181" i="5" s="1"/>
  <c r="R180" i="5"/>
  <c r="S180" i="5" s="1"/>
  <c r="R179" i="5"/>
  <c r="S179" i="5" s="1"/>
  <c r="R178" i="5"/>
  <c r="S178" i="5" s="1"/>
  <c r="R177" i="5"/>
  <c r="S177" i="5" s="1"/>
  <c r="R176" i="5"/>
  <c r="S176" i="5" s="1"/>
  <c r="R175" i="5"/>
  <c r="S175" i="5" s="1"/>
  <c r="R174" i="5"/>
  <c r="S174" i="5" s="1"/>
  <c r="R173" i="5"/>
  <c r="S173" i="5" s="1"/>
  <c r="R172" i="5"/>
  <c r="S172" i="5" s="1"/>
  <c r="R171" i="5"/>
  <c r="S171" i="5" s="1"/>
  <c r="R170" i="5"/>
  <c r="S170" i="5" s="1"/>
  <c r="R169" i="5"/>
  <c r="S169" i="5" s="1"/>
  <c r="R168" i="5"/>
  <c r="S168" i="5" s="1"/>
  <c r="R167" i="5"/>
  <c r="S167" i="5" s="1"/>
  <c r="R166" i="5"/>
  <c r="S166" i="5" s="1"/>
  <c r="R165" i="5"/>
  <c r="S165" i="5" s="1"/>
  <c r="R164" i="5"/>
  <c r="S164" i="5" s="1"/>
  <c r="R163" i="5"/>
  <c r="S163" i="5" s="1"/>
  <c r="R162" i="5"/>
  <c r="S162" i="5" s="1"/>
  <c r="R161" i="5"/>
  <c r="S161" i="5" s="1"/>
  <c r="R160" i="5"/>
  <c r="S160" i="5" s="1"/>
  <c r="R159" i="5"/>
  <c r="S159" i="5" s="1"/>
  <c r="R158" i="5"/>
  <c r="S158" i="5" s="1"/>
  <c r="R157" i="5"/>
  <c r="S157" i="5" s="1"/>
  <c r="R156" i="5"/>
  <c r="S156" i="5" s="1"/>
  <c r="R155" i="5"/>
  <c r="S155" i="5" s="1"/>
  <c r="R154" i="5"/>
  <c r="S154" i="5" s="1"/>
  <c r="R153" i="5"/>
  <c r="S153" i="5" s="1"/>
  <c r="R152" i="5"/>
  <c r="S152" i="5" s="1"/>
  <c r="R151" i="5"/>
  <c r="S151" i="5" s="1"/>
  <c r="R150" i="5"/>
  <c r="S150" i="5" s="1"/>
  <c r="R149" i="5"/>
  <c r="S149" i="5" s="1"/>
  <c r="R148" i="5"/>
  <c r="S148" i="5" s="1"/>
  <c r="R147" i="5"/>
  <c r="S147" i="5" s="1"/>
  <c r="R146" i="5"/>
  <c r="S146" i="5" s="1"/>
  <c r="R145" i="5"/>
  <c r="S145" i="5" s="1"/>
  <c r="R144" i="5"/>
  <c r="S144" i="5" s="1"/>
  <c r="R143" i="5"/>
  <c r="S143" i="5" s="1"/>
  <c r="R142" i="5"/>
  <c r="S142" i="5" s="1"/>
  <c r="R141" i="5"/>
  <c r="S141" i="5" s="1"/>
  <c r="R140" i="5"/>
  <c r="S140" i="5" s="1"/>
  <c r="R139" i="5"/>
  <c r="S139" i="5" s="1"/>
  <c r="R138" i="5"/>
  <c r="S138" i="5" s="1"/>
  <c r="R137" i="5"/>
  <c r="S137" i="5" s="1"/>
  <c r="R136" i="5"/>
  <c r="S136" i="5" s="1"/>
  <c r="R135" i="5"/>
  <c r="S135" i="5" s="1"/>
  <c r="R134" i="5"/>
  <c r="S134" i="5" s="1"/>
  <c r="R133" i="5"/>
  <c r="S133" i="5" s="1"/>
  <c r="R132" i="5"/>
  <c r="S132" i="5" s="1"/>
  <c r="R131" i="5"/>
  <c r="S131" i="5" s="1"/>
  <c r="R130" i="5"/>
  <c r="S130" i="5" s="1"/>
  <c r="R129" i="5"/>
  <c r="S129" i="5" s="1"/>
  <c r="R128" i="5"/>
  <c r="S128" i="5" s="1"/>
  <c r="R127" i="5"/>
  <c r="S127" i="5" s="1"/>
  <c r="R126" i="5"/>
  <c r="S126" i="5" s="1"/>
  <c r="R125" i="5"/>
  <c r="S125" i="5" s="1"/>
  <c r="R124" i="5"/>
  <c r="S124" i="5" s="1"/>
  <c r="R123" i="5"/>
  <c r="S123" i="5" s="1"/>
  <c r="R122" i="5"/>
  <c r="S122" i="5" s="1"/>
  <c r="R121" i="5"/>
  <c r="S121" i="5" s="1"/>
  <c r="R120" i="5"/>
  <c r="S120" i="5" s="1"/>
  <c r="R119" i="5"/>
  <c r="S119" i="5" s="1"/>
  <c r="R118" i="5"/>
  <c r="S118" i="5" s="1"/>
  <c r="R117" i="5"/>
  <c r="S117" i="5" s="1"/>
  <c r="R116" i="5"/>
  <c r="S116" i="5" s="1"/>
  <c r="R115" i="5"/>
  <c r="S115" i="5" s="1"/>
  <c r="R114" i="5"/>
  <c r="S114" i="5" s="1"/>
  <c r="R113" i="5"/>
  <c r="S113" i="5" s="1"/>
  <c r="R112" i="5"/>
  <c r="S112" i="5" s="1"/>
  <c r="R111" i="5"/>
  <c r="S111" i="5" s="1"/>
  <c r="R110" i="5"/>
  <c r="S110" i="5" s="1"/>
  <c r="R109" i="5"/>
  <c r="S109" i="5" s="1"/>
  <c r="R108" i="5"/>
  <c r="S108" i="5" s="1"/>
  <c r="R107" i="5"/>
  <c r="S107" i="5" s="1"/>
  <c r="R106" i="5"/>
  <c r="S106" i="5" s="1"/>
  <c r="R105" i="5"/>
  <c r="S105" i="5" s="1"/>
  <c r="R104" i="5"/>
  <c r="S104" i="5" s="1"/>
  <c r="R103" i="5"/>
  <c r="S103" i="5" s="1"/>
  <c r="R102" i="5"/>
  <c r="S102" i="5" s="1"/>
  <c r="R101" i="5"/>
  <c r="S101" i="5" s="1"/>
  <c r="R100" i="5"/>
  <c r="S100" i="5" s="1"/>
  <c r="R99" i="5"/>
  <c r="S99" i="5" s="1"/>
  <c r="R98" i="5"/>
  <c r="S98" i="5" s="1"/>
  <c r="R97" i="5"/>
  <c r="S97" i="5" s="1"/>
  <c r="R96" i="5"/>
  <c r="S96" i="5" s="1"/>
  <c r="R95" i="5"/>
  <c r="S95" i="5" s="1"/>
  <c r="R94" i="5"/>
  <c r="S94" i="5" s="1"/>
  <c r="R93" i="5"/>
  <c r="S93" i="5" s="1"/>
  <c r="R92" i="5"/>
  <c r="S92" i="5" s="1"/>
  <c r="R91" i="5"/>
  <c r="S91" i="5" s="1"/>
  <c r="R90" i="5"/>
  <c r="S90" i="5" s="1"/>
  <c r="R89" i="5"/>
  <c r="S89" i="5" s="1"/>
  <c r="R88" i="5"/>
  <c r="S88" i="5" s="1"/>
  <c r="R87" i="5"/>
  <c r="S87" i="5" s="1"/>
  <c r="R86" i="5"/>
  <c r="S86" i="5" s="1"/>
  <c r="R85" i="5"/>
  <c r="S85" i="5" s="1"/>
  <c r="R84" i="5"/>
  <c r="S84" i="5" s="1"/>
  <c r="R83" i="5"/>
  <c r="S83" i="5" s="1"/>
  <c r="R82" i="5"/>
  <c r="S82" i="5" s="1"/>
  <c r="R81" i="5"/>
  <c r="S81" i="5" s="1"/>
  <c r="R80" i="5"/>
  <c r="S80" i="5" s="1"/>
  <c r="R79" i="5"/>
  <c r="S79" i="5" s="1"/>
  <c r="R78" i="5"/>
  <c r="S78" i="5" s="1"/>
  <c r="R77" i="5"/>
  <c r="S77" i="5" s="1"/>
  <c r="R76" i="5"/>
  <c r="S76" i="5" s="1"/>
  <c r="R75" i="5"/>
  <c r="S75" i="5" s="1"/>
  <c r="R74" i="5"/>
  <c r="S74" i="5" s="1"/>
  <c r="R73" i="5"/>
  <c r="S73" i="5" s="1"/>
  <c r="R72" i="5"/>
  <c r="S72" i="5" s="1"/>
  <c r="R71" i="5"/>
  <c r="S71" i="5" s="1"/>
  <c r="R70" i="5"/>
  <c r="S70" i="5" s="1"/>
  <c r="R69" i="5"/>
  <c r="S69" i="5" s="1"/>
  <c r="R68" i="5"/>
  <c r="S68" i="5" s="1"/>
  <c r="R67" i="5"/>
  <c r="S67" i="5" s="1"/>
  <c r="R66" i="5"/>
  <c r="S66" i="5" s="1"/>
  <c r="R65" i="5"/>
  <c r="S65" i="5" s="1"/>
  <c r="R64" i="5"/>
  <c r="S64" i="5" s="1"/>
  <c r="R63" i="5"/>
  <c r="S63" i="5" s="1"/>
  <c r="R62" i="5"/>
  <c r="S62" i="5" s="1"/>
  <c r="R61" i="5"/>
  <c r="S61" i="5" s="1"/>
  <c r="R60" i="5"/>
  <c r="S60" i="5" s="1"/>
  <c r="R59" i="5"/>
  <c r="S59" i="5" s="1"/>
  <c r="R58" i="5"/>
  <c r="S58" i="5" s="1"/>
  <c r="R57" i="5"/>
  <c r="S57" i="5" s="1"/>
  <c r="R56" i="5"/>
  <c r="S56" i="5" s="1"/>
  <c r="R55" i="5"/>
  <c r="S55" i="5" s="1"/>
  <c r="R54" i="5"/>
  <c r="S54" i="5" s="1"/>
  <c r="R53" i="5"/>
  <c r="S53" i="5" s="1"/>
  <c r="R52" i="5"/>
  <c r="S52" i="5" s="1"/>
  <c r="R51" i="5"/>
  <c r="S51" i="5" s="1"/>
  <c r="R50" i="5"/>
  <c r="S50" i="5" s="1"/>
  <c r="R49" i="5"/>
  <c r="S49" i="5" s="1"/>
  <c r="R48" i="5"/>
  <c r="S48" i="5" s="1"/>
  <c r="R47" i="5"/>
  <c r="S47" i="5" s="1"/>
  <c r="R46" i="5"/>
  <c r="S46" i="5" s="1"/>
  <c r="R45" i="5"/>
  <c r="S45" i="5" s="1"/>
  <c r="R44" i="5"/>
  <c r="S44" i="5" s="1"/>
  <c r="R43" i="5"/>
  <c r="S43" i="5" s="1"/>
  <c r="R42" i="5"/>
  <c r="S42" i="5" s="1"/>
  <c r="R41" i="5"/>
  <c r="S41" i="5" s="1"/>
  <c r="R40" i="5"/>
  <c r="S40" i="5" s="1"/>
  <c r="R39" i="5"/>
  <c r="S39" i="5" s="1"/>
  <c r="R38" i="5"/>
  <c r="S38" i="5" s="1"/>
  <c r="R37" i="5"/>
  <c r="S37" i="5" s="1"/>
  <c r="R36" i="5"/>
  <c r="S36" i="5" s="1"/>
  <c r="R35" i="5"/>
  <c r="S35" i="5" s="1"/>
  <c r="R34" i="5"/>
  <c r="S34" i="5" s="1"/>
  <c r="R33" i="5"/>
  <c r="S33" i="5" s="1"/>
  <c r="R32" i="5"/>
  <c r="S32" i="5" s="1"/>
  <c r="R31" i="5"/>
  <c r="S31" i="5" s="1"/>
  <c r="R30" i="5"/>
  <c r="S30" i="5" s="1"/>
  <c r="R29" i="5"/>
  <c r="S29" i="5" s="1"/>
  <c r="R28" i="5"/>
  <c r="S28" i="5" s="1"/>
  <c r="R27" i="5"/>
  <c r="S27" i="5" s="1"/>
  <c r="R26" i="5"/>
  <c r="S26" i="5" s="1"/>
  <c r="R25" i="5"/>
  <c r="S25" i="5" s="1"/>
  <c r="R24" i="5"/>
  <c r="S24" i="5" s="1"/>
  <c r="R23" i="5"/>
  <c r="S23" i="5" s="1"/>
  <c r="R22" i="5"/>
  <c r="S22" i="5" s="1"/>
  <c r="R21" i="5"/>
  <c r="S21" i="5" s="1"/>
  <c r="R20" i="5"/>
  <c r="S20" i="5" s="1"/>
  <c r="R19" i="5"/>
  <c r="S19" i="5" s="1"/>
  <c r="R18" i="5"/>
  <c r="S18" i="5" s="1"/>
  <c r="R17" i="5"/>
  <c r="S17" i="5" s="1"/>
  <c r="R16" i="5"/>
  <c r="S16" i="5" s="1"/>
  <c r="R15" i="5"/>
  <c r="S15" i="5" s="1"/>
  <c r="R14" i="5"/>
  <c r="S14" i="5" s="1"/>
  <c r="R13" i="5"/>
  <c r="S13" i="5" s="1"/>
  <c r="R12" i="5"/>
  <c r="S12" i="5" s="1"/>
  <c r="R11" i="5"/>
  <c r="S11" i="5" s="1"/>
  <c r="R10" i="5"/>
  <c r="S10" i="5" s="1"/>
  <c r="R9" i="5"/>
  <c r="S9" i="5" s="1"/>
  <c r="R8" i="5"/>
  <c r="S8" i="5" s="1"/>
  <c r="R7" i="5"/>
  <c r="S7" i="5" s="1"/>
  <c r="R6" i="5"/>
  <c r="S6" i="5" s="1"/>
  <c r="R5" i="5"/>
  <c r="S5" i="5" s="1"/>
  <c r="R4" i="5"/>
  <c r="S4" i="5" s="1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L10" i="3"/>
  <c r="M10" i="3" s="1"/>
  <c r="L9" i="3"/>
  <c r="M9" i="3" s="1"/>
  <c r="L8" i="3"/>
  <c r="M8" i="3" s="1"/>
  <c r="L7" i="3"/>
  <c r="M7" i="3" s="1"/>
  <c r="L6" i="3"/>
  <c r="M6" i="3" s="1"/>
  <c r="L5" i="3"/>
  <c r="M5" i="3" s="1"/>
  <c r="L4" i="3"/>
  <c r="M4" i="3" s="1"/>
  <c r="J203" i="2"/>
  <c r="M203" i="2" s="1"/>
  <c r="J202" i="2"/>
  <c r="M202" i="2" s="1"/>
  <c r="J201" i="2"/>
  <c r="M201" i="2" s="1"/>
  <c r="J200" i="2"/>
  <c r="M200" i="2" s="1"/>
  <c r="J199" i="2"/>
  <c r="M199" i="2" s="1"/>
  <c r="J198" i="2"/>
  <c r="M198" i="2" s="1"/>
  <c r="J197" i="2"/>
  <c r="M197" i="2" s="1"/>
  <c r="J196" i="2"/>
  <c r="M196" i="2" s="1"/>
  <c r="J195" i="2"/>
  <c r="M195" i="2" s="1"/>
  <c r="J194" i="2"/>
  <c r="M194" i="2" s="1"/>
  <c r="J193" i="2"/>
  <c r="M193" i="2" s="1"/>
  <c r="J192" i="2"/>
  <c r="M192" i="2" s="1"/>
  <c r="J191" i="2"/>
  <c r="M191" i="2" s="1"/>
  <c r="J190" i="2"/>
  <c r="M190" i="2" s="1"/>
  <c r="J189" i="2"/>
  <c r="M189" i="2" s="1"/>
  <c r="J188" i="2"/>
  <c r="M188" i="2" s="1"/>
  <c r="J187" i="2"/>
  <c r="M187" i="2" s="1"/>
  <c r="J186" i="2"/>
  <c r="M186" i="2" s="1"/>
  <c r="J185" i="2"/>
  <c r="M185" i="2" s="1"/>
  <c r="J184" i="2"/>
  <c r="M184" i="2" s="1"/>
  <c r="J183" i="2"/>
  <c r="M183" i="2" s="1"/>
  <c r="J182" i="2"/>
  <c r="M182" i="2" s="1"/>
  <c r="J181" i="2"/>
  <c r="M181" i="2" s="1"/>
  <c r="J180" i="2"/>
  <c r="M180" i="2" s="1"/>
  <c r="J179" i="2"/>
  <c r="M179" i="2" s="1"/>
  <c r="J178" i="2"/>
  <c r="M178" i="2" s="1"/>
  <c r="J177" i="2"/>
  <c r="M177" i="2" s="1"/>
  <c r="J176" i="2"/>
  <c r="M176" i="2" s="1"/>
  <c r="J175" i="2"/>
  <c r="M175" i="2" s="1"/>
  <c r="J174" i="2"/>
  <c r="M174" i="2" s="1"/>
  <c r="J173" i="2"/>
  <c r="M173" i="2" s="1"/>
  <c r="J172" i="2"/>
  <c r="M172" i="2" s="1"/>
  <c r="J171" i="2"/>
  <c r="M171" i="2" s="1"/>
  <c r="J170" i="2"/>
  <c r="M170" i="2" s="1"/>
  <c r="J169" i="2"/>
  <c r="M169" i="2" s="1"/>
  <c r="J168" i="2"/>
  <c r="M168" i="2" s="1"/>
  <c r="J167" i="2"/>
  <c r="M167" i="2" s="1"/>
  <c r="J166" i="2"/>
  <c r="M166" i="2" s="1"/>
  <c r="J165" i="2"/>
  <c r="M165" i="2" s="1"/>
  <c r="J164" i="2"/>
  <c r="M164" i="2" s="1"/>
  <c r="J163" i="2"/>
  <c r="M163" i="2" s="1"/>
  <c r="J162" i="2"/>
  <c r="M162" i="2" s="1"/>
  <c r="J161" i="2"/>
  <c r="M161" i="2" s="1"/>
  <c r="J160" i="2"/>
  <c r="M160" i="2" s="1"/>
  <c r="J159" i="2"/>
  <c r="M159" i="2" s="1"/>
  <c r="J158" i="2"/>
  <c r="M158" i="2" s="1"/>
  <c r="J157" i="2"/>
  <c r="M157" i="2" s="1"/>
  <c r="J156" i="2"/>
  <c r="M156" i="2" s="1"/>
  <c r="J155" i="2"/>
  <c r="M155" i="2" s="1"/>
  <c r="J154" i="2"/>
  <c r="M154" i="2" s="1"/>
  <c r="J153" i="2"/>
  <c r="M153" i="2" s="1"/>
  <c r="J152" i="2"/>
  <c r="M152" i="2" s="1"/>
  <c r="M151" i="2"/>
  <c r="J151" i="2"/>
  <c r="J150" i="2"/>
  <c r="M150" i="2" s="1"/>
  <c r="J149" i="2"/>
  <c r="M149" i="2" s="1"/>
  <c r="J148" i="2"/>
  <c r="M148" i="2" s="1"/>
  <c r="J147" i="2"/>
  <c r="M147" i="2" s="1"/>
  <c r="J146" i="2"/>
  <c r="M146" i="2" s="1"/>
  <c r="J145" i="2"/>
  <c r="M145" i="2" s="1"/>
  <c r="J144" i="2"/>
  <c r="M144" i="2" s="1"/>
  <c r="J143" i="2"/>
  <c r="M143" i="2" s="1"/>
  <c r="J142" i="2"/>
  <c r="M142" i="2" s="1"/>
  <c r="J141" i="2"/>
  <c r="M141" i="2" s="1"/>
  <c r="J140" i="2"/>
  <c r="M140" i="2" s="1"/>
  <c r="J139" i="2"/>
  <c r="M139" i="2" s="1"/>
  <c r="J138" i="2"/>
  <c r="M138" i="2" s="1"/>
  <c r="J137" i="2"/>
  <c r="M137" i="2" s="1"/>
  <c r="J136" i="2"/>
  <c r="M136" i="2" s="1"/>
  <c r="J135" i="2"/>
  <c r="M135" i="2" s="1"/>
  <c r="J134" i="2"/>
  <c r="M134" i="2" s="1"/>
  <c r="J133" i="2"/>
  <c r="M133" i="2" s="1"/>
  <c r="J132" i="2"/>
  <c r="M132" i="2" s="1"/>
  <c r="J131" i="2"/>
  <c r="M131" i="2" s="1"/>
  <c r="J130" i="2"/>
  <c r="M130" i="2" s="1"/>
  <c r="J129" i="2"/>
  <c r="M129" i="2" s="1"/>
  <c r="J128" i="2"/>
  <c r="M128" i="2" s="1"/>
  <c r="J127" i="2"/>
  <c r="M127" i="2" s="1"/>
  <c r="J126" i="2"/>
  <c r="M126" i="2" s="1"/>
  <c r="J125" i="2"/>
  <c r="M125" i="2" s="1"/>
  <c r="J124" i="2"/>
  <c r="M124" i="2" s="1"/>
  <c r="J123" i="2"/>
  <c r="M123" i="2" s="1"/>
  <c r="J122" i="2"/>
  <c r="M122" i="2" s="1"/>
  <c r="J121" i="2"/>
  <c r="M121" i="2" s="1"/>
  <c r="J120" i="2"/>
  <c r="M120" i="2" s="1"/>
  <c r="J119" i="2"/>
  <c r="M119" i="2" s="1"/>
  <c r="J118" i="2"/>
  <c r="M118" i="2" s="1"/>
  <c r="J117" i="2"/>
  <c r="M117" i="2" s="1"/>
  <c r="J116" i="2"/>
  <c r="M116" i="2" s="1"/>
  <c r="J115" i="2"/>
  <c r="M115" i="2" s="1"/>
  <c r="J114" i="2"/>
  <c r="M114" i="2" s="1"/>
  <c r="J113" i="2"/>
  <c r="M113" i="2" s="1"/>
  <c r="J112" i="2"/>
  <c r="M112" i="2" s="1"/>
  <c r="J111" i="2"/>
  <c r="M111" i="2" s="1"/>
  <c r="J110" i="2"/>
  <c r="M110" i="2" s="1"/>
  <c r="J109" i="2"/>
  <c r="M109" i="2" s="1"/>
  <c r="J108" i="2"/>
  <c r="M108" i="2" s="1"/>
  <c r="J107" i="2"/>
  <c r="M107" i="2" s="1"/>
  <c r="J106" i="2"/>
  <c r="M106" i="2" s="1"/>
  <c r="J105" i="2"/>
  <c r="M105" i="2" s="1"/>
  <c r="J104" i="2"/>
  <c r="M104" i="2" s="1"/>
  <c r="J103" i="2"/>
  <c r="M103" i="2" s="1"/>
  <c r="J102" i="2"/>
  <c r="M102" i="2" s="1"/>
  <c r="J101" i="2"/>
  <c r="M101" i="2" s="1"/>
  <c r="J100" i="2"/>
  <c r="M100" i="2" s="1"/>
  <c r="J99" i="2"/>
  <c r="M99" i="2" s="1"/>
  <c r="J98" i="2"/>
  <c r="M98" i="2" s="1"/>
  <c r="J97" i="2"/>
  <c r="M97" i="2" s="1"/>
  <c r="J96" i="2"/>
  <c r="M96" i="2" s="1"/>
  <c r="J95" i="2"/>
  <c r="M95" i="2" s="1"/>
  <c r="J94" i="2"/>
  <c r="M94" i="2" s="1"/>
  <c r="J93" i="2"/>
  <c r="M93" i="2" s="1"/>
  <c r="J92" i="2"/>
  <c r="M92" i="2" s="1"/>
  <c r="J91" i="2"/>
  <c r="M91" i="2" s="1"/>
  <c r="J90" i="2"/>
  <c r="M90" i="2" s="1"/>
  <c r="J89" i="2"/>
  <c r="M89" i="2" s="1"/>
  <c r="J88" i="2"/>
  <c r="M88" i="2" s="1"/>
  <c r="J87" i="2"/>
  <c r="M87" i="2" s="1"/>
  <c r="J86" i="2"/>
  <c r="M86" i="2" s="1"/>
  <c r="J85" i="2"/>
  <c r="M85" i="2" s="1"/>
  <c r="J84" i="2"/>
  <c r="M84" i="2" s="1"/>
  <c r="J83" i="2"/>
  <c r="M83" i="2" s="1"/>
  <c r="J82" i="2"/>
  <c r="M82" i="2" s="1"/>
  <c r="J81" i="2"/>
  <c r="M81" i="2" s="1"/>
  <c r="J80" i="2"/>
  <c r="M80" i="2" s="1"/>
  <c r="J79" i="2"/>
  <c r="M79" i="2" s="1"/>
  <c r="J78" i="2"/>
  <c r="M78" i="2" s="1"/>
  <c r="J77" i="2"/>
  <c r="M77" i="2" s="1"/>
  <c r="J76" i="2"/>
  <c r="M76" i="2" s="1"/>
  <c r="J75" i="2"/>
  <c r="M75" i="2" s="1"/>
  <c r="J74" i="2"/>
  <c r="M74" i="2" s="1"/>
  <c r="J73" i="2"/>
  <c r="M73" i="2" s="1"/>
  <c r="J72" i="2"/>
  <c r="M72" i="2" s="1"/>
  <c r="J71" i="2"/>
  <c r="M71" i="2" s="1"/>
  <c r="J70" i="2"/>
  <c r="M70" i="2" s="1"/>
  <c r="J69" i="2"/>
  <c r="M69" i="2" s="1"/>
  <c r="J68" i="2"/>
  <c r="M68" i="2" s="1"/>
  <c r="J67" i="2"/>
  <c r="M67" i="2" s="1"/>
  <c r="J66" i="2"/>
  <c r="M66" i="2" s="1"/>
  <c r="J65" i="2"/>
  <c r="M65" i="2" s="1"/>
  <c r="J64" i="2"/>
  <c r="M64" i="2" s="1"/>
  <c r="J63" i="2"/>
  <c r="M63" i="2" s="1"/>
  <c r="J62" i="2"/>
  <c r="M62" i="2" s="1"/>
  <c r="J61" i="2"/>
  <c r="M61" i="2" s="1"/>
  <c r="J60" i="2"/>
  <c r="M60" i="2" s="1"/>
  <c r="J59" i="2"/>
  <c r="M59" i="2" s="1"/>
  <c r="J58" i="2"/>
  <c r="M58" i="2" s="1"/>
  <c r="J57" i="2"/>
  <c r="M57" i="2" s="1"/>
  <c r="J56" i="2"/>
  <c r="M56" i="2" s="1"/>
  <c r="J55" i="2"/>
  <c r="M55" i="2" s="1"/>
  <c r="J54" i="2"/>
  <c r="M54" i="2" s="1"/>
  <c r="J53" i="2"/>
  <c r="M53" i="2" s="1"/>
  <c r="J52" i="2"/>
  <c r="M52" i="2" s="1"/>
  <c r="J51" i="2"/>
  <c r="M51" i="2" s="1"/>
  <c r="J50" i="2"/>
  <c r="M50" i="2" s="1"/>
  <c r="J49" i="2"/>
  <c r="M49" i="2" s="1"/>
  <c r="J48" i="2"/>
  <c r="M48" i="2" s="1"/>
  <c r="J47" i="2"/>
  <c r="M47" i="2" s="1"/>
  <c r="J46" i="2"/>
  <c r="M46" i="2" s="1"/>
  <c r="J45" i="2"/>
  <c r="M45" i="2" s="1"/>
  <c r="J44" i="2"/>
  <c r="M44" i="2" s="1"/>
  <c r="J43" i="2"/>
  <c r="M43" i="2" s="1"/>
  <c r="J42" i="2"/>
  <c r="M42" i="2" s="1"/>
  <c r="J41" i="2"/>
  <c r="M41" i="2" s="1"/>
  <c r="J40" i="2"/>
  <c r="M40" i="2" s="1"/>
  <c r="J39" i="2"/>
  <c r="M39" i="2" s="1"/>
  <c r="J38" i="2"/>
  <c r="M38" i="2" s="1"/>
  <c r="J37" i="2"/>
  <c r="M37" i="2" s="1"/>
  <c r="J36" i="2"/>
  <c r="M36" i="2" s="1"/>
  <c r="J35" i="2"/>
  <c r="M35" i="2" s="1"/>
  <c r="J34" i="2"/>
  <c r="M34" i="2" s="1"/>
  <c r="J33" i="2"/>
  <c r="M33" i="2" s="1"/>
  <c r="J32" i="2"/>
  <c r="M32" i="2" s="1"/>
  <c r="J31" i="2"/>
  <c r="M31" i="2" s="1"/>
  <c r="J30" i="2"/>
  <c r="M30" i="2" s="1"/>
  <c r="J29" i="2"/>
  <c r="M29" i="2" s="1"/>
  <c r="J28" i="2"/>
  <c r="M28" i="2" s="1"/>
  <c r="J27" i="2"/>
  <c r="M27" i="2" s="1"/>
  <c r="J26" i="2"/>
  <c r="M26" i="2" s="1"/>
  <c r="J25" i="2"/>
  <c r="M25" i="2" s="1"/>
  <c r="J24" i="2"/>
  <c r="M24" i="2" s="1"/>
  <c r="J23" i="2"/>
  <c r="M23" i="2" s="1"/>
  <c r="J22" i="2"/>
  <c r="M22" i="2" s="1"/>
  <c r="J21" i="2"/>
  <c r="M21" i="2" s="1"/>
  <c r="J20" i="2"/>
  <c r="M20" i="2" s="1"/>
  <c r="J19" i="2"/>
  <c r="M19" i="2" s="1"/>
  <c r="J18" i="2"/>
  <c r="M18" i="2" s="1"/>
  <c r="J17" i="2"/>
  <c r="M17" i="2" s="1"/>
  <c r="J16" i="2"/>
  <c r="M16" i="2" s="1"/>
  <c r="J15" i="2"/>
  <c r="M15" i="2" s="1"/>
  <c r="J14" i="2"/>
  <c r="M14" i="2" s="1"/>
  <c r="J13" i="2"/>
  <c r="M13" i="2" s="1"/>
  <c r="J12" i="2"/>
  <c r="M12" i="2" s="1"/>
  <c r="J11" i="2"/>
  <c r="M11" i="2" s="1"/>
  <c r="J10" i="2"/>
  <c r="M10" i="2" s="1"/>
  <c r="J9" i="2"/>
  <c r="M9" i="2" s="1"/>
  <c r="J8" i="2"/>
  <c r="M8" i="2" s="1"/>
  <c r="J7" i="2"/>
  <c r="M7" i="2" s="1"/>
  <c r="J6" i="2"/>
  <c r="M6" i="2" s="1"/>
  <c r="J5" i="2"/>
  <c r="M5" i="2" s="1"/>
  <c r="J4" i="2"/>
  <c r="M4" i="2" s="1"/>
  <c r="O55" i="7" l="1"/>
  <c r="N55" i="7"/>
  <c r="B8" i="10"/>
  <c r="G22" i="10"/>
  <c r="H12" i="9"/>
  <c r="I22" i="10" s="1"/>
  <c r="G20" i="10"/>
  <c r="H10" i="9"/>
  <c r="I20" i="10" s="1"/>
  <c r="G19" i="10"/>
  <c r="H9" i="9"/>
  <c r="I19" i="10" s="1"/>
  <c r="G18" i="10"/>
  <c r="H8" i="9"/>
  <c r="I18" i="10" s="1"/>
  <c r="G17" i="10"/>
  <c r="H7" i="9"/>
  <c r="I17" i="10" s="1"/>
  <c r="G16" i="10"/>
  <c r="H6" i="9"/>
  <c r="I16" i="10" s="1"/>
  <c r="G15" i="10"/>
  <c r="H5" i="9"/>
  <c r="I15" i="10" s="1"/>
  <c r="G14" i="10"/>
  <c r="H4" i="9"/>
  <c r="I5" i="10"/>
  <c r="I6" i="10"/>
  <c r="I7" i="10"/>
  <c r="I8" i="10"/>
  <c r="I9" i="10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N174" i="7"/>
  <c r="O174" i="7"/>
  <c r="N173" i="7"/>
  <c r="O173" i="7"/>
  <c r="O172" i="7"/>
  <c r="N172" i="7"/>
  <c r="O171" i="7"/>
  <c r="N171" i="7"/>
  <c r="O170" i="7"/>
  <c r="N170" i="7"/>
  <c r="N169" i="7"/>
  <c r="O169" i="7"/>
  <c r="N168" i="7"/>
  <c r="O168" i="7"/>
  <c r="O167" i="7"/>
  <c r="N167" i="7"/>
  <c r="O166" i="7"/>
  <c r="N166" i="7"/>
  <c r="O165" i="7"/>
  <c r="N165" i="7"/>
  <c r="N164" i="7"/>
  <c r="O164" i="7"/>
  <c r="O163" i="7"/>
  <c r="N163" i="7"/>
  <c r="N162" i="7"/>
  <c r="O162" i="7"/>
  <c r="O161" i="7"/>
  <c r="N161" i="7"/>
  <c r="O160" i="7"/>
  <c r="N160" i="7"/>
  <c r="O159" i="7"/>
  <c r="N159" i="7"/>
  <c r="N158" i="7"/>
  <c r="O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N148" i="7"/>
  <c r="O148" i="7"/>
  <c r="O147" i="7"/>
  <c r="N147" i="7"/>
  <c r="N146" i="7"/>
  <c r="O146" i="7"/>
  <c r="O145" i="7"/>
  <c r="N145" i="7"/>
  <c r="O144" i="7"/>
  <c r="N144" i="7"/>
  <c r="N143" i="7"/>
  <c r="O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N134" i="7"/>
  <c r="O134" i="7"/>
  <c r="O133" i="7"/>
  <c r="N133" i="7"/>
  <c r="O132" i="7"/>
  <c r="N132" i="7"/>
  <c r="N131" i="7"/>
  <c r="O131" i="7"/>
  <c r="N130" i="7"/>
  <c r="O130" i="7"/>
  <c r="N129" i="7"/>
  <c r="O129" i="7"/>
  <c r="N128" i="7"/>
  <c r="O128" i="7"/>
  <c r="N127" i="7"/>
  <c r="O127" i="7"/>
  <c r="N126" i="7"/>
  <c r="O126" i="7"/>
  <c r="N125" i="7"/>
  <c r="O125" i="7"/>
  <c r="N124" i="7"/>
  <c r="O124" i="7"/>
  <c r="O123" i="7"/>
  <c r="N123" i="7"/>
  <c r="O122" i="7"/>
  <c r="N122" i="7"/>
  <c r="N121" i="7"/>
  <c r="O121" i="7"/>
  <c r="O120" i="7"/>
  <c r="N120" i="7"/>
  <c r="O119" i="7"/>
  <c r="N119" i="7"/>
  <c r="O118" i="7"/>
  <c r="N118" i="7"/>
  <c r="N117" i="7"/>
  <c r="O117" i="7"/>
  <c r="N116" i="7"/>
  <c r="O116" i="7"/>
  <c r="N115" i="7"/>
  <c r="O115" i="7"/>
  <c r="N114" i="7"/>
  <c r="O114" i="7"/>
  <c r="N113" i="7"/>
  <c r="O113" i="7"/>
  <c r="N112" i="7"/>
  <c r="O112" i="7"/>
  <c r="N111" i="7"/>
  <c r="O111" i="7"/>
  <c r="O110" i="7"/>
  <c r="N110" i="7"/>
  <c r="O109" i="7"/>
  <c r="N109" i="7"/>
  <c r="N108" i="7"/>
  <c r="O108" i="7"/>
  <c r="N107" i="7"/>
  <c r="O107" i="7"/>
  <c r="N106" i="7"/>
  <c r="O106" i="7"/>
  <c r="N105" i="7"/>
  <c r="O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N98" i="7"/>
  <c r="O98" i="7"/>
  <c r="O97" i="7"/>
  <c r="N97" i="7"/>
  <c r="N96" i="7"/>
  <c r="O96" i="7"/>
  <c r="O95" i="7"/>
  <c r="N95" i="7"/>
  <c r="N94" i="7"/>
  <c r="O94" i="7"/>
  <c r="N93" i="7"/>
  <c r="O93" i="7"/>
  <c r="N92" i="7"/>
  <c r="O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N83" i="7"/>
  <c r="O83" i="7"/>
  <c r="N82" i="7"/>
  <c r="O82" i="7"/>
  <c r="N81" i="7"/>
  <c r="O81" i="7"/>
  <c r="O80" i="7"/>
  <c r="N80" i="7"/>
  <c r="O79" i="7"/>
  <c r="N79" i="7"/>
  <c r="O78" i="7"/>
  <c r="N78" i="7"/>
  <c r="O77" i="7"/>
  <c r="N77" i="7"/>
  <c r="O76" i="7"/>
  <c r="N76" i="7"/>
  <c r="N75" i="7"/>
  <c r="O75" i="7"/>
  <c r="O74" i="7"/>
  <c r="N74" i="7"/>
  <c r="O73" i="7"/>
  <c r="N73" i="7"/>
  <c r="O72" i="7"/>
  <c r="N72" i="7"/>
  <c r="N71" i="7"/>
  <c r="O71" i="7"/>
  <c r="O70" i="7"/>
  <c r="N70" i="7"/>
  <c r="O69" i="7"/>
  <c r="N69" i="7"/>
  <c r="O68" i="7"/>
  <c r="N68" i="7"/>
  <c r="N67" i="7"/>
  <c r="O67" i="7"/>
  <c r="N66" i="7"/>
  <c r="O66" i="7"/>
  <c r="N65" i="7"/>
  <c r="O65" i="7"/>
  <c r="N64" i="7"/>
  <c r="O64" i="7"/>
  <c r="O63" i="7"/>
  <c r="N63" i="7"/>
  <c r="O62" i="7"/>
  <c r="N62" i="7"/>
  <c r="O61" i="7"/>
  <c r="N61" i="7"/>
  <c r="O60" i="7"/>
  <c r="N60" i="7"/>
  <c r="O59" i="7"/>
  <c r="N59" i="7"/>
  <c r="N58" i="7"/>
  <c r="O58" i="7"/>
  <c r="N57" i="7"/>
  <c r="O57" i="7"/>
  <c r="O56" i="7"/>
  <c r="N56" i="7"/>
  <c r="N54" i="7"/>
  <c r="O54" i="7"/>
  <c r="O53" i="7"/>
  <c r="N53" i="7"/>
  <c r="O52" i="7"/>
  <c r="N52" i="7"/>
  <c r="O51" i="7"/>
  <c r="N51" i="7"/>
  <c r="N50" i="7"/>
  <c r="O50" i="7"/>
  <c r="O49" i="7"/>
  <c r="N49" i="7"/>
  <c r="N48" i="7"/>
  <c r="O48" i="7"/>
  <c r="O47" i="7"/>
  <c r="N47" i="7"/>
  <c r="N46" i="7"/>
  <c r="O46" i="7"/>
  <c r="O45" i="7"/>
  <c r="N45" i="7"/>
  <c r="N44" i="7"/>
  <c r="O44" i="7"/>
  <c r="N43" i="7"/>
  <c r="O43" i="7"/>
  <c r="N42" i="7"/>
  <c r="O42" i="7"/>
  <c r="N41" i="7"/>
  <c r="O41" i="7"/>
  <c r="N40" i="7"/>
  <c r="O40" i="7"/>
  <c r="O39" i="7"/>
  <c r="N39" i="7"/>
  <c r="O38" i="7"/>
  <c r="N38" i="7"/>
  <c r="O37" i="7"/>
  <c r="N37" i="7"/>
  <c r="O36" i="7"/>
  <c r="N36" i="7"/>
  <c r="O35" i="7"/>
  <c r="N35" i="7"/>
  <c r="O34" i="7"/>
  <c r="N34" i="7"/>
  <c r="N33" i="7"/>
  <c r="O33" i="7"/>
  <c r="N32" i="7"/>
  <c r="O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N24" i="7"/>
  <c r="O24" i="7"/>
  <c r="N23" i="7"/>
  <c r="O23" i="7"/>
  <c r="O22" i="7"/>
  <c r="N22" i="7"/>
  <c r="O21" i="7"/>
  <c r="N21" i="7"/>
  <c r="O20" i="7"/>
  <c r="N20" i="7"/>
  <c r="O19" i="7"/>
  <c r="N19" i="7"/>
  <c r="O18" i="7"/>
  <c r="N18" i="7"/>
  <c r="N17" i="7"/>
  <c r="O17" i="7" s="1"/>
  <c r="N16" i="7"/>
  <c r="O16" i="7" s="1"/>
  <c r="N15" i="7"/>
  <c r="O15" i="7" s="1"/>
  <c r="N14" i="7"/>
  <c r="O14" i="7" s="1"/>
  <c r="N13" i="7"/>
  <c r="O13" i="7" s="1"/>
  <c r="N12" i="7"/>
  <c r="O12" i="7" s="1"/>
  <c r="N11" i="7"/>
  <c r="O11" i="7" s="1"/>
  <c r="N10" i="7"/>
  <c r="O10" i="7" s="1"/>
  <c r="N9" i="7"/>
  <c r="O9" i="7" s="1"/>
  <c r="N8" i="7"/>
  <c r="O8" i="7" s="1"/>
  <c r="N7" i="7"/>
  <c r="O7" i="7" s="1"/>
  <c r="N6" i="7"/>
  <c r="O6" i="7" s="1"/>
  <c r="N5" i="7"/>
  <c r="O5" i="7" s="1"/>
  <c r="N4" i="7"/>
  <c r="O4" i="7" s="1"/>
  <c r="G5" i="10"/>
  <c r="G6" i="10"/>
  <c r="G7" i="10"/>
  <c r="G8" i="10"/>
  <c r="G9" i="10"/>
  <c r="B11" i="10"/>
  <c r="I14" i="10" l="1"/>
  <c r="H5" i="10"/>
  <c r="H6" i="10"/>
  <c r="H7" i="10"/>
  <c r="H8" i="10"/>
  <c r="H9" i="10"/>
  <c r="F11" i="9"/>
  <c r="B13" i="10"/>
  <c r="H11" i="9" l="1"/>
  <c r="G21" i="10"/>
  <c r="F13" i="9" l="1"/>
  <c r="I21" i="10"/>
  <c r="G23" i="10" l="1"/>
  <c r="H13" i="9"/>
  <c r="B14" i="10" l="1"/>
  <c r="B15" i="10"/>
  <c r="I23" i="10"/>
</calcChain>
</file>

<file path=xl/sharedStrings.xml><?xml version="1.0" encoding="utf-8"?>
<sst xmlns="http://schemas.openxmlformats.org/spreadsheetml/2006/main" count="1111" uniqueCount="750">
  <si>
    <t>Excel-шаблон к методике формулирования бизнес-логики и пользовательских сценариев</t>
  </si>
  <si>
    <t>Назначение файла</t>
  </si>
  <si>
    <t>Этот файл предназначен для последовательной сборки бизнес-логики цифрового товара и пользовательских сценариев на основе всех ранее выполненных видов анализа: проблем, отзывов, конкурентов, рыночного стандарта, ценностного предложения, цифрового товара и Канвас.</t>
  </si>
  <si>
    <t>Ключевой принцип: каждый элемент бизнес-логики и каждый пользовательский сценарий должен иметь источник, доказательство, связь с ценностным предложением, цифровым товаром, монетизацией и блоком бизнес-модели.</t>
  </si>
  <si>
    <t>Сначала заполняется «Банк анализа», затем «Бизнес-логика», «Роли и сегменты», «Пользовательские сценарии», «Функциональные требования», «Приоритизация» и «Связность». Лист «Дашборд» рассчитывается автоматически.</t>
  </si>
  <si>
    <t>Желтые ячейки — зоны ручного ввода. Зеленые ячейки — расчетные поля. Выпадающие списки берутся из листа «Справочники».</t>
  </si>
  <si>
    <t>Этап</t>
  </si>
  <si>
    <t>Что сделать</t>
  </si>
  <si>
    <t>Основной лист</t>
  </si>
  <si>
    <t>Результат</t>
  </si>
  <si>
    <t>Проверка качества</t>
  </si>
  <si>
    <t>Связь с методикой</t>
  </si>
  <si>
    <t>Ответственный</t>
  </si>
  <si>
    <t>Статус</t>
  </si>
  <si>
    <t>Перенести ключевые выводы из всех видов анализа</t>
  </si>
  <si>
    <t>Банк анализа</t>
  </si>
  <si>
    <t>Единая доказательная база</t>
  </si>
  <si>
    <t>Есть ссылка/факт/уровень доказательности</t>
  </si>
  <si>
    <t>Анализ проблем, отзывов, конкурентов, Канвас</t>
  </si>
  <si>
    <t>Сформулировать элементы бизнес-логики</t>
  </si>
  <si>
    <t>Бизнес-логика</t>
  </si>
  <si>
    <t>Понятно, за счет чего создается, доставляется и монетизируется ценность</t>
  </si>
  <si>
    <t>Для элемента указаны ценность, товар, процесс и выручка</t>
  </si>
  <si>
    <t>Сборка бизнес-модели</t>
  </si>
  <si>
    <t>Описать роли и сегменты пользователей</t>
  </si>
  <si>
    <t>Роли и сегменты</t>
  </si>
  <si>
    <t>Понятно, кто участвует в сценариях</t>
  </si>
  <si>
    <t>У каждой роли есть задача, проблема и основание</t>
  </si>
  <si>
    <t>Потребительские сегменты Канвас</t>
  </si>
  <si>
    <t>Собрать пользовательские сценарии</t>
  </si>
  <si>
    <t>Пользовательские сценарии</t>
  </si>
  <si>
    <t>Описаны основные, монетизационные, сервисные и удерживающие сценарии</t>
  </si>
  <si>
    <t>У сценария есть проблема, цель, результат и монетизация</t>
  </si>
  <si>
    <t>Переход от ценности к поведению пользователя</t>
  </si>
  <si>
    <t>Разложить сценарии по этапам взаимодействия</t>
  </si>
  <si>
    <t>Карта сценариев</t>
  </si>
  <si>
    <t>Видны точки входа, оплаты, поддержки и удержания</t>
  </si>
  <si>
    <t>Нет разрывов между этапами</t>
  </si>
  <si>
    <t>Клиентский путь</t>
  </si>
  <si>
    <t>Перевести сценарии в требования</t>
  </si>
  <si>
    <t>Функциональные требования</t>
  </si>
  <si>
    <t>Получен перечень функций и требований</t>
  </si>
  <si>
    <t>Требование связано со сценарием и бизнес-целью</t>
  </si>
  <si>
    <t>Товар как носитель ценности</t>
  </si>
  <si>
    <t>Приоритизировать инициативы</t>
  </si>
  <si>
    <t>Приоритизация</t>
  </si>
  <si>
    <t>Определена очередность разработки</t>
  </si>
  <si>
    <t>Приоритет зависит от ценности, эффекта, доказательности и сложности</t>
  </si>
  <si>
    <t>MVP и развитие продукта</t>
  </si>
  <si>
    <t>Проверить связность всей конструкции</t>
  </si>
  <si>
    <t>Связность</t>
  </si>
  <si>
    <t>Выявлены слабые места модели</t>
  </si>
  <si>
    <t>Контрольные точки пройдены</t>
  </si>
  <si>
    <t>Цепочка «анализ → логика → сценарий → товар → монетизация»</t>
  </si>
  <si>
    <t>Банк выводов из всех видов анализа</t>
  </si>
  <si>
    <t>ID вывода</t>
  </si>
  <si>
    <t>Направление анализа</t>
  </si>
  <si>
    <t>Объект анализа</t>
  </si>
  <si>
    <t>Краткий вывод</t>
  </si>
  <si>
    <t>Подтверждающий факт</t>
  </si>
  <si>
    <t>Источник / ссылка</t>
  </si>
  <si>
    <t>Сила доказательства (1-4)</t>
  </si>
  <si>
    <t>Значимость для модели (1-5)</t>
  </si>
  <si>
    <t>Риск ошибочной интерпретации (1-5)</t>
  </si>
  <si>
    <t>Индекс опоры</t>
  </si>
  <si>
    <t>Связанный блок Канвас</t>
  </si>
  <si>
    <t>Связанная проблема / роль / сценарий</t>
  </si>
  <si>
    <t>Решение использовать</t>
  </si>
  <si>
    <t>Комментарий</t>
  </si>
  <si>
    <t>A-001</t>
  </si>
  <si>
    <t>Анализ отзывов</t>
  </si>
  <si>
    <t>Ценностные предложения</t>
  </si>
  <si>
    <t>A-002</t>
  </si>
  <si>
    <t>Анализ конкурентов по сайтам</t>
  </si>
  <si>
    <t>Каналы</t>
  </si>
  <si>
    <t>A-003</t>
  </si>
  <si>
    <t>Канвас бизнес-модели</t>
  </si>
  <si>
    <t>Потоки доходов</t>
  </si>
  <si>
    <t>Единица монетизации</t>
  </si>
  <si>
    <t>Формулирование бизнес-логики цифрового товара</t>
  </si>
  <si>
    <t>ID элемента</t>
  </si>
  <si>
    <t>Элемент бизнес-логики</t>
  </si>
  <si>
    <t>Тип бизнес-логики</t>
  </si>
  <si>
    <t>Какая ценность создается</t>
  </si>
  <si>
    <t>Для кого</t>
  </si>
  <si>
    <t>Цифровой товар / функция</t>
  </si>
  <si>
    <t>Процесс или механизм</t>
  </si>
  <si>
    <t>Источник выручки / единица монетизации</t>
  </si>
  <si>
    <t>Связанный вывод анализа</t>
  </si>
  <si>
    <t>Доказательность (1-4)</t>
  </si>
  <si>
    <t>Влияние на модель (1-5)</t>
  </si>
  <si>
    <t>Проверка связности</t>
  </si>
  <si>
    <t>Индекс надежности</t>
  </si>
  <si>
    <t>Нужное уточнение</t>
  </si>
  <si>
    <t>BL-001</t>
  </si>
  <si>
    <t>Клиентская</t>
  </si>
  <si>
    <t>Новый пользователь</t>
  </si>
  <si>
    <t>Требует проверки</t>
  </si>
  <si>
    <t>BL-002</t>
  </si>
  <si>
    <t>Монетизационная</t>
  </si>
  <si>
    <t>Платящий клиент</t>
  </si>
  <si>
    <t>Подписка</t>
  </si>
  <si>
    <t>Подтверждено</t>
  </si>
  <si>
    <t>Роли пользователей и потребительские сегменты</t>
  </si>
  <si>
    <t>ID роли</t>
  </si>
  <si>
    <t>Роль / сегмент</t>
  </si>
  <si>
    <t>Потребительская задача</t>
  </si>
  <si>
    <t>Проблема</t>
  </si>
  <si>
    <t>Мотивация</t>
  </si>
  <si>
    <t>Ограничения</t>
  </si>
  <si>
    <t>Готовность платить (1-5)</t>
  </si>
  <si>
    <t>Частота потребности (1-5)</t>
  </si>
  <si>
    <t>Ценность сегмента</t>
  </si>
  <si>
    <t>Канал входа</t>
  </si>
  <si>
    <t>Основание из анализа</t>
  </si>
  <si>
    <t>R-001</t>
  </si>
  <si>
    <t>Потребительские сегменты</t>
  </si>
  <si>
    <t>R-002</t>
  </si>
  <si>
    <t>Пользовательские сценарии: от проблемы к действию и монетизации</t>
  </si>
  <si>
    <t>ID сценария</t>
  </si>
  <si>
    <t>Название сценария</t>
  </si>
  <si>
    <t>Роль</t>
  </si>
  <si>
    <t>Тип сценария</t>
  </si>
  <si>
    <t>Исходная проблема</t>
  </si>
  <si>
    <t>Цель пользователя</t>
  </si>
  <si>
    <t>Триггер</t>
  </si>
  <si>
    <t>Основной путь</t>
  </si>
  <si>
    <t>Альтернативный путь / ошибка</t>
  </si>
  <si>
    <t>Результат для пользователя</t>
  </si>
  <si>
    <t>Результат для бизнес-модели</t>
  </si>
  <si>
    <t>Значимость проблемы (1-5)</t>
  </si>
  <si>
    <t>Влияние на выручку (1-5)</t>
  </si>
  <si>
    <t>Индекс сценария</t>
  </si>
  <si>
    <t>Приоритет</t>
  </si>
  <si>
    <t>Источник анализа</t>
  </si>
  <si>
    <t>S-001</t>
  </si>
  <si>
    <t>Получение ценности</t>
  </si>
  <si>
    <t>Основной</t>
  </si>
  <si>
    <t>S-002</t>
  </si>
  <si>
    <t>Потенциальный клиент</t>
  </si>
  <si>
    <t>Оплата</t>
  </si>
  <si>
    <t>Монетизационный</t>
  </si>
  <si>
    <t>Карта прохождения пользовательских сценариев по этапам взаимодействия</t>
  </si>
  <si>
    <t>Сценарий</t>
  </si>
  <si>
    <t>Привлечение</t>
  </si>
  <si>
    <t>Первичный интерес</t>
  </si>
  <si>
    <t>Регистрация</t>
  </si>
  <si>
    <t>Настройка</t>
  </si>
  <si>
    <t>Повторное использование</t>
  </si>
  <si>
    <t>Поддержка</t>
  </si>
  <si>
    <t>Удержание</t>
  </si>
  <si>
    <t>Разрыв / риск</t>
  </si>
  <si>
    <t>Критическая точка</t>
  </si>
  <si>
    <t>Перевод пользовательских сценариев в функциональные требования</t>
  </si>
  <si>
    <t>ID требования</t>
  </si>
  <si>
    <t>Требование</t>
  </si>
  <si>
    <t>Связанный сценарий</t>
  </si>
  <si>
    <t>Пользовательская задача</t>
  </si>
  <si>
    <t>Бизнес-цель</t>
  </si>
  <si>
    <t>Категория Кано</t>
  </si>
  <si>
    <t>Уровень товара по Левитту</t>
  </si>
  <si>
    <t>Влияние на ценность (1-5)</t>
  </si>
  <si>
    <t>Влияние на монетизацию (1-5)</t>
  </si>
  <si>
    <t>Сложность реализации (1-5)</t>
  </si>
  <si>
    <t>Индекс приоритета</t>
  </si>
  <si>
    <t>MVP</t>
  </si>
  <si>
    <t>Источник</t>
  </si>
  <si>
    <t>F-001</t>
  </si>
  <si>
    <t>Базовое требование</t>
  </si>
  <si>
    <t>Ожидаемый товар</t>
  </si>
  <si>
    <t>F-002</t>
  </si>
  <si>
    <t>Линейное требование</t>
  </si>
  <si>
    <t>Расширенный товар</t>
  </si>
  <si>
    <t>Приоритизация сценариев, функций и продуктовых инициатив</t>
  </si>
  <si>
    <t>ID инициативы</t>
  </si>
  <si>
    <t>Инициатива</t>
  </si>
  <si>
    <t>Тип</t>
  </si>
  <si>
    <t>Связанное требование</t>
  </si>
  <si>
    <t>Пользовательская ценность (1-5)</t>
  </si>
  <si>
    <t>Бизнес-эффект (1-5)</t>
  </si>
  <si>
    <t>Сложность (1-5)</t>
  </si>
  <si>
    <t>Риск (1-5)</t>
  </si>
  <si>
    <t>Итоговый индекс</t>
  </si>
  <si>
    <t>Решение</t>
  </si>
  <si>
    <t>Период реализации</t>
  </si>
  <si>
    <t>P-001</t>
  </si>
  <si>
    <t>Сценарий + функция</t>
  </si>
  <si>
    <t>Первая версия</t>
  </si>
  <si>
    <t>P-002</t>
  </si>
  <si>
    <t>Монетизация</t>
  </si>
  <si>
    <t>Проверка связности: анализ → бизнес-логика → сценарии → требования → монетизация</t>
  </si>
  <si>
    <t>Контрольная точка</t>
  </si>
  <si>
    <t>Что проверяется</t>
  </si>
  <si>
    <t>Проверочный вопрос</t>
  </si>
  <si>
    <t>Источник листа</t>
  </si>
  <si>
    <t>Критерий прохождения</t>
  </si>
  <si>
    <t>Количество</t>
  </si>
  <si>
    <t>Порог</t>
  </si>
  <si>
    <t>Наличие выводов анализа</t>
  </si>
  <si>
    <t>Есть ли перенесенные выводы из предыдущих видов анализа?</t>
  </si>
  <si>
    <t>Не менее 5 выводов</t>
  </si>
  <si>
    <t>Подтвержденные основания</t>
  </si>
  <si>
    <t>Качество доказательств</t>
  </si>
  <si>
    <t>Есть ли сильные основания для решений?</t>
  </si>
  <si>
    <t>Не менее 3 выводов с силой доказательства 3-4</t>
  </si>
  <si>
    <t>Наличие элементов логики</t>
  </si>
  <si>
    <t>Сформулировано ли, за счет чего создается и монетизируется ценность?</t>
  </si>
  <si>
    <t>Не менее 3 элементов</t>
  </si>
  <si>
    <t>Наличие ролей</t>
  </si>
  <si>
    <t>Понятно ли, для кого создаются сценарии?</t>
  </si>
  <si>
    <t>Не менее 2 ролей</t>
  </si>
  <si>
    <t>Сценарии</t>
  </si>
  <si>
    <t>Наличие пользовательских сценариев</t>
  </si>
  <si>
    <t>Описаны ли действия пользователя от проблемы до результата?</t>
  </si>
  <si>
    <t>Не менее 5 сценариев</t>
  </si>
  <si>
    <t>Монетизационные сценарии</t>
  </si>
  <si>
    <t>Связь сценариев с доходами</t>
  </si>
  <si>
    <t>Есть ли сценарии, напрямую связанные с оплатой или удержанием?</t>
  </si>
  <si>
    <t>Не менее 1 монетизационного сценария</t>
  </si>
  <si>
    <t>Требования</t>
  </si>
  <si>
    <t>Перевод сценариев в функции</t>
  </si>
  <si>
    <t>Есть ли функциональные требования, выведенные из сценариев?</t>
  </si>
  <si>
    <t>Не менее 5 требований</t>
  </si>
  <si>
    <t>Фокус первой версии</t>
  </si>
  <si>
    <t>Есть ли требования, рекомендованные в первую версию?</t>
  </si>
  <si>
    <t>Не менее 3 требований MVP</t>
  </si>
  <si>
    <t>Очередность реализации</t>
  </si>
  <si>
    <t>Определены ли инициативы и решения по ним?</t>
  </si>
  <si>
    <t>Не менее 5 инициатив</t>
  </si>
  <si>
    <t>Общая связность</t>
  </si>
  <si>
    <t>Прохождение контрольных точек</t>
  </si>
  <si>
    <t>Прошла ли модель ключевые проверки?</t>
  </si>
  <si>
    <t>Не менее 7 пройденных точек</t>
  </si>
  <si>
    <t>Дашборд готовности бизнес-логики и пользовательских сценариев</t>
  </si>
  <si>
    <t>Ключевые показатели</t>
  </si>
  <si>
    <t>Распределение сценариев и требований по приоритетам</t>
  </si>
  <si>
    <t>Показатель</t>
  </si>
  <si>
    <t>Значение</t>
  </si>
  <si>
    <t>Единица</t>
  </si>
  <si>
    <t>Интерпретация</t>
  </si>
  <si>
    <t>Инициативы</t>
  </si>
  <si>
    <t>Выводов анализа</t>
  </si>
  <si>
    <t>шт.</t>
  </si>
  <si>
    <t>Объем доказательной базы</t>
  </si>
  <si>
    <t>Критический</t>
  </si>
  <si>
    <t>Сильных выводов</t>
  </si>
  <si>
    <t>Сила доказательной базы</t>
  </si>
  <si>
    <t>Высокий</t>
  </si>
  <si>
    <t>Элементов бизнес-логики</t>
  </si>
  <si>
    <t>Сформированность логики</t>
  </si>
  <si>
    <t>Средний</t>
  </si>
  <si>
    <t>Средний индекс надежности логики</t>
  </si>
  <si>
    <t>0-1</t>
  </si>
  <si>
    <t>Качество связности элементов</t>
  </si>
  <si>
    <t>Низкий</t>
  </si>
  <si>
    <t>Ролей и сегментов</t>
  </si>
  <si>
    <t>Покрытие пользователей</t>
  </si>
  <si>
    <t>Отложить</t>
  </si>
  <si>
    <t>Пользовательских сценариев</t>
  </si>
  <si>
    <t>Полнота сценарной модели</t>
  </si>
  <si>
    <t>Критических и высоких сценариев</t>
  </si>
  <si>
    <t>Фокус для проектирования</t>
  </si>
  <si>
    <t>Функциональных требований</t>
  </si>
  <si>
    <t>Перевод сценариев в продукт</t>
  </si>
  <si>
    <t>Контрольные точки связности</t>
  </si>
  <si>
    <t>Требований MVP</t>
  </si>
  <si>
    <t>Состав первой версии</t>
  </si>
  <si>
    <t>Пройденных контрольных точек</t>
  </si>
  <si>
    <t>из 10</t>
  </si>
  <si>
    <t>Общая проверка</t>
  </si>
  <si>
    <t>Индекс готовности</t>
  </si>
  <si>
    <t>%</t>
  </si>
  <si>
    <t>Итоговая готовность</t>
  </si>
  <si>
    <t>Итоговая интерпретация</t>
  </si>
  <si>
    <t>Индекс готовности менее 50%</t>
  </si>
  <si>
    <t>Модель неполная: сначала усилить доказательную базу, роли и сценарии.</t>
  </si>
  <si>
    <t>Индекс готовности 50–79%</t>
  </si>
  <si>
    <t>Модель рабочая, но требует проверки слабых связей и уточнения монетизационных сценариев.</t>
  </si>
  <si>
    <t>Индекс готовности 80–100%</t>
  </si>
  <si>
    <t>Модель готова к переводу в техническое задание, прототипирование и план первой версии.</t>
  </si>
  <si>
    <t>Главный риск</t>
  </si>
  <si>
    <t>Сценарии без связи с проблемой, товаром или единицей монетизации не должны попадать в первую версию.</t>
  </si>
  <si>
    <t>Главное правило</t>
  </si>
  <si>
    <t>Функция включается в продукт только если она поддерживает ценность, сценарий или монетизацию.</t>
  </si>
  <si>
    <t>Справочники для выпадающих списков и шкал оценки</t>
  </si>
  <si>
    <t>Блок Канвас</t>
  </si>
  <si>
    <t>Уровень доказательности</t>
  </si>
  <si>
    <t>Роль пользователя</t>
  </si>
  <si>
    <t>Анализ проблем клиентов</t>
  </si>
  <si>
    <t>1 — слабый сигнал</t>
  </si>
  <si>
    <t>Посетитель</t>
  </si>
  <si>
    <t>2 — частично подтверждено</t>
  </si>
  <si>
    <t>3 — подтверждено несколькими источниками</t>
  </si>
  <si>
    <t>Анализ бизнес-моделей конкурентов</t>
  </si>
  <si>
    <t>Отношения с клиентами</t>
  </si>
  <si>
    <t>4 — проверенное основание</t>
  </si>
  <si>
    <t>Активный пользователь</t>
  </si>
  <si>
    <t>Классификация компаний по уровням конкуренции</t>
  </si>
  <si>
    <t>Анализ цифрового товара и рыночного стандарта</t>
  </si>
  <si>
    <t>Ключевые ресурсы</t>
  </si>
  <si>
    <t>Администратор клиента</t>
  </si>
  <si>
    <t>Ценностное предложение и цифровой товар</t>
  </si>
  <si>
    <t>Ключевые виды деятельности</t>
  </si>
  <si>
    <t>Менеджер/оператор</t>
  </si>
  <si>
    <t>Ключевые партнеры</t>
  </si>
  <si>
    <t>Партнер</t>
  </si>
  <si>
    <t>Экономика монетизации</t>
  </si>
  <si>
    <t>Структура затрат</t>
  </si>
  <si>
    <t>Внутренний администратор</t>
  </si>
  <si>
    <t>Проверка пользовательских сценариев</t>
  </si>
  <si>
    <t>Этап сценария</t>
  </si>
  <si>
    <t>Черновик</t>
  </si>
  <si>
    <t>Вспомогательный</t>
  </si>
  <si>
    <t>Первичная настройка</t>
  </si>
  <si>
    <t>Сервисный</t>
  </si>
  <si>
    <t>В разработку</t>
  </si>
  <si>
    <t>Административный</t>
  </si>
  <si>
    <t>Исключено</t>
  </si>
  <si>
    <t>Удерживающий</t>
  </si>
  <si>
    <t>Партнерский</t>
  </si>
  <si>
    <t>Расширение потребления</t>
  </si>
  <si>
    <t>Отказ/возврат</t>
  </si>
  <si>
    <t>Тип цифрового товара</t>
  </si>
  <si>
    <t>Ядро выгоды</t>
  </si>
  <si>
    <t>Продуктовая</t>
  </si>
  <si>
    <t>Базовый товар</t>
  </si>
  <si>
    <t>Доступ к сервису</t>
  </si>
  <si>
    <t>Восхищающее требование</t>
  </si>
  <si>
    <t>Цифровой контент</t>
  </si>
  <si>
    <t>Канальная</t>
  </si>
  <si>
    <t>Нейтральный признак</t>
  </si>
  <si>
    <t>Транзакционная услуга</t>
  </si>
  <si>
    <t>Сервисная</t>
  </si>
  <si>
    <t>Обратное требование</t>
  </si>
  <si>
    <t>Потенциальный товар</t>
  </si>
  <si>
    <t>Маркетплейс-доступ</t>
  </si>
  <si>
    <t>Партнерская</t>
  </si>
  <si>
    <t>Не определено</t>
  </si>
  <si>
    <t>Программный модуль</t>
  </si>
  <si>
    <t>Операционная</t>
  </si>
  <si>
    <t>Данные/аналитика</t>
  </si>
  <si>
    <t>Инфраструктурная</t>
  </si>
  <si>
    <t>Образовательный продукт</t>
  </si>
  <si>
    <t>Правовая</t>
  </si>
  <si>
    <t>Гибридный товар</t>
  </si>
  <si>
    <t>Аналитическая</t>
  </si>
  <si>
    <t>Шкала</t>
  </si>
  <si>
    <t>1</t>
  </si>
  <si>
    <t>2</t>
  </si>
  <si>
    <t>3</t>
  </si>
  <si>
    <t>4-5</t>
  </si>
  <si>
    <t>Правило</t>
  </si>
  <si>
    <t>Значимость проблемы</t>
  </si>
  <si>
    <t>единичный дискомфорт</t>
  </si>
  <si>
    <t>частая неудобность</t>
  </si>
  <si>
    <t>существенный ущерб</t>
  </si>
  <si>
    <t>критичная боль</t>
  </si>
  <si>
    <t>Оценивать по частоте, тяжести, экономическим последствиям</t>
  </si>
  <si>
    <t>Влияние на выручку</t>
  </si>
  <si>
    <t>слабое</t>
  </si>
  <si>
    <t>косвенное</t>
  </si>
  <si>
    <t>заметное</t>
  </si>
  <si>
    <t>прямое</t>
  </si>
  <si>
    <t>Связывать с оплатой, удержанием, расширением потребления</t>
  </si>
  <si>
    <t>Сложность реализации</t>
  </si>
  <si>
    <t>низкая</t>
  </si>
  <si>
    <t>умеренная</t>
  </si>
  <si>
    <t>средняя</t>
  </si>
  <si>
    <t>высокая</t>
  </si>
  <si>
    <t>Чем выше сложность, тем ниже приоритет при равной ценности</t>
  </si>
  <si>
    <t>Доказательность</t>
  </si>
  <si>
    <t>слабый сигнал</t>
  </si>
  <si>
    <t>частично</t>
  </si>
  <si>
    <t>подтверждено</t>
  </si>
  <si>
    <t>проверено</t>
  </si>
  <si>
    <t>Оценивать по числу и качеству источников</t>
  </si>
  <si>
    <t>Исключить</t>
  </si>
  <si>
    <t>Сайты PlantUML, Mermaid, D2, Eraser.io</t>
  </si>
  <si>
    <t>IDEF0/IDEF3/DFD не поддерживает ни один прямой конкурент</t>
  </si>
  <si>
    <t>Списки типов диаграмм на сайтах</t>
  </si>
  <si>
    <t>plantuml.com; mermaid.js.org; d2lang.com; eraser.io (2026-09-17/23)</t>
  </si>
  <si>
    <t>draw.io</t>
  </si>
  <si>
    <t>Графический редактор не проверяет правила нотаций</t>
  </si>
  <si>
    <t>Описание функций drawio.com</t>
  </si>
  <si>
    <t>drawio.com (2026-09-23)</t>
  </si>
  <si>
    <t>Косвенный вывод</t>
  </si>
  <si>
    <t>Тарифы Eraser.io</t>
  </si>
  <si>
    <t>Freemium с подпиской за место и лимитом AI — стандарт монетизации</t>
  </si>
  <si>
    <t>Free → $15–20 → $45–60</t>
  </si>
  <si>
    <t>eraser.io/pricing</t>
  </si>
  <si>
    <t>M-001</t>
  </si>
  <si>
    <t>A-004</t>
  </si>
  <si>
    <t>PlantUML, Mermaid, D2, draw.io</t>
  </si>
  <si>
    <t>Сильный бесплатный стандарт — Free обязателен</t>
  </si>
  <si>
    <t>Open-source, донаты</t>
  </si>
  <si>
    <t>ЛР5, разд. 2</t>
  </si>
  <si>
    <t>A-005</t>
  </si>
  <si>
    <t>9 конкурентов</t>
  </si>
  <si>
    <t>Прямые: PlantUML, Mermaid, MermaidChart, Eraser.io</t>
  </si>
  <si>
    <t>Индексы 83,5–93,0</t>
  </si>
  <si>
    <t>ЛР5, разд. 1</t>
  </si>
  <si>
    <t>Выбор эталонов</t>
  </si>
  <si>
    <t>A-006</t>
  </si>
  <si>
    <t>Кано/Левитт</t>
  </si>
  <si>
    <t>Стандарт: DSL, браузерный рендер, GitHub; отличие: полный охват нотаций</t>
  </si>
  <si>
    <t>ЛР5, разд. 3–5</t>
  </si>
  <si>
    <t>ЛР5</t>
  </si>
  <si>
    <t>F-001…F-012</t>
  </si>
  <si>
    <t>A-007</t>
  </si>
  <si>
    <t>Карта проблем 6.1</t>
  </si>
  <si>
    <t>Опорная P-001, ИПП 4,35</t>
  </si>
  <si>
    <t>8 проблем, индексы шаблона 57–90</t>
  </si>
  <si>
    <t>ЛР6 п. 6.1</t>
  </si>
  <si>
    <t>R-002, R-003</t>
  </si>
  <si>
    <t>A-008</t>
  </si>
  <si>
    <t>G2/Capterra/Reddit/Habr</t>
  </si>
  <si>
    <t>🔲 ДОСНЯТЬ: подтверждение боли ручной раскладки</t>
  </si>
  <si>
    <t>—</t>
  </si>
  <si>
    <t>🔲</t>
  </si>
  <si>
    <t>Нет данных</t>
  </si>
  <si>
    <t>A-009</t>
  </si>
  <si>
    <t>Канвас 6.2</t>
  </si>
  <si>
    <t>Самый слабый блок — «Потоки доходов» (42 %)</t>
  </si>
  <si>
    <t>Индекс доказательности</t>
  </si>
  <si>
    <t>ЛР6 п. 6.2</t>
  </si>
  <si>
    <t>S-007</t>
  </si>
  <si>
    <t>A-010</t>
  </si>
  <si>
    <t>Концепция §6</t>
  </si>
  <si>
    <t>Pro 4 USD/мес; конверсия 3–5 % — допущения</t>
  </si>
  <si>
    <t>Концепция NotaCode</t>
  </si>
  <si>
    <t>01-project-concept.md</t>
  </si>
  <si>
    <t>Корректная диаграмма из текста с проверкой правил</t>
  </si>
  <si>
    <t>Экономия времени и отсутствие замечаний по нотации</t>
  </si>
  <si>
    <t>Активный пользователь (S-01)</t>
  </si>
  <si>
    <t>DSL-редактор + валидация профилей нотаций</t>
  </si>
  <si>
    <t>Код → Run → диагностика с номером строки → исправление</t>
  </si>
  <si>
    <t>Free (вход в воронку)</t>
  </si>
  <si>
    <t>A-001, A-002</t>
  </si>
  <si>
    <t>Подтвердить опросом H-01</t>
  </si>
  <si>
    <t>Первая ценность без регистрации</t>
  </si>
  <si>
    <t>Снижение риска выбора</t>
  </si>
  <si>
    <t>Гостевой режим + шаблоны</t>
  </si>
  <si>
    <t>Открыть шаблон → Run → увидеть диаграмму</t>
  </si>
  <si>
    <t>Free</t>
  </si>
  <si>
    <t>Метрика активации</t>
  </si>
  <si>
    <t>BL-003</t>
  </si>
  <si>
    <t>Упор в лимит Free → Pro</t>
  </si>
  <si>
    <t>Работа без ограничений объёма и форматов</t>
  </si>
  <si>
    <t>Потенциальный клиент (S-02/S-03)</t>
  </si>
  <si>
    <t>Лимиты 5 проектов/20 версий/форматы</t>
  </si>
  <si>
    <t>Лимит → тарифы → заявка/оплата</t>
  </si>
  <si>
    <t>Подписка Pro 4 USD/мес</t>
  </si>
  <si>
    <t>A-003, A-010</t>
  </si>
  <si>
    <t>Тест заявок H-02</t>
  </si>
  <si>
    <t>BL-004</t>
  </si>
  <si>
    <t>Возврат к проекту через историю</t>
  </si>
  <si>
    <t>Накопленная ценность (версии, откат)</t>
  </si>
  <si>
    <t>История версий, diff, откат</t>
  </si>
  <si>
    <t>Открыть проект → версии → diff → откат</t>
  </si>
  <si>
    <t>BL-005</t>
  </si>
  <si>
    <t>Привлечение через поиск и преподавателей</t>
  </si>
  <si>
    <t>Узнать об инструменте в момент задачи</t>
  </si>
  <si>
    <t>Лендинг, галерея примеров</t>
  </si>
  <si>
    <t>Поиск IDEF0/DFD → лендинг → редактор</t>
  </si>
  <si>
    <t>A-005, A-007</t>
  </si>
  <si>
    <t>UTM H-04</t>
  </si>
  <si>
    <t>BL-006</t>
  </si>
  <si>
    <t>Нулевые затраты инфраструктуры в MVP</t>
  </si>
  <si>
    <t>Возможность запуска без бюджета</t>
  </si>
  <si>
    <t>Free tiers хостинга, AI-заглушка/BYOK</t>
  </si>
  <si>
    <t>Сервисы на бесплатных тарифах</t>
  </si>
  <si>
    <t>BL-007</t>
  </si>
  <si>
    <t>Измерение поведения с первого дня</t>
  </si>
  <si>
    <t>Решение о следующем релизе по данным</t>
  </si>
  <si>
    <t>События аналитики + форма обратной связи</t>
  </si>
  <si>
    <t>Run, экспорт, лимит, заявка → события</t>
  </si>
  <si>
    <t>Понять, подойдёт ли инструмент для IDEF0/DFD/UML задания</t>
  </si>
  <si>
    <t>Неясно, чем лучше draw.io и PlantUML</t>
  </si>
  <si>
    <t>Сэкономить время на лабораторной</t>
  </si>
  <si>
    <t>Недоверие к новому продукту</t>
  </si>
  <si>
    <t>Органический поиск</t>
  </si>
  <si>
    <t>Получить первую корректную диаграмму</t>
  </si>
  <si>
    <t>Незнаком синтаксис DSL</t>
  </si>
  <si>
    <t>Быстрый результат без обучения</t>
  </si>
  <si>
    <t>Время, порог входа (P-005)</t>
  </si>
  <si>
    <t>Лендинг / гостевой режим</t>
  </si>
  <si>
    <t>R-003</t>
  </si>
  <si>
    <t>Регулярно строить и сдавать диаграммы (S-01)</t>
  </si>
  <si>
    <t>Ручная раскладка, замечания по нотации (P-001)</t>
  </si>
  <si>
    <t>Сдать работу без возврата</t>
  </si>
  <si>
    <t>Бюджет 0, срок сдачи</t>
  </si>
  <si>
    <t>Прямой вход / аккаунт</t>
  </si>
  <si>
    <t>R-004</t>
  </si>
  <si>
    <t>Работать без лимитов Free (S-02/S-03, дипломники)</t>
  </si>
  <si>
    <t>Упор в 5 проектов / 20 версий / форматы</t>
  </si>
  <si>
    <t>Непрерывность работы</t>
  </si>
  <si>
    <t>Цена, способ оплаты в РБ</t>
  </si>
  <si>
    <t>Уведомление о лимите</t>
  </si>
  <si>
    <t>R-005</t>
  </si>
  <si>
    <t>Вести модели как код с полной историей и экспортом</t>
  </si>
  <si>
    <t>Рассинхронизация модели и требований (P-002)</t>
  </si>
  <si>
    <t>Контроль и прозрачность</t>
  </si>
  <si>
    <t>Интеграции, формат экспорта</t>
  </si>
  <si>
    <t>Прямой вход</t>
  </si>
  <si>
    <t>R-006</t>
  </si>
  <si>
    <t>Преподаватель: готовить примеры и задания (S-04), влияет на выбор студентов</t>
  </si>
  <si>
    <t>Ручная проверка правил (P-008)</t>
  </si>
  <si>
    <t>Воспроизводимые примеры</t>
  </si>
  <si>
    <t>Нет времени на новый инструмент</t>
  </si>
  <si>
    <t>Рекомендация</t>
  </si>
  <si>
    <t>R-007</t>
  </si>
  <si>
    <t>PO: вести каталог шаблонов, следить за метриками</t>
  </si>
  <si>
    <t>Нужны данные для решений</t>
  </si>
  <si>
    <t>Решение о следующем релизе</t>
  </si>
  <si>
    <t>Один человек в команде</t>
  </si>
  <si>
    <t>Внутренний переход</t>
  </si>
  <si>
    <t>Найти инструмент для IDEF0/DFD по поисковому запросу</t>
  </si>
  <si>
    <t>Найти, чем быстро построить диаграмму</t>
  </si>
  <si>
    <t>Задание лабораторной</t>
  </si>
  <si>
    <t>Поиск → лендинг → блок «проверка правил» → «Открыть редактор»</t>
  </si>
  <si>
    <t>Уход на draw.io</t>
  </si>
  <si>
    <t>Понял ценность</t>
  </si>
  <si>
    <t>Трафик в воронку</t>
  </si>
  <si>
    <t>Сравнить NotaCode с draw.io/PlantUML и проверить на примере</t>
  </si>
  <si>
    <t>Убедиться, что инструмент подходит</t>
  </si>
  <si>
    <t>Сомнение после лендинга</t>
  </si>
  <si>
    <t>Галерея примеров → сравнение → открыть пример в редакторе</t>
  </si>
  <si>
    <t>Нет нужной нотации → волны 2–3</t>
  </si>
  <si>
    <t>Доверие</t>
  </si>
  <si>
    <t>Конверсия в первый Run</t>
  </si>
  <si>
    <t>S-003</t>
  </si>
  <si>
    <t>Получить первую диаграмму из шаблона без регистрации</t>
  </si>
  <si>
    <t>P-005</t>
  </si>
  <si>
    <t>Первый результат за минуты</t>
  </si>
  <si>
    <t>Открыл редактор</t>
  </si>
  <si>
    <t>Выбор нотации → шаблон → Run → диаграмма + подсветка</t>
  </si>
  <si>
    <t>Ошибка DSL → Problems</t>
  </si>
  <si>
    <t>Первая ценность</t>
  </si>
  <si>
    <t>Активация</t>
  </si>
  <si>
    <t>S-004</t>
  </si>
  <si>
    <t>Построить диаграмму IDEF0 по заданию с проверкой правил</t>
  </si>
  <si>
    <t>Сдать корректную диаграмму</t>
  </si>
  <si>
    <t>Лабораторная работа</t>
  </si>
  <si>
    <t>Написать DSL → Run → Problems (код правила, строка) → исправить → OK</t>
  </si>
  <si>
    <t>Нарушение правила → quick fix (R2) / AI</t>
  </si>
  <si>
    <t>Корректная диаграмма</t>
  </si>
  <si>
    <t>Ядро ценности, удержание</t>
  </si>
  <si>
    <t>S-005</t>
  </si>
  <si>
    <t>Сохранить проект и экспортировать SVG/PNG в отчёт</t>
  </si>
  <si>
    <t>Вставить диаграмму в отчёт</t>
  </si>
  <si>
    <t>Диаграмма готова</t>
  </si>
  <si>
    <t>Save → аккаунт/устройство/GitHub → Export SVG/PNG</t>
  </si>
  <si>
    <t>Лимит 5 проектов → S-007</t>
  </si>
  <si>
    <t>Файл для отчёта</t>
  </si>
  <si>
    <t>Упор в лимит</t>
  </si>
  <si>
    <t>Free / Pro</t>
  </si>
  <si>
    <t>S-006</t>
  </si>
  <si>
    <t>Вернуться к проекту, сравнить версии и откатиться</t>
  </si>
  <si>
    <t>P-003</t>
  </si>
  <si>
    <t>Исправить по замечаниям без потери работы</t>
  </si>
  <si>
    <t>Замечание преподавателя</t>
  </si>
  <si>
    <t>Проекты → история → diff → откат</t>
  </si>
  <si>
    <t>21-я версия → лимит Free</t>
  </si>
  <si>
    <t>Сохранённая работа</t>
  </si>
  <si>
    <t>Удержание D7</t>
  </si>
  <si>
    <t>Pro (полная история)</t>
  </si>
  <si>
    <t>Перейти на Pro после упора в лимит Free</t>
  </si>
  <si>
    <t>Продолжить работу без лимитов</t>
  </si>
  <si>
    <t>Лимит проектов/версий/формата</t>
  </si>
  <si>
    <t>Модалка лимита → тарифы → заявка «Хочу Pro» (R1) / оплата (R2) → снятие лимита</t>
  </si>
  <si>
    <t>Ошибка оплаты → повтор, данные сохранены</t>
  </si>
  <si>
    <t>Работа без ограничений</t>
  </si>
  <si>
    <t>Поток доходов</t>
  </si>
  <si>
    <t>Подписка Pro</t>
  </si>
  <si>
    <t>S-008</t>
  </si>
  <si>
    <t>Восстановиться после ошибки DSL или правила нотации</t>
  </si>
  <si>
    <t>P-006</t>
  </si>
  <si>
    <t>Понять и исправить ошибку</t>
  </si>
  <si>
    <t>Run вернул Error</t>
  </si>
  <si>
    <t>Маркер в редакторе → Problems → подсветка элемента → AI «Исправить ошибку»</t>
  </si>
  <si>
    <t>AI недоступен → документация</t>
  </si>
  <si>
    <t>Исправленная диаграмма</t>
  </si>
  <si>
    <t>Снижение оттока</t>
  </si>
  <si>
    <t>S-009</t>
  </si>
  <si>
    <t>Спросить по синтаксису и теории нотации</t>
  </si>
  <si>
    <t>Узнать, как записать элемент</t>
  </si>
  <si>
    <t>Не знает синтаксиса</t>
  </si>
  <si>
    <t>Документация / AI «Спросить по документации» → пример → вставка</t>
  </si>
  <si>
    <t>Нет ответа → обратная связь</t>
  </si>
  <si>
    <t>Знание синтаксиса</t>
  </si>
  <si>
    <t>S-010</t>
  </si>
  <si>
    <t>Сгенерировать DSL по текстовому описанию (AI)</t>
  </si>
  <si>
    <t>Черновик диаграммы из описания</t>
  </si>
  <si>
    <t>Есть текст задания</t>
  </si>
  <si>
    <t>AI «Написать код» → нотация/тип → предпросмотр → Применить → Run</t>
  </si>
  <si>
    <t>Заглушка/нет ключа → BYOK</t>
  </si>
  <si>
    <t>Черновик DSL</t>
  </si>
  <si>
    <t>Pro-квота (R4)</t>
  </si>
  <si>
    <t>Pro (после MVP)</t>
  </si>
  <si>
    <t>S-011</t>
  </si>
  <si>
    <t>Опубликовать шаблон и обновить каталог нотаций</t>
  </si>
  <si>
    <t>Пополнить шаблоны</t>
  </si>
  <si>
    <t>Новая нотация/запрос</t>
  </si>
  <si>
    <t>Шаблон → проверка валидатором → публикация</t>
  </si>
  <si>
    <t>Ошибка валидации</t>
  </si>
  <si>
    <t>Новый шаблон</t>
  </si>
  <si>
    <t>Качество товара</t>
  </si>
  <si>
    <t>S-012</t>
  </si>
  <si>
    <t>Подготовить пример для группы и поделиться ссылкой</t>
  </si>
  <si>
    <t>P-008</t>
  </si>
  <si>
    <t>Выдать пример студентам</t>
  </si>
  <si>
    <t>Подготовка занятия</t>
  </si>
  <si>
    <t>Проект → публичная ссылка → студенты открывают копию</t>
  </si>
  <si>
    <t>Ссылка недоступна</t>
  </si>
  <si>
    <t>Готовое задание</t>
  </si>
  <si>
    <t>Рост через кафедры</t>
  </si>
  <si>
    <t>Кафедральный тариф (гипотеза)</t>
  </si>
  <si>
    <t>S-013</t>
  </si>
  <si>
    <t>Получить уведомление о завершении синхронизации и продолжить работу</t>
  </si>
  <si>
    <t>Знать, что работа сохранена</t>
  </si>
  <si>
    <t>Push в GitHub</t>
  </si>
  <si>
    <t>Save ▸ GitHub → тост → статус-бар «Pushed»</t>
  </si>
  <si>
    <t>SyncFailed → повтор</t>
  </si>
  <si>
    <t>Уверенность в сохранности</t>
  </si>
  <si>
    <t>Pro (автосинхронизация)</t>
  </si>
  <si>
    <t>Первая диаграмма из шаблона</t>
  </si>
  <si>
    <t>Поиск IDEF0</t>
  </si>
  <si>
    <t>Лендинг</t>
  </si>
  <si>
    <t>Не нужна (гость)</t>
  </si>
  <si>
    <t>Выбор нотации</t>
  </si>
  <si>
    <t>Первый Run OK</t>
  </si>
  <si>
    <t>Сохранение в аккаунт</t>
  </si>
  <si>
    <t>Документация</t>
  </si>
  <si>
    <t>Предложение сохранить</t>
  </si>
  <si>
    <t>Ошибка DSL на первом Run</t>
  </si>
  <si>
    <t>IDEF0 по заданию</t>
  </si>
  <si>
    <t>Аккаунт</t>
  </si>
  <si>
    <t>Шаблон IDEF0</t>
  </si>
  <si>
    <t>Диагностика правил → OK</t>
  </si>
  <si>
    <t>Следующая лабораторная</t>
  </si>
  <si>
    <t>Problems + AI</t>
  </si>
  <si>
    <t>История версий</t>
  </si>
  <si>
    <t>Непонятный код правила</t>
  </si>
  <si>
    <t>Переход на Pro</t>
  </si>
  <si>
    <t>Страница тарифов</t>
  </si>
  <si>
    <t>Работа в Free</t>
  </si>
  <si>
    <t>Заявка / оплата Pro</t>
  </si>
  <si>
    <t>Pro без лимитов</t>
  </si>
  <si>
    <t>Помощь при оплате</t>
  </si>
  <si>
    <t>Напоминание о продлении</t>
  </si>
  <si>
    <t>Нет провайдера оплаты в R1</t>
  </si>
  <si>
    <t>В R1 — заявка «Хочу Pro»</t>
  </si>
  <si>
    <t>Восстановление после ошибки</t>
  </si>
  <si>
    <t>Исправленный Run</t>
  </si>
  <si>
    <t>Problems, подсветка, AI</t>
  </si>
  <si>
    <t>Доверие к инструменту</t>
  </si>
  <si>
    <t>AI-заглушка не исправляет</t>
  </si>
  <si>
    <t>История и откат</t>
  </si>
  <si>
    <t>Лимит 20 версий → Pro</t>
  </si>
  <si>
    <t>Возврат к проекту</t>
  </si>
  <si>
    <t>Накопленная история</t>
  </si>
  <si>
    <t>Нет уведомления о лимите</t>
  </si>
  <si>
    <t>DSL-редактор с подсветкой и подсказками (Monaco)</t>
  </si>
  <si>
    <t>Писать код диаграммы</t>
  </si>
  <si>
    <t>Ядро товара</t>
  </si>
  <si>
    <t>BR-01, E4</t>
  </si>
  <si>
    <t>Разбор DSL и валидация правил нотаций волны 1 (код правила, строка)</t>
  </si>
  <si>
    <t>Проверить работу до сдачи</t>
  </si>
  <si>
    <t>Отличие D-02</t>
  </si>
  <si>
    <t>BR-02, BR-04, E2, E3</t>
  </si>
  <si>
    <t>F-003</t>
  </si>
  <si>
    <t>Холст SVG + elkjs, pan/zoom, сетка</t>
  </si>
  <si>
    <t>Увидеть диаграмму</t>
  </si>
  <si>
    <t>BR-08, E5</t>
  </si>
  <si>
    <t>F-004</t>
  </si>
  <si>
    <t>Кросс-подсветка строка ↔ элемент</t>
  </si>
  <si>
    <t>Найти место ошибки</t>
  </si>
  <si>
    <t>Отличие D-03</t>
  </si>
  <si>
    <t>BR-07, E5</t>
  </si>
  <si>
    <t>F-005</t>
  </si>
  <si>
    <t>Шаблоны нотаций и вкладка документации</t>
  </si>
  <si>
    <t>Начать без знания синтаксиса</t>
  </si>
  <si>
    <t>BR-10, BR-11</t>
  </si>
  <si>
    <t>F-006</t>
  </si>
  <si>
    <t>Сохранение в аккаунт (лимит Free 5 проектов) и на устройство</t>
  </si>
  <si>
    <t>Не потерять работу</t>
  </si>
  <si>
    <t>Упор в лимит → Pro</t>
  </si>
  <si>
    <t>BR-12, E7</t>
  </si>
  <si>
    <t>F-007</t>
  </si>
  <si>
    <t>Экспорт SVG/PNG/XML</t>
  </si>
  <si>
    <t>Вставить в отчёт</t>
  </si>
  <si>
    <t>Результат наружу</t>
  </si>
  <si>
    <t>BR-13, E8</t>
  </si>
  <si>
    <t>F-008</t>
  </si>
  <si>
    <t>История версий, diff, откат (Free — 20 версий)</t>
  </si>
  <si>
    <t>Исправить по замечаниям</t>
  </si>
  <si>
    <t>Удержание, Pro</t>
  </si>
  <si>
    <t>BR-16, E6</t>
  </si>
  <si>
    <t>F-009</t>
  </si>
  <si>
    <t>Страница тарифов + заявка «Хочу Pro» + модалка лимита</t>
  </si>
  <si>
    <t>Понять, за что платить</t>
  </si>
  <si>
    <t>Проверка монетизации</t>
  </si>
  <si>
    <t>BR-24</t>
  </si>
  <si>
    <t>F-010</t>
  </si>
  <si>
    <t>AI-ассистент: заглушка + BYOK, 4 режима</t>
  </si>
  <si>
    <t>Черновик по описанию</t>
  </si>
  <si>
    <t>Восхищающий признак рынка</t>
  </si>
  <si>
    <t>BR-15, E9</t>
  </si>
  <si>
    <t>F-011</t>
  </si>
  <si>
    <t>Измерить поведение</t>
  </si>
  <si>
    <t>Решение о R2</t>
  </si>
  <si>
    <t>Методика 6.5</t>
  </si>
  <si>
    <t>F-012</t>
  </si>
  <si>
    <t>Автоисправление quick fix</t>
  </si>
  <si>
    <t>Исправить в один клик</t>
  </si>
  <si>
    <t>BR-05 (Should)</t>
  </si>
  <si>
    <t>F-013</t>
  </si>
  <si>
    <t>Оплата Pro через провайдера РБ</t>
  </si>
  <si>
    <t>Оплатить подписку</t>
  </si>
  <si>
    <t>R-24</t>
  </si>
  <si>
    <t>F-014</t>
  </si>
  <si>
    <t>Публичная ссылка на проект</t>
  </si>
  <si>
    <t>Поделиться примером</t>
  </si>
  <si>
    <t>Рост</t>
  </si>
  <si>
    <t>R3</t>
  </si>
  <si>
    <t>Ядро: редактор + разбор + валидация + холст</t>
  </si>
  <si>
    <t>F-001, F-002, F-003</t>
  </si>
  <si>
    <t>Первая версия (S2–S7)</t>
  </si>
  <si>
    <t>Первая диаграмма из шаблона без регистрации</t>
  </si>
  <si>
    <t>Сохранение и экспорт SVG/PNG</t>
  </si>
  <si>
    <t>Функция</t>
  </si>
  <si>
    <t>F-006, F-007</t>
  </si>
  <si>
    <t>P-004</t>
  </si>
  <si>
    <t>Тарифы + заявка «Хочу Pro»</t>
  </si>
  <si>
    <t>Аналитика и обратная связь</t>
  </si>
  <si>
    <t>Аналитика</t>
  </si>
  <si>
    <t>Нельзя переносить (6.5)</t>
  </si>
  <si>
    <t>История, diff, откат</t>
  </si>
  <si>
    <t>Первая версия (S8–S9)</t>
  </si>
  <si>
    <t>P-007</t>
  </si>
  <si>
    <t>Кросс-подсветка</t>
  </si>
  <si>
    <t>AI-заглушка/BYOK</t>
  </si>
  <si>
    <t>Первая версия (заглушка)</t>
  </si>
  <si>
    <t>P-009</t>
  </si>
  <si>
    <t>Quick fix</t>
  </si>
  <si>
    <t>R2</t>
  </si>
  <si>
    <t>P-010</t>
  </si>
  <si>
    <t>Оплата Pro</t>
  </si>
  <si>
    <t>P-011</t>
  </si>
  <si>
    <t>Публичные ссылки для преподавателей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</si>
</sst>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color rgb="FF1F2937"/>
      <name val="Carlito"/>
    </font>
    <font>
      <b/>
      <sz val="11"/>
      <color rgb="FFFFFFFF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C6E0B4"/>
      </patternFill>
    </fill>
    <fill>
      <patternFill patternType="solid">
        <fgColor rgb="FFD9EAF7"/>
      </patternFill>
    </fill>
    <fill>
      <patternFill patternType="solid">
        <fgColor rgb="FFFFFDE7"/>
      </patternFill>
    </fill>
    <fill>
      <patternFill patternType="solid">
        <fgColor rgb="FF1F4E79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0" fillId="5" borderId="0" xfId="1" applyFont="1" applyFill="1" applyAlignment="1">
      <alignment vertical="top" wrapText="1"/>
    </xf>
    <xf numFmtId="0" fontId="3" fillId="6" borderId="0" xfId="1" applyFont="1" applyFill="1" applyAlignment="1">
      <alignment horizontal="center" vertical="center" wrapText="1"/>
    </xf>
    <xf numFmtId="1" fontId="0" fillId="5" borderId="0" xfId="1" applyNumberFormat="1" applyFont="1" applyFill="1" applyAlignment="1">
      <alignment vertical="top" wrapText="1"/>
    </xf>
    <xf numFmtId="2" fontId="0" fillId="7" borderId="0" xfId="1" applyNumberFormat="1" applyFont="1" applyFill="1" applyAlignment="1">
      <alignment vertical="top" wrapText="1"/>
    </xf>
    <xf numFmtId="0" fontId="0" fillId="7" borderId="0" xfId="1" applyFont="1" applyFill="1" applyAlignment="1">
      <alignment vertical="top" wrapText="1"/>
    </xf>
    <xf numFmtId="9" fontId="0" fillId="7" borderId="0" xfId="1" applyNumberFormat="1" applyFont="1" applyFill="1" applyAlignment="1">
      <alignment vertical="top" wrapText="1"/>
    </xf>
    <xf numFmtId="0" fontId="1" fillId="2" borderId="0" xfId="1" applyFont="1" applyFill="1" applyAlignment="1">
      <alignment horizontal="left" vertical="center" wrapText="1"/>
    </xf>
    <xf numFmtId="0" fontId="2" fillId="4" borderId="0" xfId="1" applyFont="1" applyFill="1" applyAlignment="1">
      <alignment horizontal="left" vertical="center" wrapText="1"/>
    </xf>
  </cellXfs>
  <cellStyles count="2">
    <cellStyle name="Normal" xfId="1" xr:uid="{00000000-0005-0000-0000-000000000000}"/>
    <cellStyle name="Обычный" xfId="0" builtinId="0"/>
  </cellStyles>
  <dxfs count="8"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FFC000"/>
        </patternFill>
      </fill>
    </dxf>
    <dxf>
      <font>
        <b/>
        <color rgb="FFFFFFFF"/>
      </font>
      <fill>
        <patternFill patternType="solid">
          <bgColor rgb="FFC00000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Сценарии и требования по приоритетам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Сценарии</c:v>
          </c:tx>
          <c:invertIfNegative val="1"/>
          <c:cat>
            <c:strRef>
              <c:f>Дашборд!$F$5:$F$9</c:f>
              <c:strCache>
                <c:ptCount val="5"/>
                <c:pt idx="0">
                  <c:v>Критический</c:v>
                </c:pt>
                <c:pt idx="1">
                  <c:v>Высокий</c:v>
                </c:pt>
                <c:pt idx="2">
                  <c:v>Средний</c:v>
                </c:pt>
                <c:pt idx="3">
                  <c:v>Низкий</c:v>
                </c:pt>
                <c:pt idx="4">
                  <c:v>Отложить</c:v>
                </c:pt>
              </c:strCache>
            </c:strRef>
          </c:cat>
          <c:val>
            <c:numRef>
              <c:f>Дашборд!$G$5:$G$9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2F-491F-B5E2-41859CF0B612}"/>
            </c:ext>
          </c:extLst>
        </c:ser>
        <c:ser>
          <c:idx val="1"/>
          <c:order val="1"/>
          <c:tx>
            <c:v>Требования</c:v>
          </c:tx>
          <c:invertIfNegative val="1"/>
          <c:cat>
            <c:strRef>
              <c:f>Дашборд!$F$5:$F$9</c:f>
              <c:strCache>
                <c:ptCount val="5"/>
                <c:pt idx="0">
                  <c:v>Критический</c:v>
                </c:pt>
                <c:pt idx="1">
                  <c:v>Высокий</c:v>
                </c:pt>
                <c:pt idx="2">
                  <c:v>Средний</c:v>
                </c:pt>
                <c:pt idx="3">
                  <c:v>Низкий</c:v>
                </c:pt>
                <c:pt idx="4">
                  <c:v>Отложить</c:v>
                </c:pt>
              </c:strCache>
            </c:strRef>
          </c:cat>
          <c:val>
            <c:numRef>
              <c:f>Дашборд!$H$5:$H$9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2F-491F-B5E2-41859CF0B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tructionTable" displayName="InstructionTable" ref="A9:H17">
  <tableColumns count="8">
    <tableColumn id="1" xr3:uid="{00000000-0010-0000-0000-000001000000}" name="Этап"/>
    <tableColumn id="2" xr3:uid="{00000000-0010-0000-0000-000002000000}" name="Что сделать"/>
    <tableColumn id="3" xr3:uid="{00000000-0010-0000-0000-000003000000}" name="Основной лист"/>
    <tableColumn id="4" xr3:uid="{00000000-0010-0000-0000-000004000000}" name="Результат"/>
    <tableColumn id="5" xr3:uid="{00000000-0010-0000-0000-000005000000}" name="Проверка качества"/>
    <tableColumn id="6" xr3:uid="{00000000-0010-0000-0000-000006000000}" name="Связь с методикой"/>
    <tableColumn id="7" xr3:uid="{00000000-0010-0000-0000-000007000000}" name="Ответственный"/>
    <tableColumn id="8" xr3:uid="{00000000-0010-0000-0000-000008000000}" name="Стату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alysisBankTable" displayName="AnalysisBankTable" ref="A3:N203">
  <tableColumns count="14">
    <tableColumn id="1" xr3:uid="{00000000-0010-0000-0100-000001000000}" name="ID вывода"/>
    <tableColumn id="2" xr3:uid="{00000000-0010-0000-0100-000002000000}" name="Направление анализа"/>
    <tableColumn id="3" xr3:uid="{00000000-0010-0000-0100-000003000000}" name="Объект анализа"/>
    <tableColumn id="4" xr3:uid="{00000000-0010-0000-0100-000004000000}" name="Краткий вывод"/>
    <tableColumn id="5" xr3:uid="{00000000-0010-0000-0100-000005000000}" name="Подтверждающий факт"/>
    <tableColumn id="6" xr3:uid="{00000000-0010-0000-0100-000006000000}" name="Источник / ссылка"/>
    <tableColumn id="7" xr3:uid="{00000000-0010-0000-0100-000007000000}" name="Сила доказательства (1-4)"/>
    <tableColumn id="8" xr3:uid="{00000000-0010-0000-0100-000008000000}" name="Значимость для модели (1-5)"/>
    <tableColumn id="9" xr3:uid="{00000000-0010-0000-0100-000009000000}" name="Риск ошибочной интерпретации (1-5)"/>
    <tableColumn id="10" xr3:uid="{00000000-0010-0000-0100-00000A000000}" name="Индекс опоры"/>
    <tableColumn id="11" xr3:uid="{00000000-0010-0000-0100-00000B000000}" name="Связанный блок Канвас"/>
    <tableColumn id="12" xr3:uid="{00000000-0010-0000-0100-00000C000000}" name="Связанная проблема / роль / сценарий"/>
    <tableColumn id="13" xr3:uid="{00000000-0010-0000-0100-00000D000000}" name="Решение использовать"/>
    <tableColumn id="14" xr3:uid="{00000000-0010-0000-0100-00000E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usinessLogicTable" displayName="BusinessLogicTable" ref="A3:O203">
  <tableColumns count="15">
    <tableColumn id="1" xr3:uid="{00000000-0010-0000-0200-000001000000}" name="ID элемента"/>
    <tableColumn id="2" xr3:uid="{00000000-0010-0000-0200-000002000000}" name="Элемент бизнес-логики"/>
    <tableColumn id="3" xr3:uid="{00000000-0010-0000-0200-000003000000}" name="Тип бизнес-логики"/>
    <tableColumn id="4" xr3:uid="{00000000-0010-0000-0200-000004000000}" name="Какая ценность создается"/>
    <tableColumn id="5" xr3:uid="{00000000-0010-0000-0200-000005000000}" name="Для кого"/>
    <tableColumn id="6" xr3:uid="{00000000-0010-0000-0200-000006000000}" name="Цифровой товар / функция"/>
    <tableColumn id="7" xr3:uid="{00000000-0010-0000-0200-000007000000}" name="Процесс или механизм"/>
    <tableColumn id="8" xr3:uid="{00000000-0010-0000-0200-000008000000}" name="Источник выручки / единица монетизации"/>
    <tableColumn id="9" xr3:uid="{00000000-0010-0000-0200-000009000000}" name="Связанный вывод анализа"/>
    <tableColumn id="10" xr3:uid="{00000000-0010-0000-0200-00000A000000}" name="Доказательность (1-4)"/>
    <tableColumn id="11" xr3:uid="{00000000-0010-0000-0200-00000B000000}" name="Влияние на модель (1-5)"/>
    <tableColumn id="12" xr3:uid="{00000000-0010-0000-0200-00000C000000}" name="Проверка связности"/>
    <tableColumn id="13" xr3:uid="{00000000-0010-0000-0200-00000D000000}" name="Индекс надежности"/>
    <tableColumn id="14" xr3:uid="{00000000-0010-0000-0200-00000E000000}" name="Статус"/>
    <tableColumn id="15" xr3:uid="{00000000-0010-0000-0200-00000F000000}" name="Нужное уточнени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olesSegmentsTable" displayName="RolesSegmentsTable" ref="A3:N203">
  <tableColumns count="14">
    <tableColumn id="1" xr3:uid="{00000000-0010-0000-0300-000001000000}" name="ID роли"/>
    <tableColumn id="2" xr3:uid="{00000000-0010-0000-0300-000002000000}" name="Роль / сегмент"/>
    <tableColumn id="3" xr3:uid="{00000000-0010-0000-0300-000003000000}" name="Потребительская задача"/>
    <tableColumn id="4" xr3:uid="{00000000-0010-0000-0300-000004000000}" name="Проблема"/>
    <tableColumn id="5" xr3:uid="{00000000-0010-0000-0300-000005000000}" name="Мотивация"/>
    <tableColumn id="6" xr3:uid="{00000000-0010-0000-0300-000006000000}" name="Ограничения"/>
    <tableColumn id="7" xr3:uid="{00000000-0010-0000-0300-000007000000}" name="Готовность платить (1-5)"/>
    <tableColumn id="8" xr3:uid="{00000000-0010-0000-0300-000008000000}" name="Частота потребности (1-5)"/>
    <tableColumn id="9" xr3:uid="{00000000-0010-0000-0300-000009000000}" name="Ценность сегмента"/>
    <tableColumn id="10" xr3:uid="{00000000-0010-0000-0300-00000A000000}" name="Канал входа"/>
    <tableColumn id="11" xr3:uid="{00000000-0010-0000-0300-00000B000000}" name="Связанный блок Канвас"/>
    <tableColumn id="12" xr3:uid="{00000000-0010-0000-0300-00000C000000}" name="Основание из анализа"/>
    <tableColumn id="13" xr3:uid="{00000000-0010-0000-0300-00000D000000}" name="Доказательность (1-4)"/>
    <tableColumn id="14" xr3:uid="{00000000-0010-0000-0300-00000E000000}" name="Стату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serScenariosTable" displayName="UserScenariosTable" ref="A3:U203">
  <tableColumns count="21">
    <tableColumn id="1" xr3:uid="{00000000-0010-0000-0400-000001000000}" name="ID сценария"/>
    <tableColumn id="2" xr3:uid="{00000000-0010-0000-0400-000002000000}" name="Название сценария"/>
    <tableColumn id="3" xr3:uid="{00000000-0010-0000-0400-000003000000}" name="Роль"/>
    <tableColumn id="4" xr3:uid="{00000000-0010-0000-0400-000004000000}" name="Этап"/>
    <tableColumn id="5" xr3:uid="{00000000-0010-0000-0400-000005000000}" name="Тип сценария"/>
    <tableColumn id="6" xr3:uid="{00000000-0010-0000-0400-000006000000}" name="Исходная проблема"/>
    <tableColumn id="7" xr3:uid="{00000000-0010-0000-0400-000007000000}" name="Цель пользователя"/>
    <tableColumn id="8" xr3:uid="{00000000-0010-0000-0400-000008000000}" name="Триггер"/>
    <tableColumn id="9" xr3:uid="{00000000-0010-0000-0400-000009000000}" name="Основной путь"/>
    <tableColumn id="10" xr3:uid="{00000000-0010-0000-0400-00000A000000}" name="Альтернативный путь / ошибка"/>
    <tableColumn id="11" xr3:uid="{00000000-0010-0000-0400-00000B000000}" name="Результат для пользователя"/>
    <tableColumn id="12" xr3:uid="{00000000-0010-0000-0400-00000C000000}" name="Результат для бизнес-модели"/>
    <tableColumn id="13" xr3:uid="{00000000-0010-0000-0400-00000D000000}" name="Единица монетизации"/>
    <tableColumn id="14" xr3:uid="{00000000-0010-0000-0400-00000E000000}" name="Частота потребности (1-5)"/>
    <tableColumn id="15" xr3:uid="{00000000-0010-0000-0400-00000F000000}" name="Значимость проблемы (1-5)"/>
    <tableColumn id="16" xr3:uid="{00000000-0010-0000-0400-000010000000}" name="Влияние на выручку (1-5)"/>
    <tableColumn id="17" xr3:uid="{00000000-0010-0000-0400-000011000000}" name="Доказательность (1-4)"/>
    <tableColumn id="18" xr3:uid="{00000000-0010-0000-0400-000012000000}" name="Индекс сценария"/>
    <tableColumn id="19" xr3:uid="{00000000-0010-0000-0400-000013000000}" name="Приоритет"/>
    <tableColumn id="20" xr3:uid="{00000000-0010-0000-0400-000014000000}" name="Статус"/>
    <tableColumn id="21" xr3:uid="{00000000-0010-0000-0400-000015000000}" name="Источник анализа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cenarioMapTable" displayName="ScenarioMapTable" ref="A3:O103">
  <tableColumns count="15">
    <tableColumn id="1" xr3:uid="{00000000-0010-0000-0500-000001000000}" name="ID сценария"/>
    <tableColumn id="2" xr3:uid="{00000000-0010-0000-0500-000002000000}" name="Роль"/>
    <tableColumn id="3" xr3:uid="{00000000-0010-0000-0500-000003000000}" name="Сценарий"/>
    <tableColumn id="4" xr3:uid="{00000000-0010-0000-0500-000004000000}" name="Привлечение"/>
    <tableColumn id="5" xr3:uid="{00000000-0010-0000-0500-000005000000}" name="Первичный интерес"/>
    <tableColumn id="6" xr3:uid="{00000000-0010-0000-0500-000006000000}" name="Регистрация"/>
    <tableColumn id="7" xr3:uid="{00000000-0010-0000-0500-000007000000}" name="Настройка"/>
    <tableColumn id="8" xr3:uid="{00000000-0010-0000-0500-000008000000}" name="Получение ценности"/>
    <tableColumn id="9" xr3:uid="{00000000-0010-0000-0500-000009000000}" name="Оплата"/>
    <tableColumn id="10" xr3:uid="{00000000-0010-0000-0500-00000A000000}" name="Повторное использование"/>
    <tableColumn id="11" xr3:uid="{00000000-0010-0000-0500-00000B000000}" name="Поддержка"/>
    <tableColumn id="12" xr3:uid="{00000000-0010-0000-0500-00000C000000}" name="Удержание"/>
    <tableColumn id="13" xr3:uid="{00000000-0010-0000-0500-00000D000000}" name="Разрыв / риск"/>
    <tableColumn id="14" xr3:uid="{00000000-0010-0000-0500-00000E000000}" name="Критическая точка"/>
    <tableColumn id="15" xr3:uid="{00000000-0010-0000-0500-00000F000000}" name="Комментарий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unctionalRequirementsTable" displayName="FunctionalRequirementsTable" ref="A3:Q203">
  <tableColumns count="17">
    <tableColumn id="1" xr3:uid="{00000000-0010-0000-0600-000001000000}" name="ID требования"/>
    <tableColumn id="2" xr3:uid="{00000000-0010-0000-0600-000002000000}" name="Требование"/>
    <tableColumn id="3" xr3:uid="{00000000-0010-0000-0600-000003000000}" name="Связанный сценарий"/>
    <tableColumn id="4" xr3:uid="{00000000-0010-0000-0600-000004000000}" name="Роль"/>
    <tableColumn id="5" xr3:uid="{00000000-0010-0000-0600-000005000000}" name="Пользовательская задача"/>
    <tableColumn id="6" xr3:uid="{00000000-0010-0000-0600-000006000000}" name="Бизнес-цель"/>
    <tableColumn id="7" xr3:uid="{00000000-0010-0000-0600-000007000000}" name="Категория Кано"/>
    <tableColumn id="8" xr3:uid="{00000000-0010-0000-0600-000008000000}" name="Уровень товара по Левитту"/>
    <tableColumn id="9" xr3:uid="{00000000-0010-0000-0600-000009000000}" name="Влияние на ценность (1-5)"/>
    <tableColumn id="10" xr3:uid="{00000000-0010-0000-0600-00000A000000}" name="Влияние на монетизацию (1-5)"/>
    <tableColumn id="11" xr3:uid="{00000000-0010-0000-0600-00000B000000}" name="Сложность реализации (1-5)"/>
    <tableColumn id="12" xr3:uid="{00000000-0010-0000-0600-00000C000000}" name="Доказательность (1-4)"/>
    <tableColumn id="13" xr3:uid="{00000000-0010-0000-0600-00000D000000}" name="Индекс приоритета"/>
    <tableColumn id="14" xr3:uid="{00000000-0010-0000-0600-00000E000000}" name="Приоритет"/>
    <tableColumn id="15" xr3:uid="{00000000-0010-0000-0600-00000F000000}" name="MVP"/>
    <tableColumn id="16" xr3:uid="{00000000-0010-0000-0600-000010000000}" name="Статус"/>
    <tableColumn id="17" xr3:uid="{00000000-0010-0000-0600-000011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ioritizationTable" displayName="PrioritizationTable" ref="A3:N203">
  <tableColumns count="14">
    <tableColumn id="1" xr3:uid="{00000000-0010-0000-0700-000001000000}" name="ID инициативы"/>
    <tableColumn id="2" xr3:uid="{00000000-0010-0000-0700-000002000000}" name="Инициатива"/>
    <tableColumn id="3" xr3:uid="{00000000-0010-0000-0700-000003000000}" name="Тип"/>
    <tableColumn id="4" xr3:uid="{00000000-0010-0000-0700-000004000000}" name="Связанный сценарий"/>
    <tableColumn id="5" xr3:uid="{00000000-0010-0000-0700-000005000000}" name="Связанное требование"/>
    <tableColumn id="6" xr3:uid="{00000000-0010-0000-0700-000006000000}" name="Пользовательская ценность (1-5)"/>
    <tableColumn id="7" xr3:uid="{00000000-0010-0000-0700-000007000000}" name="Бизнес-эффект (1-5)"/>
    <tableColumn id="8" xr3:uid="{00000000-0010-0000-0700-000008000000}" name="Доказательность (1-4)"/>
    <tableColumn id="9" xr3:uid="{00000000-0010-0000-0700-000009000000}" name="Сложность (1-5)"/>
    <tableColumn id="10" xr3:uid="{00000000-0010-0000-0700-00000A000000}" name="Риск (1-5)"/>
    <tableColumn id="11" xr3:uid="{00000000-0010-0000-0700-00000B000000}" name="Итоговый индекс"/>
    <tableColumn id="12" xr3:uid="{00000000-0010-0000-0700-00000C000000}" name="Решение"/>
    <tableColumn id="13" xr3:uid="{00000000-0010-0000-0700-00000D000000}" name="Период реализации"/>
    <tableColumn id="14" xr3:uid="{00000000-0010-0000-0700-00000E000000}" name="Комментарий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herenceTable" displayName="CoherenceTable" ref="A3:I13">
  <tableColumns count="9">
    <tableColumn id="1" xr3:uid="{00000000-0010-0000-0800-000001000000}" name="Контрольная точка"/>
    <tableColumn id="2" xr3:uid="{00000000-0010-0000-0800-000002000000}" name="Что проверяется"/>
    <tableColumn id="3" xr3:uid="{00000000-0010-0000-0800-000003000000}" name="Проверочный вопрос"/>
    <tableColumn id="4" xr3:uid="{00000000-0010-0000-0800-000004000000}" name="Источник листа"/>
    <tableColumn id="5" xr3:uid="{00000000-0010-0000-0800-000005000000}" name="Критерий прохождения"/>
    <tableColumn id="6" xr3:uid="{00000000-0010-0000-0800-000006000000}" name="Количество"/>
    <tableColumn id="7" xr3:uid="{00000000-0010-0000-0800-000007000000}" name="Порог"/>
    <tableColumn id="8" xr3:uid="{00000000-0010-0000-0800-000008000000}" name="Статус"/>
    <tableColumn id="9" xr3:uid="{00000000-0010-0000-0800-000009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3"/>
  <sheetViews>
    <sheetView tabSelected="1" workbookViewId="0">
      <selection sqref="A1:H1"/>
    </sheetView>
  </sheetViews>
  <sheetFormatPr defaultRowHeight="14.25"/>
  <cols>
    <col min="1" max="1" width="8" customWidth="1"/>
    <col min="2" max="2" width="38" customWidth="1"/>
    <col min="3" max="3" width="24" customWidth="1"/>
    <col min="4" max="4" width="34" customWidth="1"/>
    <col min="5" max="5" width="36" customWidth="1"/>
    <col min="6" max="6" width="35" customWidth="1"/>
    <col min="7" max="8" width="18" customWidth="1"/>
  </cols>
  <sheetData>
    <row r="1" spans="1:26" ht="30" customHeight="1">
      <c r="A1" s="10" t="s">
        <v>0</v>
      </c>
      <c r="B1" s="10"/>
      <c r="C1" s="10"/>
      <c r="D1" s="10"/>
      <c r="E1" s="10"/>
      <c r="F1" s="10"/>
      <c r="G1" s="10"/>
      <c r="H1" s="1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3.950000000000003" customHeight="1">
      <c r="A3" s="11" t="s">
        <v>1</v>
      </c>
      <c r="B3" s="11"/>
      <c r="C3" s="11"/>
      <c r="D3" s="11"/>
      <c r="E3" s="11"/>
      <c r="F3" s="11"/>
      <c r="G3" s="11"/>
      <c r="H3" s="11"/>
    </row>
    <row r="4" spans="1:26" ht="33.950000000000003" customHeight="1">
      <c r="A4" s="4" t="s">
        <v>2</v>
      </c>
      <c r="B4" s="4"/>
      <c r="C4" s="4"/>
      <c r="D4" s="4"/>
      <c r="E4" s="4"/>
      <c r="F4" s="4"/>
      <c r="G4" s="4"/>
      <c r="H4" s="4"/>
    </row>
    <row r="5" spans="1:26" ht="33.950000000000003" customHeight="1">
      <c r="A5" s="4" t="s">
        <v>3</v>
      </c>
      <c r="B5" s="4"/>
      <c r="C5" s="4"/>
      <c r="D5" s="4"/>
      <c r="E5" s="4"/>
      <c r="F5" s="4"/>
      <c r="G5" s="4"/>
      <c r="H5" s="4"/>
    </row>
    <row r="6" spans="1:26" ht="33.950000000000003" customHeight="1">
      <c r="A6" s="4" t="s">
        <v>4</v>
      </c>
      <c r="B6" s="4"/>
      <c r="C6" s="4"/>
      <c r="D6" s="4"/>
      <c r="E6" s="4"/>
      <c r="F6" s="4"/>
      <c r="G6" s="4"/>
      <c r="H6" s="4"/>
    </row>
    <row r="7" spans="1:26" ht="33.950000000000003" customHeight="1">
      <c r="A7" s="4" t="s">
        <v>5</v>
      </c>
      <c r="B7" s="4"/>
      <c r="C7" s="4"/>
      <c r="D7" s="4"/>
      <c r="E7" s="4"/>
      <c r="F7" s="4"/>
      <c r="G7" s="4"/>
      <c r="H7" s="4"/>
    </row>
    <row r="8" spans="1:26" ht="33.950000000000003" customHeight="1"/>
    <row r="9" spans="1:26" ht="33.950000000000003" customHeight="1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  <c r="G9" s="5" t="s">
        <v>12</v>
      </c>
      <c r="H9" s="5" t="s">
        <v>13</v>
      </c>
    </row>
    <row r="10" spans="1:26" ht="33.950000000000003" customHeight="1">
      <c r="A10" s="3">
        <v>1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/>
      <c r="H10" s="3"/>
    </row>
    <row r="11" spans="1:26" ht="33.950000000000003" customHeight="1">
      <c r="A11" s="3">
        <v>2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/>
      <c r="H11" s="3"/>
    </row>
    <row r="12" spans="1:26" ht="33.950000000000003" customHeight="1">
      <c r="A12" s="3">
        <v>3</v>
      </c>
      <c r="B12" s="3" t="s">
        <v>24</v>
      </c>
      <c r="C12" s="3" t="s">
        <v>25</v>
      </c>
      <c r="D12" s="3" t="s">
        <v>26</v>
      </c>
      <c r="E12" s="3" t="s">
        <v>27</v>
      </c>
      <c r="F12" s="3" t="s">
        <v>28</v>
      </c>
      <c r="G12" s="3"/>
      <c r="H12" s="3"/>
    </row>
    <row r="13" spans="1:26" ht="33.950000000000003" customHeight="1">
      <c r="A13" s="3">
        <v>4</v>
      </c>
      <c r="B13" s="3" t="s">
        <v>29</v>
      </c>
      <c r="C13" s="3" t="s">
        <v>30</v>
      </c>
      <c r="D13" s="3" t="s">
        <v>31</v>
      </c>
      <c r="E13" s="3" t="s">
        <v>32</v>
      </c>
      <c r="F13" s="3" t="s">
        <v>33</v>
      </c>
      <c r="G13" s="3"/>
      <c r="H13" s="3"/>
    </row>
    <row r="14" spans="1:26" ht="33.950000000000003" customHeight="1">
      <c r="A14" s="3">
        <v>5</v>
      </c>
      <c r="B14" s="3" t="s">
        <v>34</v>
      </c>
      <c r="C14" s="3" t="s">
        <v>35</v>
      </c>
      <c r="D14" s="3" t="s">
        <v>36</v>
      </c>
      <c r="E14" s="3" t="s">
        <v>37</v>
      </c>
      <c r="F14" s="3" t="s">
        <v>38</v>
      </c>
      <c r="G14" s="3"/>
      <c r="H14" s="3"/>
    </row>
    <row r="15" spans="1:26" ht="33.950000000000003" customHeight="1">
      <c r="A15" s="3">
        <v>6</v>
      </c>
      <c r="B15" s="3" t="s">
        <v>39</v>
      </c>
      <c r="C15" s="3" t="s">
        <v>40</v>
      </c>
      <c r="D15" s="3" t="s">
        <v>41</v>
      </c>
      <c r="E15" s="3" t="s">
        <v>42</v>
      </c>
      <c r="F15" s="3" t="s">
        <v>43</v>
      </c>
      <c r="G15" s="3"/>
      <c r="H15" s="3"/>
    </row>
    <row r="16" spans="1:26" ht="33.950000000000003" customHeight="1">
      <c r="A16" s="3">
        <v>7</v>
      </c>
      <c r="B16" s="3" t="s">
        <v>44</v>
      </c>
      <c r="C16" s="3" t="s">
        <v>45</v>
      </c>
      <c r="D16" s="3" t="s">
        <v>46</v>
      </c>
      <c r="E16" s="3" t="s">
        <v>47</v>
      </c>
      <c r="F16" s="3" t="s">
        <v>48</v>
      </c>
      <c r="G16" s="3"/>
      <c r="H16" s="3"/>
    </row>
    <row r="17" spans="1:8" ht="33.950000000000003" customHeight="1">
      <c r="A17" s="3">
        <v>8</v>
      </c>
      <c r="B17" s="3" t="s">
        <v>49</v>
      </c>
      <c r="C17" s="3" t="s">
        <v>50</v>
      </c>
      <c r="D17" s="3" t="s">
        <v>51</v>
      </c>
      <c r="E17" s="3" t="s">
        <v>52</v>
      </c>
      <c r="F17" s="3" t="s">
        <v>53</v>
      </c>
      <c r="G17" s="3"/>
      <c r="H17" s="3"/>
    </row>
    <row r="18" spans="1:8" ht="33.950000000000003" customHeight="1"/>
    <row r="19" spans="1:8" ht="33.950000000000003" customHeight="1"/>
    <row r="20" spans="1:8" ht="33.950000000000003" customHeight="1"/>
    <row r="21" spans="1:8" ht="33.950000000000003" customHeight="1"/>
    <row r="22" spans="1:8" ht="33.950000000000003" customHeight="1"/>
    <row r="23" spans="1:8" ht="33.950000000000003" customHeight="1"/>
    <row r="24" spans="1:8" ht="33.950000000000003" customHeight="1"/>
    <row r="25" spans="1:8" ht="33.950000000000003" customHeight="1"/>
    <row r="26" spans="1:8" ht="33.950000000000003" customHeight="1"/>
    <row r="27" spans="1:8" ht="33.950000000000003" customHeight="1"/>
    <row r="28" spans="1:8" ht="33.950000000000003" customHeight="1"/>
    <row r="29" spans="1:8" ht="33.950000000000003" customHeight="1"/>
    <row r="30" spans="1:8" ht="33.950000000000003" customHeight="1"/>
    <row r="31" spans="1:8" ht="33.950000000000003" customHeight="1"/>
    <row r="32" spans="1:8" ht="33.950000000000003" customHeight="1"/>
    <row r="33" ht="33.950000000000003" customHeight="1"/>
    <row r="34" ht="33.950000000000003" customHeight="1"/>
    <row r="35" ht="33.950000000000003" customHeight="1"/>
    <row r="36" ht="33.950000000000003" customHeight="1"/>
    <row r="37" ht="33.950000000000003" customHeight="1"/>
    <row r="38" ht="33.950000000000003" customHeight="1"/>
    <row r="39" ht="33.950000000000003" customHeight="1"/>
    <row r="40" ht="33.950000000000003" customHeight="1"/>
    <row r="41" ht="33.950000000000003" customHeight="1"/>
    <row r="42" ht="33.950000000000003" customHeight="1"/>
    <row r="43" ht="33.950000000000003" customHeight="1"/>
    <row r="44" ht="33.950000000000003" customHeight="1"/>
    <row r="45" ht="33.950000000000003" customHeight="1"/>
    <row r="46" ht="33.950000000000003" customHeight="1"/>
    <row r="47" ht="33.950000000000003" customHeight="1"/>
    <row r="48" ht="33.950000000000003" customHeight="1"/>
    <row r="49" ht="33.950000000000003" customHeight="1"/>
    <row r="50" ht="33.950000000000003" customHeight="1"/>
    <row r="51" ht="33.950000000000003" customHeight="1"/>
    <row r="52" ht="33.950000000000003" customHeight="1"/>
    <row r="53" ht="33.950000000000003" customHeight="1"/>
    <row r="54" ht="33.950000000000003" customHeight="1"/>
    <row r="55" ht="33.950000000000003" customHeight="1"/>
    <row r="56" ht="33.950000000000003" customHeight="1"/>
    <row r="57" ht="33.950000000000003" customHeight="1"/>
    <row r="58" ht="33.950000000000003" customHeight="1"/>
    <row r="59" ht="33.950000000000003" customHeight="1"/>
    <row r="60" ht="33.950000000000003" customHeight="1"/>
    <row r="61" ht="33.950000000000003" customHeight="1"/>
    <row r="62" ht="33.950000000000003" customHeight="1"/>
    <row r="63" ht="33.950000000000003" customHeight="1"/>
    <row r="64" ht="33.950000000000003" customHeight="1"/>
    <row r="65" ht="33.950000000000003" customHeight="1"/>
    <row r="66" ht="33.950000000000003" customHeight="1"/>
    <row r="67" ht="33.950000000000003" customHeight="1"/>
    <row r="68" ht="33.950000000000003" customHeight="1"/>
    <row r="69" ht="33.950000000000003" customHeight="1"/>
    <row r="70" ht="33.950000000000003" customHeight="1"/>
    <row r="71" ht="33.950000000000003" customHeight="1"/>
    <row r="72" ht="33.950000000000003" customHeight="1"/>
    <row r="73" ht="33.950000000000003" customHeight="1"/>
    <row r="74" ht="33.950000000000003" customHeight="1"/>
    <row r="75" ht="33.950000000000003" customHeight="1"/>
    <row r="76" ht="33.950000000000003" customHeight="1"/>
    <row r="77" ht="33.950000000000003" customHeight="1"/>
    <row r="78" ht="33.950000000000003" customHeight="1"/>
    <row r="79" ht="33.950000000000003" customHeight="1"/>
    <row r="80" ht="33.950000000000003" customHeight="1"/>
    <row r="81" ht="33.950000000000003" customHeight="1"/>
    <row r="82" ht="33.950000000000003" customHeight="1"/>
    <row r="83" ht="33.950000000000003" customHeight="1"/>
    <row r="84" ht="33.950000000000003" customHeight="1"/>
    <row r="85" ht="33.950000000000003" customHeight="1"/>
    <row r="86" ht="33.950000000000003" customHeight="1"/>
    <row r="87" ht="33.950000000000003" customHeight="1"/>
    <row r="88" ht="33.950000000000003" customHeight="1"/>
    <row r="89" ht="33.950000000000003" customHeight="1"/>
    <row r="90" ht="33.950000000000003" customHeight="1"/>
    <row r="91" ht="33.950000000000003" customHeight="1"/>
    <row r="92" ht="33.950000000000003" customHeight="1"/>
    <row r="93" ht="33.950000000000003" customHeight="1"/>
    <row r="94" ht="33.950000000000003" customHeight="1"/>
    <row r="95" ht="33.950000000000003" customHeight="1"/>
    <row r="96" ht="33.950000000000003" customHeight="1"/>
    <row r="97" ht="33.950000000000003" customHeight="1"/>
    <row r="98" ht="33.950000000000003" customHeight="1"/>
    <row r="99" ht="33.950000000000003" customHeight="1"/>
    <row r="100" ht="33.950000000000003" customHeight="1"/>
    <row r="101" ht="33.950000000000003" customHeight="1"/>
    <row r="102" ht="33.950000000000003" customHeight="1"/>
    <row r="103" ht="33.950000000000003" customHeight="1"/>
    <row r="104" ht="33.950000000000003" customHeight="1"/>
    <row r="105" ht="33.950000000000003" customHeight="1"/>
    <row r="106" ht="33.950000000000003" customHeight="1"/>
    <row r="107" ht="33.950000000000003" customHeight="1"/>
    <row r="108" ht="33.950000000000003" customHeight="1"/>
    <row r="109" ht="33.950000000000003" customHeight="1"/>
    <row r="110" ht="33.950000000000003" customHeight="1"/>
    <row r="111" ht="33.950000000000003" customHeight="1"/>
    <row r="112" ht="33.950000000000003" customHeight="1"/>
    <row r="113" ht="33.950000000000003" customHeight="1"/>
    <row r="114" ht="33.950000000000003" customHeight="1"/>
    <row r="115" ht="33.950000000000003" customHeight="1"/>
    <row r="116" ht="33.950000000000003" customHeight="1"/>
    <row r="117" ht="33.950000000000003" customHeight="1"/>
    <row r="118" ht="33.950000000000003" customHeight="1"/>
    <row r="119" ht="33.950000000000003" customHeight="1"/>
    <row r="120" ht="33.950000000000003" customHeight="1"/>
    <row r="121" ht="33.950000000000003" customHeight="1"/>
    <row r="122" ht="33.950000000000003" customHeight="1"/>
    <row r="123" ht="33.950000000000003" customHeight="1"/>
    <row r="124" ht="33.950000000000003" customHeight="1"/>
    <row r="125" ht="33.950000000000003" customHeight="1"/>
    <row r="126" ht="33.950000000000003" customHeight="1"/>
    <row r="127" ht="33.950000000000003" customHeight="1"/>
    <row r="128" ht="33.950000000000003" customHeight="1"/>
    <row r="129" ht="33.950000000000003" customHeight="1"/>
    <row r="130" ht="33.950000000000003" customHeight="1"/>
    <row r="131" ht="33.950000000000003" customHeight="1"/>
    <row r="132" ht="33.950000000000003" customHeight="1"/>
    <row r="133" ht="33.950000000000003" customHeight="1"/>
    <row r="134" ht="33.950000000000003" customHeight="1"/>
    <row r="135" ht="33.950000000000003" customHeight="1"/>
    <row r="136" ht="33.950000000000003" customHeight="1"/>
    <row r="137" ht="33.950000000000003" customHeight="1"/>
    <row r="138" ht="33.950000000000003" customHeight="1"/>
    <row r="139" ht="33.950000000000003" customHeight="1"/>
    <row r="140" ht="33.950000000000003" customHeight="1"/>
    <row r="141" ht="33.950000000000003" customHeight="1"/>
    <row r="142" ht="33.950000000000003" customHeight="1"/>
    <row r="143" ht="33.950000000000003" customHeight="1"/>
    <row r="144" ht="33.950000000000003" customHeight="1"/>
    <row r="145" ht="33.950000000000003" customHeight="1"/>
    <row r="146" ht="33.950000000000003" customHeight="1"/>
    <row r="147" ht="33.950000000000003" customHeight="1"/>
    <row r="148" ht="33.950000000000003" customHeight="1"/>
    <row r="149" ht="33.950000000000003" customHeight="1"/>
    <row r="150" ht="33.950000000000003" customHeight="1"/>
    <row r="151" ht="33.950000000000003" customHeight="1"/>
    <row r="152" ht="33.950000000000003" customHeight="1"/>
    <row r="153" ht="33.950000000000003" customHeight="1"/>
    <row r="154" ht="33.950000000000003" customHeight="1"/>
    <row r="155" ht="33.950000000000003" customHeight="1"/>
    <row r="156" ht="33.950000000000003" customHeight="1"/>
    <row r="157" ht="33.950000000000003" customHeight="1"/>
    <row r="158" ht="33.950000000000003" customHeight="1"/>
    <row r="159" ht="33.950000000000003" customHeight="1"/>
    <row r="160" ht="33.950000000000003" customHeight="1"/>
    <row r="161" ht="33.950000000000003" customHeight="1"/>
    <row r="162" ht="33.950000000000003" customHeight="1"/>
    <row r="163" ht="33.950000000000003" customHeight="1"/>
    <row r="164" ht="33.950000000000003" customHeight="1"/>
    <row r="165" ht="33.950000000000003" customHeight="1"/>
    <row r="166" ht="33.950000000000003" customHeight="1"/>
    <row r="167" ht="33.950000000000003" customHeight="1"/>
    <row r="168" ht="33.950000000000003" customHeight="1"/>
    <row r="169" ht="33.950000000000003" customHeight="1"/>
    <row r="170" ht="33.950000000000003" customHeight="1"/>
    <row r="171" ht="33.950000000000003" customHeight="1"/>
    <row r="172" ht="33.950000000000003" customHeight="1"/>
    <row r="173" ht="33.950000000000003" customHeight="1"/>
    <row r="174" ht="33.950000000000003" customHeight="1"/>
    <row r="175" ht="33.950000000000003" customHeight="1"/>
    <row r="176" ht="33.950000000000003" customHeight="1"/>
    <row r="177" ht="33.950000000000003" customHeight="1"/>
    <row r="178" ht="33.950000000000003" customHeight="1"/>
    <row r="179" ht="33.950000000000003" customHeight="1"/>
    <row r="180" ht="33.950000000000003" customHeight="1"/>
    <row r="181" ht="33.950000000000003" customHeight="1"/>
    <row r="182" ht="33.950000000000003" customHeight="1"/>
    <row r="183" ht="33.950000000000003" customHeight="1"/>
    <row r="184" ht="33.950000000000003" customHeight="1"/>
    <row r="185" ht="33.950000000000003" customHeight="1"/>
    <row r="186" ht="33.950000000000003" customHeight="1"/>
    <row r="187" ht="33.950000000000003" customHeight="1"/>
    <row r="188" ht="33.950000000000003" customHeight="1"/>
    <row r="189" ht="33.950000000000003" customHeight="1"/>
    <row r="190" ht="33.950000000000003" customHeight="1"/>
    <row r="191" ht="33.950000000000003" customHeight="1"/>
    <row r="192" ht="33.950000000000003" customHeight="1"/>
    <row r="193" ht="33.950000000000003" customHeight="1"/>
    <row r="194" ht="33.950000000000003" customHeight="1"/>
    <row r="195" ht="33.950000000000003" customHeight="1"/>
    <row r="196" ht="33.950000000000003" customHeight="1"/>
    <row r="197" ht="33.950000000000003" customHeight="1"/>
    <row r="198" ht="33.950000000000003" customHeight="1"/>
    <row r="199" ht="33.950000000000003" customHeight="1"/>
    <row r="200" ht="33.950000000000003" customHeight="1"/>
    <row r="201" ht="33.950000000000003" customHeight="1"/>
    <row r="202" ht="33.950000000000003" customHeight="1"/>
    <row r="203" ht="33.950000000000003" customHeight="1"/>
  </sheetData>
  <mergeCells count="2">
    <mergeCell ref="A1:H1"/>
    <mergeCell ref="A3:H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3"/>
  <sheetViews>
    <sheetView workbookViewId="0"/>
  </sheetViews>
  <sheetFormatPr defaultRowHeight="14.25"/>
  <cols>
    <col min="1" max="1" width="14" customWidth="1"/>
    <col min="2" max="3" width="30" customWidth="1"/>
    <col min="4" max="5" width="42" customWidth="1"/>
    <col min="6" max="6" width="32" customWidth="1"/>
    <col min="7" max="7" width="18" customWidth="1"/>
    <col min="8" max="8" width="20" customWidth="1"/>
    <col min="9" max="9" width="22" customWidth="1"/>
    <col min="10" max="10" width="16" customWidth="1"/>
    <col min="11" max="11" width="25" customWidth="1"/>
    <col min="12" max="12" width="34" customWidth="1"/>
    <col min="13" max="13" width="22" customWidth="1"/>
    <col min="14" max="14" width="30" customWidth="1"/>
  </cols>
  <sheetData>
    <row r="1" spans="1:26" ht="30" customHeight="1">
      <c r="A1" s="10" t="s">
        <v>54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3.950000000000003" customHeight="1">
      <c r="A3" s="5" t="s">
        <v>55</v>
      </c>
      <c r="B3" s="5" t="s">
        <v>56</v>
      </c>
      <c r="C3" s="5" t="s">
        <v>57</v>
      </c>
      <c r="D3" s="5" t="s">
        <v>58</v>
      </c>
      <c r="E3" s="5" t="s">
        <v>59</v>
      </c>
      <c r="F3" s="5" t="s">
        <v>60</v>
      </c>
      <c r="G3" s="5" t="s">
        <v>61</v>
      </c>
      <c r="H3" s="5" t="s">
        <v>62</v>
      </c>
      <c r="I3" s="5" t="s">
        <v>63</v>
      </c>
      <c r="J3" s="5" t="s">
        <v>64</v>
      </c>
      <c r="K3" s="5" t="s">
        <v>65</v>
      </c>
      <c r="L3" s="5" t="s">
        <v>66</v>
      </c>
      <c r="M3" s="5" t="s">
        <v>67</v>
      </c>
      <c r="N3" s="5" t="s">
        <v>68</v>
      </c>
    </row>
    <row r="4" spans="1:26" ht="33.950000000000003" customHeight="1">
      <c r="A4" s="4" t="s">
        <v>69</v>
      </c>
      <c r="B4" s="4" t="s">
        <v>73</v>
      </c>
      <c r="C4" s="4" t="s">
        <v>377</v>
      </c>
      <c r="D4" s="4" t="s">
        <v>378</v>
      </c>
      <c r="E4" s="4" t="s">
        <v>379</v>
      </c>
      <c r="F4" s="4" t="s">
        <v>380</v>
      </c>
      <c r="G4" s="6">
        <v>4</v>
      </c>
      <c r="H4" s="6">
        <v>5</v>
      </c>
      <c r="I4" s="6">
        <v>1</v>
      </c>
      <c r="J4" s="7">
        <f t="shared" ref="J4:J35" si="0">IFERROR((G4*H4)*(6-I4)/20,"")</f>
        <v>5</v>
      </c>
      <c r="K4" s="4" t="s">
        <v>71</v>
      </c>
      <c r="L4" s="4" t="s">
        <v>185</v>
      </c>
      <c r="M4" s="8" t="str">
        <f t="shared" ref="M4:M35" si="1">IF(J4="","",IF(J4&gt;=3,"Использовать",IF(J4&gt;=1.8,"Проверить дополнительно","Не использовать как основание")))</f>
        <v>Использовать</v>
      </c>
      <c r="N4" s="4"/>
    </row>
    <row r="5" spans="1:26" ht="33.950000000000003" customHeight="1">
      <c r="A5" s="4" t="s">
        <v>72</v>
      </c>
      <c r="B5" s="4" t="s">
        <v>298</v>
      </c>
      <c r="C5" s="4" t="s">
        <v>381</v>
      </c>
      <c r="D5" s="4" t="s">
        <v>382</v>
      </c>
      <c r="E5" s="4" t="s">
        <v>383</v>
      </c>
      <c r="F5" s="4" t="s">
        <v>384</v>
      </c>
      <c r="G5" s="6">
        <v>3</v>
      </c>
      <c r="H5" s="6">
        <v>5</v>
      </c>
      <c r="I5" s="6">
        <v>2</v>
      </c>
      <c r="J5" s="7">
        <f t="shared" si="0"/>
        <v>3</v>
      </c>
      <c r="K5" s="4" t="s">
        <v>71</v>
      </c>
      <c r="L5" s="4" t="s">
        <v>185</v>
      </c>
      <c r="M5" s="8" t="str">
        <f t="shared" si="1"/>
        <v>Использовать</v>
      </c>
      <c r="N5" s="4" t="s">
        <v>385</v>
      </c>
    </row>
    <row r="6" spans="1:26" ht="33.950000000000003" customHeight="1">
      <c r="A6" s="4" t="s">
        <v>75</v>
      </c>
      <c r="B6" s="4" t="s">
        <v>293</v>
      </c>
      <c r="C6" s="4" t="s">
        <v>386</v>
      </c>
      <c r="D6" s="4" t="s">
        <v>387</v>
      </c>
      <c r="E6" s="4" t="s">
        <v>388</v>
      </c>
      <c r="F6" s="4" t="s">
        <v>389</v>
      </c>
      <c r="G6" s="6">
        <v>4</v>
      </c>
      <c r="H6" s="6">
        <v>5</v>
      </c>
      <c r="I6" s="6">
        <v>1</v>
      </c>
      <c r="J6" s="7">
        <f t="shared" si="0"/>
        <v>5</v>
      </c>
      <c r="K6" s="4" t="s">
        <v>77</v>
      </c>
      <c r="L6" s="4" t="s">
        <v>390</v>
      </c>
      <c r="M6" s="8" t="str">
        <f t="shared" si="1"/>
        <v>Использовать</v>
      </c>
      <c r="N6" s="4"/>
    </row>
    <row r="7" spans="1:26" ht="33.950000000000003" customHeight="1">
      <c r="A7" s="4" t="s">
        <v>391</v>
      </c>
      <c r="B7" s="4" t="s">
        <v>293</v>
      </c>
      <c r="C7" s="4" t="s">
        <v>392</v>
      </c>
      <c r="D7" s="4" t="s">
        <v>393</v>
      </c>
      <c r="E7" s="4" t="s">
        <v>394</v>
      </c>
      <c r="F7" s="4" t="s">
        <v>395</v>
      </c>
      <c r="G7" s="6">
        <v>4</v>
      </c>
      <c r="H7" s="6">
        <v>4</v>
      </c>
      <c r="I7" s="6">
        <v>1</v>
      </c>
      <c r="J7" s="7">
        <f t="shared" si="0"/>
        <v>4</v>
      </c>
      <c r="K7" s="4" t="s">
        <v>77</v>
      </c>
      <c r="L7" s="4" t="s">
        <v>390</v>
      </c>
      <c r="M7" s="8" t="str">
        <f t="shared" si="1"/>
        <v>Использовать</v>
      </c>
      <c r="N7" s="4"/>
    </row>
    <row r="8" spans="1:26" ht="33.950000000000003" customHeight="1">
      <c r="A8" s="4" t="s">
        <v>396</v>
      </c>
      <c r="B8" s="4" t="s">
        <v>297</v>
      </c>
      <c r="C8" s="4" t="s">
        <v>397</v>
      </c>
      <c r="D8" s="4" t="s">
        <v>398</v>
      </c>
      <c r="E8" s="4" t="s">
        <v>399</v>
      </c>
      <c r="F8" s="4" t="s">
        <v>400</v>
      </c>
      <c r="G8" s="6">
        <v>4</v>
      </c>
      <c r="H8" s="6">
        <v>4</v>
      </c>
      <c r="I8" s="6">
        <v>2</v>
      </c>
      <c r="J8" s="7">
        <f t="shared" si="0"/>
        <v>3.2</v>
      </c>
      <c r="K8" s="4" t="s">
        <v>116</v>
      </c>
      <c r="L8" s="4" t="s">
        <v>401</v>
      </c>
      <c r="M8" s="8" t="str">
        <f t="shared" si="1"/>
        <v>Использовать</v>
      </c>
      <c r="N8" s="4"/>
    </row>
    <row r="9" spans="1:26" ht="33.950000000000003" customHeight="1">
      <c r="A9" s="4" t="s">
        <v>402</v>
      </c>
      <c r="B9" s="4" t="s">
        <v>298</v>
      </c>
      <c r="C9" s="4" t="s">
        <v>403</v>
      </c>
      <c r="D9" s="4" t="s">
        <v>404</v>
      </c>
      <c r="E9" s="4" t="s">
        <v>405</v>
      </c>
      <c r="F9" s="4" t="s">
        <v>406</v>
      </c>
      <c r="G9" s="6">
        <v>3</v>
      </c>
      <c r="H9" s="6">
        <v>5</v>
      </c>
      <c r="I9" s="6">
        <v>2</v>
      </c>
      <c r="J9" s="7">
        <f t="shared" si="0"/>
        <v>3</v>
      </c>
      <c r="K9" s="4" t="s">
        <v>71</v>
      </c>
      <c r="L9" s="4" t="s">
        <v>407</v>
      </c>
      <c r="M9" s="8" t="str">
        <f t="shared" si="1"/>
        <v>Использовать</v>
      </c>
      <c r="N9" s="4"/>
    </row>
    <row r="10" spans="1:26" ht="33.950000000000003" customHeight="1">
      <c r="A10" s="4" t="s">
        <v>408</v>
      </c>
      <c r="B10" s="4" t="s">
        <v>288</v>
      </c>
      <c r="C10" s="4" t="s">
        <v>409</v>
      </c>
      <c r="D10" s="4" t="s">
        <v>410</v>
      </c>
      <c r="E10" s="4" t="s">
        <v>411</v>
      </c>
      <c r="F10" s="4" t="s">
        <v>412</v>
      </c>
      <c r="G10" s="6">
        <v>3</v>
      </c>
      <c r="H10" s="6">
        <v>5</v>
      </c>
      <c r="I10" s="6">
        <v>2</v>
      </c>
      <c r="J10" s="7">
        <f t="shared" si="0"/>
        <v>3</v>
      </c>
      <c r="K10" s="4" t="s">
        <v>116</v>
      </c>
      <c r="L10" s="4" t="s">
        <v>413</v>
      </c>
      <c r="M10" s="8" t="str">
        <f t="shared" si="1"/>
        <v>Использовать</v>
      </c>
      <c r="N10" s="4"/>
    </row>
    <row r="11" spans="1:26" ht="33.950000000000003" customHeight="1">
      <c r="A11" s="4" t="s">
        <v>414</v>
      </c>
      <c r="B11" s="4" t="s">
        <v>70</v>
      </c>
      <c r="C11" s="4" t="s">
        <v>415</v>
      </c>
      <c r="D11" s="4" t="s">
        <v>416</v>
      </c>
      <c r="E11" s="4" t="s">
        <v>417</v>
      </c>
      <c r="F11" s="4" t="s">
        <v>418</v>
      </c>
      <c r="G11" s="6">
        <v>1</v>
      </c>
      <c r="H11" s="6">
        <v>5</v>
      </c>
      <c r="I11" s="6">
        <v>3</v>
      </c>
      <c r="J11" s="7">
        <f t="shared" si="0"/>
        <v>0.75</v>
      </c>
      <c r="K11" s="4" t="s">
        <v>116</v>
      </c>
      <c r="L11" s="4" t="s">
        <v>185</v>
      </c>
      <c r="M11" s="8" t="str">
        <f t="shared" si="1"/>
        <v>Не использовать как основание</v>
      </c>
      <c r="N11" s="4" t="s">
        <v>419</v>
      </c>
    </row>
    <row r="12" spans="1:26" ht="33.950000000000003" customHeight="1">
      <c r="A12" s="4" t="s">
        <v>420</v>
      </c>
      <c r="B12" s="4" t="s">
        <v>76</v>
      </c>
      <c r="C12" s="4" t="s">
        <v>421</v>
      </c>
      <c r="D12" s="4" t="s">
        <v>422</v>
      </c>
      <c r="E12" s="4" t="s">
        <v>423</v>
      </c>
      <c r="F12" s="4" t="s">
        <v>424</v>
      </c>
      <c r="G12" s="6">
        <v>3</v>
      </c>
      <c r="H12" s="6">
        <v>5</v>
      </c>
      <c r="I12" s="6">
        <v>2</v>
      </c>
      <c r="J12" s="7">
        <f t="shared" si="0"/>
        <v>3</v>
      </c>
      <c r="K12" s="4" t="s">
        <v>77</v>
      </c>
      <c r="L12" s="4" t="s">
        <v>425</v>
      </c>
      <c r="M12" s="8" t="str">
        <f t="shared" si="1"/>
        <v>Использовать</v>
      </c>
      <c r="N12" s="4"/>
    </row>
    <row r="13" spans="1:26" ht="33.950000000000003" customHeight="1">
      <c r="A13" s="4" t="s">
        <v>426</v>
      </c>
      <c r="B13" s="4" t="s">
        <v>306</v>
      </c>
      <c r="C13" s="4" t="s">
        <v>427</v>
      </c>
      <c r="D13" s="4" t="s">
        <v>428</v>
      </c>
      <c r="E13" s="4" t="s">
        <v>429</v>
      </c>
      <c r="F13" s="4" t="s">
        <v>430</v>
      </c>
      <c r="G13" s="6">
        <v>2</v>
      </c>
      <c r="H13" s="6">
        <v>4</v>
      </c>
      <c r="I13" s="6">
        <v>3</v>
      </c>
      <c r="J13" s="7">
        <f t="shared" si="0"/>
        <v>1.2</v>
      </c>
      <c r="K13" s="4" t="s">
        <v>77</v>
      </c>
      <c r="L13" s="4" t="s">
        <v>425</v>
      </c>
      <c r="M13" s="8" t="str">
        <f t="shared" si="1"/>
        <v>Не использовать как основание</v>
      </c>
      <c r="N13" s="4"/>
    </row>
    <row r="14" spans="1:26" ht="33.950000000000003" customHeight="1">
      <c r="A14" s="4"/>
      <c r="B14" s="4"/>
      <c r="C14" s="4"/>
      <c r="D14" s="4"/>
      <c r="E14" s="4"/>
      <c r="F14" s="4"/>
      <c r="G14" s="6"/>
      <c r="H14" s="6"/>
      <c r="I14" s="6"/>
      <c r="J14" s="7">
        <f t="shared" si="0"/>
        <v>0</v>
      </c>
      <c r="K14" s="4"/>
      <c r="L14" s="4"/>
      <c r="M14" s="8" t="str">
        <f t="shared" si="1"/>
        <v>Не использовать как основание</v>
      </c>
      <c r="N14" s="4"/>
    </row>
    <row r="15" spans="1:26" ht="33.950000000000003" customHeight="1">
      <c r="A15" s="4"/>
      <c r="B15" s="4"/>
      <c r="C15" s="4"/>
      <c r="D15" s="4"/>
      <c r="E15" s="4"/>
      <c r="F15" s="4"/>
      <c r="G15" s="6"/>
      <c r="H15" s="6"/>
      <c r="I15" s="6"/>
      <c r="J15" s="7">
        <f t="shared" si="0"/>
        <v>0</v>
      </c>
      <c r="K15" s="4"/>
      <c r="L15" s="4"/>
      <c r="M15" s="8" t="str">
        <f t="shared" si="1"/>
        <v>Не использовать как основание</v>
      </c>
      <c r="N15" s="4"/>
    </row>
    <row r="16" spans="1:26" ht="33.950000000000003" customHeight="1">
      <c r="A16" s="4"/>
      <c r="B16" s="4"/>
      <c r="C16" s="4"/>
      <c r="D16" s="4"/>
      <c r="E16" s="4"/>
      <c r="F16" s="4"/>
      <c r="G16" s="6"/>
      <c r="H16" s="6"/>
      <c r="I16" s="6"/>
      <c r="J16" s="7">
        <f t="shared" si="0"/>
        <v>0</v>
      </c>
      <c r="K16" s="4"/>
      <c r="L16" s="4"/>
      <c r="M16" s="8" t="str">
        <f t="shared" si="1"/>
        <v>Не использовать как основание</v>
      </c>
      <c r="N16" s="4"/>
    </row>
    <row r="17" spans="1:14" ht="33.950000000000003" customHeight="1">
      <c r="A17" s="4"/>
      <c r="B17" s="4"/>
      <c r="C17" s="4"/>
      <c r="D17" s="4"/>
      <c r="E17" s="4"/>
      <c r="F17" s="4"/>
      <c r="G17" s="6"/>
      <c r="H17" s="6"/>
      <c r="I17" s="6"/>
      <c r="J17" s="7">
        <f t="shared" si="0"/>
        <v>0</v>
      </c>
      <c r="K17" s="4"/>
      <c r="L17" s="4"/>
      <c r="M17" s="8" t="str">
        <f t="shared" si="1"/>
        <v>Не использовать как основание</v>
      </c>
      <c r="N17" s="4"/>
    </row>
    <row r="18" spans="1:14" ht="33.950000000000003" customHeight="1">
      <c r="A18" s="4"/>
      <c r="B18" s="4"/>
      <c r="C18" s="4"/>
      <c r="D18" s="4"/>
      <c r="E18" s="4"/>
      <c r="F18" s="4"/>
      <c r="G18" s="6"/>
      <c r="H18" s="6"/>
      <c r="I18" s="6"/>
      <c r="J18" s="7">
        <f t="shared" si="0"/>
        <v>0</v>
      </c>
      <c r="K18" s="4"/>
      <c r="L18" s="4"/>
      <c r="M18" s="8" t="str">
        <f t="shared" si="1"/>
        <v>Не использовать как основание</v>
      </c>
      <c r="N18" s="4"/>
    </row>
    <row r="19" spans="1:14" ht="33.950000000000003" customHeight="1">
      <c r="A19" s="4"/>
      <c r="B19" s="4"/>
      <c r="C19" s="4"/>
      <c r="D19" s="4"/>
      <c r="E19" s="4"/>
      <c r="F19" s="4"/>
      <c r="G19" s="6"/>
      <c r="H19" s="6"/>
      <c r="I19" s="6"/>
      <c r="J19" s="7">
        <f t="shared" si="0"/>
        <v>0</v>
      </c>
      <c r="K19" s="4"/>
      <c r="L19" s="4"/>
      <c r="M19" s="8" t="str">
        <f t="shared" si="1"/>
        <v>Не использовать как основание</v>
      </c>
      <c r="N19" s="4"/>
    </row>
    <row r="20" spans="1:14" ht="33.950000000000003" customHeight="1">
      <c r="A20" s="4"/>
      <c r="B20" s="4"/>
      <c r="C20" s="4"/>
      <c r="D20" s="4"/>
      <c r="E20" s="4"/>
      <c r="F20" s="4"/>
      <c r="G20" s="6"/>
      <c r="H20" s="6"/>
      <c r="I20" s="6"/>
      <c r="J20" s="7">
        <f t="shared" si="0"/>
        <v>0</v>
      </c>
      <c r="K20" s="4"/>
      <c r="L20" s="4"/>
      <c r="M20" s="8" t="str">
        <f t="shared" si="1"/>
        <v>Не использовать как основание</v>
      </c>
      <c r="N20" s="4"/>
    </row>
    <row r="21" spans="1:14" ht="33.950000000000003" customHeight="1">
      <c r="A21" s="4"/>
      <c r="B21" s="4"/>
      <c r="C21" s="4"/>
      <c r="D21" s="4"/>
      <c r="E21" s="4"/>
      <c r="F21" s="4"/>
      <c r="G21" s="6"/>
      <c r="H21" s="6"/>
      <c r="I21" s="6"/>
      <c r="J21" s="7">
        <f t="shared" si="0"/>
        <v>0</v>
      </c>
      <c r="K21" s="4"/>
      <c r="L21" s="4"/>
      <c r="M21" s="8" t="str">
        <f t="shared" si="1"/>
        <v>Не использовать как основание</v>
      </c>
      <c r="N21" s="4"/>
    </row>
    <row r="22" spans="1:14" ht="33.950000000000003" customHeight="1">
      <c r="A22" s="4"/>
      <c r="B22" s="4"/>
      <c r="C22" s="4"/>
      <c r="D22" s="4"/>
      <c r="E22" s="4"/>
      <c r="F22" s="4"/>
      <c r="G22" s="6"/>
      <c r="H22" s="6"/>
      <c r="I22" s="6"/>
      <c r="J22" s="7">
        <f t="shared" si="0"/>
        <v>0</v>
      </c>
      <c r="K22" s="4"/>
      <c r="L22" s="4"/>
      <c r="M22" s="8" t="str">
        <f t="shared" si="1"/>
        <v>Не использовать как основание</v>
      </c>
      <c r="N22" s="4"/>
    </row>
    <row r="23" spans="1:14" ht="33.950000000000003" customHeight="1">
      <c r="A23" s="4"/>
      <c r="B23" s="4"/>
      <c r="C23" s="4"/>
      <c r="D23" s="4"/>
      <c r="E23" s="4"/>
      <c r="F23" s="4"/>
      <c r="G23" s="6"/>
      <c r="H23" s="6"/>
      <c r="I23" s="6"/>
      <c r="J23" s="7">
        <f t="shared" si="0"/>
        <v>0</v>
      </c>
      <c r="K23" s="4"/>
      <c r="L23" s="4"/>
      <c r="M23" s="8" t="str">
        <f t="shared" si="1"/>
        <v>Не использовать как основание</v>
      </c>
      <c r="N23" s="4"/>
    </row>
    <row r="24" spans="1:14" ht="33.950000000000003" customHeight="1">
      <c r="A24" s="4"/>
      <c r="B24" s="4"/>
      <c r="C24" s="4"/>
      <c r="D24" s="4"/>
      <c r="E24" s="4"/>
      <c r="F24" s="4"/>
      <c r="G24" s="6"/>
      <c r="H24" s="6"/>
      <c r="I24" s="6"/>
      <c r="J24" s="7">
        <f t="shared" si="0"/>
        <v>0</v>
      </c>
      <c r="K24" s="4"/>
      <c r="L24" s="4"/>
      <c r="M24" s="8" t="str">
        <f t="shared" si="1"/>
        <v>Не использовать как основание</v>
      </c>
      <c r="N24" s="4"/>
    </row>
    <row r="25" spans="1:14" ht="33.950000000000003" customHeight="1">
      <c r="A25" s="4"/>
      <c r="B25" s="4"/>
      <c r="C25" s="4"/>
      <c r="D25" s="4"/>
      <c r="E25" s="4"/>
      <c r="F25" s="4"/>
      <c r="G25" s="6"/>
      <c r="H25" s="6"/>
      <c r="I25" s="6"/>
      <c r="J25" s="7">
        <f t="shared" si="0"/>
        <v>0</v>
      </c>
      <c r="K25" s="4"/>
      <c r="L25" s="4"/>
      <c r="M25" s="8" t="str">
        <f t="shared" si="1"/>
        <v>Не использовать как основание</v>
      </c>
      <c r="N25" s="4"/>
    </row>
    <row r="26" spans="1:14" ht="33.950000000000003" customHeight="1">
      <c r="A26" s="4"/>
      <c r="B26" s="4"/>
      <c r="C26" s="4"/>
      <c r="D26" s="4"/>
      <c r="E26" s="4"/>
      <c r="F26" s="4"/>
      <c r="G26" s="6"/>
      <c r="H26" s="6"/>
      <c r="I26" s="6"/>
      <c r="J26" s="7">
        <f t="shared" si="0"/>
        <v>0</v>
      </c>
      <c r="K26" s="4"/>
      <c r="L26" s="4"/>
      <c r="M26" s="8" t="str">
        <f t="shared" si="1"/>
        <v>Не использовать как основание</v>
      </c>
      <c r="N26" s="4"/>
    </row>
    <row r="27" spans="1:14" ht="33.950000000000003" customHeight="1">
      <c r="A27" s="4"/>
      <c r="B27" s="4"/>
      <c r="C27" s="4"/>
      <c r="D27" s="4"/>
      <c r="E27" s="4"/>
      <c r="F27" s="4"/>
      <c r="G27" s="6"/>
      <c r="H27" s="6"/>
      <c r="I27" s="6"/>
      <c r="J27" s="7">
        <f t="shared" si="0"/>
        <v>0</v>
      </c>
      <c r="K27" s="4"/>
      <c r="L27" s="4"/>
      <c r="M27" s="8" t="str">
        <f t="shared" si="1"/>
        <v>Не использовать как основание</v>
      </c>
      <c r="N27" s="4"/>
    </row>
    <row r="28" spans="1:14" ht="33.950000000000003" customHeight="1">
      <c r="A28" s="4"/>
      <c r="B28" s="4"/>
      <c r="C28" s="4"/>
      <c r="D28" s="4"/>
      <c r="E28" s="4"/>
      <c r="F28" s="4"/>
      <c r="G28" s="6"/>
      <c r="H28" s="6"/>
      <c r="I28" s="6"/>
      <c r="J28" s="7">
        <f t="shared" si="0"/>
        <v>0</v>
      </c>
      <c r="K28" s="4"/>
      <c r="L28" s="4"/>
      <c r="M28" s="8" t="str">
        <f t="shared" si="1"/>
        <v>Не использовать как основание</v>
      </c>
      <c r="N28" s="4"/>
    </row>
    <row r="29" spans="1:14" ht="33.950000000000003" customHeight="1">
      <c r="A29" s="4"/>
      <c r="B29" s="4"/>
      <c r="C29" s="4"/>
      <c r="D29" s="4"/>
      <c r="E29" s="4"/>
      <c r="F29" s="4"/>
      <c r="G29" s="6"/>
      <c r="H29" s="6"/>
      <c r="I29" s="6"/>
      <c r="J29" s="7">
        <f t="shared" si="0"/>
        <v>0</v>
      </c>
      <c r="K29" s="4"/>
      <c r="L29" s="4"/>
      <c r="M29" s="8" t="str">
        <f t="shared" si="1"/>
        <v>Не использовать как основание</v>
      </c>
      <c r="N29" s="4"/>
    </row>
    <row r="30" spans="1:14" ht="33.950000000000003" customHeight="1">
      <c r="A30" s="4"/>
      <c r="B30" s="4"/>
      <c r="C30" s="4"/>
      <c r="D30" s="4"/>
      <c r="E30" s="4"/>
      <c r="F30" s="4"/>
      <c r="G30" s="6"/>
      <c r="H30" s="6"/>
      <c r="I30" s="6"/>
      <c r="J30" s="7">
        <f t="shared" si="0"/>
        <v>0</v>
      </c>
      <c r="K30" s="4"/>
      <c r="L30" s="4"/>
      <c r="M30" s="8" t="str">
        <f t="shared" si="1"/>
        <v>Не использовать как основание</v>
      </c>
      <c r="N30" s="4"/>
    </row>
    <row r="31" spans="1:14" ht="33.950000000000003" customHeight="1">
      <c r="A31" s="4"/>
      <c r="B31" s="4"/>
      <c r="C31" s="4"/>
      <c r="D31" s="4"/>
      <c r="E31" s="4"/>
      <c r="F31" s="4"/>
      <c r="G31" s="6"/>
      <c r="H31" s="6"/>
      <c r="I31" s="6"/>
      <c r="J31" s="7">
        <f t="shared" si="0"/>
        <v>0</v>
      </c>
      <c r="K31" s="4"/>
      <c r="L31" s="4"/>
      <c r="M31" s="8" t="str">
        <f t="shared" si="1"/>
        <v>Не использовать как основание</v>
      </c>
      <c r="N31" s="4"/>
    </row>
    <row r="32" spans="1:14" ht="33.950000000000003" customHeight="1">
      <c r="A32" s="4"/>
      <c r="B32" s="4"/>
      <c r="C32" s="4"/>
      <c r="D32" s="4"/>
      <c r="E32" s="4"/>
      <c r="F32" s="4"/>
      <c r="G32" s="6"/>
      <c r="H32" s="6"/>
      <c r="I32" s="6"/>
      <c r="J32" s="7">
        <f t="shared" si="0"/>
        <v>0</v>
      </c>
      <c r="K32" s="4"/>
      <c r="L32" s="4"/>
      <c r="M32" s="8" t="str">
        <f t="shared" si="1"/>
        <v>Не использовать как основание</v>
      </c>
      <c r="N32" s="4"/>
    </row>
    <row r="33" spans="1:14" ht="33.950000000000003" customHeight="1">
      <c r="A33" s="4"/>
      <c r="B33" s="4"/>
      <c r="C33" s="4"/>
      <c r="D33" s="4"/>
      <c r="E33" s="4"/>
      <c r="F33" s="4"/>
      <c r="G33" s="6"/>
      <c r="H33" s="6"/>
      <c r="I33" s="6"/>
      <c r="J33" s="7">
        <f t="shared" si="0"/>
        <v>0</v>
      </c>
      <c r="K33" s="4"/>
      <c r="L33" s="4"/>
      <c r="M33" s="8" t="str">
        <f t="shared" si="1"/>
        <v>Не использовать как основание</v>
      </c>
      <c r="N33" s="4"/>
    </row>
    <row r="34" spans="1:14" ht="33.950000000000003" customHeight="1">
      <c r="A34" s="4"/>
      <c r="B34" s="4"/>
      <c r="C34" s="4"/>
      <c r="D34" s="4"/>
      <c r="E34" s="4"/>
      <c r="F34" s="4"/>
      <c r="G34" s="6"/>
      <c r="H34" s="6"/>
      <c r="I34" s="6"/>
      <c r="J34" s="7">
        <f t="shared" si="0"/>
        <v>0</v>
      </c>
      <c r="K34" s="4"/>
      <c r="L34" s="4"/>
      <c r="M34" s="8" t="str">
        <f t="shared" si="1"/>
        <v>Не использовать как основание</v>
      </c>
      <c r="N34" s="4"/>
    </row>
    <row r="35" spans="1:14" ht="33.950000000000003" customHeight="1">
      <c r="A35" s="4"/>
      <c r="B35" s="4"/>
      <c r="C35" s="4"/>
      <c r="D35" s="4"/>
      <c r="E35" s="4"/>
      <c r="F35" s="4"/>
      <c r="G35" s="6"/>
      <c r="H35" s="6"/>
      <c r="I35" s="6"/>
      <c r="J35" s="7">
        <f t="shared" si="0"/>
        <v>0</v>
      </c>
      <c r="K35" s="4"/>
      <c r="L35" s="4"/>
      <c r="M35" s="8" t="str">
        <f t="shared" si="1"/>
        <v>Не использовать как основание</v>
      </c>
      <c r="N35" s="4"/>
    </row>
    <row r="36" spans="1:14" ht="33.950000000000003" customHeight="1">
      <c r="A36" s="4"/>
      <c r="B36" s="4"/>
      <c r="C36" s="4"/>
      <c r="D36" s="4"/>
      <c r="E36" s="4"/>
      <c r="F36" s="4"/>
      <c r="G36" s="6"/>
      <c r="H36" s="6"/>
      <c r="I36" s="6"/>
      <c r="J36" s="7">
        <f t="shared" ref="J36:J67" si="2">IFERROR((G36*H36)*(6-I36)/20,"")</f>
        <v>0</v>
      </c>
      <c r="K36" s="4"/>
      <c r="L36" s="4"/>
      <c r="M36" s="8" t="str">
        <f t="shared" ref="M36:M67" si="3">IF(J36="","",IF(J36&gt;=3,"Использовать",IF(J36&gt;=1.8,"Проверить дополнительно","Не использовать как основание")))</f>
        <v>Не использовать как основание</v>
      </c>
      <c r="N36" s="4"/>
    </row>
    <row r="37" spans="1:14" ht="33.950000000000003" customHeight="1">
      <c r="A37" s="4"/>
      <c r="B37" s="4"/>
      <c r="C37" s="4"/>
      <c r="D37" s="4"/>
      <c r="E37" s="4"/>
      <c r="F37" s="4"/>
      <c r="G37" s="6"/>
      <c r="H37" s="6"/>
      <c r="I37" s="6"/>
      <c r="J37" s="7">
        <f t="shared" si="2"/>
        <v>0</v>
      </c>
      <c r="K37" s="4"/>
      <c r="L37" s="4"/>
      <c r="M37" s="8" t="str">
        <f t="shared" si="3"/>
        <v>Не использовать как основание</v>
      </c>
      <c r="N37" s="4"/>
    </row>
    <row r="38" spans="1:14" ht="33.950000000000003" customHeight="1">
      <c r="A38" s="4"/>
      <c r="B38" s="4"/>
      <c r="C38" s="4"/>
      <c r="D38" s="4"/>
      <c r="E38" s="4"/>
      <c r="F38" s="4"/>
      <c r="G38" s="6"/>
      <c r="H38" s="6"/>
      <c r="I38" s="6"/>
      <c r="J38" s="7">
        <f t="shared" si="2"/>
        <v>0</v>
      </c>
      <c r="K38" s="4"/>
      <c r="L38" s="4"/>
      <c r="M38" s="8" t="str">
        <f t="shared" si="3"/>
        <v>Не использовать как основание</v>
      </c>
      <c r="N38" s="4"/>
    </row>
    <row r="39" spans="1:14" ht="33.950000000000003" customHeight="1">
      <c r="A39" s="4"/>
      <c r="B39" s="4"/>
      <c r="C39" s="4"/>
      <c r="D39" s="4"/>
      <c r="E39" s="4"/>
      <c r="F39" s="4"/>
      <c r="G39" s="6"/>
      <c r="H39" s="6"/>
      <c r="I39" s="6"/>
      <c r="J39" s="7">
        <f t="shared" si="2"/>
        <v>0</v>
      </c>
      <c r="K39" s="4"/>
      <c r="L39" s="4"/>
      <c r="M39" s="8" t="str">
        <f t="shared" si="3"/>
        <v>Не использовать как основание</v>
      </c>
      <c r="N39" s="4"/>
    </row>
    <row r="40" spans="1:14" ht="33.950000000000003" customHeight="1">
      <c r="A40" s="4"/>
      <c r="B40" s="4"/>
      <c r="C40" s="4"/>
      <c r="D40" s="4"/>
      <c r="E40" s="4"/>
      <c r="F40" s="4"/>
      <c r="G40" s="6"/>
      <c r="H40" s="6"/>
      <c r="I40" s="6"/>
      <c r="J40" s="7">
        <f t="shared" si="2"/>
        <v>0</v>
      </c>
      <c r="K40" s="4"/>
      <c r="L40" s="4"/>
      <c r="M40" s="8" t="str">
        <f t="shared" si="3"/>
        <v>Не использовать как основание</v>
      </c>
      <c r="N40" s="4"/>
    </row>
    <row r="41" spans="1:14" ht="33.950000000000003" customHeight="1">
      <c r="A41" s="4"/>
      <c r="B41" s="4"/>
      <c r="C41" s="4"/>
      <c r="D41" s="4"/>
      <c r="E41" s="4"/>
      <c r="F41" s="4"/>
      <c r="G41" s="6"/>
      <c r="H41" s="6"/>
      <c r="I41" s="6"/>
      <c r="J41" s="7">
        <f t="shared" si="2"/>
        <v>0</v>
      </c>
      <c r="K41" s="4"/>
      <c r="L41" s="4"/>
      <c r="M41" s="8" t="str">
        <f t="shared" si="3"/>
        <v>Не использовать как основание</v>
      </c>
      <c r="N41" s="4"/>
    </row>
    <row r="42" spans="1:14" ht="33.950000000000003" customHeight="1">
      <c r="A42" s="4"/>
      <c r="B42" s="4"/>
      <c r="C42" s="4"/>
      <c r="D42" s="4"/>
      <c r="E42" s="4"/>
      <c r="F42" s="4"/>
      <c r="G42" s="6"/>
      <c r="H42" s="6"/>
      <c r="I42" s="6"/>
      <c r="J42" s="7">
        <f t="shared" si="2"/>
        <v>0</v>
      </c>
      <c r="K42" s="4"/>
      <c r="L42" s="4"/>
      <c r="M42" s="8" t="str">
        <f t="shared" si="3"/>
        <v>Не использовать как основание</v>
      </c>
      <c r="N42" s="4"/>
    </row>
    <row r="43" spans="1:14" ht="33.950000000000003" customHeight="1">
      <c r="A43" s="4"/>
      <c r="B43" s="4"/>
      <c r="C43" s="4"/>
      <c r="D43" s="4"/>
      <c r="E43" s="4"/>
      <c r="F43" s="4"/>
      <c r="G43" s="6"/>
      <c r="H43" s="6"/>
      <c r="I43" s="6"/>
      <c r="J43" s="7">
        <f t="shared" si="2"/>
        <v>0</v>
      </c>
      <c r="K43" s="4"/>
      <c r="L43" s="4"/>
      <c r="M43" s="8" t="str">
        <f t="shared" si="3"/>
        <v>Не использовать как основание</v>
      </c>
      <c r="N43" s="4"/>
    </row>
    <row r="44" spans="1:14" ht="33.950000000000003" customHeight="1">
      <c r="A44" s="4"/>
      <c r="B44" s="4"/>
      <c r="C44" s="4"/>
      <c r="D44" s="4"/>
      <c r="E44" s="4"/>
      <c r="F44" s="4"/>
      <c r="G44" s="6"/>
      <c r="H44" s="6"/>
      <c r="I44" s="6"/>
      <c r="J44" s="7">
        <f t="shared" si="2"/>
        <v>0</v>
      </c>
      <c r="K44" s="4"/>
      <c r="L44" s="4"/>
      <c r="M44" s="8" t="str">
        <f t="shared" si="3"/>
        <v>Не использовать как основание</v>
      </c>
      <c r="N44" s="4"/>
    </row>
    <row r="45" spans="1:14" ht="33.950000000000003" customHeight="1">
      <c r="A45" s="4"/>
      <c r="B45" s="4"/>
      <c r="C45" s="4"/>
      <c r="D45" s="4"/>
      <c r="E45" s="4"/>
      <c r="F45" s="4"/>
      <c r="G45" s="6"/>
      <c r="H45" s="6"/>
      <c r="I45" s="6"/>
      <c r="J45" s="7">
        <f t="shared" si="2"/>
        <v>0</v>
      </c>
      <c r="K45" s="4"/>
      <c r="L45" s="4"/>
      <c r="M45" s="8" t="str">
        <f t="shared" si="3"/>
        <v>Не использовать как основание</v>
      </c>
      <c r="N45" s="4"/>
    </row>
    <row r="46" spans="1:14" ht="33.950000000000003" customHeight="1">
      <c r="A46" s="4"/>
      <c r="B46" s="4"/>
      <c r="C46" s="4"/>
      <c r="D46" s="4"/>
      <c r="E46" s="4"/>
      <c r="F46" s="4"/>
      <c r="G46" s="6"/>
      <c r="H46" s="6"/>
      <c r="I46" s="6"/>
      <c r="J46" s="7">
        <f t="shared" si="2"/>
        <v>0</v>
      </c>
      <c r="K46" s="4"/>
      <c r="L46" s="4"/>
      <c r="M46" s="8" t="str">
        <f t="shared" si="3"/>
        <v>Не использовать как основание</v>
      </c>
      <c r="N46" s="4"/>
    </row>
    <row r="47" spans="1:14" ht="33.950000000000003" customHeight="1">
      <c r="A47" s="4"/>
      <c r="B47" s="4"/>
      <c r="C47" s="4"/>
      <c r="D47" s="4"/>
      <c r="E47" s="4"/>
      <c r="F47" s="4"/>
      <c r="G47" s="6"/>
      <c r="H47" s="6"/>
      <c r="I47" s="6"/>
      <c r="J47" s="7">
        <f t="shared" si="2"/>
        <v>0</v>
      </c>
      <c r="K47" s="4"/>
      <c r="L47" s="4"/>
      <c r="M47" s="8" t="str">
        <f t="shared" si="3"/>
        <v>Не использовать как основание</v>
      </c>
      <c r="N47" s="4"/>
    </row>
    <row r="48" spans="1:14" ht="33.950000000000003" customHeight="1">
      <c r="A48" s="4"/>
      <c r="B48" s="4"/>
      <c r="C48" s="4"/>
      <c r="D48" s="4"/>
      <c r="E48" s="4"/>
      <c r="F48" s="4"/>
      <c r="G48" s="6"/>
      <c r="H48" s="6"/>
      <c r="I48" s="6"/>
      <c r="J48" s="7">
        <f t="shared" si="2"/>
        <v>0</v>
      </c>
      <c r="K48" s="4"/>
      <c r="L48" s="4"/>
      <c r="M48" s="8" t="str">
        <f t="shared" si="3"/>
        <v>Не использовать как основание</v>
      </c>
      <c r="N48" s="4"/>
    </row>
    <row r="49" spans="1:14" ht="33.950000000000003" customHeight="1">
      <c r="A49" s="4"/>
      <c r="B49" s="4"/>
      <c r="C49" s="4"/>
      <c r="D49" s="4"/>
      <c r="E49" s="4"/>
      <c r="F49" s="4"/>
      <c r="G49" s="6"/>
      <c r="H49" s="6"/>
      <c r="I49" s="6"/>
      <c r="J49" s="7">
        <f t="shared" si="2"/>
        <v>0</v>
      </c>
      <c r="K49" s="4"/>
      <c r="L49" s="4"/>
      <c r="M49" s="8" t="str">
        <f t="shared" si="3"/>
        <v>Не использовать как основание</v>
      </c>
      <c r="N49" s="4"/>
    </row>
    <row r="50" spans="1:14" ht="33.950000000000003" customHeight="1">
      <c r="A50" s="4"/>
      <c r="B50" s="4"/>
      <c r="C50" s="4"/>
      <c r="D50" s="4"/>
      <c r="E50" s="4"/>
      <c r="F50" s="4"/>
      <c r="G50" s="6"/>
      <c r="H50" s="6"/>
      <c r="I50" s="6"/>
      <c r="J50" s="7">
        <f t="shared" si="2"/>
        <v>0</v>
      </c>
      <c r="K50" s="4"/>
      <c r="L50" s="4"/>
      <c r="M50" s="8" t="str">
        <f t="shared" si="3"/>
        <v>Не использовать как основание</v>
      </c>
      <c r="N50" s="4"/>
    </row>
    <row r="51" spans="1:14" ht="33.950000000000003" customHeight="1">
      <c r="A51" s="4"/>
      <c r="B51" s="4"/>
      <c r="C51" s="4"/>
      <c r="D51" s="4"/>
      <c r="E51" s="4"/>
      <c r="F51" s="4"/>
      <c r="G51" s="6"/>
      <c r="H51" s="6"/>
      <c r="I51" s="6"/>
      <c r="J51" s="7">
        <f t="shared" si="2"/>
        <v>0</v>
      </c>
      <c r="K51" s="4"/>
      <c r="L51" s="4"/>
      <c r="M51" s="8" t="str">
        <f t="shared" si="3"/>
        <v>Не использовать как основание</v>
      </c>
      <c r="N51" s="4"/>
    </row>
    <row r="52" spans="1:14" ht="33.950000000000003" customHeight="1">
      <c r="A52" s="4"/>
      <c r="B52" s="4"/>
      <c r="C52" s="4"/>
      <c r="D52" s="4"/>
      <c r="E52" s="4"/>
      <c r="F52" s="4"/>
      <c r="G52" s="6"/>
      <c r="H52" s="6"/>
      <c r="I52" s="6"/>
      <c r="J52" s="7">
        <f t="shared" si="2"/>
        <v>0</v>
      </c>
      <c r="K52" s="4"/>
      <c r="L52" s="4"/>
      <c r="M52" s="8" t="str">
        <f t="shared" si="3"/>
        <v>Не использовать как основание</v>
      </c>
      <c r="N52" s="4"/>
    </row>
    <row r="53" spans="1:14" ht="33.950000000000003" customHeight="1">
      <c r="A53" s="4"/>
      <c r="B53" s="4"/>
      <c r="C53" s="4"/>
      <c r="D53" s="4"/>
      <c r="E53" s="4"/>
      <c r="F53" s="4"/>
      <c r="G53" s="6"/>
      <c r="H53" s="6"/>
      <c r="I53" s="6"/>
      <c r="J53" s="7">
        <f t="shared" si="2"/>
        <v>0</v>
      </c>
      <c r="K53" s="4"/>
      <c r="L53" s="4"/>
      <c r="M53" s="8" t="str">
        <f t="shared" si="3"/>
        <v>Не использовать как основание</v>
      </c>
      <c r="N53" s="4"/>
    </row>
    <row r="54" spans="1:14" ht="33.950000000000003" customHeight="1">
      <c r="A54" s="4"/>
      <c r="B54" s="4"/>
      <c r="C54" s="4"/>
      <c r="D54" s="4"/>
      <c r="E54" s="4"/>
      <c r="F54" s="4"/>
      <c r="G54" s="6"/>
      <c r="H54" s="6"/>
      <c r="I54" s="6"/>
      <c r="J54" s="7">
        <f t="shared" si="2"/>
        <v>0</v>
      </c>
      <c r="K54" s="4"/>
      <c r="L54" s="4"/>
      <c r="M54" s="8" t="str">
        <f t="shared" si="3"/>
        <v>Не использовать как основание</v>
      </c>
      <c r="N54" s="4"/>
    </row>
    <row r="55" spans="1:14" ht="33.950000000000003" customHeight="1">
      <c r="A55" s="4"/>
      <c r="B55" s="4"/>
      <c r="C55" s="4"/>
      <c r="D55" s="4"/>
      <c r="E55" s="4"/>
      <c r="F55" s="4"/>
      <c r="G55" s="6"/>
      <c r="H55" s="6"/>
      <c r="I55" s="6"/>
      <c r="J55" s="7">
        <f t="shared" si="2"/>
        <v>0</v>
      </c>
      <c r="K55" s="4"/>
      <c r="L55" s="4"/>
      <c r="M55" s="8" t="str">
        <f t="shared" si="3"/>
        <v>Не использовать как основание</v>
      </c>
      <c r="N55" s="4"/>
    </row>
    <row r="56" spans="1:14" ht="33.950000000000003" customHeight="1">
      <c r="A56" s="4"/>
      <c r="B56" s="4"/>
      <c r="C56" s="4"/>
      <c r="D56" s="4"/>
      <c r="E56" s="4"/>
      <c r="F56" s="4"/>
      <c r="G56" s="6"/>
      <c r="H56" s="6"/>
      <c r="I56" s="6"/>
      <c r="J56" s="7">
        <f t="shared" si="2"/>
        <v>0</v>
      </c>
      <c r="K56" s="4"/>
      <c r="L56" s="4"/>
      <c r="M56" s="8" t="str">
        <f t="shared" si="3"/>
        <v>Не использовать как основание</v>
      </c>
      <c r="N56" s="4"/>
    </row>
    <row r="57" spans="1:14" ht="33.950000000000003" customHeight="1">
      <c r="A57" s="4"/>
      <c r="B57" s="4"/>
      <c r="C57" s="4"/>
      <c r="D57" s="4"/>
      <c r="E57" s="4"/>
      <c r="F57" s="4"/>
      <c r="G57" s="6"/>
      <c r="H57" s="6"/>
      <c r="I57" s="6"/>
      <c r="J57" s="7">
        <f t="shared" si="2"/>
        <v>0</v>
      </c>
      <c r="K57" s="4"/>
      <c r="L57" s="4"/>
      <c r="M57" s="8" t="str">
        <f t="shared" si="3"/>
        <v>Не использовать как основание</v>
      </c>
      <c r="N57" s="4"/>
    </row>
    <row r="58" spans="1:14" ht="33.950000000000003" customHeight="1">
      <c r="A58" s="4"/>
      <c r="B58" s="4"/>
      <c r="C58" s="4"/>
      <c r="D58" s="4"/>
      <c r="E58" s="4"/>
      <c r="F58" s="4"/>
      <c r="G58" s="6"/>
      <c r="H58" s="6"/>
      <c r="I58" s="6"/>
      <c r="J58" s="7">
        <f t="shared" si="2"/>
        <v>0</v>
      </c>
      <c r="K58" s="4"/>
      <c r="L58" s="4"/>
      <c r="M58" s="8" t="str">
        <f t="shared" si="3"/>
        <v>Не использовать как основание</v>
      </c>
      <c r="N58" s="4"/>
    </row>
    <row r="59" spans="1:14" ht="33.950000000000003" customHeight="1">
      <c r="A59" s="4"/>
      <c r="B59" s="4"/>
      <c r="C59" s="4"/>
      <c r="D59" s="4"/>
      <c r="E59" s="4"/>
      <c r="F59" s="4"/>
      <c r="G59" s="6"/>
      <c r="H59" s="6"/>
      <c r="I59" s="6"/>
      <c r="J59" s="7">
        <f t="shared" si="2"/>
        <v>0</v>
      </c>
      <c r="K59" s="4"/>
      <c r="L59" s="4"/>
      <c r="M59" s="8" t="str">
        <f t="shared" si="3"/>
        <v>Не использовать как основание</v>
      </c>
      <c r="N59" s="4"/>
    </row>
    <row r="60" spans="1:14" ht="33.950000000000003" customHeight="1">
      <c r="A60" s="4"/>
      <c r="B60" s="4"/>
      <c r="C60" s="4"/>
      <c r="D60" s="4"/>
      <c r="E60" s="4"/>
      <c r="F60" s="4"/>
      <c r="G60" s="6"/>
      <c r="H60" s="6"/>
      <c r="I60" s="6"/>
      <c r="J60" s="7">
        <f t="shared" si="2"/>
        <v>0</v>
      </c>
      <c r="K60" s="4"/>
      <c r="L60" s="4"/>
      <c r="M60" s="8" t="str">
        <f t="shared" si="3"/>
        <v>Не использовать как основание</v>
      </c>
      <c r="N60" s="4"/>
    </row>
    <row r="61" spans="1:14" ht="33.950000000000003" customHeight="1">
      <c r="A61" s="4"/>
      <c r="B61" s="4"/>
      <c r="C61" s="4"/>
      <c r="D61" s="4"/>
      <c r="E61" s="4"/>
      <c r="F61" s="4"/>
      <c r="G61" s="6"/>
      <c r="H61" s="6"/>
      <c r="I61" s="6"/>
      <c r="J61" s="7">
        <f t="shared" si="2"/>
        <v>0</v>
      </c>
      <c r="K61" s="4"/>
      <c r="L61" s="4"/>
      <c r="M61" s="8" t="str">
        <f t="shared" si="3"/>
        <v>Не использовать как основание</v>
      </c>
      <c r="N61" s="4"/>
    </row>
    <row r="62" spans="1:14" ht="33.950000000000003" customHeight="1">
      <c r="A62" s="4"/>
      <c r="B62" s="4"/>
      <c r="C62" s="4"/>
      <c r="D62" s="4"/>
      <c r="E62" s="4"/>
      <c r="F62" s="4"/>
      <c r="G62" s="6"/>
      <c r="H62" s="6"/>
      <c r="I62" s="6"/>
      <c r="J62" s="7">
        <f t="shared" si="2"/>
        <v>0</v>
      </c>
      <c r="K62" s="4"/>
      <c r="L62" s="4"/>
      <c r="M62" s="8" t="str">
        <f t="shared" si="3"/>
        <v>Не использовать как основание</v>
      </c>
      <c r="N62" s="4"/>
    </row>
    <row r="63" spans="1:14" ht="33.950000000000003" customHeight="1">
      <c r="A63" s="4"/>
      <c r="B63" s="4"/>
      <c r="C63" s="4"/>
      <c r="D63" s="4"/>
      <c r="E63" s="4"/>
      <c r="F63" s="4"/>
      <c r="G63" s="6"/>
      <c r="H63" s="6"/>
      <c r="I63" s="6"/>
      <c r="J63" s="7">
        <f t="shared" si="2"/>
        <v>0</v>
      </c>
      <c r="K63" s="4"/>
      <c r="L63" s="4"/>
      <c r="M63" s="8" t="str">
        <f t="shared" si="3"/>
        <v>Не использовать как основание</v>
      </c>
      <c r="N63" s="4"/>
    </row>
    <row r="64" spans="1:14" ht="33.950000000000003" customHeight="1">
      <c r="A64" s="4"/>
      <c r="B64" s="4"/>
      <c r="C64" s="4"/>
      <c r="D64" s="4"/>
      <c r="E64" s="4"/>
      <c r="F64" s="4"/>
      <c r="G64" s="6"/>
      <c r="H64" s="6"/>
      <c r="I64" s="6"/>
      <c r="J64" s="7">
        <f t="shared" si="2"/>
        <v>0</v>
      </c>
      <c r="K64" s="4"/>
      <c r="L64" s="4"/>
      <c r="M64" s="8" t="str">
        <f t="shared" si="3"/>
        <v>Не использовать как основание</v>
      </c>
      <c r="N64" s="4"/>
    </row>
    <row r="65" spans="1:14" ht="33.950000000000003" customHeight="1">
      <c r="A65" s="4"/>
      <c r="B65" s="4"/>
      <c r="C65" s="4"/>
      <c r="D65" s="4"/>
      <c r="E65" s="4"/>
      <c r="F65" s="4"/>
      <c r="G65" s="6"/>
      <c r="H65" s="6"/>
      <c r="I65" s="6"/>
      <c r="J65" s="7">
        <f t="shared" si="2"/>
        <v>0</v>
      </c>
      <c r="K65" s="4"/>
      <c r="L65" s="4"/>
      <c r="M65" s="8" t="str">
        <f t="shared" si="3"/>
        <v>Не использовать как основание</v>
      </c>
      <c r="N65" s="4"/>
    </row>
    <row r="66" spans="1:14" ht="33.950000000000003" customHeight="1">
      <c r="A66" s="4"/>
      <c r="B66" s="4"/>
      <c r="C66" s="4"/>
      <c r="D66" s="4"/>
      <c r="E66" s="4"/>
      <c r="F66" s="4"/>
      <c r="G66" s="6"/>
      <c r="H66" s="6"/>
      <c r="I66" s="6"/>
      <c r="J66" s="7">
        <f t="shared" si="2"/>
        <v>0</v>
      </c>
      <c r="K66" s="4"/>
      <c r="L66" s="4"/>
      <c r="M66" s="8" t="str">
        <f t="shared" si="3"/>
        <v>Не использовать как основание</v>
      </c>
      <c r="N66" s="4"/>
    </row>
    <row r="67" spans="1:14" ht="33.950000000000003" customHeight="1">
      <c r="A67" s="4"/>
      <c r="B67" s="4"/>
      <c r="C67" s="4"/>
      <c r="D67" s="4"/>
      <c r="E67" s="4"/>
      <c r="F67" s="4"/>
      <c r="G67" s="6"/>
      <c r="H67" s="6"/>
      <c r="I67" s="6"/>
      <c r="J67" s="7">
        <f t="shared" si="2"/>
        <v>0</v>
      </c>
      <c r="K67" s="4"/>
      <c r="L67" s="4"/>
      <c r="M67" s="8" t="str">
        <f t="shared" si="3"/>
        <v>Не использовать как основание</v>
      </c>
      <c r="N67" s="4"/>
    </row>
    <row r="68" spans="1:14" ht="33.950000000000003" customHeight="1">
      <c r="A68" s="4"/>
      <c r="B68" s="4"/>
      <c r="C68" s="4"/>
      <c r="D68" s="4"/>
      <c r="E68" s="4"/>
      <c r="F68" s="4"/>
      <c r="G68" s="6"/>
      <c r="H68" s="6"/>
      <c r="I68" s="6"/>
      <c r="J68" s="7">
        <f t="shared" ref="J68:J99" si="4">IFERROR((G68*H68)*(6-I68)/20,"")</f>
        <v>0</v>
      </c>
      <c r="K68" s="4"/>
      <c r="L68" s="4"/>
      <c r="M68" s="8" t="str">
        <f t="shared" ref="M68:M99" si="5">IF(J68="","",IF(J68&gt;=3,"Использовать",IF(J68&gt;=1.8,"Проверить дополнительно","Не использовать как основание")))</f>
        <v>Не использовать как основание</v>
      </c>
      <c r="N68" s="4"/>
    </row>
    <row r="69" spans="1:14" ht="33.950000000000003" customHeight="1">
      <c r="A69" s="4"/>
      <c r="B69" s="4"/>
      <c r="C69" s="4"/>
      <c r="D69" s="4"/>
      <c r="E69" s="4"/>
      <c r="F69" s="4"/>
      <c r="G69" s="6"/>
      <c r="H69" s="6"/>
      <c r="I69" s="6"/>
      <c r="J69" s="7">
        <f t="shared" si="4"/>
        <v>0</v>
      </c>
      <c r="K69" s="4"/>
      <c r="L69" s="4"/>
      <c r="M69" s="8" t="str">
        <f t="shared" si="5"/>
        <v>Не использовать как основание</v>
      </c>
      <c r="N69" s="4"/>
    </row>
    <row r="70" spans="1:14" ht="33.950000000000003" customHeight="1">
      <c r="A70" s="4"/>
      <c r="B70" s="4"/>
      <c r="C70" s="4"/>
      <c r="D70" s="4"/>
      <c r="E70" s="4"/>
      <c r="F70" s="4"/>
      <c r="G70" s="6"/>
      <c r="H70" s="6"/>
      <c r="I70" s="6"/>
      <c r="J70" s="7">
        <f t="shared" si="4"/>
        <v>0</v>
      </c>
      <c r="K70" s="4"/>
      <c r="L70" s="4"/>
      <c r="M70" s="8" t="str">
        <f t="shared" si="5"/>
        <v>Не использовать как основание</v>
      </c>
      <c r="N70" s="4"/>
    </row>
    <row r="71" spans="1:14" ht="33.950000000000003" customHeight="1">
      <c r="A71" s="4"/>
      <c r="B71" s="4"/>
      <c r="C71" s="4"/>
      <c r="D71" s="4"/>
      <c r="E71" s="4"/>
      <c r="F71" s="4"/>
      <c r="G71" s="6"/>
      <c r="H71" s="6"/>
      <c r="I71" s="6"/>
      <c r="J71" s="7">
        <f t="shared" si="4"/>
        <v>0</v>
      </c>
      <c r="K71" s="4"/>
      <c r="L71" s="4"/>
      <c r="M71" s="8" t="str">
        <f t="shared" si="5"/>
        <v>Не использовать как основание</v>
      </c>
      <c r="N71" s="4"/>
    </row>
    <row r="72" spans="1:14" ht="33.950000000000003" customHeight="1">
      <c r="A72" s="4"/>
      <c r="B72" s="4"/>
      <c r="C72" s="4"/>
      <c r="D72" s="4"/>
      <c r="E72" s="4"/>
      <c r="F72" s="4"/>
      <c r="G72" s="6"/>
      <c r="H72" s="6"/>
      <c r="I72" s="6"/>
      <c r="J72" s="7">
        <f t="shared" si="4"/>
        <v>0</v>
      </c>
      <c r="K72" s="4"/>
      <c r="L72" s="4"/>
      <c r="M72" s="8" t="str">
        <f t="shared" si="5"/>
        <v>Не использовать как основание</v>
      </c>
      <c r="N72" s="4"/>
    </row>
    <row r="73" spans="1:14" ht="33.950000000000003" customHeight="1">
      <c r="A73" s="4"/>
      <c r="B73" s="4"/>
      <c r="C73" s="4"/>
      <c r="D73" s="4"/>
      <c r="E73" s="4"/>
      <c r="F73" s="4"/>
      <c r="G73" s="6"/>
      <c r="H73" s="6"/>
      <c r="I73" s="6"/>
      <c r="J73" s="7">
        <f t="shared" si="4"/>
        <v>0</v>
      </c>
      <c r="K73" s="4"/>
      <c r="L73" s="4"/>
      <c r="M73" s="8" t="str">
        <f t="shared" si="5"/>
        <v>Не использовать как основание</v>
      </c>
      <c r="N73" s="4"/>
    </row>
    <row r="74" spans="1:14" ht="33.950000000000003" customHeight="1">
      <c r="A74" s="4"/>
      <c r="B74" s="4"/>
      <c r="C74" s="4"/>
      <c r="D74" s="4"/>
      <c r="E74" s="4"/>
      <c r="F74" s="4"/>
      <c r="G74" s="6"/>
      <c r="H74" s="6"/>
      <c r="I74" s="6"/>
      <c r="J74" s="7">
        <f t="shared" si="4"/>
        <v>0</v>
      </c>
      <c r="K74" s="4"/>
      <c r="L74" s="4"/>
      <c r="M74" s="8" t="str">
        <f t="shared" si="5"/>
        <v>Не использовать как основание</v>
      </c>
      <c r="N74" s="4"/>
    </row>
    <row r="75" spans="1:14" ht="33.950000000000003" customHeight="1">
      <c r="A75" s="4"/>
      <c r="B75" s="4"/>
      <c r="C75" s="4"/>
      <c r="D75" s="4"/>
      <c r="E75" s="4"/>
      <c r="F75" s="4"/>
      <c r="G75" s="6"/>
      <c r="H75" s="6"/>
      <c r="I75" s="6"/>
      <c r="J75" s="7">
        <f t="shared" si="4"/>
        <v>0</v>
      </c>
      <c r="K75" s="4"/>
      <c r="L75" s="4"/>
      <c r="M75" s="8" t="str">
        <f t="shared" si="5"/>
        <v>Не использовать как основание</v>
      </c>
      <c r="N75" s="4"/>
    </row>
    <row r="76" spans="1:14" ht="33.950000000000003" customHeight="1">
      <c r="A76" s="4"/>
      <c r="B76" s="4"/>
      <c r="C76" s="4"/>
      <c r="D76" s="4"/>
      <c r="E76" s="4"/>
      <c r="F76" s="4"/>
      <c r="G76" s="6"/>
      <c r="H76" s="6"/>
      <c r="I76" s="6"/>
      <c r="J76" s="7">
        <f t="shared" si="4"/>
        <v>0</v>
      </c>
      <c r="K76" s="4"/>
      <c r="L76" s="4"/>
      <c r="M76" s="8" t="str">
        <f t="shared" si="5"/>
        <v>Не использовать как основание</v>
      </c>
      <c r="N76" s="4"/>
    </row>
    <row r="77" spans="1:14" ht="33.950000000000003" customHeight="1">
      <c r="A77" s="4"/>
      <c r="B77" s="4"/>
      <c r="C77" s="4"/>
      <c r="D77" s="4"/>
      <c r="E77" s="4"/>
      <c r="F77" s="4"/>
      <c r="G77" s="6"/>
      <c r="H77" s="6"/>
      <c r="I77" s="6"/>
      <c r="J77" s="7">
        <f t="shared" si="4"/>
        <v>0</v>
      </c>
      <c r="K77" s="4"/>
      <c r="L77" s="4"/>
      <c r="M77" s="8" t="str">
        <f t="shared" si="5"/>
        <v>Не использовать как основание</v>
      </c>
      <c r="N77" s="4"/>
    </row>
    <row r="78" spans="1:14" ht="33.950000000000003" customHeight="1">
      <c r="A78" s="4"/>
      <c r="B78" s="4"/>
      <c r="C78" s="4"/>
      <c r="D78" s="4"/>
      <c r="E78" s="4"/>
      <c r="F78" s="4"/>
      <c r="G78" s="6"/>
      <c r="H78" s="6"/>
      <c r="I78" s="6"/>
      <c r="J78" s="7">
        <f t="shared" si="4"/>
        <v>0</v>
      </c>
      <c r="K78" s="4"/>
      <c r="L78" s="4"/>
      <c r="M78" s="8" t="str">
        <f t="shared" si="5"/>
        <v>Не использовать как основание</v>
      </c>
      <c r="N78" s="4"/>
    </row>
    <row r="79" spans="1:14" ht="33.950000000000003" customHeight="1">
      <c r="A79" s="4"/>
      <c r="B79" s="4"/>
      <c r="C79" s="4"/>
      <c r="D79" s="4"/>
      <c r="E79" s="4"/>
      <c r="F79" s="4"/>
      <c r="G79" s="6"/>
      <c r="H79" s="6"/>
      <c r="I79" s="6"/>
      <c r="J79" s="7">
        <f t="shared" si="4"/>
        <v>0</v>
      </c>
      <c r="K79" s="4"/>
      <c r="L79" s="4"/>
      <c r="M79" s="8" t="str">
        <f t="shared" si="5"/>
        <v>Не использовать как основание</v>
      </c>
      <c r="N79" s="4"/>
    </row>
    <row r="80" spans="1:14" ht="33.950000000000003" customHeight="1">
      <c r="A80" s="4"/>
      <c r="B80" s="4"/>
      <c r="C80" s="4"/>
      <c r="D80" s="4"/>
      <c r="E80" s="4"/>
      <c r="F80" s="4"/>
      <c r="G80" s="6"/>
      <c r="H80" s="6"/>
      <c r="I80" s="6"/>
      <c r="J80" s="7">
        <f t="shared" si="4"/>
        <v>0</v>
      </c>
      <c r="K80" s="4"/>
      <c r="L80" s="4"/>
      <c r="M80" s="8" t="str">
        <f t="shared" si="5"/>
        <v>Не использовать как основание</v>
      </c>
      <c r="N80" s="4"/>
    </row>
    <row r="81" spans="1:14" ht="33.950000000000003" customHeight="1">
      <c r="A81" s="4"/>
      <c r="B81" s="4"/>
      <c r="C81" s="4"/>
      <c r="D81" s="4"/>
      <c r="E81" s="4"/>
      <c r="F81" s="4"/>
      <c r="G81" s="6"/>
      <c r="H81" s="6"/>
      <c r="I81" s="6"/>
      <c r="J81" s="7">
        <f t="shared" si="4"/>
        <v>0</v>
      </c>
      <c r="K81" s="4"/>
      <c r="L81" s="4"/>
      <c r="M81" s="8" t="str">
        <f t="shared" si="5"/>
        <v>Не использовать как основание</v>
      </c>
      <c r="N81" s="4"/>
    </row>
    <row r="82" spans="1:14" ht="33.950000000000003" customHeight="1">
      <c r="A82" s="4"/>
      <c r="B82" s="4"/>
      <c r="C82" s="4"/>
      <c r="D82" s="4"/>
      <c r="E82" s="4"/>
      <c r="F82" s="4"/>
      <c r="G82" s="6"/>
      <c r="H82" s="6"/>
      <c r="I82" s="6"/>
      <c r="J82" s="7">
        <f t="shared" si="4"/>
        <v>0</v>
      </c>
      <c r="K82" s="4"/>
      <c r="L82" s="4"/>
      <c r="M82" s="8" t="str">
        <f t="shared" si="5"/>
        <v>Не использовать как основание</v>
      </c>
      <c r="N82" s="4"/>
    </row>
    <row r="83" spans="1:14" ht="33.950000000000003" customHeight="1">
      <c r="A83" s="4"/>
      <c r="B83" s="4"/>
      <c r="C83" s="4"/>
      <c r="D83" s="4"/>
      <c r="E83" s="4"/>
      <c r="F83" s="4"/>
      <c r="G83" s="6"/>
      <c r="H83" s="6"/>
      <c r="I83" s="6"/>
      <c r="J83" s="7">
        <f t="shared" si="4"/>
        <v>0</v>
      </c>
      <c r="K83" s="4"/>
      <c r="L83" s="4"/>
      <c r="M83" s="8" t="str">
        <f t="shared" si="5"/>
        <v>Не использовать как основание</v>
      </c>
      <c r="N83" s="4"/>
    </row>
    <row r="84" spans="1:14" ht="33.950000000000003" customHeight="1">
      <c r="A84" s="4"/>
      <c r="B84" s="4"/>
      <c r="C84" s="4"/>
      <c r="D84" s="4"/>
      <c r="E84" s="4"/>
      <c r="F84" s="4"/>
      <c r="G84" s="6"/>
      <c r="H84" s="6"/>
      <c r="I84" s="6"/>
      <c r="J84" s="7">
        <f t="shared" si="4"/>
        <v>0</v>
      </c>
      <c r="K84" s="4"/>
      <c r="L84" s="4"/>
      <c r="M84" s="8" t="str">
        <f t="shared" si="5"/>
        <v>Не использовать как основание</v>
      </c>
      <c r="N84" s="4"/>
    </row>
    <row r="85" spans="1:14" ht="33.950000000000003" customHeight="1">
      <c r="A85" s="4"/>
      <c r="B85" s="4"/>
      <c r="C85" s="4"/>
      <c r="D85" s="4"/>
      <c r="E85" s="4"/>
      <c r="F85" s="4"/>
      <c r="G85" s="6"/>
      <c r="H85" s="6"/>
      <c r="I85" s="6"/>
      <c r="J85" s="7">
        <f t="shared" si="4"/>
        <v>0</v>
      </c>
      <c r="K85" s="4"/>
      <c r="L85" s="4"/>
      <c r="M85" s="8" t="str">
        <f t="shared" si="5"/>
        <v>Не использовать как основание</v>
      </c>
      <c r="N85" s="4"/>
    </row>
    <row r="86" spans="1:14" ht="33.950000000000003" customHeight="1">
      <c r="A86" s="4"/>
      <c r="B86" s="4"/>
      <c r="C86" s="4"/>
      <c r="D86" s="4"/>
      <c r="E86" s="4"/>
      <c r="F86" s="4"/>
      <c r="G86" s="6"/>
      <c r="H86" s="6"/>
      <c r="I86" s="6"/>
      <c r="J86" s="7">
        <f t="shared" si="4"/>
        <v>0</v>
      </c>
      <c r="K86" s="4"/>
      <c r="L86" s="4"/>
      <c r="M86" s="8" t="str">
        <f t="shared" si="5"/>
        <v>Не использовать как основание</v>
      </c>
      <c r="N86" s="4"/>
    </row>
    <row r="87" spans="1:14" ht="33.950000000000003" customHeight="1">
      <c r="A87" s="4"/>
      <c r="B87" s="4"/>
      <c r="C87" s="4"/>
      <c r="D87" s="4"/>
      <c r="E87" s="4"/>
      <c r="F87" s="4"/>
      <c r="G87" s="6"/>
      <c r="H87" s="6"/>
      <c r="I87" s="6"/>
      <c r="J87" s="7">
        <f t="shared" si="4"/>
        <v>0</v>
      </c>
      <c r="K87" s="4"/>
      <c r="L87" s="4"/>
      <c r="M87" s="8" t="str">
        <f t="shared" si="5"/>
        <v>Не использовать как основание</v>
      </c>
      <c r="N87" s="4"/>
    </row>
    <row r="88" spans="1:14" ht="33.950000000000003" customHeight="1">
      <c r="A88" s="4"/>
      <c r="B88" s="4"/>
      <c r="C88" s="4"/>
      <c r="D88" s="4"/>
      <c r="E88" s="4"/>
      <c r="F88" s="4"/>
      <c r="G88" s="6"/>
      <c r="H88" s="6"/>
      <c r="I88" s="6"/>
      <c r="J88" s="7">
        <f t="shared" si="4"/>
        <v>0</v>
      </c>
      <c r="K88" s="4"/>
      <c r="L88" s="4"/>
      <c r="M88" s="8" t="str">
        <f t="shared" si="5"/>
        <v>Не использовать как основание</v>
      </c>
      <c r="N88" s="4"/>
    </row>
    <row r="89" spans="1:14" ht="33.950000000000003" customHeight="1">
      <c r="A89" s="4"/>
      <c r="B89" s="4"/>
      <c r="C89" s="4"/>
      <c r="D89" s="4"/>
      <c r="E89" s="4"/>
      <c r="F89" s="4"/>
      <c r="G89" s="6"/>
      <c r="H89" s="6"/>
      <c r="I89" s="6"/>
      <c r="J89" s="7">
        <f t="shared" si="4"/>
        <v>0</v>
      </c>
      <c r="K89" s="4"/>
      <c r="L89" s="4"/>
      <c r="M89" s="8" t="str">
        <f t="shared" si="5"/>
        <v>Не использовать как основание</v>
      </c>
      <c r="N89" s="4"/>
    </row>
    <row r="90" spans="1:14" ht="33.950000000000003" customHeight="1">
      <c r="A90" s="4"/>
      <c r="B90" s="4"/>
      <c r="C90" s="4"/>
      <c r="D90" s="4"/>
      <c r="E90" s="4"/>
      <c r="F90" s="4"/>
      <c r="G90" s="6"/>
      <c r="H90" s="6"/>
      <c r="I90" s="6"/>
      <c r="J90" s="7">
        <f t="shared" si="4"/>
        <v>0</v>
      </c>
      <c r="K90" s="4"/>
      <c r="L90" s="4"/>
      <c r="M90" s="8" t="str">
        <f t="shared" si="5"/>
        <v>Не использовать как основание</v>
      </c>
      <c r="N90" s="4"/>
    </row>
    <row r="91" spans="1:14" ht="33.950000000000003" customHeight="1">
      <c r="A91" s="4"/>
      <c r="B91" s="4"/>
      <c r="C91" s="4"/>
      <c r="D91" s="4"/>
      <c r="E91" s="4"/>
      <c r="F91" s="4"/>
      <c r="G91" s="6"/>
      <c r="H91" s="6"/>
      <c r="I91" s="6"/>
      <c r="J91" s="7">
        <f t="shared" si="4"/>
        <v>0</v>
      </c>
      <c r="K91" s="4"/>
      <c r="L91" s="4"/>
      <c r="M91" s="8" t="str">
        <f t="shared" si="5"/>
        <v>Не использовать как основание</v>
      </c>
      <c r="N91" s="4"/>
    </row>
    <row r="92" spans="1:14" ht="33.950000000000003" customHeight="1">
      <c r="A92" s="4"/>
      <c r="B92" s="4"/>
      <c r="C92" s="4"/>
      <c r="D92" s="4"/>
      <c r="E92" s="4"/>
      <c r="F92" s="4"/>
      <c r="G92" s="6"/>
      <c r="H92" s="6"/>
      <c r="I92" s="6"/>
      <c r="J92" s="7">
        <f t="shared" si="4"/>
        <v>0</v>
      </c>
      <c r="K92" s="4"/>
      <c r="L92" s="4"/>
      <c r="M92" s="8" t="str">
        <f t="shared" si="5"/>
        <v>Не использовать как основание</v>
      </c>
      <c r="N92" s="4"/>
    </row>
    <row r="93" spans="1:14" ht="33.950000000000003" customHeight="1">
      <c r="A93" s="4"/>
      <c r="B93" s="4"/>
      <c r="C93" s="4"/>
      <c r="D93" s="4"/>
      <c r="E93" s="4"/>
      <c r="F93" s="4"/>
      <c r="G93" s="6"/>
      <c r="H93" s="6"/>
      <c r="I93" s="6"/>
      <c r="J93" s="7">
        <f t="shared" si="4"/>
        <v>0</v>
      </c>
      <c r="K93" s="4"/>
      <c r="L93" s="4"/>
      <c r="M93" s="8" t="str">
        <f t="shared" si="5"/>
        <v>Не использовать как основание</v>
      </c>
      <c r="N93" s="4"/>
    </row>
    <row r="94" spans="1:14" ht="33.950000000000003" customHeight="1">
      <c r="A94" s="4"/>
      <c r="B94" s="4"/>
      <c r="C94" s="4"/>
      <c r="D94" s="4"/>
      <c r="E94" s="4"/>
      <c r="F94" s="4"/>
      <c r="G94" s="6"/>
      <c r="H94" s="6"/>
      <c r="I94" s="6"/>
      <c r="J94" s="7">
        <f t="shared" si="4"/>
        <v>0</v>
      </c>
      <c r="K94" s="4"/>
      <c r="L94" s="4"/>
      <c r="M94" s="8" t="str">
        <f t="shared" si="5"/>
        <v>Не использовать как основание</v>
      </c>
      <c r="N94" s="4"/>
    </row>
    <row r="95" spans="1:14" ht="33.950000000000003" customHeight="1">
      <c r="A95" s="4"/>
      <c r="B95" s="4"/>
      <c r="C95" s="4"/>
      <c r="D95" s="4"/>
      <c r="E95" s="4"/>
      <c r="F95" s="4"/>
      <c r="G95" s="6"/>
      <c r="H95" s="6"/>
      <c r="I95" s="6"/>
      <c r="J95" s="7">
        <f t="shared" si="4"/>
        <v>0</v>
      </c>
      <c r="K95" s="4"/>
      <c r="L95" s="4"/>
      <c r="M95" s="8" t="str">
        <f t="shared" si="5"/>
        <v>Не использовать как основание</v>
      </c>
      <c r="N95" s="4"/>
    </row>
    <row r="96" spans="1:14" ht="33.950000000000003" customHeight="1">
      <c r="A96" s="4"/>
      <c r="B96" s="4"/>
      <c r="C96" s="4"/>
      <c r="D96" s="4"/>
      <c r="E96" s="4"/>
      <c r="F96" s="4"/>
      <c r="G96" s="6"/>
      <c r="H96" s="6"/>
      <c r="I96" s="6"/>
      <c r="J96" s="7">
        <f t="shared" si="4"/>
        <v>0</v>
      </c>
      <c r="K96" s="4"/>
      <c r="L96" s="4"/>
      <c r="M96" s="8" t="str">
        <f t="shared" si="5"/>
        <v>Не использовать как основание</v>
      </c>
      <c r="N96" s="4"/>
    </row>
    <row r="97" spans="1:14" ht="33.950000000000003" customHeight="1">
      <c r="A97" s="4"/>
      <c r="B97" s="4"/>
      <c r="C97" s="4"/>
      <c r="D97" s="4"/>
      <c r="E97" s="4"/>
      <c r="F97" s="4"/>
      <c r="G97" s="6"/>
      <c r="H97" s="6"/>
      <c r="I97" s="6"/>
      <c r="J97" s="7">
        <f t="shared" si="4"/>
        <v>0</v>
      </c>
      <c r="K97" s="4"/>
      <c r="L97" s="4"/>
      <c r="M97" s="8" t="str">
        <f t="shared" si="5"/>
        <v>Не использовать как основание</v>
      </c>
      <c r="N97" s="4"/>
    </row>
    <row r="98" spans="1:14" ht="33.950000000000003" customHeight="1">
      <c r="A98" s="4"/>
      <c r="B98" s="4"/>
      <c r="C98" s="4"/>
      <c r="D98" s="4"/>
      <c r="E98" s="4"/>
      <c r="F98" s="4"/>
      <c r="G98" s="6"/>
      <c r="H98" s="6"/>
      <c r="I98" s="6"/>
      <c r="J98" s="7">
        <f t="shared" si="4"/>
        <v>0</v>
      </c>
      <c r="K98" s="4"/>
      <c r="L98" s="4"/>
      <c r="M98" s="8" t="str">
        <f t="shared" si="5"/>
        <v>Не использовать как основание</v>
      </c>
      <c r="N98" s="4"/>
    </row>
    <row r="99" spans="1:14" ht="33.950000000000003" customHeight="1">
      <c r="A99" s="4"/>
      <c r="B99" s="4"/>
      <c r="C99" s="4"/>
      <c r="D99" s="4"/>
      <c r="E99" s="4"/>
      <c r="F99" s="4"/>
      <c r="G99" s="6"/>
      <c r="H99" s="6"/>
      <c r="I99" s="6"/>
      <c r="J99" s="7">
        <f t="shared" si="4"/>
        <v>0</v>
      </c>
      <c r="K99" s="4"/>
      <c r="L99" s="4"/>
      <c r="M99" s="8" t="str">
        <f t="shared" si="5"/>
        <v>Не использовать как основание</v>
      </c>
      <c r="N99" s="4"/>
    </row>
    <row r="100" spans="1:14" ht="33.950000000000003" customHeight="1">
      <c r="A100" s="4"/>
      <c r="B100" s="4"/>
      <c r="C100" s="4"/>
      <c r="D100" s="4"/>
      <c r="E100" s="4"/>
      <c r="F100" s="4"/>
      <c r="G100" s="6"/>
      <c r="H100" s="6"/>
      <c r="I100" s="6"/>
      <c r="J100" s="7">
        <f t="shared" ref="J100:J131" si="6">IFERROR((G100*H100)*(6-I100)/20,"")</f>
        <v>0</v>
      </c>
      <c r="K100" s="4"/>
      <c r="L100" s="4"/>
      <c r="M100" s="8" t="str">
        <f t="shared" ref="M100:M131" si="7">IF(J100="","",IF(J100&gt;=3,"Использовать",IF(J100&gt;=1.8,"Проверить дополнительно","Не использовать как основание")))</f>
        <v>Не использовать как основание</v>
      </c>
      <c r="N100" s="4"/>
    </row>
    <row r="101" spans="1:14" ht="33.950000000000003" customHeight="1">
      <c r="A101" s="4"/>
      <c r="B101" s="4"/>
      <c r="C101" s="4"/>
      <c r="D101" s="4"/>
      <c r="E101" s="4"/>
      <c r="F101" s="4"/>
      <c r="G101" s="6"/>
      <c r="H101" s="6"/>
      <c r="I101" s="6"/>
      <c r="J101" s="7">
        <f t="shared" si="6"/>
        <v>0</v>
      </c>
      <c r="K101" s="4"/>
      <c r="L101" s="4"/>
      <c r="M101" s="8" t="str">
        <f t="shared" si="7"/>
        <v>Не использовать как основание</v>
      </c>
      <c r="N101" s="4"/>
    </row>
    <row r="102" spans="1:14" ht="33.950000000000003" customHeight="1">
      <c r="A102" s="4"/>
      <c r="B102" s="4"/>
      <c r="C102" s="4"/>
      <c r="D102" s="4"/>
      <c r="E102" s="4"/>
      <c r="F102" s="4"/>
      <c r="G102" s="6"/>
      <c r="H102" s="6"/>
      <c r="I102" s="6"/>
      <c r="J102" s="7">
        <f t="shared" si="6"/>
        <v>0</v>
      </c>
      <c r="K102" s="4"/>
      <c r="L102" s="4"/>
      <c r="M102" s="8" t="str">
        <f t="shared" si="7"/>
        <v>Не использовать как основание</v>
      </c>
      <c r="N102" s="4"/>
    </row>
    <row r="103" spans="1:14" ht="33.950000000000003" customHeight="1">
      <c r="A103" s="4"/>
      <c r="B103" s="4"/>
      <c r="C103" s="4"/>
      <c r="D103" s="4"/>
      <c r="E103" s="4"/>
      <c r="F103" s="4"/>
      <c r="G103" s="6"/>
      <c r="H103" s="6"/>
      <c r="I103" s="6"/>
      <c r="J103" s="7">
        <f t="shared" si="6"/>
        <v>0</v>
      </c>
      <c r="K103" s="4"/>
      <c r="L103" s="4"/>
      <c r="M103" s="8" t="str">
        <f t="shared" si="7"/>
        <v>Не использовать как основание</v>
      </c>
      <c r="N103" s="4"/>
    </row>
    <row r="104" spans="1:14" ht="33.950000000000003" customHeight="1">
      <c r="A104" s="4"/>
      <c r="B104" s="4"/>
      <c r="C104" s="4"/>
      <c r="D104" s="4"/>
      <c r="E104" s="4"/>
      <c r="F104" s="4"/>
      <c r="G104" s="6"/>
      <c r="H104" s="6"/>
      <c r="I104" s="6"/>
      <c r="J104" s="7">
        <f t="shared" si="6"/>
        <v>0</v>
      </c>
      <c r="K104" s="4"/>
      <c r="L104" s="4"/>
      <c r="M104" s="8" t="str">
        <f t="shared" si="7"/>
        <v>Не использовать как основание</v>
      </c>
      <c r="N104" s="4"/>
    </row>
    <row r="105" spans="1:14" ht="33.950000000000003" customHeight="1">
      <c r="A105" s="4"/>
      <c r="B105" s="4"/>
      <c r="C105" s="4"/>
      <c r="D105" s="4"/>
      <c r="E105" s="4"/>
      <c r="F105" s="4"/>
      <c r="G105" s="6"/>
      <c r="H105" s="6"/>
      <c r="I105" s="6"/>
      <c r="J105" s="7">
        <f t="shared" si="6"/>
        <v>0</v>
      </c>
      <c r="K105" s="4"/>
      <c r="L105" s="4"/>
      <c r="M105" s="8" t="str">
        <f t="shared" si="7"/>
        <v>Не использовать как основание</v>
      </c>
      <c r="N105" s="4"/>
    </row>
    <row r="106" spans="1:14" ht="33.950000000000003" customHeight="1">
      <c r="A106" s="4"/>
      <c r="B106" s="4"/>
      <c r="C106" s="4"/>
      <c r="D106" s="4"/>
      <c r="E106" s="4"/>
      <c r="F106" s="4"/>
      <c r="G106" s="6"/>
      <c r="H106" s="6"/>
      <c r="I106" s="6"/>
      <c r="J106" s="7">
        <f t="shared" si="6"/>
        <v>0</v>
      </c>
      <c r="K106" s="4"/>
      <c r="L106" s="4"/>
      <c r="M106" s="8" t="str">
        <f t="shared" si="7"/>
        <v>Не использовать как основание</v>
      </c>
      <c r="N106" s="4"/>
    </row>
    <row r="107" spans="1:14" ht="33.950000000000003" customHeight="1">
      <c r="A107" s="4"/>
      <c r="B107" s="4"/>
      <c r="C107" s="4"/>
      <c r="D107" s="4"/>
      <c r="E107" s="4"/>
      <c r="F107" s="4"/>
      <c r="G107" s="6"/>
      <c r="H107" s="6"/>
      <c r="I107" s="6"/>
      <c r="J107" s="7">
        <f t="shared" si="6"/>
        <v>0</v>
      </c>
      <c r="K107" s="4"/>
      <c r="L107" s="4"/>
      <c r="M107" s="8" t="str">
        <f t="shared" si="7"/>
        <v>Не использовать как основание</v>
      </c>
      <c r="N107" s="4"/>
    </row>
    <row r="108" spans="1:14" ht="33.950000000000003" customHeight="1">
      <c r="A108" s="4"/>
      <c r="B108" s="4"/>
      <c r="C108" s="4"/>
      <c r="D108" s="4"/>
      <c r="E108" s="4"/>
      <c r="F108" s="4"/>
      <c r="G108" s="6"/>
      <c r="H108" s="6"/>
      <c r="I108" s="6"/>
      <c r="J108" s="7">
        <f t="shared" si="6"/>
        <v>0</v>
      </c>
      <c r="K108" s="4"/>
      <c r="L108" s="4"/>
      <c r="M108" s="8" t="str">
        <f t="shared" si="7"/>
        <v>Не использовать как основание</v>
      </c>
      <c r="N108" s="4"/>
    </row>
    <row r="109" spans="1:14" ht="33.950000000000003" customHeight="1">
      <c r="A109" s="4"/>
      <c r="B109" s="4"/>
      <c r="C109" s="4"/>
      <c r="D109" s="4"/>
      <c r="E109" s="4"/>
      <c r="F109" s="4"/>
      <c r="G109" s="6"/>
      <c r="H109" s="6"/>
      <c r="I109" s="6"/>
      <c r="J109" s="7">
        <f t="shared" si="6"/>
        <v>0</v>
      </c>
      <c r="K109" s="4"/>
      <c r="L109" s="4"/>
      <c r="M109" s="8" t="str">
        <f t="shared" si="7"/>
        <v>Не использовать как основание</v>
      </c>
      <c r="N109" s="4"/>
    </row>
    <row r="110" spans="1:14" ht="33.950000000000003" customHeight="1">
      <c r="A110" s="4"/>
      <c r="B110" s="4"/>
      <c r="C110" s="4"/>
      <c r="D110" s="4"/>
      <c r="E110" s="4"/>
      <c r="F110" s="4"/>
      <c r="G110" s="6"/>
      <c r="H110" s="6"/>
      <c r="I110" s="6"/>
      <c r="J110" s="7">
        <f t="shared" si="6"/>
        <v>0</v>
      </c>
      <c r="K110" s="4"/>
      <c r="L110" s="4"/>
      <c r="M110" s="8" t="str">
        <f t="shared" si="7"/>
        <v>Не использовать как основание</v>
      </c>
      <c r="N110" s="4"/>
    </row>
    <row r="111" spans="1:14" ht="33.950000000000003" customHeight="1">
      <c r="A111" s="4"/>
      <c r="B111" s="4"/>
      <c r="C111" s="4"/>
      <c r="D111" s="4"/>
      <c r="E111" s="4"/>
      <c r="F111" s="4"/>
      <c r="G111" s="6"/>
      <c r="H111" s="6"/>
      <c r="I111" s="6"/>
      <c r="J111" s="7">
        <f t="shared" si="6"/>
        <v>0</v>
      </c>
      <c r="K111" s="4"/>
      <c r="L111" s="4"/>
      <c r="M111" s="8" t="str">
        <f t="shared" si="7"/>
        <v>Не использовать как основание</v>
      </c>
      <c r="N111" s="4"/>
    </row>
    <row r="112" spans="1:14" ht="33.950000000000003" customHeight="1">
      <c r="A112" s="4"/>
      <c r="B112" s="4"/>
      <c r="C112" s="4"/>
      <c r="D112" s="4"/>
      <c r="E112" s="4"/>
      <c r="F112" s="4"/>
      <c r="G112" s="6"/>
      <c r="H112" s="6"/>
      <c r="I112" s="6"/>
      <c r="J112" s="7">
        <f t="shared" si="6"/>
        <v>0</v>
      </c>
      <c r="K112" s="4"/>
      <c r="L112" s="4"/>
      <c r="M112" s="8" t="str">
        <f t="shared" si="7"/>
        <v>Не использовать как основание</v>
      </c>
      <c r="N112" s="4"/>
    </row>
    <row r="113" spans="1:14" ht="33.950000000000003" customHeight="1">
      <c r="A113" s="4"/>
      <c r="B113" s="4"/>
      <c r="C113" s="4"/>
      <c r="D113" s="4"/>
      <c r="E113" s="4"/>
      <c r="F113" s="4"/>
      <c r="G113" s="6"/>
      <c r="H113" s="6"/>
      <c r="I113" s="6"/>
      <c r="J113" s="7">
        <f t="shared" si="6"/>
        <v>0</v>
      </c>
      <c r="K113" s="4"/>
      <c r="L113" s="4"/>
      <c r="M113" s="8" t="str">
        <f t="shared" si="7"/>
        <v>Не использовать как основание</v>
      </c>
      <c r="N113" s="4"/>
    </row>
    <row r="114" spans="1:14" ht="33.950000000000003" customHeight="1">
      <c r="A114" s="4"/>
      <c r="B114" s="4"/>
      <c r="C114" s="4"/>
      <c r="D114" s="4"/>
      <c r="E114" s="4"/>
      <c r="F114" s="4"/>
      <c r="G114" s="6"/>
      <c r="H114" s="6"/>
      <c r="I114" s="6"/>
      <c r="J114" s="7">
        <f t="shared" si="6"/>
        <v>0</v>
      </c>
      <c r="K114" s="4"/>
      <c r="L114" s="4"/>
      <c r="M114" s="8" t="str">
        <f t="shared" si="7"/>
        <v>Не использовать как основание</v>
      </c>
      <c r="N114" s="4"/>
    </row>
    <row r="115" spans="1:14" ht="33.950000000000003" customHeight="1">
      <c r="A115" s="4"/>
      <c r="B115" s="4"/>
      <c r="C115" s="4"/>
      <c r="D115" s="4"/>
      <c r="E115" s="4"/>
      <c r="F115" s="4"/>
      <c r="G115" s="6"/>
      <c r="H115" s="6"/>
      <c r="I115" s="6"/>
      <c r="J115" s="7">
        <f t="shared" si="6"/>
        <v>0</v>
      </c>
      <c r="K115" s="4"/>
      <c r="L115" s="4"/>
      <c r="M115" s="8" t="str">
        <f t="shared" si="7"/>
        <v>Не использовать как основание</v>
      </c>
      <c r="N115" s="4"/>
    </row>
    <row r="116" spans="1:14" ht="33.950000000000003" customHeight="1">
      <c r="A116" s="4"/>
      <c r="B116" s="4"/>
      <c r="C116" s="4"/>
      <c r="D116" s="4"/>
      <c r="E116" s="4"/>
      <c r="F116" s="4"/>
      <c r="G116" s="6"/>
      <c r="H116" s="6"/>
      <c r="I116" s="6"/>
      <c r="J116" s="7">
        <f t="shared" si="6"/>
        <v>0</v>
      </c>
      <c r="K116" s="4"/>
      <c r="L116" s="4"/>
      <c r="M116" s="8" t="str">
        <f t="shared" si="7"/>
        <v>Не использовать как основание</v>
      </c>
      <c r="N116" s="4"/>
    </row>
    <row r="117" spans="1:14" ht="33.950000000000003" customHeight="1">
      <c r="A117" s="4"/>
      <c r="B117" s="4"/>
      <c r="C117" s="4"/>
      <c r="D117" s="4"/>
      <c r="E117" s="4"/>
      <c r="F117" s="4"/>
      <c r="G117" s="6"/>
      <c r="H117" s="6"/>
      <c r="I117" s="6"/>
      <c r="J117" s="7">
        <f t="shared" si="6"/>
        <v>0</v>
      </c>
      <c r="K117" s="4"/>
      <c r="L117" s="4"/>
      <c r="M117" s="8" t="str">
        <f t="shared" si="7"/>
        <v>Не использовать как основание</v>
      </c>
      <c r="N117" s="4"/>
    </row>
    <row r="118" spans="1:14" ht="33.950000000000003" customHeight="1">
      <c r="A118" s="4"/>
      <c r="B118" s="4"/>
      <c r="C118" s="4"/>
      <c r="D118" s="4"/>
      <c r="E118" s="4"/>
      <c r="F118" s="4"/>
      <c r="G118" s="6"/>
      <c r="H118" s="6"/>
      <c r="I118" s="6"/>
      <c r="J118" s="7">
        <f t="shared" si="6"/>
        <v>0</v>
      </c>
      <c r="K118" s="4"/>
      <c r="L118" s="4"/>
      <c r="M118" s="8" t="str">
        <f t="shared" si="7"/>
        <v>Не использовать как основание</v>
      </c>
      <c r="N118" s="4"/>
    </row>
    <row r="119" spans="1:14" ht="33.950000000000003" customHeight="1">
      <c r="A119" s="4"/>
      <c r="B119" s="4"/>
      <c r="C119" s="4"/>
      <c r="D119" s="4"/>
      <c r="E119" s="4"/>
      <c r="F119" s="4"/>
      <c r="G119" s="6"/>
      <c r="H119" s="6"/>
      <c r="I119" s="6"/>
      <c r="J119" s="7">
        <f t="shared" si="6"/>
        <v>0</v>
      </c>
      <c r="K119" s="4"/>
      <c r="L119" s="4"/>
      <c r="M119" s="8" t="str">
        <f t="shared" si="7"/>
        <v>Не использовать как основание</v>
      </c>
      <c r="N119" s="4"/>
    </row>
    <row r="120" spans="1:14" ht="33.950000000000003" customHeight="1">
      <c r="A120" s="4"/>
      <c r="B120" s="4"/>
      <c r="C120" s="4"/>
      <c r="D120" s="4"/>
      <c r="E120" s="4"/>
      <c r="F120" s="4"/>
      <c r="G120" s="6"/>
      <c r="H120" s="6"/>
      <c r="I120" s="6"/>
      <c r="J120" s="7">
        <f t="shared" si="6"/>
        <v>0</v>
      </c>
      <c r="K120" s="4"/>
      <c r="L120" s="4"/>
      <c r="M120" s="8" t="str">
        <f t="shared" si="7"/>
        <v>Не использовать как основание</v>
      </c>
      <c r="N120" s="4"/>
    </row>
    <row r="121" spans="1:14" ht="33.950000000000003" customHeight="1">
      <c r="A121" s="4"/>
      <c r="B121" s="4"/>
      <c r="C121" s="4"/>
      <c r="D121" s="4"/>
      <c r="E121" s="4"/>
      <c r="F121" s="4"/>
      <c r="G121" s="6"/>
      <c r="H121" s="6"/>
      <c r="I121" s="6"/>
      <c r="J121" s="7">
        <f t="shared" si="6"/>
        <v>0</v>
      </c>
      <c r="K121" s="4"/>
      <c r="L121" s="4"/>
      <c r="M121" s="8" t="str">
        <f t="shared" si="7"/>
        <v>Не использовать как основание</v>
      </c>
      <c r="N121" s="4"/>
    </row>
    <row r="122" spans="1:14" ht="33.950000000000003" customHeight="1">
      <c r="A122" s="4"/>
      <c r="B122" s="4"/>
      <c r="C122" s="4"/>
      <c r="D122" s="4"/>
      <c r="E122" s="4"/>
      <c r="F122" s="4"/>
      <c r="G122" s="6"/>
      <c r="H122" s="6"/>
      <c r="I122" s="6"/>
      <c r="J122" s="7">
        <f t="shared" si="6"/>
        <v>0</v>
      </c>
      <c r="K122" s="4"/>
      <c r="L122" s="4"/>
      <c r="M122" s="8" t="str">
        <f t="shared" si="7"/>
        <v>Не использовать как основание</v>
      </c>
      <c r="N122" s="4"/>
    </row>
    <row r="123" spans="1:14" ht="33.950000000000003" customHeight="1">
      <c r="A123" s="4"/>
      <c r="B123" s="4"/>
      <c r="C123" s="4"/>
      <c r="D123" s="4"/>
      <c r="E123" s="4"/>
      <c r="F123" s="4"/>
      <c r="G123" s="6"/>
      <c r="H123" s="6"/>
      <c r="I123" s="6"/>
      <c r="J123" s="7">
        <f t="shared" si="6"/>
        <v>0</v>
      </c>
      <c r="K123" s="4"/>
      <c r="L123" s="4"/>
      <c r="M123" s="8" t="str">
        <f t="shared" si="7"/>
        <v>Не использовать как основание</v>
      </c>
      <c r="N123" s="4"/>
    </row>
    <row r="124" spans="1:14" ht="33.950000000000003" customHeight="1">
      <c r="A124" s="4"/>
      <c r="B124" s="4"/>
      <c r="C124" s="4"/>
      <c r="D124" s="4"/>
      <c r="E124" s="4"/>
      <c r="F124" s="4"/>
      <c r="G124" s="6"/>
      <c r="H124" s="6"/>
      <c r="I124" s="6"/>
      <c r="J124" s="7">
        <f t="shared" si="6"/>
        <v>0</v>
      </c>
      <c r="K124" s="4"/>
      <c r="L124" s="4"/>
      <c r="M124" s="8" t="str">
        <f t="shared" si="7"/>
        <v>Не использовать как основание</v>
      </c>
      <c r="N124" s="4"/>
    </row>
    <row r="125" spans="1:14" ht="33.950000000000003" customHeight="1">
      <c r="A125" s="4"/>
      <c r="B125" s="4"/>
      <c r="C125" s="4"/>
      <c r="D125" s="4"/>
      <c r="E125" s="4"/>
      <c r="F125" s="4"/>
      <c r="G125" s="6"/>
      <c r="H125" s="6"/>
      <c r="I125" s="6"/>
      <c r="J125" s="7">
        <f t="shared" si="6"/>
        <v>0</v>
      </c>
      <c r="K125" s="4"/>
      <c r="L125" s="4"/>
      <c r="M125" s="8" t="str">
        <f t="shared" si="7"/>
        <v>Не использовать как основание</v>
      </c>
      <c r="N125" s="4"/>
    </row>
    <row r="126" spans="1:14" ht="33.950000000000003" customHeight="1">
      <c r="A126" s="4"/>
      <c r="B126" s="4"/>
      <c r="C126" s="4"/>
      <c r="D126" s="4"/>
      <c r="E126" s="4"/>
      <c r="F126" s="4"/>
      <c r="G126" s="6"/>
      <c r="H126" s="6"/>
      <c r="I126" s="6"/>
      <c r="J126" s="7">
        <f t="shared" si="6"/>
        <v>0</v>
      </c>
      <c r="K126" s="4"/>
      <c r="L126" s="4"/>
      <c r="M126" s="8" t="str">
        <f t="shared" si="7"/>
        <v>Не использовать как основание</v>
      </c>
      <c r="N126" s="4"/>
    </row>
    <row r="127" spans="1:14" ht="33.950000000000003" customHeight="1">
      <c r="A127" s="4"/>
      <c r="B127" s="4"/>
      <c r="C127" s="4"/>
      <c r="D127" s="4"/>
      <c r="E127" s="4"/>
      <c r="F127" s="4"/>
      <c r="G127" s="6"/>
      <c r="H127" s="6"/>
      <c r="I127" s="6"/>
      <c r="J127" s="7">
        <f t="shared" si="6"/>
        <v>0</v>
      </c>
      <c r="K127" s="4"/>
      <c r="L127" s="4"/>
      <c r="M127" s="8" t="str">
        <f t="shared" si="7"/>
        <v>Не использовать как основание</v>
      </c>
      <c r="N127" s="4"/>
    </row>
    <row r="128" spans="1:14" ht="33.950000000000003" customHeight="1">
      <c r="A128" s="4"/>
      <c r="B128" s="4"/>
      <c r="C128" s="4"/>
      <c r="D128" s="4"/>
      <c r="E128" s="4"/>
      <c r="F128" s="4"/>
      <c r="G128" s="6"/>
      <c r="H128" s="6"/>
      <c r="I128" s="6"/>
      <c r="J128" s="7">
        <f t="shared" si="6"/>
        <v>0</v>
      </c>
      <c r="K128" s="4"/>
      <c r="L128" s="4"/>
      <c r="M128" s="8" t="str">
        <f t="shared" si="7"/>
        <v>Не использовать как основание</v>
      </c>
      <c r="N128" s="4"/>
    </row>
    <row r="129" spans="1:14" ht="33.950000000000003" customHeight="1">
      <c r="A129" s="4"/>
      <c r="B129" s="4"/>
      <c r="C129" s="4"/>
      <c r="D129" s="4"/>
      <c r="E129" s="4"/>
      <c r="F129" s="4"/>
      <c r="G129" s="6"/>
      <c r="H129" s="6"/>
      <c r="I129" s="6"/>
      <c r="J129" s="7">
        <f t="shared" si="6"/>
        <v>0</v>
      </c>
      <c r="K129" s="4"/>
      <c r="L129" s="4"/>
      <c r="M129" s="8" t="str">
        <f t="shared" si="7"/>
        <v>Не использовать как основание</v>
      </c>
      <c r="N129" s="4"/>
    </row>
    <row r="130" spans="1:14" ht="33.950000000000003" customHeight="1">
      <c r="A130" s="4"/>
      <c r="B130" s="4"/>
      <c r="C130" s="4"/>
      <c r="D130" s="4"/>
      <c r="E130" s="4"/>
      <c r="F130" s="4"/>
      <c r="G130" s="6"/>
      <c r="H130" s="6"/>
      <c r="I130" s="6"/>
      <c r="J130" s="7">
        <f t="shared" si="6"/>
        <v>0</v>
      </c>
      <c r="K130" s="4"/>
      <c r="L130" s="4"/>
      <c r="M130" s="8" t="str">
        <f t="shared" si="7"/>
        <v>Не использовать как основание</v>
      </c>
      <c r="N130" s="4"/>
    </row>
    <row r="131" spans="1:14" ht="33.950000000000003" customHeight="1">
      <c r="A131" s="4"/>
      <c r="B131" s="4"/>
      <c r="C131" s="4"/>
      <c r="D131" s="4"/>
      <c r="E131" s="4"/>
      <c r="F131" s="4"/>
      <c r="G131" s="6"/>
      <c r="H131" s="6"/>
      <c r="I131" s="6"/>
      <c r="J131" s="7">
        <f t="shared" si="6"/>
        <v>0</v>
      </c>
      <c r="K131" s="4"/>
      <c r="L131" s="4"/>
      <c r="M131" s="8" t="str">
        <f t="shared" si="7"/>
        <v>Не использовать как основание</v>
      </c>
      <c r="N131" s="4"/>
    </row>
    <row r="132" spans="1:14" ht="33.950000000000003" customHeight="1">
      <c r="A132" s="4"/>
      <c r="B132" s="4"/>
      <c r="C132" s="4"/>
      <c r="D132" s="4"/>
      <c r="E132" s="4"/>
      <c r="F132" s="4"/>
      <c r="G132" s="6"/>
      <c r="H132" s="6"/>
      <c r="I132" s="6"/>
      <c r="J132" s="7">
        <f t="shared" ref="J132:J163" si="8">IFERROR((G132*H132)*(6-I132)/20,"")</f>
        <v>0</v>
      </c>
      <c r="K132" s="4"/>
      <c r="L132" s="4"/>
      <c r="M132" s="8" t="str">
        <f t="shared" ref="M132:M163" si="9">IF(J132="","",IF(J132&gt;=3,"Использовать",IF(J132&gt;=1.8,"Проверить дополнительно","Не использовать как основание")))</f>
        <v>Не использовать как основание</v>
      </c>
      <c r="N132" s="4"/>
    </row>
    <row r="133" spans="1:14" ht="33.950000000000003" customHeight="1">
      <c r="A133" s="4"/>
      <c r="B133" s="4"/>
      <c r="C133" s="4"/>
      <c r="D133" s="4"/>
      <c r="E133" s="4"/>
      <c r="F133" s="4"/>
      <c r="G133" s="6"/>
      <c r="H133" s="6"/>
      <c r="I133" s="6"/>
      <c r="J133" s="7">
        <f t="shared" si="8"/>
        <v>0</v>
      </c>
      <c r="K133" s="4"/>
      <c r="L133" s="4"/>
      <c r="M133" s="8" t="str">
        <f t="shared" si="9"/>
        <v>Не использовать как основание</v>
      </c>
      <c r="N133" s="4"/>
    </row>
    <row r="134" spans="1:14" ht="33.950000000000003" customHeight="1">
      <c r="A134" s="4"/>
      <c r="B134" s="4"/>
      <c r="C134" s="4"/>
      <c r="D134" s="4"/>
      <c r="E134" s="4"/>
      <c r="F134" s="4"/>
      <c r="G134" s="6"/>
      <c r="H134" s="6"/>
      <c r="I134" s="6"/>
      <c r="J134" s="7">
        <f t="shared" si="8"/>
        <v>0</v>
      </c>
      <c r="K134" s="4"/>
      <c r="L134" s="4"/>
      <c r="M134" s="8" t="str">
        <f t="shared" si="9"/>
        <v>Не использовать как основание</v>
      </c>
      <c r="N134" s="4"/>
    </row>
    <row r="135" spans="1:14" ht="33.950000000000003" customHeight="1">
      <c r="A135" s="4"/>
      <c r="B135" s="4"/>
      <c r="C135" s="4"/>
      <c r="D135" s="4"/>
      <c r="E135" s="4"/>
      <c r="F135" s="4"/>
      <c r="G135" s="6"/>
      <c r="H135" s="6"/>
      <c r="I135" s="6"/>
      <c r="J135" s="7">
        <f t="shared" si="8"/>
        <v>0</v>
      </c>
      <c r="K135" s="4"/>
      <c r="L135" s="4"/>
      <c r="M135" s="8" t="str">
        <f t="shared" si="9"/>
        <v>Не использовать как основание</v>
      </c>
      <c r="N135" s="4"/>
    </row>
    <row r="136" spans="1:14" ht="33.950000000000003" customHeight="1">
      <c r="A136" s="4"/>
      <c r="B136" s="4"/>
      <c r="C136" s="4"/>
      <c r="D136" s="4"/>
      <c r="E136" s="4"/>
      <c r="F136" s="4"/>
      <c r="G136" s="6"/>
      <c r="H136" s="6"/>
      <c r="I136" s="6"/>
      <c r="J136" s="7">
        <f t="shared" si="8"/>
        <v>0</v>
      </c>
      <c r="K136" s="4"/>
      <c r="L136" s="4"/>
      <c r="M136" s="8" t="str">
        <f t="shared" si="9"/>
        <v>Не использовать как основание</v>
      </c>
      <c r="N136" s="4"/>
    </row>
    <row r="137" spans="1:14" ht="33.950000000000003" customHeight="1">
      <c r="A137" s="4"/>
      <c r="B137" s="4"/>
      <c r="C137" s="4"/>
      <c r="D137" s="4"/>
      <c r="E137" s="4"/>
      <c r="F137" s="4"/>
      <c r="G137" s="6"/>
      <c r="H137" s="6"/>
      <c r="I137" s="6"/>
      <c r="J137" s="7">
        <f t="shared" si="8"/>
        <v>0</v>
      </c>
      <c r="K137" s="4"/>
      <c r="L137" s="4"/>
      <c r="M137" s="8" t="str">
        <f t="shared" si="9"/>
        <v>Не использовать как основание</v>
      </c>
      <c r="N137" s="4"/>
    </row>
    <row r="138" spans="1:14" ht="33.950000000000003" customHeight="1">
      <c r="A138" s="4"/>
      <c r="B138" s="4"/>
      <c r="C138" s="4"/>
      <c r="D138" s="4"/>
      <c r="E138" s="4"/>
      <c r="F138" s="4"/>
      <c r="G138" s="6"/>
      <c r="H138" s="6"/>
      <c r="I138" s="6"/>
      <c r="J138" s="7">
        <f t="shared" si="8"/>
        <v>0</v>
      </c>
      <c r="K138" s="4"/>
      <c r="L138" s="4"/>
      <c r="M138" s="8" t="str">
        <f t="shared" si="9"/>
        <v>Не использовать как основание</v>
      </c>
      <c r="N138" s="4"/>
    </row>
    <row r="139" spans="1:14" ht="33.950000000000003" customHeight="1">
      <c r="A139" s="4"/>
      <c r="B139" s="4"/>
      <c r="C139" s="4"/>
      <c r="D139" s="4"/>
      <c r="E139" s="4"/>
      <c r="F139" s="4"/>
      <c r="G139" s="6"/>
      <c r="H139" s="6"/>
      <c r="I139" s="6"/>
      <c r="J139" s="7">
        <f t="shared" si="8"/>
        <v>0</v>
      </c>
      <c r="K139" s="4"/>
      <c r="L139" s="4"/>
      <c r="M139" s="8" t="str">
        <f t="shared" si="9"/>
        <v>Не использовать как основание</v>
      </c>
      <c r="N139" s="4"/>
    </row>
    <row r="140" spans="1:14" ht="33.950000000000003" customHeight="1">
      <c r="A140" s="4"/>
      <c r="B140" s="4"/>
      <c r="C140" s="4"/>
      <c r="D140" s="4"/>
      <c r="E140" s="4"/>
      <c r="F140" s="4"/>
      <c r="G140" s="6"/>
      <c r="H140" s="6"/>
      <c r="I140" s="6"/>
      <c r="J140" s="7">
        <f t="shared" si="8"/>
        <v>0</v>
      </c>
      <c r="K140" s="4"/>
      <c r="L140" s="4"/>
      <c r="M140" s="8" t="str">
        <f t="shared" si="9"/>
        <v>Не использовать как основание</v>
      </c>
      <c r="N140" s="4"/>
    </row>
    <row r="141" spans="1:14" ht="33.950000000000003" customHeight="1">
      <c r="A141" s="4"/>
      <c r="B141" s="4"/>
      <c r="C141" s="4"/>
      <c r="D141" s="4"/>
      <c r="E141" s="4"/>
      <c r="F141" s="4"/>
      <c r="G141" s="6"/>
      <c r="H141" s="6"/>
      <c r="I141" s="6"/>
      <c r="J141" s="7">
        <f t="shared" si="8"/>
        <v>0</v>
      </c>
      <c r="K141" s="4"/>
      <c r="L141" s="4"/>
      <c r="M141" s="8" t="str">
        <f t="shared" si="9"/>
        <v>Не использовать как основание</v>
      </c>
      <c r="N141" s="4"/>
    </row>
    <row r="142" spans="1:14" ht="33.950000000000003" customHeight="1">
      <c r="A142" s="4"/>
      <c r="B142" s="4"/>
      <c r="C142" s="4"/>
      <c r="D142" s="4"/>
      <c r="E142" s="4"/>
      <c r="F142" s="4"/>
      <c r="G142" s="6"/>
      <c r="H142" s="6"/>
      <c r="I142" s="6"/>
      <c r="J142" s="7">
        <f t="shared" si="8"/>
        <v>0</v>
      </c>
      <c r="K142" s="4"/>
      <c r="L142" s="4"/>
      <c r="M142" s="8" t="str">
        <f t="shared" si="9"/>
        <v>Не использовать как основание</v>
      </c>
      <c r="N142" s="4"/>
    </row>
    <row r="143" spans="1:14" ht="33.950000000000003" customHeight="1">
      <c r="A143" s="4"/>
      <c r="B143" s="4"/>
      <c r="C143" s="4"/>
      <c r="D143" s="4"/>
      <c r="E143" s="4"/>
      <c r="F143" s="4"/>
      <c r="G143" s="6"/>
      <c r="H143" s="6"/>
      <c r="I143" s="6"/>
      <c r="J143" s="7">
        <f t="shared" si="8"/>
        <v>0</v>
      </c>
      <c r="K143" s="4"/>
      <c r="L143" s="4"/>
      <c r="M143" s="8" t="str">
        <f t="shared" si="9"/>
        <v>Не использовать как основание</v>
      </c>
      <c r="N143" s="4"/>
    </row>
    <row r="144" spans="1:14" ht="33.950000000000003" customHeight="1">
      <c r="A144" s="4"/>
      <c r="B144" s="4"/>
      <c r="C144" s="4"/>
      <c r="D144" s="4"/>
      <c r="E144" s="4"/>
      <c r="F144" s="4"/>
      <c r="G144" s="6"/>
      <c r="H144" s="6"/>
      <c r="I144" s="6"/>
      <c r="J144" s="7">
        <f t="shared" si="8"/>
        <v>0</v>
      </c>
      <c r="K144" s="4"/>
      <c r="L144" s="4"/>
      <c r="M144" s="8" t="str">
        <f t="shared" si="9"/>
        <v>Не использовать как основание</v>
      </c>
      <c r="N144" s="4"/>
    </row>
    <row r="145" spans="1:14" ht="33.950000000000003" customHeight="1">
      <c r="A145" s="4"/>
      <c r="B145" s="4"/>
      <c r="C145" s="4"/>
      <c r="D145" s="4"/>
      <c r="E145" s="4"/>
      <c r="F145" s="4"/>
      <c r="G145" s="6"/>
      <c r="H145" s="6"/>
      <c r="I145" s="6"/>
      <c r="J145" s="7">
        <f t="shared" si="8"/>
        <v>0</v>
      </c>
      <c r="K145" s="4"/>
      <c r="L145" s="4"/>
      <c r="M145" s="8" t="str">
        <f t="shared" si="9"/>
        <v>Не использовать как основание</v>
      </c>
      <c r="N145" s="4"/>
    </row>
    <row r="146" spans="1:14" ht="33.950000000000003" customHeight="1">
      <c r="A146" s="4"/>
      <c r="B146" s="4"/>
      <c r="C146" s="4"/>
      <c r="D146" s="4"/>
      <c r="E146" s="4"/>
      <c r="F146" s="4"/>
      <c r="G146" s="6"/>
      <c r="H146" s="6"/>
      <c r="I146" s="6"/>
      <c r="J146" s="7">
        <f t="shared" si="8"/>
        <v>0</v>
      </c>
      <c r="K146" s="4"/>
      <c r="L146" s="4"/>
      <c r="M146" s="8" t="str">
        <f t="shared" si="9"/>
        <v>Не использовать как основание</v>
      </c>
      <c r="N146" s="4"/>
    </row>
    <row r="147" spans="1:14" ht="33.950000000000003" customHeight="1">
      <c r="A147" s="4"/>
      <c r="B147" s="4"/>
      <c r="C147" s="4"/>
      <c r="D147" s="4"/>
      <c r="E147" s="4"/>
      <c r="F147" s="4"/>
      <c r="G147" s="6"/>
      <c r="H147" s="6"/>
      <c r="I147" s="6"/>
      <c r="J147" s="7">
        <f t="shared" si="8"/>
        <v>0</v>
      </c>
      <c r="K147" s="4"/>
      <c r="L147" s="4"/>
      <c r="M147" s="8" t="str">
        <f t="shared" si="9"/>
        <v>Не использовать как основание</v>
      </c>
      <c r="N147" s="4"/>
    </row>
    <row r="148" spans="1:14" ht="33.950000000000003" customHeight="1">
      <c r="A148" s="4"/>
      <c r="B148" s="4"/>
      <c r="C148" s="4"/>
      <c r="D148" s="4"/>
      <c r="E148" s="4"/>
      <c r="F148" s="4"/>
      <c r="G148" s="6"/>
      <c r="H148" s="6"/>
      <c r="I148" s="6"/>
      <c r="J148" s="7">
        <f t="shared" si="8"/>
        <v>0</v>
      </c>
      <c r="K148" s="4"/>
      <c r="L148" s="4"/>
      <c r="M148" s="8" t="str">
        <f t="shared" si="9"/>
        <v>Не использовать как основание</v>
      </c>
      <c r="N148" s="4"/>
    </row>
    <row r="149" spans="1:14" ht="33.950000000000003" customHeight="1">
      <c r="A149" s="4"/>
      <c r="B149" s="4"/>
      <c r="C149" s="4"/>
      <c r="D149" s="4"/>
      <c r="E149" s="4"/>
      <c r="F149" s="4"/>
      <c r="G149" s="6"/>
      <c r="H149" s="6"/>
      <c r="I149" s="6"/>
      <c r="J149" s="7">
        <f t="shared" si="8"/>
        <v>0</v>
      </c>
      <c r="K149" s="4"/>
      <c r="L149" s="4"/>
      <c r="M149" s="8" t="str">
        <f t="shared" si="9"/>
        <v>Не использовать как основание</v>
      </c>
      <c r="N149" s="4"/>
    </row>
    <row r="150" spans="1:14" ht="33.950000000000003" customHeight="1">
      <c r="A150" s="4"/>
      <c r="B150" s="4"/>
      <c r="C150" s="4"/>
      <c r="D150" s="4"/>
      <c r="E150" s="4"/>
      <c r="F150" s="4"/>
      <c r="G150" s="6"/>
      <c r="H150" s="6"/>
      <c r="I150" s="6"/>
      <c r="J150" s="7">
        <f t="shared" si="8"/>
        <v>0</v>
      </c>
      <c r="K150" s="4"/>
      <c r="L150" s="4"/>
      <c r="M150" s="8" t="str">
        <f t="shared" si="9"/>
        <v>Не использовать как основание</v>
      </c>
      <c r="N150" s="4"/>
    </row>
    <row r="151" spans="1:14" ht="33.950000000000003" customHeight="1">
      <c r="A151" s="4"/>
      <c r="B151" s="4"/>
      <c r="C151" s="4"/>
      <c r="D151" s="4"/>
      <c r="E151" s="4"/>
      <c r="F151" s="4"/>
      <c r="G151" s="6"/>
      <c r="H151" s="6"/>
      <c r="I151" s="6"/>
      <c r="J151" s="7">
        <f t="shared" si="8"/>
        <v>0</v>
      </c>
      <c r="K151" s="4"/>
      <c r="L151" s="4"/>
      <c r="M151" s="8" t="str">
        <f t="shared" si="9"/>
        <v>Не использовать как основание</v>
      </c>
      <c r="N151" s="4"/>
    </row>
    <row r="152" spans="1:14" ht="33.950000000000003" customHeight="1">
      <c r="A152" s="4"/>
      <c r="B152" s="4"/>
      <c r="C152" s="4"/>
      <c r="D152" s="4"/>
      <c r="E152" s="4"/>
      <c r="F152" s="4"/>
      <c r="G152" s="6"/>
      <c r="H152" s="6"/>
      <c r="I152" s="6"/>
      <c r="J152" s="7">
        <f t="shared" si="8"/>
        <v>0</v>
      </c>
      <c r="K152" s="4"/>
      <c r="L152" s="4"/>
      <c r="M152" s="8" t="str">
        <f t="shared" si="9"/>
        <v>Не использовать как основание</v>
      </c>
      <c r="N152" s="4"/>
    </row>
    <row r="153" spans="1:14" ht="33.950000000000003" customHeight="1">
      <c r="A153" s="4"/>
      <c r="B153" s="4"/>
      <c r="C153" s="4"/>
      <c r="D153" s="4"/>
      <c r="E153" s="4"/>
      <c r="F153" s="4"/>
      <c r="G153" s="6"/>
      <c r="H153" s="6"/>
      <c r="I153" s="6"/>
      <c r="J153" s="7">
        <f t="shared" si="8"/>
        <v>0</v>
      </c>
      <c r="K153" s="4"/>
      <c r="L153" s="4"/>
      <c r="M153" s="8" t="str">
        <f t="shared" si="9"/>
        <v>Не использовать как основание</v>
      </c>
      <c r="N153" s="4"/>
    </row>
    <row r="154" spans="1:14" ht="33.950000000000003" customHeight="1">
      <c r="A154" s="4"/>
      <c r="B154" s="4"/>
      <c r="C154" s="4"/>
      <c r="D154" s="4"/>
      <c r="E154" s="4"/>
      <c r="F154" s="4"/>
      <c r="G154" s="6"/>
      <c r="H154" s="6"/>
      <c r="I154" s="6"/>
      <c r="J154" s="7">
        <f t="shared" si="8"/>
        <v>0</v>
      </c>
      <c r="K154" s="4"/>
      <c r="L154" s="4"/>
      <c r="M154" s="8" t="str">
        <f t="shared" si="9"/>
        <v>Не использовать как основание</v>
      </c>
      <c r="N154" s="4"/>
    </row>
    <row r="155" spans="1:14" ht="33.950000000000003" customHeight="1">
      <c r="A155" s="4"/>
      <c r="B155" s="4"/>
      <c r="C155" s="4"/>
      <c r="D155" s="4"/>
      <c r="E155" s="4"/>
      <c r="F155" s="4"/>
      <c r="G155" s="6"/>
      <c r="H155" s="6"/>
      <c r="I155" s="6"/>
      <c r="J155" s="7">
        <f t="shared" si="8"/>
        <v>0</v>
      </c>
      <c r="K155" s="4"/>
      <c r="L155" s="4"/>
      <c r="M155" s="8" t="str">
        <f t="shared" si="9"/>
        <v>Не использовать как основание</v>
      </c>
      <c r="N155" s="4"/>
    </row>
    <row r="156" spans="1:14" ht="33.950000000000003" customHeight="1">
      <c r="A156" s="4"/>
      <c r="B156" s="4"/>
      <c r="C156" s="4"/>
      <c r="D156" s="4"/>
      <c r="E156" s="4"/>
      <c r="F156" s="4"/>
      <c r="G156" s="6"/>
      <c r="H156" s="6"/>
      <c r="I156" s="6"/>
      <c r="J156" s="7">
        <f t="shared" si="8"/>
        <v>0</v>
      </c>
      <c r="K156" s="4"/>
      <c r="L156" s="4"/>
      <c r="M156" s="8" t="str">
        <f t="shared" si="9"/>
        <v>Не использовать как основание</v>
      </c>
      <c r="N156" s="4"/>
    </row>
    <row r="157" spans="1:14" ht="33.950000000000003" customHeight="1">
      <c r="A157" s="4"/>
      <c r="B157" s="4"/>
      <c r="C157" s="4"/>
      <c r="D157" s="4"/>
      <c r="E157" s="4"/>
      <c r="F157" s="4"/>
      <c r="G157" s="6"/>
      <c r="H157" s="6"/>
      <c r="I157" s="6"/>
      <c r="J157" s="7">
        <f t="shared" si="8"/>
        <v>0</v>
      </c>
      <c r="K157" s="4"/>
      <c r="L157" s="4"/>
      <c r="M157" s="8" t="str">
        <f t="shared" si="9"/>
        <v>Не использовать как основание</v>
      </c>
      <c r="N157" s="4"/>
    </row>
    <row r="158" spans="1:14" ht="33.950000000000003" customHeight="1">
      <c r="A158" s="4"/>
      <c r="B158" s="4"/>
      <c r="C158" s="4"/>
      <c r="D158" s="4"/>
      <c r="E158" s="4"/>
      <c r="F158" s="4"/>
      <c r="G158" s="6"/>
      <c r="H158" s="6"/>
      <c r="I158" s="6"/>
      <c r="J158" s="7">
        <f t="shared" si="8"/>
        <v>0</v>
      </c>
      <c r="K158" s="4"/>
      <c r="L158" s="4"/>
      <c r="M158" s="8" t="str">
        <f t="shared" si="9"/>
        <v>Не использовать как основание</v>
      </c>
      <c r="N158" s="4"/>
    </row>
    <row r="159" spans="1:14" ht="33.950000000000003" customHeight="1">
      <c r="A159" s="4"/>
      <c r="B159" s="4"/>
      <c r="C159" s="4"/>
      <c r="D159" s="4"/>
      <c r="E159" s="4"/>
      <c r="F159" s="4"/>
      <c r="G159" s="6"/>
      <c r="H159" s="6"/>
      <c r="I159" s="6"/>
      <c r="J159" s="7">
        <f t="shared" si="8"/>
        <v>0</v>
      </c>
      <c r="K159" s="4"/>
      <c r="L159" s="4"/>
      <c r="M159" s="8" t="str">
        <f t="shared" si="9"/>
        <v>Не использовать как основание</v>
      </c>
      <c r="N159" s="4"/>
    </row>
    <row r="160" spans="1:14" ht="33.950000000000003" customHeight="1">
      <c r="A160" s="4"/>
      <c r="B160" s="4"/>
      <c r="C160" s="4"/>
      <c r="D160" s="4"/>
      <c r="E160" s="4"/>
      <c r="F160" s="4"/>
      <c r="G160" s="6"/>
      <c r="H160" s="6"/>
      <c r="I160" s="6"/>
      <c r="J160" s="7">
        <f t="shared" si="8"/>
        <v>0</v>
      </c>
      <c r="K160" s="4"/>
      <c r="L160" s="4"/>
      <c r="M160" s="8" t="str">
        <f t="shared" si="9"/>
        <v>Не использовать как основание</v>
      </c>
      <c r="N160" s="4"/>
    </row>
    <row r="161" spans="1:14" ht="33.950000000000003" customHeight="1">
      <c r="A161" s="4"/>
      <c r="B161" s="4"/>
      <c r="C161" s="4"/>
      <c r="D161" s="4"/>
      <c r="E161" s="4"/>
      <c r="F161" s="4"/>
      <c r="G161" s="6"/>
      <c r="H161" s="6"/>
      <c r="I161" s="6"/>
      <c r="J161" s="7">
        <f t="shared" si="8"/>
        <v>0</v>
      </c>
      <c r="K161" s="4"/>
      <c r="L161" s="4"/>
      <c r="M161" s="8" t="str">
        <f t="shared" si="9"/>
        <v>Не использовать как основание</v>
      </c>
      <c r="N161" s="4"/>
    </row>
    <row r="162" spans="1:14" ht="33.950000000000003" customHeight="1">
      <c r="A162" s="4"/>
      <c r="B162" s="4"/>
      <c r="C162" s="4"/>
      <c r="D162" s="4"/>
      <c r="E162" s="4"/>
      <c r="F162" s="4"/>
      <c r="G162" s="6"/>
      <c r="H162" s="6"/>
      <c r="I162" s="6"/>
      <c r="J162" s="7">
        <f t="shared" si="8"/>
        <v>0</v>
      </c>
      <c r="K162" s="4"/>
      <c r="L162" s="4"/>
      <c r="M162" s="8" t="str">
        <f t="shared" si="9"/>
        <v>Не использовать как основание</v>
      </c>
      <c r="N162" s="4"/>
    </row>
    <row r="163" spans="1:14" ht="33.950000000000003" customHeight="1">
      <c r="A163" s="4"/>
      <c r="B163" s="4"/>
      <c r="C163" s="4"/>
      <c r="D163" s="4"/>
      <c r="E163" s="4"/>
      <c r="F163" s="4"/>
      <c r="G163" s="6"/>
      <c r="H163" s="6"/>
      <c r="I163" s="6"/>
      <c r="J163" s="7">
        <f t="shared" si="8"/>
        <v>0</v>
      </c>
      <c r="K163" s="4"/>
      <c r="L163" s="4"/>
      <c r="M163" s="8" t="str">
        <f t="shared" si="9"/>
        <v>Не использовать как основание</v>
      </c>
      <c r="N163" s="4"/>
    </row>
    <row r="164" spans="1:14" ht="33.950000000000003" customHeight="1">
      <c r="A164" s="4"/>
      <c r="B164" s="4"/>
      <c r="C164" s="4"/>
      <c r="D164" s="4"/>
      <c r="E164" s="4"/>
      <c r="F164" s="4"/>
      <c r="G164" s="6"/>
      <c r="H164" s="6"/>
      <c r="I164" s="6"/>
      <c r="J164" s="7">
        <f t="shared" ref="J164:J195" si="10">IFERROR((G164*H164)*(6-I164)/20,"")</f>
        <v>0</v>
      </c>
      <c r="K164" s="4"/>
      <c r="L164" s="4"/>
      <c r="M164" s="8" t="str">
        <f t="shared" ref="M164:M195" si="11">IF(J164="","",IF(J164&gt;=3,"Использовать",IF(J164&gt;=1.8,"Проверить дополнительно","Не использовать как основание")))</f>
        <v>Не использовать как основание</v>
      </c>
      <c r="N164" s="4"/>
    </row>
    <row r="165" spans="1:14" ht="33.950000000000003" customHeight="1">
      <c r="A165" s="4"/>
      <c r="B165" s="4"/>
      <c r="C165" s="4"/>
      <c r="D165" s="4"/>
      <c r="E165" s="4"/>
      <c r="F165" s="4"/>
      <c r="G165" s="6"/>
      <c r="H165" s="6"/>
      <c r="I165" s="6"/>
      <c r="J165" s="7">
        <f t="shared" si="10"/>
        <v>0</v>
      </c>
      <c r="K165" s="4"/>
      <c r="L165" s="4"/>
      <c r="M165" s="8" t="str">
        <f t="shared" si="11"/>
        <v>Не использовать как основание</v>
      </c>
      <c r="N165" s="4"/>
    </row>
    <row r="166" spans="1:14" ht="33.950000000000003" customHeight="1">
      <c r="A166" s="4"/>
      <c r="B166" s="4"/>
      <c r="C166" s="4"/>
      <c r="D166" s="4"/>
      <c r="E166" s="4"/>
      <c r="F166" s="4"/>
      <c r="G166" s="6"/>
      <c r="H166" s="6"/>
      <c r="I166" s="6"/>
      <c r="J166" s="7">
        <f t="shared" si="10"/>
        <v>0</v>
      </c>
      <c r="K166" s="4"/>
      <c r="L166" s="4"/>
      <c r="M166" s="8" t="str">
        <f t="shared" si="11"/>
        <v>Не использовать как основание</v>
      </c>
      <c r="N166" s="4"/>
    </row>
    <row r="167" spans="1:14" ht="33.950000000000003" customHeight="1">
      <c r="A167" s="4"/>
      <c r="B167" s="4"/>
      <c r="C167" s="4"/>
      <c r="D167" s="4"/>
      <c r="E167" s="4"/>
      <c r="F167" s="4"/>
      <c r="G167" s="6"/>
      <c r="H167" s="6"/>
      <c r="I167" s="6"/>
      <c r="J167" s="7">
        <f t="shared" si="10"/>
        <v>0</v>
      </c>
      <c r="K167" s="4"/>
      <c r="L167" s="4"/>
      <c r="M167" s="8" t="str">
        <f t="shared" si="11"/>
        <v>Не использовать как основание</v>
      </c>
      <c r="N167" s="4"/>
    </row>
    <row r="168" spans="1:14" ht="33.950000000000003" customHeight="1">
      <c r="A168" s="4"/>
      <c r="B168" s="4"/>
      <c r="C168" s="4"/>
      <c r="D168" s="4"/>
      <c r="E168" s="4"/>
      <c r="F168" s="4"/>
      <c r="G168" s="6"/>
      <c r="H168" s="6"/>
      <c r="I168" s="6"/>
      <c r="J168" s="7">
        <f t="shared" si="10"/>
        <v>0</v>
      </c>
      <c r="K168" s="4"/>
      <c r="L168" s="4"/>
      <c r="M168" s="8" t="str">
        <f t="shared" si="11"/>
        <v>Не использовать как основание</v>
      </c>
      <c r="N168" s="4"/>
    </row>
    <row r="169" spans="1:14" ht="33.950000000000003" customHeight="1">
      <c r="A169" s="4"/>
      <c r="B169" s="4"/>
      <c r="C169" s="4"/>
      <c r="D169" s="4"/>
      <c r="E169" s="4"/>
      <c r="F169" s="4"/>
      <c r="G169" s="6"/>
      <c r="H169" s="6"/>
      <c r="I169" s="6"/>
      <c r="J169" s="7">
        <f t="shared" si="10"/>
        <v>0</v>
      </c>
      <c r="K169" s="4"/>
      <c r="L169" s="4"/>
      <c r="M169" s="8" t="str">
        <f t="shared" si="11"/>
        <v>Не использовать как основание</v>
      </c>
      <c r="N169" s="4"/>
    </row>
    <row r="170" spans="1:14" ht="33.950000000000003" customHeight="1">
      <c r="A170" s="4"/>
      <c r="B170" s="4"/>
      <c r="C170" s="4"/>
      <c r="D170" s="4"/>
      <c r="E170" s="4"/>
      <c r="F170" s="4"/>
      <c r="G170" s="6"/>
      <c r="H170" s="6"/>
      <c r="I170" s="6"/>
      <c r="J170" s="7">
        <f t="shared" si="10"/>
        <v>0</v>
      </c>
      <c r="K170" s="4"/>
      <c r="L170" s="4"/>
      <c r="M170" s="8" t="str">
        <f t="shared" si="11"/>
        <v>Не использовать как основание</v>
      </c>
      <c r="N170" s="4"/>
    </row>
    <row r="171" spans="1:14" ht="33.950000000000003" customHeight="1">
      <c r="A171" s="4"/>
      <c r="B171" s="4"/>
      <c r="C171" s="4"/>
      <c r="D171" s="4"/>
      <c r="E171" s="4"/>
      <c r="F171" s="4"/>
      <c r="G171" s="6"/>
      <c r="H171" s="6"/>
      <c r="I171" s="6"/>
      <c r="J171" s="7">
        <f t="shared" si="10"/>
        <v>0</v>
      </c>
      <c r="K171" s="4"/>
      <c r="L171" s="4"/>
      <c r="M171" s="8" t="str">
        <f t="shared" si="11"/>
        <v>Не использовать как основание</v>
      </c>
      <c r="N171" s="4"/>
    </row>
    <row r="172" spans="1:14" ht="33.950000000000003" customHeight="1">
      <c r="A172" s="4"/>
      <c r="B172" s="4"/>
      <c r="C172" s="4"/>
      <c r="D172" s="4"/>
      <c r="E172" s="4"/>
      <c r="F172" s="4"/>
      <c r="G172" s="6"/>
      <c r="H172" s="6"/>
      <c r="I172" s="6"/>
      <c r="J172" s="7">
        <f t="shared" si="10"/>
        <v>0</v>
      </c>
      <c r="K172" s="4"/>
      <c r="L172" s="4"/>
      <c r="M172" s="8" t="str">
        <f t="shared" si="11"/>
        <v>Не использовать как основание</v>
      </c>
      <c r="N172" s="4"/>
    </row>
    <row r="173" spans="1:14" ht="33.950000000000003" customHeight="1">
      <c r="A173" s="4"/>
      <c r="B173" s="4"/>
      <c r="C173" s="4"/>
      <c r="D173" s="4"/>
      <c r="E173" s="4"/>
      <c r="F173" s="4"/>
      <c r="G173" s="6"/>
      <c r="H173" s="6"/>
      <c r="I173" s="6"/>
      <c r="J173" s="7">
        <f t="shared" si="10"/>
        <v>0</v>
      </c>
      <c r="K173" s="4"/>
      <c r="L173" s="4"/>
      <c r="M173" s="8" t="str">
        <f t="shared" si="11"/>
        <v>Не использовать как основание</v>
      </c>
      <c r="N173" s="4"/>
    </row>
    <row r="174" spans="1:14" ht="33.950000000000003" customHeight="1">
      <c r="A174" s="4"/>
      <c r="B174" s="4"/>
      <c r="C174" s="4"/>
      <c r="D174" s="4"/>
      <c r="E174" s="4"/>
      <c r="F174" s="4"/>
      <c r="G174" s="6"/>
      <c r="H174" s="6"/>
      <c r="I174" s="6"/>
      <c r="J174" s="7">
        <f t="shared" si="10"/>
        <v>0</v>
      </c>
      <c r="K174" s="4"/>
      <c r="L174" s="4"/>
      <c r="M174" s="8" t="str">
        <f t="shared" si="11"/>
        <v>Не использовать как основание</v>
      </c>
      <c r="N174" s="4"/>
    </row>
    <row r="175" spans="1:14" ht="33.950000000000003" customHeight="1">
      <c r="A175" s="4"/>
      <c r="B175" s="4"/>
      <c r="C175" s="4"/>
      <c r="D175" s="4"/>
      <c r="E175" s="4"/>
      <c r="F175" s="4"/>
      <c r="G175" s="6"/>
      <c r="H175" s="6"/>
      <c r="I175" s="6"/>
      <c r="J175" s="7">
        <f t="shared" si="10"/>
        <v>0</v>
      </c>
      <c r="K175" s="4"/>
      <c r="L175" s="4"/>
      <c r="M175" s="8" t="str">
        <f t="shared" si="11"/>
        <v>Не использовать как основание</v>
      </c>
      <c r="N175" s="4"/>
    </row>
    <row r="176" spans="1:14" ht="33.950000000000003" customHeight="1">
      <c r="A176" s="4"/>
      <c r="B176" s="4"/>
      <c r="C176" s="4"/>
      <c r="D176" s="4"/>
      <c r="E176" s="4"/>
      <c r="F176" s="4"/>
      <c r="G176" s="6"/>
      <c r="H176" s="6"/>
      <c r="I176" s="6"/>
      <c r="J176" s="7">
        <f t="shared" si="10"/>
        <v>0</v>
      </c>
      <c r="K176" s="4"/>
      <c r="L176" s="4"/>
      <c r="M176" s="8" t="str">
        <f t="shared" si="11"/>
        <v>Не использовать как основание</v>
      </c>
      <c r="N176" s="4"/>
    </row>
    <row r="177" spans="1:14" ht="33.950000000000003" customHeight="1">
      <c r="A177" s="4"/>
      <c r="B177" s="4"/>
      <c r="C177" s="4"/>
      <c r="D177" s="4"/>
      <c r="E177" s="4"/>
      <c r="F177" s="4"/>
      <c r="G177" s="6"/>
      <c r="H177" s="6"/>
      <c r="I177" s="6"/>
      <c r="J177" s="7">
        <f t="shared" si="10"/>
        <v>0</v>
      </c>
      <c r="K177" s="4"/>
      <c r="L177" s="4"/>
      <c r="M177" s="8" t="str">
        <f t="shared" si="11"/>
        <v>Не использовать как основание</v>
      </c>
      <c r="N177" s="4"/>
    </row>
    <row r="178" spans="1:14" ht="33.950000000000003" customHeight="1">
      <c r="A178" s="4"/>
      <c r="B178" s="4"/>
      <c r="C178" s="4"/>
      <c r="D178" s="4"/>
      <c r="E178" s="4"/>
      <c r="F178" s="4"/>
      <c r="G178" s="6"/>
      <c r="H178" s="6"/>
      <c r="I178" s="6"/>
      <c r="J178" s="7">
        <f t="shared" si="10"/>
        <v>0</v>
      </c>
      <c r="K178" s="4"/>
      <c r="L178" s="4"/>
      <c r="M178" s="8" t="str">
        <f t="shared" si="11"/>
        <v>Не использовать как основание</v>
      </c>
      <c r="N178" s="4"/>
    </row>
    <row r="179" spans="1:14" ht="33.950000000000003" customHeight="1">
      <c r="A179" s="4"/>
      <c r="B179" s="4"/>
      <c r="C179" s="4"/>
      <c r="D179" s="4"/>
      <c r="E179" s="4"/>
      <c r="F179" s="4"/>
      <c r="G179" s="6"/>
      <c r="H179" s="6"/>
      <c r="I179" s="6"/>
      <c r="J179" s="7">
        <f t="shared" si="10"/>
        <v>0</v>
      </c>
      <c r="K179" s="4"/>
      <c r="L179" s="4"/>
      <c r="M179" s="8" t="str">
        <f t="shared" si="11"/>
        <v>Не использовать как основание</v>
      </c>
      <c r="N179" s="4"/>
    </row>
    <row r="180" spans="1:14" ht="33.950000000000003" customHeight="1">
      <c r="A180" s="4"/>
      <c r="B180" s="4"/>
      <c r="C180" s="4"/>
      <c r="D180" s="4"/>
      <c r="E180" s="4"/>
      <c r="F180" s="4"/>
      <c r="G180" s="6"/>
      <c r="H180" s="6"/>
      <c r="I180" s="6"/>
      <c r="J180" s="7">
        <f t="shared" si="10"/>
        <v>0</v>
      </c>
      <c r="K180" s="4"/>
      <c r="L180" s="4"/>
      <c r="M180" s="8" t="str">
        <f t="shared" si="11"/>
        <v>Не использовать как основание</v>
      </c>
      <c r="N180" s="4"/>
    </row>
    <row r="181" spans="1:14" ht="33.950000000000003" customHeight="1">
      <c r="A181" s="4"/>
      <c r="B181" s="4"/>
      <c r="C181" s="4"/>
      <c r="D181" s="4"/>
      <c r="E181" s="4"/>
      <c r="F181" s="4"/>
      <c r="G181" s="6"/>
      <c r="H181" s="6"/>
      <c r="I181" s="6"/>
      <c r="J181" s="7">
        <f t="shared" si="10"/>
        <v>0</v>
      </c>
      <c r="K181" s="4"/>
      <c r="L181" s="4"/>
      <c r="M181" s="8" t="str">
        <f t="shared" si="11"/>
        <v>Не использовать как основание</v>
      </c>
      <c r="N181" s="4"/>
    </row>
    <row r="182" spans="1:14" ht="33.950000000000003" customHeight="1">
      <c r="A182" s="4"/>
      <c r="B182" s="4"/>
      <c r="C182" s="4"/>
      <c r="D182" s="4"/>
      <c r="E182" s="4"/>
      <c r="F182" s="4"/>
      <c r="G182" s="6"/>
      <c r="H182" s="6"/>
      <c r="I182" s="6"/>
      <c r="J182" s="7">
        <f t="shared" si="10"/>
        <v>0</v>
      </c>
      <c r="K182" s="4"/>
      <c r="L182" s="4"/>
      <c r="M182" s="8" t="str">
        <f t="shared" si="11"/>
        <v>Не использовать как основание</v>
      </c>
      <c r="N182" s="4"/>
    </row>
    <row r="183" spans="1:14" ht="33.950000000000003" customHeight="1">
      <c r="A183" s="4"/>
      <c r="B183" s="4"/>
      <c r="C183" s="4"/>
      <c r="D183" s="4"/>
      <c r="E183" s="4"/>
      <c r="F183" s="4"/>
      <c r="G183" s="6"/>
      <c r="H183" s="6"/>
      <c r="I183" s="6"/>
      <c r="J183" s="7">
        <f t="shared" si="10"/>
        <v>0</v>
      </c>
      <c r="K183" s="4"/>
      <c r="L183" s="4"/>
      <c r="M183" s="8" t="str">
        <f t="shared" si="11"/>
        <v>Не использовать как основание</v>
      </c>
      <c r="N183" s="4"/>
    </row>
    <row r="184" spans="1:14" ht="33.950000000000003" customHeight="1">
      <c r="A184" s="4"/>
      <c r="B184" s="4"/>
      <c r="C184" s="4"/>
      <c r="D184" s="4"/>
      <c r="E184" s="4"/>
      <c r="F184" s="4"/>
      <c r="G184" s="6"/>
      <c r="H184" s="6"/>
      <c r="I184" s="6"/>
      <c r="J184" s="7">
        <f t="shared" si="10"/>
        <v>0</v>
      </c>
      <c r="K184" s="4"/>
      <c r="L184" s="4"/>
      <c r="M184" s="8" t="str">
        <f t="shared" si="11"/>
        <v>Не использовать как основание</v>
      </c>
      <c r="N184" s="4"/>
    </row>
    <row r="185" spans="1:14" ht="33.950000000000003" customHeight="1">
      <c r="A185" s="4"/>
      <c r="B185" s="4"/>
      <c r="C185" s="4"/>
      <c r="D185" s="4"/>
      <c r="E185" s="4"/>
      <c r="F185" s="4"/>
      <c r="G185" s="6"/>
      <c r="H185" s="6"/>
      <c r="I185" s="6"/>
      <c r="J185" s="7">
        <f t="shared" si="10"/>
        <v>0</v>
      </c>
      <c r="K185" s="4"/>
      <c r="L185" s="4"/>
      <c r="M185" s="8" t="str">
        <f t="shared" si="11"/>
        <v>Не использовать как основание</v>
      </c>
      <c r="N185" s="4"/>
    </row>
    <row r="186" spans="1:14" ht="33.950000000000003" customHeight="1">
      <c r="A186" s="4"/>
      <c r="B186" s="4"/>
      <c r="C186" s="4"/>
      <c r="D186" s="4"/>
      <c r="E186" s="4"/>
      <c r="F186" s="4"/>
      <c r="G186" s="6"/>
      <c r="H186" s="6"/>
      <c r="I186" s="6"/>
      <c r="J186" s="7">
        <f t="shared" si="10"/>
        <v>0</v>
      </c>
      <c r="K186" s="4"/>
      <c r="L186" s="4"/>
      <c r="M186" s="8" t="str">
        <f t="shared" si="11"/>
        <v>Не использовать как основание</v>
      </c>
      <c r="N186" s="4"/>
    </row>
    <row r="187" spans="1:14" ht="33.950000000000003" customHeight="1">
      <c r="A187" s="4"/>
      <c r="B187" s="4"/>
      <c r="C187" s="4"/>
      <c r="D187" s="4"/>
      <c r="E187" s="4"/>
      <c r="F187" s="4"/>
      <c r="G187" s="6"/>
      <c r="H187" s="6"/>
      <c r="I187" s="6"/>
      <c r="J187" s="7">
        <f t="shared" si="10"/>
        <v>0</v>
      </c>
      <c r="K187" s="4"/>
      <c r="L187" s="4"/>
      <c r="M187" s="8" t="str">
        <f t="shared" si="11"/>
        <v>Не использовать как основание</v>
      </c>
      <c r="N187" s="4"/>
    </row>
    <row r="188" spans="1:14" ht="33.950000000000003" customHeight="1">
      <c r="A188" s="4"/>
      <c r="B188" s="4"/>
      <c r="C188" s="4"/>
      <c r="D188" s="4"/>
      <c r="E188" s="4"/>
      <c r="F188" s="4"/>
      <c r="G188" s="6"/>
      <c r="H188" s="6"/>
      <c r="I188" s="6"/>
      <c r="J188" s="7">
        <f t="shared" si="10"/>
        <v>0</v>
      </c>
      <c r="K188" s="4"/>
      <c r="L188" s="4"/>
      <c r="M188" s="8" t="str">
        <f t="shared" si="11"/>
        <v>Не использовать как основание</v>
      </c>
      <c r="N188" s="4"/>
    </row>
    <row r="189" spans="1:14" ht="33.950000000000003" customHeight="1">
      <c r="A189" s="4"/>
      <c r="B189" s="4"/>
      <c r="C189" s="4"/>
      <c r="D189" s="4"/>
      <c r="E189" s="4"/>
      <c r="F189" s="4"/>
      <c r="G189" s="6"/>
      <c r="H189" s="6"/>
      <c r="I189" s="6"/>
      <c r="J189" s="7">
        <f t="shared" si="10"/>
        <v>0</v>
      </c>
      <c r="K189" s="4"/>
      <c r="L189" s="4"/>
      <c r="M189" s="8" t="str">
        <f t="shared" si="11"/>
        <v>Не использовать как основание</v>
      </c>
      <c r="N189" s="4"/>
    </row>
    <row r="190" spans="1:14" ht="33.950000000000003" customHeight="1">
      <c r="A190" s="4"/>
      <c r="B190" s="4"/>
      <c r="C190" s="4"/>
      <c r="D190" s="4"/>
      <c r="E190" s="4"/>
      <c r="F190" s="4"/>
      <c r="G190" s="6"/>
      <c r="H190" s="6"/>
      <c r="I190" s="6"/>
      <c r="J190" s="7">
        <f t="shared" si="10"/>
        <v>0</v>
      </c>
      <c r="K190" s="4"/>
      <c r="L190" s="4"/>
      <c r="M190" s="8" t="str">
        <f t="shared" si="11"/>
        <v>Не использовать как основание</v>
      </c>
      <c r="N190" s="4"/>
    </row>
    <row r="191" spans="1:14" ht="33.950000000000003" customHeight="1">
      <c r="A191" s="4"/>
      <c r="B191" s="4"/>
      <c r="C191" s="4"/>
      <c r="D191" s="4"/>
      <c r="E191" s="4"/>
      <c r="F191" s="4"/>
      <c r="G191" s="6"/>
      <c r="H191" s="6"/>
      <c r="I191" s="6"/>
      <c r="J191" s="7">
        <f t="shared" si="10"/>
        <v>0</v>
      </c>
      <c r="K191" s="4"/>
      <c r="L191" s="4"/>
      <c r="M191" s="8" t="str">
        <f t="shared" si="11"/>
        <v>Не использовать как основание</v>
      </c>
      <c r="N191" s="4"/>
    </row>
    <row r="192" spans="1:14" ht="33.950000000000003" customHeight="1">
      <c r="A192" s="4"/>
      <c r="B192" s="4"/>
      <c r="C192" s="4"/>
      <c r="D192" s="4"/>
      <c r="E192" s="4"/>
      <c r="F192" s="4"/>
      <c r="G192" s="6"/>
      <c r="H192" s="6"/>
      <c r="I192" s="6"/>
      <c r="J192" s="7">
        <f t="shared" si="10"/>
        <v>0</v>
      </c>
      <c r="K192" s="4"/>
      <c r="L192" s="4"/>
      <c r="M192" s="8" t="str">
        <f t="shared" si="11"/>
        <v>Не использовать как основание</v>
      </c>
      <c r="N192" s="4"/>
    </row>
    <row r="193" spans="1:14" ht="33.950000000000003" customHeight="1">
      <c r="A193" s="4"/>
      <c r="B193" s="4"/>
      <c r="C193" s="4"/>
      <c r="D193" s="4"/>
      <c r="E193" s="4"/>
      <c r="F193" s="4"/>
      <c r="G193" s="6"/>
      <c r="H193" s="6"/>
      <c r="I193" s="6"/>
      <c r="J193" s="7">
        <f t="shared" si="10"/>
        <v>0</v>
      </c>
      <c r="K193" s="4"/>
      <c r="L193" s="4"/>
      <c r="M193" s="8" t="str">
        <f t="shared" si="11"/>
        <v>Не использовать как основание</v>
      </c>
      <c r="N193" s="4"/>
    </row>
    <row r="194" spans="1:14" ht="33.950000000000003" customHeight="1">
      <c r="A194" s="4"/>
      <c r="B194" s="4"/>
      <c r="C194" s="4"/>
      <c r="D194" s="4"/>
      <c r="E194" s="4"/>
      <c r="F194" s="4"/>
      <c r="G194" s="6"/>
      <c r="H194" s="6"/>
      <c r="I194" s="6"/>
      <c r="J194" s="7">
        <f t="shared" si="10"/>
        <v>0</v>
      </c>
      <c r="K194" s="4"/>
      <c r="L194" s="4"/>
      <c r="M194" s="8" t="str">
        <f t="shared" si="11"/>
        <v>Не использовать как основание</v>
      </c>
      <c r="N194" s="4"/>
    </row>
    <row r="195" spans="1:14" ht="33.950000000000003" customHeight="1">
      <c r="A195" s="4"/>
      <c r="B195" s="4"/>
      <c r="C195" s="4"/>
      <c r="D195" s="4"/>
      <c r="E195" s="4"/>
      <c r="F195" s="4"/>
      <c r="G195" s="6"/>
      <c r="H195" s="6"/>
      <c r="I195" s="6"/>
      <c r="J195" s="7">
        <f t="shared" si="10"/>
        <v>0</v>
      </c>
      <c r="K195" s="4"/>
      <c r="L195" s="4"/>
      <c r="M195" s="8" t="str">
        <f t="shared" si="11"/>
        <v>Не использовать как основание</v>
      </c>
      <c r="N195" s="4"/>
    </row>
    <row r="196" spans="1:14" ht="33.950000000000003" customHeight="1">
      <c r="A196" s="4"/>
      <c r="B196" s="4"/>
      <c r="C196" s="4"/>
      <c r="D196" s="4"/>
      <c r="E196" s="4"/>
      <c r="F196" s="4"/>
      <c r="G196" s="6"/>
      <c r="H196" s="6"/>
      <c r="I196" s="6"/>
      <c r="J196" s="7">
        <f t="shared" ref="J196:J227" si="12">IFERROR((G196*H196)*(6-I196)/20,"")</f>
        <v>0</v>
      </c>
      <c r="K196" s="4"/>
      <c r="L196" s="4"/>
      <c r="M196" s="8" t="str">
        <f t="shared" ref="M196:M203" si="13">IF(J196="","",IF(J196&gt;=3,"Использовать",IF(J196&gt;=1.8,"Проверить дополнительно","Не использовать как основание")))</f>
        <v>Не использовать как основание</v>
      </c>
      <c r="N196" s="4"/>
    </row>
    <row r="197" spans="1:14" ht="33.950000000000003" customHeight="1">
      <c r="A197" s="4"/>
      <c r="B197" s="4"/>
      <c r="C197" s="4"/>
      <c r="D197" s="4"/>
      <c r="E197" s="4"/>
      <c r="F197" s="4"/>
      <c r="G197" s="6"/>
      <c r="H197" s="6"/>
      <c r="I197" s="6"/>
      <c r="J197" s="7">
        <f t="shared" si="12"/>
        <v>0</v>
      </c>
      <c r="K197" s="4"/>
      <c r="L197" s="4"/>
      <c r="M197" s="8" t="str">
        <f t="shared" si="13"/>
        <v>Не использовать как основание</v>
      </c>
      <c r="N197" s="4"/>
    </row>
    <row r="198" spans="1:14" ht="33.950000000000003" customHeight="1">
      <c r="A198" s="4"/>
      <c r="B198" s="4"/>
      <c r="C198" s="4"/>
      <c r="D198" s="4"/>
      <c r="E198" s="4"/>
      <c r="F198" s="4"/>
      <c r="G198" s="6"/>
      <c r="H198" s="6"/>
      <c r="I198" s="6"/>
      <c r="J198" s="7">
        <f t="shared" si="12"/>
        <v>0</v>
      </c>
      <c r="K198" s="4"/>
      <c r="L198" s="4"/>
      <c r="M198" s="8" t="str">
        <f t="shared" si="13"/>
        <v>Не использовать как основание</v>
      </c>
      <c r="N198" s="4"/>
    </row>
    <row r="199" spans="1:14" ht="33.950000000000003" customHeight="1">
      <c r="A199" s="4"/>
      <c r="B199" s="4"/>
      <c r="C199" s="4"/>
      <c r="D199" s="4"/>
      <c r="E199" s="4"/>
      <c r="F199" s="4"/>
      <c r="G199" s="6"/>
      <c r="H199" s="6"/>
      <c r="I199" s="6"/>
      <c r="J199" s="7">
        <f t="shared" si="12"/>
        <v>0</v>
      </c>
      <c r="K199" s="4"/>
      <c r="L199" s="4"/>
      <c r="M199" s="8" t="str">
        <f t="shared" si="13"/>
        <v>Не использовать как основание</v>
      </c>
      <c r="N199" s="4"/>
    </row>
    <row r="200" spans="1:14" ht="33.950000000000003" customHeight="1">
      <c r="A200" s="4"/>
      <c r="B200" s="4"/>
      <c r="C200" s="4"/>
      <c r="D200" s="4"/>
      <c r="E200" s="4"/>
      <c r="F200" s="4"/>
      <c r="G200" s="6"/>
      <c r="H200" s="6"/>
      <c r="I200" s="6"/>
      <c r="J200" s="7">
        <f t="shared" si="12"/>
        <v>0</v>
      </c>
      <c r="K200" s="4"/>
      <c r="L200" s="4"/>
      <c r="M200" s="8" t="str">
        <f t="shared" si="13"/>
        <v>Не использовать как основание</v>
      </c>
      <c r="N200" s="4"/>
    </row>
    <row r="201" spans="1:14" ht="33.950000000000003" customHeight="1">
      <c r="A201" s="4"/>
      <c r="B201" s="4"/>
      <c r="C201" s="4"/>
      <c r="D201" s="4"/>
      <c r="E201" s="4"/>
      <c r="F201" s="4"/>
      <c r="G201" s="6"/>
      <c r="H201" s="6"/>
      <c r="I201" s="6"/>
      <c r="J201" s="7">
        <f t="shared" si="12"/>
        <v>0</v>
      </c>
      <c r="K201" s="4"/>
      <c r="L201" s="4"/>
      <c r="M201" s="8" t="str">
        <f t="shared" si="13"/>
        <v>Не использовать как основание</v>
      </c>
      <c r="N201" s="4"/>
    </row>
    <row r="202" spans="1:14" ht="33.950000000000003" customHeight="1">
      <c r="A202" s="4"/>
      <c r="B202" s="4"/>
      <c r="C202" s="4"/>
      <c r="D202" s="4"/>
      <c r="E202" s="4"/>
      <c r="F202" s="4"/>
      <c r="G202" s="6"/>
      <c r="H202" s="6"/>
      <c r="I202" s="6"/>
      <c r="J202" s="7">
        <f t="shared" si="12"/>
        <v>0</v>
      </c>
      <c r="K202" s="4"/>
      <c r="L202" s="4"/>
      <c r="M202" s="8" t="str">
        <f t="shared" si="13"/>
        <v>Не использовать как основание</v>
      </c>
      <c r="N202" s="4"/>
    </row>
    <row r="203" spans="1:14" ht="33.950000000000003" customHeight="1">
      <c r="A203" s="4"/>
      <c r="B203" s="4"/>
      <c r="C203" s="4"/>
      <c r="D203" s="4"/>
      <c r="E203" s="4"/>
      <c r="F203" s="4"/>
      <c r="G203" s="6"/>
      <c r="H203" s="6"/>
      <c r="I203" s="6"/>
      <c r="J203" s="7">
        <f t="shared" si="12"/>
        <v>0</v>
      </c>
      <c r="K203" s="4"/>
      <c r="L203" s="4"/>
      <c r="M203" s="8" t="str">
        <f t="shared" si="13"/>
        <v>Не использовать как основание</v>
      </c>
      <c r="N203" s="4"/>
    </row>
  </sheetData>
  <mergeCells count="1">
    <mergeCell ref="A1:N1"/>
  </mergeCells>
  <conditionalFormatting sqref="J4:J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G4:G203" xr:uid="{00000000-0002-0000-0100-000002000000}">
      <formula1>"1,2,3,4"</formula1>
    </dataValidation>
    <dataValidation type="list" sqref="H4:I203" xr:uid="{00000000-0002-0000-0100-000003000000}">
      <formula1>"1,2,3,4,5"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Справочники!$A$4:$A$13</xm:f>
          </x14:formula1>
          <xm:sqref>B4:B203</xm:sqref>
        </x14:dataValidation>
        <x14:dataValidation type="list" xr:uid="{00000000-0002-0000-0100-000001000000}">
          <x14:formula1>
            <xm:f>Справочники!$D$4:$D$12</xm:f>
          </x14:formula1>
          <xm:sqref>K4:K203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3"/>
  <sheetViews>
    <sheetView workbookViewId="0"/>
  </sheetViews>
  <sheetFormatPr defaultRowHeight="14.25"/>
  <cols>
    <col min="1" max="1" width="14" customWidth="1"/>
    <col min="2" max="2" width="34" customWidth="1"/>
    <col min="3" max="3" width="22" customWidth="1"/>
    <col min="4" max="4" width="38" customWidth="1"/>
    <col min="5" max="5" width="24" customWidth="1"/>
    <col min="6" max="6" width="34" customWidth="1"/>
    <col min="7" max="7" width="36" customWidth="1"/>
    <col min="8" max="8" width="34" customWidth="1"/>
    <col min="9" max="9" width="20" customWidth="1"/>
    <col min="10" max="13" width="18" customWidth="1"/>
    <col min="14" max="14" width="20" customWidth="1"/>
    <col min="15" max="15" width="34" customWidth="1"/>
  </cols>
  <sheetData>
    <row r="1" spans="1:26" ht="30" customHeight="1">
      <c r="A1" s="10" t="s">
        <v>79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3.950000000000003" customHeight="1">
      <c r="A3" s="5" t="s">
        <v>80</v>
      </c>
      <c r="B3" s="5" t="s">
        <v>81</v>
      </c>
      <c r="C3" s="5" t="s">
        <v>82</v>
      </c>
      <c r="D3" s="5" t="s">
        <v>83</v>
      </c>
      <c r="E3" s="5" t="s">
        <v>84</v>
      </c>
      <c r="F3" s="5" t="s">
        <v>85</v>
      </c>
      <c r="G3" s="5" t="s">
        <v>86</v>
      </c>
      <c r="H3" s="5" t="s">
        <v>87</v>
      </c>
      <c r="I3" s="5" t="s">
        <v>88</v>
      </c>
      <c r="J3" s="5" t="s">
        <v>89</v>
      </c>
      <c r="K3" s="5" t="s">
        <v>90</v>
      </c>
      <c r="L3" s="5" t="s">
        <v>91</v>
      </c>
      <c r="M3" s="5" t="s">
        <v>92</v>
      </c>
      <c r="N3" s="5" t="s">
        <v>13</v>
      </c>
      <c r="O3" s="5" t="s">
        <v>93</v>
      </c>
    </row>
    <row r="4" spans="1:26" ht="33.950000000000003" customHeight="1">
      <c r="A4" s="4" t="s">
        <v>94</v>
      </c>
      <c r="B4" s="4" t="s">
        <v>431</v>
      </c>
      <c r="C4" s="4" t="s">
        <v>324</v>
      </c>
      <c r="D4" s="4" t="s">
        <v>432</v>
      </c>
      <c r="E4" s="4" t="s">
        <v>433</v>
      </c>
      <c r="F4" s="4" t="s">
        <v>434</v>
      </c>
      <c r="G4" s="4" t="s">
        <v>435</v>
      </c>
      <c r="H4" s="4" t="s">
        <v>436</v>
      </c>
      <c r="I4" s="4" t="s">
        <v>437</v>
      </c>
      <c r="J4" s="4">
        <v>3</v>
      </c>
      <c r="K4" s="4">
        <v>5</v>
      </c>
      <c r="L4" s="8">
        <f t="shared" ref="L4:L35" si="0">IF(A4="","",IF(COUNTA(D4:I4)&gt;=5,1,0))</f>
        <v>1</v>
      </c>
      <c r="M4" s="7">
        <f t="shared" ref="M4:M35" si="1">IF(A4="","",IFERROR(J4*K4*L4/20,0))</f>
        <v>0.75</v>
      </c>
      <c r="N4" s="4" t="s">
        <v>97</v>
      </c>
      <c r="O4" s="4" t="s">
        <v>438</v>
      </c>
    </row>
    <row r="5" spans="1:26" ht="33.950000000000003" customHeight="1">
      <c r="A5" s="4" t="s">
        <v>98</v>
      </c>
      <c r="B5" s="4" t="s">
        <v>439</v>
      </c>
      <c r="C5" s="4" t="s">
        <v>95</v>
      </c>
      <c r="D5" s="4" t="s">
        <v>440</v>
      </c>
      <c r="E5" s="4" t="s">
        <v>290</v>
      </c>
      <c r="F5" s="4" t="s">
        <v>441</v>
      </c>
      <c r="G5" s="4" t="s">
        <v>442</v>
      </c>
      <c r="H5" s="4" t="s">
        <v>443</v>
      </c>
      <c r="I5" s="4" t="s">
        <v>391</v>
      </c>
      <c r="J5" s="4">
        <v>3</v>
      </c>
      <c r="K5" s="4">
        <v>4</v>
      </c>
      <c r="L5" s="8">
        <f t="shared" si="0"/>
        <v>1</v>
      </c>
      <c r="M5" s="7">
        <f t="shared" si="1"/>
        <v>0.6</v>
      </c>
      <c r="N5" s="4" t="s">
        <v>97</v>
      </c>
      <c r="O5" s="4" t="s">
        <v>444</v>
      </c>
    </row>
    <row r="6" spans="1:26" ht="33.950000000000003" customHeight="1">
      <c r="A6" s="4" t="s">
        <v>445</v>
      </c>
      <c r="B6" s="4" t="s">
        <v>446</v>
      </c>
      <c r="C6" s="4" t="s">
        <v>99</v>
      </c>
      <c r="D6" s="4" t="s">
        <v>447</v>
      </c>
      <c r="E6" s="4" t="s">
        <v>448</v>
      </c>
      <c r="F6" s="4" t="s">
        <v>449</v>
      </c>
      <c r="G6" s="4" t="s">
        <v>450</v>
      </c>
      <c r="H6" s="4" t="s">
        <v>451</v>
      </c>
      <c r="I6" s="4" t="s">
        <v>452</v>
      </c>
      <c r="J6" s="4">
        <v>2</v>
      </c>
      <c r="K6" s="4">
        <v>5</v>
      </c>
      <c r="L6" s="8">
        <f t="shared" si="0"/>
        <v>1</v>
      </c>
      <c r="M6" s="7">
        <f t="shared" si="1"/>
        <v>0.5</v>
      </c>
      <c r="N6" s="4" t="s">
        <v>97</v>
      </c>
      <c r="O6" s="4" t="s">
        <v>453</v>
      </c>
    </row>
    <row r="7" spans="1:26" ht="33.950000000000003" customHeight="1">
      <c r="A7" s="4" t="s">
        <v>454</v>
      </c>
      <c r="B7" s="4" t="s">
        <v>455</v>
      </c>
      <c r="C7" s="4" t="s">
        <v>332</v>
      </c>
      <c r="D7" s="4" t="s">
        <v>456</v>
      </c>
      <c r="E7" s="4" t="s">
        <v>296</v>
      </c>
      <c r="F7" s="4" t="s">
        <v>457</v>
      </c>
      <c r="G7" s="4" t="s">
        <v>458</v>
      </c>
      <c r="H7" s="4" t="s">
        <v>150</v>
      </c>
      <c r="I7" s="4" t="s">
        <v>402</v>
      </c>
      <c r="J7" s="4">
        <v>3</v>
      </c>
      <c r="K7" s="4">
        <v>4</v>
      </c>
      <c r="L7" s="8">
        <f t="shared" si="0"/>
        <v>1</v>
      </c>
      <c r="M7" s="7">
        <f t="shared" si="1"/>
        <v>0.6</v>
      </c>
      <c r="N7" s="4" t="s">
        <v>102</v>
      </c>
      <c r="O7" s="4"/>
    </row>
    <row r="8" spans="1:26" ht="33.950000000000003" customHeight="1">
      <c r="A8" s="4" t="s">
        <v>459</v>
      </c>
      <c r="B8" s="4" t="s">
        <v>460</v>
      </c>
      <c r="C8" s="4" t="s">
        <v>329</v>
      </c>
      <c r="D8" s="4" t="s">
        <v>461</v>
      </c>
      <c r="E8" s="4" t="s">
        <v>290</v>
      </c>
      <c r="F8" s="4" t="s">
        <v>462</v>
      </c>
      <c r="G8" s="4" t="s">
        <v>463</v>
      </c>
      <c r="H8" s="4" t="s">
        <v>417</v>
      </c>
      <c r="I8" s="4" t="s">
        <v>464</v>
      </c>
      <c r="J8" s="4">
        <v>2</v>
      </c>
      <c r="K8" s="4">
        <v>4</v>
      </c>
      <c r="L8" s="8">
        <f t="shared" si="0"/>
        <v>1</v>
      </c>
      <c r="M8" s="7">
        <f t="shared" si="1"/>
        <v>0.4</v>
      </c>
      <c r="N8" s="4" t="s">
        <v>97</v>
      </c>
      <c r="O8" s="4" t="s">
        <v>465</v>
      </c>
    </row>
    <row r="9" spans="1:26" ht="33.950000000000003" customHeight="1">
      <c r="A9" s="4" t="s">
        <v>466</v>
      </c>
      <c r="B9" s="4" t="s">
        <v>467</v>
      </c>
      <c r="C9" s="4" t="s">
        <v>341</v>
      </c>
      <c r="D9" s="4" t="s">
        <v>468</v>
      </c>
      <c r="E9" s="4" t="s">
        <v>308</v>
      </c>
      <c r="F9" s="4" t="s">
        <v>469</v>
      </c>
      <c r="G9" s="4" t="s">
        <v>470</v>
      </c>
      <c r="H9" s="4" t="s">
        <v>417</v>
      </c>
      <c r="I9" s="4" t="s">
        <v>420</v>
      </c>
      <c r="J9" s="4">
        <v>3</v>
      </c>
      <c r="K9" s="4">
        <v>3</v>
      </c>
      <c r="L9" s="8">
        <f t="shared" si="0"/>
        <v>1</v>
      </c>
      <c r="M9" s="7">
        <f t="shared" si="1"/>
        <v>0.45</v>
      </c>
      <c r="N9" s="4" t="s">
        <v>102</v>
      </c>
      <c r="O9" s="4"/>
    </row>
    <row r="10" spans="1:26" ht="33.950000000000003" customHeight="1">
      <c r="A10" s="4" t="s">
        <v>471</v>
      </c>
      <c r="B10" s="4" t="s">
        <v>472</v>
      </c>
      <c r="C10" s="4" t="s">
        <v>345</v>
      </c>
      <c r="D10" s="4" t="s">
        <v>473</v>
      </c>
      <c r="E10" s="4" t="s">
        <v>308</v>
      </c>
      <c r="F10" s="4" t="s">
        <v>474</v>
      </c>
      <c r="G10" s="4" t="s">
        <v>475</v>
      </c>
      <c r="H10" s="4" t="s">
        <v>417</v>
      </c>
      <c r="I10" s="4" t="s">
        <v>420</v>
      </c>
      <c r="J10" s="4">
        <v>3</v>
      </c>
      <c r="K10" s="4">
        <v>4</v>
      </c>
      <c r="L10" s="8">
        <f t="shared" si="0"/>
        <v>1</v>
      </c>
      <c r="M10" s="7">
        <f t="shared" si="1"/>
        <v>0.6</v>
      </c>
      <c r="N10" s="4" t="s">
        <v>315</v>
      </c>
      <c r="O10" s="4"/>
    </row>
    <row r="11" spans="1:26" ht="33.950000000000003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8" t="str">
        <f t="shared" si="0"/>
        <v/>
      </c>
      <c r="M11" s="7" t="str">
        <f t="shared" si="1"/>
        <v/>
      </c>
      <c r="N11" s="4"/>
      <c r="O11" s="4"/>
    </row>
    <row r="12" spans="1:26" ht="33.950000000000003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8" t="str">
        <f t="shared" si="0"/>
        <v/>
      </c>
      <c r="M12" s="7" t="str">
        <f t="shared" si="1"/>
        <v/>
      </c>
      <c r="N12" s="4"/>
      <c r="O12" s="4"/>
    </row>
    <row r="13" spans="1:26" ht="33.950000000000003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8" t="str">
        <f t="shared" si="0"/>
        <v/>
      </c>
      <c r="M13" s="7" t="str">
        <f t="shared" si="1"/>
        <v/>
      </c>
      <c r="N13" s="4"/>
      <c r="O13" s="4"/>
    </row>
    <row r="14" spans="1:26" ht="33.950000000000003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8" t="str">
        <f t="shared" si="0"/>
        <v/>
      </c>
      <c r="M14" s="7" t="str">
        <f t="shared" si="1"/>
        <v/>
      </c>
      <c r="N14" s="4"/>
      <c r="O14" s="4"/>
    </row>
    <row r="15" spans="1:26" ht="33.950000000000003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8" t="str">
        <f t="shared" si="0"/>
        <v/>
      </c>
      <c r="M15" s="7" t="str">
        <f t="shared" si="1"/>
        <v/>
      </c>
      <c r="N15" s="4"/>
      <c r="O15" s="4"/>
    </row>
    <row r="16" spans="1:26" ht="33.950000000000003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8" t="str">
        <f t="shared" si="0"/>
        <v/>
      </c>
      <c r="M16" s="7" t="str">
        <f t="shared" si="1"/>
        <v/>
      </c>
      <c r="N16" s="4"/>
      <c r="O16" s="4"/>
    </row>
    <row r="17" spans="1:15" ht="33.950000000000003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8" t="str">
        <f t="shared" si="0"/>
        <v/>
      </c>
      <c r="M17" s="7" t="str">
        <f t="shared" si="1"/>
        <v/>
      </c>
      <c r="N17" s="4"/>
      <c r="O17" s="4"/>
    </row>
    <row r="18" spans="1:15" ht="33.950000000000003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8" t="str">
        <f t="shared" si="0"/>
        <v/>
      </c>
      <c r="M18" s="7" t="str">
        <f t="shared" si="1"/>
        <v/>
      </c>
      <c r="N18" s="4"/>
      <c r="O18" s="4"/>
    </row>
    <row r="19" spans="1:15" ht="33.950000000000003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8" t="str">
        <f t="shared" si="0"/>
        <v/>
      </c>
      <c r="M19" s="7" t="str">
        <f t="shared" si="1"/>
        <v/>
      </c>
      <c r="N19" s="4"/>
      <c r="O19" s="4"/>
    </row>
    <row r="20" spans="1:15" ht="33.950000000000003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8" t="str">
        <f t="shared" si="0"/>
        <v/>
      </c>
      <c r="M20" s="7" t="str">
        <f t="shared" si="1"/>
        <v/>
      </c>
      <c r="N20" s="4"/>
      <c r="O20" s="4"/>
    </row>
    <row r="21" spans="1:15" ht="33.950000000000003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8" t="str">
        <f t="shared" si="0"/>
        <v/>
      </c>
      <c r="M21" s="7" t="str">
        <f t="shared" si="1"/>
        <v/>
      </c>
      <c r="N21" s="4"/>
      <c r="O21" s="4"/>
    </row>
    <row r="22" spans="1:15" ht="33.950000000000003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8" t="str">
        <f t="shared" si="0"/>
        <v/>
      </c>
      <c r="M22" s="7" t="str">
        <f t="shared" si="1"/>
        <v/>
      </c>
      <c r="N22" s="4"/>
      <c r="O22" s="4"/>
    </row>
    <row r="23" spans="1:15" ht="33.950000000000003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8" t="str">
        <f t="shared" si="0"/>
        <v/>
      </c>
      <c r="M23" s="7" t="str">
        <f t="shared" si="1"/>
        <v/>
      </c>
      <c r="N23" s="4"/>
      <c r="O23" s="4"/>
    </row>
    <row r="24" spans="1:15" ht="33.950000000000003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8" t="str">
        <f t="shared" si="0"/>
        <v/>
      </c>
      <c r="M24" s="7" t="str">
        <f t="shared" si="1"/>
        <v/>
      </c>
      <c r="N24" s="4"/>
      <c r="O24" s="4"/>
    </row>
    <row r="25" spans="1:15" ht="33.950000000000003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8" t="str">
        <f t="shared" si="0"/>
        <v/>
      </c>
      <c r="M25" s="7" t="str">
        <f t="shared" si="1"/>
        <v/>
      </c>
      <c r="N25" s="4"/>
      <c r="O25" s="4"/>
    </row>
    <row r="26" spans="1:15" ht="33.950000000000003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8" t="str">
        <f t="shared" si="0"/>
        <v/>
      </c>
      <c r="M26" s="7" t="str">
        <f t="shared" si="1"/>
        <v/>
      </c>
      <c r="N26" s="4"/>
      <c r="O26" s="4"/>
    </row>
    <row r="27" spans="1:15" ht="33.950000000000003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8" t="str">
        <f t="shared" si="0"/>
        <v/>
      </c>
      <c r="M27" s="7" t="str">
        <f t="shared" si="1"/>
        <v/>
      </c>
      <c r="N27" s="4"/>
      <c r="O27" s="4"/>
    </row>
    <row r="28" spans="1:15" ht="33.950000000000003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8" t="str">
        <f t="shared" si="0"/>
        <v/>
      </c>
      <c r="M28" s="7" t="str">
        <f t="shared" si="1"/>
        <v/>
      </c>
      <c r="N28" s="4"/>
      <c r="O28" s="4"/>
    </row>
    <row r="29" spans="1:15" ht="33.950000000000003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8" t="str">
        <f t="shared" si="0"/>
        <v/>
      </c>
      <c r="M29" s="7" t="str">
        <f t="shared" si="1"/>
        <v/>
      </c>
      <c r="N29" s="4"/>
      <c r="O29" s="4"/>
    </row>
    <row r="30" spans="1:15" ht="33.950000000000003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8" t="str">
        <f t="shared" si="0"/>
        <v/>
      </c>
      <c r="M30" s="7" t="str">
        <f t="shared" si="1"/>
        <v/>
      </c>
      <c r="N30" s="4"/>
      <c r="O30" s="4"/>
    </row>
    <row r="31" spans="1:15" ht="33.950000000000003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8" t="str">
        <f t="shared" si="0"/>
        <v/>
      </c>
      <c r="M31" s="7" t="str">
        <f t="shared" si="1"/>
        <v/>
      </c>
      <c r="N31" s="4"/>
      <c r="O31" s="4"/>
    </row>
    <row r="32" spans="1:15" ht="33.950000000000003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8" t="str">
        <f t="shared" si="0"/>
        <v/>
      </c>
      <c r="M32" s="7" t="str">
        <f t="shared" si="1"/>
        <v/>
      </c>
      <c r="N32" s="4"/>
      <c r="O32" s="4"/>
    </row>
    <row r="33" spans="1:15" ht="33.950000000000003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8" t="str">
        <f t="shared" si="0"/>
        <v/>
      </c>
      <c r="M33" s="7" t="str">
        <f t="shared" si="1"/>
        <v/>
      </c>
      <c r="N33" s="4"/>
      <c r="O33" s="4"/>
    </row>
    <row r="34" spans="1:15" ht="33.950000000000003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8" t="str">
        <f t="shared" si="0"/>
        <v/>
      </c>
      <c r="M34" s="7" t="str">
        <f t="shared" si="1"/>
        <v/>
      </c>
      <c r="N34" s="4"/>
      <c r="O34" s="4"/>
    </row>
    <row r="35" spans="1:15" ht="33.950000000000003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8" t="str">
        <f t="shared" si="0"/>
        <v/>
      </c>
      <c r="M35" s="7" t="str">
        <f t="shared" si="1"/>
        <v/>
      </c>
      <c r="N35" s="4"/>
      <c r="O35" s="4"/>
    </row>
    <row r="36" spans="1:15" ht="33.950000000000003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8" t="str">
        <f t="shared" ref="L36:L67" si="2">IF(A36="","",IF(COUNTA(D36:I36)&gt;=5,1,0))</f>
        <v/>
      </c>
      <c r="M36" s="7" t="str">
        <f t="shared" ref="M36:M67" si="3">IF(A36="","",IFERROR(J36*K36*L36/20,0))</f>
        <v/>
      </c>
      <c r="N36" s="4"/>
      <c r="O36" s="4"/>
    </row>
    <row r="37" spans="1:15" ht="33.950000000000003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8" t="str">
        <f t="shared" si="2"/>
        <v/>
      </c>
      <c r="M37" s="7" t="str">
        <f t="shared" si="3"/>
        <v/>
      </c>
      <c r="N37" s="4"/>
      <c r="O37" s="4"/>
    </row>
    <row r="38" spans="1:15" ht="33.950000000000003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8" t="str">
        <f t="shared" si="2"/>
        <v/>
      </c>
      <c r="M38" s="7" t="str">
        <f t="shared" si="3"/>
        <v/>
      </c>
      <c r="N38" s="4"/>
      <c r="O38" s="4"/>
    </row>
    <row r="39" spans="1:15" ht="33.950000000000003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8" t="str">
        <f t="shared" si="2"/>
        <v/>
      </c>
      <c r="M39" s="7" t="str">
        <f t="shared" si="3"/>
        <v/>
      </c>
      <c r="N39" s="4"/>
      <c r="O39" s="4"/>
    </row>
    <row r="40" spans="1:15" ht="33.950000000000003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8" t="str">
        <f t="shared" si="2"/>
        <v/>
      </c>
      <c r="M40" s="7" t="str">
        <f t="shared" si="3"/>
        <v/>
      </c>
      <c r="N40" s="4"/>
      <c r="O40" s="4"/>
    </row>
    <row r="41" spans="1:15" ht="33.950000000000003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8" t="str">
        <f t="shared" si="2"/>
        <v/>
      </c>
      <c r="M41" s="7" t="str">
        <f t="shared" si="3"/>
        <v/>
      </c>
      <c r="N41" s="4"/>
      <c r="O41" s="4"/>
    </row>
    <row r="42" spans="1:15" ht="33.950000000000003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8" t="str">
        <f t="shared" si="2"/>
        <v/>
      </c>
      <c r="M42" s="7" t="str">
        <f t="shared" si="3"/>
        <v/>
      </c>
      <c r="N42" s="4"/>
      <c r="O42" s="4"/>
    </row>
    <row r="43" spans="1:15" ht="33.950000000000003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8" t="str">
        <f t="shared" si="2"/>
        <v/>
      </c>
      <c r="M43" s="7" t="str">
        <f t="shared" si="3"/>
        <v/>
      </c>
      <c r="N43" s="4"/>
      <c r="O43" s="4"/>
    </row>
    <row r="44" spans="1:15" ht="33.950000000000003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8" t="str">
        <f t="shared" si="2"/>
        <v/>
      </c>
      <c r="M44" s="7" t="str">
        <f t="shared" si="3"/>
        <v/>
      </c>
      <c r="N44" s="4"/>
      <c r="O44" s="4"/>
    </row>
    <row r="45" spans="1:15" ht="33.950000000000003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8" t="str">
        <f t="shared" si="2"/>
        <v/>
      </c>
      <c r="M45" s="7" t="str">
        <f t="shared" si="3"/>
        <v/>
      </c>
      <c r="N45" s="4"/>
      <c r="O45" s="4"/>
    </row>
    <row r="46" spans="1:15" ht="33.950000000000003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8" t="str">
        <f t="shared" si="2"/>
        <v/>
      </c>
      <c r="M46" s="7" t="str">
        <f t="shared" si="3"/>
        <v/>
      </c>
      <c r="N46" s="4"/>
      <c r="O46" s="4"/>
    </row>
    <row r="47" spans="1:15" ht="33.950000000000003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8" t="str">
        <f t="shared" si="2"/>
        <v/>
      </c>
      <c r="M47" s="7" t="str">
        <f t="shared" si="3"/>
        <v/>
      </c>
      <c r="N47" s="4"/>
      <c r="O47" s="4"/>
    </row>
    <row r="48" spans="1:15" ht="33.950000000000003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8" t="str">
        <f t="shared" si="2"/>
        <v/>
      </c>
      <c r="M48" s="7" t="str">
        <f t="shared" si="3"/>
        <v/>
      </c>
      <c r="N48" s="4"/>
      <c r="O48" s="4"/>
    </row>
    <row r="49" spans="1:15" ht="33.950000000000003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8" t="str">
        <f t="shared" si="2"/>
        <v/>
      </c>
      <c r="M49" s="7" t="str">
        <f t="shared" si="3"/>
        <v/>
      </c>
      <c r="N49" s="4"/>
      <c r="O49" s="4"/>
    </row>
    <row r="50" spans="1:15" ht="33.950000000000003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8" t="str">
        <f t="shared" si="2"/>
        <v/>
      </c>
      <c r="M50" s="7" t="str">
        <f t="shared" si="3"/>
        <v/>
      </c>
      <c r="N50" s="4"/>
      <c r="O50" s="4"/>
    </row>
    <row r="51" spans="1:15" ht="33.950000000000003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8" t="str">
        <f t="shared" si="2"/>
        <v/>
      </c>
      <c r="M51" s="7" t="str">
        <f t="shared" si="3"/>
        <v/>
      </c>
      <c r="N51" s="4"/>
      <c r="O51" s="4"/>
    </row>
    <row r="52" spans="1:15" ht="33.950000000000003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8" t="str">
        <f t="shared" si="2"/>
        <v/>
      </c>
      <c r="M52" s="7" t="str">
        <f t="shared" si="3"/>
        <v/>
      </c>
      <c r="N52" s="4"/>
      <c r="O52" s="4"/>
    </row>
    <row r="53" spans="1:15" ht="33.950000000000003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8" t="str">
        <f t="shared" si="2"/>
        <v/>
      </c>
      <c r="M53" s="7" t="str">
        <f t="shared" si="3"/>
        <v/>
      </c>
      <c r="N53" s="4"/>
      <c r="O53" s="4"/>
    </row>
    <row r="54" spans="1:15" ht="33.950000000000003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8" t="str">
        <f t="shared" si="2"/>
        <v/>
      </c>
      <c r="M54" s="7" t="str">
        <f t="shared" si="3"/>
        <v/>
      </c>
      <c r="N54" s="4"/>
      <c r="O54" s="4"/>
    </row>
    <row r="55" spans="1:15" ht="33.950000000000003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8" t="str">
        <f t="shared" si="2"/>
        <v/>
      </c>
      <c r="M55" s="7" t="str">
        <f t="shared" si="3"/>
        <v/>
      </c>
      <c r="N55" s="4"/>
      <c r="O55" s="4"/>
    </row>
    <row r="56" spans="1:15" ht="33.950000000000003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8" t="str">
        <f t="shared" si="2"/>
        <v/>
      </c>
      <c r="M56" s="7" t="str">
        <f t="shared" si="3"/>
        <v/>
      </c>
      <c r="N56" s="4"/>
      <c r="O56" s="4"/>
    </row>
    <row r="57" spans="1:15" ht="33.950000000000003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8" t="str">
        <f t="shared" si="2"/>
        <v/>
      </c>
      <c r="M57" s="7" t="str">
        <f t="shared" si="3"/>
        <v/>
      </c>
      <c r="N57" s="4"/>
      <c r="O57" s="4"/>
    </row>
    <row r="58" spans="1:15" ht="33.950000000000003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8" t="str">
        <f t="shared" si="2"/>
        <v/>
      </c>
      <c r="M58" s="7" t="str">
        <f t="shared" si="3"/>
        <v/>
      </c>
      <c r="N58" s="4"/>
      <c r="O58" s="4"/>
    </row>
    <row r="59" spans="1:15" ht="33.950000000000003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8" t="str">
        <f t="shared" si="2"/>
        <v/>
      </c>
      <c r="M59" s="7" t="str">
        <f t="shared" si="3"/>
        <v/>
      </c>
      <c r="N59" s="4"/>
      <c r="O59" s="4"/>
    </row>
    <row r="60" spans="1:15" ht="33.950000000000003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8" t="str">
        <f t="shared" si="2"/>
        <v/>
      </c>
      <c r="M60" s="7" t="str">
        <f t="shared" si="3"/>
        <v/>
      </c>
      <c r="N60" s="4"/>
      <c r="O60" s="4"/>
    </row>
    <row r="61" spans="1:15" ht="33.950000000000003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8" t="str">
        <f t="shared" si="2"/>
        <v/>
      </c>
      <c r="M61" s="7" t="str">
        <f t="shared" si="3"/>
        <v/>
      </c>
      <c r="N61" s="4"/>
      <c r="O61" s="4"/>
    </row>
    <row r="62" spans="1:15" ht="33.950000000000003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8" t="str">
        <f t="shared" si="2"/>
        <v/>
      </c>
      <c r="M62" s="7" t="str">
        <f t="shared" si="3"/>
        <v/>
      </c>
      <c r="N62" s="4"/>
      <c r="O62" s="4"/>
    </row>
    <row r="63" spans="1:15" ht="33.950000000000003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8" t="str">
        <f t="shared" si="2"/>
        <v/>
      </c>
      <c r="M63" s="7" t="str">
        <f t="shared" si="3"/>
        <v/>
      </c>
      <c r="N63" s="4"/>
      <c r="O63" s="4"/>
    </row>
    <row r="64" spans="1:15" ht="33.950000000000003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8" t="str">
        <f t="shared" si="2"/>
        <v/>
      </c>
      <c r="M64" s="7" t="str">
        <f t="shared" si="3"/>
        <v/>
      </c>
      <c r="N64" s="4"/>
      <c r="O64" s="4"/>
    </row>
    <row r="65" spans="1:15" ht="33.950000000000003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8" t="str">
        <f t="shared" si="2"/>
        <v/>
      </c>
      <c r="M65" s="7" t="str">
        <f t="shared" si="3"/>
        <v/>
      </c>
      <c r="N65" s="4"/>
      <c r="O65" s="4"/>
    </row>
    <row r="66" spans="1:15" ht="33.950000000000003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8" t="str">
        <f t="shared" si="2"/>
        <v/>
      </c>
      <c r="M66" s="7" t="str">
        <f t="shared" si="3"/>
        <v/>
      </c>
      <c r="N66" s="4"/>
      <c r="O66" s="4"/>
    </row>
    <row r="67" spans="1:15" ht="33.950000000000003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8" t="str">
        <f t="shared" si="2"/>
        <v/>
      </c>
      <c r="M67" s="7" t="str">
        <f t="shared" si="3"/>
        <v/>
      </c>
      <c r="N67" s="4"/>
      <c r="O67" s="4"/>
    </row>
    <row r="68" spans="1:15" ht="33.950000000000003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8" t="str">
        <f t="shared" ref="L68:L99" si="4">IF(A68="","",IF(COUNTA(D68:I68)&gt;=5,1,0))</f>
        <v/>
      </c>
      <c r="M68" s="7" t="str">
        <f t="shared" ref="M68:M99" si="5">IF(A68="","",IFERROR(J68*K68*L68/20,0))</f>
        <v/>
      </c>
      <c r="N68" s="4"/>
      <c r="O68" s="4"/>
    </row>
    <row r="69" spans="1:15" ht="33.950000000000003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8" t="str">
        <f t="shared" si="4"/>
        <v/>
      </c>
      <c r="M69" s="7" t="str">
        <f t="shared" si="5"/>
        <v/>
      </c>
      <c r="N69" s="4"/>
      <c r="O69" s="4"/>
    </row>
    <row r="70" spans="1:15" ht="33.950000000000003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8" t="str">
        <f t="shared" si="4"/>
        <v/>
      </c>
      <c r="M70" s="7" t="str">
        <f t="shared" si="5"/>
        <v/>
      </c>
      <c r="N70" s="4"/>
      <c r="O70" s="4"/>
    </row>
    <row r="71" spans="1:15" ht="33.950000000000003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8" t="str">
        <f t="shared" si="4"/>
        <v/>
      </c>
      <c r="M71" s="7" t="str">
        <f t="shared" si="5"/>
        <v/>
      </c>
      <c r="N71" s="4"/>
      <c r="O71" s="4"/>
    </row>
    <row r="72" spans="1:15" ht="33.950000000000003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8" t="str">
        <f t="shared" si="4"/>
        <v/>
      </c>
      <c r="M72" s="7" t="str">
        <f t="shared" si="5"/>
        <v/>
      </c>
      <c r="N72" s="4"/>
      <c r="O72" s="4"/>
    </row>
    <row r="73" spans="1:15" ht="33.950000000000003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8" t="str">
        <f t="shared" si="4"/>
        <v/>
      </c>
      <c r="M73" s="7" t="str">
        <f t="shared" si="5"/>
        <v/>
      </c>
      <c r="N73" s="4"/>
      <c r="O73" s="4"/>
    </row>
    <row r="74" spans="1:15" ht="33.950000000000003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8" t="str">
        <f t="shared" si="4"/>
        <v/>
      </c>
      <c r="M74" s="7" t="str">
        <f t="shared" si="5"/>
        <v/>
      </c>
      <c r="N74" s="4"/>
      <c r="O74" s="4"/>
    </row>
    <row r="75" spans="1:15" ht="33.950000000000003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8" t="str">
        <f t="shared" si="4"/>
        <v/>
      </c>
      <c r="M75" s="7" t="str">
        <f t="shared" si="5"/>
        <v/>
      </c>
      <c r="N75" s="4"/>
      <c r="O75" s="4"/>
    </row>
    <row r="76" spans="1:15" ht="33.950000000000003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8" t="str">
        <f t="shared" si="4"/>
        <v/>
      </c>
      <c r="M76" s="7" t="str">
        <f t="shared" si="5"/>
        <v/>
      </c>
      <c r="N76" s="4"/>
      <c r="O76" s="4"/>
    </row>
    <row r="77" spans="1:15" ht="33.950000000000003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8" t="str">
        <f t="shared" si="4"/>
        <v/>
      </c>
      <c r="M77" s="7" t="str">
        <f t="shared" si="5"/>
        <v/>
      </c>
      <c r="N77" s="4"/>
      <c r="O77" s="4"/>
    </row>
    <row r="78" spans="1:15" ht="33.950000000000003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8" t="str">
        <f t="shared" si="4"/>
        <v/>
      </c>
      <c r="M78" s="7" t="str">
        <f t="shared" si="5"/>
        <v/>
      </c>
      <c r="N78" s="4"/>
      <c r="O78" s="4"/>
    </row>
    <row r="79" spans="1:15" ht="33.950000000000003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8" t="str">
        <f t="shared" si="4"/>
        <v/>
      </c>
      <c r="M79" s="7" t="str">
        <f t="shared" si="5"/>
        <v/>
      </c>
      <c r="N79" s="4"/>
      <c r="O79" s="4"/>
    </row>
    <row r="80" spans="1:15" ht="33.950000000000003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8" t="str">
        <f t="shared" si="4"/>
        <v/>
      </c>
      <c r="M80" s="7" t="str">
        <f t="shared" si="5"/>
        <v/>
      </c>
      <c r="N80" s="4"/>
      <c r="O80" s="4"/>
    </row>
    <row r="81" spans="1:15" ht="33.950000000000003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8" t="str">
        <f t="shared" si="4"/>
        <v/>
      </c>
      <c r="M81" s="7" t="str">
        <f t="shared" si="5"/>
        <v/>
      </c>
      <c r="N81" s="4"/>
      <c r="O81" s="4"/>
    </row>
    <row r="82" spans="1:15" ht="33.950000000000003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8" t="str">
        <f t="shared" si="4"/>
        <v/>
      </c>
      <c r="M82" s="7" t="str">
        <f t="shared" si="5"/>
        <v/>
      </c>
      <c r="N82" s="4"/>
      <c r="O82" s="4"/>
    </row>
    <row r="83" spans="1:15" ht="33.950000000000003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8" t="str">
        <f t="shared" si="4"/>
        <v/>
      </c>
      <c r="M83" s="7" t="str">
        <f t="shared" si="5"/>
        <v/>
      </c>
      <c r="N83" s="4"/>
      <c r="O83" s="4"/>
    </row>
    <row r="84" spans="1:15" ht="33.950000000000003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8" t="str">
        <f t="shared" si="4"/>
        <v/>
      </c>
      <c r="M84" s="7" t="str">
        <f t="shared" si="5"/>
        <v/>
      </c>
      <c r="N84" s="4"/>
      <c r="O84" s="4"/>
    </row>
    <row r="85" spans="1:15" ht="33.950000000000003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8" t="str">
        <f t="shared" si="4"/>
        <v/>
      </c>
      <c r="M85" s="7" t="str">
        <f t="shared" si="5"/>
        <v/>
      </c>
      <c r="N85" s="4"/>
      <c r="O85" s="4"/>
    </row>
    <row r="86" spans="1:15" ht="33.950000000000003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8" t="str">
        <f t="shared" si="4"/>
        <v/>
      </c>
      <c r="M86" s="7" t="str">
        <f t="shared" si="5"/>
        <v/>
      </c>
      <c r="N86" s="4"/>
      <c r="O86" s="4"/>
    </row>
    <row r="87" spans="1:15" ht="33.950000000000003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8" t="str">
        <f t="shared" si="4"/>
        <v/>
      </c>
      <c r="M87" s="7" t="str">
        <f t="shared" si="5"/>
        <v/>
      </c>
      <c r="N87" s="4"/>
      <c r="O87" s="4"/>
    </row>
    <row r="88" spans="1:15" ht="33.950000000000003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8" t="str">
        <f t="shared" si="4"/>
        <v/>
      </c>
      <c r="M88" s="7" t="str">
        <f t="shared" si="5"/>
        <v/>
      </c>
      <c r="N88" s="4"/>
      <c r="O88" s="4"/>
    </row>
    <row r="89" spans="1:15" ht="33.950000000000003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8" t="str">
        <f t="shared" si="4"/>
        <v/>
      </c>
      <c r="M89" s="7" t="str">
        <f t="shared" si="5"/>
        <v/>
      </c>
      <c r="N89" s="4"/>
      <c r="O89" s="4"/>
    </row>
    <row r="90" spans="1:15" ht="33.950000000000003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8" t="str">
        <f t="shared" si="4"/>
        <v/>
      </c>
      <c r="M90" s="7" t="str">
        <f t="shared" si="5"/>
        <v/>
      </c>
      <c r="N90" s="4"/>
      <c r="O90" s="4"/>
    </row>
    <row r="91" spans="1:15" ht="33.950000000000003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8" t="str">
        <f t="shared" si="4"/>
        <v/>
      </c>
      <c r="M91" s="7" t="str">
        <f t="shared" si="5"/>
        <v/>
      </c>
      <c r="N91" s="4"/>
      <c r="O91" s="4"/>
    </row>
    <row r="92" spans="1:15" ht="33.950000000000003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8" t="str">
        <f t="shared" si="4"/>
        <v/>
      </c>
      <c r="M92" s="7" t="str">
        <f t="shared" si="5"/>
        <v/>
      </c>
      <c r="N92" s="4"/>
      <c r="O92" s="4"/>
    </row>
    <row r="93" spans="1:15" ht="33.950000000000003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8" t="str">
        <f t="shared" si="4"/>
        <v/>
      </c>
      <c r="M93" s="7" t="str">
        <f t="shared" si="5"/>
        <v/>
      </c>
      <c r="N93" s="4"/>
      <c r="O93" s="4"/>
    </row>
    <row r="94" spans="1:15" ht="33.950000000000003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8" t="str">
        <f t="shared" si="4"/>
        <v/>
      </c>
      <c r="M94" s="7" t="str">
        <f t="shared" si="5"/>
        <v/>
      </c>
      <c r="N94" s="4"/>
      <c r="O94" s="4"/>
    </row>
    <row r="95" spans="1:15" ht="33.950000000000003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8" t="str">
        <f t="shared" si="4"/>
        <v/>
      </c>
      <c r="M95" s="7" t="str">
        <f t="shared" si="5"/>
        <v/>
      </c>
      <c r="N95" s="4"/>
      <c r="O95" s="4"/>
    </row>
    <row r="96" spans="1:15" ht="33.950000000000003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8" t="str">
        <f t="shared" si="4"/>
        <v/>
      </c>
      <c r="M96" s="7" t="str">
        <f t="shared" si="5"/>
        <v/>
      </c>
      <c r="N96" s="4"/>
      <c r="O96" s="4"/>
    </row>
    <row r="97" spans="1:15" ht="33.950000000000003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8" t="str">
        <f t="shared" si="4"/>
        <v/>
      </c>
      <c r="M97" s="7" t="str">
        <f t="shared" si="5"/>
        <v/>
      </c>
      <c r="N97" s="4"/>
      <c r="O97" s="4"/>
    </row>
    <row r="98" spans="1:15" ht="33.950000000000003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8" t="str">
        <f t="shared" si="4"/>
        <v/>
      </c>
      <c r="M98" s="7" t="str">
        <f t="shared" si="5"/>
        <v/>
      </c>
      <c r="N98" s="4"/>
      <c r="O98" s="4"/>
    </row>
    <row r="99" spans="1:15" ht="33.950000000000003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8" t="str">
        <f t="shared" si="4"/>
        <v/>
      </c>
      <c r="M99" s="7" t="str">
        <f t="shared" si="5"/>
        <v/>
      </c>
      <c r="N99" s="4"/>
      <c r="O99" s="4"/>
    </row>
    <row r="100" spans="1:15" ht="33.950000000000003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8" t="str">
        <f t="shared" ref="L100:L131" si="6">IF(A100="","",IF(COUNTA(D100:I100)&gt;=5,1,0))</f>
        <v/>
      </c>
      <c r="M100" s="7" t="str">
        <f t="shared" ref="M100:M131" si="7">IF(A100="","",IFERROR(J100*K100*L100/20,0))</f>
        <v/>
      </c>
      <c r="N100" s="4"/>
      <c r="O100" s="4"/>
    </row>
    <row r="101" spans="1:15" ht="33.950000000000003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8" t="str">
        <f t="shared" si="6"/>
        <v/>
      </c>
      <c r="M101" s="7" t="str">
        <f t="shared" si="7"/>
        <v/>
      </c>
      <c r="N101" s="4"/>
      <c r="O101" s="4"/>
    </row>
    <row r="102" spans="1:15" ht="33.950000000000003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8" t="str">
        <f t="shared" si="6"/>
        <v/>
      </c>
      <c r="M102" s="7" t="str">
        <f t="shared" si="7"/>
        <v/>
      </c>
      <c r="N102" s="4"/>
      <c r="O102" s="4"/>
    </row>
    <row r="103" spans="1:15" ht="33.950000000000003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8" t="str">
        <f t="shared" si="6"/>
        <v/>
      </c>
      <c r="M103" s="7" t="str">
        <f t="shared" si="7"/>
        <v/>
      </c>
      <c r="N103" s="4"/>
      <c r="O103" s="4"/>
    </row>
    <row r="104" spans="1:15" ht="33.950000000000003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8" t="str">
        <f t="shared" si="6"/>
        <v/>
      </c>
      <c r="M104" s="7" t="str">
        <f t="shared" si="7"/>
        <v/>
      </c>
      <c r="N104" s="4"/>
      <c r="O104" s="4"/>
    </row>
    <row r="105" spans="1:15" ht="33.950000000000003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8" t="str">
        <f t="shared" si="6"/>
        <v/>
      </c>
      <c r="M105" s="7" t="str">
        <f t="shared" si="7"/>
        <v/>
      </c>
      <c r="N105" s="4"/>
      <c r="O105" s="4"/>
    </row>
    <row r="106" spans="1:15" ht="33.950000000000003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8" t="str">
        <f t="shared" si="6"/>
        <v/>
      </c>
      <c r="M106" s="7" t="str">
        <f t="shared" si="7"/>
        <v/>
      </c>
      <c r="N106" s="4"/>
      <c r="O106" s="4"/>
    </row>
    <row r="107" spans="1:15" ht="33.950000000000003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8" t="str">
        <f t="shared" si="6"/>
        <v/>
      </c>
      <c r="M107" s="7" t="str">
        <f t="shared" si="7"/>
        <v/>
      </c>
      <c r="N107" s="4"/>
      <c r="O107" s="4"/>
    </row>
    <row r="108" spans="1:15" ht="33.950000000000003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8" t="str">
        <f t="shared" si="6"/>
        <v/>
      </c>
      <c r="M108" s="7" t="str">
        <f t="shared" si="7"/>
        <v/>
      </c>
      <c r="N108" s="4"/>
      <c r="O108" s="4"/>
    </row>
    <row r="109" spans="1:15" ht="33.950000000000003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8" t="str">
        <f t="shared" si="6"/>
        <v/>
      </c>
      <c r="M109" s="7" t="str">
        <f t="shared" si="7"/>
        <v/>
      </c>
      <c r="N109" s="4"/>
      <c r="O109" s="4"/>
    </row>
    <row r="110" spans="1:15" ht="33.950000000000003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8" t="str">
        <f t="shared" si="6"/>
        <v/>
      </c>
      <c r="M110" s="7" t="str">
        <f t="shared" si="7"/>
        <v/>
      </c>
      <c r="N110" s="4"/>
      <c r="O110" s="4"/>
    </row>
    <row r="111" spans="1:15" ht="33.950000000000003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8" t="str">
        <f t="shared" si="6"/>
        <v/>
      </c>
      <c r="M111" s="7" t="str">
        <f t="shared" si="7"/>
        <v/>
      </c>
      <c r="N111" s="4"/>
      <c r="O111" s="4"/>
    </row>
    <row r="112" spans="1:15" ht="33.950000000000003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8" t="str">
        <f t="shared" si="6"/>
        <v/>
      </c>
      <c r="M112" s="7" t="str">
        <f t="shared" si="7"/>
        <v/>
      </c>
      <c r="N112" s="4"/>
      <c r="O112" s="4"/>
    </row>
    <row r="113" spans="1:15" ht="33.950000000000003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8" t="str">
        <f t="shared" si="6"/>
        <v/>
      </c>
      <c r="M113" s="7" t="str">
        <f t="shared" si="7"/>
        <v/>
      </c>
      <c r="N113" s="4"/>
      <c r="O113" s="4"/>
    </row>
    <row r="114" spans="1:15" ht="33.950000000000003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8" t="str">
        <f t="shared" si="6"/>
        <v/>
      </c>
      <c r="M114" s="7" t="str">
        <f t="shared" si="7"/>
        <v/>
      </c>
      <c r="N114" s="4"/>
      <c r="O114" s="4"/>
    </row>
    <row r="115" spans="1:15" ht="33.950000000000003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8" t="str">
        <f t="shared" si="6"/>
        <v/>
      </c>
      <c r="M115" s="7" t="str">
        <f t="shared" si="7"/>
        <v/>
      </c>
      <c r="N115" s="4"/>
      <c r="O115" s="4"/>
    </row>
    <row r="116" spans="1:15" ht="33.950000000000003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8" t="str">
        <f t="shared" si="6"/>
        <v/>
      </c>
      <c r="M116" s="7" t="str">
        <f t="shared" si="7"/>
        <v/>
      </c>
      <c r="N116" s="4"/>
      <c r="O116" s="4"/>
    </row>
    <row r="117" spans="1:15" ht="33.950000000000003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8" t="str">
        <f t="shared" si="6"/>
        <v/>
      </c>
      <c r="M117" s="7" t="str">
        <f t="shared" si="7"/>
        <v/>
      </c>
      <c r="N117" s="4"/>
      <c r="O117" s="4"/>
    </row>
    <row r="118" spans="1:15" ht="33.950000000000003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8" t="str">
        <f t="shared" si="6"/>
        <v/>
      </c>
      <c r="M118" s="7" t="str">
        <f t="shared" si="7"/>
        <v/>
      </c>
      <c r="N118" s="4"/>
      <c r="O118" s="4"/>
    </row>
    <row r="119" spans="1:15" ht="33.950000000000003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8" t="str">
        <f t="shared" si="6"/>
        <v/>
      </c>
      <c r="M119" s="7" t="str">
        <f t="shared" si="7"/>
        <v/>
      </c>
      <c r="N119" s="4"/>
      <c r="O119" s="4"/>
    </row>
    <row r="120" spans="1:15" ht="33.950000000000003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8" t="str">
        <f t="shared" si="6"/>
        <v/>
      </c>
      <c r="M120" s="7" t="str">
        <f t="shared" si="7"/>
        <v/>
      </c>
      <c r="N120" s="4"/>
      <c r="O120" s="4"/>
    </row>
    <row r="121" spans="1:15" ht="33.950000000000003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8" t="str">
        <f t="shared" si="6"/>
        <v/>
      </c>
      <c r="M121" s="7" t="str">
        <f t="shared" si="7"/>
        <v/>
      </c>
      <c r="N121" s="4"/>
      <c r="O121" s="4"/>
    </row>
    <row r="122" spans="1:15" ht="33.950000000000003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8" t="str">
        <f t="shared" si="6"/>
        <v/>
      </c>
      <c r="M122" s="7" t="str">
        <f t="shared" si="7"/>
        <v/>
      </c>
      <c r="N122" s="4"/>
      <c r="O122" s="4"/>
    </row>
    <row r="123" spans="1:15" ht="33.950000000000003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8" t="str">
        <f t="shared" si="6"/>
        <v/>
      </c>
      <c r="M123" s="7" t="str">
        <f t="shared" si="7"/>
        <v/>
      </c>
      <c r="N123" s="4"/>
      <c r="O123" s="4"/>
    </row>
    <row r="124" spans="1:15" ht="33.950000000000003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8" t="str">
        <f t="shared" si="6"/>
        <v/>
      </c>
      <c r="M124" s="7" t="str">
        <f t="shared" si="7"/>
        <v/>
      </c>
      <c r="N124" s="4"/>
      <c r="O124" s="4"/>
    </row>
    <row r="125" spans="1:15" ht="33.950000000000003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8" t="str">
        <f t="shared" si="6"/>
        <v/>
      </c>
      <c r="M125" s="7" t="str">
        <f t="shared" si="7"/>
        <v/>
      </c>
      <c r="N125" s="4"/>
      <c r="O125" s="4"/>
    </row>
    <row r="126" spans="1:15" ht="33.950000000000003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8" t="str">
        <f t="shared" si="6"/>
        <v/>
      </c>
      <c r="M126" s="7" t="str">
        <f t="shared" si="7"/>
        <v/>
      </c>
      <c r="N126" s="4"/>
      <c r="O126" s="4"/>
    </row>
    <row r="127" spans="1:15" ht="33.950000000000003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8" t="str">
        <f t="shared" si="6"/>
        <v/>
      </c>
      <c r="M127" s="7" t="str">
        <f t="shared" si="7"/>
        <v/>
      </c>
      <c r="N127" s="4"/>
      <c r="O127" s="4"/>
    </row>
    <row r="128" spans="1:15" ht="33.950000000000003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8" t="str">
        <f t="shared" si="6"/>
        <v/>
      </c>
      <c r="M128" s="7" t="str">
        <f t="shared" si="7"/>
        <v/>
      </c>
      <c r="N128" s="4"/>
      <c r="O128" s="4"/>
    </row>
    <row r="129" spans="1:15" ht="33.950000000000003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8" t="str">
        <f t="shared" si="6"/>
        <v/>
      </c>
      <c r="M129" s="7" t="str">
        <f t="shared" si="7"/>
        <v/>
      </c>
      <c r="N129" s="4"/>
      <c r="O129" s="4"/>
    </row>
    <row r="130" spans="1:15" ht="33.950000000000003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8" t="str">
        <f t="shared" si="6"/>
        <v/>
      </c>
      <c r="M130" s="7" t="str">
        <f t="shared" si="7"/>
        <v/>
      </c>
      <c r="N130" s="4"/>
      <c r="O130" s="4"/>
    </row>
    <row r="131" spans="1:15" ht="33.950000000000003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8" t="str">
        <f t="shared" si="6"/>
        <v/>
      </c>
      <c r="M131" s="7" t="str">
        <f t="shared" si="7"/>
        <v/>
      </c>
      <c r="N131" s="4"/>
      <c r="O131" s="4"/>
    </row>
    <row r="132" spans="1:15" ht="33.950000000000003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8" t="str">
        <f t="shared" ref="L132:L163" si="8">IF(A132="","",IF(COUNTA(D132:I132)&gt;=5,1,0))</f>
        <v/>
      </c>
      <c r="M132" s="7" t="str">
        <f t="shared" ref="M132:M163" si="9">IF(A132="","",IFERROR(J132*K132*L132/20,0))</f>
        <v/>
      </c>
      <c r="N132" s="4"/>
      <c r="O132" s="4"/>
    </row>
    <row r="133" spans="1:15" ht="33.950000000000003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8" t="str">
        <f t="shared" si="8"/>
        <v/>
      </c>
      <c r="M133" s="7" t="str">
        <f t="shared" si="9"/>
        <v/>
      </c>
      <c r="N133" s="4"/>
      <c r="O133" s="4"/>
    </row>
    <row r="134" spans="1:15" ht="33.950000000000003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8" t="str">
        <f t="shared" si="8"/>
        <v/>
      </c>
      <c r="M134" s="7" t="str">
        <f t="shared" si="9"/>
        <v/>
      </c>
      <c r="N134" s="4"/>
      <c r="O134" s="4"/>
    </row>
    <row r="135" spans="1:15" ht="33.950000000000003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8" t="str">
        <f t="shared" si="8"/>
        <v/>
      </c>
      <c r="M135" s="7" t="str">
        <f t="shared" si="9"/>
        <v/>
      </c>
      <c r="N135" s="4"/>
      <c r="O135" s="4"/>
    </row>
    <row r="136" spans="1:15" ht="33.950000000000003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8" t="str">
        <f t="shared" si="8"/>
        <v/>
      </c>
      <c r="M136" s="7" t="str">
        <f t="shared" si="9"/>
        <v/>
      </c>
      <c r="N136" s="4"/>
      <c r="O136" s="4"/>
    </row>
    <row r="137" spans="1:15" ht="33.950000000000003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8" t="str">
        <f t="shared" si="8"/>
        <v/>
      </c>
      <c r="M137" s="7" t="str">
        <f t="shared" si="9"/>
        <v/>
      </c>
      <c r="N137" s="4"/>
      <c r="O137" s="4"/>
    </row>
    <row r="138" spans="1:15" ht="33.950000000000003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8" t="str">
        <f t="shared" si="8"/>
        <v/>
      </c>
      <c r="M138" s="7" t="str">
        <f t="shared" si="9"/>
        <v/>
      </c>
      <c r="N138" s="4"/>
      <c r="O138" s="4"/>
    </row>
    <row r="139" spans="1:15" ht="33.950000000000003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8" t="str">
        <f t="shared" si="8"/>
        <v/>
      </c>
      <c r="M139" s="7" t="str">
        <f t="shared" si="9"/>
        <v/>
      </c>
      <c r="N139" s="4"/>
      <c r="O139" s="4"/>
    </row>
    <row r="140" spans="1:15" ht="33.950000000000003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8" t="str">
        <f t="shared" si="8"/>
        <v/>
      </c>
      <c r="M140" s="7" t="str">
        <f t="shared" si="9"/>
        <v/>
      </c>
      <c r="N140" s="4"/>
      <c r="O140" s="4"/>
    </row>
    <row r="141" spans="1:15" ht="33.950000000000003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8" t="str">
        <f t="shared" si="8"/>
        <v/>
      </c>
      <c r="M141" s="7" t="str">
        <f t="shared" si="9"/>
        <v/>
      </c>
      <c r="N141" s="4"/>
      <c r="O141" s="4"/>
    </row>
    <row r="142" spans="1:15" ht="33.950000000000003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8" t="str">
        <f t="shared" si="8"/>
        <v/>
      </c>
      <c r="M142" s="7" t="str">
        <f t="shared" si="9"/>
        <v/>
      </c>
      <c r="N142" s="4"/>
      <c r="O142" s="4"/>
    </row>
    <row r="143" spans="1:15" ht="33.950000000000003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8" t="str">
        <f t="shared" si="8"/>
        <v/>
      </c>
      <c r="M143" s="7" t="str">
        <f t="shared" si="9"/>
        <v/>
      </c>
      <c r="N143" s="4"/>
      <c r="O143" s="4"/>
    </row>
    <row r="144" spans="1:15" ht="33.950000000000003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8" t="str">
        <f t="shared" si="8"/>
        <v/>
      </c>
      <c r="M144" s="7" t="str">
        <f t="shared" si="9"/>
        <v/>
      </c>
      <c r="N144" s="4"/>
      <c r="O144" s="4"/>
    </row>
    <row r="145" spans="1:15" ht="33.950000000000003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8" t="str">
        <f t="shared" si="8"/>
        <v/>
      </c>
      <c r="M145" s="7" t="str">
        <f t="shared" si="9"/>
        <v/>
      </c>
      <c r="N145" s="4"/>
      <c r="O145" s="4"/>
    </row>
    <row r="146" spans="1:15" ht="33.950000000000003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8" t="str">
        <f t="shared" si="8"/>
        <v/>
      </c>
      <c r="M146" s="7" t="str">
        <f t="shared" si="9"/>
        <v/>
      </c>
      <c r="N146" s="4"/>
      <c r="O146" s="4"/>
    </row>
    <row r="147" spans="1:15" ht="33.950000000000003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8" t="str">
        <f t="shared" si="8"/>
        <v/>
      </c>
      <c r="M147" s="7" t="str">
        <f t="shared" si="9"/>
        <v/>
      </c>
      <c r="N147" s="4"/>
      <c r="O147" s="4"/>
    </row>
    <row r="148" spans="1:15" ht="33.950000000000003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8" t="str">
        <f t="shared" si="8"/>
        <v/>
      </c>
      <c r="M148" s="7" t="str">
        <f t="shared" si="9"/>
        <v/>
      </c>
      <c r="N148" s="4"/>
      <c r="O148" s="4"/>
    </row>
    <row r="149" spans="1:15" ht="33.950000000000003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8" t="str">
        <f t="shared" si="8"/>
        <v/>
      </c>
      <c r="M149" s="7" t="str">
        <f t="shared" si="9"/>
        <v/>
      </c>
      <c r="N149" s="4"/>
      <c r="O149" s="4"/>
    </row>
    <row r="150" spans="1:15" ht="33.950000000000003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8" t="str">
        <f t="shared" si="8"/>
        <v/>
      </c>
      <c r="M150" s="7" t="str">
        <f t="shared" si="9"/>
        <v/>
      </c>
      <c r="N150" s="4"/>
      <c r="O150" s="4"/>
    </row>
    <row r="151" spans="1:15" ht="33.950000000000003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8" t="str">
        <f t="shared" si="8"/>
        <v/>
      </c>
      <c r="M151" s="7" t="str">
        <f t="shared" si="9"/>
        <v/>
      </c>
      <c r="N151" s="4"/>
      <c r="O151" s="4"/>
    </row>
    <row r="152" spans="1:15" ht="33.950000000000003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8" t="str">
        <f t="shared" si="8"/>
        <v/>
      </c>
      <c r="M152" s="7" t="str">
        <f t="shared" si="9"/>
        <v/>
      </c>
      <c r="N152" s="4"/>
      <c r="O152" s="4"/>
    </row>
    <row r="153" spans="1:15" ht="33.950000000000003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8" t="str">
        <f t="shared" si="8"/>
        <v/>
      </c>
      <c r="M153" s="7" t="str">
        <f t="shared" si="9"/>
        <v/>
      </c>
      <c r="N153" s="4"/>
      <c r="O153" s="4"/>
    </row>
    <row r="154" spans="1:15" ht="33.950000000000003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8" t="str">
        <f t="shared" si="8"/>
        <v/>
      </c>
      <c r="M154" s="7" t="str">
        <f t="shared" si="9"/>
        <v/>
      </c>
      <c r="N154" s="4"/>
      <c r="O154" s="4"/>
    </row>
    <row r="155" spans="1:15" ht="33.950000000000003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8" t="str">
        <f t="shared" si="8"/>
        <v/>
      </c>
      <c r="M155" s="7" t="str">
        <f t="shared" si="9"/>
        <v/>
      </c>
      <c r="N155" s="4"/>
      <c r="O155" s="4"/>
    </row>
    <row r="156" spans="1:15" ht="33.950000000000003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8" t="str">
        <f t="shared" si="8"/>
        <v/>
      </c>
      <c r="M156" s="7" t="str">
        <f t="shared" si="9"/>
        <v/>
      </c>
      <c r="N156" s="4"/>
      <c r="O156" s="4"/>
    </row>
    <row r="157" spans="1:15" ht="33.950000000000003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8" t="str">
        <f t="shared" si="8"/>
        <v/>
      </c>
      <c r="M157" s="7" t="str">
        <f t="shared" si="9"/>
        <v/>
      </c>
      <c r="N157" s="4"/>
      <c r="O157" s="4"/>
    </row>
    <row r="158" spans="1:15" ht="33.950000000000003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8" t="str">
        <f t="shared" si="8"/>
        <v/>
      </c>
      <c r="M158" s="7" t="str">
        <f t="shared" si="9"/>
        <v/>
      </c>
      <c r="N158" s="4"/>
      <c r="O158" s="4"/>
    </row>
    <row r="159" spans="1:15" ht="33.950000000000003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8" t="str">
        <f t="shared" si="8"/>
        <v/>
      </c>
      <c r="M159" s="7" t="str">
        <f t="shared" si="9"/>
        <v/>
      </c>
      <c r="N159" s="4"/>
      <c r="O159" s="4"/>
    </row>
    <row r="160" spans="1:15" ht="33.950000000000003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8" t="str">
        <f t="shared" si="8"/>
        <v/>
      </c>
      <c r="M160" s="7" t="str">
        <f t="shared" si="9"/>
        <v/>
      </c>
      <c r="N160" s="4"/>
      <c r="O160" s="4"/>
    </row>
    <row r="161" spans="1:15" ht="33.950000000000003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8" t="str">
        <f t="shared" si="8"/>
        <v/>
      </c>
      <c r="M161" s="7" t="str">
        <f t="shared" si="9"/>
        <v/>
      </c>
      <c r="N161" s="4"/>
      <c r="O161" s="4"/>
    </row>
    <row r="162" spans="1:15" ht="33.950000000000003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8" t="str">
        <f t="shared" si="8"/>
        <v/>
      </c>
      <c r="M162" s="7" t="str">
        <f t="shared" si="9"/>
        <v/>
      </c>
      <c r="N162" s="4"/>
      <c r="O162" s="4"/>
    </row>
    <row r="163" spans="1:15" ht="33.950000000000003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8" t="str">
        <f t="shared" si="8"/>
        <v/>
      </c>
      <c r="M163" s="7" t="str">
        <f t="shared" si="9"/>
        <v/>
      </c>
      <c r="N163" s="4"/>
      <c r="O163" s="4"/>
    </row>
    <row r="164" spans="1:15" ht="33.950000000000003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8" t="str">
        <f t="shared" ref="L164:L195" si="10">IF(A164="","",IF(COUNTA(D164:I164)&gt;=5,1,0))</f>
        <v/>
      </c>
      <c r="M164" s="7" t="str">
        <f t="shared" ref="M164:M195" si="11">IF(A164="","",IFERROR(J164*K164*L164/20,0))</f>
        <v/>
      </c>
      <c r="N164" s="4"/>
      <c r="O164" s="4"/>
    </row>
    <row r="165" spans="1:15" ht="33.950000000000003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8" t="str">
        <f t="shared" si="10"/>
        <v/>
      </c>
      <c r="M165" s="7" t="str">
        <f t="shared" si="11"/>
        <v/>
      </c>
      <c r="N165" s="4"/>
      <c r="O165" s="4"/>
    </row>
    <row r="166" spans="1:15" ht="33.950000000000003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8" t="str">
        <f t="shared" si="10"/>
        <v/>
      </c>
      <c r="M166" s="7" t="str">
        <f t="shared" si="11"/>
        <v/>
      </c>
      <c r="N166" s="4"/>
      <c r="O166" s="4"/>
    </row>
    <row r="167" spans="1:15" ht="33.950000000000003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8" t="str">
        <f t="shared" si="10"/>
        <v/>
      </c>
      <c r="M167" s="7" t="str">
        <f t="shared" si="11"/>
        <v/>
      </c>
      <c r="N167" s="4"/>
      <c r="O167" s="4"/>
    </row>
    <row r="168" spans="1:15" ht="33.950000000000003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8" t="str">
        <f t="shared" si="10"/>
        <v/>
      </c>
      <c r="M168" s="7" t="str">
        <f t="shared" si="11"/>
        <v/>
      </c>
      <c r="N168" s="4"/>
      <c r="O168" s="4"/>
    </row>
    <row r="169" spans="1:15" ht="33.950000000000003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8" t="str">
        <f t="shared" si="10"/>
        <v/>
      </c>
      <c r="M169" s="7" t="str">
        <f t="shared" si="11"/>
        <v/>
      </c>
      <c r="N169" s="4"/>
      <c r="O169" s="4"/>
    </row>
    <row r="170" spans="1:15" ht="33.950000000000003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8" t="str">
        <f t="shared" si="10"/>
        <v/>
      </c>
      <c r="M170" s="7" t="str">
        <f t="shared" si="11"/>
        <v/>
      </c>
      <c r="N170" s="4"/>
      <c r="O170" s="4"/>
    </row>
    <row r="171" spans="1:15" ht="33.950000000000003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8" t="str">
        <f t="shared" si="10"/>
        <v/>
      </c>
      <c r="M171" s="7" t="str">
        <f t="shared" si="11"/>
        <v/>
      </c>
      <c r="N171" s="4"/>
      <c r="O171" s="4"/>
    </row>
    <row r="172" spans="1:15" ht="33.950000000000003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8" t="str">
        <f t="shared" si="10"/>
        <v/>
      </c>
      <c r="M172" s="7" t="str">
        <f t="shared" si="11"/>
        <v/>
      </c>
      <c r="N172" s="4"/>
      <c r="O172" s="4"/>
    </row>
    <row r="173" spans="1:15" ht="33.950000000000003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8" t="str">
        <f t="shared" si="10"/>
        <v/>
      </c>
      <c r="M173" s="7" t="str">
        <f t="shared" si="11"/>
        <v/>
      </c>
      <c r="N173" s="4"/>
      <c r="O173" s="4"/>
    </row>
    <row r="174" spans="1:15" ht="33.950000000000003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8" t="str">
        <f t="shared" si="10"/>
        <v/>
      </c>
      <c r="M174" s="7" t="str">
        <f t="shared" si="11"/>
        <v/>
      </c>
      <c r="N174" s="4"/>
      <c r="O174" s="4"/>
    </row>
    <row r="175" spans="1:15" ht="33.950000000000003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8" t="str">
        <f t="shared" si="10"/>
        <v/>
      </c>
      <c r="M175" s="7" t="str">
        <f t="shared" si="11"/>
        <v/>
      </c>
      <c r="N175" s="4"/>
      <c r="O175" s="4"/>
    </row>
    <row r="176" spans="1:15" ht="33.950000000000003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8" t="str">
        <f t="shared" si="10"/>
        <v/>
      </c>
      <c r="M176" s="7" t="str">
        <f t="shared" si="11"/>
        <v/>
      </c>
      <c r="N176" s="4"/>
      <c r="O176" s="4"/>
    </row>
    <row r="177" spans="1:15" ht="33.950000000000003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8" t="str">
        <f t="shared" si="10"/>
        <v/>
      </c>
      <c r="M177" s="7" t="str">
        <f t="shared" si="11"/>
        <v/>
      </c>
      <c r="N177" s="4"/>
      <c r="O177" s="4"/>
    </row>
    <row r="178" spans="1:15" ht="33.950000000000003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8" t="str">
        <f t="shared" si="10"/>
        <v/>
      </c>
      <c r="M178" s="7" t="str">
        <f t="shared" si="11"/>
        <v/>
      </c>
      <c r="N178" s="4"/>
      <c r="O178" s="4"/>
    </row>
    <row r="179" spans="1:15" ht="33.950000000000003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8" t="str">
        <f t="shared" si="10"/>
        <v/>
      </c>
      <c r="M179" s="7" t="str">
        <f t="shared" si="11"/>
        <v/>
      </c>
      <c r="N179" s="4"/>
      <c r="O179" s="4"/>
    </row>
    <row r="180" spans="1:15" ht="33.950000000000003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8" t="str">
        <f t="shared" si="10"/>
        <v/>
      </c>
      <c r="M180" s="7" t="str">
        <f t="shared" si="11"/>
        <v/>
      </c>
      <c r="N180" s="4"/>
      <c r="O180" s="4"/>
    </row>
    <row r="181" spans="1:15" ht="33.950000000000003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8" t="str">
        <f t="shared" si="10"/>
        <v/>
      </c>
      <c r="M181" s="7" t="str">
        <f t="shared" si="11"/>
        <v/>
      </c>
      <c r="N181" s="4"/>
      <c r="O181" s="4"/>
    </row>
    <row r="182" spans="1:15" ht="33.950000000000003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8" t="str">
        <f t="shared" si="10"/>
        <v/>
      </c>
      <c r="M182" s="7" t="str">
        <f t="shared" si="11"/>
        <v/>
      </c>
      <c r="N182" s="4"/>
      <c r="O182" s="4"/>
    </row>
    <row r="183" spans="1:15" ht="33.950000000000003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8" t="str">
        <f t="shared" si="10"/>
        <v/>
      </c>
      <c r="M183" s="7" t="str">
        <f t="shared" si="11"/>
        <v/>
      </c>
      <c r="N183" s="4"/>
      <c r="O183" s="4"/>
    </row>
    <row r="184" spans="1:15" ht="33.950000000000003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8" t="str">
        <f t="shared" si="10"/>
        <v/>
      </c>
      <c r="M184" s="7" t="str">
        <f t="shared" si="11"/>
        <v/>
      </c>
      <c r="N184" s="4"/>
      <c r="O184" s="4"/>
    </row>
    <row r="185" spans="1:15" ht="33.950000000000003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8" t="str">
        <f t="shared" si="10"/>
        <v/>
      </c>
      <c r="M185" s="7" t="str">
        <f t="shared" si="11"/>
        <v/>
      </c>
      <c r="N185" s="4"/>
      <c r="O185" s="4"/>
    </row>
    <row r="186" spans="1:15" ht="33.950000000000003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8" t="str">
        <f t="shared" si="10"/>
        <v/>
      </c>
      <c r="M186" s="7" t="str">
        <f t="shared" si="11"/>
        <v/>
      </c>
      <c r="N186" s="4"/>
      <c r="O186" s="4"/>
    </row>
    <row r="187" spans="1:15" ht="33.950000000000003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8" t="str">
        <f t="shared" si="10"/>
        <v/>
      </c>
      <c r="M187" s="7" t="str">
        <f t="shared" si="11"/>
        <v/>
      </c>
      <c r="N187" s="4"/>
      <c r="O187" s="4"/>
    </row>
    <row r="188" spans="1:15" ht="33.950000000000003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8" t="str">
        <f t="shared" si="10"/>
        <v/>
      </c>
      <c r="M188" s="7" t="str">
        <f t="shared" si="11"/>
        <v/>
      </c>
      <c r="N188" s="4"/>
      <c r="O188" s="4"/>
    </row>
    <row r="189" spans="1:15" ht="33.950000000000003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8" t="str">
        <f t="shared" si="10"/>
        <v/>
      </c>
      <c r="M189" s="7" t="str">
        <f t="shared" si="11"/>
        <v/>
      </c>
      <c r="N189" s="4"/>
      <c r="O189" s="4"/>
    </row>
    <row r="190" spans="1:15" ht="33.950000000000003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8" t="str">
        <f t="shared" si="10"/>
        <v/>
      </c>
      <c r="M190" s="7" t="str">
        <f t="shared" si="11"/>
        <v/>
      </c>
      <c r="N190" s="4"/>
      <c r="O190" s="4"/>
    </row>
    <row r="191" spans="1:15" ht="33.950000000000003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8" t="str">
        <f t="shared" si="10"/>
        <v/>
      </c>
      <c r="M191" s="7" t="str">
        <f t="shared" si="11"/>
        <v/>
      </c>
      <c r="N191" s="4"/>
      <c r="O191" s="4"/>
    </row>
    <row r="192" spans="1:15" ht="33.950000000000003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8" t="str">
        <f t="shared" si="10"/>
        <v/>
      </c>
      <c r="M192" s="7" t="str">
        <f t="shared" si="11"/>
        <v/>
      </c>
      <c r="N192" s="4"/>
      <c r="O192" s="4"/>
    </row>
    <row r="193" spans="1:15" ht="33.950000000000003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8" t="str">
        <f t="shared" si="10"/>
        <v/>
      </c>
      <c r="M193" s="7" t="str">
        <f t="shared" si="11"/>
        <v/>
      </c>
      <c r="N193" s="4"/>
      <c r="O193" s="4"/>
    </row>
    <row r="194" spans="1:15" ht="33.950000000000003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8" t="str">
        <f t="shared" si="10"/>
        <v/>
      </c>
      <c r="M194" s="7" t="str">
        <f t="shared" si="11"/>
        <v/>
      </c>
      <c r="N194" s="4"/>
      <c r="O194" s="4"/>
    </row>
    <row r="195" spans="1:15" ht="33.950000000000003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8" t="str">
        <f t="shared" si="10"/>
        <v/>
      </c>
      <c r="M195" s="7" t="str">
        <f t="shared" si="11"/>
        <v/>
      </c>
      <c r="N195" s="4"/>
      <c r="O195" s="4"/>
    </row>
    <row r="196" spans="1:15" ht="33.950000000000003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8" t="str">
        <f t="shared" ref="L196:L203" si="12">IF(A196="","",IF(COUNTA(D196:I196)&gt;=5,1,0))</f>
        <v/>
      </c>
      <c r="M196" s="7" t="str">
        <f t="shared" ref="M196:M227" si="13">IF(A196="","",IFERROR(J196*K196*L196/20,0))</f>
        <v/>
      </c>
      <c r="N196" s="4"/>
      <c r="O196" s="4"/>
    </row>
    <row r="197" spans="1:15" ht="33.950000000000003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8" t="str">
        <f t="shared" si="12"/>
        <v/>
      </c>
      <c r="M197" s="7" t="str">
        <f t="shared" si="13"/>
        <v/>
      </c>
      <c r="N197" s="4"/>
      <c r="O197" s="4"/>
    </row>
    <row r="198" spans="1:15" ht="33.950000000000003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8" t="str">
        <f t="shared" si="12"/>
        <v/>
      </c>
      <c r="M198" s="7" t="str">
        <f t="shared" si="13"/>
        <v/>
      </c>
      <c r="N198" s="4"/>
      <c r="O198" s="4"/>
    </row>
    <row r="199" spans="1:15" ht="33.950000000000003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8" t="str">
        <f t="shared" si="12"/>
        <v/>
      </c>
      <c r="M199" s="7" t="str">
        <f t="shared" si="13"/>
        <v/>
      </c>
      <c r="N199" s="4"/>
      <c r="O199" s="4"/>
    </row>
    <row r="200" spans="1:15" ht="33.950000000000003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8" t="str">
        <f t="shared" si="12"/>
        <v/>
      </c>
      <c r="M200" s="7" t="str">
        <f t="shared" si="13"/>
        <v/>
      </c>
      <c r="N200" s="4"/>
      <c r="O200" s="4"/>
    </row>
    <row r="201" spans="1:15" ht="33.950000000000003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8" t="str">
        <f t="shared" si="12"/>
        <v/>
      </c>
      <c r="M201" s="7" t="str">
        <f t="shared" si="13"/>
        <v/>
      </c>
      <c r="N201" s="4"/>
      <c r="O201" s="4"/>
    </row>
    <row r="202" spans="1:15" ht="33.950000000000003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8" t="str">
        <f t="shared" si="12"/>
        <v/>
      </c>
      <c r="M202" s="7" t="str">
        <f t="shared" si="13"/>
        <v/>
      </c>
      <c r="N202" s="4"/>
      <c r="O202" s="4"/>
    </row>
    <row r="203" spans="1:15" ht="33.950000000000003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8" t="str">
        <f t="shared" si="12"/>
        <v/>
      </c>
      <c r="M203" s="7" t="str">
        <f t="shared" si="13"/>
        <v/>
      </c>
      <c r="N203" s="4"/>
      <c r="O203" s="4"/>
    </row>
  </sheetData>
  <mergeCells count="1">
    <mergeCell ref="A1:O1"/>
  </mergeCells>
  <conditionalFormatting sqref="L4:L203">
    <cfRule type="expression" dxfId="7" priority="1">
      <formula>L4=0</formula>
    </cfRule>
  </conditionalFormatting>
  <conditionalFormatting sqref="M4:M203">
    <cfRule type="colorScale" priority="2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J4:J203" xr:uid="{00000000-0002-0000-0200-000001000000}">
      <formula1>"1,2,3,4"</formula1>
    </dataValidation>
    <dataValidation type="list" sqref="K4:K203" xr:uid="{00000000-0002-0000-0200-000002000000}">
      <formula1>"1,2,3,4,5"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Справочники!$A$32:$A$41</xm:f>
          </x14:formula1>
          <xm:sqref>C4:C203</xm:sqref>
        </x14:dataValidation>
        <x14:dataValidation type="list" xr:uid="{00000000-0002-0000-0200-000003000000}">
          <x14:formula1>
            <xm:f>Справочники!$J$18:$J$22</xm:f>
          </x14:formula1>
          <xm:sqref>N4:N203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3"/>
  <sheetViews>
    <sheetView workbookViewId="0"/>
  </sheetViews>
  <sheetFormatPr defaultRowHeight="14.25"/>
  <cols>
    <col min="1" max="1" width="14" customWidth="1"/>
    <col min="2" max="2" width="26" customWidth="1"/>
    <col min="3" max="4" width="36" customWidth="1"/>
    <col min="5" max="5" width="32" customWidth="1"/>
    <col min="6" max="6" width="30" customWidth="1"/>
    <col min="7" max="9" width="18" customWidth="1"/>
    <col min="10" max="10" width="28" customWidth="1"/>
    <col min="11" max="12" width="26" customWidth="1"/>
    <col min="13" max="13" width="18" customWidth="1"/>
    <col min="14" max="14" width="20" customWidth="1"/>
  </cols>
  <sheetData>
    <row r="1" spans="1:26" ht="30" customHeight="1">
      <c r="A1" s="10" t="s">
        <v>103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3.950000000000003" customHeight="1">
      <c r="A3" s="5" t="s">
        <v>104</v>
      </c>
      <c r="B3" s="5" t="s">
        <v>105</v>
      </c>
      <c r="C3" s="5" t="s">
        <v>106</v>
      </c>
      <c r="D3" s="5" t="s">
        <v>107</v>
      </c>
      <c r="E3" s="5" t="s">
        <v>108</v>
      </c>
      <c r="F3" s="5" t="s">
        <v>109</v>
      </c>
      <c r="G3" s="5" t="s">
        <v>110</v>
      </c>
      <c r="H3" s="5" t="s">
        <v>111</v>
      </c>
      <c r="I3" s="5" t="s">
        <v>112</v>
      </c>
      <c r="J3" s="5" t="s">
        <v>113</v>
      </c>
      <c r="K3" s="5" t="s">
        <v>65</v>
      </c>
      <c r="L3" s="5" t="s">
        <v>114</v>
      </c>
      <c r="M3" s="5" t="s">
        <v>89</v>
      </c>
      <c r="N3" s="5" t="s">
        <v>13</v>
      </c>
    </row>
    <row r="4" spans="1:26" ht="33.950000000000003" customHeight="1">
      <c r="A4" s="4" t="s">
        <v>115</v>
      </c>
      <c r="B4" s="4" t="s">
        <v>290</v>
      </c>
      <c r="C4" s="4" t="s">
        <v>476</v>
      </c>
      <c r="D4" s="4" t="s">
        <v>477</v>
      </c>
      <c r="E4" s="4" t="s">
        <v>478</v>
      </c>
      <c r="F4" s="4" t="s">
        <v>479</v>
      </c>
      <c r="G4" s="4">
        <v>1</v>
      </c>
      <c r="H4" s="4">
        <v>3</v>
      </c>
      <c r="I4" s="8">
        <f t="shared" ref="I4:I35" si="0">IF(A4="","",IFERROR(G4*H4,""))</f>
        <v>3</v>
      </c>
      <c r="J4" s="4" t="s">
        <v>480</v>
      </c>
      <c r="K4" s="4" t="s">
        <v>116</v>
      </c>
      <c r="L4" s="4" t="s">
        <v>396</v>
      </c>
      <c r="M4" s="4">
        <v>3</v>
      </c>
      <c r="N4" s="4" t="s">
        <v>97</v>
      </c>
    </row>
    <row r="5" spans="1:26" ht="33.950000000000003" customHeight="1">
      <c r="A5" s="4" t="s">
        <v>117</v>
      </c>
      <c r="B5" s="4" t="s">
        <v>96</v>
      </c>
      <c r="C5" s="4" t="s">
        <v>481</v>
      </c>
      <c r="D5" s="4" t="s">
        <v>482</v>
      </c>
      <c r="E5" s="4" t="s">
        <v>483</v>
      </c>
      <c r="F5" s="4" t="s">
        <v>484</v>
      </c>
      <c r="G5" s="4">
        <v>2</v>
      </c>
      <c r="H5" s="4">
        <v>4</v>
      </c>
      <c r="I5" s="8">
        <f t="shared" si="0"/>
        <v>8</v>
      </c>
      <c r="J5" s="4" t="s">
        <v>485</v>
      </c>
      <c r="K5" s="4" t="s">
        <v>116</v>
      </c>
      <c r="L5" s="4" t="s">
        <v>408</v>
      </c>
      <c r="M5" s="4">
        <v>3</v>
      </c>
      <c r="N5" s="4" t="s">
        <v>97</v>
      </c>
    </row>
    <row r="6" spans="1:26" ht="33.950000000000003" customHeight="1">
      <c r="A6" s="4" t="s">
        <v>486</v>
      </c>
      <c r="B6" s="4" t="s">
        <v>296</v>
      </c>
      <c r="C6" s="4" t="s">
        <v>487</v>
      </c>
      <c r="D6" s="4" t="s">
        <v>488</v>
      </c>
      <c r="E6" s="4" t="s">
        <v>489</v>
      </c>
      <c r="F6" s="4" t="s">
        <v>490</v>
      </c>
      <c r="G6" s="4">
        <v>2</v>
      </c>
      <c r="H6" s="4">
        <v>5</v>
      </c>
      <c r="I6" s="8">
        <f t="shared" si="0"/>
        <v>10</v>
      </c>
      <c r="J6" s="4" t="s">
        <v>491</v>
      </c>
      <c r="K6" s="4" t="s">
        <v>71</v>
      </c>
      <c r="L6" s="4" t="s">
        <v>69</v>
      </c>
      <c r="M6" s="4">
        <v>3</v>
      </c>
      <c r="N6" s="4" t="s">
        <v>97</v>
      </c>
    </row>
    <row r="7" spans="1:26" ht="33.950000000000003" customHeight="1">
      <c r="A7" s="4" t="s">
        <v>492</v>
      </c>
      <c r="B7" s="4" t="s">
        <v>139</v>
      </c>
      <c r="C7" s="4" t="s">
        <v>493</v>
      </c>
      <c r="D7" s="4" t="s">
        <v>494</v>
      </c>
      <c r="E7" s="4" t="s">
        <v>495</v>
      </c>
      <c r="F7" s="4" t="s">
        <v>496</v>
      </c>
      <c r="G7" s="4">
        <v>4</v>
      </c>
      <c r="H7" s="4">
        <v>4</v>
      </c>
      <c r="I7" s="8">
        <f t="shared" si="0"/>
        <v>16</v>
      </c>
      <c r="J7" s="4" t="s">
        <v>497</v>
      </c>
      <c r="K7" s="4" t="s">
        <v>77</v>
      </c>
      <c r="L7" s="4" t="s">
        <v>75</v>
      </c>
      <c r="M7" s="4">
        <v>2</v>
      </c>
      <c r="N7" s="4" t="s">
        <v>97</v>
      </c>
    </row>
    <row r="8" spans="1:26" ht="33.950000000000003" customHeight="1">
      <c r="A8" s="4" t="s">
        <v>498</v>
      </c>
      <c r="B8" s="4" t="s">
        <v>100</v>
      </c>
      <c r="C8" s="4" t="s">
        <v>499</v>
      </c>
      <c r="D8" s="4" t="s">
        <v>500</v>
      </c>
      <c r="E8" s="4" t="s">
        <v>501</v>
      </c>
      <c r="F8" s="4" t="s">
        <v>502</v>
      </c>
      <c r="G8" s="4">
        <v>5</v>
      </c>
      <c r="H8" s="4">
        <v>4</v>
      </c>
      <c r="I8" s="8">
        <f t="shared" si="0"/>
        <v>20</v>
      </c>
      <c r="J8" s="4" t="s">
        <v>503</v>
      </c>
      <c r="K8" s="4" t="s">
        <v>77</v>
      </c>
      <c r="L8" s="4" t="s">
        <v>75</v>
      </c>
      <c r="M8" s="4">
        <v>2</v>
      </c>
      <c r="N8" s="4" t="s">
        <v>97</v>
      </c>
    </row>
    <row r="9" spans="1:26" ht="33.950000000000003" customHeight="1">
      <c r="A9" s="4" t="s">
        <v>504</v>
      </c>
      <c r="B9" s="4" t="s">
        <v>305</v>
      </c>
      <c r="C9" s="4" t="s">
        <v>505</v>
      </c>
      <c r="D9" s="4" t="s">
        <v>506</v>
      </c>
      <c r="E9" s="4" t="s">
        <v>507</v>
      </c>
      <c r="F9" s="4" t="s">
        <v>508</v>
      </c>
      <c r="G9" s="4">
        <v>2</v>
      </c>
      <c r="H9" s="4">
        <v>3</v>
      </c>
      <c r="I9" s="8">
        <f t="shared" si="0"/>
        <v>6</v>
      </c>
      <c r="J9" s="4" t="s">
        <v>509</v>
      </c>
      <c r="K9" s="4" t="s">
        <v>74</v>
      </c>
      <c r="L9" s="4" t="s">
        <v>408</v>
      </c>
      <c r="M9" s="4">
        <v>1</v>
      </c>
      <c r="N9" s="4" t="s">
        <v>311</v>
      </c>
    </row>
    <row r="10" spans="1:26" ht="33.950000000000003" customHeight="1">
      <c r="A10" s="4" t="s">
        <v>510</v>
      </c>
      <c r="B10" s="4" t="s">
        <v>308</v>
      </c>
      <c r="C10" s="4" t="s">
        <v>511</v>
      </c>
      <c r="D10" s="4" t="s">
        <v>512</v>
      </c>
      <c r="E10" s="4" t="s">
        <v>513</v>
      </c>
      <c r="F10" s="4" t="s">
        <v>514</v>
      </c>
      <c r="G10" s="4">
        <v>1</v>
      </c>
      <c r="H10" s="4">
        <v>5</v>
      </c>
      <c r="I10" s="8">
        <f t="shared" si="0"/>
        <v>5</v>
      </c>
      <c r="J10" s="4" t="s">
        <v>515</v>
      </c>
      <c r="K10" s="4" t="s">
        <v>302</v>
      </c>
      <c r="L10" s="4" t="s">
        <v>420</v>
      </c>
      <c r="M10" s="4">
        <v>3</v>
      </c>
      <c r="N10" s="4" t="s">
        <v>102</v>
      </c>
    </row>
    <row r="11" spans="1:26" ht="33.950000000000003" customHeight="1">
      <c r="A11" s="4"/>
      <c r="B11" s="4"/>
      <c r="C11" s="4"/>
      <c r="D11" s="4"/>
      <c r="E11" s="4"/>
      <c r="F11" s="4"/>
      <c r="G11" s="4"/>
      <c r="H11" s="4"/>
      <c r="I11" s="8" t="str">
        <f t="shared" si="0"/>
        <v/>
      </c>
      <c r="J11" s="4"/>
      <c r="K11" s="4"/>
      <c r="L11" s="4"/>
      <c r="M11" s="4"/>
      <c r="N11" s="4"/>
    </row>
    <row r="12" spans="1:26" ht="33.950000000000003" customHeight="1">
      <c r="A12" s="4"/>
      <c r="B12" s="4"/>
      <c r="C12" s="4"/>
      <c r="D12" s="4"/>
      <c r="E12" s="4"/>
      <c r="F12" s="4"/>
      <c r="G12" s="4"/>
      <c r="H12" s="4"/>
      <c r="I12" s="8" t="str">
        <f t="shared" si="0"/>
        <v/>
      </c>
      <c r="J12" s="4"/>
      <c r="K12" s="4"/>
      <c r="L12" s="4"/>
      <c r="M12" s="4"/>
      <c r="N12" s="4"/>
    </row>
    <row r="13" spans="1:26" ht="33.950000000000003" customHeight="1">
      <c r="A13" s="4"/>
      <c r="B13" s="4"/>
      <c r="C13" s="4"/>
      <c r="D13" s="4"/>
      <c r="E13" s="4"/>
      <c r="F13" s="4"/>
      <c r="G13" s="4"/>
      <c r="H13" s="4"/>
      <c r="I13" s="8" t="str">
        <f t="shared" si="0"/>
        <v/>
      </c>
      <c r="J13" s="4"/>
      <c r="K13" s="4"/>
      <c r="L13" s="4"/>
      <c r="M13" s="4"/>
      <c r="N13" s="4"/>
    </row>
    <row r="14" spans="1:26" ht="33.950000000000003" customHeight="1">
      <c r="A14" s="4"/>
      <c r="B14" s="4"/>
      <c r="C14" s="4"/>
      <c r="D14" s="4"/>
      <c r="E14" s="4"/>
      <c r="F14" s="4"/>
      <c r="G14" s="4"/>
      <c r="H14" s="4"/>
      <c r="I14" s="8" t="str">
        <f t="shared" si="0"/>
        <v/>
      </c>
      <c r="J14" s="4"/>
      <c r="K14" s="4"/>
      <c r="L14" s="4"/>
      <c r="M14" s="4"/>
      <c r="N14" s="4"/>
    </row>
    <row r="15" spans="1:26" ht="33.950000000000003" customHeight="1">
      <c r="A15" s="4"/>
      <c r="B15" s="4"/>
      <c r="C15" s="4"/>
      <c r="D15" s="4"/>
      <c r="E15" s="4"/>
      <c r="F15" s="4"/>
      <c r="G15" s="4"/>
      <c r="H15" s="4"/>
      <c r="I15" s="8" t="str">
        <f t="shared" si="0"/>
        <v/>
      </c>
      <c r="J15" s="4"/>
      <c r="K15" s="4"/>
      <c r="L15" s="4"/>
      <c r="M15" s="4"/>
      <c r="N15" s="4"/>
    </row>
    <row r="16" spans="1:26" ht="33.950000000000003" customHeight="1">
      <c r="A16" s="4"/>
      <c r="B16" s="4"/>
      <c r="C16" s="4"/>
      <c r="D16" s="4"/>
      <c r="E16" s="4"/>
      <c r="F16" s="4"/>
      <c r="G16" s="4"/>
      <c r="H16" s="4"/>
      <c r="I16" s="8" t="str">
        <f t="shared" si="0"/>
        <v/>
      </c>
      <c r="J16" s="4"/>
      <c r="K16" s="4"/>
      <c r="L16" s="4"/>
      <c r="M16" s="4"/>
      <c r="N16" s="4"/>
    </row>
    <row r="17" spans="1:14" ht="33.950000000000003" customHeight="1">
      <c r="A17" s="4"/>
      <c r="B17" s="4"/>
      <c r="C17" s="4"/>
      <c r="D17" s="4"/>
      <c r="E17" s="4"/>
      <c r="F17" s="4"/>
      <c r="G17" s="4"/>
      <c r="H17" s="4"/>
      <c r="I17" s="8" t="str">
        <f t="shared" si="0"/>
        <v/>
      </c>
      <c r="J17" s="4"/>
      <c r="K17" s="4"/>
      <c r="L17" s="4"/>
      <c r="M17" s="4"/>
      <c r="N17" s="4"/>
    </row>
    <row r="18" spans="1:14" ht="33.950000000000003" customHeight="1">
      <c r="A18" s="4"/>
      <c r="B18" s="4"/>
      <c r="C18" s="4"/>
      <c r="D18" s="4"/>
      <c r="E18" s="4"/>
      <c r="F18" s="4"/>
      <c r="G18" s="4"/>
      <c r="H18" s="4"/>
      <c r="I18" s="8" t="str">
        <f t="shared" si="0"/>
        <v/>
      </c>
      <c r="J18" s="4"/>
      <c r="K18" s="4"/>
      <c r="L18" s="4"/>
      <c r="M18" s="4"/>
      <c r="N18" s="4"/>
    </row>
    <row r="19" spans="1:14" ht="33.950000000000003" customHeight="1">
      <c r="A19" s="4"/>
      <c r="B19" s="4"/>
      <c r="C19" s="4"/>
      <c r="D19" s="4"/>
      <c r="E19" s="4"/>
      <c r="F19" s="4"/>
      <c r="G19" s="4"/>
      <c r="H19" s="4"/>
      <c r="I19" s="8" t="str">
        <f t="shared" si="0"/>
        <v/>
      </c>
      <c r="J19" s="4"/>
      <c r="K19" s="4"/>
      <c r="L19" s="4"/>
      <c r="M19" s="4"/>
      <c r="N19" s="4"/>
    </row>
    <row r="20" spans="1:14" ht="33.950000000000003" customHeight="1">
      <c r="A20" s="4"/>
      <c r="B20" s="4"/>
      <c r="C20" s="4"/>
      <c r="D20" s="4"/>
      <c r="E20" s="4"/>
      <c r="F20" s="4"/>
      <c r="G20" s="4"/>
      <c r="H20" s="4"/>
      <c r="I20" s="8" t="str">
        <f t="shared" si="0"/>
        <v/>
      </c>
      <c r="J20" s="4"/>
      <c r="K20" s="4"/>
      <c r="L20" s="4"/>
      <c r="M20" s="4"/>
      <c r="N20" s="4"/>
    </row>
    <row r="21" spans="1:14" ht="33.950000000000003" customHeight="1">
      <c r="A21" s="4"/>
      <c r="B21" s="4"/>
      <c r="C21" s="4"/>
      <c r="D21" s="4"/>
      <c r="E21" s="4"/>
      <c r="F21" s="4"/>
      <c r="G21" s="4"/>
      <c r="H21" s="4"/>
      <c r="I21" s="8" t="str">
        <f t="shared" si="0"/>
        <v/>
      </c>
      <c r="J21" s="4"/>
      <c r="K21" s="4"/>
      <c r="L21" s="4"/>
      <c r="M21" s="4"/>
      <c r="N21" s="4"/>
    </row>
    <row r="22" spans="1:14" ht="33.950000000000003" customHeight="1">
      <c r="A22" s="4"/>
      <c r="B22" s="4"/>
      <c r="C22" s="4"/>
      <c r="D22" s="4"/>
      <c r="E22" s="4"/>
      <c r="F22" s="4"/>
      <c r="G22" s="4"/>
      <c r="H22" s="4"/>
      <c r="I22" s="8" t="str">
        <f t="shared" si="0"/>
        <v/>
      </c>
      <c r="J22" s="4"/>
      <c r="K22" s="4"/>
      <c r="L22" s="4"/>
      <c r="M22" s="4"/>
      <c r="N22" s="4"/>
    </row>
    <row r="23" spans="1:14" ht="33.950000000000003" customHeight="1">
      <c r="A23" s="4"/>
      <c r="B23" s="4"/>
      <c r="C23" s="4"/>
      <c r="D23" s="4"/>
      <c r="E23" s="4"/>
      <c r="F23" s="4"/>
      <c r="G23" s="4"/>
      <c r="H23" s="4"/>
      <c r="I23" s="8" t="str">
        <f t="shared" si="0"/>
        <v/>
      </c>
      <c r="J23" s="4"/>
      <c r="K23" s="4"/>
      <c r="L23" s="4"/>
      <c r="M23" s="4"/>
      <c r="N23" s="4"/>
    </row>
    <row r="24" spans="1:14" ht="33.950000000000003" customHeight="1">
      <c r="A24" s="4"/>
      <c r="B24" s="4"/>
      <c r="C24" s="4"/>
      <c r="D24" s="4"/>
      <c r="E24" s="4"/>
      <c r="F24" s="4"/>
      <c r="G24" s="4"/>
      <c r="H24" s="4"/>
      <c r="I24" s="8" t="str">
        <f t="shared" si="0"/>
        <v/>
      </c>
      <c r="J24" s="4"/>
      <c r="K24" s="4"/>
      <c r="L24" s="4"/>
      <c r="M24" s="4"/>
      <c r="N24" s="4"/>
    </row>
    <row r="25" spans="1:14" ht="33.950000000000003" customHeight="1">
      <c r="A25" s="4"/>
      <c r="B25" s="4"/>
      <c r="C25" s="4"/>
      <c r="D25" s="4"/>
      <c r="E25" s="4"/>
      <c r="F25" s="4"/>
      <c r="G25" s="4"/>
      <c r="H25" s="4"/>
      <c r="I25" s="8" t="str">
        <f t="shared" si="0"/>
        <v/>
      </c>
      <c r="J25" s="4"/>
      <c r="K25" s="4"/>
      <c r="L25" s="4"/>
      <c r="M25" s="4"/>
      <c r="N25" s="4"/>
    </row>
    <row r="26" spans="1:14" ht="33.950000000000003" customHeight="1">
      <c r="A26" s="4"/>
      <c r="B26" s="4"/>
      <c r="C26" s="4"/>
      <c r="D26" s="4"/>
      <c r="E26" s="4"/>
      <c r="F26" s="4"/>
      <c r="G26" s="4"/>
      <c r="H26" s="4"/>
      <c r="I26" s="8" t="str">
        <f t="shared" si="0"/>
        <v/>
      </c>
      <c r="J26" s="4"/>
      <c r="K26" s="4"/>
      <c r="L26" s="4"/>
      <c r="M26" s="4"/>
      <c r="N26" s="4"/>
    </row>
    <row r="27" spans="1:14" ht="33.950000000000003" customHeight="1">
      <c r="A27" s="4"/>
      <c r="B27" s="4"/>
      <c r="C27" s="4"/>
      <c r="D27" s="4"/>
      <c r="E27" s="4"/>
      <c r="F27" s="4"/>
      <c r="G27" s="4"/>
      <c r="H27" s="4"/>
      <c r="I27" s="8" t="str">
        <f t="shared" si="0"/>
        <v/>
      </c>
      <c r="J27" s="4"/>
      <c r="K27" s="4"/>
      <c r="L27" s="4"/>
      <c r="M27" s="4"/>
      <c r="N27" s="4"/>
    </row>
    <row r="28" spans="1:14" ht="33.950000000000003" customHeight="1">
      <c r="A28" s="4"/>
      <c r="B28" s="4"/>
      <c r="C28" s="4"/>
      <c r="D28" s="4"/>
      <c r="E28" s="4"/>
      <c r="F28" s="4"/>
      <c r="G28" s="4"/>
      <c r="H28" s="4"/>
      <c r="I28" s="8" t="str">
        <f t="shared" si="0"/>
        <v/>
      </c>
      <c r="J28" s="4"/>
      <c r="K28" s="4"/>
      <c r="L28" s="4"/>
      <c r="M28" s="4"/>
      <c r="N28" s="4"/>
    </row>
    <row r="29" spans="1:14" ht="33.950000000000003" customHeight="1">
      <c r="A29" s="4"/>
      <c r="B29" s="4"/>
      <c r="C29" s="4"/>
      <c r="D29" s="4"/>
      <c r="E29" s="4"/>
      <c r="F29" s="4"/>
      <c r="G29" s="4"/>
      <c r="H29" s="4"/>
      <c r="I29" s="8" t="str">
        <f t="shared" si="0"/>
        <v/>
      </c>
      <c r="J29" s="4"/>
      <c r="K29" s="4"/>
      <c r="L29" s="4"/>
      <c r="M29" s="4"/>
      <c r="N29" s="4"/>
    </row>
    <row r="30" spans="1:14" ht="33.950000000000003" customHeight="1">
      <c r="A30" s="4"/>
      <c r="B30" s="4"/>
      <c r="C30" s="4"/>
      <c r="D30" s="4"/>
      <c r="E30" s="4"/>
      <c r="F30" s="4"/>
      <c r="G30" s="4"/>
      <c r="H30" s="4"/>
      <c r="I30" s="8" t="str">
        <f t="shared" si="0"/>
        <v/>
      </c>
      <c r="J30" s="4"/>
      <c r="K30" s="4"/>
      <c r="L30" s="4"/>
      <c r="M30" s="4"/>
      <c r="N30" s="4"/>
    </row>
    <row r="31" spans="1:14" ht="33.950000000000003" customHeight="1">
      <c r="A31" s="4"/>
      <c r="B31" s="4"/>
      <c r="C31" s="4"/>
      <c r="D31" s="4"/>
      <c r="E31" s="4"/>
      <c r="F31" s="4"/>
      <c r="G31" s="4"/>
      <c r="H31" s="4"/>
      <c r="I31" s="8" t="str">
        <f t="shared" si="0"/>
        <v/>
      </c>
      <c r="J31" s="4"/>
      <c r="K31" s="4"/>
      <c r="L31" s="4"/>
      <c r="M31" s="4"/>
      <c r="N31" s="4"/>
    </row>
    <row r="32" spans="1:14" ht="33.950000000000003" customHeight="1">
      <c r="A32" s="4"/>
      <c r="B32" s="4"/>
      <c r="C32" s="4"/>
      <c r="D32" s="4"/>
      <c r="E32" s="4"/>
      <c r="F32" s="4"/>
      <c r="G32" s="4"/>
      <c r="H32" s="4"/>
      <c r="I32" s="8" t="str">
        <f t="shared" si="0"/>
        <v/>
      </c>
      <c r="J32" s="4"/>
      <c r="K32" s="4"/>
      <c r="L32" s="4"/>
      <c r="M32" s="4"/>
      <c r="N32" s="4"/>
    </row>
    <row r="33" spans="1:14" ht="33.950000000000003" customHeight="1">
      <c r="A33" s="4"/>
      <c r="B33" s="4"/>
      <c r="C33" s="4"/>
      <c r="D33" s="4"/>
      <c r="E33" s="4"/>
      <c r="F33" s="4"/>
      <c r="G33" s="4"/>
      <c r="H33" s="4"/>
      <c r="I33" s="8" t="str">
        <f t="shared" si="0"/>
        <v/>
      </c>
      <c r="J33" s="4"/>
      <c r="K33" s="4"/>
      <c r="L33" s="4"/>
      <c r="M33" s="4"/>
      <c r="N33" s="4"/>
    </row>
    <row r="34" spans="1:14" ht="33.950000000000003" customHeight="1">
      <c r="A34" s="4"/>
      <c r="B34" s="4"/>
      <c r="C34" s="4"/>
      <c r="D34" s="4"/>
      <c r="E34" s="4"/>
      <c r="F34" s="4"/>
      <c r="G34" s="4"/>
      <c r="H34" s="4"/>
      <c r="I34" s="8" t="str">
        <f t="shared" si="0"/>
        <v/>
      </c>
      <c r="J34" s="4"/>
      <c r="K34" s="4"/>
      <c r="L34" s="4"/>
      <c r="M34" s="4"/>
      <c r="N34" s="4"/>
    </row>
    <row r="35" spans="1:14" ht="33.950000000000003" customHeight="1">
      <c r="A35" s="4"/>
      <c r="B35" s="4"/>
      <c r="C35" s="4"/>
      <c r="D35" s="4"/>
      <c r="E35" s="4"/>
      <c r="F35" s="4"/>
      <c r="G35" s="4"/>
      <c r="H35" s="4"/>
      <c r="I35" s="8" t="str">
        <f t="shared" si="0"/>
        <v/>
      </c>
      <c r="J35" s="4"/>
      <c r="K35" s="4"/>
      <c r="L35" s="4"/>
      <c r="M35" s="4"/>
      <c r="N35" s="4"/>
    </row>
    <row r="36" spans="1:14" ht="33.950000000000003" customHeight="1">
      <c r="A36" s="4"/>
      <c r="B36" s="4"/>
      <c r="C36" s="4"/>
      <c r="D36" s="4"/>
      <c r="E36" s="4"/>
      <c r="F36" s="4"/>
      <c r="G36" s="4"/>
      <c r="H36" s="4"/>
      <c r="I36" s="8" t="str">
        <f t="shared" ref="I36:I67" si="1">IF(A36="","",IFERROR(G36*H36,""))</f>
        <v/>
      </c>
      <c r="J36" s="4"/>
      <c r="K36" s="4"/>
      <c r="L36" s="4"/>
      <c r="M36" s="4"/>
      <c r="N36" s="4"/>
    </row>
    <row r="37" spans="1:14" ht="33.950000000000003" customHeight="1">
      <c r="A37" s="4"/>
      <c r="B37" s="4"/>
      <c r="C37" s="4"/>
      <c r="D37" s="4"/>
      <c r="E37" s="4"/>
      <c r="F37" s="4"/>
      <c r="G37" s="4"/>
      <c r="H37" s="4"/>
      <c r="I37" s="8" t="str">
        <f t="shared" si="1"/>
        <v/>
      </c>
      <c r="J37" s="4"/>
      <c r="K37" s="4"/>
      <c r="L37" s="4"/>
      <c r="M37" s="4"/>
      <c r="N37" s="4"/>
    </row>
    <row r="38" spans="1:14" ht="33.950000000000003" customHeight="1">
      <c r="A38" s="4"/>
      <c r="B38" s="4"/>
      <c r="C38" s="4"/>
      <c r="D38" s="4"/>
      <c r="E38" s="4"/>
      <c r="F38" s="4"/>
      <c r="G38" s="4"/>
      <c r="H38" s="4"/>
      <c r="I38" s="8" t="str">
        <f t="shared" si="1"/>
        <v/>
      </c>
      <c r="J38" s="4"/>
      <c r="K38" s="4"/>
      <c r="L38" s="4"/>
      <c r="M38" s="4"/>
      <c r="N38" s="4"/>
    </row>
    <row r="39" spans="1:14" ht="33.950000000000003" customHeight="1">
      <c r="A39" s="4"/>
      <c r="B39" s="4"/>
      <c r="C39" s="4"/>
      <c r="D39" s="4"/>
      <c r="E39" s="4"/>
      <c r="F39" s="4"/>
      <c r="G39" s="4"/>
      <c r="H39" s="4"/>
      <c r="I39" s="8" t="str">
        <f t="shared" si="1"/>
        <v/>
      </c>
      <c r="J39" s="4"/>
      <c r="K39" s="4"/>
      <c r="L39" s="4"/>
      <c r="M39" s="4"/>
      <c r="N39" s="4"/>
    </row>
    <row r="40" spans="1:14" ht="33.950000000000003" customHeight="1">
      <c r="A40" s="4"/>
      <c r="B40" s="4"/>
      <c r="C40" s="4"/>
      <c r="D40" s="4"/>
      <c r="E40" s="4"/>
      <c r="F40" s="4"/>
      <c r="G40" s="4"/>
      <c r="H40" s="4"/>
      <c r="I40" s="8" t="str">
        <f t="shared" si="1"/>
        <v/>
      </c>
      <c r="J40" s="4"/>
      <c r="K40" s="4"/>
      <c r="L40" s="4"/>
      <c r="M40" s="4"/>
      <c r="N40" s="4"/>
    </row>
    <row r="41" spans="1:14" ht="33.950000000000003" customHeight="1">
      <c r="A41" s="4"/>
      <c r="B41" s="4"/>
      <c r="C41" s="4"/>
      <c r="D41" s="4"/>
      <c r="E41" s="4"/>
      <c r="F41" s="4"/>
      <c r="G41" s="4"/>
      <c r="H41" s="4"/>
      <c r="I41" s="8" t="str">
        <f t="shared" si="1"/>
        <v/>
      </c>
      <c r="J41" s="4"/>
      <c r="K41" s="4"/>
      <c r="L41" s="4"/>
      <c r="M41" s="4"/>
      <c r="N41" s="4"/>
    </row>
    <row r="42" spans="1:14" ht="33.950000000000003" customHeight="1">
      <c r="A42" s="4"/>
      <c r="B42" s="4"/>
      <c r="C42" s="4"/>
      <c r="D42" s="4"/>
      <c r="E42" s="4"/>
      <c r="F42" s="4"/>
      <c r="G42" s="4"/>
      <c r="H42" s="4"/>
      <c r="I42" s="8" t="str">
        <f t="shared" si="1"/>
        <v/>
      </c>
      <c r="J42" s="4"/>
      <c r="K42" s="4"/>
      <c r="L42" s="4"/>
      <c r="M42" s="4"/>
      <c r="N42" s="4"/>
    </row>
    <row r="43" spans="1:14" ht="33.950000000000003" customHeight="1">
      <c r="A43" s="4"/>
      <c r="B43" s="4"/>
      <c r="C43" s="4"/>
      <c r="D43" s="4"/>
      <c r="E43" s="4"/>
      <c r="F43" s="4"/>
      <c r="G43" s="4"/>
      <c r="H43" s="4"/>
      <c r="I43" s="8" t="str">
        <f t="shared" si="1"/>
        <v/>
      </c>
      <c r="J43" s="4"/>
      <c r="K43" s="4"/>
      <c r="L43" s="4"/>
      <c r="M43" s="4"/>
      <c r="N43" s="4"/>
    </row>
    <row r="44" spans="1:14" ht="33.950000000000003" customHeight="1">
      <c r="A44" s="4"/>
      <c r="B44" s="4"/>
      <c r="C44" s="4"/>
      <c r="D44" s="4"/>
      <c r="E44" s="4"/>
      <c r="F44" s="4"/>
      <c r="G44" s="4"/>
      <c r="H44" s="4"/>
      <c r="I44" s="8" t="str">
        <f t="shared" si="1"/>
        <v/>
      </c>
      <c r="J44" s="4"/>
      <c r="K44" s="4"/>
      <c r="L44" s="4"/>
      <c r="M44" s="4"/>
      <c r="N44" s="4"/>
    </row>
    <row r="45" spans="1:14" ht="33.950000000000003" customHeight="1">
      <c r="A45" s="4"/>
      <c r="B45" s="4"/>
      <c r="C45" s="4"/>
      <c r="D45" s="4"/>
      <c r="E45" s="4"/>
      <c r="F45" s="4"/>
      <c r="G45" s="4"/>
      <c r="H45" s="4"/>
      <c r="I45" s="8" t="str">
        <f t="shared" si="1"/>
        <v/>
      </c>
      <c r="J45" s="4"/>
      <c r="K45" s="4"/>
      <c r="L45" s="4"/>
      <c r="M45" s="4"/>
      <c r="N45" s="4"/>
    </row>
    <row r="46" spans="1:14" ht="33.950000000000003" customHeight="1">
      <c r="A46" s="4"/>
      <c r="B46" s="4"/>
      <c r="C46" s="4"/>
      <c r="D46" s="4"/>
      <c r="E46" s="4"/>
      <c r="F46" s="4"/>
      <c r="G46" s="4"/>
      <c r="H46" s="4"/>
      <c r="I46" s="8" t="str">
        <f t="shared" si="1"/>
        <v/>
      </c>
      <c r="J46" s="4"/>
      <c r="K46" s="4"/>
      <c r="L46" s="4"/>
      <c r="M46" s="4"/>
      <c r="N46" s="4"/>
    </row>
    <row r="47" spans="1:14" ht="33.950000000000003" customHeight="1">
      <c r="A47" s="4"/>
      <c r="B47" s="4"/>
      <c r="C47" s="4"/>
      <c r="D47" s="4"/>
      <c r="E47" s="4"/>
      <c r="F47" s="4"/>
      <c r="G47" s="4"/>
      <c r="H47" s="4"/>
      <c r="I47" s="8" t="str">
        <f t="shared" si="1"/>
        <v/>
      </c>
      <c r="J47" s="4"/>
      <c r="K47" s="4"/>
      <c r="L47" s="4"/>
      <c r="M47" s="4"/>
      <c r="N47" s="4"/>
    </row>
    <row r="48" spans="1:14" ht="33.950000000000003" customHeight="1">
      <c r="A48" s="4"/>
      <c r="B48" s="4"/>
      <c r="C48" s="4"/>
      <c r="D48" s="4"/>
      <c r="E48" s="4"/>
      <c r="F48" s="4"/>
      <c r="G48" s="4"/>
      <c r="H48" s="4"/>
      <c r="I48" s="8" t="str">
        <f t="shared" si="1"/>
        <v/>
      </c>
      <c r="J48" s="4"/>
      <c r="K48" s="4"/>
      <c r="L48" s="4"/>
      <c r="M48" s="4"/>
      <c r="N48" s="4"/>
    </row>
    <row r="49" spans="1:14" ht="33.950000000000003" customHeight="1">
      <c r="A49" s="4"/>
      <c r="B49" s="4"/>
      <c r="C49" s="4"/>
      <c r="D49" s="4"/>
      <c r="E49" s="4"/>
      <c r="F49" s="4"/>
      <c r="G49" s="4"/>
      <c r="H49" s="4"/>
      <c r="I49" s="8" t="str">
        <f t="shared" si="1"/>
        <v/>
      </c>
      <c r="J49" s="4"/>
      <c r="K49" s="4"/>
      <c r="L49" s="4"/>
      <c r="M49" s="4"/>
      <c r="N49" s="4"/>
    </row>
    <row r="50" spans="1:14" ht="33.950000000000003" customHeight="1">
      <c r="A50" s="4"/>
      <c r="B50" s="4"/>
      <c r="C50" s="4"/>
      <c r="D50" s="4"/>
      <c r="E50" s="4"/>
      <c r="F50" s="4"/>
      <c r="G50" s="4"/>
      <c r="H50" s="4"/>
      <c r="I50" s="8" t="str">
        <f t="shared" si="1"/>
        <v/>
      </c>
      <c r="J50" s="4"/>
      <c r="K50" s="4"/>
      <c r="L50" s="4"/>
      <c r="M50" s="4"/>
      <c r="N50" s="4"/>
    </row>
    <row r="51" spans="1:14" ht="33.950000000000003" customHeight="1">
      <c r="A51" s="4"/>
      <c r="B51" s="4"/>
      <c r="C51" s="4"/>
      <c r="D51" s="4"/>
      <c r="E51" s="4"/>
      <c r="F51" s="4"/>
      <c r="G51" s="4"/>
      <c r="H51" s="4"/>
      <c r="I51" s="8" t="str">
        <f t="shared" si="1"/>
        <v/>
      </c>
      <c r="J51" s="4"/>
      <c r="K51" s="4"/>
      <c r="L51" s="4"/>
      <c r="M51" s="4"/>
      <c r="N51" s="4"/>
    </row>
    <row r="52" spans="1:14" ht="33.950000000000003" customHeight="1">
      <c r="A52" s="4"/>
      <c r="B52" s="4"/>
      <c r="C52" s="4"/>
      <c r="D52" s="4"/>
      <c r="E52" s="4"/>
      <c r="F52" s="4"/>
      <c r="G52" s="4"/>
      <c r="H52" s="4"/>
      <c r="I52" s="8" t="str">
        <f t="shared" si="1"/>
        <v/>
      </c>
      <c r="J52" s="4"/>
      <c r="K52" s="4"/>
      <c r="L52" s="4"/>
      <c r="M52" s="4"/>
      <c r="N52" s="4"/>
    </row>
    <row r="53" spans="1:14" ht="33.950000000000003" customHeight="1">
      <c r="A53" s="4"/>
      <c r="B53" s="4"/>
      <c r="C53" s="4"/>
      <c r="D53" s="4"/>
      <c r="E53" s="4"/>
      <c r="F53" s="4"/>
      <c r="G53" s="4"/>
      <c r="H53" s="4"/>
      <c r="I53" s="8" t="str">
        <f t="shared" si="1"/>
        <v/>
      </c>
      <c r="J53" s="4"/>
      <c r="K53" s="4"/>
      <c r="L53" s="4"/>
      <c r="M53" s="4"/>
      <c r="N53" s="4"/>
    </row>
    <row r="54" spans="1:14" ht="33.950000000000003" customHeight="1">
      <c r="A54" s="4"/>
      <c r="B54" s="4"/>
      <c r="C54" s="4"/>
      <c r="D54" s="4"/>
      <c r="E54" s="4"/>
      <c r="F54" s="4"/>
      <c r="G54" s="4"/>
      <c r="H54" s="4"/>
      <c r="I54" s="8" t="str">
        <f t="shared" si="1"/>
        <v/>
      </c>
      <c r="J54" s="4"/>
      <c r="K54" s="4"/>
      <c r="L54" s="4"/>
      <c r="M54" s="4"/>
      <c r="N54" s="4"/>
    </row>
    <row r="55" spans="1:14" ht="33.950000000000003" customHeight="1">
      <c r="A55" s="4"/>
      <c r="B55" s="4"/>
      <c r="C55" s="4"/>
      <c r="D55" s="4"/>
      <c r="E55" s="4"/>
      <c r="F55" s="4"/>
      <c r="G55" s="4"/>
      <c r="H55" s="4"/>
      <c r="I55" s="8" t="str">
        <f t="shared" si="1"/>
        <v/>
      </c>
      <c r="J55" s="4"/>
      <c r="K55" s="4"/>
      <c r="L55" s="4"/>
      <c r="M55" s="4"/>
      <c r="N55" s="4"/>
    </row>
    <row r="56" spans="1:14" ht="33.950000000000003" customHeight="1">
      <c r="A56" s="4"/>
      <c r="B56" s="4"/>
      <c r="C56" s="4"/>
      <c r="D56" s="4"/>
      <c r="E56" s="4"/>
      <c r="F56" s="4"/>
      <c r="G56" s="4"/>
      <c r="H56" s="4"/>
      <c r="I56" s="8" t="str">
        <f t="shared" si="1"/>
        <v/>
      </c>
      <c r="J56" s="4"/>
      <c r="K56" s="4"/>
      <c r="L56" s="4"/>
      <c r="M56" s="4"/>
      <c r="N56" s="4"/>
    </row>
    <row r="57" spans="1:14" ht="33.950000000000003" customHeight="1">
      <c r="A57" s="4"/>
      <c r="B57" s="4"/>
      <c r="C57" s="4"/>
      <c r="D57" s="4"/>
      <c r="E57" s="4"/>
      <c r="F57" s="4"/>
      <c r="G57" s="4"/>
      <c r="H57" s="4"/>
      <c r="I57" s="8" t="str">
        <f t="shared" si="1"/>
        <v/>
      </c>
      <c r="J57" s="4"/>
      <c r="K57" s="4"/>
      <c r="L57" s="4"/>
      <c r="M57" s="4"/>
      <c r="N57" s="4"/>
    </row>
    <row r="58" spans="1:14" ht="33.950000000000003" customHeight="1">
      <c r="A58" s="4"/>
      <c r="B58" s="4"/>
      <c r="C58" s="4"/>
      <c r="D58" s="4"/>
      <c r="E58" s="4"/>
      <c r="F58" s="4"/>
      <c r="G58" s="4"/>
      <c r="H58" s="4"/>
      <c r="I58" s="8" t="str">
        <f t="shared" si="1"/>
        <v/>
      </c>
      <c r="J58" s="4"/>
      <c r="K58" s="4"/>
      <c r="L58" s="4"/>
      <c r="M58" s="4"/>
      <c r="N58" s="4"/>
    </row>
    <row r="59" spans="1:14" ht="33.950000000000003" customHeight="1">
      <c r="A59" s="4"/>
      <c r="B59" s="4"/>
      <c r="C59" s="4"/>
      <c r="D59" s="4"/>
      <c r="E59" s="4"/>
      <c r="F59" s="4"/>
      <c r="G59" s="4"/>
      <c r="H59" s="4"/>
      <c r="I59" s="8" t="str">
        <f t="shared" si="1"/>
        <v/>
      </c>
      <c r="J59" s="4"/>
      <c r="K59" s="4"/>
      <c r="L59" s="4"/>
      <c r="M59" s="4"/>
      <c r="N59" s="4"/>
    </row>
    <row r="60" spans="1:14" ht="33.950000000000003" customHeight="1">
      <c r="A60" s="4"/>
      <c r="B60" s="4"/>
      <c r="C60" s="4"/>
      <c r="D60" s="4"/>
      <c r="E60" s="4"/>
      <c r="F60" s="4"/>
      <c r="G60" s="4"/>
      <c r="H60" s="4"/>
      <c r="I60" s="8" t="str">
        <f t="shared" si="1"/>
        <v/>
      </c>
      <c r="J60" s="4"/>
      <c r="K60" s="4"/>
      <c r="L60" s="4"/>
      <c r="M60" s="4"/>
      <c r="N60" s="4"/>
    </row>
    <row r="61" spans="1:14" ht="33.950000000000003" customHeight="1">
      <c r="A61" s="4"/>
      <c r="B61" s="4"/>
      <c r="C61" s="4"/>
      <c r="D61" s="4"/>
      <c r="E61" s="4"/>
      <c r="F61" s="4"/>
      <c r="G61" s="4"/>
      <c r="H61" s="4"/>
      <c r="I61" s="8" t="str">
        <f t="shared" si="1"/>
        <v/>
      </c>
      <c r="J61" s="4"/>
      <c r="K61" s="4"/>
      <c r="L61" s="4"/>
      <c r="M61" s="4"/>
      <c r="N61" s="4"/>
    </row>
    <row r="62" spans="1:14" ht="33.950000000000003" customHeight="1">
      <c r="A62" s="4"/>
      <c r="B62" s="4"/>
      <c r="C62" s="4"/>
      <c r="D62" s="4"/>
      <c r="E62" s="4"/>
      <c r="F62" s="4"/>
      <c r="G62" s="4"/>
      <c r="H62" s="4"/>
      <c r="I62" s="8" t="str">
        <f t="shared" si="1"/>
        <v/>
      </c>
      <c r="J62" s="4"/>
      <c r="K62" s="4"/>
      <c r="L62" s="4"/>
      <c r="M62" s="4"/>
      <c r="N62" s="4"/>
    </row>
    <row r="63" spans="1:14" ht="33.950000000000003" customHeight="1">
      <c r="A63" s="4"/>
      <c r="B63" s="4"/>
      <c r="C63" s="4"/>
      <c r="D63" s="4"/>
      <c r="E63" s="4"/>
      <c r="F63" s="4"/>
      <c r="G63" s="4"/>
      <c r="H63" s="4"/>
      <c r="I63" s="8" t="str">
        <f t="shared" si="1"/>
        <v/>
      </c>
      <c r="J63" s="4"/>
      <c r="K63" s="4"/>
      <c r="L63" s="4"/>
      <c r="M63" s="4"/>
      <c r="N63" s="4"/>
    </row>
    <row r="64" spans="1:14" ht="33.950000000000003" customHeight="1">
      <c r="A64" s="4"/>
      <c r="B64" s="4"/>
      <c r="C64" s="4"/>
      <c r="D64" s="4"/>
      <c r="E64" s="4"/>
      <c r="F64" s="4"/>
      <c r="G64" s="4"/>
      <c r="H64" s="4"/>
      <c r="I64" s="8" t="str">
        <f t="shared" si="1"/>
        <v/>
      </c>
      <c r="J64" s="4"/>
      <c r="K64" s="4"/>
      <c r="L64" s="4"/>
      <c r="M64" s="4"/>
      <c r="N64" s="4"/>
    </row>
    <row r="65" spans="1:14" ht="33.950000000000003" customHeight="1">
      <c r="A65" s="4"/>
      <c r="B65" s="4"/>
      <c r="C65" s="4"/>
      <c r="D65" s="4"/>
      <c r="E65" s="4"/>
      <c r="F65" s="4"/>
      <c r="G65" s="4"/>
      <c r="H65" s="4"/>
      <c r="I65" s="8" t="str">
        <f t="shared" si="1"/>
        <v/>
      </c>
      <c r="J65" s="4"/>
      <c r="K65" s="4"/>
      <c r="L65" s="4"/>
      <c r="M65" s="4"/>
      <c r="N65" s="4"/>
    </row>
    <row r="66" spans="1:14" ht="33.950000000000003" customHeight="1">
      <c r="A66" s="4"/>
      <c r="B66" s="4"/>
      <c r="C66" s="4"/>
      <c r="D66" s="4"/>
      <c r="E66" s="4"/>
      <c r="F66" s="4"/>
      <c r="G66" s="4"/>
      <c r="H66" s="4"/>
      <c r="I66" s="8" t="str">
        <f t="shared" si="1"/>
        <v/>
      </c>
      <c r="J66" s="4"/>
      <c r="K66" s="4"/>
      <c r="L66" s="4"/>
      <c r="M66" s="4"/>
      <c r="N66" s="4"/>
    </row>
    <row r="67" spans="1:14" ht="33.950000000000003" customHeight="1">
      <c r="A67" s="4"/>
      <c r="B67" s="4"/>
      <c r="C67" s="4"/>
      <c r="D67" s="4"/>
      <c r="E67" s="4"/>
      <c r="F67" s="4"/>
      <c r="G67" s="4"/>
      <c r="H67" s="4"/>
      <c r="I67" s="8" t="str">
        <f t="shared" si="1"/>
        <v/>
      </c>
      <c r="J67" s="4"/>
      <c r="K67" s="4"/>
      <c r="L67" s="4"/>
      <c r="M67" s="4"/>
      <c r="N67" s="4"/>
    </row>
    <row r="68" spans="1:14" ht="33.950000000000003" customHeight="1">
      <c r="A68" s="4"/>
      <c r="B68" s="4"/>
      <c r="C68" s="4"/>
      <c r="D68" s="4"/>
      <c r="E68" s="4"/>
      <c r="F68" s="4"/>
      <c r="G68" s="4"/>
      <c r="H68" s="4"/>
      <c r="I68" s="8" t="str">
        <f t="shared" ref="I68:I99" si="2">IF(A68="","",IFERROR(G68*H68,""))</f>
        <v/>
      </c>
      <c r="J68" s="4"/>
      <c r="K68" s="4"/>
      <c r="L68" s="4"/>
      <c r="M68" s="4"/>
      <c r="N68" s="4"/>
    </row>
    <row r="69" spans="1:14" ht="33.950000000000003" customHeight="1">
      <c r="A69" s="4"/>
      <c r="B69" s="4"/>
      <c r="C69" s="4"/>
      <c r="D69" s="4"/>
      <c r="E69" s="4"/>
      <c r="F69" s="4"/>
      <c r="G69" s="4"/>
      <c r="H69" s="4"/>
      <c r="I69" s="8" t="str">
        <f t="shared" si="2"/>
        <v/>
      </c>
      <c r="J69" s="4"/>
      <c r="K69" s="4"/>
      <c r="L69" s="4"/>
      <c r="M69" s="4"/>
      <c r="N69" s="4"/>
    </row>
    <row r="70" spans="1:14" ht="33.950000000000003" customHeight="1">
      <c r="A70" s="4"/>
      <c r="B70" s="4"/>
      <c r="C70" s="4"/>
      <c r="D70" s="4"/>
      <c r="E70" s="4"/>
      <c r="F70" s="4"/>
      <c r="G70" s="4"/>
      <c r="H70" s="4"/>
      <c r="I70" s="8" t="str">
        <f t="shared" si="2"/>
        <v/>
      </c>
      <c r="J70" s="4"/>
      <c r="K70" s="4"/>
      <c r="L70" s="4"/>
      <c r="M70" s="4"/>
      <c r="N70" s="4"/>
    </row>
    <row r="71" spans="1:14" ht="33.950000000000003" customHeight="1">
      <c r="A71" s="4"/>
      <c r="B71" s="4"/>
      <c r="C71" s="4"/>
      <c r="D71" s="4"/>
      <c r="E71" s="4"/>
      <c r="F71" s="4"/>
      <c r="G71" s="4"/>
      <c r="H71" s="4"/>
      <c r="I71" s="8" t="str">
        <f t="shared" si="2"/>
        <v/>
      </c>
      <c r="J71" s="4"/>
      <c r="K71" s="4"/>
      <c r="L71" s="4"/>
      <c r="M71" s="4"/>
      <c r="N71" s="4"/>
    </row>
    <row r="72" spans="1:14" ht="33.950000000000003" customHeight="1">
      <c r="A72" s="4"/>
      <c r="B72" s="4"/>
      <c r="C72" s="4"/>
      <c r="D72" s="4"/>
      <c r="E72" s="4"/>
      <c r="F72" s="4"/>
      <c r="G72" s="4"/>
      <c r="H72" s="4"/>
      <c r="I72" s="8" t="str">
        <f t="shared" si="2"/>
        <v/>
      </c>
      <c r="J72" s="4"/>
      <c r="K72" s="4"/>
      <c r="L72" s="4"/>
      <c r="M72" s="4"/>
      <c r="N72" s="4"/>
    </row>
    <row r="73" spans="1:14" ht="33.950000000000003" customHeight="1">
      <c r="A73" s="4"/>
      <c r="B73" s="4"/>
      <c r="C73" s="4"/>
      <c r="D73" s="4"/>
      <c r="E73" s="4"/>
      <c r="F73" s="4"/>
      <c r="G73" s="4"/>
      <c r="H73" s="4"/>
      <c r="I73" s="8" t="str">
        <f t="shared" si="2"/>
        <v/>
      </c>
      <c r="J73" s="4"/>
      <c r="K73" s="4"/>
      <c r="L73" s="4"/>
      <c r="M73" s="4"/>
      <c r="N73" s="4"/>
    </row>
    <row r="74" spans="1:14" ht="33.950000000000003" customHeight="1">
      <c r="A74" s="4"/>
      <c r="B74" s="4"/>
      <c r="C74" s="4"/>
      <c r="D74" s="4"/>
      <c r="E74" s="4"/>
      <c r="F74" s="4"/>
      <c r="G74" s="4"/>
      <c r="H74" s="4"/>
      <c r="I74" s="8" t="str">
        <f t="shared" si="2"/>
        <v/>
      </c>
      <c r="J74" s="4"/>
      <c r="K74" s="4"/>
      <c r="L74" s="4"/>
      <c r="M74" s="4"/>
      <c r="N74" s="4"/>
    </row>
    <row r="75" spans="1:14" ht="33.950000000000003" customHeight="1">
      <c r="A75" s="4"/>
      <c r="B75" s="4"/>
      <c r="C75" s="4"/>
      <c r="D75" s="4"/>
      <c r="E75" s="4"/>
      <c r="F75" s="4"/>
      <c r="G75" s="4"/>
      <c r="H75" s="4"/>
      <c r="I75" s="8" t="str">
        <f t="shared" si="2"/>
        <v/>
      </c>
      <c r="J75" s="4"/>
      <c r="K75" s="4"/>
      <c r="L75" s="4"/>
      <c r="M75" s="4"/>
      <c r="N75" s="4"/>
    </row>
    <row r="76" spans="1:14" ht="33.950000000000003" customHeight="1">
      <c r="A76" s="4"/>
      <c r="B76" s="4"/>
      <c r="C76" s="4"/>
      <c r="D76" s="4"/>
      <c r="E76" s="4"/>
      <c r="F76" s="4"/>
      <c r="G76" s="4"/>
      <c r="H76" s="4"/>
      <c r="I76" s="8" t="str">
        <f t="shared" si="2"/>
        <v/>
      </c>
      <c r="J76" s="4"/>
      <c r="K76" s="4"/>
      <c r="L76" s="4"/>
      <c r="M76" s="4"/>
      <c r="N76" s="4"/>
    </row>
    <row r="77" spans="1:14" ht="33.950000000000003" customHeight="1">
      <c r="A77" s="4"/>
      <c r="B77" s="4"/>
      <c r="C77" s="4"/>
      <c r="D77" s="4"/>
      <c r="E77" s="4"/>
      <c r="F77" s="4"/>
      <c r="G77" s="4"/>
      <c r="H77" s="4"/>
      <c r="I77" s="8" t="str">
        <f t="shared" si="2"/>
        <v/>
      </c>
      <c r="J77" s="4"/>
      <c r="K77" s="4"/>
      <c r="L77" s="4"/>
      <c r="M77" s="4"/>
      <c r="N77" s="4"/>
    </row>
    <row r="78" spans="1:14" ht="33.950000000000003" customHeight="1">
      <c r="A78" s="4"/>
      <c r="B78" s="4"/>
      <c r="C78" s="4"/>
      <c r="D78" s="4"/>
      <c r="E78" s="4"/>
      <c r="F78" s="4"/>
      <c r="G78" s="4"/>
      <c r="H78" s="4"/>
      <c r="I78" s="8" t="str">
        <f t="shared" si="2"/>
        <v/>
      </c>
      <c r="J78" s="4"/>
      <c r="K78" s="4"/>
      <c r="L78" s="4"/>
      <c r="M78" s="4"/>
      <c r="N78" s="4"/>
    </row>
    <row r="79" spans="1:14" ht="33.950000000000003" customHeight="1">
      <c r="A79" s="4"/>
      <c r="B79" s="4"/>
      <c r="C79" s="4"/>
      <c r="D79" s="4"/>
      <c r="E79" s="4"/>
      <c r="F79" s="4"/>
      <c r="G79" s="4"/>
      <c r="H79" s="4"/>
      <c r="I79" s="8" t="str">
        <f t="shared" si="2"/>
        <v/>
      </c>
      <c r="J79" s="4"/>
      <c r="K79" s="4"/>
      <c r="L79" s="4"/>
      <c r="M79" s="4"/>
      <c r="N79" s="4"/>
    </row>
    <row r="80" spans="1:14" ht="33.950000000000003" customHeight="1">
      <c r="A80" s="4"/>
      <c r="B80" s="4"/>
      <c r="C80" s="4"/>
      <c r="D80" s="4"/>
      <c r="E80" s="4"/>
      <c r="F80" s="4"/>
      <c r="G80" s="4"/>
      <c r="H80" s="4"/>
      <c r="I80" s="8" t="str">
        <f t="shared" si="2"/>
        <v/>
      </c>
      <c r="J80" s="4"/>
      <c r="K80" s="4"/>
      <c r="L80" s="4"/>
      <c r="M80" s="4"/>
      <c r="N80" s="4"/>
    </row>
    <row r="81" spans="1:14" ht="33.950000000000003" customHeight="1">
      <c r="A81" s="4"/>
      <c r="B81" s="4"/>
      <c r="C81" s="4"/>
      <c r="D81" s="4"/>
      <c r="E81" s="4"/>
      <c r="F81" s="4"/>
      <c r="G81" s="4"/>
      <c r="H81" s="4"/>
      <c r="I81" s="8" t="str">
        <f t="shared" si="2"/>
        <v/>
      </c>
      <c r="J81" s="4"/>
      <c r="K81" s="4"/>
      <c r="L81" s="4"/>
      <c r="M81" s="4"/>
      <c r="N81" s="4"/>
    </row>
    <row r="82" spans="1:14" ht="33.950000000000003" customHeight="1">
      <c r="A82" s="4"/>
      <c r="B82" s="4"/>
      <c r="C82" s="4"/>
      <c r="D82" s="4"/>
      <c r="E82" s="4"/>
      <c r="F82" s="4"/>
      <c r="G82" s="4"/>
      <c r="H82" s="4"/>
      <c r="I82" s="8" t="str">
        <f t="shared" si="2"/>
        <v/>
      </c>
      <c r="J82" s="4"/>
      <c r="K82" s="4"/>
      <c r="L82" s="4"/>
      <c r="M82" s="4"/>
      <c r="N82" s="4"/>
    </row>
    <row r="83" spans="1:14" ht="33.950000000000003" customHeight="1">
      <c r="A83" s="4"/>
      <c r="B83" s="4"/>
      <c r="C83" s="4"/>
      <c r="D83" s="4"/>
      <c r="E83" s="4"/>
      <c r="F83" s="4"/>
      <c r="G83" s="4"/>
      <c r="H83" s="4"/>
      <c r="I83" s="8" t="str">
        <f t="shared" si="2"/>
        <v/>
      </c>
      <c r="J83" s="4"/>
      <c r="K83" s="4"/>
      <c r="L83" s="4"/>
      <c r="M83" s="4"/>
      <c r="N83" s="4"/>
    </row>
    <row r="84" spans="1:14" ht="33.950000000000003" customHeight="1">
      <c r="A84" s="4"/>
      <c r="B84" s="4"/>
      <c r="C84" s="4"/>
      <c r="D84" s="4"/>
      <c r="E84" s="4"/>
      <c r="F84" s="4"/>
      <c r="G84" s="4"/>
      <c r="H84" s="4"/>
      <c r="I84" s="8" t="str">
        <f t="shared" si="2"/>
        <v/>
      </c>
      <c r="J84" s="4"/>
      <c r="K84" s="4"/>
      <c r="L84" s="4"/>
      <c r="M84" s="4"/>
      <c r="N84" s="4"/>
    </row>
    <row r="85" spans="1:14" ht="33.950000000000003" customHeight="1">
      <c r="A85" s="4"/>
      <c r="B85" s="4"/>
      <c r="C85" s="4"/>
      <c r="D85" s="4"/>
      <c r="E85" s="4"/>
      <c r="F85" s="4"/>
      <c r="G85" s="4"/>
      <c r="H85" s="4"/>
      <c r="I85" s="8" t="str">
        <f t="shared" si="2"/>
        <v/>
      </c>
      <c r="J85" s="4"/>
      <c r="K85" s="4"/>
      <c r="L85" s="4"/>
      <c r="M85" s="4"/>
      <c r="N85" s="4"/>
    </row>
    <row r="86" spans="1:14" ht="33.950000000000003" customHeight="1">
      <c r="A86" s="4"/>
      <c r="B86" s="4"/>
      <c r="C86" s="4"/>
      <c r="D86" s="4"/>
      <c r="E86" s="4"/>
      <c r="F86" s="4"/>
      <c r="G86" s="4"/>
      <c r="H86" s="4"/>
      <c r="I86" s="8" t="str">
        <f t="shared" si="2"/>
        <v/>
      </c>
      <c r="J86" s="4"/>
      <c r="K86" s="4"/>
      <c r="L86" s="4"/>
      <c r="M86" s="4"/>
      <c r="N86" s="4"/>
    </row>
    <row r="87" spans="1:14" ht="33.950000000000003" customHeight="1">
      <c r="A87" s="4"/>
      <c r="B87" s="4"/>
      <c r="C87" s="4"/>
      <c r="D87" s="4"/>
      <c r="E87" s="4"/>
      <c r="F87" s="4"/>
      <c r="G87" s="4"/>
      <c r="H87" s="4"/>
      <c r="I87" s="8" t="str">
        <f t="shared" si="2"/>
        <v/>
      </c>
      <c r="J87" s="4"/>
      <c r="K87" s="4"/>
      <c r="L87" s="4"/>
      <c r="M87" s="4"/>
      <c r="N87" s="4"/>
    </row>
    <row r="88" spans="1:14" ht="33.950000000000003" customHeight="1">
      <c r="A88" s="4"/>
      <c r="B88" s="4"/>
      <c r="C88" s="4"/>
      <c r="D88" s="4"/>
      <c r="E88" s="4"/>
      <c r="F88" s="4"/>
      <c r="G88" s="4"/>
      <c r="H88" s="4"/>
      <c r="I88" s="8" t="str">
        <f t="shared" si="2"/>
        <v/>
      </c>
      <c r="J88" s="4"/>
      <c r="K88" s="4"/>
      <c r="L88" s="4"/>
      <c r="M88" s="4"/>
      <c r="N88" s="4"/>
    </row>
    <row r="89" spans="1:14" ht="33.950000000000003" customHeight="1">
      <c r="A89" s="4"/>
      <c r="B89" s="4"/>
      <c r="C89" s="4"/>
      <c r="D89" s="4"/>
      <c r="E89" s="4"/>
      <c r="F89" s="4"/>
      <c r="G89" s="4"/>
      <c r="H89" s="4"/>
      <c r="I89" s="8" t="str">
        <f t="shared" si="2"/>
        <v/>
      </c>
      <c r="J89" s="4"/>
      <c r="K89" s="4"/>
      <c r="L89" s="4"/>
      <c r="M89" s="4"/>
      <c r="N89" s="4"/>
    </row>
    <row r="90" spans="1:14" ht="33.950000000000003" customHeight="1">
      <c r="A90" s="4"/>
      <c r="B90" s="4"/>
      <c r="C90" s="4"/>
      <c r="D90" s="4"/>
      <c r="E90" s="4"/>
      <c r="F90" s="4"/>
      <c r="G90" s="4"/>
      <c r="H90" s="4"/>
      <c r="I90" s="8" t="str">
        <f t="shared" si="2"/>
        <v/>
      </c>
      <c r="J90" s="4"/>
      <c r="K90" s="4"/>
      <c r="L90" s="4"/>
      <c r="M90" s="4"/>
      <c r="N90" s="4"/>
    </row>
    <row r="91" spans="1:14" ht="33.950000000000003" customHeight="1">
      <c r="A91" s="4"/>
      <c r="B91" s="4"/>
      <c r="C91" s="4"/>
      <c r="D91" s="4"/>
      <c r="E91" s="4"/>
      <c r="F91" s="4"/>
      <c r="G91" s="4"/>
      <c r="H91" s="4"/>
      <c r="I91" s="8" t="str">
        <f t="shared" si="2"/>
        <v/>
      </c>
      <c r="J91" s="4"/>
      <c r="K91" s="4"/>
      <c r="L91" s="4"/>
      <c r="M91" s="4"/>
      <c r="N91" s="4"/>
    </row>
    <row r="92" spans="1:14" ht="33.950000000000003" customHeight="1">
      <c r="A92" s="4"/>
      <c r="B92" s="4"/>
      <c r="C92" s="4"/>
      <c r="D92" s="4"/>
      <c r="E92" s="4"/>
      <c r="F92" s="4"/>
      <c r="G92" s="4"/>
      <c r="H92" s="4"/>
      <c r="I92" s="8" t="str">
        <f t="shared" si="2"/>
        <v/>
      </c>
      <c r="J92" s="4"/>
      <c r="K92" s="4"/>
      <c r="L92" s="4"/>
      <c r="M92" s="4"/>
      <c r="N92" s="4"/>
    </row>
    <row r="93" spans="1:14" ht="33.950000000000003" customHeight="1">
      <c r="A93" s="4"/>
      <c r="B93" s="4"/>
      <c r="C93" s="4"/>
      <c r="D93" s="4"/>
      <c r="E93" s="4"/>
      <c r="F93" s="4"/>
      <c r="G93" s="4"/>
      <c r="H93" s="4"/>
      <c r="I93" s="8" t="str">
        <f t="shared" si="2"/>
        <v/>
      </c>
      <c r="J93" s="4"/>
      <c r="K93" s="4"/>
      <c r="L93" s="4"/>
      <c r="M93" s="4"/>
      <c r="N93" s="4"/>
    </row>
    <row r="94" spans="1:14" ht="33.950000000000003" customHeight="1">
      <c r="A94" s="4"/>
      <c r="B94" s="4"/>
      <c r="C94" s="4"/>
      <c r="D94" s="4"/>
      <c r="E94" s="4"/>
      <c r="F94" s="4"/>
      <c r="G94" s="4"/>
      <c r="H94" s="4"/>
      <c r="I94" s="8" t="str">
        <f t="shared" si="2"/>
        <v/>
      </c>
      <c r="J94" s="4"/>
      <c r="K94" s="4"/>
      <c r="L94" s="4"/>
      <c r="M94" s="4"/>
      <c r="N94" s="4"/>
    </row>
    <row r="95" spans="1:14" ht="33.950000000000003" customHeight="1">
      <c r="A95" s="4"/>
      <c r="B95" s="4"/>
      <c r="C95" s="4"/>
      <c r="D95" s="4"/>
      <c r="E95" s="4"/>
      <c r="F95" s="4"/>
      <c r="G95" s="4"/>
      <c r="H95" s="4"/>
      <c r="I95" s="8" t="str">
        <f t="shared" si="2"/>
        <v/>
      </c>
      <c r="J95" s="4"/>
      <c r="K95" s="4"/>
      <c r="L95" s="4"/>
      <c r="M95" s="4"/>
      <c r="N95" s="4"/>
    </row>
    <row r="96" spans="1:14" ht="33.950000000000003" customHeight="1">
      <c r="A96" s="4"/>
      <c r="B96" s="4"/>
      <c r="C96" s="4"/>
      <c r="D96" s="4"/>
      <c r="E96" s="4"/>
      <c r="F96" s="4"/>
      <c r="G96" s="4"/>
      <c r="H96" s="4"/>
      <c r="I96" s="8" t="str">
        <f t="shared" si="2"/>
        <v/>
      </c>
      <c r="J96" s="4"/>
      <c r="K96" s="4"/>
      <c r="L96" s="4"/>
      <c r="M96" s="4"/>
      <c r="N96" s="4"/>
    </row>
    <row r="97" spans="1:14" ht="33.950000000000003" customHeight="1">
      <c r="A97" s="4"/>
      <c r="B97" s="4"/>
      <c r="C97" s="4"/>
      <c r="D97" s="4"/>
      <c r="E97" s="4"/>
      <c r="F97" s="4"/>
      <c r="G97" s="4"/>
      <c r="H97" s="4"/>
      <c r="I97" s="8" t="str">
        <f t="shared" si="2"/>
        <v/>
      </c>
      <c r="J97" s="4"/>
      <c r="K97" s="4"/>
      <c r="L97" s="4"/>
      <c r="M97" s="4"/>
      <c r="N97" s="4"/>
    </row>
    <row r="98" spans="1:14" ht="33.950000000000003" customHeight="1">
      <c r="A98" s="4"/>
      <c r="B98" s="4"/>
      <c r="C98" s="4"/>
      <c r="D98" s="4"/>
      <c r="E98" s="4"/>
      <c r="F98" s="4"/>
      <c r="G98" s="4"/>
      <c r="H98" s="4"/>
      <c r="I98" s="8" t="str">
        <f t="shared" si="2"/>
        <v/>
      </c>
      <c r="J98" s="4"/>
      <c r="K98" s="4"/>
      <c r="L98" s="4"/>
      <c r="M98" s="4"/>
      <c r="N98" s="4"/>
    </row>
    <row r="99" spans="1:14" ht="33.950000000000003" customHeight="1">
      <c r="A99" s="4"/>
      <c r="B99" s="4"/>
      <c r="C99" s="4"/>
      <c r="D99" s="4"/>
      <c r="E99" s="4"/>
      <c r="F99" s="4"/>
      <c r="G99" s="4"/>
      <c r="H99" s="4"/>
      <c r="I99" s="8" t="str">
        <f t="shared" si="2"/>
        <v/>
      </c>
      <c r="J99" s="4"/>
      <c r="K99" s="4"/>
      <c r="L99" s="4"/>
      <c r="M99" s="4"/>
      <c r="N99" s="4"/>
    </row>
    <row r="100" spans="1:14" ht="33.950000000000003" customHeight="1">
      <c r="A100" s="4"/>
      <c r="B100" s="4"/>
      <c r="C100" s="4"/>
      <c r="D100" s="4"/>
      <c r="E100" s="4"/>
      <c r="F100" s="4"/>
      <c r="G100" s="4"/>
      <c r="H100" s="4"/>
      <c r="I100" s="8" t="str">
        <f t="shared" ref="I100:I131" si="3">IF(A100="","",IFERROR(G100*H100,""))</f>
        <v/>
      </c>
      <c r="J100" s="4"/>
      <c r="K100" s="4"/>
      <c r="L100" s="4"/>
      <c r="M100" s="4"/>
      <c r="N100" s="4"/>
    </row>
    <row r="101" spans="1:14" ht="33.950000000000003" customHeight="1">
      <c r="A101" s="4"/>
      <c r="B101" s="4"/>
      <c r="C101" s="4"/>
      <c r="D101" s="4"/>
      <c r="E101" s="4"/>
      <c r="F101" s="4"/>
      <c r="G101" s="4"/>
      <c r="H101" s="4"/>
      <c r="I101" s="8" t="str">
        <f t="shared" si="3"/>
        <v/>
      </c>
      <c r="J101" s="4"/>
      <c r="K101" s="4"/>
      <c r="L101" s="4"/>
      <c r="M101" s="4"/>
      <c r="N101" s="4"/>
    </row>
    <row r="102" spans="1:14" ht="33.950000000000003" customHeight="1">
      <c r="A102" s="4"/>
      <c r="B102" s="4"/>
      <c r="C102" s="4"/>
      <c r="D102" s="4"/>
      <c r="E102" s="4"/>
      <c r="F102" s="4"/>
      <c r="G102" s="4"/>
      <c r="H102" s="4"/>
      <c r="I102" s="8" t="str">
        <f t="shared" si="3"/>
        <v/>
      </c>
      <c r="J102" s="4"/>
      <c r="K102" s="4"/>
      <c r="L102" s="4"/>
      <c r="M102" s="4"/>
      <c r="N102" s="4"/>
    </row>
    <row r="103" spans="1:14" ht="33.950000000000003" customHeight="1">
      <c r="A103" s="4"/>
      <c r="B103" s="4"/>
      <c r="C103" s="4"/>
      <c r="D103" s="4"/>
      <c r="E103" s="4"/>
      <c r="F103" s="4"/>
      <c r="G103" s="4"/>
      <c r="H103" s="4"/>
      <c r="I103" s="8" t="str">
        <f t="shared" si="3"/>
        <v/>
      </c>
      <c r="J103" s="4"/>
      <c r="K103" s="4"/>
      <c r="L103" s="4"/>
      <c r="M103" s="4"/>
      <c r="N103" s="4"/>
    </row>
    <row r="104" spans="1:14" ht="33.950000000000003" customHeight="1">
      <c r="A104" s="4"/>
      <c r="B104" s="4"/>
      <c r="C104" s="4"/>
      <c r="D104" s="4"/>
      <c r="E104" s="4"/>
      <c r="F104" s="4"/>
      <c r="G104" s="4"/>
      <c r="H104" s="4"/>
      <c r="I104" s="8" t="str">
        <f t="shared" si="3"/>
        <v/>
      </c>
      <c r="J104" s="4"/>
      <c r="K104" s="4"/>
      <c r="L104" s="4"/>
      <c r="M104" s="4"/>
      <c r="N104" s="4"/>
    </row>
    <row r="105" spans="1:14" ht="33.950000000000003" customHeight="1">
      <c r="A105" s="4"/>
      <c r="B105" s="4"/>
      <c r="C105" s="4"/>
      <c r="D105" s="4"/>
      <c r="E105" s="4"/>
      <c r="F105" s="4"/>
      <c r="G105" s="4"/>
      <c r="H105" s="4"/>
      <c r="I105" s="8" t="str">
        <f t="shared" si="3"/>
        <v/>
      </c>
      <c r="J105" s="4"/>
      <c r="K105" s="4"/>
      <c r="L105" s="4"/>
      <c r="M105" s="4"/>
      <c r="N105" s="4"/>
    </row>
    <row r="106" spans="1:14" ht="33.950000000000003" customHeight="1">
      <c r="A106" s="4"/>
      <c r="B106" s="4"/>
      <c r="C106" s="4"/>
      <c r="D106" s="4"/>
      <c r="E106" s="4"/>
      <c r="F106" s="4"/>
      <c r="G106" s="4"/>
      <c r="H106" s="4"/>
      <c r="I106" s="8" t="str">
        <f t="shared" si="3"/>
        <v/>
      </c>
      <c r="J106" s="4"/>
      <c r="K106" s="4"/>
      <c r="L106" s="4"/>
      <c r="M106" s="4"/>
      <c r="N106" s="4"/>
    </row>
    <row r="107" spans="1:14" ht="33.950000000000003" customHeight="1">
      <c r="A107" s="4"/>
      <c r="B107" s="4"/>
      <c r="C107" s="4"/>
      <c r="D107" s="4"/>
      <c r="E107" s="4"/>
      <c r="F107" s="4"/>
      <c r="G107" s="4"/>
      <c r="H107" s="4"/>
      <c r="I107" s="8" t="str">
        <f t="shared" si="3"/>
        <v/>
      </c>
      <c r="J107" s="4"/>
      <c r="K107" s="4"/>
      <c r="L107" s="4"/>
      <c r="M107" s="4"/>
      <c r="N107" s="4"/>
    </row>
    <row r="108" spans="1:14" ht="33.950000000000003" customHeight="1">
      <c r="A108" s="4"/>
      <c r="B108" s="4"/>
      <c r="C108" s="4"/>
      <c r="D108" s="4"/>
      <c r="E108" s="4"/>
      <c r="F108" s="4"/>
      <c r="G108" s="4"/>
      <c r="H108" s="4"/>
      <c r="I108" s="8" t="str">
        <f t="shared" si="3"/>
        <v/>
      </c>
      <c r="J108" s="4"/>
      <c r="K108" s="4"/>
      <c r="L108" s="4"/>
      <c r="M108" s="4"/>
      <c r="N108" s="4"/>
    </row>
    <row r="109" spans="1:14" ht="33.950000000000003" customHeight="1">
      <c r="A109" s="4"/>
      <c r="B109" s="4"/>
      <c r="C109" s="4"/>
      <c r="D109" s="4"/>
      <c r="E109" s="4"/>
      <c r="F109" s="4"/>
      <c r="G109" s="4"/>
      <c r="H109" s="4"/>
      <c r="I109" s="8" t="str">
        <f t="shared" si="3"/>
        <v/>
      </c>
      <c r="J109" s="4"/>
      <c r="K109" s="4"/>
      <c r="L109" s="4"/>
      <c r="M109" s="4"/>
      <c r="N109" s="4"/>
    </row>
    <row r="110" spans="1:14" ht="33.950000000000003" customHeight="1">
      <c r="A110" s="4"/>
      <c r="B110" s="4"/>
      <c r="C110" s="4"/>
      <c r="D110" s="4"/>
      <c r="E110" s="4"/>
      <c r="F110" s="4"/>
      <c r="G110" s="4"/>
      <c r="H110" s="4"/>
      <c r="I110" s="8" t="str">
        <f t="shared" si="3"/>
        <v/>
      </c>
      <c r="J110" s="4"/>
      <c r="K110" s="4"/>
      <c r="L110" s="4"/>
      <c r="M110" s="4"/>
      <c r="N110" s="4"/>
    </row>
    <row r="111" spans="1:14" ht="33.950000000000003" customHeight="1">
      <c r="A111" s="4"/>
      <c r="B111" s="4"/>
      <c r="C111" s="4"/>
      <c r="D111" s="4"/>
      <c r="E111" s="4"/>
      <c r="F111" s="4"/>
      <c r="G111" s="4"/>
      <c r="H111" s="4"/>
      <c r="I111" s="8" t="str">
        <f t="shared" si="3"/>
        <v/>
      </c>
      <c r="J111" s="4"/>
      <c r="K111" s="4"/>
      <c r="L111" s="4"/>
      <c r="M111" s="4"/>
      <c r="N111" s="4"/>
    </row>
    <row r="112" spans="1:14" ht="33.950000000000003" customHeight="1">
      <c r="A112" s="4"/>
      <c r="B112" s="4"/>
      <c r="C112" s="4"/>
      <c r="D112" s="4"/>
      <c r="E112" s="4"/>
      <c r="F112" s="4"/>
      <c r="G112" s="4"/>
      <c r="H112" s="4"/>
      <c r="I112" s="8" t="str">
        <f t="shared" si="3"/>
        <v/>
      </c>
      <c r="J112" s="4"/>
      <c r="K112" s="4"/>
      <c r="L112" s="4"/>
      <c r="M112" s="4"/>
      <c r="N112" s="4"/>
    </row>
    <row r="113" spans="1:14" ht="33.950000000000003" customHeight="1">
      <c r="A113" s="4"/>
      <c r="B113" s="4"/>
      <c r="C113" s="4"/>
      <c r="D113" s="4"/>
      <c r="E113" s="4"/>
      <c r="F113" s="4"/>
      <c r="G113" s="4"/>
      <c r="H113" s="4"/>
      <c r="I113" s="8" t="str">
        <f t="shared" si="3"/>
        <v/>
      </c>
      <c r="J113" s="4"/>
      <c r="K113" s="4"/>
      <c r="L113" s="4"/>
      <c r="M113" s="4"/>
      <c r="N113" s="4"/>
    </row>
    <row r="114" spans="1:14" ht="33.950000000000003" customHeight="1">
      <c r="A114" s="4"/>
      <c r="B114" s="4"/>
      <c r="C114" s="4"/>
      <c r="D114" s="4"/>
      <c r="E114" s="4"/>
      <c r="F114" s="4"/>
      <c r="G114" s="4"/>
      <c r="H114" s="4"/>
      <c r="I114" s="8" t="str">
        <f t="shared" si="3"/>
        <v/>
      </c>
      <c r="J114" s="4"/>
      <c r="K114" s="4"/>
      <c r="L114" s="4"/>
      <c r="M114" s="4"/>
      <c r="N114" s="4"/>
    </row>
    <row r="115" spans="1:14" ht="33.950000000000003" customHeight="1">
      <c r="A115" s="4"/>
      <c r="B115" s="4"/>
      <c r="C115" s="4"/>
      <c r="D115" s="4"/>
      <c r="E115" s="4"/>
      <c r="F115" s="4"/>
      <c r="G115" s="4"/>
      <c r="H115" s="4"/>
      <c r="I115" s="8" t="str">
        <f t="shared" si="3"/>
        <v/>
      </c>
      <c r="J115" s="4"/>
      <c r="K115" s="4"/>
      <c r="L115" s="4"/>
      <c r="M115" s="4"/>
      <c r="N115" s="4"/>
    </row>
    <row r="116" spans="1:14" ht="33.950000000000003" customHeight="1">
      <c r="A116" s="4"/>
      <c r="B116" s="4"/>
      <c r="C116" s="4"/>
      <c r="D116" s="4"/>
      <c r="E116" s="4"/>
      <c r="F116" s="4"/>
      <c r="G116" s="4"/>
      <c r="H116" s="4"/>
      <c r="I116" s="8" t="str">
        <f t="shared" si="3"/>
        <v/>
      </c>
      <c r="J116" s="4"/>
      <c r="K116" s="4"/>
      <c r="L116" s="4"/>
      <c r="M116" s="4"/>
      <c r="N116" s="4"/>
    </row>
    <row r="117" spans="1:14" ht="33.950000000000003" customHeight="1">
      <c r="A117" s="4"/>
      <c r="B117" s="4"/>
      <c r="C117" s="4"/>
      <c r="D117" s="4"/>
      <c r="E117" s="4"/>
      <c r="F117" s="4"/>
      <c r="G117" s="4"/>
      <c r="H117" s="4"/>
      <c r="I117" s="8" t="str">
        <f t="shared" si="3"/>
        <v/>
      </c>
      <c r="J117" s="4"/>
      <c r="K117" s="4"/>
      <c r="L117" s="4"/>
      <c r="M117" s="4"/>
      <c r="N117" s="4"/>
    </row>
    <row r="118" spans="1:14" ht="33.950000000000003" customHeight="1">
      <c r="A118" s="4"/>
      <c r="B118" s="4"/>
      <c r="C118" s="4"/>
      <c r="D118" s="4"/>
      <c r="E118" s="4"/>
      <c r="F118" s="4"/>
      <c r="G118" s="4"/>
      <c r="H118" s="4"/>
      <c r="I118" s="8" t="str">
        <f t="shared" si="3"/>
        <v/>
      </c>
      <c r="J118" s="4"/>
      <c r="K118" s="4"/>
      <c r="L118" s="4"/>
      <c r="M118" s="4"/>
      <c r="N118" s="4"/>
    </row>
    <row r="119" spans="1:14" ht="33.950000000000003" customHeight="1">
      <c r="A119" s="4"/>
      <c r="B119" s="4"/>
      <c r="C119" s="4"/>
      <c r="D119" s="4"/>
      <c r="E119" s="4"/>
      <c r="F119" s="4"/>
      <c r="G119" s="4"/>
      <c r="H119" s="4"/>
      <c r="I119" s="8" t="str">
        <f t="shared" si="3"/>
        <v/>
      </c>
      <c r="J119" s="4"/>
      <c r="K119" s="4"/>
      <c r="L119" s="4"/>
      <c r="M119" s="4"/>
      <c r="N119" s="4"/>
    </row>
    <row r="120" spans="1:14" ht="33.950000000000003" customHeight="1">
      <c r="A120" s="4"/>
      <c r="B120" s="4"/>
      <c r="C120" s="4"/>
      <c r="D120" s="4"/>
      <c r="E120" s="4"/>
      <c r="F120" s="4"/>
      <c r="G120" s="4"/>
      <c r="H120" s="4"/>
      <c r="I120" s="8" t="str">
        <f t="shared" si="3"/>
        <v/>
      </c>
      <c r="J120" s="4"/>
      <c r="K120" s="4"/>
      <c r="L120" s="4"/>
      <c r="M120" s="4"/>
      <c r="N120" s="4"/>
    </row>
    <row r="121" spans="1:14" ht="33.950000000000003" customHeight="1">
      <c r="A121" s="4"/>
      <c r="B121" s="4"/>
      <c r="C121" s="4"/>
      <c r="D121" s="4"/>
      <c r="E121" s="4"/>
      <c r="F121" s="4"/>
      <c r="G121" s="4"/>
      <c r="H121" s="4"/>
      <c r="I121" s="8" t="str">
        <f t="shared" si="3"/>
        <v/>
      </c>
      <c r="J121" s="4"/>
      <c r="K121" s="4"/>
      <c r="L121" s="4"/>
      <c r="M121" s="4"/>
      <c r="N121" s="4"/>
    </row>
    <row r="122" spans="1:14" ht="33.950000000000003" customHeight="1">
      <c r="A122" s="4"/>
      <c r="B122" s="4"/>
      <c r="C122" s="4"/>
      <c r="D122" s="4"/>
      <c r="E122" s="4"/>
      <c r="F122" s="4"/>
      <c r="G122" s="4"/>
      <c r="H122" s="4"/>
      <c r="I122" s="8" t="str">
        <f t="shared" si="3"/>
        <v/>
      </c>
      <c r="J122" s="4"/>
      <c r="K122" s="4"/>
      <c r="L122" s="4"/>
      <c r="M122" s="4"/>
      <c r="N122" s="4"/>
    </row>
    <row r="123" spans="1:14" ht="33.950000000000003" customHeight="1">
      <c r="A123" s="4"/>
      <c r="B123" s="4"/>
      <c r="C123" s="4"/>
      <c r="D123" s="4"/>
      <c r="E123" s="4"/>
      <c r="F123" s="4"/>
      <c r="G123" s="4"/>
      <c r="H123" s="4"/>
      <c r="I123" s="8" t="str">
        <f t="shared" si="3"/>
        <v/>
      </c>
      <c r="J123" s="4"/>
      <c r="K123" s="4"/>
      <c r="L123" s="4"/>
      <c r="M123" s="4"/>
      <c r="N123" s="4"/>
    </row>
    <row r="124" spans="1:14" ht="33.950000000000003" customHeight="1">
      <c r="A124" s="4"/>
      <c r="B124" s="4"/>
      <c r="C124" s="4"/>
      <c r="D124" s="4"/>
      <c r="E124" s="4"/>
      <c r="F124" s="4"/>
      <c r="G124" s="4"/>
      <c r="H124" s="4"/>
      <c r="I124" s="8" t="str">
        <f t="shared" si="3"/>
        <v/>
      </c>
      <c r="J124" s="4"/>
      <c r="K124" s="4"/>
      <c r="L124" s="4"/>
      <c r="M124" s="4"/>
      <c r="N124" s="4"/>
    </row>
    <row r="125" spans="1:14" ht="33.950000000000003" customHeight="1">
      <c r="A125" s="4"/>
      <c r="B125" s="4"/>
      <c r="C125" s="4"/>
      <c r="D125" s="4"/>
      <c r="E125" s="4"/>
      <c r="F125" s="4"/>
      <c r="G125" s="4"/>
      <c r="H125" s="4"/>
      <c r="I125" s="8" t="str">
        <f t="shared" si="3"/>
        <v/>
      </c>
      <c r="J125" s="4"/>
      <c r="K125" s="4"/>
      <c r="L125" s="4"/>
      <c r="M125" s="4"/>
      <c r="N125" s="4"/>
    </row>
    <row r="126" spans="1:14" ht="33.950000000000003" customHeight="1">
      <c r="A126" s="4"/>
      <c r="B126" s="4"/>
      <c r="C126" s="4"/>
      <c r="D126" s="4"/>
      <c r="E126" s="4"/>
      <c r="F126" s="4"/>
      <c r="G126" s="4"/>
      <c r="H126" s="4"/>
      <c r="I126" s="8" t="str">
        <f t="shared" si="3"/>
        <v/>
      </c>
      <c r="J126" s="4"/>
      <c r="K126" s="4"/>
      <c r="L126" s="4"/>
      <c r="M126" s="4"/>
      <c r="N126" s="4"/>
    </row>
    <row r="127" spans="1:14" ht="33.950000000000003" customHeight="1">
      <c r="A127" s="4"/>
      <c r="B127" s="4"/>
      <c r="C127" s="4"/>
      <c r="D127" s="4"/>
      <c r="E127" s="4"/>
      <c r="F127" s="4"/>
      <c r="G127" s="4"/>
      <c r="H127" s="4"/>
      <c r="I127" s="8" t="str">
        <f t="shared" si="3"/>
        <v/>
      </c>
      <c r="J127" s="4"/>
      <c r="K127" s="4"/>
      <c r="L127" s="4"/>
      <c r="M127" s="4"/>
      <c r="N127" s="4"/>
    </row>
    <row r="128" spans="1:14" ht="33.950000000000003" customHeight="1">
      <c r="A128" s="4"/>
      <c r="B128" s="4"/>
      <c r="C128" s="4"/>
      <c r="D128" s="4"/>
      <c r="E128" s="4"/>
      <c r="F128" s="4"/>
      <c r="G128" s="4"/>
      <c r="H128" s="4"/>
      <c r="I128" s="8" t="str">
        <f t="shared" si="3"/>
        <v/>
      </c>
      <c r="J128" s="4"/>
      <c r="K128" s="4"/>
      <c r="L128" s="4"/>
      <c r="M128" s="4"/>
      <c r="N128" s="4"/>
    </row>
    <row r="129" spans="1:14" ht="33.950000000000003" customHeight="1">
      <c r="A129" s="4"/>
      <c r="B129" s="4"/>
      <c r="C129" s="4"/>
      <c r="D129" s="4"/>
      <c r="E129" s="4"/>
      <c r="F129" s="4"/>
      <c r="G129" s="4"/>
      <c r="H129" s="4"/>
      <c r="I129" s="8" t="str">
        <f t="shared" si="3"/>
        <v/>
      </c>
      <c r="J129" s="4"/>
      <c r="K129" s="4"/>
      <c r="L129" s="4"/>
      <c r="M129" s="4"/>
      <c r="N129" s="4"/>
    </row>
    <row r="130" spans="1:14" ht="33.950000000000003" customHeight="1">
      <c r="A130" s="4"/>
      <c r="B130" s="4"/>
      <c r="C130" s="4"/>
      <c r="D130" s="4"/>
      <c r="E130" s="4"/>
      <c r="F130" s="4"/>
      <c r="G130" s="4"/>
      <c r="H130" s="4"/>
      <c r="I130" s="8" t="str">
        <f t="shared" si="3"/>
        <v/>
      </c>
      <c r="J130" s="4"/>
      <c r="K130" s="4"/>
      <c r="L130" s="4"/>
      <c r="M130" s="4"/>
      <c r="N130" s="4"/>
    </row>
    <row r="131" spans="1:14" ht="33.950000000000003" customHeight="1">
      <c r="A131" s="4"/>
      <c r="B131" s="4"/>
      <c r="C131" s="4"/>
      <c r="D131" s="4"/>
      <c r="E131" s="4"/>
      <c r="F131" s="4"/>
      <c r="G131" s="4"/>
      <c r="H131" s="4"/>
      <c r="I131" s="8" t="str">
        <f t="shared" si="3"/>
        <v/>
      </c>
      <c r="J131" s="4"/>
      <c r="K131" s="4"/>
      <c r="L131" s="4"/>
      <c r="M131" s="4"/>
      <c r="N131" s="4"/>
    </row>
    <row r="132" spans="1:14" ht="33.950000000000003" customHeight="1">
      <c r="A132" s="4"/>
      <c r="B132" s="4"/>
      <c r="C132" s="4"/>
      <c r="D132" s="4"/>
      <c r="E132" s="4"/>
      <c r="F132" s="4"/>
      <c r="G132" s="4"/>
      <c r="H132" s="4"/>
      <c r="I132" s="8" t="str">
        <f t="shared" ref="I132:I163" si="4">IF(A132="","",IFERROR(G132*H132,""))</f>
        <v/>
      </c>
      <c r="J132" s="4"/>
      <c r="K132" s="4"/>
      <c r="L132" s="4"/>
      <c r="M132" s="4"/>
      <c r="N132" s="4"/>
    </row>
    <row r="133" spans="1:14" ht="33.950000000000003" customHeight="1">
      <c r="A133" s="4"/>
      <c r="B133" s="4"/>
      <c r="C133" s="4"/>
      <c r="D133" s="4"/>
      <c r="E133" s="4"/>
      <c r="F133" s="4"/>
      <c r="G133" s="4"/>
      <c r="H133" s="4"/>
      <c r="I133" s="8" t="str">
        <f t="shared" si="4"/>
        <v/>
      </c>
      <c r="J133" s="4"/>
      <c r="K133" s="4"/>
      <c r="L133" s="4"/>
      <c r="M133" s="4"/>
      <c r="N133" s="4"/>
    </row>
    <row r="134" spans="1:14" ht="33.950000000000003" customHeight="1">
      <c r="A134" s="4"/>
      <c r="B134" s="4"/>
      <c r="C134" s="4"/>
      <c r="D134" s="4"/>
      <c r="E134" s="4"/>
      <c r="F134" s="4"/>
      <c r="G134" s="4"/>
      <c r="H134" s="4"/>
      <c r="I134" s="8" t="str">
        <f t="shared" si="4"/>
        <v/>
      </c>
      <c r="J134" s="4"/>
      <c r="K134" s="4"/>
      <c r="L134" s="4"/>
      <c r="M134" s="4"/>
      <c r="N134" s="4"/>
    </row>
    <row r="135" spans="1:14" ht="33.950000000000003" customHeight="1">
      <c r="A135" s="4"/>
      <c r="B135" s="4"/>
      <c r="C135" s="4"/>
      <c r="D135" s="4"/>
      <c r="E135" s="4"/>
      <c r="F135" s="4"/>
      <c r="G135" s="4"/>
      <c r="H135" s="4"/>
      <c r="I135" s="8" t="str">
        <f t="shared" si="4"/>
        <v/>
      </c>
      <c r="J135" s="4"/>
      <c r="K135" s="4"/>
      <c r="L135" s="4"/>
      <c r="M135" s="4"/>
      <c r="N135" s="4"/>
    </row>
    <row r="136" spans="1:14" ht="33.950000000000003" customHeight="1">
      <c r="A136" s="4"/>
      <c r="B136" s="4"/>
      <c r="C136" s="4"/>
      <c r="D136" s="4"/>
      <c r="E136" s="4"/>
      <c r="F136" s="4"/>
      <c r="G136" s="4"/>
      <c r="H136" s="4"/>
      <c r="I136" s="8" t="str">
        <f t="shared" si="4"/>
        <v/>
      </c>
      <c r="J136" s="4"/>
      <c r="K136" s="4"/>
      <c r="L136" s="4"/>
      <c r="M136" s="4"/>
      <c r="N136" s="4"/>
    </row>
    <row r="137" spans="1:14" ht="33.950000000000003" customHeight="1">
      <c r="A137" s="4"/>
      <c r="B137" s="4"/>
      <c r="C137" s="4"/>
      <c r="D137" s="4"/>
      <c r="E137" s="4"/>
      <c r="F137" s="4"/>
      <c r="G137" s="4"/>
      <c r="H137" s="4"/>
      <c r="I137" s="8" t="str">
        <f t="shared" si="4"/>
        <v/>
      </c>
      <c r="J137" s="4"/>
      <c r="K137" s="4"/>
      <c r="L137" s="4"/>
      <c r="M137" s="4"/>
      <c r="N137" s="4"/>
    </row>
    <row r="138" spans="1:14" ht="33.950000000000003" customHeight="1">
      <c r="A138" s="4"/>
      <c r="B138" s="4"/>
      <c r="C138" s="4"/>
      <c r="D138" s="4"/>
      <c r="E138" s="4"/>
      <c r="F138" s="4"/>
      <c r="G138" s="4"/>
      <c r="H138" s="4"/>
      <c r="I138" s="8" t="str">
        <f t="shared" si="4"/>
        <v/>
      </c>
      <c r="J138" s="4"/>
      <c r="K138" s="4"/>
      <c r="L138" s="4"/>
      <c r="M138" s="4"/>
      <c r="N138" s="4"/>
    </row>
    <row r="139" spans="1:14" ht="33.950000000000003" customHeight="1">
      <c r="A139" s="4"/>
      <c r="B139" s="4"/>
      <c r="C139" s="4"/>
      <c r="D139" s="4"/>
      <c r="E139" s="4"/>
      <c r="F139" s="4"/>
      <c r="G139" s="4"/>
      <c r="H139" s="4"/>
      <c r="I139" s="8" t="str">
        <f t="shared" si="4"/>
        <v/>
      </c>
      <c r="J139" s="4"/>
      <c r="K139" s="4"/>
      <c r="L139" s="4"/>
      <c r="M139" s="4"/>
      <c r="N139" s="4"/>
    </row>
    <row r="140" spans="1:14" ht="33.950000000000003" customHeight="1">
      <c r="A140" s="4"/>
      <c r="B140" s="4"/>
      <c r="C140" s="4"/>
      <c r="D140" s="4"/>
      <c r="E140" s="4"/>
      <c r="F140" s="4"/>
      <c r="G140" s="4"/>
      <c r="H140" s="4"/>
      <c r="I140" s="8" t="str">
        <f t="shared" si="4"/>
        <v/>
      </c>
      <c r="J140" s="4"/>
      <c r="K140" s="4"/>
      <c r="L140" s="4"/>
      <c r="M140" s="4"/>
      <c r="N140" s="4"/>
    </row>
    <row r="141" spans="1:14" ht="33.950000000000003" customHeight="1">
      <c r="A141" s="4"/>
      <c r="B141" s="4"/>
      <c r="C141" s="4"/>
      <c r="D141" s="4"/>
      <c r="E141" s="4"/>
      <c r="F141" s="4"/>
      <c r="G141" s="4"/>
      <c r="H141" s="4"/>
      <c r="I141" s="8" t="str">
        <f t="shared" si="4"/>
        <v/>
      </c>
      <c r="J141" s="4"/>
      <c r="K141" s="4"/>
      <c r="L141" s="4"/>
      <c r="M141" s="4"/>
      <c r="N141" s="4"/>
    </row>
    <row r="142" spans="1:14" ht="33.950000000000003" customHeight="1">
      <c r="A142" s="4"/>
      <c r="B142" s="4"/>
      <c r="C142" s="4"/>
      <c r="D142" s="4"/>
      <c r="E142" s="4"/>
      <c r="F142" s="4"/>
      <c r="G142" s="4"/>
      <c r="H142" s="4"/>
      <c r="I142" s="8" t="str">
        <f t="shared" si="4"/>
        <v/>
      </c>
      <c r="J142" s="4"/>
      <c r="K142" s="4"/>
      <c r="L142" s="4"/>
      <c r="M142" s="4"/>
      <c r="N142" s="4"/>
    </row>
    <row r="143" spans="1:14" ht="33.950000000000003" customHeight="1">
      <c r="A143" s="4"/>
      <c r="B143" s="4"/>
      <c r="C143" s="4"/>
      <c r="D143" s="4"/>
      <c r="E143" s="4"/>
      <c r="F143" s="4"/>
      <c r="G143" s="4"/>
      <c r="H143" s="4"/>
      <c r="I143" s="8" t="str">
        <f t="shared" si="4"/>
        <v/>
      </c>
      <c r="J143" s="4"/>
      <c r="K143" s="4"/>
      <c r="L143" s="4"/>
      <c r="M143" s="4"/>
      <c r="N143" s="4"/>
    </row>
    <row r="144" spans="1:14" ht="33.950000000000003" customHeight="1">
      <c r="A144" s="4"/>
      <c r="B144" s="4"/>
      <c r="C144" s="4"/>
      <c r="D144" s="4"/>
      <c r="E144" s="4"/>
      <c r="F144" s="4"/>
      <c r="G144" s="4"/>
      <c r="H144" s="4"/>
      <c r="I144" s="8" t="str">
        <f t="shared" si="4"/>
        <v/>
      </c>
      <c r="J144" s="4"/>
      <c r="K144" s="4"/>
      <c r="L144" s="4"/>
      <c r="M144" s="4"/>
      <c r="N144" s="4"/>
    </row>
    <row r="145" spans="1:14" ht="33.950000000000003" customHeight="1">
      <c r="A145" s="4"/>
      <c r="B145" s="4"/>
      <c r="C145" s="4"/>
      <c r="D145" s="4"/>
      <c r="E145" s="4"/>
      <c r="F145" s="4"/>
      <c r="G145" s="4"/>
      <c r="H145" s="4"/>
      <c r="I145" s="8" t="str">
        <f t="shared" si="4"/>
        <v/>
      </c>
      <c r="J145" s="4"/>
      <c r="K145" s="4"/>
      <c r="L145" s="4"/>
      <c r="M145" s="4"/>
      <c r="N145" s="4"/>
    </row>
    <row r="146" spans="1:14" ht="33.950000000000003" customHeight="1">
      <c r="A146" s="4"/>
      <c r="B146" s="4"/>
      <c r="C146" s="4"/>
      <c r="D146" s="4"/>
      <c r="E146" s="4"/>
      <c r="F146" s="4"/>
      <c r="G146" s="4"/>
      <c r="H146" s="4"/>
      <c r="I146" s="8" t="str">
        <f t="shared" si="4"/>
        <v/>
      </c>
      <c r="J146" s="4"/>
      <c r="K146" s="4"/>
      <c r="L146" s="4"/>
      <c r="M146" s="4"/>
      <c r="N146" s="4"/>
    </row>
    <row r="147" spans="1:14" ht="33.950000000000003" customHeight="1">
      <c r="A147" s="4"/>
      <c r="B147" s="4"/>
      <c r="C147" s="4"/>
      <c r="D147" s="4"/>
      <c r="E147" s="4"/>
      <c r="F147" s="4"/>
      <c r="G147" s="4"/>
      <c r="H147" s="4"/>
      <c r="I147" s="8" t="str">
        <f t="shared" si="4"/>
        <v/>
      </c>
      <c r="J147" s="4"/>
      <c r="K147" s="4"/>
      <c r="L147" s="4"/>
      <c r="M147" s="4"/>
      <c r="N147" s="4"/>
    </row>
    <row r="148" spans="1:14" ht="33.950000000000003" customHeight="1">
      <c r="A148" s="4"/>
      <c r="B148" s="4"/>
      <c r="C148" s="4"/>
      <c r="D148" s="4"/>
      <c r="E148" s="4"/>
      <c r="F148" s="4"/>
      <c r="G148" s="4"/>
      <c r="H148" s="4"/>
      <c r="I148" s="8" t="str">
        <f t="shared" si="4"/>
        <v/>
      </c>
      <c r="J148" s="4"/>
      <c r="K148" s="4"/>
      <c r="L148" s="4"/>
      <c r="M148" s="4"/>
      <c r="N148" s="4"/>
    </row>
    <row r="149" spans="1:14" ht="33.950000000000003" customHeight="1">
      <c r="A149" s="4"/>
      <c r="B149" s="4"/>
      <c r="C149" s="4"/>
      <c r="D149" s="4"/>
      <c r="E149" s="4"/>
      <c r="F149" s="4"/>
      <c r="G149" s="4"/>
      <c r="H149" s="4"/>
      <c r="I149" s="8" t="str">
        <f t="shared" si="4"/>
        <v/>
      </c>
      <c r="J149" s="4"/>
      <c r="K149" s="4"/>
      <c r="L149" s="4"/>
      <c r="M149" s="4"/>
      <c r="N149" s="4"/>
    </row>
    <row r="150" spans="1:14" ht="33.950000000000003" customHeight="1">
      <c r="A150" s="4"/>
      <c r="B150" s="4"/>
      <c r="C150" s="4"/>
      <c r="D150" s="4"/>
      <c r="E150" s="4"/>
      <c r="F150" s="4"/>
      <c r="G150" s="4"/>
      <c r="H150" s="4"/>
      <c r="I150" s="8" t="str">
        <f t="shared" si="4"/>
        <v/>
      </c>
      <c r="J150" s="4"/>
      <c r="K150" s="4"/>
      <c r="L150" s="4"/>
      <c r="M150" s="4"/>
      <c r="N150" s="4"/>
    </row>
    <row r="151" spans="1:14" ht="33.950000000000003" customHeight="1">
      <c r="A151" s="4"/>
      <c r="B151" s="4"/>
      <c r="C151" s="4"/>
      <c r="D151" s="4"/>
      <c r="E151" s="4"/>
      <c r="F151" s="4"/>
      <c r="G151" s="4"/>
      <c r="H151" s="4"/>
      <c r="I151" s="8" t="str">
        <f t="shared" si="4"/>
        <v/>
      </c>
      <c r="J151" s="4"/>
      <c r="K151" s="4"/>
      <c r="L151" s="4"/>
      <c r="M151" s="4"/>
      <c r="N151" s="4"/>
    </row>
    <row r="152" spans="1:14" ht="33.950000000000003" customHeight="1">
      <c r="A152" s="4"/>
      <c r="B152" s="4"/>
      <c r="C152" s="4"/>
      <c r="D152" s="4"/>
      <c r="E152" s="4"/>
      <c r="F152" s="4"/>
      <c r="G152" s="4"/>
      <c r="H152" s="4"/>
      <c r="I152" s="8" t="str">
        <f t="shared" si="4"/>
        <v/>
      </c>
      <c r="J152" s="4"/>
      <c r="K152" s="4"/>
      <c r="L152" s="4"/>
      <c r="M152" s="4"/>
      <c r="N152" s="4"/>
    </row>
    <row r="153" spans="1:14" ht="33.950000000000003" customHeight="1">
      <c r="A153" s="4"/>
      <c r="B153" s="4"/>
      <c r="C153" s="4"/>
      <c r="D153" s="4"/>
      <c r="E153" s="4"/>
      <c r="F153" s="4"/>
      <c r="G153" s="4"/>
      <c r="H153" s="4"/>
      <c r="I153" s="8" t="str">
        <f t="shared" si="4"/>
        <v/>
      </c>
      <c r="J153" s="4"/>
      <c r="K153" s="4"/>
      <c r="L153" s="4"/>
      <c r="M153" s="4"/>
      <c r="N153" s="4"/>
    </row>
    <row r="154" spans="1:14" ht="33.950000000000003" customHeight="1">
      <c r="A154" s="4"/>
      <c r="B154" s="4"/>
      <c r="C154" s="4"/>
      <c r="D154" s="4"/>
      <c r="E154" s="4"/>
      <c r="F154" s="4"/>
      <c r="G154" s="4"/>
      <c r="H154" s="4"/>
      <c r="I154" s="8" t="str">
        <f t="shared" si="4"/>
        <v/>
      </c>
      <c r="J154" s="4"/>
      <c r="K154" s="4"/>
      <c r="L154" s="4"/>
      <c r="M154" s="4"/>
      <c r="N154" s="4"/>
    </row>
    <row r="155" spans="1:14" ht="33.950000000000003" customHeight="1">
      <c r="A155" s="4"/>
      <c r="B155" s="4"/>
      <c r="C155" s="4"/>
      <c r="D155" s="4"/>
      <c r="E155" s="4"/>
      <c r="F155" s="4"/>
      <c r="G155" s="4"/>
      <c r="H155" s="4"/>
      <c r="I155" s="8" t="str">
        <f t="shared" si="4"/>
        <v/>
      </c>
      <c r="J155" s="4"/>
      <c r="K155" s="4"/>
      <c r="L155" s="4"/>
      <c r="M155" s="4"/>
      <c r="N155" s="4"/>
    </row>
    <row r="156" spans="1:14" ht="33.950000000000003" customHeight="1">
      <c r="A156" s="4"/>
      <c r="B156" s="4"/>
      <c r="C156" s="4"/>
      <c r="D156" s="4"/>
      <c r="E156" s="4"/>
      <c r="F156" s="4"/>
      <c r="G156" s="4"/>
      <c r="H156" s="4"/>
      <c r="I156" s="8" t="str">
        <f t="shared" si="4"/>
        <v/>
      </c>
      <c r="J156" s="4"/>
      <c r="K156" s="4"/>
      <c r="L156" s="4"/>
      <c r="M156" s="4"/>
      <c r="N156" s="4"/>
    </row>
    <row r="157" spans="1:14" ht="33.950000000000003" customHeight="1">
      <c r="A157" s="4"/>
      <c r="B157" s="4"/>
      <c r="C157" s="4"/>
      <c r="D157" s="4"/>
      <c r="E157" s="4"/>
      <c r="F157" s="4"/>
      <c r="G157" s="4"/>
      <c r="H157" s="4"/>
      <c r="I157" s="8" t="str">
        <f t="shared" si="4"/>
        <v/>
      </c>
      <c r="J157" s="4"/>
      <c r="K157" s="4"/>
      <c r="L157" s="4"/>
      <c r="M157" s="4"/>
      <c r="N157" s="4"/>
    </row>
    <row r="158" spans="1:14" ht="33.950000000000003" customHeight="1">
      <c r="A158" s="4"/>
      <c r="B158" s="4"/>
      <c r="C158" s="4"/>
      <c r="D158" s="4"/>
      <c r="E158" s="4"/>
      <c r="F158" s="4"/>
      <c r="G158" s="4"/>
      <c r="H158" s="4"/>
      <c r="I158" s="8" t="str">
        <f t="shared" si="4"/>
        <v/>
      </c>
      <c r="J158" s="4"/>
      <c r="K158" s="4"/>
      <c r="L158" s="4"/>
      <c r="M158" s="4"/>
      <c r="N158" s="4"/>
    </row>
    <row r="159" spans="1:14" ht="33.950000000000003" customHeight="1">
      <c r="A159" s="4"/>
      <c r="B159" s="4"/>
      <c r="C159" s="4"/>
      <c r="D159" s="4"/>
      <c r="E159" s="4"/>
      <c r="F159" s="4"/>
      <c r="G159" s="4"/>
      <c r="H159" s="4"/>
      <c r="I159" s="8" t="str">
        <f t="shared" si="4"/>
        <v/>
      </c>
      <c r="J159" s="4"/>
      <c r="K159" s="4"/>
      <c r="L159" s="4"/>
      <c r="M159" s="4"/>
      <c r="N159" s="4"/>
    </row>
    <row r="160" spans="1:14" ht="33.950000000000003" customHeight="1">
      <c r="A160" s="4"/>
      <c r="B160" s="4"/>
      <c r="C160" s="4"/>
      <c r="D160" s="4"/>
      <c r="E160" s="4"/>
      <c r="F160" s="4"/>
      <c r="G160" s="4"/>
      <c r="H160" s="4"/>
      <c r="I160" s="8" t="str">
        <f t="shared" si="4"/>
        <v/>
      </c>
      <c r="J160" s="4"/>
      <c r="K160" s="4"/>
      <c r="L160" s="4"/>
      <c r="M160" s="4"/>
      <c r="N160" s="4"/>
    </row>
    <row r="161" spans="1:14" ht="33.950000000000003" customHeight="1">
      <c r="A161" s="4"/>
      <c r="B161" s="4"/>
      <c r="C161" s="4"/>
      <c r="D161" s="4"/>
      <c r="E161" s="4"/>
      <c r="F161" s="4"/>
      <c r="G161" s="4"/>
      <c r="H161" s="4"/>
      <c r="I161" s="8" t="str">
        <f t="shared" si="4"/>
        <v/>
      </c>
      <c r="J161" s="4"/>
      <c r="K161" s="4"/>
      <c r="L161" s="4"/>
      <c r="M161" s="4"/>
      <c r="N161" s="4"/>
    </row>
    <row r="162" spans="1:14" ht="33.950000000000003" customHeight="1">
      <c r="A162" s="4"/>
      <c r="B162" s="4"/>
      <c r="C162" s="4"/>
      <c r="D162" s="4"/>
      <c r="E162" s="4"/>
      <c r="F162" s="4"/>
      <c r="G162" s="4"/>
      <c r="H162" s="4"/>
      <c r="I162" s="8" t="str">
        <f t="shared" si="4"/>
        <v/>
      </c>
      <c r="J162" s="4"/>
      <c r="K162" s="4"/>
      <c r="L162" s="4"/>
      <c r="M162" s="4"/>
      <c r="N162" s="4"/>
    </row>
    <row r="163" spans="1:14" ht="33.950000000000003" customHeight="1">
      <c r="A163" s="4"/>
      <c r="B163" s="4"/>
      <c r="C163" s="4"/>
      <c r="D163" s="4"/>
      <c r="E163" s="4"/>
      <c r="F163" s="4"/>
      <c r="G163" s="4"/>
      <c r="H163" s="4"/>
      <c r="I163" s="8" t="str">
        <f t="shared" si="4"/>
        <v/>
      </c>
      <c r="J163" s="4"/>
      <c r="K163" s="4"/>
      <c r="L163" s="4"/>
      <c r="M163" s="4"/>
      <c r="N163" s="4"/>
    </row>
    <row r="164" spans="1:14" ht="33.950000000000003" customHeight="1">
      <c r="A164" s="4"/>
      <c r="B164" s="4"/>
      <c r="C164" s="4"/>
      <c r="D164" s="4"/>
      <c r="E164" s="4"/>
      <c r="F164" s="4"/>
      <c r="G164" s="4"/>
      <c r="H164" s="4"/>
      <c r="I164" s="8" t="str">
        <f t="shared" ref="I164:I195" si="5">IF(A164="","",IFERROR(G164*H164,""))</f>
        <v/>
      </c>
      <c r="J164" s="4"/>
      <c r="K164" s="4"/>
      <c r="L164" s="4"/>
      <c r="M164" s="4"/>
      <c r="N164" s="4"/>
    </row>
    <row r="165" spans="1:14" ht="33.950000000000003" customHeight="1">
      <c r="A165" s="4"/>
      <c r="B165" s="4"/>
      <c r="C165" s="4"/>
      <c r="D165" s="4"/>
      <c r="E165" s="4"/>
      <c r="F165" s="4"/>
      <c r="G165" s="4"/>
      <c r="H165" s="4"/>
      <c r="I165" s="8" t="str">
        <f t="shared" si="5"/>
        <v/>
      </c>
      <c r="J165" s="4"/>
      <c r="K165" s="4"/>
      <c r="L165" s="4"/>
      <c r="M165" s="4"/>
      <c r="N165" s="4"/>
    </row>
    <row r="166" spans="1:14" ht="33.950000000000003" customHeight="1">
      <c r="A166" s="4"/>
      <c r="B166" s="4"/>
      <c r="C166" s="4"/>
      <c r="D166" s="4"/>
      <c r="E166" s="4"/>
      <c r="F166" s="4"/>
      <c r="G166" s="4"/>
      <c r="H166" s="4"/>
      <c r="I166" s="8" t="str">
        <f t="shared" si="5"/>
        <v/>
      </c>
      <c r="J166" s="4"/>
      <c r="K166" s="4"/>
      <c r="L166" s="4"/>
      <c r="M166" s="4"/>
      <c r="N166" s="4"/>
    </row>
    <row r="167" spans="1:14" ht="33.950000000000003" customHeight="1">
      <c r="A167" s="4"/>
      <c r="B167" s="4"/>
      <c r="C167" s="4"/>
      <c r="D167" s="4"/>
      <c r="E167" s="4"/>
      <c r="F167" s="4"/>
      <c r="G167" s="4"/>
      <c r="H167" s="4"/>
      <c r="I167" s="8" t="str">
        <f t="shared" si="5"/>
        <v/>
      </c>
      <c r="J167" s="4"/>
      <c r="K167" s="4"/>
      <c r="L167" s="4"/>
      <c r="M167" s="4"/>
      <c r="N167" s="4"/>
    </row>
    <row r="168" spans="1:14" ht="33.950000000000003" customHeight="1">
      <c r="A168" s="4"/>
      <c r="B168" s="4"/>
      <c r="C168" s="4"/>
      <c r="D168" s="4"/>
      <c r="E168" s="4"/>
      <c r="F168" s="4"/>
      <c r="G168" s="4"/>
      <c r="H168" s="4"/>
      <c r="I168" s="8" t="str">
        <f t="shared" si="5"/>
        <v/>
      </c>
      <c r="J168" s="4"/>
      <c r="K168" s="4"/>
      <c r="L168" s="4"/>
      <c r="M168" s="4"/>
      <c r="N168" s="4"/>
    </row>
    <row r="169" spans="1:14" ht="33.950000000000003" customHeight="1">
      <c r="A169" s="4"/>
      <c r="B169" s="4"/>
      <c r="C169" s="4"/>
      <c r="D169" s="4"/>
      <c r="E169" s="4"/>
      <c r="F169" s="4"/>
      <c r="G169" s="4"/>
      <c r="H169" s="4"/>
      <c r="I169" s="8" t="str">
        <f t="shared" si="5"/>
        <v/>
      </c>
      <c r="J169" s="4"/>
      <c r="K169" s="4"/>
      <c r="L169" s="4"/>
      <c r="M169" s="4"/>
      <c r="N169" s="4"/>
    </row>
    <row r="170" spans="1:14" ht="33.950000000000003" customHeight="1">
      <c r="A170" s="4"/>
      <c r="B170" s="4"/>
      <c r="C170" s="4"/>
      <c r="D170" s="4"/>
      <c r="E170" s="4"/>
      <c r="F170" s="4"/>
      <c r="G170" s="4"/>
      <c r="H170" s="4"/>
      <c r="I170" s="8" t="str">
        <f t="shared" si="5"/>
        <v/>
      </c>
      <c r="J170" s="4"/>
      <c r="K170" s="4"/>
      <c r="L170" s="4"/>
      <c r="M170" s="4"/>
      <c r="N170" s="4"/>
    </row>
    <row r="171" spans="1:14" ht="33.950000000000003" customHeight="1">
      <c r="A171" s="4"/>
      <c r="B171" s="4"/>
      <c r="C171" s="4"/>
      <c r="D171" s="4"/>
      <c r="E171" s="4"/>
      <c r="F171" s="4"/>
      <c r="G171" s="4"/>
      <c r="H171" s="4"/>
      <c r="I171" s="8" t="str">
        <f t="shared" si="5"/>
        <v/>
      </c>
      <c r="J171" s="4"/>
      <c r="K171" s="4"/>
      <c r="L171" s="4"/>
      <c r="M171" s="4"/>
      <c r="N171" s="4"/>
    </row>
    <row r="172" spans="1:14" ht="33.950000000000003" customHeight="1">
      <c r="A172" s="4"/>
      <c r="B172" s="4"/>
      <c r="C172" s="4"/>
      <c r="D172" s="4"/>
      <c r="E172" s="4"/>
      <c r="F172" s="4"/>
      <c r="G172" s="4"/>
      <c r="H172" s="4"/>
      <c r="I172" s="8" t="str">
        <f t="shared" si="5"/>
        <v/>
      </c>
      <c r="J172" s="4"/>
      <c r="K172" s="4"/>
      <c r="L172" s="4"/>
      <c r="M172" s="4"/>
      <c r="N172" s="4"/>
    </row>
    <row r="173" spans="1:14" ht="33.950000000000003" customHeight="1">
      <c r="A173" s="4"/>
      <c r="B173" s="4"/>
      <c r="C173" s="4"/>
      <c r="D173" s="4"/>
      <c r="E173" s="4"/>
      <c r="F173" s="4"/>
      <c r="G173" s="4"/>
      <c r="H173" s="4"/>
      <c r="I173" s="8" t="str">
        <f t="shared" si="5"/>
        <v/>
      </c>
      <c r="J173" s="4"/>
      <c r="K173" s="4"/>
      <c r="L173" s="4"/>
      <c r="M173" s="4"/>
      <c r="N173" s="4"/>
    </row>
    <row r="174" spans="1:14" ht="33.950000000000003" customHeight="1">
      <c r="A174" s="4"/>
      <c r="B174" s="4"/>
      <c r="C174" s="4"/>
      <c r="D174" s="4"/>
      <c r="E174" s="4"/>
      <c r="F174" s="4"/>
      <c r="G174" s="4"/>
      <c r="H174" s="4"/>
      <c r="I174" s="8" t="str">
        <f t="shared" si="5"/>
        <v/>
      </c>
      <c r="J174" s="4"/>
      <c r="K174" s="4"/>
      <c r="L174" s="4"/>
      <c r="M174" s="4"/>
      <c r="N174" s="4"/>
    </row>
    <row r="175" spans="1:14" ht="33.950000000000003" customHeight="1">
      <c r="A175" s="4"/>
      <c r="B175" s="4"/>
      <c r="C175" s="4"/>
      <c r="D175" s="4"/>
      <c r="E175" s="4"/>
      <c r="F175" s="4"/>
      <c r="G175" s="4"/>
      <c r="H175" s="4"/>
      <c r="I175" s="8" t="str">
        <f t="shared" si="5"/>
        <v/>
      </c>
      <c r="J175" s="4"/>
      <c r="K175" s="4"/>
      <c r="L175" s="4"/>
      <c r="M175" s="4"/>
      <c r="N175" s="4"/>
    </row>
    <row r="176" spans="1:14" ht="33.950000000000003" customHeight="1">
      <c r="A176" s="4"/>
      <c r="B176" s="4"/>
      <c r="C176" s="4"/>
      <c r="D176" s="4"/>
      <c r="E176" s="4"/>
      <c r="F176" s="4"/>
      <c r="G176" s="4"/>
      <c r="H176" s="4"/>
      <c r="I176" s="8" t="str">
        <f t="shared" si="5"/>
        <v/>
      </c>
      <c r="J176" s="4"/>
      <c r="K176" s="4"/>
      <c r="L176" s="4"/>
      <c r="M176" s="4"/>
      <c r="N176" s="4"/>
    </row>
    <row r="177" spans="1:14" ht="33.950000000000003" customHeight="1">
      <c r="A177" s="4"/>
      <c r="B177" s="4"/>
      <c r="C177" s="4"/>
      <c r="D177" s="4"/>
      <c r="E177" s="4"/>
      <c r="F177" s="4"/>
      <c r="G177" s="4"/>
      <c r="H177" s="4"/>
      <c r="I177" s="8" t="str">
        <f t="shared" si="5"/>
        <v/>
      </c>
      <c r="J177" s="4"/>
      <c r="K177" s="4"/>
      <c r="L177" s="4"/>
      <c r="M177" s="4"/>
      <c r="N177" s="4"/>
    </row>
    <row r="178" spans="1:14" ht="33.950000000000003" customHeight="1">
      <c r="A178" s="4"/>
      <c r="B178" s="4"/>
      <c r="C178" s="4"/>
      <c r="D178" s="4"/>
      <c r="E178" s="4"/>
      <c r="F178" s="4"/>
      <c r="G178" s="4"/>
      <c r="H178" s="4"/>
      <c r="I178" s="8" t="str">
        <f t="shared" si="5"/>
        <v/>
      </c>
      <c r="J178" s="4"/>
      <c r="K178" s="4"/>
      <c r="L178" s="4"/>
      <c r="M178" s="4"/>
      <c r="N178" s="4"/>
    </row>
    <row r="179" spans="1:14" ht="33.950000000000003" customHeight="1">
      <c r="A179" s="4"/>
      <c r="B179" s="4"/>
      <c r="C179" s="4"/>
      <c r="D179" s="4"/>
      <c r="E179" s="4"/>
      <c r="F179" s="4"/>
      <c r="G179" s="4"/>
      <c r="H179" s="4"/>
      <c r="I179" s="8" t="str">
        <f t="shared" si="5"/>
        <v/>
      </c>
      <c r="J179" s="4"/>
      <c r="K179" s="4"/>
      <c r="L179" s="4"/>
      <c r="M179" s="4"/>
      <c r="N179" s="4"/>
    </row>
    <row r="180" spans="1:14" ht="33.950000000000003" customHeight="1">
      <c r="A180" s="4"/>
      <c r="B180" s="4"/>
      <c r="C180" s="4"/>
      <c r="D180" s="4"/>
      <c r="E180" s="4"/>
      <c r="F180" s="4"/>
      <c r="G180" s="4"/>
      <c r="H180" s="4"/>
      <c r="I180" s="8" t="str">
        <f t="shared" si="5"/>
        <v/>
      </c>
      <c r="J180" s="4"/>
      <c r="K180" s="4"/>
      <c r="L180" s="4"/>
      <c r="M180" s="4"/>
      <c r="N180" s="4"/>
    </row>
    <row r="181" spans="1:14" ht="33.950000000000003" customHeight="1">
      <c r="A181" s="4"/>
      <c r="B181" s="4"/>
      <c r="C181" s="4"/>
      <c r="D181" s="4"/>
      <c r="E181" s="4"/>
      <c r="F181" s="4"/>
      <c r="G181" s="4"/>
      <c r="H181" s="4"/>
      <c r="I181" s="8" t="str">
        <f t="shared" si="5"/>
        <v/>
      </c>
      <c r="J181" s="4"/>
      <c r="K181" s="4"/>
      <c r="L181" s="4"/>
      <c r="M181" s="4"/>
      <c r="N181" s="4"/>
    </row>
    <row r="182" spans="1:14" ht="33.950000000000003" customHeight="1">
      <c r="A182" s="4"/>
      <c r="B182" s="4"/>
      <c r="C182" s="4"/>
      <c r="D182" s="4"/>
      <c r="E182" s="4"/>
      <c r="F182" s="4"/>
      <c r="G182" s="4"/>
      <c r="H182" s="4"/>
      <c r="I182" s="8" t="str">
        <f t="shared" si="5"/>
        <v/>
      </c>
      <c r="J182" s="4"/>
      <c r="K182" s="4"/>
      <c r="L182" s="4"/>
      <c r="M182" s="4"/>
      <c r="N182" s="4"/>
    </row>
    <row r="183" spans="1:14" ht="33.950000000000003" customHeight="1">
      <c r="A183" s="4"/>
      <c r="B183" s="4"/>
      <c r="C183" s="4"/>
      <c r="D183" s="4"/>
      <c r="E183" s="4"/>
      <c r="F183" s="4"/>
      <c r="G183" s="4"/>
      <c r="H183" s="4"/>
      <c r="I183" s="8" t="str">
        <f t="shared" si="5"/>
        <v/>
      </c>
      <c r="J183" s="4"/>
      <c r="K183" s="4"/>
      <c r="L183" s="4"/>
      <c r="M183" s="4"/>
      <c r="N183" s="4"/>
    </row>
    <row r="184" spans="1:14" ht="33.950000000000003" customHeight="1">
      <c r="A184" s="4"/>
      <c r="B184" s="4"/>
      <c r="C184" s="4"/>
      <c r="D184" s="4"/>
      <c r="E184" s="4"/>
      <c r="F184" s="4"/>
      <c r="G184" s="4"/>
      <c r="H184" s="4"/>
      <c r="I184" s="8" t="str">
        <f t="shared" si="5"/>
        <v/>
      </c>
      <c r="J184" s="4"/>
      <c r="K184" s="4"/>
      <c r="L184" s="4"/>
      <c r="M184" s="4"/>
      <c r="N184" s="4"/>
    </row>
    <row r="185" spans="1:14" ht="33.950000000000003" customHeight="1">
      <c r="A185" s="4"/>
      <c r="B185" s="4"/>
      <c r="C185" s="4"/>
      <c r="D185" s="4"/>
      <c r="E185" s="4"/>
      <c r="F185" s="4"/>
      <c r="G185" s="4"/>
      <c r="H185" s="4"/>
      <c r="I185" s="8" t="str">
        <f t="shared" si="5"/>
        <v/>
      </c>
      <c r="J185" s="4"/>
      <c r="K185" s="4"/>
      <c r="L185" s="4"/>
      <c r="M185" s="4"/>
      <c r="N185" s="4"/>
    </row>
    <row r="186" spans="1:14" ht="33.950000000000003" customHeight="1">
      <c r="A186" s="4"/>
      <c r="B186" s="4"/>
      <c r="C186" s="4"/>
      <c r="D186" s="4"/>
      <c r="E186" s="4"/>
      <c r="F186" s="4"/>
      <c r="G186" s="4"/>
      <c r="H186" s="4"/>
      <c r="I186" s="8" t="str">
        <f t="shared" si="5"/>
        <v/>
      </c>
      <c r="J186" s="4"/>
      <c r="K186" s="4"/>
      <c r="L186" s="4"/>
      <c r="M186" s="4"/>
      <c r="N186" s="4"/>
    </row>
    <row r="187" spans="1:14" ht="33.950000000000003" customHeight="1">
      <c r="A187" s="4"/>
      <c r="B187" s="4"/>
      <c r="C187" s="4"/>
      <c r="D187" s="4"/>
      <c r="E187" s="4"/>
      <c r="F187" s="4"/>
      <c r="G187" s="4"/>
      <c r="H187" s="4"/>
      <c r="I187" s="8" t="str">
        <f t="shared" si="5"/>
        <v/>
      </c>
      <c r="J187" s="4"/>
      <c r="K187" s="4"/>
      <c r="L187" s="4"/>
      <c r="M187" s="4"/>
      <c r="N187" s="4"/>
    </row>
    <row r="188" spans="1:14" ht="33.950000000000003" customHeight="1">
      <c r="A188" s="4"/>
      <c r="B188" s="4"/>
      <c r="C188" s="4"/>
      <c r="D188" s="4"/>
      <c r="E188" s="4"/>
      <c r="F188" s="4"/>
      <c r="G188" s="4"/>
      <c r="H188" s="4"/>
      <c r="I188" s="8" t="str">
        <f t="shared" si="5"/>
        <v/>
      </c>
      <c r="J188" s="4"/>
      <c r="K188" s="4"/>
      <c r="L188" s="4"/>
      <c r="M188" s="4"/>
      <c r="N188" s="4"/>
    </row>
    <row r="189" spans="1:14" ht="33.950000000000003" customHeight="1">
      <c r="A189" s="4"/>
      <c r="B189" s="4"/>
      <c r="C189" s="4"/>
      <c r="D189" s="4"/>
      <c r="E189" s="4"/>
      <c r="F189" s="4"/>
      <c r="G189" s="4"/>
      <c r="H189" s="4"/>
      <c r="I189" s="8" t="str">
        <f t="shared" si="5"/>
        <v/>
      </c>
      <c r="J189" s="4"/>
      <c r="K189" s="4"/>
      <c r="L189" s="4"/>
      <c r="M189" s="4"/>
      <c r="N189" s="4"/>
    </row>
    <row r="190" spans="1:14" ht="33.950000000000003" customHeight="1">
      <c r="A190" s="4"/>
      <c r="B190" s="4"/>
      <c r="C190" s="4"/>
      <c r="D190" s="4"/>
      <c r="E190" s="4"/>
      <c r="F190" s="4"/>
      <c r="G190" s="4"/>
      <c r="H190" s="4"/>
      <c r="I190" s="8" t="str">
        <f t="shared" si="5"/>
        <v/>
      </c>
      <c r="J190" s="4"/>
      <c r="K190" s="4"/>
      <c r="L190" s="4"/>
      <c r="M190" s="4"/>
      <c r="N190" s="4"/>
    </row>
    <row r="191" spans="1:14" ht="33.950000000000003" customHeight="1">
      <c r="A191" s="4"/>
      <c r="B191" s="4"/>
      <c r="C191" s="4"/>
      <c r="D191" s="4"/>
      <c r="E191" s="4"/>
      <c r="F191" s="4"/>
      <c r="G191" s="4"/>
      <c r="H191" s="4"/>
      <c r="I191" s="8" t="str">
        <f t="shared" si="5"/>
        <v/>
      </c>
      <c r="J191" s="4"/>
      <c r="K191" s="4"/>
      <c r="L191" s="4"/>
      <c r="M191" s="4"/>
      <c r="N191" s="4"/>
    </row>
    <row r="192" spans="1:14" ht="33.950000000000003" customHeight="1">
      <c r="A192" s="4"/>
      <c r="B192" s="4"/>
      <c r="C192" s="4"/>
      <c r="D192" s="4"/>
      <c r="E192" s="4"/>
      <c r="F192" s="4"/>
      <c r="G192" s="4"/>
      <c r="H192" s="4"/>
      <c r="I192" s="8" t="str">
        <f t="shared" si="5"/>
        <v/>
      </c>
      <c r="J192" s="4"/>
      <c r="K192" s="4"/>
      <c r="L192" s="4"/>
      <c r="M192" s="4"/>
      <c r="N192" s="4"/>
    </row>
    <row r="193" spans="1:14" ht="33.950000000000003" customHeight="1">
      <c r="A193" s="4"/>
      <c r="B193" s="4"/>
      <c r="C193" s="4"/>
      <c r="D193" s="4"/>
      <c r="E193" s="4"/>
      <c r="F193" s="4"/>
      <c r="G193" s="4"/>
      <c r="H193" s="4"/>
      <c r="I193" s="8" t="str">
        <f t="shared" si="5"/>
        <v/>
      </c>
      <c r="J193" s="4"/>
      <c r="K193" s="4"/>
      <c r="L193" s="4"/>
      <c r="M193" s="4"/>
      <c r="N193" s="4"/>
    </row>
    <row r="194" spans="1:14" ht="33.950000000000003" customHeight="1">
      <c r="A194" s="4"/>
      <c r="B194" s="4"/>
      <c r="C194" s="4"/>
      <c r="D194" s="4"/>
      <c r="E194" s="4"/>
      <c r="F194" s="4"/>
      <c r="G194" s="4"/>
      <c r="H194" s="4"/>
      <c r="I194" s="8" t="str">
        <f t="shared" si="5"/>
        <v/>
      </c>
      <c r="J194" s="4"/>
      <c r="K194" s="4"/>
      <c r="L194" s="4"/>
      <c r="M194" s="4"/>
      <c r="N194" s="4"/>
    </row>
    <row r="195" spans="1:14" ht="33.950000000000003" customHeight="1">
      <c r="A195" s="4"/>
      <c r="B195" s="4"/>
      <c r="C195" s="4"/>
      <c r="D195" s="4"/>
      <c r="E195" s="4"/>
      <c r="F195" s="4"/>
      <c r="G195" s="4"/>
      <c r="H195" s="4"/>
      <c r="I195" s="8" t="str">
        <f t="shared" si="5"/>
        <v/>
      </c>
      <c r="J195" s="4"/>
      <c r="K195" s="4"/>
      <c r="L195" s="4"/>
      <c r="M195" s="4"/>
      <c r="N195" s="4"/>
    </row>
    <row r="196" spans="1:14" ht="33.950000000000003" customHeight="1">
      <c r="A196" s="4"/>
      <c r="B196" s="4"/>
      <c r="C196" s="4"/>
      <c r="D196" s="4"/>
      <c r="E196" s="4"/>
      <c r="F196" s="4"/>
      <c r="G196" s="4"/>
      <c r="H196" s="4"/>
      <c r="I196" s="8" t="str">
        <f t="shared" ref="I196:I227" si="6">IF(A196="","",IFERROR(G196*H196,""))</f>
        <v/>
      </c>
      <c r="J196" s="4"/>
      <c r="K196" s="4"/>
      <c r="L196" s="4"/>
      <c r="M196" s="4"/>
      <c r="N196" s="4"/>
    </row>
    <row r="197" spans="1:14" ht="33.950000000000003" customHeight="1">
      <c r="A197" s="4"/>
      <c r="B197" s="4"/>
      <c r="C197" s="4"/>
      <c r="D197" s="4"/>
      <c r="E197" s="4"/>
      <c r="F197" s="4"/>
      <c r="G197" s="4"/>
      <c r="H197" s="4"/>
      <c r="I197" s="8" t="str">
        <f t="shared" si="6"/>
        <v/>
      </c>
      <c r="J197" s="4"/>
      <c r="K197" s="4"/>
      <c r="L197" s="4"/>
      <c r="M197" s="4"/>
      <c r="N197" s="4"/>
    </row>
    <row r="198" spans="1:14" ht="33.950000000000003" customHeight="1">
      <c r="A198" s="4"/>
      <c r="B198" s="4"/>
      <c r="C198" s="4"/>
      <c r="D198" s="4"/>
      <c r="E198" s="4"/>
      <c r="F198" s="4"/>
      <c r="G198" s="4"/>
      <c r="H198" s="4"/>
      <c r="I198" s="8" t="str">
        <f t="shared" si="6"/>
        <v/>
      </c>
      <c r="J198" s="4"/>
      <c r="K198" s="4"/>
      <c r="L198" s="4"/>
      <c r="M198" s="4"/>
      <c r="N198" s="4"/>
    </row>
    <row r="199" spans="1:14" ht="33.950000000000003" customHeight="1">
      <c r="A199" s="4"/>
      <c r="B199" s="4"/>
      <c r="C199" s="4"/>
      <c r="D199" s="4"/>
      <c r="E199" s="4"/>
      <c r="F199" s="4"/>
      <c r="G199" s="4"/>
      <c r="H199" s="4"/>
      <c r="I199" s="8" t="str">
        <f t="shared" si="6"/>
        <v/>
      </c>
      <c r="J199" s="4"/>
      <c r="K199" s="4"/>
      <c r="L199" s="4"/>
      <c r="M199" s="4"/>
      <c r="N199" s="4"/>
    </row>
    <row r="200" spans="1:14" ht="33.950000000000003" customHeight="1">
      <c r="A200" s="4"/>
      <c r="B200" s="4"/>
      <c r="C200" s="4"/>
      <c r="D200" s="4"/>
      <c r="E200" s="4"/>
      <c r="F200" s="4"/>
      <c r="G200" s="4"/>
      <c r="H200" s="4"/>
      <c r="I200" s="8" t="str">
        <f t="shared" si="6"/>
        <v/>
      </c>
      <c r="J200" s="4"/>
      <c r="K200" s="4"/>
      <c r="L200" s="4"/>
      <c r="M200" s="4"/>
      <c r="N200" s="4"/>
    </row>
    <row r="201" spans="1:14" ht="33.950000000000003" customHeight="1">
      <c r="A201" s="4"/>
      <c r="B201" s="4"/>
      <c r="C201" s="4"/>
      <c r="D201" s="4"/>
      <c r="E201" s="4"/>
      <c r="F201" s="4"/>
      <c r="G201" s="4"/>
      <c r="H201" s="4"/>
      <c r="I201" s="8" t="str">
        <f t="shared" si="6"/>
        <v/>
      </c>
      <c r="J201" s="4"/>
      <c r="K201" s="4"/>
      <c r="L201" s="4"/>
      <c r="M201" s="4"/>
      <c r="N201" s="4"/>
    </row>
    <row r="202" spans="1:14" ht="33.950000000000003" customHeight="1">
      <c r="A202" s="4"/>
      <c r="B202" s="4"/>
      <c r="C202" s="4"/>
      <c r="D202" s="4"/>
      <c r="E202" s="4"/>
      <c r="F202" s="4"/>
      <c r="G202" s="4"/>
      <c r="H202" s="4"/>
      <c r="I202" s="8" t="str">
        <f t="shared" si="6"/>
        <v/>
      </c>
      <c r="J202" s="4"/>
      <c r="K202" s="4"/>
      <c r="L202" s="4"/>
      <c r="M202" s="4"/>
      <c r="N202" s="4"/>
    </row>
    <row r="203" spans="1:14" ht="33.950000000000003" customHeight="1">
      <c r="A203" s="4"/>
      <c r="B203" s="4"/>
      <c r="C203" s="4"/>
      <c r="D203" s="4"/>
      <c r="E203" s="4"/>
      <c r="F203" s="4"/>
      <c r="G203" s="4"/>
      <c r="H203" s="4"/>
      <c r="I203" s="8" t="str">
        <f t="shared" si="6"/>
        <v/>
      </c>
      <c r="J203" s="4"/>
      <c r="K203" s="4"/>
      <c r="L203" s="4"/>
      <c r="M203" s="4"/>
      <c r="N203" s="4"/>
    </row>
  </sheetData>
  <mergeCells count="1">
    <mergeCell ref="A1:N1"/>
  </mergeCells>
  <conditionalFormatting sqref="I4:I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G4:H203" xr:uid="{00000000-0002-0000-0300-000001000000}">
      <formula1>"1,2,3,4,5"</formula1>
    </dataValidation>
    <dataValidation type="list" sqref="M4:M203" xr:uid="{00000000-0002-0000-0300-000003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Справочники!$J$4:$J$12</xm:f>
          </x14:formula1>
          <xm:sqref>B4:B203</xm:sqref>
        </x14:dataValidation>
        <x14:dataValidation type="list" xr:uid="{00000000-0002-0000-0300-000002000000}">
          <x14:formula1>
            <xm:f>Справочники!$D$4:$D$12</xm:f>
          </x14:formula1>
          <xm:sqref>K4:K203</xm:sqref>
        </x14:dataValidation>
        <x14:dataValidation type="list" xr:uid="{00000000-0002-0000-0300-000004000000}">
          <x14:formula1>
            <xm:f>Справочники!$J$18:$J$22</xm:f>
          </x14:formula1>
          <xm:sqref>N4:N203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3"/>
  <sheetViews>
    <sheetView workbookViewId="0"/>
  </sheetViews>
  <sheetFormatPr defaultRowHeight="14.25"/>
  <cols>
    <col min="1" max="1" width="14" customWidth="1"/>
    <col min="2" max="2" width="34" customWidth="1"/>
    <col min="3" max="3" width="24" customWidth="1"/>
    <col min="4" max="5" width="22" customWidth="1"/>
    <col min="6" max="7" width="34" customWidth="1"/>
    <col min="8" max="8" width="28" customWidth="1"/>
    <col min="9" max="9" width="48" customWidth="1"/>
    <col min="10" max="10" width="42" customWidth="1"/>
    <col min="11" max="12" width="34" customWidth="1"/>
    <col min="13" max="13" width="26" customWidth="1"/>
    <col min="14" max="17" width="18" customWidth="1"/>
    <col min="18" max="18" width="16" customWidth="1"/>
    <col min="19" max="19" width="18" customWidth="1"/>
    <col min="20" max="20" width="20" customWidth="1"/>
    <col min="21" max="21" width="22" customWidth="1"/>
  </cols>
  <sheetData>
    <row r="1" spans="1:26" ht="30" customHeight="1">
      <c r="A1" s="10" t="s">
        <v>118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2"/>
      <c r="W1" s="2"/>
      <c r="X1" s="2"/>
      <c r="Y1" s="2"/>
      <c r="Z1" s="2"/>
    </row>
    <row r="3" spans="1:26" ht="33.950000000000003" customHeight="1">
      <c r="A3" s="5" t="s">
        <v>119</v>
      </c>
      <c r="B3" s="5" t="s">
        <v>120</v>
      </c>
      <c r="C3" s="5" t="s">
        <v>121</v>
      </c>
      <c r="D3" s="5" t="s">
        <v>6</v>
      </c>
      <c r="E3" s="5" t="s">
        <v>122</v>
      </c>
      <c r="F3" s="5" t="s">
        <v>123</v>
      </c>
      <c r="G3" s="5" t="s">
        <v>124</v>
      </c>
      <c r="H3" s="5" t="s">
        <v>125</v>
      </c>
      <c r="I3" s="5" t="s">
        <v>126</v>
      </c>
      <c r="J3" s="5" t="s">
        <v>127</v>
      </c>
      <c r="K3" s="5" t="s">
        <v>128</v>
      </c>
      <c r="L3" s="5" t="s">
        <v>129</v>
      </c>
      <c r="M3" s="5" t="s">
        <v>78</v>
      </c>
      <c r="N3" s="5" t="s">
        <v>111</v>
      </c>
      <c r="O3" s="5" t="s">
        <v>130</v>
      </c>
      <c r="P3" s="5" t="s">
        <v>131</v>
      </c>
      <c r="Q3" s="5" t="s">
        <v>89</v>
      </c>
      <c r="R3" s="5" t="s">
        <v>132</v>
      </c>
      <c r="S3" s="5" t="s">
        <v>133</v>
      </c>
      <c r="T3" s="5" t="s">
        <v>13</v>
      </c>
      <c r="U3" s="5" t="s">
        <v>134</v>
      </c>
    </row>
    <row r="4" spans="1:26" ht="33.950000000000003" customHeight="1">
      <c r="A4" s="4" t="s">
        <v>135</v>
      </c>
      <c r="B4" s="4" t="s">
        <v>516</v>
      </c>
      <c r="C4" s="4" t="s">
        <v>290</v>
      </c>
      <c r="D4" s="4" t="s">
        <v>144</v>
      </c>
      <c r="E4" s="4" t="s">
        <v>312</v>
      </c>
      <c r="F4" s="4" t="s">
        <v>185</v>
      </c>
      <c r="G4" s="4" t="s">
        <v>517</v>
      </c>
      <c r="H4" s="4" t="s">
        <v>518</v>
      </c>
      <c r="I4" s="4" t="s">
        <v>519</v>
      </c>
      <c r="J4" s="4" t="s">
        <v>520</v>
      </c>
      <c r="K4" s="4" t="s">
        <v>521</v>
      </c>
      <c r="L4" s="4" t="s">
        <v>522</v>
      </c>
      <c r="M4" s="4" t="s">
        <v>417</v>
      </c>
      <c r="N4" s="4">
        <v>4</v>
      </c>
      <c r="O4" s="4">
        <v>4</v>
      </c>
      <c r="P4" s="4">
        <v>2</v>
      </c>
      <c r="Q4" s="4">
        <v>3</v>
      </c>
      <c r="R4" s="7">
        <f t="shared" ref="R4:R35" si="0">IF(A4="","",IFERROR(N4*O4*P4*Q4/20,0))</f>
        <v>4.8</v>
      </c>
      <c r="S4" s="8" t="str">
        <f t="shared" ref="S4:S35" si="1">IF(R4="","",IF(R4&gt;=15,"Критический",IF(R4&gt;=9,"Высокий",IF(R4&gt;=5,"Средний",IF(R4&gt;=2,"Низкий","Отложить")))))</f>
        <v>Низкий</v>
      </c>
      <c r="T4" s="4" t="s">
        <v>97</v>
      </c>
      <c r="U4" s="4" t="s">
        <v>396</v>
      </c>
    </row>
    <row r="5" spans="1:26" ht="33.950000000000003" customHeight="1">
      <c r="A5" s="4" t="s">
        <v>138</v>
      </c>
      <c r="B5" s="4" t="s">
        <v>523</v>
      </c>
      <c r="C5" s="4" t="s">
        <v>290</v>
      </c>
      <c r="D5" s="4" t="s">
        <v>145</v>
      </c>
      <c r="E5" s="4" t="s">
        <v>312</v>
      </c>
      <c r="F5" s="4" t="s">
        <v>185</v>
      </c>
      <c r="G5" s="4" t="s">
        <v>524</v>
      </c>
      <c r="H5" s="4" t="s">
        <v>525</v>
      </c>
      <c r="I5" s="4" t="s">
        <v>526</v>
      </c>
      <c r="J5" s="4" t="s">
        <v>527</v>
      </c>
      <c r="K5" s="4" t="s">
        <v>528</v>
      </c>
      <c r="L5" s="4" t="s">
        <v>529</v>
      </c>
      <c r="M5" s="4" t="s">
        <v>417</v>
      </c>
      <c r="N5" s="4">
        <v>3</v>
      </c>
      <c r="O5" s="4">
        <v>4</v>
      </c>
      <c r="P5" s="4">
        <v>2</v>
      </c>
      <c r="Q5" s="4">
        <v>3</v>
      </c>
      <c r="R5" s="7">
        <f t="shared" si="0"/>
        <v>3.6</v>
      </c>
      <c r="S5" s="8" t="str">
        <f t="shared" si="1"/>
        <v>Низкий</v>
      </c>
      <c r="T5" s="4" t="s">
        <v>97</v>
      </c>
      <c r="U5" s="4" t="s">
        <v>69</v>
      </c>
    </row>
    <row r="6" spans="1:26" ht="33.950000000000003" customHeight="1">
      <c r="A6" s="4" t="s">
        <v>530</v>
      </c>
      <c r="B6" s="4" t="s">
        <v>531</v>
      </c>
      <c r="C6" s="4" t="s">
        <v>96</v>
      </c>
      <c r="D6" s="4" t="s">
        <v>136</v>
      </c>
      <c r="E6" s="4" t="s">
        <v>137</v>
      </c>
      <c r="F6" s="4" t="s">
        <v>532</v>
      </c>
      <c r="G6" s="4" t="s">
        <v>533</v>
      </c>
      <c r="H6" s="4" t="s">
        <v>534</v>
      </c>
      <c r="I6" s="4" t="s">
        <v>535</v>
      </c>
      <c r="J6" s="4" t="s">
        <v>536</v>
      </c>
      <c r="K6" s="4" t="s">
        <v>537</v>
      </c>
      <c r="L6" s="4" t="s">
        <v>538</v>
      </c>
      <c r="M6" s="4" t="s">
        <v>443</v>
      </c>
      <c r="N6" s="4">
        <v>4</v>
      </c>
      <c r="O6" s="4">
        <v>5</v>
      </c>
      <c r="P6" s="4">
        <v>3</v>
      </c>
      <c r="Q6" s="4">
        <v>3</v>
      </c>
      <c r="R6" s="7">
        <f t="shared" si="0"/>
        <v>9</v>
      </c>
      <c r="S6" s="8" t="str">
        <f t="shared" si="1"/>
        <v>Высокий</v>
      </c>
      <c r="T6" s="4" t="s">
        <v>97</v>
      </c>
      <c r="U6" s="4" t="s">
        <v>391</v>
      </c>
    </row>
    <row r="7" spans="1:26" ht="33.950000000000003" customHeight="1">
      <c r="A7" s="4" t="s">
        <v>539</v>
      </c>
      <c r="B7" s="4" t="s">
        <v>540</v>
      </c>
      <c r="C7" s="4" t="s">
        <v>296</v>
      </c>
      <c r="D7" s="4" t="s">
        <v>136</v>
      </c>
      <c r="E7" s="4" t="s">
        <v>137</v>
      </c>
      <c r="F7" s="4" t="s">
        <v>185</v>
      </c>
      <c r="G7" s="4" t="s">
        <v>541</v>
      </c>
      <c r="H7" s="4" t="s">
        <v>542</v>
      </c>
      <c r="I7" s="4" t="s">
        <v>543</v>
      </c>
      <c r="J7" s="4" t="s">
        <v>544</v>
      </c>
      <c r="K7" s="4" t="s">
        <v>545</v>
      </c>
      <c r="L7" s="4" t="s">
        <v>546</v>
      </c>
      <c r="M7" s="4" t="s">
        <v>443</v>
      </c>
      <c r="N7" s="4">
        <v>5</v>
      </c>
      <c r="O7" s="4">
        <v>5</v>
      </c>
      <c r="P7" s="4">
        <v>3</v>
      </c>
      <c r="Q7" s="4">
        <v>3</v>
      </c>
      <c r="R7" s="7">
        <f t="shared" si="0"/>
        <v>11.25</v>
      </c>
      <c r="S7" s="8" t="str">
        <f t="shared" si="1"/>
        <v>Высокий</v>
      </c>
      <c r="T7" s="4" t="s">
        <v>97</v>
      </c>
      <c r="U7" s="4" t="s">
        <v>69</v>
      </c>
    </row>
    <row r="8" spans="1:26" ht="33.950000000000003" customHeight="1">
      <c r="A8" s="4" t="s">
        <v>547</v>
      </c>
      <c r="B8" s="4" t="s">
        <v>548</v>
      </c>
      <c r="C8" s="4" t="s">
        <v>296</v>
      </c>
      <c r="D8" s="4" t="s">
        <v>136</v>
      </c>
      <c r="E8" s="4" t="s">
        <v>137</v>
      </c>
      <c r="F8" s="4" t="s">
        <v>185</v>
      </c>
      <c r="G8" s="4" t="s">
        <v>549</v>
      </c>
      <c r="H8" s="4" t="s">
        <v>550</v>
      </c>
      <c r="I8" s="4" t="s">
        <v>551</v>
      </c>
      <c r="J8" s="4" t="s">
        <v>552</v>
      </c>
      <c r="K8" s="4" t="s">
        <v>553</v>
      </c>
      <c r="L8" s="4" t="s">
        <v>554</v>
      </c>
      <c r="M8" s="4" t="s">
        <v>555</v>
      </c>
      <c r="N8" s="4">
        <v>5</v>
      </c>
      <c r="O8" s="4">
        <v>4</v>
      </c>
      <c r="P8" s="4">
        <v>3</v>
      </c>
      <c r="Q8" s="4">
        <v>4</v>
      </c>
      <c r="R8" s="7">
        <f t="shared" si="0"/>
        <v>12</v>
      </c>
      <c r="S8" s="8" t="str">
        <f t="shared" si="1"/>
        <v>Высокий</v>
      </c>
      <c r="T8" s="4" t="s">
        <v>102</v>
      </c>
      <c r="U8" s="4" t="s">
        <v>402</v>
      </c>
    </row>
    <row r="9" spans="1:26" ht="33.950000000000003" customHeight="1">
      <c r="A9" s="4" t="s">
        <v>556</v>
      </c>
      <c r="B9" s="4" t="s">
        <v>557</v>
      </c>
      <c r="C9" s="4" t="s">
        <v>296</v>
      </c>
      <c r="D9" s="4" t="s">
        <v>148</v>
      </c>
      <c r="E9" s="4" t="s">
        <v>318</v>
      </c>
      <c r="F9" s="4" t="s">
        <v>558</v>
      </c>
      <c r="G9" s="4" t="s">
        <v>559</v>
      </c>
      <c r="H9" s="4" t="s">
        <v>560</v>
      </c>
      <c r="I9" s="4" t="s">
        <v>561</v>
      </c>
      <c r="J9" s="4" t="s">
        <v>562</v>
      </c>
      <c r="K9" s="4" t="s">
        <v>563</v>
      </c>
      <c r="L9" s="4" t="s">
        <v>564</v>
      </c>
      <c r="M9" s="4" t="s">
        <v>565</v>
      </c>
      <c r="N9" s="4">
        <v>3</v>
      </c>
      <c r="O9" s="4">
        <v>4</v>
      </c>
      <c r="P9" s="4">
        <v>3</v>
      </c>
      <c r="Q9" s="4">
        <v>3</v>
      </c>
      <c r="R9" s="7">
        <f t="shared" si="0"/>
        <v>5.4</v>
      </c>
      <c r="S9" s="8" t="str">
        <f t="shared" si="1"/>
        <v>Средний</v>
      </c>
      <c r="T9" s="4" t="s">
        <v>97</v>
      </c>
      <c r="U9" s="4" t="s">
        <v>402</v>
      </c>
    </row>
    <row r="10" spans="1:26" ht="33.950000000000003" customHeight="1">
      <c r="A10" s="4" t="s">
        <v>425</v>
      </c>
      <c r="B10" s="4" t="s">
        <v>566</v>
      </c>
      <c r="C10" s="4" t="s">
        <v>139</v>
      </c>
      <c r="D10" s="4" t="s">
        <v>140</v>
      </c>
      <c r="E10" s="4" t="s">
        <v>141</v>
      </c>
      <c r="F10" s="4" t="s">
        <v>188</v>
      </c>
      <c r="G10" s="4" t="s">
        <v>567</v>
      </c>
      <c r="H10" s="4" t="s">
        <v>568</v>
      </c>
      <c r="I10" s="4" t="s">
        <v>569</v>
      </c>
      <c r="J10" s="4" t="s">
        <v>570</v>
      </c>
      <c r="K10" s="4" t="s">
        <v>571</v>
      </c>
      <c r="L10" s="4" t="s">
        <v>572</v>
      </c>
      <c r="M10" s="4" t="s">
        <v>573</v>
      </c>
      <c r="N10" s="4">
        <v>3</v>
      </c>
      <c r="O10" s="4">
        <v>4</v>
      </c>
      <c r="P10" s="4">
        <v>5</v>
      </c>
      <c r="Q10" s="4">
        <v>2</v>
      </c>
      <c r="R10" s="7">
        <f t="shared" si="0"/>
        <v>6</v>
      </c>
      <c r="S10" s="8" t="str">
        <f t="shared" si="1"/>
        <v>Средний</v>
      </c>
      <c r="T10" s="4" t="s">
        <v>97</v>
      </c>
      <c r="U10" s="4" t="s">
        <v>75</v>
      </c>
    </row>
    <row r="11" spans="1:26" ht="33.950000000000003" customHeight="1">
      <c r="A11" s="4" t="s">
        <v>574</v>
      </c>
      <c r="B11" s="4" t="s">
        <v>575</v>
      </c>
      <c r="C11" s="4" t="s">
        <v>296</v>
      </c>
      <c r="D11" s="4" t="s">
        <v>149</v>
      </c>
      <c r="E11" s="4" t="s">
        <v>314</v>
      </c>
      <c r="F11" s="4" t="s">
        <v>576</v>
      </c>
      <c r="G11" s="4" t="s">
        <v>577</v>
      </c>
      <c r="H11" s="4" t="s">
        <v>578</v>
      </c>
      <c r="I11" s="4" t="s">
        <v>579</v>
      </c>
      <c r="J11" s="4" t="s">
        <v>580</v>
      </c>
      <c r="K11" s="4" t="s">
        <v>581</v>
      </c>
      <c r="L11" s="4" t="s">
        <v>582</v>
      </c>
      <c r="M11" s="4" t="s">
        <v>417</v>
      </c>
      <c r="N11" s="4">
        <v>5</v>
      </c>
      <c r="O11" s="4">
        <v>4</v>
      </c>
      <c r="P11" s="4">
        <v>2</v>
      </c>
      <c r="Q11" s="4">
        <v>3</v>
      </c>
      <c r="R11" s="7">
        <f t="shared" si="0"/>
        <v>6</v>
      </c>
      <c r="S11" s="8" t="str">
        <f t="shared" si="1"/>
        <v>Средний</v>
      </c>
      <c r="T11" s="4" t="s">
        <v>97</v>
      </c>
      <c r="U11" s="4" t="s">
        <v>72</v>
      </c>
    </row>
    <row r="12" spans="1:26" ht="33.950000000000003" customHeight="1">
      <c r="A12" s="4" t="s">
        <v>583</v>
      </c>
      <c r="B12" s="4" t="s">
        <v>584</v>
      </c>
      <c r="C12" s="4" t="s">
        <v>96</v>
      </c>
      <c r="D12" s="4" t="s">
        <v>149</v>
      </c>
      <c r="E12" s="4" t="s">
        <v>314</v>
      </c>
      <c r="F12" s="4" t="s">
        <v>532</v>
      </c>
      <c r="G12" s="4" t="s">
        <v>585</v>
      </c>
      <c r="H12" s="4" t="s">
        <v>586</v>
      </c>
      <c r="I12" s="4" t="s">
        <v>587</v>
      </c>
      <c r="J12" s="4" t="s">
        <v>588</v>
      </c>
      <c r="K12" s="4" t="s">
        <v>589</v>
      </c>
      <c r="L12" s="4" t="s">
        <v>538</v>
      </c>
      <c r="M12" s="4" t="s">
        <v>417</v>
      </c>
      <c r="N12" s="4">
        <v>4</v>
      </c>
      <c r="O12" s="4">
        <v>3</v>
      </c>
      <c r="P12" s="4">
        <v>1</v>
      </c>
      <c r="Q12" s="4">
        <v>3</v>
      </c>
      <c r="R12" s="7">
        <f t="shared" si="0"/>
        <v>1.8</v>
      </c>
      <c r="S12" s="8" t="str">
        <f t="shared" si="1"/>
        <v>Отложить</v>
      </c>
      <c r="T12" s="4" t="s">
        <v>97</v>
      </c>
      <c r="U12" s="4" t="s">
        <v>402</v>
      </c>
    </row>
    <row r="13" spans="1:26" ht="33.950000000000003" customHeight="1">
      <c r="A13" s="4" t="s">
        <v>590</v>
      </c>
      <c r="B13" s="4" t="s">
        <v>591</v>
      </c>
      <c r="C13" s="4" t="s">
        <v>296</v>
      </c>
      <c r="D13" s="4" t="s">
        <v>136</v>
      </c>
      <c r="E13" s="4" t="s">
        <v>137</v>
      </c>
      <c r="F13" s="4" t="s">
        <v>532</v>
      </c>
      <c r="G13" s="4" t="s">
        <v>592</v>
      </c>
      <c r="H13" s="4" t="s">
        <v>593</v>
      </c>
      <c r="I13" s="4" t="s">
        <v>594</v>
      </c>
      <c r="J13" s="4" t="s">
        <v>595</v>
      </c>
      <c r="K13" s="4" t="s">
        <v>596</v>
      </c>
      <c r="L13" s="4" t="s">
        <v>597</v>
      </c>
      <c r="M13" s="4" t="s">
        <v>598</v>
      </c>
      <c r="N13" s="4">
        <v>3</v>
      </c>
      <c r="O13" s="4">
        <v>3</v>
      </c>
      <c r="P13" s="4">
        <v>3</v>
      </c>
      <c r="Q13" s="4">
        <v>2</v>
      </c>
      <c r="R13" s="7">
        <f t="shared" si="0"/>
        <v>2.7</v>
      </c>
      <c r="S13" s="8" t="str">
        <f t="shared" si="1"/>
        <v>Низкий</v>
      </c>
      <c r="T13" s="4" t="s">
        <v>97</v>
      </c>
      <c r="U13" s="4" t="s">
        <v>402</v>
      </c>
    </row>
    <row r="14" spans="1:26" ht="33.950000000000003" customHeight="1">
      <c r="A14" s="4" t="s">
        <v>599</v>
      </c>
      <c r="B14" s="4" t="s">
        <v>600</v>
      </c>
      <c r="C14" s="4" t="s">
        <v>308</v>
      </c>
      <c r="D14" s="4" t="s">
        <v>149</v>
      </c>
      <c r="E14" s="4" t="s">
        <v>316</v>
      </c>
      <c r="F14" s="4" t="s">
        <v>532</v>
      </c>
      <c r="G14" s="4" t="s">
        <v>601</v>
      </c>
      <c r="H14" s="4" t="s">
        <v>602</v>
      </c>
      <c r="I14" s="4" t="s">
        <v>603</v>
      </c>
      <c r="J14" s="4" t="s">
        <v>604</v>
      </c>
      <c r="K14" s="4" t="s">
        <v>605</v>
      </c>
      <c r="L14" s="4" t="s">
        <v>606</v>
      </c>
      <c r="M14" s="4" t="s">
        <v>417</v>
      </c>
      <c r="N14" s="4">
        <v>2</v>
      </c>
      <c r="O14" s="4">
        <v>3</v>
      </c>
      <c r="P14" s="4">
        <v>1</v>
      </c>
      <c r="Q14" s="4">
        <v>3</v>
      </c>
      <c r="R14" s="7">
        <f t="shared" si="0"/>
        <v>0.9</v>
      </c>
      <c r="S14" s="8" t="str">
        <f t="shared" si="1"/>
        <v>Отложить</v>
      </c>
      <c r="T14" s="4" t="s">
        <v>315</v>
      </c>
      <c r="U14" s="4" t="s">
        <v>420</v>
      </c>
    </row>
    <row r="15" spans="1:26" ht="33.950000000000003" customHeight="1">
      <c r="A15" s="4" t="s">
        <v>607</v>
      </c>
      <c r="B15" s="4" t="s">
        <v>608</v>
      </c>
      <c r="C15" s="4" t="s">
        <v>305</v>
      </c>
      <c r="D15" s="4" t="s">
        <v>320</v>
      </c>
      <c r="E15" s="4" t="s">
        <v>319</v>
      </c>
      <c r="F15" s="4" t="s">
        <v>609</v>
      </c>
      <c r="G15" s="4" t="s">
        <v>610</v>
      </c>
      <c r="H15" s="4" t="s">
        <v>611</v>
      </c>
      <c r="I15" s="4" t="s">
        <v>612</v>
      </c>
      <c r="J15" s="4" t="s">
        <v>613</v>
      </c>
      <c r="K15" s="4" t="s">
        <v>614</v>
      </c>
      <c r="L15" s="4" t="s">
        <v>615</v>
      </c>
      <c r="M15" s="4" t="s">
        <v>616</v>
      </c>
      <c r="N15" s="4">
        <v>2</v>
      </c>
      <c r="O15" s="4">
        <v>3</v>
      </c>
      <c r="P15" s="4">
        <v>3</v>
      </c>
      <c r="Q15" s="4">
        <v>1</v>
      </c>
      <c r="R15" s="7">
        <f t="shared" si="0"/>
        <v>0.9</v>
      </c>
      <c r="S15" s="8" t="str">
        <f t="shared" si="1"/>
        <v>Отложить</v>
      </c>
      <c r="T15" s="4" t="s">
        <v>311</v>
      </c>
      <c r="U15" s="4" t="s">
        <v>408</v>
      </c>
    </row>
    <row r="16" spans="1:26" ht="33.950000000000003" customHeight="1">
      <c r="A16" s="4" t="s">
        <v>617</v>
      </c>
      <c r="B16" s="4" t="s">
        <v>618</v>
      </c>
      <c r="C16" s="4" t="s">
        <v>296</v>
      </c>
      <c r="D16" s="4" t="s">
        <v>150</v>
      </c>
      <c r="E16" s="4" t="s">
        <v>318</v>
      </c>
      <c r="F16" s="4" t="s">
        <v>558</v>
      </c>
      <c r="G16" s="4" t="s">
        <v>619</v>
      </c>
      <c r="H16" s="4" t="s">
        <v>620</v>
      </c>
      <c r="I16" s="4" t="s">
        <v>621</v>
      </c>
      <c r="J16" s="4" t="s">
        <v>622</v>
      </c>
      <c r="K16" s="4" t="s">
        <v>623</v>
      </c>
      <c r="L16" s="4" t="s">
        <v>150</v>
      </c>
      <c r="M16" s="4" t="s">
        <v>624</v>
      </c>
      <c r="N16" s="4">
        <v>3</v>
      </c>
      <c r="O16" s="4">
        <v>3</v>
      </c>
      <c r="P16" s="4">
        <v>2</v>
      </c>
      <c r="Q16" s="4">
        <v>3</v>
      </c>
      <c r="R16" s="7">
        <f t="shared" si="0"/>
        <v>2.7</v>
      </c>
      <c r="S16" s="8" t="str">
        <f t="shared" si="1"/>
        <v>Низкий</v>
      </c>
      <c r="T16" s="4" t="s">
        <v>97</v>
      </c>
      <c r="U16" s="4" t="s">
        <v>402</v>
      </c>
    </row>
    <row r="17" spans="1:21" ht="33.950000000000003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7" t="str">
        <f t="shared" si="0"/>
        <v/>
      </c>
      <c r="S17" s="8" t="str">
        <f t="shared" si="1"/>
        <v/>
      </c>
      <c r="T17" s="4"/>
      <c r="U17" s="4"/>
    </row>
    <row r="18" spans="1:21" ht="33.950000000000003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7" t="str">
        <f t="shared" si="0"/>
        <v/>
      </c>
      <c r="S18" s="8" t="str">
        <f t="shared" si="1"/>
        <v/>
      </c>
      <c r="T18" s="4"/>
      <c r="U18" s="4"/>
    </row>
    <row r="19" spans="1:21" ht="33.950000000000003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7" t="str">
        <f t="shared" si="0"/>
        <v/>
      </c>
      <c r="S19" s="8" t="str">
        <f t="shared" si="1"/>
        <v/>
      </c>
      <c r="T19" s="4"/>
      <c r="U19" s="4"/>
    </row>
    <row r="20" spans="1:21" ht="33.950000000000003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7" t="str">
        <f t="shared" si="0"/>
        <v/>
      </c>
      <c r="S20" s="8" t="str">
        <f t="shared" si="1"/>
        <v/>
      </c>
      <c r="T20" s="4"/>
      <c r="U20" s="4"/>
    </row>
    <row r="21" spans="1:21" ht="33.950000000000003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7" t="str">
        <f t="shared" si="0"/>
        <v/>
      </c>
      <c r="S21" s="8" t="str">
        <f t="shared" si="1"/>
        <v/>
      </c>
      <c r="T21" s="4"/>
      <c r="U21" s="4"/>
    </row>
    <row r="22" spans="1:21" ht="33.950000000000003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7" t="str">
        <f t="shared" si="0"/>
        <v/>
      </c>
      <c r="S22" s="8" t="str">
        <f t="shared" si="1"/>
        <v/>
      </c>
      <c r="T22" s="4"/>
      <c r="U22" s="4"/>
    </row>
    <row r="23" spans="1:21" ht="33.950000000000003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7" t="str">
        <f t="shared" si="0"/>
        <v/>
      </c>
      <c r="S23" s="8" t="str">
        <f t="shared" si="1"/>
        <v/>
      </c>
      <c r="T23" s="4"/>
      <c r="U23" s="4"/>
    </row>
    <row r="24" spans="1:21" ht="33.950000000000003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7" t="str">
        <f t="shared" si="0"/>
        <v/>
      </c>
      <c r="S24" s="8" t="str">
        <f t="shared" si="1"/>
        <v/>
      </c>
      <c r="T24" s="4"/>
      <c r="U24" s="4"/>
    </row>
    <row r="25" spans="1:21" ht="33.950000000000003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7" t="str">
        <f t="shared" si="0"/>
        <v/>
      </c>
      <c r="S25" s="8" t="str">
        <f t="shared" si="1"/>
        <v/>
      </c>
      <c r="T25" s="4"/>
      <c r="U25" s="4"/>
    </row>
    <row r="26" spans="1:21" ht="33.950000000000003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7" t="str">
        <f t="shared" si="0"/>
        <v/>
      </c>
      <c r="S26" s="8" t="str">
        <f t="shared" si="1"/>
        <v/>
      </c>
      <c r="T26" s="4"/>
      <c r="U26" s="4"/>
    </row>
    <row r="27" spans="1:21" ht="33.950000000000003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7" t="str">
        <f t="shared" si="0"/>
        <v/>
      </c>
      <c r="S27" s="8" t="str">
        <f t="shared" si="1"/>
        <v/>
      </c>
      <c r="T27" s="4"/>
      <c r="U27" s="4"/>
    </row>
    <row r="28" spans="1:21" ht="33.950000000000003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7" t="str">
        <f t="shared" si="0"/>
        <v/>
      </c>
      <c r="S28" s="8" t="str">
        <f t="shared" si="1"/>
        <v/>
      </c>
      <c r="T28" s="4"/>
      <c r="U28" s="4"/>
    </row>
    <row r="29" spans="1:21" ht="33.950000000000003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7" t="str">
        <f t="shared" si="0"/>
        <v/>
      </c>
      <c r="S29" s="8" t="str">
        <f t="shared" si="1"/>
        <v/>
      </c>
      <c r="T29" s="4"/>
      <c r="U29" s="4"/>
    </row>
    <row r="30" spans="1:21" ht="33.950000000000003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7" t="str">
        <f t="shared" si="0"/>
        <v/>
      </c>
      <c r="S30" s="8" t="str">
        <f t="shared" si="1"/>
        <v/>
      </c>
      <c r="T30" s="4"/>
      <c r="U30" s="4"/>
    </row>
    <row r="31" spans="1:21" ht="33.950000000000003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7" t="str">
        <f t="shared" si="0"/>
        <v/>
      </c>
      <c r="S31" s="8" t="str">
        <f t="shared" si="1"/>
        <v/>
      </c>
      <c r="T31" s="4"/>
      <c r="U31" s="4"/>
    </row>
    <row r="32" spans="1:21" ht="33.950000000000003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7" t="str">
        <f t="shared" si="0"/>
        <v/>
      </c>
      <c r="S32" s="8" t="str">
        <f t="shared" si="1"/>
        <v/>
      </c>
      <c r="T32" s="4"/>
      <c r="U32" s="4"/>
    </row>
    <row r="33" spans="1:21" ht="33.950000000000003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7" t="str">
        <f t="shared" si="0"/>
        <v/>
      </c>
      <c r="S33" s="8" t="str">
        <f t="shared" si="1"/>
        <v/>
      </c>
      <c r="T33" s="4"/>
      <c r="U33" s="4"/>
    </row>
    <row r="34" spans="1:21" ht="33.950000000000003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7" t="str">
        <f t="shared" si="0"/>
        <v/>
      </c>
      <c r="S34" s="8" t="str">
        <f t="shared" si="1"/>
        <v/>
      </c>
      <c r="T34" s="4"/>
      <c r="U34" s="4"/>
    </row>
    <row r="35" spans="1:21" ht="33.950000000000003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7" t="str">
        <f t="shared" si="0"/>
        <v/>
      </c>
      <c r="S35" s="8" t="str">
        <f t="shared" si="1"/>
        <v/>
      </c>
      <c r="T35" s="4"/>
      <c r="U35" s="4"/>
    </row>
    <row r="36" spans="1:21" ht="33.950000000000003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7" t="str">
        <f t="shared" ref="R36:R67" si="2">IF(A36="","",IFERROR(N36*O36*P36*Q36/20,0))</f>
        <v/>
      </c>
      <c r="S36" s="8" t="str">
        <f t="shared" ref="S36:S67" si="3">IF(R36="","",IF(R36&gt;=15,"Критический",IF(R36&gt;=9,"Высокий",IF(R36&gt;=5,"Средний",IF(R36&gt;=2,"Низкий","Отложить")))))</f>
        <v/>
      </c>
      <c r="T36" s="4"/>
      <c r="U36" s="4"/>
    </row>
    <row r="37" spans="1:21" ht="33.950000000000003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7" t="str">
        <f t="shared" si="2"/>
        <v/>
      </c>
      <c r="S37" s="8" t="str">
        <f t="shared" si="3"/>
        <v/>
      </c>
      <c r="T37" s="4"/>
      <c r="U37" s="4"/>
    </row>
    <row r="38" spans="1:21" ht="33.950000000000003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7" t="str">
        <f t="shared" si="2"/>
        <v/>
      </c>
      <c r="S38" s="8" t="str">
        <f t="shared" si="3"/>
        <v/>
      </c>
      <c r="T38" s="4"/>
      <c r="U38" s="4"/>
    </row>
    <row r="39" spans="1:21" ht="33.950000000000003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7" t="str">
        <f t="shared" si="2"/>
        <v/>
      </c>
      <c r="S39" s="8" t="str">
        <f t="shared" si="3"/>
        <v/>
      </c>
      <c r="T39" s="4"/>
      <c r="U39" s="4"/>
    </row>
    <row r="40" spans="1:21" ht="33.950000000000003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7" t="str">
        <f t="shared" si="2"/>
        <v/>
      </c>
      <c r="S40" s="8" t="str">
        <f t="shared" si="3"/>
        <v/>
      </c>
      <c r="T40" s="4"/>
      <c r="U40" s="4"/>
    </row>
    <row r="41" spans="1:21" ht="33.950000000000003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7" t="str">
        <f t="shared" si="2"/>
        <v/>
      </c>
      <c r="S41" s="8" t="str">
        <f t="shared" si="3"/>
        <v/>
      </c>
      <c r="T41" s="4"/>
      <c r="U41" s="4"/>
    </row>
    <row r="42" spans="1:21" ht="33.950000000000003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7" t="str">
        <f t="shared" si="2"/>
        <v/>
      </c>
      <c r="S42" s="8" t="str">
        <f t="shared" si="3"/>
        <v/>
      </c>
      <c r="T42" s="4"/>
      <c r="U42" s="4"/>
    </row>
    <row r="43" spans="1:21" ht="33.950000000000003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7" t="str">
        <f t="shared" si="2"/>
        <v/>
      </c>
      <c r="S43" s="8" t="str">
        <f t="shared" si="3"/>
        <v/>
      </c>
      <c r="T43" s="4"/>
      <c r="U43" s="4"/>
    </row>
    <row r="44" spans="1:21" ht="33.950000000000003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7" t="str">
        <f t="shared" si="2"/>
        <v/>
      </c>
      <c r="S44" s="8" t="str">
        <f t="shared" si="3"/>
        <v/>
      </c>
      <c r="T44" s="4"/>
      <c r="U44" s="4"/>
    </row>
    <row r="45" spans="1:21" ht="33.950000000000003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7" t="str">
        <f t="shared" si="2"/>
        <v/>
      </c>
      <c r="S45" s="8" t="str">
        <f t="shared" si="3"/>
        <v/>
      </c>
      <c r="T45" s="4"/>
      <c r="U45" s="4"/>
    </row>
    <row r="46" spans="1:21" ht="33.950000000000003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7" t="str">
        <f t="shared" si="2"/>
        <v/>
      </c>
      <c r="S46" s="8" t="str">
        <f t="shared" si="3"/>
        <v/>
      </c>
      <c r="T46" s="4"/>
      <c r="U46" s="4"/>
    </row>
    <row r="47" spans="1:21" ht="33.950000000000003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7" t="str">
        <f t="shared" si="2"/>
        <v/>
      </c>
      <c r="S47" s="8" t="str">
        <f t="shared" si="3"/>
        <v/>
      </c>
      <c r="T47" s="4"/>
      <c r="U47" s="4"/>
    </row>
    <row r="48" spans="1:21" ht="33.950000000000003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7" t="str">
        <f t="shared" si="2"/>
        <v/>
      </c>
      <c r="S48" s="8" t="str">
        <f t="shared" si="3"/>
        <v/>
      </c>
      <c r="T48" s="4"/>
      <c r="U48" s="4"/>
    </row>
    <row r="49" spans="1:21" ht="33.950000000000003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7" t="str">
        <f t="shared" si="2"/>
        <v/>
      </c>
      <c r="S49" s="8" t="str">
        <f t="shared" si="3"/>
        <v/>
      </c>
      <c r="T49" s="4"/>
      <c r="U49" s="4"/>
    </row>
    <row r="50" spans="1:21" ht="33.950000000000003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7" t="str">
        <f t="shared" si="2"/>
        <v/>
      </c>
      <c r="S50" s="8" t="str">
        <f t="shared" si="3"/>
        <v/>
      </c>
      <c r="T50" s="4"/>
      <c r="U50" s="4"/>
    </row>
    <row r="51" spans="1:21" ht="33.950000000000003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7" t="str">
        <f t="shared" si="2"/>
        <v/>
      </c>
      <c r="S51" s="8" t="str">
        <f t="shared" si="3"/>
        <v/>
      </c>
      <c r="T51" s="4"/>
      <c r="U51" s="4"/>
    </row>
    <row r="52" spans="1:21" ht="33.950000000000003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7" t="str">
        <f t="shared" si="2"/>
        <v/>
      </c>
      <c r="S52" s="8" t="str">
        <f t="shared" si="3"/>
        <v/>
      </c>
      <c r="T52" s="4"/>
      <c r="U52" s="4"/>
    </row>
    <row r="53" spans="1:21" ht="33.950000000000003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7" t="str">
        <f t="shared" si="2"/>
        <v/>
      </c>
      <c r="S53" s="8" t="str">
        <f t="shared" si="3"/>
        <v/>
      </c>
      <c r="T53" s="4"/>
      <c r="U53" s="4"/>
    </row>
    <row r="54" spans="1:21" ht="33.950000000000003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7" t="str">
        <f t="shared" si="2"/>
        <v/>
      </c>
      <c r="S54" s="8" t="str">
        <f t="shared" si="3"/>
        <v/>
      </c>
      <c r="T54" s="4"/>
      <c r="U54" s="4"/>
    </row>
    <row r="55" spans="1:21" ht="33.950000000000003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7" t="str">
        <f t="shared" si="2"/>
        <v/>
      </c>
      <c r="S55" s="8" t="str">
        <f t="shared" si="3"/>
        <v/>
      </c>
      <c r="T55" s="4"/>
      <c r="U55" s="4"/>
    </row>
    <row r="56" spans="1:21" ht="33.950000000000003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7" t="str">
        <f t="shared" si="2"/>
        <v/>
      </c>
      <c r="S56" s="8" t="str">
        <f t="shared" si="3"/>
        <v/>
      </c>
      <c r="T56" s="4"/>
      <c r="U56" s="4"/>
    </row>
    <row r="57" spans="1:21" ht="33.950000000000003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7" t="str">
        <f t="shared" si="2"/>
        <v/>
      </c>
      <c r="S57" s="8" t="str">
        <f t="shared" si="3"/>
        <v/>
      </c>
      <c r="T57" s="4"/>
      <c r="U57" s="4"/>
    </row>
    <row r="58" spans="1:21" ht="33.950000000000003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7" t="str">
        <f t="shared" si="2"/>
        <v/>
      </c>
      <c r="S58" s="8" t="str">
        <f t="shared" si="3"/>
        <v/>
      </c>
      <c r="T58" s="4"/>
      <c r="U58" s="4"/>
    </row>
    <row r="59" spans="1:21" ht="33.950000000000003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7" t="str">
        <f t="shared" si="2"/>
        <v/>
      </c>
      <c r="S59" s="8" t="str">
        <f t="shared" si="3"/>
        <v/>
      </c>
      <c r="T59" s="4"/>
      <c r="U59" s="4"/>
    </row>
    <row r="60" spans="1:21" ht="33.950000000000003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7" t="str">
        <f t="shared" si="2"/>
        <v/>
      </c>
      <c r="S60" s="8" t="str">
        <f t="shared" si="3"/>
        <v/>
      </c>
      <c r="T60" s="4"/>
      <c r="U60" s="4"/>
    </row>
    <row r="61" spans="1:21" ht="33.950000000000003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7" t="str">
        <f t="shared" si="2"/>
        <v/>
      </c>
      <c r="S61" s="8" t="str">
        <f t="shared" si="3"/>
        <v/>
      </c>
      <c r="T61" s="4"/>
      <c r="U61" s="4"/>
    </row>
    <row r="62" spans="1:21" ht="33.950000000000003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7" t="str">
        <f t="shared" si="2"/>
        <v/>
      </c>
      <c r="S62" s="8" t="str">
        <f t="shared" si="3"/>
        <v/>
      </c>
      <c r="T62" s="4"/>
      <c r="U62" s="4"/>
    </row>
    <row r="63" spans="1:21" ht="33.950000000000003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7" t="str">
        <f t="shared" si="2"/>
        <v/>
      </c>
      <c r="S63" s="8" t="str">
        <f t="shared" si="3"/>
        <v/>
      </c>
      <c r="T63" s="4"/>
      <c r="U63" s="4"/>
    </row>
    <row r="64" spans="1:21" ht="33.950000000000003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7" t="str">
        <f t="shared" si="2"/>
        <v/>
      </c>
      <c r="S64" s="8" t="str">
        <f t="shared" si="3"/>
        <v/>
      </c>
      <c r="T64" s="4"/>
      <c r="U64" s="4"/>
    </row>
    <row r="65" spans="1:21" ht="33.950000000000003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7" t="str">
        <f t="shared" si="2"/>
        <v/>
      </c>
      <c r="S65" s="8" t="str">
        <f t="shared" si="3"/>
        <v/>
      </c>
      <c r="T65" s="4"/>
      <c r="U65" s="4"/>
    </row>
    <row r="66" spans="1:21" ht="33.950000000000003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7" t="str">
        <f t="shared" si="2"/>
        <v/>
      </c>
      <c r="S66" s="8" t="str">
        <f t="shared" si="3"/>
        <v/>
      </c>
      <c r="T66" s="4"/>
      <c r="U66" s="4"/>
    </row>
    <row r="67" spans="1:21" ht="33.950000000000003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7" t="str">
        <f t="shared" si="2"/>
        <v/>
      </c>
      <c r="S67" s="8" t="str">
        <f t="shared" si="3"/>
        <v/>
      </c>
      <c r="T67" s="4"/>
      <c r="U67" s="4"/>
    </row>
    <row r="68" spans="1:21" ht="33.950000000000003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7" t="str">
        <f t="shared" ref="R68:R99" si="4">IF(A68="","",IFERROR(N68*O68*P68*Q68/20,0))</f>
        <v/>
      </c>
      <c r="S68" s="8" t="str">
        <f t="shared" ref="S68:S99" si="5">IF(R68="","",IF(R68&gt;=15,"Критический",IF(R68&gt;=9,"Высокий",IF(R68&gt;=5,"Средний",IF(R68&gt;=2,"Низкий","Отложить")))))</f>
        <v/>
      </c>
      <c r="T68" s="4"/>
      <c r="U68" s="4"/>
    </row>
    <row r="69" spans="1:21" ht="33.950000000000003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7" t="str">
        <f t="shared" si="4"/>
        <v/>
      </c>
      <c r="S69" s="8" t="str">
        <f t="shared" si="5"/>
        <v/>
      </c>
      <c r="T69" s="4"/>
      <c r="U69" s="4"/>
    </row>
    <row r="70" spans="1:21" ht="33.950000000000003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7" t="str">
        <f t="shared" si="4"/>
        <v/>
      </c>
      <c r="S70" s="8" t="str">
        <f t="shared" si="5"/>
        <v/>
      </c>
      <c r="T70" s="4"/>
      <c r="U70" s="4"/>
    </row>
    <row r="71" spans="1:21" ht="33.950000000000003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7" t="str">
        <f t="shared" si="4"/>
        <v/>
      </c>
      <c r="S71" s="8" t="str">
        <f t="shared" si="5"/>
        <v/>
      </c>
      <c r="T71" s="4"/>
      <c r="U71" s="4"/>
    </row>
    <row r="72" spans="1:21" ht="33.950000000000003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7" t="str">
        <f t="shared" si="4"/>
        <v/>
      </c>
      <c r="S72" s="8" t="str">
        <f t="shared" si="5"/>
        <v/>
      </c>
      <c r="T72" s="4"/>
      <c r="U72" s="4"/>
    </row>
    <row r="73" spans="1:21" ht="33.950000000000003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7" t="str">
        <f t="shared" si="4"/>
        <v/>
      </c>
      <c r="S73" s="8" t="str">
        <f t="shared" si="5"/>
        <v/>
      </c>
      <c r="T73" s="4"/>
      <c r="U73" s="4"/>
    </row>
    <row r="74" spans="1:21" ht="33.950000000000003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7" t="str">
        <f t="shared" si="4"/>
        <v/>
      </c>
      <c r="S74" s="8" t="str">
        <f t="shared" si="5"/>
        <v/>
      </c>
      <c r="T74" s="4"/>
      <c r="U74" s="4"/>
    </row>
    <row r="75" spans="1:21" ht="33.950000000000003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7" t="str">
        <f t="shared" si="4"/>
        <v/>
      </c>
      <c r="S75" s="8" t="str">
        <f t="shared" si="5"/>
        <v/>
      </c>
      <c r="T75" s="4"/>
      <c r="U75" s="4"/>
    </row>
    <row r="76" spans="1:21" ht="33.950000000000003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7" t="str">
        <f t="shared" si="4"/>
        <v/>
      </c>
      <c r="S76" s="8" t="str">
        <f t="shared" si="5"/>
        <v/>
      </c>
      <c r="T76" s="4"/>
      <c r="U76" s="4"/>
    </row>
    <row r="77" spans="1:21" ht="33.950000000000003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7" t="str">
        <f t="shared" si="4"/>
        <v/>
      </c>
      <c r="S77" s="8" t="str">
        <f t="shared" si="5"/>
        <v/>
      </c>
      <c r="T77" s="4"/>
      <c r="U77" s="4"/>
    </row>
    <row r="78" spans="1:21" ht="33.950000000000003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7" t="str">
        <f t="shared" si="4"/>
        <v/>
      </c>
      <c r="S78" s="8" t="str">
        <f t="shared" si="5"/>
        <v/>
      </c>
      <c r="T78" s="4"/>
      <c r="U78" s="4"/>
    </row>
    <row r="79" spans="1:21" ht="33.950000000000003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7" t="str">
        <f t="shared" si="4"/>
        <v/>
      </c>
      <c r="S79" s="8" t="str">
        <f t="shared" si="5"/>
        <v/>
      </c>
      <c r="T79" s="4"/>
      <c r="U79" s="4"/>
    </row>
    <row r="80" spans="1:21" ht="33.950000000000003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7" t="str">
        <f t="shared" si="4"/>
        <v/>
      </c>
      <c r="S80" s="8" t="str">
        <f t="shared" si="5"/>
        <v/>
      </c>
      <c r="T80" s="4"/>
      <c r="U80" s="4"/>
    </row>
    <row r="81" spans="1:21" ht="33.950000000000003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7" t="str">
        <f t="shared" si="4"/>
        <v/>
      </c>
      <c r="S81" s="8" t="str">
        <f t="shared" si="5"/>
        <v/>
      </c>
      <c r="T81" s="4"/>
      <c r="U81" s="4"/>
    </row>
    <row r="82" spans="1:21" ht="33.950000000000003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7" t="str">
        <f t="shared" si="4"/>
        <v/>
      </c>
      <c r="S82" s="8" t="str">
        <f t="shared" si="5"/>
        <v/>
      </c>
      <c r="T82" s="4"/>
      <c r="U82" s="4"/>
    </row>
    <row r="83" spans="1:21" ht="33.950000000000003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7" t="str">
        <f t="shared" si="4"/>
        <v/>
      </c>
      <c r="S83" s="8" t="str">
        <f t="shared" si="5"/>
        <v/>
      </c>
      <c r="T83" s="4"/>
      <c r="U83" s="4"/>
    </row>
    <row r="84" spans="1:21" ht="33.950000000000003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7" t="str">
        <f t="shared" si="4"/>
        <v/>
      </c>
      <c r="S84" s="8" t="str">
        <f t="shared" si="5"/>
        <v/>
      </c>
      <c r="T84" s="4"/>
      <c r="U84" s="4"/>
    </row>
    <row r="85" spans="1:21" ht="33.950000000000003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7" t="str">
        <f t="shared" si="4"/>
        <v/>
      </c>
      <c r="S85" s="8" t="str">
        <f t="shared" si="5"/>
        <v/>
      </c>
      <c r="T85" s="4"/>
      <c r="U85" s="4"/>
    </row>
    <row r="86" spans="1:21" ht="33.950000000000003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7" t="str">
        <f t="shared" si="4"/>
        <v/>
      </c>
      <c r="S86" s="8" t="str">
        <f t="shared" si="5"/>
        <v/>
      </c>
      <c r="T86" s="4"/>
      <c r="U86" s="4"/>
    </row>
    <row r="87" spans="1:21" ht="33.950000000000003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7" t="str">
        <f t="shared" si="4"/>
        <v/>
      </c>
      <c r="S87" s="8" t="str">
        <f t="shared" si="5"/>
        <v/>
      </c>
      <c r="T87" s="4"/>
      <c r="U87" s="4"/>
    </row>
    <row r="88" spans="1:21" ht="33.950000000000003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7" t="str">
        <f t="shared" si="4"/>
        <v/>
      </c>
      <c r="S88" s="8" t="str">
        <f t="shared" si="5"/>
        <v/>
      </c>
      <c r="T88" s="4"/>
      <c r="U88" s="4"/>
    </row>
    <row r="89" spans="1:21" ht="33.950000000000003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7" t="str">
        <f t="shared" si="4"/>
        <v/>
      </c>
      <c r="S89" s="8" t="str">
        <f t="shared" si="5"/>
        <v/>
      </c>
      <c r="T89" s="4"/>
      <c r="U89" s="4"/>
    </row>
    <row r="90" spans="1:21" ht="33.950000000000003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7" t="str">
        <f t="shared" si="4"/>
        <v/>
      </c>
      <c r="S90" s="8" t="str">
        <f t="shared" si="5"/>
        <v/>
      </c>
      <c r="T90" s="4"/>
      <c r="U90" s="4"/>
    </row>
    <row r="91" spans="1:21" ht="33.950000000000003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7" t="str">
        <f t="shared" si="4"/>
        <v/>
      </c>
      <c r="S91" s="8" t="str">
        <f t="shared" si="5"/>
        <v/>
      </c>
      <c r="T91" s="4"/>
      <c r="U91" s="4"/>
    </row>
    <row r="92" spans="1:21" ht="33.950000000000003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7" t="str">
        <f t="shared" si="4"/>
        <v/>
      </c>
      <c r="S92" s="8" t="str">
        <f t="shared" si="5"/>
        <v/>
      </c>
      <c r="T92" s="4"/>
      <c r="U92" s="4"/>
    </row>
    <row r="93" spans="1:21" ht="33.950000000000003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7" t="str">
        <f t="shared" si="4"/>
        <v/>
      </c>
      <c r="S93" s="8" t="str">
        <f t="shared" si="5"/>
        <v/>
      </c>
      <c r="T93" s="4"/>
      <c r="U93" s="4"/>
    </row>
    <row r="94" spans="1:21" ht="33.950000000000003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7" t="str">
        <f t="shared" si="4"/>
        <v/>
      </c>
      <c r="S94" s="8" t="str">
        <f t="shared" si="5"/>
        <v/>
      </c>
      <c r="T94" s="4"/>
      <c r="U94" s="4"/>
    </row>
    <row r="95" spans="1:21" ht="33.950000000000003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7" t="str">
        <f t="shared" si="4"/>
        <v/>
      </c>
      <c r="S95" s="8" t="str">
        <f t="shared" si="5"/>
        <v/>
      </c>
      <c r="T95" s="4"/>
      <c r="U95" s="4"/>
    </row>
    <row r="96" spans="1:21" ht="33.950000000000003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7" t="str">
        <f t="shared" si="4"/>
        <v/>
      </c>
      <c r="S96" s="8" t="str">
        <f t="shared" si="5"/>
        <v/>
      </c>
      <c r="T96" s="4"/>
      <c r="U96" s="4"/>
    </row>
    <row r="97" spans="1:21" ht="33.950000000000003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7" t="str">
        <f t="shared" si="4"/>
        <v/>
      </c>
      <c r="S97" s="8" t="str">
        <f t="shared" si="5"/>
        <v/>
      </c>
      <c r="T97" s="4"/>
      <c r="U97" s="4"/>
    </row>
    <row r="98" spans="1:21" ht="33.950000000000003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7" t="str">
        <f t="shared" si="4"/>
        <v/>
      </c>
      <c r="S98" s="8" t="str">
        <f t="shared" si="5"/>
        <v/>
      </c>
      <c r="T98" s="4"/>
      <c r="U98" s="4"/>
    </row>
    <row r="99" spans="1:21" ht="33.950000000000003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7" t="str">
        <f t="shared" si="4"/>
        <v/>
      </c>
      <c r="S99" s="8" t="str">
        <f t="shared" si="5"/>
        <v/>
      </c>
      <c r="T99" s="4"/>
      <c r="U99" s="4"/>
    </row>
    <row r="100" spans="1:21" ht="33.950000000000003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7" t="str">
        <f t="shared" ref="R100:R131" si="6">IF(A100="","",IFERROR(N100*O100*P100*Q100/20,0))</f>
        <v/>
      </c>
      <c r="S100" s="8" t="str">
        <f t="shared" ref="S100:S131" si="7">IF(R100="","",IF(R100&gt;=15,"Критический",IF(R100&gt;=9,"Высокий",IF(R100&gt;=5,"Средний",IF(R100&gt;=2,"Низкий","Отложить")))))</f>
        <v/>
      </c>
      <c r="T100" s="4"/>
      <c r="U100" s="4"/>
    </row>
    <row r="101" spans="1:21" ht="33.950000000000003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7" t="str">
        <f t="shared" si="6"/>
        <v/>
      </c>
      <c r="S101" s="8" t="str">
        <f t="shared" si="7"/>
        <v/>
      </c>
      <c r="T101" s="4"/>
      <c r="U101" s="4"/>
    </row>
    <row r="102" spans="1:21" ht="33.950000000000003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7" t="str">
        <f t="shared" si="6"/>
        <v/>
      </c>
      <c r="S102" s="8" t="str">
        <f t="shared" si="7"/>
        <v/>
      </c>
      <c r="T102" s="4"/>
      <c r="U102" s="4"/>
    </row>
    <row r="103" spans="1:21" ht="33.950000000000003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7" t="str">
        <f t="shared" si="6"/>
        <v/>
      </c>
      <c r="S103" s="8" t="str">
        <f t="shared" si="7"/>
        <v/>
      </c>
      <c r="T103" s="4"/>
      <c r="U103" s="4"/>
    </row>
    <row r="104" spans="1:21" ht="33.950000000000003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7" t="str">
        <f t="shared" si="6"/>
        <v/>
      </c>
      <c r="S104" s="8" t="str">
        <f t="shared" si="7"/>
        <v/>
      </c>
      <c r="T104" s="4"/>
      <c r="U104" s="4"/>
    </row>
    <row r="105" spans="1:21" ht="33.950000000000003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7" t="str">
        <f t="shared" si="6"/>
        <v/>
      </c>
      <c r="S105" s="8" t="str">
        <f t="shared" si="7"/>
        <v/>
      </c>
      <c r="T105" s="4"/>
      <c r="U105" s="4"/>
    </row>
    <row r="106" spans="1:21" ht="33.950000000000003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7" t="str">
        <f t="shared" si="6"/>
        <v/>
      </c>
      <c r="S106" s="8" t="str">
        <f t="shared" si="7"/>
        <v/>
      </c>
      <c r="T106" s="4"/>
      <c r="U106" s="4"/>
    </row>
    <row r="107" spans="1:21" ht="33.950000000000003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7" t="str">
        <f t="shared" si="6"/>
        <v/>
      </c>
      <c r="S107" s="8" t="str">
        <f t="shared" si="7"/>
        <v/>
      </c>
      <c r="T107" s="4"/>
      <c r="U107" s="4"/>
    </row>
    <row r="108" spans="1:21" ht="33.950000000000003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7" t="str">
        <f t="shared" si="6"/>
        <v/>
      </c>
      <c r="S108" s="8" t="str">
        <f t="shared" si="7"/>
        <v/>
      </c>
      <c r="T108" s="4"/>
      <c r="U108" s="4"/>
    </row>
    <row r="109" spans="1:21" ht="33.950000000000003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7" t="str">
        <f t="shared" si="6"/>
        <v/>
      </c>
      <c r="S109" s="8" t="str">
        <f t="shared" si="7"/>
        <v/>
      </c>
      <c r="T109" s="4"/>
      <c r="U109" s="4"/>
    </row>
    <row r="110" spans="1:21" ht="33.950000000000003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7" t="str">
        <f t="shared" si="6"/>
        <v/>
      </c>
      <c r="S110" s="8" t="str">
        <f t="shared" si="7"/>
        <v/>
      </c>
      <c r="T110" s="4"/>
      <c r="U110" s="4"/>
    </row>
    <row r="111" spans="1:21" ht="33.950000000000003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7" t="str">
        <f t="shared" si="6"/>
        <v/>
      </c>
      <c r="S111" s="8" t="str">
        <f t="shared" si="7"/>
        <v/>
      </c>
      <c r="T111" s="4"/>
      <c r="U111" s="4"/>
    </row>
    <row r="112" spans="1:21" ht="33.950000000000003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7" t="str">
        <f t="shared" si="6"/>
        <v/>
      </c>
      <c r="S112" s="8" t="str">
        <f t="shared" si="7"/>
        <v/>
      </c>
      <c r="T112" s="4"/>
      <c r="U112" s="4"/>
    </row>
    <row r="113" spans="1:21" ht="33.950000000000003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7" t="str">
        <f t="shared" si="6"/>
        <v/>
      </c>
      <c r="S113" s="8" t="str">
        <f t="shared" si="7"/>
        <v/>
      </c>
      <c r="T113" s="4"/>
      <c r="U113" s="4"/>
    </row>
    <row r="114" spans="1:21" ht="33.950000000000003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7" t="str">
        <f t="shared" si="6"/>
        <v/>
      </c>
      <c r="S114" s="8" t="str">
        <f t="shared" si="7"/>
        <v/>
      </c>
      <c r="T114" s="4"/>
      <c r="U114" s="4"/>
    </row>
    <row r="115" spans="1:21" ht="33.950000000000003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7" t="str">
        <f t="shared" si="6"/>
        <v/>
      </c>
      <c r="S115" s="8" t="str">
        <f t="shared" si="7"/>
        <v/>
      </c>
      <c r="T115" s="4"/>
      <c r="U115" s="4"/>
    </row>
    <row r="116" spans="1:21" ht="33.950000000000003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7" t="str">
        <f t="shared" si="6"/>
        <v/>
      </c>
      <c r="S116" s="8" t="str">
        <f t="shared" si="7"/>
        <v/>
      </c>
      <c r="T116" s="4"/>
      <c r="U116" s="4"/>
    </row>
    <row r="117" spans="1:21" ht="33.950000000000003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7" t="str">
        <f t="shared" si="6"/>
        <v/>
      </c>
      <c r="S117" s="8" t="str">
        <f t="shared" si="7"/>
        <v/>
      </c>
      <c r="T117" s="4"/>
      <c r="U117" s="4"/>
    </row>
    <row r="118" spans="1:21" ht="33.950000000000003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7" t="str">
        <f t="shared" si="6"/>
        <v/>
      </c>
      <c r="S118" s="8" t="str">
        <f t="shared" si="7"/>
        <v/>
      </c>
      <c r="T118" s="4"/>
      <c r="U118" s="4"/>
    </row>
    <row r="119" spans="1:21" ht="33.950000000000003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7" t="str">
        <f t="shared" si="6"/>
        <v/>
      </c>
      <c r="S119" s="8" t="str">
        <f t="shared" si="7"/>
        <v/>
      </c>
      <c r="T119" s="4"/>
      <c r="U119" s="4"/>
    </row>
    <row r="120" spans="1:21" ht="33.950000000000003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7" t="str">
        <f t="shared" si="6"/>
        <v/>
      </c>
      <c r="S120" s="8" t="str">
        <f t="shared" si="7"/>
        <v/>
      </c>
      <c r="T120" s="4"/>
      <c r="U120" s="4"/>
    </row>
    <row r="121" spans="1:21" ht="33.950000000000003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7" t="str">
        <f t="shared" si="6"/>
        <v/>
      </c>
      <c r="S121" s="8" t="str">
        <f t="shared" si="7"/>
        <v/>
      </c>
      <c r="T121" s="4"/>
      <c r="U121" s="4"/>
    </row>
    <row r="122" spans="1:21" ht="33.950000000000003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7" t="str">
        <f t="shared" si="6"/>
        <v/>
      </c>
      <c r="S122" s="8" t="str">
        <f t="shared" si="7"/>
        <v/>
      </c>
      <c r="T122" s="4"/>
      <c r="U122" s="4"/>
    </row>
    <row r="123" spans="1:21" ht="33.950000000000003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7" t="str">
        <f t="shared" si="6"/>
        <v/>
      </c>
      <c r="S123" s="8" t="str">
        <f t="shared" si="7"/>
        <v/>
      </c>
      <c r="T123" s="4"/>
      <c r="U123" s="4"/>
    </row>
    <row r="124" spans="1:21" ht="33.950000000000003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7" t="str">
        <f t="shared" si="6"/>
        <v/>
      </c>
      <c r="S124" s="8" t="str">
        <f t="shared" si="7"/>
        <v/>
      </c>
      <c r="T124" s="4"/>
      <c r="U124" s="4"/>
    </row>
    <row r="125" spans="1:21" ht="33.950000000000003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7" t="str">
        <f t="shared" si="6"/>
        <v/>
      </c>
      <c r="S125" s="8" t="str">
        <f t="shared" si="7"/>
        <v/>
      </c>
      <c r="T125" s="4"/>
      <c r="U125" s="4"/>
    </row>
    <row r="126" spans="1:21" ht="33.950000000000003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7" t="str">
        <f t="shared" si="6"/>
        <v/>
      </c>
      <c r="S126" s="8" t="str">
        <f t="shared" si="7"/>
        <v/>
      </c>
      <c r="T126" s="4"/>
      <c r="U126" s="4"/>
    </row>
    <row r="127" spans="1:21" ht="33.950000000000003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7" t="str">
        <f t="shared" si="6"/>
        <v/>
      </c>
      <c r="S127" s="8" t="str">
        <f t="shared" si="7"/>
        <v/>
      </c>
      <c r="T127" s="4"/>
      <c r="U127" s="4"/>
    </row>
    <row r="128" spans="1:21" ht="33.950000000000003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7" t="str">
        <f t="shared" si="6"/>
        <v/>
      </c>
      <c r="S128" s="8" t="str">
        <f t="shared" si="7"/>
        <v/>
      </c>
      <c r="T128" s="4"/>
      <c r="U128" s="4"/>
    </row>
    <row r="129" spans="1:21" ht="33.950000000000003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7" t="str">
        <f t="shared" si="6"/>
        <v/>
      </c>
      <c r="S129" s="8" t="str">
        <f t="shared" si="7"/>
        <v/>
      </c>
      <c r="T129" s="4"/>
      <c r="U129" s="4"/>
    </row>
    <row r="130" spans="1:21" ht="33.950000000000003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7" t="str">
        <f t="shared" si="6"/>
        <v/>
      </c>
      <c r="S130" s="8" t="str">
        <f t="shared" si="7"/>
        <v/>
      </c>
      <c r="T130" s="4"/>
      <c r="U130" s="4"/>
    </row>
    <row r="131" spans="1:21" ht="33.950000000000003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7" t="str">
        <f t="shared" si="6"/>
        <v/>
      </c>
      <c r="S131" s="8" t="str">
        <f t="shared" si="7"/>
        <v/>
      </c>
      <c r="T131" s="4"/>
      <c r="U131" s="4"/>
    </row>
    <row r="132" spans="1:21" ht="33.950000000000003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7" t="str">
        <f t="shared" ref="R132:R163" si="8">IF(A132="","",IFERROR(N132*O132*P132*Q132/20,0))</f>
        <v/>
      </c>
      <c r="S132" s="8" t="str">
        <f t="shared" ref="S132:S163" si="9">IF(R132="","",IF(R132&gt;=15,"Критический",IF(R132&gt;=9,"Высокий",IF(R132&gt;=5,"Средний",IF(R132&gt;=2,"Низкий","Отложить")))))</f>
        <v/>
      </c>
      <c r="T132" s="4"/>
      <c r="U132" s="4"/>
    </row>
    <row r="133" spans="1:21" ht="33.950000000000003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7" t="str">
        <f t="shared" si="8"/>
        <v/>
      </c>
      <c r="S133" s="8" t="str">
        <f t="shared" si="9"/>
        <v/>
      </c>
      <c r="T133" s="4"/>
      <c r="U133" s="4"/>
    </row>
    <row r="134" spans="1:21" ht="33.950000000000003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7" t="str">
        <f t="shared" si="8"/>
        <v/>
      </c>
      <c r="S134" s="8" t="str">
        <f t="shared" si="9"/>
        <v/>
      </c>
      <c r="T134" s="4"/>
      <c r="U134" s="4"/>
    </row>
    <row r="135" spans="1:21" ht="33.950000000000003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7" t="str">
        <f t="shared" si="8"/>
        <v/>
      </c>
      <c r="S135" s="8" t="str">
        <f t="shared" si="9"/>
        <v/>
      </c>
      <c r="T135" s="4"/>
      <c r="U135" s="4"/>
    </row>
    <row r="136" spans="1:21" ht="33.950000000000003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7" t="str">
        <f t="shared" si="8"/>
        <v/>
      </c>
      <c r="S136" s="8" t="str">
        <f t="shared" si="9"/>
        <v/>
      </c>
      <c r="T136" s="4"/>
      <c r="U136" s="4"/>
    </row>
    <row r="137" spans="1:21" ht="33.950000000000003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7" t="str">
        <f t="shared" si="8"/>
        <v/>
      </c>
      <c r="S137" s="8" t="str">
        <f t="shared" si="9"/>
        <v/>
      </c>
      <c r="T137" s="4"/>
      <c r="U137" s="4"/>
    </row>
    <row r="138" spans="1:21" ht="33.950000000000003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7" t="str">
        <f t="shared" si="8"/>
        <v/>
      </c>
      <c r="S138" s="8" t="str">
        <f t="shared" si="9"/>
        <v/>
      </c>
      <c r="T138" s="4"/>
      <c r="U138" s="4"/>
    </row>
    <row r="139" spans="1:21" ht="33.950000000000003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7" t="str">
        <f t="shared" si="8"/>
        <v/>
      </c>
      <c r="S139" s="8" t="str">
        <f t="shared" si="9"/>
        <v/>
      </c>
      <c r="T139" s="4"/>
      <c r="U139" s="4"/>
    </row>
    <row r="140" spans="1:21" ht="33.950000000000003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7" t="str">
        <f t="shared" si="8"/>
        <v/>
      </c>
      <c r="S140" s="8" t="str">
        <f t="shared" si="9"/>
        <v/>
      </c>
      <c r="T140" s="4"/>
      <c r="U140" s="4"/>
    </row>
    <row r="141" spans="1:21" ht="33.950000000000003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7" t="str">
        <f t="shared" si="8"/>
        <v/>
      </c>
      <c r="S141" s="8" t="str">
        <f t="shared" si="9"/>
        <v/>
      </c>
      <c r="T141" s="4"/>
      <c r="U141" s="4"/>
    </row>
    <row r="142" spans="1:21" ht="33.950000000000003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7" t="str">
        <f t="shared" si="8"/>
        <v/>
      </c>
      <c r="S142" s="8" t="str">
        <f t="shared" si="9"/>
        <v/>
      </c>
      <c r="T142" s="4"/>
      <c r="U142" s="4"/>
    </row>
    <row r="143" spans="1:21" ht="33.950000000000003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7" t="str">
        <f t="shared" si="8"/>
        <v/>
      </c>
      <c r="S143" s="8" t="str">
        <f t="shared" si="9"/>
        <v/>
      </c>
      <c r="T143" s="4"/>
      <c r="U143" s="4"/>
    </row>
    <row r="144" spans="1:21" ht="33.950000000000003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7" t="str">
        <f t="shared" si="8"/>
        <v/>
      </c>
      <c r="S144" s="8" t="str">
        <f t="shared" si="9"/>
        <v/>
      </c>
      <c r="T144" s="4"/>
      <c r="U144" s="4"/>
    </row>
    <row r="145" spans="1:21" ht="33.950000000000003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7" t="str">
        <f t="shared" si="8"/>
        <v/>
      </c>
      <c r="S145" s="8" t="str">
        <f t="shared" si="9"/>
        <v/>
      </c>
      <c r="T145" s="4"/>
      <c r="U145" s="4"/>
    </row>
    <row r="146" spans="1:21" ht="33.950000000000003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7" t="str">
        <f t="shared" si="8"/>
        <v/>
      </c>
      <c r="S146" s="8" t="str">
        <f t="shared" si="9"/>
        <v/>
      </c>
      <c r="T146" s="4"/>
      <c r="U146" s="4"/>
    </row>
    <row r="147" spans="1:21" ht="33.950000000000003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7" t="str">
        <f t="shared" si="8"/>
        <v/>
      </c>
      <c r="S147" s="8" t="str">
        <f t="shared" si="9"/>
        <v/>
      </c>
      <c r="T147" s="4"/>
      <c r="U147" s="4"/>
    </row>
    <row r="148" spans="1:21" ht="33.950000000000003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7" t="str">
        <f t="shared" si="8"/>
        <v/>
      </c>
      <c r="S148" s="8" t="str">
        <f t="shared" si="9"/>
        <v/>
      </c>
      <c r="T148" s="4"/>
      <c r="U148" s="4"/>
    </row>
    <row r="149" spans="1:21" ht="33.950000000000003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7" t="str">
        <f t="shared" si="8"/>
        <v/>
      </c>
      <c r="S149" s="8" t="str">
        <f t="shared" si="9"/>
        <v/>
      </c>
      <c r="T149" s="4"/>
      <c r="U149" s="4"/>
    </row>
    <row r="150" spans="1:21" ht="33.950000000000003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7" t="str">
        <f t="shared" si="8"/>
        <v/>
      </c>
      <c r="S150" s="8" t="str">
        <f t="shared" si="9"/>
        <v/>
      </c>
      <c r="T150" s="4"/>
      <c r="U150" s="4"/>
    </row>
    <row r="151" spans="1:21" ht="33.950000000000003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7" t="str">
        <f t="shared" si="8"/>
        <v/>
      </c>
      <c r="S151" s="8" t="str">
        <f t="shared" si="9"/>
        <v/>
      </c>
      <c r="T151" s="4"/>
      <c r="U151" s="4"/>
    </row>
    <row r="152" spans="1:21" ht="33.950000000000003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7" t="str">
        <f t="shared" si="8"/>
        <v/>
      </c>
      <c r="S152" s="8" t="str">
        <f t="shared" si="9"/>
        <v/>
      </c>
      <c r="T152" s="4"/>
      <c r="U152" s="4"/>
    </row>
    <row r="153" spans="1:21" ht="33.950000000000003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7" t="str">
        <f t="shared" si="8"/>
        <v/>
      </c>
      <c r="S153" s="8" t="str">
        <f t="shared" si="9"/>
        <v/>
      </c>
      <c r="T153" s="4"/>
      <c r="U153" s="4"/>
    </row>
    <row r="154" spans="1:21" ht="33.950000000000003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7" t="str">
        <f t="shared" si="8"/>
        <v/>
      </c>
      <c r="S154" s="8" t="str">
        <f t="shared" si="9"/>
        <v/>
      </c>
      <c r="T154" s="4"/>
      <c r="U154" s="4"/>
    </row>
    <row r="155" spans="1:21" ht="33.950000000000003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7" t="str">
        <f t="shared" si="8"/>
        <v/>
      </c>
      <c r="S155" s="8" t="str">
        <f t="shared" si="9"/>
        <v/>
      </c>
      <c r="T155" s="4"/>
      <c r="U155" s="4"/>
    </row>
    <row r="156" spans="1:21" ht="33.950000000000003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7" t="str">
        <f t="shared" si="8"/>
        <v/>
      </c>
      <c r="S156" s="8" t="str">
        <f t="shared" si="9"/>
        <v/>
      </c>
      <c r="T156" s="4"/>
      <c r="U156" s="4"/>
    </row>
    <row r="157" spans="1:21" ht="33.950000000000003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7" t="str">
        <f t="shared" si="8"/>
        <v/>
      </c>
      <c r="S157" s="8" t="str">
        <f t="shared" si="9"/>
        <v/>
      </c>
      <c r="T157" s="4"/>
      <c r="U157" s="4"/>
    </row>
    <row r="158" spans="1:21" ht="33.950000000000003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7" t="str">
        <f t="shared" si="8"/>
        <v/>
      </c>
      <c r="S158" s="8" t="str">
        <f t="shared" si="9"/>
        <v/>
      </c>
      <c r="T158" s="4"/>
      <c r="U158" s="4"/>
    </row>
    <row r="159" spans="1:21" ht="33.950000000000003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7" t="str">
        <f t="shared" si="8"/>
        <v/>
      </c>
      <c r="S159" s="8" t="str">
        <f t="shared" si="9"/>
        <v/>
      </c>
      <c r="T159" s="4"/>
      <c r="U159" s="4"/>
    </row>
    <row r="160" spans="1:21" ht="33.950000000000003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7" t="str">
        <f t="shared" si="8"/>
        <v/>
      </c>
      <c r="S160" s="8" t="str">
        <f t="shared" si="9"/>
        <v/>
      </c>
      <c r="T160" s="4"/>
      <c r="U160" s="4"/>
    </row>
    <row r="161" spans="1:21" ht="33.950000000000003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7" t="str">
        <f t="shared" si="8"/>
        <v/>
      </c>
      <c r="S161" s="8" t="str">
        <f t="shared" si="9"/>
        <v/>
      </c>
      <c r="T161" s="4"/>
      <c r="U161" s="4"/>
    </row>
    <row r="162" spans="1:21" ht="33.950000000000003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7" t="str">
        <f t="shared" si="8"/>
        <v/>
      </c>
      <c r="S162" s="8" t="str">
        <f t="shared" si="9"/>
        <v/>
      </c>
      <c r="T162" s="4"/>
      <c r="U162" s="4"/>
    </row>
    <row r="163" spans="1:21" ht="33.950000000000003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7" t="str">
        <f t="shared" si="8"/>
        <v/>
      </c>
      <c r="S163" s="8" t="str">
        <f t="shared" si="9"/>
        <v/>
      </c>
      <c r="T163" s="4"/>
      <c r="U163" s="4"/>
    </row>
    <row r="164" spans="1:21" ht="33.950000000000003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7" t="str">
        <f t="shared" ref="R164:R195" si="10">IF(A164="","",IFERROR(N164*O164*P164*Q164/20,0))</f>
        <v/>
      </c>
      <c r="S164" s="8" t="str">
        <f t="shared" ref="S164:S195" si="11">IF(R164="","",IF(R164&gt;=15,"Критический",IF(R164&gt;=9,"Высокий",IF(R164&gt;=5,"Средний",IF(R164&gt;=2,"Низкий","Отложить")))))</f>
        <v/>
      </c>
      <c r="T164" s="4"/>
      <c r="U164" s="4"/>
    </row>
    <row r="165" spans="1:21" ht="33.950000000000003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7" t="str">
        <f t="shared" si="10"/>
        <v/>
      </c>
      <c r="S165" s="8" t="str">
        <f t="shared" si="11"/>
        <v/>
      </c>
      <c r="T165" s="4"/>
      <c r="U165" s="4"/>
    </row>
    <row r="166" spans="1:21" ht="33.950000000000003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7" t="str">
        <f t="shared" si="10"/>
        <v/>
      </c>
      <c r="S166" s="8" t="str">
        <f t="shared" si="11"/>
        <v/>
      </c>
      <c r="T166" s="4"/>
      <c r="U166" s="4"/>
    </row>
    <row r="167" spans="1:21" ht="33.950000000000003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7" t="str">
        <f t="shared" si="10"/>
        <v/>
      </c>
      <c r="S167" s="8" t="str">
        <f t="shared" si="11"/>
        <v/>
      </c>
      <c r="T167" s="4"/>
      <c r="U167" s="4"/>
    </row>
    <row r="168" spans="1:21" ht="33.950000000000003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7" t="str">
        <f t="shared" si="10"/>
        <v/>
      </c>
      <c r="S168" s="8" t="str">
        <f t="shared" si="11"/>
        <v/>
      </c>
      <c r="T168" s="4"/>
      <c r="U168" s="4"/>
    </row>
    <row r="169" spans="1:21" ht="33.950000000000003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7" t="str">
        <f t="shared" si="10"/>
        <v/>
      </c>
      <c r="S169" s="8" t="str">
        <f t="shared" si="11"/>
        <v/>
      </c>
      <c r="T169" s="4"/>
      <c r="U169" s="4"/>
    </row>
    <row r="170" spans="1:21" ht="33.950000000000003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7" t="str">
        <f t="shared" si="10"/>
        <v/>
      </c>
      <c r="S170" s="8" t="str">
        <f t="shared" si="11"/>
        <v/>
      </c>
      <c r="T170" s="4"/>
      <c r="U170" s="4"/>
    </row>
    <row r="171" spans="1:21" ht="33.950000000000003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7" t="str">
        <f t="shared" si="10"/>
        <v/>
      </c>
      <c r="S171" s="8" t="str">
        <f t="shared" si="11"/>
        <v/>
      </c>
      <c r="T171" s="4"/>
      <c r="U171" s="4"/>
    </row>
    <row r="172" spans="1:21" ht="33.950000000000003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7" t="str">
        <f t="shared" si="10"/>
        <v/>
      </c>
      <c r="S172" s="8" t="str">
        <f t="shared" si="11"/>
        <v/>
      </c>
      <c r="T172" s="4"/>
      <c r="U172" s="4"/>
    </row>
    <row r="173" spans="1:21" ht="33.950000000000003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7" t="str">
        <f t="shared" si="10"/>
        <v/>
      </c>
      <c r="S173" s="8" t="str">
        <f t="shared" si="11"/>
        <v/>
      </c>
      <c r="T173" s="4"/>
      <c r="U173" s="4"/>
    </row>
    <row r="174" spans="1:21" ht="33.950000000000003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7" t="str">
        <f t="shared" si="10"/>
        <v/>
      </c>
      <c r="S174" s="8" t="str">
        <f t="shared" si="11"/>
        <v/>
      </c>
      <c r="T174" s="4"/>
      <c r="U174" s="4"/>
    </row>
    <row r="175" spans="1:21" ht="33.950000000000003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7" t="str">
        <f t="shared" si="10"/>
        <v/>
      </c>
      <c r="S175" s="8" t="str">
        <f t="shared" si="11"/>
        <v/>
      </c>
      <c r="T175" s="4"/>
      <c r="U175" s="4"/>
    </row>
    <row r="176" spans="1:21" ht="33.950000000000003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7" t="str">
        <f t="shared" si="10"/>
        <v/>
      </c>
      <c r="S176" s="8" t="str">
        <f t="shared" si="11"/>
        <v/>
      </c>
      <c r="T176" s="4"/>
      <c r="U176" s="4"/>
    </row>
    <row r="177" spans="1:21" ht="33.950000000000003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7" t="str">
        <f t="shared" si="10"/>
        <v/>
      </c>
      <c r="S177" s="8" t="str">
        <f t="shared" si="11"/>
        <v/>
      </c>
      <c r="T177" s="4"/>
      <c r="U177" s="4"/>
    </row>
    <row r="178" spans="1:21" ht="33.950000000000003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7" t="str">
        <f t="shared" si="10"/>
        <v/>
      </c>
      <c r="S178" s="8" t="str">
        <f t="shared" si="11"/>
        <v/>
      </c>
      <c r="T178" s="4"/>
      <c r="U178" s="4"/>
    </row>
    <row r="179" spans="1:21" ht="33.950000000000003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7" t="str">
        <f t="shared" si="10"/>
        <v/>
      </c>
      <c r="S179" s="8" t="str">
        <f t="shared" si="11"/>
        <v/>
      </c>
      <c r="T179" s="4"/>
      <c r="U179" s="4"/>
    </row>
    <row r="180" spans="1:21" ht="33.950000000000003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7" t="str">
        <f t="shared" si="10"/>
        <v/>
      </c>
      <c r="S180" s="8" t="str">
        <f t="shared" si="11"/>
        <v/>
      </c>
      <c r="T180" s="4"/>
      <c r="U180" s="4"/>
    </row>
    <row r="181" spans="1:21" ht="33.950000000000003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7" t="str">
        <f t="shared" si="10"/>
        <v/>
      </c>
      <c r="S181" s="8" t="str">
        <f t="shared" si="11"/>
        <v/>
      </c>
      <c r="T181" s="4"/>
      <c r="U181" s="4"/>
    </row>
    <row r="182" spans="1:21" ht="33.950000000000003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7" t="str">
        <f t="shared" si="10"/>
        <v/>
      </c>
      <c r="S182" s="8" t="str">
        <f t="shared" si="11"/>
        <v/>
      </c>
      <c r="T182" s="4"/>
      <c r="U182" s="4"/>
    </row>
    <row r="183" spans="1:21" ht="33.950000000000003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7" t="str">
        <f t="shared" si="10"/>
        <v/>
      </c>
      <c r="S183" s="8" t="str">
        <f t="shared" si="11"/>
        <v/>
      </c>
      <c r="T183" s="4"/>
      <c r="U183" s="4"/>
    </row>
    <row r="184" spans="1:21" ht="33.950000000000003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7" t="str">
        <f t="shared" si="10"/>
        <v/>
      </c>
      <c r="S184" s="8" t="str">
        <f t="shared" si="11"/>
        <v/>
      </c>
      <c r="T184" s="4"/>
      <c r="U184" s="4"/>
    </row>
    <row r="185" spans="1:21" ht="33.950000000000003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7" t="str">
        <f t="shared" si="10"/>
        <v/>
      </c>
      <c r="S185" s="8" t="str">
        <f t="shared" si="11"/>
        <v/>
      </c>
      <c r="T185" s="4"/>
      <c r="U185" s="4"/>
    </row>
    <row r="186" spans="1:21" ht="33.950000000000003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7" t="str">
        <f t="shared" si="10"/>
        <v/>
      </c>
      <c r="S186" s="8" t="str">
        <f t="shared" si="11"/>
        <v/>
      </c>
      <c r="T186" s="4"/>
      <c r="U186" s="4"/>
    </row>
    <row r="187" spans="1:21" ht="33.950000000000003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7" t="str">
        <f t="shared" si="10"/>
        <v/>
      </c>
      <c r="S187" s="8" t="str">
        <f t="shared" si="11"/>
        <v/>
      </c>
      <c r="T187" s="4"/>
      <c r="U187" s="4"/>
    </row>
    <row r="188" spans="1:21" ht="33.950000000000003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7" t="str">
        <f t="shared" si="10"/>
        <v/>
      </c>
      <c r="S188" s="8" t="str">
        <f t="shared" si="11"/>
        <v/>
      </c>
      <c r="T188" s="4"/>
      <c r="U188" s="4"/>
    </row>
    <row r="189" spans="1:21" ht="33.950000000000003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7" t="str">
        <f t="shared" si="10"/>
        <v/>
      </c>
      <c r="S189" s="8" t="str">
        <f t="shared" si="11"/>
        <v/>
      </c>
      <c r="T189" s="4"/>
      <c r="U189" s="4"/>
    </row>
    <row r="190" spans="1:21" ht="33.950000000000003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7" t="str">
        <f t="shared" si="10"/>
        <v/>
      </c>
      <c r="S190" s="8" t="str">
        <f t="shared" si="11"/>
        <v/>
      </c>
      <c r="T190" s="4"/>
      <c r="U190" s="4"/>
    </row>
    <row r="191" spans="1:21" ht="33.950000000000003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7" t="str">
        <f t="shared" si="10"/>
        <v/>
      </c>
      <c r="S191" s="8" t="str">
        <f t="shared" si="11"/>
        <v/>
      </c>
      <c r="T191" s="4"/>
      <c r="U191" s="4"/>
    </row>
    <row r="192" spans="1:21" ht="33.950000000000003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7" t="str">
        <f t="shared" si="10"/>
        <v/>
      </c>
      <c r="S192" s="8" t="str">
        <f t="shared" si="11"/>
        <v/>
      </c>
      <c r="T192" s="4"/>
      <c r="U192" s="4"/>
    </row>
    <row r="193" spans="1:21" ht="33.950000000000003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7" t="str">
        <f t="shared" si="10"/>
        <v/>
      </c>
      <c r="S193" s="8" t="str">
        <f t="shared" si="11"/>
        <v/>
      </c>
      <c r="T193" s="4"/>
      <c r="U193" s="4"/>
    </row>
    <row r="194" spans="1:21" ht="33.950000000000003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7" t="str">
        <f t="shared" si="10"/>
        <v/>
      </c>
      <c r="S194" s="8" t="str">
        <f t="shared" si="11"/>
        <v/>
      </c>
      <c r="T194" s="4"/>
      <c r="U194" s="4"/>
    </row>
    <row r="195" spans="1:21" ht="33.950000000000003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7" t="str">
        <f t="shared" si="10"/>
        <v/>
      </c>
      <c r="S195" s="8" t="str">
        <f t="shared" si="11"/>
        <v/>
      </c>
      <c r="T195" s="4"/>
      <c r="U195" s="4"/>
    </row>
    <row r="196" spans="1:21" ht="33.950000000000003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7" t="str">
        <f t="shared" ref="R196:R227" si="12">IF(A196="","",IFERROR(N196*O196*P196*Q196/20,0))</f>
        <v/>
      </c>
      <c r="S196" s="8" t="str">
        <f t="shared" ref="S196:S227" si="13">IF(R196="","",IF(R196&gt;=15,"Критический",IF(R196&gt;=9,"Высокий",IF(R196&gt;=5,"Средний",IF(R196&gt;=2,"Низкий","Отложить")))))</f>
        <v/>
      </c>
      <c r="T196" s="4"/>
      <c r="U196" s="4"/>
    </row>
    <row r="197" spans="1:21" ht="33.950000000000003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7" t="str">
        <f t="shared" si="12"/>
        <v/>
      </c>
      <c r="S197" s="8" t="str">
        <f t="shared" si="13"/>
        <v/>
      </c>
      <c r="T197" s="4"/>
      <c r="U197" s="4"/>
    </row>
    <row r="198" spans="1:21" ht="33.950000000000003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7" t="str">
        <f t="shared" si="12"/>
        <v/>
      </c>
      <c r="S198" s="8" t="str">
        <f t="shared" si="13"/>
        <v/>
      </c>
      <c r="T198" s="4"/>
      <c r="U198" s="4"/>
    </row>
    <row r="199" spans="1:21" ht="33.950000000000003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7" t="str">
        <f t="shared" si="12"/>
        <v/>
      </c>
      <c r="S199" s="8" t="str">
        <f t="shared" si="13"/>
        <v/>
      </c>
      <c r="T199" s="4"/>
      <c r="U199" s="4"/>
    </row>
    <row r="200" spans="1:21" ht="33.950000000000003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7" t="str">
        <f t="shared" si="12"/>
        <v/>
      </c>
      <c r="S200" s="8" t="str">
        <f t="shared" si="13"/>
        <v/>
      </c>
      <c r="T200" s="4"/>
      <c r="U200" s="4"/>
    </row>
    <row r="201" spans="1:21" ht="33.950000000000003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7" t="str">
        <f t="shared" si="12"/>
        <v/>
      </c>
      <c r="S201" s="8" t="str">
        <f t="shared" si="13"/>
        <v/>
      </c>
      <c r="T201" s="4"/>
      <c r="U201" s="4"/>
    </row>
    <row r="202" spans="1:21" ht="33.950000000000003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7" t="str">
        <f t="shared" si="12"/>
        <v/>
      </c>
      <c r="S202" s="8" t="str">
        <f t="shared" si="13"/>
        <v/>
      </c>
      <c r="T202" s="4"/>
      <c r="U202" s="4"/>
    </row>
    <row r="203" spans="1:21" ht="33.950000000000003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7" t="str">
        <f t="shared" si="12"/>
        <v/>
      </c>
      <c r="S203" s="8" t="str">
        <f t="shared" si="13"/>
        <v/>
      </c>
      <c r="T203" s="4"/>
      <c r="U203" s="4"/>
    </row>
  </sheetData>
  <mergeCells count="1">
    <mergeCell ref="A1:U1"/>
  </mergeCells>
  <conditionalFormatting sqref="R4:R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S4:S203">
    <cfRule type="expression" dxfId="6" priority="2">
      <formula>S4="Критический"</formula>
    </cfRule>
    <cfRule type="expression" dxfId="5" priority="3">
      <formula>S4="Высокий"</formula>
    </cfRule>
  </conditionalFormatting>
  <dataValidations count="2">
    <dataValidation type="list" allowBlank="1" showInputMessage="1" showErrorMessage="1" sqref="N4:P203" xr:uid="{0DF56E65-AF67-49DB-948A-95391278D352}">
      <formula1>"1,2,3,4,5"</formula1>
    </dataValidation>
    <dataValidation type="list" allowBlank="1" showInputMessage="1" showErrorMessage="1" sqref="Q4:Q203" xr:uid="{DC1C6AF7-3EAA-4F7D-AEF3-C0F174C8F992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400-000000000000}">
          <x14:formula1>
            <xm:f>Справочники!$J$4:$J$12</xm:f>
          </x14:formula1>
          <xm:sqref>C4:C203</xm:sqref>
        </x14:dataValidation>
        <x14:dataValidation type="list" xr:uid="{00000000-0002-0000-0400-000001000000}">
          <x14:formula1>
            <xm:f>Справочники!$A$18:$A$28</xm:f>
          </x14:formula1>
          <xm:sqref>D4:D203</xm:sqref>
        </x14:dataValidation>
        <x14:dataValidation type="list" xr:uid="{00000000-0002-0000-0400-000002000000}">
          <x14:formula1>
            <xm:f>Справочники!$D$18:$D$24</xm:f>
          </x14:formula1>
          <xm:sqref>E4:E203</xm:sqref>
        </x14:dataValidation>
        <x14:dataValidation type="list" xr:uid="{00000000-0002-0000-0400-000005000000}">
          <x14:formula1>
            <xm:f>Справочники!$J$18:$J$22</xm:f>
          </x14:formula1>
          <xm:sqref>T4:T203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3"/>
  <sheetViews>
    <sheetView workbookViewId="0"/>
  </sheetViews>
  <sheetFormatPr defaultRowHeight="14.25"/>
  <cols>
    <col min="1" max="1" width="14" customWidth="1"/>
    <col min="2" max="2" width="24" customWidth="1"/>
    <col min="3" max="3" width="34" customWidth="1"/>
    <col min="4" max="7" width="22" customWidth="1"/>
    <col min="8" max="8" width="24" customWidth="1"/>
    <col min="9" max="9" width="20" customWidth="1"/>
    <col min="10" max="10" width="24" customWidth="1"/>
    <col min="11" max="12" width="22" customWidth="1"/>
    <col min="13" max="13" width="34" customWidth="1"/>
    <col min="14" max="14" width="24" customWidth="1"/>
    <col min="15" max="15" width="30" customWidth="1"/>
  </cols>
  <sheetData>
    <row r="1" spans="1:26" ht="30" customHeight="1">
      <c r="A1" s="10" t="s">
        <v>142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3.950000000000003" customHeight="1">
      <c r="A3" s="5" t="s">
        <v>119</v>
      </c>
      <c r="B3" s="5" t="s">
        <v>121</v>
      </c>
      <c r="C3" s="5" t="s">
        <v>143</v>
      </c>
      <c r="D3" s="5" t="s">
        <v>144</v>
      </c>
      <c r="E3" s="5" t="s">
        <v>145</v>
      </c>
      <c r="F3" s="5" t="s">
        <v>146</v>
      </c>
      <c r="G3" s="5" t="s">
        <v>147</v>
      </c>
      <c r="H3" s="5" t="s">
        <v>136</v>
      </c>
      <c r="I3" s="5" t="s">
        <v>140</v>
      </c>
      <c r="J3" s="5" t="s">
        <v>148</v>
      </c>
      <c r="K3" s="5" t="s">
        <v>149</v>
      </c>
      <c r="L3" s="5" t="s">
        <v>150</v>
      </c>
      <c r="M3" s="5" t="s">
        <v>151</v>
      </c>
      <c r="N3" s="5" t="s">
        <v>152</v>
      </c>
      <c r="O3" s="5" t="s">
        <v>68</v>
      </c>
    </row>
    <row r="4" spans="1:26" ht="33.950000000000003" customHeight="1">
      <c r="A4" s="4" t="s">
        <v>530</v>
      </c>
      <c r="B4" s="4" t="s">
        <v>96</v>
      </c>
      <c r="C4" s="4" t="s">
        <v>625</v>
      </c>
      <c r="D4" s="4" t="s">
        <v>626</v>
      </c>
      <c r="E4" s="4" t="s">
        <v>627</v>
      </c>
      <c r="F4" s="4" t="s">
        <v>628</v>
      </c>
      <c r="G4" s="4" t="s">
        <v>629</v>
      </c>
      <c r="H4" s="4" t="s">
        <v>630</v>
      </c>
      <c r="I4" s="4"/>
      <c r="J4" s="4" t="s">
        <v>631</v>
      </c>
      <c r="K4" s="4" t="s">
        <v>632</v>
      </c>
      <c r="L4" s="4" t="s">
        <v>633</v>
      </c>
      <c r="M4" s="4" t="s">
        <v>634</v>
      </c>
      <c r="N4" s="4" t="s">
        <v>136</v>
      </c>
      <c r="O4" s="4"/>
    </row>
    <row r="5" spans="1:26" ht="33.950000000000003" customHeight="1">
      <c r="A5" s="4" t="s">
        <v>539</v>
      </c>
      <c r="B5" s="4" t="s">
        <v>296</v>
      </c>
      <c r="C5" s="4" t="s">
        <v>635</v>
      </c>
      <c r="D5" s="4"/>
      <c r="E5" s="4"/>
      <c r="F5" s="4" t="s">
        <v>636</v>
      </c>
      <c r="G5" s="4" t="s">
        <v>637</v>
      </c>
      <c r="H5" s="4" t="s">
        <v>638</v>
      </c>
      <c r="I5" s="4"/>
      <c r="J5" s="4" t="s">
        <v>639</v>
      </c>
      <c r="K5" s="4" t="s">
        <v>640</v>
      </c>
      <c r="L5" s="4" t="s">
        <v>641</v>
      </c>
      <c r="M5" s="4" t="s">
        <v>642</v>
      </c>
      <c r="N5" s="4" t="s">
        <v>136</v>
      </c>
      <c r="O5" s="4"/>
    </row>
    <row r="6" spans="1:26" ht="33.950000000000003" customHeight="1">
      <c r="A6" s="4" t="s">
        <v>425</v>
      </c>
      <c r="B6" s="4" t="s">
        <v>139</v>
      </c>
      <c r="C6" s="4" t="s">
        <v>643</v>
      </c>
      <c r="D6" s="4"/>
      <c r="E6" s="4" t="s">
        <v>644</v>
      </c>
      <c r="F6" s="4" t="s">
        <v>636</v>
      </c>
      <c r="G6" s="4"/>
      <c r="H6" s="4" t="s">
        <v>645</v>
      </c>
      <c r="I6" s="4" t="s">
        <v>646</v>
      </c>
      <c r="J6" s="4" t="s">
        <v>647</v>
      </c>
      <c r="K6" s="4" t="s">
        <v>648</v>
      </c>
      <c r="L6" s="4" t="s">
        <v>649</v>
      </c>
      <c r="M6" s="4" t="s">
        <v>650</v>
      </c>
      <c r="N6" s="4" t="s">
        <v>140</v>
      </c>
      <c r="O6" s="4" t="s">
        <v>651</v>
      </c>
    </row>
    <row r="7" spans="1:26" ht="33.950000000000003" customHeight="1">
      <c r="A7" s="4" t="s">
        <v>574</v>
      </c>
      <c r="B7" s="4" t="s">
        <v>296</v>
      </c>
      <c r="C7" s="4" t="s">
        <v>652</v>
      </c>
      <c r="D7" s="4"/>
      <c r="E7" s="4"/>
      <c r="F7" s="4"/>
      <c r="G7" s="4"/>
      <c r="H7" s="4" t="s">
        <v>653</v>
      </c>
      <c r="I7" s="4"/>
      <c r="J7" s="4"/>
      <c r="K7" s="4" t="s">
        <v>654</v>
      </c>
      <c r="L7" s="4" t="s">
        <v>655</v>
      </c>
      <c r="M7" s="4" t="s">
        <v>656</v>
      </c>
      <c r="N7" s="4" t="s">
        <v>149</v>
      </c>
      <c r="O7" s="4"/>
    </row>
    <row r="8" spans="1:26" ht="33.950000000000003" customHeight="1">
      <c r="A8" s="4" t="s">
        <v>556</v>
      </c>
      <c r="B8" s="4" t="s">
        <v>296</v>
      </c>
      <c r="C8" s="4" t="s">
        <v>657</v>
      </c>
      <c r="D8" s="4"/>
      <c r="E8" s="4"/>
      <c r="F8" s="4"/>
      <c r="G8" s="4"/>
      <c r="H8" s="4"/>
      <c r="I8" s="4" t="s">
        <v>658</v>
      </c>
      <c r="J8" s="4" t="s">
        <v>659</v>
      </c>
      <c r="K8" s="4"/>
      <c r="L8" s="4" t="s">
        <v>660</v>
      </c>
      <c r="M8" s="4" t="s">
        <v>661</v>
      </c>
      <c r="N8" s="4" t="s">
        <v>148</v>
      </c>
      <c r="O8" s="4"/>
    </row>
    <row r="9" spans="1:26" ht="33.950000000000003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26" ht="33.950000000000003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26" ht="33.950000000000003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26" ht="33.950000000000003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26" ht="33.950000000000003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26" ht="33.950000000000003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26" ht="33.950000000000003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26" ht="33.950000000000003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33.950000000000003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33.950000000000003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33.950000000000003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33.950000000000003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33.950000000000003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ht="33.950000000000003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ht="33.950000000000003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ht="33.950000000000003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33.950000000000003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ht="33.950000000000003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ht="33.950000000000003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ht="33.950000000000003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ht="33.950000000000003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ht="33.950000000000003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ht="33.950000000000003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ht="33.950000000000003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33.950000000000003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33.950000000000003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33.950000000000003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ht="33.950000000000003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33.950000000000003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33.950000000000003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33.950000000000003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33.950000000000003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ht="33.950000000000003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ht="33.950000000000003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33.950000000000003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33.950000000000003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33.950000000000003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33.950000000000003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33.950000000000003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33.950000000000003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ht="33.950000000000003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33.950000000000003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ht="33.950000000000003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ht="33.950000000000003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33.950000000000003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33.950000000000003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33.950000000000003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ht="33.950000000000003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t="33.950000000000003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33.950000000000003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33.950000000000003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ht="33.950000000000003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33.950000000000003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ht="33.950000000000003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ht="33.950000000000003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33.950000000000003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ht="33.950000000000003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ht="33.950000000000003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ht="33.950000000000003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ht="33.950000000000003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ht="33.950000000000003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ht="33.950000000000003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ht="33.950000000000003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ht="33.950000000000003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ht="33.950000000000003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ht="33.950000000000003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ht="33.950000000000003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ht="33.950000000000003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ht="33.950000000000003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ht="33.950000000000003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ht="33.950000000000003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 ht="33.950000000000003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ht="33.950000000000003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ht="33.950000000000003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ht="33.950000000000003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ht="33.950000000000003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ht="33.950000000000003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ht="33.950000000000003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ht="33.950000000000003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ht="33.950000000000003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ht="33.950000000000003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ht="33.950000000000003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ht="33.950000000000003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 ht="33.950000000000003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ht="33.950000000000003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ht="33.950000000000003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ht="33.950000000000003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ht="33.950000000000003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ht="33.950000000000003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ht="33.950000000000003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ht="33.950000000000003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ht="33.950000000000003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ht="33.950000000000003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ht="33.950000000000003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ht="33.950000000000003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ht="33.950000000000003" customHeight="1"/>
    <row r="105" spans="1:15" ht="33.950000000000003" customHeight="1"/>
    <row r="106" spans="1:15" ht="33.950000000000003" customHeight="1"/>
    <row r="107" spans="1:15" ht="33.950000000000003" customHeight="1"/>
    <row r="108" spans="1:15" ht="33.950000000000003" customHeight="1"/>
    <row r="109" spans="1:15" ht="33.950000000000003" customHeight="1"/>
    <row r="110" spans="1:15" ht="33.950000000000003" customHeight="1"/>
    <row r="111" spans="1:15" ht="33.950000000000003" customHeight="1"/>
    <row r="112" spans="1:15" ht="33.950000000000003" customHeight="1"/>
    <row r="113" ht="33.950000000000003" customHeight="1"/>
    <row r="114" ht="33.950000000000003" customHeight="1"/>
    <row r="115" ht="33.950000000000003" customHeight="1"/>
    <row r="116" ht="33.950000000000003" customHeight="1"/>
    <row r="117" ht="33.950000000000003" customHeight="1"/>
    <row r="118" ht="33.950000000000003" customHeight="1"/>
    <row r="119" ht="33.950000000000003" customHeight="1"/>
    <row r="120" ht="33.950000000000003" customHeight="1"/>
    <row r="121" ht="33.950000000000003" customHeight="1"/>
    <row r="122" ht="33.950000000000003" customHeight="1"/>
    <row r="123" ht="33.950000000000003" customHeight="1"/>
    <row r="124" ht="33.950000000000003" customHeight="1"/>
    <row r="125" ht="33.950000000000003" customHeight="1"/>
    <row r="126" ht="33.950000000000003" customHeight="1"/>
    <row r="127" ht="33.950000000000003" customHeight="1"/>
    <row r="128" ht="33.950000000000003" customHeight="1"/>
    <row r="129" ht="33.950000000000003" customHeight="1"/>
    <row r="130" ht="33.950000000000003" customHeight="1"/>
    <row r="131" ht="33.950000000000003" customHeight="1"/>
    <row r="132" ht="33.950000000000003" customHeight="1"/>
    <row r="133" ht="33.950000000000003" customHeight="1"/>
    <row r="134" ht="33.950000000000003" customHeight="1"/>
    <row r="135" ht="33.950000000000003" customHeight="1"/>
    <row r="136" ht="33.950000000000003" customHeight="1"/>
    <row r="137" ht="33.950000000000003" customHeight="1"/>
    <row r="138" ht="33.950000000000003" customHeight="1"/>
    <row r="139" ht="33.950000000000003" customHeight="1"/>
    <row r="140" ht="33.950000000000003" customHeight="1"/>
    <row r="141" ht="33.950000000000003" customHeight="1"/>
    <row r="142" ht="33.950000000000003" customHeight="1"/>
    <row r="143" ht="33.950000000000003" customHeight="1"/>
    <row r="144" ht="33.950000000000003" customHeight="1"/>
    <row r="145" ht="33.950000000000003" customHeight="1"/>
    <row r="146" ht="33.950000000000003" customHeight="1"/>
    <row r="147" ht="33.950000000000003" customHeight="1"/>
    <row r="148" ht="33.950000000000003" customHeight="1"/>
    <row r="149" ht="33.950000000000003" customHeight="1"/>
    <row r="150" ht="33.950000000000003" customHeight="1"/>
    <row r="151" ht="33.950000000000003" customHeight="1"/>
    <row r="152" ht="33.950000000000003" customHeight="1"/>
    <row r="153" ht="33.950000000000003" customHeight="1"/>
    <row r="154" ht="33.950000000000003" customHeight="1"/>
    <row r="155" ht="33.950000000000003" customHeight="1"/>
    <row r="156" ht="33.950000000000003" customHeight="1"/>
    <row r="157" ht="33.950000000000003" customHeight="1"/>
    <row r="158" ht="33.950000000000003" customHeight="1"/>
    <row r="159" ht="33.950000000000003" customHeight="1"/>
    <row r="160" ht="33.950000000000003" customHeight="1"/>
    <row r="161" ht="33.950000000000003" customHeight="1"/>
    <row r="162" ht="33.950000000000003" customHeight="1"/>
    <row r="163" ht="33.950000000000003" customHeight="1"/>
    <row r="164" ht="33.950000000000003" customHeight="1"/>
    <row r="165" ht="33.950000000000003" customHeight="1"/>
    <row r="166" ht="33.950000000000003" customHeight="1"/>
    <row r="167" ht="33.950000000000003" customHeight="1"/>
    <row r="168" ht="33.950000000000003" customHeight="1"/>
    <row r="169" ht="33.950000000000003" customHeight="1"/>
    <row r="170" ht="33.950000000000003" customHeight="1"/>
    <row r="171" ht="33.950000000000003" customHeight="1"/>
    <row r="172" ht="33.950000000000003" customHeight="1"/>
    <row r="173" ht="33.950000000000003" customHeight="1"/>
    <row r="174" ht="33.950000000000003" customHeight="1"/>
    <row r="175" ht="33.950000000000003" customHeight="1"/>
    <row r="176" ht="33.950000000000003" customHeight="1"/>
    <row r="177" ht="33.950000000000003" customHeight="1"/>
    <row r="178" ht="33.950000000000003" customHeight="1"/>
    <row r="179" ht="33.950000000000003" customHeight="1"/>
    <row r="180" ht="33.950000000000003" customHeight="1"/>
    <row r="181" ht="33.950000000000003" customHeight="1"/>
    <row r="182" ht="33.950000000000003" customHeight="1"/>
    <row r="183" ht="33.950000000000003" customHeight="1"/>
    <row r="184" ht="33.950000000000003" customHeight="1"/>
    <row r="185" ht="33.950000000000003" customHeight="1"/>
    <row r="186" ht="33.950000000000003" customHeight="1"/>
    <row r="187" ht="33.950000000000003" customHeight="1"/>
    <row r="188" ht="33.950000000000003" customHeight="1"/>
    <row r="189" ht="33.950000000000003" customHeight="1"/>
    <row r="190" ht="33.950000000000003" customHeight="1"/>
    <row r="191" ht="33.950000000000003" customHeight="1"/>
    <row r="192" ht="33.950000000000003" customHeight="1"/>
    <row r="193" ht="33.950000000000003" customHeight="1"/>
    <row r="194" ht="33.950000000000003" customHeight="1"/>
    <row r="195" ht="33.950000000000003" customHeight="1"/>
    <row r="196" ht="33.950000000000003" customHeight="1"/>
    <row r="197" ht="33.950000000000003" customHeight="1"/>
    <row r="198" ht="33.950000000000003" customHeight="1"/>
    <row r="199" ht="33.950000000000003" customHeight="1"/>
    <row r="200" ht="33.950000000000003" customHeight="1"/>
    <row r="201" ht="33.950000000000003" customHeight="1"/>
    <row r="202" ht="33.950000000000003" customHeight="1"/>
    <row r="203" ht="33.950000000000003" customHeight="1"/>
  </sheetData>
  <mergeCells count="1">
    <mergeCell ref="A1:O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Справочники!$J$4:$J$12</xm:f>
          </x14:formula1>
          <xm:sqref>B4:B103</xm:sqref>
        </x14:dataValidation>
        <x14:dataValidation type="list" xr:uid="{00000000-0002-0000-0500-000001000000}">
          <x14:formula1>
            <xm:f>Справочники!$A$18:$A$28</xm:f>
          </x14:formula1>
          <xm:sqref>N4:N103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3"/>
  <sheetViews>
    <sheetView workbookViewId="0"/>
  </sheetViews>
  <sheetFormatPr defaultRowHeight="14.25"/>
  <cols>
    <col min="1" max="1" width="14" customWidth="1"/>
    <col min="2" max="2" width="40" customWidth="1"/>
    <col min="3" max="3" width="18" customWidth="1"/>
    <col min="4" max="4" width="24" customWidth="1"/>
    <col min="5" max="5" width="36" customWidth="1"/>
    <col min="6" max="6" width="32" customWidth="1"/>
    <col min="7" max="8" width="24" customWidth="1"/>
    <col min="9" max="9" width="18" customWidth="1"/>
    <col min="10" max="10" width="20" customWidth="1"/>
    <col min="11" max="14" width="18" customWidth="1"/>
    <col min="15" max="15" width="14" customWidth="1"/>
    <col min="16" max="16" width="20" customWidth="1"/>
    <col min="17" max="17" width="22" customWidth="1"/>
  </cols>
  <sheetData>
    <row r="1" spans="1:26" ht="30" customHeight="1">
      <c r="A1" s="10" t="s">
        <v>153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2"/>
      <c r="S1" s="2"/>
      <c r="T1" s="2"/>
      <c r="U1" s="2"/>
      <c r="V1" s="2"/>
      <c r="W1" s="2"/>
      <c r="X1" s="2"/>
      <c r="Y1" s="2"/>
      <c r="Z1" s="2"/>
    </row>
    <row r="3" spans="1:26" ht="33.950000000000003" customHeight="1">
      <c r="A3" s="5" t="s">
        <v>154</v>
      </c>
      <c r="B3" s="5" t="s">
        <v>155</v>
      </c>
      <c r="C3" s="5" t="s">
        <v>156</v>
      </c>
      <c r="D3" s="5" t="s">
        <v>121</v>
      </c>
      <c r="E3" s="5" t="s">
        <v>157</v>
      </c>
      <c r="F3" s="5" t="s">
        <v>158</v>
      </c>
      <c r="G3" s="5" t="s">
        <v>159</v>
      </c>
      <c r="H3" s="5" t="s">
        <v>160</v>
      </c>
      <c r="I3" s="5" t="s">
        <v>161</v>
      </c>
      <c r="J3" s="5" t="s">
        <v>162</v>
      </c>
      <c r="K3" s="5" t="s">
        <v>163</v>
      </c>
      <c r="L3" s="5" t="s">
        <v>89</v>
      </c>
      <c r="M3" s="5" t="s">
        <v>164</v>
      </c>
      <c r="N3" s="5" t="s">
        <v>133</v>
      </c>
      <c r="O3" s="5" t="s">
        <v>165</v>
      </c>
      <c r="P3" s="5" t="s">
        <v>13</v>
      </c>
      <c r="Q3" s="5" t="s">
        <v>166</v>
      </c>
    </row>
    <row r="4" spans="1:26" ht="33.950000000000003" customHeight="1">
      <c r="A4" s="4" t="s">
        <v>167</v>
      </c>
      <c r="B4" s="4" t="s">
        <v>662</v>
      </c>
      <c r="C4" s="4" t="s">
        <v>539</v>
      </c>
      <c r="D4" s="4" t="s">
        <v>296</v>
      </c>
      <c r="E4" s="4" t="s">
        <v>663</v>
      </c>
      <c r="F4" s="4" t="s">
        <v>664</v>
      </c>
      <c r="G4" s="4" t="s">
        <v>168</v>
      </c>
      <c r="H4" s="4" t="s">
        <v>325</v>
      </c>
      <c r="I4" s="4">
        <v>5</v>
      </c>
      <c r="J4" s="4">
        <v>3</v>
      </c>
      <c r="K4" s="4">
        <v>2</v>
      </c>
      <c r="L4" s="4">
        <v>4</v>
      </c>
      <c r="M4" s="7">
        <f t="shared" ref="M4:M35" si="0">IF(A4="","",IFERROR((I4+J4)*L4/K4,0))</f>
        <v>16</v>
      </c>
      <c r="N4" s="8" t="str">
        <f t="shared" ref="N4:N35" si="1">IF(M4="","",IF(M4&gt;=16,"Критический",IF(M4&gt;=10,"Высокий",IF(M4&gt;=6,"Средний",IF(M4&gt;=3,"Низкий","Отложить")))))</f>
        <v>Критический</v>
      </c>
      <c r="O4" s="8" t="str">
        <f t="shared" ref="O4:O35" si="2">IF(M4="","",IF(OR(N4="Критический",N4="Высокий"),"Да",IF(N4="Средний","Кандидат","Нет")))</f>
        <v>Да</v>
      </c>
      <c r="P4" s="4" t="s">
        <v>315</v>
      </c>
      <c r="Q4" s="4" t="s">
        <v>665</v>
      </c>
    </row>
    <row r="5" spans="1:26" ht="33.950000000000003" customHeight="1">
      <c r="A5" s="4" t="s">
        <v>170</v>
      </c>
      <c r="B5" s="4" t="s">
        <v>666</v>
      </c>
      <c r="C5" s="4" t="s">
        <v>539</v>
      </c>
      <c r="D5" s="4" t="s">
        <v>296</v>
      </c>
      <c r="E5" s="4" t="s">
        <v>667</v>
      </c>
      <c r="F5" s="4" t="s">
        <v>668</v>
      </c>
      <c r="G5" s="4" t="s">
        <v>327</v>
      </c>
      <c r="H5" s="4" t="s">
        <v>172</v>
      </c>
      <c r="I5" s="4">
        <v>5</v>
      </c>
      <c r="J5" s="4">
        <v>4</v>
      </c>
      <c r="K5" s="4">
        <v>4</v>
      </c>
      <c r="L5" s="4">
        <v>3</v>
      </c>
      <c r="M5" s="7">
        <f t="shared" si="0"/>
        <v>6.75</v>
      </c>
      <c r="N5" s="8" t="str">
        <f t="shared" si="1"/>
        <v>Средний</v>
      </c>
      <c r="O5" s="8" t="str">
        <f t="shared" si="2"/>
        <v>Кандидат</v>
      </c>
      <c r="P5" s="4" t="s">
        <v>315</v>
      </c>
      <c r="Q5" s="4" t="s">
        <v>669</v>
      </c>
    </row>
    <row r="6" spans="1:26" ht="33.950000000000003" customHeight="1">
      <c r="A6" s="4" t="s">
        <v>670</v>
      </c>
      <c r="B6" s="4" t="s">
        <v>671</v>
      </c>
      <c r="C6" s="4" t="s">
        <v>530</v>
      </c>
      <c r="D6" s="4" t="s">
        <v>96</v>
      </c>
      <c r="E6" s="4" t="s">
        <v>672</v>
      </c>
      <c r="F6" s="4" t="s">
        <v>664</v>
      </c>
      <c r="G6" s="4" t="s">
        <v>168</v>
      </c>
      <c r="H6" s="4" t="s">
        <v>325</v>
      </c>
      <c r="I6" s="4">
        <v>5</v>
      </c>
      <c r="J6" s="4">
        <v>3</v>
      </c>
      <c r="K6" s="4">
        <v>3</v>
      </c>
      <c r="L6" s="4">
        <v>4</v>
      </c>
      <c r="M6" s="7">
        <f t="shared" si="0"/>
        <v>10.666666666666666</v>
      </c>
      <c r="N6" s="8" t="str">
        <f t="shared" si="1"/>
        <v>Высокий</v>
      </c>
      <c r="O6" s="8" t="str">
        <f t="shared" si="2"/>
        <v>Да</v>
      </c>
      <c r="P6" s="4" t="s">
        <v>315</v>
      </c>
      <c r="Q6" s="4" t="s">
        <v>673</v>
      </c>
    </row>
    <row r="7" spans="1:26" ht="33.950000000000003" customHeight="1">
      <c r="A7" s="4" t="s">
        <v>674</v>
      </c>
      <c r="B7" s="4" t="s">
        <v>675</v>
      </c>
      <c r="C7" s="4" t="s">
        <v>574</v>
      </c>
      <c r="D7" s="4" t="s">
        <v>296</v>
      </c>
      <c r="E7" s="4" t="s">
        <v>676</v>
      </c>
      <c r="F7" s="4" t="s">
        <v>677</v>
      </c>
      <c r="G7" s="4" t="s">
        <v>327</v>
      </c>
      <c r="H7" s="4" t="s">
        <v>172</v>
      </c>
      <c r="I7" s="4">
        <v>4</v>
      </c>
      <c r="J7" s="4">
        <v>2</v>
      </c>
      <c r="K7" s="4">
        <v>3</v>
      </c>
      <c r="L7" s="4">
        <v>3</v>
      </c>
      <c r="M7" s="7">
        <f t="shared" si="0"/>
        <v>6</v>
      </c>
      <c r="N7" s="8" t="str">
        <f t="shared" si="1"/>
        <v>Средний</v>
      </c>
      <c r="O7" s="8" t="str">
        <f t="shared" si="2"/>
        <v>Кандидат</v>
      </c>
      <c r="P7" s="4" t="s">
        <v>315</v>
      </c>
      <c r="Q7" s="4" t="s">
        <v>678</v>
      </c>
    </row>
    <row r="8" spans="1:26" ht="33.950000000000003" customHeight="1">
      <c r="A8" s="4" t="s">
        <v>679</v>
      </c>
      <c r="B8" s="4" t="s">
        <v>680</v>
      </c>
      <c r="C8" s="4" t="s">
        <v>530</v>
      </c>
      <c r="D8" s="4" t="s">
        <v>96</v>
      </c>
      <c r="E8" s="4" t="s">
        <v>681</v>
      </c>
      <c r="F8" s="4" t="s">
        <v>538</v>
      </c>
      <c r="G8" s="4" t="s">
        <v>168</v>
      </c>
      <c r="H8" s="4" t="s">
        <v>169</v>
      </c>
      <c r="I8" s="4">
        <v>4</v>
      </c>
      <c r="J8" s="4">
        <v>2</v>
      </c>
      <c r="K8" s="4">
        <v>2</v>
      </c>
      <c r="L8" s="4">
        <v>4</v>
      </c>
      <c r="M8" s="7">
        <f t="shared" si="0"/>
        <v>12</v>
      </c>
      <c r="N8" s="8" t="str">
        <f t="shared" si="1"/>
        <v>Высокий</v>
      </c>
      <c r="O8" s="8" t="str">
        <f t="shared" si="2"/>
        <v>Да</v>
      </c>
      <c r="P8" s="4" t="s">
        <v>315</v>
      </c>
      <c r="Q8" s="4" t="s">
        <v>682</v>
      </c>
    </row>
    <row r="9" spans="1:26" ht="33.950000000000003" customHeight="1">
      <c r="A9" s="4" t="s">
        <v>683</v>
      </c>
      <c r="B9" s="4" t="s">
        <v>684</v>
      </c>
      <c r="C9" s="4" t="s">
        <v>547</v>
      </c>
      <c r="D9" s="4" t="s">
        <v>296</v>
      </c>
      <c r="E9" s="4" t="s">
        <v>685</v>
      </c>
      <c r="F9" s="4" t="s">
        <v>686</v>
      </c>
      <c r="G9" s="4" t="s">
        <v>168</v>
      </c>
      <c r="H9" s="4" t="s">
        <v>169</v>
      </c>
      <c r="I9" s="4">
        <v>4</v>
      </c>
      <c r="J9" s="4">
        <v>4</v>
      </c>
      <c r="K9" s="4">
        <v>2</v>
      </c>
      <c r="L9" s="4">
        <v>4</v>
      </c>
      <c r="M9" s="7">
        <f t="shared" si="0"/>
        <v>16</v>
      </c>
      <c r="N9" s="8" t="str">
        <f t="shared" si="1"/>
        <v>Критический</v>
      </c>
      <c r="O9" s="8" t="str">
        <f t="shared" si="2"/>
        <v>Да</v>
      </c>
      <c r="P9" s="4" t="s">
        <v>315</v>
      </c>
      <c r="Q9" s="4" t="s">
        <v>687</v>
      </c>
    </row>
    <row r="10" spans="1:26" ht="33.950000000000003" customHeight="1">
      <c r="A10" s="4" t="s">
        <v>688</v>
      </c>
      <c r="B10" s="4" t="s">
        <v>689</v>
      </c>
      <c r="C10" s="4" t="s">
        <v>547</v>
      </c>
      <c r="D10" s="4" t="s">
        <v>296</v>
      </c>
      <c r="E10" s="4" t="s">
        <v>690</v>
      </c>
      <c r="F10" s="4" t="s">
        <v>691</v>
      </c>
      <c r="G10" s="4" t="s">
        <v>168</v>
      </c>
      <c r="H10" s="4" t="s">
        <v>325</v>
      </c>
      <c r="I10" s="4">
        <v>5</v>
      </c>
      <c r="J10" s="4">
        <v>3</v>
      </c>
      <c r="K10" s="4">
        <v>2</v>
      </c>
      <c r="L10" s="4">
        <v>4</v>
      </c>
      <c r="M10" s="7">
        <f t="shared" si="0"/>
        <v>16</v>
      </c>
      <c r="N10" s="8" t="str">
        <f t="shared" si="1"/>
        <v>Критический</v>
      </c>
      <c r="O10" s="8" t="str">
        <f t="shared" si="2"/>
        <v>Да</v>
      </c>
      <c r="P10" s="4" t="s">
        <v>315</v>
      </c>
      <c r="Q10" s="4" t="s">
        <v>692</v>
      </c>
    </row>
    <row r="11" spans="1:26" ht="33.950000000000003" customHeight="1">
      <c r="A11" s="4" t="s">
        <v>693</v>
      </c>
      <c r="B11" s="4" t="s">
        <v>694</v>
      </c>
      <c r="C11" s="4" t="s">
        <v>556</v>
      </c>
      <c r="D11" s="4" t="s">
        <v>296</v>
      </c>
      <c r="E11" s="4" t="s">
        <v>695</v>
      </c>
      <c r="F11" s="4" t="s">
        <v>696</v>
      </c>
      <c r="G11" s="4" t="s">
        <v>171</v>
      </c>
      <c r="H11" s="4" t="s">
        <v>169</v>
      </c>
      <c r="I11" s="4">
        <v>4</v>
      </c>
      <c r="J11" s="4">
        <v>4</v>
      </c>
      <c r="K11" s="4">
        <v>3</v>
      </c>
      <c r="L11" s="4">
        <v>3</v>
      </c>
      <c r="M11" s="7">
        <f t="shared" si="0"/>
        <v>8</v>
      </c>
      <c r="N11" s="8" t="str">
        <f t="shared" si="1"/>
        <v>Средний</v>
      </c>
      <c r="O11" s="8" t="str">
        <f t="shared" si="2"/>
        <v>Кандидат</v>
      </c>
      <c r="P11" s="4" t="s">
        <v>315</v>
      </c>
      <c r="Q11" s="4" t="s">
        <v>697</v>
      </c>
    </row>
    <row r="12" spans="1:26" ht="33.950000000000003" customHeight="1">
      <c r="A12" s="4" t="s">
        <v>698</v>
      </c>
      <c r="B12" s="4" t="s">
        <v>699</v>
      </c>
      <c r="C12" s="4" t="s">
        <v>425</v>
      </c>
      <c r="D12" s="4" t="s">
        <v>139</v>
      </c>
      <c r="E12" s="4" t="s">
        <v>700</v>
      </c>
      <c r="F12" s="4" t="s">
        <v>701</v>
      </c>
      <c r="G12" s="4" t="s">
        <v>171</v>
      </c>
      <c r="H12" s="4" t="s">
        <v>169</v>
      </c>
      <c r="I12" s="4">
        <v>3</v>
      </c>
      <c r="J12" s="4">
        <v>5</v>
      </c>
      <c r="K12" s="4">
        <v>1</v>
      </c>
      <c r="L12" s="4">
        <v>2</v>
      </c>
      <c r="M12" s="7">
        <f t="shared" si="0"/>
        <v>16</v>
      </c>
      <c r="N12" s="8" t="str">
        <f t="shared" si="1"/>
        <v>Критический</v>
      </c>
      <c r="O12" s="8" t="str">
        <f t="shared" si="2"/>
        <v>Да</v>
      </c>
      <c r="P12" s="4" t="s">
        <v>97</v>
      </c>
      <c r="Q12" s="4" t="s">
        <v>702</v>
      </c>
    </row>
    <row r="13" spans="1:26" ht="33.950000000000003" customHeight="1">
      <c r="A13" s="4" t="s">
        <v>703</v>
      </c>
      <c r="B13" s="4" t="s">
        <v>704</v>
      </c>
      <c r="C13" s="4" t="s">
        <v>590</v>
      </c>
      <c r="D13" s="4" t="s">
        <v>296</v>
      </c>
      <c r="E13" s="4" t="s">
        <v>705</v>
      </c>
      <c r="F13" s="4" t="s">
        <v>706</v>
      </c>
      <c r="G13" s="4" t="s">
        <v>327</v>
      </c>
      <c r="H13" s="4" t="s">
        <v>172</v>
      </c>
      <c r="I13" s="4">
        <v>3</v>
      </c>
      <c r="J13" s="4">
        <v>3</v>
      </c>
      <c r="K13" s="4">
        <v>3</v>
      </c>
      <c r="L13" s="4">
        <v>2</v>
      </c>
      <c r="M13" s="7">
        <f t="shared" si="0"/>
        <v>4</v>
      </c>
      <c r="N13" s="8" t="str">
        <f t="shared" si="1"/>
        <v>Низкий</v>
      </c>
      <c r="O13" s="8" t="str">
        <f t="shared" si="2"/>
        <v>Нет</v>
      </c>
      <c r="P13" s="4" t="s">
        <v>315</v>
      </c>
      <c r="Q13" s="4" t="s">
        <v>707</v>
      </c>
    </row>
    <row r="14" spans="1:26" ht="33.950000000000003" customHeight="1">
      <c r="A14" s="4" t="s">
        <v>708</v>
      </c>
      <c r="B14" s="4" t="s">
        <v>474</v>
      </c>
      <c r="C14" s="4" t="s">
        <v>530</v>
      </c>
      <c r="D14" s="4" t="s">
        <v>308</v>
      </c>
      <c r="E14" s="4" t="s">
        <v>709</v>
      </c>
      <c r="F14" s="4" t="s">
        <v>710</v>
      </c>
      <c r="G14" s="4" t="s">
        <v>330</v>
      </c>
      <c r="H14" s="4" t="s">
        <v>325</v>
      </c>
      <c r="I14" s="4">
        <v>3</v>
      </c>
      <c r="J14" s="4">
        <v>3</v>
      </c>
      <c r="K14" s="4">
        <v>1</v>
      </c>
      <c r="L14" s="4">
        <v>3</v>
      </c>
      <c r="M14" s="7">
        <f t="shared" si="0"/>
        <v>18</v>
      </c>
      <c r="N14" s="8" t="str">
        <f t="shared" si="1"/>
        <v>Критический</v>
      </c>
      <c r="O14" s="8" t="str">
        <f t="shared" si="2"/>
        <v>Да</v>
      </c>
      <c r="P14" s="4" t="s">
        <v>97</v>
      </c>
      <c r="Q14" s="4" t="s">
        <v>711</v>
      </c>
    </row>
    <row r="15" spans="1:26" ht="33.950000000000003" customHeight="1">
      <c r="A15" s="4" t="s">
        <v>712</v>
      </c>
      <c r="B15" s="4" t="s">
        <v>713</v>
      </c>
      <c r="C15" s="4" t="s">
        <v>574</v>
      </c>
      <c r="D15" s="4" t="s">
        <v>296</v>
      </c>
      <c r="E15" s="4" t="s">
        <v>714</v>
      </c>
      <c r="F15" s="4" t="s">
        <v>668</v>
      </c>
      <c r="G15" s="4" t="s">
        <v>327</v>
      </c>
      <c r="H15" s="4" t="s">
        <v>172</v>
      </c>
      <c r="I15" s="4">
        <v>4</v>
      </c>
      <c r="J15" s="4">
        <v>2</v>
      </c>
      <c r="K15" s="4">
        <v>4</v>
      </c>
      <c r="L15" s="4">
        <v>2</v>
      </c>
      <c r="M15" s="7">
        <f t="shared" si="0"/>
        <v>3</v>
      </c>
      <c r="N15" s="8" t="str">
        <f t="shared" si="1"/>
        <v>Низкий</v>
      </c>
      <c r="O15" s="8" t="str">
        <f t="shared" si="2"/>
        <v>Нет</v>
      </c>
      <c r="P15" s="4" t="s">
        <v>311</v>
      </c>
      <c r="Q15" s="4" t="s">
        <v>715</v>
      </c>
    </row>
    <row r="16" spans="1:26" ht="33.950000000000003" customHeight="1">
      <c r="A16" s="4" t="s">
        <v>716</v>
      </c>
      <c r="B16" s="4" t="s">
        <v>717</v>
      </c>
      <c r="C16" s="4" t="s">
        <v>425</v>
      </c>
      <c r="D16" s="4" t="s">
        <v>100</v>
      </c>
      <c r="E16" s="4" t="s">
        <v>718</v>
      </c>
      <c r="F16" s="4" t="s">
        <v>572</v>
      </c>
      <c r="G16" s="4" t="s">
        <v>168</v>
      </c>
      <c r="H16" s="4" t="s">
        <v>169</v>
      </c>
      <c r="I16" s="4">
        <v>2</v>
      </c>
      <c r="J16" s="4">
        <v>5</v>
      </c>
      <c r="K16" s="4">
        <v>4</v>
      </c>
      <c r="L16" s="4">
        <v>2</v>
      </c>
      <c r="M16" s="7">
        <f t="shared" si="0"/>
        <v>3.5</v>
      </c>
      <c r="N16" s="8" t="str">
        <f t="shared" si="1"/>
        <v>Низкий</v>
      </c>
      <c r="O16" s="8" t="str">
        <f t="shared" si="2"/>
        <v>Нет</v>
      </c>
      <c r="P16" s="4" t="s">
        <v>311</v>
      </c>
      <c r="Q16" s="4" t="s">
        <v>719</v>
      </c>
    </row>
    <row r="17" spans="1:17" ht="33.950000000000003" customHeight="1">
      <c r="A17" s="4" t="s">
        <v>720</v>
      </c>
      <c r="B17" s="4" t="s">
        <v>721</v>
      </c>
      <c r="C17" s="4" t="s">
        <v>607</v>
      </c>
      <c r="D17" s="4" t="s">
        <v>305</v>
      </c>
      <c r="E17" s="4" t="s">
        <v>722</v>
      </c>
      <c r="F17" s="4" t="s">
        <v>723</v>
      </c>
      <c r="G17" s="4" t="s">
        <v>171</v>
      </c>
      <c r="H17" s="4" t="s">
        <v>334</v>
      </c>
      <c r="I17" s="4">
        <v>3</v>
      </c>
      <c r="J17" s="4">
        <v>2</v>
      </c>
      <c r="K17" s="4">
        <v>3</v>
      </c>
      <c r="L17" s="4">
        <v>1</v>
      </c>
      <c r="M17" s="7">
        <f t="shared" si="0"/>
        <v>1.6666666666666667</v>
      </c>
      <c r="N17" s="8" t="str">
        <f t="shared" si="1"/>
        <v>Отложить</v>
      </c>
      <c r="O17" s="8" t="str">
        <f t="shared" si="2"/>
        <v>Нет</v>
      </c>
      <c r="P17" s="4" t="s">
        <v>311</v>
      </c>
      <c r="Q17" s="4" t="s">
        <v>724</v>
      </c>
    </row>
    <row r="18" spans="1:17" ht="33.950000000000003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7" t="str">
        <f t="shared" si="0"/>
        <v/>
      </c>
      <c r="N18" s="8" t="str">
        <f t="shared" si="1"/>
        <v/>
      </c>
      <c r="O18" s="8" t="str">
        <f t="shared" si="2"/>
        <v/>
      </c>
      <c r="P18" s="4"/>
      <c r="Q18" s="4"/>
    </row>
    <row r="19" spans="1:17" ht="33.950000000000003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7" t="str">
        <f t="shared" si="0"/>
        <v/>
      </c>
      <c r="N19" s="8" t="str">
        <f t="shared" si="1"/>
        <v/>
      </c>
      <c r="O19" s="8" t="str">
        <f t="shared" si="2"/>
        <v/>
      </c>
      <c r="P19" s="4"/>
      <c r="Q19" s="4"/>
    </row>
    <row r="20" spans="1:17" ht="33.950000000000003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7" t="str">
        <f t="shared" si="0"/>
        <v/>
      </c>
      <c r="N20" s="8" t="str">
        <f t="shared" si="1"/>
        <v/>
      </c>
      <c r="O20" s="8" t="str">
        <f t="shared" si="2"/>
        <v/>
      </c>
      <c r="P20" s="4"/>
      <c r="Q20" s="4"/>
    </row>
    <row r="21" spans="1:17" ht="33.950000000000003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7" t="str">
        <f t="shared" si="0"/>
        <v/>
      </c>
      <c r="N21" s="8" t="str">
        <f t="shared" si="1"/>
        <v/>
      </c>
      <c r="O21" s="8" t="str">
        <f t="shared" si="2"/>
        <v/>
      </c>
      <c r="P21" s="4"/>
      <c r="Q21" s="4"/>
    </row>
    <row r="22" spans="1:17" ht="33.950000000000003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7" t="str">
        <f t="shared" si="0"/>
        <v/>
      </c>
      <c r="N22" s="8" t="str">
        <f t="shared" si="1"/>
        <v/>
      </c>
      <c r="O22" s="8" t="str">
        <f t="shared" si="2"/>
        <v/>
      </c>
      <c r="P22" s="4"/>
      <c r="Q22" s="4"/>
    </row>
    <row r="23" spans="1:17" ht="33.950000000000003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7" t="str">
        <f t="shared" si="0"/>
        <v/>
      </c>
      <c r="N23" s="8" t="str">
        <f t="shared" si="1"/>
        <v/>
      </c>
      <c r="O23" s="8" t="str">
        <f t="shared" si="2"/>
        <v/>
      </c>
      <c r="P23" s="4"/>
      <c r="Q23" s="4"/>
    </row>
    <row r="24" spans="1:17" ht="33.950000000000003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7" t="str">
        <f t="shared" si="0"/>
        <v/>
      </c>
      <c r="N24" s="8" t="str">
        <f t="shared" si="1"/>
        <v/>
      </c>
      <c r="O24" s="8" t="str">
        <f t="shared" si="2"/>
        <v/>
      </c>
      <c r="P24" s="4"/>
      <c r="Q24" s="4"/>
    </row>
    <row r="25" spans="1:17" ht="33.950000000000003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7" t="str">
        <f t="shared" si="0"/>
        <v/>
      </c>
      <c r="N25" s="8" t="str">
        <f t="shared" si="1"/>
        <v/>
      </c>
      <c r="O25" s="8" t="str">
        <f t="shared" si="2"/>
        <v/>
      </c>
      <c r="P25" s="4"/>
      <c r="Q25" s="4"/>
    </row>
    <row r="26" spans="1:17" ht="33.950000000000003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7" t="str">
        <f t="shared" si="0"/>
        <v/>
      </c>
      <c r="N26" s="8" t="str">
        <f t="shared" si="1"/>
        <v/>
      </c>
      <c r="O26" s="8" t="str">
        <f t="shared" si="2"/>
        <v/>
      </c>
      <c r="P26" s="4"/>
      <c r="Q26" s="4"/>
    </row>
    <row r="27" spans="1:17" ht="33.950000000000003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7" t="str">
        <f t="shared" si="0"/>
        <v/>
      </c>
      <c r="N27" s="8" t="str">
        <f t="shared" si="1"/>
        <v/>
      </c>
      <c r="O27" s="8" t="str">
        <f t="shared" si="2"/>
        <v/>
      </c>
      <c r="P27" s="4"/>
      <c r="Q27" s="4"/>
    </row>
    <row r="28" spans="1:17" ht="33.950000000000003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7" t="str">
        <f t="shared" si="0"/>
        <v/>
      </c>
      <c r="N28" s="8" t="str">
        <f t="shared" si="1"/>
        <v/>
      </c>
      <c r="O28" s="8" t="str">
        <f t="shared" si="2"/>
        <v/>
      </c>
      <c r="P28" s="4"/>
      <c r="Q28" s="4"/>
    </row>
    <row r="29" spans="1:17" ht="33.950000000000003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7" t="str">
        <f t="shared" si="0"/>
        <v/>
      </c>
      <c r="N29" s="8" t="str">
        <f t="shared" si="1"/>
        <v/>
      </c>
      <c r="O29" s="8" t="str">
        <f t="shared" si="2"/>
        <v/>
      </c>
      <c r="P29" s="4"/>
      <c r="Q29" s="4"/>
    </row>
    <row r="30" spans="1:17" ht="33.950000000000003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7" t="str">
        <f t="shared" si="0"/>
        <v/>
      </c>
      <c r="N30" s="8" t="str">
        <f t="shared" si="1"/>
        <v/>
      </c>
      <c r="O30" s="8" t="str">
        <f t="shared" si="2"/>
        <v/>
      </c>
      <c r="P30" s="4"/>
      <c r="Q30" s="4"/>
    </row>
    <row r="31" spans="1:17" ht="33.950000000000003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7" t="str">
        <f t="shared" si="0"/>
        <v/>
      </c>
      <c r="N31" s="8" t="str">
        <f t="shared" si="1"/>
        <v/>
      </c>
      <c r="O31" s="8" t="str">
        <f t="shared" si="2"/>
        <v/>
      </c>
      <c r="P31" s="4"/>
      <c r="Q31" s="4"/>
    </row>
    <row r="32" spans="1:17" ht="33.950000000000003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7" t="str">
        <f t="shared" si="0"/>
        <v/>
      </c>
      <c r="N32" s="8" t="str">
        <f t="shared" si="1"/>
        <v/>
      </c>
      <c r="O32" s="8" t="str">
        <f t="shared" si="2"/>
        <v/>
      </c>
      <c r="P32" s="4"/>
      <c r="Q32" s="4"/>
    </row>
    <row r="33" spans="1:17" ht="33.950000000000003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7" t="str">
        <f t="shared" si="0"/>
        <v/>
      </c>
      <c r="N33" s="8" t="str">
        <f t="shared" si="1"/>
        <v/>
      </c>
      <c r="O33" s="8" t="str">
        <f t="shared" si="2"/>
        <v/>
      </c>
      <c r="P33" s="4"/>
      <c r="Q33" s="4"/>
    </row>
    <row r="34" spans="1:17" ht="33.950000000000003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7" t="str">
        <f t="shared" si="0"/>
        <v/>
      </c>
      <c r="N34" s="8" t="str">
        <f t="shared" si="1"/>
        <v/>
      </c>
      <c r="O34" s="8" t="str">
        <f t="shared" si="2"/>
        <v/>
      </c>
      <c r="P34" s="4"/>
      <c r="Q34" s="4"/>
    </row>
    <row r="35" spans="1:17" ht="33.950000000000003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7" t="str">
        <f t="shared" si="0"/>
        <v/>
      </c>
      <c r="N35" s="8" t="str">
        <f t="shared" si="1"/>
        <v/>
      </c>
      <c r="O35" s="8" t="str">
        <f t="shared" si="2"/>
        <v/>
      </c>
      <c r="P35" s="4"/>
      <c r="Q35" s="4"/>
    </row>
    <row r="36" spans="1:17" ht="33.950000000000003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7" t="str">
        <f t="shared" ref="M36:M67" si="3">IF(A36="","",IFERROR((I36+J36)*L36/K36,0))</f>
        <v/>
      </c>
      <c r="N36" s="8" t="str">
        <f t="shared" ref="N36:N67" si="4">IF(M36="","",IF(M36&gt;=16,"Критический",IF(M36&gt;=10,"Высокий",IF(M36&gt;=6,"Средний",IF(M36&gt;=3,"Низкий","Отложить")))))</f>
        <v/>
      </c>
      <c r="O36" s="8" t="str">
        <f t="shared" ref="O36:O67" si="5">IF(M36="","",IF(OR(N36="Критический",N36="Высокий"),"Да",IF(N36="Средний","Кандидат","Нет")))</f>
        <v/>
      </c>
      <c r="P36" s="4"/>
      <c r="Q36" s="4"/>
    </row>
    <row r="37" spans="1:17" ht="33.950000000000003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7" t="str">
        <f t="shared" si="3"/>
        <v/>
      </c>
      <c r="N37" s="8" t="str">
        <f t="shared" si="4"/>
        <v/>
      </c>
      <c r="O37" s="8" t="str">
        <f t="shared" si="5"/>
        <v/>
      </c>
      <c r="P37" s="4"/>
      <c r="Q37" s="4"/>
    </row>
    <row r="38" spans="1:17" ht="33.950000000000003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7" t="str">
        <f t="shared" si="3"/>
        <v/>
      </c>
      <c r="N38" s="8" t="str">
        <f t="shared" si="4"/>
        <v/>
      </c>
      <c r="O38" s="8" t="str">
        <f t="shared" si="5"/>
        <v/>
      </c>
      <c r="P38" s="4"/>
      <c r="Q38" s="4"/>
    </row>
    <row r="39" spans="1:17" ht="33.950000000000003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7" t="str">
        <f t="shared" si="3"/>
        <v/>
      </c>
      <c r="N39" s="8" t="str">
        <f t="shared" si="4"/>
        <v/>
      </c>
      <c r="O39" s="8" t="str">
        <f t="shared" si="5"/>
        <v/>
      </c>
      <c r="P39" s="4"/>
      <c r="Q39" s="4"/>
    </row>
    <row r="40" spans="1:17" ht="33.950000000000003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7" t="str">
        <f t="shared" si="3"/>
        <v/>
      </c>
      <c r="N40" s="8" t="str">
        <f t="shared" si="4"/>
        <v/>
      </c>
      <c r="O40" s="8" t="str">
        <f t="shared" si="5"/>
        <v/>
      </c>
      <c r="P40" s="4"/>
      <c r="Q40" s="4"/>
    </row>
    <row r="41" spans="1:17" ht="33.950000000000003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7" t="str">
        <f t="shared" si="3"/>
        <v/>
      </c>
      <c r="N41" s="8" t="str">
        <f t="shared" si="4"/>
        <v/>
      </c>
      <c r="O41" s="8" t="str">
        <f t="shared" si="5"/>
        <v/>
      </c>
      <c r="P41" s="4"/>
      <c r="Q41" s="4"/>
    </row>
    <row r="42" spans="1:17" ht="33.950000000000003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7" t="str">
        <f t="shared" si="3"/>
        <v/>
      </c>
      <c r="N42" s="8" t="str">
        <f t="shared" si="4"/>
        <v/>
      </c>
      <c r="O42" s="8" t="str">
        <f t="shared" si="5"/>
        <v/>
      </c>
      <c r="P42" s="4"/>
      <c r="Q42" s="4"/>
    </row>
    <row r="43" spans="1:17" ht="33.950000000000003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7" t="str">
        <f t="shared" si="3"/>
        <v/>
      </c>
      <c r="N43" s="8" t="str">
        <f t="shared" si="4"/>
        <v/>
      </c>
      <c r="O43" s="8" t="str">
        <f t="shared" si="5"/>
        <v/>
      </c>
      <c r="P43" s="4"/>
      <c r="Q43" s="4"/>
    </row>
    <row r="44" spans="1:17" ht="33.950000000000003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7" t="str">
        <f t="shared" si="3"/>
        <v/>
      </c>
      <c r="N44" s="8" t="str">
        <f t="shared" si="4"/>
        <v/>
      </c>
      <c r="O44" s="8" t="str">
        <f t="shared" si="5"/>
        <v/>
      </c>
      <c r="P44" s="4"/>
      <c r="Q44" s="4"/>
    </row>
    <row r="45" spans="1:17" ht="33.950000000000003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7" t="str">
        <f t="shared" si="3"/>
        <v/>
      </c>
      <c r="N45" s="8" t="str">
        <f t="shared" si="4"/>
        <v/>
      </c>
      <c r="O45" s="8" t="str">
        <f t="shared" si="5"/>
        <v/>
      </c>
      <c r="P45" s="4"/>
      <c r="Q45" s="4"/>
    </row>
    <row r="46" spans="1:17" ht="33.950000000000003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7" t="str">
        <f t="shared" si="3"/>
        <v/>
      </c>
      <c r="N46" s="8" t="str">
        <f t="shared" si="4"/>
        <v/>
      </c>
      <c r="O46" s="8" t="str">
        <f t="shared" si="5"/>
        <v/>
      </c>
      <c r="P46" s="4"/>
      <c r="Q46" s="4"/>
    </row>
    <row r="47" spans="1:17" ht="33.950000000000003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7" t="str">
        <f t="shared" si="3"/>
        <v/>
      </c>
      <c r="N47" s="8" t="str">
        <f t="shared" si="4"/>
        <v/>
      </c>
      <c r="O47" s="8" t="str">
        <f t="shared" si="5"/>
        <v/>
      </c>
      <c r="P47" s="4"/>
      <c r="Q47" s="4"/>
    </row>
    <row r="48" spans="1:17" ht="33.950000000000003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7" t="str">
        <f t="shared" si="3"/>
        <v/>
      </c>
      <c r="N48" s="8" t="str">
        <f t="shared" si="4"/>
        <v/>
      </c>
      <c r="O48" s="8" t="str">
        <f t="shared" si="5"/>
        <v/>
      </c>
      <c r="P48" s="4"/>
      <c r="Q48" s="4"/>
    </row>
    <row r="49" spans="1:17" ht="33.950000000000003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7" t="str">
        <f t="shared" si="3"/>
        <v/>
      </c>
      <c r="N49" s="8" t="str">
        <f t="shared" si="4"/>
        <v/>
      </c>
      <c r="O49" s="8" t="str">
        <f t="shared" si="5"/>
        <v/>
      </c>
      <c r="P49" s="4"/>
      <c r="Q49" s="4"/>
    </row>
    <row r="50" spans="1:17" ht="33.950000000000003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7" t="str">
        <f t="shared" si="3"/>
        <v/>
      </c>
      <c r="N50" s="8" t="str">
        <f t="shared" si="4"/>
        <v/>
      </c>
      <c r="O50" s="8" t="str">
        <f t="shared" si="5"/>
        <v/>
      </c>
      <c r="P50" s="4"/>
      <c r="Q50" s="4"/>
    </row>
    <row r="51" spans="1:17" ht="33.950000000000003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7" t="str">
        <f t="shared" si="3"/>
        <v/>
      </c>
      <c r="N51" s="8" t="str">
        <f t="shared" si="4"/>
        <v/>
      </c>
      <c r="O51" s="8" t="str">
        <f t="shared" si="5"/>
        <v/>
      </c>
      <c r="P51" s="4"/>
      <c r="Q51" s="4"/>
    </row>
    <row r="52" spans="1:17" ht="33.950000000000003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7" t="str">
        <f t="shared" si="3"/>
        <v/>
      </c>
      <c r="N52" s="8" t="str">
        <f t="shared" si="4"/>
        <v/>
      </c>
      <c r="O52" s="8" t="str">
        <f t="shared" si="5"/>
        <v/>
      </c>
      <c r="P52" s="4"/>
      <c r="Q52" s="4"/>
    </row>
    <row r="53" spans="1:17" ht="33.950000000000003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7" t="str">
        <f t="shared" si="3"/>
        <v/>
      </c>
      <c r="N53" s="8" t="str">
        <f t="shared" si="4"/>
        <v/>
      </c>
      <c r="O53" s="8" t="str">
        <f t="shared" si="5"/>
        <v/>
      </c>
      <c r="P53" s="4"/>
      <c r="Q53" s="4"/>
    </row>
    <row r="54" spans="1:17" ht="33.950000000000003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7" t="str">
        <f t="shared" si="3"/>
        <v/>
      </c>
      <c r="N54" s="8" t="str">
        <f t="shared" si="4"/>
        <v/>
      </c>
      <c r="O54" s="8" t="str">
        <f t="shared" si="5"/>
        <v/>
      </c>
      <c r="P54" s="4"/>
      <c r="Q54" s="4"/>
    </row>
    <row r="55" spans="1:17" ht="33.950000000000003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7" t="str">
        <f t="shared" si="3"/>
        <v/>
      </c>
      <c r="N55" s="8" t="str">
        <f t="shared" si="4"/>
        <v/>
      </c>
      <c r="O55" s="8" t="str">
        <f t="shared" si="5"/>
        <v/>
      </c>
      <c r="P55" s="4"/>
      <c r="Q55" s="4"/>
    </row>
    <row r="56" spans="1:17" ht="33.950000000000003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7" t="str">
        <f t="shared" si="3"/>
        <v/>
      </c>
      <c r="N56" s="8" t="str">
        <f t="shared" si="4"/>
        <v/>
      </c>
      <c r="O56" s="8" t="str">
        <f t="shared" si="5"/>
        <v/>
      </c>
      <c r="P56" s="4"/>
      <c r="Q56" s="4"/>
    </row>
    <row r="57" spans="1:17" ht="33.950000000000003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7" t="str">
        <f t="shared" si="3"/>
        <v/>
      </c>
      <c r="N57" s="8" t="str">
        <f t="shared" si="4"/>
        <v/>
      </c>
      <c r="O57" s="8" t="str">
        <f t="shared" si="5"/>
        <v/>
      </c>
      <c r="P57" s="4"/>
      <c r="Q57" s="4"/>
    </row>
    <row r="58" spans="1:17" ht="33.950000000000003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7" t="str">
        <f t="shared" si="3"/>
        <v/>
      </c>
      <c r="N58" s="8" t="str">
        <f t="shared" si="4"/>
        <v/>
      </c>
      <c r="O58" s="8" t="str">
        <f t="shared" si="5"/>
        <v/>
      </c>
      <c r="P58" s="4"/>
      <c r="Q58" s="4"/>
    </row>
    <row r="59" spans="1:17" ht="33.950000000000003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7" t="str">
        <f t="shared" si="3"/>
        <v/>
      </c>
      <c r="N59" s="8" t="str">
        <f t="shared" si="4"/>
        <v/>
      </c>
      <c r="O59" s="8" t="str">
        <f t="shared" si="5"/>
        <v/>
      </c>
      <c r="P59" s="4"/>
      <c r="Q59" s="4"/>
    </row>
    <row r="60" spans="1:17" ht="33.950000000000003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7" t="str">
        <f t="shared" si="3"/>
        <v/>
      </c>
      <c r="N60" s="8" t="str">
        <f t="shared" si="4"/>
        <v/>
      </c>
      <c r="O60" s="8" t="str">
        <f t="shared" si="5"/>
        <v/>
      </c>
      <c r="P60" s="4"/>
      <c r="Q60" s="4"/>
    </row>
    <row r="61" spans="1:17" ht="33.950000000000003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7" t="str">
        <f t="shared" si="3"/>
        <v/>
      </c>
      <c r="N61" s="8" t="str">
        <f t="shared" si="4"/>
        <v/>
      </c>
      <c r="O61" s="8" t="str">
        <f t="shared" si="5"/>
        <v/>
      </c>
      <c r="P61" s="4"/>
      <c r="Q61" s="4"/>
    </row>
    <row r="62" spans="1:17" ht="33.950000000000003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7" t="str">
        <f t="shared" si="3"/>
        <v/>
      </c>
      <c r="N62" s="8" t="str">
        <f t="shared" si="4"/>
        <v/>
      </c>
      <c r="O62" s="8" t="str">
        <f t="shared" si="5"/>
        <v/>
      </c>
      <c r="P62" s="4"/>
      <c r="Q62" s="4"/>
    </row>
    <row r="63" spans="1:17" ht="33.950000000000003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7" t="str">
        <f t="shared" si="3"/>
        <v/>
      </c>
      <c r="N63" s="8" t="str">
        <f t="shared" si="4"/>
        <v/>
      </c>
      <c r="O63" s="8" t="str">
        <f t="shared" si="5"/>
        <v/>
      </c>
      <c r="P63" s="4"/>
      <c r="Q63" s="4"/>
    </row>
    <row r="64" spans="1:17" ht="33.950000000000003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7" t="str">
        <f t="shared" si="3"/>
        <v/>
      </c>
      <c r="N64" s="8" t="str">
        <f t="shared" si="4"/>
        <v/>
      </c>
      <c r="O64" s="8" t="str">
        <f t="shared" si="5"/>
        <v/>
      </c>
      <c r="P64" s="4"/>
      <c r="Q64" s="4"/>
    </row>
    <row r="65" spans="1:17" ht="33.950000000000003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7" t="str">
        <f t="shared" si="3"/>
        <v/>
      </c>
      <c r="N65" s="8" t="str">
        <f t="shared" si="4"/>
        <v/>
      </c>
      <c r="O65" s="8" t="str">
        <f t="shared" si="5"/>
        <v/>
      </c>
      <c r="P65" s="4"/>
      <c r="Q65" s="4"/>
    </row>
    <row r="66" spans="1:17" ht="33.950000000000003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7" t="str">
        <f t="shared" si="3"/>
        <v/>
      </c>
      <c r="N66" s="8" t="str">
        <f t="shared" si="4"/>
        <v/>
      </c>
      <c r="O66" s="8" t="str">
        <f t="shared" si="5"/>
        <v/>
      </c>
      <c r="P66" s="4"/>
      <c r="Q66" s="4"/>
    </row>
    <row r="67" spans="1:17" ht="33.950000000000003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7" t="str">
        <f t="shared" si="3"/>
        <v/>
      </c>
      <c r="N67" s="8" t="str">
        <f t="shared" si="4"/>
        <v/>
      </c>
      <c r="O67" s="8" t="str">
        <f t="shared" si="5"/>
        <v/>
      </c>
      <c r="P67" s="4"/>
      <c r="Q67" s="4"/>
    </row>
    <row r="68" spans="1:17" ht="33.950000000000003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7" t="str">
        <f t="shared" ref="M68:M99" si="6">IF(A68="","",IFERROR((I68+J68)*L68/K68,0))</f>
        <v/>
      </c>
      <c r="N68" s="8" t="str">
        <f t="shared" ref="N68:N99" si="7">IF(M68="","",IF(M68&gt;=16,"Критический",IF(M68&gt;=10,"Высокий",IF(M68&gt;=6,"Средний",IF(M68&gt;=3,"Низкий","Отложить")))))</f>
        <v/>
      </c>
      <c r="O68" s="8" t="str">
        <f t="shared" ref="O68:O99" si="8">IF(M68="","",IF(OR(N68="Критический",N68="Высокий"),"Да",IF(N68="Средний","Кандидат","Нет")))</f>
        <v/>
      </c>
      <c r="P68" s="4"/>
      <c r="Q68" s="4"/>
    </row>
    <row r="69" spans="1:17" ht="33.950000000000003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7" t="str">
        <f t="shared" si="6"/>
        <v/>
      </c>
      <c r="N69" s="8" t="str">
        <f t="shared" si="7"/>
        <v/>
      </c>
      <c r="O69" s="8" t="str">
        <f t="shared" si="8"/>
        <v/>
      </c>
      <c r="P69" s="4"/>
      <c r="Q69" s="4"/>
    </row>
    <row r="70" spans="1:17" ht="33.950000000000003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7" t="str">
        <f t="shared" si="6"/>
        <v/>
      </c>
      <c r="N70" s="8" t="str">
        <f t="shared" si="7"/>
        <v/>
      </c>
      <c r="O70" s="8" t="str">
        <f t="shared" si="8"/>
        <v/>
      </c>
      <c r="P70" s="4"/>
      <c r="Q70" s="4"/>
    </row>
    <row r="71" spans="1:17" ht="33.950000000000003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7" t="str">
        <f t="shared" si="6"/>
        <v/>
      </c>
      <c r="N71" s="8" t="str">
        <f t="shared" si="7"/>
        <v/>
      </c>
      <c r="O71" s="8" t="str">
        <f t="shared" si="8"/>
        <v/>
      </c>
      <c r="P71" s="4"/>
      <c r="Q71" s="4"/>
    </row>
    <row r="72" spans="1:17" ht="33.950000000000003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7" t="str">
        <f t="shared" si="6"/>
        <v/>
      </c>
      <c r="N72" s="8" t="str">
        <f t="shared" si="7"/>
        <v/>
      </c>
      <c r="O72" s="8" t="str">
        <f t="shared" si="8"/>
        <v/>
      </c>
      <c r="P72" s="4"/>
      <c r="Q72" s="4"/>
    </row>
    <row r="73" spans="1:17" ht="33.950000000000003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7" t="str">
        <f t="shared" si="6"/>
        <v/>
      </c>
      <c r="N73" s="8" t="str">
        <f t="shared" si="7"/>
        <v/>
      </c>
      <c r="O73" s="8" t="str">
        <f t="shared" si="8"/>
        <v/>
      </c>
      <c r="P73" s="4"/>
      <c r="Q73" s="4"/>
    </row>
    <row r="74" spans="1:17" ht="33.950000000000003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7" t="str">
        <f t="shared" si="6"/>
        <v/>
      </c>
      <c r="N74" s="8" t="str">
        <f t="shared" si="7"/>
        <v/>
      </c>
      <c r="O74" s="8" t="str">
        <f t="shared" si="8"/>
        <v/>
      </c>
      <c r="P74" s="4"/>
      <c r="Q74" s="4"/>
    </row>
    <row r="75" spans="1:17" ht="33.950000000000003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7" t="str">
        <f t="shared" si="6"/>
        <v/>
      </c>
      <c r="N75" s="8" t="str">
        <f t="shared" si="7"/>
        <v/>
      </c>
      <c r="O75" s="8" t="str">
        <f t="shared" si="8"/>
        <v/>
      </c>
      <c r="P75" s="4"/>
      <c r="Q75" s="4"/>
    </row>
    <row r="76" spans="1:17" ht="33.950000000000003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7" t="str">
        <f t="shared" si="6"/>
        <v/>
      </c>
      <c r="N76" s="8" t="str">
        <f t="shared" si="7"/>
        <v/>
      </c>
      <c r="O76" s="8" t="str">
        <f t="shared" si="8"/>
        <v/>
      </c>
      <c r="P76" s="4"/>
      <c r="Q76" s="4"/>
    </row>
    <row r="77" spans="1:17" ht="33.950000000000003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7" t="str">
        <f t="shared" si="6"/>
        <v/>
      </c>
      <c r="N77" s="8" t="str">
        <f t="shared" si="7"/>
        <v/>
      </c>
      <c r="O77" s="8" t="str">
        <f t="shared" si="8"/>
        <v/>
      </c>
      <c r="P77" s="4"/>
      <c r="Q77" s="4"/>
    </row>
    <row r="78" spans="1:17" ht="33.950000000000003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7" t="str">
        <f t="shared" si="6"/>
        <v/>
      </c>
      <c r="N78" s="8" t="str">
        <f t="shared" si="7"/>
        <v/>
      </c>
      <c r="O78" s="8" t="str">
        <f t="shared" si="8"/>
        <v/>
      </c>
      <c r="P78" s="4"/>
      <c r="Q78" s="4"/>
    </row>
    <row r="79" spans="1:17" ht="33.950000000000003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7" t="str">
        <f t="shared" si="6"/>
        <v/>
      </c>
      <c r="N79" s="8" t="str">
        <f t="shared" si="7"/>
        <v/>
      </c>
      <c r="O79" s="8" t="str">
        <f t="shared" si="8"/>
        <v/>
      </c>
      <c r="P79" s="4"/>
      <c r="Q79" s="4"/>
    </row>
    <row r="80" spans="1:17" ht="33.950000000000003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7" t="str">
        <f t="shared" si="6"/>
        <v/>
      </c>
      <c r="N80" s="8" t="str">
        <f t="shared" si="7"/>
        <v/>
      </c>
      <c r="O80" s="8" t="str">
        <f t="shared" si="8"/>
        <v/>
      </c>
      <c r="P80" s="4"/>
      <c r="Q80" s="4"/>
    </row>
    <row r="81" spans="1:17" ht="33.950000000000003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7" t="str">
        <f t="shared" si="6"/>
        <v/>
      </c>
      <c r="N81" s="8" t="str">
        <f t="shared" si="7"/>
        <v/>
      </c>
      <c r="O81" s="8" t="str">
        <f t="shared" si="8"/>
        <v/>
      </c>
      <c r="P81" s="4"/>
      <c r="Q81" s="4"/>
    </row>
    <row r="82" spans="1:17" ht="33.950000000000003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7" t="str">
        <f t="shared" si="6"/>
        <v/>
      </c>
      <c r="N82" s="8" t="str">
        <f t="shared" si="7"/>
        <v/>
      </c>
      <c r="O82" s="8" t="str">
        <f t="shared" si="8"/>
        <v/>
      </c>
      <c r="P82" s="4"/>
      <c r="Q82" s="4"/>
    </row>
    <row r="83" spans="1:17" ht="33.950000000000003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7" t="str">
        <f t="shared" si="6"/>
        <v/>
      </c>
      <c r="N83" s="8" t="str">
        <f t="shared" si="7"/>
        <v/>
      </c>
      <c r="O83" s="8" t="str">
        <f t="shared" si="8"/>
        <v/>
      </c>
      <c r="P83" s="4"/>
      <c r="Q83" s="4"/>
    </row>
    <row r="84" spans="1:17" ht="33.950000000000003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7" t="str">
        <f t="shared" si="6"/>
        <v/>
      </c>
      <c r="N84" s="8" t="str">
        <f t="shared" si="7"/>
        <v/>
      </c>
      <c r="O84" s="8" t="str">
        <f t="shared" si="8"/>
        <v/>
      </c>
      <c r="P84" s="4"/>
      <c r="Q84" s="4"/>
    </row>
    <row r="85" spans="1:17" ht="33.950000000000003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7" t="str">
        <f t="shared" si="6"/>
        <v/>
      </c>
      <c r="N85" s="8" t="str">
        <f t="shared" si="7"/>
        <v/>
      </c>
      <c r="O85" s="8" t="str">
        <f t="shared" si="8"/>
        <v/>
      </c>
      <c r="P85" s="4"/>
      <c r="Q85" s="4"/>
    </row>
    <row r="86" spans="1:17" ht="33.950000000000003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7" t="str">
        <f t="shared" si="6"/>
        <v/>
      </c>
      <c r="N86" s="8" t="str">
        <f t="shared" si="7"/>
        <v/>
      </c>
      <c r="O86" s="8" t="str">
        <f t="shared" si="8"/>
        <v/>
      </c>
      <c r="P86" s="4"/>
      <c r="Q86" s="4"/>
    </row>
    <row r="87" spans="1:17" ht="33.950000000000003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7" t="str">
        <f t="shared" si="6"/>
        <v/>
      </c>
      <c r="N87" s="8" t="str">
        <f t="shared" si="7"/>
        <v/>
      </c>
      <c r="O87" s="8" t="str">
        <f t="shared" si="8"/>
        <v/>
      </c>
      <c r="P87" s="4"/>
      <c r="Q87" s="4"/>
    </row>
    <row r="88" spans="1:17" ht="33.950000000000003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7" t="str">
        <f t="shared" si="6"/>
        <v/>
      </c>
      <c r="N88" s="8" t="str">
        <f t="shared" si="7"/>
        <v/>
      </c>
      <c r="O88" s="8" t="str">
        <f t="shared" si="8"/>
        <v/>
      </c>
      <c r="P88" s="4"/>
      <c r="Q88" s="4"/>
    </row>
    <row r="89" spans="1:17" ht="33.950000000000003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7" t="str">
        <f t="shared" si="6"/>
        <v/>
      </c>
      <c r="N89" s="8" t="str">
        <f t="shared" si="7"/>
        <v/>
      </c>
      <c r="O89" s="8" t="str">
        <f t="shared" si="8"/>
        <v/>
      </c>
      <c r="P89" s="4"/>
      <c r="Q89" s="4"/>
    </row>
    <row r="90" spans="1:17" ht="33.950000000000003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7" t="str">
        <f t="shared" si="6"/>
        <v/>
      </c>
      <c r="N90" s="8" t="str">
        <f t="shared" si="7"/>
        <v/>
      </c>
      <c r="O90" s="8" t="str">
        <f t="shared" si="8"/>
        <v/>
      </c>
      <c r="P90" s="4"/>
      <c r="Q90" s="4"/>
    </row>
    <row r="91" spans="1:17" ht="33.950000000000003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7" t="str">
        <f t="shared" si="6"/>
        <v/>
      </c>
      <c r="N91" s="8" t="str">
        <f t="shared" si="7"/>
        <v/>
      </c>
      <c r="O91" s="8" t="str">
        <f t="shared" si="8"/>
        <v/>
      </c>
      <c r="P91" s="4"/>
      <c r="Q91" s="4"/>
    </row>
    <row r="92" spans="1:17" ht="33.950000000000003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7" t="str">
        <f t="shared" si="6"/>
        <v/>
      </c>
      <c r="N92" s="8" t="str">
        <f t="shared" si="7"/>
        <v/>
      </c>
      <c r="O92" s="8" t="str">
        <f t="shared" si="8"/>
        <v/>
      </c>
      <c r="P92" s="4"/>
      <c r="Q92" s="4"/>
    </row>
    <row r="93" spans="1:17" ht="33.950000000000003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7" t="str">
        <f t="shared" si="6"/>
        <v/>
      </c>
      <c r="N93" s="8" t="str">
        <f t="shared" si="7"/>
        <v/>
      </c>
      <c r="O93" s="8" t="str">
        <f t="shared" si="8"/>
        <v/>
      </c>
      <c r="P93" s="4"/>
      <c r="Q93" s="4"/>
    </row>
    <row r="94" spans="1:17" ht="33.950000000000003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7" t="str">
        <f t="shared" si="6"/>
        <v/>
      </c>
      <c r="N94" s="8" t="str">
        <f t="shared" si="7"/>
        <v/>
      </c>
      <c r="O94" s="8" t="str">
        <f t="shared" si="8"/>
        <v/>
      </c>
      <c r="P94" s="4"/>
      <c r="Q94" s="4"/>
    </row>
    <row r="95" spans="1:17" ht="33.950000000000003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7" t="str">
        <f t="shared" si="6"/>
        <v/>
      </c>
      <c r="N95" s="8" t="str">
        <f t="shared" si="7"/>
        <v/>
      </c>
      <c r="O95" s="8" t="str">
        <f t="shared" si="8"/>
        <v/>
      </c>
      <c r="P95" s="4"/>
      <c r="Q95" s="4"/>
    </row>
    <row r="96" spans="1:17" ht="33.950000000000003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7" t="str">
        <f t="shared" si="6"/>
        <v/>
      </c>
      <c r="N96" s="8" t="str">
        <f t="shared" si="7"/>
        <v/>
      </c>
      <c r="O96" s="8" t="str">
        <f t="shared" si="8"/>
        <v/>
      </c>
      <c r="P96" s="4"/>
      <c r="Q96" s="4"/>
    </row>
    <row r="97" spans="1:17" ht="33.950000000000003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7" t="str">
        <f t="shared" si="6"/>
        <v/>
      </c>
      <c r="N97" s="8" t="str">
        <f t="shared" si="7"/>
        <v/>
      </c>
      <c r="O97" s="8" t="str">
        <f t="shared" si="8"/>
        <v/>
      </c>
      <c r="P97" s="4"/>
      <c r="Q97" s="4"/>
    </row>
    <row r="98" spans="1:17" ht="33.950000000000003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7" t="str">
        <f t="shared" si="6"/>
        <v/>
      </c>
      <c r="N98" s="8" t="str">
        <f t="shared" si="7"/>
        <v/>
      </c>
      <c r="O98" s="8" t="str">
        <f t="shared" si="8"/>
        <v/>
      </c>
      <c r="P98" s="4"/>
      <c r="Q98" s="4"/>
    </row>
    <row r="99" spans="1:17" ht="33.950000000000003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7" t="str">
        <f t="shared" si="6"/>
        <v/>
      </c>
      <c r="N99" s="8" t="str">
        <f t="shared" si="7"/>
        <v/>
      </c>
      <c r="O99" s="8" t="str">
        <f t="shared" si="8"/>
        <v/>
      </c>
      <c r="P99" s="4"/>
      <c r="Q99" s="4"/>
    </row>
    <row r="100" spans="1:17" ht="33.950000000000003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7" t="str">
        <f t="shared" ref="M100:M131" si="9">IF(A100="","",IFERROR((I100+J100)*L100/K100,0))</f>
        <v/>
      </c>
      <c r="N100" s="8" t="str">
        <f t="shared" ref="N100:N131" si="10">IF(M100="","",IF(M100&gt;=16,"Критический",IF(M100&gt;=10,"Высокий",IF(M100&gt;=6,"Средний",IF(M100&gt;=3,"Низкий","Отложить")))))</f>
        <v/>
      </c>
      <c r="O100" s="8" t="str">
        <f t="shared" ref="O100:O131" si="11">IF(M100="","",IF(OR(N100="Критический",N100="Высокий"),"Да",IF(N100="Средний","Кандидат","Нет")))</f>
        <v/>
      </c>
      <c r="P100" s="4"/>
      <c r="Q100" s="4"/>
    </row>
    <row r="101" spans="1:17" ht="33.950000000000003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7" t="str">
        <f t="shared" si="9"/>
        <v/>
      </c>
      <c r="N101" s="8" t="str">
        <f t="shared" si="10"/>
        <v/>
      </c>
      <c r="O101" s="8" t="str">
        <f t="shared" si="11"/>
        <v/>
      </c>
      <c r="P101" s="4"/>
      <c r="Q101" s="4"/>
    </row>
    <row r="102" spans="1:17" ht="33.950000000000003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7" t="str">
        <f t="shared" si="9"/>
        <v/>
      </c>
      <c r="N102" s="8" t="str">
        <f t="shared" si="10"/>
        <v/>
      </c>
      <c r="O102" s="8" t="str">
        <f t="shared" si="11"/>
        <v/>
      </c>
      <c r="P102" s="4"/>
      <c r="Q102" s="4"/>
    </row>
    <row r="103" spans="1:17" ht="33.950000000000003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7" t="str">
        <f t="shared" si="9"/>
        <v/>
      </c>
      <c r="N103" s="8" t="str">
        <f t="shared" si="10"/>
        <v/>
      </c>
      <c r="O103" s="8" t="str">
        <f t="shared" si="11"/>
        <v/>
      </c>
      <c r="P103" s="4"/>
      <c r="Q103" s="4"/>
    </row>
    <row r="104" spans="1:17" ht="33.950000000000003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7" t="str">
        <f t="shared" si="9"/>
        <v/>
      </c>
      <c r="N104" s="8" t="str">
        <f t="shared" si="10"/>
        <v/>
      </c>
      <c r="O104" s="8" t="str">
        <f t="shared" si="11"/>
        <v/>
      </c>
      <c r="P104" s="4"/>
      <c r="Q104" s="4"/>
    </row>
    <row r="105" spans="1:17" ht="33.950000000000003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7" t="str">
        <f t="shared" si="9"/>
        <v/>
      </c>
      <c r="N105" s="8" t="str">
        <f t="shared" si="10"/>
        <v/>
      </c>
      <c r="O105" s="8" t="str">
        <f t="shared" si="11"/>
        <v/>
      </c>
      <c r="P105" s="4"/>
      <c r="Q105" s="4"/>
    </row>
    <row r="106" spans="1:17" ht="33.950000000000003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7" t="str">
        <f t="shared" si="9"/>
        <v/>
      </c>
      <c r="N106" s="8" t="str">
        <f t="shared" si="10"/>
        <v/>
      </c>
      <c r="O106" s="8" t="str">
        <f t="shared" si="11"/>
        <v/>
      </c>
      <c r="P106" s="4"/>
      <c r="Q106" s="4"/>
    </row>
    <row r="107" spans="1:17" ht="33.950000000000003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7" t="str">
        <f t="shared" si="9"/>
        <v/>
      </c>
      <c r="N107" s="8" t="str">
        <f t="shared" si="10"/>
        <v/>
      </c>
      <c r="O107" s="8" t="str">
        <f t="shared" si="11"/>
        <v/>
      </c>
      <c r="P107" s="4"/>
      <c r="Q107" s="4"/>
    </row>
    <row r="108" spans="1:17" ht="33.950000000000003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7" t="str">
        <f t="shared" si="9"/>
        <v/>
      </c>
      <c r="N108" s="8" t="str">
        <f t="shared" si="10"/>
        <v/>
      </c>
      <c r="O108" s="8" t="str">
        <f t="shared" si="11"/>
        <v/>
      </c>
      <c r="P108" s="4"/>
      <c r="Q108" s="4"/>
    </row>
    <row r="109" spans="1:17" ht="33.950000000000003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7" t="str">
        <f t="shared" si="9"/>
        <v/>
      </c>
      <c r="N109" s="8" t="str">
        <f t="shared" si="10"/>
        <v/>
      </c>
      <c r="O109" s="8" t="str">
        <f t="shared" si="11"/>
        <v/>
      </c>
      <c r="P109" s="4"/>
      <c r="Q109" s="4"/>
    </row>
    <row r="110" spans="1:17" ht="33.950000000000003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7" t="str">
        <f t="shared" si="9"/>
        <v/>
      </c>
      <c r="N110" s="8" t="str">
        <f t="shared" si="10"/>
        <v/>
      </c>
      <c r="O110" s="8" t="str">
        <f t="shared" si="11"/>
        <v/>
      </c>
      <c r="P110" s="4"/>
      <c r="Q110" s="4"/>
    </row>
    <row r="111" spans="1:17" ht="33.950000000000003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7" t="str">
        <f t="shared" si="9"/>
        <v/>
      </c>
      <c r="N111" s="8" t="str">
        <f t="shared" si="10"/>
        <v/>
      </c>
      <c r="O111" s="8" t="str">
        <f t="shared" si="11"/>
        <v/>
      </c>
      <c r="P111" s="4"/>
      <c r="Q111" s="4"/>
    </row>
    <row r="112" spans="1:17" ht="33.950000000000003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7" t="str">
        <f t="shared" si="9"/>
        <v/>
      </c>
      <c r="N112" s="8" t="str">
        <f t="shared" si="10"/>
        <v/>
      </c>
      <c r="O112" s="8" t="str">
        <f t="shared" si="11"/>
        <v/>
      </c>
      <c r="P112" s="4"/>
      <c r="Q112" s="4"/>
    </row>
    <row r="113" spans="1:17" ht="33.950000000000003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7" t="str">
        <f t="shared" si="9"/>
        <v/>
      </c>
      <c r="N113" s="8" t="str">
        <f t="shared" si="10"/>
        <v/>
      </c>
      <c r="O113" s="8" t="str">
        <f t="shared" si="11"/>
        <v/>
      </c>
      <c r="P113" s="4"/>
      <c r="Q113" s="4"/>
    </row>
    <row r="114" spans="1:17" ht="33.950000000000003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7" t="str">
        <f t="shared" si="9"/>
        <v/>
      </c>
      <c r="N114" s="8" t="str">
        <f t="shared" si="10"/>
        <v/>
      </c>
      <c r="O114" s="8" t="str">
        <f t="shared" si="11"/>
        <v/>
      </c>
      <c r="P114" s="4"/>
      <c r="Q114" s="4"/>
    </row>
    <row r="115" spans="1:17" ht="33.950000000000003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7" t="str">
        <f t="shared" si="9"/>
        <v/>
      </c>
      <c r="N115" s="8" t="str">
        <f t="shared" si="10"/>
        <v/>
      </c>
      <c r="O115" s="8" t="str">
        <f t="shared" si="11"/>
        <v/>
      </c>
      <c r="P115" s="4"/>
      <c r="Q115" s="4"/>
    </row>
    <row r="116" spans="1:17" ht="33.950000000000003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7" t="str">
        <f t="shared" si="9"/>
        <v/>
      </c>
      <c r="N116" s="8" t="str">
        <f t="shared" si="10"/>
        <v/>
      </c>
      <c r="O116" s="8" t="str">
        <f t="shared" si="11"/>
        <v/>
      </c>
      <c r="P116" s="4"/>
      <c r="Q116" s="4"/>
    </row>
    <row r="117" spans="1:17" ht="33.950000000000003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7" t="str">
        <f t="shared" si="9"/>
        <v/>
      </c>
      <c r="N117" s="8" t="str">
        <f t="shared" si="10"/>
        <v/>
      </c>
      <c r="O117" s="8" t="str">
        <f t="shared" si="11"/>
        <v/>
      </c>
      <c r="P117" s="4"/>
      <c r="Q117" s="4"/>
    </row>
    <row r="118" spans="1:17" ht="33.950000000000003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7" t="str">
        <f t="shared" si="9"/>
        <v/>
      </c>
      <c r="N118" s="8" t="str">
        <f t="shared" si="10"/>
        <v/>
      </c>
      <c r="O118" s="8" t="str">
        <f t="shared" si="11"/>
        <v/>
      </c>
      <c r="P118" s="4"/>
      <c r="Q118" s="4"/>
    </row>
    <row r="119" spans="1:17" ht="33.950000000000003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7" t="str">
        <f t="shared" si="9"/>
        <v/>
      </c>
      <c r="N119" s="8" t="str">
        <f t="shared" si="10"/>
        <v/>
      </c>
      <c r="O119" s="8" t="str">
        <f t="shared" si="11"/>
        <v/>
      </c>
      <c r="P119" s="4"/>
      <c r="Q119" s="4"/>
    </row>
    <row r="120" spans="1:17" ht="33.950000000000003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7" t="str">
        <f t="shared" si="9"/>
        <v/>
      </c>
      <c r="N120" s="8" t="str">
        <f t="shared" si="10"/>
        <v/>
      </c>
      <c r="O120" s="8" t="str">
        <f t="shared" si="11"/>
        <v/>
      </c>
      <c r="P120" s="4"/>
      <c r="Q120" s="4"/>
    </row>
    <row r="121" spans="1:17" ht="33.950000000000003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7" t="str">
        <f t="shared" si="9"/>
        <v/>
      </c>
      <c r="N121" s="8" t="str">
        <f t="shared" si="10"/>
        <v/>
      </c>
      <c r="O121" s="8" t="str">
        <f t="shared" si="11"/>
        <v/>
      </c>
      <c r="P121" s="4"/>
      <c r="Q121" s="4"/>
    </row>
    <row r="122" spans="1:17" ht="33.950000000000003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7" t="str">
        <f t="shared" si="9"/>
        <v/>
      </c>
      <c r="N122" s="8" t="str">
        <f t="shared" si="10"/>
        <v/>
      </c>
      <c r="O122" s="8" t="str">
        <f t="shared" si="11"/>
        <v/>
      </c>
      <c r="P122" s="4"/>
      <c r="Q122" s="4"/>
    </row>
    <row r="123" spans="1:17" ht="33.950000000000003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7" t="str">
        <f t="shared" si="9"/>
        <v/>
      </c>
      <c r="N123" s="8" t="str">
        <f t="shared" si="10"/>
        <v/>
      </c>
      <c r="O123" s="8" t="str">
        <f t="shared" si="11"/>
        <v/>
      </c>
      <c r="P123" s="4"/>
      <c r="Q123" s="4"/>
    </row>
    <row r="124" spans="1:17" ht="33.950000000000003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7" t="str">
        <f t="shared" si="9"/>
        <v/>
      </c>
      <c r="N124" s="8" t="str">
        <f t="shared" si="10"/>
        <v/>
      </c>
      <c r="O124" s="8" t="str">
        <f t="shared" si="11"/>
        <v/>
      </c>
      <c r="P124" s="4"/>
      <c r="Q124" s="4"/>
    </row>
    <row r="125" spans="1:17" ht="33.950000000000003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7" t="str">
        <f t="shared" si="9"/>
        <v/>
      </c>
      <c r="N125" s="8" t="str">
        <f t="shared" si="10"/>
        <v/>
      </c>
      <c r="O125" s="8" t="str">
        <f t="shared" si="11"/>
        <v/>
      </c>
      <c r="P125" s="4"/>
      <c r="Q125" s="4"/>
    </row>
    <row r="126" spans="1:17" ht="33.950000000000003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7" t="str">
        <f t="shared" si="9"/>
        <v/>
      </c>
      <c r="N126" s="8" t="str">
        <f t="shared" si="10"/>
        <v/>
      </c>
      <c r="O126" s="8" t="str">
        <f t="shared" si="11"/>
        <v/>
      </c>
      <c r="P126" s="4"/>
      <c r="Q126" s="4"/>
    </row>
    <row r="127" spans="1:17" ht="33.950000000000003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7" t="str">
        <f t="shared" si="9"/>
        <v/>
      </c>
      <c r="N127" s="8" t="str">
        <f t="shared" si="10"/>
        <v/>
      </c>
      <c r="O127" s="8" t="str">
        <f t="shared" si="11"/>
        <v/>
      </c>
      <c r="P127" s="4"/>
      <c r="Q127" s="4"/>
    </row>
    <row r="128" spans="1:17" ht="33.950000000000003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7" t="str">
        <f t="shared" si="9"/>
        <v/>
      </c>
      <c r="N128" s="8" t="str">
        <f t="shared" si="10"/>
        <v/>
      </c>
      <c r="O128" s="8" t="str">
        <f t="shared" si="11"/>
        <v/>
      </c>
      <c r="P128" s="4"/>
      <c r="Q128" s="4"/>
    </row>
    <row r="129" spans="1:17" ht="33.950000000000003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7" t="str">
        <f t="shared" si="9"/>
        <v/>
      </c>
      <c r="N129" s="8" t="str">
        <f t="shared" si="10"/>
        <v/>
      </c>
      <c r="O129" s="8" t="str">
        <f t="shared" si="11"/>
        <v/>
      </c>
      <c r="P129" s="4"/>
      <c r="Q129" s="4"/>
    </row>
    <row r="130" spans="1:17" ht="33.950000000000003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7" t="str">
        <f t="shared" si="9"/>
        <v/>
      </c>
      <c r="N130" s="8" t="str">
        <f t="shared" si="10"/>
        <v/>
      </c>
      <c r="O130" s="8" t="str">
        <f t="shared" si="11"/>
        <v/>
      </c>
      <c r="P130" s="4"/>
      <c r="Q130" s="4"/>
    </row>
    <row r="131" spans="1:17" ht="33.950000000000003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7" t="str">
        <f t="shared" si="9"/>
        <v/>
      </c>
      <c r="N131" s="8" t="str">
        <f t="shared" si="10"/>
        <v/>
      </c>
      <c r="O131" s="8" t="str">
        <f t="shared" si="11"/>
        <v/>
      </c>
      <c r="P131" s="4"/>
      <c r="Q131" s="4"/>
    </row>
    <row r="132" spans="1:17" ht="33.950000000000003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7" t="str">
        <f t="shared" ref="M132:M163" si="12">IF(A132="","",IFERROR((I132+J132)*L132/K132,0))</f>
        <v/>
      </c>
      <c r="N132" s="8" t="str">
        <f t="shared" ref="N132:N163" si="13">IF(M132="","",IF(M132&gt;=16,"Критический",IF(M132&gt;=10,"Высокий",IF(M132&gt;=6,"Средний",IF(M132&gt;=3,"Низкий","Отложить")))))</f>
        <v/>
      </c>
      <c r="O132" s="8" t="str">
        <f t="shared" ref="O132:O163" si="14">IF(M132="","",IF(OR(N132="Критический",N132="Высокий"),"Да",IF(N132="Средний","Кандидат","Нет")))</f>
        <v/>
      </c>
      <c r="P132" s="4"/>
      <c r="Q132" s="4"/>
    </row>
    <row r="133" spans="1:17" ht="33.950000000000003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7" t="str">
        <f t="shared" si="12"/>
        <v/>
      </c>
      <c r="N133" s="8" t="str">
        <f t="shared" si="13"/>
        <v/>
      </c>
      <c r="O133" s="8" t="str">
        <f t="shared" si="14"/>
        <v/>
      </c>
      <c r="P133" s="4"/>
      <c r="Q133" s="4"/>
    </row>
    <row r="134" spans="1:17" ht="33.950000000000003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7" t="str">
        <f t="shared" si="12"/>
        <v/>
      </c>
      <c r="N134" s="8" t="str">
        <f t="shared" si="13"/>
        <v/>
      </c>
      <c r="O134" s="8" t="str">
        <f t="shared" si="14"/>
        <v/>
      </c>
      <c r="P134" s="4"/>
      <c r="Q134" s="4"/>
    </row>
    <row r="135" spans="1:17" ht="33.950000000000003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7" t="str">
        <f t="shared" si="12"/>
        <v/>
      </c>
      <c r="N135" s="8" t="str">
        <f t="shared" si="13"/>
        <v/>
      </c>
      <c r="O135" s="8" t="str">
        <f t="shared" si="14"/>
        <v/>
      </c>
      <c r="P135" s="4"/>
      <c r="Q135" s="4"/>
    </row>
    <row r="136" spans="1:17" ht="33.950000000000003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7" t="str">
        <f t="shared" si="12"/>
        <v/>
      </c>
      <c r="N136" s="8" t="str">
        <f t="shared" si="13"/>
        <v/>
      </c>
      <c r="O136" s="8" t="str">
        <f t="shared" si="14"/>
        <v/>
      </c>
      <c r="P136" s="4"/>
      <c r="Q136" s="4"/>
    </row>
    <row r="137" spans="1:17" ht="33.950000000000003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7" t="str">
        <f t="shared" si="12"/>
        <v/>
      </c>
      <c r="N137" s="8" t="str">
        <f t="shared" si="13"/>
        <v/>
      </c>
      <c r="O137" s="8" t="str">
        <f t="shared" si="14"/>
        <v/>
      </c>
      <c r="P137" s="4"/>
      <c r="Q137" s="4"/>
    </row>
    <row r="138" spans="1:17" ht="33.950000000000003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7" t="str">
        <f t="shared" si="12"/>
        <v/>
      </c>
      <c r="N138" s="8" t="str">
        <f t="shared" si="13"/>
        <v/>
      </c>
      <c r="O138" s="8" t="str">
        <f t="shared" si="14"/>
        <v/>
      </c>
      <c r="P138" s="4"/>
      <c r="Q138" s="4"/>
    </row>
    <row r="139" spans="1:17" ht="33.950000000000003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7" t="str">
        <f t="shared" si="12"/>
        <v/>
      </c>
      <c r="N139" s="8" t="str">
        <f t="shared" si="13"/>
        <v/>
      </c>
      <c r="O139" s="8" t="str">
        <f t="shared" si="14"/>
        <v/>
      </c>
      <c r="P139" s="4"/>
      <c r="Q139" s="4"/>
    </row>
    <row r="140" spans="1:17" ht="33.950000000000003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7" t="str">
        <f t="shared" si="12"/>
        <v/>
      </c>
      <c r="N140" s="8" t="str">
        <f t="shared" si="13"/>
        <v/>
      </c>
      <c r="O140" s="8" t="str">
        <f t="shared" si="14"/>
        <v/>
      </c>
      <c r="P140" s="4"/>
      <c r="Q140" s="4"/>
    </row>
    <row r="141" spans="1:17" ht="33.950000000000003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7" t="str">
        <f t="shared" si="12"/>
        <v/>
      </c>
      <c r="N141" s="8" t="str">
        <f t="shared" si="13"/>
        <v/>
      </c>
      <c r="O141" s="8" t="str">
        <f t="shared" si="14"/>
        <v/>
      </c>
      <c r="P141" s="4"/>
      <c r="Q141" s="4"/>
    </row>
    <row r="142" spans="1:17" ht="33.950000000000003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7" t="str">
        <f t="shared" si="12"/>
        <v/>
      </c>
      <c r="N142" s="8" t="str">
        <f t="shared" si="13"/>
        <v/>
      </c>
      <c r="O142" s="8" t="str">
        <f t="shared" si="14"/>
        <v/>
      </c>
      <c r="P142" s="4"/>
      <c r="Q142" s="4"/>
    </row>
    <row r="143" spans="1:17" ht="33.950000000000003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7" t="str">
        <f t="shared" si="12"/>
        <v/>
      </c>
      <c r="N143" s="8" t="str">
        <f t="shared" si="13"/>
        <v/>
      </c>
      <c r="O143" s="8" t="str">
        <f t="shared" si="14"/>
        <v/>
      </c>
      <c r="P143" s="4"/>
      <c r="Q143" s="4"/>
    </row>
    <row r="144" spans="1:17" ht="33.950000000000003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7" t="str">
        <f t="shared" si="12"/>
        <v/>
      </c>
      <c r="N144" s="8" t="str">
        <f t="shared" si="13"/>
        <v/>
      </c>
      <c r="O144" s="8" t="str">
        <f t="shared" si="14"/>
        <v/>
      </c>
      <c r="P144" s="4"/>
      <c r="Q144" s="4"/>
    </row>
    <row r="145" spans="1:17" ht="33.950000000000003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7" t="str">
        <f t="shared" si="12"/>
        <v/>
      </c>
      <c r="N145" s="8" t="str">
        <f t="shared" si="13"/>
        <v/>
      </c>
      <c r="O145" s="8" t="str">
        <f t="shared" si="14"/>
        <v/>
      </c>
      <c r="P145" s="4"/>
      <c r="Q145" s="4"/>
    </row>
    <row r="146" spans="1:17" ht="33.950000000000003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7" t="str">
        <f t="shared" si="12"/>
        <v/>
      </c>
      <c r="N146" s="8" t="str">
        <f t="shared" si="13"/>
        <v/>
      </c>
      <c r="O146" s="8" t="str">
        <f t="shared" si="14"/>
        <v/>
      </c>
      <c r="P146" s="4"/>
      <c r="Q146" s="4"/>
    </row>
    <row r="147" spans="1:17" ht="33.950000000000003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7" t="str">
        <f t="shared" si="12"/>
        <v/>
      </c>
      <c r="N147" s="8" t="str">
        <f t="shared" si="13"/>
        <v/>
      </c>
      <c r="O147" s="8" t="str">
        <f t="shared" si="14"/>
        <v/>
      </c>
      <c r="P147" s="4"/>
      <c r="Q147" s="4"/>
    </row>
    <row r="148" spans="1:17" ht="33.950000000000003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7" t="str">
        <f t="shared" si="12"/>
        <v/>
      </c>
      <c r="N148" s="8" t="str">
        <f t="shared" si="13"/>
        <v/>
      </c>
      <c r="O148" s="8" t="str">
        <f t="shared" si="14"/>
        <v/>
      </c>
      <c r="P148" s="4"/>
      <c r="Q148" s="4"/>
    </row>
    <row r="149" spans="1:17" ht="33.950000000000003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7" t="str">
        <f t="shared" si="12"/>
        <v/>
      </c>
      <c r="N149" s="8" t="str">
        <f t="shared" si="13"/>
        <v/>
      </c>
      <c r="O149" s="8" t="str">
        <f t="shared" si="14"/>
        <v/>
      </c>
      <c r="P149" s="4"/>
      <c r="Q149" s="4"/>
    </row>
    <row r="150" spans="1:17" ht="33.950000000000003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7" t="str">
        <f t="shared" si="12"/>
        <v/>
      </c>
      <c r="N150" s="8" t="str">
        <f t="shared" si="13"/>
        <v/>
      </c>
      <c r="O150" s="8" t="str">
        <f t="shared" si="14"/>
        <v/>
      </c>
      <c r="P150" s="4"/>
      <c r="Q150" s="4"/>
    </row>
    <row r="151" spans="1:17" ht="33.950000000000003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7" t="str">
        <f t="shared" si="12"/>
        <v/>
      </c>
      <c r="N151" s="8" t="str">
        <f t="shared" si="13"/>
        <v/>
      </c>
      <c r="O151" s="8" t="str">
        <f t="shared" si="14"/>
        <v/>
      </c>
      <c r="P151" s="4"/>
      <c r="Q151" s="4"/>
    </row>
    <row r="152" spans="1:17" ht="33.950000000000003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7" t="str">
        <f t="shared" si="12"/>
        <v/>
      </c>
      <c r="N152" s="8" t="str">
        <f t="shared" si="13"/>
        <v/>
      </c>
      <c r="O152" s="8" t="str">
        <f t="shared" si="14"/>
        <v/>
      </c>
      <c r="P152" s="4"/>
      <c r="Q152" s="4"/>
    </row>
    <row r="153" spans="1:17" ht="33.950000000000003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7" t="str">
        <f t="shared" si="12"/>
        <v/>
      </c>
      <c r="N153" s="8" t="str">
        <f t="shared" si="13"/>
        <v/>
      </c>
      <c r="O153" s="8" t="str">
        <f t="shared" si="14"/>
        <v/>
      </c>
      <c r="P153" s="4"/>
      <c r="Q153" s="4"/>
    </row>
    <row r="154" spans="1:17" ht="33.950000000000003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7" t="str">
        <f t="shared" si="12"/>
        <v/>
      </c>
      <c r="N154" s="8" t="str">
        <f t="shared" si="13"/>
        <v/>
      </c>
      <c r="O154" s="8" t="str">
        <f t="shared" si="14"/>
        <v/>
      </c>
      <c r="P154" s="4"/>
      <c r="Q154" s="4"/>
    </row>
    <row r="155" spans="1:17" ht="33.950000000000003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7" t="str">
        <f t="shared" si="12"/>
        <v/>
      </c>
      <c r="N155" s="8" t="str">
        <f t="shared" si="13"/>
        <v/>
      </c>
      <c r="O155" s="8" t="str">
        <f t="shared" si="14"/>
        <v/>
      </c>
      <c r="P155" s="4"/>
      <c r="Q155" s="4"/>
    </row>
    <row r="156" spans="1:17" ht="33.950000000000003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7" t="str">
        <f t="shared" si="12"/>
        <v/>
      </c>
      <c r="N156" s="8" t="str">
        <f t="shared" si="13"/>
        <v/>
      </c>
      <c r="O156" s="8" t="str">
        <f t="shared" si="14"/>
        <v/>
      </c>
      <c r="P156" s="4"/>
      <c r="Q156" s="4"/>
    </row>
    <row r="157" spans="1:17" ht="33.950000000000003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7" t="str">
        <f t="shared" si="12"/>
        <v/>
      </c>
      <c r="N157" s="8" t="str">
        <f t="shared" si="13"/>
        <v/>
      </c>
      <c r="O157" s="8" t="str">
        <f t="shared" si="14"/>
        <v/>
      </c>
      <c r="P157" s="4"/>
      <c r="Q157" s="4"/>
    </row>
    <row r="158" spans="1:17" ht="33.950000000000003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7" t="str">
        <f t="shared" si="12"/>
        <v/>
      </c>
      <c r="N158" s="8" t="str">
        <f t="shared" si="13"/>
        <v/>
      </c>
      <c r="O158" s="8" t="str">
        <f t="shared" si="14"/>
        <v/>
      </c>
      <c r="P158" s="4"/>
      <c r="Q158" s="4"/>
    </row>
    <row r="159" spans="1:17" ht="33.950000000000003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7" t="str">
        <f t="shared" si="12"/>
        <v/>
      </c>
      <c r="N159" s="8" t="str">
        <f t="shared" si="13"/>
        <v/>
      </c>
      <c r="O159" s="8" t="str">
        <f t="shared" si="14"/>
        <v/>
      </c>
      <c r="P159" s="4"/>
      <c r="Q159" s="4"/>
    </row>
    <row r="160" spans="1:17" ht="33.950000000000003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7" t="str">
        <f t="shared" si="12"/>
        <v/>
      </c>
      <c r="N160" s="8" t="str">
        <f t="shared" si="13"/>
        <v/>
      </c>
      <c r="O160" s="8" t="str">
        <f t="shared" si="14"/>
        <v/>
      </c>
      <c r="P160" s="4"/>
      <c r="Q160" s="4"/>
    </row>
    <row r="161" spans="1:17" ht="33.950000000000003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7" t="str">
        <f t="shared" si="12"/>
        <v/>
      </c>
      <c r="N161" s="8" t="str">
        <f t="shared" si="13"/>
        <v/>
      </c>
      <c r="O161" s="8" t="str">
        <f t="shared" si="14"/>
        <v/>
      </c>
      <c r="P161" s="4"/>
      <c r="Q161" s="4"/>
    </row>
    <row r="162" spans="1:17" ht="33.950000000000003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7" t="str">
        <f t="shared" si="12"/>
        <v/>
      </c>
      <c r="N162" s="8" t="str">
        <f t="shared" si="13"/>
        <v/>
      </c>
      <c r="O162" s="8" t="str">
        <f t="shared" si="14"/>
        <v/>
      </c>
      <c r="P162" s="4"/>
      <c r="Q162" s="4"/>
    </row>
    <row r="163" spans="1:17" ht="33.950000000000003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7" t="str">
        <f t="shared" si="12"/>
        <v/>
      </c>
      <c r="N163" s="8" t="str">
        <f t="shared" si="13"/>
        <v/>
      </c>
      <c r="O163" s="8" t="str">
        <f t="shared" si="14"/>
        <v/>
      </c>
      <c r="P163" s="4"/>
      <c r="Q163" s="4"/>
    </row>
    <row r="164" spans="1:17" ht="33.950000000000003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7" t="str">
        <f t="shared" ref="M164:M195" si="15">IF(A164="","",IFERROR((I164+J164)*L164/K164,0))</f>
        <v/>
      </c>
      <c r="N164" s="8" t="str">
        <f t="shared" ref="N164:N195" si="16">IF(M164="","",IF(M164&gt;=16,"Критический",IF(M164&gt;=10,"Высокий",IF(M164&gt;=6,"Средний",IF(M164&gt;=3,"Низкий","Отложить")))))</f>
        <v/>
      </c>
      <c r="O164" s="8" t="str">
        <f t="shared" ref="O164:O195" si="17">IF(M164="","",IF(OR(N164="Критический",N164="Высокий"),"Да",IF(N164="Средний","Кандидат","Нет")))</f>
        <v/>
      </c>
      <c r="P164" s="4"/>
      <c r="Q164" s="4"/>
    </row>
    <row r="165" spans="1:17" ht="33.950000000000003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7" t="str">
        <f t="shared" si="15"/>
        <v/>
      </c>
      <c r="N165" s="8" t="str">
        <f t="shared" si="16"/>
        <v/>
      </c>
      <c r="O165" s="8" t="str">
        <f t="shared" si="17"/>
        <v/>
      </c>
      <c r="P165" s="4"/>
      <c r="Q165" s="4"/>
    </row>
    <row r="166" spans="1:17" ht="33.950000000000003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7" t="str">
        <f t="shared" si="15"/>
        <v/>
      </c>
      <c r="N166" s="8" t="str">
        <f t="shared" si="16"/>
        <v/>
      </c>
      <c r="O166" s="8" t="str">
        <f t="shared" si="17"/>
        <v/>
      </c>
      <c r="P166" s="4"/>
      <c r="Q166" s="4"/>
    </row>
    <row r="167" spans="1:17" ht="33.950000000000003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7" t="str">
        <f t="shared" si="15"/>
        <v/>
      </c>
      <c r="N167" s="8" t="str">
        <f t="shared" si="16"/>
        <v/>
      </c>
      <c r="O167" s="8" t="str">
        <f t="shared" si="17"/>
        <v/>
      </c>
      <c r="P167" s="4"/>
      <c r="Q167" s="4"/>
    </row>
    <row r="168" spans="1:17" ht="33.950000000000003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7" t="str">
        <f t="shared" si="15"/>
        <v/>
      </c>
      <c r="N168" s="8" t="str">
        <f t="shared" si="16"/>
        <v/>
      </c>
      <c r="O168" s="8" t="str">
        <f t="shared" si="17"/>
        <v/>
      </c>
      <c r="P168" s="4"/>
      <c r="Q168" s="4"/>
    </row>
    <row r="169" spans="1:17" ht="33.950000000000003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7" t="str">
        <f t="shared" si="15"/>
        <v/>
      </c>
      <c r="N169" s="8" t="str">
        <f t="shared" si="16"/>
        <v/>
      </c>
      <c r="O169" s="8" t="str">
        <f t="shared" si="17"/>
        <v/>
      </c>
      <c r="P169" s="4"/>
      <c r="Q169" s="4"/>
    </row>
    <row r="170" spans="1:17" ht="33.950000000000003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7" t="str">
        <f t="shared" si="15"/>
        <v/>
      </c>
      <c r="N170" s="8" t="str">
        <f t="shared" si="16"/>
        <v/>
      </c>
      <c r="O170" s="8" t="str">
        <f t="shared" si="17"/>
        <v/>
      </c>
      <c r="P170" s="4"/>
      <c r="Q170" s="4"/>
    </row>
    <row r="171" spans="1:17" ht="33.950000000000003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7" t="str">
        <f t="shared" si="15"/>
        <v/>
      </c>
      <c r="N171" s="8" t="str">
        <f t="shared" si="16"/>
        <v/>
      </c>
      <c r="O171" s="8" t="str">
        <f t="shared" si="17"/>
        <v/>
      </c>
      <c r="P171" s="4"/>
      <c r="Q171" s="4"/>
    </row>
    <row r="172" spans="1:17" ht="33.950000000000003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7" t="str">
        <f t="shared" si="15"/>
        <v/>
      </c>
      <c r="N172" s="8" t="str">
        <f t="shared" si="16"/>
        <v/>
      </c>
      <c r="O172" s="8" t="str">
        <f t="shared" si="17"/>
        <v/>
      </c>
      <c r="P172" s="4"/>
      <c r="Q172" s="4"/>
    </row>
    <row r="173" spans="1:17" ht="33.950000000000003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7" t="str">
        <f t="shared" si="15"/>
        <v/>
      </c>
      <c r="N173" s="8" t="str">
        <f t="shared" si="16"/>
        <v/>
      </c>
      <c r="O173" s="8" t="str">
        <f t="shared" si="17"/>
        <v/>
      </c>
      <c r="P173" s="4"/>
      <c r="Q173" s="4"/>
    </row>
    <row r="174" spans="1:17" ht="33.950000000000003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7" t="str">
        <f t="shared" si="15"/>
        <v/>
      </c>
      <c r="N174" s="8" t="str">
        <f t="shared" si="16"/>
        <v/>
      </c>
      <c r="O174" s="8" t="str">
        <f t="shared" si="17"/>
        <v/>
      </c>
      <c r="P174" s="4"/>
      <c r="Q174" s="4"/>
    </row>
    <row r="175" spans="1:17" ht="33.950000000000003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7" t="str">
        <f t="shared" si="15"/>
        <v/>
      </c>
      <c r="N175" s="8" t="str">
        <f t="shared" si="16"/>
        <v/>
      </c>
      <c r="O175" s="8" t="str">
        <f t="shared" si="17"/>
        <v/>
      </c>
      <c r="P175" s="4"/>
      <c r="Q175" s="4"/>
    </row>
    <row r="176" spans="1:17" ht="33.950000000000003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7" t="str">
        <f t="shared" si="15"/>
        <v/>
      </c>
      <c r="N176" s="8" t="str">
        <f t="shared" si="16"/>
        <v/>
      </c>
      <c r="O176" s="8" t="str">
        <f t="shared" si="17"/>
        <v/>
      </c>
      <c r="P176" s="4"/>
      <c r="Q176" s="4"/>
    </row>
    <row r="177" spans="1:17" ht="33.950000000000003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7" t="str">
        <f t="shared" si="15"/>
        <v/>
      </c>
      <c r="N177" s="8" t="str">
        <f t="shared" si="16"/>
        <v/>
      </c>
      <c r="O177" s="8" t="str">
        <f t="shared" si="17"/>
        <v/>
      </c>
      <c r="P177" s="4"/>
      <c r="Q177" s="4"/>
    </row>
    <row r="178" spans="1:17" ht="33.950000000000003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7" t="str">
        <f t="shared" si="15"/>
        <v/>
      </c>
      <c r="N178" s="8" t="str">
        <f t="shared" si="16"/>
        <v/>
      </c>
      <c r="O178" s="8" t="str">
        <f t="shared" si="17"/>
        <v/>
      </c>
      <c r="P178" s="4"/>
      <c r="Q178" s="4"/>
    </row>
    <row r="179" spans="1:17" ht="33.950000000000003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7" t="str">
        <f t="shared" si="15"/>
        <v/>
      </c>
      <c r="N179" s="8" t="str">
        <f t="shared" si="16"/>
        <v/>
      </c>
      <c r="O179" s="8" t="str">
        <f t="shared" si="17"/>
        <v/>
      </c>
      <c r="P179" s="4"/>
      <c r="Q179" s="4"/>
    </row>
    <row r="180" spans="1:17" ht="33.950000000000003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7" t="str">
        <f t="shared" si="15"/>
        <v/>
      </c>
      <c r="N180" s="8" t="str">
        <f t="shared" si="16"/>
        <v/>
      </c>
      <c r="O180" s="8" t="str">
        <f t="shared" si="17"/>
        <v/>
      </c>
      <c r="P180" s="4"/>
      <c r="Q180" s="4"/>
    </row>
    <row r="181" spans="1:17" ht="33.950000000000003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7" t="str">
        <f t="shared" si="15"/>
        <v/>
      </c>
      <c r="N181" s="8" t="str">
        <f t="shared" si="16"/>
        <v/>
      </c>
      <c r="O181" s="8" t="str">
        <f t="shared" si="17"/>
        <v/>
      </c>
      <c r="P181" s="4"/>
      <c r="Q181" s="4"/>
    </row>
    <row r="182" spans="1:17" ht="33.950000000000003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7" t="str">
        <f t="shared" si="15"/>
        <v/>
      </c>
      <c r="N182" s="8" t="str">
        <f t="shared" si="16"/>
        <v/>
      </c>
      <c r="O182" s="8" t="str">
        <f t="shared" si="17"/>
        <v/>
      </c>
      <c r="P182" s="4"/>
      <c r="Q182" s="4"/>
    </row>
    <row r="183" spans="1:17" ht="33.950000000000003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7" t="str">
        <f t="shared" si="15"/>
        <v/>
      </c>
      <c r="N183" s="8" t="str">
        <f t="shared" si="16"/>
        <v/>
      </c>
      <c r="O183" s="8" t="str">
        <f t="shared" si="17"/>
        <v/>
      </c>
      <c r="P183" s="4"/>
      <c r="Q183" s="4"/>
    </row>
    <row r="184" spans="1:17" ht="33.950000000000003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7" t="str">
        <f t="shared" si="15"/>
        <v/>
      </c>
      <c r="N184" s="8" t="str">
        <f t="shared" si="16"/>
        <v/>
      </c>
      <c r="O184" s="8" t="str">
        <f t="shared" si="17"/>
        <v/>
      </c>
      <c r="P184" s="4"/>
      <c r="Q184" s="4"/>
    </row>
    <row r="185" spans="1:17" ht="33.950000000000003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7" t="str">
        <f t="shared" si="15"/>
        <v/>
      </c>
      <c r="N185" s="8" t="str">
        <f t="shared" si="16"/>
        <v/>
      </c>
      <c r="O185" s="8" t="str">
        <f t="shared" si="17"/>
        <v/>
      </c>
      <c r="P185" s="4"/>
      <c r="Q185" s="4"/>
    </row>
    <row r="186" spans="1:17" ht="33.950000000000003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7" t="str">
        <f t="shared" si="15"/>
        <v/>
      </c>
      <c r="N186" s="8" t="str">
        <f t="shared" si="16"/>
        <v/>
      </c>
      <c r="O186" s="8" t="str">
        <f t="shared" si="17"/>
        <v/>
      </c>
      <c r="P186" s="4"/>
      <c r="Q186" s="4"/>
    </row>
    <row r="187" spans="1:17" ht="33.950000000000003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7" t="str">
        <f t="shared" si="15"/>
        <v/>
      </c>
      <c r="N187" s="8" t="str">
        <f t="shared" si="16"/>
        <v/>
      </c>
      <c r="O187" s="8" t="str">
        <f t="shared" si="17"/>
        <v/>
      </c>
      <c r="P187" s="4"/>
      <c r="Q187" s="4"/>
    </row>
    <row r="188" spans="1:17" ht="33.950000000000003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7" t="str">
        <f t="shared" si="15"/>
        <v/>
      </c>
      <c r="N188" s="8" t="str">
        <f t="shared" si="16"/>
        <v/>
      </c>
      <c r="O188" s="8" t="str">
        <f t="shared" si="17"/>
        <v/>
      </c>
      <c r="P188" s="4"/>
      <c r="Q188" s="4"/>
    </row>
    <row r="189" spans="1:17" ht="33.950000000000003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7" t="str">
        <f t="shared" si="15"/>
        <v/>
      </c>
      <c r="N189" s="8" t="str">
        <f t="shared" si="16"/>
        <v/>
      </c>
      <c r="O189" s="8" t="str">
        <f t="shared" si="17"/>
        <v/>
      </c>
      <c r="P189" s="4"/>
      <c r="Q189" s="4"/>
    </row>
    <row r="190" spans="1:17" ht="33.950000000000003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7" t="str">
        <f t="shared" si="15"/>
        <v/>
      </c>
      <c r="N190" s="8" t="str">
        <f t="shared" si="16"/>
        <v/>
      </c>
      <c r="O190" s="8" t="str">
        <f t="shared" si="17"/>
        <v/>
      </c>
      <c r="P190" s="4"/>
      <c r="Q190" s="4"/>
    </row>
    <row r="191" spans="1:17" ht="33.950000000000003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7" t="str">
        <f t="shared" si="15"/>
        <v/>
      </c>
      <c r="N191" s="8" t="str">
        <f t="shared" si="16"/>
        <v/>
      </c>
      <c r="O191" s="8" t="str">
        <f t="shared" si="17"/>
        <v/>
      </c>
      <c r="P191" s="4"/>
      <c r="Q191" s="4"/>
    </row>
    <row r="192" spans="1:17" ht="33.950000000000003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7" t="str">
        <f t="shared" si="15"/>
        <v/>
      </c>
      <c r="N192" s="8" t="str">
        <f t="shared" si="16"/>
        <v/>
      </c>
      <c r="O192" s="8" t="str">
        <f t="shared" si="17"/>
        <v/>
      </c>
      <c r="P192" s="4"/>
      <c r="Q192" s="4"/>
    </row>
    <row r="193" spans="1:17" ht="33.950000000000003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7" t="str">
        <f t="shared" si="15"/>
        <v/>
      </c>
      <c r="N193" s="8" t="str">
        <f t="shared" si="16"/>
        <v/>
      </c>
      <c r="O193" s="8" t="str">
        <f t="shared" si="17"/>
        <v/>
      </c>
      <c r="P193" s="4"/>
      <c r="Q193" s="4"/>
    </row>
    <row r="194" spans="1:17" ht="33.950000000000003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7" t="str">
        <f t="shared" si="15"/>
        <v/>
      </c>
      <c r="N194" s="8" t="str">
        <f t="shared" si="16"/>
        <v/>
      </c>
      <c r="O194" s="8" t="str">
        <f t="shared" si="17"/>
        <v/>
      </c>
      <c r="P194" s="4"/>
      <c r="Q194" s="4"/>
    </row>
    <row r="195" spans="1:17" ht="33.950000000000003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7" t="str">
        <f t="shared" si="15"/>
        <v/>
      </c>
      <c r="N195" s="8" t="str">
        <f t="shared" si="16"/>
        <v/>
      </c>
      <c r="O195" s="8" t="str">
        <f t="shared" si="17"/>
        <v/>
      </c>
      <c r="P195" s="4"/>
      <c r="Q195" s="4"/>
    </row>
    <row r="196" spans="1:17" ht="33.950000000000003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7" t="str">
        <f t="shared" ref="M196:M227" si="18">IF(A196="","",IFERROR((I196+J196)*L196/K196,0))</f>
        <v/>
      </c>
      <c r="N196" s="8" t="str">
        <f t="shared" ref="N196:N227" si="19">IF(M196="","",IF(M196&gt;=16,"Критический",IF(M196&gt;=10,"Высокий",IF(M196&gt;=6,"Средний",IF(M196&gt;=3,"Низкий","Отложить")))))</f>
        <v/>
      </c>
      <c r="O196" s="8" t="str">
        <f t="shared" ref="O196:O227" si="20">IF(M196="","",IF(OR(N196="Критический",N196="Высокий"),"Да",IF(N196="Средний","Кандидат","Нет")))</f>
        <v/>
      </c>
      <c r="P196" s="4"/>
      <c r="Q196" s="4"/>
    </row>
    <row r="197" spans="1:17" ht="33.950000000000003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7" t="str">
        <f t="shared" si="18"/>
        <v/>
      </c>
      <c r="N197" s="8" t="str">
        <f t="shared" si="19"/>
        <v/>
      </c>
      <c r="O197" s="8" t="str">
        <f t="shared" si="20"/>
        <v/>
      </c>
      <c r="P197" s="4"/>
      <c r="Q197" s="4"/>
    </row>
    <row r="198" spans="1:17" ht="33.950000000000003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7" t="str">
        <f t="shared" si="18"/>
        <v/>
      </c>
      <c r="N198" s="8" t="str">
        <f t="shared" si="19"/>
        <v/>
      </c>
      <c r="O198" s="8" t="str">
        <f t="shared" si="20"/>
        <v/>
      </c>
      <c r="P198" s="4"/>
      <c r="Q198" s="4"/>
    </row>
    <row r="199" spans="1:17" ht="33.950000000000003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7" t="str">
        <f t="shared" si="18"/>
        <v/>
      </c>
      <c r="N199" s="8" t="str">
        <f t="shared" si="19"/>
        <v/>
      </c>
      <c r="O199" s="8" t="str">
        <f t="shared" si="20"/>
        <v/>
      </c>
      <c r="P199" s="4"/>
      <c r="Q199" s="4"/>
    </row>
    <row r="200" spans="1:17" ht="33.950000000000003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7" t="str">
        <f t="shared" si="18"/>
        <v/>
      </c>
      <c r="N200" s="8" t="str">
        <f t="shared" si="19"/>
        <v/>
      </c>
      <c r="O200" s="8" t="str">
        <f t="shared" si="20"/>
        <v/>
      </c>
      <c r="P200" s="4"/>
      <c r="Q200" s="4"/>
    </row>
    <row r="201" spans="1:17" ht="33.950000000000003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7" t="str">
        <f t="shared" si="18"/>
        <v/>
      </c>
      <c r="N201" s="8" t="str">
        <f t="shared" si="19"/>
        <v/>
      </c>
      <c r="O201" s="8" t="str">
        <f t="shared" si="20"/>
        <v/>
      </c>
      <c r="P201" s="4"/>
      <c r="Q201" s="4"/>
    </row>
    <row r="202" spans="1:17" ht="33.950000000000003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7" t="str">
        <f t="shared" si="18"/>
        <v/>
      </c>
      <c r="N202" s="8" t="str">
        <f t="shared" si="19"/>
        <v/>
      </c>
      <c r="O202" s="8" t="str">
        <f t="shared" si="20"/>
        <v/>
      </c>
      <c r="P202" s="4"/>
      <c r="Q202" s="4"/>
    </row>
    <row r="203" spans="1:17" ht="33.950000000000003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7" t="str">
        <f t="shared" si="18"/>
        <v/>
      </c>
      <c r="N203" s="8" t="str">
        <f t="shared" si="19"/>
        <v/>
      </c>
      <c r="O203" s="8" t="str">
        <f t="shared" si="20"/>
        <v/>
      </c>
      <c r="P203" s="4"/>
      <c r="Q203" s="4"/>
    </row>
  </sheetData>
  <mergeCells count="1">
    <mergeCell ref="A1:Q1"/>
  </mergeCells>
  <conditionalFormatting sqref="M4:M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O4:O203">
    <cfRule type="expression" dxfId="4" priority="2">
      <formula>O4="Да"</formula>
    </cfRule>
  </conditionalFormatting>
  <dataValidations count="2">
    <dataValidation type="list" sqref="I4:K203" xr:uid="{00000000-0002-0000-0600-000003000000}">
      <formula1>"1,2,3,4,5"</formula1>
    </dataValidation>
    <dataValidation type="list" sqref="L4:L203" xr:uid="{00000000-0002-0000-0600-000004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600-000000000000}">
          <x14:formula1>
            <xm:f>Справочники!$J$4:$J$12</xm:f>
          </x14:formula1>
          <xm:sqref>D4:D203</xm:sqref>
        </x14:dataValidation>
        <x14:dataValidation type="list" xr:uid="{00000000-0002-0000-0600-000001000000}">
          <x14:formula1>
            <xm:f>Справочники!$D$32:$D$37</xm:f>
          </x14:formula1>
          <xm:sqref>G4:G203</xm:sqref>
        </x14:dataValidation>
        <x14:dataValidation type="list" xr:uid="{00000000-0002-0000-0600-000002000000}">
          <x14:formula1>
            <xm:f>Справочники!$G$32:$G$36</xm:f>
          </x14:formula1>
          <xm:sqref>H4:H203</xm:sqref>
        </x14:dataValidation>
        <x14:dataValidation type="list" xr:uid="{00000000-0002-0000-0600-000005000000}">
          <x14:formula1>
            <xm:f>Справочники!$J$18:$J$22</xm:f>
          </x14:formula1>
          <xm:sqref>P4:P203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3"/>
  <sheetViews>
    <sheetView workbookViewId="0"/>
  </sheetViews>
  <sheetFormatPr defaultRowHeight="14.25"/>
  <cols>
    <col min="1" max="1" width="16" customWidth="1"/>
    <col min="2" max="2" width="40" customWidth="1"/>
    <col min="3" max="3" width="24" customWidth="1"/>
    <col min="4" max="5" width="18" customWidth="1"/>
    <col min="6" max="6" width="20" customWidth="1"/>
    <col min="7" max="8" width="18" customWidth="1"/>
    <col min="9" max="9" width="16" customWidth="1"/>
    <col min="10" max="10" width="14" customWidth="1"/>
    <col min="11" max="11" width="16" customWidth="1"/>
    <col min="12" max="12" width="24" customWidth="1"/>
    <col min="13" max="13" width="20" customWidth="1"/>
    <col min="14" max="14" width="30" customWidth="1"/>
  </cols>
  <sheetData>
    <row r="1" spans="1:26" ht="30" customHeight="1">
      <c r="A1" s="10" t="s">
        <v>173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3.950000000000003" customHeight="1">
      <c r="A3" s="5" t="s">
        <v>174</v>
      </c>
      <c r="B3" s="5" t="s">
        <v>175</v>
      </c>
      <c r="C3" s="5" t="s">
        <v>176</v>
      </c>
      <c r="D3" s="5" t="s">
        <v>156</v>
      </c>
      <c r="E3" s="5" t="s">
        <v>177</v>
      </c>
      <c r="F3" s="5" t="s">
        <v>178</v>
      </c>
      <c r="G3" s="5" t="s">
        <v>179</v>
      </c>
      <c r="H3" s="5" t="s">
        <v>89</v>
      </c>
      <c r="I3" s="5" t="s">
        <v>180</v>
      </c>
      <c r="J3" s="5" t="s">
        <v>181</v>
      </c>
      <c r="K3" s="5" t="s">
        <v>182</v>
      </c>
      <c r="L3" s="5" t="s">
        <v>183</v>
      </c>
      <c r="M3" s="5" t="s">
        <v>184</v>
      </c>
      <c r="N3" s="5" t="s">
        <v>68</v>
      </c>
    </row>
    <row r="4" spans="1:26" ht="33.950000000000003" customHeight="1">
      <c r="A4" s="4" t="s">
        <v>185</v>
      </c>
      <c r="B4" s="4" t="s">
        <v>725</v>
      </c>
      <c r="C4" s="4" t="s">
        <v>186</v>
      </c>
      <c r="D4" s="4" t="s">
        <v>539</v>
      </c>
      <c r="E4" s="4" t="s">
        <v>726</v>
      </c>
      <c r="F4" s="4">
        <v>5</v>
      </c>
      <c r="G4" s="4">
        <v>5</v>
      </c>
      <c r="H4" s="4">
        <v>3</v>
      </c>
      <c r="I4" s="4">
        <v>4</v>
      </c>
      <c r="J4" s="4">
        <v>3</v>
      </c>
      <c r="K4" s="7">
        <f t="shared" ref="K4:K35" si="0">IF(A4="","",IFERROR((F4+G4+H4)*((6-J4)/5)/I4,0))</f>
        <v>1.95</v>
      </c>
      <c r="L4" s="8" t="str">
        <f t="shared" ref="L4:L35" si="1">IF(K4="","",IF(K4&gt;=6,"Включить в первую версию",IF(K4&gt;=4,"Включить после проверки",IF(K4&gt;=2.5,"Проверить дополнительно",IF(K4&gt;=1.5,"Отложить","Исключить")))))</f>
        <v>Отложить</v>
      </c>
      <c r="M4" s="4" t="s">
        <v>727</v>
      </c>
      <c r="N4" s="4"/>
    </row>
    <row r="5" spans="1:26" ht="33.950000000000003" customHeight="1">
      <c r="A5" s="4" t="s">
        <v>188</v>
      </c>
      <c r="B5" s="4" t="s">
        <v>728</v>
      </c>
      <c r="C5" s="4" t="s">
        <v>186</v>
      </c>
      <c r="D5" s="4" t="s">
        <v>530</v>
      </c>
      <c r="E5" s="4" t="s">
        <v>679</v>
      </c>
      <c r="F5" s="4">
        <v>5</v>
      </c>
      <c r="G5" s="4">
        <v>4</v>
      </c>
      <c r="H5" s="4">
        <v>3</v>
      </c>
      <c r="I5" s="4">
        <v>2</v>
      </c>
      <c r="J5" s="4">
        <v>2</v>
      </c>
      <c r="K5" s="7">
        <f t="shared" si="0"/>
        <v>4.8000000000000007</v>
      </c>
      <c r="L5" s="8" t="str">
        <f t="shared" si="1"/>
        <v>Включить после проверки</v>
      </c>
      <c r="M5" s="4" t="s">
        <v>187</v>
      </c>
      <c r="N5" s="4"/>
    </row>
    <row r="6" spans="1:26" ht="33.950000000000003" customHeight="1">
      <c r="A6" s="4" t="s">
        <v>558</v>
      </c>
      <c r="B6" s="4" t="s">
        <v>729</v>
      </c>
      <c r="C6" s="4" t="s">
        <v>730</v>
      </c>
      <c r="D6" s="4" t="s">
        <v>547</v>
      </c>
      <c r="E6" s="4" t="s">
        <v>731</v>
      </c>
      <c r="F6" s="4">
        <v>5</v>
      </c>
      <c r="G6" s="4">
        <v>4</v>
      </c>
      <c r="H6" s="4">
        <v>4</v>
      </c>
      <c r="I6" s="4">
        <v>2</v>
      </c>
      <c r="J6" s="4">
        <v>1</v>
      </c>
      <c r="K6" s="7">
        <f t="shared" si="0"/>
        <v>6.5</v>
      </c>
      <c r="L6" s="8" t="str">
        <f t="shared" si="1"/>
        <v>Включить в первую версию</v>
      </c>
      <c r="M6" s="4" t="s">
        <v>187</v>
      </c>
      <c r="N6" s="4"/>
    </row>
    <row r="7" spans="1:26" ht="33.950000000000003" customHeight="1">
      <c r="A7" s="4" t="s">
        <v>732</v>
      </c>
      <c r="B7" s="4" t="s">
        <v>733</v>
      </c>
      <c r="C7" s="4" t="s">
        <v>189</v>
      </c>
      <c r="D7" s="4" t="s">
        <v>425</v>
      </c>
      <c r="E7" s="4" t="s">
        <v>698</v>
      </c>
      <c r="F7" s="4">
        <v>3</v>
      </c>
      <c r="G7" s="4">
        <v>5</v>
      </c>
      <c r="H7" s="4">
        <v>2</v>
      </c>
      <c r="I7" s="4">
        <v>1</v>
      </c>
      <c r="J7" s="4">
        <v>2</v>
      </c>
      <c r="K7" s="7">
        <f t="shared" si="0"/>
        <v>8</v>
      </c>
      <c r="L7" s="8" t="str">
        <f t="shared" si="1"/>
        <v>Включить в первую версию</v>
      </c>
      <c r="M7" s="4" t="s">
        <v>187</v>
      </c>
      <c r="N7" s="4"/>
    </row>
    <row r="8" spans="1:26" ht="33.950000000000003" customHeight="1">
      <c r="A8" s="4" t="s">
        <v>532</v>
      </c>
      <c r="B8" s="4" t="s">
        <v>734</v>
      </c>
      <c r="C8" s="4" t="s">
        <v>735</v>
      </c>
      <c r="D8" s="4" t="s">
        <v>530</v>
      </c>
      <c r="E8" s="4" t="s">
        <v>708</v>
      </c>
      <c r="F8" s="4">
        <v>3</v>
      </c>
      <c r="G8" s="4">
        <v>4</v>
      </c>
      <c r="H8" s="4">
        <v>3</v>
      </c>
      <c r="I8" s="4">
        <v>1</v>
      </c>
      <c r="J8" s="4">
        <v>1</v>
      </c>
      <c r="K8" s="7">
        <f t="shared" si="0"/>
        <v>10</v>
      </c>
      <c r="L8" s="8" t="str">
        <f t="shared" si="1"/>
        <v>Включить в первую версию</v>
      </c>
      <c r="M8" s="4" t="s">
        <v>187</v>
      </c>
      <c r="N8" s="4" t="s">
        <v>736</v>
      </c>
    </row>
    <row r="9" spans="1:26" ht="33.950000000000003" customHeight="1">
      <c r="A9" s="4" t="s">
        <v>576</v>
      </c>
      <c r="B9" s="4" t="s">
        <v>737</v>
      </c>
      <c r="C9" s="4" t="s">
        <v>730</v>
      </c>
      <c r="D9" s="4" t="s">
        <v>556</v>
      </c>
      <c r="E9" s="4" t="s">
        <v>693</v>
      </c>
      <c r="F9" s="4">
        <v>4</v>
      </c>
      <c r="G9" s="4">
        <v>4</v>
      </c>
      <c r="H9" s="4">
        <v>3</v>
      </c>
      <c r="I9" s="4">
        <v>3</v>
      </c>
      <c r="J9" s="4">
        <v>2</v>
      </c>
      <c r="K9" s="7">
        <f t="shared" si="0"/>
        <v>2.9333333333333336</v>
      </c>
      <c r="L9" s="8" t="str">
        <f t="shared" si="1"/>
        <v>Проверить дополнительно</v>
      </c>
      <c r="M9" s="4" t="s">
        <v>738</v>
      </c>
      <c r="N9" s="4"/>
    </row>
    <row r="10" spans="1:26" ht="33.950000000000003" customHeight="1">
      <c r="A10" s="4" t="s">
        <v>739</v>
      </c>
      <c r="B10" s="4" t="s">
        <v>740</v>
      </c>
      <c r="C10" s="4" t="s">
        <v>730</v>
      </c>
      <c r="D10" s="4" t="s">
        <v>574</v>
      </c>
      <c r="E10" s="4" t="s">
        <v>674</v>
      </c>
      <c r="F10" s="4">
        <v>4</v>
      </c>
      <c r="G10" s="4">
        <v>3</v>
      </c>
      <c r="H10" s="4">
        <v>3</v>
      </c>
      <c r="I10" s="4">
        <v>3</v>
      </c>
      <c r="J10" s="4">
        <v>2</v>
      </c>
      <c r="K10" s="7">
        <f t="shared" si="0"/>
        <v>2.6666666666666665</v>
      </c>
      <c r="L10" s="8" t="str">
        <f t="shared" si="1"/>
        <v>Проверить дополнительно</v>
      </c>
      <c r="M10" s="4" t="s">
        <v>187</v>
      </c>
      <c r="N10" s="4"/>
    </row>
    <row r="11" spans="1:26" ht="33.950000000000003" customHeight="1">
      <c r="A11" s="4" t="s">
        <v>609</v>
      </c>
      <c r="B11" s="4" t="s">
        <v>741</v>
      </c>
      <c r="C11" s="4" t="s">
        <v>730</v>
      </c>
      <c r="D11" s="4" t="s">
        <v>590</v>
      </c>
      <c r="E11" s="4" t="s">
        <v>703</v>
      </c>
      <c r="F11" s="4">
        <v>3</v>
      </c>
      <c r="G11" s="4">
        <v>3</v>
      </c>
      <c r="H11" s="4">
        <v>2</v>
      </c>
      <c r="I11" s="4">
        <v>3</v>
      </c>
      <c r="J11" s="4">
        <v>3</v>
      </c>
      <c r="K11" s="7">
        <f t="shared" si="0"/>
        <v>1.5999999999999999</v>
      </c>
      <c r="L11" s="8" t="str">
        <f t="shared" si="1"/>
        <v>Отложить</v>
      </c>
      <c r="M11" s="4" t="s">
        <v>742</v>
      </c>
      <c r="N11" s="4"/>
    </row>
    <row r="12" spans="1:26" ht="33.950000000000003" customHeight="1">
      <c r="A12" s="4" t="s">
        <v>743</v>
      </c>
      <c r="B12" s="4" t="s">
        <v>744</v>
      </c>
      <c r="C12" s="4" t="s">
        <v>730</v>
      </c>
      <c r="D12" s="4" t="s">
        <v>574</v>
      </c>
      <c r="E12" s="4" t="s">
        <v>712</v>
      </c>
      <c r="F12" s="4">
        <v>4</v>
      </c>
      <c r="G12" s="4">
        <v>3</v>
      </c>
      <c r="H12" s="4">
        <v>2</v>
      </c>
      <c r="I12" s="4">
        <v>4</v>
      </c>
      <c r="J12" s="4">
        <v>3</v>
      </c>
      <c r="K12" s="7">
        <f t="shared" si="0"/>
        <v>1.3499999999999999</v>
      </c>
      <c r="L12" s="8" t="str">
        <f t="shared" si="1"/>
        <v>Исключить</v>
      </c>
      <c r="M12" s="4" t="s">
        <v>745</v>
      </c>
      <c r="N12" s="4"/>
    </row>
    <row r="13" spans="1:26" ht="33.950000000000003" customHeight="1">
      <c r="A13" s="4" t="s">
        <v>746</v>
      </c>
      <c r="B13" s="4" t="s">
        <v>747</v>
      </c>
      <c r="C13" s="4" t="s">
        <v>189</v>
      </c>
      <c r="D13" s="4" t="s">
        <v>425</v>
      </c>
      <c r="E13" s="4" t="s">
        <v>716</v>
      </c>
      <c r="F13" s="4">
        <v>2</v>
      </c>
      <c r="G13" s="4">
        <v>5</v>
      </c>
      <c r="H13" s="4">
        <v>2</v>
      </c>
      <c r="I13" s="4">
        <v>4</v>
      </c>
      <c r="J13" s="4">
        <v>4</v>
      </c>
      <c r="K13" s="7">
        <f t="shared" si="0"/>
        <v>0.9</v>
      </c>
      <c r="L13" s="8" t="str">
        <f t="shared" si="1"/>
        <v>Исключить</v>
      </c>
      <c r="M13" s="4" t="s">
        <v>745</v>
      </c>
      <c r="N13" s="4"/>
    </row>
    <row r="14" spans="1:26" ht="33.950000000000003" customHeight="1">
      <c r="A14" s="4" t="s">
        <v>748</v>
      </c>
      <c r="B14" s="4" t="s">
        <v>749</v>
      </c>
      <c r="C14" s="4" t="s">
        <v>186</v>
      </c>
      <c r="D14" s="4" t="s">
        <v>607</v>
      </c>
      <c r="E14" s="4" t="s">
        <v>720</v>
      </c>
      <c r="F14" s="4">
        <v>3</v>
      </c>
      <c r="G14" s="4">
        <v>3</v>
      </c>
      <c r="H14" s="4">
        <v>1</v>
      </c>
      <c r="I14" s="4">
        <v>3</v>
      </c>
      <c r="J14" s="4">
        <v>3</v>
      </c>
      <c r="K14" s="7">
        <f t="shared" si="0"/>
        <v>1.4000000000000001</v>
      </c>
      <c r="L14" s="8" t="str">
        <f t="shared" si="1"/>
        <v>Исключить</v>
      </c>
      <c r="M14" s="4" t="s">
        <v>724</v>
      </c>
      <c r="N14" s="4"/>
    </row>
    <row r="15" spans="1:26" ht="33.950000000000003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7" t="str">
        <f t="shared" si="0"/>
        <v/>
      </c>
      <c r="L15" s="8" t="str">
        <f t="shared" si="1"/>
        <v/>
      </c>
      <c r="M15" s="4"/>
      <c r="N15" s="4"/>
    </row>
    <row r="16" spans="1:26" ht="33.950000000000003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7" t="str">
        <f t="shared" si="0"/>
        <v/>
      </c>
      <c r="L16" s="8" t="str">
        <f t="shared" si="1"/>
        <v/>
      </c>
      <c r="M16" s="4"/>
      <c r="N16" s="4"/>
    </row>
    <row r="17" spans="1:14" ht="33.950000000000003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7" t="str">
        <f t="shared" si="0"/>
        <v/>
      </c>
      <c r="L17" s="8" t="str">
        <f t="shared" si="1"/>
        <v/>
      </c>
      <c r="M17" s="4"/>
      <c r="N17" s="4"/>
    </row>
    <row r="18" spans="1:14" ht="33.950000000000003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7" t="str">
        <f t="shared" si="0"/>
        <v/>
      </c>
      <c r="L18" s="8" t="str">
        <f t="shared" si="1"/>
        <v/>
      </c>
      <c r="M18" s="4"/>
      <c r="N18" s="4"/>
    </row>
    <row r="19" spans="1:14" ht="33.950000000000003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7" t="str">
        <f t="shared" si="0"/>
        <v/>
      </c>
      <c r="L19" s="8" t="str">
        <f t="shared" si="1"/>
        <v/>
      </c>
      <c r="M19" s="4"/>
      <c r="N19" s="4"/>
    </row>
    <row r="20" spans="1:14" ht="33.950000000000003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7" t="str">
        <f t="shared" si="0"/>
        <v/>
      </c>
      <c r="L20" s="8" t="str">
        <f t="shared" si="1"/>
        <v/>
      </c>
      <c r="M20" s="4"/>
      <c r="N20" s="4"/>
    </row>
    <row r="21" spans="1:14" ht="33.950000000000003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7" t="str">
        <f t="shared" si="0"/>
        <v/>
      </c>
      <c r="L21" s="8" t="str">
        <f t="shared" si="1"/>
        <v/>
      </c>
      <c r="M21" s="4"/>
      <c r="N21" s="4"/>
    </row>
    <row r="22" spans="1:14" ht="33.950000000000003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7" t="str">
        <f t="shared" si="0"/>
        <v/>
      </c>
      <c r="L22" s="8" t="str">
        <f t="shared" si="1"/>
        <v/>
      </c>
      <c r="M22" s="4"/>
      <c r="N22" s="4"/>
    </row>
    <row r="23" spans="1:14" ht="33.950000000000003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7" t="str">
        <f t="shared" si="0"/>
        <v/>
      </c>
      <c r="L23" s="8" t="str">
        <f t="shared" si="1"/>
        <v/>
      </c>
      <c r="M23" s="4"/>
      <c r="N23" s="4"/>
    </row>
    <row r="24" spans="1:14" ht="33.950000000000003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7" t="str">
        <f t="shared" si="0"/>
        <v/>
      </c>
      <c r="L24" s="8" t="str">
        <f t="shared" si="1"/>
        <v/>
      </c>
      <c r="M24" s="4"/>
      <c r="N24" s="4"/>
    </row>
    <row r="25" spans="1:14" ht="33.950000000000003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7" t="str">
        <f t="shared" si="0"/>
        <v/>
      </c>
      <c r="L25" s="8" t="str">
        <f t="shared" si="1"/>
        <v/>
      </c>
      <c r="M25" s="4"/>
      <c r="N25" s="4"/>
    </row>
    <row r="26" spans="1:14" ht="33.950000000000003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7" t="str">
        <f t="shared" si="0"/>
        <v/>
      </c>
      <c r="L26" s="8" t="str">
        <f t="shared" si="1"/>
        <v/>
      </c>
      <c r="M26" s="4"/>
      <c r="N26" s="4"/>
    </row>
    <row r="27" spans="1:14" ht="33.950000000000003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7" t="str">
        <f t="shared" si="0"/>
        <v/>
      </c>
      <c r="L27" s="8" t="str">
        <f t="shared" si="1"/>
        <v/>
      </c>
      <c r="M27" s="4"/>
      <c r="N27" s="4"/>
    </row>
    <row r="28" spans="1:14" ht="33.950000000000003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7" t="str">
        <f t="shared" si="0"/>
        <v/>
      </c>
      <c r="L28" s="8" t="str">
        <f t="shared" si="1"/>
        <v/>
      </c>
      <c r="M28" s="4"/>
      <c r="N28" s="4"/>
    </row>
    <row r="29" spans="1:14" ht="33.950000000000003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7" t="str">
        <f t="shared" si="0"/>
        <v/>
      </c>
      <c r="L29" s="8" t="str">
        <f t="shared" si="1"/>
        <v/>
      </c>
      <c r="M29" s="4"/>
      <c r="N29" s="4"/>
    </row>
    <row r="30" spans="1:14" ht="33.950000000000003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7" t="str">
        <f t="shared" si="0"/>
        <v/>
      </c>
      <c r="L30" s="8" t="str">
        <f t="shared" si="1"/>
        <v/>
      </c>
      <c r="M30" s="4"/>
      <c r="N30" s="4"/>
    </row>
    <row r="31" spans="1:14" ht="33.950000000000003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7" t="str">
        <f t="shared" si="0"/>
        <v/>
      </c>
      <c r="L31" s="8" t="str">
        <f t="shared" si="1"/>
        <v/>
      </c>
      <c r="M31" s="4"/>
      <c r="N31" s="4"/>
    </row>
    <row r="32" spans="1:14" ht="33.950000000000003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7" t="str">
        <f t="shared" si="0"/>
        <v/>
      </c>
      <c r="L32" s="8" t="str">
        <f t="shared" si="1"/>
        <v/>
      </c>
      <c r="M32" s="4"/>
      <c r="N32" s="4"/>
    </row>
    <row r="33" spans="1:14" ht="33.950000000000003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7" t="str">
        <f t="shared" si="0"/>
        <v/>
      </c>
      <c r="L33" s="8" t="str">
        <f t="shared" si="1"/>
        <v/>
      </c>
      <c r="M33" s="4"/>
      <c r="N33" s="4"/>
    </row>
    <row r="34" spans="1:14" ht="33.950000000000003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7" t="str">
        <f t="shared" si="0"/>
        <v/>
      </c>
      <c r="L34" s="8" t="str">
        <f t="shared" si="1"/>
        <v/>
      </c>
      <c r="M34" s="4"/>
      <c r="N34" s="4"/>
    </row>
    <row r="35" spans="1:14" ht="33.950000000000003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7" t="str">
        <f t="shared" si="0"/>
        <v/>
      </c>
      <c r="L35" s="8" t="str">
        <f t="shared" si="1"/>
        <v/>
      </c>
      <c r="M35" s="4"/>
      <c r="N35" s="4"/>
    </row>
    <row r="36" spans="1:14" ht="33.950000000000003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7" t="str">
        <f t="shared" ref="K36:K67" si="2">IF(A36="","",IFERROR((F36+G36+H36)*((6-J36)/5)/I36,0))</f>
        <v/>
      </c>
      <c r="L36" s="8" t="str">
        <f t="shared" ref="L36:L67" si="3">IF(K36="","",IF(K36&gt;=6,"Включить в первую версию",IF(K36&gt;=4,"Включить после проверки",IF(K36&gt;=2.5,"Проверить дополнительно",IF(K36&gt;=1.5,"Отложить","Исключить")))))</f>
        <v/>
      </c>
      <c r="M36" s="4"/>
      <c r="N36" s="4"/>
    </row>
    <row r="37" spans="1:14" ht="33.950000000000003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7" t="str">
        <f t="shared" si="2"/>
        <v/>
      </c>
      <c r="L37" s="8" t="str">
        <f t="shared" si="3"/>
        <v/>
      </c>
      <c r="M37" s="4"/>
      <c r="N37" s="4"/>
    </row>
    <row r="38" spans="1:14" ht="33.950000000000003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7" t="str">
        <f t="shared" si="2"/>
        <v/>
      </c>
      <c r="L38" s="8" t="str">
        <f t="shared" si="3"/>
        <v/>
      </c>
      <c r="M38" s="4"/>
      <c r="N38" s="4"/>
    </row>
    <row r="39" spans="1:14" ht="33.950000000000003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7" t="str">
        <f t="shared" si="2"/>
        <v/>
      </c>
      <c r="L39" s="8" t="str">
        <f t="shared" si="3"/>
        <v/>
      </c>
      <c r="M39" s="4"/>
      <c r="N39" s="4"/>
    </row>
    <row r="40" spans="1:14" ht="33.950000000000003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7" t="str">
        <f t="shared" si="2"/>
        <v/>
      </c>
      <c r="L40" s="8" t="str">
        <f t="shared" si="3"/>
        <v/>
      </c>
      <c r="M40" s="4"/>
      <c r="N40" s="4"/>
    </row>
    <row r="41" spans="1:14" ht="33.950000000000003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7" t="str">
        <f t="shared" si="2"/>
        <v/>
      </c>
      <c r="L41" s="8" t="str">
        <f t="shared" si="3"/>
        <v/>
      </c>
      <c r="M41" s="4"/>
      <c r="N41" s="4"/>
    </row>
    <row r="42" spans="1:14" ht="33.950000000000003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7" t="str">
        <f t="shared" si="2"/>
        <v/>
      </c>
      <c r="L42" s="8" t="str">
        <f t="shared" si="3"/>
        <v/>
      </c>
      <c r="M42" s="4"/>
      <c r="N42" s="4"/>
    </row>
    <row r="43" spans="1:14" ht="33.950000000000003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7" t="str">
        <f t="shared" si="2"/>
        <v/>
      </c>
      <c r="L43" s="8" t="str">
        <f t="shared" si="3"/>
        <v/>
      </c>
      <c r="M43" s="4"/>
      <c r="N43" s="4"/>
    </row>
    <row r="44" spans="1:14" ht="33.950000000000003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7" t="str">
        <f t="shared" si="2"/>
        <v/>
      </c>
      <c r="L44" s="8" t="str">
        <f t="shared" si="3"/>
        <v/>
      </c>
      <c r="M44" s="4"/>
      <c r="N44" s="4"/>
    </row>
    <row r="45" spans="1:14" ht="33.950000000000003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7" t="str">
        <f t="shared" si="2"/>
        <v/>
      </c>
      <c r="L45" s="8" t="str">
        <f t="shared" si="3"/>
        <v/>
      </c>
      <c r="M45" s="4"/>
      <c r="N45" s="4"/>
    </row>
    <row r="46" spans="1:14" ht="33.950000000000003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7" t="str">
        <f t="shared" si="2"/>
        <v/>
      </c>
      <c r="L46" s="8" t="str">
        <f t="shared" si="3"/>
        <v/>
      </c>
      <c r="M46" s="4"/>
      <c r="N46" s="4"/>
    </row>
    <row r="47" spans="1:14" ht="33.950000000000003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7" t="str">
        <f t="shared" si="2"/>
        <v/>
      </c>
      <c r="L47" s="8" t="str">
        <f t="shared" si="3"/>
        <v/>
      </c>
      <c r="M47" s="4"/>
      <c r="N47" s="4"/>
    </row>
    <row r="48" spans="1:14" ht="33.950000000000003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7" t="str">
        <f t="shared" si="2"/>
        <v/>
      </c>
      <c r="L48" s="8" t="str">
        <f t="shared" si="3"/>
        <v/>
      </c>
      <c r="M48" s="4"/>
      <c r="N48" s="4"/>
    </row>
    <row r="49" spans="1:14" ht="33.950000000000003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7" t="str">
        <f t="shared" si="2"/>
        <v/>
      </c>
      <c r="L49" s="8" t="str">
        <f t="shared" si="3"/>
        <v/>
      </c>
      <c r="M49" s="4"/>
      <c r="N49" s="4"/>
    </row>
    <row r="50" spans="1:14" ht="33.950000000000003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7" t="str">
        <f t="shared" si="2"/>
        <v/>
      </c>
      <c r="L50" s="8" t="str">
        <f t="shared" si="3"/>
        <v/>
      </c>
      <c r="M50" s="4"/>
      <c r="N50" s="4"/>
    </row>
    <row r="51" spans="1:14" ht="33.950000000000003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7" t="str">
        <f t="shared" si="2"/>
        <v/>
      </c>
      <c r="L51" s="8" t="str">
        <f t="shared" si="3"/>
        <v/>
      </c>
      <c r="M51" s="4"/>
      <c r="N51" s="4"/>
    </row>
    <row r="52" spans="1:14" ht="33.950000000000003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7" t="str">
        <f t="shared" si="2"/>
        <v/>
      </c>
      <c r="L52" s="8" t="str">
        <f t="shared" si="3"/>
        <v/>
      </c>
      <c r="M52" s="4"/>
      <c r="N52" s="4"/>
    </row>
    <row r="53" spans="1:14" ht="33.950000000000003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7" t="str">
        <f t="shared" si="2"/>
        <v/>
      </c>
      <c r="L53" s="8" t="str">
        <f t="shared" si="3"/>
        <v/>
      </c>
      <c r="M53" s="4"/>
      <c r="N53" s="4"/>
    </row>
    <row r="54" spans="1:14" ht="33.950000000000003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7" t="str">
        <f t="shared" si="2"/>
        <v/>
      </c>
      <c r="L54" s="8" t="str">
        <f t="shared" si="3"/>
        <v/>
      </c>
      <c r="M54" s="4"/>
      <c r="N54" s="4"/>
    </row>
    <row r="55" spans="1:14" ht="33.950000000000003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7" t="str">
        <f t="shared" si="2"/>
        <v/>
      </c>
      <c r="L55" s="8" t="str">
        <f t="shared" si="3"/>
        <v/>
      </c>
      <c r="M55" s="4"/>
      <c r="N55" s="4"/>
    </row>
    <row r="56" spans="1:14" ht="33.950000000000003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7" t="str">
        <f t="shared" si="2"/>
        <v/>
      </c>
      <c r="L56" s="8" t="str">
        <f t="shared" si="3"/>
        <v/>
      </c>
      <c r="M56" s="4"/>
      <c r="N56" s="4"/>
    </row>
    <row r="57" spans="1:14" ht="33.950000000000003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7" t="str">
        <f t="shared" si="2"/>
        <v/>
      </c>
      <c r="L57" s="8" t="str">
        <f t="shared" si="3"/>
        <v/>
      </c>
      <c r="M57" s="4"/>
      <c r="N57" s="4"/>
    </row>
    <row r="58" spans="1:14" ht="33.950000000000003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7" t="str">
        <f t="shared" si="2"/>
        <v/>
      </c>
      <c r="L58" s="8" t="str">
        <f t="shared" si="3"/>
        <v/>
      </c>
      <c r="M58" s="4"/>
      <c r="N58" s="4"/>
    </row>
    <row r="59" spans="1:14" ht="33.950000000000003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7" t="str">
        <f t="shared" si="2"/>
        <v/>
      </c>
      <c r="L59" s="8" t="str">
        <f t="shared" si="3"/>
        <v/>
      </c>
      <c r="M59" s="4"/>
      <c r="N59" s="4"/>
    </row>
    <row r="60" spans="1:14" ht="33.950000000000003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7" t="str">
        <f t="shared" si="2"/>
        <v/>
      </c>
      <c r="L60" s="8" t="str">
        <f t="shared" si="3"/>
        <v/>
      </c>
      <c r="M60" s="4"/>
      <c r="N60" s="4"/>
    </row>
    <row r="61" spans="1:14" ht="33.950000000000003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7" t="str">
        <f t="shared" si="2"/>
        <v/>
      </c>
      <c r="L61" s="8" t="str">
        <f t="shared" si="3"/>
        <v/>
      </c>
      <c r="M61" s="4"/>
      <c r="N61" s="4"/>
    </row>
    <row r="62" spans="1:14" ht="33.950000000000003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7" t="str">
        <f t="shared" si="2"/>
        <v/>
      </c>
      <c r="L62" s="8" t="str">
        <f t="shared" si="3"/>
        <v/>
      </c>
      <c r="M62" s="4"/>
      <c r="N62" s="4"/>
    </row>
    <row r="63" spans="1:14" ht="33.950000000000003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7" t="str">
        <f t="shared" si="2"/>
        <v/>
      </c>
      <c r="L63" s="8" t="str">
        <f t="shared" si="3"/>
        <v/>
      </c>
      <c r="M63" s="4"/>
      <c r="N63" s="4"/>
    </row>
    <row r="64" spans="1:14" ht="33.950000000000003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7" t="str">
        <f t="shared" si="2"/>
        <v/>
      </c>
      <c r="L64" s="8" t="str">
        <f t="shared" si="3"/>
        <v/>
      </c>
      <c r="M64" s="4"/>
      <c r="N64" s="4"/>
    </row>
    <row r="65" spans="1:14" ht="33.950000000000003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7" t="str">
        <f t="shared" si="2"/>
        <v/>
      </c>
      <c r="L65" s="8" t="str">
        <f t="shared" si="3"/>
        <v/>
      </c>
      <c r="M65" s="4"/>
      <c r="N65" s="4"/>
    </row>
    <row r="66" spans="1:14" ht="33.950000000000003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7" t="str">
        <f t="shared" si="2"/>
        <v/>
      </c>
      <c r="L66" s="8" t="str">
        <f t="shared" si="3"/>
        <v/>
      </c>
      <c r="M66" s="4"/>
      <c r="N66" s="4"/>
    </row>
    <row r="67" spans="1:14" ht="33.950000000000003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7" t="str">
        <f t="shared" si="2"/>
        <v/>
      </c>
      <c r="L67" s="8" t="str">
        <f t="shared" si="3"/>
        <v/>
      </c>
      <c r="M67" s="4"/>
      <c r="N67" s="4"/>
    </row>
    <row r="68" spans="1:14" ht="33.950000000000003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7" t="str">
        <f t="shared" ref="K68:K99" si="4">IF(A68="","",IFERROR((F68+G68+H68)*((6-J68)/5)/I68,0))</f>
        <v/>
      </c>
      <c r="L68" s="8" t="str">
        <f t="shared" ref="L68:L99" si="5">IF(K68="","",IF(K68&gt;=6,"Включить в первую версию",IF(K68&gt;=4,"Включить после проверки",IF(K68&gt;=2.5,"Проверить дополнительно",IF(K68&gt;=1.5,"Отложить","Исключить")))))</f>
        <v/>
      </c>
      <c r="M68" s="4"/>
      <c r="N68" s="4"/>
    </row>
    <row r="69" spans="1:14" ht="33.950000000000003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7" t="str">
        <f t="shared" si="4"/>
        <v/>
      </c>
      <c r="L69" s="8" t="str">
        <f t="shared" si="5"/>
        <v/>
      </c>
      <c r="M69" s="4"/>
      <c r="N69" s="4"/>
    </row>
    <row r="70" spans="1:14" ht="33.950000000000003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7" t="str">
        <f t="shared" si="4"/>
        <v/>
      </c>
      <c r="L70" s="8" t="str">
        <f t="shared" si="5"/>
        <v/>
      </c>
      <c r="M70" s="4"/>
      <c r="N70" s="4"/>
    </row>
    <row r="71" spans="1:14" ht="33.950000000000003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7" t="str">
        <f t="shared" si="4"/>
        <v/>
      </c>
      <c r="L71" s="8" t="str">
        <f t="shared" si="5"/>
        <v/>
      </c>
      <c r="M71" s="4"/>
      <c r="N71" s="4"/>
    </row>
    <row r="72" spans="1:14" ht="33.950000000000003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7" t="str">
        <f t="shared" si="4"/>
        <v/>
      </c>
      <c r="L72" s="8" t="str">
        <f t="shared" si="5"/>
        <v/>
      </c>
      <c r="M72" s="4"/>
      <c r="N72" s="4"/>
    </row>
    <row r="73" spans="1:14" ht="33.950000000000003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7" t="str">
        <f t="shared" si="4"/>
        <v/>
      </c>
      <c r="L73" s="8" t="str">
        <f t="shared" si="5"/>
        <v/>
      </c>
      <c r="M73" s="4"/>
      <c r="N73" s="4"/>
    </row>
    <row r="74" spans="1:14" ht="33.950000000000003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7" t="str">
        <f t="shared" si="4"/>
        <v/>
      </c>
      <c r="L74" s="8" t="str">
        <f t="shared" si="5"/>
        <v/>
      </c>
      <c r="M74" s="4"/>
      <c r="N74" s="4"/>
    </row>
    <row r="75" spans="1:14" ht="33.950000000000003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7" t="str">
        <f t="shared" si="4"/>
        <v/>
      </c>
      <c r="L75" s="8" t="str">
        <f t="shared" si="5"/>
        <v/>
      </c>
      <c r="M75" s="4"/>
      <c r="N75" s="4"/>
    </row>
    <row r="76" spans="1:14" ht="33.950000000000003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7" t="str">
        <f t="shared" si="4"/>
        <v/>
      </c>
      <c r="L76" s="8" t="str">
        <f t="shared" si="5"/>
        <v/>
      </c>
      <c r="M76" s="4"/>
      <c r="N76" s="4"/>
    </row>
    <row r="77" spans="1:14" ht="33.950000000000003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7" t="str">
        <f t="shared" si="4"/>
        <v/>
      </c>
      <c r="L77" s="8" t="str">
        <f t="shared" si="5"/>
        <v/>
      </c>
      <c r="M77" s="4"/>
      <c r="N77" s="4"/>
    </row>
    <row r="78" spans="1:14" ht="33.950000000000003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7" t="str">
        <f t="shared" si="4"/>
        <v/>
      </c>
      <c r="L78" s="8" t="str">
        <f t="shared" si="5"/>
        <v/>
      </c>
      <c r="M78" s="4"/>
      <c r="N78" s="4"/>
    </row>
    <row r="79" spans="1:14" ht="33.950000000000003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7" t="str">
        <f t="shared" si="4"/>
        <v/>
      </c>
      <c r="L79" s="8" t="str">
        <f t="shared" si="5"/>
        <v/>
      </c>
      <c r="M79" s="4"/>
      <c r="N79" s="4"/>
    </row>
    <row r="80" spans="1:14" ht="33.950000000000003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7" t="str">
        <f t="shared" si="4"/>
        <v/>
      </c>
      <c r="L80" s="8" t="str">
        <f t="shared" si="5"/>
        <v/>
      </c>
      <c r="M80" s="4"/>
      <c r="N80" s="4"/>
    </row>
    <row r="81" spans="1:14" ht="33.950000000000003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7" t="str">
        <f t="shared" si="4"/>
        <v/>
      </c>
      <c r="L81" s="8" t="str">
        <f t="shared" si="5"/>
        <v/>
      </c>
      <c r="M81" s="4"/>
      <c r="N81" s="4"/>
    </row>
    <row r="82" spans="1:14" ht="33.950000000000003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7" t="str">
        <f t="shared" si="4"/>
        <v/>
      </c>
      <c r="L82" s="8" t="str">
        <f t="shared" si="5"/>
        <v/>
      </c>
      <c r="M82" s="4"/>
      <c r="N82" s="4"/>
    </row>
    <row r="83" spans="1:14" ht="33.950000000000003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7" t="str">
        <f t="shared" si="4"/>
        <v/>
      </c>
      <c r="L83" s="8" t="str">
        <f t="shared" si="5"/>
        <v/>
      </c>
      <c r="M83" s="4"/>
      <c r="N83" s="4"/>
    </row>
    <row r="84" spans="1:14" ht="33.950000000000003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7" t="str">
        <f t="shared" si="4"/>
        <v/>
      </c>
      <c r="L84" s="8" t="str">
        <f t="shared" si="5"/>
        <v/>
      </c>
      <c r="M84" s="4"/>
      <c r="N84" s="4"/>
    </row>
    <row r="85" spans="1:14" ht="33.950000000000003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7" t="str">
        <f t="shared" si="4"/>
        <v/>
      </c>
      <c r="L85" s="8" t="str">
        <f t="shared" si="5"/>
        <v/>
      </c>
      <c r="M85" s="4"/>
      <c r="N85" s="4"/>
    </row>
    <row r="86" spans="1:14" ht="33.950000000000003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7" t="str">
        <f t="shared" si="4"/>
        <v/>
      </c>
      <c r="L86" s="8" t="str">
        <f t="shared" si="5"/>
        <v/>
      </c>
      <c r="M86" s="4"/>
      <c r="N86" s="4"/>
    </row>
    <row r="87" spans="1:14" ht="33.950000000000003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7" t="str">
        <f t="shared" si="4"/>
        <v/>
      </c>
      <c r="L87" s="8" t="str">
        <f t="shared" si="5"/>
        <v/>
      </c>
      <c r="M87" s="4"/>
      <c r="N87" s="4"/>
    </row>
    <row r="88" spans="1:14" ht="33.950000000000003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7" t="str">
        <f t="shared" si="4"/>
        <v/>
      </c>
      <c r="L88" s="8" t="str">
        <f t="shared" si="5"/>
        <v/>
      </c>
      <c r="M88" s="4"/>
      <c r="N88" s="4"/>
    </row>
    <row r="89" spans="1:14" ht="33.950000000000003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7" t="str">
        <f t="shared" si="4"/>
        <v/>
      </c>
      <c r="L89" s="8" t="str">
        <f t="shared" si="5"/>
        <v/>
      </c>
      <c r="M89" s="4"/>
      <c r="N89" s="4"/>
    </row>
    <row r="90" spans="1:14" ht="33.950000000000003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7" t="str">
        <f t="shared" si="4"/>
        <v/>
      </c>
      <c r="L90" s="8" t="str">
        <f t="shared" si="5"/>
        <v/>
      </c>
      <c r="M90" s="4"/>
      <c r="N90" s="4"/>
    </row>
    <row r="91" spans="1:14" ht="33.950000000000003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7" t="str">
        <f t="shared" si="4"/>
        <v/>
      </c>
      <c r="L91" s="8" t="str">
        <f t="shared" si="5"/>
        <v/>
      </c>
      <c r="M91" s="4"/>
      <c r="N91" s="4"/>
    </row>
    <row r="92" spans="1:14" ht="33.950000000000003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7" t="str">
        <f t="shared" si="4"/>
        <v/>
      </c>
      <c r="L92" s="8" t="str">
        <f t="shared" si="5"/>
        <v/>
      </c>
      <c r="M92" s="4"/>
      <c r="N92" s="4"/>
    </row>
    <row r="93" spans="1:14" ht="33.950000000000003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7" t="str">
        <f t="shared" si="4"/>
        <v/>
      </c>
      <c r="L93" s="8" t="str">
        <f t="shared" si="5"/>
        <v/>
      </c>
      <c r="M93" s="4"/>
      <c r="N93" s="4"/>
    </row>
    <row r="94" spans="1:14" ht="33.950000000000003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7" t="str">
        <f t="shared" si="4"/>
        <v/>
      </c>
      <c r="L94" s="8" t="str">
        <f t="shared" si="5"/>
        <v/>
      </c>
      <c r="M94" s="4"/>
      <c r="N94" s="4"/>
    </row>
    <row r="95" spans="1:14" ht="33.950000000000003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7" t="str">
        <f t="shared" si="4"/>
        <v/>
      </c>
      <c r="L95" s="8" t="str">
        <f t="shared" si="5"/>
        <v/>
      </c>
      <c r="M95" s="4"/>
      <c r="N95" s="4"/>
    </row>
    <row r="96" spans="1:14" ht="33.950000000000003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7" t="str">
        <f t="shared" si="4"/>
        <v/>
      </c>
      <c r="L96" s="8" t="str">
        <f t="shared" si="5"/>
        <v/>
      </c>
      <c r="M96" s="4"/>
      <c r="N96" s="4"/>
    </row>
    <row r="97" spans="1:14" ht="33.950000000000003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7" t="str">
        <f t="shared" si="4"/>
        <v/>
      </c>
      <c r="L97" s="8" t="str">
        <f t="shared" si="5"/>
        <v/>
      </c>
      <c r="M97" s="4"/>
      <c r="N97" s="4"/>
    </row>
    <row r="98" spans="1:14" ht="33.950000000000003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7" t="str">
        <f t="shared" si="4"/>
        <v/>
      </c>
      <c r="L98" s="8" t="str">
        <f t="shared" si="5"/>
        <v/>
      </c>
      <c r="M98" s="4"/>
      <c r="N98" s="4"/>
    </row>
    <row r="99" spans="1:14" ht="33.950000000000003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7" t="str">
        <f t="shared" si="4"/>
        <v/>
      </c>
      <c r="L99" s="8" t="str">
        <f t="shared" si="5"/>
        <v/>
      </c>
      <c r="M99" s="4"/>
      <c r="N99" s="4"/>
    </row>
    <row r="100" spans="1:14" ht="33.950000000000003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7" t="str">
        <f t="shared" ref="K100:K131" si="6">IF(A100="","",IFERROR((F100+G100+H100)*((6-J100)/5)/I100,0))</f>
        <v/>
      </c>
      <c r="L100" s="8" t="str">
        <f t="shared" ref="L100:L131" si="7">IF(K100="","",IF(K100&gt;=6,"Включить в первую версию",IF(K100&gt;=4,"Включить после проверки",IF(K100&gt;=2.5,"Проверить дополнительно",IF(K100&gt;=1.5,"Отложить","Исключить")))))</f>
        <v/>
      </c>
      <c r="M100" s="4"/>
      <c r="N100" s="4"/>
    </row>
    <row r="101" spans="1:14" ht="33.950000000000003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7" t="str">
        <f t="shared" si="6"/>
        <v/>
      </c>
      <c r="L101" s="8" t="str">
        <f t="shared" si="7"/>
        <v/>
      </c>
      <c r="M101" s="4"/>
      <c r="N101" s="4"/>
    </row>
    <row r="102" spans="1:14" ht="33.950000000000003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7" t="str">
        <f t="shared" si="6"/>
        <v/>
      </c>
      <c r="L102" s="8" t="str">
        <f t="shared" si="7"/>
        <v/>
      </c>
      <c r="M102" s="4"/>
      <c r="N102" s="4"/>
    </row>
    <row r="103" spans="1:14" ht="33.950000000000003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7" t="str">
        <f t="shared" si="6"/>
        <v/>
      </c>
      <c r="L103" s="8" t="str">
        <f t="shared" si="7"/>
        <v/>
      </c>
      <c r="M103" s="4"/>
      <c r="N103" s="4"/>
    </row>
    <row r="104" spans="1:14" ht="33.950000000000003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7" t="str">
        <f t="shared" si="6"/>
        <v/>
      </c>
      <c r="L104" s="8" t="str">
        <f t="shared" si="7"/>
        <v/>
      </c>
      <c r="M104" s="4"/>
      <c r="N104" s="4"/>
    </row>
    <row r="105" spans="1:14" ht="33.950000000000003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7" t="str">
        <f t="shared" si="6"/>
        <v/>
      </c>
      <c r="L105" s="8" t="str">
        <f t="shared" si="7"/>
        <v/>
      </c>
      <c r="M105" s="4"/>
      <c r="N105" s="4"/>
    </row>
    <row r="106" spans="1:14" ht="33.950000000000003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7" t="str">
        <f t="shared" si="6"/>
        <v/>
      </c>
      <c r="L106" s="8" t="str">
        <f t="shared" si="7"/>
        <v/>
      </c>
      <c r="M106" s="4"/>
      <c r="N106" s="4"/>
    </row>
    <row r="107" spans="1:14" ht="33.950000000000003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7" t="str">
        <f t="shared" si="6"/>
        <v/>
      </c>
      <c r="L107" s="8" t="str">
        <f t="shared" si="7"/>
        <v/>
      </c>
      <c r="M107" s="4"/>
      <c r="N107" s="4"/>
    </row>
    <row r="108" spans="1:14" ht="33.950000000000003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7" t="str">
        <f t="shared" si="6"/>
        <v/>
      </c>
      <c r="L108" s="8" t="str">
        <f t="shared" si="7"/>
        <v/>
      </c>
      <c r="M108" s="4"/>
      <c r="N108" s="4"/>
    </row>
    <row r="109" spans="1:14" ht="33.950000000000003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7" t="str">
        <f t="shared" si="6"/>
        <v/>
      </c>
      <c r="L109" s="8" t="str">
        <f t="shared" si="7"/>
        <v/>
      </c>
      <c r="M109" s="4"/>
      <c r="N109" s="4"/>
    </row>
    <row r="110" spans="1:14" ht="33.950000000000003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7" t="str">
        <f t="shared" si="6"/>
        <v/>
      </c>
      <c r="L110" s="8" t="str">
        <f t="shared" si="7"/>
        <v/>
      </c>
      <c r="M110" s="4"/>
      <c r="N110" s="4"/>
    </row>
    <row r="111" spans="1:14" ht="33.950000000000003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7" t="str">
        <f t="shared" si="6"/>
        <v/>
      </c>
      <c r="L111" s="8" t="str">
        <f t="shared" si="7"/>
        <v/>
      </c>
      <c r="M111" s="4"/>
      <c r="N111" s="4"/>
    </row>
    <row r="112" spans="1:14" ht="33.950000000000003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7" t="str">
        <f t="shared" si="6"/>
        <v/>
      </c>
      <c r="L112" s="8" t="str">
        <f t="shared" si="7"/>
        <v/>
      </c>
      <c r="M112" s="4"/>
      <c r="N112" s="4"/>
    </row>
    <row r="113" spans="1:14" ht="33.950000000000003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7" t="str">
        <f t="shared" si="6"/>
        <v/>
      </c>
      <c r="L113" s="8" t="str">
        <f t="shared" si="7"/>
        <v/>
      </c>
      <c r="M113" s="4"/>
      <c r="N113" s="4"/>
    </row>
    <row r="114" spans="1:14" ht="33.950000000000003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7" t="str">
        <f t="shared" si="6"/>
        <v/>
      </c>
      <c r="L114" s="8" t="str">
        <f t="shared" si="7"/>
        <v/>
      </c>
      <c r="M114" s="4"/>
      <c r="N114" s="4"/>
    </row>
    <row r="115" spans="1:14" ht="33.950000000000003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7" t="str">
        <f t="shared" si="6"/>
        <v/>
      </c>
      <c r="L115" s="8" t="str">
        <f t="shared" si="7"/>
        <v/>
      </c>
      <c r="M115" s="4"/>
      <c r="N115" s="4"/>
    </row>
    <row r="116" spans="1:14" ht="33.950000000000003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7" t="str">
        <f t="shared" si="6"/>
        <v/>
      </c>
      <c r="L116" s="8" t="str">
        <f t="shared" si="7"/>
        <v/>
      </c>
      <c r="M116" s="4"/>
      <c r="N116" s="4"/>
    </row>
    <row r="117" spans="1:14" ht="33.950000000000003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7" t="str">
        <f t="shared" si="6"/>
        <v/>
      </c>
      <c r="L117" s="8" t="str">
        <f t="shared" si="7"/>
        <v/>
      </c>
      <c r="M117" s="4"/>
      <c r="N117" s="4"/>
    </row>
    <row r="118" spans="1:14" ht="33.950000000000003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7" t="str">
        <f t="shared" si="6"/>
        <v/>
      </c>
      <c r="L118" s="8" t="str">
        <f t="shared" si="7"/>
        <v/>
      </c>
      <c r="M118" s="4"/>
      <c r="N118" s="4"/>
    </row>
    <row r="119" spans="1:14" ht="33.950000000000003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7" t="str">
        <f t="shared" si="6"/>
        <v/>
      </c>
      <c r="L119" s="8" t="str">
        <f t="shared" si="7"/>
        <v/>
      </c>
      <c r="M119" s="4"/>
      <c r="N119" s="4"/>
    </row>
    <row r="120" spans="1:14" ht="33.950000000000003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7" t="str">
        <f t="shared" si="6"/>
        <v/>
      </c>
      <c r="L120" s="8" t="str">
        <f t="shared" si="7"/>
        <v/>
      </c>
      <c r="M120" s="4"/>
      <c r="N120" s="4"/>
    </row>
    <row r="121" spans="1:14" ht="33.950000000000003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7" t="str">
        <f t="shared" si="6"/>
        <v/>
      </c>
      <c r="L121" s="8" t="str">
        <f t="shared" si="7"/>
        <v/>
      </c>
      <c r="M121" s="4"/>
      <c r="N121" s="4"/>
    </row>
    <row r="122" spans="1:14" ht="33.950000000000003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7" t="str">
        <f t="shared" si="6"/>
        <v/>
      </c>
      <c r="L122" s="8" t="str">
        <f t="shared" si="7"/>
        <v/>
      </c>
      <c r="M122" s="4"/>
      <c r="N122" s="4"/>
    </row>
    <row r="123" spans="1:14" ht="33.950000000000003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7" t="str">
        <f t="shared" si="6"/>
        <v/>
      </c>
      <c r="L123" s="8" t="str">
        <f t="shared" si="7"/>
        <v/>
      </c>
      <c r="M123" s="4"/>
      <c r="N123" s="4"/>
    </row>
    <row r="124" spans="1:14" ht="33.950000000000003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7" t="str">
        <f t="shared" si="6"/>
        <v/>
      </c>
      <c r="L124" s="8" t="str">
        <f t="shared" si="7"/>
        <v/>
      </c>
      <c r="M124" s="4"/>
      <c r="N124" s="4"/>
    </row>
    <row r="125" spans="1:14" ht="33.950000000000003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7" t="str">
        <f t="shared" si="6"/>
        <v/>
      </c>
      <c r="L125" s="8" t="str">
        <f t="shared" si="7"/>
        <v/>
      </c>
      <c r="M125" s="4"/>
      <c r="N125" s="4"/>
    </row>
    <row r="126" spans="1:14" ht="33.950000000000003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7" t="str">
        <f t="shared" si="6"/>
        <v/>
      </c>
      <c r="L126" s="8" t="str">
        <f t="shared" si="7"/>
        <v/>
      </c>
      <c r="M126" s="4"/>
      <c r="N126" s="4"/>
    </row>
    <row r="127" spans="1:14" ht="33.950000000000003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7" t="str">
        <f t="shared" si="6"/>
        <v/>
      </c>
      <c r="L127" s="8" t="str">
        <f t="shared" si="7"/>
        <v/>
      </c>
      <c r="M127" s="4"/>
      <c r="N127" s="4"/>
    </row>
    <row r="128" spans="1:14" ht="33.950000000000003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7" t="str">
        <f t="shared" si="6"/>
        <v/>
      </c>
      <c r="L128" s="8" t="str">
        <f t="shared" si="7"/>
        <v/>
      </c>
      <c r="M128" s="4"/>
      <c r="N128" s="4"/>
    </row>
    <row r="129" spans="1:14" ht="33.950000000000003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7" t="str">
        <f t="shared" si="6"/>
        <v/>
      </c>
      <c r="L129" s="8" t="str">
        <f t="shared" si="7"/>
        <v/>
      </c>
      <c r="M129" s="4"/>
      <c r="N129" s="4"/>
    </row>
    <row r="130" spans="1:14" ht="33.950000000000003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7" t="str">
        <f t="shared" si="6"/>
        <v/>
      </c>
      <c r="L130" s="8" t="str">
        <f t="shared" si="7"/>
        <v/>
      </c>
      <c r="M130" s="4"/>
      <c r="N130" s="4"/>
    </row>
    <row r="131" spans="1:14" ht="33.950000000000003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7" t="str">
        <f t="shared" si="6"/>
        <v/>
      </c>
      <c r="L131" s="8" t="str">
        <f t="shared" si="7"/>
        <v/>
      </c>
      <c r="M131" s="4"/>
      <c r="N131" s="4"/>
    </row>
    <row r="132" spans="1:14" ht="33.950000000000003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7" t="str">
        <f t="shared" ref="K132:K163" si="8">IF(A132="","",IFERROR((F132+G132+H132)*((6-J132)/5)/I132,0))</f>
        <v/>
      </c>
      <c r="L132" s="8" t="str">
        <f t="shared" ref="L132:L163" si="9">IF(K132="","",IF(K132&gt;=6,"Включить в первую версию",IF(K132&gt;=4,"Включить после проверки",IF(K132&gt;=2.5,"Проверить дополнительно",IF(K132&gt;=1.5,"Отложить","Исключить")))))</f>
        <v/>
      </c>
      <c r="M132" s="4"/>
      <c r="N132" s="4"/>
    </row>
    <row r="133" spans="1:14" ht="33.950000000000003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7" t="str">
        <f t="shared" si="8"/>
        <v/>
      </c>
      <c r="L133" s="8" t="str">
        <f t="shared" si="9"/>
        <v/>
      </c>
      <c r="M133" s="4"/>
      <c r="N133" s="4"/>
    </row>
    <row r="134" spans="1:14" ht="33.950000000000003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7" t="str">
        <f t="shared" si="8"/>
        <v/>
      </c>
      <c r="L134" s="8" t="str">
        <f t="shared" si="9"/>
        <v/>
      </c>
      <c r="M134" s="4"/>
      <c r="N134" s="4"/>
    </row>
    <row r="135" spans="1:14" ht="33.950000000000003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7" t="str">
        <f t="shared" si="8"/>
        <v/>
      </c>
      <c r="L135" s="8" t="str">
        <f t="shared" si="9"/>
        <v/>
      </c>
      <c r="M135" s="4"/>
      <c r="N135" s="4"/>
    </row>
    <row r="136" spans="1:14" ht="33.950000000000003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7" t="str">
        <f t="shared" si="8"/>
        <v/>
      </c>
      <c r="L136" s="8" t="str">
        <f t="shared" si="9"/>
        <v/>
      </c>
      <c r="M136" s="4"/>
      <c r="N136" s="4"/>
    </row>
    <row r="137" spans="1:14" ht="33.950000000000003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7" t="str">
        <f t="shared" si="8"/>
        <v/>
      </c>
      <c r="L137" s="8" t="str">
        <f t="shared" si="9"/>
        <v/>
      </c>
      <c r="M137" s="4"/>
      <c r="N137" s="4"/>
    </row>
    <row r="138" spans="1:14" ht="33.950000000000003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7" t="str">
        <f t="shared" si="8"/>
        <v/>
      </c>
      <c r="L138" s="8" t="str">
        <f t="shared" si="9"/>
        <v/>
      </c>
      <c r="M138" s="4"/>
      <c r="N138" s="4"/>
    </row>
    <row r="139" spans="1:14" ht="33.950000000000003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7" t="str">
        <f t="shared" si="8"/>
        <v/>
      </c>
      <c r="L139" s="8" t="str">
        <f t="shared" si="9"/>
        <v/>
      </c>
      <c r="M139" s="4"/>
      <c r="N139" s="4"/>
    </row>
    <row r="140" spans="1:14" ht="33.950000000000003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7" t="str">
        <f t="shared" si="8"/>
        <v/>
      </c>
      <c r="L140" s="8" t="str">
        <f t="shared" si="9"/>
        <v/>
      </c>
      <c r="M140" s="4"/>
      <c r="N140" s="4"/>
    </row>
    <row r="141" spans="1:14" ht="33.950000000000003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7" t="str">
        <f t="shared" si="8"/>
        <v/>
      </c>
      <c r="L141" s="8" t="str">
        <f t="shared" si="9"/>
        <v/>
      </c>
      <c r="M141" s="4"/>
      <c r="N141" s="4"/>
    </row>
    <row r="142" spans="1:14" ht="33.950000000000003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7" t="str">
        <f t="shared" si="8"/>
        <v/>
      </c>
      <c r="L142" s="8" t="str">
        <f t="shared" si="9"/>
        <v/>
      </c>
      <c r="M142" s="4"/>
      <c r="N142" s="4"/>
    </row>
    <row r="143" spans="1:14" ht="33.950000000000003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7" t="str">
        <f t="shared" si="8"/>
        <v/>
      </c>
      <c r="L143" s="8" t="str">
        <f t="shared" si="9"/>
        <v/>
      </c>
      <c r="M143" s="4"/>
      <c r="N143" s="4"/>
    </row>
    <row r="144" spans="1:14" ht="33.950000000000003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7" t="str">
        <f t="shared" si="8"/>
        <v/>
      </c>
      <c r="L144" s="8" t="str">
        <f t="shared" si="9"/>
        <v/>
      </c>
      <c r="M144" s="4"/>
      <c r="N144" s="4"/>
    </row>
    <row r="145" spans="1:14" ht="33.950000000000003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7" t="str">
        <f t="shared" si="8"/>
        <v/>
      </c>
      <c r="L145" s="8" t="str">
        <f t="shared" si="9"/>
        <v/>
      </c>
      <c r="M145" s="4"/>
      <c r="N145" s="4"/>
    </row>
    <row r="146" spans="1:14" ht="33.950000000000003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7" t="str">
        <f t="shared" si="8"/>
        <v/>
      </c>
      <c r="L146" s="8" t="str">
        <f t="shared" si="9"/>
        <v/>
      </c>
      <c r="M146" s="4"/>
      <c r="N146" s="4"/>
    </row>
    <row r="147" spans="1:14" ht="33.950000000000003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7" t="str">
        <f t="shared" si="8"/>
        <v/>
      </c>
      <c r="L147" s="8" t="str">
        <f t="shared" si="9"/>
        <v/>
      </c>
      <c r="M147" s="4"/>
      <c r="N147" s="4"/>
    </row>
    <row r="148" spans="1:14" ht="33.950000000000003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7" t="str">
        <f t="shared" si="8"/>
        <v/>
      </c>
      <c r="L148" s="8" t="str">
        <f t="shared" si="9"/>
        <v/>
      </c>
      <c r="M148" s="4"/>
      <c r="N148" s="4"/>
    </row>
    <row r="149" spans="1:14" ht="33.950000000000003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7" t="str">
        <f t="shared" si="8"/>
        <v/>
      </c>
      <c r="L149" s="8" t="str">
        <f t="shared" si="9"/>
        <v/>
      </c>
      <c r="M149" s="4"/>
      <c r="N149" s="4"/>
    </row>
    <row r="150" spans="1:14" ht="33.950000000000003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7" t="str">
        <f t="shared" si="8"/>
        <v/>
      </c>
      <c r="L150" s="8" t="str">
        <f t="shared" si="9"/>
        <v/>
      </c>
      <c r="M150" s="4"/>
      <c r="N150" s="4"/>
    </row>
    <row r="151" spans="1:14" ht="33.950000000000003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7" t="str">
        <f t="shared" si="8"/>
        <v/>
      </c>
      <c r="L151" s="8" t="str">
        <f t="shared" si="9"/>
        <v/>
      </c>
      <c r="M151" s="4"/>
      <c r="N151" s="4"/>
    </row>
    <row r="152" spans="1:14" ht="33.950000000000003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7" t="str">
        <f t="shared" si="8"/>
        <v/>
      </c>
      <c r="L152" s="8" t="str">
        <f t="shared" si="9"/>
        <v/>
      </c>
      <c r="M152" s="4"/>
      <c r="N152" s="4"/>
    </row>
    <row r="153" spans="1:14" ht="33.950000000000003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7" t="str">
        <f t="shared" si="8"/>
        <v/>
      </c>
      <c r="L153" s="8" t="str">
        <f t="shared" si="9"/>
        <v/>
      </c>
      <c r="M153" s="4"/>
      <c r="N153" s="4"/>
    </row>
    <row r="154" spans="1:14" ht="33.950000000000003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7" t="str">
        <f t="shared" si="8"/>
        <v/>
      </c>
      <c r="L154" s="8" t="str">
        <f t="shared" si="9"/>
        <v/>
      </c>
      <c r="M154" s="4"/>
      <c r="N154" s="4"/>
    </row>
    <row r="155" spans="1:14" ht="33.950000000000003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7" t="str">
        <f t="shared" si="8"/>
        <v/>
      </c>
      <c r="L155" s="8" t="str">
        <f t="shared" si="9"/>
        <v/>
      </c>
      <c r="M155" s="4"/>
      <c r="N155" s="4"/>
    </row>
    <row r="156" spans="1:14" ht="33.950000000000003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7" t="str">
        <f t="shared" si="8"/>
        <v/>
      </c>
      <c r="L156" s="8" t="str">
        <f t="shared" si="9"/>
        <v/>
      </c>
      <c r="M156" s="4"/>
      <c r="N156" s="4"/>
    </row>
    <row r="157" spans="1:14" ht="33.950000000000003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7" t="str">
        <f t="shared" si="8"/>
        <v/>
      </c>
      <c r="L157" s="8" t="str">
        <f t="shared" si="9"/>
        <v/>
      </c>
      <c r="M157" s="4"/>
      <c r="N157" s="4"/>
    </row>
    <row r="158" spans="1:14" ht="33.950000000000003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7" t="str">
        <f t="shared" si="8"/>
        <v/>
      </c>
      <c r="L158" s="8" t="str">
        <f t="shared" si="9"/>
        <v/>
      </c>
      <c r="M158" s="4"/>
      <c r="N158" s="4"/>
    </row>
    <row r="159" spans="1:14" ht="33.950000000000003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7" t="str">
        <f t="shared" si="8"/>
        <v/>
      </c>
      <c r="L159" s="8" t="str">
        <f t="shared" si="9"/>
        <v/>
      </c>
      <c r="M159" s="4"/>
      <c r="N159" s="4"/>
    </row>
    <row r="160" spans="1:14" ht="33.950000000000003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7" t="str">
        <f t="shared" si="8"/>
        <v/>
      </c>
      <c r="L160" s="8" t="str">
        <f t="shared" si="9"/>
        <v/>
      </c>
      <c r="M160" s="4"/>
      <c r="N160" s="4"/>
    </row>
    <row r="161" spans="1:14" ht="33.950000000000003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7" t="str">
        <f t="shared" si="8"/>
        <v/>
      </c>
      <c r="L161" s="8" t="str">
        <f t="shared" si="9"/>
        <v/>
      </c>
      <c r="M161" s="4"/>
      <c r="N161" s="4"/>
    </row>
    <row r="162" spans="1:14" ht="33.950000000000003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7" t="str">
        <f t="shared" si="8"/>
        <v/>
      </c>
      <c r="L162" s="8" t="str">
        <f t="shared" si="9"/>
        <v/>
      </c>
      <c r="M162" s="4"/>
      <c r="N162" s="4"/>
    </row>
    <row r="163" spans="1:14" ht="33.950000000000003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7" t="str">
        <f t="shared" si="8"/>
        <v/>
      </c>
      <c r="L163" s="8" t="str">
        <f t="shared" si="9"/>
        <v/>
      </c>
      <c r="M163" s="4"/>
      <c r="N163" s="4"/>
    </row>
    <row r="164" spans="1:14" ht="33.950000000000003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7" t="str">
        <f t="shared" ref="K164:K195" si="10">IF(A164="","",IFERROR((F164+G164+H164)*((6-J164)/5)/I164,0))</f>
        <v/>
      </c>
      <c r="L164" s="8" t="str">
        <f t="shared" ref="L164:L195" si="11">IF(K164="","",IF(K164&gt;=6,"Включить в первую версию",IF(K164&gt;=4,"Включить после проверки",IF(K164&gt;=2.5,"Проверить дополнительно",IF(K164&gt;=1.5,"Отложить","Исключить")))))</f>
        <v/>
      </c>
      <c r="M164" s="4"/>
      <c r="N164" s="4"/>
    </row>
    <row r="165" spans="1:14" ht="33.950000000000003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7" t="str">
        <f t="shared" si="10"/>
        <v/>
      </c>
      <c r="L165" s="8" t="str">
        <f t="shared" si="11"/>
        <v/>
      </c>
      <c r="M165" s="4"/>
      <c r="N165" s="4"/>
    </row>
    <row r="166" spans="1:14" ht="33.950000000000003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7" t="str">
        <f t="shared" si="10"/>
        <v/>
      </c>
      <c r="L166" s="8" t="str">
        <f t="shared" si="11"/>
        <v/>
      </c>
      <c r="M166" s="4"/>
      <c r="N166" s="4"/>
    </row>
    <row r="167" spans="1:14" ht="33.950000000000003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7" t="str">
        <f t="shared" si="10"/>
        <v/>
      </c>
      <c r="L167" s="8" t="str">
        <f t="shared" si="11"/>
        <v/>
      </c>
      <c r="M167" s="4"/>
      <c r="N167" s="4"/>
    </row>
    <row r="168" spans="1:14" ht="33.950000000000003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7" t="str">
        <f t="shared" si="10"/>
        <v/>
      </c>
      <c r="L168" s="8" t="str">
        <f t="shared" si="11"/>
        <v/>
      </c>
      <c r="M168" s="4"/>
      <c r="N168" s="4"/>
    </row>
    <row r="169" spans="1:14" ht="33.950000000000003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7" t="str">
        <f t="shared" si="10"/>
        <v/>
      </c>
      <c r="L169" s="8" t="str">
        <f t="shared" si="11"/>
        <v/>
      </c>
      <c r="M169" s="4"/>
      <c r="N169" s="4"/>
    </row>
    <row r="170" spans="1:14" ht="33.950000000000003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7" t="str">
        <f t="shared" si="10"/>
        <v/>
      </c>
      <c r="L170" s="8" t="str">
        <f t="shared" si="11"/>
        <v/>
      </c>
      <c r="M170" s="4"/>
      <c r="N170" s="4"/>
    </row>
    <row r="171" spans="1:14" ht="33.950000000000003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7" t="str">
        <f t="shared" si="10"/>
        <v/>
      </c>
      <c r="L171" s="8" t="str">
        <f t="shared" si="11"/>
        <v/>
      </c>
      <c r="M171" s="4"/>
      <c r="N171" s="4"/>
    </row>
    <row r="172" spans="1:14" ht="33.950000000000003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7" t="str">
        <f t="shared" si="10"/>
        <v/>
      </c>
      <c r="L172" s="8" t="str">
        <f t="shared" si="11"/>
        <v/>
      </c>
      <c r="M172" s="4"/>
      <c r="N172" s="4"/>
    </row>
    <row r="173" spans="1:14" ht="33.950000000000003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7" t="str">
        <f t="shared" si="10"/>
        <v/>
      </c>
      <c r="L173" s="8" t="str">
        <f t="shared" si="11"/>
        <v/>
      </c>
      <c r="M173" s="4"/>
      <c r="N173" s="4"/>
    </row>
    <row r="174" spans="1:14" ht="33.950000000000003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7" t="str">
        <f t="shared" si="10"/>
        <v/>
      </c>
      <c r="L174" s="8" t="str">
        <f t="shared" si="11"/>
        <v/>
      </c>
      <c r="M174" s="4"/>
      <c r="N174" s="4"/>
    </row>
    <row r="175" spans="1:14" ht="33.950000000000003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7" t="str">
        <f t="shared" si="10"/>
        <v/>
      </c>
      <c r="L175" s="8" t="str">
        <f t="shared" si="11"/>
        <v/>
      </c>
      <c r="M175" s="4"/>
      <c r="N175" s="4"/>
    </row>
    <row r="176" spans="1:14" ht="33.950000000000003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7" t="str">
        <f t="shared" si="10"/>
        <v/>
      </c>
      <c r="L176" s="8" t="str">
        <f t="shared" si="11"/>
        <v/>
      </c>
      <c r="M176" s="4"/>
      <c r="N176" s="4"/>
    </row>
    <row r="177" spans="1:14" ht="33.950000000000003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7" t="str">
        <f t="shared" si="10"/>
        <v/>
      </c>
      <c r="L177" s="8" t="str">
        <f t="shared" si="11"/>
        <v/>
      </c>
      <c r="M177" s="4"/>
      <c r="N177" s="4"/>
    </row>
    <row r="178" spans="1:14" ht="33.950000000000003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7" t="str">
        <f t="shared" si="10"/>
        <v/>
      </c>
      <c r="L178" s="8" t="str">
        <f t="shared" si="11"/>
        <v/>
      </c>
      <c r="M178" s="4"/>
      <c r="N178" s="4"/>
    </row>
    <row r="179" spans="1:14" ht="33.950000000000003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7" t="str">
        <f t="shared" si="10"/>
        <v/>
      </c>
      <c r="L179" s="8" t="str">
        <f t="shared" si="11"/>
        <v/>
      </c>
      <c r="M179" s="4"/>
      <c r="N179" s="4"/>
    </row>
    <row r="180" spans="1:14" ht="33.950000000000003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7" t="str">
        <f t="shared" si="10"/>
        <v/>
      </c>
      <c r="L180" s="8" t="str">
        <f t="shared" si="11"/>
        <v/>
      </c>
      <c r="M180" s="4"/>
      <c r="N180" s="4"/>
    </row>
    <row r="181" spans="1:14" ht="33.950000000000003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7" t="str">
        <f t="shared" si="10"/>
        <v/>
      </c>
      <c r="L181" s="8" t="str">
        <f t="shared" si="11"/>
        <v/>
      </c>
      <c r="M181" s="4"/>
      <c r="N181" s="4"/>
    </row>
    <row r="182" spans="1:14" ht="33.950000000000003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7" t="str">
        <f t="shared" si="10"/>
        <v/>
      </c>
      <c r="L182" s="8" t="str">
        <f t="shared" si="11"/>
        <v/>
      </c>
      <c r="M182" s="4"/>
      <c r="N182" s="4"/>
    </row>
    <row r="183" spans="1:14" ht="33.950000000000003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7" t="str">
        <f t="shared" si="10"/>
        <v/>
      </c>
      <c r="L183" s="8" t="str">
        <f t="shared" si="11"/>
        <v/>
      </c>
      <c r="M183" s="4"/>
      <c r="N183" s="4"/>
    </row>
    <row r="184" spans="1:14" ht="33.950000000000003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7" t="str">
        <f t="shared" si="10"/>
        <v/>
      </c>
      <c r="L184" s="8" t="str">
        <f t="shared" si="11"/>
        <v/>
      </c>
      <c r="M184" s="4"/>
      <c r="N184" s="4"/>
    </row>
    <row r="185" spans="1:14" ht="33.950000000000003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7" t="str">
        <f t="shared" si="10"/>
        <v/>
      </c>
      <c r="L185" s="8" t="str">
        <f t="shared" si="11"/>
        <v/>
      </c>
      <c r="M185" s="4"/>
      <c r="N185" s="4"/>
    </row>
    <row r="186" spans="1:14" ht="33.950000000000003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7" t="str">
        <f t="shared" si="10"/>
        <v/>
      </c>
      <c r="L186" s="8" t="str">
        <f t="shared" si="11"/>
        <v/>
      </c>
      <c r="M186" s="4"/>
      <c r="N186" s="4"/>
    </row>
    <row r="187" spans="1:14" ht="33.950000000000003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7" t="str">
        <f t="shared" si="10"/>
        <v/>
      </c>
      <c r="L187" s="8" t="str">
        <f t="shared" si="11"/>
        <v/>
      </c>
      <c r="M187" s="4"/>
      <c r="N187" s="4"/>
    </row>
    <row r="188" spans="1:14" ht="33.950000000000003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7" t="str">
        <f t="shared" si="10"/>
        <v/>
      </c>
      <c r="L188" s="8" t="str">
        <f t="shared" si="11"/>
        <v/>
      </c>
      <c r="M188" s="4"/>
      <c r="N188" s="4"/>
    </row>
    <row r="189" spans="1:14" ht="33.950000000000003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7" t="str">
        <f t="shared" si="10"/>
        <v/>
      </c>
      <c r="L189" s="8" t="str">
        <f t="shared" si="11"/>
        <v/>
      </c>
      <c r="M189" s="4"/>
      <c r="N189" s="4"/>
    </row>
    <row r="190" spans="1:14" ht="33.950000000000003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7" t="str">
        <f t="shared" si="10"/>
        <v/>
      </c>
      <c r="L190" s="8" t="str">
        <f t="shared" si="11"/>
        <v/>
      </c>
      <c r="M190" s="4"/>
      <c r="N190" s="4"/>
    </row>
    <row r="191" spans="1:14" ht="33.950000000000003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7" t="str">
        <f t="shared" si="10"/>
        <v/>
      </c>
      <c r="L191" s="8" t="str">
        <f t="shared" si="11"/>
        <v/>
      </c>
      <c r="M191" s="4"/>
      <c r="N191" s="4"/>
    </row>
    <row r="192" spans="1:14" ht="33.950000000000003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7" t="str">
        <f t="shared" si="10"/>
        <v/>
      </c>
      <c r="L192" s="8" t="str">
        <f t="shared" si="11"/>
        <v/>
      </c>
      <c r="M192" s="4"/>
      <c r="N192" s="4"/>
    </row>
    <row r="193" spans="1:14" ht="33.950000000000003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7" t="str">
        <f t="shared" si="10"/>
        <v/>
      </c>
      <c r="L193" s="8" t="str">
        <f t="shared" si="11"/>
        <v/>
      </c>
      <c r="M193" s="4"/>
      <c r="N193" s="4"/>
    </row>
    <row r="194" spans="1:14" ht="33.950000000000003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7" t="str">
        <f t="shared" si="10"/>
        <v/>
      </c>
      <c r="L194" s="8" t="str">
        <f t="shared" si="11"/>
        <v/>
      </c>
      <c r="M194" s="4"/>
      <c r="N194" s="4"/>
    </row>
    <row r="195" spans="1:14" ht="33.950000000000003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7" t="str">
        <f t="shared" si="10"/>
        <v/>
      </c>
      <c r="L195" s="8" t="str">
        <f t="shared" si="11"/>
        <v/>
      </c>
      <c r="M195" s="4"/>
      <c r="N195" s="4"/>
    </row>
    <row r="196" spans="1:14" ht="33.950000000000003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7" t="str">
        <f t="shared" ref="K196:K227" si="12">IF(A196="","",IFERROR((F196+G196+H196)*((6-J196)/5)/I196,0))</f>
        <v/>
      </c>
      <c r="L196" s="8" t="str">
        <f t="shared" ref="L196:L227" si="13">IF(K196="","",IF(K196&gt;=6,"Включить в первую версию",IF(K196&gt;=4,"Включить после проверки",IF(K196&gt;=2.5,"Проверить дополнительно",IF(K196&gt;=1.5,"Отложить","Исключить")))))</f>
        <v/>
      </c>
      <c r="M196" s="4"/>
      <c r="N196" s="4"/>
    </row>
    <row r="197" spans="1:14" ht="33.950000000000003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7" t="str">
        <f t="shared" si="12"/>
        <v/>
      </c>
      <c r="L197" s="8" t="str">
        <f t="shared" si="13"/>
        <v/>
      </c>
      <c r="M197" s="4"/>
      <c r="N197" s="4"/>
    </row>
    <row r="198" spans="1:14" ht="33.950000000000003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7" t="str">
        <f t="shared" si="12"/>
        <v/>
      </c>
      <c r="L198" s="8" t="str">
        <f t="shared" si="13"/>
        <v/>
      </c>
      <c r="M198" s="4"/>
      <c r="N198" s="4"/>
    </row>
    <row r="199" spans="1:14" ht="33.950000000000003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7" t="str">
        <f t="shared" si="12"/>
        <v/>
      </c>
      <c r="L199" s="8" t="str">
        <f t="shared" si="13"/>
        <v/>
      </c>
      <c r="M199" s="4"/>
      <c r="N199" s="4"/>
    </row>
    <row r="200" spans="1:14" ht="33.950000000000003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7" t="str">
        <f t="shared" si="12"/>
        <v/>
      </c>
      <c r="L200" s="8" t="str">
        <f t="shared" si="13"/>
        <v/>
      </c>
      <c r="M200" s="4"/>
      <c r="N200" s="4"/>
    </row>
    <row r="201" spans="1:14" ht="33.950000000000003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7" t="str">
        <f t="shared" si="12"/>
        <v/>
      </c>
      <c r="L201" s="8" t="str">
        <f t="shared" si="13"/>
        <v/>
      </c>
      <c r="M201" s="4"/>
      <c r="N201" s="4"/>
    </row>
    <row r="202" spans="1:14" ht="33.950000000000003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7" t="str">
        <f t="shared" si="12"/>
        <v/>
      </c>
      <c r="L202" s="8" t="str">
        <f t="shared" si="13"/>
        <v/>
      </c>
      <c r="M202" s="4"/>
      <c r="N202" s="4"/>
    </row>
    <row r="203" spans="1:14" ht="33.950000000000003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7" t="str">
        <f t="shared" si="12"/>
        <v/>
      </c>
      <c r="L203" s="8" t="str">
        <f t="shared" si="13"/>
        <v/>
      </c>
      <c r="M203" s="4"/>
      <c r="N203" s="4"/>
    </row>
  </sheetData>
  <mergeCells count="1">
    <mergeCell ref="A1:N1"/>
  </mergeCells>
  <conditionalFormatting sqref="K4:K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F4:J203" xr:uid="{00000000-0002-0000-0700-000000000000}">
      <formula1>"1,2,3,4,5"</formula1>
    </dataValidation>
    <dataValidation type="list" sqref="H4:H203" xr:uid="{00000000-0002-0000-0700-000001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2000000}">
          <x14:formula1>
            <xm:f>Справочники!$A$46:$A$50</xm:f>
          </x14:formula1>
          <xm:sqref>L4:L203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3"/>
  <sheetViews>
    <sheetView workbookViewId="0"/>
  </sheetViews>
  <sheetFormatPr defaultRowHeight="14.25"/>
  <cols>
    <col min="1" max="1" width="24" customWidth="1"/>
    <col min="2" max="2" width="32" customWidth="1"/>
    <col min="3" max="3" width="44" customWidth="1"/>
    <col min="4" max="4" width="28" customWidth="1"/>
    <col min="5" max="5" width="34" customWidth="1"/>
    <col min="6" max="6" width="14" customWidth="1"/>
    <col min="7" max="7" width="12" customWidth="1"/>
    <col min="8" max="8" width="18" customWidth="1"/>
    <col min="9" max="9" width="32" customWidth="1"/>
  </cols>
  <sheetData>
    <row r="1" spans="1:26" ht="30" customHeight="1">
      <c r="A1" s="10" t="s">
        <v>190</v>
      </c>
      <c r="B1" s="10"/>
      <c r="C1" s="10"/>
      <c r="D1" s="10"/>
      <c r="E1" s="10"/>
      <c r="F1" s="10"/>
      <c r="G1" s="10"/>
      <c r="H1" s="10"/>
      <c r="I1" s="10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3.950000000000003" customHeight="1">
      <c r="A3" s="5" t="s">
        <v>191</v>
      </c>
      <c r="B3" s="5" t="s">
        <v>192</v>
      </c>
      <c r="C3" s="5" t="s">
        <v>193</v>
      </c>
      <c r="D3" s="5" t="s">
        <v>194</v>
      </c>
      <c r="E3" s="5" t="s">
        <v>195</v>
      </c>
      <c r="F3" s="5" t="s">
        <v>196</v>
      </c>
      <c r="G3" s="5" t="s">
        <v>197</v>
      </c>
      <c r="H3" s="5" t="s">
        <v>13</v>
      </c>
      <c r="I3" s="5" t="s">
        <v>68</v>
      </c>
    </row>
    <row r="4" spans="1:26" ht="33.950000000000003" customHeight="1">
      <c r="A4" s="4" t="s">
        <v>16</v>
      </c>
      <c r="B4" s="4" t="s">
        <v>198</v>
      </c>
      <c r="C4" s="4" t="s">
        <v>199</v>
      </c>
      <c r="D4" s="4" t="s">
        <v>15</v>
      </c>
      <c r="E4" s="4" t="s">
        <v>200</v>
      </c>
      <c r="F4" s="8">
        <f>COUNTA('Банк анализа'!A4:A203)</f>
        <v>10</v>
      </c>
      <c r="G4" s="4">
        <v>5</v>
      </c>
      <c r="H4" s="8" t="str">
        <f t="shared" ref="H4:H13" si="0">IF(F4&gt;=G4,"Пройдено","Недостаточно")</f>
        <v>Пройдено</v>
      </c>
      <c r="I4" s="4"/>
    </row>
    <row r="5" spans="1:26" ht="33.950000000000003" customHeight="1">
      <c r="A5" s="4" t="s">
        <v>201</v>
      </c>
      <c r="B5" s="4" t="s">
        <v>202</v>
      </c>
      <c r="C5" s="4" t="s">
        <v>203</v>
      </c>
      <c r="D5" s="4" t="s">
        <v>15</v>
      </c>
      <c r="E5" s="4" t="s">
        <v>204</v>
      </c>
      <c r="F5" s="8">
        <f>COUNTIF('Банк анализа'!G4:G203,"&gt;=3")</f>
        <v>8</v>
      </c>
      <c r="G5" s="4">
        <v>3</v>
      </c>
      <c r="H5" s="8" t="str">
        <f t="shared" si="0"/>
        <v>Пройдено</v>
      </c>
      <c r="I5" s="4"/>
    </row>
    <row r="6" spans="1:26" ht="33.950000000000003" customHeight="1">
      <c r="A6" s="4" t="s">
        <v>20</v>
      </c>
      <c r="B6" s="4" t="s">
        <v>205</v>
      </c>
      <c r="C6" s="4" t="s">
        <v>206</v>
      </c>
      <c r="D6" s="4" t="s">
        <v>20</v>
      </c>
      <c r="E6" s="4" t="s">
        <v>207</v>
      </c>
      <c r="F6" s="8">
        <f>COUNTA('Бизнес-логика'!A4:A203)</f>
        <v>7</v>
      </c>
      <c r="G6" s="4">
        <v>3</v>
      </c>
      <c r="H6" s="8" t="str">
        <f t="shared" si="0"/>
        <v>Пройдено</v>
      </c>
      <c r="I6" s="4"/>
    </row>
    <row r="7" spans="1:26" ht="33.950000000000003" customHeight="1">
      <c r="A7" s="4" t="s">
        <v>25</v>
      </c>
      <c r="B7" s="4" t="s">
        <v>208</v>
      </c>
      <c r="C7" s="4" t="s">
        <v>209</v>
      </c>
      <c r="D7" s="4" t="s">
        <v>25</v>
      </c>
      <c r="E7" s="4" t="s">
        <v>210</v>
      </c>
      <c r="F7" s="8">
        <f>COUNTA('Роли и сегменты'!A4:A203)</f>
        <v>7</v>
      </c>
      <c r="G7" s="4">
        <v>2</v>
      </c>
      <c r="H7" s="8" t="str">
        <f t="shared" si="0"/>
        <v>Пройдено</v>
      </c>
      <c r="I7" s="4"/>
    </row>
    <row r="8" spans="1:26" ht="33.950000000000003" customHeight="1">
      <c r="A8" s="4" t="s">
        <v>211</v>
      </c>
      <c r="B8" s="4" t="s">
        <v>212</v>
      </c>
      <c r="C8" s="4" t="s">
        <v>213</v>
      </c>
      <c r="D8" s="4" t="s">
        <v>30</v>
      </c>
      <c r="E8" s="4" t="s">
        <v>214</v>
      </c>
      <c r="F8" s="8">
        <f>COUNTA('Пользовательские сценарии'!A4:A203)</f>
        <v>13</v>
      </c>
      <c r="G8" s="4">
        <v>5</v>
      </c>
      <c r="H8" s="8" t="str">
        <f t="shared" si="0"/>
        <v>Пройдено</v>
      </c>
      <c r="I8" s="4"/>
    </row>
    <row r="9" spans="1:26" ht="33.950000000000003" customHeight="1">
      <c r="A9" s="4" t="s">
        <v>215</v>
      </c>
      <c r="B9" s="4" t="s">
        <v>216</v>
      </c>
      <c r="C9" s="4" t="s">
        <v>217</v>
      </c>
      <c r="D9" s="4" t="s">
        <v>30</v>
      </c>
      <c r="E9" s="4" t="s">
        <v>218</v>
      </c>
      <c r="F9" s="8">
        <f>COUNTIF('Пользовательские сценарии'!E4:E203,"Монетизационный")</f>
        <v>1</v>
      </c>
      <c r="G9" s="4">
        <v>1</v>
      </c>
      <c r="H9" s="8" t="str">
        <f t="shared" si="0"/>
        <v>Пройдено</v>
      </c>
      <c r="I9" s="4"/>
    </row>
    <row r="10" spans="1:26" ht="33.950000000000003" customHeight="1">
      <c r="A10" s="4" t="s">
        <v>219</v>
      </c>
      <c r="B10" s="4" t="s">
        <v>220</v>
      </c>
      <c r="C10" s="4" t="s">
        <v>221</v>
      </c>
      <c r="D10" s="4" t="s">
        <v>40</v>
      </c>
      <c r="E10" s="4" t="s">
        <v>222</v>
      </c>
      <c r="F10" s="8">
        <f>COUNTA('Функциональные требования'!A4:A203)</f>
        <v>14</v>
      </c>
      <c r="G10" s="4">
        <v>5</v>
      </c>
      <c r="H10" s="8" t="str">
        <f t="shared" si="0"/>
        <v>Пройдено</v>
      </c>
      <c r="I10" s="4"/>
    </row>
    <row r="11" spans="1:26" ht="33.950000000000003" customHeight="1">
      <c r="A11" s="4" t="s">
        <v>165</v>
      </c>
      <c r="B11" s="4" t="s">
        <v>223</v>
      </c>
      <c r="C11" s="4" t="s">
        <v>224</v>
      </c>
      <c r="D11" s="4" t="s">
        <v>40</v>
      </c>
      <c r="E11" s="4" t="s">
        <v>225</v>
      </c>
      <c r="F11" s="8">
        <f>COUNTIF('Функциональные требования'!O4:O203,"Да")</f>
        <v>7</v>
      </c>
      <c r="G11" s="4">
        <v>3</v>
      </c>
      <c r="H11" s="8" t="str">
        <f t="shared" si="0"/>
        <v>Пройдено</v>
      </c>
      <c r="I11" s="4"/>
    </row>
    <row r="12" spans="1:26" ht="33.950000000000003" customHeight="1">
      <c r="A12" s="4" t="s">
        <v>45</v>
      </c>
      <c r="B12" s="4" t="s">
        <v>226</v>
      </c>
      <c r="C12" s="4" t="s">
        <v>227</v>
      </c>
      <c r="D12" s="4" t="s">
        <v>45</v>
      </c>
      <c r="E12" s="4" t="s">
        <v>228</v>
      </c>
      <c r="F12" s="8">
        <f>COUNTA(Приоритизация!A4:A203)</f>
        <v>11</v>
      </c>
      <c r="G12" s="4">
        <v>5</v>
      </c>
      <c r="H12" s="8" t="str">
        <f t="shared" si="0"/>
        <v>Пройдено</v>
      </c>
      <c r="I12" s="4"/>
    </row>
    <row r="13" spans="1:26" ht="33.950000000000003" customHeight="1">
      <c r="A13" s="4" t="s">
        <v>229</v>
      </c>
      <c r="B13" s="4" t="s">
        <v>230</v>
      </c>
      <c r="C13" s="4" t="s">
        <v>231</v>
      </c>
      <c r="D13" s="4" t="s">
        <v>50</v>
      </c>
      <c r="E13" s="4" t="s">
        <v>232</v>
      </c>
      <c r="F13" s="8">
        <f>COUNTIF(H4:H12,"Пройдено")</f>
        <v>9</v>
      </c>
      <c r="G13" s="4">
        <v>7</v>
      </c>
      <c r="H13" s="8" t="str">
        <f t="shared" si="0"/>
        <v>Пройдено</v>
      </c>
      <c r="I13" s="4"/>
    </row>
    <row r="14" spans="1:26" ht="33.950000000000003" customHeight="1"/>
    <row r="15" spans="1:26" ht="33.950000000000003" customHeight="1"/>
    <row r="16" spans="1:26" ht="33.950000000000003" customHeight="1"/>
    <row r="17" ht="33.950000000000003" customHeight="1"/>
    <row r="18" ht="33.950000000000003" customHeight="1"/>
    <row r="19" ht="33.950000000000003" customHeight="1"/>
    <row r="20" ht="33.950000000000003" customHeight="1"/>
    <row r="21" ht="33.950000000000003" customHeight="1"/>
    <row r="22" ht="33.950000000000003" customHeight="1"/>
    <row r="23" ht="33.950000000000003" customHeight="1"/>
    <row r="24" ht="33.950000000000003" customHeight="1"/>
    <row r="25" ht="33.950000000000003" customHeight="1"/>
    <row r="26" ht="33.950000000000003" customHeight="1"/>
    <row r="27" ht="33.950000000000003" customHeight="1"/>
    <row r="28" ht="33.950000000000003" customHeight="1"/>
    <row r="29" ht="33.950000000000003" customHeight="1"/>
    <row r="30" ht="33.950000000000003" customHeight="1"/>
    <row r="31" ht="33.950000000000003" customHeight="1"/>
    <row r="32" ht="33.950000000000003" customHeight="1"/>
    <row r="33" ht="33.950000000000003" customHeight="1"/>
    <row r="34" ht="33.950000000000003" customHeight="1"/>
    <row r="35" ht="33.950000000000003" customHeight="1"/>
    <row r="36" ht="33.950000000000003" customHeight="1"/>
    <row r="37" ht="33.950000000000003" customHeight="1"/>
    <row r="38" ht="33.950000000000003" customHeight="1"/>
    <row r="39" ht="33.950000000000003" customHeight="1"/>
    <row r="40" ht="33.950000000000003" customHeight="1"/>
    <row r="41" ht="33.950000000000003" customHeight="1"/>
    <row r="42" ht="33.950000000000003" customHeight="1"/>
    <row r="43" ht="33.950000000000003" customHeight="1"/>
    <row r="44" ht="33.950000000000003" customHeight="1"/>
    <row r="45" ht="33.950000000000003" customHeight="1"/>
    <row r="46" ht="33.950000000000003" customHeight="1"/>
    <row r="47" ht="33.950000000000003" customHeight="1"/>
    <row r="48" ht="33.950000000000003" customHeight="1"/>
    <row r="49" ht="33.950000000000003" customHeight="1"/>
    <row r="50" ht="33.950000000000003" customHeight="1"/>
    <row r="51" ht="33.950000000000003" customHeight="1"/>
    <row r="52" ht="33.950000000000003" customHeight="1"/>
    <row r="53" ht="33.950000000000003" customHeight="1"/>
    <row r="54" ht="33.950000000000003" customHeight="1"/>
    <row r="55" ht="33.950000000000003" customHeight="1"/>
    <row r="56" ht="33.950000000000003" customHeight="1"/>
    <row r="57" ht="33.950000000000003" customHeight="1"/>
    <row r="58" ht="33.950000000000003" customHeight="1"/>
    <row r="59" ht="33.950000000000003" customHeight="1"/>
    <row r="60" ht="33.950000000000003" customHeight="1"/>
    <row r="61" ht="33.950000000000003" customHeight="1"/>
    <row r="62" ht="33.950000000000003" customHeight="1"/>
    <row r="63" ht="33.950000000000003" customHeight="1"/>
    <row r="64" ht="33.950000000000003" customHeight="1"/>
    <row r="65" ht="33.950000000000003" customHeight="1"/>
    <row r="66" ht="33.950000000000003" customHeight="1"/>
    <row r="67" ht="33.950000000000003" customHeight="1"/>
    <row r="68" ht="33.950000000000003" customHeight="1"/>
    <row r="69" ht="33.950000000000003" customHeight="1"/>
    <row r="70" ht="33.950000000000003" customHeight="1"/>
    <row r="71" ht="33.950000000000003" customHeight="1"/>
    <row r="72" ht="33.950000000000003" customHeight="1"/>
    <row r="73" ht="33.950000000000003" customHeight="1"/>
    <row r="74" ht="33.950000000000003" customHeight="1"/>
    <row r="75" ht="33.950000000000003" customHeight="1"/>
    <row r="76" ht="33.950000000000003" customHeight="1"/>
    <row r="77" ht="33.950000000000003" customHeight="1"/>
    <row r="78" ht="33.950000000000003" customHeight="1"/>
    <row r="79" ht="33.950000000000003" customHeight="1"/>
    <row r="80" ht="33.950000000000003" customHeight="1"/>
    <row r="81" ht="33.950000000000003" customHeight="1"/>
    <row r="82" ht="33.950000000000003" customHeight="1"/>
    <row r="83" ht="33.950000000000003" customHeight="1"/>
    <row r="84" ht="33.950000000000003" customHeight="1"/>
    <row r="85" ht="33.950000000000003" customHeight="1"/>
    <row r="86" ht="33.950000000000003" customHeight="1"/>
    <row r="87" ht="33.950000000000003" customHeight="1"/>
    <row r="88" ht="33.950000000000003" customHeight="1"/>
    <row r="89" ht="33.950000000000003" customHeight="1"/>
    <row r="90" ht="33.950000000000003" customHeight="1"/>
    <row r="91" ht="33.950000000000003" customHeight="1"/>
    <row r="92" ht="33.950000000000003" customHeight="1"/>
    <row r="93" ht="33.950000000000003" customHeight="1"/>
    <row r="94" ht="33.950000000000003" customHeight="1"/>
    <row r="95" ht="33.950000000000003" customHeight="1"/>
    <row r="96" ht="33.950000000000003" customHeight="1"/>
    <row r="97" ht="33.950000000000003" customHeight="1"/>
    <row r="98" ht="33.950000000000003" customHeight="1"/>
    <row r="99" ht="33.950000000000003" customHeight="1"/>
    <row r="100" ht="33.950000000000003" customHeight="1"/>
    <row r="101" ht="33.950000000000003" customHeight="1"/>
    <row r="102" ht="33.950000000000003" customHeight="1"/>
    <row r="103" ht="33.950000000000003" customHeight="1"/>
    <row r="104" ht="33.950000000000003" customHeight="1"/>
    <row r="105" ht="33.950000000000003" customHeight="1"/>
    <row r="106" ht="33.950000000000003" customHeight="1"/>
    <row r="107" ht="33.950000000000003" customHeight="1"/>
    <row r="108" ht="33.950000000000003" customHeight="1"/>
    <row r="109" ht="33.950000000000003" customHeight="1"/>
    <row r="110" ht="33.950000000000003" customHeight="1"/>
    <row r="111" ht="33.950000000000003" customHeight="1"/>
    <row r="112" ht="33.950000000000003" customHeight="1"/>
    <row r="113" ht="33.950000000000003" customHeight="1"/>
    <row r="114" ht="33.950000000000003" customHeight="1"/>
    <row r="115" ht="33.950000000000003" customHeight="1"/>
    <row r="116" ht="33.950000000000003" customHeight="1"/>
    <row r="117" ht="33.950000000000003" customHeight="1"/>
    <row r="118" ht="33.950000000000003" customHeight="1"/>
    <row r="119" ht="33.950000000000003" customHeight="1"/>
    <row r="120" ht="33.950000000000003" customHeight="1"/>
    <row r="121" ht="33.950000000000003" customHeight="1"/>
    <row r="122" ht="33.950000000000003" customHeight="1"/>
    <row r="123" ht="33.950000000000003" customHeight="1"/>
    <row r="124" ht="33.950000000000003" customHeight="1"/>
    <row r="125" ht="33.950000000000003" customHeight="1"/>
    <row r="126" ht="33.950000000000003" customHeight="1"/>
    <row r="127" ht="33.950000000000003" customHeight="1"/>
    <row r="128" ht="33.950000000000003" customHeight="1"/>
    <row r="129" ht="33.950000000000003" customHeight="1"/>
    <row r="130" ht="33.950000000000003" customHeight="1"/>
    <row r="131" ht="33.950000000000003" customHeight="1"/>
    <row r="132" ht="33.950000000000003" customHeight="1"/>
    <row r="133" ht="33.950000000000003" customHeight="1"/>
    <row r="134" ht="33.950000000000003" customHeight="1"/>
    <row r="135" ht="33.950000000000003" customHeight="1"/>
    <row r="136" ht="33.950000000000003" customHeight="1"/>
    <row r="137" ht="33.950000000000003" customHeight="1"/>
    <row r="138" ht="33.950000000000003" customHeight="1"/>
    <row r="139" ht="33.950000000000003" customHeight="1"/>
    <row r="140" ht="33.950000000000003" customHeight="1"/>
    <row r="141" ht="33.950000000000003" customHeight="1"/>
    <row r="142" ht="33.950000000000003" customHeight="1"/>
    <row r="143" ht="33.950000000000003" customHeight="1"/>
    <row r="144" ht="33.950000000000003" customHeight="1"/>
    <row r="145" ht="33.950000000000003" customHeight="1"/>
    <row r="146" ht="33.950000000000003" customHeight="1"/>
    <row r="147" ht="33.950000000000003" customHeight="1"/>
    <row r="148" ht="33.950000000000003" customHeight="1"/>
    <row r="149" ht="33.950000000000003" customHeight="1"/>
    <row r="150" ht="33.950000000000003" customHeight="1"/>
    <row r="151" ht="33.950000000000003" customHeight="1"/>
    <row r="152" ht="33.950000000000003" customHeight="1"/>
    <row r="153" ht="33.950000000000003" customHeight="1"/>
    <row r="154" ht="33.950000000000003" customHeight="1"/>
    <row r="155" ht="33.950000000000003" customHeight="1"/>
    <row r="156" ht="33.950000000000003" customHeight="1"/>
    <row r="157" ht="33.950000000000003" customHeight="1"/>
    <row r="158" ht="33.950000000000003" customHeight="1"/>
    <row r="159" ht="33.950000000000003" customHeight="1"/>
    <row r="160" ht="33.950000000000003" customHeight="1"/>
    <row r="161" ht="33.950000000000003" customHeight="1"/>
    <row r="162" ht="33.950000000000003" customHeight="1"/>
    <row r="163" ht="33.950000000000003" customHeight="1"/>
    <row r="164" ht="33.950000000000003" customHeight="1"/>
    <row r="165" ht="33.950000000000003" customHeight="1"/>
    <row r="166" ht="33.950000000000003" customHeight="1"/>
    <row r="167" ht="33.950000000000003" customHeight="1"/>
    <row r="168" ht="33.950000000000003" customHeight="1"/>
    <row r="169" ht="33.950000000000003" customHeight="1"/>
    <row r="170" ht="33.950000000000003" customHeight="1"/>
    <row r="171" ht="33.950000000000003" customHeight="1"/>
    <row r="172" ht="33.950000000000003" customHeight="1"/>
    <row r="173" ht="33.950000000000003" customHeight="1"/>
    <row r="174" ht="33.950000000000003" customHeight="1"/>
    <row r="175" ht="33.950000000000003" customHeight="1"/>
    <row r="176" ht="33.950000000000003" customHeight="1"/>
    <row r="177" ht="33.950000000000003" customHeight="1"/>
    <row r="178" ht="33.950000000000003" customHeight="1"/>
    <row r="179" ht="33.950000000000003" customHeight="1"/>
    <row r="180" ht="33.950000000000003" customHeight="1"/>
    <row r="181" ht="33.950000000000003" customHeight="1"/>
    <row r="182" ht="33.950000000000003" customHeight="1"/>
    <row r="183" ht="33.950000000000003" customHeight="1"/>
    <row r="184" ht="33.950000000000003" customHeight="1"/>
    <row r="185" ht="33.950000000000003" customHeight="1"/>
    <row r="186" ht="33.950000000000003" customHeight="1"/>
    <row r="187" ht="33.950000000000003" customHeight="1"/>
    <row r="188" ht="33.950000000000003" customHeight="1"/>
    <row r="189" ht="33.950000000000003" customHeight="1"/>
    <row r="190" ht="33.950000000000003" customHeight="1"/>
    <row r="191" ht="33.950000000000003" customHeight="1"/>
    <row r="192" ht="33.950000000000003" customHeight="1"/>
    <row r="193" ht="33.950000000000003" customHeight="1"/>
    <row r="194" ht="33.950000000000003" customHeight="1"/>
    <row r="195" ht="33.950000000000003" customHeight="1"/>
    <row r="196" ht="33.950000000000003" customHeight="1"/>
    <row r="197" ht="33.950000000000003" customHeight="1"/>
    <row r="198" ht="33.950000000000003" customHeight="1"/>
    <row r="199" ht="33.950000000000003" customHeight="1"/>
    <row r="200" ht="33.950000000000003" customHeight="1"/>
    <row r="201" ht="33.950000000000003" customHeight="1"/>
    <row r="202" ht="33.950000000000003" customHeight="1"/>
    <row r="203" ht="33.950000000000003" customHeight="1"/>
  </sheetData>
  <mergeCells count="1">
    <mergeCell ref="A1:I1"/>
  </mergeCells>
  <conditionalFormatting sqref="H4:H13">
    <cfRule type="expression" dxfId="3" priority="1">
      <formula>H4="Пройдено"</formula>
    </cfRule>
    <cfRule type="expression" dxfId="2" priority="2">
      <formula>H4="Недостаточно"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3"/>
  <sheetViews>
    <sheetView workbookViewId="0"/>
  </sheetViews>
  <sheetFormatPr defaultRowHeight="14.25"/>
  <cols>
    <col min="1" max="4" width="24" customWidth="1"/>
    <col min="6" max="9" width="24" customWidth="1"/>
  </cols>
  <sheetData>
    <row r="1" spans="1:26" ht="30" customHeight="1">
      <c r="A1" s="10" t="s">
        <v>233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3.950000000000003" customHeight="1">
      <c r="A3" s="11" t="s">
        <v>234</v>
      </c>
      <c r="B3" s="11"/>
      <c r="C3" s="11"/>
      <c r="D3" s="11"/>
      <c r="F3" s="11" t="s">
        <v>235</v>
      </c>
      <c r="G3" s="11"/>
      <c r="H3" s="11"/>
      <c r="I3" s="11"/>
    </row>
    <row r="4" spans="1:26" ht="33.950000000000003" customHeight="1">
      <c r="A4" s="5" t="s">
        <v>236</v>
      </c>
      <c r="B4" s="5" t="s">
        <v>237</v>
      </c>
      <c r="C4" s="5" t="s">
        <v>238</v>
      </c>
      <c r="D4" s="5" t="s">
        <v>239</v>
      </c>
      <c r="F4" s="5" t="s">
        <v>133</v>
      </c>
      <c r="G4" s="5" t="s">
        <v>211</v>
      </c>
      <c r="H4" s="5" t="s">
        <v>219</v>
      </c>
      <c r="I4" s="5" t="s">
        <v>240</v>
      </c>
    </row>
    <row r="5" spans="1:26" ht="33.950000000000003" customHeight="1">
      <c r="A5" s="3" t="s">
        <v>241</v>
      </c>
      <c r="B5" s="8">
        <f>COUNTA('Банк анализа'!A4:A203)</f>
        <v>10</v>
      </c>
      <c r="C5" s="3" t="s">
        <v>242</v>
      </c>
      <c r="D5" s="3" t="s">
        <v>243</v>
      </c>
      <c r="F5" s="3" t="s">
        <v>244</v>
      </c>
      <c r="G5" s="8">
        <f>COUNTIF('Пользовательские сценарии'!S4:S203,F5)</f>
        <v>0</v>
      </c>
      <c r="H5" s="8">
        <f>COUNTIF('Функциональные требования'!N4:N203,F5)</f>
        <v>5</v>
      </c>
      <c r="I5" s="8">
        <f>COUNTIF(Приоритизация!L4:L203,"*"&amp;F5&amp;"*")</f>
        <v>0</v>
      </c>
    </row>
    <row r="6" spans="1:26" ht="33.950000000000003" customHeight="1">
      <c r="A6" s="3" t="s">
        <v>245</v>
      </c>
      <c r="B6" s="8">
        <f>COUNTIF('Банк анализа'!G4:G203,"&gt;=3")</f>
        <v>8</v>
      </c>
      <c r="C6" s="3" t="s">
        <v>242</v>
      </c>
      <c r="D6" s="3" t="s">
        <v>246</v>
      </c>
      <c r="F6" s="3" t="s">
        <v>247</v>
      </c>
      <c r="G6" s="8">
        <f>COUNTIF('Пользовательские сценарии'!S4:S203,F6)</f>
        <v>3</v>
      </c>
      <c r="H6" s="8">
        <f>COUNTIF('Функциональные требования'!N4:N203,F6)</f>
        <v>2</v>
      </c>
      <c r="I6" s="8">
        <f>COUNTIF(Приоритизация!L4:L203,"*"&amp;F6&amp;"*")</f>
        <v>0</v>
      </c>
    </row>
    <row r="7" spans="1:26" ht="33.950000000000003" customHeight="1">
      <c r="A7" s="3" t="s">
        <v>248</v>
      </c>
      <c r="B7" s="8">
        <f>COUNTA('Бизнес-логика'!A4:A203)</f>
        <v>7</v>
      </c>
      <c r="C7" s="3" t="s">
        <v>242</v>
      </c>
      <c r="D7" s="3" t="s">
        <v>249</v>
      </c>
      <c r="F7" s="3" t="s">
        <v>250</v>
      </c>
      <c r="G7" s="8">
        <f>COUNTIF('Пользовательские сценарии'!S4:S203,F7)</f>
        <v>3</v>
      </c>
      <c r="H7" s="8">
        <f>COUNTIF('Функциональные требования'!N4:N203,F7)</f>
        <v>3</v>
      </c>
      <c r="I7" s="8">
        <f>COUNTIF(Приоритизация!L4:L203,"*"&amp;F7&amp;"*")</f>
        <v>0</v>
      </c>
    </row>
    <row r="8" spans="1:26" ht="33.950000000000003" customHeight="1">
      <c r="A8" s="3" t="s">
        <v>251</v>
      </c>
      <c r="B8" s="8">
        <f>IFERROR(AVERAGEIF('Бизнес-логика'!M4:M203,"&gt;0",'Бизнес-логика'!M4:M203),0)</f>
        <v>0.55714285714285716</v>
      </c>
      <c r="C8" s="3" t="s">
        <v>252</v>
      </c>
      <c r="D8" s="3" t="s">
        <v>253</v>
      </c>
      <c r="F8" s="3" t="s">
        <v>254</v>
      </c>
      <c r="G8" s="8">
        <f>COUNTIF('Пользовательские сценарии'!S4:S203,F8)</f>
        <v>4</v>
      </c>
      <c r="H8" s="8">
        <f>COUNTIF('Функциональные требования'!N4:N203,F8)</f>
        <v>3</v>
      </c>
      <c r="I8" s="8">
        <f>COUNTIF(Приоритизация!L4:L203,"*"&amp;F8&amp;"*")</f>
        <v>0</v>
      </c>
    </row>
    <row r="9" spans="1:26" ht="33.950000000000003" customHeight="1">
      <c r="A9" s="3" t="s">
        <v>255</v>
      </c>
      <c r="B9" s="8">
        <f>COUNTA('Роли и сегменты'!A4:A203)</f>
        <v>7</v>
      </c>
      <c r="C9" s="3" t="s">
        <v>242</v>
      </c>
      <c r="D9" s="3" t="s">
        <v>256</v>
      </c>
      <c r="F9" s="3" t="s">
        <v>257</v>
      </c>
      <c r="G9" s="8">
        <f>COUNTIF('Пользовательские сценарии'!S4:S203,F9)</f>
        <v>3</v>
      </c>
      <c r="H9" s="8">
        <f>COUNTIF('Функциональные требования'!N4:N203,F9)</f>
        <v>1</v>
      </c>
      <c r="I9" s="8">
        <f>COUNTIF(Приоритизация!L4:L203,"*"&amp;F9&amp;"*")</f>
        <v>2</v>
      </c>
    </row>
    <row r="10" spans="1:26" ht="33.950000000000003" customHeight="1">
      <c r="A10" s="3" t="s">
        <v>258</v>
      </c>
      <c r="B10" s="8">
        <f>COUNTA('Пользовательские сценарии'!A4:A203)</f>
        <v>13</v>
      </c>
      <c r="C10" s="3" t="s">
        <v>242</v>
      </c>
      <c r="D10" s="3" t="s">
        <v>259</v>
      </c>
    </row>
    <row r="11" spans="1:26" ht="33.950000000000003" customHeight="1">
      <c r="A11" s="3" t="s">
        <v>260</v>
      </c>
      <c r="B11" s="8">
        <f>COUNTIF('Пользовательские сценарии'!S4:S203,"Критический")+COUNTIF('Пользовательские сценарии'!S4:S203,"Высокий")</f>
        <v>3</v>
      </c>
      <c r="C11" s="3" t="s">
        <v>242</v>
      </c>
      <c r="D11" s="3" t="s">
        <v>261</v>
      </c>
    </row>
    <row r="12" spans="1:26" ht="33.950000000000003" customHeight="1">
      <c r="A12" s="3" t="s">
        <v>262</v>
      </c>
      <c r="B12" s="8">
        <f>COUNTA('Функциональные требования'!A4:A203)</f>
        <v>14</v>
      </c>
      <c r="C12" s="3" t="s">
        <v>242</v>
      </c>
      <c r="D12" s="3" t="s">
        <v>263</v>
      </c>
      <c r="F12" s="11" t="s">
        <v>264</v>
      </c>
      <c r="G12" s="11"/>
      <c r="H12" s="11"/>
      <c r="I12" s="11"/>
    </row>
    <row r="13" spans="1:26" ht="33.950000000000003" customHeight="1">
      <c r="A13" s="3" t="s">
        <v>265</v>
      </c>
      <c r="B13" s="8">
        <f>COUNTIF('Функциональные требования'!O4:O203,"Да")</f>
        <v>7</v>
      </c>
      <c r="C13" s="3" t="s">
        <v>242</v>
      </c>
      <c r="D13" s="3" t="s">
        <v>266</v>
      </c>
      <c r="F13" s="5" t="s">
        <v>191</v>
      </c>
      <c r="G13" s="5" t="s">
        <v>196</v>
      </c>
      <c r="H13" s="5" t="s">
        <v>197</v>
      </c>
      <c r="I13" s="5" t="s">
        <v>13</v>
      </c>
    </row>
    <row r="14" spans="1:26" ht="33.950000000000003" customHeight="1">
      <c r="A14" s="3" t="s">
        <v>267</v>
      </c>
      <c r="B14" s="8">
        <f>COUNTIF(Связность!H4:H13,"Пройдено")</f>
        <v>10</v>
      </c>
      <c r="C14" s="3" t="s">
        <v>268</v>
      </c>
      <c r="D14" s="3" t="s">
        <v>269</v>
      </c>
      <c r="F14" s="3" t="str">
        <f>Связность!A4</f>
        <v>Единая доказательная база</v>
      </c>
      <c r="G14" s="8">
        <f>Связность!F4</f>
        <v>10</v>
      </c>
      <c r="H14" s="8">
        <f>Связность!G4</f>
        <v>5</v>
      </c>
      <c r="I14" s="8" t="str">
        <f>Связность!H4</f>
        <v>Пройдено</v>
      </c>
    </row>
    <row r="15" spans="1:26" ht="33.950000000000003" customHeight="1">
      <c r="A15" s="3" t="s">
        <v>270</v>
      </c>
      <c r="B15" s="9">
        <f>IFERROR(COUNTIF(Связность!H4:H13,"Пройдено")/10,0)</f>
        <v>1</v>
      </c>
      <c r="C15" s="3" t="s">
        <v>271</v>
      </c>
      <c r="D15" s="3" t="s">
        <v>272</v>
      </c>
      <c r="F15" s="3" t="str">
        <f>Связность!A5</f>
        <v>Подтвержденные основания</v>
      </c>
      <c r="G15" s="8">
        <f>Связность!F5</f>
        <v>8</v>
      </c>
      <c r="H15" s="8">
        <f>Связность!G5</f>
        <v>3</v>
      </c>
      <c r="I15" s="8" t="str">
        <f>Связность!H5</f>
        <v>Пройдено</v>
      </c>
    </row>
    <row r="16" spans="1:26" ht="33.950000000000003" customHeight="1">
      <c r="F16" s="3" t="str">
        <f>Связность!A6</f>
        <v>Бизнес-логика</v>
      </c>
      <c r="G16" s="8">
        <f>Связность!F6</f>
        <v>7</v>
      </c>
      <c r="H16" s="8">
        <f>Связность!G6</f>
        <v>3</v>
      </c>
      <c r="I16" s="8" t="str">
        <f>Связность!H6</f>
        <v>Пройдено</v>
      </c>
    </row>
    <row r="17" spans="1:9" ht="33.950000000000003" customHeight="1">
      <c r="F17" s="3" t="str">
        <f>Связность!A7</f>
        <v>Роли и сегменты</v>
      </c>
      <c r="G17" s="8">
        <f>Связность!F7</f>
        <v>7</v>
      </c>
      <c r="H17" s="8">
        <f>Связность!G7</f>
        <v>2</v>
      </c>
      <c r="I17" s="8" t="str">
        <f>Связность!H7</f>
        <v>Пройдено</v>
      </c>
    </row>
    <row r="18" spans="1:9" ht="33.950000000000003" customHeight="1">
      <c r="A18" s="11" t="s">
        <v>273</v>
      </c>
      <c r="B18" s="11"/>
      <c r="C18" s="11"/>
      <c r="D18" s="11"/>
      <c r="F18" s="3" t="str">
        <f>Связность!A8</f>
        <v>Сценарии</v>
      </c>
      <c r="G18" s="8">
        <f>Связность!F8</f>
        <v>13</v>
      </c>
      <c r="H18" s="8">
        <f>Связность!G8</f>
        <v>5</v>
      </c>
      <c r="I18" s="8" t="str">
        <f>Связность!H8</f>
        <v>Пройдено</v>
      </c>
    </row>
    <row r="19" spans="1:9" ht="33.950000000000003" customHeight="1">
      <c r="A19" s="3" t="s">
        <v>274</v>
      </c>
      <c r="B19" s="3" t="s">
        <v>275</v>
      </c>
      <c r="C19" s="3"/>
      <c r="D19" s="3"/>
      <c r="F19" s="3" t="str">
        <f>Связность!A9</f>
        <v>Монетизационные сценарии</v>
      </c>
      <c r="G19" s="8">
        <f>Связность!F9</f>
        <v>1</v>
      </c>
      <c r="H19" s="8">
        <f>Связность!G9</f>
        <v>1</v>
      </c>
      <c r="I19" s="8" t="str">
        <f>Связность!H9</f>
        <v>Пройдено</v>
      </c>
    </row>
    <row r="20" spans="1:9" ht="33.950000000000003" customHeight="1">
      <c r="A20" s="3" t="s">
        <v>276</v>
      </c>
      <c r="B20" s="3" t="s">
        <v>277</v>
      </c>
      <c r="C20" s="3"/>
      <c r="D20" s="3"/>
      <c r="F20" s="3" t="str">
        <f>Связность!A10</f>
        <v>Требования</v>
      </c>
      <c r="G20" s="8">
        <f>Связность!F10</f>
        <v>14</v>
      </c>
      <c r="H20" s="8">
        <f>Связность!G10</f>
        <v>5</v>
      </c>
      <c r="I20" s="8" t="str">
        <f>Связность!H10</f>
        <v>Пройдено</v>
      </c>
    </row>
    <row r="21" spans="1:9" ht="33.950000000000003" customHeight="1">
      <c r="A21" s="3" t="s">
        <v>278</v>
      </c>
      <c r="B21" s="3" t="s">
        <v>279</v>
      </c>
      <c r="C21" s="3"/>
      <c r="D21" s="3"/>
      <c r="F21" s="3" t="str">
        <f>Связность!A11</f>
        <v>MVP</v>
      </c>
      <c r="G21" s="8">
        <f>Связность!F11</f>
        <v>7</v>
      </c>
      <c r="H21" s="8">
        <f>Связность!G11</f>
        <v>3</v>
      </c>
      <c r="I21" s="8" t="str">
        <f>Связность!H11</f>
        <v>Пройдено</v>
      </c>
    </row>
    <row r="22" spans="1:9" ht="33.950000000000003" customHeight="1">
      <c r="A22" s="3" t="s">
        <v>280</v>
      </c>
      <c r="B22" s="3" t="s">
        <v>281</v>
      </c>
      <c r="C22" s="3"/>
      <c r="D22" s="3"/>
      <c r="F22" s="3" t="str">
        <f>Связность!A12</f>
        <v>Приоритизация</v>
      </c>
      <c r="G22" s="8">
        <f>Связность!F12</f>
        <v>11</v>
      </c>
      <c r="H22" s="8">
        <f>Связность!G12</f>
        <v>5</v>
      </c>
      <c r="I22" s="8" t="str">
        <f>Связность!H12</f>
        <v>Пройдено</v>
      </c>
    </row>
    <row r="23" spans="1:9" ht="33.950000000000003" customHeight="1">
      <c r="A23" s="3" t="s">
        <v>282</v>
      </c>
      <c r="B23" s="3" t="s">
        <v>283</v>
      </c>
      <c r="C23" s="3"/>
      <c r="D23" s="3"/>
      <c r="F23" s="3" t="str">
        <f>Связность!A13</f>
        <v>Общая связность</v>
      </c>
      <c r="G23" s="8">
        <f>Связность!F13</f>
        <v>9</v>
      </c>
      <c r="H23" s="8">
        <f>Связность!G13</f>
        <v>7</v>
      </c>
      <c r="I23" s="8" t="str">
        <f>Связность!H13</f>
        <v>Пройдено</v>
      </c>
    </row>
    <row r="24" spans="1:9" ht="33.950000000000003" customHeight="1"/>
    <row r="25" spans="1:9" ht="33.950000000000003" customHeight="1"/>
    <row r="26" spans="1:9" ht="33.950000000000003" customHeight="1"/>
    <row r="27" spans="1:9" ht="33.950000000000003" customHeight="1"/>
    <row r="28" spans="1:9" ht="33.950000000000003" customHeight="1"/>
    <row r="29" spans="1:9" ht="33.950000000000003" customHeight="1"/>
    <row r="30" spans="1:9" ht="33.950000000000003" customHeight="1"/>
    <row r="31" spans="1:9" ht="33.950000000000003" customHeight="1"/>
    <row r="32" spans="1:9" ht="33.950000000000003" customHeight="1"/>
    <row r="33" ht="33.950000000000003" customHeight="1"/>
    <row r="34" ht="33.950000000000003" customHeight="1"/>
    <row r="35" ht="33.950000000000003" customHeight="1"/>
    <row r="36" ht="33.950000000000003" customHeight="1"/>
    <row r="37" ht="33.950000000000003" customHeight="1"/>
    <row r="38" ht="33.950000000000003" customHeight="1"/>
    <row r="39" ht="33.950000000000003" customHeight="1"/>
    <row r="40" ht="33.950000000000003" customHeight="1"/>
    <row r="41" ht="33.950000000000003" customHeight="1"/>
    <row r="42" ht="33.950000000000003" customHeight="1"/>
    <row r="43" ht="33.950000000000003" customHeight="1"/>
    <row r="44" ht="33.950000000000003" customHeight="1"/>
    <row r="45" ht="33.950000000000003" customHeight="1"/>
    <row r="46" ht="33.950000000000003" customHeight="1"/>
    <row r="47" ht="33.950000000000003" customHeight="1"/>
    <row r="48" ht="33.950000000000003" customHeight="1"/>
    <row r="49" ht="33.950000000000003" customHeight="1"/>
    <row r="50" ht="33.950000000000003" customHeight="1"/>
    <row r="51" ht="33.950000000000003" customHeight="1"/>
    <row r="52" ht="33.950000000000003" customHeight="1"/>
    <row r="53" ht="33.950000000000003" customHeight="1"/>
    <row r="54" ht="33.950000000000003" customHeight="1"/>
    <row r="55" ht="33.950000000000003" customHeight="1"/>
    <row r="56" ht="33.950000000000003" customHeight="1"/>
    <row r="57" ht="33.950000000000003" customHeight="1"/>
    <row r="58" ht="33.950000000000003" customHeight="1"/>
    <row r="59" ht="33.950000000000003" customHeight="1"/>
    <row r="60" ht="33.950000000000003" customHeight="1"/>
    <row r="61" ht="33.950000000000003" customHeight="1"/>
    <row r="62" ht="33.950000000000003" customHeight="1"/>
    <row r="63" ht="33.950000000000003" customHeight="1"/>
    <row r="64" ht="33.950000000000003" customHeight="1"/>
    <row r="65" ht="33.950000000000003" customHeight="1"/>
    <row r="66" ht="33.950000000000003" customHeight="1"/>
    <row r="67" ht="33.950000000000003" customHeight="1"/>
    <row r="68" ht="33.950000000000003" customHeight="1"/>
    <row r="69" ht="33.950000000000003" customHeight="1"/>
    <row r="70" ht="33.950000000000003" customHeight="1"/>
    <row r="71" ht="33.950000000000003" customHeight="1"/>
    <row r="72" ht="33.950000000000003" customHeight="1"/>
    <row r="73" ht="33.950000000000003" customHeight="1"/>
    <row r="74" ht="33.950000000000003" customHeight="1"/>
    <row r="75" ht="33.950000000000003" customHeight="1"/>
    <row r="76" ht="33.950000000000003" customHeight="1"/>
    <row r="77" ht="33.950000000000003" customHeight="1"/>
    <row r="78" ht="33.950000000000003" customHeight="1"/>
    <row r="79" ht="33.950000000000003" customHeight="1"/>
    <row r="80" ht="33.950000000000003" customHeight="1"/>
    <row r="81" ht="33.950000000000003" customHeight="1"/>
    <row r="82" ht="33.950000000000003" customHeight="1"/>
    <row r="83" ht="33.950000000000003" customHeight="1"/>
    <row r="84" ht="33.950000000000003" customHeight="1"/>
    <row r="85" ht="33.950000000000003" customHeight="1"/>
    <row r="86" ht="33.950000000000003" customHeight="1"/>
    <row r="87" ht="33.950000000000003" customHeight="1"/>
    <row r="88" ht="33.950000000000003" customHeight="1"/>
    <row r="89" ht="33.950000000000003" customHeight="1"/>
    <row r="90" ht="33.950000000000003" customHeight="1"/>
    <row r="91" ht="33.950000000000003" customHeight="1"/>
    <row r="92" ht="33.950000000000003" customHeight="1"/>
    <row r="93" ht="33.950000000000003" customHeight="1"/>
    <row r="94" ht="33.950000000000003" customHeight="1"/>
    <row r="95" ht="33.950000000000003" customHeight="1"/>
    <row r="96" ht="33.950000000000003" customHeight="1"/>
    <row r="97" ht="33.950000000000003" customHeight="1"/>
    <row r="98" ht="33.950000000000003" customHeight="1"/>
    <row r="99" ht="33.950000000000003" customHeight="1"/>
    <row r="100" ht="33.950000000000003" customHeight="1"/>
    <row r="101" ht="33.950000000000003" customHeight="1"/>
    <row r="102" ht="33.950000000000003" customHeight="1"/>
    <row r="103" ht="33.950000000000003" customHeight="1"/>
    <row r="104" ht="33.950000000000003" customHeight="1"/>
    <row r="105" ht="33.950000000000003" customHeight="1"/>
    <row r="106" ht="33.950000000000003" customHeight="1"/>
    <row r="107" ht="33.950000000000003" customHeight="1"/>
    <row r="108" ht="33.950000000000003" customHeight="1"/>
    <row r="109" ht="33.950000000000003" customHeight="1"/>
    <row r="110" ht="33.950000000000003" customHeight="1"/>
    <row r="111" ht="33.950000000000003" customHeight="1"/>
    <row r="112" ht="33.950000000000003" customHeight="1"/>
    <row r="113" ht="33.950000000000003" customHeight="1"/>
    <row r="114" ht="33.950000000000003" customHeight="1"/>
    <row r="115" ht="33.950000000000003" customHeight="1"/>
    <row r="116" ht="33.950000000000003" customHeight="1"/>
    <row r="117" ht="33.950000000000003" customHeight="1"/>
    <row r="118" ht="33.950000000000003" customHeight="1"/>
    <row r="119" ht="33.950000000000003" customHeight="1"/>
    <row r="120" ht="33.950000000000003" customHeight="1"/>
    <row r="121" ht="33.950000000000003" customHeight="1"/>
    <row r="122" ht="33.950000000000003" customHeight="1"/>
    <row r="123" ht="33.950000000000003" customHeight="1"/>
    <row r="124" ht="33.950000000000003" customHeight="1"/>
    <row r="125" ht="33.950000000000003" customHeight="1"/>
    <row r="126" ht="33.950000000000003" customHeight="1"/>
    <row r="127" ht="33.950000000000003" customHeight="1"/>
    <row r="128" ht="33.950000000000003" customHeight="1"/>
    <row r="129" ht="33.950000000000003" customHeight="1"/>
    <row r="130" ht="33.950000000000003" customHeight="1"/>
    <row r="131" ht="33.950000000000003" customHeight="1"/>
    <row r="132" ht="33.950000000000003" customHeight="1"/>
    <row r="133" ht="33.950000000000003" customHeight="1"/>
    <row r="134" ht="33.950000000000003" customHeight="1"/>
    <row r="135" ht="33.950000000000003" customHeight="1"/>
    <row r="136" ht="33.950000000000003" customHeight="1"/>
    <row r="137" ht="33.950000000000003" customHeight="1"/>
    <row r="138" ht="33.950000000000003" customHeight="1"/>
    <row r="139" ht="33.950000000000003" customHeight="1"/>
    <row r="140" ht="33.950000000000003" customHeight="1"/>
    <row r="141" ht="33.950000000000003" customHeight="1"/>
    <row r="142" ht="33.950000000000003" customHeight="1"/>
    <row r="143" ht="33.950000000000003" customHeight="1"/>
    <row r="144" ht="33.950000000000003" customHeight="1"/>
    <row r="145" ht="33.950000000000003" customHeight="1"/>
    <row r="146" ht="33.950000000000003" customHeight="1"/>
    <row r="147" ht="33.950000000000003" customHeight="1"/>
    <row r="148" ht="33.950000000000003" customHeight="1"/>
    <row r="149" ht="33.950000000000003" customHeight="1"/>
    <row r="150" ht="33.950000000000003" customHeight="1"/>
    <row r="151" ht="33.950000000000003" customHeight="1"/>
    <row r="152" ht="33.950000000000003" customHeight="1"/>
    <row r="153" ht="33.950000000000003" customHeight="1"/>
    <row r="154" ht="33.950000000000003" customHeight="1"/>
    <row r="155" ht="33.950000000000003" customHeight="1"/>
    <row r="156" ht="33.950000000000003" customHeight="1"/>
    <row r="157" ht="33.950000000000003" customHeight="1"/>
    <row r="158" ht="33.950000000000003" customHeight="1"/>
    <row r="159" ht="33.950000000000003" customHeight="1"/>
    <row r="160" ht="33.950000000000003" customHeight="1"/>
    <row r="161" ht="33.950000000000003" customHeight="1"/>
    <row r="162" ht="33.950000000000003" customHeight="1"/>
    <row r="163" ht="33.950000000000003" customHeight="1"/>
    <row r="164" ht="33.950000000000003" customHeight="1"/>
    <row r="165" ht="33.950000000000003" customHeight="1"/>
    <row r="166" ht="33.950000000000003" customHeight="1"/>
    <row r="167" ht="33.950000000000003" customHeight="1"/>
    <row r="168" ht="33.950000000000003" customHeight="1"/>
    <row r="169" ht="33.950000000000003" customHeight="1"/>
    <row r="170" ht="33.950000000000003" customHeight="1"/>
    <row r="171" ht="33.950000000000003" customHeight="1"/>
    <row r="172" ht="33.950000000000003" customHeight="1"/>
    <row r="173" ht="33.950000000000003" customHeight="1"/>
    <row r="174" ht="33.950000000000003" customHeight="1"/>
    <row r="175" ht="33.950000000000003" customHeight="1"/>
    <row r="176" ht="33.950000000000003" customHeight="1"/>
    <row r="177" ht="33.950000000000003" customHeight="1"/>
    <row r="178" ht="33.950000000000003" customHeight="1"/>
    <row r="179" ht="33.950000000000003" customHeight="1"/>
    <row r="180" ht="33.950000000000003" customHeight="1"/>
    <row r="181" ht="33.950000000000003" customHeight="1"/>
    <row r="182" ht="33.950000000000003" customHeight="1"/>
    <row r="183" ht="33.950000000000003" customHeight="1"/>
    <row r="184" ht="33.950000000000003" customHeight="1"/>
    <row r="185" ht="33.950000000000003" customHeight="1"/>
    <row r="186" ht="33.950000000000003" customHeight="1"/>
    <row r="187" ht="33.950000000000003" customHeight="1"/>
    <row r="188" ht="33.950000000000003" customHeight="1"/>
    <row r="189" ht="33.950000000000003" customHeight="1"/>
    <row r="190" ht="33.950000000000003" customHeight="1"/>
    <row r="191" ht="33.950000000000003" customHeight="1"/>
    <row r="192" ht="33.950000000000003" customHeight="1"/>
    <row r="193" ht="33.950000000000003" customHeight="1"/>
    <row r="194" ht="33.950000000000003" customHeight="1"/>
    <row r="195" ht="33.950000000000003" customHeight="1"/>
    <row r="196" ht="33.950000000000003" customHeight="1"/>
    <row r="197" ht="33.950000000000003" customHeight="1"/>
    <row r="198" ht="33.950000000000003" customHeight="1"/>
    <row r="199" ht="33.950000000000003" customHeight="1"/>
    <row r="200" ht="33.950000000000003" customHeight="1"/>
    <row r="201" ht="33.950000000000003" customHeight="1"/>
    <row r="202" ht="33.950000000000003" customHeight="1"/>
    <row r="203" ht="33.950000000000003" customHeight="1"/>
  </sheetData>
  <mergeCells count="5">
    <mergeCell ref="A1:L1"/>
    <mergeCell ref="A3:D3"/>
    <mergeCell ref="F3:I3"/>
    <mergeCell ref="F12:I12"/>
    <mergeCell ref="A18:D18"/>
  </mergeCells>
  <conditionalFormatting sqref="I14:I23">
    <cfRule type="expression" dxfId="1" priority="1">
      <formula>I14="Пройдено"</formula>
    </cfRule>
    <cfRule type="expression" dxfId="0" priority="2">
      <formula>I14="Недостаточно"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3"/>
  <sheetViews>
    <sheetView workbookViewId="0"/>
  </sheetViews>
  <sheetFormatPr defaultRowHeight="14.25"/>
  <cols>
    <col min="1" max="6" width="22" customWidth="1"/>
    <col min="7" max="7" width="28" customWidth="1"/>
    <col min="10" max="10" width="28" customWidth="1"/>
  </cols>
  <sheetData>
    <row r="1" spans="1:26" ht="30" customHeight="1">
      <c r="A1" s="10" t="s">
        <v>284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3" spans="1:26" ht="33.950000000000003" customHeight="1">
      <c r="A3" s="1" t="s">
        <v>134</v>
      </c>
      <c r="D3" s="1" t="s">
        <v>285</v>
      </c>
      <c r="G3" s="1" t="s">
        <v>286</v>
      </c>
      <c r="J3" s="1" t="s">
        <v>287</v>
      </c>
    </row>
    <row r="4" spans="1:26" ht="33.950000000000003" customHeight="1">
      <c r="A4" s="3" t="s">
        <v>288</v>
      </c>
      <c r="D4" s="3" t="s">
        <v>116</v>
      </c>
      <c r="G4" s="3" t="s">
        <v>289</v>
      </c>
      <c r="J4" s="3" t="s">
        <v>290</v>
      </c>
    </row>
    <row r="5" spans="1:26" ht="33.950000000000003" customHeight="1">
      <c r="A5" s="3" t="s">
        <v>70</v>
      </c>
      <c r="D5" s="3" t="s">
        <v>71</v>
      </c>
      <c r="G5" s="3" t="s">
        <v>291</v>
      </c>
      <c r="J5" s="3" t="s">
        <v>139</v>
      </c>
    </row>
    <row r="6" spans="1:26" ht="33.950000000000003" customHeight="1">
      <c r="A6" s="3" t="s">
        <v>73</v>
      </c>
      <c r="D6" s="3" t="s">
        <v>74</v>
      </c>
      <c r="G6" s="3" t="s">
        <v>292</v>
      </c>
      <c r="J6" s="3" t="s">
        <v>96</v>
      </c>
    </row>
    <row r="7" spans="1:26" ht="33.950000000000003" customHeight="1">
      <c r="A7" s="3" t="s">
        <v>293</v>
      </c>
      <c r="D7" s="3" t="s">
        <v>294</v>
      </c>
      <c r="G7" s="3" t="s">
        <v>295</v>
      </c>
      <c r="J7" s="3" t="s">
        <v>296</v>
      </c>
    </row>
    <row r="8" spans="1:26" ht="33.950000000000003" customHeight="1">
      <c r="A8" s="3" t="s">
        <v>297</v>
      </c>
      <c r="D8" s="3" t="s">
        <v>77</v>
      </c>
      <c r="J8" s="3" t="s">
        <v>100</v>
      </c>
    </row>
    <row r="9" spans="1:26" ht="33.950000000000003" customHeight="1">
      <c r="A9" s="3" t="s">
        <v>298</v>
      </c>
      <c r="D9" s="3" t="s">
        <v>299</v>
      </c>
      <c r="J9" s="3" t="s">
        <v>300</v>
      </c>
    </row>
    <row r="10" spans="1:26" ht="33.950000000000003" customHeight="1">
      <c r="A10" s="3" t="s">
        <v>301</v>
      </c>
      <c r="D10" s="3" t="s">
        <v>302</v>
      </c>
      <c r="J10" s="3" t="s">
        <v>303</v>
      </c>
    </row>
    <row r="11" spans="1:26" ht="33.950000000000003" customHeight="1">
      <c r="A11" s="3" t="s">
        <v>76</v>
      </c>
      <c r="D11" s="3" t="s">
        <v>304</v>
      </c>
      <c r="J11" s="3" t="s">
        <v>305</v>
      </c>
    </row>
    <row r="12" spans="1:26" ht="33.950000000000003" customHeight="1">
      <c r="A12" s="3" t="s">
        <v>306</v>
      </c>
      <c r="D12" s="3" t="s">
        <v>307</v>
      </c>
      <c r="J12" s="3" t="s">
        <v>308</v>
      </c>
    </row>
    <row r="13" spans="1:26" ht="33.950000000000003" customHeight="1">
      <c r="A13" s="3" t="s">
        <v>309</v>
      </c>
    </row>
    <row r="14" spans="1:26" ht="33.950000000000003" customHeight="1"/>
    <row r="15" spans="1:26" ht="33.950000000000003" customHeight="1"/>
    <row r="16" spans="1:26" ht="33.950000000000003" customHeight="1"/>
    <row r="17" spans="1:10" ht="33.950000000000003" customHeight="1">
      <c r="A17" s="1" t="s">
        <v>310</v>
      </c>
      <c r="D17" s="1" t="s">
        <v>122</v>
      </c>
      <c r="G17" s="1" t="s">
        <v>133</v>
      </c>
      <c r="J17" s="1" t="s">
        <v>13</v>
      </c>
    </row>
    <row r="18" spans="1:10" ht="33.950000000000003" customHeight="1">
      <c r="A18" s="3" t="s">
        <v>144</v>
      </c>
      <c r="D18" s="3" t="s">
        <v>137</v>
      </c>
      <c r="G18" s="3" t="s">
        <v>244</v>
      </c>
      <c r="J18" s="3" t="s">
        <v>311</v>
      </c>
    </row>
    <row r="19" spans="1:10" ht="33.950000000000003" customHeight="1">
      <c r="A19" s="3" t="s">
        <v>145</v>
      </c>
      <c r="D19" s="3" t="s">
        <v>312</v>
      </c>
      <c r="G19" s="3" t="s">
        <v>247</v>
      </c>
      <c r="J19" s="3" t="s">
        <v>97</v>
      </c>
    </row>
    <row r="20" spans="1:10" ht="33.950000000000003" customHeight="1">
      <c r="A20" s="3" t="s">
        <v>146</v>
      </c>
      <c r="D20" s="3" t="s">
        <v>141</v>
      </c>
      <c r="G20" s="3" t="s">
        <v>250</v>
      </c>
      <c r="J20" s="3" t="s">
        <v>102</v>
      </c>
    </row>
    <row r="21" spans="1:10" ht="33.950000000000003" customHeight="1">
      <c r="A21" s="3" t="s">
        <v>313</v>
      </c>
      <c r="D21" s="3" t="s">
        <v>314</v>
      </c>
      <c r="G21" s="3" t="s">
        <v>254</v>
      </c>
      <c r="J21" s="3" t="s">
        <v>315</v>
      </c>
    </row>
    <row r="22" spans="1:10" ht="33.950000000000003" customHeight="1">
      <c r="A22" s="3" t="s">
        <v>136</v>
      </c>
      <c r="D22" s="3" t="s">
        <v>316</v>
      </c>
      <c r="G22" s="3" t="s">
        <v>257</v>
      </c>
      <c r="J22" s="3" t="s">
        <v>317</v>
      </c>
    </row>
    <row r="23" spans="1:10" ht="33.950000000000003" customHeight="1">
      <c r="A23" s="3" t="s">
        <v>140</v>
      </c>
      <c r="D23" s="3" t="s">
        <v>318</v>
      </c>
    </row>
    <row r="24" spans="1:10" ht="33.950000000000003" customHeight="1">
      <c r="A24" s="3" t="s">
        <v>148</v>
      </c>
      <c r="D24" s="3" t="s">
        <v>319</v>
      </c>
    </row>
    <row r="25" spans="1:10" ht="33.950000000000003" customHeight="1">
      <c r="A25" s="3" t="s">
        <v>149</v>
      </c>
    </row>
    <row r="26" spans="1:10" ht="33.950000000000003" customHeight="1">
      <c r="A26" s="3" t="s">
        <v>150</v>
      </c>
    </row>
    <row r="27" spans="1:10" ht="33.950000000000003" customHeight="1">
      <c r="A27" s="3" t="s">
        <v>320</v>
      </c>
    </row>
    <row r="28" spans="1:10" ht="33.950000000000003" customHeight="1">
      <c r="A28" s="3" t="s">
        <v>321</v>
      </c>
    </row>
    <row r="29" spans="1:10" ht="33.950000000000003" customHeight="1"/>
    <row r="30" spans="1:10" ht="33.950000000000003" customHeight="1"/>
    <row r="31" spans="1:10" ht="33.950000000000003" customHeight="1">
      <c r="A31" s="1" t="s">
        <v>82</v>
      </c>
      <c r="D31" s="1" t="s">
        <v>159</v>
      </c>
      <c r="G31" s="1" t="s">
        <v>160</v>
      </c>
      <c r="J31" s="1" t="s">
        <v>322</v>
      </c>
    </row>
    <row r="32" spans="1:10" ht="33.950000000000003" customHeight="1">
      <c r="A32" s="3" t="s">
        <v>95</v>
      </c>
      <c r="D32" s="3" t="s">
        <v>168</v>
      </c>
      <c r="G32" s="3" t="s">
        <v>323</v>
      </c>
      <c r="J32" s="3" t="s">
        <v>101</v>
      </c>
    </row>
    <row r="33" spans="1:10" ht="33.950000000000003" customHeight="1">
      <c r="A33" s="3" t="s">
        <v>324</v>
      </c>
      <c r="D33" s="3" t="s">
        <v>171</v>
      </c>
      <c r="G33" s="3" t="s">
        <v>325</v>
      </c>
      <c r="J33" s="3" t="s">
        <v>326</v>
      </c>
    </row>
    <row r="34" spans="1:10" ht="33.950000000000003" customHeight="1">
      <c r="A34" s="3" t="s">
        <v>99</v>
      </c>
      <c r="D34" s="3" t="s">
        <v>327</v>
      </c>
      <c r="G34" s="3" t="s">
        <v>169</v>
      </c>
      <c r="J34" s="3" t="s">
        <v>328</v>
      </c>
    </row>
    <row r="35" spans="1:10" ht="33.950000000000003" customHeight="1">
      <c r="A35" s="3" t="s">
        <v>329</v>
      </c>
      <c r="D35" s="3" t="s">
        <v>330</v>
      </c>
      <c r="G35" s="3" t="s">
        <v>172</v>
      </c>
      <c r="J35" s="3" t="s">
        <v>331</v>
      </c>
    </row>
    <row r="36" spans="1:10" ht="33.950000000000003" customHeight="1">
      <c r="A36" s="3" t="s">
        <v>332</v>
      </c>
      <c r="D36" s="3" t="s">
        <v>333</v>
      </c>
      <c r="G36" s="3" t="s">
        <v>334</v>
      </c>
      <c r="J36" s="3" t="s">
        <v>335</v>
      </c>
    </row>
    <row r="37" spans="1:10" ht="33.950000000000003" customHeight="1">
      <c r="A37" s="3" t="s">
        <v>336</v>
      </c>
      <c r="D37" s="3" t="s">
        <v>337</v>
      </c>
      <c r="J37" s="3" t="s">
        <v>338</v>
      </c>
    </row>
    <row r="38" spans="1:10" ht="33.950000000000003" customHeight="1">
      <c r="A38" s="3" t="s">
        <v>339</v>
      </c>
      <c r="J38" s="3" t="s">
        <v>340</v>
      </c>
    </row>
    <row r="39" spans="1:10" ht="33.950000000000003" customHeight="1">
      <c r="A39" s="3" t="s">
        <v>341</v>
      </c>
      <c r="J39" s="3" t="s">
        <v>342</v>
      </c>
    </row>
    <row r="40" spans="1:10" ht="33.950000000000003" customHeight="1">
      <c r="A40" s="3" t="s">
        <v>343</v>
      </c>
      <c r="J40" s="3" t="s">
        <v>344</v>
      </c>
    </row>
    <row r="41" spans="1:10" ht="33.950000000000003" customHeight="1">
      <c r="A41" s="3" t="s">
        <v>345</v>
      </c>
    </row>
    <row r="42" spans="1:10" ht="33.950000000000003" customHeight="1"/>
    <row r="43" spans="1:10" ht="33.950000000000003" customHeight="1"/>
    <row r="44" spans="1:10" ht="33.950000000000003" customHeight="1"/>
    <row r="45" spans="1:10" ht="33.950000000000003" customHeight="1">
      <c r="A45" s="1" t="s">
        <v>346</v>
      </c>
      <c r="B45" s="1" t="s">
        <v>347</v>
      </c>
      <c r="C45" s="1" t="s">
        <v>348</v>
      </c>
      <c r="D45" s="1" t="s">
        <v>349</v>
      </c>
      <c r="E45" s="1" t="s">
        <v>350</v>
      </c>
      <c r="F45" s="2" t="s">
        <v>351</v>
      </c>
    </row>
    <row r="46" spans="1:10" ht="33.950000000000003" customHeight="1">
      <c r="A46" s="3" t="s">
        <v>352</v>
      </c>
      <c r="B46" s="2" t="s">
        <v>353</v>
      </c>
      <c r="C46" s="2" t="s">
        <v>354</v>
      </c>
      <c r="D46" s="2" t="s">
        <v>355</v>
      </c>
      <c r="E46" s="2" t="s">
        <v>356</v>
      </c>
      <c r="F46" s="2" t="s">
        <v>357</v>
      </c>
    </row>
    <row r="47" spans="1:10" ht="33.950000000000003" customHeight="1">
      <c r="A47" s="3" t="s">
        <v>358</v>
      </c>
      <c r="B47" s="2" t="s">
        <v>359</v>
      </c>
      <c r="C47" s="2" t="s">
        <v>360</v>
      </c>
      <c r="D47" s="2" t="s">
        <v>361</v>
      </c>
      <c r="E47" s="2" t="s">
        <v>362</v>
      </c>
      <c r="F47" s="2" t="s">
        <v>363</v>
      </c>
    </row>
    <row r="48" spans="1:10" ht="33.950000000000003" customHeight="1">
      <c r="A48" s="3" t="s">
        <v>364</v>
      </c>
      <c r="B48" s="2" t="s">
        <v>365</v>
      </c>
      <c r="C48" s="2" t="s">
        <v>366</v>
      </c>
      <c r="D48" s="2" t="s">
        <v>367</v>
      </c>
      <c r="E48" s="2" t="s">
        <v>368</v>
      </c>
      <c r="F48" s="2" t="s">
        <v>369</v>
      </c>
    </row>
    <row r="49" spans="1:6" ht="33.950000000000003" customHeight="1">
      <c r="A49" s="3" t="s">
        <v>370</v>
      </c>
      <c r="B49" s="2" t="s">
        <v>371</v>
      </c>
      <c r="C49" s="2" t="s">
        <v>372</v>
      </c>
      <c r="D49" s="2" t="s">
        <v>373</v>
      </c>
      <c r="E49" s="2" t="s">
        <v>374</v>
      </c>
      <c r="F49" s="2" t="s">
        <v>375</v>
      </c>
    </row>
    <row r="50" spans="1:6" ht="33.950000000000003" customHeight="1">
      <c r="A50" s="3" t="s">
        <v>376</v>
      </c>
    </row>
    <row r="51" spans="1:6" ht="33.950000000000003" customHeight="1"/>
    <row r="52" spans="1:6" ht="33.950000000000003" customHeight="1"/>
    <row r="53" spans="1:6" ht="33.950000000000003" customHeight="1"/>
    <row r="54" spans="1:6" ht="33.950000000000003" customHeight="1"/>
    <row r="55" spans="1:6" ht="33.950000000000003" customHeight="1"/>
    <row r="56" spans="1:6" ht="33.950000000000003" customHeight="1"/>
    <row r="57" spans="1:6" ht="33.950000000000003" customHeight="1"/>
    <row r="58" spans="1:6" ht="33.950000000000003" customHeight="1"/>
    <row r="59" spans="1:6" ht="33.950000000000003" customHeight="1"/>
    <row r="60" spans="1:6" ht="33.950000000000003" customHeight="1"/>
    <row r="61" spans="1:6" ht="33.950000000000003" customHeight="1"/>
    <row r="62" spans="1:6" ht="33.950000000000003" customHeight="1"/>
    <row r="63" spans="1:6" ht="33.950000000000003" customHeight="1"/>
    <row r="64" spans="1:6" ht="33.950000000000003" customHeight="1"/>
    <row r="65" ht="33.950000000000003" customHeight="1"/>
    <row r="66" ht="33.950000000000003" customHeight="1"/>
    <row r="67" ht="33.950000000000003" customHeight="1"/>
    <row r="68" ht="33.950000000000003" customHeight="1"/>
    <row r="69" ht="33.950000000000003" customHeight="1"/>
    <row r="70" ht="33.950000000000003" customHeight="1"/>
    <row r="71" ht="33.950000000000003" customHeight="1"/>
    <row r="72" ht="33.950000000000003" customHeight="1"/>
    <row r="73" ht="33.950000000000003" customHeight="1"/>
    <row r="74" ht="33.950000000000003" customHeight="1"/>
    <row r="75" ht="33.950000000000003" customHeight="1"/>
    <row r="76" ht="33.950000000000003" customHeight="1"/>
    <row r="77" ht="33.950000000000003" customHeight="1"/>
    <row r="78" ht="33.950000000000003" customHeight="1"/>
    <row r="79" ht="33.950000000000003" customHeight="1"/>
    <row r="80" ht="33.950000000000003" customHeight="1"/>
    <row r="81" ht="33.950000000000003" customHeight="1"/>
    <row r="82" ht="33.950000000000003" customHeight="1"/>
    <row r="83" ht="33.950000000000003" customHeight="1"/>
    <row r="84" ht="33.950000000000003" customHeight="1"/>
    <row r="85" ht="33.950000000000003" customHeight="1"/>
    <row r="86" ht="33.950000000000003" customHeight="1"/>
    <row r="87" ht="33.950000000000003" customHeight="1"/>
    <row r="88" ht="33.950000000000003" customHeight="1"/>
    <row r="89" ht="33.950000000000003" customHeight="1"/>
    <row r="90" ht="33.950000000000003" customHeight="1"/>
    <row r="91" ht="33.950000000000003" customHeight="1"/>
    <row r="92" ht="33.950000000000003" customHeight="1"/>
    <row r="93" ht="33.950000000000003" customHeight="1"/>
    <row r="94" ht="33.950000000000003" customHeight="1"/>
    <row r="95" ht="33.950000000000003" customHeight="1"/>
    <row r="96" ht="33.950000000000003" customHeight="1"/>
    <row r="97" ht="33.950000000000003" customHeight="1"/>
    <row r="98" ht="33.950000000000003" customHeight="1"/>
    <row r="99" ht="33.950000000000003" customHeight="1"/>
    <row r="100" ht="33.950000000000003" customHeight="1"/>
    <row r="101" ht="33.950000000000003" customHeight="1"/>
    <row r="102" ht="33.950000000000003" customHeight="1"/>
    <row r="103" ht="33.950000000000003" customHeight="1"/>
    <row r="104" ht="33.950000000000003" customHeight="1"/>
    <row r="105" ht="33.950000000000003" customHeight="1"/>
    <row r="106" ht="33.950000000000003" customHeight="1"/>
    <row r="107" ht="33.950000000000003" customHeight="1"/>
    <row r="108" ht="33.950000000000003" customHeight="1"/>
    <row r="109" ht="33.950000000000003" customHeight="1"/>
    <row r="110" ht="33.950000000000003" customHeight="1"/>
    <row r="111" ht="33.950000000000003" customHeight="1"/>
    <row r="112" ht="33.950000000000003" customHeight="1"/>
    <row r="113" ht="33.950000000000003" customHeight="1"/>
    <row r="114" ht="33.950000000000003" customHeight="1"/>
    <row r="115" ht="33.950000000000003" customHeight="1"/>
    <row r="116" ht="33.950000000000003" customHeight="1"/>
    <row r="117" ht="33.950000000000003" customHeight="1"/>
    <row r="118" ht="33.950000000000003" customHeight="1"/>
    <row r="119" ht="33.950000000000003" customHeight="1"/>
    <row r="120" ht="33.950000000000003" customHeight="1"/>
    <row r="121" ht="33.950000000000003" customHeight="1"/>
    <row r="122" ht="33.950000000000003" customHeight="1"/>
    <row r="123" ht="33.950000000000003" customHeight="1"/>
    <row r="124" ht="33.950000000000003" customHeight="1"/>
    <row r="125" ht="33.950000000000003" customHeight="1"/>
    <row r="126" ht="33.950000000000003" customHeight="1"/>
    <row r="127" ht="33.950000000000003" customHeight="1"/>
    <row r="128" ht="33.950000000000003" customHeight="1"/>
    <row r="129" ht="33.950000000000003" customHeight="1"/>
    <row r="130" ht="33.950000000000003" customHeight="1"/>
    <row r="131" ht="33.950000000000003" customHeight="1"/>
    <row r="132" ht="33.950000000000003" customHeight="1"/>
    <row r="133" ht="33.950000000000003" customHeight="1"/>
    <row r="134" ht="33.950000000000003" customHeight="1"/>
    <row r="135" ht="33.950000000000003" customHeight="1"/>
    <row r="136" ht="33.950000000000003" customHeight="1"/>
    <row r="137" ht="33.950000000000003" customHeight="1"/>
    <row r="138" ht="33.950000000000003" customHeight="1"/>
    <row r="139" ht="33.950000000000003" customHeight="1"/>
    <row r="140" ht="33.950000000000003" customHeight="1"/>
    <row r="141" ht="33.950000000000003" customHeight="1"/>
    <row r="142" ht="33.950000000000003" customHeight="1"/>
    <row r="143" ht="33.950000000000003" customHeight="1"/>
    <row r="144" ht="33.950000000000003" customHeight="1"/>
    <row r="145" ht="33.950000000000003" customHeight="1"/>
    <row r="146" ht="33.950000000000003" customHeight="1"/>
    <row r="147" ht="33.950000000000003" customHeight="1"/>
    <row r="148" ht="33.950000000000003" customHeight="1"/>
    <row r="149" ht="33.950000000000003" customHeight="1"/>
    <row r="150" ht="33.950000000000003" customHeight="1"/>
    <row r="151" ht="33.950000000000003" customHeight="1"/>
    <row r="152" ht="33.950000000000003" customHeight="1"/>
    <row r="153" ht="33.950000000000003" customHeight="1"/>
    <row r="154" ht="33.950000000000003" customHeight="1"/>
    <row r="155" ht="33.950000000000003" customHeight="1"/>
    <row r="156" ht="33.950000000000003" customHeight="1"/>
    <row r="157" ht="33.950000000000003" customHeight="1"/>
    <row r="158" ht="33.950000000000003" customHeight="1"/>
    <row r="159" ht="33.950000000000003" customHeight="1"/>
    <row r="160" ht="33.950000000000003" customHeight="1"/>
    <row r="161" ht="33.950000000000003" customHeight="1"/>
    <row r="162" ht="33.950000000000003" customHeight="1"/>
    <row r="163" ht="33.950000000000003" customHeight="1"/>
    <row r="164" ht="33.950000000000003" customHeight="1"/>
    <row r="165" ht="33.950000000000003" customHeight="1"/>
    <row r="166" ht="33.950000000000003" customHeight="1"/>
    <row r="167" ht="33.950000000000003" customHeight="1"/>
    <row r="168" ht="33.950000000000003" customHeight="1"/>
    <row r="169" ht="33.950000000000003" customHeight="1"/>
    <row r="170" ht="33.950000000000003" customHeight="1"/>
    <row r="171" ht="33.950000000000003" customHeight="1"/>
    <row r="172" ht="33.950000000000003" customHeight="1"/>
    <row r="173" ht="33.950000000000003" customHeight="1"/>
    <row r="174" ht="33.950000000000003" customHeight="1"/>
    <row r="175" ht="33.950000000000003" customHeight="1"/>
    <row r="176" ht="33.950000000000003" customHeight="1"/>
    <row r="177" ht="33.950000000000003" customHeight="1"/>
    <row r="178" ht="33.950000000000003" customHeight="1"/>
    <row r="179" ht="33.950000000000003" customHeight="1"/>
    <row r="180" ht="33.950000000000003" customHeight="1"/>
    <row r="181" ht="33.950000000000003" customHeight="1"/>
    <row r="182" ht="33.950000000000003" customHeight="1"/>
    <row r="183" ht="33.950000000000003" customHeight="1"/>
    <row r="184" ht="33.950000000000003" customHeight="1"/>
    <row r="185" ht="33.950000000000003" customHeight="1"/>
    <row r="186" ht="33.950000000000003" customHeight="1"/>
    <row r="187" ht="33.950000000000003" customHeight="1"/>
    <row r="188" ht="33.950000000000003" customHeight="1"/>
    <row r="189" ht="33.950000000000003" customHeight="1"/>
    <row r="190" ht="33.950000000000003" customHeight="1"/>
    <row r="191" ht="33.950000000000003" customHeight="1"/>
    <row r="192" ht="33.950000000000003" customHeight="1"/>
    <row r="193" ht="33.950000000000003" customHeight="1"/>
    <row r="194" ht="33.950000000000003" customHeight="1"/>
    <row r="195" ht="33.950000000000003" customHeight="1"/>
    <row r="196" ht="33.950000000000003" customHeight="1"/>
    <row r="197" ht="33.950000000000003" customHeight="1"/>
    <row r="198" ht="33.950000000000003" customHeight="1"/>
    <row r="199" ht="33.950000000000003" customHeight="1"/>
    <row r="200" ht="33.950000000000003" customHeight="1"/>
    <row r="201" ht="33.950000000000003" customHeight="1"/>
    <row r="202" ht="33.950000000000003" customHeight="1"/>
    <row r="203" ht="33.950000000000003" customHeight="1"/>
  </sheetData>
  <mergeCells count="1">
    <mergeCell ref="A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Инструкция</vt:lpstr>
      <vt:lpstr>Банк анализа</vt:lpstr>
      <vt:lpstr>Бизнес-логика</vt:lpstr>
      <vt:lpstr>Роли и сегменты</vt:lpstr>
      <vt:lpstr>Пользовательские сценарии</vt:lpstr>
      <vt:lpstr>Карта сценариев</vt:lpstr>
      <vt:lpstr>Функциональные требования</vt:lpstr>
      <vt:lpstr>Приоритизация</vt:lpstr>
      <vt:lpstr>Связность</vt:lpstr>
      <vt:lpstr>Дашборд</vt:lpstr>
      <vt:lpstr>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Aliaksandr Khajynau</cp:lastModifiedBy>
  <dcterms:modified xsi:type="dcterms:W3CDTF">2026-09-26T13:32:19Z</dcterms:modified>
</cp:coreProperties>
</file>